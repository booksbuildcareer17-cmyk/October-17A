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drawings/drawing3.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4.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drawings/drawing5.xml" ContentType="application/vnd.openxmlformats-officedocument.drawing+xml"/>
  <Override PartName="/xl/charts/chart13.xml" ContentType="application/vnd.openxmlformats-officedocument.drawingml.chart+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ZZZ___Claude\October\17\work\"/>
    </mc:Choice>
  </mc:AlternateContent>
  <xr:revisionPtr revIDLastSave="0" documentId="13_ncr:1_{15AE7621-D7D8-4D6D-813B-F3CF67C6FB37}" xr6:coauthVersionLast="47" xr6:coauthVersionMax="47" xr10:uidLastSave="{00000000-0000-0000-0000-000000000000}"/>
  <bookViews>
    <workbookView xWindow="-120" yWindow="-120" windowWidth="20730" windowHeight="11160" tabRatio="818" activeTab="3" xr2:uid="{00000000-000D-0000-FFFF-FFFF00000000}"/>
  </bookViews>
  <sheets>
    <sheet name="README" sheetId="1" r:id="rId1"/>
    <sheet name="Checks" sheetId="2" r:id="rId2"/>
    <sheet name="TB_Comparison_Justification" sheetId="3" r:id="rId3"/>
    <sheet name="FS_SideBySide_Comparison" sheetId="4" r:id="rId4"/>
    <sheet name="Problem_Areas_&amp;_Solutions" sheetId="5" r:id="rId5"/>
    <sheet name="IS_Consol" sheetId="6" r:id="rId6"/>
    <sheet name="BS_Consol" sheetId="7" r:id="rId7"/>
    <sheet name="CF_Consol" sheetId="8" r:id="rId8"/>
    <sheet name="IS_Alif" sheetId="9" r:id="rId9"/>
    <sheet name="BS_Alif" sheetId="10" r:id="rId10"/>
    <sheet name="CF_Alif" sheetId="11" r:id="rId11"/>
    <sheet name="IS_VH" sheetId="12" r:id="rId12"/>
    <sheet name="BS_VH" sheetId="13" r:id="rId13"/>
    <sheet name="CF_VH" sheetId="14" r:id="rId14"/>
    <sheet name="TB_Input_Alif" sheetId="15" r:id="rId15"/>
    <sheet name="TB_Input_VH" sheetId="16" r:id="rId16"/>
    <sheet name="Charts_YTD" sheetId="17" r:id="rId17"/>
    <sheet name="YearlyAlif" sheetId="18" r:id="rId18"/>
    <sheet name="BS" sheetId="19" state="hidden" r:id="rId19"/>
    <sheet name="Charts_BS" sheetId="20" r:id="rId20"/>
    <sheet name="Charts_P&amp;L" sheetId="21" r:id="rId21"/>
    <sheet name="P&amp;L_2014-2025" sheetId="22" r:id="rId22"/>
    <sheet name="P&amp;L" sheetId="23" state="hidden" r:id="rId23"/>
    <sheet name="CF" sheetId="24" state="hidden" r:id="rId24"/>
    <sheet name="Notes" sheetId="25" state="hidden" r:id="rId25"/>
    <sheet name="ALIF_Y2014" sheetId="26" r:id="rId26"/>
    <sheet name="ALIF_Y2015" sheetId="27" r:id="rId27"/>
    <sheet name="ALIF_Y2016" sheetId="28" r:id="rId28"/>
    <sheet name="ALIF_Y2017" sheetId="29" r:id="rId29"/>
    <sheet name="ALIF_Y2018" sheetId="30" r:id="rId30"/>
    <sheet name="ALIF_Y2019" sheetId="31" r:id="rId31"/>
    <sheet name="ALIF_Y2020" sheetId="32" r:id="rId32"/>
    <sheet name="ALIF_Y2021" sheetId="33" r:id="rId33"/>
    <sheet name="ALIF_Y2022" sheetId="34" r:id="rId34"/>
    <sheet name="ALIF_Y2023" sheetId="35" r:id="rId35"/>
    <sheet name="ALIF_Y2024" sheetId="36" r:id="rId36"/>
    <sheet name="ALIF_Y2025" sheetId="37" r:id="rId37"/>
    <sheet name="Map" sheetId="38" r:id="rId38"/>
  </sheets>
  <definedNames>
    <definedName name="_xlnm._FilterDatabase" localSheetId="25" hidden="1">ALIF_Y2014!$A$4:$J$420</definedName>
    <definedName name="_xlnm._FilterDatabase" localSheetId="26" hidden="1">ALIF_Y2015!$A$4:$K$279</definedName>
    <definedName name="_xlnm._FilterDatabase" localSheetId="27" hidden="1">ALIF_Y2016!$A$4:$K$833</definedName>
    <definedName name="_xlnm._FilterDatabase" localSheetId="28" hidden="1">ALIF_Y2017!$A$4:$K$305</definedName>
    <definedName name="_xlnm._FilterDatabase" localSheetId="29" hidden="1">ALIF_Y2018!$A$4:$K$258</definedName>
    <definedName name="_xlnm._FilterDatabase" localSheetId="30" hidden="1">ALIF_Y2019!$A$4:$K$276</definedName>
    <definedName name="_xlnm._FilterDatabase" localSheetId="31" hidden="1">ALIF_Y2020!$A$4:$K$288</definedName>
    <definedName name="_xlnm._FilterDatabase" localSheetId="32" hidden="1">ALIF_Y2021!$A$4:$K$243</definedName>
    <definedName name="_xlnm._FilterDatabase" localSheetId="33" hidden="1">ALIF_Y2022!$A$4:$J$362</definedName>
    <definedName name="_xlnm._FilterDatabase" localSheetId="34" hidden="1">ALIF_Y2023!$A$4:$J$375</definedName>
    <definedName name="_xlnm._FilterDatabase" localSheetId="35" hidden="1">ALIF_Y2024!$A$4:$J$263</definedName>
    <definedName name="_xlnm._FilterDatabase" localSheetId="36" hidden="1">ALIF_Y2025!$A$4:$J$270</definedName>
    <definedName name="_xlnm._FilterDatabase" localSheetId="37" hidden="1">Map!$A$1:$G$295</definedName>
    <definedName name="_xlnm._FilterDatabase" localSheetId="2" hidden="1">TB_Comparison_Justification!$A$4:$F$19</definedName>
    <definedName name="_xlnm._FilterDatabase" localSheetId="17" hidden="1">YearlyAlif!$A$3:$Q$269</definedName>
    <definedName name="_xlnm.Print_Titles" localSheetId="3">FS_SideBySide_Comparison!$4:$4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3" i="37" l="1"/>
  <c r="I283" i="37"/>
  <c r="H283" i="37"/>
  <c r="G283" i="37"/>
  <c r="E283" i="37"/>
  <c r="F283" i="37" s="1"/>
  <c r="J282" i="37"/>
  <c r="I282" i="37"/>
  <c r="H282" i="37"/>
  <c r="G282" i="37"/>
  <c r="E282" i="37"/>
  <c r="F282" i="37" s="1"/>
  <c r="N258" i="18" s="1"/>
  <c r="J281" i="37"/>
  <c r="I281" i="37"/>
  <c r="H281" i="37"/>
  <c r="G281" i="37"/>
  <c r="E281" i="37"/>
  <c r="F281" i="37" s="1"/>
  <c r="N262" i="18" s="1"/>
  <c r="J280" i="37"/>
  <c r="I280" i="37"/>
  <c r="H280" i="37"/>
  <c r="G280" i="37"/>
  <c r="E280" i="37"/>
  <c r="F280" i="37" s="1"/>
  <c r="J279" i="37"/>
  <c r="I279" i="37"/>
  <c r="H279" i="37"/>
  <c r="G279" i="37"/>
  <c r="F279" i="37"/>
  <c r="J278" i="37"/>
  <c r="I278" i="37"/>
  <c r="H278" i="37"/>
  <c r="G278" i="37"/>
  <c r="F278" i="37"/>
  <c r="J276" i="37"/>
  <c r="I276" i="37"/>
  <c r="H276" i="37"/>
  <c r="G276" i="37"/>
  <c r="E276" i="37"/>
  <c r="F276" i="37" s="1"/>
  <c r="J275" i="37"/>
  <c r="I275" i="37"/>
  <c r="H275" i="37"/>
  <c r="G275" i="37"/>
  <c r="F275" i="37"/>
  <c r="F272" i="37"/>
  <c r="E272" i="37"/>
  <c r="D272" i="37"/>
  <c r="C272" i="37"/>
  <c r="J270" i="37"/>
  <c r="I270" i="37"/>
  <c r="H270" i="37"/>
  <c r="G270" i="37"/>
  <c r="J269" i="37"/>
  <c r="I269" i="37"/>
  <c r="H269" i="37"/>
  <c r="G269" i="37"/>
  <c r="J268" i="37"/>
  <c r="I268" i="37"/>
  <c r="H268" i="37"/>
  <c r="G268" i="37"/>
  <c r="J267" i="37"/>
  <c r="I267" i="37"/>
  <c r="H267" i="37"/>
  <c r="G267" i="37"/>
  <c r="J266" i="37"/>
  <c r="I266" i="37"/>
  <c r="H266" i="37"/>
  <c r="G266" i="37"/>
  <c r="J265" i="37"/>
  <c r="I265" i="37"/>
  <c r="H265" i="37"/>
  <c r="G265" i="37"/>
  <c r="J264" i="37"/>
  <c r="I264" i="37"/>
  <c r="H264" i="37"/>
  <c r="G264" i="37"/>
  <c r="J263" i="37"/>
  <c r="I263" i="37"/>
  <c r="H263" i="37"/>
  <c r="G263" i="37"/>
  <c r="J262" i="37"/>
  <c r="I262" i="37"/>
  <c r="H262" i="37"/>
  <c r="G262" i="37"/>
  <c r="J261" i="37"/>
  <c r="I261" i="37"/>
  <c r="H261" i="37"/>
  <c r="G261" i="37"/>
  <c r="J260" i="37"/>
  <c r="I260" i="37"/>
  <c r="H260" i="37"/>
  <c r="G260" i="37"/>
  <c r="J259" i="37"/>
  <c r="I259" i="37"/>
  <c r="H259" i="37"/>
  <c r="G259" i="37"/>
  <c r="J258" i="37"/>
  <c r="I258" i="37"/>
  <c r="H258" i="37"/>
  <c r="G258" i="37"/>
  <c r="J257" i="37"/>
  <c r="I257" i="37"/>
  <c r="H257" i="37"/>
  <c r="G257" i="37"/>
  <c r="J256" i="37"/>
  <c r="I256" i="37"/>
  <c r="H256" i="37"/>
  <c r="G256" i="37"/>
  <c r="J255" i="37"/>
  <c r="I255" i="37"/>
  <c r="H255" i="37"/>
  <c r="G255" i="37"/>
  <c r="J254" i="37"/>
  <c r="I254" i="37"/>
  <c r="H254" i="37"/>
  <c r="G254" i="37"/>
  <c r="J253" i="37"/>
  <c r="I253" i="37"/>
  <c r="H253" i="37"/>
  <c r="G253" i="37"/>
  <c r="J252" i="37"/>
  <c r="I252" i="37"/>
  <c r="H252" i="37"/>
  <c r="G252" i="37"/>
  <c r="J251" i="37"/>
  <c r="I251" i="37"/>
  <c r="H251" i="37"/>
  <c r="G251" i="37"/>
  <c r="J250" i="37"/>
  <c r="I250" i="37"/>
  <c r="H250" i="37"/>
  <c r="G250" i="37"/>
  <c r="J249" i="37"/>
  <c r="I249" i="37"/>
  <c r="H249" i="37"/>
  <c r="G249" i="37"/>
  <c r="J248" i="37"/>
  <c r="I248" i="37"/>
  <c r="H248" i="37"/>
  <c r="G248" i="37"/>
  <c r="J247" i="37"/>
  <c r="I247" i="37"/>
  <c r="H247" i="37"/>
  <c r="G247" i="37"/>
  <c r="J246" i="37"/>
  <c r="I246" i="37"/>
  <c r="H246" i="37"/>
  <c r="G246" i="37"/>
  <c r="J245" i="37"/>
  <c r="I245" i="37"/>
  <c r="H245" i="37"/>
  <c r="G245" i="37"/>
  <c r="J244" i="37"/>
  <c r="I244" i="37"/>
  <c r="H244" i="37"/>
  <c r="G244" i="37"/>
  <c r="J243" i="37"/>
  <c r="I243" i="37"/>
  <c r="H243" i="37"/>
  <c r="G243" i="37"/>
  <c r="J242" i="37"/>
  <c r="I242" i="37"/>
  <c r="H242" i="37"/>
  <c r="G242" i="37"/>
  <c r="J241" i="37"/>
  <c r="I241" i="37"/>
  <c r="H241" i="37"/>
  <c r="G241" i="37"/>
  <c r="J240" i="37"/>
  <c r="I240" i="37"/>
  <c r="H240" i="37"/>
  <c r="G240" i="37"/>
  <c r="J239" i="37"/>
  <c r="I239" i="37"/>
  <c r="H239" i="37"/>
  <c r="G239" i="37"/>
  <c r="J238" i="37"/>
  <c r="I238" i="37"/>
  <c r="H238" i="37"/>
  <c r="G238" i="37"/>
  <c r="J237" i="37"/>
  <c r="I237" i="37"/>
  <c r="H237" i="37"/>
  <c r="G237" i="37"/>
  <c r="J236" i="37"/>
  <c r="I236" i="37"/>
  <c r="H236" i="37"/>
  <c r="G236" i="37"/>
  <c r="J235" i="37"/>
  <c r="I235" i="37"/>
  <c r="H235" i="37"/>
  <c r="G235" i="37"/>
  <c r="J234" i="37"/>
  <c r="I234" i="37"/>
  <c r="H234" i="37"/>
  <c r="G234" i="37"/>
  <c r="J233" i="37"/>
  <c r="I233" i="37"/>
  <c r="H233" i="37"/>
  <c r="G233" i="37"/>
  <c r="J232" i="37"/>
  <c r="I232" i="37"/>
  <c r="H232" i="37"/>
  <c r="G232" i="37"/>
  <c r="J231" i="37"/>
  <c r="I231" i="37"/>
  <c r="H231" i="37"/>
  <c r="G231" i="37"/>
  <c r="J230" i="37"/>
  <c r="I230" i="37"/>
  <c r="H230" i="37"/>
  <c r="G230" i="37"/>
  <c r="J229" i="37"/>
  <c r="I229" i="37"/>
  <c r="H229" i="37"/>
  <c r="G229" i="37"/>
  <c r="J228" i="37"/>
  <c r="I228" i="37"/>
  <c r="H228" i="37"/>
  <c r="G228" i="37"/>
  <c r="J227" i="37"/>
  <c r="I227" i="37"/>
  <c r="H227" i="37"/>
  <c r="G227" i="37"/>
  <c r="J226" i="37"/>
  <c r="I226" i="37"/>
  <c r="H226" i="37"/>
  <c r="G226" i="37"/>
  <c r="J225" i="37"/>
  <c r="I225" i="37"/>
  <c r="H225" i="37"/>
  <c r="G225" i="37"/>
  <c r="J224" i="37"/>
  <c r="I224" i="37"/>
  <c r="H224" i="37"/>
  <c r="G224" i="37"/>
  <c r="J223" i="37"/>
  <c r="I223" i="37"/>
  <c r="H223" i="37"/>
  <c r="G223" i="37"/>
  <c r="J222" i="37"/>
  <c r="I222" i="37"/>
  <c r="H222" i="37"/>
  <c r="G222" i="37"/>
  <c r="J221" i="37"/>
  <c r="I221" i="37"/>
  <c r="H221" i="37"/>
  <c r="G221" i="37"/>
  <c r="J220" i="37"/>
  <c r="I220" i="37"/>
  <c r="H220" i="37"/>
  <c r="G220" i="37"/>
  <c r="J219" i="37"/>
  <c r="I219" i="37"/>
  <c r="H219" i="37"/>
  <c r="G219" i="37"/>
  <c r="J218" i="37"/>
  <c r="I218" i="37"/>
  <c r="H218" i="37"/>
  <c r="G218" i="37"/>
  <c r="J217" i="37"/>
  <c r="I217" i="37"/>
  <c r="H217" i="37"/>
  <c r="G217" i="37"/>
  <c r="J216" i="37"/>
  <c r="I216" i="37"/>
  <c r="H216" i="37"/>
  <c r="G216" i="37"/>
  <c r="J215" i="37"/>
  <c r="I215" i="37"/>
  <c r="H215" i="37"/>
  <c r="G215" i="37"/>
  <c r="J214" i="37"/>
  <c r="I214" i="37"/>
  <c r="H214" i="37"/>
  <c r="G214" i="37"/>
  <c r="J213" i="37"/>
  <c r="I213" i="37"/>
  <c r="H213" i="37"/>
  <c r="G213" i="37"/>
  <c r="J212" i="37"/>
  <c r="I212" i="37"/>
  <c r="H212" i="37"/>
  <c r="G212" i="37"/>
  <c r="J211" i="37"/>
  <c r="I211" i="37"/>
  <c r="H211" i="37"/>
  <c r="G211" i="37"/>
  <c r="J210" i="37"/>
  <c r="I210" i="37"/>
  <c r="H210" i="37"/>
  <c r="G210" i="37"/>
  <c r="J209" i="37"/>
  <c r="I209" i="37"/>
  <c r="H209" i="37"/>
  <c r="G209" i="37"/>
  <c r="J208" i="37"/>
  <c r="I208" i="37"/>
  <c r="H208" i="37"/>
  <c r="G208" i="37"/>
  <c r="J207" i="37"/>
  <c r="I207" i="37"/>
  <c r="H207" i="37"/>
  <c r="G207" i="37"/>
  <c r="J206" i="37"/>
  <c r="I206" i="37"/>
  <c r="H206" i="37"/>
  <c r="G206" i="37"/>
  <c r="J205" i="37"/>
  <c r="I205" i="37"/>
  <c r="H205" i="37"/>
  <c r="G205" i="37"/>
  <c r="J204" i="37"/>
  <c r="I204" i="37"/>
  <c r="H204" i="37"/>
  <c r="G204" i="37"/>
  <c r="J203" i="37"/>
  <c r="I203" i="37"/>
  <c r="H203" i="37"/>
  <c r="G203" i="37"/>
  <c r="J202" i="37"/>
  <c r="I202" i="37"/>
  <c r="H202" i="37"/>
  <c r="G202" i="37"/>
  <c r="J201" i="37"/>
  <c r="I201" i="37"/>
  <c r="H201" i="37"/>
  <c r="G201" i="37"/>
  <c r="J200" i="37"/>
  <c r="I200" i="37"/>
  <c r="H200" i="37"/>
  <c r="G200" i="37"/>
  <c r="J199" i="37"/>
  <c r="I199" i="37"/>
  <c r="H199" i="37"/>
  <c r="G199" i="37"/>
  <c r="J198" i="37"/>
  <c r="I198" i="37"/>
  <c r="H198" i="37"/>
  <c r="G198" i="37"/>
  <c r="J197" i="37"/>
  <c r="I197" i="37"/>
  <c r="H197" i="37"/>
  <c r="G197" i="37"/>
  <c r="J196" i="37"/>
  <c r="I196" i="37"/>
  <c r="H196" i="37"/>
  <c r="G196" i="37"/>
  <c r="J195" i="37"/>
  <c r="I195" i="37"/>
  <c r="H195" i="37"/>
  <c r="G195" i="37"/>
  <c r="J194" i="37"/>
  <c r="I194" i="37"/>
  <c r="H194" i="37"/>
  <c r="G194" i="37"/>
  <c r="J193" i="37"/>
  <c r="I193" i="37"/>
  <c r="H193" i="37"/>
  <c r="G193" i="37"/>
  <c r="J192" i="37"/>
  <c r="I192" i="37"/>
  <c r="H192" i="37"/>
  <c r="G192" i="37"/>
  <c r="J191" i="37"/>
  <c r="I191" i="37"/>
  <c r="H191" i="37"/>
  <c r="G191" i="37"/>
  <c r="J190" i="37"/>
  <c r="I190" i="37"/>
  <c r="H190" i="37"/>
  <c r="G190" i="37"/>
  <c r="J189" i="37"/>
  <c r="I189" i="37"/>
  <c r="H189" i="37"/>
  <c r="G189" i="37"/>
  <c r="J188" i="37"/>
  <c r="I188" i="37"/>
  <c r="H188" i="37"/>
  <c r="G188" i="37"/>
  <c r="J187" i="37"/>
  <c r="I187" i="37"/>
  <c r="H187" i="37"/>
  <c r="G187" i="37"/>
  <c r="J186" i="37"/>
  <c r="I186" i="37"/>
  <c r="H186" i="37"/>
  <c r="G186" i="37"/>
  <c r="J185" i="37"/>
  <c r="I185" i="37"/>
  <c r="H185" i="37"/>
  <c r="G185" i="37"/>
  <c r="J184" i="37"/>
  <c r="I184" i="37"/>
  <c r="H184" i="37"/>
  <c r="G184" i="37"/>
  <c r="J183" i="37"/>
  <c r="I183" i="37"/>
  <c r="H183" i="37"/>
  <c r="G183" i="37"/>
  <c r="J182" i="37"/>
  <c r="I182" i="37"/>
  <c r="H182" i="37"/>
  <c r="G182" i="37"/>
  <c r="J181" i="37"/>
  <c r="I181" i="37"/>
  <c r="H181" i="37"/>
  <c r="G181" i="37"/>
  <c r="J180" i="37"/>
  <c r="I180" i="37"/>
  <c r="H180" i="37"/>
  <c r="G180" i="37"/>
  <c r="J179" i="37"/>
  <c r="I179" i="37"/>
  <c r="H179" i="37"/>
  <c r="G179" i="37"/>
  <c r="J178" i="37"/>
  <c r="I178" i="37"/>
  <c r="H178" i="37"/>
  <c r="G178" i="37"/>
  <c r="J177" i="37"/>
  <c r="I177" i="37"/>
  <c r="H177" i="37"/>
  <c r="G177" i="37"/>
  <c r="J176" i="37"/>
  <c r="I176" i="37"/>
  <c r="H176" i="37"/>
  <c r="G176" i="37"/>
  <c r="J175" i="37"/>
  <c r="I175" i="37"/>
  <c r="H175" i="37"/>
  <c r="G175" i="37"/>
  <c r="J174" i="37"/>
  <c r="I174" i="37"/>
  <c r="H174" i="37"/>
  <c r="G174" i="37"/>
  <c r="J173" i="37"/>
  <c r="I173" i="37"/>
  <c r="H173" i="37"/>
  <c r="G173" i="37"/>
  <c r="J172" i="37"/>
  <c r="I172" i="37"/>
  <c r="H172" i="37"/>
  <c r="G172" i="37"/>
  <c r="J171" i="37"/>
  <c r="I171" i="37"/>
  <c r="H171" i="37"/>
  <c r="G171" i="37"/>
  <c r="J170" i="37"/>
  <c r="I170" i="37"/>
  <c r="H170" i="37"/>
  <c r="G170" i="37"/>
  <c r="J169" i="37"/>
  <c r="I169" i="37"/>
  <c r="H169" i="37"/>
  <c r="G169" i="37"/>
  <c r="J168" i="37"/>
  <c r="I168" i="37"/>
  <c r="H168" i="37"/>
  <c r="G168" i="37"/>
  <c r="J167" i="37"/>
  <c r="I167" i="37"/>
  <c r="H167" i="37"/>
  <c r="G167" i="37"/>
  <c r="J166" i="37"/>
  <c r="I166" i="37"/>
  <c r="H166" i="37"/>
  <c r="G166" i="37"/>
  <c r="J165" i="37"/>
  <c r="I165" i="37"/>
  <c r="H165" i="37"/>
  <c r="G165" i="37"/>
  <c r="J164" i="37"/>
  <c r="I164" i="37"/>
  <c r="H164" i="37"/>
  <c r="G164" i="37"/>
  <c r="J163" i="37"/>
  <c r="I163" i="37"/>
  <c r="H163" i="37"/>
  <c r="G163" i="37"/>
  <c r="J162" i="37"/>
  <c r="I162" i="37"/>
  <c r="H162" i="37"/>
  <c r="G162" i="37"/>
  <c r="J161" i="37"/>
  <c r="I161" i="37"/>
  <c r="H161" i="37"/>
  <c r="G161" i="37"/>
  <c r="J160" i="37"/>
  <c r="I160" i="37"/>
  <c r="H160" i="37"/>
  <c r="G160" i="37"/>
  <c r="J159" i="37"/>
  <c r="I159" i="37"/>
  <c r="H159" i="37"/>
  <c r="G159" i="37"/>
  <c r="J158" i="37"/>
  <c r="I158" i="37"/>
  <c r="H158" i="37"/>
  <c r="G158" i="37"/>
  <c r="J157" i="37"/>
  <c r="I157" i="37"/>
  <c r="H157" i="37"/>
  <c r="G157" i="37"/>
  <c r="J156" i="37"/>
  <c r="I156" i="37"/>
  <c r="H156" i="37"/>
  <c r="G156" i="37"/>
  <c r="J155" i="37"/>
  <c r="I155" i="37"/>
  <c r="H155" i="37"/>
  <c r="G155" i="37"/>
  <c r="J154" i="37"/>
  <c r="I154" i="37"/>
  <c r="H154" i="37"/>
  <c r="G154" i="37"/>
  <c r="J153" i="37"/>
  <c r="I153" i="37"/>
  <c r="H153" i="37"/>
  <c r="G153" i="37"/>
  <c r="J152" i="37"/>
  <c r="I152" i="37"/>
  <c r="H152" i="37"/>
  <c r="G152" i="37"/>
  <c r="J151" i="37"/>
  <c r="I151" i="37"/>
  <c r="H151" i="37"/>
  <c r="G151" i="37"/>
  <c r="J150" i="37"/>
  <c r="I150" i="37"/>
  <c r="H150" i="37"/>
  <c r="G150" i="37"/>
  <c r="J149" i="37"/>
  <c r="I149" i="37"/>
  <c r="H149" i="37"/>
  <c r="G149" i="37"/>
  <c r="J148" i="37"/>
  <c r="I148" i="37"/>
  <c r="H148" i="37"/>
  <c r="G148" i="37"/>
  <c r="J147" i="37"/>
  <c r="I147" i="37"/>
  <c r="H147" i="37"/>
  <c r="G147" i="37"/>
  <c r="J146" i="37"/>
  <c r="I146" i="37"/>
  <c r="H146" i="37"/>
  <c r="G146" i="37"/>
  <c r="J145" i="37"/>
  <c r="I145" i="37"/>
  <c r="H145" i="37"/>
  <c r="G145" i="37"/>
  <c r="J144" i="37"/>
  <c r="I144" i="37"/>
  <c r="H144" i="37"/>
  <c r="G144" i="37"/>
  <c r="J143" i="37"/>
  <c r="I143" i="37"/>
  <c r="H143" i="37"/>
  <c r="G143" i="37"/>
  <c r="J142" i="37"/>
  <c r="I142" i="37"/>
  <c r="H142" i="37"/>
  <c r="G142" i="37"/>
  <c r="J141" i="37"/>
  <c r="I141" i="37"/>
  <c r="H141" i="37"/>
  <c r="G141" i="37"/>
  <c r="J140" i="37"/>
  <c r="I140" i="37"/>
  <c r="H140" i="37"/>
  <c r="G140" i="37"/>
  <c r="J139" i="37"/>
  <c r="I139" i="37"/>
  <c r="H139" i="37"/>
  <c r="G139" i="37"/>
  <c r="J138" i="37"/>
  <c r="I138" i="37"/>
  <c r="H138" i="37"/>
  <c r="G138" i="37"/>
  <c r="J137" i="37"/>
  <c r="I137" i="37"/>
  <c r="H137" i="37"/>
  <c r="G137" i="37"/>
  <c r="J136" i="37"/>
  <c r="I136" i="37"/>
  <c r="H136" i="37"/>
  <c r="G136" i="37"/>
  <c r="J135" i="37"/>
  <c r="I135" i="37"/>
  <c r="H135" i="37"/>
  <c r="G135" i="37"/>
  <c r="J134" i="37"/>
  <c r="I134" i="37"/>
  <c r="H134" i="37"/>
  <c r="G134" i="37"/>
  <c r="J133" i="37"/>
  <c r="I133" i="37"/>
  <c r="H133" i="37"/>
  <c r="G133" i="37"/>
  <c r="J132" i="37"/>
  <c r="I132" i="37"/>
  <c r="H132" i="37"/>
  <c r="G132" i="37"/>
  <c r="J131" i="37"/>
  <c r="I131" i="37"/>
  <c r="H131" i="37"/>
  <c r="G131" i="37"/>
  <c r="J130" i="37"/>
  <c r="I130" i="37"/>
  <c r="H130" i="37"/>
  <c r="G130" i="37"/>
  <c r="J129" i="37"/>
  <c r="I129" i="37"/>
  <c r="H129" i="37"/>
  <c r="G129" i="37"/>
  <c r="J128" i="37"/>
  <c r="I128" i="37"/>
  <c r="H128" i="37"/>
  <c r="G128" i="37"/>
  <c r="J127" i="37"/>
  <c r="I127" i="37"/>
  <c r="H127" i="37"/>
  <c r="G127" i="37"/>
  <c r="J126" i="37"/>
  <c r="I126" i="37"/>
  <c r="H126" i="37"/>
  <c r="G126" i="37"/>
  <c r="J125" i="37"/>
  <c r="I125" i="37"/>
  <c r="H125" i="37"/>
  <c r="G125" i="37"/>
  <c r="J124" i="37"/>
  <c r="I124" i="37"/>
  <c r="H124" i="37"/>
  <c r="G124" i="37"/>
  <c r="J123" i="37"/>
  <c r="I123" i="37"/>
  <c r="H123" i="37"/>
  <c r="G123" i="37"/>
  <c r="J122" i="37"/>
  <c r="I122" i="37"/>
  <c r="H122" i="37"/>
  <c r="G122" i="37"/>
  <c r="J121" i="37"/>
  <c r="I121" i="37"/>
  <c r="H121" i="37"/>
  <c r="G121" i="37"/>
  <c r="J120" i="37"/>
  <c r="I120" i="37"/>
  <c r="H120" i="37"/>
  <c r="G120" i="37"/>
  <c r="J119" i="37"/>
  <c r="I119" i="37"/>
  <c r="H119" i="37"/>
  <c r="G119" i="37"/>
  <c r="J118" i="37"/>
  <c r="I118" i="37"/>
  <c r="H118" i="37"/>
  <c r="G118" i="37"/>
  <c r="J117" i="37"/>
  <c r="I117" i="37"/>
  <c r="H117" i="37"/>
  <c r="G117" i="37"/>
  <c r="J116" i="37"/>
  <c r="I116" i="37"/>
  <c r="H116" i="37"/>
  <c r="G116" i="37"/>
  <c r="J115" i="37"/>
  <c r="I115" i="37"/>
  <c r="H115" i="37"/>
  <c r="G115" i="37"/>
  <c r="J114" i="37"/>
  <c r="I114" i="37"/>
  <c r="H114" i="37"/>
  <c r="G114" i="37"/>
  <c r="J113" i="37"/>
  <c r="I113" i="37"/>
  <c r="H113" i="37"/>
  <c r="G113" i="37"/>
  <c r="J112" i="37"/>
  <c r="I112" i="37"/>
  <c r="H112" i="37"/>
  <c r="G112" i="37"/>
  <c r="J111" i="37"/>
  <c r="I111" i="37"/>
  <c r="H111" i="37"/>
  <c r="G111" i="37"/>
  <c r="J110" i="37"/>
  <c r="I110" i="37"/>
  <c r="H110" i="37"/>
  <c r="G110" i="37"/>
  <c r="J109" i="37"/>
  <c r="I109" i="37"/>
  <c r="H109" i="37"/>
  <c r="G109" i="37"/>
  <c r="J108" i="37"/>
  <c r="I108" i="37"/>
  <c r="H108" i="37"/>
  <c r="G108" i="37"/>
  <c r="J107" i="37"/>
  <c r="I107" i="37"/>
  <c r="H107" i="37"/>
  <c r="G107" i="37"/>
  <c r="J106" i="37"/>
  <c r="I106" i="37"/>
  <c r="H106" i="37"/>
  <c r="G106" i="37"/>
  <c r="J105" i="37"/>
  <c r="I105" i="37"/>
  <c r="H105" i="37"/>
  <c r="G105" i="37"/>
  <c r="J104" i="37"/>
  <c r="I104" i="37"/>
  <c r="H104" i="37"/>
  <c r="G104" i="37"/>
  <c r="J103" i="37"/>
  <c r="I103" i="37"/>
  <c r="H103" i="37"/>
  <c r="G103" i="37"/>
  <c r="J102" i="37"/>
  <c r="I102" i="37"/>
  <c r="H102" i="37"/>
  <c r="G102" i="37"/>
  <c r="J101" i="37"/>
  <c r="I101" i="37"/>
  <c r="H101" i="37"/>
  <c r="G101" i="37"/>
  <c r="J100" i="37"/>
  <c r="I100" i="37"/>
  <c r="H100" i="37"/>
  <c r="G100" i="37"/>
  <c r="J99" i="37"/>
  <c r="I99" i="37"/>
  <c r="H99" i="37"/>
  <c r="G99" i="37"/>
  <c r="J98" i="37"/>
  <c r="I98" i="37"/>
  <c r="H98" i="37"/>
  <c r="G98" i="37"/>
  <c r="J97" i="37"/>
  <c r="I97" i="37"/>
  <c r="H97" i="37"/>
  <c r="G97" i="37"/>
  <c r="J96" i="37"/>
  <c r="I96" i="37"/>
  <c r="H96" i="37"/>
  <c r="G96" i="37"/>
  <c r="J95" i="37"/>
  <c r="I95" i="37"/>
  <c r="H95" i="37"/>
  <c r="G95" i="37"/>
  <c r="J94" i="37"/>
  <c r="I94" i="37"/>
  <c r="H94" i="37"/>
  <c r="G94" i="37"/>
  <c r="J93" i="37"/>
  <c r="I93" i="37"/>
  <c r="H93" i="37"/>
  <c r="G93" i="37"/>
  <c r="J92" i="37"/>
  <c r="I92" i="37"/>
  <c r="H92" i="37"/>
  <c r="G92" i="37"/>
  <c r="J91" i="37"/>
  <c r="I91" i="37"/>
  <c r="H91" i="37"/>
  <c r="G91" i="37"/>
  <c r="J90" i="37"/>
  <c r="I90" i="37"/>
  <c r="H90" i="37"/>
  <c r="G90" i="37"/>
  <c r="J89" i="37"/>
  <c r="I89" i="37"/>
  <c r="H89" i="37"/>
  <c r="G89" i="37"/>
  <c r="J88" i="37"/>
  <c r="I88" i="37"/>
  <c r="H88" i="37"/>
  <c r="G88" i="37"/>
  <c r="J87" i="37"/>
  <c r="I87" i="37"/>
  <c r="H87" i="37"/>
  <c r="G87" i="37"/>
  <c r="J86" i="37"/>
  <c r="I86" i="37"/>
  <c r="H86" i="37"/>
  <c r="G86" i="37"/>
  <c r="J85" i="37"/>
  <c r="I85" i="37"/>
  <c r="H85" i="37"/>
  <c r="G85" i="37"/>
  <c r="J84" i="37"/>
  <c r="I84" i="37"/>
  <c r="H84" i="37"/>
  <c r="G84" i="37"/>
  <c r="J83" i="37"/>
  <c r="I83" i="37"/>
  <c r="H83" i="37"/>
  <c r="G83" i="37"/>
  <c r="J82" i="37"/>
  <c r="I82" i="37"/>
  <c r="H82" i="37"/>
  <c r="G82" i="37"/>
  <c r="J81" i="37"/>
  <c r="I81" i="37"/>
  <c r="H81" i="37"/>
  <c r="G81" i="37"/>
  <c r="J80" i="37"/>
  <c r="I80" i="37"/>
  <c r="H80" i="37"/>
  <c r="G80" i="37"/>
  <c r="J79" i="37"/>
  <c r="I79" i="37"/>
  <c r="H79" i="37"/>
  <c r="G79" i="37"/>
  <c r="J78" i="37"/>
  <c r="I78" i="37"/>
  <c r="H78" i="37"/>
  <c r="G78" i="37"/>
  <c r="J77" i="37"/>
  <c r="I77" i="37"/>
  <c r="H77" i="37"/>
  <c r="G77" i="37"/>
  <c r="J76" i="37"/>
  <c r="I76" i="37"/>
  <c r="H76" i="37"/>
  <c r="G76" i="37"/>
  <c r="J75" i="37"/>
  <c r="I75" i="37"/>
  <c r="H75" i="37"/>
  <c r="G75" i="37"/>
  <c r="J74" i="37"/>
  <c r="I74" i="37"/>
  <c r="H74" i="37"/>
  <c r="G74" i="37"/>
  <c r="J73" i="37"/>
  <c r="I73" i="37"/>
  <c r="H73" i="37"/>
  <c r="G73" i="37"/>
  <c r="J72" i="37"/>
  <c r="I72" i="37"/>
  <c r="H72" i="37"/>
  <c r="G72" i="37"/>
  <c r="J71" i="37"/>
  <c r="I71" i="37"/>
  <c r="H71" i="37"/>
  <c r="G71" i="37"/>
  <c r="J70" i="37"/>
  <c r="I70" i="37"/>
  <c r="H70" i="37"/>
  <c r="G70" i="37"/>
  <c r="J69" i="37"/>
  <c r="I69" i="37"/>
  <c r="H69" i="37"/>
  <c r="G69" i="37"/>
  <c r="J68" i="37"/>
  <c r="I68" i="37"/>
  <c r="H68" i="37"/>
  <c r="G68" i="37"/>
  <c r="J67" i="37"/>
  <c r="I67" i="37"/>
  <c r="H67" i="37"/>
  <c r="G67" i="37"/>
  <c r="J66" i="37"/>
  <c r="I66" i="37"/>
  <c r="H66" i="37"/>
  <c r="G66" i="37"/>
  <c r="J65" i="37"/>
  <c r="I65" i="37"/>
  <c r="H65" i="37"/>
  <c r="G65" i="37"/>
  <c r="J64" i="37"/>
  <c r="I64" i="37"/>
  <c r="H64" i="37"/>
  <c r="G64" i="37"/>
  <c r="J63" i="37"/>
  <c r="I63" i="37"/>
  <c r="H63" i="37"/>
  <c r="G63" i="37"/>
  <c r="J62" i="37"/>
  <c r="I62" i="37"/>
  <c r="H62" i="37"/>
  <c r="G62" i="37"/>
  <c r="J61" i="37"/>
  <c r="I61" i="37"/>
  <c r="H61" i="37"/>
  <c r="G61" i="37"/>
  <c r="J60" i="37"/>
  <c r="I60" i="37"/>
  <c r="H60" i="37"/>
  <c r="G60" i="37"/>
  <c r="J59" i="37"/>
  <c r="I59" i="37"/>
  <c r="H59" i="37"/>
  <c r="G59" i="37"/>
  <c r="J58" i="37"/>
  <c r="I58" i="37"/>
  <c r="H58" i="37"/>
  <c r="G58" i="37"/>
  <c r="J57" i="37"/>
  <c r="I57" i="37"/>
  <c r="H57" i="37"/>
  <c r="G57" i="37"/>
  <c r="J56" i="37"/>
  <c r="I56" i="37"/>
  <c r="H56" i="37"/>
  <c r="G56" i="37"/>
  <c r="J55" i="37"/>
  <c r="I55" i="37"/>
  <c r="H55" i="37"/>
  <c r="G55" i="37"/>
  <c r="J54" i="37"/>
  <c r="I54" i="37"/>
  <c r="H54" i="37"/>
  <c r="G54" i="37"/>
  <c r="J53" i="37"/>
  <c r="I53" i="37"/>
  <c r="H53" i="37"/>
  <c r="G53" i="37"/>
  <c r="J52" i="37"/>
  <c r="I52" i="37"/>
  <c r="H52" i="37"/>
  <c r="G52" i="37"/>
  <c r="J51" i="37"/>
  <c r="I51" i="37"/>
  <c r="H51" i="37"/>
  <c r="G51" i="37"/>
  <c r="J50" i="37"/>
  <c r="I50" i="37"/>
  <c r="H50" i="37"/>
  <c r="G50" i="37"/>
  <c r="J49" i="37"/>
  <c r="I49" i="37"/>
  <c r="H49" i="37"/>
  <c r="G49" i="37"/>
  <c r="J48" i="37"/>
  <c r="I48" i="37"/>
  <c r="H48" i="37"/>
  <c r="G48" i="37"/>
  <c r="J47" i="37"/>
  <c r="I47" i="37"/>
  <c r="H47" i="37"/>
  <c r="G47" i="37"/>
  <c r="J46" i="37"/>
  <c r="I46" i="37"/>
  <c r="H46" i="37"/>
  <c r="G46" i="37"/>
  <c r="J45" i="37"/>
  <c r="I45" i="37"/>
  <c r="H45" i="37"/>
  <c r="G45" i="37"/>
  <c r="J44" i="37"/>
  <c r="I44" i="37"/>
  <c r="H44" i="37"/>
  <c r="G44" i="37"/>
  <c r="J43" i="37"/>
  <c r="I43" i="37"/>
  <c r="H43" i="37"/>
  <c r="G43" i="37"/>
  <c r="J42" i="37"/>
  <c r="I42" i="37"/>
  <c r="H42" i="37"/>
  <c r="G42" i="37"/>
  <c r="J41" i="37"/>
  <c r="I41" i="37"/>
  <c r="H41" i="37"/>
  <c r="G41" i="37"/>
  <c r="J40" i="37"/>
  <c r="I40" i="37"/>
  <c r="H40" i="37"/>
  <c r="G40" i="37"/>
  <c r="J39" i="37"/>
  <c r="I39" i="37"/>
  <c r="H39" i="37"/>
  <c r="G39" i="37"/>
  <c r="J38" i="37"/>
  <c r="I38" i="37"/>
  <c r="H38" i="37"/>
  <c r="G38" i="37"/>
  <c r="J37" i="37"/>
  <c r="I37" i="37"/>
  <c r="H37" i="37"/>
  <c r="G37" i="37"/>
  <c r="J36" i="37"/>
  <c r="I36" i="37"/>
  <c r="H36" i="37"/>
  <c r="G36" i="37"/>
  <c r="J35" i="37"/>
  <c r="I35" i="37"/>
  <c r="H35" i="37"/>
  <c r="G35" i="37"/>
  <c r="J34" i="37"/>
  <c r="I34" i="37"/>
  <c r="H34" i="37"/>
  <c r="G34" i="37"/>
  <c r="J33" i="37"/>
  <c r="I33" i="37"/>
  <c r="H33" i="37"/>
  <c r="G33" i="37"/>
  <c r="J32" i="37"/>
  <c r="I32" i="37"/>
  <c r="H32" i="37"/>
  <c r="G32" i="37"/>
  <c r="J31" i="37"/>
  <c r="I31" i="37"/>
  <c r="H31" i="37"/>
  <c r="G31" i="37"/>
  <c r="J30" i="37"/>
  <c r="I30" i="37"/>
  <c r="H30" i="37"/>
  <c r="G30" i="37"/>
  <c r="J29" i="37"/>
  <c r="I29" i="37"/>
  <c r="H29" i="37"/>
  <c r="G29" i="37"/>
  <c r="J28" i="37"/>
  <c r="I28" i="37"/>
  <c r="H28" i="37"/>
  <c r="G28" i="37"/>
  <c r="J27" i="37"/>
  <c r="I27" i="37"/>
  <c r="H27" i="37"/>
  <c r="G27" i="37"/>
  <c r="J26" i="37"/>
  <c r="I26" i="37"/>
  <c r="H26" i="37"/>
  <c r="G26" i="37"/>
  <c r="J25" i="37"/>
  <c r="I25" i="37"/>
  <c r="H25" i="37"/>
  <c r="G25" i="37"/>
  <c r="J24" i="37"/>
  <c r="I24" i="37"/>
  <c r="H24" i="37"/>
  <c r="G24" i="37"/>
  <c r="J23" i="37"/>
  <c r="I23" i="37"/>
  <c r="H23" i="37"/>
  <c r="G23" i="37"/>
  <c r="J22" i="37"/>
  <c r="I22" i="37"/>
  <c r="H22" i="37"/>
  <c r="G22" i="37"/>
  <c r="J21" i="37"/>
  <c r="I21" i="37"/>
  <c r="H21" i="37"/>
  <c r="G21" i="37"/>
  <c r="J20" i="37"/>
  <c r="I20" i="37"/>
  <c r="H20" i="37"/>
  <c r="G20" i="37"/>
  <c r="J19" i="37"/>
  <c r="I19" i="37"/>
  <c r="H19" i="37"/>
  <c r="G19" i="37"/>
  <c r="J18" i="37"/>
  <c r="I18" i="37"/>
  <c r="H18" i="37"/>
  <c r="G18" i="37"/>
  <c r="J17" i="37"/>
  <c r="I17" i="37"/>
  <c r="H17" i="37"/>
  <c r="G17" i="37"/>
  <c r="J16" i="37"/>
  <c r="I16" i="37"/>
  <c r="H16" i="37"/>
  <c r="G16" i="37"/>
  <c r="J15" i="37"/>
  <c r="I15" i="37"/>
  <c r="H15" i="37"/>
  <c r="G15" i="37"/>
  <c r="J14" i="37"/>
  <c r="I14" i="37"/>
  <c r="H14" i="37"/>
  <c r="G14" i="37"/>
  <c r="J13" i="37"/>
  <c r="I13" i="37"/>
  <c r="H13" i="37"/>
  <c r="G13" i="37"/>
  <c r="J12" i="37"/>
  <c r="I12" i="37"/>
  <c r="H12" i="37"/>
  <c r="G12" i="37"/>
  <c r="J11" i="37"/>
  <c r="I11" i="37"/>
  <c r="H11" i="37"/>
  <c r="G11" i="37"/>
  <c r="J10" i="37"/>
  <c r="I10" i="37"/>
  <c r="H10" i="37"/>
  <c r="G10" i="37"/>
  <c r="J9" i="37"/>
  <c r="I9" i="37"/>
  <c r="H9" i="37"/>
  <c r="G9" i="37"/>
  <c r="J8" i="37"/>
  <c r="I8" i="37"/>
  <c r="H8" i="37"/>
  <c r="G8" i="37"/>
  <c r="J7" i="37"/>
  <c r="I7" i="37"/>
  <c r="H7" i="37"/>
  <c r="G7" i="37"/>
  <c r="J6" i="37"/>
  <c r="I6" i="37"/>
  <c r="H6" i="37"/>
  <c r="G6" i="37"/>
  <c r="J5" i="37"/>
  <c r="I5" i="37"/>
  <c r="H5" i="37"/>
  <c r="G5" i="37"/>
  <c r="J270" i="36"/>
  <c r="I270" i="36"/>
  <c r="H270" i="36"/>
  <c r="G270" i="36"/>
  <c r="E270" i="36"/>
  <c r="F270" i="36" s="1"/>
  <c r="J269" i="36"/>
  <c r="I269" i="36"/>
  <c r="H269" i="36"/>
  <c r="G269" i="36"/>
  <c r="E269" i="36"/>
  <c r="F269" i="36" s="1"/>
  <c r="J267" i="36"/>
  <c r="I267" i="36"/>
  <c r="H267" i="36"/>
  <c r="G267" i="36"/>
  <c r="F267" i="36"/>
  <c r="J266" i="36"/>
  <c r="I266" i="36"/>
  <c r="H266" i="36"/>
  <c r="G266" i="36"/>
  <c r="F266" i="36"/>
  <c r="J263" i="36"/>
  <c r="I263" i="36"/>
  <c r="H263" i="36"/>
  <c r="G263" i="36"/>
  <c r="E263" i="36"/>
  <c r="F263" i="36" s="1"/>
  <c r="J262" i="36"/>
  <c r="I262" i="36"/>
  <c r="H262" i="36"/>
  <c r="G262" i="36"/>
  <c r="F262" i="36"/>
  <c r="F259" i="36"/>
  <c r="E259" i="36"/>
  <c r="D259" i="36"/>
  <c r="C259" i="36"/>
  <c r="J257" i="36"/>
  <c r="I257" i="36"/>
  <c r="H257" i="36"/>
  <c r="G257" i="36"/>
  <c r="J256" i="36"/>
  <c r="I256" i="36"/>
  <c r="H256" i="36"/>
  <c r="G256" i="36"/>
  <c r="J255" i="36"/>
  <c r="I255" i="36"/>
  <c r="H255" i="36"/>
  <c r="G255" i="36"/>
  <c r="J254" i="36"/>
  <c r="I254" i="36"/>
  <c r="H254" i="36"/>
  <c r="G254" i="36"/>
  <c r="J253" i="36"/>
  <c r="I253" i="36"/>
  <c r="H253" i="36"/>
  <c r="G253" i="36"/>
  <c r="J252" i="36"/>
  <c r="I252" i="36"/>
  <c r="H252" i="36"/>
  <c r="G252" i="36"/>
  <c r="J251" i="36"/>
  <c r="I251" i="36"/>
  <c r="H251" i="36"/>
  <c r="G251" i="36"/>
  <c r="J250" i="36"/>
  <c r="I250" i="36"/>
  <c r="H250" i="36"/>
  <c r="G250" i="36"/>
  <c r="J249" i="36"/>
  <c r="I249" i="36"/>
  <c r="H249" i="36"/>
  <c r="G249" i="36"/>
  <c r="J248" i="36"/>
  <c r="I248" i="36"/>
  <c r="H248" i="36"/>
  <c r="G248" i="36"/>
  <c r="J247" i="36"/>
  <c r="I247" i="36"/>
  <c r="H247" i="36"/>
  <c r="G247" i="36"/>
  <c r="J246" i="36"/>
  <c r="I246" i="36"/>
  <c r="H246" i="36"/>
  <c r="G246" i="36"/>
  <c r="J245" i="36"/>
  <c r="I245" i="36"/>
  <c r="H245" i="36"/>
  <c r="G245" i="36"/>
  <c r="J244" i="36"/>
  <c r="I244" i="36"/>
  <c r="H244" i="36"/>
  <c r="G244" i="36"/>
  <c r="J243" i="36"/>
  <c r="I243" i="36"/>
  <c r="H243" i="36"/>
  <c r="G243" i="36"/>
  <c r="J242" i="36"/>
  <c r="I242" i="36"/>
  <c r="H242" i="36"/>
  <c r="G242" i="36"/>
  <c r="J241" i="36"/>
  <c r="I241" i="36"/>
  <c r="H241" i="36"/>
  <c r="G241" i="36"/>
  <c r="J240" i="36"/>
  <c r="I240" i="36"/>
  <c r="H240" i="36"/>
  <c r="G240" i="36"/>
  <c r="J239" i="36"/>
  <c r="I239" i="36"/>
  <c r="H239" i="36"/>
  <c r="G239" i="36"/>
  <c r="J238" i="36"/>
  <c r="I238" i="36"/>
  <c r="H238" i="36"/>
  <c r="G238" i="36"/>
  <c r="J237" i="36"/>
  <c r="I237" i="36"/>
  <c r="H237" i="36"/>
  <c r="G237" i="36"/>
  <c r="J236" i="36"/>
  <c r="I236" i="36"/>
  <c r="H236" i="36"/>
  <c r="G236" i="36"/>
  <c r="J235" i="36"/>
  <c r="I235" i="36"/>
  <c r="H235" i="36"/>
  <c r="G235" i="36"/>
  <c r="J234" i="36"/>
  <c r="I234" i="36"/>
  <c r="H234" i="36"/>
  <c r="G234" i="36"/>
  <c r="J233" i="36"/>
  <c r="I233" i="36"/>
  <c r="H233" i="36"/>
  <c r="G233" i="36"/>
  <c r="J232" i="36"/>
  <c r="I232" i="36"/>
  <c r="H232" i="36"/>
  <c r="G232" i="36"/>
  <c r="J231" i="36"/>
  <c r="I231" i="36"/>
  <c r="H231" i="36"/>
  <c r="G231" i="36"/>
  <c r="J230" i="36"/>
  <c r="I230" i="36"/>
  <c r="H230" i="36"/>
  <c r="G230" i="36"/>
  <c r="J229" i="36"/>
  <c r="I229" i="36"/>
  <c r="H229" i="36"/>
  <c r="G229" i="36"/>
  <c r="J228" i="36"/>
  <c r="I228" i="36"/>
  <c r="H228" i="36"/>
  <c r="G228" i="36"/>
  <c r="J227" i="36"/>
  <c r="I227" i="36"/>
  <c r="H227" i="36"/>
  <c r="G227" i="36"/>
  <c r="J226" i="36"/>
  <c r="I226" i="36"/>
  <c r="H226" i="36"/>
  <c r="G226" i="36"/>
  <c r="J225" i="36"/>
  <c r="I225" i="36"/>
  <c r="H225" i="36"/>
  <c r="G225" i="36"/>
  <c r="J224" i="36"/>
  <c r="I224" i="36"/>
  <c r="H224" i="36"/>
  <c r="G224" i="36"/>
  <c r="J223" i="36"/>
  <c r="I223" i="36"/>
  <c r="H223" i="36"/>
  <c r="G223" i="36"/>
  <c r="J222" i="36"/>
  <c r="I222" i="36"/>
  <c r="H222" i="36"/>
  <c r="G222" i="36"/>
  <c r="J221" i="36"/>
  <c r="I221" i="36"/>
  <c r="H221" i="36"/>
  <c r="G221" i="36"/>
  <c r="J220" i="36"/>
  <c r="I220" i="36"/>
  <c r="H220" i="36"/>
  <c r="G220" i="36"/>
  <c r="J219" i="36"/>
  <c r="I219" i="36"/>
  <c r="H219" i="36"/>
  <c r="G219" i="36"/>
  <c r="J218" i="36"/>
  <c r="I218" i="36"/>
  <c r="H218" i="36"/>
  <c r="G218" i="36"/>
  <c r="J217" i="36"/>
  <c r="I217" i="36"/>
  <c r="H217" i="36"/>
  <c r="G217" i="36"/>
  <c r="J216" i="36"/>
  <c r="I216" i="36"/>
  <c r="H216" i="36"/>
  <c r="G216" i="36"/>
  <c r="J215" i="36"/>
  <c r="I215" i="36"/>
  <c r="H215" i="36"/>
  <c r="G215" i="36"/>
  <c r="J214" i="36"/>
  <c r="I214" i="36"/>
  <c r="H214" i="36"/>
  <c r="G214" i="36"/>
  <c r="J213" i="36"/>
  <c r="I213" i="36"/>
  <c r="H213" i="36"/>
  <c r="G213" i="36"/>
  <c r="J212" i="36"/>
  <c r="I212" i="36"/>
  <c r="H212" i="36"/>
  <c r="G212" i="36"/>
  <c r="J211" i="36"/>
  <c r="I211" i="36"/>
  <c r="H211" i="36"/>
  <c r="G211" i="36"/>
  <c r="J210" i="36"/>
  <c r="I210" i="36"/>
  <c r="H210" i="36"/>
  <c r="G210" i="36"/>
  <c r="J209" i="36"/>
  <c r="I209" i="36"/>
  <c r="H209" i="36"/>
  <c r="G209" i="36"/>
  <c r="J208" i="36"/>
  <c r="I208" i="36"/>
  <c r="H208" i="36"/>
  <c r="G208" i="36"/>
  <c r="J207" i="36"/>
  <c r="I207" i="36"/>
  <c r="H207" i="36"/>
  <c r="G207" i="36"/>
  <c r="J206" i="36"/>
  <c r="I206" i="36"/>
  <c r="H206" i="36"/>
  <c r="G206" i="36"/>
  <c r="J205" i="36"/>
  <c r="I205" i="36"/>
  <c r="H205" i="36"/>
  <c r="G205" i="36"/>
  <c r="J204" i="36"/>
  <c r="I204" i="36"/>
  <c r="H204" i="36"/>
  <c r="G204" i="36"/>
  <c r="J203" i="36"/>
  <c r="I203" i="36"/>
  <c r="H203" i="36"/>
  <c r="G203" i="36"/>
  <c r="J202" i="36"/>
  <c r="I202" i="36"/>
  <c r="H202" i="36"/>
  <c r="G202" i="36"/>
  <c r="J201" i="36"/>
  <c r="I201" i="36"/>
  <c r="H201" i="36"/>
  <c r="G201" i="36"/>
  <c r="J200" i="36"/>
  <c r="I200" i="36"/>
  <c r="H200" i="36"/>
  <c r="G200" i="36"/>
  <c r="J199" i="36"/>
  <c r="I199" i="36"/>
  <c r="H199" i="36"/>
  <c r="G199" i="36"/>
  <c r="J198" i="36"/>
  <c r="I198" i="36"/>
  <c r="H198" i="36"/>
  <c r="G198" i="36"/>
  <c r="J197" i="36"/>
  <c r="I197" i="36"/>
  <c r="H197" i="36"/>
  <c r="G197" i="36"/>
  <c r="J196" i="36"/>
  <c r="I196" i="36"/>
  <c r="H196" i="36"/>
  <c r="G196" i="36"/>
  <c r="J195" i="36"/>
  <c r="I195" i="36"/>
  <c r="H195" i="36"/>
  <c r="G195" i="36"/>
  <c r="J194" i="36"/>
  <c r="I194" i="36"/>
  <c r="H194" i="36"/>
  <c r="G194" i="36"/>
  <c r="J193" i="36"/>
  <c r="I193" i="36"/>
  <c r="H193" i="36"/>
  <c r="G193" i="36"/>
  <c r="J192" i="36"/>
  <c r="I192" i="36"/>
  <c r="H192" i="36"/>
  <c r="G192" i="36"/>
  <c r="J191" i="36"/>
  <c r="I191" i="36"/>
  <c r="H191" i="36"/>
  <c r="G191" i="36"/>
  <c r="J190" i="36"/>
  <c r="I190" i="36"/>
  <c r="H190" i="36"/>
  <c r="G190" i="36"/>
  <c r="J189" i="36"/>
  <c r="I189" i="36"/>
  <c r="H189" i="36"/>
  <c r="G189" i="36"/>
  <c r="J188" i="36"/>
  <c r="I188" i="36"/>
  <c r="H188" i="36"/>
  <c r="G188" i="36"/>
  <c r="J187" i="36"/>
  <c r="I187" i="36"/>
  <c r="H187" i="36"/>
  <c r="G187" i="36"/>
  <c r="J186" i="36"/>
  <c r="I186" i="36"/>
  <c r="H186" i="36"/>
  <c r="G186" i="36"/>
  <c r="J185" i="36"/>
  <c r="I185" i="36"/>
  <c r="H185" i="36"/>
  <c r="G185" i="36"/>
  <c r="J184" i="36"/>
  <c r="I184" i="36"/>
  <c r="H184" i="36"/>
  <c r="G184" i="36"/>
  <c r="J183" i="36"/>
  <c r="I183" i="36"/>
  <c r="H183" i="36"/>
  <c r="G183" i="36"/>
  <c r="J182" i="36"/>
  <c r="I182" i="36"/>
  <c r="H182" i="36"/>
  <c r="G182" i="36"/>
  <c r="J181" i="36"/>
  <c r="I181" i="36"/>
  <c r="H181" i="36"/>
  <c r="G181" i="36"/>
  <c r="J180" i="36"/>
  <c r="I180" i="36"/>
  <c r="H180" i="36"/>
  <c r="G180" i="36"/>
  <c r="J179" i="36"/>
  <c r="I179" i="36"/>
  <c r="H179" i="36"/>
  <c r="G179" i="36"/>
  <c r="J178" i="36"/>
  <c r="I178" i="36"/>
  <c r="H178" i="36"/>
  <c r="G178" i="36"/>
  <c r="J177" i="36"/>
  <c r="I177" i="36"/>
  <c r="H177" i="36"/>
  <c r="G177" i="36"/>
  <c r="J176" i="36"/>
  <c r="I176" i="36"/>
  <c r="H176" i="36"/>
  <c r="G176" i="36"/>
  <c r="J175" i="36"/>
  <c r="I175" i="36"/>
  <c r="H175" i="36"/>
  <c r="G175" i="36"/>
  <c r="J174" i="36"/>
  <c r="I174" i="36"/>
  <c r="H174" i="36"/>
  <c r="G174" i="36"/>
  <c r="J173" i="36"/>
  <c r="I173" i="36"/>
  <c r="H173" i="36"/>
  <c r="G173" i="36"/>
  <c r="J172" i="36"/>
  <c r="I172" i="36"/>
  <c r="H172" i="36"/>
  <c r="G172" i="36"/>
  <c r="J171" i="36"/>
  <c r="I171" i="36"/>
  <c r="H171" i="36"/>
  <c r="G171" i="36"/>
  <c r="J170" i="36"/>
  <c r="I170" i="36"/>
  <c r="H170" i="36"/>
  <c r="G170" i="36"/>
  <c r="J169" i="36"/>
  <c r="I169" i="36"/>
  <c r="H169" i="36"/>
  <c r="G169" i="36"/>
  <c r="J168" i="36"/>
  <c r="I168" i="36"/>
  <c r="H168" i="36"/>
  <c r="G168" i="36"/>
  <c r="J167" i="36"/>
  <c r="I167" i="36"/>
  <c r="H167" i="36"/>
  <c r="G167" i="36"/>
  <c r="J166" i="36"/>
  <c r="I166" i="36"/>
  <c r="H166" i="36"/>
  <c r="G166" i="36"/>
  <c r="J165" i="36"/>
  <c r="I165" i="36"/>
  <c r="H165" i="36"/>
  <c r="G165" i="36"/>
  <c r="J164" i="36"/>
  <c r="I164" i="36"/>
  <c r="H164" i="36"/>
  <c r="G164" i="36"/>
  <c r="J163" i="36"/>
  <c r="I163" i="36"/>
  <c r="H163" i="36"/>
  <c r="G163" i="36"/>
  <c r="J162" i="36"/>
  <c r="I162" i="36"/>
  <c r="H162" i="36"/>
  <c r="G162" i="36"/>
  <c r="J161" i="36"/>
  <c r="I161" i="36"/>
  <c r="H161" i="36"/>
  <c r="G161" i="36"/>
  <c r="J160" i="36"/>
  <c r="I160" i="36"/>
  <c r="H160" i="36"/>
  <c r="G160" i="36"/>
  <c r="J159" i="36"/>
  <c r="I159" i="36"/>
  <c r="H159" i="36"/>
  <c r="G159" i="36"/>
  <c r="J158" i="36"/>
  <c r="I158" i="36"/>
  <c r="H158" i="36"/>
  <c r="G158" i="36"/>
  <c r="J157" i="36"/>
  <c r="I157" i="36"/>
  <c r="H157" i="36"/>
  <c r="G157" i="36"/>
  <c r="J156" i="36"/>
  <c r="I156" i="36"/>
  <c r="H156" i="36"/>
  <c r="G156" i="36"/>
  <c r="J155" i="36"/>
  <c r="I155" i="36"/>
  <c r="H155" i="36"/>
  <c r="G155" i="36"/>
  <c r="J154" i="36"/>
  <c r="I154" i="36"/>
  <c r="H154" i="36"/>
  <c r="G154" i="36"/>
  <c r="J153" i="36"/>
  <c r="I153" i="36"/>
  <c r="H153" i="36"/>
  <c r="G153" i="36"/>
  <c r="J152" i="36"/>
  <c r="I152" i="36"/>
  <c r="H152" i="36"/>
  <c r="G152" i="36"/>
  <c r="J151" i="36"/>
  <c r="I151" i="36"/>
  <c r="H151" i="36"/>
  <c r="G151" i="36"/>
  <c r="J150" i="36"/>
  <c r="I150" i="36"/>
  <c r="H150" i="36"/>
  <c r="G150" i="36"/>
  <c r="J149" i="36"/>
  <c r="I149" i="36"/>
  <c r="H149" i="36"/>
  <c r="G149" i="36"/>
  <c r="J148" i="36"/>
  <c r="I148" i="36"/>
  <c r="H148" i="36"/>
  <c r="G148" i="36"/>
  <c r="J147" i="36"/>
  <c r="I147" i="36"/>
  <c r="H147" i="36"/>
  <c r="G147" i="36"/>
  <c r="J146" i="36"/>
  <c r="I146" i="36"/>
  <c r="H146" i="36"/>
  <c r="G146" i="36"/>
  <c r="J145" i="36"/>
  <c r="I145" i="36"/>
  <c r="H145" i="36"/>
  <c r="G145" i="36"/>
  <c r="J144" i="36"/>
  <c r="I144" i="36"/>
  <c r="H144" i="36"/>
  <c r="G144" i="36"/>
  <c r="J143" i="36"/>
  <c r="I143" i="36"/>
  <c r="H143" i="36"/>
  <c r="G143" i="36"/>
  <c r="J142" i="36"/>
  <c r="I142" i="36"/>
  <c r="H142" i="36"/>
  <c r="G142" i="36"/>
  <c r="J141" i="36"/>
  <c r="I141" i="36"/>
  <c r="H141" i="36"/>
  <c r="G141" i="36"/>
  <c r="J140" i="36"/>
  <c r="I140" i="36"/>
  <c r="H140" i="36"/>
  <c r="G140" i="36"/>
  <c r="J139" i="36"/>
  <c r="I139" i="36"/>
  <c r="H139" i="36"/>
  <c r="G139" i="36"/>
  <c r="J138" i="36"/>
  <c r="I138" i="36"/>
  <c r="H138" i="36"/>
  <c r="G138" i="36"/>
  <c r="J137" i="36"/>
  <c r="I137" i="36"/>
  <c r="H137" i="36"/>
  <c r="G137" i="36"/>
  <c r="J136" i="36"/>
  <c r="I136" i="36"/>
  <c r="H136" i="36"/>
  <c r="G136" i="36"/>
  <c r="J135" i="36"/>
  <c r="I135" i="36"/>
  <c r="H135" i="36"/>
  <c r="G135" i="36"/>
  <c r="J134" i="36"/>
  <c r="I134" i="36"/>
  <c r="H134" i="36"/>
  <c r="G134" i="36"/>
  <c r="J133" i="36"/>
  <c r="I133" i="36"/>
  <c r="H133" i="36"/>
  <c r="G133" i="36"/>
  <c r="J132" i="36"/>
  <c r="I132" i="36"/>
  <c r="H132" i="36"/>
  <c r="G132" i="36"/>
  <c r="J131" i="36"/>
  <c r="I131" i="36"/>
  <c r="H131" i="36"/>
  <c r="G131" i="36"/>
  <c r="J130" i="36"/>
  <c r="I130" i="36"/>
  <c r="H130" i="36"/>
  <c r="G130" i="36"/>
  <c r="J129" i="36"/>
  <c r="I129" i="36"/>
  <c r="H129" i="36"/>
  <c r="G129" i="36"/>
  <c r="J128" i="36"/>
  <c r="I128" i="36"/>
  <c r="H128" i="36"/>
  <c r="G128" i="36"/>
  <c r="J127" i="36"/>
  <c r="I127" i="36"/>
  <c r="H127" i="36"/>
  <c r="G127" i="36"/>
  <c r="J126" i="36"/>
  <c r="I126" i="36"/>
  <c r="H126" i="36"/>
  <c r="G126" i="36"/>
  <c r="J125" i="36"/>
  <c r="I125" i="36"/>
  <c r="H125" i="36"/>
  <c r="G125" i="36"/>
  <c r="J124" i="36"/>
  <c r="I124" i="36"/>
  <c r="H124" i="36"/>
  <c r="G124" i="36"/>
  <c r="J123" i="36"/>
  <c r="I123" i="36"/>
  <c r="H123" i="36"/>
  <c r="G123" i="36"/>
  <c r="J122" i="36"/>
  <c r="I122" i="36"/>
  <c r="H122" i="36"/>
  <c r="G122" i="36"/>
  <c r="J121" i="36"/>
  <c r="I121" i="36"/>
  <c r="H121" i="36"/>
  <c r="G121" i="36"/>
  <c r="J120" i="36"/>
  <c r="I120" i="36"/>
  <c r="H120" i="36"/>
  <c r="G120" i="36"/>
  <c r="J119" i="36"/>
  <c r="I119" i="36"/>
  <c r="H119" i="36"/>
  <c r="G119" i="36"/>
  <c r="J118" i="36"/>
  <c r="I118" i="36"/>
  <c r="H118" i="36"/>
  <c r="G118" i="36"/>
  <c r="J117" i="36"/>
  <c r="I117" i="36"/>
  <c r="H117" i="36"/>
  <c r="G117" i="36"/>
  <c r="J116" i="36"/>
  <c r="I116" i="36"/>
  <c r="H116" i="36"/>
  <c r="G116" i="36"/>
  <c r="J115" i="36"/>
  <c r="I115" i="36"/>
  <c r="H115" i="36"/>
  <c r="G115" i="36"/>
  <c r="J114" i="36"/>
  <c r="I114" i="36"/>
  <c r="H114" i="36"/>
  <c r="G114" i="36"/>
  <c r="J113" i="36"/>
  <c r="I113" i="36"/>
  <c r="H113" i="36"/>
  <c r="G113" i="36"/>
  <c r="J112" i="36"/>
  <c r="I112" i="36"/>
  <c r="H112" i="36"/>
  <c r="G112" i="36"/>
  <c r="J111" i="36"/>
  <c r="I111" i="36"/>
  <c r="H111" i="36"/>
  <c r="G111" i="36"/>
  <c r="J110" i="36"/>
  <c r="I110" i="36"/>
  <c r="H110" i="36"/>
  <c r="G110" i="36"/>
  <c r="J109" i="36"/>
  <c r="I109" i="36"/>
  <c r="H109" i="36"/>
  <c r="G109" i="36"/>
  <c r="J108" i="36"/>
  <c r="I108" i="36"/>
  <c r="H108" i="36"/>
  <c r="G108" i="36"/>
  <c r="J107" i="36"/>
  <c r="I107" i="36"/>
  <c r="H107" i="36"/>
  <c r="G107" i="36"/>
  <c r="J106" i="36"/>
  <c r="I106" i="36"/>
  <c r="H106" i="36"/>
  <c r="G106" i="36"/>
  <c r="J105" i="36"/>
  <c r="I105" i="36"/>
  <c r="H105" i="36"/>
  <c r="G105" i="36"/>
  <c r="J104" i="36"/>
  <c r="I104" i="36"/>
  <c r="H104" i="36"/>
  <c r="G104" i="36"/>
  <c r="J103" i="36"/>
  <c r="I103" i="36"/>
  <c r="H103" i="36"/>
  <c r="G103" i="36"/>
  <c r="J102" i="36"/>
  <c r="I102" i="36"/>
  <c r="H102" i="36"/>
  <c r="G102" i="36"/>
  <c r="J101" i="36"/>
  <c r="I101" i="36"/>
  <c r="H101" i="36"/>
  <c r="G101" i="36"/>
  <c r="J100" i="36"/>
  <c r="I100" i="36"/>
  <c r="H100" i="36"/>
  <c r="G100" i="36"/>
  <c r="J99" i="36"/>
  <c r="I99" i="36"/>
  <c r="H99" i="36"/>
  <c r="G99" i="36"/>
  <c r="J98" i="36"/>
  <c r="I98" i="36"/>
  <c r="H98" i="36"/>
  <c r="G98" i="36"/>
  <c r="J97" i="36"/>
  <c r="I97" i="36"/>
  <c r="H97" i="36"/>
  <c r="G97" i="36"/>
  <c r="J96" i="36"/>
  <c r="I96" i="36"/>
  <c r="H96" i="36"/>
  <c r="G96" i="36"/>
  <c r="J95" i="36"/>
  <c r="I95" i="36"/>
  <c r="H95" i="36"/>
  <c r="G95" i="36"/>
  <c r="J94" i="36"/>
  <c r="I94" i="36"/>
  <c r="H94" i="36"/>
  <c r="G94" i="36"/>
  <c r="J93" i="36"/>
  <c r="I93" i="36"/>
  <c r="H93" i="36"/>
  <c r="G93" i="36"/>
  <c r="J92" i="36"/>
  <c r="I92" i="36"/>
  <c r="H92" i="36"/>
  <c r="G92" i="36"/>
  <c r="J91" i="36"/>
  <c r="I91" i="36"/>
  <c r="H91" i="36"/>
  <c r="G91" i="36"/>
  <c r="J90" i="36"/>
  <c r="I90" i="36"/>
  <c r="H90" i="36"/>
  <c r="G90" i="36"/>
  <c r="J89" i="36"/>
  <c r="I89" i="36"/>
  <c r="H89" i="36"/>
  <c r="G89" i="36"/>
  <c r="J88" i="36"/>
  <c r="I88" i="36"/>
  <c r="H88" i="36"/>
  <c r="G88" i="36"/>
  <c r="J87" i="36"/>
  <c r="I87" i="36"/>
  <c r="H87" i="36"/>
  <c r="G87" i="36"/>
  <c r="J86" i="36"/>
  <c r="I86" i="36"/>
  <c r="H86" i="36"/>
  <c r="G86" i="36"/>
  <c r="J85" i="36"/>
  <c r="I85" i="36"/>
  <c r="H85" i="36"/>
  <c r="G85" i="36"/>
  <c r="J84" i="36"/>
  <c r="I84" i="36"/>
  <c r="H84" i="36"/>
  <c r="G84" i="36"/>
  <c r="J83" i="36"/>
  <c r="I83" i="36"/>
  <c r="H83" i="36"/>
  <c r="G83" i="36"/>
  <c r="J82" i="36"/>
  <c r="I82" i="36"/>
  <c r="H82" i="36"/>
  <c r="G82" i="36"/>
  <c r="J81" i="36"/>
  <c r="I81" i="36"/>
  <c r="H81" i="36"/>
  <c r="G81" i="36"/>
  <c r="J80" i="36"/>
  <c r="I80" i="36"/>
  <c r="H80" i="36"/>
  <c r="G80" i="36"/>
  <c r="J79" i="36"/>
  <c r="I79" i="36"/>
  <c r="H79" i="36"/>
  <c r="G79" i="36"/>
  <c r="J78" i="36"/>
  <c r="I78" i="36"/>
  <c r="H78" i="36"/>
  <c r="G78" i="36"/>
  <c r="J77" i="36"/>
  <c r="I77" i="36"/>
  <c r="H77" i="36"/>
  <c r="G77" i="36"/>
  <c r="J76" i="36"/>
  <c r="I76" i="36"/>
  <c r="H76" i="36"/>
  <c r="G76" i="36"/>
  <c r="J75" i="36"/>
  <c r="I75" i="36"/>
  <c r="H75" i="36"/>
  <c r="G75" i="36"/>
  <c r="J74" i="36"/>
  <c r="I74" i="36"/>
  <c r="H74" i="36"/>
  <c r="G74" i="36"/>
  <c r="J73" i="36"/>
  <c r="I73" i="36"/>
  <c r="H73" i="36"/>
  <c r="G73" i="36"/>
  <c r="J72" i="36"/>
  <c r="I72" i="36"/>
  <c r="H72" i="36"/>
  <c r="G72" i="36"/>
  <c r="J71" i="36"/>
  <c r="I71" i="36"/>
  <c r="H71" i="36"/>
  <c r="G71" i="36"/>
  <c r="J70" i="36"/>
  <c r="I70" i="36"/>
  <c r="H70" i="36"/>
  <c r="G70" i="36"/>
  <c r="J69" i="36"/>
  <c r="I69" i="36"/>
  <c r="H69" i="36"/>
  <c r="G69" i="36"/>
  <c r="J68" i="36"/>
  <c r="I68" i="36"/>
  <c r="H68" i="36"/>
  <c r="G68" i="36"/>
  <c r="J67" i="36"/>
  <c r="I67" i="36"/>
  <c r="H67" i="36"/>
  <c r="G67" i="36"/>
  <c r="J66" i="36"/>
  <c r="I66" i="36"/>
  <c r="H66" i="36"/>
  <c r="G66" i="36"/>
  <c r="J65" i="36"/>
  <c r="I65" i="36"/>
  <c r="H65" i="36"/>
  <c r="G65" i="36"/>
  <c r="J64" i="36"/>
  <c r="I64" i="36"/>
  <c r="H64" i="36"/>
  <c r="G64" i="36"/>
  <c r="J63" i="36"/>
  <c r="I63" i="36"/>
  <c r="H63" i="36"/>
  <c r="G63" i="36"/>
  <c r="J62" i="36"/>
  <c r="I62" i="36"/>
  <c r="H62" i="36"/>
  <c r="G62" i="36"/>
  <c r="J61" i="36"/>
  <c r="I61" i="36"/>
  <c r="H61" i="36"/>
  <c r="G61" i="36"/>
  <c r="J60" i="36"/>
  <c r="I60" i="36"/>
  <c r="H60" i="36"/>
  <c r="G60" i="36"/>
  <c r="J59" i="36"/>
  <c r="I59" i="36"/>
  <c r="H59" i="36"/>
  <c r="G59" i="36"/>
  <c r="J58" i="36"/>
  <c r="I58" i="36"/>
  <c r="H58" i="36"/>
  <c r="G58" i="36"/>
  <c r="J57" i="36"/>
  <c r="I57" i="36"/>
  <c r="H57" i="36"/>
  <c r="G57" i="36"/>
  <c r="J56" i="36"/>
  <c r="I56" i="36"/>
  <c r="H56" i="36"/>
  <c r="G56" i="36"/>
  <c r="J55" i="36"/>
  <c r="I55" i="36"/>
  <c r="H55" i="36"/>
  <c r="G55" i="36"/>
  <c r="J54" i="36"/>
  <c r="I54" i="36"/>
  <c r="H54" i="36"/>
  <c r="G54" i="36"/>
  <c r="J53" i="36"/>
  <c r="I53" i="36"/>
  <c r="H53" i="36"/>
  <c r="G53" i="36"/>
  <c r="J52" i="36"/>
  <c r="I52" i="36"/>
  <c r="H52" i="36"/>
  <c r="G52" i="36"/>
  <c r="J51" i="36"/>
  <c r="I51" i="36"/>
  <c r="H51" i="36"/>
  <c r="G51" i="36"/>
  <c r="J50" i="36"/>
  <c r="I50" i="36"/>
  <c r="H50" i="36"/>
  <c r="G50" i="36"/>
  <c r="J49" i="36"/>
  <c r="I49" i="36"/>
  <c r="H49" i="36"/>
  <c r="G49" i="36"/>
  <c r="J48" i="36"/>
  <c r="I48" i="36"/>
  <c r="H48" i="36"/>
  <c r="G48" i="36"/>
  <c r="J47" i="36"/>
  <c r="I47" i="36"/>
  <c r="H47" i="36"/>
  <c r="G47" i="36"/>
  <c r="J46" i="36"/>
  <c r="I46" i="36"/>
  <c r="H46" i="36"/>
  <c r="G46" i="36"/>
  <c r="J45" i="36"/>
  <c r="I45" i="36"/>
  <c r="H45" i="36"/>
  <c r="G45" i="36"/>
  <c r="J44" i="36"/>
  <c r="I44" i="36"/>
  <c r="H44" i="36"/>
  <c r="G44" i="36"/>
  <c r="J43" i="36"/>
  <c r="I43" i="36"/>
  <c r="H43" i="36"/>
  <c r="G43" i="36"/>
  <c r="J42" i="36"/>
  <c r="I42" i="36"/>
  <c r="H42" i="36"/>
  <c r="G42" i="36"/>
  <c r="J41" i="36"/>
  <c r="I41" i="36"/>
  <c r="H41" i="36"/>
  <c r="G41" i="36"/>
  <c r="J40" i="36"/>
  <c r="I40" i="36"/>
  <c r="H40" i="36"/>
  <c r="G40" i="36"/>
  <c r="J39" i="36"/>
  <c r="I39" i="36"/>
  <c r="H39" i="36"/>
  <c r="G39" i="36"/>
  <c r="J38" i="36"/>
  <c r="I38" i="36"/>
  <c r="H38" i="36"/>
  <c r="G38" i="36"/>
  <c r="J37" i="36"/>
  <c r="I37" i="36"/>
  <c r="H37" i="36"/>
  <c r="G37" i="36"/>
  <c r="J36" i="36"/>
  <c r="I36" i="36"/>
  <c r="H36" i="36"/>
  <c r="G36" i="36"/>
  <c r="J35" i="36"/>
  <c r="I35" i="36"/>
  <c r="H35" i="36"/>
  <c r="G35" i="36"/>
  <c r="J34" i="36"/>
  <c r="I34" i="36"/>
  <c r="H34" i="36"/>
  <c r="G34" i="36"/>
  <c r="J33" i="36"/>
  <c r="I33" i="36"/>
  <c r="H33" i="36"/>
  <c r="G33" i="36"/>
  <c r="J32" i="36"/>
  <c r="I32" i="36"/>
  <c r="H32" i="36"/>
  <c r="G32" i="36"/>
  <c r="J31" i="36"/>
  <c r="I31" i="36"/>
  <c r="H31" i="36"/>
  <c r="G31" i="36"/>
  <c r="J30" i="36"/>
  <c r="I30" i="36"/>
  <c r="H30" i="36"/>
  <c r="G30" i="36"/>
  <c r="J29" i="36"/>
  <c r="I29" i="36"/>
  <c r="H29" i="36"/>
  <c r="G29" i="36"/>
  <c r="J28" i="36"/>
  <c r="I28" i="36"/>
  <c r="H28" i="36"/>
  <c r="G28" i="36"/>
  <c r="J27" i="36"/>
  <c r="I27" i="36"/>
  <c r="H27" i="36"/>
  <c r="G27" i="36"/>
  <c r="J26" i="36"/>
  <c r="I26" i="36"/>
  <c r="H26" i="36"/>
  <c r="G26" i="36"/>
  <c r="J25" i="36"/>
  <c r="I25" i="36"/>
  <c r="H25" i="36"/>
  <c r="G25" i="36"/>
  <c r="J24" i="36"/>
  <c r="I24" i="36"/>
  <c r="H24" i="36"/>
  <c r="G24" i="36"/>
  <c r="J23" i="36"/>
  <c r="I23" i="36"/>
  <c r="H23" i="36"/>
  <c r="G23" i="36"/>
  <c r="J22" i="36"/>
  <c r="I22" i="36"/>
  <c r="H22" i="36"/>
  <c r="G22" i="36"/>
  <c r="J21" i="36"/>
  <c r="I21" i="36"/>
  <c r="H21" i="36"/>
  <c r="G21" i="36"/>
  <c r="J20" i="36"/>
  <c r="I20" i="36"/>
  <c r="H20" i="36"/>
  <c r="G20" i="36"/>
  <c r="J19" i="36"/>
  <c r="I19" i="36"/>
  <c r="H19" i="36"/>
  <c r="G19" i="36"/>
  <c r="J18" i="36"/>
  <c r="I18" i="36"/>
  <c r="H18" i="36"/>
  <c r="G18" i="36"/>
  <c r="J17" i="36"/>
  <c r="I17" i="36"/>
  <c r="H17" i="36"/>
  <c r="G17" i="36"/>
  <c r="J16" i="36"/>
  <c r="I16" i="36"/>
  <c r="H16" i="36"/>
  <c r="G16" i="36"/>
  <c r="J15" i="36"/>
  <c r="I15" i="36"/>
  <c r="H15" i="36"/>
  <c r="G15" i="36"/>
  <c r="J14" i="36"/>
  <c r="I14" i="36"/>
  <c r="H14" i="36"/>
  <c r="G14" i="36"/>
  <c r="J13" i="36"/>
  <c r="I13" i="36"/>
  <c r="H13" i="36"/>
  <c r="G13" i="36"/>
  <c r="J12" i="36"/>
  <c r="I12" i="36"/>
  <c r="H12" i="36"/>
  <c r="G12" i="36"/>
  <c r="J11" i="36"/>
  <c r="I11" i="36"/>
  <c r="H11" i="36"/>
  <c r="G11" i="36"/>
  <c r="J10" i="36"/>
  <c r="I10" i="36"/>
  <c r="H10" i="36"/>
  <c r="G10" i="36"/>
  <c r="J9" i="36"/>
  <c r="I9" i="36"/>
  <c r="H9" i="36"/>
  <c r="G9" i="36"/>
  <c r="J8" i="36"/>
  <c r="I8" i="36"/>
  <c r="H8" i="36"/>
  <c r="G8" i="36"/>
  <c r="J7" i="36"/>
  <c r="I7" i="36"/>
  <c r="H7" i="36"/>
  <c r="G7" i="36"/>
  <c r="J6" i="36"/>
  <c r="I6" i="36"/>
  <c r="H6" i="36"/>
  <c r="G6" i="36"/>
  <c r="J5" i="36"/>
  <c r="I5" i="36"/>
  <c r="H5" i="36"/>
  <c r="G5" i="36"/>
  <c r="J383" i="35"/>
  <c r="I383" i="35"/>
  <c r="H383" i="35"/>
  <c r="G383" i="35"/>
  <c r="F383" i="35"/>
  <c r="J382" i="35"/>
  <c r="I382" i="35"/>
  <c r="H382" i="35"/>
  <c r="G382" i="35"/>
  <c r="F382" i="35"/>
  <c r="AA180" i="25" s="1"/>
  <c r="J379" i="35"/>
  <c r="I379" i="35"/>
  <c r="H379" i="35"/>
  <c r="G379" i="35"/>
  <c r="E379" i="35"/>
  <c r="F379" i="35" s="1"/>
  <c r="J378" i="35"/>
  <c r="I378" i="35"/>
  <c r="H378" i="35"/>
  <c r="G378" i="35"/>
  <c r="F378" i="35"/>
  <c r="AA56" i="25" s="1"/>
  <c r="J375" i="35"/>
  <c r="I375" i="35"/>
  <c r="H375" i="35"/>
  <c r="G375" i="35"/>
  <c r="F375" i="35"/>
  <c r="J374" i="35"/>
  <c r="I374" i="35"/>
  <c r="H374" i="35"/>
  <c r="G374" i="35"/>
  <c r="F374" i="35"/>
  <c r="J373" i="35"/>
  <c r="I373" i="35"/>
  <c r="H373" i="35"/>
  <c r="G373" i="35"/>
  <c r="F373" i="35"/>
  <c r="J372" i="35"/>
  <c r="I372" i="35"/>
  <c r="H372" i="35"/>
  <c r="G372" i="35"/>
  <c r="F372" i="35"/>
  <c r="J371" i="35"/>
  <c r="I371" i="35"/>
  <c r="H371" i="35"/>
  <c r="G371" i="35"/>
  <c r="F371" i="35"/>
  <c r="J370" i="35"/>
  <c r="I370" i="35"/>
  <c r="H370" i="35"/>
  <c r="G370" i="35"/>
  <c r="F370" i="35"/>
  <c r="J369" i="35"/>
  <c r="I369" i="35"/>
  <c r="H369" i="35"/>
  <c r="G369" i="35"/>
  <c r="F369" i="35"/>
  <c r="J368" i="35"/>
  <c r="I368" i="35"/>
  <c r="H368" i="35"/>
  <c r="G368" i="35"/>
  <c r="F368" i="35"/>
  <c r="J367" i="35"/>
  <c r="I367" i="35"/>
  <c r="H367" i="35"/>
  <c r="G367" i="35"/>
  <c r="F367" i="35"/>
  <c r="J366" i="35"/>
  <c r="I366" i="35"/>
  <c r="H366" i="35"/>
  <c r="G366" i="35"/>
  <c r="F366" i="35"/>
  <c r="J365" i="35"/>
  <c r="I365" i="35"/>
  <c r="H365" i="35"/>
  <c r="G365" i="35"/>
  <c r="F365" i="35"/>
  <c r="J364" i="35"/>
  <c r="I364" i="35"/>
  <c r="H364" i="35"/>
  <c r="G364" i="35"/>
  <c r="F364" i="35"/>
  <c r="J363" i="35"/>
  <c r="I363" i="35"/>
  <c r="H363" i="35"/>
  <c r="G363" i="35"/>
  <c r="F363" i="35"/>
  <c r="J362" i="35"/>
  <c r="I362" i="35"/>
  <c r="H362" i="35"/>
  <c r="G362" i="35"/>
  <c r="F362" i="35"/>
  <c r="J361" i="35"/>
  <c r="I361" i="35"/>
  <c r="H361" i="35"/>
  <c r="G361" i="35"/>
  <c r="F361" i="35"/>
  <c r="J360" i="35"/>
  <c r="I360" i="35"/>
  <c r="H360" i="35"/>
  <c r="G360" i="35"/>
  <c r="F360" i="35"/>
  <c r="J359" i="35"/>
  <c r="I359" i="35"/>
  <c r="H359" i="35"/>
  <c r="G359" i="35"/>
  <c r="F359" i="35"/>
  <c r="J358" i="35"/>
  <c r="I358" i="35"/>
  <c r="H358" i="35"/>
  <c r="G358" i="35"/>
  <c r="F358" i="35"/>
  <c r="J357" i="35"/>
  <c r="I357" i="35"/>
  <c r="H357" i="35"/>
  <c r="G357" i="35"/>
  <c r="F357" i="35"/>
  <c r="J356" i="35"/>
  <c r="I356" i="35"/>
  <c r="H356" i="35"/>
  <c r="G356" i="35"/>
  <c r="F356" i="35"/>
  <c r="J355" i="35"/>
  <c r="I355" i="35"/>
  <c r="H355" i="35"/>
  <c r="G355" i="35"/>
  <c r="F355" i="35"/>
  <c r="J354" i="35"/>
  <c r="I354" i="35"/>
  <c r="H354" i="35"/>
  <c r="G354" i="35"/>
  <c r="F354" i="35"/>
  <c r="J353" i="35"/>
  <c r="I353" i="35"/>
  <c r="H353" i="35"/>
  <c r="G353" i="35"/>
  <c r="F353" i="35"/>
  <c r="J352" i="35"/>
  <c r="I352" i="35"/>
  <c r="H352" i="35"/>
  <c r="G352" i="35"/>
  <c r="F352" i="35"/>
  <c r="J351" i="35"/>
  <c r="I351" i="35"/>
  <c r="H351" i="35"/>
  <c r="G351" i="35"/>
  <c r="F351" i="35"/>
  <c r="J350" i="35"/>
  <c r="I350" i="35"/>
  <c r="H350" i="35"/>
  <c r="G350" i="35"/>
  <c r="F350" i="35"/>
  <c r="J349" i="35"/>
  <c r="I349" i="35"/>
  <c r="H349" i="35"/>
  <c r="G349" i="35"/>
  <c r="F349" i="35"/>
  <c r="J348" i="35"/>
  <c r="I348" i="35"/>
  <c r="H348" i="35"/>
  <c r="G348" i="35"/>
  <c r="F348" i="35"/>
  <c r="J347" i="35"/>
  <c r="I347" i="35"/>
  <c r="H347" i="35"/>
  <c r="G347" i="35"/>
  <c r="F347" i="35"/>
  <c r="J346" i="35"/>
  <c r="I346" i="35"/>
  <c r="H346" i="35"/>
  <c r="G346" i="35"/>
  <c r="F346" i="35"/>
  <c r="J345" i="35"/>
  <c r="I345" i="35"/>
  <c r="H345" i="35"/>
  <c r="G345" i="35"/>
  <c r="F345" i="35"/>
  <c r="J344" i="35"/>
  <c r="I344" i="35"/>
  <c r="H344" i="35"/>
  <c r="G344" i="35"/>
  <c r="F344" i="35"/>
  <c r="J343" i="35"/>
  <c r="I343" i="35"/>
  <c r="H343" i="35"/>
  <c r="G343" i="35"/>
  <c r="F343" i="35"/>
  <c r="J342" i="35"/>
  <c r="I342" i="35"/>
  <c r="H342" i="35"/>
  <c r="G342" i="35"/>
  <c r="F342" i="35"/>
  <c r="J341" i="35"/>
  <c r="I341" i="35"/>
  <c r="H341" i="35"/>
  <c r="G341" i="35"/>
  <c r="F341" i="35"/>
  <c r="J340" i="35"/>
  <c r="I340" i="35"/>
  <c r="H340" i="35"/>
  <c r="G340" i="35"/>
  <c r="F340" i="35"/>
  <c r="J339" i="35"/>
  <c r="I339" i="35"/>
  <c r="H339" i="35"/>
  <c r="G339" i="35"/>
  <c r="F339" i="35"/>
  <c r="J338" i="35"/>
  <c r="I338" i="35"/>
  <c r="H338" i="35"/>
  <c r="G338" i="35"/>
  <c r="F338" i="35"/>
  <c r="J337" i="35"/>
  <c r="I337" i="35"/>
  <c r="H337" i="35"/>
  <c r="G337" i="35"/>
  <c r="F337" i="35"/>
  <c r="J336" i="35"/>
  <c r="I336" i="35"/>
  <c r="H336" i="35"/>
  <c r="G336" i="35"/>
  <c r="F336" i="35"/>
  <c r="J335" i="35"/>
  <c r="I335" i="35"/>
  <c r="H335" i="35"/>
  <c r="G335" i="35"/>
  <c r="F335" i="35"/>
  <c r="J334" i="35"/>
  <c r="I334" i="35"/>
  <c r="H334" i="35"/>
  <c r="G334" i="35"/>
  <c r="F334" i="35"/>
  <c r="J333" i="35"/>
  <c r="I333" i="35"/>
  <c r="H333" i="35"/>
  <c r="G333" i="35"/>
  <c r="F333" i="35"/>
  <c r="J332" i="35"/>
  <c r="I332" i="35"/>
  <c r="H332" i="35"/>
  <c r="G332" i="35"/>
  <c r="F332" i="35"/>
  <c r="J331" i="35"/>
  <c r="I331" i="35"/>
  <c r="H331" i="35"/>
  <c r="G331" i="35"/>
  <c r="F331" i="35"/>
  <c r="J330" i="35"/>
  <c r="I330" i="35"/>
  <c r="H330" i="35"/>
  <c r="G330" i="35"/>
  <c r="F330" i="35"/>
  <c r="J329" i="35"/>
  <c r="I329" i="35"/>
  <c r="H329" i="35"/>
  <c r="G329" i="35"/>
  <c r="F329" i="35"/>
  <c r="J328" i="35"/>
  <c r="I328" i="35"/>
  <c r="H328" i="35"/>
  <c r="G328" i="35"/>
  <c r="F328" i="35"/>
  <c r="J327" i="35"/>
  <c r="I327" i="35"/>
  <c r="H327" i="35"/>
  <c r="G327" i="35"/>
  <c r="F327" i="35"/>
  <c r="J326" i="35"/>
  <c r="I326" i="35"/>
  <c r="H326" i="35"/>
  <c r="G326" i="35"/>
  <c r="F326" i="35"/>
  <c r="J325" i="35"/>
  <c r="I325" i="35"/>
  <c r="H325" i="35"/>
  <c r="G325" i="35"/>
  <c r="F325" i="35"/>
  <c r="J324" i="35"/>
  <c r="I324" i="35"/>
  <c r="H324" i="35"/>
  <c r="G324" i="35"/>
  <c r="F324" i="35"/>
  <c r="J323" i="35"/>
  <c r="I323" i="35"/>
  <c r="H323" i="35"/>
  <c r="G323" i="35"/>
  <c r="F323" i="35"/>
  <c r="J322" i="35"/>
  <c r="I322" i="35"/>
  <c r="H322" i="35"/>
  <c r="G322" i="35"/>
  <c r="F322" i="35"/>
  <c r="J321" i="35"/>
  <c r="I321" i="35"/>
  <c r="H321" i="35"/>
  <c r="G321" i="35"/>
  <c r="F321" i="35"/>
  <c r="J320" i="35"/>
  <c r="I320" i="35"/>
  <c r="H320" i="35"/>
  <c r="G320" i="35"/>
  <c r="F320" i="35"/>
  <c r="J319" i="35"/>
  <c r="I319" i="35"/>
  <c r="H319" i="35"/>
  <c r="G319" i="35"/>
  <c r="F319" i="35"/>
  <c r="J318" i="35"/>
  <c r="I318" i="35"/>
  <c r="H318" i="35"/>
  <c r="G318" i="35"/>
  <c r="F318" i="35"/>
  <c r="J317" i="35"/>
  <c r="I317" i="35"/>
  <c r="H317" i="35"/>
  <c r="G317" i="35"/>
  <c r="F317" i="35"/>
  <c r="J316" i="35"/>
  <c r="I316" i="35"/>
  <c r="H316" i="35"/>
  <c r="G316" i="35"/>
  <c r="F316" i="35"/>
  <c r="J315" i="35"/>
  <c r="I315" i="35"/>
  <c r="H315" i="35"/>
  <c r="G315" i="35"/>
  <c r="F315" i="35"/>
  <c r="J314" i="35"/>
  <c r="I314" i="35"/>
  <c r="H314" i="35"/>
  <c r="G314" i="35"/>
  <c r="F314" i="35"/>
  <c r="J313" i="35"/>
  <c r="I313" i="35"/>
  <c r="H313" i="35"/>
  <c r="G313" i="35"/>
  <c r="F313" i="35"/>
  <c r="J312" i="35"/>
  <c r="I312" i="35"/>
  <c r="H312" i="35"/>
  <c r="G312" i="35"/>
  <c r="F312" i="35"/>
  <c r="J311" i="35"/>
  <c r="I311" i="35"/>
  <c r="H311" i="35"/>
  <c r="G311" i="35"/>
  <c r="F311" i="35"/>
  <c r="J310" i="35"/>
  <c r="I310" i="35"/>
  <c r="H310" i="35"/>
  <c r="G310" i="35"/>
  <c r="F310" i="35"/>
  <c r="J309" i="35"/>
  <c r="I309" i="35"/>
  <c r="H309" i="35"/>
  <c r="G309" i="35"/>
  <c r="F309" i="35"/>
  <c r="J308" i="35"/>
  <c r="I308" i="35"/>
  <c r="H308" i="35"/>
  <c r="G308" i="35"/>
  <c r="F308" i="35"/>
  <c r="J307" i="35"/>
  <c r="I307" i="35"/>
  <c r="H307" i="35"/>
  <c r="G307" i="35"/>
  <c r="F307" i="35"/>
  <c r="J306" i="35"/>
  <c r="I306" i="35"/>
  <c r="H306" i="35"/>
  <c r="G306" i="35"/>
  <c r="F306" i="35"/>
  <c r="J305" i="35"/>
  <c r="I305" i="35"/>
  <c r="H305" i="35"/>
  <c r="G305" i="35"/>
  <c r="F305" i="35"/>
  <c r="J304" i="35"/>
  <c r="I304" i="35"/>
  <c r="H304" i="35"/>
  <c r="G304" i="35"/>
  <c r="F304" i="35"/>
  <c r="J303" i="35"/>
  <c r="I303" i="35"/>
  <c r="H303" i="35"/>
  <c r="G303" i="35"/>
  <c r="F303" i="35"/>
  <c r="J302" i="35"/>
  <c r="I302" i="35"/>
  <c r="H302" i="35"/>
  <c r="G302" i="35"/>
  <c r="F302" i="35"/>
  <c r="J301" i="35"/>
  <c r="I301" i="35"/>
  <c r="H301" i="35"/>
  <c r="G301" i="35"/>
  <c r="F301" i="35"/>
  <c r="J300" i="35"/>
  <c r="I300" i="35"/>
  <c r="H300" i="35"/>
  <c r="G300" i="35"/>
  <c r="F300" i="35"/>
  <c r="J299" i="35"/>
  <c r="I299" i="35"/>
  <c r="H299" i="35"/>
  <c r="G299" i="35"/>
  <c r="F299" i="35"/>
  <c r="J298" i="35"/>
  <c r="I298" i="35"/>
  <c r="H298" i="35"/>
  <c r="G298" i="35"/>
  <c r="F298" i="35"/>
  <c r="J297" i="35"/>
  <c r="I297" i="35"/>
  <c r="H297" i="35"/>
  <c r="G297" i="35"/>
  <c r="F297" i="35"/>
  <c r="J296" i="35"/>
  <c r="I296" i="35"/>
  <c r="H296" i="35"/>
  <c r="G296" i="35"/>
  <c r="F296" i="35"/>
  <c r="J295" i="35"/>
  <c r="I295" i="35"/>
  <c r="H295" i="35"/>
  <c r="G295" i="35"/>
  <c r="F295" i="35"/>
  <c r="J294" i="35"/>
  <c r="I294" i="35"/>
  <c r="H294" i="35"/>
  <c r="G294" i="35"/>
  <c r="F294" i="35"/>
  <c r="J293" i="35"/>
  <c r="I293" i="35"/>
  <c r="H293" i="35"/>
  <c r="G293" i="35"/>
  <c r="F293" i="35"/>
  <c r="J292" i="35"/>
  <c r="I292" i="35"/>
  <c r="H292" i="35"/>
  <c r="G292" i="35"/>
  <c r="F292" i="35"/>
  <c r="J291" i="35"/>
  <c r="I291" i="35"/>
  <c r="H291" i="35"/>
  <c r="G291" i="35"/>
  <c r="F291" i="35"/>
  <c r="J290" i="35"/>
  <c r="I290" i="35"/>
  <c r="H290" i="35"/>
  <c r="G290" i="35"/>
  <c r="F290" i="35"/>
  <c r="J289" i="35"/>
  <c r="I289" i="35"/>
  <c r="H289" i="35"/>
  <c r="G289" i="35"/>
  <c r="F289" i="35"/>
  <c r="J288" i="35"/>
  <c r="I288" i="35"/>
  <c r="H288" i="35"/>
  <c r="G288" i="35"/>
  <c r="F288" i="35"/>
  <c r="J287" i="35"/>
  <c r="I287" i="35"/>
  <c r="H287" i="35"/>
  <c r="G287" i="35"/>
  <c r="F287" i="35"/>
  <c r="J286" i="35"/>
  <c r="I286" i="35"/>
  <c r="H286" i="35"/>
  <c r="G286" i="35"/>
  <c r="F286" i="35"/>
  <c r="J285" i="35"/>
  <c r="I285" i="35"/>
  <c r="H285" i="35"/>
  <c r="G285" i="35"/>
  <c r="F285" i="35"/>
  <c r="J284" i="35"/>
  <c r="I284" i="35"/>
  <c r="H284" i="35"/>
  <c r="G284" i="35"/>
  <c r="F284" i="35"/>
  <c r="J283" i="35"/>
  <c r="I283" i="35"/>
  <c r="H283" i="35"/>
  <c r="G283" i="35"/>
  <c r="F283" i="35"/>
  <c r="J282" i="35"/>
  <c r="I282" i="35"/>
  <c r="H282" i="35"/>
  <c r="G282" i="35"/>
  <c r="F282" i="35"/>
  <c r="J281" i="35"/>
  <c r="I281" i="35"/>
  <c r="H281" i="35"/>
  <c r="G281" i="35"/>
  <c r="F281" i="35"/>
  <c r="J280" i="35"/>
  <c r="I280" i="35"/>
  <c r="H280" i="35"/>
  <c r="G280" i="35"/>
  <c r="F280" i="35"/>
  <c r="J279" i="35"/>
  <c r="I279" i="35"/>
  <c r="H279" i="35"/>
  <c r="G279" i="35"/>
  <c r="F279" i="35"/>
  <c r="J278" i="35"/>
  <c r="I278" i="35"/>
  <c r="H278" i="35"/>
  <c r="G278" i="35"/>
  <c r="F278" i="35"/>
  <c r="J277" i="35"/>
  <c r="I277" i="35"/>
  <c r="H277" i="35"/>
  <c r="G277" i="35"/>
  <c r="F277" i="35"/>
  <c r="J276" i="35"/>
  <c r="I276" i="35"/>
  <c r="H276" i="35"/>
  <c r="G276" i="35"/>
  <c r="F276" i="35"/>
  <c r="J275" i="35"/>
  <c r="I275" i="35"/>
  <c r="H275" i="35"/>
  <c r="G275" i="35"/>
  <c r="F275" i="35"/>
  <c r="J274" i="35"/>
  <c r="I274" i="35"/>
  <c r="H274" i="35"/>
  <c r="G274" i="35"/>
  <c r="F274" i="35"/>
  <c r="J273" i="35"/>
  <c r="I273" i="35"/>
  <c r="H273" i="35"/>
  <c r="G273" i="35"/>
  <c r="F273" i="35"/>
  <c r="J272" i="35"/>
  <c r="I272" i="35"/>
  <c r="H272" i="35"/>
  <c r="G272" i="35"/>
  <c r="F272" i="35"/>
  <c r="J271" i="35"/>
  <c r="I271" i="35"/>
  <c r="H271" i="35"/>
  <c r="G271" i="35"/>
  <c r="F271" i="35"/>
  <c r="J270" i="35"/>
  <c r="I270" i="35"/>
  <c r="H270" i="35"/>
  <c r="G270" i="35"/>
  <c r="F270" i="35"/>
  <c r="J269" i="35"/>
  <c r="I269" i="35"/>
  <c r="H269" i="35"/>
  <c r="G269" i="35"/>
  <c r="F269" i="35"/>
  <c r="J268" i="35"/>
  <c r="I268" i="35"/>
  <c r="H268" i="35"/>
  <c r="G268" i="35"/>
  <c r="F268" i="35"/>
  <c r="J267" i="35"/>
  <c r="I267" i="35"/>
  <c r="H267" i="35"/>
  <c r="G267" i="35"/>
  <c r="F267" i="35"/>
  <c r="J266" i="35"/>
  <c r="I266" i="35"/>
  <c r="H266" i="35"/>
  <c r="G266" i="35"/>
  <c r="F266" i="35"/>
  <c r="J265" i="35"/>
  <c r="I265" i="35"/>
  <c r="H265" i="35"/>
  <c r="G265" i="35"/>
  <c r="F265" i="35"/>
  <c r="J264" i="35"/>
  <c r="I264" i="35"/>
  <c r="H264" i="35"/>
  <c r="G264" i="35"/>
  <c r="F264" i="35"/>
  <c r="J263" i="35"/>
  <c r="I263" i="35"/>
  <c r="H263" i="35"/>
  <c r="G263" i="35"/>
  <c r="F263" i="35"/>
  <c r="J262" i="35"/>
  <c r="I262" i="35"/>
  <c r="H262" i="35"/>
  <c r="G262" i="35"/>
  <c r="F262" i="35"/>
  <c r="J261" i="35"/>
  <c r="I261" i="35"/>
  <c r="H261" i="35"/>
  <c r="G261" i="35"/>
  <c r="F261" i="35"/>
  <c r="J260" i="35"/>
  <c r="I260" i="35"/>
  <c r="H260" i="35"/>
  <c r="G260" i="35"/>
  <c r="F260" i="35"/>
  <c r="J259" i="35"/>
  <c r="I259" i="35"/>
  <c r="H259" i="35"/>
  <c r="G259" i="35"/>
  <c r="F259" i="35"/>
  <c r="J258" i="35"/>
  <c r="I258" i="35"/>
  <c r="H258" i="35"/>
  <c r="G258" i="35"/>
  <c r="F258" i="35"/>
  <c r="J257" i="35"/>
  <c r="I257" i="35"/>
  <c r="H257" i="35"/>
  <c r="G257" i="35"/>
  <c r="F257" i="35"/>
  <c r="J256" i="35"/>
  <c r="I256" i="35"/>
  <c r="H256" i="35"/>
  <c r="G256" i="35"/>
  <c r="F256" i="35"/>
  <c r="J255" i="35"/>
  <c r="I255" i="35"/>
  <c r="H255" i="35"/>
  <c r="G255" i="35"/>
  <c r="F255" i="35"/>
  <c r="J254" i="35"/>
  <c r="I254" i="35"/>
  <c r="H254" i="35"/>
  <c r="G254" i="35"/>
  <c r="F254" i="35"/>
  <c r="F251" i="35"/>
  <c r="E251" i="35"/>
  <c r="D251" i="35"/>
  <c r="C251" i="35"/>
  <c r="J249" i="35"/>
  <c r="I249" i="35"/>
  <c r="H249" i="35"/>
  <c r="G249" i="35"/>
  <c r="J248" i="35"/>
  <c r="I248" i="35"/>
  <c r="H248" i="35"/>
  <c r="G248" i="35"/>
  <c r="J247" i="35"/>
  <c r="I247" i="35"/>
  <c r="H247" i="35"/>
  <c r="G247" i="35"/>
  <c r="J246" i="35"/>
  <c r="I246" i="35"/>
  <c r="H246" i="35"/>
  <c r="G246" i="35"/>
  <c r="J245" i="35"/>
  <c r="I245" i="35"/>
  <c r="H245" i="35"/>
  <c r="G245" i="35"/>
  <c r="J244" i="35"/>
  <c r="I244" i="35"/>
  <c r="H244" i="35"/>
  <c r="G244" i="35"/>
  <c r="J243" i="35"/>
  <c r="I243" i="35"/>
  <c r="H243" i="35"/>
  <c r="G243" i="35"/>
  <c r="J242" i="35"/>
  <c r="I242" i="35"/>
  <c r="H242" i="35"/>
  <c r="G242" i="35"/>
  <c r="J241" i="35"/>
  <c r="I241" i="35"/>
  <c r="H241" i="35"/>
  <c r="G241" i="35"/>
  <c r="J240" i="35"/>
  <c r="I240" i="35"/>
  <c r="H240" i="35"/>
  <c r="G240" i="35"/>
  <c r="J239" i="35"/>
  <c r="I239" i="35"/>
  <c r="H239" i="35"/>
  <c r="G239" i="35"/>
  <c r="J238" i="35"/>
  <c r="I238" i="35"/>
  <c r="H238" i="35"/>
  <c r="G238" i="35"/>
  <c r="J237" i="35"/>
  <c r="I237" i="35"/>
  <c r="H237" i="35"/>
  <c r="G237" i="35"/>
  <c r="J236" i="35"/>
  <c r="I236" i="35"/>
  <c r="H236" i="35"/>
  <c r="G236" i="35"/>
  <c r="J235" i="35"/>
  <c r="I235" i="35"/>
  <c r="H235" i="35"/>
  <c r="G235" i="35"/>
  <c r="J234" i="35"/>
  <c r="I234" i="35"/>
  <c r="H234" i="35"/>
  <c r="G234" i="35"/>
  <c r="J233" i="35"/>
  <c r="I233" i="35"/>
  <c r="H233" i="35"/>
  <c r="G233" i="35"/>
  <c r="J232" i="35"/>
  <c r="I232" i="35"/>
  <c r="H232" i="35"/>
  <c r="G232" i="35"/>
  <c r="J231" i="35"/>
  <c r="I231" i="35"/>
  <c r="H231" i="35"/>
  <c r="G231" i="35"/>
  <c r="J230" i="35"/>
  <c r="I230" i="35"/>
  <c r="H230" i="35"/>
  <c r="G230" i="35"/>
  <c r="J229" i="35"/>
  <c r="I229" i="35"/>
  <c r="H229" i="35"/>
  <c r="G229" i="35"/>
  <c r="J228" i="35"/>
  <c r="I228" i="35"/>
  <c r="H228" i="35"/>
  <c r="G228" i="35"/>
  <c r="J227" i="35"/>
  <c r="I227" i="35"/>
  <c r="H227" i="35"/>
  <c r="G227" i="35"/>
  <c r="J226" i="35"/>
  <c r="I226" i="35"/>
  <c r="H226" i="35"/>
  <c r="G226" i="35"/>
  <c r="J225" i="35"/>
  <c r="I225" i="35"/>
  <c r="H225" i="35"/>
  <c r="G225" i="35"/>
  <c r="J224" i="35"/>
  <c r="I224" i="35"/>
  <c r="H224" i="35"/>
  <c r="G224" i="35"/>
  <c r="J223" i="35"/>
  <c r="I223" i="35"/>
  <c r="H223" i="35"/>
  <c r="G223" i="35"/>
  <c r="J222" i="35"/>
  <c r="I222" i="35"/>
  <c r="H222" i="35"/>
  <c r="G222" i="35"/>
  <c r="J221" i="35"/>
  <c r="I221" i="35"/>
  <c r="H221" i="35"/>
  <c r="G221" i="35"/>
  <c r="J220" i="35"/>
  <c r="I220" i="35"/>
  <c r="H220" i="35"/>
  <c r="G220" i="35"/>
  <c r="J219" i="35"/>
  <c r="I219" i="35"/>
  <c r="H219" i="35"/>
  <c r="G219" i="35"/>
  <c r="J218" i="35"/>
  <c r="I218" i="35"/>
  <c r="H218" i="35"/>
  <c r="G218" i="35"/>
  <c r="J217" i="35"/>
  <c r="I217" i="35"/>
  <c r="H217" i="35"/>
  <c r="G217" i="35"/>
  <c r="J216" i="35"/>
  <c r="I216" i="35"/>
  <c r="H216" i="35"/>
  <c r="G216" i="35"/>
  <c r="J215" i="35"/>
  <c r="I215" i="35"/>
  <c r="H215" i="35"/>
  <c r="G215" i="35"/>
  <c r="J214" i="35"/>
  <c r="I214" i="35"/>
  <c r="H214" i="35"/>
  <c r="G214" i="35"/>
  <c r="J213" i="35"/>
  <c r="I213" i="35"/>
  <c r="H213" i="35"/>
  <c r="G213" i="35"/>
  <c r="J212" i="35"/>
  <c r="I212" i="35"/>
  <c r="H212" i="35"/>
  <c r="G212" i="35"/>
  <c r="J211" i="35"/>
  <c r="I211" i="35"/>
  <c r="H211" i="35"/>
  <c r="G211" i="35"/>
  <c r="J210" i="35"/>
  <c r="I210" i="35"/>
  <c r="H210" i="35"/>
  <c r="G210" i="35"/>
  <c r="J209" i="35"/>
  <c r="I209" i="35"/>
  <c r="H209" i="35"/>
  <c r="G209" i="35"/>
  <c r="J208" i="35"/>
  <c r="I208" i="35"/>
  <c r="H208" i="35"/>
  <c r="G208" i="35"/>
  <c r="J207" i="35"/>
  <c r="I207" i="35"/>
  <c r="H207" i="35"/>
  <c r="G207" i="35"/>
  <c r="J206" i="35"/>
  <c r="I206" i="35"/>
  <c r="H206" i="35"/>
  <c r="G206" i="35"/>
  <c r="J205" i="35"/>
  <c r="I205" i="35"/>
  <c r="H205" i="35"/>
  <c r="G205" i="35"/>
  <c r="J204" i="35"/>
  <c r="I204" i="35"/>
  <c r="H204" i="35"/>
  <c r="G204" i="35"/>
  <c r="J203" i="35"/>
  <c r="I203" i="35"/>
  <c r="H203" i="35"/>
  <c r="G203" i="35"/>
  <c r="J202" i="35"/>
  <c r="I202" i="35"/>
  <c r="H202" i="35"/>
  <c r="G202" i="35"/>
  <c r="J201" i="35"/>
  <c r="I201" i="35"/>
  <c r="H201" i="35"/>
  <c r="G201" i="35"/>
  <c r="J200" i="35"/>
  <c r="I200" i="35"/>
  <c r="H200" i="35"/>
  <c r="G200" i="35"/>
  <c r="J199" i="35"/>
  <c r="I199" i="35"/>
  <c r="H199" i="35"/>
  <c r="G199" i="35"/>
  <c r="J198" i="35"/>
  <c r="I198" i="35"/>
  <c r="H198" i="35"/>
  <c r="G198" i="35"/>
  <c r="J197" i="35"/>
  <c r="I197" i="35"/>
  <c r="H197" i="35"/>
  <c r="G197" i="35"/>
  <c r="J196" i="35"/>
  <c r="I196" i="35"/>
  <c r="H196" i="35"/>
  <c r="G196" i="35"/>
  <c r="J195" i="35"/>
  <c r="I195" i="35"/>
  <c r="H195" i="35"/>
  <c r="G195" i="35"/>
  <c r="J194" i="35"/>
  <c r="I194" i="35"/>
  <c r="H194" i="35"/>
  <c r="G194" i="35"/>
  <c r="J193" i="35"/>
  <c r="I193" i="35"/>
  <c r="H193" i="35"/>
  <c r="G193" i="35"/>
  <c r="J192" i="35"/>
  <c r="I192" i="35"/>
  <c r="H192" i="35"/>
  <c r="G192" i="35"/>
  <c r="J191" i="35"/>
  <c r="I191" i="35"/>
  <c r="H191" i="35"/>
  <c r="G191" i="35"/>
  <c r="J190" i="35"/>
  <c r="I190" i="35"/>
  <c r="H190" i="35"/>
  <c r="G190" i="35"/>
  <c r="J189" i="35"/>
  <c r="I189" i="35"/>
  <c r="H189" i="35"/>
  <c r="G189" i="35"/>
  <c r="J188" i="35"/>
  <c r="I188" i="35"/>
  <c r="H188" i="35"/>
  <c r="G188" i="35"/>
  <c r="J187" i="35"/>
  <c r="I187" i="35"/>
  <c r="H187" i="35"/>
  <c r="G187" i="35"/>
  <c r="J186" i="35"/>
  <c r="I186" i="35"/>
  <c r="H186" i="35"/>
  <c r="G186" i="35"/>
  <c r="J185" i="35"/>
  <c r="I185" i="35"/>
  <c r="H185" i="35"/>
  <c r="G185" i="35"/>
  <c r="J184" i="35"/>
  <c r="I184" i="35"/>
  <c r="H184" i="35"/>
  <c r="G184" i="35"/>
  <c r="J183" i="35"/>
  <c r="I183" i="35"/>
  <c r="H183" i="35"/>
  <c r="G183" i="35"/>
  <c r="J182" i="35"/>
  <c r="I182" i="35"/>
  <c r="H182" i="35"/>
  <c r="G182" i="35"/>
  <c r="J181" i="35"/>
  <c r="I181" i="35"/>
  <c r="H181" i="35"/>
  <c r="G181" i="35"/>
  <c r="J180" i="35"/>
  <c r="I180" i="35"/>
  <c r="H180" i="35"/>
  <c r="G180" i="35"/>
  <c r="J179" i="35"/>
  <c r="I179" i="35"/>
  <c r="H179" i="35"/>
  <c r="G179" i="35"/>
  <c r="J178" i="35"/>
  <c r="I178" i="35"/>
  <c r="H178" i="35"/>
  <c r="G178" i="35"/>
  <c r="J177" i="35"/>
  <c r="I177" i="35"/>
  <c r="H177" i="35"/>
  <c r="G177" i="35"/>
  <c r="J176" i="35"/>
  <c r="I176" i="35"/>
  <c r="H176" i="35"/>
  <c r="G176" i="35"/>
  <c r="J175" i="35"/>
  <c r="I175" i="35"/>
  <c r="H175" i="35"/>
  <c r="G175" i="35"/>
  <c r="J174" i="35"/>
  <c r="I174" i="35"/>
  <c r="H174" i="35"/>
  <c r="G174" i="35"/>
  <c r="J173" i="35"/>
  <c r="I173" i="35"/>
  <c r="H173" i="35"/>
  <c r="G173" i="35"/>
  <c r="J172" i="35"/>
  <c r="I172" i="35"/>
  <c r="H172" i="35"/>
  <c r="G172" i="35"/>
  <c r="J171" i="35"/>
  <c r="I171" i="35"/>
  <c r="H171" i="35"/>
  <c r="G171" i="35"/>
  <c r="J170" i="35"/>
  <c r="I170" i="35"/>
  <c r="H170" i="35"/>
  <c r="G170" i="35"/>
  <c r="J169" i="35"/>
  <c r="I169" i="35"/>
  <c r="H169" i="35"/>
  <c r="G169" i="35"/>
  <c r="J168" i="35"/>
  <c r="I168" i="35"/>
  <c r="H168" i="35"/>
  <c r="G168" i="35"/>
  <c r="J167" i="35"/>
  <c r="I167" i="35"/>
  <c r="H167" i="35"/>
  <c r="G167" i="35"/>
  <c r="J166" i="35"/>
  <c r="I166" i="35"/>
  <c r="H166" i="35"/>
  <c r="G166" i="35"/>
  <c r="J165" i="35"/>
  <c r="I165" i="35"/>
  <c r="H165" i="35"/>
  <c r="G165" i="35"/>
  <c r="J164" i="35"/>
  <c r="I164" i="35"/>
  <c r="H164" i="35"/>
  <c r="G164" i="35"/>
  <c r="J163" i="35"/>
  <c r="I163" i="35"/>
  <c r="H163" i="35"/>
  <c r="G163" i="35"/>
  <c r="J162" i="35"/>
  <c r="I162" i="35"/>
  <c r="H162" i="35"/>
  <c r="G162" i="35"/>
  <c r="J161" i="35"/>
  <c r="I161" i="35"/>
  <c r="H161" i="35"/>
  <c r="G161" i="35"/>
  <c r="J160" i="35"/>
  <c r="I160" i="35"/>
  <c r="H160" i="35"/>
  <c r="G160" i="35"/>
  <c r="J159" i="35"/>
  <c r="I159" i="35"/>
  <c r="H159" i="35"/>
  <c r="G159" i="35"/>
  <c r="J158" i="35"/>
  <c r="I158" i="35"/>
  <c r="H158" i="35"/>
  <c r="G158" i="35"/>
  <c r="J157" i="35"/>
  <c r="I157" i="35"/>
  <c r="H157" i="35"/>
  <c r="G157" i="35"/>
  <c r="J156" i="35"/>
  <c r="I156" i="35"/>
  <c r="H156" i="35"/>
  <c r="G156" i="35"/>
  <c r="J155" i="35"/>
  <c r="I155" i="35"/>
  <c r="H155" i="35"/>
  <c r="G155" i="35"/>
  <c r="J154" i="35"/>
  <c r="I154" i="35"/>
  <c r="H154" i="35"/>
  <c r="G154" i="35"/>
  <c r="J153" i="35"/>
  <c r="I153" i="35"/>
  <c r="H153" i="35"/>
  <c r="G153" i="35"/>
  <c r="J152" i="35"/>
  <c r="I152" i="35"/>
  <c r="H152" i="35"/>
  <c r="G152" i="35"/>
  <c r="J151" i="35"/>
  <c r="I151" i="35"/>
  <c r="H151" i="35"/>
  <c r="G151" i="35"/>
  <c r="J150" i="35"/>
  <c r="I150" i="35"/>
  <c r="H150" i="35"/>
  <c r="G150" i="35"/>
  <c r="J149" i="35"/>
  <c r="I149" i="35"/>
  <c r="H149" i="35"/>
  <c r="G149" i="35"/>
  <c r="J148" i="35"/>
  <c r="I148" i="35"/>
  <c r="H148" i="35"/>
  <c r="G148" i="35"/>
  <c r="J147" i="35"/>
  <c r="I147" i="35"/>
  <c r="H147" i="35"/>
  <c r="G147" i="35"/>
  <c r="J146" i="35"/>
  <c r="I146" i="35"/>
  <c r="H146" i="35"/>
  <c r="G146" i="35"/>
  <c r="J145" i="35"/>
  <c r="I145" i="35"/>
  <c r="H145" i="35"/>
  <c r="G145" i="35"/>
  <c r="J144" i="35"/>
  <c r="I144" i="35"/>
  <c r="H144" i="35"/>
  <c r="G144" i="35"/>
  <c r="J143" i="35"/>
  <c r="I143" i="35"/>
  <c r="H143" i="35"/>
  <c r="G143" i="35"/>
  <c r="J142" i="35"/>
  <c r="I142" i="35"/>
  <c r="H142" i="35"/>
  <c r="G142" i="35"/>
  <c r="J141" i="35"/>
  <c r="I141" i="35"/>
  <c r="H141" i="35"/>
  <c r="G141" i="35"/>
  <c r="J140" i="35"/>
  <c r="I140" i="35"/>
  <c r="H140" i="35"/>
  <c r="G140" i="35"/>
  <c r="J139" i="35"/>
  <c r="I139" i="35"/>
  <c r="H139" i="35"/>
  <c r="G139" i="35"/>
  <c r="J138" i="35"/>
  <c r="I138" i="35"/>
  <c r="H138" i="35"/>
  <c r="G138" i="35"/>
  <c r="J137" i="35"/>
  <c r="I137" i="35"/>
  <c r="H137" i="35"/>
  <c r="G137" i="35"/>
  <c r="J136" i="35"/>
  <c r="I136" i="35"/>
  <c r="H136" i="35"/>
  <c r="G136" i="35"/>
  <c r="J135" i="35"/>
  <c r="I135" i="35"/>
  <c r="H135" i="35"/>
  <c r="G135" i="35"/>
  <c r="J134" i="35"/>
  <c r="I134" i="35"/>
  <c r="H134" i="35"/>
  <c r="G134" i="35"/>
  <c r="J133" i="35"/>
  <c r="I133" i="35"/>
  <c r="H133" i="35"/>
  <c r="G133" i="35"/>
  <c r="J132" i="35"/>
  <c r="I132" i="35"/>
  <c r="H132" i="35"/>
  <c r="G132" i="35"/>
  <c r="J131" i="35"/>
  <c r="I131" i="35"/>
  <c r="H131" i="35"/>
  <c r="G131" i="35"/>
  <c r="J130" i="35"/>
  <c r="I130" i="35"/>
  <c r="H130" i="35"/>
  <c r="G130" i="35"/>
  <c r="J129" i="35"/>
  <c r="I129" i="35"/>
  <c r="H129" i="35"/>
  <c r="G129" i="35"/>
  <c r="J128" i="35"/>
  <c r="I128" i="35"/>
  <c r="H128" i="35"/>
  <c r="G128" i="35"/>
  <c r="J127" i="35"/>
  <c r="I127" i="35"/>
  <c r="H127" i="35"/>
  <c r="G127" i="35"/>
  <c r="J126" i="35"/>
  <c r="I126" i="35"/>
  <c r="H126" i="35"/>
  <c r="G126" i="35"/>
  <c r="J125" i="35"/>
  <c r="I125" i="35"/>
  <c r="H125" i="35"/>
  <c r="G125" i="35"/>
  <c r="J124" i="35"/>
  <c r="I124" i="35"/>
  <c r="H124" i="35"/>
  <c r="G124" i="35"/>
  <c r="J123" i="35"/>
  <c r="I123" i="35"/>
  <c r="H123" i="35"/>
  <c r="G123" i="35"/>
  <c r="J122" i="35"/>
  <c r="I122" i="35"/>
  <c r="H122" i="35"/>
  <c r="G122" i="35"/>
  <c r="J121" i="35"/>
  <c r="I121" i="35"/>
  <c r="H121" i="35"/>
  <c r="G121" i="35"/>
  <c r="J120" i="35"/>
  <c r="I120" i="35"/>
  <c r="H120" i="35"/>
  <c r="G120" i="35"/>
  <c r="J119" i="35"/>
  <c r="I119" i="35"/>
  <c r="H119" i="35"/>
  <c r="G119" i="35"/>
  <c r="J118" i="35"/>
  <c r="I118" i="35"/>
  <c r="H118" i="35"/>
  <c r="G118" i="35"/>
  <c r="J117" i="35"/>
  <c r="I117" i="35"/>
  <c r="H117" i="35"/>
  <c r="G117" i="35"/>
  <c r="J116" i="35"/>
  <c r="I116" i="35"/>
  <c r="H116" i="35"/>
  <c r="G116" i="35"/>
  <c r="J115" i="35"/>
  <c r="I115" i="35"/>
  <c r="H115" i="35"/>
  <c r="G115" i="35"/>
  <c r="J114" i="35"/>
  <c r="I114" i="35"/>
  <c r="H114" i="35"/>
  <c r="G114" i="35"/>
  <c r="J113" i="35"/>
  <c r="I113" i="35"/>
  <c r="H113" i="35"/>
  <c r="G113" i="35"/>
  <c r="J112" i="35"/>
  <c r="I112" i="35"/>
  <c r="H112" i="35"/>
  <c r="G112" i="35"/>
  <c r="J111" i="35"/>
  <c r="I111" i="35"/>
  <c r="H111" i="35"/>
  <c r="G111" i="35"/>
  <c r="J110" i="35"/>
  <c r="I110" i="35"/>
  <c r="H110" i="35"/>
  <c r="G110" i="35"/>
  <c r="J109" i="35"/>
  <c r="I109" i="35"/>
  <c r="H109" i="35"/>
  <c r="G109" i="35"/>
  <c r="J108" i="35"/>
  <c r="I108" i="35"/>
  <c r="H108" i="35"/>
  <c r="G108" i="35"/>
  <c r="J107" i="35"/>
  <c r="I107" i="35"/>
  <c r="H107" i="35"/>
  <c r="G107" i="35"/>
  <c r="J106" i="35"/>
  <c r="I106" i="35"/>
  <c r="H106" i="35"/>
  <c r="G106" i="35"/>
  <c r="J105" i="35"/>
  <c r="I105" i="35"/>
  <c r="H105" i="35"/>
  <c r="G105" i="35"/>
  <c r="J104" i="35"/>
  <c r="I104" i="35"/>
  <c r="H104" i="35"/>
  <c r="G104" i="35"/>
  <c r="J103" i="35"/>
  <c r="I103" i="35"/>
  <c r="H103" i="35"/>
  <c r="G103" i="35"/>
  <c r="J102" i="35"/>
  <c r="I102" i="35"/>
  <c r="H102" i="35"/>
  <c r="G102" i="35"/>
  <c r="J101" i="35"/>
  <c r="I101" i="35"/>
  <c r="H101" i="35"/>
  <c r="G101" i="35"/>
  <c r="J100" i="35"/>
  <c r="I100" i="35"/>
  <c r="H100" i="35"/>
  <c r="G100" i="35"/>
  <c r="J99" i="35"/>
  <c r="I99" i="35"/>
  <c r="H99" i="35"/>
  <c r="G99" i="35"/>
  <c r="J98" i="35"/>
  <c r="I98" i="35"/>
  <c r="H98" i="35"/>
  <c r="G98" i="35"/>
  <c r="J97" i="35"/>
  <c r="I97" i="35"/>
  <c r="H97" i="35"/>
  <c r="G97" i="35"/>
  <c r="J96" i="35"/>
  <c r="I96" i="35"/>
  <c r="H96" i="35"/>
  <c r="G96" i="35"/>
  <c r="J95" i="35"/>
  <c r="I95" i="35"/>
  <c r="H95" i="35"/>
  <c r="G95" i="35"/>
  <c r="J94" i="35"/>
  <c r="I94" i="35"/>
  <c r="H94" i="35"/>
  <c r="G94" i="35"/>
  <c r="J93" i="35"/>
  <c r="I93" i="35"/>
  <c r="H93" i="35"/>
  <c r="G93" i="35"/>
  <c r="J92" i="35"/>
  <c r="I92" i="35"/>
  <c r="H92" i="35"/>
  <c r="G92" i="35"/>
  <c r="J91" i="35"/>
  <c r="I91" i="35"/>
  <c r="H91" i="35"/>
  <c r="G91" i="35"/>
  <c r="J90" i="35"/>
  <c r="I90" i="35"/>
  <c r="H90" i="35"/>
  <c r="G90" i="35"/>
  <c r="J89" i="35"/>
  <c r="I89" i="35"/>
  <c r="H89" i="35"/>
  <c r="G89" i="35"/>
  <c r="J88" i="35"/>
  <c r="I88" i="35"/>
  <c r="H88" i="35"/>
  <c r="G88" i="35"/>
  <c r="J87" i="35"/>
  <c r="I87" i="35"/>
  <c r="H87" i="35"/>
  <c r="G87" i="35"/>
  <c r="J86" i="35"/>
  <c r="I86" i="35"/>
  <c r="H86" i="35"/>
  <c r="G86" i="35"/>
  <c r="J85" i="35"/>
  <c r="I85" i="35"/>
  <c r="H85" i="35"/>
  <c r="G85" i="35"/>
  <c r="J84" i="35"/>
  <c r="I84" i="35"/>
  <c r="H84" i="35"/>
  <c r="G84" i="35"/>
  <c r="J83" i="35"/>
  <c r="I83" i="35"/>
  <c r="H83" i="35"/>
  <c r="G83" i="35"/>
  <c r="J82" i="35"/>
  <c r="I82" i="35"/>
  <c r="H82" i="35"/>
  <c r="G82" i="35"/>
  <c r="J81" i="35"/>
  <c r="I81" i="35"/>
  <c r="H81" i="35"/>
  <c r="G81" i="35"/>
  <c r="J80" i="35"/>
  <c r="I80" i="35"/>
  <c r="H80" i="35"/>
  <c r="G80" i="35"/>
  <c r="J79" i="35"/>
  <c r="I79" i="35"/>
  <c r="H79" i="35"/>
  <c r="G79" i="35"/>
  <c r="J78" i="35"/>
  <c r="I78" i="35"/>
  <c r="H78" i="35"/>
  <c r="G78" i="35"/>
  <c r="J77" i="35"/>
  <c r="I77" i="35"/>
  <c r="H77" i="35"/>
  <c r="G77" i="35"/>
  <c r="J76" i="35"/>
  <c r="I76" i="35"/>
  <c r="H76" i="35"/>
  <c r="G76" i="35"/>
  <c r="J75" i="35"/>
  <c r="I75" i="35"/>
  <c r="H75" i="35"/>
  <c r="G75" i="35"/>
  <c r="J74" i="35"/>
  <c r="I74" i="35"/>
  <c r="H74" i="35"/>
  <c r="G74" i="35"/>
  <c r="J73" i="35"/>
  <c r="I73" i="35"/>
  <c r="H73" i="35"/>
  <c r="G73" i="35"/>
  <c r="J72" i="35"/>
  <c r="I72" i="35"/>
  <c r="H72" i="35"/>
  <c r="G72" i="35"/>
  <c r="J71" i="35"/>
  <c r="I71" i="35"/>
  <c r="H71" i="35"/>
  <c r="G71" i="35"/>
  <c r="J70" i="35"/>
  <c r="I70" i="35"/>
  <c r="H70" i="35"/>
  <c r="G70" i="35"/>
  <c r="J69" i="35"/>
  <c r="I69" i="35"/>
  <c r="H69" i="35"/>
  <c r="G69" i="35"/>
  <c r="J68" i="35"/>
  <c r="I68" i="35"/>
  <c r="H68" i="35"/>
  <c r="G68" i="35"/>
  <c r="J67" i="35"/>
  <c r="I67" i="35"/>
  <c r="H67" i="35"/>
  <c r="G67" i="35"/>
  <c r="J66" i="35"/>
  <c r="I66" i="35"/>
  <c r="H66" i="35"/>
  <c r="G66" i="35"/>
  <c r="J65" i="35"/>
  <c r="I65" i="35"/>
  <c r="H65" i="35"/>
  <c r="G65" i="35"/>
  <c r="J64" i="35"/>
  <c r="I64" i="35"/>
  <c r="H64" i="35"/>
  <c r="G64" i="35"/>
  <c r="J63" i="35"/>
  <c r="I63" i="35"/>
  <c r="H63" i="35"/>
  <c r="G63" i="35"/>
  <c r="J62" i="35"/>
  <c r="I62" i="35"/>
  <c r="H62" i="35"/>
  <c r="G62" i="35"/>
  <c r="J61" i="35"/>
  <c r="I61" i="35"/>
  <c r="H61" i="35"/>
  <c r="G61" i="35"/>
  <c r="J60" i="35"/>
  <c r="I60" i="35"/>
  <c r="H60" i="35"/>
  <c r="G60" i="35"/>
  <c r="J59" i="35"/>
  <c r="I59" i="35"/>
  <c r="H59" i="35"/>
  <c r="G59" i="35"/>
  <c r="J58" i="35"/>
  <c r="I58" i="35"/>
  <c r="H58" i="35"/>
  <c r="G58" i="35"/>
  <c r="J57" i="35"/>
  <c r="I57" i="35"/>
  <c r="H57" i="35"/>
  <c r="G57" i="35"/>
  <c r="J56" i="35"/>
  <c r="I56" i="35"/>
  <c r="H56" i="35"/>
  <c r="G56" i="35"/>
  <c r="J55" i="35"/>
  <c r="I55" i="35"/>
  <c r="H55" i="35"/>
  <c r="G55" i="35"/>
  <c r="J54" i="35"/>
  <c r="I54" i="35"/>
  <c r="H54" i="35"/>
  <c r="G54" i="35"/>
  <c r="J53" i="35"/>
  <c r="I53" i="35"/>
  <c r="H53" i="35"/>
  <c r="G53" i="35"/>
  <c r="J52" i="35"/>
  <c r="I52" i="35"/>
  <c r="H52" i="35"/>
  <c r="G52" i="35"/>
  <c r="J51" i="35"/>
  <c r="I51" i="35"/>
  <c r="H51" i="35"/>
  <c r="G51" i="35"/>
  <c r="J50" i="35"/>
  <c r="I50" i="35"/>
  <c r="H50" i="35"/>
  <c r="G50" i="35"/>
  <c r="J49" i="35"/>
  <c r="I49" i="35"/>
  <c r="H49" i="35"/>
  <c r="G49" i="35"/>
  <c r="J48" i="35"/>
  <c r="I48" i="35"/>
  <c r="H48" i="35"/>
  <c r="G48" i="35"/>
  <c r="J47" i="35"/>
  <c r="I47" i="35"/>
  <c r="H47" i="35"/>
  <c r="G47" i="35"/>
  <c r="J46" i="35"/>
  <c r="I46" i="35"/>
  <c r="H46" i="35"/>
  <c r="G46" i="35"/>
  <c r="J45" i="35"/>
  <c r="I45" i="35"/>
  <c r="H45" i="35"/>
  <c r="G45" i="35"/>
  <c r="J44" i="35"/>
  <c r="I44" i="35"/>
  <c r="H44" i="35"/>
  <c r="G44" i="35"/>
  <c r="J43" i="35"/>
  <c r="I43" i="35"/>
  <c r="H43" i="35"/>
  <c r="G43" i="35"/>
  <c r="J42" i="35"/>
  <c r="I42" i="35"/>
  <c r="H42" i="35"/>
  <c r="G42" i="35"/>
  <c r="J41" i="35"/>
  <c r="I41" i="35"/>
  <c r="H41" i="35"/>
  <c r="G41" i="35"/>
  <c r="J40" i="35"/>
  <c r="I40" i="35"/>
  <c r="H40" i="35"/>
  <c r="G40" i="35"/>
  <c r="J39" i="35"/>
  <c r="I39" i="35"/>
  <c r="H39" i="35"/>
  <c r="G39" i="35"/>
  <c r="J38" i="35"/>
  <c r="I38" i="35"/>
  <c r="H38" i="35"/>
  <c r="G38" i="35"/>
  <c r="J37" i="35"/>
  <c r="I37" i="35"/>
  <c r="H37" i="35"/>
  <c r="G37" i="35"/>
  <c r="J36" i="35"/>
  <c r="I36" i="35"/>
  <c r="H36" i="35"/>
  <c r="G36" i="35"/>
  <c r="J35" i="35"/>
  <c r="I35" i="35"/>
  <c r="H35" i="35"/>
  <c r="G35" i="35"/>
  <c r="J34" i="35"/>
  <c r="I34" i="35"/>
  <c r="H34" i="35"/>
  <c r="G34" i="35"/>
  <c r="J33" i="35"/>
  <c r="I33" i="35"/>
  <c r="H33" i="35"/>
  <c r="G33" i="35"/>
  <c r="J32" i="35"/>
  <c r="I32" i="35"/>
  <c r="H32" i="35"/>
  <c r="G32" i="35"/>
  <c r="J31" i="35"/>
  <c r="I31" i="35"/>
  <c r="H31" i="35"/>
  <c r="G31" i="35"/>
  <c r="J30" i="35"/>
  <c r="I30" i="35"/>
  <c r="H30" i="35"/>
  <c r="G30" i="35"/>
  <c r="J29" i="35"/>
  <c r="I29" i="35"/>
  <c r="H29" i="35"/>
  <c r="G29" i="35"/>
  <c r="J28" i="35"/>
  <c r="I28" i="35"/>
  <c r="H28" i="35"/>
  <c r="G28" i="35"/>
  <c r="J27" i="35"/>
  <c r="I27" i="35"/>
  <c r="H27" i="35"/>
  <c r="G27" i="35"/>
  <c r="J26" i="35"/>
  <c r="I26" i="35"/>
  <c r="H26" i="35"/>
  <c r="G26" i="35"/>
  <c r="J25" i="35"/>
  <c r="I25" i="35"/>
  <c r="H25" i="35"/>
  <c r="G25" i="35"/>
  <c r="J24" i="35"/>
  <c r="I24" i="35"/>
  <c r="H24" i="35"/>
  <c r="G24" i="35"/>
  <c r="J23" i="35"/>
  <c r="I23" i="35"/>
  <c r="H23" i="35"/>
  <c r="G23" i="35"/>
  <c r="J22" i="35"/>
  <c r="I22" i="35"/>
  <c r="H22" i="35"/>
  <c r="G22" i="35"/>
  <c r="J21" i="35"/>
  <c r="I21" i="35"/>
  <c r="H21" i="35"/>
  <c r="G21" i="35"/>
  <c r="J20" i="35"/>
  <c r="I20" i="35"/>
  <c r="H20" i="35"/>
  <c r="G20" i="35"/>
  <c r="J19" i="35"/>
  <c r="I19" i="35"/>
  <c r="H19" i="35"/>
  <c r="G19" i="35"/>
  <c r="J18" i="35"/>
  <c r="I18" i="35"/>
  <c r="H18" i="35"/>
  <c r="G18" i="35"/>
  <c r="J17" i="35"/>
  <c r="I17" i="35"/>
  <c r="H17" i="35"/>
  <c r="G17" i="35"/>
  <c r="J16" i="35"/>
  <c r="I16" i="35"/>
  <c r="H16" i="35"/>
  <c r="G16" i="35"/>
  <c r="J15" i="35"/>
  <c r="I15" i="35"/>
  <c r="H15" i="35"/>
  <c r="G15" i="35"/>
  <c r="J14" i="35"/>
  <c r="I14" i="35"/>
  <c r="H14" i="35"/>
  <c r="G14" i="35"/>
  <c r="J13" i="35"/>
  <c r="I13" i="35"/>
  <c r="H13" i="35"/>
  <c r="G13" i="35"/>
  <c r="J12" i="35"/>
  <c r="I12" i="35"/>
  <c r="H12" i="35"/>
  <c r="G12" i="35"/>
  <c r="J11" i="35"/>
  <c r="I11" i="35"/>
  <c r="H11" i="35"/>
  <c r="G11" i="35"/>
  <c r="J10" i="35"/>
  <c r="I10" i="35"/>
  <c r="H10" i="35"/>
  <c r="G10" i="35"/>
  <c r="J9" i="35"/>
  <c r="I9" i="35"/>
  <c r="H9" i="35"/>
  <c r="G9" i="35"/>
  <c r="J8" i="35"/>
  <c r="I8" i="35"/>
  <c r="H8" i="35"/>
  <c r="G8" i="35"/>
  <c r="J7" i="35"/>
  <c r="I7" i="35"/>
  <c r="H7" i="35"/>
  <c r="G7" i="35"/>
  <c r="J6" i="35"/>
  <c r="I6" i="35"/>
  <c r="H6" i="35"/>
  <c r="G6" i="35"/>
  <c r="J5" i="35"/>
  <c r="I5" i="35"/>
  <c r="H5" i="35"/>
  <c r="G5" i="35"/>
  <c r="J376" i="34"/>
  <c r="I376" i="34"/>
  <c r="H376" i="34"/>
  <c r="G376" i="34"/>
  <c r="F376" i="34"/>
  <c r="J375" i="34"/>
  <c r="I375" i="34"/>
  <c r="H375" i="34"/>
  <c r="G375" i="34"/>
  <c r="F375" i="34"/>
  <c r="Z180" i="25" s="1"/>
  <c r="J372" i="34"/>
  <c r="I372" i="34"/>
  <c r="H372" i="34"/>
  <c r="G372" i="34"/>
  <c r="E372" i="34"/>
  <c r="F372" i="34" s="1"/>
  <c r="J371" i="34"/>
  <c r="I371" i="34"/>
  <c r="H371" i="34"/>
  <c r="G371" i="34"/>
  <c r="F371" i="34"/>
  <c r="Z56" i="25" s="1"/>
  <c r="L56" i="25" s="1"/>
  <c r="J368" i="34"/>
  <c r="I368" i="34"/>
  <c r="H368" i="34"/>
  <c r="G368" i="34"/>
  <c r="F368" i="34"/>
  <c r="J367" i="34"/>
  <c r="I367" i="34"/>
  <c r="H367" i="34"/>
  <c r="G367" i="34"/>
  <c r="F367" i="34"/>
  <c r="J366" i="34"/>
  <c r="I366" i="34"/>
  <c r="H366" i="34"/>
  <c r="G366" i="34"/>
  <c r="F366" i="34"/>
  <c r="J365" i="34"/>
  <c r="I365" i="34"/>
  <c r="H365" i="34"/>
  <c r="G365" i="34"/>
  <c r="F365" i="34"/>
  <c r="J364" i="34"/>
  <c r="I364" i="34"/>
  <c r="H364" i="34"/>
  <c r="G364" i="34"/>
  <c r="F364" i="34"/>
  <c r="K227" i="18" s="1"/>
  <c r="J362" i="34"/>
  <c r="I362" i="34"/>
  <c r="H362" i="34"/>
  <c r="G362" i="34"/>
  <c r="F362" i="34"/>
  <c r="J361" i="34"/>
  <c r="I361" i="34"/>
  <c r="H361" i="34"/>
  <c r="G361" i="34"/>
  <c r="F361" i="34"/>
  <c r="J360" i="34"/>
  <c r="I360" i="34"/>
  <c r="H360" i="34"/>
  <c r="G360" i="34"/>
  <c r="F360" i="34"/>
  <c r="J359" i="34"/>
  <c r="I359" i="34"/>
  <c r="H359" i="34"/>
  <c r="G359" i="34"/>
  <c r="F359" i="34"/>
  <c r="J358" i="34"/>
  <c r="I358" i="34"/>
  <c r="H358" i="34"/>
  <c r="G358" i="34"/>
  <c r="F358" i="34"/>
  <c r="J357" i="34"/>
  <c r="I357" i="34"/>
  <c r="H357" i="34"/>
  <c r="G357" i="34"/>
  <c r="F357" i="34"/>
  <c r="J356" i="34"/>
  <c r="I356" i="34"/>
  <c r="H356" i="34"/>
  <c r="G356" i="34"/>
  <c r="F356" i="34"/>
  <c r="J355" i="34"/>
  <c r="I355" i="34"/>
  <c r="H355" i="34"/>
  <c r="G355" i="34"/>
  <c r="F355" i="34"/>
  <c r="J354" i="34"/>
  <c r="I354" i="34"/>
  <c r="H354" i="34"/>
  <c r="G354" i="34"/>
  <c r="F354" i="34"/>
  <c r="J353" i="34"/>
  <c r="I353" i="34"/>
  <c r="H353" i="34"/>
  <c r="G353" i="34"/>
  <c r="F353" i="34"/>
  <c r="J352" i="34"/>
  <c r="I352" i="34"/>
  <c r="H352" i="34"/>
  <c r="G352" i="34"/>
  <c r="F352" i="34"/>
  <c r="J351" i="34"/>
  <c r="I351" i="34"/>
  <c r="H351" i="34"/>
  <c r="G351" i="34"/>
  <c r="F351" i="34"/>
  <c r="J350" i="34"/>
  <c r="I350" i="34"/>
  <c r="H350" i="34"/>
  <c r="G350" i="34"/>
  <c r="F350" i="34"/>
  <c r="J349" i="34"/>
  <c r="I349" i="34"/>
  <c r="H349" i="34"/>
  <c r="G349" i="34"/>
  <c r="F349" i="34"/>
  <c r="J348" i="34"/>
  <c r="I348" i="34"/>
  <c r="H348" i="34"/>
  <c r="G348" i="34"/>
  <c r="F348" i="34"/>
  <c r="J347" i="34"/>
  <c r="I347" i="34"/>
  <c r="H347" i="34"/>
  <c r="G347" i="34"/>
  <c r="F347" i="34"/>
  <c r="J346" i="34"/>
  <c r="I346" i="34"/>
  <c r="H346" i="34"/>
  <c r="G346" i="34"/>
  <c r="F346" i="34"/>
  <c r="J345" i="34"/>
  <c r="I345" i="34"/>
  <c r="H345" i="34"/>
  <c r="G345" i="34"/>
  <c r="F345" i="34"/>
  <c r="J344" i="34"/>
  <c r="I344" i="34"/>
  <c r="H344" i="34"/>
  <c r="G344" i="34"/>
  <c r="F344" i="34"/>
  <c r="J343" i="34"/>
  <c r="I343" i="34"/>
  <c r="H343" i="34"/>
  <c r="G343" i="34"/>
  <c r="F343" i="34"/>
  <c r="J342" i="34"/>
  <c r="I342" i="34"/>
  <c r="H342" i="34"/>
  <c r="G342" i="34"/>
  <c r="F342" i="34"/>
  <c r="J341" i="34"/>
  <c r="I341" i="34"/>
  <c r="H341" i="34"/>
  <c r="G341" i="34"/>
  <c r="F341" i="34"/>
  <c r="J340" i="34"/>
  <c r="I340" i="34"/>
  <c r="H340" i="34"/>
  <c r="G340" i="34"/>
  <c r="F340" i="34"/>
  <c r="J339" i="34"/>
  <c r="I339" i="34"/>
  <c r="H339" i="34"/>
  <c r="G339" i="34"/>
  <c r="F339" i="34"/>
  <c r="J338" i="34"/>
  <c r="I338" i="34"/>
  <c r="H338" i="34"/>
  <c r="G338" i="34"/>
  <c r="F338" i="34"/>
  <c r="J337" i="34"/>
  <c r="I337" i="34"/>
  <c r="H337" i="34"/>
  <c r="G337" i="34"/>
  <c r="F337" i="34"/>
  <c r="J336" i="34"/>
  <c r="I336" i="34"/>
  <c r="H336" i="34"/>
  <c r="G336" i="34"/>
  <c r="F336" i="34"/>
  <c r="J335" i="34"/>
  <c r="I335" i="34"/>
  <c r="H335" i="34"/>
  <c r="G335" i="34"/>
  <c r="F335" i="34"/>
  <c r="J334" i="34"/>
  <c r="I334" i="34"/>
  <c r="H334" i="34"/>
  <c r="G334" i="34"/>
  <c r="F334" i="34"/>
  <c r="J333" i="34"/>
  <c r="I333" i="34"/>
  <c r="H333" i="34"/>
  <c r="G333" i="34"/>
  <c r="F333" i="34"/>
  <c r="J332" i="34"/>
  <c r="I332" i="34"/>
  <c r="H332" i="34"/>
  <c r="G332" i="34"/>
  <c r="F332" i="34"/>
  <c r="J331" i="34"/>
  <c r="I331" i="34"/>
  <c r="H331" i="34"/>
  <c r="G331" i="34"/>
  <c r="F331" i="34"/>
  <c r="J330" i="34"/>
  <c r="I330" i="34"/>
  <c r="H330" i="34"/>
  <c r="G330" i="34"/>
  <c r="F330" i="34"/>
  <c r="J329" i="34"/>
  <c r="I329" i="34"/>
  <c r="H329" i="34"/>
  <c r="G329" i="34"/>
  <c r="F329" i="34"/>
  <c r="J328" i="34"/>
  <c r="I328" i="34"/>
  <c r="H328" i="34"/>
  <c r="G328" i="34"/>
  <c r="F328" i="34"/>
  <c r="J327" i="34"/>
  <c r="I327" i="34"/>
  <c r="H327" i="34"/>
  <c r="G327" i="34"/>
  <c r="F327" i="34"/>
  <c r="J326" i="34"/>
  <c r="I326" i="34"/>
  <c r="H326" i="34"/>
  <c r="G326" i="34"/>
  <c r="F326" i="34"/>
  <c r="J325" i="34"/>
  <c r="I325" i="34"/>
  <c r="H325" i="34"/>
  <c r="G325" i="34"/>
  <c r="F325" i="34"/>
  <c r="J324" i="34"/>
  <c r="I324" i="34"/>
  <c r="H324" i="34"/>
  <c r="G324" i="34"/>
  <c r="F324" i="34"/>
  <c r="J323" i="34"/>
  <c r="I323" i="34"/>
  <c r="H323" i="34"/>
  <c r="G323" i="34"/>
  <c r="F323" i="34"/>
  <c r="J322" i="34"/>
  <c r="I322" i="34"/>
  <c r="H322" i="34"/>
  <c r="G322" i="34"/>
  <c r="F322" i="34"/>
  <c r="J321" i="34"/>
  <c r="I321" i="34"/>
  <c r="H321" i="34"/>
  <c r="G321" i="34"/>
  <c r="F321" i="34"/>
  <c r="J320" i="34"/>
  <c r="I320" i="34"/>
  <c r="H320" i="34"/>
  <c r="G320" i="34"/>
  <c r="F320" i="34"/>
  <c r="J319" i="34"/>
  <c r="I319" i="34"/>
  <c r="H319" i="34"/>
  <c r="G319" i="34"/>
  <c r="F319" i="34"/>
  <c r="J318" i="34"/>
  <c r="I318" i="34"/>
  <c r="H318" i="34"/>
  <c r="G318" i="34"/>
  <c r="F318" i="34"/>
  <c r="J317" i="34"/>
  <c r="I317" i="34"/>
  <c r="H317" i="34"/>
  <c r="G317" i="34"/>
  <c r="F317" i="34"/>
  <c r="J316" i="34"/>
  <c r="I316" i="34"/>
  <c r="H316" i="34"/>
  <c r="G316" i="34"/>
  <c r="F316" i="34"/>
  <c r="J315" i="34"/>
  <c r="I315" i="34"/>
  <c r="H315" i="34"/>
  <c r="G315" i="34"/>
  <c r="F315" i="34"/>
  <c r="J314" i="34"/>
  <c r="I314" i="34"/>
  <c r="H314" i="34"/>
  <c r="G314" i="34"/>
  <c r="F314" i="34"/>
  <c r="J313" i="34"/>
  <c r="I313" i="34"/>
  <c r="H313" i="34"/>
  <c r="G313" i="34"/>
  <c r="F313" i="34"/>
  <c r="J312" i="34"/>
  <c r="I312" i="34"/>
  <c r="H312" i="34"/>
  <c r="G312" i="34"/>
  <c r="F312" i="34"/>
  <c r="J311" i="34"/>
  <c r="I311" i="34"/>
  <c r="H311" i="34"/>
  <c r="G311" i="34"/>
  <c r="F311" i="34"/>
  <c r="J310" i="34"/>
  <c r="I310" i="34"/>
  <c r="H310" i="34"/>
  <c r="G310" i="34"/>
  <c r="F310" i="34"/>
  <c r="J309" i="34"/>
  <c r="I309" i="34"/>
  <c r="H309" i="34"/>
  <c r="G309" i="34"/>
  <c r="F309" i="34"/>
  <c r="J308" i="34"/>
  <c r="I308" i="34"/>
  <c r="H308" i="34"/>
  <c r="G308" i="34"/>
  <c r="F308" i="34"/>
  <c r="J307" i="34"/>
  <c r="I307" i="34"/>
  <c r="H307" i="34"/>
  <c r="G307" i="34"/>
  <c r="F307" i="34"/>
  <c r="J306" i="34"/>
  <c r="I306" i="34"/>
  <c r="H306" i="34"/>
  <c r="G306" i="34"/>
  <c r="F306" i="34"/>
  <c r="J305" i="34"/>
  <c r="I305" i="34"/>
  <c r="H305" i="34"/>
  <c r="G305" i="34"/>
  <c r="F305" i="34"/>
  <c r="J304" i="34"/>
  <c r="I304" i="34"/>
  <c r="H304" i="34"/>
  <c r="G304" i="34"/>
  <c r="F304" i="34"/>
  <c r="J303" i="34"/>
  <c r="I303" i="34"/>
  <c r="H303" i="34"/>
  <c r="G303" i="34"/>
  <c r="F303" i="34"/>
  <c r="J302" i="34"/>
  <c r="I302" i="34"/>
  <c r="H302" i="34"/>
  <c r="G302" i="34"/>
  <c r="F302" i="34"/>
  <c r="J301" i="34"/>
  <c r="I301" i="34"/>
  <c r="H301" i="34"/>
  <c r="G301" i="34"/>
  <c r="F301" i="34"/>
  <c r="J300" i="34"/>
  <c r="I300" i="34"/>
  <c r="H300" i="34"/>
  <c r="G300" i="34"/>
  <c r="F300" i="34"/>
  <c r="J299" i="34"/>
  <c r="I299" i="34"/>
  <c r="H299" i="34"/>
  <c r="G299" i="34"/>
  <c r="F299" i="34"/>
  <c r="J298" i="34"/>
  <c r="I298" i="34"/>
  <c r="H298" i="34"/>
  <c r="G298" i="34"/>
  <c r="F298" i="34"/>
  <c r="J297" i="34"/>
  <c r="I297" i="34"/>
  <c r="H297" i="34"/>
  <c r="G297" i="34"/>
  <c r="F297" i="34"/>
  <c r="J296" i="34"/>
  <c r="I296" i="34"/>
  <c r="H296" i="34"/>
  <c r="G296" i="34"/>
  <c r="F296" i="34"/>
  <c r="J295" i="34"/>
  <c r="I295" i="34"/>
  <c r="H295" i="34"/>
  <c r="G295" i="34"/>
  <c r="F295" i="34"/>
  <c r="J294" i="34"/>
  <c r="I294" i="34"/>
  <c r="H294" i="34"/>
  <c r="G294" i="34"/>
  <c r="F294" i="34"/>
  <c r="J293" i="34"/>
  <c r="I293" i="34"/>
  <c r="H293" i="34"/>
  <c r="G293" i="34"/>
  <c r="F293" i="34"/>
  <c r="J292" i="34"/>
  <c r="I292" i="34"/>
  <c r="H292" i="34"/>
  <c r="G292" i="34"/>
  <c r="F292" i="34"/>
  <c r="J291" i="34"/>
  <c r="I291" i="34"/>
  <c r="H291" i="34"/>
  <c r="G291" i="34"/>
  <c r="F291" i="34"/>
  <c r="J290" i="34"/>
  <c r="I290" i="34"/>
  <c r="H290" i="34"/>
  <c r="G290" i="34"/>
  <c r="F290" i="34"/>
  <c r="J289" i="34"/>
  <c r="I289" i="34"/>
  <c r="H289" i="34"/>
  <c r="G289" i="34"/>
  <c r="F289" i="34"/>
  <c r="J288" i="34"/>
  <c r="I288" i="34"/>
  <c r="H288" i="34"/>
  <c r="G288" i="34"/>
  <c r="F288" i="34"/>
  <c r="J287" i="34"/>
  <c r="I287" i="34"/>
  <c r="H287" i="34"/>
  <c r="G287" i="34"/>
  <c r="F287" i="34"/>
  <c r="J286" i="34"/>
  <c r="I286" i="34"/>
  <c r="H286" i="34"/>
  <c r="G286" i="34"/>
  <c r="F286" i="34"/>
  <c r="J285" i="34"/>
  <c r="I285" i="34"/>
  <c r="H285" i="34"/>
  <c r="G285" i="34"/>
  <c r="F285" i="34"/>
  <c r="J284" i="34"/>
  <c r="I284" i="34"/>
  <c r="H284" i="34"/>
  <c r="G284" i="34"/>
  <c r="F284" i="34"/>
  <c r="J283" i="34"/>
  <c r="I283" i="34"/>
  <c r="H283" i="34"/>
  <c r="G283" i="34"/>
  <c r="F283" i="34"/>
  <c r="J282" i="34"/>
  <c r="I282" i="34"/>
  <c r="H282" i="34"/>
  <c r="G282" i="34"/>
  <c r="F282" i="34"/>
  <c r="J281" i="34"/>
  <c r="I281" i="34"/>
  <c r="H281" i="34"/>
  <c r="G281" i="34"/>
  <c r="F281" i="34"/>
  <c r="J280" i="34"/>
  <c r="I280" i="34"/>
  <c r="H280" i="34"/>
  <c r="G280" i="34"/>
  <c r="F280" i="34"/>
  <c r="J279" i="34"/>
  <c r="I279" i="34"/>
  <c r="H279" i="34"/>
  <c r="G279" i="34"/>
  <c r="F279" i="34"/>
  <c r="J278" i="34"/>
  <c r="I278" i="34"/>
  <c r="H278" i="34"/>
  <c r="G278" i="34"/>
  <c r="F278" i="34"/>
  <c r="J277" i="34"/>
  <c r="I277" i="34"/>
  <c r="H277" i="34"/>
  <c r="G277" i="34"/>
  <c r="F277" i="34"/>
  <c r="J276" i="34"/>
  <c r="I276" i="34"/>
  <c r="H276" i="34"/>
  <c r="G276" i="34"/>
  <c r="F276" i="34"/>
  <c r="J275" i="34"/>
  <c r="I275" i="34"/>
  <c r="H275" i="34"/>
  <c r="G275" i="34"/>
  <c r="F275" i="34"/>
  <c r="J274" i="34"/>
  <c r="I274" i="34"/>
  <c r="H274" i="34"/>
  <c r="G274" i="34"/>
  <c r="F274" i="34"/>
  <c r="J273" i="34"/>
  <c r="I273" i="34"/>
  <c r="H273" i="34"/>
  <c r="G273" i="34"/>
  <c r="F273" i="34"/>
  <c r="J272" i="34"/>
  <c r="I272" i="34"/>
  <c r="H272" i="34"/>
  <c r="G272" i="34"/>
  <c r="F272" i="34"/>
  <c r="J271" i="34"/>
  <c r="I271" i="34"/>
  <c r="H271" i="34"/>
  <c r="G271" i="34"/>
  <c r="F271" i="34"/>
  <c r="J270" i="34"/>
  <c r="I270" i="34"/>
  <c r="H270" i="34"/>
  <c r="G270" i="34"/>
  <c r="F270" i="34"/>
  <c r="J269" i="34"/>
  <c r="I269" i="34"/>
  <c r="H269" i="34"/>
  <c r="G269" i="34"/>
  <c r="F269" i="34"/>
  <c r="J268" i="34"/>
  <c r="I268" i="34"/>
  <c r="H268" i="34"/>
  <c r="G268" i="34"/>
  <c r="F268" i="34"/>
  <c r="J267" i="34"/>
  <c r="I267" i="34"/>
  <c r="H267" i="34"/>
  <c r="G267" i="34"/>
  <c r="F267" i="34"/>
  <c r="J266" i="34"/>
  <c r="I266" i="34"/>
  <c r="H266" i="34"/>
  <c r="G266" i="34"/>
  <c r="F266" i="34"/>
  <c r="J265" i="34"/>
  <c r="I265" i="34"/>
  <c r="H265" i="34"/>
  <c r="G265" i="34"/>
  <c r="F265" i="34"/>
  <c r="J264" i="34"/>
  <c r="I264" i="34"/>
  <c r="H264" i="34"/>
  <c r="G264" i="34"/>
  <c r="F264" i="34"/>
  <c r="J263" i="34"/>
  <c r="I263" i="34"/>
  <c r="H263" i="34"/>
  <c r="G263" i="34"/>
  <c r="F263" i="34"/>
  <c r="J262" i="34"/>
  <c r="I262" i="34"/>
  <c r="H262" i="34"/>
  <c r="G262" i="34"/>
  <c r="F262" i="34"/>
  <c r="J261" i="34"/>
  <c r="I261" i="34"/>
  <c r="H261" i="34"/>
  <c r="G261" i="34"/>
  <c r="F261" i="34"/>
  <c r="J260" i="34"/>
  <c r="I260" i="34"/>
  <c r="H260" i="34"/>
  <c r="G260" i="34"/>
  <c r="F260" i="34"/>
  <c r="J259" i="34"/>
  <c r="I259" i="34"/>
  <c r="H259" i="34"/>
  <c r="G259" i="34"/>
  <c r="F259" i="34"/>
  <c r="J258" i="34"/>
  <c r="I258" i="34"/>
  <c r="H258" i="34"/>
  <c r="G258" i="34"/>
  <c r="F258" i="34"/>
  <c r="J257" i="34"/>
  <c r="I257" i="34"/>
  <c r="H257" i="34"/>
  <c r="G257" i="34"/>
  <c r="F257" i="34"/>
  <c r="J256" i="34"/>
  <c r="I256" i="34"/>
  <c r="H256" i="34"/>
  <c r="G256" i="34"/>
  <c r="F256" i="34"/>
  <c r="J255" i="34"/>
  <c r="I255" i="34"/>
  <c r="H255" i="34"/>
  <c r="G255" i="34"/>
  <c r="F255" i="34"/>
  <c r="J254" i="34"/>
  <c r="I254" i="34"/>
  <c r="H254" i="34"/>
  <c r="G254" i="34"/>
  <c r="F254" i="34"/>
  <c r="J253" i="34"/>
  <c r="I253" i="34"/>
  <c r="H253" i="34"/>
  <c r="G253" i="34"/>
  <c r="F253" i="34"/>
  <c r="J252" i="34"/>
  <c r="I252" i="34"/>
  <c r="H252" i="34"/>
  <c r="G252" i="34"/>
  <c r="F252" i="34"/>
  <c r="J251" i="34"/>
  <c r="I251" i="34"/>
  <c r="H251" i="34"/>
  <c r="G251" i="34"/>
  <c r="F251" i="34"/>
  <c r="J250" i="34"/>
  <c r="I250" i="34"/>
  <c r="H250" i="34"/>
  <c r="G250" i="34"/>
  <c r="F250" i="34"/>
  <c r="J249" i="34"/>
  <c r="I249" i="34"/>
  <c r="H249" i="34"/>
  <c r="G249" i="34"/>
  <c r="F249" i="34"/>
  <c r="J248" i="34"/>
  <c r="I248" i="34"/>
  <c r="H248" i="34"/>
  <c r="G248" i="34"/>
  <c r="F248" i="34"/>
  <c r="J247" i="34"/>
  <c r="I247" i="34"/>
  <c r="H247" i="34"/>
  <c r="G247" i="34"/>
  <c r="F247" i="34"/>
  <c r="J246" i="34"/>
  <c r="I246" i="34"/>
  <c r="H246" i="34"/>
  <c r="G246" i="34"/>
  <c r="F246" i="34"/>
  <c r="F243" i="34"/>
  <c r="E243" i="34"/>
  <c r="D243" i="34"/>
  <c r="C243" i="34"/>
  <c r="J241" i="34"/>
  <c r="I241" i="34"/>
  <c r="H241" i="34"/>
  <c r="G241" i="34"/>
  <c r="J240" i="34"/>
  <c r="I240" i="34"/>
  <c r="H240" i="34"/>
  <c r="G240" i="34"/>
  <c r="J239" i="34"/>
  <c r="I239" i="34"/>
  <c r="K239" i="34" s="1"/>
  <c r="H239" i="34"/>
  <c r="G239" i="34"/>
  <c r="J238" i="34"/>
  <c r="I238" i="34"/>
  <c r="H238" i="34"/>
  <c r="G238" i="34"/>
  <c r="J237" i="34"/>
  <c r="I237" i="34"/>
  <c r="H237" i="34"/>
  <c r="G237" i="34"/>
  <c r="J236" i="34"/>
  <c r="I236" i="34"/>
  <c r="K236" i="34" s="1"/>
  <c r="H236" i="34"/>
  <c r="G236" i="34"/>
  <c r="J235" i="34"/>
  <c r="I235" i="34"/>
  <c r="H235" i="34"/>
  <c r="G235" i="34"/>
  <c r="J234" i="34"/>
  <c r="I234" i="34"/>
  <c r="H234" i="34"/>
  <c r="G234" i="34"/>
  <c r="J233" i="34"/>
  <c r="I233" i="34"/>
  <c r="H233" i="34"/>
  <c r="G233" i="34"/>
  <c r="J232" i="34"/>
  <c r="I232" i="34"/>
  <c r="H232" i="34"/>
  <c r="G232" i="34"/>
  <c r="J231" i="34"/>
  <c r="I231" i="34"/>
  <c r="H231" i="34"/>
  <c r="G231" i="34"/>
  <c r="J230" i="34"/>
  <c r="I230" i="34"/>
  <c r="H230" i="34"/>
  <c r="G230" i="34"/>
  <c r="J229" i="34"/>
  <c r="I229" i="34"/>
  <c r="H229" i="34"/>
  <c r="G229" i="34"/>
  <c r="J228" i="34"/>
  <c r="I228" i="34"/>
  <c r="H228" i="34"/>
  <c r="G228" i="34"/>
  <c r="J227" i="34"/>
  <c r="I227" i="34"/>
  <c r="H227" i="34"/>
  <c r="G227" i="34"/>
  <c r="J226" i="34"/>
  <c r="I226" i="34"/>
  <c r="H226" i="34"/>
  <c r="G226" i="34"/>
  <c r="J225" i="34"/>
  <c r="I225" i="34"/>
  <c r="H225" i="34"/>
  <c r="G225" i="34"/>
  <c r="J224" i="34"/>
  <c r="I224" i="34"/>
  <c r="H224" i="34"/>
  <c r="G224" i="34"/>
  <c r="J223" i="34"/>
  <c r="I223" i="34"/>
  <c r="K223" i="34" s="1"/>
  <c r="H223" i="34"/>
  <c r="G223" i="34"/>
  <c r="J222" i="34"/>
  <c r="I222" i="34"/>
  <c r="H222" i="34"/>
  <c r="G222" i="34"/>
  <c r="J221" i="34"/>
  <c r="I221" i="34"/>
  <c r="H221" i="34"/>
  <c r="G221" i="34"/>
  <c r="J220" i="34"/>
  <c r="I220" i="34"/>
  <c r="K220" i="34" s="1"/>
  <c r="H220" i="34"/>
  <c r="G220" i="34"/>
  <c r="J219" i="34"/>
  <c r="I219" i="34"/>
  <c r="K219" i="34" s="1"/>
  <c r="H219" i="34"/>
  <c r="G219" i="34"/>
  <c r="J218" i="34"/>
  <c r="I218" i="34"/>
  <c r="K218" i="34" s="1"/>
  <c r="H218" i="34"/>
  <c r="G218" i="34"/>
  <c r="J217" i="34"/>
  <c r="I217" i="34"/>
  <c r="K217" i="34" s="1"/>
  <c r="H217" i="34"/>
  <c r="G217" i="34"/>
  <c r="J216" i="34"/>
  <c r="I216" i="34"/>
  <c r="K216" i="34" s="1"/>
  <c r="H216" i="34"/>
  <c r="G216" i="34"/>
  <c r="J215" i="34"/>
  <c r="I215" i="34"/>
  <c r="H215" i="34"/>
  <c r="G215" i="34"/>
  <c r="J214" i="34"/>
  <c r="I214" i="34"/>
  <c r="K214" i="34" s="1"/>
  <c r="H214" i="34"/>
  <c r="G214" i="34"/>
  <c r="J213" i="34"/>
  <c r="I213" i="34"/>
  <c r="H213" i="34"/>
  <c r="G213" i="34"/>
  <c r="J212" i="34"/>
  <c r="I212" i="34"/>
  <c r="K212" i="34" s="1"/>
  <c r="H212" i="34"/>
  <c r="G212" i="34"/>
  <c r="J211" i="34"/>
  <c r="I211" i="34"/>
  <c r="K211" i="34" s="1"/>
  <c r="H211" i="34"/>
  <c r="G211" i="34"/>
  <c r="J210" i="34"/>
  <c r="I210" i="34"/>
  <c r="K210" i="34" s="1"/>
  <c r="H210" i="34"/>
  <c r="G210" i="34"/>
  <c r="J209" i="34"/>
  <c r="I209" i="34"/>
  <c r="K209" i="34" s="1"/>
  <c r="H209" i="34"/>
  <c r="G209" i="34"/>
  <c r="J208" i="34"/>
  <c r="I208" i="34"/>
  <c r="K208" i="34" s="1"/>
  <c r="H208" i="34"/>
  <c r="G208" i="34"/>
  <c r="J207" i="34"/>
  <c r="I207" i="34"/>
  <c r="K207" i="34" s="1"/>
  <c r="H207" i="34"/>
  <c r="G207" i="34"/>
  <c r="J206" i="34"/>
  <c r="I206" i="34"/>
  <c r="K206" i="34" s="1"/>
  <c r="H206" i="34"/>
  <c r="G206" i="34"/>
  <c r="J205" i="34"/>
  <c r="I205" i="34"/>
  <c r="K205" i="34" s="1"/>
  <c r="H205" i="34"/>
  <c r="G205" i="34"/>
  <c r="J204" i="34"/>
  <c r="I204" i="34"/>
  <c r="K204" i="34" s="1"/>
  <c r="H204" i="34"/>
  <c r="G204" i="34"/>
  <c r="J203" i="34"/>
  <c r="I203" i="34"/>
  <c r="K203" i="34" s="1"/>
  <c r="H203" i="34"/>
  <c r="G203" i="34"/>
  <c r="J202" i="34"/>
  <c r="I202" i="34"/>
  <c r="K202" i="34" s="1"/>
  <c r="H202" i="34"/>
  <c r="G202" i="34"/>
  <c r="J201" i="34"/>
  <c r="I201" i="34"/>
  <c r="K201" i="34" s="1"/>
  <c r="H201" i="34"/>
  <c r="G201" i="34"/>
  <c r="J200" i="34"/>
  <c r="I200" i="34"/>
  <c r="K200" i="34" s="1"/>
  <c r="H200" i="34"/>
  <c r="G200" i="34"/>
  <c r="J199" i="34"/>
  <c r="I199" i="34"/>
  <c r="K199" i="34" s="1"/>
  <c r="H199" i="34"/>
  <c r="G199" i="34"/>
  <c r="J198" i="34"/>
  <c r="I198" i="34"/>
  <c r="K198" i="34" s="1"/>
  <c r="H198" i="34"/>
  <c r="G198" i="34"/>
  <c r="J197" i="34"/>
  <c r="I197" i="34"/>
  <c r="K197" i="34" s="1"/>
  <c r="H197" i="34"/>
  <c r="G197" i="34"/>
  <c r="J196" i="34"/>
  <c r="I196" i="34"/>
  <c r="K196" i="34" s="1"/>
  <c r="H196" i="34"/>
  <c r="G196" i="34"/>
  <c r="J195" i="34"/>
  <c r="I195" i="34"/>
  <c r="K195" i="34" s="1"/>
  <c r="H195" i="34"/>
  <c r="G195" i="34"/>
  <c r="J194" i="34"/>
  <c r="I194" i="34"/>
  <c r="K194" i="34" s="1"/>
  <c r="H194" i="34"/>
  <c r="G194" i="34"/>
  <c r="J193" i="34"/>
  <c r="I193" i="34"/>
  <c r="K193" i="34" s="1"/>
  <c r="H193" i="34"/>
  <c r="G193" i="34"/>
  <c r="J192" i="34"/>
  <c r="I192" i="34"/>
  <c r="H192" i="34"/>
  <c r="G192" i="34"/>
  <c r="J191" i="34"/>
  <c r="I191" i="34"/>
  <c r="K191" i="34" s="1"/>
  <c r="H191" i="34"/>
  <c r="G191" i="34"/>
  <c r="J190" i="34"/>
  <c r="I190" i="34"/>
  <c r="K190" i="34" s="1"/>
  <c r="H190" i="34"/>
  <c r="G190" i="34"/>
  <c r="J189" i="34"/>
  <c r="I189" i="34"/>
  <c r="K189" i="34" s="1"/>
  <c r="H189" i="34"/>
  <c r="G189" i="34"/>
  <c r="J188" i="34"/>
  <c r="I188" i="34"/>
  <c r="K188" i="34" s="1"/>
  <c r="H188" i="34"/>
  <c r="G188" i="34"/>
  <c r="J187" i="34"/>
  <c r="I187" i="34"/>
  <c r="K187" i="34" s="1"/>
  <c r="H187" i="34"/>
  <c r="G187" i="34"/>
  <c r="J186" i="34"/>
  <c r="I186" i="34"/>
  <c r="K186" i="34" s="1"/>
  <c r="H186" i="34"/>
  <c r="G186" i="34"/>
  <c r="J185" i="34"/>
  <c r="I185" i="34"/>
  <c r="K185" i="34" s="1"/>
  <c r="H185" i="34"/>
  <c r="G185" i="34"/>
  <c r="J184" i="34"/>
  <c r="I184" i="34"/>
  <c r="K184" i="34" s="1"/>
  <c r="H184" i="34"/>
  <c r="G184" i="34"/>
  <c r="J183" i="34"/>
  <c r="I183" i="34"/>
  <c r="K183" i="34" s="1"/>
  <c r="H183" i="34"/>
  <c r="G183" i="34"/>
  <c r="J182" i="34"/>
  <c r="I182" i="34"/>
  <c r="K182" i="34" s="1"/>
  <c r="H182" i="34"/>
  <c r="G182" i="34"/>
  <c r="J181" i="34"/>
  <c r="I181" i="34"/>
  <c r="K181" i="34" s="1"/>
  <c r="H181" i="34"/>
  <c r="G181" i="34"/>
  <c r="J180" i="34"/>
  <c r="I180" i="34"/>
  <c r="K180" i="34" s="1"/>
  <c r="H180" i="34"/>
  <c r="G180" i="34"/>
  <c r="J179" i="34"/>
  <c r="I179" i="34"/>
  <c r="K179" i="34" s="1"/>
  <c r="H179" i="34"/>
  <c r="G179" i="34"/>
  <c r="J178" i="34"/>
  <c r="I178" i="34"/>
  <c r="K178" i="34" s="1"/>
  <c r="H178" i="34"/>
  <c r="G178" i="34"/>
  <c r="J177" i="34"/>
  <c r="I177" i="34"/>
  <c r="K177" i="34" s="1"/>
  <c r="H177" i="34"/>
  <c r="G177" i="34"/>
  <c r="J176" i="34"/>
  <c r="I176" i="34"/>
  <c r="H176" i="34"/>
  <c r="G176" i="34"/>
  <c r="J175" i="34"/>
  <c r="I175" i="34"/>
  <c r="H175" i="34"/>
  <c r="G175" i="34"/>
  <c r="J174" i="34"/>
  <c r="I174" i="34"/>
  <c r="H174" i="34"/>
  <c r="G174" i="34"/>
  <c r="J173" i="34"/>
  <c r="I173" i="34"/>
  <c r="H173" i="34"/>
  <c r="G173" i="34"/>
  <c r="J172" i="34"/>
  <c r="I172" i="34"/>
  <c r="H172" i="34"/>
  <c r="G172" i="34"/>
  <c r="J171" i="34"/>
  <c r="I171" i="34"/>
  <c r="H171" i="34"/>
  <c r="G171" i="34"/>
  <c r="J170" i="34"/>
  <c r="I170" i="34"/>
  <c r="H170" i="34"/>
  <c r="G170" i="34"/>
  <c r="J169" i="34"/>
  <c r="I169" i="34"/>
  <c r="H169" i="34"/>
  <c r="G169" i="34"/>
  <c r="J168" i="34"/>
  <c r="I168" i="34"/>
  <c r="H168" i="34"/>
  <c r="G168" i="34"/>
  <c r="J167" i="34"/>
  <c r="I167" i="34"/>
  <c r="H167" i="34"/>
  <c r="G167" i="34"/>
  <c r="J166" i="34"/>
  <c r="I166" i="34"/>
  <c r="H166" i="34"/>
  <c r="G166" i="34"/>
  <c r="J165" i="34"/>
  <c r="I165" i="34"/>
  <c r="H165" i="34"/>
  <c r="G165" i="34"/>
  <c r="J164" i="34"/>
  <c r="I164" i="34"/>
  <c r="H164" i="34"/>
  <c r="G164" i="34"/>
  <c r="J163" i="34"/>
  <c r="I163" i="34"/>
  <c r="H163" i="34"/>
  <c r="G163" i="34"/>
  <c r="J162" i="34"/>
  <c r="I162" i="34"/>
  <c r="H162" i="34"/>
  <c r="G162" i="34"/>
  <c r="J161" i="34"/>
  <c r="I161" i="34"/>
  <c r="H161" i="34"/>
  <c r="G161" i="34"/>
  <c r="J160" i="34"/>
  <c r="I160" i="34"/>
  <c r="H160" i="34"/>
  <c r="G160" i="34"/>
  <c r="J159" i="34"/>
  <c r="I159" i="34"/>
  <c r="H159" i="34"/>
  <c r="G159" i="34"/>
  <c r="J158" i="34"/>
  <c r="I158" i="34"/>
  <c r="H158" i="34"/>
  <c r="G158" i="34"/>
  <c r="J157" i="34"/>
  <c r="I157" i="34"/>
  <c r="H157" i="34"/>
  <c r="G157" i="34"/>
  <c r="J156" i="34"/>
  <c r="I156" i="34"/>
  <c r="H156" i="34"/>
  <c r="G156" i="34"/>
  <c r="J155" i="34"/>
  <c r="I155" i="34"/>
  <c r="H155" i="34"/>
  <c r="G155" i="34"/>
  <c r="J154" i="34"/>
  <c r="I154" i="34"/>
  <c r="H154" i="34"/>
  <c r="G154" i="34"/>
  <c r="J153" i="34"/>
  <c r="I153" i="34"/>
  <c r="H153" i="34"/>
  <c r="G153" i="34"/>
  <c r="J152" i="34"/>
  <c r="I152" i="34"/>
  <c r="H152" i="34"/>
  <c r="G152" i="34"/>
  <c r="J151" i="34"/>
  <c r="I151" i="34"/>
  <c r="H151" i="34"/>
  <c r="G151" i="34"/>
  <c r="J150" i="34"/>
  <c r="I150" i="34"/>
  <c r="H150" i="34"/>
  <c r="G150" i="34"/>
  <c r="J149" i="34"/>
  <c r="I149" i="34"/>
  <c r="H149" i="34"/>
  <c r="G149" i="34"/>
  <c r="J148" i="34"/>
  <c r="I148" i="34"/>
  <c r="H148" i="34"/>
  <c r="G148" i="34"/>
  <c r="J147" i="34"/>
  <c r="I147" i="34"/>
  <c r="K147" i="34" s="1"/>
  <c r="H147" i="34"/>
  <c r="G147" i="34"/>
  <c r="J146" i="34"/>
  <c r="I146" i="34"/>
  <c r="H146" i="34"/>
  <c r="G146" i="34"/>
  <c r="J145" i="34"/>
  <c r="I145" i="34"/>
  <c r="H145" i="34"/>
  <c r="G145" i="34"/>
  <c r="J144" i="34"/>
  <c r="I144" i="34"/>
  <c r="H144" i="34"/>
  <c r="G144" i="34"/>
  <c r="J143" i="34"/>
  <c r="I143" i="34"/>
  <c r="H143" i="34"/>
  <c r="G143" i="34"/>
  <c r="J142" i="34"/>
  <c r="I142" i="34"/>
  <c r="H142" i="34"/>
  <c r="G142" i="34"/>
  <c r="J141" i="34"/>
  <c r="I141" i="34"/>
  <c r="H141" i="34"/>
  <c r="G141" i="34"/>
  <c r="J140" i="34"/>
  <c r="I140" i="34"/>
  <c r="H140" i="34"/>
  <c r="G140" i="34"/>
  <c r="J139" i="34"/>
  <c r="I139" i="34"/>
  <c r="H139" i="34"/>
  <c r="G139" i="34"/>
  <c r="J138" i="34"/>
  <c r="I138" i="34"/>
  <c r="H138" i="34"/>
  <c r="G138" i="34"/>
  <c r="J137" i="34"/>
  <c r="I137" i="34"/>
  <c r="H137" i="34"/>
  <c r="G137" i="34"/>
  <c r="J136" i="34"/>
  <c r="I136" i="34"/>
  <c r="H136" i="34"/>
  <c r="G136" i="34"/>
  <c r="J135" i="34"/>
  <c r="I135" i="34"/>
  <c r="H135" i="34"/>
  <c r="G135" i="34"/>
  <c r="J134" i="34"/>
  <c r="I134" i="34"/>
  <c r="H134" i="34"/>
  <c r="G134" i="34"/>
  <c r="J133" i="34"/>
  <c r="I133" i="34"/>
  <c r="H133" i="34"/>
  <c r="G133" i="34"/>
  <c r="J132" i="34"/>
  <c r="I132" i="34"/>
  <c r="H132" i="34"/>
  <c r="G132" i="34"/>
  <c r="J131" i="34"/>
  <c r="I131" i="34"/>
  <c r="H131" i="34"/>
  <c r="G131" i="34"/>
  <c r="J130" i="34"/>
  <c r="I130" i="34"/>
  <c r="H130" i="34"/>
  <c r="G130" i="34"/>
  <c r="J129" i="34"/>
  <c r="I129" i="34"/>
  <c r="H129" i="34"/>
  <c r="G129" i="34"/>
  <c r="J128" i="34"/>
  <c r="I128" i="34"/>
  <c r="H128" i="34"/>
  <c r="G128" i="34"/>
  <c r="J127" i="34"/>
  <c r="I127" i="34"/>
  <c r="H127" i="34"/>
  <c r="G127" i="34"/>
  <c r="J126" i="34"/>
  <c r="I126" i="34"/>
  <c r="H126" i="34"/>
  <c r="G126" i="34"/>
  <c r="J125" i="34"/>
  <c r="I125" i="34"/>
  <c r="H125" i="34"/>
  <c r="G125" i="34"/>
  <c r="J124" i="34"/>
  <c r="I124" i="34"/>
  <c r="H124" i="34"/>
  <c r="G124" i="34"/>
  <c r="J123" i="34"/>
  <c r="I123" i="34"/>
  <c r="H123" i="34"/>
  <c r="G123" i="34"/>
  <c r="J122" i="34"/>
  <c r="I122" i="34"/>
  <c r="H122" i="34"/>
  <c r="G122" i="34"/>
  <c r="J121" i="34"/>
  <c r="I121" i="34"/>
  <c r="H121" i="34"/>
  <c r="G121" i="34"/>
  <c r="J120" i="34"/>
  <c r="I120" i="34"/>
  <c r="H120" i="34"/>
  <c r="G120" i="34"/>
  <c r="J119" i="34"/>
  <c r="I119" i="34"/>
  <c r="H119" i="34"/>
  <c r="G119" i="34"/>
  <c r="J118" i="34"/>
  <c r="I118" i="34"/>
  <c r="H118" i="34"/>
  <c r="G118" i="34"/>
  <c r="J117" i="34"/>
  <c r="I117" i="34"/>
  <c r="H117" i="34"/>
  <c r="G117" i="34"/>
  <c r="J116" i="34"/>
  <c r="I116" i="34"/>
  <c r="H116" i="34"/>
  <c r="G116" i="34"/>
  <c r="J115" i="34"/>
  <c r="I115" i="34"/>
  <c r="H115" i="34"/>
  <c r="G115" i="34"/>
  <c r="J114" i="34"/>
  <c r="I114" i="34"/>
  <c r="H114" i="34"/>
  <c r="G114" i="34"/>
  <c r="J113" i="34"/>
  <c r="I113" i="34"/>
  <c r="H113" i="34"/>
  <c r="G113" i="34"/>
  <c r="J112" i="34"/>
  <c r="I112" i="34"/>
  <c r="H112" i="34"/>
  <c r="G112" i="34"/>
  <c r="J111" i="34"/>
  <c r="I111" i="34"/>
  <c r="H111" i="34"/>
  <c r="G111" i="34"/>
  <c r="J110" i="34"/>
  <c r="I110" i="34"/>
  <c r="H110" i="34"/>
  <c r="G110" i="34"/>
  <c r="J109" i="34"/>
  <c r="I109" i="34"/>
  <c r="H109" i="34"/>
  <c r="G109" i="34"/>
  <c r="J108" i="34"/>
  <c r="I108" i="34"/>
  <c r="H108" i="34"/>
  <c r="G108" i="34"/>
  <c r="J107" i="34"/>
  <c r="I107" i="34"/>
  <c r="H107" i="34"/>
  <c r="G107" i="34"/>
  <c r="J106" i="34"/>
  <c r="I106" i="34"/>
  <c r="H106" i="34"/>
  <c r="G106" i="34"/>
  <c r="J105" i="34"/>
  <c r="I105" i="34"/>
  <c r="H105" i="34"/>
  <c r="G105" i="34"/>
  <c r="J104" i="34"/>
  <c r="I104" i="34"/>
  <c r="H104" i="34"/>
  <c r="G104" i="34"/>
  <c r="J103" i="34"/>
  <c r="I103" i="34"/>
  <c r="H103" i="34"/>
  <c r="G103" i="34"/>
  <c r="J102" i="34"/>
  <c r="I102" i="34"/>
  <c r="H102" i="34"/>
  <c r="G102" i="34"/>
  <c r="J101" i="34"/>
  <c r="I101" i="34"/>
  <c r="H101" i="34"/>
  <c r="G101" i="34"/>
  <c r="J100" i="34"/>
  <c r="I100" i="34"/>
  <c r="H100" i="34"/>
  <c r="G100" i="34"/>
  <c r="J99" i="34"/>
  <c r="I99" i="34"/>
  <c r="H99" i="34"/>
  <c r="G99" i="34"/>
  <c r="J98" i="34"/>
  <c r="I98" i="34"/>
  <c r="H98" i="34"/>
  <c r="G98" i="34"/>
  <c r="J97" i="34"/>
  <c r="I97" i="34"/>
  <c r="H97" i="34"/>
  <c r="G97" i="34"/>
  <c r="J96" i="34"/>
  <c r="I96" i="34"/>
  <c r="H96" i="34"/>
  <c r="G96" i="34"/>
  <c r="J95" i="34"/>
  <c r="I95" i="34"/>
  <c r="H95" i="34"/>
  <c r="G95" i="34"/>
  <c r="J94" i="34"/>
  <c r="I94" i="34"/>
  <c r="H94" i="34"/>
  <c r="G94" i="34"/>
  <c r="J93" i="34"/>
  <c r="I93" i="34"/>
  <c r="H93" i="34"/>
  <c r="G93" i="34"/>
  <c r="J92" i="34"/>
  <c r="I92" i="34"/>
  <c r="H92" i="34"/>
  <c r="G92" i="34"/>
  <c r="J91" i="34"/>
  <c r="I91" i="34"/>
  <c r="H91" i="34"/>
  <c r="G91" i="34"/>
  <c r="J90" i="34"/>
  <c r="I90" i="34"/>
  <c r="H90" i="34"/>
  <c r="G90" i="34"/>
  <c r="J89" i="34"/>
  <c r="I89" i="34"/>
  <c r="H89" i="34"/>
  <c r="G89" i="34"/>
  <c r="J88" i="34"/>
  <c r="I88" i="34"/>
  <c r="H88" i="34"/>
  <c r="G88" i="34"/>
  <c r="J87" i="34"/>
  <c r="I87" i="34"/>
  <c r="H87" i="34"/>
  <c r="G87" i="34"/>
  <c r="J86" i="34"/>
  <c r="I86" i="34"/>
  <c r="H86" i="34"/>
  <c r="G86" i="34"/>
  <c r="J85" i="34"/>
  <c r="I85" i="34"/>
  <c r="H85" i="34"/>
  <c r="G85" i="34"/>
  <c r="J84" i="34"/>
  <c r="I84" i="34"/>
  <c r="H84" i="34"/>
  <c r="G84" i="34"/>
  <c r="J83" i="34"/>
  <c r="I83" i="34"/>
  <c r="H83" i="34"/>
  <c r="G83" i="34"/>
  <c r="J82" i="34"/>
  <c r="I82" i="34"/>
  <c r="H82" i="34"/>
  <c r="G82" i="34"/>
  <c r="J81" i="34"/>
  <c r="I81" i="34"/>
  <c r="H81" i="34"/>
  <c r="G81" i="34"/>
  <c r="J80" i="34"/>
  <c r="I80" i="34"/>
  <c r="H80" i="34"/>
  <c r="G80" i="34"/>
  <c r="J79" i="34"/>
  <c r="I79" i="34"/>
  <c r="H79" i="34"/>
  <c r="G79" i="34"/>
  <c r="J78" i="34"/>
  <c r="I78" i="34"/>
  <c r="H78" i="34"/>
  <c r="G78" i="34"/>
  <c r="J77" i="34"/>
  <c r="I77" i="34"/>
  <c r="H77" i="34"/>
  <c r="G77" i="34"/>
  <c r="J76" i="34"/>
  <c r="I76" i="34"/>
  <c r="H76" i="34"/>
  <c r="G76" i="34"/>
  <c r="J75" i="34"/>
  <c r="I75" i="34"/>
  <c r="H75" i="34"/>
  <c r="G75" i="34"/>
  <c r="J74" i="34"/>
  <c r="I74" i="34"/>
  <c r="H74" i="34"/>
  <c r="G74" i="34"/>
  <c r="J73" i="34"/>
  <c r="I73" i="34"/>
  <c r="H73" i="34"/>
  <c r="G73" i="34"/>
  <c r="J72" i="34"/>
  <c r="I72" i="34"/>
  <c r="H72" i="34"/>
  <c r="G72" i="34"/>
  <c r="J71" i="34"/>
  <c r="I71" i="34"/>
  <c r="H71" i="34"/>
  <c r="G71" i="34"/>
  <c r="J70" i="34"/>
  <c r="I70" i="34"/>
  <c r="H70" i="34"/>
  <c r="G70" i="34"/>
  <c r="J69" i="34"/>
  <c r="I69" i="34"/>
  <c r="H69" i="34"/>
  <c r="G69" i="34"/>
  <c r="J68" i="34"/>
  <c r="I68" i="34"/>
  <c r="H68" i="34"/>
  <c r="G68" i="34"/>
  <c r="J67" i="34"/>
  <c r="I67" i="34"/>
  <c r="H67" i="34"/>
  <c r="G67" i="34"/>
  <c r="J66" i="34"/>
  <c r="I66" i="34"/>
  <c r="H66" i="34"/>
  <c r="G66" i="34"/>
  <c r="J65" i="34"/>
  <c r="I65" i="34"/>
  <c r="H65" i="34"/>
  <c r="G65" i="34"/>
  <c r="J64" i="34"/>
  <c r="I64" i="34"/>
  <c r="H64" i="34"/>
  <c r="G64" i="34"/>
  <c r="J63" i="34"/>
  <c r="I63" i="34"/>
  <c r="H63" i="34"/>
  <c r="G63" i="34"/>
  <c r="J62" i="34"/>
  <c r="I62" i="34"/>
  <c r="H62" i="34"/>
  <c r="G62" i="34"/>
  <c r="J61" i="34"/>
  <c r="I61" i="34"/>
  <c r="H61" i="34"/>
  <c r="G61" i="34"/>
  <c r="J60" i="34"/>
  <c r="I60" i="34"/>
  <c r="H60" i="34"/>
  <c r="G60" i="34"/>
  <c r="J59" i="34"/>
  <c r="I59" i="34"/>
  <c r="H59" i="34"/>
  <c r="G59" i="34"/>
  <c r="J58" i="34"/>
  <c r="I58" i="34"/>
  <c r="H58" i="34"/>
  <c r="G58" i="34"/>
  <c r="J57" i="34"/>
  <c r="I57" i="34"/>
  <c r="H57" i="34"/>
  <c r="G57" i="34"/>
  <c r="J56" i="34"/>
  <c r="I56" i="34"/>
  <c r="H56" i="34"/>
  <c r="G56" i="34"/>
  <c r="J55" i="34"/>
  <c r="I55" i="34"/>
  <c r="H55" i="34"/>
  <c r="G55" i="34"/>
  <c r="J54" i="34"/>
  <c r="I54" i="34"/>
  <c r="H54" i="34"/>
  <c r="G54" i="34"/>
  <c r="J53" i="34"/>
  <c r="I53" i="34"/>
  <c r="H53" i="34"/>
  <c r="G53" i="34"/>
  <c r="J52" i="34"/>
  <c r="I52" i="34"/>
  <c r="H52" i="34"/>
  <c r="G52" i="34"/>
  <c r="J51" i="34"/>
  <c r="I51" i="34"/>
  <c r="H51" i="34"/>
  <c r="G51" i="34"/>
  <c r="J50" i="34"/>
  <c r="I50" i="34"/>
  <c r="H50" i="34"/>
  <c r="G50" i="34"/>
  <c r="J49" i="34"/>
  <c r="I49" i="34"/>
  <c r="H49" i="34"/>
  <c r="G49" i="34"/>
  <c r="J48" i="34"/>
  <c r="I48" i="34"/>
  <c r="H48" i="34"/>
  <c r="G48" i="34"/>
  <c r="J47" i="34"/>
  <c r="I47" i="34"/>
  <c r="H47" i="34"/>
  <c r="G47" i="34"/>
  <c r="J46" i="34"/>
  <c r="I46" i="34"/>
  <c r="H46" i="34"/>
  <c r="G46" i="34"/>
  <c r="J45" i="34"/>
  <c r="I45" i="34"/>
  <c r="H45" i="34"/>
  <c r="G45" i="34"/>
  <c r="J44" i="34"/>
  <c r="I44" i="34"/>
  <c r="H44" i="34"/>
  <c r="G44" i="34"/>
  <c r="J43" i="34"/>
  <c r="I43" i="34"/>
  <c r="H43" i="34"/>
  <c r="G43" i="34"/>
  <c r="J42" i="34"/>
  <c r="I42" i="34"/>
  <c r="H42" i="34"/>
  <c r="G42" i="34"/>
  <c r="J41" i="34"/>
  <c r="I41" i="34"/>
  <c r="H41" i="34"/>
  <c r="G41" i="34"/>
  <c r="J40" i="34"/>
  <c r="I40" i="34"/>
  <c r="H40" i="34"/>
  <c r="G40" i="34"/>
  <c r="J39" i="34"/>
  <c r="I39" i="34"/>
  <c r="H39" i="34"/>
  <c r="G39" i="34"/>
  <c r="J38" i="34"/>
  <c r="I38" i="34"/>
  <c r="H38" i="34"/>
  <c r="G38" i="34"/>
  <c r="J37" i="34"/>
  <c r="I37" i="34"/>
  <c r="H37" i="34"/>
  <c r="G37" i="34"/>
  <c r="J36" i="34"/>
  <c r="I36" i="34"/>
  <c r="H36" i="34"/>
  <c r="G36" i="34"/>
  <c r="J35" i="34"/>
  <c r="I35" i="34"/>
  <c r="H35" i="34"/>
  <c r="G35" i="34"/>
  <c r="J34" i="34"/>
  <c r="I34" i="34"/>
  <c r="H34" i="34"/>
  <c r="G34" i="34"/>
  <c r="J33" i="34"/>
  <c r="I33" i="34"/>
  <c r="H33" i="34"/>
  <c r="G33" i="34"/>
  <c r="J32" i="34"/>
  <c r="I32" i="34"/>
  <c r="H32" i="34"/>
  <c r="G32" i="34"/>
  <c r="J31" i="34"/>
  <c r="I31" i="34"/>
  <c r="H31" i="34"/>
  <c r="G31" i="34"/>
  <c r="J30" i="34"/>
  <c r="I30" i="34"/>
  <c r="H30" i="34"/>
  <c r="G30" i="34"/>
  <c r="J29" i="34"/>
  <c r="I29" i="34"/>
  <c r="H29" i="34"/>
  <c r="G29" i="34"/>
  <c r="J28" i="34"/>
  <c r="I28" i="34"/>
  <c r="H28" i="34"/>
  <c r="G28" i="34"/>
  <c r="J27" i="34"/>
  <c r="I27" i="34"/>
  <c r="H27" i="34"/>
  <c r="G27" i="34"/>
  <c r="J26" i="34"/>
  <c r="I26" i="34"/>
  <c r="H26" i="34"/>
  <c r="G26" i="34"/>
  <c r="J25" i="34"/>
  <c r="I25" i="34"/>
  <c r="H25" i="34"/>
  <c r="G25" i="34"/>
  <c r="J24" i="34"/>
  <c r="I24" i="34"/>
  <c r="H24" i="34"/>
  <c r="G24" i="34"/>
  <c r="J23" i="34"/>
  <c r="I23" i="34"/>
  <c r="H23" i="34"/>
  <c r="G23" i="34"/>
  <c r="J22" i="34"/>
  <c r="I22" i="34"/>
  <c r="H22" i="34"/>
  <c r="G22" i="34"/>
  <c r="J21" i="34"/>
  <c r="I21" i="34"/>
  <c r="H21" i="34"/>
  <c r="G21" i="34"/>
  <c r="J20" i="34"/>
  <c r="I20" i="34"/>
  <c r="H20" i="34"/>
  <c r="G20" i="34"/>
  <c r="J19" i="34"/>
  <c r="I19" i="34"/>
  <c r="H19" i="34"/>
  <c r="G19" i="34"/>
  <c r="J18" i="34"/>
  <c r="I18" i="34"/>
  <c r="H18" i="34"/>
  <c r="G18" i="34"/>
  <c r="J17" i="34"/>
  <c r="I17" i="34"/>
  <c r="H17" i="34"/>
  <c r="G17" i="34"/>
  <c r="J16" i="34"/>
  <c r="I16" i="34"/>
  <c r="H16" i="34"/>
  <c r="G16" i="34"/>
  <c r="J15" i="34"/>
  <c r="I15" i="34"/>
  <c r="H15" i="34"/>
  <c r="G15" i="34"/>
  <c r="J14" i="34"/>
  <c r="I14" i="34"/>
  <c r="H14" i="34"/>
  <c r="G14" i="34"/>
  <c r="J13" i="34"/>
  <c r="I13" i="34"/>
  <c r="H13" i="34"/>
  <c r="G13" i="34"/>
  <c r="J12" i="34"/>
  <c r="I12" i="34"/>
  <c r="H12" i="34"/>
  <c r="G12" i="34"/>
  <c r="J11" i="34"/>
  <c r="I11" i="34"/>
  <c r="H11" i="34"/>
  <c r="G11" i="34"/>
  <c r="J10" i="34"/>
  <c r="I10" i="34"/>
  <c r="H10" i="34"/>
  <c r="G10" i="34"/>
  <c r="J9" i="34"/>
  <c r="I9" i="34"/>
  <c r="H9" i="34"/>
  <c r="G9" i="34"/>
  <c r="J8" i="34"/>
  <c r="I8" i="34"/>
  <c r="H8" i="34"/>
  <c r="G8" i="34"/>
  <c r="J7" i="34"/>
  <c r="I7" i="34"/>
  <c r="H7" i="34"/>
  <c r="G7" i="34"/>
  <c r="J6" i="34"/>
  <c r="I6" i="34"/>
  <c r="H6" i="34"/>
  <c r="G6" i="34"/>
  <c r="J5" i="34"/>
  <c r="I5" i="34"/>
  <c r="H5" i="34"/>
  <c r="G5" i="34"/>
  <c r="J299" i="33"/>
  <c r="I299" i="33"/>
  <c r="H299" i="33"/>
  <c r="G299" i="33"/>
  <c r="F299" i="33"/>
  <c r="J298" i="33"/>
  <c r="I298" i="33"/>
  <c r="H298" i="33"/>
  <c r="G298" i="33"/>
  <c r="F298" i="33"/>
  <c r="Y180" i="25" s="1"/>
  <c r="J295" i="33"/>
  <c r="I295" i="33"/>
  <c r="H295" i="33"/>
  <c r="G295" i="33"/>
  <c r="E295" i="33"/>
  <c r="F295" i="33" s="1"/>
  <c r="J294" i="33"/>
  <c r="I294" i="33"/>
  <c r="H294" i="33"/>
  <c r="G294" i="33"/>
  <c r="F294" i="33"/>
  <c r="Y56" i="25" s="1"/>
  <c r="K56" i="25" s="1"/>
  <c r="J291" i="33"/>
  <c r="I291" i="33"/>
  <c r="H291" i="33"/>
  <c r="G291" i="33"/>
  <c r="F291" i="33"/>
  <c r="J290" i="33"/>
  <c r="I290" i="33"/>
  <c r="H290" i="33"/>
  <c r="G290" i="33"/>
  <c r="F290" i="33"/>
  <c r="J289" i="33"/>
  <c r="I289" i="33"/>
  <c r="H289" i="33"/>
  <c r="G289" i="33"/>
  <c r="F289" i="33"/>
  <c r="J288" i="33"/>
  <c r="I288" i="33"/>
  <c r="H288" i="33"/>
  <c r="G288" i="33"/>
  <c r="F288" i="33"/>
  <c r="J287" i="33"/>
  <c r="I287" i="33"/>
  <c r="H287" i="33"/>
  <c r="G287" i="33"/>
  <c r="F287" i="33"/>
  <c r="J286" i="33"/>
  <c r="I286" i="33"/>
  <c r="H286" i="33"/>
  <c r="G286" i="33"/>
  <c r="F286" i="33"/>
  <c r="J285" i="33"/>
  <c r="I285" i="33"/>
  <c r="H285" i="33"/>
  <c r="G285" i="33"/>
  <c r="F285" i="33"/>
  <c r="J284" i="33"/>
  <c r="I284" i="33"/>
  <c r="H284" i="33"/>
  <c r="G284" i="33"/>
  <c r="F284" i="33"/>
  <c r="J283" i="33"/>
  <c r="I283" i="33"/>
  <c r="H283" i="33"/>
  <c r="G283" i="33"/>
  <c r="F283" i="33"/>
  <c r="J282" i="33"/>
  <c r="I282" i="33"/>
  <c r="H282" i="33"/>
  <c r="G282" i="33"/>
  <c r="F282" i="33"/>
  <c r="J281" i="33"/>
  <c r="I281" i="33"/>
  <c r="H281" i="33"/>
  <c r="G281" i="33"/>
  <c r="F281" i="33"/>
  <c r="J280" i="33"/>
  <c r="I280" i="33"/>
  <c r="H280" i="33"/>
  <c r="G280" i="33"/>
  <c r="F280" i="33"/>
  <c r="J279" i="33"/>
  <c r="I279" i="33"/>
  <c r="H279" i="33"/>
  <c r="G279" i="33"/>
  <c r="F279" i="33"/>
  <c r="J278" i="33"/>
  <c r="I278" i="33"/>
  <c r="H278" i="33"/>
  <c r="G278" i="33"/>
  <c r="F278" i="33"/>
  <c r="J277" i="33"/>
  <c r="I277" i="33"/>
  <c r="H277" i="33"/>
  <c r="G277" i="33"/>
  <c r="F277" i="33"/>
  <c r="J276" i="33"/>
  <c r="I276" i="33"/>
  <c r="H276" i="33"/>
  <c r="G276" i="33"/>
  <c r="F276" i="33"/>
  <c r="J275" i="33"/>
  <c r="I275" i="33"/>
  <c r="H275" i="33"/>
  <c r="G275" i="33"/>
  <c r="F275" i="33"/>
  <c r="J274" i="33"/>
  <c r="I274" i="33"/>
  <c r="H274" i="33"/>
  <c r="G274" i="33"/>
  <c r="F274" i="33"/>
  <c r="J273" i="33"/>
  <c r="I273" i="33"/>
  <c r="H273" i="33"/>
  <c r="G273" i="33"/>
  <c r="F273" i="33"/>
  <c r="J272" i="33"/>
  <c r="I272" i="33"/>
  <c r="H272" i="33"/>
  <c r="G272" i="33"/>
  <c r="F272" i="33"/>
  <c r="J271" i="33"/>
  <c r="I271" i="33"/>
  <c r="H271" i="33"/>
  <c r="G271" i="33"/>
  <c r="F271" i="33"/>
  <c r="J270" i="33"/>
  <c r="I270" i="33"/>
  <c r="H270" i="33"/>
  <c r="G270" i="33"/>
  <c r="F270" i="33"/>
  <c r="J269" i="33"/>
  <c r="I269" i="33"/>
  <c r="H269" i="33"/>
  <c r="G269" i="33"/>
  <c r="F269" i="33"/>
  <c r="J268" i="33"/>
  <c r="I268" i="33"/>
  <c r="H268" i="33"/>
  <c r="G268" i="33"/>
  <c r="F268" i="33"/>
  <c r="J267" i="33"/>
  <c r="I267" i="33"/>
  <c r="H267" i="33"/>
  <c r="G267" i="33"/>
  <c r="F267" i="33"/>
  <c r="J266" i="33"/>
  <c r="I266" i="33"/>
  <c r="H266" i="33"/>
  <c r="G266" i="33"/>
  <c r="F266" i="33"/>
  <c r="J265" i="33"/>
  <c r="I265" i="33"/>
  <c r="H265" i="33"/>
  <c r="G265" i="33"/>
  <c r="F265" i="33"/>
  <c r="J264" i="33"/>
  <c r="I264" i="33"/>
  <c r="H264" i="33"/>
  <c r="G264" i="33"/>
  <c r="F264" i="33"/>
  <c r="J263" i="33"/>
  <c r="I263" i="33"/>
  <c r="H263" i="33"/>
  <c r="G263" i="33"/>
  <c r="F263" i="33"/>
  <c r="J262" i="33"/>
  <c r="I262" i="33"/>
  <c r="H262" i="33"/>
  <c r="G262" i="33"/>
  <c r="F262" i="33"/>
  <c r="J261" i="33"/>
  <c r="I261" i="33"/>
  <c r="H261" i="33"/>
  <c r="G261" i="33"/>
  <c r="F261" i="33"/>
  <c r="J260" i="33"/>
  <c r="I260" i="33"/>
  <c r="H260" i="33"/>
  <c r="G260" i="33"/>
  <c r="F260" i="33"/>
  <c r="J259" i="33"/>
  <c r="I259" i="33"/>
  <c r="H259" i="33"/>
  <c r="G259" i="33"/>
  <c r="F259" i="33"/>
  <c r="J258" i="33"/>
  <c r="I258" i="33"/>
  <c r="H258" i="33"/>
  <c r="G258" i="33"/>
  <c r="F258" i="33"/>
  <c r="J257" i="33"/>
  <c r="I257" i="33"/>
  <c r="H257" i="33"/>
  <c r="G257" i="33"/>
  <c r="F257" i="33"/>
  <c r="J256" i="33"/>
  <c r="I256" i="33"/>
  <c r="H256" i="33"/>
  <c r="G256" i="33"/>
  <c r="F256" i="33"/>
  <c r="J255" i="33"/>
  <c r="I255" i="33"/>
  <c r="H255" i="33"/>
  <c r="G255" i="33"/>
  <c r="F255" i="33"/>
  <c r="J254" i="33"/>
  <c r="I254" i="33"/>
  <c r="H254" i="33"/>
  <c r="G254" i="33"/>
  <c r="F254" i="33"/>
  <c r="J253" i="33"/>
  <c r="I253" i="33"/>
  <c r="H253" i="33"/>
  <c r="G253" i="33"/>
  <c r="F253" i="33"/>
  <c r="J252" i="33"/>
  <c r="I252" i="33"/>
  <c r="H252" i="33"/>
  <c r="G252" i="33"/>
  <c r="F252" i="33"/>
  <c r="J251" i="33"/>
  <c r="I251" i="33"/>
  <c r="H251" i="33"/>
  <c r="G251" i="33"/>
  <c r="F251" i="33"/>
  <c r="J250" i="33"/>
  <c r="I250" i="33"/>
  <c r="H250" i="33"/>
  <c r="G250" i="33"/>
  <c r="F250" i="33"/>
  <c r="J249" i="33"/>
  <c r="I249" i="33"/>
  <c r="H249" i="33"/>
  <c r="G249" i="33"/>
  <c r="F249" i="33"/>
  <c r="J184" i="18" s="1"/>
  <c r="J248" i="33"/>
  <c r="I248" i="33"/>
  <c r="H248" i="33"/>
  <c r="G248" i="33"/>
  <c r="F248" i="33"/>
  <c r="J185" i="18" s="1"/>
  <c r="J247" i="33"/>
  <c r="I247" i="33"/>
  <c r="H247" i="33"/>
  <c r="G247" i="33"/>
  <c r="F247" i="33"/>
  <c r="J186" i="18" s="1"/>
  <c r="J246" i="33"/>
  <c r="I246" i="33"/>
  <c r="H246" i="33"/>
  <c r="G246" i="33"/>
  <c r="F246" i="33"/>
  <c r="J188" i="18" s="1"/>
  <c r="J245" i="33"/>
  <c r="I245" i="33"/>
  <c r="H245" i="33"/>
  <c r="G245" i="33"/>
  <c r="F245" i="33"/>
  <c r="J189" i="18" s="1"/>
  <c r="J244" i="33"/>
  <c r="I244" i="33"/>
  <c r="H244" i="33"/>
  <c r="G244" i="33"/>
  <c r="F244" i="33"/>
  <c r="J193" i="18" s="1"/>
  <c r="F241" i="33"/>
  <c r="E241" i="33"/>
  <c r="D241" i="33"/>
  <c r="C241" i="33"/>
  <c r="J239" i="33"/>
  <c r="I239" i="33"/>
  <c r="H239" i="33"/>
  <c r="G239" i="33"/>
  <c r="J238" i="33"/>
  <c r="I238" i="33"/>
  <c r="H238" i="33"/>
  <c r="G238" i="33"/>
  <c r="J237" i="33"/>
  <c r="I237" i="33"/>
  <c r="H237" i="33"/>
  <c r="G237" i="33"/>
  <c r="J236" i="33"/>
  <c r="I236" i="33"/>
  <c r="H236" i="33"/>
  <c r="G236" i="33"/>
  <c r="J235" i="33"/>
  <c r="I235" i="33"/>
  <c r="H235" i="33"/>
  <c r="G235" i="33"/>
  <c r="J234" i="33"/>
  <c r="I234" i="33"/>
  <c r="H234" i="33"/>
  <c r="G234" i="33"/>
  <c r="J233" i="33"/>
  <c r="I233" i="33"/>
  <c r="H233" i="33"/>
  <c r="G233" i="33"/>
  <c r="J232" i="33"/>
  <c r="I232" i="33"/>
  <c r="H232" i="33"/>
  <c r="G232" i="33"/>
  <c r="J231" i="33"/>
  <c r="I231" i="33"/>
  <c r="H231" i="33"/>
  <c r="G231" i="33"/>
  <c r="J230" i="33"/>
  <c r="I230" i="33"/>
  <c r="H230" i="33"/>
  <c r="G230" i="33"/>
  <c r="J229" i="33"/>
  <c r="I229" i="33"/>
  <c r="H229" i="33"/>
  <c r="G229" i="33"/>
  <c r="J228" i="33"/>
  <c r="I228" i="33"/>
  <c r="H228" i="33"/>
  <c r="G228" i="33"/>
  <c r="J227" i="33"/>
  <c r="I227" i="33"/>
  <c r="H227" i="33"/>
  <c r="G227" i="33"/>
  <c r="J226" i="33"/>
  <c r="I226" i="33"/>
  <c r="H226" i="33"/>
  <c r="G226" i="33"/>
  <c r="J225" i="33"/>
  <c r="I225" i="33"/>
  <c r="H225" i="33"/>
  <c r="G225" i="33"/>
  <c r="J224" i="33"/>
  <c r="I224" i="33"/>
  <c r="H224" i="33"/>
  <c r="G224" i="33"/>
  <c r="J223" i="33"/>
  <c r="I223" i="33"/>
  <c r="H223" i="33"/>
  <c r="G223" i="33"/>
  <c r="J222" i="33"/>
  <c r="I222" i="33"/>
  <c r="H222" i="33"/>
  <c r="G222" i="33"/>
  <c r="J221" i="33"/>
  <c r="I221" i="33"/>
  <c r="H221" i="33"/>
  <c r="G221" i="33"/>
  <c r="J220" i="33"/>
  <c r="I220" i="33"/>
  <c r="H220" i="33"/>
  <c r="G220" i="33"/>
  <c r="J219" i="33"/>
  <c r="I219" i="33"/>
  <c r="H219" i="33"/>
  <c r="G219" i="33"/>
  <c r="J218" i="33"/>
  <c r="I218" i="33"/>
  <c r="H218" i="33"/>
  <c r="G218" i="33"/>
  <c r="J217" i="33"/>
  <c r="I217" i="33"/>
  <c r="H217" i="33"/>
  <c r="G217" i="33"/>
  <c r="J216" i="33"/>
  <c r="I216" i="33"/>
  <c r="H216" i="33"/>
  <c r="G216" i="33"/>
  <c r="J215" i="33"/>
  <c r="I215" i="33"/>
  <c r="H215" i="33"/>
  <c r="G215" i="33"/>
  <c r="J214" i="33"/>
  <c r="I214" i="33"/>
  <c r="H214" i="33"/>
  <c r="G214" i="33"/>
  <c r="J213" i="33"/>
  <c r="I213" i="33"/>
  <c r="H213" i="33"/>
  <c r="G213" i="33"/>
  <c r="J212" i="33"/>
  <c r="I212" i="33"/>
  <c r="H212" i="33"/>
  <c r="G212" i="33"/>
  <c r="J211" i="33"/>
  <c r="I211" i="33"/>
  <c r="H211" i="33"/>
  <c r="G211" i="33"/>
  <c r="J210" i="33"/>
  <c r="I210" i="33"/>
  <c r="H210" i="33"/>
  <c r="G210" i="33"/>
  <c r="J209" i="33"/>
  <c r="I209" i="33"/>
  <c r="H209" i="33"/>
  <c r="G209" i="33"/>
  <c r="J208" i="33"/>
  <c r="I208" i="33"/>
  <c r="H208" i="33"/>
  <c r="G208" i="33"/>
  <c r="J207" i="33"/>
  <c r="I207" i="33"/>
  <c r="H207" i="33"/>
  <c r="G207" i="33"/>
  <c r="J206" i="33"/>
  <c r="I206" i="33"/>
  <c r="H206" i="33"/>
  <c r="G206" i="33"/>
  <c r="J205" i="33"/>
  <c r="I205" i="33"/>
  <c r="H205" i="33"/>
  <c r="G205" i="33"/>
  <c r="J204" i="33"/>
  <c r="I204" i="33"/>
  <c r="H204" i="33"/>
  <c r="G204" i="33"/>
  <c r="J203" i="33"/>
  <c r="I203" i="33"/>
  <c r="H203" i="33"/>
  <c r="G203" i="33"/>
  <c r="J202" i="33"/>
  <c r="I202" i="33"/>
  <c r="H202" i="33"/>
  <c r="G202" i="33"/>
  <c r="J201" i="33"/>
  <c r="I201" i="33"/>
  <c r="H201" i="33"/>
  <c r="G201" i="33"/>
  <c r="J200" i="33"/>
  <c r="I200" i="33"/>
  <c r="H200" i="33"/>
  <c r="G200" i="33"/>
  <c r="J199" i="33"/>
  <c r="I199" i="33"/>
  <c r="H199" i="33"/>
  <c r="G199" i="33"/>
  <c r="J198" i="33"/>
  <c r="I198" i="33"/>
  <c r="H198" i="33"/>
  <c r="G198" i="33"/>
  <c r="J197" i="33"/>
  <c r="I197" i="33"/>
  <c r="H197" i="33"/>
  <c r="G197" i="33"/>
  <c r="J196" i="33"/>
  <c r="I196" i="33"/>
  <c r="H196" i="33"/>
  <c r="G196" i="33"/>
  <c r="J195" i="33"/>
  <c r="I195" i="33"/>
  <c r="H195" i="33"/>
  <c r="G195" i="33"/>
  <c r="J194" i="33"/>
  <c r="I194" i="33"/>
  <c r="H194" i="33"/>
  <c r="G194" i="33"/>
  <c r="J193" i="33"/>
  <c r="I193" i="33"/>
  <c r="H193" i="33"/>
  <c r="G193" i="33"/>
  <c r="J192" i="33"/>
  <c r="I192" i="33"/>
  <c r="H192" i="33"/>
  <c r="G192" i="33"/>
  <c r="J191" i="33"/>
  <c r="I191" i="33"/>
  <c r="H191" i="33"/>
  <c r="G191" i="33"/>
  <c r="J190" i="33"/>
  <c r="I190" i="33"/>
  <c r="H190" i="33"/>
  <c r="G190" i="33"/>
  <c r="J189" i="33"/>
  <c r="I189" i="33"/>
  <c r="H189" i="33"/>
  <c r="G189" i="33"/>
  <c r="J188" i="33"/>
  <c r="I188" i="33"/>
  <c r="H188" i="33"/>
  <c r="G188" i="33"/>
  <c r="J187" i="33"/>
  <c r="I187" i="33"/>
  <c r="H187" i="33"/>
  <c r="G187" i="33"/>
  <c r="J186" i="33"/>
  <c r="I186" i="33"/>
  <c r="H186" i="33"/>
  <c r="G186" i="33"/>
  <c r="J185" i="33"/>
  <c r="I185" i="33"/>
  <c r="H185" i="33"/>
  <c r="G185" i="33"/>
  <c r="J184" i="33"/>
  <c r="I184" i="33"/>
  <c r="H184" i="33"/>
  <c r="G184" i="33"/>
  <c r="J183" i="33"/>
  <c r="I183" i="33"/>
  <c r="H183" i="33"/>
  <c r="G183" i="33"/>
  <c r="J182" i="33"/>
  <c r="I182" i="33"/>
  <c r="H182" i="33"/>
  <c r="G182" i="33"/>
  <c r="J181" i="33"/>
  <c r="I181" i="33"/>
  <c r="H181" i="33"/>
  <c r="G181" i="33"/>
  <c r="J180" i="33"/>
  <c r="I180" i="33"/>
  <c r="H180" i="33"/>
  <c r="G180" i="33"/>
  <c r="J179" i="33"/>
  <c r="I179" i="33"/>
  <c r="H179" i="33"/>
  <c r="G179" i="33"/>
  <c r="J178" i="33"/>
  <c r="I178" i="33"/>
  <c r="H178" i="33"/>
  <c r="G178" i="33"/>
  <c r="J177" i="33"/>
  <c r="I177" i="33"/>
  <c r="H177" i="33"/>
  <c r="G177" i="33"/>
  <c r="J176" i="33"/>
  <c r="I176" i="33"/>
  <c r="H176" i="33"/>
  <c r="G176" i="33"/>
  <c r="J175" i="33"/>
  <c r="I175" i="33"/>
  <c r="H175" i="33"/>
  <c r="G175" i="33"/>
  <c r="J174" i="33"/>
  <c r="I174" i="33"/>
  <c r="H174" i="33"/>
  <c r="G174" i="33"/>
  <c r="J173" i="33"/>
  <c r="I173" i="33"/>
  <c r="H173" i="33"/>
  <c r="G173" i="33"/>
  <c r="J172" i="33"/>
  <c r="I172" i="33"/>
  <c r="H172" i="33"/>
  <c r="G172" i="33"/>
  <c r="J171" i="33"/>
  <c r="I171" i="33"/>
  <c r="H171" i="33"/>
  <c r="G171" i="33"/>
  <c r="J170" i="33"/>
  <c r="I170" i="33"/>
  <c r="H170" i="33"/>
  <c r="G170" i="33"/>
  <c r="J169" i="33"/>
  <c r="I169" i="33"/>
  <c r="H169" i="33"/>
  <c r="G169" i="33"/>
  <c r="J168" i="33"/>
  <c r="I168" i="33"/>
  <c r="H168" i="33"/>
  <c r="G168" i="33"/>
  <c r="J167" i="33"/>
  <c r="I167" i="33"/>
  <c r="H167" i="33"/>
  <c r="G167" i="33"/>
  <c r="J166" i="33"/>
  <c r="I166" i="33"/>
  <c r="H166" i="33"/>
  <c r="G166" i="33"/>
  <c r="J165" i="33"/>
  <c r="I165" i="33"/>
  <c r="H165" i="33"/>
  <c r="G165" i="33"/>
  <c r="J164" i="33"/>
  <c r="I164" i="33"/>
  <c r="H164" i="33"/>
  <c r="G164" i="33"/>
  <c r="J163" i="33"/>
  <c r="I163" i="33"/>
  <c r="H163" i="33"/>
  <c r="G163" i="33"/>
  <c r="J162" i="33"/>
  <c r="I162" i="33"/>
  <c r="H162" i="33"/>
  <c r="G162" i="33"/>
  <c r="J161" i="33"/>
  <c r="I161" i="33"/>
  <c r="H161" i="33"/>
  <c r="G161" i="33"/>
  <c r="J160" i="33"/>
  <c r="I160" i="33"/>
  <c r="H160" i="33"/>
  <c r="G160" i="33"/>
  <c r="J159" i="33"/>
  <c r="I159" i="33"/>
  <c r="H159" i="33"/>
  <c r="G159" i="33"/>
  <c r="J158" i="33"/>
  <c r="I158" i="33"/>
  <c r="H158" i="33"/>
  <c r="G158" i="33"/>
  <c r="J157" i="33"/>
  <c r="I157" i="33"/>
  <c r="H157" i="33"/>
  <c r="G157" i="33"/>
  <c r="J156" i="33"/>
  <c r="I156" i="33"/>
  <c r="H156" i="33"/>
  <c r="G156" i="33"/>
  <c r="J155" i="33"/>
  <c r="I155" i="33"/>
  <c r="H155" i="33"/>
  <c r="G155" i="33"/>
  <c r="J154" i="33"/>
  <c r="I154" i="33"/>
  <c r="H154" i="33"/>
  <c r="G154" i="33"/>
  <c r="J153" i="33"/>
  <c r="I153" i="33"/>
  <c r="H153" i="33"/>
  <c r="G153" i="33"/>
  <c r="J152" i="33"/>
  <c r="I152" i="33"/>
  <c r="H152" i="33"/>
  <c r="G152" i="33"/>
  <c r="J151" i="33"/>
  <c r="I151" i="33"/>
  <c r="H151" i="33"/>
  <c r="G151" i="33"/>
  <c r="J150" i="33"/>
  <c r="I150" i="33"/>
  <c r="H150" i="33"/>
  <c r="G150" i="33"/>
  <c r="J149" i="33"/>
  <c r="I149" i="33"/>
  <c r="H149" i="33"/>
  <c r="G149" i="33"/>
  <c r="J148" i="33"/>
  <c r="I148" i="33"/>
  <c r="H148" i="33"/>
  <c r="G148" i="33"/>
  <c r="J147" i="33"/>
  <c r="I147" i="33"/>
  <c r="H147" i="33"/>
  <c r="G147" i="33"/>
  <c r="J146" i="33"/>
  <c r="I146" i="33"/>
  <c r="H146" i="33"/>
  <c r="G146" i="33"/>
  <c r="J145" i="33"/>
  <c r="I145" i="33"/>
  <c r="H145" i="33"/>
  <c r="G145" i="33"/>
  <c r="J144" i="33"/>
  <c r="I144" i="33"/>
  <c r="H144" i="33"/>
  <c r="G144" i="33"/>
  <c r="J143" i="33"/>
  <c r="I143" i="33"/>
  <c r="H143" i="33"/>
  <c r="G143" i="33"/>
  <c r="J142" i="33"/>
  <c r="I142" i="33"/>
  <c r="H142" i="33"/>
  <c r="G142" i="33"/>
  <c r="J141" i="33"/>
  <c r="I141" i="33"/>
  <c r="H141" i="33"/>
  <c r="G141" i="33"/>
  <c r="J140" i="33"/>
  <c r="I140" i="33"/>
  <c r="H140" i="33"/>
  <c r="G140" i="33"/>
  <c r="J139" i="33"/>
  <c r="I139" i="33"/>
  <c r="H139" i="33"/>
  <c r="G139" i="33"/>
  <c r="J138" i="33"/>
  <c r="I138" i="33"/>
  <c r="H138" i="33"/>
  <c r="G138" i="33"/>
  <c r="J137" i="33"/>
  <c r="I137" i="33"/>
  <c r="H137" i="33"/>
  <c r="G137" i="33"/>
  <c r="J136" i="33"/>
  <c r="I136" i="33"/>
  <c r="H136" i="33"/>
  <c r="G136" i="33"/>
  <c r="J135" i="33"/>
  <c r="I135" i="33"/>
  <c r="H135" i="33"/>
  <c r="G135" i="33"/>
  <c r="J134" i="33"/>
  <c r="I134" i="33"/>
  <c r="H134" i="33"/>
  <c r="G134" i="33"/>
  <c r="J133" i="33"/>
  <c r="I133" i="33"/>
  <c r="H133" i="33"/>
  <c r="G133" i="33"/>
  <c r="J132" i="33"/>
  <c r="I132" i="33"/>
  <c r="H132" i="33"/>
  <c r="G132" i="33"/>
  <c r="J131" i="33"/>
  <c r="I131" i="33"/>
  <c r="H131" i="33"/>
  <c r="G131" i="33"/>
  <c r="J130" i="33"/>
  <c r="I130" i="33"/>
  <c r="H130" i="33"/>
  <c r="G130" i="33"/>
  <c r="J129" i="33"/>
  <c r="I129" i="33"/>
  <c r="H129" i="33"/>
  <c r="G129" i="33"/>
  <c r="J128" i="33"/>
  <c r="I128" i="33"/>
  <c r="H128" i="33"/>
  <c r="G128" i="33"/>
  <c r="J127" i="33"/>
  <c r="I127" i="33"/>
  <c r="H127" i="33"/>
  <c r="G127" i="33"/>
  <c r="J126" i="33"/>
  <c r="I126" i="33"/>
  <c r="H126" i="33"/>
  <c r="G126" i="33"/>
  <c r="J125" i="33"/>
  <c r="I125" i="33"/>
  <c r="H125" i="33"/>
  <c r="G125" i="33"/>
  <c r="J124" i="33"/>
  <c r="I124" i="33"/>
  <c r="H124" i="33"/>
  <c r="G124" i="33"/>
  <c r="J123" i="33"/>
  <c r="I123" i="33"/>
  <c r="H123" i="33"/>
  <c r="G123" i="33"/>
  <c r="J122" i="33"/>
  <c r="I122" i="33"/>
  <c r="H122" i="33"/>
  <c r="G122" i="33"/>
  <c r="J121" i="33"/>
  <c r="I121" i="33"/>
  <c r="H121" i="33"/>
  <c r="G121" i="33"/>
  <c r="J120" i="33"/>
  <c r="I120" i="33"/>
  <c r="H120" i="33"/>
  <c r="G120" i="33"/>
  <c r="J119" i="33"/>
  <c r="I119" i="33"/>
  <c r="H119" i="33"/>
  <c r="G119" i="33"/>
  <c r="J118" i="33"/>
  <c r="I118" i="33"/>
  <c r="H118" i="33"/>
  <c r="G118" i="33"/>
  <c r="J117" i="33"/>
  <c r="I117" i="33"/>
  <c r="H117" i="33"/>
  <c r="G117" i="33"/>
  <c r="J116" i="33"/>
  <c r="I116" i="33"/>
  <c r="H116" i="33"/>
  <c r="G116" i="33"/>
  <c r="J115" i="33"/>
  <c r="I115" i="33"/>
  <c r="H115" i="33"/>
  <c r="G115" i="33"/>
  <c r="J114" i="33"/>
  <c r="I114" i="33"/>
  <c r="H114" i="33"/>
  <c r="G114" i="33"/>
  <c r="J113" i="33"/>
  <c r="I113" i="33"/>
  <c r="H113" i="33"/>
  <c r="G113" i="33"/>
  <c r="J112" i="33"/>
  <c r="I112" i="33"/>
  <c r="H112" i="33"/>
  <c r="G112" i="33"/>
  <c r="J111" i="33"/>
  <c r="I111" i="33"/>
  <c r="H111" i="33"/>
  <c r="G111" i="33"/>
  <c r="J110" i="33"/>
  <c r="I110" i="33"/>
  <c r="H110" i="33"/>
  <c r="G110" i="33"/>
  <c r="J109" i="33"/>
  <c r="I109" i="33"/>
  <c r="H109" i="33"/>
  <c r="G109" i="33"/>
  <c r="J108" i="33"/>
  <c r="I108" i="33"/>
  <c r="H108" i="33"/>
  <c r="G108" i="33"/>
  <c r="J107" i="33"/>
  <c r="I107" i="33"/>
  <c r="H107" i="33"/>
  <c r="G107" i="33"/>
  <c r="J106" i="33"/>
  <c r="I106" i="33"/>
  <c r="H106" i="33"/>
  <c r="G106" i="33"/>
  <c r="J105" i="33"/>
  <c r="I105" i="33"/>
  <c r="H105" i="33"/>
  <c r="G105" i="33"/>
  <c r="J104" i="33"/>
  <c r="I104" i="33"/>
  <c r="H104" i="33"/>
  <c r="G104" i="33"/>
  <c r="J103" i="33"/>
  <c r="I103" i="33"/>
  <c r="H103" i="33"/>
  <c r="G103" i="33"/>
  <c r="J102" i="33"/>
  <c r="I102" i="33"/>
  <c r="H102" i="33"/>
  <c r="G102" i="33"/>
  <c r="J101" i="33"/>
  <c r="I101" i="33"/>
  <c r="H101" i="33"/>
  <c r="G101" i="33"/>
  <c r="J100" i="33"/>
  <c r="I100" i="33"/>
  <c r="H100" i="33"/>
  <c r="G100" i="33"/>
  <c r="J99" i="33"/>
  <c r="I99" i="33"/>
  <c r="H99" i="33"/>
  <c r="G99" i="33"/>
  <c r="J98" i="33"/>
  <c r="I98" i="33"/>
  <c r="H98" i="33"/>
  <c r="G98" i="33"/>
  <c r="J97" i="33"/>
  <c r="I97" i="33"/>
  <c r="H97" i="33"/>
  <c r="G97" i="33"/>
  <c r="J96" i="33"/>
  <c r="I96" i="33"/>
  <c r="H96" i="33"/>
  <c r="G96" i="33"/>
  <c r="J95" i="33"/>
  <c r="I95" i="33"/>
  <c r="H95" i="33"/>
  <c r="G95" i="33"/>
  <c r="J94" i="33"/>
  <c r="I94" i="33"/>
  <c r="H94" i="33"/>
  <c r="G94" i="33"/>
  <c r="J93" i="33"/>
  <c r="I93" i="33"/>
  <c r="H93" i="33"/>
  <c r="G93" i="33"/>
  <c r="J92" i="33"/>
  <c r="I92" i="33"/>
  <c r="H92" i="33"/>
  <c r="G92" i="33"/>
  <c r="J91" i="33"/>
  <c r="I91" i="33"/>
  <c r="H91" i="33"/>
  <c r="G91" i="33"/>
  <c r="J90" i="33"/>
  <c r="I90" i="33"/>
  <c r="H90" i="33"/>
  <c r="G90" i="33"/>
  <c r="J89" i="33"/>
  <c r="I89" i="33"/>
  <c r="H89" i="33"/>
  <c r="G89" i="33"/>
  <c r="J88" i="33"/>
  <c r="I88" i="33"/>
  <c r="H88" i="33"/>
  <c r="G88" i="33"/>
  <c r="J87" i="33"/>
  <c r="I87" i="33"/>
  <c r="H87" i="33"/>
  <c r="G87" i="33"/>
  <c r="J86" i="33"/>
  <c r="I86" i="33"/>
  <c r="H86" i="33"/>
  <c r="G86" i="33"/>
  <c r="J85" i="33"/>
  <c r="I85" i="33"/>
  <c r="H85" i="33"/>
  <c r="G85" i="33"/>
  <c r="J84" i="33"/>
  <c r="I84" i="33"/>
  <c r="H84" i="33"/>
  <c r="G84" i="33"/>
  <c r="J83" i="33"/>
  <c r="I83" i="33"/>
  <c r="H83" i="33"/>
  <c r="G83" i="33"/>
  <c r="J82" i="33"/>
  <c r="I82" i="33"/>
  <c r="H82" i="33"/>
  <c r="G82" i="33"/>
  <c r="J81" i="33"/>
  <c r="I81" i="33"/>
  <c r="H81" i="33"/>
  <c r="G81" i="33"/>
  <c r="J80" i="33"/>
  <c r="I80" i="33"/>
  <c r="H80" i="33"/>
  <c r="G80" i="33"/>
  <c r="J79" i="33"/>
  <c r="I79" i="33"/>
  <c r="H79" i="33"/>
  <c r="G79" i="33"/>
  <c r="J78" i="33"/>
  <c r="I78" i="33"/>
  <c r="H78" i="33"/>
  <c r="G78" i="33"/>
  <c r="J77" i="33"/>
  <c r="I77" i="33"/>
  <c r="H77" i="33"/>
  <c r="G77" i="33"/>
  <c r="J76" i="33"/>
  <c r="I76" i="33"/>
  <c r="H76" i="33"/>
  <c r="G76" i="33"/>
  <c r="J75" i="33"/>
  <c r="I75" i="33"/>
  <c r="H75" i="33"/>
  <c r="G75" i="33"/>
  <c r="J74" i="33"/>
  <c r="I74" i="33"/>
  <c r="H74" i="33"/>
  <c r="G74" i="33"/>
  <c r="J73" i="33"/>
  <c r="I73" i="33"/>
  <c r="H73" i="33"/>
  <c r="G73" i="33"/>
  <c r="J72" i="33"/>
  <c r="I72" i="33"/>
  <c r="H72" i="33"/>
  <c r="G72" i="33"/>
  <c r="J71" i="33"/>
  <c r="I71" i="33"/>
  <c r="H71" i="33"/>
  <c r="G71" i="33"/>
  <c r="J70" i="33"/>
  <c r="I70" i="33"/>
  <c r="H70" i="33"/>
  <c r="G70" i="33"/>
  <c r="J69" i="33"/>
  <c r="I69" i="33"/>
  <c r="H69" i="33"/>
  <c r="G69" i="33"/>
  <c r="J68" i="33"/>
  <c r="I68" i="33"/>
  <c r="H68" i="33"/>
  <c r="G68" i="33"/>
  <c r="J67" i="33"/>
  <c r="I67" i="33"/>
  <c r="H67" i="33"/>
  <c r="G67" i="33"/>
  <c r="J66" i="33"/>
  <c r="I66" i="33"/>
  <c r="H66" i="33"/>
  <c r="G66" i="33"/>
  <c r="J65" i="33"/>
  <c r="I65" i="33"/>
  <c r="H65" i="33"/>
  <c r="G65" i="33"/>
  <c r="J64" i="33"/>
  <c r="I64" i="33"/>
  <c r="H64" i="33"/>
  <c r="G64" i="33"/>
  <c r="J63" i="33"/>
  <c r="I63" i="33"/>
  <c r="H63" i="33"/>
  <c r="G63" i="33"/>
  <c r="J62" i="33"/>
  <c r="I62" i="33"/>
  <c r="H62" i="33"/>
  <c r="G62" i="33"/>
  <c r="J61" i="33"/>
  <c r="I61" i="33"/>
  <c r="H61" i="33"/>
  <c r="G61" i="33"/>
  <c r="J60" i="33"/>
  <c r="I60" i="33"/>
  <c r="H60" i="33"/>
  <c r="G60" i="33"/>
  <c r="J59" i="33"/>
  <c r="I59" i="33"/>
  <c r="H59" i="33"/>
  <c r="G59" i="33"/>
  <c r="J58" i="33"/>
  <c r="I58" i="33"/>
  <c r="H58" i="33"/>
  <c r="G58" i="33"/>
  <c r="J57" i="33"/>
  <c r="I57" i="33"/>
  <c r="H57" i="33"/>
  <c r="G57" i="33"/>
  <c r="J56" i="33"/>
  <c r="I56" i="33"/>
  <c r="H56" i="33"/>
  <c r="G56" i="33"/>
  <c r="J55" i="33"/>
  <c r="I55" i="33"/>
  <c r="H55" i="33"/>
  <c r="G55" i="33"/>
  <c r="J54" i="33"/>
  <c r="I54" i="33"/>
  <c r="H54" i="33"/>
  <c r="G54" i="33"/>
  <c r="J53" i="33"/>
  <c r="I53" i="33"/>
  <c r="H53" i="33"/>
  <c r="G53" i="33"/>
  <c r="J52" i="33"/>
  <c r="I52" i="33"/>
  <c r="H52" i="33"/>
  <c r="G52" i="33"/>
  <c r="J51" i="33"/>
  <c r="I51" i="33"/>
  <c r="H51" i="33"/>
  <c r="G51" i="33"/>
  <c r="J50" i="33"/>
  <c r="I50" i="33"/>
  <c r="H50" i="33"/>
  <c r="G50" i="33"/>
  <c r="J49" i="33"/>
  <c r="I49" i="33"/>
  <c r="H49" i="33"/>
  <c r="G49" i="33"/>
  <c r="J48" i="33"/>
  <c r="I48" i="33"/>
  <c r="H48" i="33"/>
  <c r="G48" i="33"/>
  <c r="J47" i="33"/>
  <c r="I47" i="33"/>
  <c r="H47" i="33"/>
  <c r="G47" i="33"/>
  <c r="J46" i="33"/>
  <c r="I46" i="33"/>
  <c r="H46" i="33"/>
  <c r="G46" i="33"/>
  <c r="J45" i="33"/>
  <c r="I45" i="33"/>
  <c r="H45" i="33"/>
  <c r="G45" i="33"/>
  <c r="J44" i="33"/>
  <c r="I44" i="33"/>
  <c r="H44" i="33"/>
  <c r="G44" i="33"/>
  <c r="J43" i="33"/>
  <c r="I43" i="33"/>
  <c r="H43" i="33"/>
  <c r="G43" i="33"/>
  <c r="J42" i="33"/>
  <c r="I42" i="33"/>
  <c r="H42" i="33"/>
  <c r="G42" i="33"/>
  <c r="J41" i="33"/>
  <c r="I41" i="33"/>
  <c r="H41" i="33"/>
  <c r="G41" i="33"/>
  <c r="J40" i="33"/>
  <c r="I40" i="33"/>
  <c r="H40" i="33"/>
  <c r="G40" i="33"/>
  <c r="J39" i="33"/>
  <c r="I39" i="33"/>
  <c r="H39" i="33"/>
  <c r="G39" i="33"/>
  <c r="J38" i="33"/>
  <c r="I38" i="33"/>
  <c r="H38" i="33"/>
  <c r="G38" i="33"/>
  <c r="J37" i="33"/>
  <c r="I37" i="33"/>
  <c r="H37" i="33"/>
  <c r="G37" i="33"/>
  <c r="J36" i="33"/>
  <c r="I36" i="33"/>
  <c r="H36" i="33"/>
  <c r="G36" i="33"/>
  <c r="J35" i="33"/>
  <c r="I35" i="33"/>
  <c r="H35" i="33"/>
  <c r="G35" i="33"/>
  <c r="J34" i="33"/>
  <c r="I34" i="33"/>
  <c r="H34" i="33"/>
  <c r="G34" i="33"/>
  <c r="J33" i="33"/>
  <c r="I33" i="33"/>
  <c r="H33" i="33"/>
  <c r="G33" i="33"/>
  <c r="J32" i="33"/>
  <c r="I32" i="33"/>
  <c r="H32" i="33"/>
  <c r="G32" i="33"/>
  <c r="J31" i="33"/>
  <c r="I31" i="33"/>
  <c r="H31" i="33"/>
  <c r="G31" i="33"/>
  <c r="J30" i="33"/>
  <c r="I30" i="33"/>
  <c r="H30" i="33"/>
  <c r="G30" i="33"/>
  <c r="J29" i="33"/>
  <c r="I29" i="33"/>
  <c r="H29" i="33"/>
  <c r="G29" i="33"/>
  <c r="J28" i="33"/>
  <c r="I28" i="33"/>
  <c r="H28" i="33"/>
  <c r="G28" i="33"/>
  <c r="J27" i="33"/>
  <c r="I27" i="33"/>
  <c r="H27" i="33"/>
  <c r="G27" i="33"/>
  <c r="J26" i="33"/>
  <c r="I26" i="33"/>
  <c r="H26" i="33"/>
  <c r="G26" i="33"/>
  <c r="J25" i="33"/>
  <c r="I25" i="33"/>
  <c r="H25" i="33"/>
  <c r="G25" i="33"/>
  <c r="J24" i="33"/>
  <c r="I24" i="33"/>
  <c r="H24" i="33"/>
  <c r="G24" i="33"/>
  <c r="J23" i="33"/>
  <c r="I23" i="33"/>
  <c r="H23" i="33"/>
  <c r="G23" i="33"/>
  <c r="J22" i="33"/>
  <c r="I22" i="33"/>
  <c r="H22" i="33"/>
  <c r="G22" i="33"/>
  <c r="J21" i="33"/>
  <c r="I21" i="33"/>
  <c r="H21" i="33"/>
  <c r="G21" i="33"/>
  <c r="J20" i="33"/>
  <c r="I20" i="33"/>
  <c r="H20" i="33"/>
  <c r="G20" i="33"/>
  <c r="J19" i="33"/>
  <c r="I19" i="33"/>
  <c r="H19" i="33"/>
  <c r="G19" i="33"/>
  <c r="J18" i="33"/>
  <c r="I18" i="33"/>
  <c r="H18" i="33"/>
  <c r="G18" i="33"/>
  <c r="J17" i="33"/>
  <c r="I17" i="33"/>
  <c r="H17" i="33"/>
  <c r="G17" i="33"/>
  <c r="J16" i="33"/>
  <c r="I16" i="33"/>
  <c r="H16" i="33"/>
  <c r="G16" i="33"/>
  <c r="J15" i="33"/>
  <c r="I15" i="33"/>
  <c r="H15" i="33"/>
  <c r="G15" i="33"/>
  <c r="J14" i="33"/>
  <c r="I14" i="33"/>
  <c r="H14" i="33"/>
  <c r="G14" i="33"/>
  <c r="J13" i="33"/>
  <c r="I13" i="33"/>
  <c r="H13" i="33"/>
  <c r="G13" i="33"/>
  <c r="J12" i="33"/>
  <c r="I12" i="33"/>
  <c r="H12" i="33"/>
  <c r="G12" i="33"/>
  <c r="J11" i="33"/>
  <c r="I11" i="33"/>
  <c r="H11" i="33"/>
  <c r="G11" i="33"/>
  <c r="J10" i="33"/>
  <c r="I10" i="33"/>
  <c r="H10" i="33"/>
  <c r="G10" i="33"/>
  <c r="J9" i="33"/>
  <c r="I9" i="33"/>
  <c r="H9" i="33"/>
  <c r="G9" i="33"/>
  <c r="J8" i="33"/>
  <c r="I8" i="33"/>
  <c r="H8" i="33"/>
  <c r="G8" i="33"/>
  <c r="J7" i="33"/>
  <c r="I7" i="33"/>
  <c r="H7" i="33"/>
  <c r="G7" i="33"/>
  <c r="J6" i="33"/>
  <c r="I6" i="33"/>
  <c r="H6" i="33"/>
  <c r="G6" i="33"/>
  <c r="J5" i="33"/>
  <c r="I5" i="33"/>
  <c r="H5" i="33"/>
  <c r="G5" i="33"/>
  <c r="J296" i="32"/>
  <c r="I296" i="32"/>
  <c r="H296" i="32"/>
  <c r="G296" i="32"/>
  <c r="F296" i="32"/>
  <c r="J295" i="32"/>
  <c r="I295" i="32"/>
  <c r="H295" i="32"/>
  <c r="G295" i="32"/>
  <c r="F295" i="32"/>
  <c r="X180" i="25" s="1"/>
  <c r="J292" i="32"/>
  <c r="I292" i="32"/>
  <c r="H292" i="32"/>
  <c r="G292" i="32"/>
  <c r="E292" i="32"/>
  <c r="F292" i="32" s="1"/>
  <c r="J291" i="32"/>
  <c r="I291" i="32"/>
  <c r="H291" i="32"/>
  <c r="G291" i="32"/>
  <c r="F291" i="32"/>
  <c r="X56" i="25" s="1"/>
  <c r="J56" i="25" s="1"/>
  <c r="J288" i="32"/>
  <c r="I288" i="32"/>
  <c r="H288" i="32"/>
  <c r="G288" i="32"/>
  <c r="F288" i="32"/>
  <c r="X186" i="25" s="1"/>
  <c r="J186" i="25" s="1"/>
  <c r="J287" i="32"/>
  <c r="I287" i="32"/>
  <c r="H287" i="32"/>
  <c r="G287" i="32"/>
  <c r="F287" i="32"/>
  <c r="J286" i="32"/>
  <c r="I286" i="32"/>
  <c r="H286" i="32"/>
  <c r="G286" i="32"/>
  <c r="F286" i="32"/>
  <c r="J285" i="32"/>
  <c r="I285" i="32"/>
  <c r="H285" i="32"/>
  <c r="G285" i="32"/>
  <c r="F285" i="32"/>
  <c r="J284" i="32"/>
  <c r="I284" i="32"/>
  <c r="H284" i="32"/>
  <c r="G284" i="32"/>
  <c r="F284" i="32"/>
  <c r="J283" i="32"/>
  <c r="I283" i="32"/>
  <c r="H283" i="32"/>
  <c r="G283" i="32"/>
  <c r="F283" i="32"/>
  <c r="J282" i="32"/>
  <c r="I282" i="32"/>
  <c r="H282" i="32"/>
  <c r="G282" i="32"/>
  <c r="F282" i="32"/>
  <c r="J281" i="32"/>
  <c r="I281" i="32"/>
  <c r="H281" i="32"/>
  <c r="G281" i="32"/>
  <c r="F281" i="32"/>
  <c r="J280" i="32"/>
  <c r="I280" i="32"/>
  <c r="H280" i="32"/>
  <c r="G280" i="32"/>
  <c r="F280" i="32"/>
  <c r="J279" i="32"/>
  <c r="I279" i="32"/>
  <c r="H279" i="32"/>
  <c r="G279" i="32"/>
  <c r="F279" i="32"/>
  <c r="J278" i="32"/>
  <c r="I278" i="32"/>
  <c r="H278" i="32"/>
  <c r="G278" i="32"/>
  <c r="F278" i="32"/>
  <c r="J277" i="32"/>
  <c r="I277" i="32"/>
  <c r="H277" i="32"/>
  <c r="G277" i="32"/>
  <c r="F277" i="32"/>
  <c r="J276" i="32"/>
  <c r="I276" i="32"/>
  <c r="H276" i="32"/>
  <c r="G276" i="32"/>
  <c r="F276" i="32"/>
  <c r="J275" i="32"/>
  <c r="I275" i="32"/>
  <c r="H275" i="32"/>
  <c r="G275" i="32"/>
  <c r="F275" i="32"/>
  <c r="J274" i="32"/>
  <c r="I274" i="32"/>
  <c r="H274" i="32"/>
  <c r="G274" i="32"/>
  <c r="F274" i="32"/>
  <c r="J273" i="32"/>
  <c r="I273" i="32"/>
  <c r="H273" i="32"/>
  <c r="G273" i="32"/>
  <c r="F273" i="32"/>
  <c r="J272" i="32"/>
  <c r="I272" i="32"/>
  <c r="H272" i="32"/>
  <c r="G272" i="32"/>
  <c r="F272" i="32"/>
  <c r="J271" i="32"/>
  <c r="I271" i="32"/>
  <c r="H271" i="32"/>
  <c r="G271" i="32"/>
  <c r="F271" i="32"/>
  <c r="J270" i="32"/>
  <c r="I270" i="32"/>
  <c r="H270" i="32"/>
  <c r="G270" i="32"/>
  <c r="F270" i="32"/>
  <c r="J269" i="32"/>
  <c r="I269" i="32"/>
  <c r="H269" i="32"/>
  <c r="G269" i="32"/>
  <c r="F269" i="32"/>
  <c r="J268" i="32"/>
  <c r="I268" i="32"/>
  <c r="H268" i="32"/>
  <c r="G268" i="32"/>
  <c r="F268" i="32"/>
  <c r="J267" i="32"/>
  <c r="I267" i="32"/>
  <c r="H267" i="32"/>
  <c r="G267" i="32"/>
  <c r="F267" i="32"/>
  <c r="J266" i="32"/>
  <c r="I266" i="32"/>
  <c r="H266" i="32"/>
  <c r="G266" i="32"/>
  <c r="F266" i="32"/>
  <c r="J265" i="32"/>
  <c r="I265" i="32"/>
  <c r="H265" i="32"/>
  <c r="G265" i="32"/>
  <c r="F265" i="32"/>
  <c r="J264" i="32"/>
  <c r="I264" i="32"/>
  <c r="H264" i="32"/>
  <c r="G264" i="32"/>
  <c r="F264" i="32"/>
  <c r="J263" i="32"/>
  <c r="I263" i="32"/>
  <c r="H263" i="32"/>
  <c r="G263" i="32"/>
  <c r="F263" i="32"/>
  <c r="J262" i="32"/>
  <c r="I262" i="32"/>
  <c r="H262" i="32"/>
  <c r="G262" i="32"/>
  <c r="F262" i="32"/>
  <c r="J261" i="32"/>
  <c r="I261" i="32"/>
  <c r="H261" i="32"/>
  <c r="G261" i="32"/>
  <c r="F261" i="32"/>
  <c r="J260" i="32"/>
  <c r="I260" i="32"/>
  <c r="H260" i="32"/>
  <c r="G260" i="32"/>
  <c r="F260" i="32"/>
  <c r="J259" i="32"/>
  <c r="I259" i="32"/>
  <c r="H259" i="32"/>
  <c r="G259" i="32"/>
  <c r="F259" i="32"/>
  <c r="J258" i="32"/>
  <c r="I258" i="32"/>
  <c r="H258" i="32"/>
  <c r="G258" i="32"/>
  <c r="F258" i="32"/>
  <c r="J257" i="32"/>
  <c r="I257" i="32"/>
  <c r="H257" i="32"/>
  <c r="G257" i="32"/>
  <c r="F257" i="32"/>
  <c r="J256" i="32"/>
  <c r="I256" i="32"/>
  <c r="H256" i="32"/>
  <c r="G256" i="32"/>
  <c r="F256" i="32"/>
  <c r="J255" i="32"/>
  <c r="I255" i="32"/>
  <c r="H255" i="32"/>
  <c r="G255" i="32"/>
  <c r="F255" i="32"/>
  <c r="J254" i="32"/>
  <c r="I254" i="32"/>
  <c r="H254" i="32"/>
  <c r="G254" i="32"/>
  <c r="F254" i="32"/>
  <c r="J253" i="32"/>
  <c r="I253" i="32"/>
  <c r="H253" i="32"/>
  <c r="G253" i="32"/>
  <c r="F253" i="32"/>
  <c r="J252" i="32"/>
  <c r="I252" i="32"/>
  <c r="H252" i="32"/>
  <c r="G252" i="32"/>
  <c r="F252" i="32"/>
  <c r="J251" i="32"/>
  <c r="I251" i="32"/>
  <c r="H251" i="32"/>
  <c r="G251" i="32"/>
  <c r="F251" i="32"/>
  <c r="J250" i="32"/>
  <c r="I250" i="32"/>
  <c r="H250" i="32"/>
  <c r="G250" i="32"/>
  <c r="F250" i="32"/>
  <c r="J249" i="32"/>
  <c r="I249" i="32"/>
  <c r="H249" i="32"/>
  <c r="G249" i="32"/>
  <c r="F249" i="32"/>
  <c r="J248" i="32"/>
  <c r="I248" i="32"/>
  <c r="H248" i="32"/>
  <c r="G248" i="32"/>
  <c r="F248" i="32"/>
  <c r="I181" i="18" s="1"/>
  <c r="J247" i="32"/>
  <c r="I247" i="32"/>
  <c r="H247" i="32"/>
  <c r="G247" i="32"/>
  <c r="F247" i="32"/>
  <c r="I182" i="18" s="1"/>
  <c r="J246" i="32"/>
  <c r="I246" i="32"/>
  <c r="H246" i="32"/>
  <c r="G246" i="32"/>
  <c r="F246" i="32"/>
  <c r="I183" i="18" s="1"/>
  <c r="J245" i="32"/>
  <c r="I245" i="32"/>
  <c r="H245" i="32"/>
  <c r="G245" i="32"/>
  <c r="F245" i="32"/>
  <c r="I184" i="18" s="1"/>
  <c r="J244" i="32"/>
  <c r="I244" i="32"/>
  <c r="H244" i="32"/>
  <c r="G244" i="32"/>
  <c r="F244" i="32"/>
  <c r="I185" i="18" s="1"/>
  <c r="J243" i="32"/>
  <c r="I243" i="32"/>
  <c r="H243" i="32"/>
  <c r="G243" i="32"/>
  <c r="F243" i="32"/>
  <c r="I186" i="18" s="1"/>
  <c r="J242" i="32"/>
  <c r="I242" i="32"/>
  <c r="H242" i="32"/>
  <c r="G242" i="32"/>
  <c r="F242" i="32"/>
  <c r="I187" i="18" s="1"/>
  <c r="J241" i="32"/>
  <c r="I241" i="32"/>
  <c r="H241" i="32"/>
  <c r="G241" i="32"/>
  <c r="F241" i="32"/>
  <c r="I188" i="18" s="1"/>
  <c r="J240" i="32"/>
  <c r="I240" i="32"/>
  <c r="H240" i="32"/>
  <c r="G240" i="32"/>
  <c r="F240" i="32"/>
  <c r="I189" i="18" s="1"/>
  <c r="F237" i="32"/>
  <c r="E237" i="32"/>
  <c r="D237" i="32"/>
  <c r="C237" i="32"/>
  <c r="J235" i="32"/>
  <c r="I235" i="32"/>
  <c r="H235" i="32"/>
  <c r="G235" i="32"/>
  <c r="J234" i="32"/>
  <c r="I234" i="32"/>
  <c r="H234" i="32"/>
  <c r="G234" i="32"/>
  <c r="J233" i="32"/>
  <c r="I233" i="32"/>
  <c r="H233" i="32"/>
  <c r="G233" i="32"/>
  <c r="J232" i="32"/>
  <c r="I232" i="32"/>
  <c r="H232" i="32"/>
  <c r="G232" i="32"/>
  <c r="J231" i="32"/>
  <c r="I231" i="32"/>
  <c r="H231" i="32"/>
  <c r="G231" i="32"/>
  <c r="J230" i="32"/>
  <c r="I230" i="32"/>
  <c r="H230" i="32"/>
  <c r="G230" i="32"/>
  <c r="J229" i="32"/>
  <c r="I229" i="32"/>
  <c r="H229" i="32"/>
  <c r="G229" i="32"/>
  <c r="J228" i="32"/>
  <c r="I228" i="32"/>
  <c r="H228" i="32"/>
  <c r="G228" i="32"/>
  <c r="J227" i="32"/>
  <c r="I227" i="32"/>
  <c r="H227" i="32"/>
  <c r="G227" i="32"/>
  <c r="J226" i="32"/>
  <c r="I226" i="32"/>
  <c r="H226" i="32"/>
  <c r="G226" i="32"/>
  <c r="J225" i="32"/>
  <c r="I225" i="32"/>
  <c r="H225" i="32"/>
  <c r="G225" i="32"/>
  <c r="J224" i="32"/>
  <c r="I224" i="32"/>
  <c r="H224" i="32"/>
  <c r="G224" i="32"/>
  <c r="J223" i="32"/>
  <c r="I223" i="32"/>
  <c r="H223" i="32"/>
  <c r="G223" i="32"/>
  <c r="J222" i="32"/>
  <c r="I222" i="32"/>
  <c r="H222" i="32"/>
  <c r="G222" i="32"/>
  <c r="J221" i="32"/>
  <c r="I221" i="32"/>
  <c r="H221" i="32"/>
  <c r="G221" i="32"/>
  <c r="J220" i="32"/>
  <c r="I220" i="32"/>
  <c r="H220" i="32"/>
  <c r="G220" i="32"/>
  <c r="J219" i="32"/>
  <c r="I219" i="32"/>
  <c r="H219" i="32"/>
  <c r="G219" i="32"/>
  <c r="J218" i="32"/>
  <c r="I218" i="32"/>
  <c r="H218" i="32"/>
  <c r="G218" i="32"/>
  <c r="J217" i="32"/>
  <c r="I217" i="32"/>
  <c r="H217" i="32"/>
  <c r="G217" i="32"/>
  <c r="J216" i="32"/>
  <c r="I216" i="32"/>
  <c r="H216" i="32"/>
  <c r="G216" i="32"/>
  <c r="J215" i="32"/>
  <c r="I215" i="32"/>
  <c r="H215" i="32"/>
  <c r="G215" i="32"/>
  <c r="J214" i="32"/>
  <c r="I214" i="32"/>
  <c r="H214" i="32"/>
  <c r="G214" i="32"/>
  <c r="J213" i="32"/>
  <c r="I213" i="32"/>
  <c r="H213" i="32"/>
  <c r="G213" i="32"/>
  <c r="J212" i="32"/>
  <c r="I212" i="32"/>
  <c r="H212" i="32"/>
  <c r="G212" i="32"/>
  <c r="J211" i="32"/>
  <c r="I211" i="32"/>
  <c r="H211" i="32"/>
  <c r="G211" i="32"/>
  <c r="J210" i="32"/>
  <c r="I210" i="32"/>
  <c r="H210" i="32"/>
  <c r="G210" i="32"/>
  <c r="J209" i="32"/>
  <c r="I209" i="32"/>
  <c r="H209" i="32"/>
  <c r="G209" i="32"/>
  <c r="J208" i="32"/>
  <c r="I208" i="32"/>
  <c r="H208" i="32"/>
  <c r="G208" i="32"/>
  <c r="J207" i="32"/>
  <c r="I207" i="32"/>
  <c r="H207" i="32"/>
  <c r="G207" i="32"/>
  <c r="J206" i="32"/>
  <c r="I206" i="32"/>
  <c r="H206" i="32"/>
  <c r="G206" i="32"/>
  <c r="J205" i="32"/>
  <c r="I205" i="32"/>
  <c r="H205" i="32"/>
  <c r="G205" i="32"/>
  <c r="J204" i="32"/>
  <c r="I204" i="32"/>
  <c r="H204" i="32"/>
  <c r="G204" i="32"/>
  <c r="J203" i="32"/>
  <c r="I203" i="32"/>
  <c r="H203" i="32"/>
  <c r="G203" i="32"/>
  <c r="J202" i="32"/>
  <c r="I202" i="32"/>
  <c r="H202" i="32"/>
  <c r="G202" i="32"/>
  <c r="J201" i="32"/>
  <c r="I201" i="32"/>
  <c r="H201" i="32"/>
  <c r="G201" i="32"/>
  <c r="J200" i="32"/>
  <c r="I200" i="32"/>
  <c r="H200" i="32"/>
  <c r="G200" i="32"/>
  <c r="J199" i="32"/>
  <c r="I199" i="32"/>
  <c r="H199" i="32"/>
  <c r="G199" i="32"/>
  <c r="J198" i="32"/>
  <c r="I198" i="32"/>
  <c r="H198" i="32"/>
  <c r="G198" i="32"/>
  <c r="J197" i="32"/>
  <c r="I197" i="32"/>
  <c r="H197" i="32"/>
  <c r="G197" i="32"/>
  <c r="J196" i="32"/>
  <c r="I196" i="32"/>
  <c r="H196" i="32"/>
  <c r="G196" i="32"/>
  <c r="J195" i="32"/>
  <c r="I195" i="32"/>
  <c r="H195" i="32"/>
  <c r="G195" i="32"/>
  <c r="J194" i="32"/>
  <c r="I194" i="32"/>
  <c r="H194" i="32"/>
  <c r="G194" i="32"/>
  <c r="J193" i="32"/>
  <c r="I193" i="32"/>
  <c r="H193" i="32"/>
  <c r="G193" i="32"/>
  <c r="J192" i="32"/>
  <c r="I192" i="32"/>
  <c r="H192" i="32"/>
  <c r="G192" i="32"/>
  <c r="J191" i="32"/>
  <c r="I191" i="32"/>
  <c r="H191" i="32"/>
  <c r="G191" i="32"/>
  <c r="J190" i="32"/>
  <c r="I190" i="32"/>
  <c r="H190" i="32"/>
  <c r="G190" i="32"/>
  <c r="J189" i="32"/>
  <c r="I189" i="32"/>
  <c r="H189" i="32"/>
  <c r="G189" i="32"/>
  <c r="J188" i="32"/>
  <c r="I188" i="32"/>
  <c r="H188" i="32"/>
  <c r="G188" i="32"/>
  <c r="J187" i="32"/>
  <c r="I187" i="32"/>
  <c r="H187" i="32"/>
  <c r="G187" i="32"/>
  <c r="J186" i="32"/>
  <c r="I186" i="32"/>
  <c r="H186" i="32"/>
  <c r="G186" i="32"/>
  <c r="J185" i="32"/>
  <c r="I185" i="32"/>
  <c r="H185" i="32"/>
  <c r="G185" i="32"/>
  <c r="J184" i="32"/>
  <c r="I184" i="32"/>
  <c r="H184" i="32"/>
  <c r="G184" i="32"/>
  <c r="J183" i="32"/>
  <c r="I183" i="32"/>
  <c r="H183" i="32"/>
  <c r="G183" i="32"/>
  <c r="J182" i="32"/>
  <c r="I182" i="32"/>
  <c r="H182" i="32"/>
  <c r="G182" i="32"/>
  <c r="J181" i="32"/>
  <c r="I181" i="32"/>
  <c r="H181" i="32"/>
  <c r="G181" i="32"/>
  <c r="J180" i="32"/>
  <c r="I180" i="32"/>
  <c r="H180" i="32"/>
  <c r="G180" i="32"/>
  <c r="J179" i="32"/>
  <c r="I179" i="32"/>
  <c r="H179" i="32"/>
  <c r="G179" i="32"/>
  <c r="J178" i="32"/>
  <c r="I178" i="32"/>
  <c r="H178" i="32"/>
  <c r="G178" i="32"/>
  <c r="J177" i="32"/>
  <c r="I177" i="32"/>
  <c r="H177" i="32"/>
  <c r="G177" i="32"/>
  <c r="J176" i="32"/>
  <c r="I176" i="32"/>
  <c r="H176" i="32"/>
  <c r="G176" i="32"/>
  <c r="J175" i="32"/>
  <c r="I175" i="32"/>
  <c r="H175" i="32"/>
  <c r="G175" i="32"/>
  <c r="J174" i="32"/>
  <c r="I174" i="32"/>
  <c r="H174" i="32"/>
  <c r="G174" i="32"/>
  <c r="J173" i="32"/>
  <c r="I173" i="32"/>
  <c r="H173" i="32"/>
  <c r="G173" i="32"/>
  <c r="J172" i="32"/>
  <c r="I172" i="32"/>
  <c r="H172" i="32"/>
  <c r="G172" i="32"/>
  <c r="J171" i="32"/>
  <c r="I171" i="32"/>
  <c r="H171" i="32"/>
  <c r="G171" i="32"/>
  <c r="J170" i="32"/>
  <c r="I170" i="32"/>
  <c r="H170" i="32"/>
  <c r="G170" i="32"/>
  <c r="J169" i="32"/>
  <c r="I169" i="32"/>
  <c r="H169" i="32"/>
  <c r="G169" i="32"/>
  <c r="J168" i="32"/>
  <c r="I168" i="32"/>
  <c r="H168" i="32"/>
  <c r="G168" i="32"/>
  <c r="J167" i="32"/>
  <c r="I167" i="32"/>
  <c r="H167" i="32"/>
  <c r="G167" i="32"/>
  <c r="J166" i="32"/>
  <c r="I166" i="32"/>
  <c r="H166" i="32"/>
  <c r="G166" i="32"/>
  <c r="J165" i="32"/>
  <c r="I165" i="32"/>
  <c r="H165" i="32"/>
  <c r="G165" i="32"/>
  <c r="J164" i="32"/>
  <c r="I164" i="32"/>
  <c r="H164" i="32"/>
  <c r="G164" i="32"/>
  <c r="J163" i="32"/>
  <c r="I163" i="32"/>
  <c r="H163" i="32"/>
  <c r="G163" i="32"/>
  <c r="J162" i="32"/>
  <c r="I162" i="32"/>
  <c r="H162" i="32"/>
  <c r="G162" i="32"/>
  <c r="J161" i="32"/>
  <c r="I161" i="32"/>
  <c r="H161" i="32"/>
  <c r="G161" i="32"/>
  <c r="J160" i="32"/>
  <c r="I160" i="32"/>
  <c r="H160" i="32"/>
  <c r="G160" i="32"/>
  <c r="J159" i="32"/>
  <c r="I159" i="32"/>
  <c r="H159" i="32"/>
  <c r="G159" i="32"/>
  <c r="J158" i="32"/>
  <c r="I158" i="32"/>
  <c r="H158" i="32"/>
  <c r="G158" i="32"/>
  <c r="J157" i="32"/>
  <c r="I157" i="32"/>
  <c r="H157" i="32"/>
  <c r="G157" i="32"/>
  <c r="J156" i="32"/>
  <c r="I156" i="32"/>
  <c r="H156" i="32"/>
  <c r="G156" i="32"/>
  <c r="J155" i="32"/>
  <c r="I155" i="32"/>
  <c r="H155" i="32"/>
  <c r="G155" i="32"/>
  <c r="J154" i="32"/>
  <c r="I154" i="32"/>
  <c r="H154" i="32"/>
  <c r="G154" i="32"/>
  <c r="J153" i="32"/>
  <c r="I153" i="32"/>
  <c r="H153" i="32"/>
  <c r="G153" i="32"/>
  <c r="J152" i="32"/>
  <c r="I152" i="32"/>
  <c r="H152" i="32"/>
  <c r="G152" i="32"/>
  <c r="J151" i="32"/>
  <c r="I151" i="32"/>
  <c r="H151" i="32"/>
  <c r="G151" i="32"/>
  <c r="J150" i="32"/>
  <c r="I150" i="32"/>
  <c r="H150" i="32"/>
  <c r="G150" i="32"/>
  <c r="J149" i="32"/>
  <c r="I149" i="32"/>
  <c r="H149" i="32"/>
  <c r="G149" i="32"/>
  <c r="J148" i="32"/>
  <c r="I148" i="32"/>
  <c r="H148" i="32"/>
  <c r="G148" i="32"/>
  <c r="J147" i="32"/>
  <c r="I147" i="32"/>
  <c r="H147" i="32"/>
  <c r="G147" i="32"/>
  <c r="J146" i="32"/>
  <c r="I146" i="32"/>
  <c r="H146" i="32"/>
  <c r="G146" i="32"/>
  <c r="J145" i="32"/>
  <c r="I145" i="32"/>
  <c r="H145" i="32"/>
  <c r="G145" i="32"/>
  <c r="J144" i="32"/>
  <c r="I144" i="32"/>
  <c r="H144" i="32"/>
  <c r="G144" i="32"/>
  <c r="J143" i="32"/>
  <c r="I143" i="32"/>
  <c r="H143" i="32"/>
  <c r="G143" i="32"/>
  <c r="J142" i="32"/>
  <c r="I142" i="32"/>
  <c r="H142" i="32"/>
  <c r="G142" i="32"/>
  <c r="J141" i="32"/>
  <c r="I141" i="32"/>
  <c r="H141" i="32"/>
  <c r="G141" i="32"/>
  <c r="J140" i="32"/>
  <c r="I140" i="32"/>
  <c r="H140" i="32"/>
  <c r="G140" i="32"/>
  <c r="J139" i="32"/>
  <c r="I139" i="32"/>
  <c r="H139" i="32"/>
  <c r="G139" i="32"/>
  <c r="J138" i="32"/>
  <c r="I138" i="32"/>
  <c r="H138" i="32"/>
  <c r="G138" i="32"/>
  <c r="J137" i="32"/>
  <c r="I137" i="32"/>
  <c r="H137" i="32"/>
  <c r="G137" i="32"/>
  <c r="J136" i="32"/>
  <c r="I136" i="32"/>
  <c r="H136" i="32"/>
  <c r="G136" i="32"/>
  <c r="J135" i="32"/>
  <c r="I135" i="32"/>
  <c r="H135" i="32"/>
  <c r="G135" i="32"/>
  <c r="J134" i="32"/>
  <c r="I134" i="32"/>
  <c r="H134" i="32"/>
  <c r="G134" i="32"/>
  <c r="J133" i="32"/>
  <c r="I133" i="32"/>
  <c r="H133" i="32"/>
  <c r="G133" i="32"/>
  <c r="J132" i="32"/>
  <c r="I132" i="32"/>
  <c r="H132" i="32"/>
  <c r="G132" i="32"/>
  <c r="J131" i="32"/>
  <c r="I131" i="32"/>
  <c r="H131" i="32"/>
  <c r="G131" i="32"/>
  <c r="J130" i="32"/>
  <c r="I130" i="32"/>
  <c r="H130" i="32"/>
  <c r="G130" i="32"/>
  <c r="J129" i="32"/>
  <c r="I129" i="32"/>
  <c r="H129" i="32"/>
  <c r="G129" i="32"/>
  <c r="J128" i="32"/>
  <c r="I128" i="32"/>
  <c r="H128" i="32"/>
  <c r="G128" i="32"/>
  <c r="J127" i="32"/>
  <c r="I127" i="32"/>
  <c r="H127" i="32"/>
  <c r="G127" i="32"/>
  <c r="J126" i="32"/>
  <c r="I126" i="32"/>
  <c r="H126" i="32"/>
  <c r="G126" i="32"/>
  <c r="J125" i="32"/>
  <c r="I125" i="32"/>
  <c r="H125" i="32"/>
  <c r="G125" i="32"/>
  <c r="J124" i="32"/>
  <c r="I124" i="32"/>
  <c r="H124" i="32"/>
  <c r="G124" i="32"/>
  <c r="J123" i="32"/>
  <c r="I123" i="32"/>
  <c r="H123" i="32"/>
  <c r="G123" i="32"/>
  <c r="J122" i="32"/>
  <c r="I122" i="32"/>
  <c r="H122" i="32"/>
  <c r="G122" i="32"/>
  <c r="J121" i="32"/>
  <c r="I121" i="32"/>
  <c r="H121" i="32"/>
  <c r="G121" i="32"/>
  <c r="J120" i="32"/>
  <c r="I120" i="32"/>
  <c r="H120" i="32"/>
  <c r="G120" i="32"/>
  <c r="J119" i="32"/>
  <c r="I119" i="32"/>
  <c r="H119" i="32"/>
  <c r="G119" i="32"/>
  <c r="J118" i="32"/>
  <c r="I118" i="32"/>
  <c r="H118" i="32"/>
  <c r="G118" i="32"/>
  <c r="J117" i="32"/>
  <c r="I117" i="32"/>
  <c r="H117" i="32"/>
  <c r="G117" i="32"/>
  <c r="J116" i="32"/>
  <c r="I116" i="32"/>
  <c r="H116" i="32"/>
  <c r="G116" i="32"/>
  <c r="J115" i="32"/>
  <c r="I115" i="32"/>
  <c r="H115" i="32"/>
  <c r="G115" i="32"/>
  <c r="J114" i="32"/>
  <c r="I114" i="32"/>
  <c r="H114" i="32"/>
  <c r="G114" i="32"/>
  <c r="J113" i="32"/>
  <c r="I113" i="32"/>
  <c r="H113" i="32"/>
  <c r="G113" i="32"/>
  <c r="J112" i="32"/>
  <c r="I112" i="32"/>
  <c r="H112" i="32"/>
  <c r="G112" i="32"/>
  <c r="J111" i="32"/>
  <c r="I111" i="32"/>
  <c r="H111" i="32"/>
  <c r="G111" i="32"/>
  <c r="J110" i="32"/>
  <c r="I110" i="32"/>
  <c r="H110" i="32"/>
  <c r="G110" i="32"/>
  <c r="J109" i="32"/>
  <c r="I109" i="32"/>
  <c r="H109" i="32"/>
  <c r="G109" i="32"/>
  <c r="J108" i="32"/>
  <c r="I108" i="32"/>
  <c r="H108" i="32"/>
  <c r="G108" i="32"/>
  <c r="J107" i="32"/>
  <c r="I107" i="32"/>
  <c r="H107" i="32"/>
  <c r="G107" i="32"/>
  <c r="J106" i="32"/>
  <c r="I106" i="32"/>
  <c r="H106" i="32"/>
  <c r="G106" i="32"/>
  <c r="J105" i="32"/>
  <c r="I105" i="32"/>
  <c r="H105" i="32"/>
  <c r="G105" i="32"/>
  <c r="J104" i="32"/>
  <c r="I104" i="32"/>
  <c r="H104" i="32"/>
  <c r="G104" i="32"/>
  <c r="J103" i="32"/>
  <c r="I103" i="32"/>
  <c r="H103" i="32"/>
  <c r="G103" i="32"/>
  <c r="J102" i="32"/>
  <c r="I102" i="32"/>
  <c r="H102" i="32"/>
  <c r="G102" i="32"/>
  <c r="J101" i="32"/>
  <c r="I101" i="32"/>
  <c r="H101" i="32"/>
  <c r="G101" i="32"/>
  <c r="J100" i="32"/>
  <c r="I100" i="32"/>
  <c r="H100" i="32"/>
  <c r="G100" i="32"/>
  <c r="J99" i="32"/>
  <c r="I99" i="32"/>
  <c r="H99" i="32"/>
  <c r="G99" i="32"/>
  <c r="J98" i="32"/>
  <c r="I98" i="32"/>
  <c r="H98" i="32"/>
  <c r="G98" i="32"/>
  <c r="J97" i="32"/>
  <c r="I97" i="32"/>
  <c r="H97" i="32"/>
  <c r="G97" i="32"/>
  <c r="J96" i="32"/>
  <c r="I96" i="32"/>
  <c r="H96" i="32"/>
  <c r="G96" i="32"/>
  <c r="J95" i="32"/>
  <c r="I95" i="32"/>
  <c r="H95" i="32"/>
  <c r="G95" i="32"/>
  <c r="J94" i="32"/>
  <c r="I94" i="32"/>
  <c r="H94" i="32"/>
  <c r="G94" i="32"/>
  <c r="J93" i="32"/>
  <c r="I93" i="32"/>
  <c r="H93" i="32"/>
  <c r="G93" i="32"/>
  <c r="J92" i="32"/>
  <c r="I92" i="32"/>
  <c r="H92" i="32"/>
  <c r="G92" i="32"/>
  <c r="J91" i="32"/>
  <c r="I91" i="32"/>
  <c r="H91" i="32"/>
  <c r="G91" i="32"/>
  <c r="J90" i="32"/>
  <c r="I90" i="32"/>
  <c r="H90" i="32"/>
  <c r="G90" i="32"/>
  <c r="J89" i="32"/>
  <c r="I89" i="32"/>
  <c r="H89" i="32"/>
  <c r="G89" i="32"/>
  <c r="J88" i="32"/>
  <c r="I88" i="32"/>
  <c r="H88" i="32"/>
  <c r="G88" i="32"/>
  <c r="J87" i="32"/>
  <c r="I87" i="32"/>
  <c r="H87" i="32"/>
  <c r="G87" i="32"/>
  <c r="J86" i="32"/>
  <c r="I86" i="32"/>
  <c r="H86" i="32"/>
  <c r="G86" i="32"/>
  <c r="J85" i="32"/>
  <c r="I85" i="32"/>
  <c r="H85" i="32"/>
  <c r="G85" i="32"/>
  <c r="J84" i="32"/>
  <c r="I84" i="32"/>
  <c r="H84" i="32"/>
  <c r="G84" i="32"/>
  <c r="J83" i="32"/>
  <c r="I83" i="32"/>
  <c r="H83" i="32"/>
  <c r="G83" i="32"/>
  <c r="J82" i="32"/>
  <c r="I82" i="32"/>
  <c r="H82" i="32"/>
  <c r="G82" i="32"/>
  <c r="J81" i="32"/>
  <c r="I81" i="32"/>
  <c r="H81" i="32"/>
  <c r="G81" i="32"/>
  <c r="J80" i="32"/>
  <c r="I80" i="32"/>
  <c r="H80" i="32"/>
  <c r="G80" i="32"/>
  <c r="J79" i="32"/>
  <c r="I79" i="32"/>
  <c r="H79" i="32"/>
  <c r="G79" i="32"/>
  <c r="J78" i="32"/>
  <c r="I78" i="32"/>
  <c r="H78" i="32"/>
  <c r="G78" i="32"/>
  <c r="J77" i="32"/>
  <c r="I77" i="32"/>
  <c r="H77" i="32"/>
  <c r="G77" i="32"/>
  <c r="J76" i="32"/>
  <c r="I76" i="32"/>
  <c r="H76" i="32"/>
  <c r="G76" i="32"/>
  <c r="J75" i="32"/>
  <c r="I75" i="32"/>
  <c r="H75" i="32"/>
  <c r="G75" i="32"/>
  <c r="J74" i="32"/>
  <c r="I74" i="32"/>
  <c r="H74" i="32"/>
  <c r="G74" i="32"/>
  <c r="J73" i="32"/>
  <c r="I73" i="32"/>
  <c r="H73" i="32"/>
  <c r="G73" i="32"/>
  <c r="J72" i="32"/>
  <c r="I72" i="32"/>
  <c r="H72" i="32"/>
  <c r="G72" i="32"/>
  <c r="J71" i="32"/>
  <c r="I71" i="32"/>
  <c r="H71" i="32"/>
  <c r="G71" i="32"/>
  <c r="J70" i="32"/>
  <c r="I70" i="32"/>
  <c r="H70" i="32"/>
  <c r="G70" i="32"/>
  <c r="J69" i="32"/>
  <c r="I69" i="32"/>
  <c r="H69" i="32"/>
  <c r="G69" i="32"/>
  <c r="J68" i="32"/>
  <c r="I68" i="32"/>
  <c r="H68" i="32"/>
  <c r="G68" i="32"/>
  <c r="J67" i="32"/>
  <c r="I67" i="32"/>
  <c r="H67" i="32"/>
  <c r="G67" i="32"/>
  <c r="J66" i="32"/>
  <c r="I66" i="32"/>
  <c r="H66" i="32"/>
  <c r="G66" i="32"/>
  <c r="J65" i="32"/>
  <c r="I65" i="32"/>
  <c r="H65" i="32"/>
  <c r="G65" i="32"/>
  <c r="J64" i="32"/>
  <c r="I64" i="32"/>
  <c r="H64" i="32"/>
  <c r="G64" i="32"/>
  <c r="J63" i="32"/>
  <c r="I63" i="32"/>
  <c r="H63" i="32"/>
  <c r="G63" i="32"/>
  <c r="J62" i="32"/>
  <c r="I62" i="32"/>
  <c r="H62" i="32"/>
  <c r="G62" i="32"/>
  <c r="J61" i="32"/>
  <c r="I61" i="32"/>
  <c r="H61" i="32"/>
  <c r="G61" i="32"/>
  <c r="J60" i="32"/>
  <c r="I60" i="32"/>
  <c r="H60" i="32"/>
  <c r="G60" i="32"/>
  <c r="J59" i="32"/>
  <c r="I59" i="32"/>
  <c r="H59" i="32"/>
  <c r="G59" i="32"/>
  <c r="J58" i="32"/>
  <c r="I58" i="32"/>
  <c r="H58" i="32"/>
  <c r="G58" i="32"/>
  <c r="J57" i="32"/>
  <c r="I57" i="32"/>
  <c r="H57" i="32"/>
  <c r="G57" i="32"/>
  <c r="J56" i="32"/>
  <c r="I56" i="32"/>
  <c r="H56" i="32"/>
  <c r="G56" i="32"/>
  <c r="J55" i="32"/>
  <c r="I55" i="32"/>
  <c r="H55" i="32"/>
  <c r="G55" i="32"/>
  <c r="J54" i="32"/>
  <c r="I54" i="32"/>
  <c r="H54" i="32"/>
  <c r="G54" i="32"/>
  <c r="J53" i="32"/>
  <c r="I53" i="32"/>
  <c r="H53" i="32"/>
  <c r="G53" i="32"/>
  <c r="J52" i="32"/>
  <c r="I52" i="32"/>
  <c r="H52" i="32"/>
  <c r="G52" i="32"/>
  <c r="J51" i="32"/>
  <c r="I51" i="32"/>
  <c r="H51" i="32"/>
  <c r="G51" i="32"/>
  <c r="J50" i="32"/>
  <c r="I50" i="32"/>
  <c r="H50" i="32"/>
  <c r="G50" i="32"/>
  <c r="J49" i="32"/>
  <c r="I49" i="32"/>
  <c r="H49" i="32"/>
  <c r="G49" i="32"/>
  <c r="J48" i="32"/>
  <c r="I48" i="32"/>
  <c r="H48" i="32"/>
  <c r="G48" i="32"/>
  <c r="J47" i="32"/>
  <c r="I47" i="32"/>
  <c r="H47" i="32"/>
  <c r="G47" i="32"/>
  <c r="J46" i="32"/>
  <c r="I46" i="32"/>
  <c r="H46" i="32"/>
  <c r="G46" i="32"/>
  <c r="J45" i="32"/>
  <c r="I45" i="32"/>
  <c r="H45" i="32"/>
  <c r="G45" i="32"/>
  <c r="J44" i="32"/>
  <c r="I44" i="32"/>
  <c r="H44" i="32"/>
  <c r="G44" i="32"/>
  <c r="J43" i="32"/>
  <c r="I43" i="32"/>
  <c r="H43" i="32"/>
  <c r="G43" i="32"/>
  <c r="J42" i="32"/>
  <c r="I42" i="32"/>
  <c r="H42" i="32"/>
  <c r="G42" i="32"/>
  <c r="J41" i="32"/>
  <c r="I41" i="32"/>
  <c r="H41" i="32"/>
  <c r="G41" i="32"/>
  <c r="J40" i="32"/>
  <c r="I40" i="32"/>
  <c r="H40" i="32"/>
  <c r="G40" i="32"/>
  <c r="J39" i="32"/>
  <c r="I39" i="32"/>
  <c r="H39" i="32"/>
  <c r="G39" i="32"/>
  <c r="J38" i="32"/>
  <c r="I38" i="32"/>
  <c r="H38" i="32"/>
  <c r="G38" i="32"/>
  <c r="J37" i="32"/>
  <c r="I37" i="32"/>
  <c r="H37" i="32"/>
  <c r="G37" i="32"/>
  <c r="J36" i="32"/>
  <c r="I36" i="32"/>
  <c r="H36" i="32"/>
  <c r="G36" i="32"/>
  <c r="J35" i="32"/>
  <c r="I35" i="32"/>
  <c r="H35" i="32"/>
  <c r="G35" i="32"/>
  <c r="J34" i="32"/>
  <c r="I34" i="32"/>
  <c r="H34" i="32"/>
  <c r="G34" i="32"/>
  <c r="J33" i="32"/>
  <c r="I33" i="32"/>
  <c r="H33" i="32"/>
  <c r="G33" i="32"/>
  <c r="J32" i="32"/>
  <c r="I32" i="32"/>
  <c r="H32" i="32"/>
  <c r="G32" i="32"/>
  <c r="J31" i="32"/>
  <c r="I31" i="32"/>
  <c r="H31" i="32"/>
  <c r="G31" i="32"/>
  <c r="J30" i="32"/>
  <c r="I30" i="32"/>
  <c r="H30" i="32"/>
  <c r="G30" i="32"/>
  <c r="J29" i="32"/>
  <c r="I29" i="32"/>
  <c r="H29" i="32"/>
  <c r="G29" i="32"/>
  <c r="J28" i="32"/>
  <c r="I28" i="32"/>
  <c r="H28" i="32"/>
  <c r="G28" i="32"/>
  <c r="J27" i="32"/>
  <c r="I27" i="32"/>
  <c r="H27" i="32"/>
  <c r="G27" i="32"/>
  <c r="J26" i="32"/>
  <c r="I26" i="32"/>
  <c r="H26" i="32"/>
  <c r="G26" i="32"/>
  <c r="J25" i="32"/>
  <c r="I25" i="32"/>
  <c r="H25" i="32"/>
  <c r="G25" i="32"/>
  <c r="J24" i="32"/>
  <c r="I24" i="32"/>
  <c r="H24" i="32"/>
  <c r="G24" i="32"/>
  <c r="J23" i="32"/>
  <c r="I23" i="32"/>
  <c r="H23" i="32"/>
  <c r="G23" i="32"/>
  <c r="J22" i="32"/>
  <c r="I22" i="32"/>
  <c r="H22" i="32"/>
  <c r="G22" i="32"/>
  <c r="J21" i="32"/>
  <c r="I21" i="32"/>
  <c r="H21" i="32"/>
  <c r="G21" i="32"/>
  <c r="J20" i="32"/>
  <c r="I20" i="32"/>
  <c r="H20" i="32"/>
  <c r="G20" i="32"/>
  <c r="J19" i="32"/>
  <c r="I19" i="32"/>
  <c r="H19" i="32"/>
  <c r="G19" i="32"/>
  <c r="J18" i="32"/>
  <c r="I18" i="32"/>
  <c r="H18" i="32"/>
  <c r="G18" i="32"/>
  <c r="J17" i="32"/>
  <c r="I17" i="32"/>
  <c r="H17" i="32"/>
  <c r="G17" i="32"/>
  <c r="J16" i="32"/>
  <c r="I16" i="32"/>
  <c r="H16" i="32"/>
  <c r="G16" i="32"/>
  <c r="J15" i="32"/>
  <c r="I15" i="32"/>
  <c r="H15" i="32"/>
  <c r="G15" i="32"/>
  <c r="J14" i="32"/>
  <c r="I14" i="32"/>
  <c r="H14" i="32"/>
  <c r="G14" i="32"/>
  <c r="J13" i="32"/>
  <c r="I13" i="32"/>
  <c r="H13" i="32"/>
  <c r="G13" i="32"/>
  <c r="J12" i="32"/>
  <c r="I12" i="32"/>
  <c r="H12" i="32"/>
  <c r="G12" i="32"/>
  <c r="J11" i="32"/>
  <c r="I11" i="32"/>
  <c r="H11" i="32"/>
  <c r="G11" i="32"/>
  <c r="J10" i="32"/>
  <c r="I10" i="32"/>
  <c r="H10" i="32"/>
  <c r="G10" i="32"/>
  <c r="J9" i="32"/>
  <c r="I9" i="32"/>
  <c r="H9" i="32"/>
  <c r="G9" i="32"/>
  <c r="J8" i="32"/>
  <c r="I8" i="32"/>
  <c r="H8" i="32"/>
  <c r="G8" i="32"/>
  <c r="J7" i="32"/>
  <c r="I7" i="32"/>
  <c r="H7" i="32"/>
  <c r="G7" i="32"/>
  <c r="J6" i="32"/>
  <c r="I6" i="32"/>
  <c r="H6" i="32"/>
  <c r="G6" i="32"/>
  <c r="J5" i="32"/>
  <c r="I5" i="32"/>
  <c r="H5" i="32"/>
  <c r="G5" i="32"/>
  <c r="J284" i="31"/>
  <c r="I284" i="31"/>
  <c r="H284" i="31"/>
  <c r="G284" i="31"/>
  <c r="F284" i="31"/>
  <c r="J283" i="31"/>
  <c r="I283" i="31"/>
  <c r="H283" i="31"/>
  <c r="G283" i="31"/>
  <c r="F283" i="31"/>
  <c r="W180" i="25" s="1"/>
  <c r="J280" i="31"/>
  <c r="I280" i="31"/>
  <c r="H280" i="31"/>
  <c r="G280" i="31"/>
  <c r="E280" i="31"/>
  <c r="F280" i="31" s="1"/>
  <c r="J279" i="31"/>
  <c r="I279" i="31"/>
  <c r="H279" i="31"/>
  <c r="G279" i="31"/>
  <c r="F279" i="31"/>
  <c r="W56" i="25" s="1"/>
  <c r="I56" i="25" s="1"/>
  <c r="J276" i="31"/>
  <c r="I276" i="31"/>
  <c r="H276" i="31"/>
  <c r="G276" i="31"/>
  <c r="F276" i="31"/>
  <c r="W140" i="25" s="1"/>
  <c r="I140" i="25" s="1"/>
  <c r="J275" i="31"/>
  <c r="I275" i="31"/>
  <c r="H275" i="31"/>
  <c r="G275" i="31"/>
  <c r="F275" i="31"/>
  <c r="J274" i="31"/>
  <c r="I274" i="31"/>
  <c r="H274" i="31"/>
  <c r="G274" i="31"/>
  <c r="F274" i="31"/>
  <c r="J273" i="31"/>
  <c r="I273" i="31"/>
  <c r="H273" i="31"/>
  <c r="G273" i="31"/>
  <c r="F273" i="31"/>
  <c r="J272" i="31"/>
  <c r="I272" i="31"/>
  <c r="H272" i="31"/>
  <c r="G272" i="31"/>
  <c r="F272" i="31"/>
  <c r="J271" i="31"/>
  <c r="I271" i="31"/>
  <c r="H271" i="31"/>
  <c r="G271" i="31"/>
  <c r="F271" i="31"/>
  <c r="J270" i="31"/>
  <c r="I270" i="31"/>
  <c r="H270" i="31"/>
  <c r="G270" i="31"/>
  <c r="F270" i="31"/>
  <c r="J269" i="31"/>
  <c r="I269" i="31"/>
  <c r="H269" i="31"/>
  <c r="G269" i="31"/>
  <c r="F269" i="31"/>
  <c r="J268" i="31"/>
  <c r="I268" i="31"/>
  <c r="H268" i="31"/>
  <c r="G268" i="31"/>
  <c r="F268" i="31"/>
  <c r="J267" i="31"/>
  <c r="I267" i="31"/>
  <c r="H267" i="31"/>
  <c r="G267" i="31"/>
  <c r="F267" i="31"/>
  <c r="J266" i="31"/>
  <c r="I266" i="31"/>
  <c r="H266" i="31"/>
  <c r="G266" i="31"/>
  <c r="F266" i="31"/>
  <c r="J265" i="31"/>
  <c r="I265" i="31"/>
  <c r="H265" i="31"/>
  <c r="G265" i="31"/>
  <c r="F265" i="31"/>
  <c r="J264" i="31"/>
  <c r="I264" i="31"/>
  <c r="H264" i="31"/>
  <c r="G264" i="31"/>
  <c r="F264" i="31"/>
  <c r="J263" i="31"/>
  <c r="I263" i="31"/>
  <c r="H263" i="31"/>
  <c r="G263" i="31"/>
  <c r="F263" i="31"/>
  <c r="J262" i="31"/>
  <c r="I262" i="31"/>
  <c r="H262" i="31"/>
  <c r="G262" i="31"/>
  <c r="F262" i="31"/>
  <c r="J261" i="31"/>
  <c r="I261" i="31"/>
  <c r="H261" i="31"/>
  <c r="G261" i="31"/>
  <c r="F261" i="31"/>
  <c r="J260" i="31"/>
  <c r="I260" i="31"/>
  <c r="H260" i="31"/>
  <c r="G260" i="31"/>
  <c r="F260" i="31"/>
  <c r="J259" i="31"/>
  <c r="I259" i="31"/>
  <c r="H259" i="31"/>
  <c r="G259" i="31"/>
  <c r="F259" i="31"/>
  <c r="J258" i="31"/>
  <c r="I258" i="31"/>
  <c r="H258" i="31"/>
  <c r="G258" i="31"/>
  <c r="F258" i="31"/>
  <c r="J257" i="31"/>
  <c r="I257" i="31"/>
  <c r="H257" i="31"/>
  <c r="G257" i="31"/>
  <c r="F257" i="31"/>
  <c r="J256" i="31"/>
  <c r="I256" i="31"/>
  <c r="H256" i="31"/>
  <c r="G256" i="31"/>
  <c r="F256" i="31"/>
  <c r="J255" i="31"/>
  <c r="I255" i="31"/>
  <c r="H255" i="31"/>
  <c r="G255" i="31"/>
  <c r="F255" i="31"/>
  <c r="J254" i="31"/>
  <c r="I254" i="31"/>
  <c r="H254" i="31"/>
  <c r="G254" i="31"/>
  <c r="F254" i="31"/>
  <c r="J253" i="31"/>
  <c r="I253" i="31"/>
  <c r="H253" i="31"/>
  <c r="G253" i="31"/>
  <c r="F253" i="31"/>
  <c r="J252" i="31"/>
  <c r="I252" i="31"/>
  <c r="H252" i="31"/>
  <c r="G252" i="31"/>
  <c r="F252" i="31"/>
  <c r="J251" i="31"/>
  <c r="I251" i="31"/>
  <c r="H251" i="31"/>
  <c r="G251" i="31"/>
  <c r="F251" i="31"/>
  <c r="J250" i="31"/>
  <c r="I250" i="31"/>
  <c r="H250" i="31"/>
  <c r="G250" i="31"/>
  <c r="F250" i="31"/>
  <c r="H167" i="18" s="1"/>
  <c r="J249" i="31"/>
  <c r="I249" i="31"/>
  <c r="H249" i="31"/>
  <c r="G249" i="31"/>
  <c r="F249" i="31"/>
  <c r="H168" i="18" s="1"/>
  <c r="J248" i="31"/>
  <c r="I248" i="31"/>
  <c r="H248" i="31"/>
  <c r="G248" i="31"/>
  <c r="F248" i="31"/>
  <c r="H170" i="18" s="1"/>
  <c r="J247" i="31"/>
  <c r="I247" i="31"/>
  <c r="H247" i="31"/>
  <c r="G247" i="31"/>
  <c r="F247" i="31"/>
  <c r="H172" i="18" s="1"/>
  <c r="J246" i="31"/>
  <c r="I246" i="31"/>
  <c r="H246" i="31"/>
  <c r="G246" i="31"/>
  <c r="F246" i="31"/>
  <c r="H173" i="18" s="1"/>
  <c r="J245" i="31"/>
  <c r="I245" i="31"/>
  <c r="H245" i="31"/>
  <c r="G245" i="31"/>
  <c r="F245" i="31"/>
  <c r="H174" i="18" s="1"/>
  <c r="J244" i="31"/>
  <c r="I244" i="31"/>
  <c r="H244" i="31"/>
  <c r="G244" i="31"/>
  <c r="F244" i="31"/>
  <c r="H175" i="18" s="1"/>
  <c r="J243" i="31"/>
  <c r="I243" i="31"/>
  <c r="H243" i="31"/>
  <c r="G243" i="31"/>
  <c r="F243" i="31"/>
  <c r="H176" i="18" s="1"/>
  <c r="J242" i="31"/>
  <c r="I242" i="31"/>
  <c r="H242" i="31"/>
  <c r="G242" i="31"/>
  <c r="F242" i="31"/>
  <c r="H177" i="18" s="1"/>
  <c r="J241" i="31"/>
  <c r="I241" i="31"/>
  <c r="H241" i="31"/>
  <c r="G241" i="31"/>
  <c r="F241" i="31"/>
  <c r="H178" i="18" s="1"/>
  <c r="J240" i="31"/>
  <c r="I240" i="31"/>
  <c r="H240" i="31"/>
  <c r="G240" i="31"/>
  <c r="F240" i="31"/>
  <c r="H179" i="18" s="1"/>
  <c r="J239" i="31"/>
  <c r="I239" i="31"/>
  <c r="H239" i="31"/>
  <c r="G239" i="31"/>
  <c r="F239" i="31"/>
  <c r="H180" i="18" s="1"/>
  <c r="J238" i="31"/>
  <c r="I238" i="31"/>
  <c r="H238" i="31"/>
  <c r="G238" i="31"/>
  <c r="F238" i="31"/>
  <c r="H181" i="18" s="1"/>
  <c r="J237" i="31"/>
  <c r="I237" i="31"/>
  <c r="H237" i="31"/>
  <c r="G237" i="31"/>
  <c r="F237" i="31"/>
  <c r="H183" i="18" s="1"/>
  <c r="J236" i="31"/>
  <c r="I236" i="31"/>
  <c r="H236" i="31"/>
  <c r="G236" i="31"/>
  <c r="F236" i="31"/>
  <c r="H184" i="18" s="1"/>
  <c r="J235" i="31"/>
  <c r="I235" i="31"/>
  <c r="H235" i="31"/>
  <c r="G235" i="31"/>
  <c r="F235" i="31"/>
  <c r="H185" i="18" s="1"/>
  <c r="J234" i="31"/>
  <c r="I234" i="31"/>
  <c r="H234" i="31"/>
  <c r="G234" i="31"/>
  <c r="F234" i="31"/>
  <c r="H186" i="18" s="1"/>
  <c r="J233" i="31"/>
  <c r="I233" i="31"/>
  <c r="H233" i="31"/>
  <c r="G233" i="31"/>
  <c r="F233" i="31"/>
  <c r="H187" i="18" s="1"/>
  <c r="J232" i="31"/>
  <c r="I232" i="31"/>
  <c r="H232" i="31"/>
  <c r="G232" i="31"/>
  <c r="F232" i="31"/>
  <c r="H188" i="18" s="1"/>
  <c r="F229" i="31"/>
  <c r="E229" i="31"/>
  <c r="D229" i="31"/>
  <c r="C229" i="31"/>
  <c r="J227" i="31"/>
  <c r="I227" i="31"/>
  <c r="H227" i="31"/>
  <c r="G227" i="31"/>
  <c r="J226" i="31"/>
  <c r="I226" i="31"/>
  <c r="H226" i="31"/>
  <c r="G226" i="31"/>
  <c r="J225" i="31"/>
  <c r="I225" i="31"/>
  <c r="H225" i="31"/>
  <c r="G225" i="31"/>
  <c r="J224" i="31"/>
  <c r="I224" i="31"/>
  <c r="H224" i="31"/>
  <c r="G224" i="31"/>
  <c r="J223" i="31"/>
  <c r="I223" i="31"/>
  <c r="H223" i="31"/>
  <c r="G223" i="31"/>
  <c r="J222" i="31"/>
  <c r="I222" i="31"/>
  <c r="H222" i="31"/>
  <c r="G222" i="31"/>
  <c r="J221" i="31"/>
  <c r="I221" i="31"/>
  <c r="H221" i="31"/>
  <c r="G221" i="31"/>
  <c r="J220" i="31"/>
  <c r="I220" i="31"/>
  <c r="H220" i="31"/>
  <c r="G220" i="31"/>
  <c r="J219" i="31"/>
  <c r="I219" i="31"/>
  <c r="H219" i="31"/>
  <c r="G219" i="31"/>
  <c r="J218" i="31"/>
  <c r="I218" i="31"/>
  <c r="H218" i="31"/>
  <c r="G218" i="31"/>
  <c r="J217" i="31"/>
  <c r="I217" i="31"/>
  <c r="H217" i="31"/>
  <c r="G217" i="31"/>
  <c r="J216" i="31"/>
  <c r="I216" i="31"/>
  <c r="H216" i="31"/>
  <c r="G216" i="31"/>
  <c r="J215" i="31"/>
  <c r="I215" i="31"/>
  <c r="H215" i="31"/>
  <c r="G215" i="31"/>
  <c r="J214" i="31"/>
  <c r="I214" i="31"/>
  <c r="H214" i="31"/>
  <c r="G214" i="31"/>
  <c r="J213" i="31"/>
  <c r="I213" i="31"/>
  <c r="H213" i="31"/>
  <c r="G213" i="31"/>
  <c r="J212" i="31"/>
  <c r="I212" i="31"/>
  <c r="H212" i="31"/>
  <c r="G212" i="31"/>
  <c r="J211" i="31"/>
  <c r="I211" i="31"/>
  <c r="H211" i="31"/>
  <c r="G211" i="31"/>
  <c r="J210" i="31"/>
  <c r="I210" i="31"/>
  <c r="H210" i="31"/>
  <c r="G210" i="31"/>
  <c r="J209" i="31"/>
  <c r="I209" i="31"/>
  <c r="H209" i="31"/>
  <c r="G209" i="31"/>
  <c r="J208" i="31"/>
  <c r="I208" i="31"/>
  <c r="H208" i="31"/>
  <c r="G208" i="31"/>
  <c r="J207" i="31"/>
  <c r="I207" i="31"/>
  <c r="H207" i="31"/>
  <c r="G207" i="31"/>
  <c r="J206" i="31"/>
  <c r="I206" i="31"/>
  <c r="H206" i="31"/>
  <c r="G206" i="31"/>
  <c r="J205" i="31"/>
  <c r="I205" i="31"/>
  <c r="H205" i="31"/>
  <c r="G205" i="31"/>
  <c r="J204" i="31"/>
  <c r="I204" i="31"/>
  <c r="H204" i="31"/>
  <c r="G204" i="31"/>
  <c r="J203" i="31"/>
  <c r="I203" i="31"/>
  <c r="H203" i="31"/>
  <c r="G203" i="31"/>
  <c r="J202" i="31"/>
  <c r="I202" i="31"/>
  <c r="H202" i="31"/>
  <c r="G202" i="31"/>
  <c r="J201" i="31"/>
  <c r="I201" i="31"/>
  <c r="H201" i="31"/>
  <c r="G201" i="31"/>
  <c r="J200" i="31"/>
  <c r="I200" i="31"/>
  <c r="H200" i="31"/>
  <c r="G200" i="31"/>
  <c r="J199" i="31"/>
  <c r="I199" i="31"/>
  <c r="H199" i="31"/>
  <c r="G199" i="31"/>
  <c r="J198" i="31"/>
  <c r="I198" i="31"/>
  <c r="H198" i="31"/>
  <c r="G198" i="31"/>
  <c r="J197" i="31"/>
  <c r="I197" i="31"/>
  <c r="H197" i="31"/>
  <c r="G197" i="31"/>
  <c r="J196" i="31"/>
  <c r="I196" i="31"/>
  <c r="H196" i="31"/>
  <c r="G196" i="31"/>
  <c r="J195" i="31"/>
  <c r="I195" i="31"/>
  <c r="H195" i="31"/>
  <c r="G195" i="31"/>
  <c r="J194" i="31"/>
  <c r="I194" i="31"/>
  <c r="H194" i="31"/>
  <c r="G194" i="31"/>
  <c r="J193" i="31"/>
  <c r="I193" i="31"/>
  <c r="H193" i="31"/>
  <c r="G193" i="31"/>
  <c r="J192" i="31"/>
  <c r="I192" i="31"/>
  <c r="H192" i="31"/>
  <c r="G192" i="31"/>
  <c r="J191" i="31"/>
  <c r="I191" i="31"/>
  <c r="H191" i="31"/>
  <c r="G191" i="31"/>
  <c r="J190" i="31"/>
  <c r="I190" i="31"/>
  <c r="H190" i="31"/>
  <c r="G190" i="31"/>
  <c r="J189" i="31"/>
  <c r="I189" i="31"/>
  <c r="H189" i="31"/>
  <c r="G189" i="31"/>
  <c r="J188" i="31"/>
  <c r="I188" i="31"/>
  <c r="H188" i="31"/>
  <c r="G188" i="31"/>
  <c r="J187" i="31"/>
  <c r="I187" i="31"/>
  <c r="H187" i="31"/>
  <c r="G187" i="31"/>
  <c r="J186" i="31"/>
  <c r="I186" i="31"/>
  <c r="H186" i="31"/>
  <c r="G186" i="31"/>
  <c r="J185" i="31"/>
  <c r="I185" i="31"/>
  <c r="H185" i="31"/>
  <c r="G185" i="31"/>
  <c r="J184" i="31"/>
  <c r="I184" i="31"/>
  <c r="H184" i="31"/>
  <c r="G184" i="31"/>
  <c r="J183" i="31"/>
  <c r="I183" i="31"/>
  <c r="H183" i="31"/>
  <c r="G183" i="31"/>
  <c r="J182" i="31"/>
  <c r="I182" i="31"/>
  <c r="H182" i="31"/>
  <c r="G182" i="31"/>
  <c r="J181" i="31"/>
  <c r="I181" i="31"/>
  <c r="H181" i="31"/>
  <c r="G181" i="31"/>
  <c r="J180" i="31"/>
  <c r="I180" i="31"/>
  <c r="H180" i="31"/>
  <c r="G180" i="31"/>
  <c r="J179" i="31"/>
  <c r="I179" i="31"/>
  <c r="H179" i="31"/>
  <c r="G179" i="31"/>
  <c r="J178" i="31"/>
  <c r="I178" i="31"/>
  <c r="H178" i="31"/>
  <c r="G178" i="31"/>
  <c r="J177" i="31"/>
  <c r="I177" i="31"/>
  <c r="H177" i="31"/>
  <c r="G177" i="31"/>
  <c r="J176" i="31"/>
  <c r="I176" i="31"/>
  <c r="H176" i="31"/>
  <c r="G176" i="31"/>
  <c r="J175" i="31"/>
  <c r="I175" i="31"/>
  <c r="H175" i="31"/>
  <c r="G175" i="31"/>
  <c r="J174" i="31"/>
  <c r="I174" i="31"/>
  <c r="H174" i="31"/>
  <c r="G174" i="31"/>
  <c r="J173" i="31"/>
  <c r="I173" i="31"/>
  <c r="H173" i="31"/>
  <c r="G173" i="31"/>
  <c r="J172" i="31"/>
  <c r="I172" i="31"/>
  <c r="H172" i="31"/>
  <c r="G172" i="31"/>
  <c r="J171" i="31"/>
  <c r="I171" i="31"/>
  <c r="H171" i="31"/>
  <c r="G171" i="31"/>
  <c r="J170" i="31"/>
  <c r="I170" i="31"/>
  <c r="H170" i="31"/>
  <c r="G170" i="31"/>
  <c r="J169" i="31"/>
  <c r="I169" i="31"/>
  <c r="H169" i="31"/>
  <c r="G169" i="31"/>
  <c r="J168" i="31"/>
  <c r="I168" i="31"/>
  <c r="H168" i="31"/>
  <c r="G168" i="31"/>
  <c r="J167" i="31"/>
  <c r="I167" i="31"/>
  <c r="H167" i="31"/>
  <c r="G167" i="31"/>
  <c r="J166" i="31"/>
  <c r="I166" i="31"/>
  <c r="H166" i="31"/>
  <c r="G166" i="31"/>
  <c r="J165" i="31"/>
  <c r="I165" i="31"/>
  <c r="H165" i="31"/>
  <c r="G165" i="31"/>
  <c r="J164" i="31"/>
  <c r="I164" i="31"/>
  <c r="H164" i="31"/>
  <c r="G164" i="31"/>
  <c r="J163" i="31"/>
  <c r="I163" i="31"/>
  <c r="H163" i="31"/>
  <c r="G163" i="31"/>
  <c r="J162" i="31"/>
  <c r="I162" i="31"/>
  <c r="H162" i="31"/>
  <c r="G162" i="31"/>
  <c r="J161" i="31"/>
  <c r="I161" i="31"/>
  <c r="H161" i="31"/>
  <c r="G161" i="31"/>
  <c r="J160" i="31"/>
  <c r="I160" i="31"/>
  <c r="H160" i="31"/>
  <c r="G160" i="31"/>
  <c r="J159" i="31"/>
  <c r="I159" i="31"/>
  <c r="H159" i="31"/>
  <c r="G159" i="31"/>
  <c r="J158" i="31"/>
  <c r="I158" i="31"/>
  <c r="H158" i="31"/>
  <c r="G158" i="31"/>
  <c r="J157" i="31"/>
  <c r="I157" i="31"/>
  <c r="H157" i="31"/>
  <c r="G157" i="31"/>
  <c r="J156" i="31"/>
  <c r="I156" i="31"/>
  <c r="H156" i="31"/>
  <c r="G156" i="31"/>
  <c r="J155" i="31"/>
  <c r="I155" i="31"/>
  <c r="H155" i="31"/>
  <c r="G155" i="31"/>
  <c r="J154" i="31"/>
  <c r="I154" i="31"/>
  <c r="H154" i="31"/>
  <c r="G154" i="31"/>
  <c r="J153" i="31"/>
  <c r="I153" i="31"/>
  <c r="H153" i="31"/>
  <c r="G153" i="31"/>
  <c r="J152" i="31"/>
  <c r="I152" i="31"/>
  <c r="H152" i="31"/>
  <c r="G152" i="31"/>
  <c r="J151" i="31"/>
  <c r="I151" i="31"/>
  <c r="H151" i="31"/>
  <c r="G151" i="31"/>
  <c r="J150" i="31"/>
  <c r="I150" i="31"/>
  <c r="H150" i="31"/>
  <c r="G150" i="31"/>
  <c r="J149" i="31"/>
  <c r="I149" i="31"/>
  <c r="H149" i="31"/>
  <c r="G149" i="31"/>
  <c r="J148" i="31"/>
  <c r="I148" i="31"/>
  <c r="H148" i="31"/>
  <c r="G148" i="31"/>
  <c r="J147" i="31"/>
  <c r="I147" i="31"/>
  <c r="H147" i="31"/>
  <c r="G147" i="31"/>
  <c r="J146" i="31"/>
  <c r="I146" i="31"/>
  <c r="H146" i="31"/>
  <c r="G146" i="31"/>
  <c r="J145" i="31"/>
  <c r="I145" i="31"/>
  <c r="H145" i="31"/>
  <c r="G145" i="31"/>
  <c r="J144" i="31"/>
  <c r="I144" i="31"/>
  <c r="H144" i="31"/>
  <c r="G144" i="31"/>
  <c r="J143" i="31"/>
  <c r="I143" i="31"/>
  <c r="H143" i="31"/>
  <c r="G143" i="31"/>
  <c r="J142" i="31"/>
  <c r="I142" i="31"/>
  <c r="H142" i="31"/>
  <c r="G142" i="31"/>
  <c r="J141" i="31"/>
  <c r="I141" i="31"/>
  <c r="H141" i="31"/>
  <c r="G141" i="31"/>
  <c r="J140" i="31"/>
  <c r="I140" i="31"/>
  <c r="H140" i="31"/>
  <c r="G140" i="31"/>
  <c r="J139" i="31"/>
  <c r="I139" i="31"/>
  <c r="H139" i="31"/>
  <c r="G139" i="31"/>
  <c r="J138" i="31"/>
  <c r="I138" i="31"/>
  <c r="H138" i="31"/>
  <c r="G138" i="31"/>
  <c r="J137" i="31"/>
  <c r="I137" i="31"/>
  <c r="H137" i="31"/>
  <c r="G137" i="31"/>
  <c r="J136" i="31"/>
  <c r="I136" i="31"/>
  <c r="H136" i="31"/>
  <c r="G136" i="31"/>
  <c r="J135" i="31"/>
  <c r="I135" i="31"/>
  <c r="H135" i="31"/>
  <c r="G135" i="31"/>
  <c r="J134" i="31"/>
  <c r="I134" i="31"/>
  <c r="H134" i="31"/>
  <c r="G134" i="31"/>
  <c r="J133" i="31"/>
  <c r="I133" i="31"/>
  <c r="H133" i="31"/>
  <c r="G133" i="31"/>
  <c r="J132" i="31"/>
  <c r="I132" i="31"/>
  <c r="H132" i="31"/>
  <c r="G132" i="31"/>
  <c r="J131" i="31"/>
  <c r="I131" i="31"/>
  <c r="H131" i="31"/>
  <c r="G131" i="31"/>
  <c r="J130" i="31"/>
  <c r="I130" i="31"/>
  <c r="H130" i="31"/>
  <c r="G130" i="31"/>
  <c r="J129" i="31"/>
  <c r="I129" i="31"/>
  <c r="H129" i="31"/>
  <c r="G129" i="31"/>
  <c r="J128" i="31"/>
  <c r="I128" i="31"/>
  <c r="H128" i="31"/>
  <c r="G128" i="31"/>
  <c r="J127" i="31"/>
  <c r="I127" i="31"/>
  <c r="H127" i="31"/>
  <c r="G127" i="31"/>
  <c r="J126" i="31"/>
  <c r="I126" i="31"/>
  <c r="H126" i="31"/>
  <c r="G126" i="31"/>
  <c r="J125" i="31"/>
  <c r="I125" i="31"/>
  <c r="H125" i="31"/>
  <c r="G125" i="31"/>
  <c r="J124" i="31"/>
  <c r="I124" i="31"/>
  <c r="H124" i="31"/>
  <c r="G124" i="31"/>
  <c r="J123" i="31"/>
  <c r="I123" i="31"/>
  <c r="H123" i="31"/>
  <c r="G123" i="31"/>
  <c r="J122" i="31"/>
  <c r="I122" i="31"/>
  <c r="H122" i="31"/>
  <c r="G122" i="31"/>
  <c r="J121" i="31"/>
  <c r="I121" i="31"/>
  <c r="H121" i="31"/>
  <c r="G121" i="31"/>
  <c r="J120" i="31"/>
  <c r="I120" i="31"/>
  <c r="H120" i="31"/>
  <c r="G120" i="31"/>
  <c r="J119" i="31"/>
  <c r="I119" i="31"/>
  <c r="H119" i="31"/>
  <c r="G119" i="31"/>
  <c r="J118" i="31"/>
  <c r="I118" i="31"/>
  <c r="H118" i="31"/>
  <c r="G118" i="31"/>
  <c r="J117" i="31"/>
  <c r="I117" i="31"/>
  <c r="H117" i="31"/>
  <c r="G117" i="31"/>
  <c r="J116" i="31"/>
  <c r="I116" i="31"/>
  <c r="H116" i="31"/>
  <c r="G116" i="31"/>
  <c r="J115" i="31"/>
  <c r="I115" i="31"/>
  <c r="H115" i="31"/>
  <c r="G115" i="31"/>
  <c r="J114" i="31"/>
  <c r="I114" i="31"/>
  <c r="H114" i="31"/>
  <c r="G114" i="31"/>
  <c r="J113" i="31"/>
  <c r="I113" i="31"/>
  <c r="H113" i="31"/>
  <c r="G113" i="31"/>
  <c r="J112" i="31"/>
  <c r="I112" i="31"/>
  <c r="H112" i="31"/>
  <c r="G112" i="31"/>
  <c r="J111" i="31"/>
  <c r="I111" i="31"/>
  <c r="H111" i="31"/>
  <c r="G111" i="31"/>
  <c r="J110" i="31"/>
  <c r="I110" i="31"/>
  <c r="H110" i="31"/>
  <c r="G110" i="31"/>
  <c r="J109" i="31"/>
  <c r="I109" i="31"/>
  <c r="H109" i="31"/>
  <c r="G109" i="31"/>
  <c r="J108" i="31"/>
  <c r="I108" i="31"/>
  <c r="H108" i="31"/>
  <c r="G108" i="31"/>
  <c r="J107" i="31"/>
  <c r="I107" i="31"/>
  <c r="H107" i="31"/>
  <c r="G107" i="31"/>
  <c r="J106" i="31"/>
  <c r="I106" i="31"/>
  <c r="H106" i="31"/>
  <c r="G106" i="31"/>
  <c r="J105" i="31"/>
  <c r="I105" i="31"/>
  <c r="H105" i="31"/>
  <c r="G105" i="31"/>
  <c r="J104" i="31"/>
  <c r="I104" i="31"/>
  <c r="H104" i="31"/>
  <c r="G104" i="31"/>
  <c r="J103" i="31"/>
  <c r="I103" i="31"/>
  <c r="H103" i="31"/>
  <c r="G103" i="31"/>
  <c r="J102" i="31"/>
  <c r="I102" i="31"/>
  <c r="H102" i="31"/>
  <c r="G102" i="31"/>
  <c r="J101" i="31"/>
  <c r="I101" i="31"/>
  <c r="H101" i="31"/>
  <c r="G101" i="31"/>
  <c r="J100" i="31"/>
  <c r="I100" i="31"/>
  <c r="H100" i="31"/>
  <c r="G100" i="31"/>
  <c r="J99" i="31"/>
  <c r="I99" i="31"/>
  <c r="H99" i="31"/>
  <c r="G99" i="31"/>
  <c r="J98" i="31"/>
  <c r="I98" i="31"/>
  <c r="H98" i="31"/>
  <c r="G98" i="31"/>
  <c r="J97" i="31"/>
  <c r="I97" i="31"/>
  <c r="H97" i="31"/>
  <c r="G97" i="31"/>
  <c r="J96" i="31"/>
  <c r="I96" i="31"/>
  <c r="H96" i="31"/>
  <c r="G96" i="31"/>
  <c r="J95" i="31"/>
  <c r="I95" i="31"/>
  <c r="H95" i="31"/>
  <c r="G95" i="31"/>
  <c r="J94" i="31"/>
  <c r="I94" i="31"/>
  <c r="H94" i="31"/>
  <c r="G94" i="31"/>
  <c r="J93" i="31"/>
  <c r="I93" i="31"/>
  <c r="H93" i="31"/>
  <c r="G93" i="31"/>
  <c r="J92" i="31"/>
  <c r="I92" i="31"/>
  <c r="H92" i="31"/>
  <c r="G92" i="31"/>
  <c r="J91" i="31"/>
  <c r="I91" i="31"/>
  <c r="H91" i="31"/>
  <c r="G91" i="31"/>
  <c r="J90" i="31"/>
  <c r="I90" i="31"/>
  <c r="H90" i="31"/>
  <c r="G90" i="31"/>
  <c r="J89" i="31"/>
  <c r="I89" i="31"/>
  <c r="H89" i="31"/>
  <c r="G89" i="31"/>
  <c r="J88" i="31"/>
  <c r="I88" i="31"/>
  <c r="H88" i="31"/>
  <c r="G88" i="31"/>
  <c r="J87" i="31"/>
  <c r="I87" i="31"/>
  <c r="H87" i="31"/>
  <c r="G87" i="31"/>
  <c r="J86" i="31"/>
  <c r="I86" i="31"/>
  <c r="H86" i="31"/>
  <c r="G86" i="31"/>
  <c r="J85" i="31"/>
  <c r="I85" i="31"/>
  <c r="H85" i="31"/>
  <c r="G85" i="31"/>
  <c r="J84" i="31"/>
  <c r="I84" i="31"/>
  <c r="H84" i="31"/>
  <c r="G84" i="31"/>
  <c r="J83" i="31"/>
  <c r="I83" i="31"/>
  <c r="H83" i="31"/>
  <c r="G83" i="31"/>
  <c r="J82" i="31"/>
  <c r="I82" i="31"/>
  <c r="H82" i="31"/>
  <c r="G82" i="31"/>
  <c r="J81" i="31"/>
  <c r="I81" i="31"/>
  <c r="H81" i="31"/>
  <c r="G81" i="31"/>
  <c r="J80" i="31"/>
  <c r="I80" i="31"/>
  <c r="H80" i="31"/>
  <c r="G80" i="31"/>
  <c r="J79" i="31"/>
  <c r="I79" i="31"/>
  <c r="H79" i="31"/>
  <c r="G79" i="31"/>
  <c r="J78" i="31"/>
  <c r="I78" i="31"/>
  <c r="H78" i="31"/>
  <c r="G78" i="31"/>
  <c r="J77" i="31"/>
  <c r="I77" i="31"/>
  <c r="H77" i="31"/>
  <c r="G77" i="31"/>
  <c r="J76" i="31"/>
  <c r="I76" i="31"/>
  <c r="H76" i="31"/>
  <c r="G76" i="31"/>
  <c r="J75" i="31"/>
  <c r="I75" i="31"/>
  <c r="H75" i="31"/>
  <c r="G75" i="31"/>
  <c r="J74" i="31"/>
  <c r="I74" i="31"/>
  <c r="H74" i="31"/>
  <c r="G74" i="31"/>
  <c r="J73" i="31"/>
  <c r="I73" i="31"/>
  <c r="H73" i="31"/>
  <c r="G73" i="31"/>
  <c r="J72" i="31"/>
  <c r="I72" i="31"/>
  <c r="H72" i="31"/>
  <c r="G72" i="31"/>
  <c r="J71" i="31"/>
  <c r="I71" i="31"/>
  <c r="H71" i="31"/>
  <c r="G71" i="31"/>
  <c r="J70" i="31"/>
  <c r="I70" i="31"/>
  <c r="H70" i="31"/>
  <c r="G70" i="31"/>
  <c r="J69" i="31"/>
  <c r="I69" i="31"/>
  <c r="H69" i="31"/>
  <c r="G69" i="31"/>
  <c r="J68" i="31"/>
  <c r="I68" i="31"/>
  <c r="H68" i="31"/>
  <c r="G68" i="31"/>
  <c r="J67" i="31"/>
  <c r="I67" i="31"/>
  <c r="H67" i="31"/>
  <c r="G67" i="31"/>
  <c r="J66" i="31"/>
  <c r="I66" i="31"/>
  <c r="H66" i="31"/>
  <c r="G66" i="31"/>
  <c r="J65" i="31"/>
  <c r="I65" i="31"/>
  <c r="H65" i="31"/>
  <c r="G65" i="31"/>
  <c r="J64" i="31"/>
  <c r="I64" i="31"/>
  <c r="H64" i="31"/>
  <c r="G64" i="31"/>
  <c r="J63" i="31"/>
  <c r="I63" i="31"/>
  <c r="H63" i="31"/>
  <c r="G63" i="31"/>
  <c r="J62" i="31"/>
  <c r="I62" i="31"/>
  <c r="H62" i="31"/>
  <c r="G62" i="31"/>
  <c r="J61" i="31"/>
  <c r="I61" i="31"/>
  <c r="H61" i="31"/>
  <c r="G61" i="31"/>
  <c r="J60" i="31"/>
  <c r="I60" i="31"/>
  <c r="H60" i="31"/>
  <c r="G60" i="31"/>
  <c r="J59" i="31"/>
  <c r="I59" i="31"/>
  <c r="H59" i="31"/>
  <c r="G59" i="31"/>
  <c r="J58" i="31"/>
  <c r="I58" i="31"/>
  <c r="H58" i="31"/>
  <c r="G58" i="31"/>
  <c r="J57" i="31"/>
  <c r="I57" i="31"/>
  <c r="H57" i="31"/>
  <c r="G57" i="31"/>
  <c r="J56" i="31"/>
  <c r="I56" i="31"/>
  <c r="H56" i="31"/>
  <c r="G56" i="31"/>
  <c r="J55" i="31"/>
  <c r="I55" i="31"/>
  <c r="H55" i="31"/>
  <c r="G55" i="31"/>
  <c r="J54" i="31"/>
  <c r="I54" i="31"/>
  <c r="H54" i="31"/>
  <c r="G54" i="31"/>
  <c r="J53" i="31"/>
  <c r="I53" i="31"/>
  <c r="H53" i="31"/>
  <c r="G53" i="31"/>
  <c r="J52" i="31"/>
  <c r="I52" i="31"/>
  <c r="H52" i="31"/>
  <c r="G52" i="31"/>
  <c r="J51" i="31"/>
  <c r="I51" i="31"/>
  <c r="H51" i="31"/>
  <c r="G51" i="31"/>
  <c r="J50" i="31"/>
  <c r="I50" i="31"/>
  <c r="H50" i="31"/>
  <c r="G50" i="31"/>
  <c r="J49" i="31"/>
  <c r="I49" i="31"/>
  <c r="H49" i="31"/>
  <c r="G49" i="31"/>
  <c r="J48" i="31"/>
  <c r="I48" i="31"/>
  <c r="H48" i="31"/>
  <c r="G48" i="31"/>
  <c r="J47" i="31"/>
  <c r="I47" i="31"/>
  <c r="H47" i="31"/>
  <c r="G47" i="31"/>
  <c r="J46" i="31"/>
  <c r="I46" i="31"/>
  <c r="H46" i="31"/>
  <c r="G46" i="31"/>
  <c r="J45" i="31"/>
  <c r="I45" i="31"/>
  <c r="H45" i="31"/>
  <c r="G45" i="31"/>
  <c r="J44" i="31"/>
  <c r="I44" i="31"/>
  <c r="H44" i="31"/>
  <c r="G44" i="31"/>
  <c r="J43" i="31"/>
  <c r="I43" i="31"/>
  <c r="H43" i="31"/>
  <c r="G43" i="31"/>
  <c r="J42" i="31"/>
  <c r="I42" i="31"/>
  <c r="H42" i="31"/>
  <c r="G42" i="31"/>
  <c r="J41" i="31"/>
  <c r="I41" i="31"/>
  <c r="H41" i="31"/>
  <c r="G41" i="31"/>
  <c r="J40" i="31"/>
  <c r="I40" i="31"/>
  <c r="H40" i="31"/>
  <c r="G40" i="31"/>
  <c r="J39" i="31"/>
  <c r="I39" i="31"/>
  <c r="H39" i="31"/>
  <c r="G39" i="31"/>
  <c r="J38" i="31"/>
  <c r="I38" i="31"/>
  <c r="H38" i="31"/>
  <c r="G38" i="31"/>
  <c r="J37" i="31"/>
  <c r="I37" i="31"/>
  <c r="H37" i="31"/>
  <c r="G37" i="31"/>
  <c r="J36" i="31"/>
  <c r="I36" i="31"/>
  <c r="H36" i="31"/>
  <c r="G36" i="31"/>
  <c r="J35" i="31"/>
  <c r="I35" i="31"/>
  <c r="H35" i="31"/>
  <c r="G35" i="31"/>
  <c r="J34" i="31"/>
  <c r="I34" i="31"/>
  <c r="H34" i="31"/>
  <c r="G34" i="31"/>
  <c r="J33" i="31"/>
  <c r="I33" i="31"/>
  <c r="H33" i="31"/>
  <c r="G33" i="31"/>
  <c r="J32" i="31"/>
  <c r="I32" i="31"/>
  <c r="H32" i="31"/>
  <c r="G32" i="31"/>
  <c r="J31" i="31"/>
  <c r="I31" i="31"/>
  <c r="H31" i="31"/>
  <c r="G31" i="31"/>
  <c r="J30" i="31"/>
  <c r="I30" i="31"/>
  <c r="H30" i="31"/>
  <c r="G30" i="31"/>
  <c r="J29" i="31"/>
  <c r="I29" i="31"/>
  <c r="H29" i="31"/>
  <c r="G29" i="31"/>
  <c r="J28" i="31"/>
  <c r="I28" i="31"/>
  <c r="H28" i="31"/>
  <c r="G28" i="31"/>
  <c r="J27" i="31"/>
  <c r="I27" i="31"/>
  <c r="H27" i="31"/>
  <c r="G27" i="31"/>
  <c r="J26" i="31"/>
  <c r="I26" i="31"/>
  <c r="H26" i="31"/>
  <c r="G26" i="31"/>
  <c r="J25" i="31"/>
  <c r="I25" i="31"/>
  <c r="H25" i="31"/>
  <c r="G25" i="31"/>
  <c r="J24" i="31"/>
  <c r="I24" i="31"/>
  <c r="H24" i="31"/>
  <c r="G24" i="31"/>
  <c r="J23" i="31"/>
  <c r="I23" i="31"/>
  <c r="H23" i="31"/>
  <c r="G23" i="31"/>
  <c r="J22" i="31"/>
  <c r="I22" i="31"/>
  <c r="H22" i="31"/>
  <c r="G22" i="31"/>
  <c r="J21" i="31"/>
  <c r="I21" i="31"/>
  <c r="H21" i="31"/>
  <c r="G21" i="31"/>
  <c r="J20" i="31"/>
  <c r="I20" i="31"/>
  <c r="H20" i="31"/>
  <c r="G20" i="31"/>
  <c r="J19" i="31"/>
  <c r="I19" i="31"/>
  <c r="H19" i="31"/>
  <c r="G19" i="31"/>
  <c r="J18" i="31"/>
  <c r="I18" i="31"/>
  <c r="H18" i="31"/>
  <c r="G18" i="31"/>
  <c r="J17" i="31"/>
  <c r="I17" i="31"/>
  <c r="H17" i="31"/>
  <c r="G17" i="31"/>
  <c r="J16" i="31"/>
  <c r="I16" i="31"/>
  <c r="H16" i="31"/>
  <c r="G16" i="31"/>
  <c r="J15" i="31"/>
  <c r="I15" i="31"/>
  <c r="H15" i="31"/>
  <c r="G15" i="31"/>
  <c r="J14" i="31"/>
  <c r="I14" i="31"/>
  <c r="H14" i="31"/>
  <c r="G14" i="31"/>
  <c r="J13" i="31"/>
  <c r="I13" i="31"/>
  <c r="H13" i="31"/>
  <c r="G13" i="31"/>
  <c r="J12" i="31"/>
  <c r="I12" i="31"/>
  <c r="H12" i="31"/>
  <c r="G12" i="31"/>
  <c r="J11" i="31"/>
  <c r="I11" i="31"/>
  <c r="H11" i="31"/>
  <c r="G11" i="31"/>
  <c r="J10" i="31"/>
  <c r="I10" i="31"/>
  <c r="H10" i="31"/>
  <c r="G10" i="31"/>
  <c r="J9" i="31"/>
  <c r="I9" i="31"/>
  <c r="H9" i="31"/>
  <c r="G9" i="31"/>
  <c r="J8" i="31"/>
  <c r="I8" i="31"/>
  <c r="H8" i="31"/>
  <c r="G8" i="31"/>
  <c r="J7" i="31"/>
  <c r="I7" i="31"/>
  <c r="H7" i="31"/>
  <c r="G7" i="31"/>
  <c r="J6" i="31"/>
  <c r="I6" i="31"/>
  <c r="H6" i="31"/>
  <c r="G6" i="31"/>
  <c r="J5" i="31"/>
  <c r="I5" i="31"/>
  <c r="H5" i="31"/>
  <c r="G5" i="31"/>
  <c r="J266" i="30"/>
  <c r="I266" i="30"/>
  <c r="H266" i="30"/>
  <c r="G266" i="30"/>
  <c r="F266" i="30"/>
  <c r="J265" i="30"/>
  <c r="I265" i="30"/>
  <c r="H265" i="30"/>
  <c r="G265" i="30"/>
  <c r="F265" i="30"/>
  <c r="V180" i="25" s="1"/>
  <c r="J262" i="30"/>
  <c r="I262" i="30"/>
  <c r="H262" i="30"/>
  <c r="G262" i="30"/>
  <c r="E262" i="30"/>
  <c r="F262" i="30" s="1"/>
  <c r="J261" i="30"/>
  <c r="I261" i="30"/>
  <c r="H261" i="30"/>
  <c r="G261" i="30"/>
  <c r="F261" i="30"/>
  <c r="V56" i="25" s="1"/>
  <c r="H56" i="25" s="1"/>
  <c r="J260" i="30"/>
  <c r="I260" i="30"/>
  <c r="H260" i="30"/>
  <c r="G260" i="30"/>
  <c r="F260" i="30"/>
  <c r="J259" i="30"/>
  <c r="I259" i="30"/>
  <c r="H259" i="30"/>
  <c r="G259" i="30"/>
  <c r="F259" i="30"/>
  <c r="J258" i="30"/>
  <c r="I258" i="30"/>
  <c r="H258" i="30"/>
  <c r="G258" i="30"/>
  <c r="F258" i="30"/>
  <c r="J257" i="30"/>
  <c r="I257" i="30"/>
  <c r="H257" i="30"/>
  <c r="G257" i="30"/>
  <c r="F257" i="30"/>
  <c r="J256" i="30"/>
  <c r="I256" i="30"/>
  <c r="H256" i="30"/>
  <c r="G256" i="30"/>
  <c r="F256" i="30"/>
  <c r="J255" i="30"/>
  <c r="I255" i="30"/>
  <c r="H255" i="30"/>
  <c r="G255" i="30"/>
  <c r="F255" i="30"/>
  <c r="J254" i="30"/>
  <c r="I254" i="30"/>
  <c r="H254" i="30"/>
  <c r="G254" i="30"/>
  <c r="F254" i="30"/>
  <c r="J253" i="30"/>
  <c r="I253" i="30"/>
  <c r="H253" i="30"/>
  <c r="G253" i="30"/>
  <c r="F253" i="30"/>
  <c r="J252" i="30"/>
  <c r="I252" i="30"/>
  <c r="H252" i="30"/>
  <c r="G252" i="30"/>
  <c r="F252" i="30"/>
  <c r="J251" i="30"/>
  <c r="I251" i="30"/>
  <c r="H251" i="30"/>
  <c r="G251" i="30"/>
  <c r="F251" i="30"/>
  <c r="J250" i="30"/>
  <c r="I250" i="30"/>
  <c r="H250" i="30"/>
  <c r="G250" i="30"/>
  <c r="F250" i="30"/>
  <c r="J249" i="30"/>
  <c r="I249" i="30"/>
  <c r="H249" i="30"/>
  <c r="G249" i="30"/>
  <c r="F249" i="30"/>
  <c r="J248" i="30"/>
  <c r="I248" i="30"/>
  <c r="H248" i="30"/>
  <c r="G248" i="30"/>
  <c r="F248" i="30"/>
  <c r="J247" i="30"/>
  <c r="I247" i="30"/>
  <c r="H247" i="30"/>
  <c r="G247" i="30"/>
  <c r="F247" i="30"/>
  <c r="J246" i="30"/>
  <c r="I246" i="30"/>
  <c r="H246" i="30"/>
  <c r="G246" i="30"/>
  <c r="F246" i="30"/>
  <c r="G153" i="18" s="1"/>
  <c r="J245" i="30"/>
  <c r="I245" i="30"/>
  <c r="H245" i="30"/>
  <c r="G245" i="30"/>
  <c r="F245" i="30"/>
  <c r="G154" i="18" s="1"/>
  <c r="J244" i="30"/>
  <c r="I244" i="30"/>
  <c r="H244" i="30"/>
  <c r="G244" i="30"/>
  <c r="F244" i="30"/>
  <c r="G157" i="18" s="1"/>
  <c r="J243" i="30"/>
  <c r="I243" i="30"/>
  <c r="H243" i="30"/>
  <c r="G243" i="30"/>
  <c r="F243" i="30"/>
  <c r="G158" i="18" s="1"/>
  <c r="J242" i="30"/>
  <c r="I242" i="30"/>
  <c r="H242" i="30"/>
  <c r="G242" i="30"/>
  <c r="F242" i="30"/>
  <c r="G159" i="18" s="1"/>
  <c r="J241" i="30"/>
  <c r="I241" i="30"/>
  <c r="H241" i="30"/>
  <c r="G241" i="30"/>
  <c r="F241" i="30"/>
  <c r="G160" i="18" s="1"/>
  <c r="J240" i="30"/>
  <c r="I240" i="30"/>
  <c r="H240" i="30"/>
  <c r="G240" i="30"/>
  <c r="F240" i="30"/>
  <c r="G161" i="18" s="1"/>
  <c r="J239" i="30"/>
  <c r="I239" i="30"/>
  <c r="H239" i="30"/>
  <c r="G239" i="30"/>
  <c r="F239" i="30"/>
  <c r="G162" i="18" s="1"/>
  <c r="J238" i="30"/>
  <c r="I238" i="30"/>
  <c r="H238" i="30"/>
  <c r="G238" i="30"/>
  <c r="F238" i="30"/>
  <c r="G164" i="18" s="1"/>
  <c r="J237" i="30"/>
  <c r="I237" i="30"/>
  <c r="H237" i="30"/>
  <c r="G237" i="30"/>
  <c r="F237" i="30"/>
  <c r="G165" i="18" s="1"/>
  <c r="J236" i="30"/>
  <c r="I236" i="30"/>
  <c r="H236" i="30"/>
  <c r="G236" i="30"/>
  <c r="F236" i="30"/>
  <c r="G167" i="18" s="1"/>
  <c r="J235" i="30"/>
  <c r="I235" i="30"/>
  <c r="H235" i="30"/>
  <c r="G235" i="30"/>
  <c r="F235" i="30"/>
  <c r="G170" i="18" s="1"/>
  <c r="J234" i="30"/>
  <c r="I234" i="30"/>
  <c r="H234" i="30"/>
  <c r="G234" i="30"/>
  <c r="F234" i="30"/>
  <c r="G171" i="18" s="1"/>
  <c r="J233" i="30"/>
  <c r="I233" i="30"/>
  <c r="H233" i="30"/>
  <c r="G233" i="30"/>
  <c r="F233" i="30"/>
  <c r="G172" i="18" s="1"/>
  <c r="J232" i="30"/>
  <c r="I232" i="30"/>
  <c r="H232" i="30"/>
  <c r="G232" i="30"/>
  <c r="F232" i="30"/>
  <c r="G173" i="18" s="1"/>
  <c r="J231" i="30"/>
  <c r="I231" i="30"/>
  <c r="H231" i="30"/>
  <c r="G231" i="30"/>
  <c r="F231" i="30"/>
  <c r="G174" i="18" s="1"/>
  <c r="J230" i="30"/>
  <c r="I230" i="30"/>
  <c r="H230" i="30"/>
  <c r="G230" i="30"/>
  <c r="F230" i="30"/>
  <c r="G175" i="18" s="1"/>
  <c r="J229" i="30"/>
  <c r="I229" i="30"/>
  <c r="H229" i="30"/>
  <c r="G229" i="30"/>
  <c r="F229" i="30"/>
  <c r="G176" i="18" s="1"/>
  <c r="J228" i="30"/>
  <c r="I228" i="30"/>
  <c r="H228" i="30"/>
  <c r="G228" i="30"/>
  <c r="F228" i="30"/>
  <c r="G177" i="18" s="1"/>
  <c r="J227" i="30"/>
  <c r="I227" i="30"/>
  <c r="H227" i="30"/>
  <c r="G227" i="30"/>
  <c r="F227" i="30"/>
  <c r="G178" i="18" s="1"/>
  <c r="J226" i="30"/>
  <c r="I226" i="30"/>
  <c r="H226" i="30"/>
  <c r="G226" i="30"/>
  <c r="F226" i="30"/>
  <c r="G180" i="18" s="1"/>
  <c r="J225" i="30"/>
  <c r="I225" i="30"/>
  <c r="H225" i="30"/>
  <c r="G225" i="30"/>
  <c r="F225" i="30"/>
  <c r="G183" i="18" s="1"/>
  <c r="J224" i="30"/>
  <c r="I224" i="30"/>
  <c r="H224" i="30"/>
  <c r="G224" i="30"/>
  <c r="F224" i="30"/>
  <c r="G184" i="18" s="1"/>
  <c r="J223" i="30"/>
  <c r="I223" i="30"/>
  <c r="H223" i="30"/>
  <c r="G223" i="30"/>
  <c r="F223" i="30"/>
  <c r="G185" i="18" s="1"/>
  <c r="J222" i="30"/>
  <c r="I222" i="30"/>
  <c r="H222" i="30"/>
  <c r="G222" i="30"/>
  <c r="F222" i="30"/>
  <c r="G186" i="18" s="1"/>
  <c r="J221" i="30"/>
  <c r="I221" i="30"/>
  <c r="H221" i="30"/>
  <c r="G221" i="30"/>
  <c r="F221" i="30"/>
  <c r="G187" i="18" s="1"/>
  <c r="J220" i="30"/>
  <c r="I220" i="30"/>
  <c r="H220" i="30"/>
  <c r="G220" i="30"/>
  <c r="F220" i="30"/>
  <c r="G188" i="18" s="1"/>
  <c r="F217" i="30"/>
  <c r="E217" i="30"/>
  <c r="D217" i="30"/>
  <c r="C217" i="30"/>
  <c r="J215" i="30"/>
  <c r="I215" i="30"/>
  <c r="H215" i="30"/>
  <c r="G215" i="30"/>
  <c r="J214" i="30"/>
  <c r="I214" i="30"/>
  <c r="H214" i="30"/>
  <c r="G214" i="30"/>
  <c r="J213" i="30"/>
  <c r="I213" i="30"/>
  <c r="H213" i="30"/>
  <c r="G213" i="30"/>
  <c r="J212" i="30"/>
  <c r="I212" i="30"/>
  <c r="H212" i="30"/>
  <c r="G212" i="30"/>
  <c r="J211" i="30"/>
  <c r="I211" i="30"/>
  <c r="H211" i="30"/>
  <c r="G211" i="30"/>
  <c r="J210" i="30"/>
  <c r="I210" i="30"/>
  <c r="H210" i="30"/>
  <c r="G210" i="30"/>
  <c r="J209" i="30"/>
  <c r="I209" i="30"/>
  <c r="H209" i="30"/>
  <c r="G209" i="30"/>
  <c r="J208" i="30"/>
  <c r="I208" i="30"/>
  <c r="H208" i="30"/>
  <c r="G208" i="30"/>
  <c r="J207" i="30"/>
  <c r="I207" i="30"/>
  <c r="H207" i="30"/>
  <c r="G207" i="30"/>
  <c r="J206" i="30"/>
  <c r="I206" i="30"/>
  <c r="H206" i="30"/>
  <c r="G206" i="30"/>
  <c r="J205" i="30"/>
  <c r="I205" i="30"/>
  <c r="H205" i="30"/>
  <c r="G205" i="30"/>
  <c r="J204" i="30"/>
  <c r="I204" i="30"/>
  <c r="H204" i="30"/>
  <c r="G204" i="30"/>
  <c r="J203" i="30"/>
  <c r="I203" i="30"/>
  <c r="H203" i="30"/>
  <c r="G203" i="30"/>
  <c r="J202" i="30"/>
  <c r="I202" i="30"/>
  <c r="H202" i="30"/>
  <c r="G202" i="30"/>
  <c r="J201" i="30"/>
  <c r="I201" i="30"/>
  <c r="H201" i="30"/>
  <c r="G201" i="30"/>
  <c r="J200" i="30"/>
  <c r="I200" i="30"/>
  <c r="H200" i="30"/>
  <c r="G200" i="30"/>
  <c r="J199" i="30"/>
  <c r="I199" i="30"/>
  <c r="H199" i="30"/>
  <c r="G199" i="30"/>
  <c r="J198" i="30"/>
  <c r="I198" i="30"/>
  <c r="H198" i="30"/>
  <c r="G198" i="30"/>
  <c r="J197" i="30"/>
  <c r="I197" i="30"/>
  <c r="H197" i="30"/>
  <c r="G197" i="30"/>
  <c r="J196" i="30"/>
  <c r="I196" i="30"/>
  <c r="H196" i="30"/>
  <c r="G196" i="30"/>
  <c r="J195" i="30"/>
  <c r="I195" i="30"/>
  <c r="H195" i="30"/>
  <c r="G195" i="30"/>
  <c r="J194" i="30"/>
  <c r="I194" i="30"/>
  <c r="H194" i="30"/>
  <c r="G194" i="30"/>
  <c r="J193" i="30"/>
  <c r="I193" i="30"/>
  <c r="H193" i="30"/>
  <c r="G193" i="30"/>
  <c r="J192" i="30"/>
  <c r="I192" i="30"/>
  <c r="H192" i="30"/>
  <c r="G192" i="30"/>
  <c r="J191" i="30"/>
  <c r="I191" i="30"/>
  <c r="H191" i="30"/>
  <c r="G191" i="30"/>
  <c r="J190" i="30"/>
  <c r="I190" i="30"/>
  <c r="H190" i="30"/>
  <c r="G190" i="30"/>
  <c r="J189" i="30"/>
  <c r="I189" i="30"/>
  <c r="H189" i="30"/>
  <c r="G189" i="30"/>
  <c r="J188" i="30"/>
  <c r="I188" i="30"/>
  <c r="H188" i="30"/>
  <c r="G188" i="30"/>
  <c r="J187" i="30"/>
  <c r="I187" i="30"/>
  <c r="H187" i="30"/>
  <c r="G187" i="30"/>
  <c r="J186" i="30"/>
  <c r="I186" i="30"/>
  <c r="H186" i="30"/>
  <c r="G186" i="30"/>
  <c r="J185" i="30"/>
  <c r="I185" i="30"/>
  <c r="H185" i="30"/>
  <c r="G185" i="30"/>
  <c r="J184" i="30"/>
  <c r="I184" i="30"/>
  <c r="H184" i="30"/>
  <c r="G184" i="30"/>
  <c r="J183" i="30"/>
  <c r="I183" i="30"/>
  <c r="H183" i="30"/>
  <c r="G183" i="30"/>
  <c r="J182" i="30"/>
  <c r="I182" i="30"/>
  <c r="H182" i="30"/>
  <c r="G182" i="30"/>
  <c r="J181" i="30"/>
  <c r="I181" i="30"/>
  <c r="H181" i="30"/>
  <c r="G181" i="30"/>
  <c r="J180" i="30"/>
  <c r="I180" i="30"/>
  <c r="H180" i="30"/>
  <c r="G180" i="30"/>
  <c r="J179" i="30"/>
  <c r="I179" i="30"/>
  <c r="H179" i="30"/>
  <c r="G179" i="30"/>
  <c r="J178" i="30"/>
  <c r="I178" i="30"/>
  <c r="H178" i="30"/>
  <c r="G178" i="30"/>
  <c r="J177" i="30"/>
  <c r="I177" i="30"/>
  <c r="H177" i="30"/>
  <c r="G177" i="30"/>
  <c r="J176" i="30"/>
  <c r="I176" i="30"/>
  <c r="H176" i="30"/>
  <c r="G176" i="30"/>
  <c r="J175" i="30"/>
  <c r="I175" i="30"/>
  <c r="H175" i="30"/>
  <c r="G175" i="30"/>
  <c r="J174" i="30"/>
  <c r="I174" i="30"/>
  <c r="H174" i="30"/>
  <c r="G174" i="30"/>
  <c r="J173" i="30"/>
  <c r="I173" i="30"/>
  <c r="H173" i="30"/>
  <c r="G173" i="30"/>
  <c r="J172" i="30"/>
  <c r="I172" i="30"/>
  <c r="H172" i="30"/>
  <c r="G172" i="30"/>
  <c r="J171" i="30"/>
  <c r="I171" i="30"/>
  <c r="H171" i="30"/>
  <c r="G171" i="30"/>
  <c r="J170" i="30"/>
  <c r="I170" i="30"/>
  <c r="H170" i="30"/>
  <c r="G170" i="30"/>
  <c r="J169" i="30"/>
  <c r="I169" i="30"/>
  <c r="H169" i="30"/>
  <c r="G169" i="30"/>
  <c r="J168" i="30"/>
  <c r="I168" i="30"/>
  <c r="H168" i="30"/>
  <c r="G168" i="30"/>
  <c r="J167" i="30"/>
  <c r="I167" i="30"/>
  <c r="H167" i="30"/>
  <c r="G167" i="30"/>
  <c r="J166" i="30"/>
  <c r="I166" i="30"/>
  <c r="H166" i="30"/>
  <c r="G166" i="30"/>
  <c r="J165" i="30"/>
  <c r="I165" i="30"/>
  <c r="H165" i="30"/>
  <c r="G165" i="30"/>
  <c r="J164" i="30"/>
  <c r="I164" i="30"/>
  <c r="H164" i="30"/>
  <c r="G164" i="30"/>
  <c r="J163" i="30"/>
  <c r="I163" i="30"/>
  <c r="H163" i="30"/>
  <c r="G163" i="30"/>
  <c r="J162" i="30"/>
  <c r="I162" i="30"/>
  <c r="H162" i="30"/>
  <c r="G162" i="30"/>
  <c r="J161" i="30"/>
  <c r="I161" i="30"/>
  <c r="H161" i="30"/>
  <c r="G161" i="30"/>
  <c r="J160" i="30"/>
  <c r="I160" i="30"/>
  <c r="H160" i="30"/>
  <c r="G160" i="30"/>
  <c r="J159" i="30"/>
  <c r="I159" i="30"/>
  <c r="H159" i="30"/>
  <c r="G159" i="30"/>
  <c r="J158" i="30"/>
  <c r="I158" i="30"/>
  <c r="H158" i="30"/>
  <c r="G158" i="30"/>
  <c r="J157" i="30"/>
  <c r="I157" i="30"/>
  <c r="H157" i="30"/>
  <c r="G157" i="30"/>
  <c r="J156" i="30"/>
  <c r="I156" i="30"/>
  <c r="H156" i="30"/>
  <c r="G156" i="30"/>
  <c r="J155" i="30"/>
  <c r="I155" i="30"/>
  <c r="H155" i="30"/>
  <c r="G155" i="30"/>
  <c r="J154" i="30"/>
  <c r="I154" i="30"/>
  <c r="H154" i="30"/>
  <c r="G154" i="30"/>
  <c r="J153" i="30"/>
  <c r="I153" i="30"/>
  <c r="H153" i="30"/>
  <c r="G153" i="30"/>
  <c r="J152" i="30"/>
  <c r="I152" i="30"/>
  <c r="H152" i="30"/>
  <c r="G152" i="30"/>
  <c r="J151" i="30"/>
  <c r="I151" i="30"/>
  <c r="H151" i="30"/>
  <c r="G151" i="30"/>
  <c r="J150" i="30"/>
  <c r="I150" i="30"/>
  <c r="H150" i="30"/>
  <c r="G150" i="30"/>
  <c r="J149" i="30"/>
  <c r="I149" i="30"/>
  <c r="H149" i="30"/>
  <c r="G149" i="30"/>
  <c r="J148" i="30"/>
  <c r="I148" i="30"/>
  <c r="H148" i="30"/>
  <c r="G148" i="30"/>
  <c r="J147" i="30"/>
  <c r="I147" i="30"/>
  <c r="H147" i="30"/>
  <c r="G147" i="30"/>
  <c r="J146" i="30"/>
  <c r="I146" i="30"/>
  <c r="H146" i="30"/>
  <c r="G146" i="30"/>
  <c r="J145" i="30"/>
  <c r="I145" i="30"/>
  <c r="H145" i="30"/>
  <c r="G145" i="30"/>
  <c r="J144" i="30"/>
  <c r="I144" i="30"/>
  <c r="H144" i="30"/>
  <c r="G144" i="30"/>
  <c r="J143" i="30"/>
  <c r="I143" i="30"/>
  <c r="H143" i="30"/>
  <c r="G143" i="30"/>
  <c r="J142" i="30"/>
  <c r="I142" i="30"/>
  <c r="H142" i="30"/>
  <c r="G142" i="30"/>
  <c r="J141" i="30"/>
  <c r="I141" i="30"/>
  <c r="H141" i="30"/>
  <c r="G141" i="30"/>
  <c r="J140" i="30"/>
  <c r="I140" i="30"/>
  <c r="H140" i="30"/>
  <c r="G140" i="30"/>
  <c r="J139" i="30"/>
  <c r="I139" i="30"/>
  <c r="H139" i="30"/>
  <c r="G139" i="30"/>
  <c r="J138" i="30"/>
  <c r="I138" i="30"/>
  <c r="H138" i="30"/>
  <c r="G138" i="30"/>
  <c r="J137" i="30"/>
  <c r="I137" i="30"/>
  <c r="H137" i="30"/>
  <c r="G137" i="30"/>
  <c r="J136" i="30"/>
  <c r="I136" i="30"/>
  <c r="H136" i="30"/>
  <c r="G136" i="30"/>
  <c r="J135" i="30"/>
  <c r="I135" i="30"/>
  <c r="H135" i="30"/>
  <c r="G135" i="30"/>
  <c r="J134" i="30"/>
  <c r="I134" i="30"/>
  <c r="H134" i="30"/>
  <c r="G134" i="30"/>
  <c r="J133" i="30"/>
  <c r="I133" i="30"/>
  <c r="H133" i="30"/>
  <c r="G133" i="30"/>
  <c r="J132" i="30"/>
  <c r="I132" i="30"/>
  <c r="H132" i="30"/>
  <c r="G132" i="30"/>
  <c r="J131" i="30"/>
  <c r="I131" i="30"/>
  <c r="H131" i="30"/>
  <c r="G131" i="30"/>
  <c r="J130" i="30"/>
  <c r="I130" i="30"/>
  <c r="H130" i="30"/>
  <c r="G130" i="30"/>
  <c r="J129" i="30"/>
  <c r="I129" i="30"/>
  <c r="H129" i="30"/>
  <c r="G129" i="30"/>
  <c r="J128" i="30"/>
  <c r="I128" i="30"/>
  <c r="H128" i="30"/>
  <c r="G128" i="30"/>
  <c r="J127" i="30"/>
  <c r="I127" i="30"/>
  <c r="H127" i="30"/>
  <c r="G127" i="30"/>
  <c r="J126" i="30"/>
  <c r="I126" i="30"/>
  <c r="H126" i="30"/>
  <c r="G126" i="30"/>
  <c r="J125" i="30"/>
  <c r="I125" i="30"/>
  <c r="H125" i="30"/>
  <c r="G125" i="30"/>
  <c r="J124" i="30"/>
  <c r="I124" i="30"/>
  <c r="H124" i="30"/>
  <c r="G124" i="30"/>
  <c r="J123" i="30"/>
  <c r="I123" i="30"/>
  <c r="H123" i="30"/>
  <c r="G123" i="30"/>
  <c r="J122" i="30"/>
  <c r="I122" i="30"/>
  <c r="H122" i="30"/>
  <c r="G122" i="30"/>
  <c r="J121" i="30"/>
  <c r="I121" i="30"/>
  <c r="H121" i="30"/>
  <c r="G121" i="30"/>
  <c r="J120" i="30"/>
  <c r="I120" i="30"/>
  <c r="H120" i="30"/>
  <c r="G120" i="30"/>
  <c r="J119" i="30"/>
  <c r="I119" i="30"/>
  <c r="H119" i="30"/>
  <c r="G119" i="30"/>
  <c r="J118" i="30"/>
  <c r="I118" i="30"/>
  <c r="H118" i="30"/>
  <c r="G118" i="30"/>
  <c r="J117" i="30"/>
  <c r="I117" i="30"/>
  <c r="H117" i="30"/>
  <c r="G117" i="30"/>
  <c r="J116" i="30"/>
  <c r="I116" i="30"/>
  <c r="H116" i="30"/>
  <c r="G116" i="30"/>
  <c r="J115" i="30"/>
  <c r="I115" i="30"/>
  <c r="H115" i="30"/>
  <c r="G115" i="30"/>
  <c r="J114" i="30"/>
  <c r="I114" i="30"/>
  <c r="H114" i="30"/>
  <c r="G114" i="30"/>
  <c r="J113" i="30"/>
  <c r="I113" i="30"/>
  <c r="H113" i="30"/>
  <c r="G113" i="30"/>
  <c r="J112" i="30"/>
  <c r="I112" i="30"/>
  <c r="H112" i="30"/>
  <c r="G112" i="30"/>
  <c r="J111" i="30"/>
  <c r="I111" i="30"/>
  <c r="H111" i="30"/>
  <c r="G111" i="30"/>
  <c r="J110" i="30"/>
  <c r="I110" i="30"/>
  <c r="H110" i="30"/>
  <c r="G110" i="30"/>
  <c r="J109" i="30"/>
  <c r="I109" i="30"/>
  <c r="H109" i="30"/>
  <c r="G109" i="30"/>
  <c r="J108" i="30"/>
  <c r="I108" i="30"/>
  <c r="H108" i="30"/>
  <c r="G108" i="30"/>
  <c r="J107" i="30"/>
  <c r="I107" i="30"/>
  <c r="H107" i="30"/>
  <c r="G107" i="30"/>
  <c r="J106" i="30"/>
  <c r="I106" i="30"/>
  <c r="H106" i="30"/>
  <c r="G106" i="30"/>
  <c r="J105" i="30"/>
  <c r="I105" i="30"/>
  <c r="H105" i="30"/>
  <c r="G105" i="30"/>
  <c r="J104" i="30"/>
  <c r="I104" i="30"/>
  <c r="H104" i="30"/>
  <c r="G104" i="30"/>
  <c r="J103" i="30"/>
  <c r="I103" i="30"/>
  <c r="H103" i="30"/>
  <c r="G103" i="30"/>
  <c r="J102" i="30"/>
  <c r="I102" i="30"/>
  <c r="H102" i="30"/>
  <c r="G102" i="30"/>
  <c r="J101" i="30"/>
  <c r="I101" i="30"/>
  <c r="H101" i="30"/>
  <c r="G101" i="30"/>
  <c r="J100" i="30"/>
  <c r="I100" i="30"/>
  <c r="H100" i="30"/>
  <c r="G100" i="30"/>
  <c r="J99" i="30"/>
  <c r="I99" i="30"/>
  <c r="H99" i="30"/>
  <c r="G99" i="30"/>
  <c r="J98" i="30"/>
  <c r="I98" i="30"/>
  <c r="H98" i="30"/>
  <c r="G98" i="30"/>
  <c r="J97" i="30"/>
  <c r="I97" i="30"/>
  <c r="H97" i="30"/>
  <c r="G97" i="30"/>
  <c r="J96" i="30"/>
  <c r="I96" i="30"/>
  <c r="H96" i="30"/>
  <c r="G96" i="30"/>
  <c r="J95" i="30"/>
  <c r="I95" i="30"/>
  <c r="H95" i="30"/>
  <c r="G95" i="30"/>
  <c r="J94" i="30"/>
  <c r="I94" i="30"/>
  <c r="H94" i="30"/>
  <c r="G94" i="30"/>
  <c r="J93" i="30"/>
  <c r="I93" i="30"/>
  <c r="H93" i="30"/>
  <c r="G93" i="30"/>
  <c r="J92" i="30"/>
  <c r="I92" i="30"/>
  <c r="H92" i="30"/>
  <c r="G92" i="30"/>
  <c r="J91" i="30"/>
  <c r="I91" i="30"/>
  <c r="H91" i="30"/>
  <c r="G91" i="30"/>
  <c r="J90" i="30"/>
  <c r="I90" i="30"/>
  <c r="H90" i="30"/>
  <c r="G90" i="30"/>
  <c r="J89" i="30"/>
  <c r="I89" i="30"/>
  <c r="H89" i="30"/>
  <c r="G89" i="30"/>
  <c r="J88" i="30"/>
  <c r="I88" i="30"/>
  <c r="H88" i="30"/>
  <c r="G88" i="30"/>
  <c r="J87" i="30"/>
  <c r="I87" i="30"/>
  <c r="H87" i="30"/>
  <c r="G87" i="30"/>
  <c r="J86" i="30"/>
  <c r="I86" i="30"/>
  <c r="H86" i="30"/>
  <c r="G86" i="30"/>
  <c r="J85" i="30"/>
  <c r="I85" i="30"/>
  <c r="H85" i="30"/>
  <c r="G85" i="30"/>
  <c r="J84" i="30"/>
  <c r="I84" i="30"/>
  <c r="H84" i="30"/>
  <c r="G84" i="30"/>
  <c r="J83" i="30"/>
  <c r="I83" i="30"/>
  <c r="H83" i="30"/>
  <c r="G83" i="30"/>
  <c r="J82" i="30"/>
  <c r="I82" i="30"/>
  <c r="H82" i="30"/>
  <c r="G82" i="30"/>
  <c r="J81" i="30"/>
  <c r="I81" i="30"/>
  <c r="H81" i="30"/>
  <c r="G81" i="30"/>
  <c r="J80" i="30"/>
  <c r="I80" i="30"/>
  <c r="H80" i="30"/>
  <c r="G80" i="30"/>
  <c r="J79" i="30"/>
  <c r="I79" i="30"/>
  <c r="H79" i="30"/>
  <c r="G79" i="30"/>
  <c r="J78" i="30"/>
  <c r="I78" i="30"/>
  <c r="H78" i="30"/>
  <c r="G78" i="30"/>
  <c r="J77" i="30"/>
  <c r="I77" i="30"/>
  <c r="H77" i="30"/>
  <c r="G77" i="30"/>
  <c r="J76" i="30"/>
  <c r="I76" i="30"/>
  <c r="H76" i="30"/>
  <c r="G76" i="30"/>
  <c r="J75" i="30"/>
  <c r="I75" i="30"/>
  <c r="H75" i="30"/>
  <c r="G75" i="30"/>
  <c r="J74" i="30"/>
  <c r="I74" i="30"/>
  <c r="H74" i="30"/>
  <c r="G74" i="30"/>
  <c r="J73" i="30"/>
  <c r="I73" i="30"/>
  <c r="H73" i="30"/>
  <c r="G73" i="30"/>
  <c r="J72" i="30"/>
  <c r="I72" i="30"/>
  <c r="H72" i="30"/>
  <c r="G72" i="30"/>
  <c r="J71" i="30"/>
  <c r="I71" i="30"/>
  <c r="H71" i="30"/>
  <c r="G71" i="30"/>
  <c r="J70" i="30"/>
  <c r="I70" i="30"/>
  <c r="H70" i="30"/>
  <c r="G70" i="30"/>
  <c r="J69" i="30"/>
  <c r="I69" i="30"/>
  <c r="H69" i="30"/>
  <c r="G69" i="30"/>
  <c r="J68" i="30"/>
  <c r="I68" i="30"/>
  <c r="H68" i="30"/>
  <c r="G68" i="30"/>
  <c r="J67" i="30"/>
  <c r="I67" i="30"/>
  <c r="H67" i="30"/>
  <c r="G67" i="30"/>
  <c r="J66" i="30"/>
  <c r="I66" i="30"/>
  <c r="H66" i="30"/>
  <c r="G66" i="30"/>
  <c r="J65" i="30"/>
  <c r="I65" i="30"/>
  <c r="H65" i="30"/>
  <c r="G65" i="30"/>
  <c r="J64" i="30"/>
  <c r="I64" i="30"/>
  <c r="H64" i="30"/>
  <c r="G64" i="30"/>
  <c r="J63" i="30"/>
  <c r="I63" i="30"/>
  <c r="H63" i="30"/>
  <c r="G63" i="30"/>
  <c r="J62" i="30"/>
  <c r="I62" i="30"/>
  <c r="H62" i="30"/>
  <c r="G62" i="30"/>
  <c r="J61" i="30"/>
  <c r="I61" i="30"/>
  <c r="H61" i="30"/>
  <c r="G61" i="30"/>
  <c r="J60" i="30"/>
  <c r="I60" i="30"/>
  <c r="H60" i="30"/>
  <c r="G60" i="30"/>
  <c r="J59" i="30"/>
  <c r="I59" i="30"/>
  <c r="H59" i="30"/>
  <c r="G59" i="30"/>
  <c r="J58" i="30"/>
  <c r="I58" i="30"/>
  <c r="H58" i="30"/>
  <c r="G58" i="30"/>
  <c r="J57" i="30"/>
  <c r="I57" i="30"/>
  <c r="H57" i="30"/>
  <c r="G57" i="30"/>
  <c r="J56" i="30"/>
  <c r="I56" i="30"/>
  <c r="H56" i="30"/>
  <c r="G56" i="30"/>
  <c r="J55" i="30"/>
  <c r="I55" i="30"/>
  <c r="H55" i="30"/>
  <c r="G55" i="30"/>
  <c r="J54" i="30"/>
  <c r="I54" i="30"/>
  <c r="H54" i="30"/>
  <c r="G54" i="30"/>
  <c r="J53" i="30"/>
  <c r="I53" i="30"/>
  <c r="H53" i="30"/>
  <c r="G53" i="30"/>
  <c r="J52" i="30"/>
  <c r="I52" i="30"/>
  <c r="H52" i="30"/>
  <c r="G52" i="30"/>
  <c r="J51" i="30"/>
  <c r="I51" i="30"/>
  <c r="H51" i="30"/>
  <c r="G51" i="30"/>
  <c r="J50" i="30"/>
  <c r="I50" i="30"/>
  <c r="H50" i="30"/>
  <c r="G50" i="30"/>
  <c r="J49" i="30"/>
  <c r="I49" i="30"/>
  <c r="H49" i="30"/>
  <c r="G49" i="30"/>
  <c r="J48" i="30"/>
  <c r="I48" i="30"/>
  <c r="H48" i="30"/>
  <c r="G48" i="30"/>
  <c r="J47" i="30"/>
  <c r="I47" i="30"/>
  <c r="H47" i="30"/>
  <c r="G47" i="30"/>
  <c r="J46" i="30"/>
  <c r="I46" i="30"/>
  <c r="H46" i="30"/>
  <c r="G46" i="30"/>
  <c r="J45" i="30"/>
  <c r="I45" i="30"/>
  <c r="H45" i="30"/>
  <c r="G45" i="30"/>
  <c r="J44" i="30"/>
  <c r="I44" i="30"/>
  <c r="H44" i="30"/>
  <c r="G44" i="30"/>
  <c r="J43" i="30"/>
  <c r="I43" i="30"/>
  <c r="H43" i="30"/>
  <c r="G43" i="30"/>
  <c r="J42" i="30"/>
  <c r="I42" i="30"/>
  <c r="H42" i="30"/>
  <c r="G42" i="30"/>
  <c r="J41" i="30"/>
  <c r="I41" i="30"/>
  <c r="H41" i="30"/>
  <c r="G41" i="30"/>
  <c r="J40" i="30"/>
  <c r="I40" i="30"/>
  <c r="H40" i="30"/>
  <c r="G40" i="30"/>
  <c r="J39" i="30"/>
  <c r="I39" i="30"/>
  <c r="H39" i="30"/>
  <c r="G39" i="30"/>
  <c r="J38" i="30"/>
  <c r="I38" i="30"/>
  <c r="H38" i="30"/>
  <c r="G38" i="30"/>
  <c r="J37" i="30"/>
  <c r="I37" i="30"/>
  <c r="H37" i="30"/>
  <c r="G37" i="30"/>
  <c r="J36" i="30"/>
  <c r="I36" i="30"/>
  <c r="H36" i="30"/>
  <c r="G36" i="30"/>
  <c r="J35" i="30"/>
  <c r="I35" i="30"/>
  <c r="H35" i="30"/>
  <c r="G35" i="30"/>
  <c r="J34" i="30"/>
  <c r="I34" i="30"/>
  <c r="H34" i="30"/>
  <c r="G34" i="30"/>
  <c r="J33" i="30"/>
  <c r="I33" i="30"/>
  <c r="H33" i="30"/>
  <c r="G33" i="30"/>
  <c r="J32" i="30"/>
  <c r="I32" i="30"/>
  <c r="H32" i="30"/>
  <c r="G32" i="30"/>
  <c r="J31" i="30"/>
  <c r="I31" i="30"/>
  <c r="H31" i="30"/>
  <c r="G31" i="30"/>
  <c r="J30" i="30"/>
  <c r="I30" i="30"/>
  <c r="H30" i="30"/>
  <c r="G30" i="30"/>
  <c r="J29" i="30"/>
  <c r="I29" i="30"/>
  <c r="H29" i="30"/>
  <c r="G29" i="30"/>
  <c r="J28" i="30"/>
  <c r="I28" i="30"/>
  <c r="H28" i="30"/>
  <c r="G28" i="30"/>
  <c r="J27" i="30"/>
  <c r="I27" i="30"/>
  <c r="H27" i="30"/>
  <c r="G27" i="30"/>
  <c r="J26" i="30"/>
  <c r="I26" i="30"/>
  <c r="H26" i="30"/>
  <c r="G26" i="30"/>
  <c r="J25" i="30"/>
  <c r="I25" i="30"/>
  <c r="H25" i="30"/>
  <c r="G25" i="30"/>
  <c r="J24" i="30"/>
  <c r="I24" i="30"/>
  <c r="H24" i="30"/>
  <c r="G24" i="30"/>
  <c r="J23" i="30"/>
  <c r="I23" i="30"/>
  <c r="H23" i="30"/>
  <c r="G23" i="30"/>
  <c r="J22" i="30"/>
  <c r="I22" i="30"/>
  <c r="H22" i="30"/>
  <c r="G22" i="30"/>
  <c r="J21" i="30"/>
  <c r="I21" i="30"/>
  <c r="H21" i="30"/>
  <c r="G21" i="30"/>
  <c r="J20" i="30"/>
  <c r="I20" i="30"/>
  <c r="H20" i="30"/>
  <c r="G20" i="30"/>
  <c r="J19" i="30"/>
  <c r="I19" i="30"/>
  <c r="H19" i="30"/>
  <c r="G19" i="30"/>
  <c r="J18" i="30"/>
  <c r="I18" i="30"/>
  <c r="H18" i="30"/>
  <c r="G18" i="30"/>
  <c r="J17" i="30"/>
  <c r="I17" i="30"/>
  <c r="H17" i="30"/>
  <c r="G17" i="30"/>
  <c r="J16" i="30"/>
  <c r="I16" i="30"/>
  <c r="H16" i="30"/>
  <c r="G16" i="30"/>
  <c r="J15" i="30"/>
  <c r="I15" i="30"/>
  <c r="H15" i="30"/>
  <c r="G15" i="30"/>
  <c r="J14" i="30"/>
  <c r="I14" i="30"/>
  <c r="H14" i="30"/>
  <c r="G14" i="30"/>
  <c r="J13" i="30"/>
  <c r="I13" i="30"/>
  <c r="H13" i="30"/>
  <c r="G13" i="30"/>
  <c r="J12" i="30"/>
  <c r="I12" i="30"/>
  <c r="H12" i="30"/>
  <c r="G12" i="30"/>
  <c r="J11" i="30"/>
  <c r="I11" i="30"/>
  <c r="H11" i="30"/>
  <c r="G11" i="30"/>
  <c r="J10" i="30"/>
  <c r="I10" i="30"/>
  <c r="H10" i="30"/>
  <c r="G10" i="30"/>
  <c r="J9" i="30"/>
  <c r="I9" i="30"/>
  <c r="H9" i="30"/>
  <c r="G9" i="30"/>
  <c r="J8" i="30"/>
  <c r="I8" i="30"/>
  <c r="H8" i="30"/>
  <c r="G8" i="30"/>
  <c r="J7" i="30"/>
  <c r="I7" i="30"/>
  <c r="H7" i="30"/>
  <c r="G7" i="30"/>
  <c r="J6" i="30"/>
  <c r="I6" i="30"/>
  <c r="H6" i="30"/>
  <c r="G6" i="30"/>
  <c r="J5" i="30"/>
  <c r="I5" i="30"/>
  <c r="H5" i="30"/>
  <c r="G5" i="30"/>
  <c r="J313" i="29"/>
  <c r="I313" i="29"/>
  <c r="H313" i="29"/>
  <c r="G313" i="29"/>
  <c r="F313" i="29"/>
  <c r="J312" i="29"/>
  <c r="I312" i="29"/>
  <c r="H312" i="29"/>
  <c r="G312" i="29"/>
  <c r="F312" i="29"/>
  <c r="U180" i="25" s="1"/>
  <c r="J309" i="29"/>
  <c r="I309" i="29"/>
  <c r="H309" i="29"/>
  <c r="G309" i="29"/>
  <c r="E309" i="29"/>
  <c r="F309" i="29" s="1"/>
  <c r="J308" i="29"/>
  <c r="I308" i="29"/>
  <c r="H308" i="29"/>
  <c r="G308" i="29"/>
  <c r="F308" i="29"/>
  <c r="J305" i="29"/>
  <c r="I305" i="29"/>
  <c r="H305" i="29"/>
  <c r="G305" i="29"/>
  <c r="F305" i="29"/>
  <c r="U186" i="25" s="1"/>
  <c r="G186" i="25" s="1"/>
  <c r="J304" i="29"/>
  <c r="I304" i="29"/>
  <c r="H304" i="29"/>
  <c r="G304" i="29"/>
  <c r="F304" i="29"/>
  <c r="J303" i="29"/>
  <c r="I303" i="29"/>
  <c r="H303" i="29"/>
  <c r="G303" i="29"/>
  <c r="F303" i="29"/>
  <c r="J302" i="29"/>
  <c r="I302" i="29"/>
  <c r="H302" i="29"/>
  <c r="G302" i="29"/>
  <c r="F302" i="29"/>
  <c r="J301" i="29"/>
  <c r="I301" i="29"/>
  <c r="H301" i="29"/>
  <c r="G301" i="29"/>
  <c r="F301" i="29"/>
  <c r="J300" i="29"/>
  <c r="I300" i="29"/>
  <c r="H300" i="29"/>
  <c r="G300" i="29"/>
  <c r="F300" i="29"/>
  <c r="J299" i="29"/>
  <c r="I299" i="29"/>
  <c r="H299" i="29"/>
  <c r="G299" i="29"/>
  <c r="F299" i="29"/>
  <c r="J298" i="29"/>
  <c r="I298" i="29"/>
  <c r="H298" i="29"/>
  <c r="G298" i="29"/>
  <c r="F298" i="29"/>
  <c r="J297" i="29"/>
  <c r="I297" i="29"/>
  <c r="H297" i="29"/>
  <c r="G297" i="29"/>
  <c r="F297" i="29"/>
  <c r="J296" i="29"/>
  <c r="I296" i="29"/>
  <c r="H296" i="29"/>
  <c r="G296" i="29"/>
  <c r="F296" i="29"/>
  <c r="J295" i="29"/>
  <c r="I295" i="29"/>
  <c r="H295" i="29"/>
  <c r="G295" i="29"/>
  <c r="F295" i="29"/>
  <c r="J294" i="29"/>
  <c r="I294" i="29"/>
  <c r="H294" i="29"/>
  <c r="G294" i="29"/>
  <c r="F294" i="29"/>
  <c r="J293" i="29"/>
  <c r="I293" i="29"/>
  <c r="H293" i="29"/>
  <c r="G293" i="29"/>
  <c r="F293" i="29"/>
  <c r="J292" i="29"/>
  <c r="I292" i="29"/>
  <c r="H292" i="29"/>
  <c r="G292" i="29"/>
  <c r="F292" i="29"/>
  <c r="J291" i="29"/>
  <c r="I291" i="29"/>
  <c r="H291" i="29"/>
  <c r="G291" i="29"/>
  <c r="F291" i="29"/>
  <c r="J290" i="29"/>
  <c r="I290" i="29"/>
  <c r="H290" i="29"/>
  <c r="G290" i="29"/>
  <c r="F290" i="29"/>
  <c r="J289" i="29"/>
  <c r="I289" i="29"/>
  <c r="H289" i="29"/>
  <c r="G289" i="29"/>
  <c r="F289" i="29"/>
  <c r="J288" i="29"/>
  <c r="I288" i="29"/>
  <c r="H288" i="29"/>
  <c r="G288" i="29"/>
  <c r="F288" i="29"/>
  <c r="J287" i="29"/>
  <c r="I287" i="29"/>
  <c r="H287" i="29"/>
  <c r="G287" i="29"/>
  <c r="F287" i="29"/>
  <c r="J286" i="29"/>
  <c r="I286" i="29"/>
  <c r="H286" i="29"/>
  <c r="G286" i="29"/>
  <c r="F286" i="29"/>
  <c r="J285" i="29"/>
  <c r="I285" i="29"/>
  <c r="H285" i="29"/>
  <c r="G285" i="29"/>
  <c r="F285" i="29"/>
  <c r="J284" i="29"/>
  <c r="I284" i="29"/>
  <c r="H284" i="29"/>
  <c r="G284" i="29"/>
  <c r="F284" i="29"/>
  <c r="J283" i="29"/>
  <c r="I283" i="29"/>
  <c r="H283" i="29"/>
  <c r="G283" i="29"/>
  <c r="F283" i="29"/>
  <c r="J282" i="29"/>
  <c r="I282" i="29"/>
  <c r="H282" i="29"/>
  <c r="G282" i="29"/>
  <c r="F282" i="29"/>
  <c r="J281" i="29"/>
  <c r="I281" i="29"/>
  <c r="H281" i="29"/>
  <c r="G281" i="29"/>
  <c r="F281" i="29"/>
  <c r="J280" i="29"/>
  <c r="I280" i="29"/>
  <c r="H280" i="29"/>
  <c r="G280" i="29"/>
  <c r="F280" i="29"/>
  <c r="J279" i="29"/>
  <c r="I279" i="29"/>
  <c r="H279" i="29"/>
  <c r="G279" i="29"/>
  <c r="F279" i="29"/>
  <c r="J278" i="29"/>
  <c r="I278" i="29"/>
  <c r="H278" i="29"/>
  <c r="G278" i="29"/>
  <c r="F278" i="29"/>
  <c r="J277" i="29"/>
  <c r="I277" i="29"/>
  <c r="H277" i="29"/>
  <c r="G277" i="29"/>
  <c r="F277" i="29"/>
  <c r="J276" i="29"/>
  <c r="I276" i="29"/>
  <c r="H276" i="29"/>
  <c r="G276" i="29"/>
  <c r="F276" i="29"/>
  <c r="J275" i="29"/>
  <c r="I275" i="29"/>
  <c r="H275" i="29"/>
  <c r="G275" i="29"/>
  <c r="F275" i="29"/>
  <c r="J274" i="29"/>
  <c r="I274" i="29"/>
  <c r="H274" i="29"/>
  <c r="G274" i="29"/>
  <c r="F274" i="29"/>
  <c r="J273" i="29"/>
  <c r="I273" i="29"/>
  <c r="H273" i="29"/>
  <c r="G273" i="29"/>
  <c r="F273" i="29"/>
  <c r="J272" i="29"/>
  <c r="I272" i="29"/>
  <c r="H272" i="29"/>
  <c r="G272" i="29"/>
  <c r="F272" i="29"/>
  <c r="J271" i="29"/>
  <c r="I271" i="29"/>
  <c r="H271" i="29"/>
  <c r="G271" i="29"/>
  <c r="F271" i="29"/>
  <c r="J270" i="29"/>
  <c r="I270" i="29"/>
  <c r="H270" i="29"/>
  <c r="G270" i="29"/>
  <c r="F270" i="29"/>
  <c r="J269" i="29"/>
  <c r="I269" i="29"/>
  <c r="H269" i="29"/>
  <c r="G269" i="29"/>
  <c r="F269" i="29"/>
  <c r="J268" i="29"/>
  <c r="I268" i="29"/>
  <c r="H268" i="29"/>
  <c r="G268" i="29"/>
  <c r="F268" i="29"/>
  <c r="J267" i="29"/>
  <c r="I267" i="29"/>
  <c r="H267" i="29"/>
  <c r="G267" i="29"/>
  <c r="F267" i="29"/>
  <c r="J266" i="29"/>
  <c r="I266" i="29"/>
  <c r="H266" i="29"/>
  <c r="G266" i="29"/>
  <c r="F266" i="29"/>
  <c r="J265" i="29"/>
  <c r="I265" i="29"/>
  <c r="H265" i="29"/>
  <c r="G265" i="29"/>
  <c r="F265" i="29"/>
  <c r="J264" i="29"/>
  <c r="I264" i="29"/>
  <c r="H264" i="29"/>
  <c r="G264" i="29"/>
  <c r="F264" i="29"/>
  <c r="J263" i="29"/>
  <c r="I263" i="29"/>
  <c r="H263" i="29"/>
  <c r="G263" i="29"/>
  <c r="F263" i="29"/>
  <c r="J262" i="29"/>
  <c r="I262" i="29"/>
  <c r="H262" i="29"/>
  <c r="G262" i="29"/>
  <c r="F262" i="29"/>
  <c r="J261" i="29"/>
  <c r="I261" i="29"/>
  <c r="H261" i="29"/>
  <c r="G261" i="29"/>
  <c r="F261" i="29"/>
  <c r="J260" i="29"/>
  <c r="I260" i="29"/>
  <c r="H260" i="29"/>
  <c r="G260" i="29"/>
  <c r="F260" i="29"/>
  <c r="J259" i="29"/>
  <c r="I259" i="29"/>
  <c r="H259" i="29"/>
  <c r="G259" i="29"/>
  <c r="F259" i="29"/>
  <c r="J258" i="29"/>
  <c r="I258" i="29"/>
  <c r="H258" i="29"/>
  <c r="G258" i="29"/>
  <c r="F258" i="29"/>
  <c r="J257" i="29"/>
  <c r="I257" i="29"/>
  <c r="H257" i="29"/>
  <c r="G257" i="29"/>
  <c r="F257" i="29"/>
  <c r="J256" i="29"/>
  <c r="I256" i="29"/>
  <c r="H256" i="29"/>
  <c r="G256" i="29"/>
  <c r="F256" i="29"/>
  <c r="J255" i="29"/>
  <c r="I255" i="29"/>
  <c r="H255" i="29"/>
  <c r="G255" i="29"/>
  <c r="F255" i="29"/>
  <c r="J254" i="29"/>
  <c r="I254" i="29"/>
  <c r="H254" i="29"/>
  <c r="G254" i="29"/>
  <c r="F254" i="29"/>
  <c r="J253" i="29"/>
  <c r="I253" i="29"/>
  <c r="H253" i="29"/>
  <c r="G253" i="29"/>
  <c r="F253" i="29"/>
  <c r="J252" i="29"/>
  <c r="I252" i="29"/>
  <c r="H252" i="29"/>
  <c r="G252" i="29"/>
  <c r="F252" i="29"/>
  <c r="J251" i="29"/>
  <c r="I251" i="29"/>
  <c r="H251" i="29"/>
  <c r="G251" i="29"/>
  <c r="F251" i="29"/>
  <c r="J250" i="29"/>
  <c r="I250" i="29"/>
  <c r="H250" i="29"/>
  <c r="G250" i="29"/>
  <c r="F250" i="29"/>
  <c r="J249" i="29"/>
  <c r="I249" i="29"/>
  <c r="H249" i="29"/>
  <c r="G249" i="29"/>
  <c r="F249" i="29"/>
  <c r="J248" i="29"/>
  <c r="I248" i="29"/>
  <c r="H248" i="29"/>
  <c r="G248" i="29"/>
  <c r="F248" i="29"/>
  <c r="J247" i="29"/>
  <c r="I247" i="29"/>
  <c r="H247" i="29"/>
  <c r="G247" i="29"/>
  <c r="F247" i="29"/>
  <c r="J246" i="29"/>
  <c r="I246" i="29"/>
  <c r="H246" i="29"/>
  <c r="G246" i="29"/>
  <c r="F246" i="29"/>
  <c r="J245" i="29"/>
  <c r="I245" i="29"/>
  <c r="H245" i="29"/>
  <c r="G245" i="29"/>
  <c r="F245" i="29"/>
  <c r="J244" i="29"/>
  <c r="I244" i="29"/>
  <c r="H244" i="29"/>
  <c r="G244" i="29"/>
  <c r="F244" i="29"/>
  <c r="J243" i="29"/>
  <c r="I243" i="29"/>
  <c r="H243" i="29"/>
  <c r="G243" i="29"/>
  <c r="F243" i="29"/>
  <c r="J242" i="29"/>
  <c r="I242" i="29"/>
  <c r="H242" i="29"/>
  <c r="G242" i="29"/>
  <c r="F242" i="29"/>
  <c r="J241" i="29"/>
  <c r="I241" i="29"/>
  <c r="H241" i="29"/>
  <c r="G241" i="29"/>
  <c r="F241" i="29"/>
  <c r="J240" i="29"/>
  <c r="I240" i="29"/>
  <c r="H240" i="29"/>
  <c r="G240" i="29"/>
  <c r="F240" i="29"/>
  <c r="J239" i="29"/>
  <c r="I239" i="29"/>
  <c r="H239" i="29"/>
  <c r="G239" i="29"/>
  <c r="F239" i="29"/>
  <c r="J238" i="29"/>
  <c r="I238" i="29"/>
  <c r="H238" i="29"/>
  <c r="G238" i="29"/>
  <c r="F238" i="29"/>
  <c r="J237" i="29"/>
  <c r="I237" i="29"/>
  <c r="H237" i="29"/>
  <c r="G237" i="29"/>
  <c r="F237" i="29"/>
  <c r="J236" i="29"/>
  <c r="I236" i="29"/>
  <c r="H236" i="29"/>
  <c r="G236" i="29"/>
  <c r="F236" i="29"/>
  <c r="J235" i="29"/>
  <c r="I235" i="29"/>
  <c r="H235" i="29"/>
  <c r="G235" i="29"/>
  <c r="F235" i="29"/>
  <c r="J234" i="29"/>
  <c r="I234" i="29"/>
  <c r="H234" i="29"/>
  <c r="G234" i="29"/>
  <c r="F234" i="29"/>
  <c r="J233" i="29"/>
  <c r="I233" i="29"/>
  <c r="H233" i="29"/>
  <c r="G233" i="29"/>
  <c r="F233" i="29"/>
  <c r="J232" i="29"/>
  <c r="I232" i="29"/>
  <c r="H232" i="29"/>
  <c r="G232" i="29"/>
  <c r="F232" i="29"/>
  <c r="J231" i="29"/>
  <c r="I231" i="29"/>
  <c r="H231" i="29"/>
  <c r="G231" i="29"/>
  <c r="F231" i="29"/>
  <c r="J230" i="29"/>
  <c r="I230" i="29"/>
  <c r="H230" i="29"/>
  <c r="G230" i="29"/>
  <c r="F230" i="29"/>
  <c r="J229" i="29"/>
  <c r="I229" i="29"/>
  <c r="H229" i="29"/>
  <c r="G229" i="29"/>
  <c r="F229" i="29"/>
  <c r="J228" i="29"/>
  <c r="I228" i="29"/>
  <c r="H228" i="29"/>
  <c r="G228" i="29"/>
  <c r="F228" i="29"/>
  <c r="J227" i="29"/>
  <c r="I227" i="29"/>
  <c r="H227" i="29"/>
  <c r="G227" i="29"/>
  <c r="F227" i="29"/>
  <c r="J226" i="29"/>
  <c r="I226" i="29"/>
  <c r="H226" i="29"/>
  <c r="G226" i="29"/>
  <c r="F226" i="29"/>
  <c r="J225" i="29"/>
  <c r="I225" i="29"/>
  <c r="H225" i="29"/>
  <c r="G225" i="29"/>
  <c r="F225" i="29"/>
  <c r="J224" i="29"/>
  <c r="I224" i="29"/>
  <c r="H224" i="29"/>
  <c r="G224" i="29"/>
  <c r="F224" i="29"/>
  <c r="J223" i="29"/>
  <c r="I223" i="29"/>
  <c r="H223" i="29"/>
  <c r="G223" i="29"/>
  <c r="F223" i="29"/>
  <c r="J222" i="29"/>
  <c r="I222" i="29"/>
  <c r="H222" i="29"/>
  <c r="G222" i="29"/>
  <c r="F222" i="29"/>
  <c r="J221" i="29"/>
  <c r="I221" i="29"/>
  <c r="H221" i="29"/>
  <c r="G221" i="29"/>
  <c r="F221" i="29"/>
  <c r="J220" i="29"/>
  <c r="I220" i="29"/>
  <c r="H220" i="29"/>
  <c r="G220" i="29"/>
  <c r="F220" i="29"/>
  <c r="J219" i="29"/>
  <c r="I219" i="29"/>
  <c r="H219" i="29"/>
  <c r="G219" i="29"/>
  <c r="F219" i="29"/>
  <c r="J218" i="29"/>
  <c r="I218" i="29"/>
  <c r="H218" i="29"/>
  <c r="G218" i="29"/>
  <c r="F218" i="29"/>
  <c r="J217" i="29"/>
  <c r="I217" i="29"/>
  <c r="H217" i="29"/>
  <c r="G217" i="29"/>
  <c r="F217" i="29"/>
  <c r="J216" i="29"/>
  <c r="I216" i="29"/>
  <c r="H216" i="29"/>
  <c r="G216" i="29"/>
  <c r="F216" i="29"/>
  <c r="J215" i="29"/>
  <c r="I215" i="29"/>
  <c r="H215" i="29"/>
  <c r="G215" i="29"/>
  <c r="F215" i="29"/>
  <c r="J214" i="29"/>
  <c r="I214" i="29"/>
  <c r="H214" i="29"/>
  <c r="G214" i="29"/>
  <c r="F214" i="29"/>
  <c r="J213" i="29"/>
  <c r="I213" i="29"/>
  <c r="H213" i="29"/>
  <c r="G213" i="29"/>
  <c r="F213" i="29"/>
  <c r="J212" i="29"/>
  <c r="I212" i="29"/>
  <c r="H212" i="29"/>
  <c r="G212" i="29"/>
  <c r="F212" i="29"/>
  <c r="J211" i="29"/>
  <c r="I211" i="29"/>
  <c r="H211" i="29"/>
  <c r="G211" i="29"/>
  <c r="F211" i="29"/>
  <c r="J210" i="29"/>
  <c r="I210" i="29"/>
  <c r="H210" i="29"/>
  <c r="G210" i="29"/>
  <c r="F210" i="29"/>
  <c r="J209" i="29"/>
  <c r="I209" i="29"/>
  <c r="H209" i="29"/>
  <c r="G209" i="29"/>
  <c r="F209" i="29"/>
  <c r="F206" i="29"/>
  <c r="E206" i="29"/>
  <c r="D206" i="29"/>
  <c r="C206" i="29"/>
  <c r="J204" i="29"/>
  <c r="I204" i="29"/>
  <c r="H204" i="29"/>
  <c r="G204" i="29"/>
  <c r="J203" i="29"/>
  <c r="I203" i="29"/>
  <c r="H203" i="29"/>
  <c r="G203" i="29"/>
  <c r="J202" i="29"/>
  <c r="I202" i="29"/>
  <c r="H202" i="29"/>
  <c r="G202" i="29"/>
  <c r="J201" i="29"/>
  <c r="I201" i="29"/>
  <c r="H201" i="29"/>
  <c r="G201" i="29"/>
  <c r="J200" i="29"/>
  <c r="I200" i="29"/>
  <c r="H200" i="29"/>
  <c r="G200" i="29"/>
  <c r="J199" i="29"/>
  <c r="I199" i="29"/>
  <c r="H199" i="29"/>
  <c r="G199" i="29"/>
  <c r="J198" i="29"/>
  <c r="I198" i="29"/>
  <c r="H198" i="29"/>
  <c r="G198" i="29"/>
  <c r="J197" i="29"/>
  <c r="I197" i="29"/>
  <c r="H197" i="29"/>
  <c r="G197" i="29"/>
  <c r="J196" i="29"/>
  <c r="I196" i="29"/>
  <c r="H196" i="29"/>
  <c r="G196" i="29"/>
  <c r="J195" i="29"/>
  <c r="I195" i="29"/>
  <c r="H195" i="29"/>
  <c r="G195" i="29"/>
  <c r="J194" i="29"/>
  <c r="I194" i="29"/>
  <c r="H194" i="29"/>
  <c r="G194" i="29"/>
  <c r="J193" i="29"/>
  <c r="I193" i="29"/>
  <c r="H193" i="29"/>
  <c r="G193" i="29"/>
  <c r="J192" i="29"/>
  <c r="I192" i="29"/>
  <c r="H192" i="29"/>
  <c r="G192" i="29"/>
  <c r="J191" i="29"/>
  <c r="I191" i="29"/>
  <c r="H191" i="29"/>
  <c r="G191" i="29"/>
  <c r="J190" i="29"/>
  <c r="I190" i="29"/>
  <c r="H190" i="29"/>
  <c r="G190" i="29"/>
  <c r="J189" i="29"/>
  <c r="I189" i="29"/>
  <c r="H189" i="29"/>
  <c r="G189" i="29"/>
  <c r="J188" i="29"/>
  <c r="I188" i="29"/>
  <c r="H188" i="29"/>
  <c r="G188" i="29"/>
  <c r="J187" i="29"/>
  <c r="I187" i="29"/>
  <c r="H187" i="29"/>
  <c r="G187" i="29"/>
  <c r="J186" i="29"/>
  <c r="I186" i="29"/>
  <c r="H186" i="29"/>
  <c r="G186" i="29"/>
  <c r="J185" i="29"/>
  <c r="I185" i="29"/>
  <c r="H185" i="29"/>
  <c r="G185" i="29"/>
  <c r="J184" i="29"/>
  <c r="I184" i="29"/>
  <c r="H184" i="29"/>
  <c r="G184" i="29"/>
  <c r="J183" i="29"/>
  <c r="I183" i="29"/>
  <c r="H183" i="29"/>
  <c r="G183" i="29"/>
  <c r="J182" i="29"/>
  <c r="I182" i="29"/>
  <c r="H182" i="29"/>
  <c r="G182" i="29"/>
  <c r="J181" i="29"/>
  <c r="I181" i="29"/>
  <c r="H181" i="29"/>
  <c r="G181" i="29"/>
  <c r="J180" i="29"/>
  <c r="I180" i="29"/>
  <c r="H180" i="29"/>
  <c r="G180" i="29"/>
  <c r="J179" i="29"/>
  <c r="I179" i="29"/>
  <c r="H179" i="29"/>
  <c r="G179" i="29"/>
  <c r="J178" i="29"/>
  <c r="I178" i="29"/>
  <c r="H178" i="29"/>
  <c r="G178" i="29"/>
  <c r="J177" i="29"/>
  <c r="I177" i="29"/>
  <c r="H177" i="29"/>
  <c r="G177" i="29"/>
  <c r="J176" i="29"/>
  <c r="I176" i="29"/>
  <c r="H176" i="29"/>
  <c r="G176" i="29"/>
  <c r="J175" i="29"/>
  <c r="I175" i="29"/>
  <c r="H175" i="29"/>
  <c r="G175" i="29"/>
  <c r="J174" i="29"/>
  <c r="I174" i="29"/>
  <c r="H174" i="29"/>
  <c r="G174" i="29"/>
  <c r="J173" i="29"/>
  <c r="I173" i="29"/>
  <c r="H173" i="29"/>
  <c r="G173" i="29"/>
  <c r="J172" i="29"/>
  <c r="I172" i="29"/>
  <c r="H172" i="29"/>
  <c r="G172" i="29"/>
  <c r="J171" i="29"/>
  <c r="I171" i="29"/>
  <c r="H171" i="29"/>
  <c r="G171" i="29"/>
  <c r="J170" i="29"/>
  <c r="I170" i="29"/>
  <c r="H170" i="29"/>
  <c r="G170" i="29"/>
  <c r="J169" i="29"/>
  <c r="I169" i="29"/>
  <c r="H169" i="29"/>
  <c r="G169" i="29"/>
  <c r="J168" i="29"/>
  <c r="I168" i="29"/>
  <c r="H168" i="29"/>
  <c r="G168" i="29"/>
  <c r="J167" i="29"/>
  <c r="I167" i="29"/>
  <c r="H167" i="29"/>
  <c r="G167" i="29"/>
  <c r="J166" i="29"/>
  <c r="I166" i="29"/>
  <c r="H166" i="29"/>
  <c r="G166" i="29"/>
  <c r="J165" i="29"/>
  <c r="I165" i="29"/>
  <c r="H165" i="29"/>
  <c r="G165" i="29"/>
  <c r="J164" i="29"/>
  <c r="I164" i="29"/>
  <c r="H164" i="29"/>
  <c r="G164" i="29"/>
  <c r="J163" i="29"/>
  <c r="I163" i="29"/>
  <c r="H163" i="29"/>
  <c r="G163" i="29"/>
  <c r="J162" i="29"/>
  <c r="I162" i="29"/>
  <c r="H162" i="29"/>
  <c r="G162" i="29"/>
  <c r="J161" i="29"/>
  <c r="I161" i="29"/>
  <c r="H161" i="29"/>
  <c r="G161" i="29"/>
  <c r="J160" i="29"/>
  <c r="I160" i="29"/>
  <c r="H160" i="29"/>
  <c r="G160" i="29"/>
  <c r="J159" i="29"/>
  <c r="I159" i="29"/>
  <c r="H159" i="29"/>
  <c r="G159" i="29"/>
  <c r="J158" i="29"/>
  <c r="I158" i="29"/>
  <c r="H158" i="29"/>
  <c r="G158" i="29"/>
  <c r="J157" i="29"/>
  <c r="I157" i="29"/>
  <c r="H157" i="29"/>
  <c r="G157" i="29"/>
  <c r="J156" i="29"/>
  <c r="I156" i="29"/>
  <c r="H156" i="29"/>
  <c r="G156" i="29"/>
  <c r="J155" i="29"/>
  <c r="I155" i="29"/>
  <c r="H155" i="29"/>
  <c r="G155" i="29"/>
  <c r="J154" i="29"/>
  <c r="I154" i="29"/>
  <c r="H154" i="29"/>
  <c r="G154" i="29"/>
  <c r="J153" i="29"/>
  <c r="I153" i="29"/>
  <c r="H153" i="29"/>
  <c r="G153" i="29"/>
  <c r="J152" i="29"/>
  <c r="I152" i="29"/>
  <c r="H152" i="29"/>
  <c r="G152" i="29"/>
  <c r="J151" i="29"/>
  <c r="I151" i="29"/>
  <c r="H151" i="29"/>
  <c r="G151" i="29"/>
  <c r="J150" i="29"/>
  <c r="I150" i="29"/>
  <c r="H150" i="29"/>
  <c r="G150" i="29"/>
  <c r="J149" i="29"/>
  <c r="I149" i="29"/>
  <c r="H149" i="29"/>
  <c r="G149" i="29"/>
  <c r="J148" i="29"/>
  <c r="I148" i="29"/>
  <c r="H148" i="29"/>
  <c r="G148" i="29"/>
  <c r="J147" i="29"/>
  <c r="I147" i="29"/>
  <c r="H147" i="29"/>
  <c r="G147" i="29"/>
  <c r="J146" i="29"/>
  <c r="I146" i="29"/>
  <c r="H146" i="29"/>
  <c r="G146" i="29"/>
  <c r="J145" i="29"/>
  <c r="I145" i="29"/>
  <c r="H145" i="29"/>
  <c r="G145" i="29"/>
  <c r="J144" i="29"/>
  <c r="I144" i="29"/>
  <c r="H144" i="29"/>
  <c r="G144" i="29"/>
  <c r="J143" i="29"/>
  <c r="I143" i="29"/>
  <c r="H143" i="29"/>
  <c r="G143" i="29"/>
  <c r="J142" i="29"/>
  <c r="I142" i="29"/>
  <c r="H142" i="29"/>
  <c r="G142" i="29"/>
  <c r="J141" i="29"/>
  <c r="I141" i="29"/>
  <c r="H141" i="29"/>
  <c r="G141" i="29"/>
  <c r="J140" i="29"/>
  <c r="I140" i="29"/>
  <c r="H140" i="29"/>
  <c r="G140" i="29"/>
  <c r="J139" i="29"/>
  <c r="I139" i="29"/>
  <c r="H139" i="29"/>
  <c r="G139" i="29"/>
  <c r="J138" i="29"/>
  <c r="I138" i="29"/>
  <c r="H138" i="29"/>
  <c r="G138" i="29"/>
  <c r="J137" i="29"/>
  <c r="I137" i="29"/>
  <c r="H137" i="29"/>
  <c r="G137" i="29"/>
  <c r="J136" i="29"/>
  <c r="I136" i="29"/>
  <c r="H136" i="29"/>
  <c r="G136" i="29"/>
  <c r="J135" i="29"/>
  <c r="I135" i="29"/>
  <c r="H135" i="29"/>
  <c r="G135" i="29"/>
  <c r="J134" i="29"/>
  <c r="I134" i="29"/>
  <c r="H134" i="29"/>
  <c r="G134" i="29"/>
  <c r="J133" i="29"/>
  <c r="I133" i="29"/>
  <c r="H133" i="29"/>
  <c r="G133" i="29"/>
  <c r="J132" i="29"/>
  <c r="I132" i="29"/>
  <c r="H132" i="29"/>
  <c r="G132" i="29"/>
  <c r="J131" i="29"/>
  <c r="I131" i="29"/>
  <c r="H131" i="29"/>
  <c r="G131" i="29"/>
  <c r="J130" i="29"/>
  <c r="I130" i="29"/>
  <c r="H130" i="29"/>
  <c r="G130" i="29"/>
  <c r="J129" i="29"/>
  <c r="I129" i="29"/>
  <c r="H129" i="29"/>
  <c r="G129" i="29"/>
  <c r="J128" i="29"/>
  <c r="I128" i="29"/>
  <c r="H128" i="29"/>
  <c r="G128" i="29"/>
  <c r="J127" i="29"/>
  <c r="I127" i="29"/>
  <c r="H127" i="29"/>
  <c r="G127" i="29"/>
  <c r="J126" i="29"/>
  <c r="I126" i="29"/>
  <c r="H126" i="29"/>
  <c r="G126" i="29"/>
  <c r="J125" i="29"/>
  <c r="I125" i="29"/>
  <c r="H125" i="29"/>
  <c r="G125" i="29"/>
  <c r="J124" i="29"/>
  <c r="I124" i="29"/>
  <c r="H124" i="29"/>
  <c r="G124" i="29"/>
  <c r="J123" i="29"/>
  <c r="I123" i="29"/>
  <c r="H123" i="29"/>
  <c r="G123" i="29"/>
  <c r="J122" i="29"/>
  <c r="I122" i="29"/>
  <c r="H122" i="29"/>
  <c r="G122" i="29"/>
  <c r="J121" i="29"/>
  <c r="I121" i="29"/>
  <c r="H121" i="29"/>
  <c r="G121" i="29"/>
  <c r="J120" i="29"/>
  <c r="I120" i="29"/>
  <c r="H120" i="29"/>
  <c r="G120" i="29"/>
  <c r="J119" i="29"/>
  <c r="I119" i="29"/>
  <c r="H119" i="29"/>
  <c r="G119" i="29"/>
  <c r="J118" i="29"/>
  <c r="I118" i="29"/>
  <c r="H118" i="29"/>
  <c r="G118" i="29"/>
  <c r="J117" i="29"/>
  <c r="I117" i="29"/>
  <c r="H117" i="29"/>
  <c r="G117" i="29"/>
  <c r="J116" i="29"/>
  <c r="I116" i="29"/>
  <c r="H116" i="29"/>
  <c r="G116" i="29"/>
  <c r="J115" i="29"/>
  <c r="I115" i="29"/>
  <c r="H115" i="29"/>
  <c r="G115" i="29"/>
  <c r="J114" i="29"/>
  <c r="I114" i="29"/>
  <c r="H114" i="29"/>
  <c r="G114" i="29"/>
  <c r="J113" i="29"/>
  <c r="I113" i="29"/>
  <c r="H113" i="29"/>
  <c r="G113" i="29"/>
  <c r="J112" i="29"/>
  <c r="I112" i="29"/>
  <c r="H112" i="29"/>
  <c r="G112" i="29"/>
  <c r="J111" i="29"/>
  <c r="I111" i="29"/>
  <c r="H111" i="29"/>
  <c r="G111" i="29"/>
  <c r="J110" i="29"/>
  <c r="I110" i="29"/>
  <c r="H110" i="29"/>
  <c r="G110" i="29"/>
  <c r="J109" i="29"/>
  <c r="I109" i="29"/>
  <c r="H109" i="29"/>
  <c r="G109" i="29"/>
  <c r="J108" i="29"/>
  <c r="I108" i="29"/>
  <c r="H108" i="29"/>
  <c r="G108" i="29"/>
  <c r="J107" i="29"/>
  <c r="I107" i="29"/>
  <c r="H107" i="29"/>
  <c r="G107" i="29"/>
  <c r="J106" i="29"/>
  <c r="I106" i="29"/>
  <c r="H106" i="29"/>
  <c r="G106" i="29"/>
  <c r="J105" i="29"/>
  <c r="I105" i="29"/>
  <c r="H105" i="29"/>
  <c r="G105" i="29"/>
  <c r="J104" i="29"/>
  <c r="I104" i="29"/>
  <c r="H104" i="29"/>
  <c r="G104" i="29"/>
  <c r="J103" i="29"/>
  <c r="I103" i="29"/>
  <c r="H103" i="29"/>
  <c r="G103" i="29"/>
  <c r="J102" i="29"/>
  <c r="I102" i="29"/>
  <c r="H102" i="29"/>
  <c r="G102" i="29"/>
  <c r="J101" i="29"/>
  <c r="I101" i="29"/>
  <c r="H101" i="29"/>
  <c r="G101" i="29"/>
  <c r="J100" i="29"/>
  <c r="I100" i="29"/>
  <c r="H100" i="29"/>
  <c r="G100" i="29"/>
  <c r="J99" i="29"/>
  <c r="I99" i="29"/>
  <c r="H99" i="29"/>
  <c r="G99" i="29"/>
  <c r="J98" i="29"/>
  <c r="I98" i="29"/>
  <c r="H98" i="29"/>
  <c r="G98" i="29"/>
  <c r="J97" i="29"/>
  <c r="I97" i="29"/>
  <c r="H97" i="29"/>
  <c r="G97" i="29"/>
  <c r="J96" i="29"/>
  <c r="I96" i="29"/>
  <c r="H96" i="29"/>
  <c r="G96" i="29"/>
  <c r="J95" i="29"/>
  <c r="I95" i="29"/>
  <c r="H95" i="29"/>
  <c r="G95" i="29"/>
  <c r="J94" i="29"/>
  <c r="I94" i="29"/>
  <c r="H94" i="29"/>
  <c r="G94" i="29"/>
  <c r="J93" i="29"/>
  <c r="I93" i="29"/>
  <c r="H93" i="29"/>
  <c r="G93" i="29"/>
  <c r="J92" i="29"/>
  <c r="I92" i="29"/>
  <c r="H92" i="29"/>
  <c r="G92" i="29"/>
  <c r="J91" i="29"/>
  <c r="I91" i="29"/>
  <c r="H91" i="29"/>
  <c r="G91" i="29"/>
  <c r="J90" i="29"/>
  <c r="I90" i="29"/>
  <c r="H90" i="29"/>
  <c r="G90" i="29"/>
  <c r="J89" i="29"/>
  <c r="I89" i="29"/>
  <c r="H89" i="29"/>
  <c r="G89" i="29"/>
  <c r="J88" i="29"/>
  <c r="I88" i="29"/>
  <c r="H88" i="29"/>
  <c r="G88" i="29"/>
  <c r="J87" i="29"/>
  <c r="I87" i="29"/>
  <c r="H87" i="29"/>
  <c r="G87" i="29"/>
  <c r="J86" i="29"/>
  <c r="I86" i="29"/>
  <c r="H86" i="29"/>
  <c r="G86" i="29"/>
  <c r="J85" i="29"/>
  <c r="I85" i="29"/>
  <c r="H85" i="29"/>
  <c r="G85" i="29"/>
  <c r="J84" i="29"/>
  <c r="I84" i="29"/>
  <c r="H84" i="29"/>
  <c r="G84" i="29"/>
  <c r="J83" i="29"/>
  <c r="I83" i="29"/>
  <c r="H83" i="29"/>
  <c r="G83" i="29"/>
  <c r="J82" i="29"/>
  <c r="I82" i="29"/>
  <c r="H82" i="29"/>
  <c r="G82" i="29"/>
  <c r="J81" i="29"/>
  <c r="I81" i="29"/>
  <c r="H81" i="29"/>
  <c r="G81" i="29"/>
  <c r="J80" i="29"/>
  <c r="I80" i="29"/>
  <c r="H80" i="29"/>
  <c r="G80" i="29"/>
  <c r="J79" i="29"/>
  <c r="I79" i="29"/>
  <c r="H79" i="29"/>
  <c r="G79" i="29"/>
  <c r="J78" i="29"/>
  <c r="I78" i="29"/>
  <c r="H78" i="29"/>
  <c r="G78" i="29"/>
  <c r="J77" i="29"/>
  <c r="I77" i="29"/>
  <c r="H77" i="29"/>
  <c r="G77" i="29"/>
  <c r="J76" i="29"/>
  <c r="I76" i="29"/>
  <c r="H76" i="29"/>
  <c r="G76" i="29"/>
  <c r="J75" i="29"/>
  <c r="I75" i="29"/>
  <c r="H75" i="29"/>
  <c r="G75" i="29"/>
  <c r="J74" i="29"/>
  <c r="I74" i="29"/>
  <c r="H74" i="29"/>
  <c r="G74" i="29"/>
  <c r="J73" i="29"/>
  <c r="I73" i="29"/>
  <c r="H73" i="29"/>
  <c r="G73" i="29"/>
  <c r="J72" i="29"/>
  <c r="I72" i="29"/>
  <c r="H72" i="29"/>
  <c r="G72" i="29"/>
  <c r="J71" i="29"/>
  <c r="I71" i="29"/>
  <c r="H71" i="29"/>
  <c r="G71" i="29"/>
  <c r="J70" i="29"/>
  <c r="I70" i="29"/>
  <c r="H70" i="29"/>
  <c r="G70" i="29"/>
  <c r="J69" i="29"/>
  <c r="I69" i="29"/>
  <c r="H69" i="29"/>
  <c r="G69" i="29"/>
  <c r="J68" i="29"/>
  <c r="I68" i="29"/>
  <c r="H68" i="29"/>
  <c r="G68" i="29"/>
  <c r="J67" i="29"/>
  <c r="I67" i="29"/>
  <c r="H67" i="29"/>
  <c r="G67" i="29"/>
  <c r="J66" i="29"/>
  <c r="I66" i="29"/>
  <c r="H66" i="29"/>
  <c r="G66" i="29"/>
  <c r="J65" i="29"/>
  <c r="I65" i="29"/>
  <c r="H65" i="29"/>
  <c r="G65" i="29"/>
  <c r="J64" i="29"/>
  <c r="I64" i="29"/>
  <c r="H64" i="29"/>
  <c r="G64" i="29"/>
  <c r="J63" i="29"/>
  <c r="I63" i="29"/>
  <c r="H63" i="29"/>
  <c r="G63" i="29"/>
  <c r="J62" i="29"/>
  <c r="I62" i="29"/>
  <c r="H62" i="29"/>
  <c r="G62" i="29"/>
  <c r="J61" i="29"/>
  <c r="I61" i="29"/>
  <c r="H61" i="29"/>
  <c r="G61" i="29"/>
  <c r="J60" i="29"/>
  <c r="I60" i="29"/>
  <c r="H60" i="29"/>
  <c r="G60" i="29"/>
  <c r="J59" i="29"/>
  <c r="I59" i="29"/>
  <c r="H59" i="29"/>
  <c r="G59" i="29"/>
  <c r="J58" i="29"/>
  <c r="I58" i="29"/>
  <c r="H58" i="29"/>
  <c r="G58" i="29"/>
  <c r="J57" i="29"/>
  <c r="I57" i="29"/>
  <c r="H57" i="29"/>
  <c r="G57" i="29"/>
  <c r="J56" i="29"/>
  <c r="I56" i="29"/>
  <c r="H56" i="29"/>
  <c r="G56" i="29"/>
  <c r="J55" i="29"/>
  <c r="I55" i="29"/>
  <c r="H55" i="29"/>
  <c r="G55" i="29"/>
  <c r="J54" i="29"/>
  <c r="I54" i="29"/>
  <c r="H54" i="29"/>
  <c r="G54" i="29"/>
  <c r="J53" i="29"/>
  <c r="I53" i="29"/>
  <c r="H53" i="29"/>
  <c r="G53" i="29"/>
  <c r="J52" i="29"/>
  <c r="I52" i="29"/>
  <c r="H52" i="29"/>
  <c r="G52" i="29"/>
  <c r="J51" i="29"/>
  <c r="I51" i="29"/>
  <c r="H51" i="29"/>
  <c r="G51" i="29"/>
  <c r="J50" i="29"/>
  <c r="I50" i="29"/>
  <c r="H50" i="29"/>
  <c r="G50" i="29"/>
  <c r="J49" i="29"/>
  <c r="I49" i="29"/>
  <c r="H49" i="29"/>
  <c r="G49" i="29"/>
  <c r="J48" i="29"/>
  <c r="I48" i="29"/>
  <c r="H48" i="29"/>
  <c r="G48" i="29"/>
  <c r="J47" i="29"/>
  <c r="I47" i="29"/>
  <c r="H47" i="29"/>
  <c r="G47" i="29"/>
  <c r="J46" i="29"/>
  <c r="I46" i="29"/>
  <c r="H46" i="29"/>
  <c r="G46" i="29"/>
  <c r="J45" i="29"/>
  <c r="I45" i="29"/>
  <c r="H45" i="29"/>
  <c r="G45" i="29"/>
  <c r="J44" i="29"/>
  <c r="I44" i="29"/>
  <c r="H44" i="29"/>
  <c r="G44" i="29"/>
  <c r="J43" i="29"/>
  <c r="I43" i="29"/>
  <c r="H43" i="29"/>
  <c r="G43" i="29"/>
  <c r="J42" i="29"/>
  <c r="I42" i="29"/>
  <c r="H42" i="29"/>
  <c r="G42" i="29"/>
  <c r="J41" i="29"/>
  <c r="I41" i="29"/>
  <c r="H41" i="29"/>
  <c r="G41" i="29"/>
  <c r="J40" i="29"/>
  <c r="I40" i="29"/>
  <c r="H40" i="29"/>
  <c r="G40" i="29"/>
  <c r="J39" i="29"/>
  <c r="I39" i="29"/>
  <c r="H39" i="29"/>
  <c r="G39" i="29"/>
  <c r="J38" i="29"/>
  <c r="I38" i="29"/>
  <c r="H38" i="29"/>
  <c r="G38" i="29"/>
  <c r="J37" i="29"/>
  <c r="I37" i="29"/>
  <c r="H37" i="29"/>
  <c r="G37" i="29"/>
  <c r="J36" i="29"/>
  <c r="I36" i="29"/>
  <c r="H36" i="29"/>
  <c r="G36" i="29"/>
  <c r="J35" i="29"/>
  <c r="I35" i="29"/>
  <c r="H35" i="29"/>
  <c r="G35" i="29"/>
  <c r="J34" i="29"/>
  <c r="I34" i="29"/>
  <c r="H34" i="29"/>
  <c r="G34" i="29"/>
  <c r="J33" i="29"/>
  <c r="I33" i="29"/>
  <c r="H33" i="29"/>
  <c r="G33" i="29"/>
  <c r="J32" i="29"/>
  <c r="I32" i="29"/>
  <c r="H32" i="29"/>
  <c r="G32" i="29"/>
  <c r="J31" i="29"/>
  <c r="I31" i="29"/>
  <c r="H31" i="29"/>
  <c r="G31" i="29"/>
  <c r="J30" i="29"/>
  <c r="I30" i="29"/>
  <c r="H30" i="29"/>
  <c r="G30" i="29"/>
  <c r="J29" i="29"/>
  <c r="I29" i="29"/>
  <c r="H29" i="29"/>
  <c r="G29" i="29"/>
  <c r="J28" i="29"/>
  <c r="I28" i="29"/>
  <c r="H28" i="29"/>
  <c r="G28" i="29"/>
  <c r="J27" i="29"/>
  <c r="I27" i="29"/>
  <c r="H27" i="29"/>
  <c r="G27" i="29"/>
  <c r="J26" i="29"/>
  <c r="I26" i="29"/>
  <c r="H26" i="29"/>
  <c r="G26" i="29"/>
  <c r="J25" i="29"/>
  <c r="I25" i="29"/>
  <c r="H25" i="29"/>
  <c r="G25" i="29"/>
  <c r="J24" i="29"/>
  <c r="I24" i="29"/>
  <c r="H24" i="29"/>
  <c r="G24" i="29"/>
  <c r="J23" i="29"/>
  <c r="I23" i="29"/>
  <c r="H23" i="29"/>
  <c r="G23" i="29"/>
  <c r="J22" i="29"/>
  <c r="I22" i="29"/>
  <c r="H22" i="29"/>
  <c r="G22" i="29"/>
  <c r="J21" i="29"/>
  <c r="I21" i="29"/>
  <c r="H21" i="29"/>
  <c r="G21" i="29"/>
  <c r="J20" i="29"/>
  <c r="I20" i="29"/>
  <c r="H20" i="29"/>
  <c r="G20" i="29"/>
  <c r="J19" i="29"/>
  <c r="I19" i="29"/>
  <c r="H19" i="29"/>
  <c r="G19" i="29"/>
  <c r="J18" i="29"/>
  <c r="I18" i="29"/>
  <c r="H18" i="29"/>
  <c r="G18" i="29"/>
  <c r="J17" i="29"/>
  <c r="I17" i="29"/>
  <c r="H17" i="29"/>
  <c r="G17" i="29"/>
  <c r="J16" i="29"/>
  <c r="I16" i="29"/>
  <c r="H16" i="29"/>
  <c r="G16" i="29"/>
  <c r="J15" i="29"/>
  <c r="I15" i="29"/>
  <c r="H15" i="29"/>
  <c r="G15" i="29"/>
  <c r="J14" i="29"/>
  <c r="I14" i="29"/>
  <c r="H14" i="29"/>
  <c r="G14" i="29"/>
  <c r="J13" i="29"/>
  <c r="I13" i="29"/>
  <c r="H13" i="29"/>
  <c r="G13" i="29"/>
  <c r="J12" i="29"/>
  <c r="I12" i="29"/>
  <c r="H12" i="29"/>
  <c r="G12" i="29"/>
  <c r="J11" i="29"/>
  <c r="I11" i="29"/>
  <c r="H11" i="29"/>
  <c r="G11" i="29"/>
  <c r="J10" i="29"/>
  <c r="I10" i="29"/>
  <c r="H10" i="29"/>
  <c r="G10" i="29"/>
  <c r="J9" i="29"/>
  <c r="I9" i="29"/>
  <c r="H9" i="29"/>
  <c r="G9" i="29"/>
  <c r="J8" i="29"/>
  <c r="I8" i="29"/>
  <c r="H8" i="29"/>
  <c r="G8" i="29"/>
  <c r="J7" i="29"/>
  <c r="I7" i="29"/>
  <c r="H7" i="29"/>
  <c r="G7" i="29"/>
  <c r="J6" i="29"/>
  <c r="I6" i="29"/>
  <c r="H6" i="29"/>
  <c r="G6" i="29"/>
  <c r="J5" i="29"/>
  <c r="I5" i="29"/>
  <c r="H5" i="29"/>
  <c r="G5" i="29"/>
  <c r="J841" i="28"/>
  <c r="I841" i="28"/>
  <c r="H841" i="28"/>
  <c r="G841" i="28"/>
  <c r="F841" i="28"/>
  <c r="J840" i="28"/>
  <c r="I840" i="28"/>
  <c r="H840" i="28"/>
  <c r="G840" i="28"/>
  <c r="F840" i="28"/>
  <c r="T180" i="25" s="1"/>
  <c r="J837" i="28"/>
  <c r="I837" i="28"/>
  <c r="H837" i="28"/>
  <c r="G837" i="28"/>
  <c r="E837" i="28"/>
  <c r="F837" i="28" s="1"/>
  <c r="J836" i="28"/>
  <c r="I836" i="28"/>
  <c r="H836" i="28"/>
  <c r="G836" i="28"/>
  <c r="F836" i="28"/>
  <c r="T56" i="25" s="1"/>
  <c r="J833" i="28"/>
  <c r="I833" i="28"/>
  <c r="H833" i="28"/>
  <c r="G833" i="28"/>
  <c r="F833" i="28"/>
  <c r="T63" i="25" s="1"/>
  <c r="F63" i="25" s="1"/>
  <c r="J832" i="28"/>
  <c r="I832" i="28"/>
  <c r="H832" i="28"/>
  <c r="G832" i="28"/>
  <c r="F832" i="28"/>
  <c r="T64" i="25" s="1"/>
  <c r="F64" i="25" s="1"/>
  <c r="J831" i="28"/>
  <c r="I831" i="28"/>
  <c r="H831" i="28"/>
  <c r="G831" i="28"/>
  <c r="F831" i="28"/>
  <c r="T65" i="25" s="1"/>
  <c r="F65" i="25" s="1"/>
  <c r="J830" i="28"/>
  <c r="I830" i="28"/>
  <c r="H830" i="28"/>
  <c r="G830" i="28"/>
  <c r="F830" i="28"/>
  <c r="T66" i="25" s="1"/>
  <c r="F66" i="25" s="1"/>
  <c r="J829" i="28"/>
  <c r="I829" i="28"/>
  <c r="H829" i="28"/>
  <c r="G829" i="28"/>
  <c r="F829" i="28"/>
  <c r="T67" i="25" s="1"/>
  <c r="F67" i="25" s="1"/>
  <c r="J828" i="28"/>
  <c r="I828" i="28"/>
  <c r="H828" i="28"/>
  <c r="G828" i="28"/>
  <c r="F828" i="28"/>
  <c r="T68" i="25" s="1"/>
  <c r="F68" i="25" s="1"/>
  <c r="J827" i="28"/>
  <c r="I827" i="28"/>
  <c r="H827" i="28"/>
  <c r="G827" i="28"/>
  <c r="F827" i="28"/>
  <c r="T69" i="25" s="1"/>
  <c r="F69" i="25" s="1"/>
  <c r="J826" i="28"/>
  <c r="I826" i="28"/>
  <c r="H826" i="28"/>
  <c r="G826" i="28"/>
  <c r="F826" i="28"/>
  <c r="T70" i="25" s="1"/>
  <c r="F70" i="25" s="1"/>
  <c r="J825" i="28"/>
  <c r="I825" i="28"/>
  <c r="H825" i="28"/>
  <c r="G825" i="28"/>
  <c r="F825" i="28"/>
  <c r="T71" i="25" s="1"/>
  <c r="F71" i="25" s="1"/>
  <c r="J824" i="28"/>
  <c r="I824" i="28"/>
  <c r="H824" i="28"/>
  <c r="G824" i="28"/>
  <c r="F824" i="28"/>
  <c r="T72" i="25" s="1"/>
  <c r="F72" i="25" s="1"/>
  <c r="J823" i="28"/>
  <c r="I823" i="28"/>
  <c r="H823" i="28"/>
  <c r="G823" i="28"/>
  <c r="F823" i="28"/>
  <c r="T73" i="25" s="1"/>
  <c r="F73" i="25" s="1"/>
  <c r="J822" i="28"/>
  <c r="I822" i="28"/>
  <c r="H822" i="28"/>
  <c r="G822" i="28"/>
  <c r="F822" i="28"/>
  <c r="T74" i="25" s="1"/>
  <c r="F74" i="25" s="1"/>
  <c r="J821" i="28"/>
  <c r="I821" i="28"/>
  <c r="H821" i="28"/>
  <c r="G821" i="28"/>
  <c r="F821" i="28"/>
  <c r="T75" i="25" s="1"/>
  <c r="F75" i="25" s="1"/>
  <c r="J820" i="28"/>
  <c r="I820" i="28"/>
  <c r="H820" i="28"/>
  <c r="G820" i="28"/>
  <c r="F820" i="28"/>
  <c r="T140" i="25" s="1"/>
  <c r="F140" i="25" s="1"/>
  <c r="J819" i="28"/>
  <c r="I819" i="28"/>
  <c r="H819" i="28"/>
  <c r="G819" i="28"/>
  <c r="F819" i="28"/>
  <c r="T141" i="25" s="1"/>
  <c r="F141" i="25" s="1"/>
  <c r="J818" i="28"/>
  <c r="I818" i="28"/>
  <c r="H818" i="28"/>
  <c r="G818" i="28"/>
  <c r="F818" i="28"/>
  <c r="J817" i="28"/>
  <c r="I817" i="28"/>
  <c r="H817" i="28"/>
  <c r="G817" i="28"/>
  <c r="F817" i="28"/>
  <c r="J816" i="28"/>
  <c r="I816" i="28"/>
  <c r="H816" i="28"/>
  <c r="G816" i="28"/>
  <c r="F816" i="28"/>
  <c r="J815" i="28"/>
  <c r="I815" i="28"/>
  <c r="H815" i="28"/>
  <c r="G815" i="28"/>
  <c r="F815" i="28"/>
  <c r="J814" i="28"/>
  <c r="I814" i="28"/>
  <c r="H814" i="28"/>
  <c r="G814" i="28"/>
  <c r="F814" i="28"/>
  <c r="J813" i="28"/>
  <c r="I813" i="28"/>
  <c r="H813" i="28"/>
  <c r="G813" i="28"/>
  <c r="F813" i="28"/>
  <c r="J812" i="28"/>
  <c r="I812" i="28"/>
  <c r="H812" i="28"/>
  <c r="G812" i="28"/>
  <c r="F812" i="28"/>
  <c r="J811" i="28"/>
  <c r="I811" i="28"/>
  <c r="H811" i="28"/>
  <c r="G811" i="28"/>
  <c r="F811" i="28"/>
  <c r="J810" i="28"/>
  <c r="I810" i="28"/>
  <c r="H810" i="28"/>
  <c r="G810" i="28"/>
  <c r="F810" i="28"/>
  <c r="J809" i="28"/>
  <c r="I809" i="28"/>
  <c r="H809" i="28"/>
  <c r="G809" i="28"/>
  <c r="F809" i="28"/>
  <c r="J808" i="28"/>
  <c r="I808" i="28"/>
  <c r="H808" i="28"/>
  <c r="G808" i="28"/>
  <c r="F808" i="28"/>
  <c r="J807" i="28"/>
  <c r="I807" i="28"/>
  <c r="H807" i="28"/>
  <c r="G807" i="28"/>
  <c r="F807" i="28"/>
  <c r="J806" i="28"/>
  <c r="I806" i="28"/>
  <c r="H806" i="28"/>
  <c r="G806" i="28"/>
  <c r="F806" i="28"/>
  <c r="J805" i="28"/>
  <c r="I805" i="28"/>
  <c r="H805" i="28"/>
  <c r="G805" i="28"/>
  <c r="F805" i="28"/>
  <c r="J804" i="28"/>
  <c r="I804" i="28"/>
  <c r="H804" i="28"/>
  <c r="G804" i="28"/>
  <c r="F804" i="28"/>
  <c r="J803" i="28"/>
  <c r="I803" i="28"/>
  <c r="H803" i="28"/>
  <c r="G803" i="28"/>
  <c r="F803" i="28"/>
  <c r="J802" i="28"/>
  <c r="I802" i="28"/>
  <c r="H802" i="28"/>
  <c r="G802" i="28"/>
  <c r="F802" i="28"/>
  <c r="J801" i="28"/>
  <c r="I801" i="28"/>
  <c r="H801" i="28"/>
  <c r="G801" i="28"/>
  <c r="F801" i="28"/>
  <c r="J800" i="28"/>
  <c r="I800" i="28"/>
  <c r="H800" i="28"/>
  <c r="G800" i="28"/>
  <c r="F800" i="28"/>
  <c r="J799" i="28"/>
  <c r="I799" i="28"/>
  <c r="H799" i="28"/>
  <c r="G799" i="28"/>
  <c r="F799" i="28"/>
  <c r="J798" i="28"/>
  <c r="I798" i="28"/>
  <c r="H798" i="28"/>
  <c r="G798" i="28"/>
  <c r="F798" i="28"/>
  <c r="J797" i="28"/>
  <c r="I797" i="28"/>
  <c r="H797" i="28"/>
  <c r="G797" i="28"/>
  <c r="F797" i="28"/>
  <c r="J796" i="28"/>
  <c r="I796" i="28"/>
  <c r="H796" i="28"/>
  <c r="G796" i="28"/>
  <c r="F796" i="28"/>
  <c r="J795" i="28"/>
  <c r="I795" i="28"/>
  <c r="H795" i="28"/>
  <c r="G795" i="28"/>
  <c r="F795" i="28"/>
  <c r="J794" i="28"/>
  <c r="I794" i="28"/>
  <c r="H794" i="28"/>
  <c r="G794" i="28"/>
  <c r="F794" i="28"/>
  <c r="J793" i="28"/>
  <c r="I793" i="28"/>
  <c r="H793" i="28"/>
  <c r="G793" i="28"/>
  <c r="F793" i="28"/>
  <c r="J792" i="28"/>
  <c r="I792" i="28"/>
  <c r="H792" i="28"/>
  <c r="G792" i="28"/>
  <c r="F792" i="28"/>
  <c r="J791" i="28"/>
  <c r="I791" i="28"/>
  <c r="H791" i="28"/>
  <c r="G791" i="28"/>
  <c r="F791" i="28"/>
  <c r="J790" i="28"/>
  <c r="I790" i="28"/>
  <c r="H790" i="28"/>
  <c r="G790" i="28"/>
  <c r="F790" i="28"/>
  <c r="J789" i="28"/>
  <c r="I789" i="28"/>
  <c r="H789" i="28"/>
  <c r="G789" i="28"/>
  <c r="F789" i="28"/>
  <c r="J788" i="28"/>
  <c r="I788" i="28"/>
  <c r="H788" i="28"/>
  <c r="G788" i="28"/>
  <c r="F788" i="28"/>
  <c r="J787" i="28"/>
  <c r="I787" i="28"/>
  <c r="H787" i="28"/>
  <c r="G787" i="28"/>
  <c r="F787" i="28"/>
  <c r="J786" i="28"/>
  <c r="I786" i="28"/>
  <c r="H786" i="28"/>
  <c r="G786" i="28"/>
  <c r="F786" i="28"/>
  <c r="J785" i="28"/>
  <c r="I785" i="28"/>
  <c r="H785" i="28"/>
  <c r="G785" i="28"/>
  <c r="F785" i="28"/>
  <c r="J784" i="28"/>
  <c r="I784" i="28"/>
  <c r="H784" i="28"/>
  <c r="G784" i="28"/>
  <c r="F784" i="28"/>
  <c r="J783" i="28"/>
  <c r="I783" i="28"/>
  <c r="H783" i="28"/>
  <c r="G783" i="28"/>
  <c r="F783" i="28"/>
  <c r="J782" i="28"/>
  <c r="I782" i="28"/>
  <c r="H782" i="28"/>
  <c r="G782" i="28"/>
  <c r="F782" i="28"/>
  <c r="J781" i="28"/>
  <c r="I781" i="28"/>
  <c r="H781" i="28"/>
  <c r="G781" i="28"/>
  <c r="F781" i="28"/>
  <c r="J780" i="28"/>
  <c r="I780" i="28"/>
  <c r="H780" i="28"/>
  <c r="G780" i="28"/>
  <c r="F780" i="28"/>
  <c r="J779" i="28"/>
  <c r="I779" i="28"/>
  <c r="H779" i="28"/>
  <c r="G779" i="28"/>
  <c r="F779" i="28"/>
  <c r="J778" i="28"/>
  <c r="I778" i="28"/>
  <c r="H778" i="28"/>
  <c r="G778" i="28"/>
  <c r="F778" i="28"/>
  <c r="J777" i="28"/>
  <c r="I777" i="28"/>
  <c r="H777" i="28"/>
  <c r="G777" i="28"/>
  <c r="F777" i="28"/>
  <c r="J776" i="28"/>
  <c r="I776" i="28"/>
  <c r="H776" i="28"/>
  <c r="G776" i="28"/>
  <c r="F776" i="28"/>
  <c r="J775" i="28"/>
  <c r="I775" i="28"/>
  <c r="H775" i="28"/>
  <c r="G775" i="28"/>
  <c r="F775" i="28"/>
  <c r="J774" i="28"/>
  <c r="I774" i="28"/>
  <c r="H774" i="28"/>
  <c r="G774" i="28"/>
  <c r="F774" i="28"/>
  <c r="J773" i="28"/>
  <c r="I773" i="28"/>
  <c r="H773" i="28"/>
  <c r="G773" i="28"/>
  <c r="F773" i="28"/>
  <c r="J772" i="28"/>
  <c r="I772" i="28"/>
  <c r="H772" i="28"/>
  <c r="G772" i="28"/>
  <c r="F772" i="28"/>
  <c r="J771" i="28"/>
  <c r="I771" i="28"/>
  <c r="H771" i="28"/>
  <c r="G771" i="28"/>
  <c r="F771" i="28"/>
  <c r="J770" i="28"/>
  <c r="I770" i="28"/>
  <c r="H770" i="28"/>
  <c r="G770" i="28"/>
  <c r="F770" i="28"/>
  <c r="J769" i="28"/>
  <c r="I769" i="28"/>
  <c r="H769" i="28"/>
  <c r="G769" i="28"/>
  <c r="F769" i="28"/>
  <c r="J768" i="28"/>
  <c r="I768" i="28"/>
  <c r="H768" i="28"/>
  <c r="G768" i="28"/>
  <c r="F768" i="28"/>
  <c r="J767" i="28"/>
  <c r="I767" i="28"/>
  <c r="H767" i="28"/>
  <c r="G767" i="28"/>
  <c r="F767" i="28"/>
  <c r="J766" i="28"/>
  <c r="I766" i="28"/>
  <c r="H766" i="28"/>
  <c r="G766" i="28"/>
  <c r="F766" i="28"/>
  <c r="J765" i="28"/>
  <c r="I765" i="28"/>
  <c r="H765" i="28"/>
  <c r="G765" i="28"/>
  <c r="F765" i="28"/>
  <c r="J764" i="28"/>
  <c r="I764" i="28"/>
  <c r="H764" i="28"/>
  <c r="G764" i="28"/>
  <c r="F764" i="28"/>
  <c r="J763" i="28"/>
  <c r="I763" i="28"/>
  <c r="H763" i="28"/>
  <c r="G763" i="28"/>
  <c r="F763" i="28"/>
  <c r="J762" i="28"/>
  <c r="I762" i="28"/>
  <c r="H762" i="28"/>
  <c r="G762" i="28"/>
  <c r="F762" i="28"/>
  <c r="J761" i="28"/>
  <c r="I761" i="28"/>
  <c r="H761" i="28"/>
  <c r="G761" i="28"/>
  <c r="F761" i="28"/>
  <c r="J760" i="28"/>
  <c r="I760" i="28"/>
  <c r="H760" i="28"/>
  <c r="G760" i="28"/>
  <c r="F760" i="28"/>
  <c r="J759" i="28"/>
  <c r="I759" i="28"/>
  <c r="H759" i="28"/>
  <c r="G759" i="28"/>
  <c r="F759" i="28"/>
  <c r="J758" i="28"/>
  <c r="I758" i="28"/>
  <c r="H758" i="28"/>
  <c r="G758" i="28"/>
  <c r="F758" i="28"/>
  <c r="J757" i="28"/>
  <c r="I757" i="28"/>
  <c r="H757" i="28"/>
  <c r="G757" i="28"/>
  <c r="F757" i="28"/>
  <c r="J756" i="28"/>
  <c r="I756" i="28"/>
  <c r="H756" i="28"/>
  <c r="G756" i="28"/>
  <c r="F756" i="28"/>
  <c r="J755" i="28"/>
  <c r="I755" i="28"/>
  <c r="H755" i="28"/>
  <c r="G755" i="28"/>
  <c r="F755" i="28"/>
  <c r="J754" i="28"/>
  <c r="I754" i="28"/>
  <c r="H754" i="28"/>
  <c r="G754" i="28"/>
  <c r="F754" i="28"/>
  <c r="J753" i="28"/>
  <c r="I753" i="28"/>
  <c r="H753" i="28"/>
  <c r="G753" i="28"/>
  <c r="F753" i="28"/>
  <c r="J752" i="28"/>
  <c r="I752" i="28"/>
  <c r="H752" i="28"/>
  <c r="G752" i="28"/>
  <c r="F752" i="28"/>
  <c r="J751" i="28"/>
  <c r="I751" i="28"/>
  <c r="H751" i="28"/>
  <c r="G751" i="28"/>
  <c r="F751" i="28"/>
  <c r="J750" i="28"/>
  <c r="I750" i="28"/>
  <c r="H750" i="28"/>
  <c r="G750" i="28"/>
  <c r="F750" i="28"/>
  <c r="J749" i="28"/>
  <c r="I749" i="28"/>
  <c r="H749" i="28"/>
  <c r="G749" i="28"/>
  <c r="F749" i="28"/>
  <c r="J748" i="28"/>
  <c r="I748" i="28"/>
  <c r="H748" i="28"/>
  <c r="G748" i="28"/>
  <c r="F748" i="28"/>
  <c r="J747" i="28"/>
  <c r="I747" i="28"/>
  <c r="H747" i="28"/>
  <c r="G747" i="28"/>
  <c r="F747" i="28"/>
  <c r="J746" i="28"/>
  <c r="I746" i="28"/>
  <c r="H746" i="28"/>
  <c r="G746" i="28"/>
  <c r="F746" i="28"/>
  <c r="J745" i="28"/>
  <c r="I745" i="28"/>
  <c r="H745" i="28"/>
  <c r="G745" i="28"/>
  <c r="F745" i="28"/>
  <c r="J744" i="28"/>
  <c r="I744" i="28"/>
  <c r="H744" i="28"/>
  <c r="G744" i="28"/>
  <c r="F744" i="28"/>
  <c r="J743" i="28"/>
  <c r="I743" i="28"/>
  <c r="H743" i="28"/>
  <c r="G743" i="28"/>
  <c r="F743" i="28"/>
  <c r="J742" i="28"/>
  <c r="I742" i="28"/>
  <c r="H742" i="28"/>
  <c r="G742" i="28"/>
  <c r="F742" i="28"/>
  <c r="J741" i="28"/>
  <c r="I741" i="28"/>
  <c r="H741" i="28"/>
  <c r="G741" i="28"/>
  <c r="F741" i="28"/>
  <c r="J740" i="28"/>
  <c r="I740" i="28"/>
  <c r="H740" i="28"/>
  <c r="G740" i="28"/>
  <c r="F740" i="28"/>
  <c r="J739" i="28"/>
  <c r="I739" i="28"/>
  <c r="H739" i="28"/>
  <c r="G739" i="28"/>
  <c r="F739" i="28"/>
  <c r="J738" i="28"/>
  <c r="I738" i="28"/>
  <c r="H738" i="28"/>
  <c r="G738" i="28"/>
  <c r="F738" i="28"/>
  <c r="J737" i="28"/>
  <c r="I737" i="28"/>
  <c r="H737" i="28"/>
  <c r="G737" i="28"/>
  <c r="F737" i="28"/>
  <c r="J736" i="28"/>
  <c r="I736" i="28"/>
  <c r="H736" i="28"/>
  <c r="G736" i="28"/>
  <c r="F736" i="28"/>
  <c r="J735" i="28"/>
  <c r="I735" i="28"/>
  <c r="H735" i="28"/>
  <c r="G735" i="28"/>
  <c r="F735" i="28"/>
  <c r="J734" i="28"/>
  <c r="I734" i="28"/>
  <c r="H734" i="28"/>
  <c r="G734" i="28"/>
  <c r="F734" i="28"/>
  <c r="J733" i="28"/>
  <c r="I733" i="28"/>
  <c r="H733" i="28"/>
  <c r="G733" i="28"/>
  <c r="F733" i="28"/>
  <c r="J732" i="28"/>
  <c r="I732" i="28"/>
  <c r="H732" i="28"/>
  <c r="G732" i="28"/>
  <c r="F732" i="28"/>
  <c r="J731" i="28"/>
  <c r="I731" i="28"/>
  <c r="H731" i="28"/>
  <c r="G731" i="28"/>
  <c r="F731" i="28"/>
  <c r="J730" i="28"/>
  <c r="I730" i="28"/>
  <c r="H730" i="28"/>
  <c r="G730" i="28"/>
  <c r="F730" i="28"/>
  <c r="J729" i="28"/>
  <c r="I729" i="28"/>
  <c r="H729" i="28"/>
  <c r="G729" i="28"/>
  <c r="F729" i="28"/>
  <c r="J728" i="28"/>
  <c r="I728" i="28"/>
  <c r="H728" i="28"/>
  <c r="G728" i="28"/>
  <c r="F728" i="28"/>
  <c r="J727" i="28"/>
  <c r="I727" i="28"/>
  <c r="H727" i="28"/>
  <c r="G727" i="28"/>
  <c r="F727" i="28"/>
  <c r="J726" i="28"/>
  <c r="I726" i="28"/>
  <c r="H726" i="28"/>
  <c r="G726" i="28"/>
  <c r="F726" i="28"/>
  <c r="J725" i="28"/>
  <c r="I725" i="28"/>
  <c r="H725" i="28"/>
  <c r="G725" i="28"/>
  <c r="F725" i="28"/>
  <c r="J724" i="28"/>
  <c r="I724" i="28"/>
  <c r="H724" i="28"/>
  <c r="G724" i="28"/>
  <c r="F724" i="28"/>
  <c r="J723" i="28"/>
  <c r="I723" i="28"/>
  <c r="H723" i="28"/>
  <c r="G723" i="28"/>
  <c r="F723" i="28"/>
  <c r="J722" i="28"/>
  <c r="I722" i="28"/>
  <c r="H722" i="28"/>
  <c r="G722" i="28"/>
  <c r="F722" i="28"/>
  <c r="J721" i="28"/>
  <c r="I721" i="28"/>
  <c r="H721" i="28"/>
  <c r="G721" i="28"/>
  <c r="F721" i="28"/>
  <c r="J720" i="28"/>
  <c r="I720" i="28"/>
  <c r="H720" i="28"/>
  <c r="G720" i="28"/>
  <c r="F720" i="28"/>
  <c r="J719" i="28"/>
  <c r="I719" i="28"/>
  <c r="H719" i="28"/>
  <c r="G719" i="28"/>
  <c r="F719" i="28"/>
  <c r="J718" i="28"/>
  <c r="I718" i="28"/>
  <c r="H718" i="28"/>
  <c r="G718" i="28"/>
  <c r="F718" i="28"/>
  <c r="J717" i="28"/>
  <c r="I717" i="28"/>
  <c r="H717" i="28"/>
  <c r="G717" i="28"/>
  <c r="F717" i="28"/>
  <c r="J716" i="28"/>
  <c r="I716" i="28"/>
  <c r="H716" i="28"/>
  <c r="G716" i="28"/>
  <c r="F716" i="28"/>
  <c r="J715" i="28"/>
  <c r="I715" i="28"/>
  <c r="H715" i="28"/>
  <c r="G715" i="28"/>
  <c r="F715" i="28"/>
  <c r="J714" i="28"/>
  <c r="I714" i="28"/>
  <c r="H714" i="28"/>
  <c r="G714" i="28"/>
  <c r="F714" i="28"/>
  <c r="J713" i="28"/>
  <c r="I713" i="28"/>
  <c r="H713" i="28"/>
  <c r="G713" i="28"/>
  <c r="F713" i="28"/>
  <c r="J712" i="28"/>
  <c r="I712" i="28"/>
  <c r="H712" i="28"/>
  <c r="G712" i="28"/>
  <c r="F712" i="28"/>
  <c r="J711" i="28"/>
  <c r="I711" i="28"/>
  <c r="H711" i="28"/>
  <c r="G711" i="28"/>
  <c r="F711" i="28"/>
  <c r="J710" i="28"/>
  <c r="I710" i="28"/>
  <c r="H710" i="28"/>
  <c r="G710" i="28"/>
  <c r="F710" i="28"/>
  <c r="J709" i="28"/>
  <c r="I709" i="28"/>
  <c r="H709" i="28"/>
  <c r="G709" i="28"/>
  <c r="F709" i="28"/>
  <c r="J708" i="28"/>
  <c r="I708" i="28"/>
  <c r="H708" i="28"/>
  <c r="G708" i="28"/>
  <c r="F708" i="28"/>
  <c r="J707" i="28"/>
  <c r="I707" i="28"/>
  <c r="H707" i="28"/>
  <c r="G707" i="28"/>
  <c r="F707" i="28"/>
  <c r="J706" i="28"/>
  <c r="I706" i="28"/>
  <c r="H706" i="28"/>
  <c r="G706" i="28"/>
  <c r="F706" i="28"/>
  <c r="J705" i="28"/>
  <c r="I705" i="28"/>
  <c r="H705" i="28"/>
  <c r="G705" i="28"/>
  <c r="F705" i="28"/>
  <c r="J704" i="28"/>
  <c r="I704" i="28"/>
  <c r="H704" i="28"/>
  <c r="G704" i="28"/>
  <c r="F704" i="28"/>
  <c r="J703" i="28"/>
  <c r="I703" i="28"/>
  <c r="H703" i="28"/>
  <c r="G703" i="28"/>
  <c r="F703" i="28"/>
  <c r="J702" i="28"/>
  <c r="I702" i="28"/>
  <c r="H702" i="28"/>
  <c r="G702" i="28"/>
  <c r="F702" i="28"/>
  <c r="J701" i="28"/>
  <c r="I701" i="28"/>
  <c r="H701" i="28"/>
  <c r="G701" i="28"/>
  <c r="F701" i="28"/>
  <c r="J700" i="28"/>
  <c r="I700" i="28"/>
  <c r="H700" i="28"/>
  <c r="G700" i="28"/>
  <c r="F700" i="28"/>
  <c r="J699" i="28"/>
  <c r="I699" i="28"/>
  <c r="H699" i="28"/>
  <c r="G699" i="28"/>
  <c r="F699" i="28"/>
  <c r="J698" i="28"/>
  <c r="I698" i="28"/>
  <c r="H698" i="28"/>
  <c r="G698" i="28"/>
  <c r="F698" i="28"/>
  <c r="J697" i="28"/>
  <c r="I697" i="28"/>
  <c r="H697" i="28"/>
  <c r="G697" i="28"/>
  <c r="F697" i="28"/>
  <c r="J696" i="28"/>
  <c r="I696" i="28"/>
  <c r="H696" i="28"/>
  <c r="G696" i="28"/>
  <c r="F696" i="28"/>
  <c r="J695" i="28"/>
  <c r="I695" i="28"/>
  <c r="H695" i="28"/>
  <c r="G695" i="28"/>
  <c r="F695" i="28"/>
  <c r="J694" i="28"/>
  <c r="I694" i="28"/>
  <c r="H694" i="28"/>
  <c r="G694" i="28"/>
  <c r="F694" i="28"/>
  <c r="J693" i="28"/>
  <c r="I693" i="28"/>
  <c r="H693" i="28"/>
  <c r="G693" i="28"/>
  <c r="F693" i="28"/>
  <c r="J692" i="28"/>
  <c r="I692" i="28"/>
  <c r="H692" i="28"/>
  <c r="G692" i="28"/>
  <c r="F692" i="28"/>
  <c r="J691" i="28"/>
  <c r="I691" i="28"/>
  <c r="H691" i="28"/>
  <c r="G691" i="28"/>
  <c r="F691" i="28"/>
  <c r="J690" i="28"/>
  <c r="I690" i="28"/>
  <c r="H690" i="28"/>
  <c r="G690" i="28"/>
  <c r="F690" i="28"/>
  <c r="J689" i="28"/>
  <c r="I689" i="28"/>
  <c r="H689" i="28"/>
  <c r="G689" i="28"/>
  <c r="F689" i="28"/>
  <c r="J688" i="28"/>
  <c r="I688" i="28"/>
  <c r="H688" i="28"/>
  <c r="G688" i="28"/>
  <c r="F688" i="28"/>
  <c r="J687" i="28"/>
  <c r="I687" i="28"/>
  <c r="H687" i="28"/>
  <c r="G687" i="28"/>
  <c r="F687" i="28"/>
  <c r="J686" i="28"/>
  <c r="I686" i="28"/>
  <c r="H686" i="28"/>
  <c r="G686" i="28"/>
  <c r="F686" i="28"/>
  <c r="J685" i="28"/>
  <c r="I685" i="28"/>
  <c r="H685" i="28"/>
  <c r="G685" i="28"/>
  <c r="F685" i="28"/>
  <c r="J684" i="28"/>
  <c r="I684" i="28"/>
  <c r="H684" i="28"/>
  <c r="G684" i="28"/>
  <c r="F684" i="28"/>
  <c r="J683" i="28"/>
  <c r="I683" i="28"/>
  <c r="H683" i="28"/>
  <c r="G683" i="28"/>
  <c r="F683" i="28"/>
  <c r="J682" i="28"/>
  <c r="I682" i="28"/>
  <c r="H682" i="28"/>
  <c r="G682" i="28"/>
  <c r="F682" i="28"/>
  <c r="J681" i="28"/>
  <c r="I681" i="28"/>
  <c r="H681" i="28"/>
  <c r="G681" i="28"/>
  <c r="F681" i="28"/>
  <c r="J680" i="28"/>
  <c r="I680" i="28"/>
  <c r="H680" i="28"/>
  <c r="G680" i="28"/>
  <c r="F680" i="28"/>
  <c r="J679" i="28"/>
  <c r="I679" i="28"/>
  <c r="H679" i="28"/>
  <c r="G679" i="28"/>
  <c r="F679" i="28"/>
  <c r="J678" i="28"/>
  <c r="I678" i="28"/>
  <c r="H678" i="28"/>
  <c r="G678" i="28"/>
  <c r="F678" i="28"/>
  <c r="J677" i="28"/>
  <c r="I677" i="28"/>
  <c r="H677" i="28"/>
  <c r="G677" i="28"/>
  <c r="F677" i="28"/>
  <c r="J676" i="28"/>
  <c r="I676" i="28"/>
  <c r="H676" i="28"/>
  <c r="G676" i="28"/>
  <c r="F676" i="28"/>
  <c r="J675" i="28"/>
  <c r="I675" i="28"/>
  <c r="H675" i="28"/>
  <c r="G675" i="28"/>
  <c r="F675" i="28"/>
  <c r="J674" i="28"/>
  <c r="I674" i="28"/>
  <c r="H674" i="28"/>
  <c r="G674" i="28"/>
  <c r="F674" i="28"/>
  <c r="J673" i="28"/>
  <c r="I673" i="28"/>
  <c r="H673" i="28"/>
  <c r="G673" i="28"/>
  <c r="F673" i="28"/>
  <c r="J672" i="28"/>
  <c r="I672" i="28"/>
  <c r="H672" i="28"/>
  <c r="G672" i="28"/>
  <c r="F672" i="28"/>
  <c r="J671" i="28"/>
  <c r="I671" i="28"/>
  <c r="H671" i="28"/>
  <c r="G671" i="28"/>
  <c r="F671" i="28"/>
  <c r="J670" i="28"/>
  <c r="I670" i="28"/>
  <c r="H670" i="28"/>
  <c r="G670" i="28"/>
  <c r="F670" i="28"/>
  <c r="J669" i="28"/>
  <c r="I669" i="28"/>
  <c r="H669" i="28"/>
  <c r="G669" i="28"/>
  <c r="F669" i="28"/>
  <c r="J668" i="28"/>
  <c r="I668" i="28"/>
  <c r="H668" i="28"/>
  <c r="G668" i="28"/>
  <c r="F668" i="28"/>
  <c r="J667" i="28"/>
  <c r="I667" i="28"/>
  <c r="H667" i="28"/>
  <c r="G667" i="28"/>
  <c r="F667" i="28"/>
  <c r="J666" i="28"/>
  <c r="I666" i="28"/>
  <c r="H666" i="28"/>
  <c r="G666" i="28"/>
  <c r="F666" i="28"/>
  <c r="J665" i="28"/>
  <c r="I665" i="28"/>
  <c r="H665" i="28"/>
  <c r="G665" i="28"/>
  <c r="F665" i="28"/>
  <c r="J664" i="28"/>
  <c r="I664" i="28"/>
  <c r="H664" i="28"/>
  <c r="G664" i="28"/>
  <c r="F664" i="28"/>
  <c r="J663" i="28"/>
  <c r="I663" i="28"/>
  <c r="H663" i="28"/>
  <c r="G663" i="28"/>
  <c r="F663" i="28"/>
  <c r="J662" i="28"/>
  <c r="I662" i="28"/>
  <c r="H662" i="28"/>
  <c r="G662" i="28"/>
  <c r="F662" i="28"/>
  <c r="J661" i="28"/>
  <c r="I661" i="28"/>
  <c r="H661" i="28"/>
  <c r="G661" i="28"/>
  <c r="F661" i="28"/>
  <c r="J660" i="28"/>
  <c r="I660" i="28"/>
  <c r="H660" i="28"/>
  <c r="G660" i="28"/>
  <c r="F660" i="28"/>
  <c r="J659" i="28"/>
  <c r="I659" i="28"/>
  <c r="H659" i="28"/>
  <c r="G659" i="28"/>
  <c r="F659" i="28"/>
  <c r="J658" i="28"/>
  <c r="I658" i="28"/>
  <c r="H658" i="28"/>
  <c r="G658" i="28"/>
  <c r="F658" i="28"/>
  <c r="J657" i="28"/>
  <c r="I657" i="28"/>
  <c r="H657" i="28"/>
  <c r="G657" i="28"/>
  <c r="F657" i="28"/>
  <c r="J656" i="28"/>
  <c r="I656" i="28"/>
  <c r="H656" i="28"/>
  <c r="G656" i="28"/>
  <c r="F656" i="28"/>
  <c r="J655" i="28"/>
  <c r="I655" i="28"/>
  <c r="H655" i="28"/>
  <c r="G655" i="28"/>
  <c r="F655" i="28"/>
  <c r="J654" i="28"/>
  <c r="I654" i="28"/>
  <c r="H654" i="28"/>
  <c r="G654" i="28"/>
  <c r="F654" i="28"/>
  <c r="J653" i="28"/>
  <c r="I653" i="28"/>
  <c r="H653" i="28"/>
  <c r="G653" i="28"/>
  <c r="F653" i="28"/>
  <c r="J652" i="28"/>
  <c r="I652" i="28"/>
  <c r="H652" i="28"/>
  <c r="G652" i="28"/>
  <c r="F652" i="28"/>
  <c r="J651" i="28"/>
  <c r="I651" i="28"/>
  <c r="H651" i="28"/>
  <c r="G651" i="28"/>
  <c r="F651" i="28"/>
  <c r="J650" i="28"/>
  <c r="I650" i="28"/>
  <c r="H650" i="28"/>
  <c r="G650" i="28"/>
  <c r="F650" i="28"/>
  <c r="J649" i="28"/>
  <c r="I649" i="28"/>
  <c r="H649" i="28"/>
  <c r="G649" i="28"/>
  <c r="F649" i="28"/>
  <c r="J648" i="28"/>
  <c r="I648" i="28"/>
  <c r="H648" i="28"/>
  <c r="G648" i="28"/>
  <c r="F648" i="28"/>
  <c r="J647" i="28"/>
  <c r="I647" i="28"/>
  <c r="H647" i="28"/>
  <c r="G647" i="28"/>
  <c r="F647" i="28"/>
  <c r="J646" i="28"/>
  <c r="I646" i="28"/>
  <c r="H646" i="28"/>
  <c r="G646" i="28"/>
  <c r="F646" i="28"/>
  <c r="J645" i="28"/>
  <c r="I645" i="28"/>
  <c r="H645" i="28"/>
  <c r="G645" i="28"/>
  <c r="F645" i="28"/>
  <c r="J644" i="28"/>
  <c r="I644" i="28"/>
  <c r="H644" i="28"/>
  <c r="G644" i="28"/>
  <c r="F644" i="28"/>
  <c r="J643" i="28"/>
  <c r="I643" i="28"/>
  <c r="H643" i="28"/>
  <c r="G643" i="28"/>
  <c r="F643" i="28"/>
  <c r="J642" i="28"/>
  <c r="I642" i="28"/>
  <c r="H642" i="28"/>
  <c r="G642" i="28"/>
  <c r="F642" i="28"/>
  <c r="J641" i="28"/>
  <c r="I641" i="28"/>
  <c r="H641" i="28"/>
  <c r="G641" i="28"/>
  <c r="F641" i="28"/>
  <c r="J640" i="28"/>
  <c r="I640" i="28"/>
  <c r="H640" i="28"/>
  <c r="G640" i="28"/>
  <c r="F640" i="28"/>
  <c r="J639" i="28"/>
  <c r="I639" i="28"/>
  <c r="H639" i="28"/>
  <c r="G639" i="28"/>
  <c r="F639" i="28"/>
  <c r="J638" i="28"/>
  <c r="I638" i="28"/>
  <c r="H638" i="28"/>
  <c r="G638" i="28"/>
  <c r="F638" i="28"/>
  <c r="J637" i="28"/>
  <c r="I637" i="28"/>
  <c r="H637" i="28"/>
  <c r="G637" i="28"/>
  <c r="F637" i="28"/>
  <c r="J636" i="28"/>
  <c r="I636" i="28"/>
  <c r="H636" i="28"/>
  <c r="G636" i="28"/>
  <c r="F636" i="28"/>
  <c r="J635" i="28"/>
  <c r="I635" i="28"/>
  <c r="H635" i="28"/>
  <c r="G635" i="28"/>
  <c r="F635" i="28"/>
  <c r="J634" i="28"/>
  <c r="I634" i="28"/>
  <c r="H634" i="28"/>
  <c r="G634" i="28"/>
  <c r="F634" i="28"/>
  <c r="J633" i="28"/>
  <c r="I633" i="28"/>
  <c r="H633" i="28"/>
  <c r="G633" i="28"/>
  <c r="F633" i="28"/>
  <c r="J632" i="28"/>
  <c r="I632" i="28"/>
  <c r="H632" i="28"/>
  <c r="G632" i="28"/>
  <c r="F632" i="28"/>
  <c r="J631" i="28"/>
  <c r="I631" i="28"/>
  <c r="H631" i="28"/>
  <c r="G631" i="28"/>
  <c r="F631" i="28"/>
  <c r="J630" i="28"/>
  <c r="I630" i="28"/>
  <c r="H630" i="28"/>
  <c r="G630" i="28"/>
  <c r="F630" i="28"/>
  <c r="J629" i="28"/>
  <c r="I629" i="28"/>
  <c r="H629" i="28"/>
  <c r="G629" i="28"/>
  <c r="F629" i="28"/>
  <c r="J628" i="28"/>
  <c r="I628" i="28"/>
  <c r="H628" i="28"/>
  <c r="G628" i="28"/>
  <c r="F628" i="28"/>
  <c r="J627" i="28"/>
  <c r="I627" i="28"/>
  <c r="H627" i="28"/>
  <c r="G627" i="28"/>
  <c r="F627" i="28"/>
  <c r="J626" i="28"/>
  <c r="I626" i="28"/>
  <c r="H626" i="28"/>
  <c r="G626" i="28"/>
  <c r="F626" i="28"/>
  <c r="J625" i="28"/>
  <c r="I625" i="28"/>
  <c r="H625" i="28"/>
  <c r="G625" i="28"/>
  <c r="F625" i="28"/>
  <c r="J624" i="28"/>
  <c r="I624" i="28"/>
  <c r="H624" i="28"/>
  <c r="G624" i="28"/>
  <c r="F624" i="28"/>
  <c r="J623" i="28"/>
  <c r="I623" i="28"/>
  <c r="H623" i="28"/>
  <c r="G623" i="28"/>
  <c r="F623" i="28"/>
  <c r="J622" i="28"/>
  <c r="I622" i="28"/>
  <c r="H622" i="28"/>
  <c r="G622" i="28"/>
  <c r="F622" i="28"/>
  <c r="J621" i="28"/>
  <c r="I621" i="28"/>
  <c r="H621" i="28"/>
  <c r="G621" i="28"/>
  <c r="F621" i="28"/>
  <c r="J620" i="28"/>
  <c r="I620" i="28"/>
  <c r="H620" i="28"/>
  <c r="G620" i="28"/>
  <c r="F620" i="28"/>
  <c r="J619" i="28"/>
  <c r="I619" i="28"/>
  <c r="H619" i="28"/>
  <c r="G619" i="28"/>
  <c r="F619" i="28"/>
  <c r="J618" i="28"/>
  <c r="I618" i="28"/>
  <c r="H618" i="28"/>
  <c r="G618" i="28"/>
  <c r="F618" i="28"/>
  <c r="J617" i="28"/>
  <c r="I617" i="28"/>
  <c r="H617" i="28"/>
  <c r="G617" i="28"/>
  <c r="F617" i="28"/>
  <c r="J616" i="28"/>
  <c r="I616" i="28"/>
  <c r="H616" i="28"/>
  <c r="G616" i="28"/>
  <c r="F616" i="28"/>
  <c r="J615" i="28"/>
  <c r="I615" i="28"/>
  <c r="H615" i="28"/>
  <c r="G615" i="28"/>
  <c r="F615" i="28"/>
  <c r="J614" i="28"/>
  <c r="I614" i="28"/>
  <c r="H614" i="28"/>
  <c r="G614" i="28"/>
  <c r="F614" i="28"/>
  <c r="J613" i="28"/>
  <c r="I613" i="28"/>
  <c r="H613" i="28"/>
  <c r="G613" i="28"/>
  <c r="F613" i="28"/>
  <c r="J612" i="28"/>
  <c r="I612" i="28"/>
  <c r="H612" i="28"/>
  <c r="G612" i="28"/>
  <c r="F612" i="28"/>
  <c r="J611" i="28"/>
  <c r="I611" i="28"/>
  <c r="H611" i="28"/>
  <c r="G611" i="28"/>
  <c r="F611" i="28"/>
  <c r="J610" i="28"/>
  <c r="I610" i="28"/>
  <c r="H610" i="28"/>
  <c r="G610" i="28"/>
  <c r="F610" i="28"/>
  <c r="J609" i="28"/>
  <c r="I609" i="28"/>
  <c r="H609" i="28"/>
  <c r="G609" i="28"/>
  <c r="F609" i="28"/>
  <c r="J608" i="28"/>
  <c r="I608" i="28"/>
  <c r="H608" i="28"/>
  <c r="G608" i="28"/>
  <c r="F608" i="28"/>
  <c r="J607" i="28"/>
  <c r="I607" i="28"/>
  <c r="H607" i="28"/>
  <c r="G607" i="28"/>
  <c r="F607" i="28"/>
  <c r="J606" i="28"/>
  <c r="I606" i="28"/>
  <c r="H606" i="28"/>
  <c r="G606" i="28"/>
  <c r="F606" i="28"/>
  <c r="J605" i="28"/>
  <c r="I605" i="28"/>
  <c r="H605" i="28"/>
  <c r="G605" i="28"/>
  <c r="F605" i="28"/>
  <c r="J604" i="28"/>
  <c r="I604" i="28"/>
  <c r="H604" i="28"/>
  <c r="G604" i="28"/>
  <c r="F604" i="28"/>
  <c r="J603" i="28"/>
  <c r="I603" i="28"/>
  <c r="H603" i="28"/>
  <c r="G603" i="28"/>
  <c r="F603" i="28"/>
  <c r="J602" i="28"/>
  <c r="I602" i="28"/>
  <c r="H602" i="28"/>
  <c r="G602" i="28"/>
  <c r="F602" i="28"/>
  <c r="J601" i="28"/>
  <c r="I601" i="28"/>
  <c r="H601" i="28"/>
  <c r="G601" i="28"/>
  <c r="F601" i="28"/>
  <c r="J600" i="28"/>
  <c r="I600" i="28"/>
  <c r="H600" i="28"/>
  <c r="G600" i="28"/>
  <c r="F600" i="28"/>
  <c r="J599" i="28"/>
  <c r="I599" i="28"/>
  <c r="H599" i="28"/>
  <c r="G599" i="28"/>
  <c r="F599" i="28"/>
  <c r="J598" i="28"/>
  <c r="I598" i="28"/>
  <c r="H598" i="28"/>
  <c r="G598" i="28"/>
  <c r="F598" i="28"/>
  <c r="J597" i="28"/>
  <c r="I597" i="28"/>
  <c r="H597" i="28"/>
  <c r="G597" i="28"/>
  <c r="F597" i="28"/>
  <c r="J596" i="28"/>
  <c r="I596" i="28"/>
  <c r="H596" i="28"/>
  <c r="G596" i="28"/>
  <c r="F596" i="28"/>
  <c r="J595" i="28"/>
  <c r="I595" i="28"/>
  <c r="H595" i="28"/>
  <c r="G595" i="28"/>
  <c r="F595" i="28"/>
  <c r="J594" i="28"/>
  <c r="I594" i="28"/>
  <c r="H594" i="28"/>
  <c r="G594" i="28"/>
  <c r="F594" i="28"/>
  <c r="J593" i="28"/>
  <c r="I593" i="28"/>
  <c r="H593" i="28"/>
  <c r="G593" i="28"/>
  <c r="F593" i="28"/>
  <c r="J592" i="28"/>
  <c r="I592" i="28"/>
  <c r="H592" i="28"/>
  <c r="G592" i="28"/>
  <c r="F592" i="28"/>
  <c r="J591" i="28"/>
  <c r="I591" i="28"/>
  <c r="H591" i="28"/>
  <c r="G591" i="28"/>
  <c r="F591" i="28"/>
  <c r="J590" i="28"/>
  <c r="I590" i="28"/>
  <c r="H590" i="28"/>
  <c r="G590" i="28"/>
  <c r="F590" i="28"/>
  <c r="J589" i="28"/>
  <c r="I589" i="28"/>
  <c r="H589" i="28"/>
  <c r="G589" i="28"/>
  <c r="F589" i="28"/>
  <c r="J588" i="28"/>
  <c r="I588" i="28"/>
  <c r="H588" i="28"/>
  <c r="G588" i="28"/>
  <c r="F588" i="28"/>
  <c r="J587" i="28"/>
  <c r="I587" i="28"/>
  <c r="H587" i="28"/>
  <c r="G587" i="28"/>
  <c r="F587" i="28"/>
  <c r="J586" i="28"/>
  <c r="I586" i="28"/>
  <c r="H586" i="28"/>
  <c r="G586" i="28"/>
  <c r="F586" i="28"/>
  <c r="J585" i="28"/>
  <c r="I585" i="28"/>
  <c r="H585" i="28"/>
  <c r="G585" i="28"/>
  <c r="F585" i="28"/>
  <c r="J584" i="28"/>
  <c r="I584" i="28"/>
  <c r="H584" i="28"/>
  <c r="G584" i="28"/>
  <c r="F584" i="28"/>
  <c r="J583" i="28"/>
  <c r="I583" i="28"/>
  <c r="H583" i="28"/>
  <c r="G583" i="28"/>
  <c r="F583" i="28"/>
  <c r="J582" i="28"/>
  <c r="I582" i="28"/>
  <c r="H582" i="28"/>
  <c r="G582" i="28"/>
  <c r="F582" i="28"/>
  <c r="J581" i="28"/>
  <c r="I581" i="28"/>
  <c r="H581" i="28"/>
  <c r="G581" i="28"/>
  <c r="F581" i="28"/>
  <c r="J580" i="28"/>
  <c r="I580" i="28"/>
  <c r="H580" i="28"/>
  <c r="G580" i="28"/>
  <c r="F580" i="28"/>
  <c r="J579" i="28"/>
  <c r="I579" i="28"/>
  <c r="H579" i="28"/>
  <c r="G579" i="28"/>
  <c r="F579" i="28"/>
  <c r="J578" i="28"/>
  <c r="I578" i="28"/>
  <c r="H578" i="28"/>
  <c r="G578" i="28"/>
  <c r="F578" i="28"/>
  <c r="J577" i="28"/>
  <c r="I577" i="28"/>
  <c r="H577" i="28"/>
  <c r="G577" i="28"/>
  <c r="F577" i="28"/>
  <c r="J576" i="28"/>
  <c r="I576" i="28"/>
  <c r="H576" i="28"/>
  <c r="G576" i="28"/>
  <c r="F576" i="28"/>
  <c r="J575" i="28"/>
  <c r="I575" i="28"/>
  <c r="H575" i="28"/>
  <c r="G575" i="28"/>
  <c r="F575" i="28"/>
  <c r="J574" i="28"/>
  <c r="I574" i="28"/>
  <c r="H574" i="28"/>
  <c r="G574" i="28"/>
  <c r="F574" i="28"/>
  <c r="J573" i="28"/>
  <c r="I573" i="28"/>
  <c r="H573" i="28"/>
  <c r="G573" i="28"/>
  <c r="F573" i="28"/>
  <c r="J572" i="28"/>
  <c r="I572" i="28"/>
  <c r="H572" i="28"/>
  <c r="G572" i="28"/>
  <c r="F572" i="28"/>
  <c r="J571" i="28"/>
  <c r="I571" i="28"/>
  <c r="H571" i="28"/>
  <c r="G571" i="28"/>
  <c r="F571" i="28"/>
  <c r="J570" i="28"/>
  <c r="I570" i="28"/>
  <c r="H570" i="28"/>
  <c r="G570" i="28"/>
  <c r="F570" i="28"/>
  <c r="J569" i="28"/>
  <c r="I569" i="28"/>
  <c r="H569" i="28"/>
  <c r="G569" i="28"/>
  <c r="F569" i="28"/>
  <c r="J568" i="28"/>
  <c r="I568" i="28"/>
  <c r="H568" i="28"/>
  <c r="G568" i="28"/>
  <c r="F568" i="28"/>
  <c r="J567" i="28"/>
  <c r="I567" i="28"/>
  <c r="H567" i="28"/>
  <c r="G567" i="28"/>
  <c r="F567" i="28"/>
  <c r="J566" i="28"/>
  <c r="I566" i="28"/>
  <c r="H566" i="28"/>
  <c r="G566" i="28"/>
  <c r="F566" i="28"/>
  <c r="J565" i="28"/>
  <c r="I565" i="28"/>
  <c r="H565" i="28"/>
  <c r="G565" i="28"/>
  <c r="F565" i="28"/>
  <c r="J564" i="28"/>
  <c r="I564" i="28"/>
  <c r="H564" i="28"/>
  <c r="G564" i="28"/>
  <c r="F564" i="28"/>
  <c r="J563" i="28"/>
  <c r="I563" i="28"/>
  <c r="H563" i="28"/>
  <c r="G563" i="28"/>
  <c r="F563" i="28"/>
  <c r="J562" i="28"/>
  <c r="I562" i="28"/>
  <c r="H562" i="28"/>
  <c r="G562" i="28"/>
  <c r="F562" i="28"/>
  <c r="J561" i="28"/>
  <c r="I561" i="28"/>
  <c r="H561" i="28"/>
  <c r="G561" i="28"/>
  <c r="F561" i="28"/>
  <c r="J560" i="28"/>
  <c r="I560" i="28"/>
  <c r="H560" i="28"/>
  <c r="G560" i="28"/>
  <c r="F560" i="28"/>
  <c r="J559" i="28"/>
  <c r="I559" i="28"/>
  <c r="H559" i="28"/>
  <c r="G559" i="28"/>
  <c r="F559" i="28"/>
  <c r="J558" i="28"/>
  <c r="I558" i="28"/>
  <c r="H558" i="28"/>
  <c r="G558" i="28"/>
  <c r="F558" i="28"/>
  <c r="J557" i="28"/>
  <c r="I557" i="28"/>
  <c r="H557" i="28"/>
  <c r="G557" i="28"/>
  <c r="F557" i="28"/>
  <c r="J556" i="28"/>
  <c r="I556" i="28"/>
  <c r="H556" i="28"/>
  <c r="G556" i="28"/>
  <c r="F556" i="28"/>
  <c r="J555" i="28"/>
  <c r="I555" i="28"/>
  <c r="H555" i="28"/>
  <c r="G555" i="28"/>
  <c r="F555" i="28"/>
  <c r="J554" i="28"/>
  <c r="I554" i="28"/>
  <c r="H554" i="28"/>
  <c r="G554" i="28"/>
  <c r="F554" i="28"/>
  <c r="J553" i="28"/>
  <c r="I553" i="28"/>
  <c r="H553" i="28"/>
  <c r="G553" i="28"/>
  <c r="F553" i="28"/>
  <c r="J552" i="28"/>
  <c r="I552" i="28"/>
  <c r="H552" i="28"/>
  <c r="G552" i="28"/>
  <c r="F552" i="28"/>
  <c r="J551" i="28"/>
  <c r="I551" i="28"/>
  <c r="H551" i="28"/>
  <c r="G551" i="28"/>
  <c r="F551" i="28"/>
  <c r="J550" i="28"/>
  <c r="I550" i="28"/>
  <c r="H550" i="28"/>
  <c r="G550" i="28"/>
  <c r="F550" i="28"/>
  <c r="J549" i="28"/>
  <c r="I549" i="28"/>
  <c r="H549" i="28"/>
  <c r="G549" i="28"/>
  <c r="F549" i="28"/>
  <c r="J548" i="28"/>
  <c r="I548" i="28"/>
  <c r="H548" i="28"/>
  <c r="G548" i="28"/>
  <c r="F548" i="28"/>
  <c r="J547" i="28"/>
  <c r="I547" i="28"/>
  <c r="H547" i="28"/>
  <c r="G547" i="28"/>
  <c r="F547" i="28"/>
  <c r="J546" i="28"/>
  <c r="I546" i="28"/>
  <c r="H546" i="28"/>
  <c r="G546" i="28"/>
  <c r="F546" i="28"/>
  <c r="J545" i="28"/>
  <c r="I545" i="28"/>
  <c r="H545" i="28"/>
  <c r="G545" i="28"/>
  <c r="F545" i="28"/>
  <c r="J544" i="28"/>
  <c r="I544" i="28"/>
  <c r="H544" i="28"/>
  <c r="G544" i="28"/>
  <c r="F544" i="28"/>
  <c r="J543" i="28"/>
  <c r="I543" i="28"/>
  <c r="H543" i="28"/>
  <c r="G543" i="28"/>
  <c r="F543" i="28"/>
  <c r="J542" i="28"/>
  <c r="I542" i="28"/>
  <c r="H542" i="28"/>
  <c r="G542" i="28"/>
  <c r="F542" i="28"/>
  <c r="J541" i="28"/>
  <c r="I541" i="28"/>
  <c r="H541" i="28"/>
  <c r="G541" i="28"/>
  <c r="F541" i="28"/>
  <c r="J540" i="28"/>
  <c r="I540" i="28"/>
  <c r="H540" i="28"/>
  <c r="G540" i="28"/>
  <c r="F540" i="28"/>
  <c r="J539" i="28"/>
  <c r="I539" i="28"/>
  <c r="H539" i="28"/>
  <c r="G539" i="28"/>
  <c r="F539" i="28"/>
  <c r="J538" i="28"/>
  <c r="I538" i="28"/>
  <c r="H538" i="28"/>
  <c r="G538" i="28"/>
  <c r="F538" i="28"/>
  <c r="J537" i="28"/>
  <c r="I537" i="28"/>
  <c r="H537" i="28"/>
  <c r="G537" i="28"/>
  <c r="F537" i="28"/>
  <c r="J536" i="28"/>
  <c r="I536" i="28"/>
  <c r="H536" i="28"/>
  <c r="G536" i="28"/>
  <c r="F536" i="28"/>
  <c r="J535" i="28"/>
  <c r="I535" i="28"/>
  <c r="H535" i="28"/>
  <c r="G535" i="28"/>
  <c r="F535" i="28"/>
  <c r="J534" i="28"/>
  <c r="I534" i="28"/>
  <c r="H534" i="28"/>
  <c r="G534" i="28"/>
  <c r="F534" i="28"/>
  <c r="J533" i="28"/>
  <c r="I533" i="28"/>
  <c r="H533" i="28"/>
  <c r="G533" i="28"/>
  <c r="F533" i="28"/>
  <c r="J532" i="28"/>
  <c r="I532" i="28"/>
  <c r="H532" i="28"/>
  <c r="G532" i="28"/>
  <c r="F532" i="28"/>
  <c r="J531" i="28"/>
  <c r="I531" i="28"/>
  <c r="H531" i="28"/>
  <c r="G531" i="28"/>
  <c r="F531" i="28"/>
  <c r="J530" i="28"/>
  <c r="I530" i="28"/>
  <c r="H530" i="28"/>
  <c r="G530" i="28"/>
  <c r="F530" i="28"/>
  <c r="J529" i="28"/>
  <c r="I529" i="28"/>
  <c r="H529" i="28"/>
  <c r="G529" i="28"/>
  <c r="F529" i="28"/>
  <c r="J528" i="28"/>
  <c r="I528" i="28"/>
  <c r="H528" i="28"/>
  <c r="G528" i="28"/>
  <c r="F528" i="28"/>
  <c r="J527" i="28"/>
  <c r="I527" i="28"/>
  <c r="H527" i="28"/>
  <c r="G527" i="28"/>
  <c r="F527" i="28"/>
  <c r="J526" i="28"/>
  <c r="I526" i="28"/>
  <c r="H526" i="28"/>
  <c r="G526" i="28"/>
  <c r="F526" i="28"/>
  <c r="J525" i="28"/>
  <c r="I525" i="28"/>
  <c r="H525" i="28"/>
  <c r="G525" i="28"/>
  <c r="F525" i="28"/>
  <c r="J524" i="28"/>
  <c r="I524" i="28"/>
  <c r="H524" i="28"/>
  <c r="G524" i="28"/>
  <c r="F524" i="28"/>
  <c r="J523" i="28"/>
  <c r="I523" i="28"/>
  <c r="H523" i="28"/>
  <c r="G523" i="28"/>
  <c r="F523" i="28"/>
  <c r="J522" i="28"/>
  <c r="I522" i="28"/>
  <c r="H522" i="28"/>
  <c r="G522" i="28"/>
  <c r="F522" i="28"/>
  <c r="J521" i="28"/>
  <c r="I521" i="28"/>
  <c r="H521" i="28"/>
  <c r="G521" i="28"/>
  <c r="F521" i="28"/>
  <c r="J520" i="28"/>
  <c r="I520" i="28"/>
  <c r="H520" i="28"/>
  <c r="G520" i="28"/>
  <c r="F520" i="28"/>
  <c r="J519" i="28"/>
  <c r="I519" i="28"/>
  <c r="H519" i="28"/>
  <c r="G519" i="28"/>
  <c r="F519" i="28"/>
  <c r="J518" i="28"/>
  <c r="I518" i="28"/>
  <c r="H518" i="28"/>
  <c r="G518" i="28"/>
  <c r="F518" i="28"/>
  <c r="J517" i="28"/>
  <c r="I517" i="28"/>
  <c r="H517" i="28"/>
  <c r="G517" i="28"/>
  <c r="F517" i="28"/>
  <c r="J516" i="28"/>
  <c r="I516" i="28"/>
  <c r="H516" i="28"/>
  <c r="G516" i="28"/>
  <c r="F516" i="28"/>
  <c r="J515" i="28"/>
  <c r="I515" i="28"/>
  <c r="H515" i="28"/>
  <c r="G515" i="28"/>
  <c r="F515" i="28"/>
  <c r="J514" i="28"/>
  <c r="I514" i="28"/>
  <c r="H514" i="28"/>
  <c r="G514" i="28"/>
  <c r="F514" i="28"/>
  <c r="J513" i="28"/>
  <c r="I513" i="28"/>
  <c r="H513" i="28"/>
  <c r="G513" i="28"/>
  <c r="F513" i="28"/>
  <c r="J512" i="28"/>
  <c r="I512" i="28"/>
  <c r="H512" i="28"/>
  <c r="G512" i="28"/>
  <c r="F512" i="28"/>
  <c r="J511" i="28"/>
  <c r="I511" i="28"/>
  <c r="H511" i="28"/>
  <c r="G511" i="28"/>
  <c r="F511" i="28"/>
  <c r="J510" i="28"/>
  <c r="I510" i="28"/>
  <c r="H510" i="28"/>
  <c r="G510" i="28"/>
  <c r="F510" i="28"/>
  <c r="J509" i="28"/>
  <c r="I509" i="28"/>
  <c r="H509" i="28"/>
  <c r="G509" i="28"/>
  <c r="F509" i="28"/>
  <c r="J508" i="28"/>
  <c r="I508" i="28"/>
  <c r="H508" i="28"/>
  <c r="G508" i="28"/>
  <c r="F508" i="28"/>
  <c r="J507" i="28"/>
  <c r="I507" i="28"/>
  <c r="H507" i="28"/>
  <c r="G507" i="28"/>
  <c r="F507" i="28"/>
  <c r="J506" i="28"/>
  <c r="I506" i="28"/>
  <c r="H506" i="28"/>
  <c r="G506" i="28"/>
  <c r="F506" i="28"/>
  <c r="J505" i="28"/>
  <c r="I505" i="28"/>
  <c r="H505" i="28"/>
  <c r="G505" i="28"/>
  <c r="F505" i="28"/>
  <c r="J504" i="28"/>
  <c r="I504" i="28"/>
  <c r="H504" i="28"/>
  <c r="G504" i="28"/>
  <c r="F504" i="28"/>
  <c r="J503" i="28"/>
  <c r="I503" i="28"/>
  <c r="H503" i="28"/>
  <c r="G503" i="28"/>
  <c r="F503" i="28"/>
  <c r="J502" i="28"/>
  <c r="I502" i="28"/>
  <c r="H502" i="28"/>
  <c r="G502" i="28"/>
  <c r="F502" i="28"/>
  <c r="J501" i="28"/>
  <c r="I501" i="28"/>
  <c r="H501" i="28"/>
  <c r="G501" i="28"/>
  <c r="F501" i="28"/>
  <c r="J500" i="28"/>
  <c r="I500" i="28"/>
  <c r="H500" i="28"/>
  <c r="G500" i="28"/>
  <c r="F500" i="28"/>
  <c r="J499" i="28"/>
  <c r="I499" i="28"/>
  <c r="H499" i="28"/>
  <c r="G499" i="28"/>
  <c r="F499" i="28"/>
  <c r="J498" i="28"/>
  <c r="I498" i="28"/>
  <c r="H498" i="28"/>
  <c r="G498" i="28"/>
  <c r="F498" i="28"/>
  <c r="J497" i="28"/>
  <c r="I497" i="28"/>
  <c r="H497" i="28"/>
  <c r="G497" i="28"/>
  <c r="F497" i="28"/>
  <c r="J496" i="28"/>
  <c r="I496" i="28"/>
  <c r="H496" i="28"/>
  <c r="G496" i="28"/>
  <c r="F496" i="28"/>
  <c r="J495" i="28"/>
  <c r="I495" i="28"/>
  <c r="H495" i="28"/>
  <c r="G495" i="28"/>
  <c r="F495" i="28"/>
  <c r="J494" i="28"/>
  <c r="I494" i="28"/>
  <c r="H494" i="28"/>
  <c r="G494" i="28"/>
  <c r="F494" i="28"/>
  <c r="J493" i="28"/>
  <c r="I493" i="28"/>
  <c r="H493" i="28"/>
  <c r="G493" i="28"/>
  <c r="F493" i="28"/>
  <c r="J492" i="28"/>
  <c r="I492" i="28"/>
  <c r="H492" i="28"/>
  <c r="G492" i="28"/>
  <c r="F492" i="28"/>
  <c r="J491" i="28"/>
  <c r="I491" i="28"/>
  <c r="H491" i="28"/>
  <c r="G491" i="28"/>
  <c r="F491" i="28"/>
  <c r="J490" i="28"/>
  <c r="I490" i="28"/>
  <c r="H490" i="28"/>
  <c r="G490" i="28"/>
  <c r="F490" i="28"/>
  <c r="J489" i="28"/>
  <c r="I489" i="28"/>
  <c r="H489" i="28"/>
  <c r="G489" i="28"/>
  <c r="F489" i="28"/>
  <c r="J488" i="28"/>
  <c r="I488" i="28"/>
  <c r="H488" i="28"/>
  <c r="G488" i="28"/>
  <c r="F488" i="28"/>
  <c r="J487" i="28"/>
  <c r="I487" i="28"/>
  <c r="H487" i="28"/>
  <c r="G487" i="28"/>
  <c r="F487" i="28"/>
  <c r="J486" i="28"/>
  <c r="I486" i="28"/>
  <c r="H486" i="28"/>
  <c r="G486" i="28"/>
  <c r="F486" i="28"/>
  <c r="J485" i="28"/>
  <c r="I485" i="28"/>
  <c r="H485" i="28"/>
  <c r="G485" i="28"/>
  <c r="F485" i="28"/>
  <c r="J484" i="28"/>
  <c r="I484" i="28"/>
  <c r="H484" i="28"/>
  <c r="G484" i="28"/>
  <c r="F484" i="28"/>
  <c r="J483" i="28"/>
  <c r="I483" i="28"/>
  <c r="H483" i="28"/>
  <c r="G483" i="28"/>
  <c r="F483" i="28"/>
  <c r="J482" i="28"/>
  <c r="I482" i="28"/>
  <c r="H482" i="28"/>
  <c r="G482" i="28"/>
  <c r="F482" i="28"/>
  <c r="J481" i="28"/>
  <c r="I481" i="28"/>
  <c r="H481" i="28"/>
  <c r="G481" i="28"/>
  <c r="F481" i="28"/>
  <c r="J480" i="28"/>
  <c r="I480" i="28"/>
  <c r="H480" i="28"/>
  <c r="G480" i="28"/>
  <c r="F480" i="28"/>
  <c r="J479" i="28"/>
  <c r="I479" i="28"/>
  <c r="H479" i="28"/>
  <c r="G479" i="28"/>
  <c r="F479" i="28"/>
  <c r="J478" i="28"/>
  <c r="I478" i="28"/>
  <c r="H478" i="28"/>
  <c r="G478" i="28"/>
  <c r="F478" i="28"/>
  <c r="J477" i="28"/>
  <c r="I477" i="28"/>
  <c r="H477" i="28"/>
  <c r="G477" i="28"/>
  <c r="F477" i="28"/>
  <c r="J476" i="28"/>
  <c r="I476" i="28"/>
  <c r="H476" i="28"/>
  <c r="G476" i="28"/>
  <c r="F476" i="28"/>
  <c r="J475" i="28"/>
  <c r="I475" i="28"/>
  <c r="H475" i="28"/>
  <c r="G475" i="28"/>
  <c r="F475" i="28"/>
  <c r="J474" i="28"/>
  <c r="I474" i="28"/>
  <c r="H474" i="28"/>
  <c r="G474" i="28"/>
  <c r="F474" i="28"/>
  <c r="J473" i="28"/>
  <c r="I473" i="28"/>
  <c r="H473" i="28"/>
  <c r="G473" i="28"/>
  <c r="F473" i="28"/>
  <c r="J472" i="28"/>
  <c r="I472" i="28"/>
  <c r="H472" i="28"/>
  <c r="G472" i="28"/>
  <c r="F472" i="28"/>
  <c r="J471" i="28"/>
  <c r="I471" i="28"/>
  <c r="H471" i="28"/>
  <c r="G471" i="28"/>
  <c r="F471" i="28"/>
  <c r="J470" i="28"/>
  <c r="I470" i="28"/>
  <c r="H470" i="28"/>
  <c r="G470" i="28"/>
  <c r="F470" i="28"/>
  <c r="J469" i="28"/>
  <c r="I469" i="28"/>
  <c r="H469" i="28"/>
  <c r="G469" i="28"/>
  <c r="F469" i="28"/>
  <c r="J468" i="28"/>
  <c r="I468" i="28"/>
  <c r="H468" i="28"/>
  <c r="G468" i="28"/>
  <c r="F468" i="28"/>
  <c r="J467" i="28"/>
  <c r="I467" i="28"/>
  <c r="H467" i="28"/>
  <c r="G467" i="28"/>
  <c r="F467" i="28"/>
  <c r="J466" i="28"/>
  <c r="I466" i="28"/>
  <c r="H466" i="28"/>
  <c r="G466" i="28"/>
  <c r="F466" i="28"/>
  <c r="J465" i="28"/>
  <c r="I465" i="28"/>
  <c r="H465" i="28"/>
  <c r="G465" i="28"/>
  <c r="F465" i="28"/>
  <c r="J464" i="28"/>
  <c r="I464" i="28"/>
  <c r="H464" i="28"/>
  <c r="G464" i="28"/>
  <c r="F464" i="28"/>
  <c r="J463" i="28"/>
  <c r="I463" i="28"/>
  <c r="H463" i="28"/>
  <c r="G463" i="28"/>
  <c r="F463" i="28"/>
  <c r="J462" i="28"/>
  <c r="I462" i="28"/>
  <c r="H462" i="28"/>
  <c r="G462" i="28"/>
  <c r="F462" i="28"/>
  <c r="J461" i="28"/>
  <c r="I461" i="28"/>
  <c r="H461" i="28"/>
  <c r="G461" i="28"/>
  <c r="F461" i="28"/>
  <c r="J460" i="28"/>
  <c r="I460" i="28"/>
  <c r="H460" i="28"/>
  <c r="G460" i="28"/>
  <c r="F460" i="28"/>
  <c r="J459" i="28"/>
  <c r="I459" i="28"/>
  <c r="H459" i="28"/>
  <c r="G459" i="28"/>
  <c r="F459" i="28"/>
  <c r="J458" i="28"/>
  <c r="I458" i="28"/>
  <c r="H458" i="28"/>
  <c r="G458" i="28"/>
  <c r="F458" i="28"/>
  <c r="J457" i="28"/>
  <c r="I457" i="28"/>
  <c r="H457" i="28"/>
  <c r="G457" i="28"/>
  <c r="F457" i="28"/>
  <c r="J456" i="28"/>
  <c r="I456" i="28"/>
  <c r="H456" i="28"/>
  <c r="G456" i="28"/>
  <c r="F456" i="28"/>
  <c r="J455" i="28"/>
  <c r="I455" i="28"/>
  <c r="H455" i="28"/>
  <c r="G455" i="28"/>
  <c r="F455" i="28"/>
  <c r="J454" i="28"/>
  <c r="I454" i="28"/>
  <c r="H454" i="28"/>
  <c r="G454" i="28"/>
  <c r="F454" i="28"/>
  <c r="J453" i="28"/>
  <c r="I453" i="28"/>
  <c r="H453" i="28"/>
  <c r="G453" i="28"/>
  <c r="F453" i="28"/>
  <c r="J452" i="28"/>
  <c r="I452" i="28"/>
  <c r="H452" i="28"/>
  <c r="G452" i="28"/>
  <c r="F452" i="28"/>
  <c r="J451" i="28"/>
  <c r="I451" i="28"/>
  <c r="H451" i="28"/>
  <c r="G451" i="28"/>
  <c r="F451" i="28"/>
  <c r="J450" i="28"/>
  <c r="I450" i="28"/>
  <c r="H450" i="28"/>
  <c r="G450" i="28"/>
  <c r="F450" i="28"/>
  <c r="J449" i="28"/>
  <c r="I449" i="28"/>
  <c r="H449" i="28"/>
  <c r="G449" i="28"/>
  <c r="F449" i="28"/>
  <c r="J448" i="28"/>
  <c r="I448" i="28"/>
  <c r="H448" i="28"/>
  <c r="G448" i="28"/>
  <c r="F448" i="28"/>
  <c r="J447" i="28"/>
  <c r="I447" i="28"/>
  <c r="H447" i="28"/>
  <c r="G447" i="28"/>
  <c r="F447" i="28"/>
  <c r="J446" i="28"/>
  <c r="I446" i="28"/>
  <c r="H446" i="28"/>
  <c r="G446" i="28"/>
  <c r="F446" i="28"/>
  <c r="J445" i="28"/>
  <c r="I445" i="28"/>
  <c r="H445" i="28"/>
  <c r="G445" i="28"/>
  <c r="F445" i="28"/>
  <c r="J444" i="28"/>
  <c r="I444" i="28"/>
  <c r="H444" i="28"/>
  <c r="G444" i="28"/>
  <c r="F444" i="28"/>
  <c r="J443" i="28"/>
  <c r="I443" i="28"/>
  <c r="H443" i="28"/>
  <c r="G443" i="28"/>
  <c r="F443" i="28"/>
  <c r="J442" i="28"/>
  <c r="I442" i="28"/>
  <c r="H442" i="28"/>
  <c r="G442" i="28"/>
  <c r="F442" i="28"/>
  <c r="J441" i="28"/>
  <c r="I441" i="28"/>
  <c r="H441" i="28"/>
  <c r="G441" i="28"/>
  <c r="F441" i="28"/>
  <c r="J440" i="28"/>
  <c r="I440" i="28"/>
  <c r="H440" i="28"/>
  <c r="G440" i="28"/>
  <c r="F440" i="28"/>
  <c r="J439" i="28"/>
  <c r="I439" i="28"/>
  <c r="H439" i="28"/>
  <c r="G439" i="28"/>
  <c r="F439" i="28"/>
  <c r="J438" i="28"/>
  <c r="I438" i="28"/>
  <c r="H438" i="28"/>
  <c r="G438" i="28"/>
  <c r="F438" i="28"/>
  <c r="J437" i="28"/>
  <c r="I437" i="28"/>
  <c r="H437" i="28"/>
  <c r="G437" i="28"/>
  <c r="F437" i="28"/>
  <c r="J436" i="28"/>
  <c r="I436" i="28"/>
  <c r="H436" i="28"/>
  <c r="G436" i="28"/>
  <c r="F436" i="28"/>
  <c r="J435" i="28"/>
  <c r="I435" i="28"/>
  <c r="H435" i="28"/>
  <c r="G435" i="28"/>
  <c r="F435" i="28"/>
  <c r="J434" i="28"/>
  <c r="I434" i="28"/>
  <c r="H434" i="28"/>
  <c r="G434" i="28"/>
  <c r="F434" i="28"/>
  <c r="J433" i="28"/>
  <c r="I433" i="28"/>
  <c r="H433" i="28"/>
  <c r="G433" i="28"/>
  <c r="F433" i="28"/>
  <c r="J432" i="28"/>
  <c r="I432" i="28"/>
  <c r="H432" i="28"/>
  <c r="G432" i="28"/>
  <c r="F432" i="28"/>
  <c r="J431" i="28"/>
  <c r="I431" i="28"/>
  <c r="H431" i="28"/>
  <c r="G431" i="28"/>
  <c r="F431" i="28"/>
  <c r="J430" i="28"/>
  <c r="I430" i="28"/>
  <c r="H430" i="28"/>
  <c r="G430" i="28"/>
  <c r="F430" i="28"/>
  <c r="J429" i="28"/>
  <c r="I429" i="28"/>
  <c r="H429" i="28"/>
  <c r="G429" i="28"/>
  <c r="F429" i="28"/>
  <c r="J428" i="28"/>
  <c r="I428" i="28"/>
  <c r="H428" i="28"/>
  <c r="G428" i="28"/>
  <c r="F428" i="28"/>
  <c r="J427" i="28"/>
  <c r="I427" i="28"/>
  <c r="H427" i="28"/>
  <c r="G427" i="28"/>
  <c r="F427" i="28"/>
  <c r="J426" i="28"/>
  <c r="I426" i="28"/>
  <c r="H426" i="28"/>
  <c r="G426" i="28"/>
  <c r="F426" i="28"/>
  <c r="J425" i="28"/>
  <c r="I425" i="28"/>
  <c r="H425" i="28"/>
  <c r="G425" i="28"/>
  <c r="F425" i="28"/>
  <c r="J424" i="28"/>
  <c r="I424" i="28"/>
  <c r="H424" i="28"/>
  <c r="G424" i="28"/>
  <c r="F424" i="28"/>
  <c r="J423" i="28"/>
  <c r="I423" i="28"/>
  <c r="H423" i="28"/>
  <c r="G423" i="28"/>
  <c r="F423" i="28"/>
  <c r="J422" i="28"/>
  <c r="I422" i="28"/>
  <c r="H422" i="28"/>
  <c r="G422" i="28"/>
  <c r="F422" i="28"/>
  <c r="J421" i="28"/>
  <c r="I421" i="28"/>
  <c r="H421" i="28"/>
  <c r="G421" i="28"/>
  <c r="F421" i="28"/>
  <c r="J420" i="28"/>
  <c r="I420" i="28"/>
  <c r="H420" i="28"/>
  <c r="G420" i="28"/>
  <c r="F420" i="28"/>
  <c r="J419" i="28"/>
  <c r="I419" i="28"/>
  <c r="H419" i="28"/>
  <c r="G419" i="28"/>
  <c r="F419" i="28"/>
  <c r="J418" i="28"/>
  <c r="I418" i="28"/>
  <c r="H418" i="28"/>
  <c r="G418" i="28"/>
  <c r="F418" i="28"/>
  <c r="J417" i="28"/>
  <c r="I417" i="28"/>
  <c r="H417" i="28"/>
  <c r="G417" i="28"/>
  <c r="F417" i="28"/>
  <c r="J416" i="28"/>
  <c r="I416" i="28"/>
  <c r="H416" i="28"/>
  <c r="G416" i="28"/>
  <c r="F416" i="28"/>
  <c r="J415" i="28"/>
  <c r="I415" i="28"/>
  <c r="H415" i="28"/>
  <c r="G415" i="28"/>
  <c r="F415" i="28"/>
  <c r="J414" i="28"/>
  <c r="I414" i="28"/>
  <c r="H414" i="28"/>
  <c r="G414" i="28"/>
  <c r="F414" i="28"/>
  <c r="J413" i="28"/>
  <c r="I413" i="28"/>
  <c r="H413" i="28"/>
  <c r="G413" i="28"/>
  <c r="F413" i="28"/>
  <c r="J412" i="28"/>
  <c r="I412" i="28"/>
  <c r="H412" i="28"/>
  <c r="G412" i="28"/>
  <c r="F412" i="28"/>
  <c r="J411" i="28"/>
  <c r="I411" i="28"/>
  <c r="H411" i="28"/>
  <c r="G411" i="28"/>
  <c r="F411" i="28"/>
  <c r="J410" i="28"/>
  <c r="I410" i="28"/>
  <c r="H410" i="28"/>
  <c r="G410" i="28"/>
  <c r="F410" i="28"/>
  <c r="J409" i="28"/>
  <c r="I409" i="28"/>
  <c r="H409" i="28"/>
  <c r="G409" i="28"/>
  <c r="F409" i="28"/>
  <c r="J408" i="28"/>
  <c r="I408" i="28"/>
  <c r="H408" i="28"/>
  <c r="G408" i="28"/>
  <c r="F408" i="28"/>
  <c r="J407" i="28"/>
  <c r="I407" i="28"/>
  <c r="H407" i="28"/>
  <c r="G407" i="28"/>
  <c r="F407" i="28"/>
  <c r="J406" i="28"/>
  <c r="I406" i="28"/>
  <c r="H406" i="28"/>
  <c r="G406" i="28"/>
  <c r="F406" i="28"/>
  <c r="T186" i="25" s="1"/>
  <c r="F186" i="25" s="1"/>
  <c r="J405" i="28"/>
  <c r="I405" i="28"/>
  <c r="H405" i="28"/>
  <c r="G405" i="28"/>
  <c r="F405" i="28"/>
  <c r="J404" i="28"/>
  <c r="I404" i="28"/>
  <c r="H404" i="28"/>
  <c r="G404" i="28"/>
  <c r="F404" i="28"/>
  <c r="J403" i="28"/>
  <c r="I403" i="28"/>
  <c r="H403" i="28"/>
  <c r="G403" i="28"/>
  <c r="F403" i="28"/>
  <c r="J402" i="28"/>
  <c r="I402" i="28"/>
  <c r="H402" i="28"/>
  <c r="G402" i="28"/>
  <c r="F402" i="28"/>
  <c r="J401" i="28"/>
  <c r="I401" i="28"/>
  <c r="H401" i="28"/>
  <c r="G401" i="28"/>
  <c r="F401" i="28"/>
  <c r="J400" i="28"/>
  <c r="I400" i="28"/>
  <c r="H400" i="28"/>
  <c r="G400" i="28"/>
  <c r="F400" i="28"/>
  <c r="J399" i="28"/>
  <c r="I399" i="28"/>
  <c r="H399" i="28"/>
  <c r="G399" i="28"/>
  <c r="F399" i="28"/>
  <c r="J398" i="28"/>
  <c r="I398" i="28"/>
  <c r="H398" i="28"/>
  <c r="G398" i="28"/>
  <c r="F398" i="28"/>
  <c r="J397" i="28"/>
  <c r="I397" i="28"/>
  <c r="H397" i="28"/>
  <c r="G397" i="28"/>
  <c r="F397" i="28"/>
  <c r="J396" i="28"/>
  <c r="I396" i="28"/>
  <c r="H396" i="28"/>
  <c r="G396" i="28"/>
  <c r="F396" i="28"/>
  <c r="J395" i="28"/>
  <c r="I395" i="28"/>
  <c r="H395" i="28"/>
  <c r="G395" i="28"/>
  <c r="F395" i="28"/>
  <c r="J394" i="28"/>
  <c r="I394" i="28"/>
  <c r="H394" i="28"/>
  <c r="G394" i="28"/>
  <c r="F394" i="28"/>
  <c r="J393" i="28"/>
  <c r="I393" i="28"/>
  <c r="H393" i="28"/>
  <c r="G393" i="28"/>
  <c r="F393" i="28"/>
  <c r="J392" i="28"/>
  <c r="I392" i="28"/>
  <c r="H392" i="28"/>
  <c r="G392" i="28"/>
  <c r="F392" i="28"/>
  <c r="J391" i="28"/>
  <c r="I391" i="28"/>
  <c r="H391" i="28"/>
  <c r="G391" i="28"/>
  <c r="F391" i="28"/>
  <c r="J390" i="28"/>
  <c r="I390" i="28"/>
  <c r="H390" i="28"/>
  <c r="G390" i="28"/>
  <c r="F390" i="28"/>
  <c r="J389" i="28"/>
  <c r="I389" i="28"/>
  <c r="H389" i="28"/>
  <c r="G389" i="28"/>
  <c r="F389" i="28"/>
  <c r="J388" i="28"/>
  <c r="I388" i="28"/>
  <c r="H388" i="28"/>
  <c r="G388" i="28"/>
  <c r="F388" i="28"/>
  <c r="J387" i="28"/>
  <c r="I387" i="28"/>
  <c r="H387" i="28"/>
  <c r="G387" i="28"/>
  <c r="F387" i="28"/>
  <c r="J386" i="28"/>
  <c r="I386" i="28"/>
  <c r="H386" i="28"/>
  <c r="G386" i="28"/>
  <c r="F386" i="28"/>
  <c r="J385" i="28"/>
  <c r="I385" i="28"/>
  <c r="H385" i="28"/>
  <c r="G385" i="28"/>
  <c r="F385" i="28"/>
  <c r="J384" i="28"/>
  <c r="I384" i="28"/>
  <c r="H384" i="28"/>
  <c r="G384" i="28"/>
  <c r="F384" i="28"/>
  <c r="J383" i="28"/>
  <c r="I383" i="28"/>
  <c r="H383" i="28"/>
  <c r="G383" i="28"/>
  <c r="F383" i="28"/>
  <c r="J382" i="28"/>
  <c r="I382" i="28"/>
  <c r="H382" i="28"/>
  <c r="G382" i="28"/>
  <c r="F382" i="28"/>
  <c r="J381" i="28"/>
  <c r="I381" i="28"/>
  <c r="H381" i="28"/>
  <c r="G381" i="28"/>
  <c r="F381" i="28"/>
  <c r="J380" i="28"/>
  <c r="I380" i="28"/>
  <c r="H380" i="28"/>
  <c r="G380" i="28"/>
  <c r="F380" i="28"/>
  <c r="J379" i="28"/>
  <c r="I379" i="28"/>
  <c r="H379" i="28"/>
  <c r="G379" i="28"/>
  <c r="F379" i="28"/>
  <c r="J378" i="28"/>
  <c r="I378" i="28"/>
  <c r="H378" i="28"/>
  <c r="G378" i="28"/>
  <c r="F378" i="28"/>
  <c r="J377" i="28"/>
  <c r="I377" i="28"/>
  <c r="H377" i="28"/>
  <c r="G377" i="28"/>
  <c r="F377" i="28"/>
  <c r="J376" i="28"/>
  <c r="I376" i="28"/>
  <c r="H376" i="28"/>
  <c r="G376" i="28"/>
  <c r="F376" i="28"/>
  <c r="J375" i="28"/>
  <c r="I375" i="28"/>
  <c r="H375" i="28"/>
  <c r="G375" i="28"/>
  <c r="F375" i="28"/>
  <c r="J374" i="28"/>
  <c r="I374" i="28"/>
  <c r="H374" i="28"/>
  <c r="G374" i="28"/>
  <c r="F374" i="28"/>
  <c r="J373" i="28"/>
  <c r="I373" i="28"/>
  <c r="H373" i="28"/>
  <c r="G373" i="28"/>
  <c r="F373" i="28"/>
  <c r="J372" i="28"/>
  <c r="I372" i="28"/>
  <c r="H372" i="28"/>
  <c r="G372" i="28"/>
  <c r="F372" i="28"/>
  <c r="J371" i="28"/>
  <c r="I371" i="28"/>
  <c r="H371" i="28"/>
  <c r="G371" i="28"/>
  <c r="F371" i="28"/>
  <c r="J370" i="28"/>
  <c r="I370" i="28"/>
  <c r="H370" i="28"/>
  <c r="G370" i="28"/>
  <c r="F370" i="28"/>
  <c r="J369" i="28"/>
  <c r="I369" i="28"/>
  <c r="H369" i="28"/>
  <c r="G369" i="28"/>
  <c r="F369" i="28"/>
  <c r="J368" i="28"/>
  <c r="I368" i="28"/>
  <c r="H368" i="28"/>
  <c r="G368" i="28"/>
  <c r="F368" i="28"/>
  <c r="J367" i="28"/>
  <c r="I367" i="28"/>
  <c r="H367" i="28"/>
  <c r="G367" i="28"/>
  <c r="F367" i="28"/>
  <c r="J366" i="28"/>
  <c r="I366" i="28"/>
  <c r="H366" i="28"/>
  <c r="G366" i="28"/>
  <c r="F366" i="28"/>
  <c r="J365" i="28"/>
  <c r="I365" i="28"/>
  <c r="H365" i="28"/>
  <c r="G365" i="28"/>
  <c r="F365" i="28"/>
  <c r="J364" i="28"/>
  <c r="I364" i="28"/>
  <c r="H364" i="28"/>
  <c r="G364" i="28"/>
  <c r="F364" i="28"/>
  <c r="J363" i="28"/>
  <c r="I363" i="28"/>
  <c r="H363" i="28"/>
  <c r="G363" i="28"/>
  <c r="F363" i="28"/>
  <c r="J362" i="28"/>
  <c r="I362" i="28"/>
  <c r="H362" i="28"/>
  <c r="G362" i="28"/>
  <c r="F362" i="28"/>
  <c r="J361" i="28"/>
  <c r="I361" i="28"/>
  <c r="H361" i="28"/>
  <c r="G361" i="28"/>
  <c r="F361" i="28"/>
  <c r="J360" i="28"/>
  <c r="I360" i="28"/>
  <c r="H360" i="28"/>
  <c r="G360" i="28"/>
  <c r="F360" i="28"/>
  <c r="J359" i="28"/>
  <c r="I359" i="28"/>
  <c r="H359" i="28"/>
  <c r="G359" i="28"/>
  <c r="F359" i="28"/>
  <c r="J358" i="28"/>
  <c r="I358" i="28"/>
  <c r="H358" i="28"/>
  <c r="G358" i="28"/>
  <c r="F358" i="28"/>
  <c r="J357" i="28"/>
  <c r="I357" i="28"/>
  <c r="H357" i="28"/>
  <c r="G357" i="28"/>
  <c r="F357" i="28"/>
  <c r="J356" i="28"/>
  <c r="I356" i="28"/>
  <c r="H356" i="28"/>
  <c r="G356" i="28"/>
  <c r="F356" i="28"/>
  <c r="J355" i="28"/>
  <c r="I355" i="28"/>
  <c r="H355" i="28"/>
  <c r="G355" i="28"/>
  <c r="F355" i="28"/>
  <c r="J354" i="28"/>
  <c r="I354" i="28"/>
  <c r="H354" i="28"/>
  <c r="G354" i="28"/>
  <c r="F354" i="28"/>
  <c r="J353" i="28"/>
  <c r="I353" i="28"/>
  <c r="H353" i="28"/>
  <c r="G353" i="28"/>
  <c r="F353" i="28"/>
  <c r="J352" i="28"/>
  <c r="I352" i="28"/>
  <c r="H352" i="28"/>
  <c r="G352" i="28"/>
  <c r="F352" i="28"/>
  <c r="J351" i="28"/>
  <c r="I351" i="28"/>
  <c r="H351" i="28"/>
  <c r="G351" i="28"/>
  <c r="F351" i="28"/>
  <c r="J350" i="28"/>
  <c r="I350" i="28"/>
  <c r="H350" i="28"/>
  <c r="G350" i="28"/>
  <c r="F350" i="28"/>
  <c r="J349" i="28"/>
  <c r="I349" i="28"/>
  <c r="H349" i="28"/>
  <c r="G349" i="28"/>
  <c r="F349" i="28"/>
  <c r="J348" i="28"/>
  <c r="I348" i="28"/>
  <c r="H348" i="28"/>
  <c r="G348" i="28"/>
  <c r="F348" i="28"/>
  <c r="J347" i="28"/>
  <c r="I347" i="28"/>
  <c r="H347" i="28"/>
  <c r="G347" i="28"/>
  <c r="F347" i="28"/>
  <c r="J346" i="28"/>
  <c r="I346" i="28"/>
  <c r="H346" i="28"/>
  <c r="G346" i="28"/>
  <c r="F346" i="28"/>
  <c r="J345" i="28"/>
  <c r="I345" i="28"/>
  <c r="H345" i="28"/>
  <c r="G345" i="28"/>
  <c r="F345" i="28"/>
  <c r="J344" i="28"/>
  <c r="I344" i="28"/>
  <c r="H344" i="28"/>
  <c r="G344" i="28"/>
  <c r="F344" i="28"/>
  <c r="J343" i="28"/>
  <c r="I343" i="28"/>
  <c r="H343" i="28"/>
  <c r="G343" i="28"/>
  <c r="F343" i="28"/>
  <c r="J342" i="28"/>
  <c r="I342" i="28"/>
  <c r="H342" i="28"/>
  <c r="G342" i="28"/>
  <c r="F342" i="28"/>
  <c r="J341" i="28"/>
  <c r="I341" i="28"/>
  <c r="H341" i="28"/>
  <c r="G341" i="28"/>
  <c r="F341" i="28"/>
  <c r="J340" i="28"/>
  <c r="I340" i="28"/>
  <c r="H340" i="28"/>
  <c r="G340" i="28"/>
  <c r="F340" i="28"/>
  <c r="J339" i="28"/>
  <c r="I339" i="28"/>
  <c r="H339" i="28"/>
  <c r="G339" i="28"/>
  <c r="F339" i="28"/>
  <c r="J338" i="28"/>
  <c r="I338" i="28"/>
  <c r="H338" i="28"/>
  <c r="G338" i="28"/>
  <c r="F338" i="28"/>
  <c r="J337" i="28"/>
  <c r="I337" i="28"/>
  <c r="H337" i="28"/>
  <c r="G337" i="28"/>
  <c r="F337" i="28"/>
  <c r="J336" i="28"/>
  <c r="I336" i="28"/>
  <c r="H336" i="28"/>
  <c r="G336" i="28"/>
  <c r="F336" i="28"/>
  <c r="J335" i="28"/>
  <c r="I335" i="28"/>
  <c r="H335" i="28"/>
  <c r="G335" i="28"/>
  <c r="F335" i="28"/>
  <c r="J334" i="28"/>
  <c r="I334" i="28"/>
  <c r="H334" i="28"/>
  <c r="G334" i="28"/>
  <c r="F334" i="28"/>
  <c r="J333" i="28"/>
  <c r="I333" i="28"/>
  <c r="H333" i="28"/>
  <c r="G333" i="28"/>
  <c r="F333" i="28"/>
  <c r="J332" i="28"/>
  <c r="I332" i="28"/>
  <c r="H332" i="28"/>
  <c r="G332" i="28"/>
  <c r="F332" i="28"/>
  <c r="J331" i="28"/>
  <c r="I331" i="28"/>
  <c r="H331" i="28"/>
  <c r="G331" i="28"/>
  <c r="F331" i="28"/>
  <c r="J330" i="28"/>
  <c r="I330" i="28"/>
  <c r="H330" i="28"/>
  <c r="G330" i="28"/>
  <c r="F330" i="28"/>
  <c r="J329" i="28"/>
  <c r="I329" i="28"/>
  <c r="H329" i="28"/>
  <c r="G329" i="28"/>
  <c r="F329" i="28"/>
  <c r="J328" i="28"/>
  <c r="I328" i="28"/>
  <c r="H328" i="28"/>
  <c r="G328" i="28"/>
  <c r="F328" i="28"/>
  <c r="J327" i="28"/>
  <c r="I327" i="28"/>
  <c r="H327" i="28"/>
  <c r="G327" i="28"/>
  <c r="F327" i="28"/>
  <c r="J326" i="28"/>
  <c r="I326" i="28"/>
  <c r="H326" i="28"/>
  <c r="G326" i="28"/>
  <c r="F326" i="28"/>
  <c r="J325" i="28"/>
  <c r="I325" i="28"/>
  <c r="H325" i="28"/>
  <c r="G325" i="28"/>
  <c r="F325" i="28"/>
  <c r="J324" i="28"/>
  <c r="I324" i="28"/>
  <c r="H324" i="28"/>
  <c r="G324" i="28"/>
  <c r="F324" i="28"/>
  <c r="J323" i="28"/>
  <c r="I323" i="28"/>
  <c r="H323" i="28"/>
  <c r="G323" i="28"/>
  <c r="F323" i="28"/>
  <c r="J322" i="28"/>
  <c r="I322" i="28"/>
  <c r="H322" i="28"/>
  <c r="G322" i="28"/>
  <c r="F322" i="28"/>
  <c r="J321" i="28"/>
  <c r="I321" i="28"/>
  <c r="H321" i="28"/>
  <c r="G321" i="28"/>
  <c r="F321" i="28"/>
  <c r="J320" i="28"/>
  <c r="I320" i="28"/>
  <c r="H320" i="28"/>
  <c r="G320" i="28"/>
  <c r="F320" i="28"/>
  <c r="J319" i="28"/>
  <c r="I319" i="28"/>
  <c r="H319" i="28"/>
  <c r="G319" i="28"/>
  <c r="F319" i="28"/>
  <c r="J318" i="28"/>
  <c r="I318" i="28"/>
  <c r="H318" i="28"/>
  <c r="G318" i="28"/>
  <c r="F318" i="28"/>
  <c r="J317" i="28"/>
  <c r="I317" i="28"/>
  <c r="H317" i="28"/>
  <c r="G317" i="28"/>
  <c r="F317" i="28"/>
  <c r="J316" i="28"/>
  <c r="I316" i="28"/>
  <c r="H316" i="28"/>
  <c r="G316" i="28"/>
  <c r="F316" i="28"/>
  <c r="J315" i="28"/>
  <c r="I315" i="28"/>
  <c r="H315" i="28"/>
  <c r="G315" i="28"/>
  <c r="F315" i="28"/>
  <c r="J314" i="28"/>
  <c r="I314" i="28"/>
  <c r="H314" i="28"/>
  <c r="G314" i="28"/>
  <c r="F314" i="28"/>
  <c r="J313" i="28"/>
  <c r="I313" i="28"/>
  <c r="H313" i="28"/>
  <c r="G313" i="28"/>
  <c r="F313" i="28"/>
  <c r="J312" i="28"/>
  <c r="I312" i="28"/>
  <c r="H312" i="28"/>
  <c r="G312" i="28"/>
  <c r="F312" i="28"/>
  <c r="J311" i="28"/>
  <c r="I311" i="28"/>
  <c r="H311" i="28"/>
  <c r="G311" i="28"/>
  <c r="F311" i="28"/>
  <c r="J310" i="28"/>
  <c r="I310" i="28"/>
  <c r="H310" i="28"/>
  <c r="G310" i="28"/>
  <c r="F310" i="28"/>
  <c r="J309" i="28"/>
  <c r="I309" i="28"/>
  <c r="H309" i="28"/>
  <c r="G309" i="28"/>
  <c r="F309" i="28"/>
  <c r="J308" i="28"/>
  <c r="I308" i="28"/>
  <c r="H308" i="28"/>
  <c r="G308" i="28"/>
  <c r="F308" i="28"/>
  <c r="J307" i="28"/>
  <c r="I307" i="28"/>
  <c r="H307" i="28"/>
  <c r="G307" i="28"/>
  <c r="F307" i="28"/>
  <c r="J306" i="28"/>
  <c r="I306" i="28"/>
  <c r="H306" i="28"/>
  <c r="G306" i="28"/>
  <c r="F306" i="28"/>
  <c r="J305" i="28"/>
  <c r="I305" i="28"/>
  <c r="H305" i="28"/>
  <c r="G305" i="28"/>
  <c r="F305" i="28"/>
  <c r="J304" i="28"/>
  <c r="I304" i="28"/>
  <c r="H304" i="28"/>
  <c r="G304" i="28"/>
  <c r="F304" i="28"/>
  <c r="J303" i="28"/>
  <c r="I303" i="28"/>
  <c r="H303" i="28"/>
  <c r="G303" i="28"/>
  <c r="F303" i="28"/>
  <c r="J302" i="28"/>
  <c r="I302" i="28"/>
  <c r="H302" i="28"/>
  <c r="G302" i="28"/>
  <c r="F302" i="28"/>
  <c r="J301" i="28"/>
  <c r="I301" i="28"/>
  <c r="H301" i="28"/>
  <c r="G301" i="28"/>
  <c r="F301" i="28"/>
  <c r="J300" i="28"/>
  <c r="I300" i="28"/>
  <c r="H300" i="28"/>
  <c r="G300" i="28"/>
  <c r="F300" i="28"/>
  <c r="J299" i="28"/>
  <c r="I299" i="28"/>
  <c r="H299" i="28"/>
  <c r="G299" i="28"/>
  <c r="F299" i="28"/>
  <c r="J298" i="28"/>
  <c r="I298" i="28"/>
  <c r="H298" i="28"/>
  <c r="G298" i="28"/>
  <c r="F298" i="28"/>
  <c r="J297" i="28"/>
  <c r="I297" i="28"/>
  <c r="H297" i="28"/>
  <c r="G297" i="28"/>
  <c r="F297" i="28"/>
  <c r="J296" i="28"/>
  <c r="I296" i="28"/>
  <c r="H296" i="28"/>
  <c r="G296" i="28"/>
  <c r="F296" i="28"/>
  <c r="J295" i="28"/>
  <c r="I295" i="28"/>
  <c r="H295" i="28"/>
  <c r="G295" i="28"/>
  <c r="F295" i="28"/>
  <c r="J294" i="28"/>
  <c r="I294" i="28"/>
  <c r="H294" i="28"/>
  <c r="G294" i="28"/>
  <c r="F294" i="28"/>
  <c r="J293" i="28"/>
  <c r="I293" i="28"/>
  <c r="H293" i="28"/>
  <c r="G293" i="28"/>
  <c r="F293" i="28"/>
  <c r="J292" i="28"/>
  <c r="I292" i="28"/>
  <c r="H292" i="28"/>
  <c r="G292" i="28"/>
  <c r="F292" i="28"/>
  <c r="J291" i="28"/>
  <c r="I291" i="28"/>
  <c r="H291" i="28"/>
  <c r="G291" i="28"/>
  <c r="F291" i="28"/>
  <c r="J290" i="28"/>
  <c r="I290" i="28"/>
  <c r="H290" i="28"/>
  <c r="G290" i="28"/>
  <c r="F290" i="28"/>
  <c r="J289" i="28"/>
  <c r="I289" i="28"/>
  <c r="H289" i="28"/>
  <c r="G289" i="28"/>
  <c r="F289" i="28"/>
  <c r="J288" i="28"/>
  <c r="I288" i="28"/>
  <c r="H288" i="28"/>
  <c r="G288" i="28"/>
  <c r="F288" i="28"/>
  <c r="J287" i="28"/>
  <c r="I287" i="28"/>
  <c r="H287" i="28"/>
  <c r="G287" i="28"/>
  <c r="F287" i="28"/>
  <c r="J286" i="28"/>
  <c r="I286" i="28"/>
  <c r="H286" i="28"/>
  <c r="G286" i="28"/>
  <c r="F286" i="28"/>
  <c r="J285" i="28"/>
  <c r="I285" i="28"/>
  <c r="H285" i="28"/>
  <c r="G285" i="28"/>
  <c r="F285" i="28"/>
  <c r="J284" i="28"/>
  <c r="I284" i="28"/>
  <c r="H284" i="28"/>
  <c r="G284" i="28"/>
  <c r="F284" i="28"/>
  <c r="J283" i="28"/>
  <c r="I283" i="28"/>
  <c r="H283" i="28"/>
  <c r="G283" i="28"/>
  <c r="F283" i="28"/>
  <c r="J282" i="28"/>
  <c r="I282" i="28"/>
  <c r="H282" i="28"/>
  <c r="G282" i="28"/>
  <c r="F282" i="28"/>
  <c r="J281" i="28"/>
  <c r="I281" i="28"/>
  <c r="H281" i="28"/>
  <c r="G281" i="28"/>
  <c r="F281" i="28"/>
  <c r="J280" i="28"/>
  <c r="I280" i="28"/>
  <c r="H280" i="28"/>
  <c r="G280" i="28"/>
  <c r="F280" i="28"/>
  <c r="J279" i="28"/>
  <c r="I279" i="28"/>
  <c r="H279" i="28"/>
  <c r="G279" i="28"/>
  <c r="F279" i="28"/>
  <c r="J278" i="28"/>
  <c r="I278" i="28"/>
  <c r="H278" i="28"/>
  <c r="G278" i="28"/>
  <c r="F278" i="28"/>
  <c r="J277" i="28"/>
  <c r="I277" i="28"/>
  <c r="H277" i="28"/>
  <c r="G277" i="28"/>
  <c r="F277" i="28"/>
  <c r="J276" i="28"/>
  <c r="I276" i="28"/>
  <c r="H276" i="28"/>
  <c r="G276" i="28"/>
  <c r="F276" i="28"/>
  <c r="J275" i="28"/>
  <c r="I275" i="28"/>
  <c r="H275" i="28"/>
  <c r="G275" i="28"/>
  <c r="F275" i="28"/>
  <c r="J274" i="28"/>
  <c r="I274" i="28"/>
  <c r="H274" i="28"/>
  <c r="G274" i="28"/>
  <c r="F274" i="28"/>
  <c r="J273" i="28"/>
  <c r="I273" i="28"/>
  <c r="H273" i="28"/>
  <c r="G273" i="28"/>
  <c r="F273" i="28"/>
  <c r="J272" i="28"/>
  <c r="I272" i="28"/>
  <c r="H272" i="28"/>
  <c r="G272" i="28"/>
  <c r="F272" i="28"/>
  <c r="J271" i="28"/>
  <c r="I271" i="28"/>
  <c r="H271" i="28"/>
  <c r="G271" i="28"/>
  <c r="F271" i="28"/>
  <c r="J270" i="28"/>
  <c r="I270" i="28"/>
  <c r="H270" i="28"/>
  <c r="G270" i="28"/>
  <c r="F270" i="28"/>
  <c r="J269" i="28"/>
  <c r="I269" i="28"/>
  <c r="H269" i="28"/>
  <c r="G269" i="28"/>
  <c r="F269" i="28"/>
  <c r="J268" i="28"/>
  <c r="I268" i="28"/>
  <c r="H268" i="28"/>
  <c r="G268" i="28"/>
  <c r="F268" i="28"/>
  <c r="J267" i="28"/>
  <c r="I267" i="28"/>
  <c r="H267" i="28"/>
  <c r="G267" i="28"/>
  <c r="F267" i="28"/>
  <c r="J266" i="28"/>
  <c r="I266" i="28"/>
  <c r="H266" i="28"/>
  <c r="G266" i="28"/>
  <c r="F266" i="28"/>
  <c r="J265" i="28"/>
  <c r="I265" i="28"/>
  <c r="H265" i="28"/>
  <c r="G265" i="28"/>
  <c r="F265" i="28"/>
  <c r="J264" i="28"/>
  <c r="I264" i="28"/>
  <c r="H264" i="28"/>
  <c r="G264" i="28"/>
  <c r="F264" i="28"/>
  <c r="J263" i="28"/>
  <c r="I263" i="28"/>
  <c r="H263" i="28"/>
  <c r="G263" i="28"/>
  <c r="F263" i="28"/>
  <c r="J262" i="28"/>
  <c r="I262" i="28"/>
  <c r="H262" i="28"/>
  <c r="G262" i="28"/>
  <c r="F262" i="28"/>
  <c r="J261" i="28"/>
  <c r="I261" i="28"/>
  <c r="H261" i="28"/>
  <c r="G261" i="28"/>
  <c r="F261" i="28"/>
  <c r="J260" i="28"/>
  <c r="I260" i="28"/>
  <c r="H260" i="28"/>
  <c r="G260" i="28"/>
  <c r="F260" i="28"/>
  <c r="J259" i="28"/>
  <c r="I259" i="28"/>
  <c r="H259" i="28"/>
  <c r="G259" i="28"/>
  <c r="F259" i="28"/>
  <c r="J258" i="28"/>
  <c r="I258" i="28"/>
  <c r="H258" i="28"/>
  <c r="G258" i="28"/>
  <c r="F258" i="28"/>
  <c r="J257" i="28"/>
  <c r="I257" i="28"/>
  <c r="H257" i="28"/>
  <c r="G257" i="28"/>
  <c r="F257" i="28"/>
  <c r="J256" i="28"/>
  <c r="I256" i="28"/>
  <c r="H256" i="28"/>
  <c r="G256" i="28"/>
  <c r="F256" i="28"/>
  <c r="J255" i="28"/>
  <c r="I255" i="28"/>
  <c r="H255" i="28"/>
  <c r="G255" i="28"/>
  <c r="F255" i="28"/>
  <c r="J254" i="28"/>
  <c r="I254" i="28"/>
  <c r="H254" i="28"/>
  <c r="G254" i="28"/>
  <c r="F254" i="28"/>
  <c r="J253" i="28"/>
  <c r="I253" i="28"/>
  <c r="H253" i="28"/>
  <c r="G253" i="28"/>
  <c r="F253" i="28"/>
  <c r="J252" i="28"/>
  <c r="I252" i="28"/>
  <c r="H252" i="28"/>
  <c r="G252" i="28"/>
  <c r="F252" i="28"/>
  <c r="J251" i="28"/>
  <c r="I251" i="28"/>
  <c r="H251" i="28"/>
  <c r="G251" i="28"/>
  <c r="F251" i="28"/>
  <c r="J250" i="28"/>
  <c r="I250" i="28"/>
  <c r="H250" i="28"/>
  <c r="G250" i="28"/>
  <c r="F250" i="28"/>
  <c r="J249" i="28"/>
  <c r="I249" i="28"/>
  <c r="H249" i="28"/>
  <c r="G249" i="28"/>
  <c r="F249" i="28"/>
  <c r="J248" i="28"/>
  <c r="I248" i="28"/>
  <c r="H248" i="28"/>
  <c r="G248" i="28"/>
  <c r="F248" i="28"/>
  <c r="J247" i="28"/>
  <c r="I247" i="28"/>
  <c r="H247" i="28"/>
  <c r="G247" i="28"/>
  <c r="F247" i="28"/>
  <c r="J246" i="28"/>
  <c r="I246" i="28"/>
  <c r="H246" i="28"/>
  <c r="G246" i="28"/>
  <c r="F246" i="28"/>
  <c r="J245" i="28"/>
  <c r="I245" i="28"/>
  <c r="H245" i="28"/>
  <c r="G245" i="28"/>
  <c r="F245" i="28"/>
  <c r="J244" i="28"/>
  <c r="I244" i="28"/>
  <c r="H244" i="28"/>
  <c r="G244" i="28"/>
  <c r="F244" i="28"/>
  <c r="J243" i="28"/>
  <c r="I243" i="28"/>
  <c r="H243" i="28"/>
  <c r="G243" i="28"/>
  <c r="F243" i="28"/>
  <c r="J242" i="28"/>
  <c r="I242" i="28"/>
  <c r="H242" i="28"/>
  <c r="G242" i="28"/>
  <c r="F242" i="28"/>
  <c r="J241" i="28"/>
  <c r="I241" i="28"/>
  <c r="H241" i="28"/>
  <c r="G241" i="28"/>
  <c r="F241" i="28"/>
  <c r="J240" i="28"/>
  <c r="I240" i="28"/>
  <c r="H240" i="28"/>
  <c r="G240" i="28"/>
  <c r="F240" i="28"/>
  <c r="J239" i="28"/>
  <c r="I239" i="28"/>
  <c r="H239" i="28"/>
  <c r="G239" i="28"/>
  <c r="F239" i="28"/>
  <c r="J238" i="28"/>
  <c r="I238" i="28"/>
  <c r="H238" i="28"/>
  <c r="G238" i="28"/>
  <c r="F238" i="28"/>
  <c r="J237" i="28"/>
  <c r="I237" i="28"/>
  <c r="H237" i="28"/>
  <c r="G237" i="28"/>
  <c r="F237" i="28"/>
  <c r="J236" i="28"/>
  <c r="I236" i="28"/>
  <c r="H236" i="28"/>
  <c r="G236" i="28"/>
  <c r="F236" i="28"/>
  <c r="J235" i="28"/>
  <c r="I235" i="28"/>
  <c r="H235" i="28"/>
  <c r="G235" i="28"/>
  <c r="F235" i="28"/>
  <c r="J234" i="28"/>
  <c r="I234" i="28"/>
  <c r="H234" i="28"/>
  <c r="G234" i="28"/>
  <c r="F234" i="28"/>
  <c r="J233" i="28"/>
  <c r="I233" i="28"/>
  <c r="H233" i="28"/>
  <c r="G233" i="28"/>
  <c r="F233" i="28"/>
  <c r="J232" i="28"/>
  <c r="I232" i="28"/>
  <c r="H232" i="28"/>
  <c r="G232" i="28"/>
  <c r="F232" i="28"/>
  <c r="J231" i="28"/>
  <c r="I231" i="28"/>
  <c r="H231" i="28"/>
  <c r="G231" i="28"/>
  <c r="F231" i="28"/>
  <c r="J230" i="28"/>
  <c r="I230" i="28"/>
  <c r="H230" i="28"/>
  <c r="G230" i="28"/>
  <c r="F230" i="28"/>
  <c r="J229" i="28"/>
  <c r="I229" i="28"/>
  <c r="H229" i="28"/>
  <c r="G229" i="28"/>
  <c r="F229" i="28"/>
  <c r="J228" i="28"/>
  <c r="I228" i="28"/>
  <c r="H228" i="28"/>
  <c r="G228" i="28"/>
  <c r="F228" i="28"/>
  <c r="J227" i="28"/>
  <c r="I227" i="28"/>
  <c r="H227" i="28"/>
  <c r="G227" i="28"/>
  <c r="F227" i="28"/>
  <c r="J226" i="28"/>
  <c r="I226" i="28"/>
  <c r="H226" i="28"/>
  <c r="G226" i="28"/>
  <c r="F226" i="28"/>
  <c r="J225" i="28"/>
  <c r="I225" i="28"/>
  <c r="H225" i="28"/>
  <c r="G225" i="28"/>
  <c r="F225" i="28"/>
  <c r="J224" i="28"/>
  <c r="I224" i="28"/>
  <c r="H224" i="28"/>
  <c r="G224" i="28"/>
  <c r="F224" i="28"/>
  <c r="J223" i="28"/>
  <c r="I223" i="28"/>
  <c r="H223" i="28"/>
  <c r="G223" i="28"/>
  <c r="F223" i="28"/>
  <c r="J222" i="28"/>
  <c r="I222" i="28"/>
  <c r="H222" i="28"/>
  <c r="G222" i="28"/>
  <c r="F222" i="28"/>
  <c r="J221" i="28"/>
  <c r="I221" i="28"/>
  <c r="H221" i="28"/>
  <c r="G221" i="28"/>
  <c r="F221" i="28"/>
  <c r="J220" i="28"/>
  <c r="I220" i="28"/>
  <c r="H220" i="28"/>
  <c r="G220" i="28"/>
  <c r="F220" i="28"/>
  <c r="J219" i="28"/>
  <c r="I219" i="28"/>
  <c r="H219" i="28"/>
  <c r="G219" i="28"/>
  <c r="F219" i="28"/>
  <c r="J218" i="28"/>
  <c r="I218" i="28"/>
  <c r="H218" i="28"/>
  <c r="G218" i="28"/>
  <c r="F218" i="28"/>
  <c r="J217" i="28"/>
  <c r="I217" i="28"/>
  <c r="H217" i="28"/>
  <c r="G217" i="28"/>
  <c r="F217" i="28"/>
  <c r="J216" i="28"/>
  <c r="I216" i="28"/>
  <c r="H216" i="28"/>
  <c r="G216" i="28"/>
  <c r="F216" i="28"/>
  <c r="J215" i="28"/>
  <c r="I215" i="28"/>
  <c r="H215" i="28"/>
  <c r="G215" i="28"/>
  <c r="F215" i="28"/>
  <c r="J214" i="28"/>
  <c r="I214" i="28"/>
  <c r="H214" i="28"/>
  <c r="G214" i="28"/>
  <c r="F214" i="28"/>
  <c r="J213" i="28"/>
  <c r="I213" i="28"/>
  <c r="H213" i="28"/>
  <c r="G213" i="28"/>
  <c r="F213" i="28"/>
  <c r="J212" i="28"/>
  <c r="I212" i="28"/>
  <c r="H212" i="28"/>
  <c r="G212" i="28"/>
  <c r="F212" i="28"/>
  <c r="J211" i="28"/>
  <c r="I211" i="28"/>
  <c r="H211" i="28"/>
  <c r="G211" i="28"/>
  <c r="F211" i="28"/>
  <c r="J210" i="28"/>
  <c r="I210" i="28"/>
  <c r="H210" i="28"/>
  <c r="G210" i="28"/>
  <c r="F210" i="28"/>
  <c r="J209" i="28"/>
  <c r="I209" i="28"/>
  <c r="H209" i="28"/>
  <c r="G209" i="28"/>
  <c r="F209" i="28"/>
  <c r="J208" i="28"/>
  <c r="I208" i="28"/>
  <c r="H208" i="28"/>
  <c r="G208" i="28"/>
  <c r="F208" i="28"/>
  <c r="J207" i="28"/>
  <c r="I207" i="28"/>
  <c r="H207" i="28"/>
  <c r="G207" i="28"/>
  <c r="F207" i="28"/>
  <c r="J206" i="28"/>
  <c r="I206" i="28"/>
  <c r="H206" i="28"/>
  <c r="G206" i="28"/>
  <c r="F206" i="28"/>
  <c r="J205" i="28"/>
  <c r="I205" i="28"/>
  <c r="H205" i="28"/>
  <c r="G205" i="28"/>
  <c r="F205" i="28"/>
  <c r="F202" i="28"/>
  <c r="E202" i="28"/>
  <c r="D202" i="28"/>
  <c r="C202" i="28"/>
  <c r="J200" i="28"/>
  <c r="I200" i="28"/>
  <c r="H200" i="28"/>
  <c r="G200" i="28"/>
  <c r="J199" i="28"/>
  <c r="I199" i="28"/>
  <c r="H199" i="28"/>
  <c r="G199" i="28"/>
  <c r="J198" i="28"/>
  <c r="I198" i="28"/>
  <c r="H198" i="28"/>
  <c r="G198" i="28"/>
  <c r="J197" i="28"/>
  <c r="I197" i="28"/>
  <c r="H197" i="28"/>
  <c r="G197" i="28"/>
  <c r="J196" i="28"/>
  <c r="I196" i="28"/>
  <c r="H196" i="28"/>
  <c r="G196" i="28"/>
  <c r="J195" i="28"/>
  <c r="I195" i="28"/>
  <c r="H195" i="28"/>
  <c r="G195" i="28"/>
  <c r="J194" i="28"/>
  <c r="I194" i="28"/>
  <c r="H194" i="28"/>
  <c r="G194" i="28"/>
  <c r="J193" i="28"/>
  <c r="I193" i="28"/>
  <c r="H193" i="28"/>
  <c r="G193" i="28"/>
  <c r="J192" i="28"/>
  <c r="I192" i="28"/>
  <c r="H192" i="28"/>
  <c r="G192" i="28"/>
  <c r="J191" i="28"/>
  <c r="I191" i="28"/>
  <c r="H191" i="28"/>
  <c r="G191" i="28"/>
  <c r="J190" i="28"/>
  <c r="I190" i="28"/>
  <c r="H190" i="28"/>
  <c r="G190" i="28"/>
  <c r="J189" i="28"/>
  <c r="I189" i="28"/>
  <c r="H189" i="28"/>
  <c r="G189" i="28"/>
  <c r="J188" i="28"/>
  <c r="I188" i="28"/>
  <c r="H188" i="28"/>
  <c r="G188" i="28"/>
  <c r="J187" i="28"/>
  <c r="I187" i="28"/>
  <c r="H187" i="28"/>
  <c r="G187" i="28"/>
  <c r="J186" i="28"/>
  <c r="I186" i="28"/>
  <c r="H186" i="28"/>
  <c r="G186" i="28"/>
  <c r="J185" i="28"/>
  <c r="I185" i="28"/>
  <c r="H185" i="28"/>
  <c r="G185" i="28"/>
  <c r="J184" i="28"/>
  <c r="I184" i="28"/>
  <c r="H184" i="28"/>
  <c r="G184" i="28"/>
  <c r="J183" i="28"/>
  <c r="I183" i="28"/>
  <c r="H183" i="28"/>
  <c r="G183" i="28"/>
  <c r="J182" i="28"/>
  <c r="I182" i="28"/>
  <c r="H182" i="28"/>
  <c r="G182" i="28"/>
  <c r="J181" i="28"/>
  <c r="I181" i="28"/>
  <c r="H181" i="28"/>
  <c r="G181" i="28"/>
  <c r="J180" i="28"/>
  <c r="I180" i="28"/>
  <c r="H180" i="28"/>
  <c r="G180" i="28"/>
  <c r="J179" i="28"/>
  <c r="I179" i="28"/>
  <c r="H179" i="28"/>
  <c r="G179" i="28"/>
  <c r="J178" i="28"/>
  <c r="I178" i="28"/>
  <c r="H178" i="28"/>
  <c r="G178" i="28"/>
  <c r="J177" i="28"/>
  <c r="I177" i="28"/>
  <c r="H177" i="28"/>
  <c r="G177" i="28"/>
  <c r="J176" i="28"/>
  <c r="I176" i="28"/>
  <c r="H176" i="28"/>
  <c r="G176" i="28"/>
  <c r="J175" i="28"/>
  <c r="I175" i="28"/>
  <c r="H175" i="28"/>
  <c r="G175" i="28"/>
  <c r="J174" i="28"/>
  <c r="I174" i="28"/>
  <c r="H174" i="28"/>
  <c r="G174" i="28"/>
  <c r="J173" i="28"/>
  <c r="I173" i="28"/>
  <c r="H173" i="28"/>
  <c r="G173" i="28"/>
  <c r="J172" i="28"/>
  <c r="I172" i="28"/>
  <c r="H172" i="28"/>
  <c r="G172" i="28"/>
  <c r="J171" i="28"/>
  <c r="I171" i="28"/>
  <c r="H171" i="28"/>
  <c r="G171" i="28"/>
  <c r="J170" i="28"/>
  <c r="I170" i="28"/>
  <c r="H170" i="28"/>
  <c r="G170" i="28"/>
  <c r="J169" i="28"/>
  <c r="I169" i="28"/>
  <c r="H169" i="28"/>
  <c r="G169" i="28"/>
  <c r="J168" i="28"/>
  <c r="I168" i="28"/>
  <c r="H168" i="28"/>
  <c r="G168" i="28"/>
  <c r="J167" i="28"/>
  <c r="I167" i="28"/>
  <c r="H167" i="28"/>
  <c r="G167" i="28"/>
  <c r="J166" i="28"/>
  <c r="I166" i="28"/>
  <c r="H166" i="28"/>
  <c r="G166" i="28"/>
  <c r="J165" i="28"/>
  <c r="I165" i="28"/>
  <c r="H165" i="28"/>
  <c r="G165" i="28"/>
  <c r="J164" i="28"/>
  <c r="I164" i="28"/>
  <c r="H164" i="28"/>
  <c r="G164" i="28"/>
  <c r="J163" i="28"/>
  <c r="I163" i="28"/>
  <c r="H163" i="28"/>
  <c r="G163" i="28"/>
  <c r="J162" i="28"/>
  <c r="I162" i="28"/>
  <c r="H162" i="28"/>
  <c r="G162" i="28"/>
  <c r="J161" i="28"/>
  <c r="I161" i="28"/>
  <c r="H161" i="28"/>
  <c r="G161" i="28"/>
  <c r="J160" i="28"/>
  <c r="I160" i="28"/>
  <c r="H160" i="28"/>
  <c r="G160" i="28"/>
  <c r="J159" i="28"/>
  <c r="I159" i="28"/>
  <c r="H159" i="28"/>
  <c r="G159" i="28"/>
  <c r="J158" i="28"/>
  <c r="I158" i="28"/>
  <c r="H158" i="28"/>
  <c r="G158" i="28"/>
  <c r="J157" i="28"/>
  <c r="I157" i="28"/>
  <c r="H157" i="28"/>
  <c r="G157" i="28"/>
  <c r="J156" i="28"/>
  <c r="I156" i="28"/>
  <c r="H156" i="28"/>
  <c r="G156" i="28"/>
  <c r="J155" i="28"/>
  <c r="I155" i="28"/>
  <c r="H155" i="28"/>
  <c r="G155" i="28"/>
  <c r="J154" i="28"/>
  <c r="I154" i="28"/>
  <c r="H154" i="28"/>
  <c r="G154" i="28"/>
  <c r="J153" i="28"/>
  <c r="I153" i="28"/>
  <c r="H153" i="28"/>
  <c r="G153" i="28"/>
  <c r="J152" i="28"/>
  <c r="I152" i="28"/>
  <c r="H152" i="28"/>
  <c r="G152" i="28"/>
  <c r="J151" i="28"/>
  <c r="I151" i="28"/>
  <c r="H151" i="28"/>
  <c r="G151" i="28"/>
  <c r="J150" i="28"/>
  <c r="I150" i="28"/>
  <c r="H150" i="28"/>
  <c r="G150" i="28"/>
  <c r="J149" i="28"/>
  <c r="I149" i="28"/>
  <c r="H149" i="28"/>
  <c r="G149" i="28"/>
  <c r="J148" i="28"/>
  <c r="I148" i="28"/>
  <c r="H148" i="28"/>
  <c r="G148" i="28"/>
  <c r="J147" i="28"/>
  <c r="I147" i="28"/>
  <c r="H147" i="28"/>
  <c r="G147" i="28"/>
  <c r="J146" i="28"/>
  <c r="I146" i="28"/>
  <c r="H146" i="28"/>
  <c r="G146" i="28"/>
  <c r="J145" i="28"/>
  <c r="I145" i="28"/>
  <c r="H145" i="28"/>
  <c r="G145" i="28"/>
  <c r="J144" i="28"/>
  <c r="I144" i="28"/>
  <c r="H144" i="28"/>
  <c r="G144" i="28"/>
  <c r="J143" i="28"/>
  <c r="I143" i="28"/>
  <c r="H143" i="28"/>
  <c r="G143" i="28"/>
  <c r="J142" i="28"/>
  <c r="I142" i="28"/>
  <c r="H142" i="28"/>
  <c r="G142" i="28"/>
  <c r="J141" i="28"/>
  <c r="I141" i="28"/>
  <c r="H141" i="28"/>
  <c r="G141" i="28"/>
  <c r="J140" i="28"/>
  <c r="I140" i="28"/>
  <c r="H140" i="28"/>
  <c r="G140" i="28"/>
  <c r="J139" i="28"/>
  <c r="I139" i="28"/>
  <c r="H139" i="28"/>
  <c r="G139" i="28"/>
  <c r="J138" i="28"/>
  <c r="I138" i="28"/>
  <c r="H138" i="28"/>
  <c r="G138" i="28"/>
  <c r="J137" i="28"/>
  <c r="I137" i="28"/>
  <c r="H137" i="28"/>
  <c r="G137" i="28"/>
  <c r="J136" i="28"/>
  <c r="I136" i="28"/>
  <c r="H136" i="28"/>
  <c r="G136" i="28"/>
  <c r="J135" i="28"/>
  <c r="I135" i="28"/>
  <c r="H135" i="28"/>
  <c r="G135" i="28"/>
  <c r="J134" i="28"/>
  <c r="I134" i="28"/>
  <c r="H134" i="28"/>
  <c r="G134" i="28"/>
  <c r="J133" i="28"/>
  <c r="I133" i="28"/>
  <c r="H133" i="28"/>
  <c r="G133" i="28"/>
  <c r="J132" i="28"/>
  <c r="I132" i="28"/>
  <c r="H132" i="28"/>
  <c r="G132" i="28"/>
  <c r="J131" i="28"/>
  <c r="I131" i="28"/>
  <c r="H131" i="28"/>
  <c r="G131" i="28"/>
  <c r="J130" i="28"/>
  <c r="I130" i="28"/>
  <c r="H130" i="28"/>
  <c r="G130" i="28"/>
  <c r="J129" i="28"/>
  <c r="I129" i="28"/>
  <c r="H129" i="28"/>
  <c r="G129" i="28"/>
  <c r="J128" i="28"/>
  <c r="I128" i="28"/>
  <c r="H128" i="28"/>
  <c r="G128" i="28"/>
  <c r="J127" i="28"/>
  <c r="I127" i="28"/>
  <c r="H127" i="28"/>
  <c r="G127" i="28"/>
  <c r="J126" i="28"/>
  <c r="I126" i="28"/>
  <c r="H126" i="28"/>
  <c r="G126" i="28"/>
  <c r="J125" i="28"/>
  <c r="I125" i="28"/>
  <c r="H125" i="28"/>
  <c r="G125" i="28"/>
  <c r="J124" i="28"/>
  <c r="I124" i="28"/>
  <c r="H124" i="28"/>
  <c r="G124" i="28"/>
  <c r="J123" i="28"/>
  <c r="I123" i="28"/>
  <c r="H123" i="28"/>
  <c r="G123" i="28"/>
  <c r="J122" i="28"/>
  <c r="I122" i="28"/>
  <c r="H122" i="28"/>
  <c r="G122" i="28"/>
  <c r="J121" i="28"/>
  <c r="I121" i="28"/>
  <c r="H121" i="28"/>
  <c r="G121" i="28"/>
  <c r="J120" i="28"/>
  <c r="I120" i="28"/>
  <c r="H120" i="28"/>
  <c r="G120" i="28"/>
  <c r="J119" i="28"/>
  <c r="I119" i="28"/>
  <c r="H119" i="28"/>
  <c r="G119" i="28"/>
  <c r="J118" i="28"/>
  <c r="I118" i="28"/>
  <c r="H118" i="28"/>
  <c r="G118" i="28"/>
  <c r="J117" i="28"/>
  <c r="I117" i="28"/>
  <c r="H117" i="28"/>
  <c r="G117" i="28"/>
  <c r="J116" i="28"/>
  <c r="I116" i="28"/>
  <c r="H116" i="28"/>
  <c r="G116" i="28"/>
  <c r="J115" i="28"/>
  <c r="I115" i="28"/>
  <c r="H115" i="28"/>
  <c r="G115" i="28"/>
  <c r="J114" i="28"/>
  <c r="I114" i="28"/>
  <c r="H114" i="28"/>
  <c r="G114" i="28"/>
  <c r="J113" i="28"/>
  <c r="I113" i="28"/>
  <c r="H113" i="28"/>
  <c r="G113" i="28"/>
  <c r="J112" i="28"/>
  <c r="I112" i="28"/>
  <c r="H112" i="28"/>
  <c r="G112" i="28"/>
  <c r="J111" i="28"/>
  <c r="I111" i="28"/>
  <c r="H111" i="28"/>
  <c r="G111" i="28"/>
  <c r="J110" i="28"/>
  <c r="I110" i="28"/>
  <c r="H110" i="28"/>
  <c r="G110" i="28"/>
  <c r="J109" i="28"/>
  <c r="I109" i="28"/>
  <c r="H109" i="28"/>
  <c r="G109" i="28"/>
  <c r="J108" i="28"/>
  <c r="I108" i="28"/>
  <c r="H108" i="28"/>
  <c r="G108" i="28"/>
  <c r="J107" i="28"/>
  <c r="I107" i="28"/>
  <c r="H107" i="28"/>
  <c r="G107" i="28"/>
  <c r="J106" i="28"/>
  <c r="I106" i="28"/>
  <c r="H106" i="28"/>
  <c r="G106" i="28"/>
  <c r="J105" i="28"/>
  <c r="I105" i="28"/>
  <c r="H105" i="28"/>
  <c r="G105" i="28"/>
  <c r="J104" i="28"/>
  <c r="I104" i="28"/>
  <c r="H104" i="28"/>
  <c r="G104" i="28"/>
  <c r="J103" i="28"/>
  <c r="I103" i="28"/>
  <c r="H103" i="28"/>
  <c r="G103" i="28"/>
  <c r="J102" i="28"/>
  <c r="I102" i="28"/>
  <c r="H102" i="28"/>
  <c r="G102" i="28"/>
  <c r="J101" i="28"/>
  <c r="I101" i="28"/>
  <c r="H101" i="28"/>
  <c r="G101" i="28"/>
  <c r="J100" i="28"/>
  <c r="I100" i="28"/>
  <c r="H100" i="28"/>
  <c r="G100" i="28"/>
  <c r="J99" i="28"/>
  <c r="I99" i="28"/>
  <c r="H99" i="28"/>
  <c r="G99" i="28"/>
  <c r="J98" i="28"/>
  <c r="I98" i="28"/>
  <c r="H98" i="28"/>
  <c r="G98" i="28"/>
  <c r="J97" i="28"/>
  <c r="I97" i="28"/>
  <c r="H97" i="28"/>
  <c r="G97" i="28"/>
  <c r="J96" i="28"/>
  <c r="I96" i="28"/>
  <c r="H96" i="28"/>
  <c r="G96" i="28"/>
  <c r="J95" i="28"/>
  <c r="I95" i="28"/>
  <c r="H95" i="28"/>
  <c r="G95" i="28"/>
  <c r="J94" i="28"/>
  <c r="I94" i="28"/>
  <c r="H94" i="28"/>
  <c r="G94" i="28"/>
  <c r="J93" i="28"/>
  <c r="I93" i="28"/>
  <c r="H93" i="28"/>
  <c r="G93" i="28"/>
  <c r="J92" i="28"/>
  <c r="I92" i="28"/>
  <c r="H92" i="28"/>
  <c r="G92" i="28"/>
  <c r="J91" i="28"/>
  <c r="I91" i="28"/>
  <c r="H91" i="28"/>
  <c r="G91" i="28"/>
  <c r="J90" i="28"/>
  <c r="I90" i="28"/>
  <c r="H90" i="28"/>
  <c r="G90" i="28"/>
  <c r="J89" i="28"/>
  <c r="I89" i="28"/>
  <c r="H89" i="28"/>
  <c r="G89" i="28"/>
  <c r="J88" i="28"/>
  <c r="I88" i="28"/>
  <c r="H88" i="28"/>
  <c r="G88" i="28"/>
  <c r="J87" i="28"/>
  <c r="I87" i="28"/>
  <c r="H87" i="28"/>
  <c r="G87" i="28"/>
  <c r="J86" i="28"/>
  <c r="I86" i="28"/>
  <c r="H86" i="28"/>
  <c r="G86" i="28"/>
  <c r="J85" i="28"/>
  <c r="I85" i="28"/>
  <c r="H85" i="28"/>
  <c r="G85" i="28"/>
  <c r="J84" i="28"/>
  <c r="I84" i="28"/>
  <c r="H84" i="28"/>
  <c r="G84" i="28"/>
  <c r="J83" i="28"/>
  <c r="I83" i="28"/>
  <c r="H83" i="28"/>
  <c r="G83" i="28"/>
  <c r="J82" i="28"/>
  <c r="I82" i="28"/>
  <c r="H82" i="28"/>
  <c r="G82" i="28"/>
  <c r="J81" i="28"/>
  <c r="I81" i="28"/>
  <c r="H81" i="28"/>
  <c r="G81" i="28"/>
  <c r="J80" i="28"/>
  <c r="I80" i="28"/>
  <c r="H80" i="28"/>
  <c r="G80" i="28"/>
  <c r="J79" i="28"/>
  <c r="I79" i="28"/>
  <c r="H79" i="28"/>
  <c r="G79" i="28"/>
  <c r="J78" i="28"/>
  <c r="I78" i="28"/>
  <c r="H78" i="28"/>
  <c r="G78" i="28"/>
  <c r="J77" i="28"/>
  <c r="I77" i="28"/>
  <c r="H77" i="28"/>
  <c r="G77" i="28"/>
  <c r="J76" i="28"/>
  <c r="I76" i="28"/>
  <c r="H76" i="28"/>
  <c r="G76" i="28"/>
  <c r="J75" i="28"/>
  <c r="I75" i="28"/>
  <c r="H75" i="28"/>
  <c r="G75" i="28"/>
  <c r="J74" i="28"/>
  <c r="I74" i="28"/>
  <c r="H74" i="28"/>
  <c r="G74" i="28"/>
  <c r="J73" i="28"/>
  <c r="I73" i="28"/>
  <c r="H73" i="28"/>
  <c r="G73" i="28"/>
  <c r="J72" i="28"/>
  <c r="I72" i="28"/>
  <c r="H72" i="28"/>
  <c r="G72" i="28"/>
  <c r="J71" i="28"/>
  <c r="I71" i="28"/>
  <c r="H71" i="28"/>
  <c r="G71" i="28"/>
  <c r="J70" i="28"/>
  <c r="I70" i="28"/>
  <c r="H70" i="28"/>
  <c r="G70" i="28"/>
  <c r="J69" i="28"/>
  <c r="I69" i="28"/>
  <c r="H69" i="28"/>
  <c r="G69" i="28"/>
  <c r="J68" i="28"/>
  <c r="I68" i="28"/>
  <c r="H68" i="28"/>
  <c r="G68" i="28"/>
  <c r="J67" i="28"/>
  <c r="I67" i="28"/>
  <c r="H67" i="28"/>
  <c r="G67" i="28"/>
  <c r="J66" i="28"/>
  <c r="I66" i="28"/>
  <c r="H66" i="28"/>
  <c r="G66" i="28"/>
  <c r="J65" i="28"/>
  <c r="I65" i="28"/>
  <c r="H65" i="28"/>
  <c r="G65" i="28"/>
  <c r="J64" i="28"/>
  <c r="I64" i="28"/>
  <c r="H64" i="28"/>
  <c r="G64" i="28"/>
  <c r="J63" i="28"/>
  <c r="I63" i="28"/>
  <c r="H63" i="28"/>
  <c r="G63" i="28"/>
  <c r="J62" i="28"/>
  <c r="I62" i="28"/>
  <c r="H62" i="28"/>
  <c r="G62" i="28"/>
  <c r="J61" i="28"/>
  <c r="I61" i="28"/>
  <c r="H61" i="28"/>
  <c r="G61" i="28"/>
  <c r="J60" i="28"/>
  <c r="I60" i="28"/>
  <c r="H60" i="28"/>
  <c r="G60" i="28"/>
  <c r="J59" i="28"/>
  <c r="I59" i="28"/>
  <c r="H59" i="28"/>
  <c r="G59" i="28"/>
  <c r="J58" i="28"/>
  <c r="I58" i="28"/>
  <c r="H58" i="28"/>
  <c r="G58" i="28"/>
  <c r="J57" i="28"/>
  <c r="I57" i="28"/>
  <c r="H57" i="28"/>
  <c r="G57" i="28"/>
  <c r="J56" i="28"/>
  <c r="I56" i="28"/>
  <c r="H56" i="28"/>
  <c r="G56" i="28"/>
  <c r="J55" i="28"/>
  <c r="I55" i="28"/>
  <c r="H55" i="28"/>
  <c r="G55" i="28"/>
  <c r="J54" i="28"/>
  <c r="I54" i="28"/>
  <c r="H54" i="28"/>
  <c r="G54" i="28"/>
  <c r="J53" i="28"/>
  <c r="I53" i="28"/>
  <c r="H53" i="28"/>
  <c r="G53" i="28"/>
  <c r="J52" i="28"/>
  <c r="I52" i="28"/>
  <c r="H52" i="28"/>
  <c r="G52" i="28"/>
  <c r="J51" i="28"/>
  <c r="I51" i="28"/>
  <c r="H51" i="28"/>
  <c r="G51" i="28"/>
  <c r="J50" i="28"/>
  <c r="I50" i="28"/>
  <c r="H50" i="28"/>
  <c r="G50" i="28"/>
  <c r="J49" i="28"/>
  <c r="I49" i="28"/>
  <c r="H49" i="28"/>
  <c r="G49" i="28"/>
  <c r="J48" i="28"/>
  <c r="I48" i="28"/>
  <c r="H48" i="28"/>
  <c r="G48" i="28"/>
  <c r="J47" i="28"/>
  <c r="I47" i="28"/>
  <c r="H47" i="28"/>
  <c r="G47" i="28"/>
  <c r="J46" i="28"/>
  <c r="I46" i="28"/>
  <c r="H46" i="28"/>
  <c r="G46" i="28"/>
  <c r="J45" i="28"/>
  <c r="I45" i="28"/>
  <c r="H45" i="28"/>
  <c r="G45" i="28"/>
  <c r="J44" i="28"/>
  <c r="I44" i="28"/>
  <c r="H44" i="28"/>
  <c r="G44" i="28"/>
  <c r="J43" i="28"/>
  <c r="I43" i="28"/>
  <c r="H43" i="28"/>
  <c r="G43" i="28"/>
  <c r="J42" i="28"/>
  <c r="I42" i="28"/>
  <c r="H42" i="28"/>
  <c r="G42" i="28"/>
  <c r="J41" i="28"/>
  <c r="I41" i="28"/>
  <c r="H41" i="28"/>
  <c r="G41" i="28"/>
  <c r="J40" i="28"/>
  <c r="I40" i="28"/>
  <c r="H40" i="28"/>
  <c r="G40" i="28"/>
  <c r="J39" i="28"/>
  <c r="I39" i="28"/>
  <c r="H39" i="28"/>
  <c r="G39" i="28"/>
  <c r="J38" i="28"/>
  <c r="I38" i="28"/>
  <c r="H38" i="28"/>
  <c r="G38" i="28"/>
  <c r="J37" i="28"/>
  <c r="I37" i="28"/>
  <c r="H37" i="28"/>
  <c r="G37" i="28"/>
  <c r="J36" i="28"/>
  <c r="I36" i="28"/>
  <c r="H36" i="28"/>
  <c r="G36" i="28"/>
  <c r="J35" i="28"/>
  <c r="I35" i="28"/>
  <c r="H35" i="28"/>
  <c r="G35" i="28"/>
  <c r="J34" i="28"/>
  <c r="I34" i="28"/>
  <c r="H34" i="28"/>
  <c r="G34" i="28"/>
  <c r="J33" i="28"/>
  <c r="I33" i="28"/>
  <c r="H33" i="28"/>
  <c r="G33" i="28"/>
  <c r="J32" i="28"/>
  <c r="I32" i="28"/>
  <c r="H32" i="28"/>
  <c r="G32" i="28"/>
  <c r="J31" i="28"/>
  <c r="I31" i="28"/>
  <c r="H31" i="28"/>
  <c r="G31" i="28"/>
  <c r="J30" i="28"/>
  <c r="I30" i="28"/>
  <c r="H30" i="28"/>
  <c r="G30" i="28"/>
  <c r="J29" i="28"/>
  <c r="I29" i="28"/>
  <c r="H29" i="28"/>
  <c r="G29" i="28"/>
  <c r="J28" i="28"/>
  <c r="I28" i="28"/>
  <c r="H28" i="28"/>
  <c r="G28" i="28"/>
  <c r="J27" i="28"/>
  <c r="I27" i="28"/>
  <c r="H27" i="28"/>
  <c r="G27" i="28"/>
  <c r="J26" i="28"/>
  <c r="I26" i="28"/>
  <c r="H26" i="28"/>
  <c r="G26" i="28"/>
  <c r="J25" i="28"/>
  <c r="I25" i="28"/>
  <c r="H25" i="28"/>
  <c r="G25" i="28"/>
  <c r="J24" i="28"/>
  <c r="I24" i="28"/>
  <c r="H24" i="28"/>
  <c r="G24" i="28"/>
  <c r="J23" i="28"/>
  <c r="I23" i="28"/>
  <c r="H23" i="28"/>
  <c r="G23" i="28"/>
  <c r="J22" i="28"/>
  <c r="I22" i="28"/>
  <c r="H22" i="28"/>
  <c r="G22" i="28"/>
  <c r="J21" i="28"/>
  <c r="I21" i="28"/>
  <c r="H21" i="28"/>
  <c r="G21" i="28"/>
  <c r="J20" i="28"/>
  <c r="I20" i="28"/>
  <c r="H20" i="28"/>
  <c r="G20" i="28"/>
  <c r="J19" i="28"/>
  <c r="I19" i="28"/>
  <c r="H19" i="28"/>
  <c r="G19" i="28"/>
  <c r="J18" i="28"/>
  <c r="I18" i="28"/>
  <c r="H18" i="28"/>
  <c r="G18" i="28"/>
  <c r="J17" i="28"/>
  <c r="I17" i="28"/>
  <c r="H17" i="28"/>
  <c r="G17" i="28"/>
  <c r="J16" i="28"/>
  <c r="I16" i="28"/>
  <c r="H16" i="28"/>
  <c r="G16" i="28"/>
  <c r="J15" i="28"/>
  <c r="I15" i="28"/>
  <c r="H15" i="28"/>
  <c r="G15" i="28"/>
  <c r="J14" i="28"/>
  <c r="I14" i="28"/>
  <c r="H14" i="28"/>
  <c r="G14" i="28"/>
  <c r="J13" i="28"/>
  <c r="I13" i="28"/>
  <c r="H13" i="28"/>
  <c r="G13" i="28"/>
  <c r="J12" i="28"/>
  <c r="I12" i="28"/>
  <c r="H12" i="28"/>
  <c r="G12" i="28"/>
  <c r="J11" i="28"/>
  <c r="I11" i="28"/>
  <c r="H11" i="28"/>
  <c r="G11" i="28"/>
  <c r="J10" i="28"/>
  <c r="I10" i="28"/>
  <c r="H10" i="28"/>
  <c r="G10" i="28"/>
  <c r="J9" i="28"/>
  <c r="I9" i="28"/>
  <c r="H9" i="28"/>
  <c r="G9" i="28"/>
  <c r="J8" i="28"/>
  <c r="I8" i="28"/>
  <c r="H8" i="28"/>
  <c r="G8" i="28"/>
  <c r="J7" i="28"/>
  <c r="I7" i="28"/>
  <c r="H7" i="28"/>
  <c r="G7" i="28"/>
  <c r="J6" i="28"/>
  <c r="I6" i="28"/>
  <c r="H6" i="28"/>
  <c r="G6" i="28"/>
  <c r="J5" i="28"/>
  <c r="I5" i="28"/>
  <c r="H5" i="28"/>
  <c r="G5" i="28"/>
  <c r="J287" i="27"/>
  <c r="I287" i="27"/>
  <c r="H287" i="27"/>
  <c r="G287" i="27"/>
  <c r="F287" i="27"/>
  <c r="J286" i="27"/>
  <c r="I286" i="27"/>
  <c r="H286" i="27"/>
  <c r="G286" i="27"/>
  <c r="F286" i="27"/>
  <c r="S180" i="25" s="1"/>
  <c r="J283" i="27"/>
  <c r="I283" i="27"/>
  <c r="H283" i="27"/>
  <c r="G283" i="27"/>
  <c r="E283" i="27"/>
  <c r="F283" i="27" s="1"/>
  <c r="J282" i="27"/>
  <c r="I282" i="27"/>
  <c r="H282" i="27"/>
  <c r="G282" i="27"/>
  <c r="F282" i="27"/>
  <c r="S56" i="25" s="1"/>
  <c r="E56" i="25" s="1"/>
  <c r="J279" i="27"/>
  <c r="I279" i="27"/>
  <c r="H279" i="27"/>
  <c r="G279" i="27"/>
  <c r="F279" i="27"/>
  <c r="J278" i="27"/>
  <c r="I278" i="27"/>
  <c r="H278" i="27"/>
  <c r="G278" i="27"/>
  <c r="F278" i="27"/>
  <c r="J277" i="27"/>
  <c r="I277" i="27"/>
  <c r="H277" i="27"/>
  <c r="G277" i="27"/>
  <c r="F277" i="27"/>
  <c r="J276" i="27"/>
  <c r="I276" i="27"/>
  <c r="H276" i="27"/>
  <c r="G276" i="27"/>
  <c r="F276" i="27"/>
  <c r="J275" i="27"/>
  <c r="I275" i="27"/>
  <c r="H275" i="27"/>
  <c r="G275" i="27"/>
  <c r="F275" i="27"/>
  <c r="J274" i="27"/>
  <c r="I274" i="27"/>
  <c r="H274" i="27"/>
  <c r="G274" i="27"/>
  <c r="F274" i="27"/>
  <c r="J273" i="27"/>
  <c r="I273" i="27"/>
  <c r="H273" i="27"/>
  <c r="G273" i="27"/>
  <c r="F273" i="27"/>
  <c r="J272" i="27"/>
  <c r="I272" i="27"/>
  <c r="H272" i="27"/>
  <c r="G272" i="27"/>
  <c r="F272" i="27"/>
  <c r="J271" i="27"/>
  <c r="I271" i="27"/>
  <c r="H271" i="27"/>
  <c r="G271" i="27"/>
  <c r="F271" i="27"/>
  <c r="J270" i="27"/>
  <c r="I270" i="27"/>
  <c r="H270" i="27"/>
  <c r="G270" i="27"/>
  <c r="F270" i="27"/>
  <c r="J269" i="27"/>
  <c r="I269" i="27"/>
  <c r="H269" i="27"/>
  <c r="G269" i="27"/>
  <c r="F269" i="27"/>
  <c r="J268" i="27"/>
  <c r="I268" i="27"/>
  <c r="H268" i="27"/>
  <c r="G268" i="27"/>
  <c r="F268" i="27"/>
  <c r="J267" i="27"/>
  <c r="I267" i="27"/>
  <c r="H267" i="27"/>
  <c r="G267" i="27"/>
  <c r="F267" i="27"/>
  <c r="J266" i="27"/>
  <c r="I266" i="27"/>
  <c r="H266" i="27"/>
  <c r="G266" i="27"/>
  <c r="F266" i="27"/>
  <c r="J265" i="27"/>
  <c r="I265" i="27"/>
  <c r="H265" i="27"/>
  <c r="G265" i="27"/>
  <c r="F265" i="27"/>
  <c r="J264" i="27"/>
  <c r="I264" i="27"/>
  <c r="H264" i="27"/>
  <c r="G264" i="27"/>
  <c r="F264" i="27"/>
  <c r="J263" i="27"/>
  <c r="I263" i="27"/>
  <c r="H263" i="27"/>
  <c r="G263" i="27"/>
  <c r="F263" i="27"/>
  <c r="J262" i="27"/>
  <c r="I262" i="27"/>
  <c r="H262" i="27"/>
  <c r="G262" i="27"/>
  <c r="F262" i="27"/>
  <c r="J261" i="27"/>
  <c r="I261" i="27"/>
  <c r="H261" i="27"/>
  <c r="G261" i="27"/>
  <c r="F261" i="27"/>
  <c r="J260" i="27"/>
  <c r="I260" i="27"/>
  <c r="H260" i="27"/>
  <c r="G260" i="27"/>
  <c r="F260" i="27"/>
  <c r="J259" i="27"/>
  <c r="I259" i="27"/>
  <c r="H259" i="27"/>
  <c r="G259" i="27"/>
  <c r="F259" i="27"/>
  <c r="J258" i="27"/>
  <c r="I258" i="27"/>
  <c r="H258" i="27"/>
  <c r="G258" i="27"/>
  <c r="F258" i="27"/>
  <c r="J257" i="27"/>
  <c r="I257" i="27"/>
  <c r="H257" i="27"/>
  <c r="G257" i="27"/>
  <c r="F257" i="27"/>
  <c r="J256" i="27"/>
  <c r="I256" i="27"/>
  <c r="H256" i="27"/>
  <c r="G256" i="27"/>
  <c r="F256" i="27"/>
  <c r="J255" i="27"/>
  <c r="I255" i="27"/>
  <c r="H255" i="27"/>
  <c r="G255" i="27"/>
  <c r="F255" i="27"/>
  <c r="J254" i="27"/>
  <c r="I254" i="27"/>
  <c r="H254" i="27"/>
  <c r="G254" i="27"/>
  <c r="F254" i="27"/>
  <c r="J253" i="27"/>
  <c r="I253" i="27"/>
  <c r="H253" i="27"/>
  <c r="G253" i="27"/>
  <c r="F253" i="27"/>
  <c r="J252" i="27"/>
  <c r="I252" i="27"/>
  <c r="H252" i="27"/>
  <c r="G252" i="27"/>
  <c r="F252" i="27"/>
  <c r="J251" i="27"/>
  <c r="I251" i="27"/>
  <c r="H251" i="27"/>
  <c r="G251" i="27"/>
  <c r="F251" i="27"/>
  <c r="J250" i="27"/>
  <c r="I250" i="27"/>
  <c r="H250" i="27"/>
  <c r="G250" i="27"/>
  <c r="F250" i="27"/>
  <c r="J249" i="27"/>
  <c r="I249" i="27"/>
  <c r="H249" i="27"/>
  <c r="G249" i="27"/>
  <c r="F249" i="27"/>
  <c r="J248" i="27"/>
  <c r="I248" i="27"/>
  <c r="H248" i="27"/>
  <c r="G248" i="27"/>
  <c r="F248" i="27"/>
  <c r="J247" i="27"/>
  <c r="I247" i="27"/>
  <c r="H247" i="27"/>
  <c r="G247" i="27"/>
  <c r="F247" i="27"/>
  <c r="J246" i="27"/>
  <c r="I246" i="27"/>
  <c r="H246" i="27"/>
  <c r="G246" i="27"/>
  <c r="F246" i="27"/>
  <c r="J245" i="27"/>
  <c r="I245" i="27"/>
  <c r="H245" i="27"/>
  <c r="G245" i="27"/>
  <c r="F245" i="27"/>
  <c r="J244" i="27"/>
  <c r="I244" i="27"/>
  <c r="H244" i="27"/>
  <c r="G244" i="27"/>
  <c r="F244" i="27"/>
  <c r="J243" i="27"/>
  <c r="I243" i="27"/>
  <c r="H243" i="27"/>
  <c r="G243" i="27"/>
  <c r="F243" i="27"/>
  <c r="J242" i="27"/>
  <c r="I242" i="27"/>
  <c r="H242" i="27"/>
  <c r="G242" i="27"/>
  <c r="F242" i="27"/>
  <c r="J241" i="27"/>
  <c r="I241" i="27"/>
  <c r="H241" i="27"/>
  <c r="G241" i="27"/>
  <c r="F241" i="27"/>
  <c r="J240" i="27"/>
  <c r="I240" i="27"/>
  <c r="H240" i="27"/>
  <c r="G240" i="27"/>
  <c r="F240" i="27"/>
  <c r="J239" i="27"/>
  <c r="I239" i="27"/>
  <c r="H239" i="27"/>
  <c r="G239" i="27"/>
  <c r="F239" i="27"/>
  <c r="J238" i="27"/>
  <c r="I238" i="27"/>
  <c r="H238" i="27"/>
  <c r="G238" i="27"/>
  <c r="F238" i="27"/>
  <c r="J237" i="27"/>
  <c r="I237" i="27"/>
  <c r="H237" i="27"/>
  <c r="G237" i="27"/>
  <c r="F237" i="27"/>
  <c r="J236" i="27"/>
  <c r="I236" i="27"/>
  <c r="H236" i="27"/>
  <c r="G236" i="27"/>
  <c r="F236" i="27"/>
  <c r="J235" i="27"/>
  <c r="I235" i="27"/>
  <c r="H235" i="27"/>
  <c r="G235" i="27"/>
  <c r="F235" i="27"/>
  <c r="J234" i="27"/>
  <c r="I234" i="27"/>
  <c r="H234" i="27"/>
  <c r="G234" i="27"/>
  <c r="F234" i="27"/>
  <c r="J233" i="27"/>
  <c r="I233" i="27"/>
  <c r="H233" i="27"/>
  <c r="G233" i="27"/>
  <c r="F233" i="27"/>
  <c r="J232" i="27"/>
  <c r="I232" i="27"/>
  <c r="H232" i="27"/>
  <c r="G232" i="27"/>
  <c r="F232" i="27"/>
  <c r="J231" i="27"/>
  <c r="I231" i="27"/>
  <c r="H231" i="27"/>
  <c r="G231" i="27"/>
  <c r="F231" i="27"/>
  <c r="J230" i="27"/>
  <c r="I230" i="27"/>
  <c r="H230" i="27"/>
  <c r="G230" i="27"/>
  <c r="F230" i="27"/>
  <c r="J229" i="27"/>
  <c r="I229" i="27"/>
  <c r="H229" i="27"/>
  <c r="G229" i="27"/>
  <c r="F229" i="27"/>
  <c r="J228" i="27"/>
  <c r="I228" i="27"/>
  <c r="H228" i="27"/>
  <c r="G228" i="27"/>
  <c r="F228" i="27"/>
  <c r="J227" i="27"/>
  <c r="I227" i="27"/>
  <c r="H227" i="27"/>
  <c r="G227" i="27"/>
  <c r="F227" i="27"/>
  <c r="J226" i="27"/>
  <c r="I226" i="27"/>
  <c r="H226" i="27"/>
  <c r="G226" i="27"/>
  <c r="F226" i="27"/>
  <c r="J225" i="27"/>
  <c r="I225" i="27"/>
  <c r="H225" i="27"/>
  <c r="G225" i="27"/>
  <c r="F225" i="27"/>
  <c r="J224" i="27"/>
  <c r="I224" i="27"/>
  <c r="H224" i="27"/>
  <c r="G224" i="27"/>
  <c r="F224" i="27"/>
  <c r="J223" i="27"/>
  <c r="I223" i="27"/>
  <c r="H223" i="27"/>
  <c r="G223" i="27"/>
  <c r="F223" i="27"/>
  <c r="J222" i="27"/>
  <c r="I222" i="27"/>
  <c r="H222" i="27"/>
  <c r="G222" i="27"/>
  <c r="F222" i="27"/>
  <c r="J221" i="27"/>
  <c r="I221" i="27"/>
  <c r="H221" i="27"/>
  <c r="G221" i="27"/>
  <c r="F221" i="27"/>
  <c r="J220" i="27"/>
  <c r="I220" i="27"/>
  <c r="H220" i="27"/>
  <c r="G220" i="27"/>
  <c r="F220" i="27"/>
  <c r="J219" i="27"/>
  <c r="I219" i="27"/>
  <c r="H219" i="27"/>
  <c r="G219" i="27"/>
  <c r="F219" i="27"/>
  <c r="J218" i="27"/>
  <c r="I218" i="27"/>
  <c r="H218" i="27"/>
  <c r="G218" i="27"/>
  <c r="F218" i="27"/>
  <c r="J217" i="27"/>
  <c r="I217" i="27"/>
  <c r="H217" i="27"/>
  <c r="G217" i="27"/>
  <c r="F217" i="27"/>
  <c r="J216" i="27"/>
  <c r="I216" i="27"/>
  <c r="H216" i="27"/>
  <c r="G216" i="27"/>
  <c r="F216" i="27"/>
  <c r="J215" i="27"/>
  <c r="I215" i="27"/>
  <c r="H215" i="27"/>
  <c r="G215" i="27"/>
  <c r="F215" i="27"/>
  <c r="J214" i="27"/>
  <c r="I214" i="27"/>
  <c r="H214" i="27"/>
  <c r="G214" i="27"/>
  <c r="F214" i="27"/>
  <c r="J213" i="27"/>
  <c r="I213" i="27"/>
  <c r="H213" i="27"/>
  <c r="G213" i="27"/>
  <c r="F213" i="27"/>
  <c r="J212" i="27"/>
  <c r="I212" i="27"/>
  <c r="H212" i="27"/>
  <c r="G212" i="27"/>
  <c r="F212" i="27"/>
  <c r="J211" i="27"/>
  <c r="I211" i="27"/>
  <c r="H211" i="27"/>
  <c r="G211" i="27"/>
  <c r="F211" i="27"/>
  <c r="J210" i="27"/>
  <c r="I210" i="27"/>
  <c r="H210" i="27"/>
  <c r="G210" i="27"/>
  <c r="F210" i="27"/>
  <c r="J209" i="27"/>
  <c r="I209" i="27"/>
  <c r="H209" i="27"/>
  <c r="G209" i="27"/>
  <c r="F209" i="27"/>
  <c r="J208" i="27"/>
  <c r="I208" i="27"/>
  <c r="H208" i="27"/>
  <c r="G208" i="27"/>
  <c r="F208" i="27"/>
  <c r="D176" i="18" s="1"/>
  <c r="J207" i="27"/>
  <c r="I207" i="27"/>
  <c r="H207" i="27"/>
  <c r="G207" i="27"/>
  <c r="F207" i="27"/>
  <c r="D178" i="18" s="1"/>
  <c r="J206" i="27"/>
  <c r="I206" i="27"/>
  <c r="H206" i="27"/>
  <c r="G206" i="27"/>
  <c r="F206" i="27"/>
  <c r="D179" i="18" s="1"/>
  <c r="J205" i="27"/>
  <c r="I205" i="27"/>
  <c r="H205" i="27"/>
  <c r="G205" i="27"/>
  <c r="F205" i="27"/>
  <c r="J204" i="27"/>
  <c r="I204" i="27"/>
  <c r="H204" i="27"/>
  <c r="G204" i="27"/>
  <c r="F204" i="27"/>
  <c r="D180" i="18" s="1"/>
  <c r="J203" i="27"/>
  <c r="I203" i="27"/>
  <c r="H203" i="27"/>
  <c r="G203" i="27"/>
  <c r="F203" i="27"/>
  <c r="D183" i="18" s="1"/>
  <c r="J202" i="27"/>
  <c r="I202" i="27"/>
  <c r="H202" i="27"/>
  <c r="G202" i="27"/>
  <c r="F202" i="27"/>
  <c r="D184" i="18" s="1"/>
  <c r="J201" i="27"/>
  <c r="I201" i="27"/>
  <c r="H201" i="27"/>
  <c r="G201" i="27"/>
  <c r="F201" i="27"/>
  <c r="D185" i="18" s="1"/>
  <c r="J200" i="27"/>
  <c r="I200" i="27"/>
  <c r="H200" i="27"/>
  <c r="G200" i="27"/>
  <c r="F200" i="27"/>
  <c r="D186" i="18" s="1"/>
  <c r="J199" i="27"/>
  <c r="I199" i="27"/>
  <c r="H199" i="27"/>
  <c r="G199" i="27"/>
  <c r="F199" i="27"/>
  <c r="D187" i="18" s="1"/>
  <c r="F196" i="27"/>
  <c r="E196" i="27"/>
  <c r="D196" i="27"/>
  <c r="C196" i="27"/>
  <c r="J194" i="27"/>
  <c r="I194" i="27"/>
  <c r="H194" i="27"/>
  <c r="G194" i="27"/>
  <c r="J193" i="27"/>
  <c r="I193" i="27"/>
  <c r="H193" i="27"/>
  <c r="G193" i="27"/>
  <c r="J192" i="27"/>
  <c r="I192" i="27"/>
  <c r="H192" i="27"/>
  <c r="G192" i="27"/>
  <c r="J191" i="27"/>
  <c r="I191" i="27"/>
  <c r="H191" i="27"/>
  <c r="G191" i="27"/>
  <c r="J190" i="27"/>
  <c r="I190" i="27"/>
  <c r="H190" i="27"/>
  <c r="G190" i="27"/>
  <c r="J189" i="27"/>
  <c r="I189" i="27"/>
  <c r="H189" i="27"/>
  <c r="G189" i="27"/>
  <c r="J188" i="27"/>
  <c r="I188" i="27"/>
  <c r="H188" i="27"/>
  <c r="G188" i="27"/>
  <c r="J187" i="27"/>
  <c r="I187" i="27"/>
  <c r="H187" i="27"/>
  <c r="G187" i="27"/>
  <c r="J186" i="27"/>
  <c r="I186" i="27"/>
  <c r="H186" i="27"/>
  <c r="G186" i="27"/>
  <c r="J185" i="27"/>
  <c r="I185" i="27"/>
  <c r="H185" i="27"/>
  <c r="G185" i="27"/>
  <c r="J184" i="27"/>
  <c r="I184" i="27"/>
  <c r="H184" i="27"/>
  <c r="G184" i="27"/>
  <c r="J183" i="27"/>
  <c r="I183" i="27"/>
  <c r="H183" i="27"/>
  <c r="G183" i="27"/>
  <c r="J182" i="27"/>
  <c r="I182" i="27"/>
  <c r="H182" i="27"/>
  <c r="G182" i="27"/>
  <c r="J181" i="27"/>
  <c r="I181" i="27"/>
  <c r="H181" i="27"/>
  <c r="G181" i="27"/>
  <c r="J180" i="27"/>
  <c r="I180" i="27"/>
  <c r="H180" i="27"/>
  <c r="G180" i="27"/>
  <c r="J179" i="27"/>
  <c r="I179" i="27"/>
  <c r="H179" i="27"/>
  <c r="G179" i="27"/>
  <c r="J178" i="27"/>
  <c r="I178" i="27"/>
  <c r="H178" i="27"/>
  <c r="G178" i="27"/>
  <c r="J177" i="27"/>
  <c r="I177" i="27"/>
  <c r="H177" i="27"/>
  <c r="G177" i="27"/>
  <c r="J176" i="27"/>
  <c r="I176" i="27"/>
  <c r="H176" i="27"/>
  <c r="G176" i="27"/>
  <c r="J175" i="27"/>
  <c r="I175" i="27"/>
  <c r="H175" i="27"/>
  <c r="G175" i="27"/>
  <c r="J174" i="27"/>
  <c r="I174" i="27"/>
  <c r="H174" i="27"/>
  <c r="G174" i="27"/>
  <c r="J173" i="27"/>
  <c r="I173" i="27"/>
  <c r="H173" i="27"/>
  <c r="G173" i="27"/>
  <c r="J172" i="27"/>
  <c r="I172" i="27"/>
  <c r="H172" i="27"/>
  <c r="G172" i="27"/>
  <c r="J171" i="27"/>
  <c r="I171" i="27"/>
  <c r="H171" i="27"/>
  <c r="G171" i="27"/>
  <c r="J170" i="27"/>
  <c r="I170" i="27"/>
  <c r="H170" i="27"/>
  <c r="G170" i="27"/>
  <c r="J169" i="27"/>
  <c r="I169" i="27"/>
  <c r="H169" i="27"/>
  <c r="G169" i="27"/>
  <c r="J168" i="27"/>
  <c r="I168" i="27"/>
  <c r="H168" i="27"/>
  <c r="G168" i="27"/>
  <c r="J167" i="27"/>
  <c r="I167" i="27"/>
  <c r="H167" i="27"/>
  <c r="G167" i="27"/>
  <c r="J166" i="27"/>
  <c r="I166" i="27"/>
  <c r="H166" i="27"/>
  <c r="G166" i="27"/>
  <c r="J165" i="27"/>
  <c r="I165" i="27"/>
  <c r="H165" i="27"/>
  <c r="G165" i="27"/>
  <c r="J164" i="27"/>
  <c r="I164" i="27"/>
  <c r="H164" i="27"/>
  <c r="G164" i="27"/>
  <c r="J163" i="27"/>
  <c r="I163" i="27"/>
  <c r="H163" i="27"/>
  <c r="G163" i="27"/>
  <c r="J162" i="27"/>
  <c r="I162" i="27"/>
  <c r="H162" i="27"/>
  <c r="G162" i="27"/>
  <c r="J161" i="27"/>
  <c r="I161" i="27"/>
  <c r="H161" i="27"/>
  <c r="G161" i="27"/>
  <c r="J160" i="27"/>
  <c r="I160" i="27"/>
  <c r="H160" i="27"/>
  <c r="G160" i="27"/>
  <c r="J159" i="27"/>
  <c r="I159" i="27"/>
  <c r="H159" i="27"/>
  <c r="G159" i="27"/>
  <c r="J158" i="27"/>
  <c r="I158" i="27"/>
  <c r="H158" i="27"/>
  <c r="G158" i="27"/>
  <c r="J157" i="27"/>
  <c r="I157" i="27"/>
  <c r="H157" i="27"/>
  <c r="G157" i="27"/>
  <c r="J156" i="27"/>
  <c r="I156" i="27"/>
  <c r="H156" i="27"/>
  <c r="G156" i="27"/>
  <c r="J155" i="27"/>
  <c r="I155" i="27"/>
  <c r="H155" i="27"/>
  <c r="G155" i="27"/>
  <c r="J154" i="27"/>
  <c r="I154" i="27"/>
  <c r="H154" i="27"/>
  <c r="G154" i="27"/>
  <c r="J153" i="27"/>
  <c r="I153" i="27"/>
  <c r="H153" i="27"/>
  <c r="G153" i="27"/>
  <c r="J152" i="27"/>
  <c r="I152" i="27"/>
  <c r="H152" i="27"/>
  <c r="G152" i="27"/>
  <c r="J151" i="27"/>
  <c r="I151" i="27"/>
  <c r="H151" i="27"/>
  <c r="G151" i="27"/>
  <c r="J150" i="27"/>
  <c r="I150" i="27"/>
  <c r="H150" i="27"/>
  <c r="G150" i="27"/>
  <c r="J149" i="27"/>
  <c r="I149" i="27"/>
  <c r="H149" i="27"/>
  <c r="G149" i="27"/>
  <c r="J148" i="27"/>
  <c r="I148" i="27"/>
  <c r="H148" i="27"/>
  <c r="G148" i="27"/>
  <c r="J147" i="27"/>
  <c r="I147" i="27"/>
  <c r="H147" i="27"/>
  <c r="G147" i="27"/>
  <c r="J146" i="27"/>
  <c r="I146" i="27"/>
  <c r="H146" i="27"/>
  <c r="G146" i="27"/>
  <c r="J145" i="27"/>
  <c r="I145" i="27"/>
  <c r="H145" i="27"/>
  <c r="G145" i="27"/>
  <c r="J144" i="27"/>
  <c r="I144" i="27"/>
  <c r="H144" i="27"/>
  <c r="G144" i="27"/>
  <c r="J143" i="27"/>
  <c r="I143" i="27"/>
  <c r="H143" i="27"/>
  <c r="G143" i="27"/>
  <c r="J142" i="27"/>
  <c r="I142" i="27"/>
  <c r="H142" i="27"/>
  <c r="G142" i="27"/>
  <c r="J141" i="27"/>
  <c r="I141" i="27"/>
  <c r="H141" i="27"/>
  <c r="G141" i="27"/>
  <c r="J140" i="27"/>
  <c r="I140" i="27"/>
  <c r="H140" i="27"/>
  <c r="G140" i="27"/>
  <c r="J139" i="27"/>
  <c r="I139" i="27"/>
  <c r="H139" i="27"/>
  <c r="G139" i="27"/>
  <c r="J138" i="27"/>
  <c r="I138" i="27"/>
  <c r="H138" i="27"/>
  <c r="G138" i="27"/>
  <c r="J137" i="27"/>
  <c r="I137" i="27"/>
  <c r="H137" i="27"/>
  <c r="G137" i="27"/>
  <c r="J136" i="27"/>
  <c r="I136" i="27"/>
  <c r="H136" i="27"/>
  <c r="G136" i="27"/>
  <c r="J135" i="27"/>
  <c r="I135" i="27"/>
  <c r="H135" i="27"/>
  <c r="G135" i="27"/>
  <c r="J134" i="27"/>
  <c r="I134" i="27"/>
  <c r="H134" i="27"/>
  <c r="G134" i="27"/>
  <c r="J133" i="27"/>
  <c r="I133" i="27"/>
  <c r="H133" i="27"/>
  <c r="G133" i="27"/>
  <c r="J132" i="27"/>
  <c r="I132" i="27"/>
  <c r="H132" i="27"/>
  <c r="G132" i="27"/>
  <c r="J131" i="27"/>
  <c r="I131" i="27"/>
  <c r="H131" i="27"/>
  <c r="G131" i="27"/>
  <c r="J130" i="27"/>
  <c r="I130" i="27"/>
  <c r="H130" i="27"/>
  <c r="G130" i="27"/>
  <c r="J129" i="27"/>
  <c r="I129" i="27"/>
  <c r="H129" i="27"/>
  <c r="G129" i="27"/>
  <c r="J128" i="27"/>
  <c r="I128" i="27"/>
  <c r="H128" i="27"/>
  <c r="G128" i="27"/>
  <c r="J127" i="27"/>
  <c r="I127" i="27"/>
  <c r="H127" i="27"/>
  <c r="G127" i="27"/>
  <c r="J126" i="27"/>
  <c r="I126" i="27"/>
  <c r="H126" i="27"/>
  <c r="G126" i="27"/>
  <c r="J125" i="27"/>
  <c r="I125" i="27"/>
  <c r="H125" i="27"/>
  <c r="G125" i="27"/>
  <c r="J124" i="27"/>
  <c r="I124" i="27"/>
  <c r="H124" i="27"/>
  <c r="G124" i="27"/>
  <c r="J123" i="27"/>
  <c r="I123" i="27"/>
  <c r="H123" i="27"/>
  <c r="G123" i="27"/>
  <c r="J122" i="27"/>
  <c r="I122" i="27"/>
  <c r="H122" i="27"/>
  <c r="G122" i="27"/>
  <c r="J121" i="27"/>
  <c r="I121" i="27"/>
  <c r="H121" i="27"/>
  <c r="G121" i="27"/>
  <c r="J120" i="27"/>
  <c r="I120" i="27"/>
  <c r="H120" i="27"/>
  <c r="G120" i="27"/>
  <c r="J119" i="27"/>
  <c r="I119" i="27"/>
  <c r="H119" i="27"/>
  <c r="G119" i="27"/>
  <c r="J118" i="27"/>
  <c r="I118" i="27"/>
  <c r="H118" i="27"/>
  <c r="G118" i="27"/>
  <c r="J117" i="27"/>
  <c r="I117" i="27"/>
  <c r="H117" i="27"/>
  <c r="G117" i="27"/>
  <c r="J116" i="27"/>
  <c r="I116" i="27"/>
  <c r="H116" i="27"/>
  <c r="G116" i="27"/>
  <c r="J115" i="27"/>
  <c r="I115" i="27"/>
  <c r="H115" i="27"/>
  <c r="G115" i="27"/>
  <c r="J114" i="27"/>
  <c r="I114" i="27"/>
  <c r="H114" i="27"/>
  <c r="G114" i="27"/>
  <c r="J113" i="27"/>
  <c r="I113" i="27"/>
  <c r="H113" i="27"/>
  <c r="G113" i="27"/>
  <c r="J112" i="27"/>
  <c r="I112" i="27"/>
  <c r="H112" i="27"/>
  <c r="G112" i="27"/>
  <c r="J111" i="27"/>
  <c r="I111" i="27"/>
  <c r="H111" i="27"/>
  <c r="G111" i="27"/>
  <c r="J110" i="27"/>
  <c r="I110" i="27"/>
  <c r="H110" i="27"/>
  <c r="G110" i="27"/>
  <c r="J109" i="27"/>
  <c r="I109" i="27"/>
  <c r="H109" i="27"/>
  <c r="G109" i="27"/>
  <c r="J108" i="27"/>
  <c r="I108" i="27"/>
  <c r="H108" i="27"/>
  <c r="G108" i="27"/>
  <c r="J107" i="27"/>
  <c r="I107" i="27"/>
  <c r="H107" i="27"/>
  <c r="G107" i="27"/>
  <c r="J106" i="27"/>
  <c r="I106" i="27"/>
  <c r="H106" i="27"/>
  <c r="G106" i="27"/>
  <c r="J105" i="27"/>
  <c r="I105" i="27"/>
  <c r="H105" i="27"/>
  <c r="G105" i="27"/>
  <c r="J104" i="27"/>
  <c r="I104" i="27"/>
  <c r="H104" i="27"/>
  <c r="G104" i="27"/>
  <c r="J103" i="27"/>
  <c r="I103" i="27"/>
  <c r="H103" i="27"/>
  <c r="G103" i="27"/>
  <c r="J102" i="27"/>
  <c r="I102" i="27"/>
  <c r="H102" i="27"/>
  <c r="G102" i="27"/>
  <c r="J101" i="27"/>
  <c r="I101" i="27"/>
  <c r="H101" i="27"/>
  <c r="G101" i="27"/>
  <c r="J100" i="27"/>
  <c r="I100" i="27"/>
  <c r="H100" i="27"/>
  <c r="G100" i="27"/>
  <c r="J99" i="27"/>
  <c r="I99" i="27"/>
  <c r="H99" i="27"/>
  <c r="G99" i="27"/>
  <c r="J98" i="27"/>
  <c r="I98" i="27"/>
  <c r="H98" i="27"/>
  <c r="G98" i="27"/>
  <c r="J97" i="27"/>
  <c r="I97" i="27"/>
  <c r="H97" i="27"/>
  <c r="G97" i="27"/>
  <c r="J96" i="27"/>
  <c r="I96" i="27"/>
  <c r="H96" i="27"/>
  <c r="G96" i="27"/>
  <c r="J95" i="27"/>
  <c r="I95" i="27"/>
  <c r="H95" i="27"/>
  <c r="G95" i="27"/>
  <c r="J94" i="27"/>
  <c r="I94" i="27"/>
  <c r="H94" i="27"/>
  <c r="G94" i="27"/>
  <c r="J93" i="27"/>
  <c r="I93" i="27"/>
  <c r="H93" i="27"/>
  <c r="G93" i="27"/>
  <c r="J92" i="27"/>
  <c r="I92" i="27"/>
  <c r="H92" i="27"/>
  <c r="G92" i="27"/>
  <c r="J91" i="27"/>
  <c r="I91" i="27"/>
  <c r="H91" i="27"/>
  <c r="G91" i="27"/>
  <c r="J90" i="27"/>
  <c r="I90" i="27"/>
  <c r="H90" i="27"/>
  <c r="G90" i="27"/>
  <c r="J89" i="27"/>
  <c r="I89" i="27"/>
  <c r="H89" i="27"/>
  <c r="G89" i="27"/>
  <c r="J88" i="27"/>
  <c r="I88" i="27"/>
  <c r="H88" i="27"/>
  <c r="G88" i="27"/>
  <c r="J87" i="27"/>
  <c r="I87" i="27"/>
  <c r="H87" i="27"/>
  <c r="G87" i="27"/>
  <c r="J86" i="27"/>
  <c r="I86" i="27"/>
  <c r="H86" i="27"/>
  <c r="G86" i="27"/>
  <c r="J85" i="27"/>
  <c r="I85" i="27"/>
  <c r="H85" i="27"/>
  <c r="G85" i="27"/>
  <c r="J84" i="27"/>
  <c r="I84" i="27"/>
  <c r="H84" i="27"/>
  <c r="G84" i="27"/>
  <c r="J83" i="27"/>
  <c r="I83" i="27"/>
  <c r="H83" i="27"/>
  <c r="G83" i="27"/>
  <c r="J82" i="27"/>
  <c r="I82" i="27"/>
  <c r="H82" i="27"/>
  <c r="G82" i="27"/>
  <c r="J81" i="27"/>
  <c r="I81" i="27"/>
  <c r="H81" i="27"/>
  <c r="G81" i="27"/>
  <c r="J80" i="27"/>
  <c r="I80" i="27"/>
  <c r="H80" i="27"/>
  <c r="G80" i="27"/>
  <c r="J79" i="27"/>
  <c r="I79" i="27"/>
  <c r="H79" i="27"/>
  <c r="G79" i="27"/>
  <c r="J78" i="27"/>
  <c r="I78" i="27"/>
  <c r="H78" i="27"/>
  <c r="G78" i="27"/>
  <c r="J77" i="27"/>
  <c r="I77" i="27"/>
  <c r="H77" i="27"/>
  <c r="G77" i="27"/>
  <c r="J76" i="27"/>
  <c r="I76" i="27"/>
  <c r="H76" i="27"/>
  <c r="G76" i="27"/>
  <c r="J75" i="27"/>
  <c r="I75" i="27"/>
  <c r="H75" i="27"/>
  <c r="G75" i="27"/>
  <c r="J74" i="27"/>
  <c r="I74" i="27"/>
  <c r="H74" i="27"/>
  <c r="G74" i="27"/>
  <c r="J73" i="27"/>
  <c r="I73" i="27"/>
  <c r="H73" i="27"/>
  <c r="G73" i="27"/>
  <c r="J72" i="27"/>
  <c r="I72" i="27"/>
  <c r="H72" i="27"/>
  <c r="G72" i="27"/>
  <c r="J71" i="27"/>
  <c r="I71" i="27"/>
  <c r="H71" i="27"/>
  <c r="G71" i="27"/>
  <c r="J70" i="27"/>
  <c r="I70" i="27"/>
  <c r="H70" i="27"/>
  <c r="G70" i="27"/>
  <c r="J69" i="27"/>
  <c r="I69" i="27"/>
  <c r="H69" i="27"/>
  <c r="G69" i="27"/>
  <c r="J68" i="27"/>
  <c r="I68" i="27"/>
  <c r="H68" i="27"/>
  <c r="G68" i="27"/>
  <c r="J67" i="27"/>
  <c r="I67" i="27"/>
  <c r="H67" i="27"/>
  <c r="G67" i="27"/>
  <c r="J66" i="27"/>
  <c r="I66" i="27"/>
  <c r="H66" i="27"/>
  <c r="G66" i="27"/>
  <c r="J65" i="27"/>
  <c r="I65" i="27"/>
  <c r="H65" i="27"/>
  <c r="G65" i="27"/>
  <c r="J64" i="27"/>
  <c r="I64" i="27"/>
  <c r="H64" i="27"/>
  <c r="G64" i="27"/>
  <c r="J63" i="27"/>
  <c r="I63" i="27"/>
  <c r="H63" i="27"/>
  <c r="G63" i="27"/>
  <c r="J62" i="27"/>
  <c r="I62" i="27"/>
  <c r="H62" i="27"/>
  <c r="G62" i="27"/>
  <c r="J61" i="27"/>
  <c r="I61" i="27"/>
  <c r="H61" i="27"/>
  <c r="G61" i="27"/>
  <c r="J60" i="27"/>
  <c r="I60" i="27"/>
  <c r="H60" i="27"/>
  <c r="G60" i="27"/>
  <c r="J59" i="27"/>
  <c r="I59" i="27"/>
  <c r="H59" i="27"/>
  <c r="G59" i="27"/>
  <c r="J58" i="27"/>
  <c r="I58" i="27"/>
  <c r="H58" i="27"/>
  <c r="G58" i="27"/>
  <c r="J57" i="27"/>
  <c r="I57" i="27"/>
  <c r="H57" i="27"/>
  <c r="G57" i="27"/>
  <c r="J56" i="27"/>
  <c r="I56" i="27"/>
  <c r="H56" i="27"/>
  <c r="G56" i="27"/>
  <c r="J55" i="27"/>
  <c r="I55" i="27"/>
  <c r="H55" i="27"/>
  <c r="G55" i="27"/>
  <c r="J54" i="27"/>
  <c r="I54" i="27"/>
  <c r="H54" i="27"/>
  <c r="G54" i="27"/>
  <c r="J53" i="27"/>
  <c r="I53" i="27"/>
  <c r="H53" i="27"/>
  <c r="G53" i="27"/>
  <c r="J52" i="27"/>
  <c r="I52" i="27"/>
  <c r="H52" i="27"/>
  <c r="G52" i="27"/>
  <c r="J51" i="27"/>
  <c r="I51" i="27"/>
  <c r="H51" i="27"/>
  <c r="G51" i="27"/>
  <c r="J50" i="27"/>
  <c r="I50" i="27"/>
  <c r="H50" i="27"/>
  <c r="G50" i="27"/>
  <c r="J49" i="27"/>
  <c r="I49" i="27"/>
  <c r="H49" i="27"/>
  <c r="G49" i="27"/>
  <c r="J48" i="27"/>
  <c r="I48" i="27"/>
  <c r="H48" i="27"/>
  <c r="G48" i="27"/>
  <c r="J47" i="27"/>
  <c r="I47" i="27"/>
  <c r="H47" i="27"/>
  <c r="G47" i="27"/>
  <c r="J46" i="27"/>
  <c r="I46" i="27"/>
  <c r="H46" i="27"/>
  <c r="G46" i="27"/>
  <c r="J45" i="27"/>
  <c r="I45" i="27"/>
  <c r="H45" i="27"/>
  <c r="G45" i="27"/>
  <c r="J44" i="27"/>
  <c r="I44" i="27"/>
  <c r="H44" i="27"/>
  <c r="G44" i="27"/>
  <c r="J43" i="27"/>
  <c r="I43" i="27"/>
  <c r="H43" i="27"/>
  <c r="G43" i="27"/>
  <c r="J42" i="27"/>
  <c r="I42" i="27"/>
  <c r="H42" i="27"/>
  <c r="G42" i="27"/>
  <c r="J41" i="27"/>
  <c r="I41" i="27"/>
  <c r="H41" i="27"/>
  <c r="G41" i="27"/>
  <c r="J40" i="27"/>
  <c r="I40" i="27"/>
  <c r="H40" i="27"/>
  <c r="G40" i="27"/>
  <c r="J39" i="27"/>
  <c r="I39" i="27"/>
  <c r="H39" i="27"/>
  <c r="G39" i="27"/>
  <c r="J38" i="27"/>
  <c r="I38" i="27"/>
  <c r="H38" i="27"/>
  <c r="G38" i="27"/>
  <c r="J37" i="27"/>
  <c r="I37" i="27"/>
  <c r="H37" i="27"/>
  <c r="G37" i="27"/>
  <c r="J36" i="27"/>
  <c r="I36" i="27"/>
  <c r="H36" i="27"/>
  <c r="G36" i="27"/>
  <c r="J35" i="27"/>
  <c r="I35" i="27"/>
  <c r="H35" i="27"/>
  <c r="G35" i="27"/>
  <c r="J34" i="27"/>
  <c r="I34" i="27"/>
  <c r="H34" i="27"/>
  <c r="G34" i="27"/>
  <c r="J33" i="27"/>
  <c r="I33" i="27"/>
  <c r="H33" i="27"/>
  <c r="G33" i="27"/>
  <c r="J32" i="27"/>
  <c r="I32" i="27"/>
  <c r="H32" i="27"/>
  <c r="G32" i="27"/>
  <c r="J31" i="27"/>
  <c r="I31" i="27"/>
  <c r="H31" i="27"/>
  <c r="G31" i="27"/>
  <c r="J30" i="27"/>
  <c r="I30" i="27"/>
  <c r="H30" i="27"/>
  <c r="G30" i="27"/>
  <c r="J29" i="27"/>
  <c r="I29" i="27"/>
  <c r="H29" i="27"/>
  <c r="G29" i="27"/>
  <c r="J28" i="27"/>
  <c r="I28" i="27"/>
  <c r="H28" i="27"/>
  <c r="G28" i="27"/>
  <c r="J27" i="27"/>
  <c r="I27" i="27"/>
  <c r="H27" i="27"/>
  <c r="G27" i="27"/>
  <c r="J26" i="27"/>
  <c r="I26" i="27"/>
  <c r="H26" i="27"/>
  <c r="G26" i="27"/>
  <c r="J25" i="27"/>
  <c r="I25" i="27"/>
  <c r="H25" i="27"/>
  <c r="G25" i="27"/>
  <c r="J24" i="27"/>
  <c r="I24" i="27"/>
  <c r="H24" i="27"/>
  <c r="G24" i="27"/>
  <c r="J23" i="27"/>
  <c r="I23" i="27"/>
  <c r="H23" i="27"/>
  <c r="G23" i="27"/>
  <c r="J22" i="27"/>
  <c r="I22" i="27"/>
  <c r="H22" i="27"/>
  <c r="G22" i="27"/>
  <c r="J21" i="27"/>
  <c r="I21" i="27"/>
  <c r="H21" i="27"/>
  <c r="G21" i="27"/>
  <c r="J20" i="27"/>
  <c r="I20" i="27"/>
  <c r="H20" i="27"/>
  <c r="G20" i="27"/>
  <c r="J19" i="27"/>
  <c r="I19" i="27"/>
  <c r="H19" i="27"/>
  <c r="G19" i="27"/>
  <c r="J18" i="27"/>
  <c r="I18" i="27"/>
  <c r="H18" i="27"/>
  <c r="G18" i="27"/>
  <c r="J17" i="27"/>
  <c r="I17" i="27"/>
  <c r="H17" i="27"/>
  <c r="G17" i="27"/>
  <c r="J16" i="27"/>
  <c r="I16" i="27"/>
  <c r="H16" i="27"/>
  <c r="G16" i="27"/>
  <c r="J15" i="27"/>
  <c r="I15" i="27"/>
  <c r="H15" i="27"/>
  <c r="G15" i="27"/>
  <c r="J14" i="27"/>
  <c r="I14" i="27"/>
  <c r="H14" i="27"/>
  <c r="G14" i="27"/>
  <c r="J13" i="27"/>
  <c r="I13" i="27"/>
  <c r="H13" i="27"/>
  <c r="G13" i="27"/>
  <c r="J12" i="27"/>
  <c r="I12" i="27"/>
  <c r="H12" i="27"/>
  <c r="G12" i="27"/>
  <c r="J11" i="27"/>
  <c r="I11" i="27"/>
  <c r="H11" i="27"/>
  <c r="G11" i="27"/>
  <c r="J10" i="27"/>
  <c r="I10" i="27"/>
  <c r="H10" i="27"/>
  <c r="G10" i="27"/>
  <c r="J9" i="27"/>
  <c r="I9" i="27"/>
  <c r="H9" i="27"/>
  <c r="G9" i="27"/>
  <c r="J8" i="27"/>
  <c r="I8" i="27"/>
  <c r="H8" i="27"/>
  <c r="G8" i="27"/>
  <c r="J7" i="27"/>
  <c r="I7" i="27"/>
  <c r="H7" i="27"/>
  <c r="G7" i="27"/>
  <c r="J6" i="27"/>
  <c r="I6" i="27"/>
  <c r="H6" i="27"/>
  <c r="G6" i="27"/>
  <c r="J5" i="27"/>
  <c r="I5" i="27"/>
  <c r="H5" i="27"/>
  <c r="G5" i="27"/>
  <c r="J424" i="26"/>
  <c r="I424" i="26"/>
  <c r="H424" i="26"/>
  <c r="G424" i="26"/>
  <c r="F424" i="26"/>
  <c r="J423" i="26"/>
  <c r="I423" i="26"/>
  <c r="H423" i="26"/>
  <c r="G423" i="26"/>
  <c r="F423" i="26"/>
  <c r="R180" i="25" s="1"/>
  <c r="J420" i="26"/>
  <c r="I420" i="26"/>
  <c r="H420" i="26"/>
  <c r="G420" i="26"/>
  <c r="E420" i="26"/>
  <c r="F420" i="26" s="1"/>
  <c r="J419" i="26"/>
  <c r="I419" i="26"/>
  <c r="H419" i="26"/>
  <c r="G419" i="26"/>
  <c r="F419" i="26"/>
  <c r="R56" i="25" s="1"/>
  <c r="D56" i="25" s="1"/>
  <c r="J416" i="26"/>
  <c r="I416" i="26"/>
  <c r="H416" i="26"/>
  <c r="G416" i="26"/>
  <c r="F416" i="26"/>
  <c r="J415" i="26"/>
  <c r="I415" i="26"/>
  <c r="H415" i="26"/>
  <c r="G415" i="26"/>
  <c r="F415" i="26"/>
  <c r="J414" i="26"/>
  <c r="I414" i="26"/>
  <c r="H414" i="26"/>
  <c r="G414" i="26"/>
  <c r="F414" i="26"/>
  <c r="J413" i="26"/>
  <c r="I413" i="26"/>
  <c r="H413" i="26"/>
  <c r="G413" i="26"/>
  <c r="F413" i="26"/>
  <c r="J412" i="26"/>
  <c r="I412" i="26"/>
  <c r="H412" i="26"/>
  <c r="G412" i="26"/>
  <c r="F412" i="26"/>
  <c r="J411" i="26"/>
  <c r="I411" i="26"/>
  <c r="H411" i="26"/>
  <c r="G411" i="26"/>
  <c r="F411" i="26"/>
  <c r="J410" i="26"/>
  <c r="I410" i="26"/>
  <c r="H410" i="26"/>
  <c r="G410" i="26"/>
  <c r="F410" i="26"/>
  <c r="J409" i="26"/>
  <c r="I409" i="26"/>
  <c r="H409" i="26"/>
  <c r="G409" i="26"/>
  <c r="F409" i="26"/>
  <c r="J408" i="26"/>
  <c r="I408" i="26"/>
  <c r="H408" i="26"/>
  <c r="G408" i="26"/>
  <c r="F408" i="26"/>
  <c r="J407" i="26"/>
  <c r="I407" i="26"/>
  <c r="H407" i="26"/>
  <c r="G407" i="26"/>
  <c r="F407" i="26"/>
  <c r="J406" i="26"/>
  <c r="I406" i="26"/>
  <c r="H406" i="26"/>
  <c r="G406" i="26"/>
  <c r="F406" i="26"/>
  <c r="J405" i="26"/>
  <c r="I405" i="26"/>
  <c r="H405" i="26"/>
  <c r="G405" i="26"/>
  <c r="F405" i="26"/>
  <c r="J404" i="26"/>
  <c r="I404" i="26"/>
  <c r="H404" i="26"/>
  <c r="G404" i="26"/>
  <c r="F404" i="26"/>
  <c r="J403" i="26"/>
  <c r="I403" i="26"/>
  <c r="H403" i="26"/>
  <c r="G403" i="26"/>
  <c r="F403" i="26"/>
  <c r="J402" i="26"/>
  <c r="I402" i="26"/>
  <c r="H402" i="26"/>
  <c r="G402" i="26"/>
  <c r="F402" i="26"/>
  <c r="J401" i="26"/>
  <c r="I401" i="26"/>
  <c r="H401" i="26"/>
  <c r="G401" i="26"/>
  <c r="F401" i="26"/>
  <c r="J400" i="26"/>
  <c r="I400" i="26"/>
  <c r="H400" i="26"/>
  <c r="G400" i="26"/>
  <c r="F400" i="26"/>
  <c r="J399" i="26"/>
  <c r="I399" i="26"/>
  <c r="H399" i="26"/>
  <c r="G399" i="26"/>
  <c r="F399" i="26"/>
  <c r="J398" i="26"/>
  <c r="I398" i="26"/>
  <c r="H398" i="26"/>
  <c r="G398" i="26"/>
  <c r="F398" i="26"/>
  <c r="J397" i="26"/>
  <c r="I397" i="26"/>
  <c r="H397" i="26"/>
  <c r="G397" i="26"/>
  <c r="F397" i="26"/>
  <c r="J396" i="26"/>
  <c r="I396" i="26"/>
  <c r="H396" i="26"/>
  <c r="G396" i="26"/>
  <c r="F396" i="26"/>
  <c r="J395" i="26"/>
  <c r="I395" i="26"/>
  <c r="H395" i="26"/>
  <c r="G395" i="26"/>
  <c r="F395" i="26"/>
  <c r="J394" i="26"/>
  <c r="I394" i="26"/>
  <c r="H394" i="26"/>
  <c r="G394" i="26"/>
  <c r="F394" i="26"/>
  <c r="J393" i="26"/>
  <c r="I393" i="26"/>
  <c r="H393" i="26"/>
  <c r="G393" i="26"/>
  <c r="F393" i="26"/>
  <c r="J392" i="26"/>
  <c r="I392" i="26"/>
  <c r="H392" i="26"/>
  <c r="G392" i="26"/>
  <c r="F392" i="26"/>
  <c r="J391" i="26"/>
  <c r="I391" i="26"/>
  <c r="H391" i="26"/>
  <c r="G391" i="26"/>
  <c r="F391" i="26"/>
  <c r="J390" i="26"/>
  <c r="I390" i="26"/>
  <c r="H390" i="26"/>
  <c r="G390" i="26"/>
  <c r="F390" i="26"/>
  <c r="J389" i="26"/>
  <c r="I389" i="26"/>
  <c r="H389" i="26"/>
  <c r="G389" i="26"/>
  <c r="F389" i="26"/>
  <c r="J388" i="26"/>
  <c r="I388" i="26"/>
  <c r="H388" i="26"/>
  <c r="G388" i="26"/>
  <c r="F388" i="26"/>
  <c r="J387" i="26"/>
  <c r="I387" i="26"/>
  <c r="H387" i="26"/>
  <c r="G387" i="26"/>
  <c r="F387" i="26"/>
  <c r="J386" i="26"/>
  <c r="I386" i="26"/>
  <c r="H386" i="26"/>
  <c r="G386" i="26"/>
  <c r="F386" i="26"/>
  <c r="J385" i="26"/>
  <c r="I385" i="26"/>
  <c r="H385" i="26"/>
  <c r="G385" i="26"/>
  <c r="F385" i="26"/>
  <c r="J384" i="26"/>
  <c r="I384" i="26"/>
  <c r="H384" i="26"/>
  <c r="G384" i="26"/>
  <c r="F384" i="26"/>
  <c r="J383" i="26"/>
  <c r="I383" i="26"/>
  <c r="H383" i="26"/>
  <c r="G383" i="26"/>
  <c r="F383" i="26"/>
  <c r="J382" i="26"/>
  <c r="I382" i="26"/>
  <c r="H382" i="26"/>
  <c r="G382" i="26"/>
  <c r="F382" i="26"/>
  <c r="J381" i="26"/>
  <c r="I381" i="26"/>
  <c r="H381" i="26"/>
  <c r="G381" i="26"/>
  <c r="F381" i="26"/>
  <c r="J380" i="26"/>
  <c r="I380" i="26"/>
  <c r="H380" i="26"/>
  <c r="G380" i="26"/>
  <c r="F380" i="26"/>
  <c r="J379" i="26"/>
  <c r="I379" i="26"/>
  <c r="H379" i="26"/>
  <c r="G379" i="26"/>
  <c r="F379" i="26"/>
  <c r="J378" i="26"/>
  <c r="I378" i="26"/>
  <c r="H378" i="26"/>
  <c r="G378" i="26"/>
  <c r="F378" i="26"/>
  <c r="J377" i="26"/>
  <c r="I377" i="26"/>
  <c r="H377" i="26"/>
  <c r="G377" i="26"/>
  <c r="F377" i="26"/>
  <c r="J376" i="26"/>
  <c r="I376" i="26"/>
  <c r="H376" i="26"/>
  <c r="G376" i="26"/>
  <c r="F376" i="26"/>
  <c r="J375" i="26"/>
  <c r="I375" i="26"/>
  <c r="H375" i="26"/>
  <c r="G375" i="26"/>
  <c r="F375" i="26"/>
  <c r="J374" i="26"/>
  <c r="I374" i="26"/>
  <c r="H374" i="26"/>
  <c r="G374" i="26"/>
  <c r="F374" i="26"/>
  <c r="J373" i="26"/>
  <c r="I373" i="26"/>
  <c r="H373" i="26"/>
  <c r="G373" i="26"/>
  <c r="F373" i="26"/>
  <c r="J372" i="26"/>
  <c r="I372" i="26"/>
  <c r="H372" i="26"/>
  <c r="G372" i="26"/>
  <c r="F372" i="26"/>
  <c r="J371" i="26"/>
  <c r="I371" i="26"/>
  <c r="H371" i="26"/>
  <c r="G371" i="26"/>
  <c r="F371" i="26"/>
  <c r="J370" i="26"/>
  <c r="I370" i="26"/>
  <c r="H370" i="26"/>
  <c r="G370" i="26"/>
  <c r="F370" i="26"/>
  <c r="J369" i="26"/>
  <c r="I369" i="26"/>
  <c r="H369" i="26"/>
  <c r="G369" i="26"/>
  <c r="F369" i="26"/>
  <c r="J368" i="26"/>
  <c r="I368" i="26"/>
  <c r="H368" i="26"/>
  <c r="G368" i="26"/>
  <c r="F368" i="26"/>
  <c r="J367" i="26"/>
  <c r="I367" i="26"/>
  <c r="H367" i="26"/>
  <c r="G367" i="26"/>
  <c r="F367" i="26"/>
  <c r="J366" i="26"/>
  <c r="I366" i="26"/>
  <c r="H366" i="26"/>
  <c r="G366" i="26"/>
  <c r="F366" i="26"/>
  <c r="J365" i="26"/>
  <c r="I365" i="26"/>
  <c r="H365" i="26"/>
  <c r="G365" i="26"/>
  <c r="F365" i="26"/>
  <c r="J364" i="26"/>
  <c r="I364" i="26"/>
  <c r="H364" i="26"/>
  <c r="G364" i="26"/>
  <c r="F364" i="26"/>
  <c r="J363" i="26"/>
  <c r="I363" i="26"/>
  <c r="H363" i="26"/>
  <c r="G363" i="26"/>
  <c r="F363" i="26"/>
  <c r="J362" i="26"/>
  <c r="I362" i="26"/>
  <c r="H362" i="26"/>
  <c r="G362" i="26"/>
  <c r="F362" i="26"/>
  <c r="J361" i="26"/>
  <c r="I361" i="26"/>
  <c r="H361" i="26"/>
  <c r="G361" i="26"/>
  <c r="F361" i="26"/>
  <c r="J360" i="26"/>
  <c r="I360" i="26"/>
  <c r="H360" i="26"/>
  <c r="G360" i="26"/>
  <c r="F360" i="26"/>
  <c r="J359" i="26"/>
  <c r="I359" i="26"/>
  <c r="H359" i="26"/>
  <c r="G359" i="26"/>
  <c r="F359" i="26"/>
  <c r="J358" i="26"/>
  <c r="I358" i="26"/>
  <c r="H358" i="26"/>
  <c r="G358" i="26"/>
  <c r="F358" i="26"/>
  <c r="J357" i="26"/>
  <c r="I357" i="26"/>
  <c r="H357" i="26"/>
  <c r="G357" i="26"/>
  <c r="F357" i="26"/>
  <c r="J356" i="26"/>
  <c r="I356" i="26"/>
  <c r="H356" i="26"/>
  <c r="G356" i="26"/>
  <c r="F356" i="26"/>
  <c r="J355" i="26"/>
  <c r="I355" i="26"/>
  <c r="H355" i="26"/>
  <c r="G355" i="26"/>
  <c r="F355" i="26"/>
  <c r="J354" i="26"/>
  <c r="I354" i="26"/>
  <c r="H354" i="26"/>
  <c r="G354" i="26"/>
  <c r="F354" i="26"/>
  <c r="J353" i="26"/>
  <c r="I353" i="26"/>
  <c r="H353" i="26"/>
  <c r="G353" i="26"/>
  <c r="F353" i="26"/>
  <c r="J352" i="26"/>
  <c r="I352" i="26"/>
  <c r="H352" i="26"/>
  <c r="G352" i="26"/>
  <c r="F352" i="26"/>
  <c r="J351" i="26"/>
  <c r="I351" i="26"/>
  <c r="H351" i="26"/>
  <c r="G351" i="26"/>
  <c r="F351" i="26"/>
  <c r="J350" i="26"/>
  <c r="I350" i="26"/>
  <c r="H350" i="26"/>
  <c r="G350" i="26"/>
  <c r="F350" i="26"/>
  <c r="J349" i="26"/>
  <c r="I349" i="26"/>
  <c r="H349" i="26"/>
  <c r="G349" i="26"/>
  <c r="F349" i="26"/>
  <c r="J348" i="26"/>
  <c r="I348" i="26"/>
  <c r="H348" i="26"/>
  <c r="G348" i="26"/>
  <c r="F348" i="26"/>
  <c r="J347" i="26"/>
  <c r="I347" i="26"/>
  <c r="H347" i="26"/>
  <c r="G347" i="26"/>
  <c r="F347" i="26"/>
  <c r="J346" i="26"/>
  <c r="I346" i="26"/>
  <c r="H346" i="26"/>
  <c r="G346" i="26"/>
  <c r="F346" i="26"/>
  <c r="J345" i="26"/>
  <c r="I345" i="26"/>
  <c r="H345" i="26"/>
  <c r="G345" i="26"/>
  <c r="F345" i="26"/>
  <c r="J344" i="26"/>
  <c r="I344" i="26"/>
  <c r="H344" i="26"/>
  <c r="G344" i="26"/>
  <c r="F344" i="26"/>
  <c r="J343" i="26"/>
  <c r="I343" i="26"/>
  <c r="H343" i="26"/>
  <c r="G343" i="26"/>
  <c r="F343" i="26"/>
  <c r="J342" i="26"/>
  <c r="I342" i="26"/>
  <c r="H342" i="26"/>
  <c r="G342" i="26"/>
  <c r="F342" i="26"/>
  <c r="J341" i="26"/>
  <c r="I341" i="26"/>
  <c r="H341" i="26"/>
  <c r="G341" i="26"/>
  <c r="F341" i="26"/>
  <c r="J340" i="26"/>
  <c r="I340" i="26"/>
  <c r="H340" i="26"/>
  <c r="G340" i="26"/>
  <c r="F340" i="26"/>
  <c r="J339" i="26"/>
  <c r="I339" i="26"/>
  <c r="H339" i="26"/>
  <c r="G339" i="26"/>
  <c r="F339" i="26"/>
  <c r="J338" i="26"/>
  <c r="I338" i="26"/>
  <c r="H338" i="26"/>
  <c r="G338" i="26"/>
  <c r="F338" i="26"/>
  <c r="J337" i="26"/>
  <c r="I337" i="26"/>
  <c r="H337" i="26"/>
  <c r="G337" i="26"/>
  <c r="F337" i="26"/>
  <c r="J336" i="26"/>
  <c r="I336" i="26"/>
  <c r="H336" i="26"/>
  <c r="G336" i="26"/>
  <c r="F336" i="26"/>
  <c r="J335" i="26"/>
  <c r="I335" i="26"/>
  <c r="H335" i="26"/>
  <c r="G335" i="26"/>
  <c r="F335" i="26"/>
  <c r="J334" i="26"/>
  <c r="I334" i="26"/>
  <c r="H334" i="26"/>
  <c r="G334" i="26"/>
  <c r="F334" i="26"/>
  <c r="J333" i="26"/>
  <c r="I333" i="26"/>
  <c r="H333" i="26"/>
  <c r="G333" i="26"/>
  <c r="F333" i="26"/>
  <c r="J332" i="26"/>
  <c r="I332" i="26"/>
  <c r="H332" i="26"/>
  <c r="G332" i="26"/>
  <c r="F332" i="26"/>
  <c r="J331" i="26"/>
  <c r="I331" i="26"/>
  <c r="H331" i="26"/>
  <c r="G331" i="26"/>
  <c r="F331" i="26"/>
  <c r="J330" i="26"/>
  <c r="I330" i="26"/>
  <c r="H330" i="26"/>
  <c r="G330" i="26"/>
  <c r="F330" i="26"/>
  <c r="J329" i="26"/>
  <c r="I329" i="26"/>
  <c r="H329" i="26"/>
  <c r="G329" i="26"/>
  <c r="F329" i="26"/>
  <c r="J328" i="26"/>
  <c r="I328" i="26"/>
  <c r="H328" i="26"/>
  <c r="G328" i="26"/>
  <c r="F328" i="26"/>
  <c r="J327" i="26"/>
  <c r="I327" i="26"/>
  <c r="H327" i="26"/>
  <c r="G327" i="26"/>
  <c r="F327" i="26"/>
  <c r="J326" i="26"/>
  <c r="I326" i="26"/>
  <c r="H326" i="26"/>
  <c r="G326" i="26"/>
  <c r="F326" i="26"/>
  <c r="J325" i="26"/>
  <c r="I325" i="26"/>
  <c r="H325" i="26"/>
  <c r="G325" i="26"/>
  <c r="F325" i="26"/>
  <c r="J324" i="26"/>
  <c r="I324" i="26"/>
  <c r="H324" i="26"/>
  <c r="G324" i="26"/>
  <c r="F324" i="26"/>
  <c r="J323" i="26"/>
  <c r="I323" i="26"/>
  <c r="H323" i="26"/>
  <c r="G323" i="26"/>
  <c r="F323" i="26"/>
  <c r="J322" i="26"/>
  <c r="I322" i="26"/>
  <c r="H322" i="26"/>
  <c r="G322" i="26"/>
  <c r="F322" i="26"/>
  <c r="J321" i="26"/>
  <c r="I321" i="26"/>
  <c r="H321" i="26"/>
  <c r="G321" i="26"/>
  <c r="F321" i="26"/>
  <c r="J320" i="26"/>
  <c r="I320" i="26"/>
  <c r="H320" i="26"/>
  <c r="G320" i="26"/>
  <c r="F320" i="26"/>
  <c r="J319" i="26"/>
  <c r="I319" i="26"/>
  <c r="H319" i="26"/>
  <c r="G319" i="26"/>
  <c r="F319" i="26"/>
  <c r="J318" i="26"/>
  <c r="I318" i="26"/>
  <c r="H318" i="26"/>
  <c r="G318" i="26"/>
  <c r="F318" i="26"/>
  <c r="J317" i="26"/>
  <c r="I317" i="26"/>
  <c r="H317" i="26"/>
  <c r="G317" i="26"/>
  <c r="F317" i="26"/>
  <c r="J316" i="26"/>
  <c r="I316" i="26"/>
  <c r="H316" i="26"/>
  <c r="G316" i="26"/>
  <c r="F316" i="26"/>
  <c r="J315" i="26"/>
  <c r="I315" i="26"/>
  <c r="H315" i="26"/>
  <c r="G315" i="26"/>
  <c r="F315" i="26"/>
  <c r="J314" i="26"/>
  <c r="I314" i="26"/>
  <c r="H314" i="26"/>
  <c r="G314" i="26"/>
  <c r="F314" i="26"/>
  <c r="J313" i="26"/>
  <c r="I313" i="26"/>
  <c r="H313" i="26"/>
  <c r="G313" i="26"/>
  <c r="F313" i="26"/>
  <c r="J312" i="26"/>
  <c r="I312" i="26"/>
  <c r="H312" i="26"/>
  <c r="G312" i="26"/>
  <c r="F312" i="26"/>
  <c r="J311" i="26"/>
  <c r="I311" i="26"/>
  <c r="H311" i="26"/>
  <c r="G311" i="26"/>
  <c r="F311" i="26"/>
  <c r="J310" i="26"/>
  <c r="I310" i="26"/>
  <c r="H310" i="26"/>
  <c r="G310" i="26"/>
  <c r="F310" i="26"/>
  <c r="J309" i="26"/>
  <c r="I309" i="26"/>
  <c r="H309" i="26"/>
  <c r="G309" i="26"/>
  <c r="F309" i="26"/>
  <c r="J308" i="26"/>
  <c r="I308" i="26"/>
  <c r="H308" i="26"/>
  <c r="G308" i="26"/>
  <c r="F308" i="26"/>
  <c r="J307" i="26"/>
  <c r="I307" i="26"/>
  <c r="H307" i="26"/>
  <c r="G307" i="26"/>
  <c r="F307" i="26"/>
  <c r="J306" i="26"/>
  <c r="I306" i="26"/>
  <c r="H306" i="26"/>
  <c r="G306" i="26"/>
  <c r="F306" i="26"/>
  <c r="J305" i="26"/>
  <c r="I305" i="26"/>
  <c r="H305" i="26"/>
  <c r="G305" i="26"/>
  <c r="F305" i="26"/>
  <c r="J304" i="26"/>
  <c r="I304" i="26"/>
  <c r="H304" i="26"/>
  <c r="G304" i="26"/>
  <c r="F304" i="26"/>
  <c r="J303" i="26"/>
  <c r="I303" i="26"/>
  <c r="H303" i="26"/>
  <c r="G303" i="26"/>
  <c r="F303" i="26"/>
  <c r="J302" i="26"/>
  <c r="I302" i="26"/>
  <c r="H302" i="26"/>
  <c r="G302" i="26"/>
  <c r="F302" i="26"/>
  <c r="J301" i="26"/>
  <c r="I301" i="26"/>
  <c r="H301" i="26"/>
  <c r="G301" i="26"/>
  <c r="F301" i="26"/>
  <c r="J300" i="26"/>
  <c r="I300" i="26"/>
  <c r="H300" i="26"/>
  <c r="G300" i="26"/>
  <c r="F300" i="26"/>
  <c r="J299" i="26"/>
  <c r="I299" i="26"/>
  <c r="H299" i="26"/>
  <c r="G299" i="26"/>
  <c r="F299" i="26"/>
  <c r="J298" i="26"/>
  <c r="I298" i="26"/>
  <c r="H298" i="26"/>
  <c r="G298" i="26"/>
  <c r="F298" i="26"/>
  <c r="J297" i="26"/>
  <c r="I297" i="26"/>
  <c r="H297" i="26"/>
  <c r="G297" i="26"/>
  <c r="F297" i="26"/>
  <c r="J296" i="26"/>
  <c r="I296" i="26"/>
  <c r="H296" i="26"/>
  <c r="G296" i="26"/>
  <c r="F296" i="26"/>
  <c r="J295" i="26"/>
  <c r="I295" i="26"/>
  <c r="H295" i="26"/>
  <c r="G295" i="26"/>
  <c r="F295" i="26"/>
  <c r="J294" i="26"/>
  <c r="I294" i="26"/>
  <c r="H294" i="26"/>
  <c r="G294" i="26"/>
  <c r="F294" i="26"/>
  <c r="J293" i="26"/>
  <c r="I293" i="26"/>
  <c r="H293" i="26"/>
  <c r="G293" i="26"/>
  <c r="F293" i="26"/>
  <c r="J292" i="26"/>
  <c r="I292" i="26"/>
  <c r="H292" i="26"/>
  <c r="G292" i="26"/>
  <c r="F292" i="26"/>
  <c r="J291" i="26"/>
  <c r="I291" i="26"/>
  <c r="H291" i="26"/>
  <c r="G291" i="26"/>
  <c r="F291" i="26"/>
  <c r="J290" i="26"/>
  <c r="I290" i="26"/>
  <c r="H290" i="26"/>
  <c r="G290" i="26"/>
  <c r="F290" i="26"/>
  <c r="J289" i="26"/>
  <c r="I289" i="26"/>
  <c r="H289" i="26"/>
  <c r="G289" i="26"/>
  <c r="F289" i="26"/>
  <c r="J288" i="26"/>
  <c r="I288" i="26"/>
  <c r="H288" i="26"/>
  <c r="G288" i="26"/>
  <c r="F288" i="26"/>
  <c r="J287" i="26"/>
  <c r="I287" i="26"/>
  <c r="H287" i="26"/>
  <c r="G287" i="26"/>
  <c r="F287" i="26"/>
  <c r="J286" i="26"/>
  <c r="I286" i="26"/>
  <c r="H286" i="26"/>
  <c r="G286" i="26"/>
  <c r="F286" i="26"/>
  <c r="J285" i="26"/>
  <c r="I285" i="26"/>
  <c r="H285" i="26"/>
  <c r="G285" i="26"/>
  <c r="F285" i="26"/>
  <c r="J284" i="26"/>
  <c r="I284" i="26"/>
  <c r="H284" i="26"/>
  <c r="G284" i="26"/>
  <c r="F284" i="26"/>
  <c r="J283" i="26"/>
  <c r="I283" i="26"/>
  <c r="H283" i="26"/>
  <c r="G283" i="26"/>
  <c r="F283" i="26"/>
  <c r="J282" i="26"/>
  <c r="I282" i="26"/>
  <c r="H282" i="26"/>
  <c r="G282" i="26"/>
  <c r="F282" i="26"/>
  <c r="J281" i="26"/>
  <c r="I281" i="26"/>
  <c r="H281" i="26"/>
  <c r="G281" i="26"/>
  <c r="F281" i="26"/>
  <c r="J280" i="26"/>
  <c r="I280" i="26"/>
  <c r="H280" i="26"/>
  <c r="G280" i="26"/>
  <c r="F280" i="26"/>
  <c r="J279" i="26"/>
  <c r="I279" i="26"/>
  <c r="H279" i="26"/>
  <c r="G279" i="26"/>
  <c r="F279" i="26"/>
  <c r="J278" i="26"/>
  <c r="I278" i="26"/>
  <c r="H278" i="26"/>
  <c r="G278" i="26"/>
  <c r="F278" i="26"/>
  <c r="J277" i="26"/>
  <c r="I277" i="26"/>
  <c r="H277" i="26"/>
  <c r="G277" i="26"/>
  <c r="F277" i="26"/>
  <c r="J276" i="26"/>
  <c r="I276" i="26"/>
  <c r="H276" i="26"/>
  <c r="G276" i="26"/>
  <c r="F276" i="26"/>
  <c r="J275" i="26"/>
  <c r="I275" i="26"/>
  <c r="H275" i="26"/>
  <c r="G275" i="26"/>
  <c r="F275" i="26"/>
  <c r="J274" i="26"/>
  <c r="I274" i="26"/>
  <c r="H274" i="26"/>
  <c r="G274" i="26"/>
  <c r="F274" i="26"/>
  <c r="J273" i="26"/>
  <c r="I273" i="26"/>
  <c r="H273" i="26"/>
  <c r="G273" i="26"/>
  <c r="F273" i="26"/>
  <c r="J272" i="26"/>
  <c r="I272" i="26"/>
  <c r="H272" i="26"/>
  <c r="G272" i="26"/>
  <c r="F272" i="26"/>
  <c r="J271" i="26"/>
  <c r="I271" i="26"/>
  <c r="H271" i="26"/>
  <c r="G271" i="26"/>
  <c r="F271" i="26"/>
  <c r="J270" i="26"/>
  <c r="I270" i="26"/>
  <c r="H270" i="26"/>
  <c r="G270" i="26"/>
  <c r="F270" i="26"/>
  <c r="J269" i="26"/>
  <c r="I269" i="26"/>
  <c r="H269" i="26"/>
  <c r="G269" i="26"/>
  <c r="F269" i="26"/>
  <c r="J268" i="26"/>
  <c r="I268" i="26"/>
  <c r="H268" i="26"/>
  <c r="G268" i="26"/>
  <c r="F268" i="26"/>
  <c r="J267" i="26"/>
  <c r="I267" i="26"/>
  <c r="H267" i="26"/>
  <c r="G267" i="26"/>
  <c r="F267" i="26"/>
  <c r="J266" i="26"/>
  <c r="I266" i="26"/>
  <c r="H266" i="26"/>
  <c r="G266" i="26"/>
  <c r="F266" i="26"/>
  <c r="J265" i="26"/>
  <c r="I265" i="26"/>
  <c r="H265" i="26"/>
  <c r="G265" i="26"/>
  <c r="F265" i="26"/>
  <c r="J264" i="26"/>
  <c r="I264" i="26"/>
  <c r="H264" i="26"/>
  <c r="G264" i="26"/>
  <c r="F264" i="26"/>
  <c r="J263" i="26"/>
  <c r="I263" i="26"/>
  <c r="H263" i="26"/>
  <c r="G263" i="26"/>
  <c r="F263" i="26"/>
  <c r="J262" i="26"/>
  <c r="I262" i="26"/>
  <c r="H262" i="26"/>
  <c r="G262" i="26"/>
  <c r="F262" i="26"/>
  <c r="J261" i="26"/>
  <c r="I261" i="26"/>
  <c r="H261" i="26"/>
  <c r="G261" i="26"/>
  <c r="F261" i="26"/>
  <c r="J260" i="26"/>
  <c r="I260" i="26"/>
  <c r="H260" i="26"/>
  <c r="G260" i="26"/>
  <c r="F260" i="26"/>
  <c r="J259" i="26"/>
  <c r="I259" i="26"/>
  <c r="H259" i="26"/>
  <c r="G259" i="26"/>
  <c r="F259" i="26"/>
  <c r="J258" i="26"/>
  <c r="I258" i="26"/>
  <c r="H258" i="26"/>
  <c r="G258" i="26"/>
  <c r="F258" i="26"/>
  <c r="J257" i="26"/>
  <c r="I257" i="26"/>
  <c r="H257" i="26"/>
  <c r="G257" i="26"/>
  <c r="F257" i="26"/>
  <c r="J256" i="26"/>
  <c r="I256" i="26"/>
  <c r="H256" i="26"/>
  <c r="G256" i="26"/>
  <c r="F256" i="26"/>
  <c r="J255" i="26"/>
  <c r="I255" i="26"/>
  <c r="H255" i="26"/>
  <c r="G255" i="26"/>
  <c r="F255" i="26"/>
  <c r="J254" i="26"/>
  <c r="I254" i="26"/>
  <c r="H254" i="26"/>
  <c r="G254" i="26"/>
  <c r="F254" i="26"/>
  <c r="J253" i="26"/>
  <c r="I253" i="26"/>
  <c r="H253" i="26"/>
  <c r="G253" i="26"/>
  <c r="F253" i="26"/>
  <c r="J252" i="26"/>
  <c r="I252" i="26"/>
  <c r="H252" i="26"/>
  <c r="G252" i="26"/>
  <c r="F252" i="26"/>
  <c r="J251" i="26"/>
  <c r="I251" i="26"/>
  <c r="H251" i="26"/>
  <c r="G251" i="26"/>
  <c r="F251" i="26"/>
  <c r="J250" i="26"/>
  <c r="I250" i="26"/>
  <c r="H250" i="26"/>
  <c r="G250" i="26"/>
  <c r="F250" i="26"/>
  <c r="J249" i="26"/>
  <c r="I249" i="26"/>
  <c r="H249" i="26"/>
  <c r="G249" i="26"/>
  <c r="F249" i="26"/>
  <c r="J248" i="26"/>
  <c r="I248" i="26"/>
  <c r="H248" i="26"/>
  <c r="G248" i="26"/>
  <c r="F248" i="26"/>
  <c r="J247" i="26"/>
  <c r="I247" i="26"/>
  <c r="H247" i="26"/>
  <c r="G247" i="26"/>
  <c r="F247" i="26"/>
  <c r="J246" i="26"/>
  <c r="I246" i="26"/>
  <c r="H246" i="26"/>
  <c r="G246" i="26"/>
  <c r="F246" i="26"/>
  <c r="J245" i="26"/>
  <c r="I245" i="26"/>
  <c r="H245" i="26"/>
  <c r="G245" i="26"/>
  <c r="F245" i="26"/>
  <c r="J244" i="26"/>
  <c r="I244" i="26"/>
  <c r="H244" i="26"/>
  <c r="G244" i="26"/>
  <c r="F244" i="26"/>
  <c r="J243" i="26"/>
  <c r="I243" i="26"/>
  <c r="H243" i="26"/>
  <c r="G243" i="26"/>
  <c r="F243" i="26"/>
  <c r="J242" i="26"/>
  <c r="I242" i="26"/>
  <c r="H242" i="26"/>
  <c r="G242" i="26"/>
  <c r="F242" i="26"/>
  <c r="J241" i="26"/>
  <c r="I241" i="26"/>
  <c r="H241" i="26"/>
  <c r="G241" i="26"/>
  <c r="F241" i="26"/>
  <c r="J240" i="26"/>
  <c r="I240" i="26"/>
  <c r="H240" i="26"/>
  <c r="G240" i="26"/>
  <c r="F240" i="26"/>
  <c r="J239" i="26"/>
  <c r="I239" i="26"/>
  <c r="H239" i="26"/>
  <c r="G239" i="26"/>
  <c r="F239" i="26"/>
  <c r="J238" i="26"/>
  <c r="I238" i="26"/>
  <c r="H238" i="26"/>
  <c r="G238" i="26"/>
  <c r="F238" i="26"/>
  <c r="J237" i="26"/>
  <c r="I237" i="26"/>
  <c r="H237" i="26"/>
  <c r="G237" i="26"/>
  <c r="F237" i="26"/>
  <c r="J236" i="26"/>
  <c r="I236" i="26"/>
  <c r="H236" i="26"/>
  <c r="G236" i="26"/>
  <c r="F236" i="26"/>
  <c r="J235" i="26"/>
  <c r="I235" i="26"/>
  <c r="H235" i="26"/>
  <c r="G235" i="26"/>
  <c r="F235" i="26"/>
  <c r="J234" i="26"/>
  <c r="I234" i="26"/>
  <c r="H234" i="26"/>
  <c r="G234" i="26"/>
  <c r="F234" i="26"/>
  <c r="J233" i="26"/>
  <c r="I233" i="26"/>
  <c r="H233" i="26"/>
  <c r="G233" i="26"/>
  <c r="F233" i="26"/>
  <c r="J232" i="26"/>
  <c r="I232" i="26"/>
  <c r="H232" i="26"/>
  <c r="G232" i="26"/>
  <c r="F232" i="26"/>
  <c r="J231" i="26"/>
  <c r="I231" i="26"/>
  <c r="H231" i="26"/>
  <c r="G231" i="26"/>
  <c r="F231" i="26"/>
  <c r="J230" i="26"/>
  <c r="I230" i="26"/>
  <c r="H230" i="26"/>
  <c r="G230" i="26"/>
  <c r="F230" i="26"/>
  <c r="J229" i="26"/>
  <c r="I229" i="26"/>
  <c r="H229" i="26"/>
  <c r="G229" i="26"/>
  <c r="F229" i="26"/>
  <c r="J228" i="26"/>
  <c r="I228" i="26"/>
  <c r="H228" i="26"/>
  <c r="G228" i="26"/>
  <c r="F228" i="26"/>
  <c r="J227" i="26"/>
  <c r="I227" i="26"/>
  <c r="H227" i="26"/>
  <c r="G227" i="26"/>
  <c r="F227" i="26"/>
  <c r="C160" i="18" s="1"/>
  <c r="J226" i="26"/>
  <c r="I226" i="26"/>
  <c r="H226" i="26"/>
  <c r="G226" i="26"/>
  <c r="F226" i="26"/>
  <c r="C161" i="18" s="1"/>
  <c r="J225" i="26"/>
  <c r="I225" i="26"/>
  <c r="H225" i="26"/>
  <c r="G225" i="26"/>
  <c r="F225" i="26"/>
  <c r="C162" i="18" s="1"/>
  <c r="J224" i="26"/>
  <c r="I224" i="26"/>
  <c r="H224" i="26"/>
  <c r="G224" i="26"/>
  <c r="F224" i="26"/>
  <c r="J223" i="26"/>
  <c r="I223" i="26"/>
  <c r="H223" i="26"/>
  <c r="G223" i="26"/>
  <c r="F223" i="26"/>
  <c r="C163" i="18" s="1"/>
  <c r="J222" i="26"/>
  <c r="I222" i="26"/>
  <c r="H222" i="26"/>
  <c r="G222" i="26"/>
  <c r="F222" i="26"/>
  <c r="C164" i="18" s="1"/>
  <c r="J221" i="26"/>
  <c r="I221" i="26"/>
  <c r="H221" i="26"/>
  <c r="G221" i="26"/>
  <c r="F221" i="26"/>
  <c r="J220" i="26"/>
  <c r="I220" i="26"/>
  <c r="H220" i="26"/>
  <c r="G220" i="26"/>
  <c r="F220" i="26"/>
  <c r="C165" i="18" s="1"/>
  <c r="J219" i="26"/>
  <c r="I219" i="26"/>
  <c r="H219" i="26"/>
  <c r="G219" i="26"/>
  <c r="F219" i="26"/>
  <c r="C167" i="18" s="1"/>
  <c r="J218" i="26"/>
  <c r="I218" i="26"/>
  <c r="H218" i="26"/>
  <c r="G218" i="26"/>
  <c r="F218" i="26"/>
  <c r="C169" i="18" s="1"/>
  <c r="J217" i="26"/>
  <c r="I217" i="26"/>
  <c r="H217" i="26"/>
  <c r="G217" i="26"/>
  <c r="F217" i="26"/>
  <c r="J216" i="26"/>
  <c r="I216" i="26"/>
  <c r="H216" i="26"/>
  <c r="G216" i="26"/>
  <c r="F216" i="26"/>
  <c r="J215" i="26"/>
  <c r="I215" i="26"/>
  <c r="H215" i="26"/>
  <c r="G215" i="26"/>
  <c r="F215" i="26"/>
  <c r="C170" i="18" s="1"/>
  <c r="J214" i="26"/>
  <c r="I214" i="26"/>
  <c r="H214" i="26"/>
  <c r="G214" i="26"/>
  <c r="F214" i="26"/>
  <c r="J213" i="26"/>
  <c r="I213" i="26"/>
  <c r="H213" i="26"/>
  <c r="G213" i="26"/>
  <c r="F213" i="26"/>
  <c r="C171" i="18" s="1"/>
  <c r="J212" i="26"/>
  <c r="I212" i="26"/>
  <c r="H212" i="26"/>
  <c r="G212" i="26"/>
  <c r="F212" i="26"/>
  <c r="J211" i="26"/>
  <c r="I211" i="26"/>
  <c r="H211" i="26"/>
  <c r="G211" i="26"/>
  <c r="F211" i="26"/>
  <c r="J210" i="26"/>
  <c r="I210" i="26"/>
  <c r="H210" i="26"/>
  <c r="G210" i="26"/>
  <c r="F210" i="26"/>
  <c r="J209" i="26"/>
  <c r="I209" i="26"/>
  <c r="H209" i="26"/>
  <c r="G209" i="26"/>
  <c r="F209" i="26"/>
  <c r="J208" i="26"/>
  <c r="I208" i="26"/>
  <c r="H208" i="26"/>
  <c r="G208" i="26"/>
  <c r="F208" i="26"/>
  <c r="J207" i="26"/>
  <c r="I207" i="26"/>
  <c r="H207" i="26"/>
  <c r="G207" i="26"/>
  <c r="F207" i="26"/>
  <c r="J206" i="26"/>
  <c r="I206" i="26"/>
  <c r="H206" i="26"/>
  <c r="G206" i="26"/>
  <c r="F206" i="26"/>
  <c r="C172" i="18" s="1"/>
  <c r="J205" i="26"/>
  <c r="I205" i="26"/>
  <c r="H205" i="26"/>
  <c r="G205" i="26"/>
  <c r="F205" i="26"/>
  <c r="C173" i="18" s="1"/>
  <c r="J204" i="26"/>
  <c r="I204" i="26"/>
  <c r="H204" i="26"/>
  <c r="G204" i="26"/>
  <c r="F204" i="26"/>
  <c r="J203" i="26"/>
  <c r="I203" i="26"/>
  <c r="H203" i="26"/>
  <c r="G203" i="26"/>
  <c r="F203" i="26"/>
  <c r="C174" i="18" s="1"/>
  <c r="J202" i="26"/>
  <c r="I202" i="26"/>
  <c r="H202" i="26"/>
  <c r="G202" i="26"/>
  <c r="F202" i="26"/>
  <c r="C175" i="18" s="1"/>
  <c r="J201" i="26"/>
  <c r="I201" i="26"/>
  <c r="H201" i="26"/>
  <c r="G201" i="26"/>
  <c r="F201" i="26"/>
  <c r="J200" i="26"/>
  <c r="I200" i="26"/>
  <c r="H200" i="26"/>
  <c r="G200" i="26"/>
  <c r="F200" i="26"/>
  <c r="C176" i="18" s="1"/>
  <c r="J199" i="26"/>
  <c r="I199" i="26"/>
  <c r="H199" i="26"/>
  <c r="G199" i="26"/>
  <c r="F199" i="26"/>
  <c r="C177" i="18" s="1"/>
  <c r="J198" i="26"/>
  <c r="I198" i="26"/>
  <c r="H198" i="26"/>
  <c r="G198" i="26"/>
  <c r="F198" i="26"/>
  <c r="C179" i="18" s="1"/>
  <c r="J197" i="26"/>
  <c r="I197" i="26"/>
  <c r="H197" i="26"/>
  <c r="G197" i="26"/>
  <c r="F197" i="26"/>
  <c r="C180" i="18" s="1"/>
  <c r="J196" i="26"/>
  <c r="I196" i="26"/>
  <c r="H196" i="26"/>
  <c r="G196" i="26"/>
  <c r="F196" i="26"/>
  <c r="C183" i="18" s="1"/>
  <c r="J195" i="26"/>
  <c r="I195" i="26"/>
  <c r="H195" i="26"/>
  <c r="G195" i="26"/>
  <c r="F195" i="26"/>
  <c r="J194" i="26"/>
  <c r="I194" i="26"/>
  <c r="H194" i="26"/>
  <c r="G194" i="26"/>
  <c r="F194" i="26"/>
  <c r="J193" i="26"/>
  <c r="I193" i="26"/>
  <c r="H193" i="26"/>
  <c r="G193" i="26"/>
  <c r="F193" i="26"/>
  <c r="C184" i="18" s="1"/>
  <c r="J192" i="26"/>
  <c r="I192" i="26"/>
  <c r="H192" i="26"/>
  <c r="G192" i="26"/>
  <c r="F192" i="26"/>
  <c r="C185" i="18" s="1"/>
  <c r="J191" i="26"/>
  <c r="I191" i="26"/>
  <c r="H191" i="26"/>
  <c r="G191" i="26"/>
  <c r="F191" i="26"/>
  <c r="C186" i="18" s="1"/>
  <c r="J190" i="26"/>
  <c r="I190" i="26"/>
  <c r="H190" i="26"/>
  <c r="G190" i="26"/>
  <c r="F190" i="26"/>
  <c r="J189" i="26"/>
  <c r="I189" i="26"/>
  <c r="H189" i="26"/>
  <c r="G189" i="26"/>
  <c r="F189" i="26"/>
  <c r="C187" i="18" s="1"/>
  <c r="F186" i="26"/>
  <c r="E186" i="26"/>
  <c r="D186" i="26"/>
  <c r="C186" i="26"/>
  <c r="J184" i="26"/>
  <c r="I184" i="26"/>
  <c r="H184" i="26"/>
  <c r="G184" i="26"/>
  <c r="J183" i="26"/>
  <c r="I183" i="26"/>
  <c r="H183" i="26"/>
  <c r="G183" i="26"/>
  <c r="J182" i="26"/>
  <c r="I182" i="26"/>
  <c r="H182" i="26"/>
  <c r="G182" i="26"/>
  <c r="J181" i="26"/>
  <c r="I181" i="26"/>
  <c r="H181" i="26"/>
  <c r="G181" i="26"/>
  <c r="J180" i="26"/>
  <c r="I180" i="26"/>
  <c r="H180" i="26"/>
  <c r="G180" i="26"/>
  <c r="J179" i="26"/>
  <c r="I179" i="26"/>
  <c r="H179" i="26"/>
  <c r="G179" i="26"/>
  <c r="J178" i="26"/>
  <c r="I178" i="26"/>
  <c r="H178" i="26"/>
  <c r="G178" i="26"/>
  <c r="J177" i="26"/>
  <c r="I177" i="26"/>
  <c r="H177" i="26"/>
  <c r="G177" i="26"/>
  <c r="J176" i="26"/>
  <c r="I176" i="26"/>
  <c r="H176" i="26"/>
  <c r="G176" i="26"/>
  <c r="J175" i="26"/>
  <c r="I175" i="26"/>
  <c r="H175" i="26"/>
  <c r="G175" i="26"/>
  <c r="J174" i="26"/>
  <c r="I174" i="26"/>
  <c r="H174" i="26"/>
  <c r="G174" i="26"/>
  <c r="J173" i="26"/>
  <c r="I173" i="26"/>
  <c r="H173" i="26"/>
  <c r="G173" i="26"/>
  <c r="J172" i="26"/>
  <c r="I172" i="26"/>
  <c r="H172" i="26"/>
  <c r="G172" i="26"/>
  <c r="J171" i="26"/>
  <c r="I171" i="26"/>
  <c r="H171" i="26"/>
  <c r="G171" i="26"/>
  <c r="J170" i="26"/>
  <c r="I170" i="26"/>
  <c r="H170" i="26"/>
  <c r="G170" i="26"/>
  <c r="J169" i="26"/>
  <c r="I169" i="26"/>
  <c r="H169" i="26"/>
  <c r="G169" i="26"/>
  <c r="J168" i="26"/>
  <c r="I168" i="26"/>
  <c r="H168" i="26"/>
  <c r="G168" i="26"/>
  <c r="J167" i="26"/>
  <c r="I167" i="26"/>
  <c r="H167" i="26"/>
  <c r="G167" i="26"/>
  <c r="J166" i="26"/>
  <c r="I166" i="26"/>
  <c r="H166" i="26"/>
  <c r="G166" i="26"/>
  <c r="J165" i="26"/>
  <c r="I165" i="26"/>
  <c r="H165" i="26"/>
  <c r="G165" i="26"/>
  <c r="J164" i="26"/>
  <c r="I164" i="26"/>
  <c r="H164" i="26"/>
  <c r="G164" i="26"/>
  <c r="J163" i="26"/>
  <c r="I163" i="26"/>
  <c r="H163" i="26"/>
  <c r="G163" i="26"/>
  <c r="J162" i="26"/>
  <c r="I162" i="26"/>
  <c r="H162" i="26"/>
  <c r="G162" i="26"/>
  <c r="J161" i="26"/>
  <c r="I161" i="26"/>
  <c r="H161" i="26"/>
  <c r="G161" i="26"/>
  <c r="J160" i="26"/>
  <c r="I160" i="26"/>
  <c r="H160" i="26"/>
  <c r="G160" i="26"/>
  <c r="J159" i="26"/>
  <c r="I159" i="26"/>
  <c r="H159" i="26"/>
  <c r="G159" i="26"/>
  <c r="J158" i="26"/>
  <c r="I158" i="26"/>
  <c r="H158" i="26"/>
  <c r="G158" i="26"/>
  <c r="J157" i="26"/>
  <c r="I157" i="26"/>
  <c r="H157" i="26"/>
  <c r="G157" i="26"/>
  <c r="J156" i="26"/>
  <c r="I156" i="26"/>
  <c r="H156" i="26"/>
  <c r="G156" i="26"/>
  <c r="J155" i="26"/>
  <c r="I155" i="26"/>
  <c r="H155" i="26"/>
  <c r="G155" i="26"/>
  <c r="J154" i="26"/>
  <c r="I154" i="26"/>
  <c r="H154" i="26"/>
  <c r="G154" i="26"/>
  <c r="J153" i="26"/>
  <c r="I153" i="26"/>
  <c r="H153" i="26"/>
  <c r="G153" i="26"/>
  <c r="J152" i="26"/>
  <c r="I152" i="26"/>
  <c r="H152" i="26"/>
  <c r="G152" i="26"/>
  <c r="J151" i="26"/>
  <c r="I151" i="26"/>
  <c r="H151" i="26"/>
  <c r="G151" i="26"/>
  <c r="J150" i="26"/>
  <c r="I150" i="26"/>
  <c r="H150" i="26"/>
  <c r="G150" i="26"/>
  <c r="J149" i="26"/>
  <c r="I149" i="26"/>
  <c r="H149" i="26"/>
  <c r="G149" i="26"/>
  <c r="J148" i="26"/>
  <c r="I148" i="26"/>
  <c r="H148" i="26"/>
  <c r="G148" i="26"/>
  <c r="J147" i="26"/>
  <c r="I147" i="26"/>
  <c r="H147" i="26"/>
  <c r="G147" i="26"/>
  <c r="J146" i="26"/>
  <c r="I146" i="26"/>
  <c r="H146" i="26"/>
  <c r="G146" i="26"/>
  <c r="J145" i="26"/>
  <c r="I145" i="26"/>
  <c r="H145" i="26"/>
  <c r="G145" i="26"/>
  <c r="J144" i="26"/>
  <c r="I144" i="26"/>
  <c r="H144" i="26"/>
  <c r="G144" i="26"/>
  <c r="J143" i="26"/>
  <c r="I143" i="26"/>
  <c r="H143" i="26"/>
  <c r="G143" i="26"/>
  <c r="J142" i="26"/>
  <c r="I142" i="26"/>
  <c r="H142" i="26"/>
  <c r="G142" i="26"/>
  <c r="J141" i="26"/>
  <c r="I141" i="26"/>
  <c r="H141" i="26"/>
  <c r="G141" i="26"/>
  <c r="J140" i="26"/>
  <c r="I140" i="26"/>
  <c r="H140" i="26"/>
  <c r="G140" i="26"/>
  <c r="J139" i="26"/>
  <c r="I139" i="26"/>
  <c r="H139" i="26"/>
  <c r="G139" i="26"/>
  <c r="J138" i="26"/>
  <c r="I138" i="26"/>
  <c r="H138" i="26"/>
  <c r="G138" i="26"/>
  <c r="J137" i="26"/>
  <c r="I137" i="26"/>
  <c r="H137" i="26"/>
  <c r="G137" i="26"/>
  <c r="J136" i="26"/>
  <c r="I136" i="26"/>
  <c r="H136" i="26"/>
  <c r="G136" i="26"/>
  <c r="J135" i="26"/>
  <c r="I135" i="26"/>
  <c r="H135" i="26"/>
  <c r="G135" i="26"/>
  <c r="J134" i="26"/>
  <c r="I134" i="26"/>
  <c r="H134" i="26"/>
  <c r="G134" i="26"/>
  <c r="J133" i="26"/>
  <c r="I133" i="26"/>
  <c r="H133" i="26"/>
  <c r="G133" i="26"/>
  <c r="J132" i="26"/>
  <c r="I132" i="26"/>
  <c r="H132" i="26"/>
  <c r="G132" i="26"/>
  <c r="J131" i="26"/>
  <c r="I131" i="26"/>
  <c r="H131" i="26"/>
  <c r="G131" i="26"/>
  <c r="J130" i="26"/>
  <c r="I130" i="26"/>
  <c r="H130" i="26"/>
  <c r="G130" i="26"/>
  <c r="J129" i="26"/>
  <c r="I129" i="26"/>
  <c r="H129" i="26"/>
  <c r="G129" i="26"/>
  <c r="J128" i="26"/>
  <c r="I128" i="26"/>
  <c r="H128" i="26"/>
  <c r="G128" i="26"/>
  <c r="J127" i="26"/>
  <c r="I127" i="26"/>
  <c r="H127" i="26"/>
  <c r="G127" i="26"/>
  <c r="J126" i="26"/>
  <c r="I126" i="26"/>
  <c r="H126" i="26"/>
  <c r="G126" i="26"/>
  <c r="J125" i="26"/>
  <c r="I125" i="26"/>
  <c r="H125" i="26"/>
  <c r="G125" i="26"/>
  <c r="J124" i="26"/>
  <c r="I124" i="26"/>
  <c r="H124" i="26"/>
  <c r="G124" i="26"/>
  <c r="J123" i="26"/>
  <c r="I123" i="26"/>
  <c r="H123" i="26"/>
  <c r="G123" i="26"/>
  <c r="J122" i="26"/>
  <c r="I122" i="26"/>
  <c r="H122" i="26"/>
  <c r="G122" i="26"/>
  <c r="J121" i="26"/>
  <c r="I121" i="26"/>
  <c r="H121" i="26"/>
  <c r="G121" i="26"/>
  <c r="J120" i="26"/>
  <c r="I120" i="26"/>
  <c r="H120" i="26"/>
  <c r="G120" i="26"/>
  <c r="J119" i="26"/>
  <c r="I119" i="26"/>
  <c r="H119" i="26"/>
  <c r="G119" i="26"/>
  <c r="J118" i="26"/>
  <c r="I118" i="26"/>
  <c r="H118" i="26"/>
  <c r="G118" i="26"/>
  <c r="J117" i="26"/>
  <c r="I117" i="26"/>
  <c r="H117" i="26"/>
  <c r="G117" i="26"/>
  <c r="J116" i="26"/>
  <c r="I116" i="26"/>
  <c r="H116" i="26"/>
  <c r="G116" i="26"/>
  <c r="J115" i="26"/>
  <c r="I115" i="26"/>
  <c r="H115" i="26"/>
  <c r="G115" i="26"/>
  <c r="J114" i="26"/>
  <c r="I114" i="26"/>
  <c r="H114" i="26"/>
  <c r="G114" i="26"/>
  <c r="J113" i="26"/>
  <c r="I113" i="26"/>
  <c r="H113" i="26"/>
  <c r="G113" i="26"/>
  <c r="J112" i="26"/>
  <c r="I112" i="26"/>
  <c r="H112" i="26"/>
  <c r="G112" i="26"/>
  <c r="J111" i="26"/>
  <c r="I111" i="26"/>
  <c r="H111" i="26"/>
  <c r="G111" i="26"/>
  <c r="J110" i="26"/>
  <c r="I110" i="26"/>
  <c r="H110" i="26"/>
  <c r="G110" i="26"/>
  <c r="J109" i="26"/>
  <c r="I109" i="26"/>
  <c r="H109" i="26"/>
  <c r="G109" i="26"/>
  <c r="J108" i="26"/>
  <c r="I108" i="26"/>
  <c r="H108" i="26"/>
  <c r="G108" i="26"/>
  <c r="J107" i="26"/>
  <c r="I107" i="26"/>
  <c r="H107" i="26"/>
  <c r="G107" i="26"/>
  <c r="J106" i="26"/>
  <c r="I106" i="26"/>
  <c r="H106" i="26"/>
  <c r="G106" i="26"/>
  <c r="J105" i="26"/>
  <c r="I105" i="26"/>
  <c r="H105" i="26"/>
  <c r="G105" i="26"/>
  <c r="J104" i="26"/>
  <c r="I104" i="26"/>
  <c r="H104" i="26"/>
  <c r="G104" i="26"/>
  <c r="J103" i="26"/>
  <c r="I103" i="26"/>
  <c r="H103" i="26"/>
  <c r="G103" i="26"/>
  <c r="J102" i="26"/>
  <c r="I102" i="26"/>
  <c r="H102" i="26"/>
  <c r="G102" i="26"/>
  <c r="J101" i="26"/>
  <c r="I101" i="26"/>
  <c r="H101" i="26"/>
  <c r="G101" i="26"/>
  <c r="J100" i="26"/>
  <c r="I100" i="26"/>
  <c r="H100" i="26"/>
  <c r="G100" i="26"/>
  <c r="J99" i="26"/>
  <c r="I99" i="26"/>
  <c r="H99" i="26"/>
  <c r="G99" i="26"/>
  <c r="J98" i="26"/>
  <c r="I98" i="26"/>
  <c r="H98" i="26"/>
  <c r="G98" i="26"/>
  <c r="J97" i="26"/>
  <c r="I97" i="26"/>
  <c r="H97" i="26"/>
  <c r="G97" i="26"/>
  <c r="J96" i="26"/>
  <c r="I96" i="26"/>
  <c r="H96" i="26"/>
  <c r="G96" i="26"/>
  <c r="J95" i="26"/>
  <c r="I95" i="26"/>
  <c r="H95" i="26"/>
  <c r="G95" i="26"/>
  <c r="J94" i="26"/>
  <c r="I94" i="26"/>
  <c r="H94" i="26"/>
  <c r="G94" i="26"/>
  <c r="J93" i="26"/>
  <c r="I93" i="26"/>
  <c r="H93" i="26"/>
  <c r="G93" i="26"/>
  <c r="J92" i="26"/>
  <c r="I92" i="26"/>
  <c r="H92" i="26"/>
  <c r="G92" i="26"/>
  <c r="J91" i="26"/>
  <c r="I91" i="26"/>
  <c r="H91" i="26"/>
  <c r="G91" i="26"/>
  <c r="J90" i="26"/>
  <c r="I90" i="26"/>
  <c r="H90" i="26"/>
  <c r="G90" i="26"/>
  <c r="J89" i="26"/>
  <c r="I89" i="26"/>
  <c r="H89" i="26"/>
  <c r="G89" i="26"/>
  <c r="J88" i="26"/>
  <c r="I88" i="26"/>
  <c r="H88" i="26"/>
  <c r="G88" i="26"/>
  <c r="J87" i="26"/>
  <c r="I87" i="26"/>
  <c r="H87" i="26"/>
  <c r="G87" i="26"/>
  <c r="J86" i="26"/>
  <c r="I86" i="26"/>
  <c r="H86" i="26"/>
  <c r="G86" i="26"/>
  <c r="J85" i="26"/>
  <c r="I85" i="26"/>
  <c r="H85" i="26"/>
  <c r="G85" i="26"/>
  <c r="J84" i="26"/>
  <c r="I84" i="26"/>
  <c r="H84" i="26"/>
  <c r="G84" i="26"/>
  <c r="J83" i="26"/>
  <c r="I83" i="26"/>
  <c r="H83" i="26"/>
  <c r="G83" i="26"/>
  <c r="J82" i="26"/>
  <c r="I82" i="26"/>
  <c r="H82" i="26"/>
  <c r="G82" i="26"/>
  <c r="J81" i="26"/>
  <c r="I81" i="26"/>
  <c r="H81" i="26"/>
  <c r="G81" i="26"/>
  <c r="J80" i="26"/>
  <c r="I80" i="26"/>
  <c r="H80" i="26"/>
  <c r="G80" i="26"/>
  <c r="J79" i="26"/>
  <c r="I79" i="26"/>
  <c r="H79" i="26"/>
  <c r="G79" i="26"/>
  <c r="J78" i="26"/>
  <c r="I78" i="26"/>
  <c r="H78" i="26"/>
  <c r="G78" i="26"/>
  <c r="J77" i="26"/>
  <c r="I77" i="26"/>
  <c r="H77" i="26"/>
  <c r="G77" i="26"/>
  <c r="J76" i="26"/>
  <c r="I76" i="26"/>
  <c r="H76" i="26"/>
  <c r="G76" i="26"/>
  <c r="J75" i="26"/>
  <c r="I75" i="26"/>
  <c r="H75" i="26"/>
  <c r="G75" i="26"/>
  <c r="J74" i="26"/>
  <c r="I74" i="26"/>
  <c r="H74" i="26"/>
  <c r="G74" i="26"/>
  <c r="J73" i="26"/>
  <c r="I73" i="26"/>
  <c r="H73" i="26"/>
  <c r="G73" i="26"/>
  <c r="J72" i="26"/>
  <c r="I72" i="26"/>
  <c r="H72" i="26"/>
  <c r="G72" i="26"/>
  <c r="J71" i="26"/>
  <c r="I71" i="26"/>
  <c r="H71" i="26"/>
  <c r="G71" i="26"/>
  <c r="J70" i="26"/>
  <c r="I70" i="26"/>
  <c r="H70" i="26"/>
  <c r="G70" i="26"/>
  <c r="J69" i="26"/>
  <c r="I69" i="26"/>
  <c r="H69" i="26"/>
  <c r="G69" i="26"/>
  <c r="J68" i="26"/>
  <c r="I68" i="26"/>
  <c r="H68" i="26"/>
  <c r="G68" i="26"/>
  <c r="J67" i="26"/>
  <c r="I67" i="26"/>
  <c r="H67" i="26"/>
  <c r="G67" i="26"/>
  <c r="J66" i="26"/>
  <c r="I66" i="26"/>
  <c r="H66" i="26"/>
  <c r="G66" i="26"/>
  <c r="J65" i="26"/>
  <c r="I65" i="26"/>
  <c r="H65" i="26"/>
  <c r="G65" i="26"/>
  <c r="J64" i="26"/>
  <c r="I64" i="26"/>
  <c r="H64" i="26"/>
  <c r="G64" i="26"/>
  <c r="J63" i="26"/>
  <c r="I63" i="26"/>
  <c r="H63" i="26"/>
  <c r="G63" i="26"/>
  <c r="J62" i="26"/>
  <c r="I62" i="26"/>
  <c r="H62" i="26"/>
  <c r="G62" i="26"/>
  <c r="J61" i="26"/>
  <c r="I61" i="26"/>
  <c r="H61" i="26"/>
  <c r="G61" i="26"/>
  <c r="J60" i="26"/>
  <c r="I60" i="26"/>
  <c r="H60" i="26"/>
  <c r="G60" i="26"/>
  <c r="J59" i="26"/>
  <c r="I59" i="26"/>
  <c r="H59" i="26"/>
  <c r="G59" i="26"/>
  <c r="J58" i="26"/>
  <c r="I58" i="26"/>
  <c r="H58" i="26"/>
  <c r="G58" i="26"/>
  <c r="J57" i="26"/>
  <c r="I57" i="26"/>
  <c r="H57" i="26"/>
  <c r="G57" i="26"/>
  <c r="J56" i="26"/>
  <c r="I56" i="26"/>
  <c r="H56" i="26"/>
  <c r="G56" i="26"/>
  <c r="J55" i="26"/>
  <c r="I55" i="26"/>
  <c r="H55" i="26"/>
  <c r="G55" i="26"/>
  <c r="J54" i="26"/>
  <c r="I54" i="26"/>
  <c r="H54" i="26"/>
  <c r="G54" i="26"/>
  <c r="J53" i="26"/>
  <c r="I53" i="26"/>
  <c r="H53" i="26"/>
  <c r="G53" i="26"/>
  <c r="J52" i="26"/>
  <c r="I52" i="26"/>
  <c r="H52" i="26"/>
  <c r="G52" i="26"/>
  <c r="J51" i="26"/>
  <c r="I51" i="26"/>
  <c r="H51" i="26"/>
  <c r="G51" i="26"/>
  <c r="J50" i="26"/>
  <c r="I50" i="26"/>
  <c r="H50" i="26"/>
  <c r="G50" i="26"/>
  <c r="J49" i="26"/>
  <c r="I49" i="26"/>
  <c r="H49" i="26"/>
  <c r="G49" i="26"/>
  <c r="J48" i="26"/>
  <c r="I48" i="26"/>
  <c r="H48" i="26"/>
  <c r="G48" i="26"/>
  <c r="J47" i="26"/>
  <c r="I47" i="26"/>
  <c r="H47" i="26"/>
  <c r="G47" i="26"/>
  <c r="J46" i="26"/>
  <c r="I46" i="26"/>
  <c r="H46" i="26"/>
  <c r="G46" i="26"/>
  <c r="J45" i="26"/>
  <c r="I45" i="26"/>
  <c r="H45" i="26"/>
  <c r="G45" i="26"/>
  <c r="J44" i="26"/>
  <c r="I44" i="26"/>
  <c r="H44" i="26"/>
  <c r="G44" i="26"/>
  <c r="J43" i="26"/>
  <c r="I43" i="26"/>
  <c r="H43" i="26"/>
  <c r="G43" i="26"/>
  <c r="J42" i="26"/>
  <c r="I42" i="26"/>
  <c r="H42" i="26"/>
  <c r="G42" i="26"/>
  <c r="J41" i="26"/>
  <c r="I41" i="26"/>
  <c r="H41" i="26"/>
  <c r="G41" i="26"/>
  <c r="J40" i="26"/>
  <c r="I40" i="26"/>
  <c r="H40" i="26"/>
  <c r="G40" i="26"/>
  <c r="J39" i="26"/>
  <c r="I39" i="26"/>
  <c r="H39" i="26"/>
  <c r="G39" i="26"/>
  <c r="J38" i="26"/>
  <c r="I38" i="26"/>
  <c r="H38" i="26"/>
  <c r="G38" i="26"/>
  <c r="J37" i="26"/>
  <c r="I37" i="26"/>
  <c r="H37" i="26"/>
  <c r="G37" i="26"/>
  <c r="J36" i="26"/>
  <c r="I36" i="26"/>
  <c r="H36" i="26"/>
  <c r="G36" i="26"/>
  <c r="J35" i="26"/>
  <c r="I35" i="26"/>
  <c r="H35" i="26"/>
  <c r="G35" i="26"/>
  <c r="J34" i="26"/>
  <c r="I34" i="26"/>
  <c r="H34" i="26"/>
  <c r="G34" i="26"/>
  <c r="J33" i="26"/>
  <c r="I33" i="26"/>
  <c r="H33" i="26"/>
  <c r="G33" i="26"/>
  <c r="J32" i="26"/>
  <c r="I32" i="26"/>
  <c r="H32" i="26"/>
  <c r="G32" i="26"/>
  <c r="J31" i="26"/>
  <c r="I31" i="26"/>
  <c r="H31" i="26"/>
  <c r="G31" i="26"/>
  <c r="J30" i="26"/>
  <c r="I30" i="26"/>
  <c r="H30" i="26"/>
  <c r="G30" i="26"/>
  <c r="J29" i="26"/>
  <c r="I29" i="26"/>
  <c r="H29" i="26"/>
  <c r="G29" i="26"/>
  <c r="J28" i="26"/>
  <c r="I28" i="26"/>
  <c r="H28" i="26"/>
  <c r="G28" i="26"/>
  <c r="J27" i="26"/>
  <c r="I27" i="26"/>
  <c r="H27" i="26"/>
  <c r="G27" i="26"/>
  <c r="J26" i="26"/>
  <c r="I26" i="26"/>
  <c r="H26" i="26"/>
  <c r="G26" i="26"/>
  <c r="J25" i="26"/>
  <c r="I25" i="26"/>
  <c r="H25" i="26"/>
  <c r="G25" i="26"/>
  <c r="J24" i="26"/>
  <c r="I24" i="26"/>
  <c r="H24" i="26"/>
  <c r="G24" i="26"/>
  <c r="J23" i="26"/>
  <c r="I23" i="26"/>
  <c r="H23" i="26"/>
  <c r="G23" i="26"/>
  <c r="J22" i="26"/>
  <c r="I22" i="26"/>
  <c r="H22" i="26"/>
  <c r="G22" i="26"/>
  <c r="J21" i="26"/>
  <c r="I21" i="26"/>
  <c r="H21" i="26"/>
  <c r="G21" i="26"/>
  <c r="J20" i="26"/>
  <c r="I20" i="26"/>
  <c r="H20" i="26"/>
  <c r="G20" i="26"/>
  <c r="J19" i="26"/>
  <c r="I19" i="26"/>
  <c r="H19" i="26"/>
  <c r="G19" i="26"/>
  <c r="J18" i="26"/>
  <c r="I18" i="26"/>
  <c r="H18" i="26"/>
  <c r="G18" i="26"/>
  <c r="J17" i="26"/>
  <c r="I17" i="26"/>
  <c r="H17" i="26"/>
  <c r="G17" i="26"/>
  <c r="J16" i="26"/>
  <c r="I16" i="26"/>
  <c r="H16" i="26"/>
  <c r="G16" i="26"/>
  <c r="J15" i="26"/>
  <c r="I15" i="26"/>
  <c r="H15" i="26"/>
  <c r="G15" i="26"/>
  <c r="J14" i="26"/>
  <c r="I14" i="26"/>
  <c r="H14" i="26"/>
  <c r="G14" i="26"/>
  <c r="J13" i="26"/>
  <c r="I13" i="26"/>
  <c r="H13" i="26"/>
  <c r="G13" i="26"/>
  <c r="J12" i="26"/>
  <c r="I12" i="26"/>
  <c r="H12" i="26"/>
  <c r="G12" i="26"/>
  <c r="J11" i="26"/>
  <c r="I11" i="26"/>
  <c r="H11" i="26"/>
  <c r="G11" i="26"/>
  <c r="J10" i="26"/>
  <c r="I10" i="26"/>
  <c r="H10" i="26"/>
  <c r="G10" i="26"/>
  <c r="J9" i="26"/>
  <c r="I9" i="26"/>
  <c r="H9" i="26"/>
  <c r="G9" i="26"/>
  <c r="J8" i="26"/>
  <c r="I8" i="26"/>
  <c r="H8" i="26"/>
  <c r="G8" i="26"/>
  <c r="J7" i="26"/>
  <c r="I7" i="26"/>
  <c r="H7" i="26"/>
  <c r="G7" i="26"/>
  <c r="J6" i="26"/>
  <c r="I6" i="26"/>
  <c r="H6" i="26"/>
  <c r="G6" i="26"/>
  <c r="J5" i="26"/>
  <c r="I5" i="26"/>
  <c r="H5" i="26"/>
  <c r="G5" i="26"/>
  <c r="AB224" i="25"/>
  <c r="AA224" i="25"/>
  <c r="Z224" i="25"/>
  <c r="Y224" i="25"/>
  <c r="X224" i="25"/>
  <c r="W224" i="25"/>
  <c r="V224" i="25"/>
  <c r="U224" i="25"/>
  <c r="T224" i="25"/>
  <c r="S224" i="25"/>
  <c r="R224" i="25"/>
  <c r="AE222" i="25"/>
  <c r="AE224" i="25" s="1"/>
  <c r="Q222" i="25"/>
  <c r="Q224" i="25" s="1"/>
  <c r="AE217" i="25"/>
  <c r="Q217" i="25"/>
  <c r="AE216" i="25"/>
  <c r="AB216" i="25"/>
  <c r="AB219" i="25" s="1"/>
  <c r="AA216" i="25"/>
  <c r="AA219" i="25" s="1"/>
  <c r="Z216" i="25"/>
  <c r="Z219" i="25" s="1"/>
  <c r="Y216" i="25"/>
  <c r="Y219" i="25" s="1"/>
  <c r="X216" i="25"/>
  <c r="X219" i="25" s="1"/>
  <c r="W216" i="25"/>
  <c r="W219" i="25" s="1"/>
  <c r="V216" i="25"/>
  <c r="V219" i="25" s="1"/>
  <c r="U216" i="25"/>
  <c r="U219" i="25" s="1"/>
  <c r="T216" i="25"/>
  <c r="T219" i="25" s="1"/>
  <c r="S216" i="25"/>
  <c r="S219" i="25" s="1"/>
  <c r="R216" i="25"/>
  <c r="R219" i="25" s="1"/>
  <c r="Q216" i="25"/>
  <c r="AE215" i="25"/>
  <c r="Q215" i="25"/>
  <c r="AE214" i="25"/>
  <c r="Q214" i="25"/>
  <c r="AE213" i="25"/>
  <c r="Q213" i="25"/>
  <c r="AE212" i="25"/>
  <c r="Q212" i="25"/>
  <c r="AE211" i="25"/>
  <c r="Q211" i="25"/>
  <c r="AE210" i="25"/>
  <c r="Q210" i="25"/>
  <c r="AE209" i="25"/>
  <c r="Q209" i="25"/>
  <c r="AE208" i="25"/>
  <c r="Q208" i="25"/>
  <c r="AE207" i="25"/>
  <c r="Q207" i="25"/>
  <c r="AE206" i="25"/>
  <c r="Q206" i="25"/>
  <c r="AE205" i="25"/>
  <c r="AE219" i="25" s="1"/>
  <c r="Q205" i="25"/>
  <c r="Q219" i="25" s="1"/>
  <c r="AP202" i="25"/>
  <c r="AO202" i="25"/>
  <c r="AN202" i="25"/>
  <c r="AM202" i="25"/>
  <c r="AL202" i="25"/>
  <c r="AK202" i="25"/>
  <c r="AJ202" i="25"/>
  <c r="AI202" i="25"/>
  <c r="AH202" i="25"/>
  <c r="AG202" i="25"/>
  <c r="AF202" i="25"/>
  <c r="AB202" i="25"/>
  <c r="AA202" i="25"/>
  <c r="Z202" i="25"/>
  <c r="Y202" i="25"/>
  <c r="X202" i="25"/>
  <c r="W202" i="25"/>
  <c r="V202" i="25"/>
  <c r="U202" i="25"/>
  <c r="T202" i="25"/>
  <c r="S202" i="25"/>
  <c r="R202" i="25"/>
  <c r="AE200" i="25"/>
  <c r="Q200" i="25"/>
  <c r="AE199" i="25"/>
  <c r="Q199" i="25"/>
  <c r="AE198" i="25"/>
  <c r="AE202" i="25" s="1"/>
  <c r="Q198" i="25"/>
  <c r="Q202" i="25" s="1"/>
  <c r="AP195" i="25"/>
  <c r="AO195" i="25"/>
  <c r="AN195" i="25"/>
  <c r="AM195" i="25"/>
  <c r="AL195" i="25"/>
  <c r="AK195" i="25"/>
  <c r="AJ195" i="25"/>
  <c r="AI195" i="25"/>
  <c r="AH195" i="25"/>
  <c r="AG195" i="25"/>
  <c r="AF195" i="25"/>
  <c r="AB195" i="25"/>
  <c r="AA195" i="25"/>
  <c r="Z195" i="25"/>
  <c r="Y195" i="25"/>
  <c r="X195" i="25"/>
  <c r="W195" i="25"/>
  <c r="V195" i="25"/>
  <c r="U195" i="25"/>
  <c r="T195" i="25"/>
  <c r="S195" i="25"/>
  <c r="R195" i="25"/>
  <c r="N195" i="25"/>
  <c r="M195" i="25"/>
  <c r="L195" i="25"/>
  <c r="K195" i="25"/>
  <c r="J195" i="25"/>
  <c r="I195" i="25"/>
  <c r="H195" i="25"/>
  <c r="G195" i="25"/>
  <c r="F195" i="25"/>
  <c r="E195" i="25"/>
  <c r="D195" i="25"/>
  <c r="C195" i="25"/>
  <c r="O194" i="25"/>
  <c r="AE193" i="25"/>
  <c r="Q193" i="25"/>
  <c r="O193" i="25"/>
  <c r="AE192" i="25"/>
  <c r="Q192" i="25"/>
  <c r="O192" i="25"/>
  <c r="AE191" i="25"/>
  <c r="AE195" i="25" s="1"/>
  <c r="Q191" i="25"/>
  <c r="Q195" i="25" s="1"/>
  <c r="O191" i="25"/>
  <c r="O195" i="25" s="1"/>
  <c r="O190" i="25"/>
  <c r="AB188" i="25"/>
  <c r="AP186" i="25"/>
  <c r="AO186" i="25"/>
  <c r="AN186" i="25"/>
  <c r="AM186" i="25"/>
  <c r="AL186" i="25"/>
  <c r="AK186" i="25"/>
  <c r="AJ186" i="25"/>
  <c r="AI186" i="25"/>
  <c r="AH186" i="25"/>
  <c r="AG186" i="25"/>
  <c r="AF186" i="25"/>
  <c r="AE186" i="25"/>
  <c r="AA186" i="25"/>
  <c r="Z186" i="25"/>
  <c r="Y186" i="25"/>
  <c r="W186" i="25"/>
  <c r="V186" i="25"/>
  <c r="S186" i="25"/>
  <c r="R186" i="25"/>
  <c r="Q186" i="25"/>
  <c r="N186" i="25"/>
  <c r="M186" i="25"/>
  <c r="L186" i="25"/>
  <c r="K186" i="25"/>
  <c r="I186" i="25"/>
  <c r="H186" i="25"/>
  <c r="E186" i="25"/>
  <c r="D186" i="25"/>
  <c r="C186" i="25"/>
  <c r="AP185" i="25"/>
  <c r="AO185" i="25"/>
  <c r="AN185" i="25"/>
  <c r="AM185" i="25"/>
  <c r="AL185" i="25"/>
  <c r="AK185" i="25"/>
  <c r="AJ185" i="25"/>
  <c r="AI185" i="25"/>
  <c r="AH185" i="25"/>
  <c r="AG185" i="25"/>
  <c r="AF185" i="25"/>
  <c r="AE185" i="25"/>
  <c r="AA185" i="25"/>
  <c r="Z185" i="25"/>
  <c r="Y185" i="25"/>
  <c r="X185" i="25"/>
  <c r="W185" i="25"/>
  <c r="V185" i="25"/>
  <c r="U185" i="25"/>
  <c r="T185" i="25"/>
  <c r="S185" i="25"/>
  <c r="R185" i="25"/>
  <c r="Q185" i="25"/>
  <c r="N185" i="25"/>
  <c r="M185" i="25"/>
  <c r="L185" i="25"/>
  <c r="K185" i="25"/>
  <c r="J185" i="25"/>
  <c r="I185" i="25"/>
  <c r="H185" i="25"/>
  <c r="G185" i="25"/>
  <c r="F185" i="25"/>
  <c r="E185" i="25"/>
  <c r="D185" i="25"/>
  <c r="C185" i="25"/>
  <c r="AP184" i="25"/>
  <c r="AO184" i="25"/>
  <c r="AN184" i="25"/>
  <c r="AM184" i="25"/>
  <c r="AL184" i="25"/>
  <c r="AK184" i="25"/>
  <c r="AJ184" i="25"/>
  <c r="AI184" i="25"/>
  <c r="AH184" i="25"/>
  <c r="AG184" i="25"/>
  <c r="AF184" i="25"/>
  <c r="AE184" i="25"/>
  <c r="AA184" i="25"/>
  <c r="Z184" i="25"/>
  <c r="Y184" i="25"/>
  <c r="X184" i="25"/>
  <c r="W184" i="25"/>
  <c r="V184" i="25"/>
  <c r="U184" i="25"/>
  <c r="T184" i="25"/>
  <c r="S184" i="25"/>
  <c r="R184" i="25"/>
  <c r="Q184" i="25"/>
  <c r="N184" i="25"/>
  <c r="M184" i="25"/>
  <c r="L184" i="25"/>
  <c r="K184" i="25"/>
  <c r="J184" i="25"/>
  <c r="I184" i="25"/>
  <c r="H184" i="25"/>
  <c r="G184" i="25"/>
  <c r="F184" i="25"/>
  <c r="E184" i="25"/>
  <c r="D184" i="25"/>
  <c r="C184" i="25"/>
  <c r="AP183" i="25"/>
  <c r="AO183" i="25"/>
  <c r="AN183" i="25"/>
  <c r="AM183" i="25"/>
  <c r="AL183" i="25"/>
  <c r="AK183" i="25"/>
  <c r="AJ183" i="25"/>
  <c r="AI183" i="25"/>
  <c r="AH183" i="25"/>
  <c r="AG183" i="25"/>
  <c r="AF183" i="25"/>
  <c r="AE183" i="25"/>
  <c r="AA183" i="25"/>
  <c r="Z183" i="25"/>
  <c r="Y183" i="25"/>
  <c r="X183" i="25"/>
  <c r="W183" i="25"/>
  <c r="V183" i="25"/>
  <c r="U183" i="25"/>
  <c r="T183" i="25"/>
  <c r="S183" i="25"/>
  <c r="R183" i="25"/>
  <c r="Q183" i="25"/>
  <c r="N183" i="25"/>
  <c r="M183" i="25"/>
  <c r="L183" i="25"/>
  <c r="K183" i="25"/>
  <c r="J183" i="25"/>
  <c r="I183" i="25"/>
  <c r="H183" i="25"/>
  <c r="G183" i="25"/>
  <c r="F183" i="25"/>
  <c r="E183" i="25"/>
  <c r="D183" i="25"/>
  <c r="C183" i="25"/>
  <c r="AP182" i="25"/>
  <c r="AO182" i="25"/>
  <c r="AN182" i="25"/>
  <c r="AM182" i="25"/>
  <c r="AL182" i="25"/>
  <c r="AK182" i="25"/>
  <c r="AJ182" i="25"/>
  <c r="AI182" i="25"/>
  <c r="AH182" i="25"/>
  <c r="AG182" i="25"/>
  <c r="AF182" i="25"/>
  <c r="AE182" i="25"/>
  <c r="AA182" i="25"/>
  <c r="Z182" i="25"/>
  <c r="Y182" i="25"/>
  <c r="X182" i="25"/>
  <c r="W182" i="25"/>
  <c r="V182" i="25"/>
  <c r="U182" i="25"/>
  <c r="T182" i="25"/>
  <c r="S182" i="25"/>
  <c r="R182" i="25"/>
  <c r="Q182" i="25"/>
  <c r="N182" i="25"/>
  <c r="M182" i="25"/>
  <c r="L182" i="25"/>
  <c r="K182" i="25"/>
  <c r="J182" i="25"/>
  <c r="I182" i="25"/>
  <c r="H182" i="25"/>
  <c r="G182" i="25"/>
  <c r="F182" i="25"/>
  <c r="E182" i="25"/>
  <c r="D182" i="25"/>
  <c r="C182" i="25"/>
  <c r="AP181" i="25"/>
  <c r="AO181" i="25"/>
  <c r="AN181" i="25"/>
  <c r="AM181" i="25"/>
  <c r="AL181" i="25"/>
  <c r="AK181" i="25"/>
  <c r="AJ181" i="25"/>
  <c r="AI181" i="25"/>
  <c r="AH181" i="25"/>
  <c r="AG181" i="25"/>
  <c r="AF181" i="25"/>
  <c r="AE181" i="25"/>
  <c r="AA181" i="25"/>
  <c r="Z181" i="25"/>
  <c r="Y181" i="25"/>
  <c r="X181" i="25"/>
  <c r="W181" i="25"/>
  <c r="V181" i="25"/>
  <c r="U181" i="25"/>
  <c r="T181" i="25"/>
  <c r="S181" i="25"/>
  <c r="R181" i="25"/>
  <c r="Q181" i="25"/>
  <c r="N181" i="25"/>
  <c r="M181" i="25"/>
  <c r="L181" i="25"/>
  <c r="K181" i="25"/>
  <c r="J181" i="25"/>
  <c r="I181" i="25"/>
  <c r="H181" i="25"/>
  <c r="G181" i="25"/>
  <c r="F181" i="25"/>
  <c r="E181" i="25"/>
  <c r="D181" i="25"/>
  <c r="C181" i="25"/>
  <c r="AP180" i="25"/>
  <c r="AP188" i="25" s="1"/>
  <c r="AO180" i="25"/>
  <c r="AO188" i="25" s="1"/>
  <c r="AN180" i="25"/>
  <c r="AN188" i="25" s="1"/>
  <c r="AM180" i="25"/>
  <c r="AM188" i="25" s="1"/>
  <c r="AL180" i="25"/>
  <c r="AL188" i="25" s="1"/>
  <c r="AK180" i="25"/>
  <c r="AK188" i="25" s="1"/>
  <c r="AJ180" i="25"/>
  <c r="AJ188" i="25" s="1"/>
  <c r="AI180" i="25"/>
  <c r="AI188" i="25" s="1"/>
  <c r="AH180" i="25"/>
  <c r="AH188" i="25" s="1"/>
  <c r="AG180" i="25"/>
  <c r="AG188" i="25" s="1"/>
  <c r="AF180" i="25"/>
  <c r="AF188" i="25" s="1"/>
  <c r="AE180" i="25"/>
  <c r="AE188" i="25" s="1"/>
  <c r="Q180" i="25"/>
  <c r="Q188" i="25" s="1"/>
  <c r="N180" i="25"/>
  <c r="N188" i="25" s="1"/>
  <c r="C180" i="25"/>
  <c r="C188" i="25" s="1"/>
  <c r="AB177" i="25"/>
  <c r="AO175" i="25"/>
  <c r="AO177" i="25" s="1"/>
  <c r="AN175" i="25"/>
  <c r="AN177" i="25" s="1"/>
  <c r="AM175" i="25"/>
  <c r="AM177" i="25" s="1"/>
  <c r="AL175" i="25"/>
  <c r="AL177" i="25" s="1"/>
  <c r="AK175" i="25"/>
  <c r="AK177" i="25" s="1"/>
  <c r="AJ175" i="25"/>
  <c r="AJ177" i="25" s="1"/>
  <c r="AI175" i="25"/>
  <c r="AI177" i="25" s="1"/>
  <c r="AH175" i="25"/>
  <c r="AH177" i="25" s="1"/>
  <c r="AG175" i="25"/>
  <c r="AG177" i="25" s="1"/>
  <c r="AF175" i="25"/>
  <c r="AF177" i="25" s="1"/>
  <c r="AE175" i="25"/>
  <c r="AE177" i="25" s="1"/>
  <c r="AA175" i="25"/>
  <c r="AA177" i="25" s="1"/>
  <c r="Z175" i="25"/>
  <c r="Z177" i="25" s="1"/>
  <c r="Y175" i="25"/>
  <c r="Y177" i="25" s="1"/>
  <c r="X175" i="25"/>
  <c r="X177" i="25" s="1"/>
  <c r="W175" i="25"/>
  <c r="W177" i="25" s="1"/>
  <c r="V175" i="25"/>
  <c r="V177" i="25" s="1"/>
  <c r="U175" i="25"/>
  <c r="U177" i="25" s="1"/>
  <c r="T175" i="25"/>
  <c r="T177" i="25" s="1"/>
  <c r="S175" i="25"/>
  <c r="S177" i="25" s="1"/>
  <c r="R175" i="25"/>
  <c r="R177" i="25" s="1"/>
  <c r="Q175" i="25"/>
  <c r="Q177" i="25" s="1"/>
  <c r="N175" i="25"/>
  <c r="N177" i="25" s="1"/>
  <c r="M175" i="25"/>
  <c r="M177" i="25" s="1"/>
  <c r="L175" i="25"/>
  <c r="L177" i="25" s="1"/>
  <c r="K175" i="25"/>
  <c r="K177" i="25" s="1"/>
  <c r="J175" i="25"/>
  <c r="J177" i="25" s="1"/>
  <c r="I175" i="25"/>
  <c r="I177" i="25" s="1"/>
  <c r="H175" i="25"/>
  <c r="H177" i="25" s="1"/>
  <c r="G175" i="25"/>
  <c r="G177" i="25" s="1"/>
  <c r="F175" i="25"/>
  <c r="F177" i="25" s="1"/>
  <c r="E175" i="25"/>
  <c r="E177" i="25" s="1"/>
  <c r="D175" i="25"/>
  <c r="D177" i="25" s="1"/>
  <c r="C175" i="25"/>
  <c r="C177" i="25" s="1"/>
  <c r="AB172" i="25"/>
  <c r="AO170" i="25"/>
  <c r="AN170" i="25"/>
  <c r="AM170" i="25"/>
  <c r="AL170" i="25"/>
  <c r="AK170" i="25"/>
  <c r="AJ170" i="25"/>
  <c r="AI170" i="25"/>
  <c r="AH170" i="25"/>
  <c r="AG170" i="25"/>
  <c r="AF170" i="25"/>
  <c r="AE170" i="25"/>
  <c r="AA170" i="25"/>
  <c r="Z170" i="25"/>
  <c r="Y170" i="25"/>
  <c r="X170" i="25"/>
  <c r="W170" i="25"/>
  <c r="V170" i="25"/>
  <c r="U170" i="25"/>
  <c r="T170" i="25"/>
  <c r="S170" i="25"/>
  <c r="R170" i="25"/>
  <c r="Q170" i="25"/>
  <c r="N170" i="25"/>
  <c r="M170" i="25"/>
  <c r="L170" i="25"/>
  <c r="K170" i="25"/>
  <c r="J170" i="25"/>
  <c r="I170" i="25"/>
  <c r="H170" i="25"/>
  <c r="G170" i="25"/>
  <c r="F170" i="25"/>
  <c r="E170" i="25"/>
  <c r="D170" i="25"/>
  <c r="C170" i="25"/>
  <c r="AO169" i="25"/>
  <c r="AO172" i="25" s="1"/>
  <c r="AN169" i="25"/>
  <c r="AN172" i="25" s="1"/>
  <c r="AM169" i="25"/>
  <c r="AM172" i="25" s="1"/>
  <c r="AL169" i="25"/>
  <c r="AL172" i="25" s="1"/>
  <c r="AK169" i="25"/>
  <c r="AK172" i="25" s="1"/>
  <c r="AJ169" i="25"/>
  <c r="AJ172" i="25" s="1"/>
  <c r="AI169" i="25"/>
  <c r="AI172" i="25" s="1"/>
  <c r="AH169" i="25"/>
  <c r="AH172" i="25" s="1"/>
  <c r="AG169" i="25"/>
  <c r="AG172" i="25" s="1"/>
  <c r="AF169" i="25"/>
  <c r="AF172" i="25" s="1"/>
  <c r="AE169" i="25"/>
  <c r="AE172" i="25" s="1"/>
  <c r="AA169" i="25"/>
  <c r="AA172" i="25" s="1"/>
  <c r="Z169" i="25"/>
  <c r="Z172" i="25" s="1"/>
  <c r="Y169" i="25"/>
  <c r="Y172" i="25" s="1"/>
  <c r="X169" i="25"/>
  <c r="X172" i="25" s="1"/>
  <c r="W169" i="25"/>
  <c r="W172" i="25" s="1"/>
  <c r="V169" i="25"/>
  <c r="V172" i="25" s="1"/>
  <c r="U169" i="25"/>
  <c r="U172" i="25" s="1"/>
  <c r="T169" i="25"/>
  <c r="T172" i="25" s="1"/>
  <c r="S169" i="25"/>
  <c r="S172" i="25" s="1"/>
  <c r="R169" i="25"/>
  <c r="R172" i="25" s="1"/>
  <c r="Q169" i="25"/>
  <c r="Q172" i="25" s="1"/>
  <c r="N169" i="25"/>
  <c r="N172" i="25" s="1"/>
  <c r="M169" i="25"/>
  <c r="M172" i="25" s="1"/>
  <c r="L169" i="25"/>
  <c r="L172" i="25" s="1"/>
  <c r="K169" i="25"/>
  <c r="K172" i="25" s="1"/>
  <c r="J169" i="25"/>
  <c r="J172" i="25" s="1"/>
  <c r="I169" i="25"/>
  <c r="I172" i="25" s="1"/>
  <c r="H169" i="25"/>
  <c r="H172" i="25" s="1"/>
  <c r="G169" i="25"/>
  <c r="G172" i="25" s="1"/>
  <c r="F169" i="25"/>
  <c r="F172" i="25" s="1"/>
  <c r="E169" i="25"/>
  <c r="E172" i="25" s="1"/>
  <c r="D169" i="25"/>
  <c r="D172" i="25" s="1"/>
  <c r="C169" i="25"/>
  <c r="C172" i="25" s="1"/>
  <c r="AB166" i="25"/>
  <c r="AO164" i="25"/>
  <c r="AN164" i="25"/>
  <c r="AM164" i="25"/>
  <c r="AL164" i="25"/>
  <c r="AK164" i="25"/>
  <c r="AJ164" i="25"/>
  <c r="AI164" i="25"/>
  <c r="AH164" i="25"/>
  <c r="AG164" i="25"/>
  <c r="AF164" i="25"/>
  <c r="AE164" i="25"/>
  <c r="AA164" i="25"/>
  <c r="Z164" i="25"/>
  <c r="Y164" i="25"/>
  <c r="X164" i="25"/>
  <c r="W164" i="25"/>
  <c r="V164" i="25"/>
  <c r="U164" i="25"/>
  <c r="T164" i="25"/>
  <c r="S164" i="25"/>
  <c r="R164" i="25"/>
  <c r="Q164" i="25"/>
  <c r="N164" i="25"/>
  <c r="M164" i="25"/>
  <c r="L164" i="25"/>
  <c r="K164" i="25"/>
  <c r="J164" i="25"/>
  <c r="I164" i="25"/>
  <c r="H164" i="25"/>
  <c r="G164" i="25"/>
  <c r="F164" i="25"/>
  <c r="E164" i="25"/>
  <c r="D164" i="25"/>
  <c r="C164" i="25"/>
  <c r="AO163" i="25"/>
  <c r="AN163" i="25"/>
  <c r="AM163" i="25"/>
  <c r="AL163" i="25"/>
  <c r="AK163" i="25"/>
  <c r="AJ163" i="25"/>
  <c r="AI163" i="25"/>
  <c r="AH163" i="25"/>
  <c r="AG163" i="25"/>
  <c r="AF163" i="25"/>
  <c r="AE163" i="25"/>
  <c r="AA163" i="25"/>
  <c r="Z163" i="25"/>
  <c r="Y163" i="25"/>
  <c r="X163" i="25"/>
  <c r="W163" i="25"/>
  <c r="V163" i="25"/>
  <c r="U163" i="25"/>
  <c r="T163" i="25"/>
  <c r="S163" i="25"/>
  <c r="R163" i="25"/>
  <c r="Q163" i="25"/>
  <c r="N163" i="25"/>
  <c r="M163" i="25"/>
  <c r="L163" i="25"/>
  <c r="K163" i="25"/>
  <c r="J163" i="25"/>
  <c r="I163" i="25"/>
  <c r="H163" i="25"/>
  <c r="G163" i="25"/>
  <c r="F163" i="25"/>
  <c r="E163" i="25"/>
  <c r="D163" i="25"/>
  <c r="C163" i="25"/>
  <c r="AO162" i="25"/>
  <c r="AN162" i="25"/>
  <c r="AM162" i="25"/>
  <c r="AL162" i="25"/>
  <c r="AK162" i="25"/>
  <c r="AJ162" i="25"/>
  <c r="AI162" i="25"/>
  <c r="AH162" i="25"/>
  <c r="AG162" i="25"/>
  <c r="AF162" i="25"/>
  <c r="AE162" i="25"/>
  <c r="AA162" i="25"/>
  <c r="Z162" i="25"/>
  <c r="Y162" i="25"/>
  <c r="X162" i="25"/>
  <c r="W162" i="25"/>
  <c r="V162" i="25"/>
  <c r="U162" i="25"/>
  <c r="T162" i="25"/>
  <c r="S162" i="25"/>
  <c r="R162" i="25"/>
  <c r="Q162" i="25"/>
  <c r="N162" i="25"/>
  <c r="M162" i="25"/>
  <c r="L162" i="25"/>
  <c r="K162" i="25"/>
  <c r="J162" i="25"/>
  <c r="I162" i="25"/>
  <c r="H162" i="25"/>
  <c r="G162" i="25"/>
  <c r="F162" i="25"/>
  <c r="E162" i="25"/>
  <c r="D162" i="25"/>
  <c r="C162" i="25"/>
  <c r="AO161" i="25"/>
  <c r="AO166" i="25" s="1"/>
  <c r="AN161" i="25"/>
  <c r="AN166" i="25" s="1"/>
  <c r="AM161" i="25"/>
  <c r="AM166" i="25" s="1"/>
  <c r="AL161" i="25"/>
  <c r="AL166" i="25" s="1"/>
  <c r="AK161" i="25"/>
  <c r="AK166" i="25" s="1"/>
  <c r="AJ161" i="25"/>
  <c r="AJ166" i="25" s="1"/>
  <c r="AI161" i="25"/>
  <c r="AI166" i="25" s="1"/>
  <c r="AH161" i="25"/>
  <c r="AH166" i="25" s="1"/>
  <c r="AG161" i="25"/>
  <c r="AG166" i="25" s="1"/>
  <c r="AF161" i="25"/>
  <c r="AF166" i="25" s="1"/>
  <c r="AE161" i="25"/>
  <c r="AE166" i="25" s="1"/>
  <c r="AA161" i="25"/>
  <c r="AA166" i="25" s="1"/>
  <c r="Z161" i="25"/>
  <c r="Z166" i="25" s="1"/>
  <c r="Y161" i="25"/>
  <c r="Y166" i="25" s="1"/>
  <c r="X161" i="25"/>
  <c r="X166" i="25" s="1"/>
  <c r="W161" i="25"/>
  <c r="W166" i="25" s="1"/>
  <c r="V161" i="25"/>
  <c r="V166" i="25" s="1"/>
  <c r="U161" i="25"/>
  <c r="U166" i="25" s="1"/>
  <c r="T161" i="25"/>
  <c r="T166" i="25" s="1"/>
  <c r="S161" i="25"/>
  <c r="S166" i="25" s="1"/>
  <c r="R161" i="25"/>
  <c r="R166" i="25" s="1"/>
  <c r="Q161" i="25"/>
  <c r="Q166" i="25" s="1"/>
  <c r="N161" i="25"/>
  <c r="N166" i="25" s="1"/>
  <c r="M161" i="25"/>
  <c r="M166" i="25" s="1"/>
  <c r="L161" i="25"/>
  <c r="L166" i="25" s="1"/>
  <c r="K161" i="25"/>
  <c r="K166" i="25" s="1"/>
  <c r="J161" i="25"/>
  <c r="J166" i="25" s="1"/>
  <c r="I161" i="25"/>
  <c r="I166" i="25" s="1"/>
  <c r="H161" i="25"/>
  <c r="H166" i="25" s="1"/>
  <c r="G161" i="25"/>
  <c r="G166" i="25" s="1"/>
  <c r="F161" i="25"/>
  <c r="F166" i="25" s="1"/>
  <c r="E161" i="25"/>
  <c r="E166" i="25" s="1"/>
  <c r="D161" i="25"/>
  <c r="D166" i="25" s="1"/>
  <c r="C161" i="25"/>
  <c r="C166" i="25" s="1"/>
  <c r="AB158" i="25"/>
  <c r="AO156" i="25"/>
  <c r="AO158" i="25" s="1"/>
  <c r="AN156" i="25"/>
  <c r="AN158" i="25" s="1"/>
  <c r="AM156" i="25"/>
  <c r="AM158" i="25" s="1"/>
  <c r="AL156" i="25"/>
  <c r="AL158" i="25" s="1"/>
  <c r="AK156" i="25"/>
  <c r="AK158" i="25" s="1"/>
  <c r="AJ156" i="25"/>
  <c r="AJ158" i="25" s="1"/>
  <c r="AI156" i="25"/>
  <c r="AI158" i="25" s="1"/>
  <c r="AH156" i="25"/>
  <c r="AH158" i="25" s="1"/>
  <c r="AG156" i="25"/>
  <c r="AG158" i="25" s="1"/>
  <c r="AF156" i="25"/>
  <c r="AF158" i="25" s="1"/>
  <c r="AE156" i="25"/>
  <c r="AE158" i="25" s="1"/>
  <c r="AA156" i="25"/>
  <c r="AA158" i="25" s="1"/>
  <c r="Z156" i="25"/>
  <c r="Z158" i="25" s="1"/>
  <c r="Y156" i="25"/>
  <c r="Y158" i="25" s="1"/>
  <c r="X156" i="25"/>
  <c r="X158" i="25" s="1"/>
  <c r="W156" i="25"/>
  <c r="W158" i="25" s="1"/>
  <c r="V156" i="25"/>
  <c r="V158" i="25" s="1"/>
  <c r="U156" i="25"/>
  <c r="U158" i="25" s="1"/>
  <c r="T156" i="25"/>
  <c r="T158" i="25" s="1"/>
  <c r="S156" i="25"/>
  <c r="S158" i="25" s="1"/>
  <c r="R156" i="25"/>
  <c r="R158" i="25" s="1"/>
  <c r="Q156" i="25"/>
  <c r="Q158" i="25" s="1"/>
  <c r="N156" i="25"/>
  <c r="N158" i="25" s="1"/>
  <c r="M156" i="25"/>
  <c r="M158" i="25" s="1"/>
  <c r="L156" i="25"/>
  <c r="L158" i="25" s="1"/>
  <c r="K156" i="25"/>
  <c r="K158" i="25" s="1"/>
  <c r="J156" i="25"/>
  <c r="J158" i="25" s="1"/>
  <c r="I156" i="25"/>
  <c r="I158" i="25" s="1"/>
  <c r="H156" i="25"/>
  <c r="H158" i="25" s="1"/>
  <c r="G156" i="25"/>
  <c r="G158" i="25" s="1"/>
  <c r="F156" i="25"/>
  <c r="F158" i="25" s="1"/>
  <c r="E156" i="25"/>
  <c r="E158" i="25" s="1"/>
  <c r="D156" i="25"/>
  <c r="D158" i="25" s="1"/>
  <c r="C156" i="25"/>
  <c r="C158" i="25" s="1"/>
  <c r="AB153" i="25"/>
  <c r="AO151" i="25"/>
  <c r="AN151" i="25"/>
  <c r="AM151" i="25"/>
  <c r="AL151" i="25"/>
  <c r="AK151" i="25"/>
  <c r="AJ151" i="25"/>
  <c r="AI151" i="25"/>
  <c r="AH151" i="25"/>
  <c r="AG151" i="25"/>
  <c r="AF151" i="25"/>
  <c r="AE151" i="25"/>
  <c r="AA151" i="25"/>
  <c r="Z151" i="25"/>
  <c r="Y151" i="25"/>
  <c r="X151" i="25"/>
  <c r="W151" i="25"/>
  <c r="V151" i="25"/>
  <c r="U151" i="25"/>
  <c r="T151" i="25"/>
  <c r="S151" i="25"/>
  <c r="R151" i="25"/>
  <c r="Q151" i="25"/>
  <c r="N151" i="25"/>
  <c r="M151" i="25"/>
  <c r="L151" i="25"/>
  <c r="K151" i="25"/>
  <c r="J151" i="25"/>
  <c r="I151" i="25"/>
  <c r="H151" i="25"/>
  <c r="G151" i="25"/>
  <c r="F151" i="25"/>
  <c r="E151" i="25"/>
  <c r="D151" i="25"/>
  <c r="C151" i="25"/>
  <c r="AO150" i="25"/>
  <c r="AN150" i="25"/>
  <c r="AM150" i="25"/>
  <c r="AL150" i="25"/>
  <c r="AK150" i="25"/>
  <c r="AJ150" i="25"/>
  <c r="AI150" i="25"/>
  <c r="AH150" i="25"/>
  <c r="AG150" i="25"/>
  <c r="AF150" i="25"/>
  <c r="AE150" i="25"/>
  <c r="AA150" i="25"/>
  <c r="Z150" i="25"/>
  <c r="Y150" i="25"/>
  <c r="X150" i="25"/>
  <c r="W150" i="25"/>
  <c r="V150" i="25"/>
  <c r="U150" i="25"/>
  <c r="T150" i="25"/>
  <c r="S150" i="25"/>
  <c r="R150" i="25"/>
  <c r="Q150" i="25"/>
  <c r="N150" i="25"/>
  <c r="M150" i="25"/>
  <c r="L150" i="25"/>
  <c r="K150" i="25"/>
  <c r="J150" i="25"/>
  <c r="I150" i="25"/>
  <c r="H150" i="25"/>
  <c r="G150" i="25"/>
  <c r="F150" i="25"/>
  <c r="E150" i="25"/>
  <c r="D150" i="25"/>
  <c r="C150" i="25"/>
  <c r="AO149" i="25"/>
  <c r="AN149" i="25"/>
  <c r="AM149" i="25"/>
  <c r="AL149" i="25"/>
  <c r="AK149" i="25"/>
  <c r="AJ149" i="25"/>
  <c r="AI149" i="25"/>
  <c r="AH149" i="25"/>
  <c r="AG149" i="25"/>
  <c r="AF149" i="25"/>
  <c r="AE149" i="25"/>
  <c r="AA149" i="25"/>
  <c r="Z149" i="25"/>
  <c r="Y149" i="25"/>
  <c r="X149" i="25"/>
  <c r="W149" i="25"/>
  <c r="V149" i="25"/>
  <c r="U149" i="25"/>
  <c r="T149" i="25"/>
  <c r="S149" i="25"/>
  <c r="R149" i="25"/>
  <c r="Q149" i="25"/>
  <c r="N149" i="25"/>
  <c r="M149" i="25"/>
  <c r="L149" i="25"/>
  <c r="K149" i="25"/>
  <c r="J149" i="25"/>
  <c r="I149" i="25"/>
  <c r="H149" i="25"/>
  <c r="G149" i="25"/>
  <c r="F149" i="25"/>
  <c r="E149" i="25"/>
  <c r="D149" i="25"/>
  <c r="C149" i="25"/>
  <c r="AO148" i="25"/>
  <c r="AN148" i="25"/>
  <c r="AM148" i="25"/>
  <c r="AL148" i="25"/>
  <c r="AK148" i="25"/>
  <c r="AJ148" i="25"/>
  <c r="AI148" i="25"/>
  <c r="AH148" i="25"/>
  <c r="AG148" i="25"/>
  <c r="AF148" i="25"/>
  <c r="AE148" i="25"/>
  <c r="AA148" i="25"/>
  <c r="Z148" i="25"/>
  <c r="Y148" i="25"/>
  <c r="X148" i="25"/>
  <c r="W148" i="25"/>
  <c r="V148" i="25"/>
  <c r="U148" i="25"/>
  <c r="T148" i="25"/>
  <c r="S148" i="25"/>
  <c r="R148" i="25"/>
  <c r="Q148" i="25"/>
  <c r="N148" i="25"/>
  <c r="M148" i="25"/>
  <c r="L148" i="25"/>
  <c r="K148" i="25"/>
  <c r="J148" i="25"/>
  <c r="I148" i="25"/>
  <c r="H148" i="25"/>
  <c r="G148" i="25"/>
  <c r="F148" i="25"/>
  <c r="E148" i="25"/>
  <c r="D148" i="25"/>
  <c r="C148" i="25"/>
  <c r="AO147" i="25"/>
  <c r="AN147" i="25"/>
  <c r="AM147" i="25"/>
  <c r="AL147" i="25"/>
  <c r="AK147" i="25"/>
  <c r="AJ147" i="25"/>
  <c r="AI147" i="25"/>
  <c r="AH147" i="25"/>
  <c r="AG147" i="25"/>
  <c r="AF147" i="25"/>
  <c r="AE147" i="25"/>
  <c r="AA147" i="25"/>
  <c r="Z147" i="25"/>
  <c r="Y147" i="25"/>
  <c r="X147" i="25"/>
  <c r="W147" i="25"/>
  <c r="V147" i="25"/>
  <c r="U147" i="25"/>
  <c r="T147" i="25"/>
  <c r="S147" i="25"/>
  <c r="R147" i="25"/>
  <c r="Q147" i="25"/>
  <c r="N147" i="25"/>
  <c r="M147" i="25"/>
  <c r="L147" i="25"/>
  <c r="K147" i="25"/>
  <c r="J147" i="25"/>
  <c r="I147" i="25"/>
  <c r="H147" i="25"/>
  <c r="G147" i="25"/>
  <c r="F147" i="25"/>
  <c r="E147" i="25"/>
  <c r="D147" i="25"/>
  <c r="C147" i="25"/>
  <c r="AO146" i="25"/>
  <c r="AN146" i="25"/>
  <c r="AM146" i="25"/>
  <c r="AL146" i="25"/>
  <c r="AK146" i="25"/>
  <c r="AJ146" i="25"/>
  <c r="AI146" i="25"/>
  <c r="AH146" i="25"/>
  <c r="AG146" i="25"/>
  <c r="AF146" i="25"/>
  <c r="AE146" i="25"/>
  <c r="AA146" i="25"/>
  <c r="Z146" i="25"/>
  <c r="Y146" i="25"/>
  <c r="X146" i="25"/>
  <c r="W146" i="25"/>
  <c r="V146" i="25"/>
  <c r="U146" i="25"/>
  <c r="T146" i="25"/>
  <c r="S146" i="25"/>
  <c r="R146" i="25"/>
  <c r="Q146" i="25"/>
  <c r="N146" i="25"/>
  <c r="M146" i="25"/>
  <c r="L146" i="25"/>
  <c r="K146" i="25"/>
  <c r="J146" i="25"/>
  <c r="I146" i="25"/>
  <c r="H146" i="25"/>
  <c r="G146" i="25"/>
  <c r="F146" i="25"/>
  <c r="E146" i="25"/>
  <c r="D146" i="25"/>
  <c r="C146" i="25"/>
  <c r="AO145" i="25"/>
  <c r="AN145" i="25"/>
  <c r="AM145" i="25"/>
  <c r="AL145" i="25"/>
  <c r="AK145" i="25"/>
  <c r="AJ145" i="25"/>
  <c r="AI145" i="25"/>
  <c r="AH145" i="25"/>
  <c r="AG145" i="25"/>
  <c r="AF145" i="25"/>
  <c r="AE145" i="25"/>
  <c r="AA145" i="25"/>
  <c r="Z145" i="25"/>
  <c r="Y145" i="25"/>
  <c r="X145" i="25"/>
  <c r="W145" i="25"/>
  <c r="V145" i="25"/>
  <c r="U145" i="25"/>
  <c r="T145" i="25"/>
  <c r="S145" i="25"/>
  <c r="R145" i="25"/>
  <c r="Q145" i="25"/>
  <c r="N145" i="25"/>
  <c r="M145" i="25"/>
  <c r="L145" i="25"/>
  <c r="K145" i="25"/>
  <c r="J145" i="25"/>
  <c r="I145" i="25"/>
  <c r="H145" i="25"/>
  <c r="G145" i="25"/>
  <c r="F145" i="25"/>
  <c r="E145" i="25"/>
  <c r="D145" i="25"/>
  <c r="C145" i="25"/>
  <c r="AO144" i="25"/>
  <c r="AN144" i="25"/>
  <c r="AM144" i="25"/>
  <c r="AL144" i="25"/>
  <c r="AK144" i="25"/>
  <c r="AJ144" i="25"/>
  <c r="AI144" i="25"/>
  <c r="AH144" i="25"/>
  <c r="AG144" i="25"/>
  <c r="AF144" i="25"/>
  <c r="AE144" i="25"/>
  <c r="AA144" i="25"/>
  <c r="Z144" i="25"/>
  <c r="Y144" i="25"/>
  <c r="X144" i="25"/>
  <c r="W144" i="25"/>
  <c r="V144" i="25"/>
  <c r="U144" i="25"/>
  <c r="T144" i="25"/>
  <c r="S144" i="25"/>
  <c r="R144" i="25"/>
  <c r="Q144" i="25"/>
  <c r="N144" i="25"/>
  <c r="M144" i="25"/>
  <c r="L144" i="25"/>
  <c r="K144" i="25"/>
  <c r="J144" i="25"/>
  <c r="I144" i="25"/>
  <c r="H144" i="25"/>
  <c r="G144" i="25"/>
  <c r="F144" i="25"/>
  <c r="E144" i="25"/>
  <c r="D144" i="25"/>
  <c r="C144" i="25"/>
  <c r="AO143" i="25"/>
  <c r="AN143" i="25"/>
  <c r="AM143" i="25"/>
  <c r="AL143" i="25"/>
  <c r="AK143" i="25"/>
  <c r="AJ143" i="25"/>
  <c r="AI143" i="25"/>
  <c r="AH143" i="25"/>
  <c r="AG143" i="25"/>
  <c r="AF143" i="25"/>
  <c r="AE143" i="25"/>
  <c r="AA143" i="25"/>
  <c r="Z143" i="25"/>
  <c r="Y143" i="25"/>
  <c r="X143" i="25"/>
  <c r="W143" i="25"/>
  <c r="V143" i="25"/>
  <c r="U143" i="25"/>
  <c r="T143" i="25"/>
  <c r="S143" i="25"/>
  <c r="R143" i="25"/>
  <c r="Q143" i="25"/>
  <c r="N143" i="25"/>
  <c r="M143" i="25"/>
  <c r="L143" i="25"/>
  <c r="K143" i="25"/>
  <c r="J143" i="25"/>
  <c r="I143" i="25"/>
  <c r="H143" i="25"/>
  <c r="G143" i="25"/>
  <c r="F143" i="25"/>
  <c r="E143" i="25"/>
  <c r="D143" i="25"/>
  <c r="C143" i="25"/>
  <c r="AO142" i="25"/>
  <c r="AN142" i="25"/>
  <c r="AM142" i="25"/>
  <c r="AL142" i="25"/>
  <c r="AK142" i="25"/>
  <c r="AJ142" i="25"/>
  <c r="AI142" i="25"/>
  <c r="AH142" i="25"/>
  <c r="AG142" i="25"/>
  <c r="AF142" i="25"/>
  <c r="AE142" i="25"/>
  <c r="AA142" i="25"/>
  <c r="Z142" i="25"/>
  <c r="Y142" i="25"/>
  <c r="X142" i="25"/>
  <c r="W142" i="25"/>
  <c r="V142" i="25"/>
  <c r="U142" i="25"/>
  <c r="T142" i="25"/>
  <c r="S142" i="25"/>
  <c r="R142" i="25"/>
  <c r="Q142" i="25"/>
  <c r="N142" i="25"/>
  <c r="M142" i="25"/>
  <c r="L142" i="25"/>
  <c r="K142" i="25"/>
  <c r="J142" i="25"/>
  <c r="I142" i="25"/>
  <c r="H142" i="25"/>
  <c r="G142" i="25"/>
  <c r="F142" i="25"/>
  <c r="E142" i="25"/>
  <c r="D142" i="25"/>
  <c r="C142" i="25"/>
  <c r="AO141" i="25"/>
  <c r="AN141" i="25"/>
  <c r="AM141" i="25"/>
  <c r="AL141" i="25"/>
  <c r="AK141" i="25"/>
  <c r="AJ141" i="25"/>
  <c r="AI141" i="25"/>
  <c r="AH141" i="25"/>
  <c r="AG141" i="25"/>
  <c r="AF141" i="25"/>
  <c r="AE141" i="25"/>
  <c r="AA141" i="25"/>
  <c r="Z141" i="25"/>
  <c r="Y141" i="25"/>
  <c r="X141" i="25"/>
  <c r="W141" i="25"/>
  <c r="V141" i="25"/>
  <c r="U141" i="25"/>
  <c r="S141" i="25"/>
  <c r="R141" i="25"/>
  <c r="Q141" i="25"/>
  <c r="N141" i="25"/>
  <c r="M141" i="25"/>
  <c r="L141" i="25"/>
  <c r="K141" i="25"/>
  <c r="J141" i="25"/>
  <c r="I141" i="25"/>
  <c r="H141" i="25"/>
  <c r="G141" i="25"/>
  <c r="E141" i="25"/>
  <c r="D141" i="25"/>
  <c r="C141" i="25"/>
  <c r="AO140" i="25"/>
  <c r="AN140" i="25"/>
  <c r="AM140" i="25"/>
  <c r="AL140" i="25"/>
  <c r="AK140" i="25"/>
  <c r="AJ140" i="25"/>
  <c r="AI140" i="25"/>
  <c r="AH140" i="25"/>
  <c r="AG140" i="25"/>
  <c r="AF140" i="25"/>
  <c r="AE140" i="25"/>
  <c r="AA140" i="25"/>
  <c r="Z140" i="25"/>
  <c r="Y140" i="25"/>
  <c r="X140" i="25"/>
  <c r="V140" i="25"/>
  <c r="U140" i="25"/>
  <c r="S140" i="25"/>
  <c r="R140" i="25"/>
  <c r="Q140" i="25"/>
  <c r="N140" i="25"/>
  <c r="M140" i="25"/>
  <c r="L140" i="25"/>
  <c r="K140" i="25"/>
  <c r="J140" i="25"/>
  <c r="H140" i="25"/>
  <c r="G140" i="25"/>
  <c r="E140" i="25"/>
  <c r="D140" i="25"/>
  <c r="C140" i="25"/>
  <c r="AO139" i="25"/>
  <c r="AN139" i="25"/>
  <c r="AM139" i="25"/>
  <c r="AL139" i="25"/>
  <c r="AK139" i="25"/>
  <c r="AJ139" i="25"/>
  <c r="AI139" i="25"/>
  <c r="AH139" i="25"/>
  <c r="AG139" i="25"/>
  <c r="AF139" i="25"/>
  <c r="AE139" i="25"/>
  <c r="AA139" i="25"/>
  <c r="M139" i="25" s="1"/>
  <c r="Z139" i="25"/>
  <c r="L139" i="25" s="1"/>
  <c r="Y139" i="25"/>
  <c r="K139" i="25" s="1"/>
  <c r="X139" i="25"/>
  <c r="J139" i="25" s="1"/>
  <c r="W139" i="25"/>
  <c r="V139" i="25"/>
  <c r="U139" i="25"/>
  <c r="T139" i="25"/>
  <c r="S139" i="25"/>
  <c r="R139" i="25"/>
  <c r="Q139" i="25"/>
  <c r="N139" i="25"/>
  <c r="AO138" i="25"/>
  <c r="AO153" i="25" s="1"/>
  <c r="AN138" i="25"/>
  <c r="AN153" i="25" s="1"/>
  <c r="AM138" i="25"/>
  <c r="AM153" i="25" s="1"/>
  <c r="AL138" i="25"/>
  <c r="AL153" i="25" s="1"/>
  <c r="AK138" i="25"/>
  <c r="AK153" i="25" s="1"/>
  <c r="AJ138" i="25"/>
  <c r="AJ153" i="25" s="1"/>
  <c r="AI138" i="25"/>
  <c r="AI153" i="25" s="1"/>
  <c r="AH138" i="25"/>
  <c r="AH153" i="25" s="1"/>
  <c r="AG138" i="25"/>
  <c r="AG153" i="25" s="1"/>
  <c r="AF138" i="25"/>
  <c r="AF153" i="25" s="1"/>
  <c r="AE138" i="25"/>
  <c r="AE153" i="25" s="1"/>
  <c r="Q138" i="25"/>
  <c r="Q153" i="25" s="1"/>
  <c r="N138" i="25"/>
  <c r="C138" i="25"/>
  <c r="C153" i="25" s="1"/>
  <c r="AB135" i="25"/>
  <c r="AO133" i="25"/>
  <c r="AN133" i="25"/>
  <c r="AM133" i="25"/>
  <c r="AL133" i="25"/>
  <c r="AK133" i="25"/>
  <c r="AJ133" i="25"/>
  <c r="AI133" i="25"/>
  <c r="AH133" i="25"/>
  <c r="AG133" i="25"/>
  <c r="AF133" i="25"/>
  <c r="AE133" i="25"/>
  <c r="AA133" i="25"/>
  <c r="Z133" i="25"/>
  <c r="Y133" i="25"/>
  <c r="X133" i="25"/>
  <c r="W133" i="25"/>
  <c r="V133" i="25"/>
  <c r="U133" i="25"/>
  <c r="T133" i="25"/>
  <c r="S133" i="25"/>
  <c r="R133" i="25"/>
  <c r="Q133" i="25"/>
  <c r="N133" i="25"/>
  <c r="M133" i="25"/>
  <c r="L133" i="25"/>
  <c r="K133" i="25"/>
  <c r="J133" i="25"/>
  <c r="I133" i="25"/>
  <c r="H133" i="25"/>
  <c r="G133" i="25"/>
  <c r="F133" i="25"/>
  <c r="E133" i="25"/>
  <c r="D133" i="25"/>
  <c r="C133" i="25"/>
  <c r="AO132" i="25"/>
  <c r="AN132" i="25"/>
  <c r="AM132" i="25"/>
  <c r="AL132" i="25"/>
  <c r="AK132" i="25"/>
  <c r="AJ132" i="25"/>
  <c r="AI132" i="25"/>
  <c r="AH132" i="25"/>
  <c r="AG132" i="25"/>
  <c r="AF132" i="25"/>
  <c r="AE132" i="25"/>
  <c r="AA132" i="25"/>
  <c r="Z132" i="25"/>
  <c r="Y132" i="25"/>
  <c r="X132" i="25"/>
  <c r="W132" i="25"/>
  <c r="V132" i="25"/>
  <c r="U132" i="25"/>
  <c r="T132" i="25"/>
  <c r="S132" i="25"/>
  <c r="R132" i="25"/>
  <c r="Q132" i="25"/>
  <c r="N132" i="25"/>
  <c r="M132" i="25"/>
  <c r="L132" i="25"/>
  <c r="K132" i="25"/>
  <c r="J132" i="25"/>
  <c r="I132" i="25"/>
  <c r="H132" i="25"/>
  <c r="G132" i="25"/>
  <c r="F132" i="25"/>
  <c r="E132" i="25"/>
  <c r="D132" i="25"/>
  <c r="C132" i="25"/>
  <c r="AO131" i="25"/>
  <c r="AN131" i="25"/>
  <c r="AM131" i="25"/>
  <c r="AL131" i="25"/>
  <c r="AK131" i="25"/>
  <c r="AJ131" i="25"/>
  <c r="AI131" i="25"/>
  <c r="AH131" i="25"/>
  <c r="AG131" i="25"/>
  <c r="AF131" i="25"/>
  <c r="AE131" i="25"/>
  <c r="AA131" i="25"/>
  <c r="Z131" i="25"/>
  <c r="Y131" i="25"/>
  <c r="X131" i="25"/>
  <c r="W131" i="25"/>
  <c r="V131" i="25"/>
  <c r="U131" i="25"/>
  <c r="T131" i="25"/>
  <c r="S131" i="25"/>
  <c r="R131" i="25"/>
  <c r="Q131" i="25"/>
  <c r="N131" i="25"/>
  <c r="M131" i="25"/>
  <c r="L131" i="25"/>
  <c r="K131" i="25"/>
  <c r="J131" i="25"/>
  <c r="I131" i="25"/>
  <c r="H131" i="25"/>
  <c r="G131" i="25"/>
  <c r="F131" i="25"/>
  <c r="E131" i="25"/>
  <c r="D131" i="25"/>
  <c r="C131" i="25"/>
  <c r="AO130" i="25"/>
  <c r="AN130" i="25"/>
  <c r="AM130" i="25"/>
  <c r="AL130" i="25"/>
  <c r="AK130" i="25"/>
  <c r="AJ130" i="25"/>
  <c r="AI130" i="25"/>
  <c r="AH130" i="25"/>
  <c r="AG130" i="25"/>
  <c r="AF130" i="25"/>
  <c r="AE130" i="25"/>
  <c r="AA130" i="25"/>
  <c r="Z130" i="25"/>
  <c r="Y130" i="25"/>
  <c r="X130" i="25"/>
  <c r="W130" i="25"/>
  <c r="V130" i="25"/>
  <c r="U130" i="25"/>
  <c r="T130" i="25"/>
  <c r="S130" i="25"/>
  <c r="R130" i="25"/>
  <c r="Q130" i="25"/>
  <c r="N130" i="25"/>
  <c r="M130" i="25"/>
  <c r="L130" i="25"/>
  <c r="K130" i="25"/>
  <c r="J130" i="25"/>
  <c r="I130" i="25"/>
  <c r="H130" i="25"/>
  <c r="G130" i="25"/>
  <c r="F130" i="25"/>
  <c r="E130" i="25"/>
  <c r="D130" i="25"/>
  <c r="C130" i="25"/>
  <c r="AO129" i="25"/>
  <c r="AN129" i="25"/>
  <c r="AM129" i="25"/>
  <c r="AL129" i="25"/>
  <c r="AK129" i="25"/>
  <c r="AJ129" i="25"/>
  <c r="AI129" i="25"/>
  <c r="AH129" i="25"/>
  <c r="AG129" i="25"/>
  <c r="AF129" i="25"/>
  <c r="AE129" i="25"/>
  <c r="AA129" i="25"/>
  <c r="Z129" i="25"/>
  <c r="Y129" i="25"/>
  <c r="X129" i="25"/>
  <c r="W129" i="25"/>
  <c r="V129" i="25"/>
  <c r="U129" i="25"/>
  <c r="T129" i="25"/>
  <c r="S129" i="25"/>
  <c r="R129" i="25"/>
  <c r="Q129" i="25"/>
  <c r="N129" i="25"/>
  <c r="M129" i="25"/>
  <c r="L129" i="25"/>
  <c r="K129" i="25"/>
  <c r="J129" i="25"/>
  <c r="I129" i="25"/>
  <c r="H129" i="25"/>
  <c r="G129" i="25"/>
  <c r="F129" i="25"/>
  <c r="E129" i="25"/>
  <c r="D129" i="25"/>
  <c r="C129" i="25"/>
  <c r="AO128" i="25"/>
  <c r="AN128" i="25"/>
  <c r="AM128" i="25"/>
  <c r="AL128" i="25"/>
  <c r="AK128" i="25"/>
  <c r="AJ128" i="25"/>
  <c r="AI128" i="25"/>
  <c r="AH128" i="25"/>
  <c r="AG128" i="25"/>
  <c r="AF128" i="25"/>
  <c r="AE128" i="25"/>
  <c r="AA128" i="25"/>
  <c r="Z128" i="25"/>
  <c r="Y128" i="25"/>
  <c r="X128" i="25"/>
  <c r="W128" i="25"/>
  <c r="V128" i="25"/>
  <c r="U128" i="25"/>
  <c r="T128" i="25"/>
  <c r="S128" i="25"/>
  <c r="R128" i="25"/>
  <c r="Q128" i="25"/>
  <c r="N128" i="25"/>
  <c r="M128" i="25"/>
  <c r="L128" i="25"/>
  <c r="K128" i="25"/>
  <c r="J128" i="25"/>
  <c r="I128" i="25"/>
  <c r="H128" i="25"/>
  <c r="G128" i="25"/>
  <c r="F128" i="25"/>
  <c r="E128" i="25"/>
  <c r="D128" i="25"/>
  <c r="C128" i="25"/>
  <c r="AO127" i="25"/>
  <c r="AN127" i="25"/>
  <c r="AM127" i="25"/>
  <c r="AL127" i="25"/>
  <c r="AK127" i="25"/>
  <c r="AJ127" i="25"/>
  <c r="AI127" i="25"/>
  <c r="AH127" i="25"/>
  <c r="AG127" i="25"/>
  <c r="AF127" i="25"/>
  <c r="AE127" i="25"/>
  <c r="AA127" i="25"/>
  <c r="Z127" i="25"/>
  <c r="Y127" i="25"/>
  <c r="X127" i="25"/>
  <c r="W127" i="25"/>
  <c r="V127" i="25"/>
  <c r="U127" i="25"/>
  <c r="T127" i="25"/>
  <c r="S127" i="25"/>
  <c r="R127" i="25"/>
  <c r="Q127" i="25"/>
  <c r="N127" i="25"/>
  <c r="M127" i="25"/>
  <c r="L127" i="25"/>
  <c r="K127" i="25"/>
  <c r="J127" i="25"/>
  <c r="I127" i="25"/>
  <c r="H127" i="25"/>
  <c r="G127" i="25"/>
  <c r="F127" i="25"/>
  <c r="E127" i="25"/>
  <c r="D127" i="25"/>
  <c r="C127" i="25"/>
  <c r="AO126" i="25"/>
  <c r="AN126" i="25"/>
  <c r="AM126" i="25"/>
  <c r="AL126" i="25"/>
  <c r="AK126" i="25"/>
  <c r="AJ126" i="25"/>
  <c r="AI126" i="25"/>
  <c r="AH126" i="25"/>
  <c r="AG126" i="25"/>
  <c r="AF126" i="25"/>
  <c r="AE126" i="25"/>
  <c r="AA126" i="25"/>
  <c r="Z126" i="25"/>
  <c r="Y126" i="25"/>
  <c r="X126" i="25"/>
  <c r="W126" i="25"/>
  <c r="V126" i="25"/>
  <c r="U126" i="25"/>
  <c r="T126" i="25"/>
  <c r="S126" i="25"/>
  <c r="R126" i="25"/>
  <c r="Q126" i="25"/>
  <c r="N126" i="25"/>
  <c r="M126" i="25"/>
  <c r="L126" i="25"/>
  <c r="K126" i="25"/>
  <c r="J126" i="25"/>
  <c r="I126" i="25"/>
  <c r="H126" i="25"/>
  <c r="G126" i="25"/>
  <c r="F126" i="25"/>
  <c r="E126" i="25"/>
  <c r="D126" i="25"/>
  <c r="C126" i="25"/>
  <c r="AO125" i="25"/>
  <c r="AN125" i="25"/>
  <c r="AM125" i="25"/>
  <c r="AL125" i="25"/>
  <c r="AK125" i="25"/>
  <c r="AJ125" i="25"/>
  <c r="AI125" i="25"/>
  <c r="AH125" i="25"/>
  <c r="AG125" i="25"/>
  <c r="AF125" i="25"/>
  <c r="AE125" i="25"/>
  <c r="AA125" i="25"/>
  <c r="Z125" i="25"/>
  <c r="Y125" i="25"/>
  <c r="X125" i="25"/>
  <c r="W125" i="25"/>
  <c r="V125" i="25"/>
  <c r="U125" i="25"/>
  <c r="T125" i="25"/>
  <c r="S125" i="25"/>
  <c r="R125" i="25"/>
  <c r="Q125" i="25"/>
  <c r="N125" i="25"/>
  <c r="M125" i="25"/>
  <c r="L125" i="25"/>
  <c r="K125" i="25"/>
  <c r="J125" i="25"/>
  <c r="I125" i="25"/>
  <c r="H125" i="25"/>
  <c r="G125" i="25"/>
  <c r="F125" i="25"/>
  <c r="E125" i="25"/>
  <c r="D125" i="25"/>
  <c r="C125" i="25"/>
  <c r="AO124" i="25"/>
  <c r="AN124" i="25"/>
  <c r="AM124" i="25"/>
  <c r="AL124" i="25"/>
  <c r="AK124" i="25"/>
  <c r="AJ124" i="25"/>
  <c r="AI124" i="25"/>
  <c r="AH124" i="25"/>
  <c r="AG124" i="25"/>
  <c r="AF124" i="25"/>
  <c r="AE124" i="25"/>
  <c r="AA124" i="25"/>
  <c r="Z124" i="25"/>
  <c r="Y124" i="25"/>
  <c r="X124" i="25"/>
  <c r="W124" i="25"/>
  <c r="V124" i="25"/>
  <c r="U124" i="25"/>
  <c r="T124" i="25"/>
  <c r="S124" i="25"/>
  <c r="R124" i="25"/>
  <c r="Q124" i="25"/>
  <c r="N124" i="25"/>
  <c r="M124" i="25"/>
  <c r="L124" i="25"/>
  <c r="K124" i="25"/>
  <c r="J124" i="25"/>
  <c r="I124" i="25"/>
  <c r="H124" i="25"/>
  <c r="G124" i="25"/>
  <c r="F124" i="25"/>
  <c r="E124" i="25"/>
  <c r="D124" i="25"/>
  <c r="C124" i="25"/>
  <c r="AO123" i="25"/>
  <c r="AN123" i="25"/>
  <c r="AM123" i="25"/>
  <c r="AL123" i="25"/>
  <c r="AK123" i="25"/>
  <c r="AJ123" i="25"/>
  <c r="AI123" i="25"/>
  <c r="AH123" i="25"/>
  <c r="AG123" i="25"/>
  <c r="AF123" i="25"/>
  <c r="AE123" i="25"/>
  <c r="AA123" i="25"/>
  <c r="Z123" i="25"/>
  <c r="Y123" i="25"/>
  <c r="X123" i="25"/>
  <c r="W123" i="25"/>
  <c r="V123" i="25"/>
  <c r="U123" i="25"/>
  <c r="T123" i="25"/>
  <c r="S123" i="25"/>
  <c r="R123" i="25"/>
  <c r="Q123" i="25"/>
  <c r="N123" i="25"/>
  <c r="M123" i="25"/>
  <c r="L123" i="25"/>
  <c r="K123" i="25"/>
  <c r="J123" i="25"/>
  <c r="I123" i="25"/>
  <c r="H123" i="25"/>
  <c r="G123" i="25"/>
  <c r="F123" i="25"/>
  <c r="E123" i="25"/>
  <c r="D123" i="25"/>
  <c r="C123" i="25"/>
  <c r="AO122" i="25"/>
  <c r="AO135" i="25" s="1"/>
  <c r="AN122" i="25"/>
  <c r="AN135" i="25" s="1"/>
  <c r="AM122" i="25"/>
  <c r="AM135" i="25" s="1"/>
  <c r="AL122" i="25"/>
  <c r="AL135" i="25" s="1"/>
  <c r="AK122" i="25"/>
  <c r="AK135" i="25" s="1"/>
  <c r="AJ122" i="25"/>
  <c r="AJ135" i="25" s="1"/>
  <c r="AI122" i="25"/>
  <c r="AI135" i="25" s="1"/>
  <c r="AH122" i="25"/>
  <c r="AH135" i="25" s="1"/>
  <c r="AG122" i="25"/>
  <c r="AG135" i="25" s="1"/>
  <c r="AF122" i="25"/>
  <c r="AF135" i="25" s="1"/>
  <c r="AE122" i="25"/>
  <c r="AE135" i="25" s="1"/>
  <c r="AA122" i="25"/>
  <c r="AA135" i="25" s="1"/>
  <c r="Z122" i="25"/>
  <c r="Z135" i="25" s="1"/>
  <c r="Y122" i="25"/>
  <c r="Y135" i="25" s="1"/>
  <c r="X122" i="25"/>
  <c r="X135" i="25" s="1"/>
  <c r="W122" i="25"/>
  <c r="W135" i="25" s="1"/>
  <c r="V122" i="25"/>
  <c r="V135" i="25" s="1"/>
  <c r="U122" i="25"/>
  <c r="U135" i="25" s="1"/>
  <c r="T122" i="25"/>
  <c r="T135" i="25" s="1"/>
  <c r="S122" i="25"/>
  <c r="S135" i="25" s="1"/>
  <c r="R122" i="25"/>
  <c r="R135" i="25" s="1"/>
  <c r="Q122" i="25"/>
  <c r="Q135" i="25" s="1"/>
  <c r="N122" i="25"/>
  <c r="N135" i="25" s="1"/>
  <c r="M122" i="25"/>
  <c r="M135" i="25" s="1"/>
  <c r="L122" i="25"/>
  <c r="L135" i="25" s="1"/>
  <c r="K122" i="25"/>
  <c r="K135" i="25" s="1"/>
  <c r="J122" i="25"/>
  <c r="J135" i="25" s="1"/>
  <c r="I122" i="25"/>
  <c r="I135" i="25" s="1"/>
  <c r="H122" i="25"/>
  <c r="H135" i="25" s="1"/>
  <c r="G122" i="25"/>
  <c r="G135" i="25" s="1"/>
  <c r="F122" i="25"/>
  <c r="F135" i="25" s="1"/>
  <c r="E122" i="25"/>
  <c r="E135" i="25" s="1"/>
  <c r="D122" i="25"/>
  <c r="D135" i="25" s="1"/>
  <c r="C122" i="25"/>
  <c r="C135" i="25" s="1"/>
  <c r="AB119" i="25"/>
  <c r="AO117" i="25"/>
  <c r="AN117" i="25"/>
  <c r="AM117" i="25"/>
  <c r="AL117" i="25"/>
  <c r="AK117" i="25"/>
  <c r="AJ117" i="25"/>
  <c r="AI117" i="25"/>
  <c r="AH117" i="25"/>
  <c r="AG117" i="25"/>
  <c r="AF117" i="25"/>
  <c r="AE117" i="25"/>
  <c r="AA117" i="25"/>
  <c r="Z117" i="25"/>
  <c r="Y117" i="25"/>
  <c r="X117" i="25"/>
  <c r="W117" i="25"/>
  <c r="V117" i="25"/>
  <c r="U117" i="25"/>
  <c r="T117" i="25"/>
  <c r="S117" i="25"/>
  <c r="R117" i="25"/>
  <c r="Q117" i="25"/>
  <c r="N117" i="25"/>
  <c r="M117" i="25"/>
  <c r="L117" i="25"/>
  <c r="K117" i="25"/>
  <c r="J117" i="25"/>
  <c r="I117" i="25"/>
  <c r="H117" i="25"/>
  <c r="G117" i="25"/>
  <c r="F117" i="25"/>
  <c r="E117" i="25"/>
  <c r="D117" i="25"/>
  <c r="C117" i="25"/>
  <c r="AO116" i="25"/>
  <c r="AO119" i="25" s="1"/>
  <c r="AN116" i="25"/>
  <c r="AN119" i="25" s="1"/>
  <c r="AM116" i="25"/>
  <c r="AM119" i="25" s="1"/>
  <c r="AL116" i="25"/>
  <c r="AL119" i="25" s="1"/>
  <c r="AK116" i="25"/>
  <c r="AK119" i="25" s="1"/>
  <c r="AJ116" i="25"/>
  <c r="AJ119" i="25" s="1"/>
  <c r="AI116" i="25"/>
  <c r="AI119" i="25" s="1"/>
  <c r="AH116" i="25"/>
  <c r="AH119" i="25" s="1"/>
  <c r="AG116" i="25"/>
  <c r="AG119" i="25" s="1"/>
  <c r="AF116" i="25"/>
  <c r="AF119" i="25" s="1"/>
  <c r="AE116" i="25"/>
  <c r="AE119" i="25" s="1"/>
  <c r="AA116" i="25"/>
  <c r="AA119" i="25" s="1"/>
  <c r="Z116" i="25"/>
  <c r="Z119" i="25" s="1"/>
  <c r="Y116" i="25"/>
  <c r="Y119" i="25" s="1"/>
  <c r="X116" i="25"/>
  <c r="X119" i="25" s="1"/>
  <c r="W116" i="25"/>
  <c r="W119" i="25" s="1"/>
  <c r="V116" i="25"/>
  <c r="V119" i="25" s="1"/>
  <c r="U116" i="25"/>
  <c r="U119" i="25" s="1"/>
  <c r="T116" i="25"/>
  <c r="T119" i="25" s="1"/>
  <c r="S116" i="25"/>
  <c r="S119" i="25" s="1"/>
  <c r="R116" i="25"/>
  <c r="R119" i="25" s="1"/>
  <c r="Q116" i="25"/>
  <c r="Q119" i="25" s="1"/>
  <c r="N116" i="25"/>
  <c r="N119" i="25" s="1"/>
  <c r="M116" i="25"/>
  <c r="M119" i="25" s="1"/>
  <c r="L116" i="25"/>
  <c r="L119" i="25" s="1"/>
  <c r="K116" i="25"/>
  <c r="K119" i="25" s="1"/>
  <c r="J116" i="25"/>
  <c r="J119" i="25" s="1"/>
  <c r="I116" i="25"/>
  <c r="I119" i="25" s="1"/>
  <c r="H116" i="25"/>
  <c r="H119" i="25" s="1"/>
  <c r="G116" i="25"/>
  <c r="G119" i="25" s="1"/>
  <c r="F116" i="25"/>
  <c r="F119" i="25" s="1"/>
  <c r="E116" i="25"/>
  <c r="E119" i="25" s="1"/>
  <c r="D116" i="25"/>
  <c r="D119" i="25" s="1"/>
  <c r="C116" i="25"/>
  <c r="C119" i="25" s="1"/>
  <c r="AP110" i="25"/>
  <c r="AB110" i="25"/>
  <c r="AO108" i="25"/>
  <c r="AN108" i="25"/>
  <c r="AM108" i="25"/>
  <c r="AL108" i="25"/>
  <c r="AK108" i="25"/>
  <c r="AJ108" i="25"/>
  <c r="AI108" i="25"/>
  <c r="AH108" i="25"/>
  <c r="AG108" i="25"/>
  <c r="AF108" i="25"/>
  <c r="AE108" i="25"/>
  <c r="AA108" i="25"/>
  <c r="Z108" i="25"/>
  <c r="Y108" i="25"/>
  <c r="X108" i="25"/>
  <c r="W108" i="25"/>
  <c r="V108" i="25"/>
  <c r="U108" i="25"/>
  <c r="T108" i="25"/>
  <c r="S108" i="25"/>
  <c r="R108" i="25"/>
  <c r="Q108" i="25"/>
  <c r="N108" i="25"/>
  <c r="M108" i="25"/>
  <c r="L108" i="25"/>
  <c r="K108" i="25"/>
  <c r="J108" i="25"/>
  <c r="I108" i="25"/>
  <c r="H108" i="25"/>
  <c r="G108" i="25"/>
  <c r="F108" i="25"/>
  <c r="E108" i="25"/>
  <c r="D108" i="25"/>
  <c r="C108" i="25"/>
  <c r="AO107" i="25"/>
  <c r="AN107" i="25"/>
  <c r="AM107" i="25"/>
  <c r="AL107" i="25"/>
  <c r="AK107" i="25"/>
  <c r="AJ107" i="25"/>
  <c r="AI107" i="25"/>
  <c r="AH107" i="25"/>
  <c r="AG107" i="25"/>
  <c r="AF107" i="25"/>
  <c r="AE107" i="25"/>
  <c r="AA107" i="25"/>
  <c r="Z107" i="25"/>
  <c r="Y107" i="25"/>
  <c r="X107" i="25"/>
  <c r="W107" i="25"/>
  <c r="V107" i="25"/>
  <c r="U107" i="25"/>
  <c r="T107" i="25"/>
  <c r="S107" i="25"/>
  <c r="R107" i="25"/>
  <c r="Q107" i="25"/>
  <c r="N107" i="25"/>
  <c r="M107" i="25"/>
  <c r="L107" i="25"/>
  <c r="K107" i="25"/>
  <c r="J107" i="25"/>
  <c r="I107" i="25"/>
  <c r="H107" i="25"/>
  <c r="G107" i="25"/>
  <c r="F107" i="25"/>
  <c r="E107" i="25"/>
  <c r="D107" i="25"/>
  <c r="C107" i="25"/>
  <c r="AO106" i="25"/>
  <c r="AO110" i="25" s="1"/>
  <c r="AN106" i="25"/>
  <c r="AN110" i="25" s="1"/>
  <c r="AM106" i="25"/>
  <c r="AM110" i="25" s="1"/>
  <c r="AL106" i="25"/>
  <c r="AL110" i="25" s="1"/>
  <c r="AK106" i="25"/>
  <c r="AK110" i="25" s="1"/>
  <c r="AJ106" i="25"/>
  <c r="AJ110" i="25" s="1"/>
  <c r="AI106" i="25"/>
  <c r="AI110" i="25" s="1"/>
  <c r="AH106" i="25"/>
  <c r="AH110" i="25" s="1"/>
  <c r="AG106" i="25"/>
  <c r="AG110" i="25" s="1"/>
  <c r="AF106" i="25"/>
  <c r="AF110" i="25" s="1"/>
  <c r="AE106" i="25"/>
  <c r="AE110" i="25" s="1"/>
  <c r="AA106" i="25"/>
  <c r="AA110" i="25" s="1"/>
  <c r="Z106" i="25"/>
  <c r="Z110" i="25" s="1"/>
  <c r="Y106" i="25"/>
  <c r="Y110" i="25" s="1"/>
  <c r="X106" i="25"/>
  <c r="X110" i="25" s="1"/>
  <c r="W106" i="25"/>
  <c r="W110" i="25" s="1"/>
  <c r="V106" i="25"/>
  <c r="V110" i="25" s="1"/>
  <c r="U106" i="25"/>
  <c r="U110" i="25" s="1"/>
  <c r="T106" i="25"/>
  <c r="T110" i="25" s="1"/>
  <c r="S106" i="25"/>
  <c r="S110" i="25" s="1"/>
  <c r="R106" i="25"/>
  <c r="R110" i="25" s="1"/>
  <c r="Q106" i="25"/>
  <c r="Q110" i="25" s="1"/>
  <c r="N106" i="25"/>
  <c r="N110" i="25" s="1"/>
  <c r="M106" i="25"/>
  <c r="M110" i="25" s="1"/>
  <c r="L106" i="25"/>
  <c r="L110" i="25" s="1"/>
  <c r="K106" i="25"/>
  <c r="K110" i="25" s="1"/>
  <c r="J106" i="25"/>
  <c r="J110" i="25" s="1"/>
  <c r="I106" i="25"/>
  <c r="I110" i="25" s="1"/>
  <c r="H106" i="25"/>
  <c r="H110" i="25" s="1"/>
  <c r="G106" i="25"/>
  <c r="G110" i="25" s="1"/>
  <c r="F106" i="25"/>
  <c r="F110" i="25" s="1"/>
  <c r="E106" i="25"/>
  <c r="E110" i="25" s="1"/>
  <c r="D106" i="25"/>
  <c r="D110" i="25" s="1"/>
  <c r="C106" i="25"/>
  <c r="C110" i="25" s="1"/>
  <c r="AP104" i="25"/>
  <c r="AB104" i="25"/>
  <c r="AO102" i="25"/>
  <c r="AN102" i="25"/>
  <c r="AM102" i="25"/>
  <c r="AL102" i="25"/>
  <c r="AK102" i="25"/>
  <c r="AJ102" i="25"/>
  <c r="AI102" i="25"/>
  <c r="AH102" i="25"/>
  <c r="AG102" i="25"/>
  <c r="AF102" i="25"/>
  <c r="AE102" i="25"/>
  <c r="AA102" i="25"/>
  <c r="Z102" i="25"/>
  <c r="Y102" i="25"/>
  <c r="X102" i="25"/>
  <c r="W102" i="25"/>
  <c r="V102" i="25"/>
  <c r="U102" i="25"/>
  <c r="T102" i="25"/>
  <c r="S102" i="25"/>
  <c r="R102" i="25"/>
  <c r="Q102" i="25"/>
  <c r="N102" i="25"/>
  <c r="M102" i="25"/>
  <c r="L102" i="25"/>
  <c r="K102" i="25"/>
  <c r="J102" i="25"/>
  <c r="I102" i="25"/>
  <c r="H102" i="25"/>
  <c r="G102" i="25"/>
  <c r="F102" i="25"/>
  <c r="E102" i="25"/>
  <c r="D102" i="25"/>
  <c r="C102" i="25"/>
  <c r="AO101" i="25"/>
  <c r="AN101" i="25"/>
  <c r="AM101" i="25"/>
  <c r="AL101" i="25"/>
  <c r="AK101" i="25"/>
  <c r="AJ101" i="25"/>
  <c r="AI101" i="25"/>
  <c r="AH101" i="25"/>
  <c r="AG101" i="25"/>
  <c r="AF101" i="25"/>
  <c r="AE101" i="25"/>
  <c r="AA101" i="25"/>
  <c r="Z101" i="25"/>
  <c r="Y101" i="25"/>
  <c r="X101" i="25"/>
  <c r="W101" i="25"/>
  <c r="V101" i="25"/>
  <c r="U101" i="25"/>
  <c r="T101" i="25"/>
  <c r="S101" i="25"/>
  <c r="R101" i="25"/>
  <c r="Q101" i="25"/>
  <c r="N101" i="25"/>
  <c r="M101" i="25"/>
  <c r="L101" i="25"/>
  <c r="K101" i="25"/>
  <c r="J101" i="25"/>
  <c r="I101" i="25"/>
  <c r="H101" i="25"/>
  <c r="G101" i="25"/>
  <c r="F101" i="25"/>
  <c r="E101" i="25"/>
  <c r="D101" i="25"/>
  <c r="C101" i="25"/>
  <c r="AO100" i="25"/>
  <c r="AN100" i="25"/>
  <c r="AM100" i="25"/>
  <c r="AL100" i="25"/>
  <c r="AK100" i="25"/>
  <c r="AJ100" i="25"/>
  <c r="AI100" i="25"/>
  <c r="AH100" i="25"/>
  <c r="AG100" i="25"/>
  <c r="AF100" i="25"/>
  <c r="AE100" i="25"/>
  <c r="AA100" i="25"/>
  <c r="Z100" i="25"/>
  <c r="Y100" i="25"/>
  <c r="X100" i="25"/>
  <c r="W100" i="25"/>
  <c r="V100" i="25"/>
  <c r="U100" i="25"/>
  <c r="T100" i="25"/>
  <c r="S100" i="25"/>
  <c r="R100" i="25"/>
  <c r="Q100" i="25"/>
  <c r="N100" i="25"/>
  <c r="M100" i="25"/>
  <c r="L100" i="25"/>
  <c r="K100" i="25"/>
  <c r="J100" i="25"/>
  <c r="I100" i="25"/>
  <c r="H100" i="25"/>
  <c r="G100" i="25"/>
  <c r="F100" i="25"/>
  <c r="E100" i="25"/>
  <c r="D100" i="25"/>
  <c r="C100" i="25"/>
  <c r="AO99" i="25"/>
  <c r="AN99" i="25"/>
  <c r="AM99" i="25"/>
  <c r="AL99" i="25"/>
  <c r="AK99" i="25"/>
  <c r="AJ99" i="25"/>
  <c r="AI99" i="25"/>
  <c r="AH99" i="25"/>
  <c r="AG99" i="25"/>
  <c r="AF99" i="25"/>
  <c r="AE99" i="25"/>
  <c r="AA99" i="25"/>
  <c r="Z99" i="25"/>
  <c r="Y99" i="25"/>
  <c r="X99" i="25"/>
  <c r="W99" i="25"/>
  <c r="V99" i="25"/>
  <c r="U99" i="25"/>
  <c r="T99" i="25"/>
  <c r="S99" i="25"/>
  <c r="R99" i="25"/>
  <c r="Q99" i="25"/>
  <c r="N99" i="25"/>
  <c r="M99" i="25"/>
  <c r="L99" i="25"/>
  <c r="K99" i="25"/>
  <c r="J99" i="25"/>
  <c r="I99" i="25"/>
  <c r="H99" i="25"/>
  <c r="G99" i="25"/>
  <c r="F99" i="25"/>
  <c r="E99" i="25"/>
  <c r="D99" i="25"/>
  <c r="C99" i="25"/>
  <c r="AO98" i="25"/>
  <c r="AN98" i="25"/>
  <c r="AM98" i="25"/>
  <c r="AL98" i="25"/>
  <c r="AK98" i="25"/>
  <c r="AJ98" i="25"/>
  <c r="AI98" i="25"/>
  <c r="AH98" i="25"/>
  <c r="AG98" i="25"/>
  <c r="AF98" i="25"/>
  <c r="AE98" i="25"/>
  <c r="AA98" i="25"/>
  <c r="Z98" i="25"/>
  <c r="Y98" i="25"/>
  <c r="X98" i="25"/>
  <c r="W98" i="25"/>
  <c r="V98" i="25"/>
  <c r="U98" i="25"/>
  <c r="T98" i="25"/>
  <c r="S98" i="25"/>
  <c r="R98" i="25"/>
  <c r="Q98" i="25"/>
  <c r="N98" i="25"/>
  <c r="M98" i="25"/>
  <c r="L98" i="25"/>
  <c r="K98" i="25"/>
  <c r="J98" i="25"/>
  <c r="I98" i="25"/>
  <c r="H98" i="25"/>
  <c r="G98" i="25"/>
  <c r="F98" i="25"/>
  <c r="E98" i="25"/>
  <c r="D98" i="25"/>
  <c r="C98" i="25"/>
  <c r="AO97" i="25"/>
  <c r="AO104" i="25" s="1"/>
  <c r="AN97" i="25"/>
  <c r="AN104" i="25" s="1"/>
  <c r="AM97" i="25"/>
  <c r="AM104" i="25" s="1"/>
  <c r="AL97" i="25"/>
  <c r="AL104" i="25" s="1"/>
  <c r="AK97" i="25"/>
  <c r="AK104" i="25" s="1"/>
  <c r="AJ97" i="25"/>
  <c r="AJ104" i="25" s="1"/>
  <c r="AI97" i="25"/>
  <c r="AI104" i="25" s="1"/>
  <c r="AH97" i="25"/>
  <c r="AH104" i="25" s="1"/>
  <c r="AG97" i="25"/>
  <c r="AG104" i="25" s="1"/>
  <c r="AF97" i="25"/>
  <c r="AF104" i="25" s="1"/>
  <c r="AE97" i="25"/>
  <c r="AE104" i="25" s="1"/>
  <c r="AA97" i="25"/>
  <c r="AA104" i="25" s="1"/>
  <c r="Z97" i="25"/>
  <c r="Z104" i="25" s="1"/>
  <c r="Y97" i="25"/>
  <c r="Y104" i="25" s="1"/>
  <c r="X97" i="25"/>
  <c r="X104" i="25" s="1"/>
  <c r="W97" i="25"/>
  <c r="W104" i="25" s="1"/>
  <c r="V97" i="25"/>
  <c r="V104" i="25" s="1"/>
  <c r="U97" i="25"/>
  <c r="U104" i="25" s="1"/>
  <c r="T97" i="25"/>
  <c r="T104" i="25" s="1"/>
  <c r="S97" i="25"/>
  <c r="S104" i="25" s="1"/>
  <c r="R97" i="25"/>
  <c r="R104" i="25" s="1"/>
  <c r="Q97" i="25"/>
  <c r="Q104" i="25" s="1"/>
  <c r="N97" i="25"/>
  <c r="N104" i="25" s="1"/>
  <c r="M97" i="25"/>
  <c r="M104" i="25" s="1"/>
  <c r="L97" i="25"/>
  <c r="L104" i="25" s="1"/>
  <c r="K97" i="25"/>
  <c r="K104" i="25" s="1"/>
  <c r="J97" i="25"/>
  <c r="J104" i="25" s="1"/>
  <c r="I97" i="25"/>
  <c r="I104" i="25" s="1"/>
  <c r="H97" i="25"/>
  <c r="H104" i="25" s="1"/>
  <c r="G97" i="25"/>
  <c r="G104" i="25" s="1"/>
  <c r="F97" i="25"/>
  <c r="F104" i="25" s="1"/>
  <c r="E97" i="25"/>
  <c r="E104" i="25" s="1"/>
  <c r="D97" i="25"/>
  <c r="D104" i="25" s="1"/>
  <c r="C97" i="25"/>
  <c r="C104" i="25" s="1"/>
  <c r="AP95" i="25"/>
  <c r="AP112" i="25" s="1"/>
  <c r="AB95" i="25"/>
  <c r="AB112" i="25" s="1"/>
  <c r="AO93" i="25"/>
  <c r="AN93" i="25"/>
  <c r="AM93" i="25"/>
  <c r="AL93" i="25"/>
  <c r="AK93" i="25"/>
  <c r="AJ93" i="25"/>
  <c r="AI93" i="25"/>
  <c r="AH93" i="25"/>
  <c r="AG93" i="25"/>
  <c r="AF93" i="25"/>
  <c r="AE93" i="25"/>
  <c r="AA93" i="25"/>
  <c r="Z93" i="25"/>
  <c r="Y93" i="25"/>
  <c r="X93" i="25"/>
  <c r="W93" i="25"/>
  <c r="V93" i="25"/>
  <c r="U93" i="25"/>
  <c r="T93" i="25"/>
  <c r="S93" i="25"/>
  <c r="R93" i="25"/>
  <c r="Q93" i="25"/>
  <c r="N93" i="25"/>
  <c r="M93" i="25"/>
  <c r="L93" i="25"/>
  <c r="K93" i="25"/>
  <c r="J93" i="25"/>
  <c r="I93" i="25"/>
  <c r="H93" i="25"/>
  <c r="G93" i="25"/>
  <c r="F93" i="25"/>
  <c r="E93" i="25"/>
  <c r="D93" i="25"/>
  <c r="C93" i="25"/>
  <c r="AO92" i="25"/>
  <c r="AN92" i="25"/>
  <c r="AM92" i="25"/>
  <c r="AL92" i="25"/>
  <c r="AK92" i="25"/>
  <c r="AJ92" i="25"/>
  <c r="AI92" i="25"/>
  <c r="AH92" i="25"/>
  <c r="AG92" i="25"/>
  <c r="AF92" i="25"/>
  <c r="AE92" i="25"/>
  <c r="AA92" i="25"/>
  <c r="Z92" i="25"/>
  <c r="Y92" i="25"/>
  <c r="X92" i="25"/>
  <c r="W92" i="25"/>
  <c r="V92" i="25"/>
  <c r="U92" i="25"/>
  <c r="T92" i="25"/>
  <c r="S92" i="25"/>
  <c r="R92" i="25"/>
  <c r="Q92" i="25"/>
  <c r="N92" i="25"/>
  <c r="M92" i="25"/>
  <c r="L92" i="25"/>
  <c r="K92" i="25"/>
  <c r="J92" i="25"/>
  <c r="I92" i="25"/>
  <c r="H92" i="25"/>
  <c r="G92" i="25"/>
  <c r="F92" i="25"/>
  <c r="E92" i="25"/>
  <c r="D92" i="25"/>
  <c r="C92" i="25"/>
  <c r="AO91" i="25"/>
  <c r="AN91" i="25"/>
  <c r="AM91" i="25"/>
  <c r="AL91" i="25"/>
  <c r="AK91" i="25"/>
  <c r="AJ91" i="25"/>
  <c r="AI91" i="25"/>
  <c r="AH91" i="25"/>
  <c r="AG91" i="25"/>
  <c r="AF91" i="25"/>
  <c r="AE91" i="25"/>
  <c r="AA91" i="25"/>
  <c r="Z91" i="25"/>
  <c r="Y91" i="25"/>
  <c r="X91" i="25"/>
  <c r="W91" i="25"/>
  <c r="V91" i="25"/>
  <c r="U91" i="25"/>
  <c r="T91" i="25"/>
  <c r="S91" i="25"/>
  <c r="R91" i="25"/>
  <c r="Q91" i="25"/>
  <c r="N91" i="25"/>
  <c r="M91" i="25"/>
  <c r="L91" i="25"/>
  <c r="K91" i="25"/>
  <c r="J91" i="25"/>
  <c r="I91" i="25"/>
  <c r="H91" i="25"/>
  <c r="G91" i="25"/>
  <c r="F91" i="25"/>
  <c r="E91" i="25"/>
  <c r="D91" i="25"/>
  <c r="C91" i="25"/>
  <c r="AO90" i="25"/>
  <c r="AN90" i="25"/>
  <c r="AM90" i="25"/>
  <c r="AL90" i="25"/>
  <c r="AK90" i="25"/>
  <c r="AJ90" i="25"/>
  <c r="AI90" i="25"/>
  <c r="AH90" i="25"/>
  <c r="AG90" i="25"/>
  <c r="AF90" i="25"/>
  <c r="AE90" i="25"/>
  <c r="AA90" i="25"/>
  <c r="Z90" i="25"/>
  <c r="Y90" i="25"/>
  <c r="X90" i="25"/>
  <c r="W90" i="25"/>
  <c r="V90" i="25"/>
  <c r="U90" i="25"/>
  <c r="T90" i="25"/>
  <c r="S90" i="25"/>
  <c r="R90" i="25"/>
  <c r="Q90" i="25"/>
  <c r="N90" i="25"/>
  <c r="M90" i="25"/>
  <c r="L90" i="25"/>
  <c r="K90" i="25"/>
  <c r="J90" i="25"/>
  <c r="I90" i="25"/>
  <c r="H90" i="25"/>
  <c r="G90" i="25"/>
  <c r="F90" i="25"/>
  <c r="E90" i="25"/>
  <c r="D90" i="25"/>
  <c r="C90" i="25"/>
  <c r="AO89" i="25"/>
  <c r="AN89" i="25"/>
  <c r="AM89" i="25"/>
  <c r="AL89" i="25"/>
  <c r="AK89" i="25"/>
  <c r="AJ89" i="25"/>
  <c r="AI89" i="25"/>
  <c r="AH89" i="25"/>
  <c r="AG89" i="25"/>
  <c r="AF89" i="25"/>
  <c r="AE89" i="25"/>
  <c r="AA89" i="25"/>
  <c r="Z89" i="25"/>
  <c r="Y89" i="25"/>
  <c r="X89" i="25"/>
  <c r="W89" i="25"/>
  <c r="V89" i="25"/>
  <c r="U89" i="25"/>
  <c r="T89" i="25"/>
  <c r="S89" i="25"/>
  <c r="R89" i="25"/>
  <c r="Q89" i="25"/>
  <c r="N89" i="25"/>
  <c r="M89" i="25"/>
  <c r="L89" i="25"/>
  <c r="K89" i="25"/>
  <c r="J89" i="25"/>
  <c r="I89" i="25"/>
  <c r="H89" i="25"/>
  <c r="G89" i="25"/>
  <c r="F89" i="25"/>
  <c r="E89" i="25"/>
  <c r="D89" i="25"/>
  <c r="C89" i="25"/>
  <c r="AO88" i="25"/>
  <c r="AN88" i="25"/>
  <c r="AM88" i="25"/>
  <c r="AL88" i="25"/>
  <c r="AK88" i="25"/>
  <c r="AJ88" i="25"/>
  <c r="AI88" i="25"/>
  <c r="AH88" i="25"/>
  <c r="AG88" i="25"/>
  <c r="AF88" i="25"/>
  <c r="AE88" i="25"/>
  <c r="AA88" i="25"/>
  <c r="Z88" i="25"/>
  <c r="Y88" i="25"/>
  <c r="X88" i="25"/>
  <c r="W88" i="25"/>
  <c r="V88" i="25"/>
  <c r="U88" i="25"/>
  <c r="T88" i="25"/>
  <c r="S88" i="25"/>
  <c r="R88" i="25"/>
  <c r="Q88" i="25"/>
  <c r="N88" i="25"/>
  <c r="M88" i="25"/>
  <c r="L88" i="25"/>
  <c r="K88" i="25"/>
  <c r="J88" i="25"/>
  <c r="I88" i="25"/>
  <c r="H88" i="25"/>
  <c r="G88" i="25"/>
  <c r="F88" i="25"/>
  <c r="E88" i="25"/>
  <c r="D88" i="25"/>
  <c r="C88" i="25"/>
  <c r="AO87" i="25"/>
  <c r="AN87" i="25"/>
  <c r="AM87" i="25"/>
  <c r="AL87" i="25"/>
  <c r="AK87" i="25"/>
  <c r="AJ87" i="25"/>
  <c r="AI87" i="25"/>
  <c r="AH87" i="25"/>
  <c r="AG87" i="25"/>
  <c r="AF87" i="25"/>
  <c r="AE87" i="25"/>
  <c r="AA87" i="25"/>
  <c r="Z87" i="25"/>
  <c r="Y87" i="25"/>
  <c r="X87" i="25"/>
  <c r="W87" i="25"/>
  <c r="V87" i="25"/>
  <c r="U87" i="25"/>
  <c r="T87" i="25"/>
  <c r="S87" i="25"/>
  <c r="R87" i="25"/>
  <c r="Q87" i="25"/>
  <c r="N87" i="25"/>
  <c r="N95" i="25" s="1"/>
  <c r="N112" i="25" s="1"/>
  <c r="M87" i="25"/>
  <c r="M95" i="25" s="1"/>
  <c r="M112" i="25" s="1"/>
  <c r="L87" i="25"/>
  <c r="L95" i="25" s="1"/>
  <c r="L112" i="25" s="1"/>
  <c r="K87" i="25"/>
  <c r="K95" i="25" s="1"/>
  <c r="K112" i="25" s="1"/>
  <c r="J87" i="25"/>
  <c r="J95" i="25" s="1"/>
  <c r="J112" i="25" s="1"/>
  <c r="I87" i="25"/>
  <c r="I95" i="25" s="1"/>
  <c r="I112" i="25" s="1"/>
  <c r="H87" i="25"/>
  <c r="H95" i="25" s="1"/>
  <c r="H112" i="25" s="1"/>
  <c r="G87" i="25"/>
  <c r="G95" i="25" s="1"/>
  <c r="G112" i="25" s="1"/>
  <c r="F87" i="25"/>
  <c r="F95" i="25" s="1"/>
  <c r="F112" i="25" s="1"/>
  <c r="E87" i="25"/>
  <c r="E95" i="25" s="1"/>
  <c r="E112" i="25" s="1"/>
  <c r="D87" i="25"/>
  <c r="D95" i="25" s="1"/>
  <c r="D112" i="25" s="1"/>
  <c r="C87" i="25"/>
  <c r="C95" i="25" s="1"/>
  <c r="C112" i="25" s="1"/>
  <c r="AB81" i="25"/>
  <c r="AO79" i="25"/>
  <c r="AN79" i="25"/>
  <c r="AM79" i="25"/>
  <c r="AL79" i="25"/>
  <c r="AK79" i="25"/>
  <c r="AJ79" i="25"/>
  <c r="AI79" i="25"/>
  <c r="AH79" i="25"/>
  <c r="AG79" i="25"/>
  <c r="AF79" i="25"/>
  <c r="AE79" i="25"/>
  <c r="AA79" i="25"/>
  <c r="Z79" i="25"/>
  <c r="Y79" i="25"/>
  <c r="X79" i="25"/>
  <c r="W79" i="25"/>
  <c r="V79" i="25"/>
  <c r="U79" i="25"/>
  <c r="T79" i="25"/>
  <c r="S79" i="25"/>
  <c r="R79" i="25"/>
  <c r="Q79" i="25"/>
  <c r="N79" i="25"/>
  <c r="M79" i="25"/>
  <c r="L79" i="25"/>
  <c r="K79" i="25"/>
  <c r="J79" i="25"/>
  <c r="I79" i="25"/>
  <c r="H79" i="25"/>
  <c r="G79" i="25"/>
  <c r="F79" i="25"/>
  <c r="E79" i="25"/>
  <c r="D79" i="25"/>
  <c r="C79" i="25"/>
  <c r="AO78" i="25"/>
  <c r="AN78" i="25"/>
  <c r="AM78" i="25"/>
  <c r="AL78" i="25"/>
  <c r="AK78" i="25"/>
  <c r="AJ78" i="25"/>
  <c r="AI78" i="25"/>
  <c r="AH78" i="25"/>
  <c r="AG78" i="25"/>
  <c r="AF78" i="25"/>
  <c r="AE78" i="25"/>
  <c r="AA78" i="25"/>
  <c r="Z78" i="25"/>
  <c r="Y78" i="25"/>
  <c r="X78" i="25"/>
  <c r="W78" i="25"/>
  <c r="V78" i="25"/>
  <c r="U78" i="25"/>
  <c r="T78" i="25"/>
  <c r="S78" i="25"/>
  <c r="R78" i="25"/>
  <c r="Q78" i="25"/>
  <c r="N78" i="25"/>
  <c r="M78" i="25"/>
  <c r="L78" i="25"/>
  <c r="K78" i="25"/>
  <c r="J78" i="25"/>
  <c r="I78" i="25"/>
  <c r="H78" i="25"/>
  <c r="G78" i="25"/>
  <c r="F78" i="25"/>
  <c r="E78" i="25"/>
  <c r="D78" i="25"/>
  <c r="C78" i="25"/>
  <c r="AO77" i="25"/>
  <c r="AN77" i="25"/>
  <c r="AM77" i="25"/>
  <c r="AL77" i="25"/>
  <c r="AK77" i="25"/>
  <c r="AJ77" i="25"/>
  <c r="AI77" i="25"/>
  <c r="AH77" i="25"/>
  <c r="AG77" i="25"/>
  <c r="AF77" i="25"/>
  <c r="AE77" i="25"/>
  <c r="AA77" i="25"/>
  <c r="Z77" i="25"/>
  <c r="Y77" i="25"/>
  <c r="X77" i="25"/>
  <c r="W77" i="25"/>
  <c r="V77" i="25"/>
  <c r="U77" i="25"/>
  <c r="T77" i="25"/>
  <c r="S77" i="25"/>
  <c r="R77" i="25"/>
  <c r="Q77" i="25"/>
  <c r="N77" i="25"/>
  <c r="M77" i="25"/>
  <c r="L77" i="25"/>
  <c r="K77" i="25"/>
  <c r="J77" i="25"/>
  <c r="I77" i="25"/>
  <c r="H77" i="25"/>
  <c r="G77" i="25"/>
  <c r="F77" i="25"/>
  <c r="E77" i="25"/>
  <c r="D77" i="25"/>
  <c r="C77" i="25"/>
  <c r="AO76" i="25"/>
  <c r="AN76" i="25"/>
  <c r="AM76" i="25"/>
  <c r="AL76" i="25"/>
  <c r="AK76" i="25"/>
  <c r="AJ76" i="25"/>
  <c r="AI76" i="25"/>
  <c r="AH76" i="25"/>
  <c r="AG76" i="25"/>
  <c r="AF76" i="25"/>
  <c r="AE76" i="25"/>
  <c r="AA76" i="25"/>
  <c r="Z76" i="25"/>
  <c r="Y76" i="25"/>
  <c r="X76" i="25"/>
  <c r="W76" i="25"/>
  <c r="V76" i="25"/>
  <c r="U76" i="25"/>
  <c r="T76" i="25"/>
  <c r="S76" i="25"/>
  <c r="R76" i="25"/>
  <c r="Q76" i="25"/>
  <c r="N76" i="25"/>
  <c r="M76" i="25"/>
  <c r="L76" i="25"/>
  <c r="K76" i="25"/>
  <c r="J76" i="25"/>
  <c r="I76" i="25"/>
  <c r="H76" i="25"/>
  <c r="G76" i="25"/>
  <c r="F76" i="25"/>
  <c r="E76" i="25"/>
  <c r="D76" i="25"/>
  <c r="C76" i="25"/>
  <c r="AO75" i="25"/>
  <c r="AN75" i="25"/>
  <c r="AM75" i="25"/>
  <c r="AL75" i="25"/>
  <c r="AK75" i="25"/>
  <c r="AJ75" i="25"/>
  <c r="AI75" i="25"/>
  <c r="AH75" i="25"/>
  <c r="AG75" i="25"/>
  <c r="AF75" i="25"/>
  <c r="AE75" i="25"/>
  <c r="AA75" i="25"/>
  <c r="Z75" i="25"/>
  <c r="Y75" i="25"/>
  <c r="X75" i="25"/>
  <c r="W75" i="25"/>
  <c r="V75" i="25"/>
  <c r="U75" i="25"/>
  <c r="S75" i="25"/>
  <c r="R75" i="25"/>
  <c r="Q75" i="25"/>
  <c r="N75" i="25"/>
  <c r="M75" i="25"/>
  <c r="L75" i="25"/>
  <c r="K75" i="25"/>
  <c r="J75" i="25"/>
  <c r="I75" i="25"/>
  <c r="H75" i="25"/>
  <c r="G75" i="25"/>
  <c r="E75" i="25"/>
  <c r="D75" i="25"/>
  <c r="C75" i="25"/>
  <c r="AO74" i="25"/>
  <c r="AN74" i="25"/>
  <c r="AM74" i="25"/>
  <c r="AL74" i="25"/>
  <c r="AK74" i="25"/>
  <c r="AJ74" i="25"/>
  <c r="AI74" i="25"/>
  <c r="AH74" i="25"/>
  <c r="AG74" i="25"/>
  <c r="AF74" i="25"/>
  <c r="AE74" i="25"/>
  <c r="AA74" i="25"/>
  <c r="Z74" i="25"/>
  <c r="Y74" i="25"/>
  <c r="X74" i="25"/>
  <c r="W74" i="25"/>
  <c r="V74" i="25"/>
  <c r="U74" i="25"/>
  <c r="S74" i="25"/>
  <c r="R74" i="25"/>
  <c r="Q74" i="25"/>
  <c r="N74" i="25"/>
  <c r="M74" i="25"/>
  <c r="L74" i="25"/>
  <c r="K74" i="25"/>
  <c r="J74" i="25"/>
  <c r="I74" i="25"/>
  <c r="H74" i="25"/>
  <c r="G74" i="25"/>
  <c r="E74" i="25"/>
  <c r="D74" i="25"/>
  <c r="C74" i="25"/>
  <c r="AO73" i="25"/>
  <c r="AN73" i="25"/>
  <c r="AM73" i="25"/>
  <c r="AL73" i="25"/>
  <c r="AK73" i="25"/>
  <c r="AJ73" i="25"/>
  <c r="AI73" i="25"/>
  <c r="AH73" i="25"/>
  <c r="AG73" i="25"/>
  <c r="AF73" i="25"/>
  <c r="AE73" i="25"/>
  <c r="AA73" i="25"/>
  <c r="Z73" i="25"/>
  <c r="Y73" i="25"/>
  <c r="X73" i="25"/>
  <c r="W73" i="25"/>
  <c r="V73" i="25"/>
  <c r="U73" i="25"/>
  <c r="S73" i="25"/>
  <c r="R73" i="25"/>
  <c r="Q73" i="25"/>
  <c r="N73" i="25"/>
  <c r="M73" i="25"/>
  <c r="L73" i="25"/>
  <c r="K73" i="25"/>
  <c r="J73" i="25"/>
  <c r="I73" i="25"/>
  <c r="H73" i="25"/>
  <c r="G73" i="25"/>
  <c r="E73" i="25"/>
  <c r="D73" i="25"/>
  <c r="C73" i="25"/>
  <c r="AO72" i="25"/>
  <c r="AN72" i="25"/>
  <c r="AM72" i="25"/>
  <c r="AL72" i="25"/>
  <c r="AK72" i="25"/>
  <c r="AJ72" i="25"/>
  <c r="AI72" i="25"/>
  <c r="AH72" i="25"/>
  <c r="AG72" i="25"/>
  <c r="AF72" i="25"/>
  <c r="AE72" i="25"/>
  <c r="AA72" i="25"/>
  <c r="Z72" i="25"/>
  <c r="Y72" i="25"/>
  <c r="X72" i="25"/>
  <c r="W72" i="25"/>
  <c r="V72" i="25"/>
  <c r="U72" i="25"/>
  <c r="S72" i="25"/>
  <c r="R72" i="25"/>
  <c r="Q72" i="25"/>
  <c r="N72" i="25"/>
  <c r="M72" i="25"/>
  <c r="L72" i="25"/>
  <c r="K72" i="25"/>
  <c r="J72" i="25"/>
  <c r="I72" i="25"/>
  <c r="H72" i="25"/>
  <c r="G72" i="25"/>
  <c r="E72" i="25"/>
  <c r="D72" i="25"/>
  <c r="C72" i="25"/>
  <c r="AO71" i="25"/>
  <c r="AN71" i="25"/>
  <c r="AM71" i="25"/>
  <c r="AL71" i="25"/>
  <c r="AK71" i="25"/>
  <c r="AJ71" i="25"/>
  <c r="AI71" i="25"/>
  <c r="AH71" i="25"/>
  <c r="AG71" i="25"/>
  <c r="AF71" i="25"/>
  <c r="AE71" i="25"/>
  <c r="AA71" i="25"/>
  <c r="Z71" i="25"/>
  <c r="Y71" i="25"/>
  <c r="X71" i="25"/>
  <c r="W71" i="25"/>
  <c r="V71" i="25"/>
  <c r="U71" i="25"/>
  <c r="S71" i="25"/>
  <c r="R71" i="25"/>
  <c r="Q71" i="25"/>
  <c r="N71" i="25"/>
  <c r="M71" i="25"/>
  <c r="L71" i="25"/>
  <c r="K71" i="25"/>
  <c r="J71" i="25"/>
  <c r="I71" i="25"/>
  <c r="H71" i="25"/>
  <c r="G71" i="25"/>
  <c r="E71" i="25"/>
  <c r="D71" i="25"/>
  <c r="C71" i="25"/>
  <c r="AO70" i="25"/>
  <c r="AN70" i="25"/>
  <c r="AM70" i="25"/>
  <c r="AL70" i="25"/>
  <c r="AK70" i="25"/>
  <c r="AJ70" i="25"/>
  <c r="AI70" i="25"/>
  <c r="AH70" i="25"/>
  <c r="AG70" i="25"/>
  <c r="AF70" i="25"/>
  <c r="AE70" i="25"/>
  <c r="AA70" i="25"/>
  <c r="Z70" i="25"/>
  <c r="Y70" i="25"/>
  <c r="X70" i="25"/>
  <c r="W70" i="25"/>
  <c r="V70" i="25"/>
  <c r="U70" i="25"/>
  <c r="S70" i="25"/>
  <c r="R70" i="25"/>
  <c r="Q70" i="25"/>
  <c r="N70" i="25"/>
  <c r="M70" i="25"/>
  <c r="L70" i="25"/>
  <c r="K70" i="25"/>
  <c r="J70" i="25"/>
  <c r="I70" i="25"/>
  <c r="H70" i="25"/>
  <c r="G70" i="25"/>
  <c r="E70" i="25"/>
  <c r="D70" i="25"/>
  <c r="C70" i="25"/>
  <c r="AO69" i="25"/>
  <c r="AN69" i="25"/>
  <c r="AM69" i="25"/>
  <c r="AL69" i="25"/>
  <c r="AK69" i="25"/>
  <c r="AJ69" i="25"/>
  <c r="AI69" i="25"/>
  <c r="AH69" i="25"/>
  <c r="AG69" i="25"/>
  <c r="AF69" i="25"/>
  <c r="AE69" i="25"/>
  <c r="AA69" i="25"/>
  <c r="Z69" i="25"/>
  <c r="Y69" i="25"/>
  <c r="X69" i="25"/>
  <c r="W69" i="25"/>
  <c r="V69" i="25"/>
  <c r="U69" i="25"/>
  <c r="S69" i="25"/>
  <c r="R69" i="25"/>
  <c r="Q69" i="25"/>
  <c r="N69" i="25"/>
  <c r="M69" i="25"/>
  <c r="L69" i="25"/>
  <c r="K69" i="25"/>
  <c r="J69" i="25"/>
  <c r="I69" i="25"/>
  <c r="H69" i="25"/>
  <c r="G69" i="25"/>
  <c r="E69" i="25"/>
  <c r="D69" i="25"/>
  <c r="C69" i="25"/>
  <c r="AO68" i="25"/>
  <c r="AN68" i="25"/>
  <c r="AM68" i="25"/>
  <c r="AL68" i="25"/>
  <c r="AK68" i="25"/>
  <c r="AJ68" i="25"/>
  <c r="AI68" i="25"/>
  <c r="AH68" i="25"/>
  <c r="AG68" i="25"/>
  <c r="AF68" i="25"/>
  <c r="AE68" i="25"/>
  <c r="AA68" i="25"/>
  <c r="Z68" i="25"/>
  <c r="Y68" i="25"/>
  <c r="X68" i="25"/>
  <c r="W68" i="25"/>
  <c r="V68" i="25"/>
  <c r="U68" i="25"/>
  <c r="S68" i="25"/>
  <c r="R68" i="25"/>
  <c r="Q68" i="25"/>
  <c r="N68" i="25"/>
  <c r="M68" i="25"/>
  <c r="L68" i="25"/>
  <c r="K68" i="25"/>
  <c r="J68" i="25"/>
  <c r="I68" i="25"/>
  <c r="H68" i="25"/>
  <c r="G68" i="25"/>
  <c r="E68" i="25"/>
  <c r="D68" i="25"/>
  <c r="C68" i="25"/>
  <c r="AO67" i="25"/>
  <c r="AN67" i="25"/>
  <c r="AM67" i="25"/>
  <c r="AL67" i="25"/>
  <c r="AK67" i="25"/>
  <c r="AJ67" i="25"/>
  <c r="AI67" i="25"/>
  <c r="AH67" i="25"/>
  <c r="AG67" i="25"/>
  <c r="AF67" i="25"/>
  <c r="AE67" i="25"/>
  <c r="AA67" i="25"/>
  <c r="Z67" i="25"/>
  <c r="Y67" i="25"/>
  <c r="X67" i="25"/>
  <c r="W67" i="25"/>
  <c r="V67" i="25"/>
  <c r="U67" i="25"/>
  <c r="S67" i="25"/>
  <c r="R67" i="25"/>
  <c r="Q67" i="25"/>
  <c r="N67" i="25"/>
  <c r="M67" i="25"/>
  <c r="L67" i="25"/>
  <c r="K67" i="25"/>
  <c r="J67" i="25"/>
  <c r="I67" i="25"/>
  <c r="H67" i="25"/>
  <c r="G67" i="25"/>
  <c r="E67" i="25"/>
  <c r="D67" i="25"/>
  <c r="C67" i="25"/>
  <c r="AO66" i="25"/>
  <c r="AN66" i="25"/>
  <c r="AM66" i="25"/>
  <c r="AL66" i="25"/>
  <c r="AK66" i="25"/>
  <c r="AJ66" i="25"/>
  <c r="AI66" i="25"/>
  <c r="AH66" i="25"/>
  <c r="AG66" i="25"/>
  <c r="AF66" i="25"/>
  <c r="AE66" i="25"/>
  <c r="AA66" i="25"/>
  <c r="Z66" i="25"/>
  <c r="Y66" i="25"/>
  <c r="X66" i="25"/>
  <c r="W66" i="25"/>
  <c r="V66" i="25"/>
  <c r="U66" i="25"/>
  <c r="S66" i="25"/>
  <c r="R66" i="25"/>
  <c r="Q66" i="25"/>
  <c r="N66" i="25"/>
  <c r="M66" i="25"/>
  <c r="L66" i="25"/>
  <c r="K66" i="25"/>
  <c r="J66" i="25"/>
  <c r="I66" i="25"/>
  <c r="H66" i="25"/>
  <c r="G66" i="25"/>
  <c r="E66" i="25"/>
  <c r="D66" i="25"/>
  <c r="C66" i="25"/>
  <c r="AO65" i="25"/>
  <c r="AN65" i="25"/>
  <c r="AM65" i="25"/>
  <c r="AL65" i="25"/>
  <c r="AK65" i="25"/>
  <c r="AJ65" i="25"/>
  <c r="AI65" i="25"/>
  <c r="AH65" i="25"/>
  <c r="AG65" i="25"/>
  <c r="AF65" i="25"/>
  <c r="AE65" i="25"/>
  <c r="AA65" i="25"/>
  <c r="Z65" i="25"/>
  <c r="Y65" i="25"/>
  <c r="X65" i="25"/>
  <c r="W65" i="25"/>
  <c r="V65" i="25"/>
  <c r="U65" i="25"/>
  <c r="S65" i="25"/>
  <c r="R65" i="25"/>
  <c r="Q65" i="25"/>
  <c r="N65" i="25"/>
  <c r="M65" i="25"/>
  <c r="L65" i="25"/>
  <c r="K65" i="25"/>
  <c r="J65" i="25"/>
  <c r="I65" i="25"/>
  <c r="H65" i="25"/>
  <c r="G65" i="25"/>
  <c r="E65" i="25"/>
  <c r="D65" i="25"/>
  <c r="C65" i="25"/>
  <c r="AO64" i="25"/>
  <c r="AN64" i="25"/>
  <c r="AM64" i="25"/>
  <c r="AL64" i="25"/>
  <c r="AK64" i="25"/>
  <c r="AJ64" i="25"/>
  <c r="AI64" i="25"/>
  <c r="AH64" i="25"/>
  <c r="AG64" i="25"/>
  <c r="AF64" i="25"/>
  <c r="AE64" i="25"/>
  <c r="AA64" i="25"/>
  <c r="Z64" i="25"/>
  <c r="Y64" i="25"/>
  <c r="X64" i="25"/>
  <c r="W64" i="25"/>
  <c r="V64" i="25"/>
  <c r="U64" i="25"/>
  <c r="S64" i="25"/>
  <c r="R64" i="25"/>
  <c r="Q64" i="25"/>
  <c r="N64" i="25"/>
  <c r="M64" i="25"/>
  <c r="L64" i="25"/>
  <c r="K64" i="25"/>
  <c r="J64" i="25"/>
  <c r="I64" i="25"/>
  <c r="H64" i="25"/>
  <c r="G64" i="25"/>
  <c r="E64" i="25"/>
  <c r="D64" i="25"/>
  <c r="C64" i="25"/>
  <c r="AO63" i="25"/>
  <c r="AN63" i="25"/>
  <c r="AM63" i="25"/>
  <c r="AL63" i="25"/>
  <c r="AK63" i="25"/>
  <c r="AJ63" i="25"/>
  <c r="AI63" i="25"/>
  <c r="AH63" i="25"/>
  <c r="AG63" i="25"/>
  <c r="AF63" i="25"/>
  <c r="AE63" i="25"/>
  <c r="AA63" i="25"/>
  <c r="Z63" i="25"/>
  <c r="Y63" i="25"/>
  <c r="X63" i="25"/>
  <c r="W63" i="25"/>
  <c r="V63" i="25"/>
  <c r="U63" i="25"/>
  <c r="S63" i="25"/>
  <c r="R63" i="25"/>
  <c r="Q63" i="25"/>
  <c r="N63" i="25"/>
  <c r="M63" i="25"/>
  <c r="L63" i="25"/>
  <c r="K63" i="25"/>
  <c r="J63" i="25"/>
  <c r="I63" i="25"/>
  <c r="H63" i="25"/>
  <c r="G63" i="25"/>
  <c r="E63" i="25"/>
  <c r="D63" i="25"/>
  <c r="C63" i="25"/>
  <c r="AO62" i="25"/>
  <c r="AN62" i="25"/>
  <c r="AM62" i="25"/>
  <c r="AL62" i="25"/>
  <c r="AK62" i="25"/>
  <c r="AJ62" i="25"/>
  <c r="AI62" i="25"/>
  <c r="AH62" i="25"/>
  <c r="AG62" i="25"/>
  <c r="AF62" i="25"/>
  <c r="AE62" i="25"/>
  <c r="AA62" i="25"/>
  <c r="Z62" i="25"/>
  <c r="Y62" i="25"/>
  <c r="X62" i="25"/>
  <c r="W62" i="25"/>
  <c r="V62" i="25"/>
  <c r="U62" i="25"/>
  <c r="T62" i="25"/>
  <c r="S62" i="25"/>
  <c r="R62" i="25"/>
  <c r="Q62" i="25"/>
  <c r="N62" i="25"/>
  <c r="M62" i="25"/>
  <c r="L62" i="25"/>
  <c r="K62" i="25"/>
  <c r="J62" i="25"/>
  <c r="I62" i="25"/>
  <c r="H62" i="25"/>
  <c r="G62" i="25"/>
  <c r="F62" i="25"/>
  <c r="E62" i="25"/>
  <c r="D62" i="25"/>
  <c r="C62" i="25"/>
  <c r="AO61" i="25"/>
  <c r="AO81" i="25" s="1"/>
  <c r="AN61" i="25"/>
  <c r="AN81" i="25" s="1"/>
  <c r="AM61" i="25"/>
  <c r="AM81" i="25" s="1"/>
  <c r="AL61" i="25"/>
  <c r="AL81" i="25" s="1"/>
  <c r="AK61" i="25"/>
  <c r="AK81" i="25" s="1"/>
  <c r="AJ61" i="25"/>
  <c r="AJ81" i="25" s="1"/>
  <c r="AI61" i="25"/>
  <c r="AI81" i="25" s="1"/>
  <c r="AH61" i="25"/>
  <c r="AH81" i="25" s="1"/>
  <c r="AG61" i="25"/>
  <c r="AG81" i="25" s="1"/>
  <c r="AF61" i="25"/>
  <c r="AF81" i="25" s="1"/>
  <c r="AE61" i="25"/>
  <c r="AE81" i="25" s="1"/>
  <c r="AA61" i="25"/>
  <c r="AA81" i="25" s="1"/>
  <c r="Z61" i="25"/>
  <c r="Z81" i="25" s="1"/>
  <c r="Y61" i="25"/>
  <c r="Y81" i="25" s="1"/>
  <c r="X61" i="25"/>
  <c r="X81" i="25" s="1"/>
  <c r="W61" i="25"/>
  <c r="W81" i="25" s="1"/>
  <c r="V61" i="25"/>
  <c r="V81" i="25" s="1"/>
  <c r="U61" i="25"/>
  <c r="U81" i="25" s="1"/>
  <c r="T61" i="25"/>
  <c r="S61" i="25"/>
  <c r="S81" i="25" s="1"/>
  <c r="R61" i="25"/>
  <c r="R81" i="25" s="1"/>
  <c r="Q61" i="25"/>
  <c r="Q81" i="25" s="1"/>
  <c r="N61" i="25"/>
  <c r="N81" i="25" s="1"/>
  <c r="M61" i="25"/>
  <c r="M81" i="25" s="1"/>
  <c r="L61" i="25"/>
  <c r="L81" i="25" s="1"/>
  <c r="K61" i="25"/>
  <c r="K81" i="25" s="1"/>
  <c r="J61" i="25"/>
  <c r="J81" i="25" s="1"/>
  <c r="I61" i="25"/>
  <c r="I81" i="25" s="1"/>
  <c r="H61" i="25"/>
  <c r="H81" i="25" s="1"/>
  <c r="G61" i="25"/>
  <c r="G81" i="25" s="1"/>
  <c r="F61" i="25"/>
  <c r="F81" i="25" s="1"/>
  <c r="E61" i="25"/>
  <c r="E81" i="25" s="1"/>
  <c r="D61" i="25"/>
  <c r="D81" i="25" s="1"/>
  <c r="C61" i="25"/>
  <c r="C81" i="25" s="1"/>
  <c r="AB58" i="25"/>
  <c r="AO56" i="25"/>
  <c r="AN56" i="25"/>
  <c r="AM56" i="25"/>
  <c r="AL56" i="25"/>
  <c r="AK56" i="25"/>
  <c r="AJ56" i="25"/>
  <c r="AI56" i="25"/>
  <c r="AH56" i="25"/>
  <c r="AG56" i="25"/>
  <c r="AF56" i="25"/>
  <c r="AE56" i="25"/>
  <c r="U56" i="25"/>
  <c r="Q56" i="25"/>
  <c r="N56" i="25"/>
  <c r="G56" i="25"/>
  <c r="C56" i="25"/>
  <c r="AO55" i="25"/>
  <c r="AN55" i="25"/>
  <c r="AM55" i="25"/>
  <c r="AL55" i="25"/>
  <c r="AK55" i="25"/>
  <c r="AJ55" i="25"/>
  <c r="AI55" i="25"/>
  <c r="AH55" i="25"/>
  <c r="AG55" i="25"/>
  <c r="AF55" i="25"/>
  <c r="AE55" i="25"/>
  <c r="AA55" i="25"/>
  <c r="Z55" i="25"/>
  <c r="Y55" i="25"/>
  <c r="X55" i="25"/>
  <c r="W55" i="25"/>
  <c r="V55" i="25"/>
  <c r="U55" i="25"/>
  <c r="T55" i="25"/>
  <c r="S55" i="25"/>
  <c r="R55" i="25"/>
  <c r="Q55" i="25"/>
  <c r="N55" i="25"/>
  <c r="M55" i="25"/>
  <c r="L55" i="25"/>
  <c r="K55" i="25"/>
  <c r="J55" i="25"/>
  <c r="I55" i="25"/>
  <c r="H55" i="25"/>
  <c r="G55" i="25"/>
  <c r="F55" i="25"/>
  <c r="E55" i="25"/>
  <c r="D55" i="25"/>
  <c r="C55" i="25"/>
  <c r="AO54" i="25"/>
  <c r="AN54" i="25"/>
  <c r="AM54" i="25"/>
  <c r="AL54" i="25"/>
  <c r="AK54" i="25"/>
  <c r="AJ54" i="25"/>
  <c r="AI54" i="25"/>
  <c r="AH54" i="25"/>
  <c r="AG54" i="25"/>
  <c r="AF54" i="25"/>
  <c r="AE54" i="25"/>
  <c r="AA54" i="25"/>
  <c r="Z54" i="25"/>
  <c r="Y54" i="25"/>
  <c r="X54" i="25"/>
  <c r="W54" i="25"/>
  <c r="V54" i="25"/>
  <c r="U54" i="25"/>
  <c r="T54" i="25"/>
  <c r="S54" i="25"/>
  <c r="R54" i="25"/>
  <c r="Q54" i="25"/>
  <c r="N54" i="25"/>
  <c r="M54" i="25"/>
  <c r="L54" i="25"/>
  <c r="K54" i="25"/>
  <c r="J54" i="25"/>
  <c r="I54" i="25"/>
  <c r="H54" i="25"/>
  <c r="G54" i="25"/>
  <c r="F54" i="25"/>
  <c r="E54" i="25"/>
  <c r="D54" i="25"/>
  <c r="C54" i="25"/>
  <c r="AO53" i="25"/>
  <c r="AN53" i="25"/>
  <c r="AM53" i="25"/>
  <c r="AL53" i="25"/>
  <c r="AK53" i="25"/>
  <c r="AJ53" i="25"/>
  <c r="AI53" i="25"/>
  <c r="AH53" i="25"/>
  <c r="AG53" i="25"/>
  <c r="AF53" i="25"/>
  <c r="AE53" i="25"/>
  <c r="AA53" i="25"/>
  <c r="Z53" i="25"/>
  <c r="Y53" i="25"/>
  <c r="X53" i="25"/>
  <c r="W53" i="25"/>
  <c r="V53" i="25"/>
  <c r="U53" i="25"/>
  <c r="T53" i="25"/>
  <c r="S53" i="25"/>
  <c r="R53" i="25"/>
  <c r="Q53" i="25"/>
  <c r="N53" i="25"/>
  <c r="M53" i="25"/>
  <c r="L53" i="25"/>
  <c r="K53" i="25"/>
  <c r="J53" i="25"/>
  <c r="I53" i="25"/>
  <c r="H53" i="25"/>
  <c r="G53" i="25"/>
  <c r="F53" i="25"/>
  <c r="E53" i="25"/>
  <c r="D53" i="25"/>
  <c r="C53" i="25"/>
  <c r="AO52" i="25"/>
  <c r="AN52" i="25"/>
  <c r="AM52" i="25"/>
  <c r="AL52" i="25"/>
  <c r="AK52" i="25"/>
  <c r="AJ52" i="25"/>
  <c r="AI52" i="25"/>
  <c r="AH52" i="25"/>
  <c r="AG52" i="25"/>
  <c r="AF52" i="25"/>
  <c r="AE52" i="25"/>
  <c r="AA52" i="25"/>
  <c r="Z52" i="25"/>
  <c r="Y52" i="25"/>
  <c r="X52" i="25"/>
  <c r="W52" i="25"/>
  <c r="V52" i="25"/>
  <c r="U52" i="25"/>
  <c r="T52" i="25"/>
  <c r="S52" i="25"/>
  <c r="R52" i="25"/>
  <c r="Q52" i="25"/>
  <c r="N52" i="25"/>
  <c r="M52" i="25"/>
  <c r="L52" i="25"/>
  <c r="K52" i="25"/>
  <c r="J52" i="25"/>
  <c r="I52" i="25"/>
  <c r="H52" i="25"/>
  <c r="G52" i="25"/>
  <c r="F52" i="25"/>
  <c r="E52" i="25"/>
  <c r="D52" i="25"/>
  <c r="C52" i="25"/>
  <c r="AO51" i="25"/>
  <c r="AN51" i="25"/>
  <c r="AM51" i="25"/>
  <c r="AL51" i="25"/>
  <c r="AK51" i="25"/>
  <c r="AJ51" i="25"/>
  <c r="AI51" i="25"/>
  <c r="AH51" i="25"/>
  <c r="AG51" i="25"/>
  <c r="AF51" i="25"/>
  <c r="AE51" i="25"/>
  <c r="AA51" i="25"/>
  <c r="Z51" i="25"/>
  <c r="Y51" i="25"/>
  <c r="X51" i="25"/>
  <c r="W51" i="25"/>
  <c r="V51" i="25"/>
  <c r="U51" i="25"/>
  <c r="T51" i="25"/>
  <c r="S51" i="25"/>
  <c r="R51" i="25"/>
  <c r="Q51" i="25"/>
  <c r="N51" i="25"/>
  <c r="M51" i="25"/>
  <c r="L51" i="25"/>
  <c r="K51" i="25"/>
  <c r="J51" i="25"/>
  <c r="I51" i="25"/>
  <c r="H51" i="25"/>
  <c r="G51" i="25"/>
  <c r="F51" i="25"/>
  <c r="E51" i="25"/>
  <c r="D51" i="25"/>
  <c r="C51" i="25"/>
  <c r="AO50" i="25"/>
  <c r="AN50" i="25"/>
  <c r="AM50" i="25"/>
  <c r="AL50" i="25"/>
  <c r="AK50" i="25"/>
  <c r="AJ50" i="25"/>
  <c r="AI50" i="25"/>
  <c r="AH50" i="25"/>
  <c r="AG50" i="25"/>
  <c r="AF50" i="25"/>
  <c r="AE50" i="25"/>
  <c r="AA50" i="25"/>
  <c r="Z50" i="25"/>
  <c r="Y50" i="25"/>
  <c r="X50" i="25"/>
  <c r="W50" i="25"/>
  <c r="V50" i="25"/>
  <c r="U50" i="25"/>
  <c r="T50" i="25"/>
  <c r="S50" i="25"/>
  <c r="R50" i="25"/>
  <c r="Q50" i="25"/>
  <c r="N50" i="25"/>
  <c r="M50" i="25"/>
  <c r="L50" i="25"/>
  <c r="K50" i="25"/>
  <c r="J50" i="25"/>
  <c r="I50" i="25"/>
  <c r="H50" i="25"/>
  <c r="G50" i="25"/>
  <c r="F50" i="25"/>
  <c r="E50" i="25"/>
  <c r="D50" i="25"/>
  <c r="C50" i="25"/>
  <c r="AO49" i="25"/>
  <c r="AN49" i="25"/>
  <c r="AM49" i="25"/>
  <c r="AL49" i="25"/>
  <c r="AK49" i="25"/>
  <c r="AJ49" i="25"/>
  <c r="AI49" i="25"/>
  <c r="AH49" i="25"/>
  <c r="AG49" i="25"/>
  <c r="AF49" i="25"/>
  <c r="AE49" i="25"/>
  <c r="AA49" i="25"/>
  <c r="Z49" i="25"/>
  <c r="Y49" i="25"/>
  <c r="X49" i="25"/>
  <c r="W49" i="25"/>
  <c r="V49" i="25"/>
  <c r="U49" i="25"/>
  <c r="T49" i="25"/>
  <c r="S49" i="25"/>
  <c r="R49" i="25"/>
  <c r="Q49" i="25"/>
  <c r="N49" i="25"/>
  <c r="M49" i="25"/>
  <c r="L49" i="25"/>
  <c r="K49" i="25"/>
  <c r="J49" i="25"/>
  <c r="I49" i="25"/>
  <c r="H49" i="25"/>
  <c r="G49" i="25"/>
  <c r="F49" i="25"/>
  <c r="E49" i="25"/>
  <c r="D49" i="25"/>
  <c r="C49" i="25"/>
  <c r="AO48" i="25"/>
  <c r="AN48" i="25"/>
  <c r="AM48" i="25"/>
  <c r="AL48" i="25"/>
  <c r="AK48" i="25"/>
  <c r="AJ48" i="25"/>
  <c r="AI48" i="25"/>
  <c r="AH48" i="25"/>
  <c r="AG48" i="25"/>
  <c r="AF48" i="25"/>
  <c r="AE48" i="25"/>
  <c r="AA48" i="25"/>
  <c r="Z48" i="25"/>
  <c r="Y48" i="25"/>
  <c r="X48" i="25"/>
  <c r="W48" i="25"/>
  <c r="V48" i="25"/>
  <c r="U48" i="25"/>
  <c r="T48" i="25"/>
  <c r="S48" i="25"/>
  <c r="R48" i="25"/>
  <c r="Q48" i="25"/>
  <c r="N48" i="25"/>
  <c r="M48" i="25"/>
  <c r="L48" i="25"/>
  <c r="K48" i="25"/>
  <c r="J48" i="25"/>
  <c r="I48" i="25"/>
  <c r="H48" i="25"/>
  <c r="G48" i="25"/>
  <c r="F48" i="25"/>
  <c r="E48" i="25"/>
  <c r="D48" i="25"/>
  <c r="C48" i="25"/>
  <c r="AO47" i="25"/>
  <c r="AN47" i="25"/>
  <c r="AM47" i="25"/>
  <c r="AL47" i="25"/>
  <c r="AK47" i="25"/>
  <c r="AJ47" i="25"/>
  <c r="AI47" i="25"/>
  <c r="AH47" i="25"/>
  <c r="AG47" i="25"/>
  <c r="AF47" i="25"/>
  <c r="AE47" i="25"/>
  <c r="AA47" i="25"/>
  <c r="Z47" i="25"/>
  <c r="Y47" i="25"/>
  <c r="X47" i="25"/>
  <c r="W47" i="25"/>
  <c r="V47" i="25"/>
  <c r="U47" i="25"/>
  <c r="T47" i="25"/>
  <c r="S47" i="25"/>
  <c r="R47" i="25"/>
  <c r="Q47" i="25"/>
  <c r="N47" i="25"/>
  <c r="M47" i="25"/>
  <c r="L47" i="25"/>
  <c r="K47" i="25"/>
  <c r="J47" i="25"/>
  <c r="I47" i="25"/>
  <c r="H47" i="25"/>
  <c r="G47" i="25"/>
  <c r="F47" i="25"/>
  <c r="E47" i="25"/>
  <c r="D47" i="25"/>
  <c r="C47" i="25"/>
  <c r="AO46" i="25"/>
  <c r="AN46" i="25"/>
  <c r="AM46" i="25"/>
  <c r="AL46" i="25"/>
  <c r="AK46" i="25"/>
  <c r="AJ46" i="25"/>
  <c r="AI46" i="25"/>
  <c r="AH46" i="25"/>
  <c r="AG46" i="25"/>
  <c r="AF46" i="25"/>
  <c r="AE46" i="25"/>
  <c r="AA46" i="25"/>
  <c r="Z46" i="25"/>
  <c r="Y46" i="25"/>
  <c r="X46" i="25"/>
  <c r="W46" i="25"/>
  <c r="V46" i="25"/>
  <c r="U46" i="25"/>
  <c r="T46" i="25"/>
  <c r="S46" i="25"/>
  <c r="R46" i="25"/>
  <c r="Q46" i="25"/>
  <c r="N46" i="25"/>
  <c r="M46" i="25"/>
  <c r="L46" i="25"/>
  <c r="K46" i="25"/>
  <c r="J46" i="25"/>
  <c r="I46" i="25"/>
  <c r="H46" i="25"/>
  <c r="G46" i="25"/>
  <c r="F46" i="25"/>
  <c r="E46" i="25"/>
  <c r="D46" i="25"/>
  <c r="C46" i="25"/>
  <c r="AO45" i="25"/>
  <c r="AN45" i="25"/>
  <c r="AM45" i="25"/>
  <c r="AL45" i="25"/>
  <c r="AK45" i="25"/>
  <c r="AJ45" i="25"/>
  <c r="AI45" i="25"/>
  <c r="AH45" i="25"/>
  <c r="AG45" i="25"/>
  <c r="AF45" i="25"/>
  <c r="AE45" i="25"/>
  <c r="AA45" i="25"/>
  <c r="Z45" i="25"/>
  <c r="Y45" i="25"/>
  <c r="X45" i="25"/>
  <c r="W45" i="25"/>
  <c r="V45" i="25"/>
  <c r="U45" i="25"/>
  <c r="T45" i="25"/>
  <c r="S45" i="25"/>
  <c r="R45" i="25"/>
  <c r="Q45" i="25"/>
  <c r="N45" i="25"/>
  <c r="M45" i="25"/>
  <c r="L45" i="25"/>
  <c r="K45" i="25"/>
  <c r="J45" i="25"/>
  <c r="I45" i="25"/>
  <c r="H45" i="25"/>
  <c r="G45" i="25"/>
  <c r="F45" i="25"/>
  <c r="E45" i="25"/>
  <c r="D45" i="25"/>
  <c r="C45" i="25"/>
  <c r="AO44" i="25"/>
  <c r="AN44" i="25"/>
  <c r="AM44" i="25"/>
  <c r="AL44" i="25"/>
  <c r="AK44" i="25"/>
  <c r="AJ44" i="25"/>
  <c r="AI44" i="25"/>
  <c r="AH44" i="25"/>
  <c r="AG44" i="25"/>
  <c r="AF44" i="25"/>
  <c r="AE44" i="25"/>
  <c r="AA44" i="25"/>
  <c r="Z44" i="25"/>
  <c r="Y44" i="25"/>
  <c r="X44" i="25"/>
  <c r="W44" i="25"/>
  <c r="V44" i="25"/>
  <c r="U44" i="25"/>
  <c r="T44" i="25"/>
  <c r="S44" i="25"/>
  <c r="R44" i="25"/>
  <c r="Q44" i="25"/>
  <c r="N44" i="25"/>
  <c r="M44" i="25"/>
  <c r="L44" i="25"/>
  <c r="K44" i="25"/>
  <c r="J44" i="25"/>
  <c r="I44" i="25"/>
  <c r="H44" i="25"/>
  <c r="G44" i="25"/>
  <c r="F44" i="25"/>
  <c r="E44" i="25"/>
  <c r="D44" i="25"/>
  <c r="C44" i="25"/>
  <c r="AO43" i="25"/>
  <c r="AN43" i="25"/>
  <c r="AM43" i="25"/>
  <c r="AL43" i="25"/>
  <c r="AK43" i="25"/>
  <c r="AJ43" i="25"/>
  <c r="AI43" i="25"/>
  <c r="AH43" i="25"/>
  <c r="AG43" i="25"/>
  <c r="AF43" i="25"/>
  <c r="AE43" i="25"/>
  <c r="AA43" i="25"/>
  <c r="Z43" i="25"/>
  <c r="Y43" i="25"/>
  <c r="X43" i="25"/>
  <c r="W43" i="25"/>
  <c r="V43" i="25"/>
  <c r="U43" i="25"/>
  <c r="T43" i="25"/>
  <c r="S43" i="25"/>
  <c r="R43" i="25"/>
  <c r="Q43" i="25"/>
  <c r="N43" i="25"/>
  <c r="M43" i="25"/>
  <c r="L43" i="25"/>
  <c r="K43" i="25"/>
  <c r="J43" i="25"/>
  <c r="I43" i="25"/>
  <c r="H43" i="25"/>
  <c r="G43" i="25"/>
  <c r="F43" i="25"/>
  <c r="E43" i="25"/>
  <c r="D43" i="25"/>
  <c r="C43" i="25"/>
  <c r="AO42" i="25"/>
  <c r="AN42" i="25"/>
  <c r="AM42" i="25"/>
  <c r="AL42" i="25"/>
  <c r="AK42" i="25"/>
  <c r="AJ42" i="25"/>
  <c r="AI42" i="25"/>
  <c r="AH42" i="25"/>
  <c r="AG42" i="25"/>
  <c r="AF42" i="25"/>
  <c r="AE42" i="25"/>
  <c r="AA42" i="25"/>
  <c r="Z42" i="25"/>
  <c r="Y42" i="25"/>
  <c r="X42" i="25"/>
  <c r="W42" i="25"/>
  <c r="V42" i="25"/>
  <c r="U42" i="25"/>
  <c r="T42" i="25"/>
  <c r="S42" i="25"/>
  <c r="R42" i="25"/>
  <c r="Q42" i="25"/>
  <c r="N42" i="25"/>
  <c r="M42" i="25"/>
  <c r="L42" i="25"/>
  <c r="K42" i="25"/>
  <c r="J42" i="25"/>
  <c r="I42" i="25"/>
  <c r="H42" i="25"/>
  <c r="G42" i="25"/>
  <c r="F42" i="25"/>
  <c r="E42" i="25"/>
  <c r="D42" i="25"/>
  <c r="C42" i="25"/>
  <c r="AO41" i="25"/>
  <c r="AN41" i="25"/>
  <c r="AM41" i="25"/>
  <c r="AL41" i="25"/>
  <c r="AK41" i="25"/>
  <c r="AJ41" i="25"/>
  <c r="AI41" i="25"/>
  <c r="AH41" i="25"/>
  <c r="AG41" i="25"/>
  <c r="AF41" i="25"/>
  <c r="AE41" i="25"/>
  <c r="AA41" i="25"/>
  <c r="Z41" i="25"/>
  <c r="Y41" i="25"/>
  <c r="X41" i="25"/>
  <c r="W41" i="25"/>
  <c r="V41" i="25"/>
  <c r="U41" i="25"/>
  <c r="T41" i="25"/>
  <c r="S41" i="25"/>
  <c r="R41" i="25"/>
  <c r="Q41" i="25"/>
  <c r="N41" i="25"/>
  <c r="M41" i="25"/>
  <c r="L41" i="25"/>
  <c r="K41" i="25"/>
  <c r="J41" i="25"/>
  <c r="I41" i="25"/>
  <c r="H41" i="25"/>
  <c r="G41" i="25"/>
  <c r="F41" i="25"/>
  <c r="E41" i="25"/>
  <c r="D41" i="25"/>
  <c r="C41" i="25"/>
  <c r="AO40" i="25"/>
  <c r="AN40" i="25"/>
  <c r="AM40" i="25"/>
  <c r="AL40" i="25"/>
  <c r="AK40" i="25"/>
  <c r="AJ40" i="25"/>
  <c r="AI40" i="25"/>
  <c r="AH40" i="25"/>
  <c r="AG40" i="25"/>
  <c r="AF40" i="25"/>
  <c r="AE40" i="25"/>
  <c r="AA40" i="25"/>
  <c r="Z40" i="25"/>
  <c r="Y40" i="25"/>
  <c r="X40" i="25"/>
  <c r="W40" i="25"/>
  <c r="V40" i="25"/>
  <c r="U40" i="25"/>
  <c r="T40" i="25"/>
  <c r="S40" i="25"/>
  <c r="R40" i="25"/>
  <c r="Q40" i="25"/>
  <c r="N40" i="25"/>
  <c r="M40" i="25"/>
  <c r="L40" i="25"/>
  <c r="K40" i="25"/>
  <c r="J40" i="25"/>
  <c r="I40" i="25"/>
  <c r="H40" i="25"/>
  <c r="G40" i="25"/>
  <c r="F40" i="25"/>
  <c r="E40" i="25"/>
  <c r="D40" i="25"/>
  <c r="C40" i="25"/>
  <c r="AO39" i="25"/>
  <c r="AN39" i="25"/>
  <c r="AM39" i="25"/>
  <c r="AL39" i="25"/>
  <c r="AK39" i="25"/>
  <c r="AJ39" i="25"/>
  <c r="AI39" i="25"/>
  <c r="AH39" i="25"/>
  <c r="AG39" i="25"/>
  <c r="AF39" i="25"/>
  <c r="AE39" i="25"/>
  <c r="AA39" i="25"/>
  <c r="Z39" i="25"/>
  <c r="Y39" i="25"/>
  <c r="X39" i="25"/>
  <c r="W39" i="25"/>
  <c r="V39" i="25"/>
  <c r="U39" i="25"/>
  <c r="T39" i="25"/>
  <c r="S39" i="25"/>
  <c r="R39" i="25"/>
  <c r="Q39" i="25"/>
  <c r="N39" i="25"/>
  <c r="M39" i="25"/>
  <c r="L39" i="25"/>
  <c r="K39" i="25"/>
  <c r="J39" i="25"/>
  <c r="I39" i="25"/>
  <c r="H39" i="25"/>
  <c r="G39" i="25"/>
  <c r="F39" i="25"/>
  <c r="E39" i="25"/>
  <c r="D39" i="25"/>
  <c r="C39" i="25"/>
  <c r="AO38" i="25"/>
  <c r="AN38" i="25"/>
  <c r="AM38" i="25"/>
  <c r="AL38" i="25"/>
  <c r="AK38" i="25"/>
  <c r="AJ38" i="25"/>
  <c r="AI38" i="25"/>
  <c r="AH38" i="25"/>
  <c r="AG38" i="25"/>
  <c r="AF38" i="25"/>
  <c r="AE38" i="25"/>
  <c r="AA38" i="25"/>
  <c r="Z38" i="25"/>
  <c r="Y38" i="25"/>
  <c r="X38" i="25"/>
  <c r="W38" i="25"/>
  <c r="V38" i="25"/>
  <c r="U38" i="25"/>
  <c r="T38" i="25"/>
  <c r="S38" i="25"/>
  <c r="R38" i="25"/>
  <c r="Q38" i="25"/>
  <c r="N38" i="25"/>
  <c r="M38" i="25"/>
  <c r="L38" i="25"/>
  <c r="K38" i="25"/>
  <c r="J38" i="25"/>
  <c r="I38" i="25"/>
  <c r="H38" i="25"/>
  <c r="G38" i="25"/>
  <c r="F38" i="25"/>
  <c r="E38" i="25"/>
  <c r="D38" i="25"/>
  <c r="C38" i="25"/>
  <c r="AO37" i="25"/>
  <c r="AO58" i="25" s="1"/>
  <c r="AN37" i="25"/>
  <c r="AN58" i="25" s="1"/>
  <c r="AM37" i="25"/>
  <c r="AM58" i="25" s="1"/>
  <c r="AL37" i="25"/>
  <c r="AL58" i="25" s="1"/>
  <c r="AK37" i="25"/>
  <c r="AK58" i="25" s="1"/>
  <c r="AJ37" i="25"/>
  <c r="AJ58" i="25" s="1"/>
  <c r="AI37" i="25"/>
  <c r="AI58" i="25" s="1"/>
  <c r="AH37" i="25"/>
  <c r="AH58" i="25" s="1"/>
  <c r="AG37" i="25"/>
  <c r="AG58" i="25" s="1"/>
  <c r="AF37" i="25"/>
  <c r="AF58" i="25" s="1"/>
  <c r="AE37" i="25"/>
  <c r="AE58" i="25" s="1"/>
  <c r="AA37" i="25"/>
  <c r="AA58" i="25" s="1"/>
  <c r="Z37" i="25"/>
  <c r="Y37" i="25"/>
  <c r="X37" i="25"/>
  <c r="W37" i="25"/>
  <c r="V37" i="25"/>
  <c r="U37" i="25"/>
  <c r="U58" i="25" s="1"/>
  <c r="T37" i="25"/>
  <c r="S37" i="25"/>
  <c r="R37" i="25"/>
  <c r="Q37" i="25"/>
  <c r="Q58" i="25" s="1"/>
  <c r="N37" i="25"/>
  <c r="N58" i="25" s="1"/>
  <c r="M37" i="25"/>
  <c r="M58" i="25" s="1"/>
  <c r="L37" i="25"/>
  <c r="L58" i="25" s="1"/>
  <c r="K37" i="25"/>
  <c r="K58" i="25" s="1"/>
  <c r="J37" i="25"/>
  <c r="J58" i="25" s="1"/>
  <c r="I37" i="25"/>
  <c r="I58" i="25" s="1"/>
  <c r="H37" i="25"/>
  <c r="H58" i="25" s="1"/>
  <c r="G37" i="25"/>
  <c r="G58" i="25" s="1"/>
  <c r="F37" i="25"/>
  <c r="F58" i="25" s="1"/>
  <c r="E37" i="25"/>
  <c r="E58" i="25" s="1"/>
  <c r="D37" i="25"/>
  <c r="D58" i="25" s="1"/>
  <c r="C37" i="25"/>
  <c r="C58" i="25" s="1"/>
  <c r="AB35" i="25"/>
  <c r="AO33" i="25"/>
  <c r="AN33" i="25"/>
  <c r="AM33" i="25"/>
  <c r="AL33" i="25"/>
  <c r="AK33" i="25"/>
  <c r="AJ33" i="25"/>
  <c r="AI33" i="25"/>
  <c r="AH33" i="25"/>
  <c r="AG33" i="25"/>
  <c r="AF33" i="25"/>
  <c r="AE33" i="25"/>
  <c r="AA33" i="25"/>
  <c r="Z33" i="25"/>
  <c r="Y33" i="25"/>
  <c r="X33" i="25"/>
  <c r="W33" i="25"/>
  <c r="V33" i="25"/>
  <c r="U33" i="25"/>
  <c r="T33" i="25"/>
  <c r="S33" i="25"/>
  <c r="R33" i="25"/>
  <c r="Q33" i="25"/>
  <c r="N33" i="25"/>
  <c r="M33" i="25"/>
  <c r="L33" i="25"/>
  <c r="K33" i="25"/>
  <c r="J33" i="25"/>
  <c r="I33" i="25"/>
  <c r="H33" i="25"/>
  <c r="G33" i="25"/>
  <c r="F33" i="25"/>
  <c r="E33" i="25"/>
  <c r="D33" i="25"/>
  <c r="C33" i="25"/>
  <c r="AO32" i="25"/>
  <c r="AN32" i="25"/>
  <c r="AM32" i="25"/>
  <c r="AL32" i="25"/>
  <c r="AK32" i="25"/>
  <c r="AJ32" i="25"/>
  <c r="AI32" i="25"/>
  <c r="AH32" i="25"/>
  <c r="AG32" i="25"/>
  <c r="AF32" i="25"/>
  <c r="AE32" i="25"/>
  <c r="AA32" i="25"/>
  <c r="Z32" i="25"/>
  <c r="Y32" i="25"/>
  <c r="X32" i="25"/>
  <c r="W32" i="25"/>
  <c r="V32" i="25"/>
  <c r="U32" i="25"/>
  <c r="T32" i="25"/>
  <c r="S32" i="25"/>
  <c r="R32" i="25"/>
  <c r="Q32" i="25"/>
  <c r="N32" i="25"/>
  <c r="M32" i="25"/>
  <c r="L32" i="25"/>
  <c r="K32" i="25"/>
  <c r="J32" i="25"/>
  <c r="I32" i="25"/>
  <c r="H32" i="25"/>
  <c r="G32" i="25"/>
  <c r="F32" i="25"/>
  <c r="E32" i="25"/>
  <c r="D32" i="25"/>
  <c r="C32" i="25"/>
  <c r="AO31" i="25"/>
  <c r="AN31" i="25"/>
  <c r="AM31" i="25"/>
  <c r="AL31" i="25"/>
  <c r="AK31" i="25"/>
  <c r="AJ31" i="25"/>
  <c r="AI31" i="25"/>
  <c r="AH31" i="25"/>
  <c r="AG31" i="25"/>
  <c r="AF31" i="25"/>
  <c r="AE31" i="25"/>
  <c r="AA31" i="25"/>
  <c r="Z31" i="25"/>
  <c r="Y31" i="25"/>
  <c r="X31" i="25"/>
  <c r="W31" i="25"/>
  <c r="V31" i="25"/>
  <c r="U31" i="25"/>
  <c r="T31" i="25"/>
  <c r="S31" i="25"/>
  <c r="R31" i="25"/>
  <c r="Q31" i="25"/>
  <c r="N31" i="25"/>
  <c r="M31" i="25"/>
  <c r="L31" i="25"/>
  <c r="K31" i="25"/>
  <c r="J31" i="25"/>
  <c r="I31" i="25"/>
  <c r="H31" i="25"/>
  <c r="G31" i="25"/>
  <c r="F31" i="25"/>
  <c r="E31" i="25"/>
  <c r="D31" i="25"/>
  <c r="C31" i="25"/>
  <c r="AO30" i="25"/>
  <c r="AO35" i="25" s="1"/>
  <c r="AN30" i="25"/>
  <c r="AN35" i="25" s="1"/>
  <c r="AM30" i="25"/>
  <c r="AM35" i="25" s="1"/>
  <c r="AL30" i="25"/>
  <c r="AL35" i="25" s="1"/>
  <c r="AK30" i="25"/>
  <c r="AK35" i="25" s="1"/>
  <c r="AJ30" i="25"/>
  <c r="AJ35" i="25" s="1"/>
  <c r="AI30" i="25"/>
  <c r="AI35" i="25" s="1"/>
  <c r="AH30" i="25"/>
  <c r="AH35" i="25" s="1"/>
  <c r="AG30" i="25"/>
  <c r="AG35" i="25" s="1"/>
  <c r="AF30" i="25"/>
  <c r="AF35" i="25" s="1"/>
  <c r="AE30" i="25"/>
  <c r="AE35" i="25" s="1"/>
  <c r="AA30" i="25"/>
  <c r="AA35" i="25" s="1"/>
  <c r="Z30" i="25"/>
  <c r="Z35" i="25" s="1"/>
  <c r="Y30" i="25"/>
  <c r="Y35" i="25" s="1"/>
  <c r="X30" i="25"/>
  <c r="X35" i="25" s="1"/>
  <c r="W30" i="25"/>
  <c r="W35" i="25" s="1"/>
  <c r="V30" i="25"/>
  <c r="V35" i="25" s="1"/>
  <c r="U30" i="25"/>
  <c r="U35" i="25" s="1"/>
  <c r="T30" i="25"/>
  <c r="T35" i="25" s="1"/>
  <c r="S30" i="25"/>
  <c r="S35" i="25" s="1"/>
  <c r="R30" i="25"/>
  <c r="R35" i="25" s="1"/>
  <c r="Q30" i="25"/>
  <c r="Q35" i="25" s="1"/>
  <c r="N30" i="25"/>
  <c r="N35" i="25" s="1"/>
  <c r="M30" i="25"/>
  <c r="M35" i="25" s="1"/>
  <c r="L30" i="25"/>
  <c r="L35" i="25" s="1"/>
  <c r="K30" i="25"/>
  <c r="K35" i="25" s="1"/>
  <c r="J30" i="25"/>
  <c r="J35" i="25" s="1"/>
  <c r="I30" i="25"/>
  <c r="I35" i="25" s="1"/>
  <c r="H30" i="25"/>
  <c r="H35" i="25" s="1"/>
  <c r="G30" i="25"/>
  <c r="G35" i="25" s="1"/>
  <c r="F30" i="25"/>
  <c r="F35" i="25" s="1"/>
  <c r="E30" i="25"/>
  <c r="E35" i="25" s="1"/>
  <c r="D30" i="25"/>
  <c r="D35" i="25" s="1"/>
  <c r="C30" i="25"/>
  <c r="C35" i="25" s="1"/>
  <c r="AB27" i="25"/>
  <c r="AO25" i="25"/>
  <c r="AN25" i="25"/>
  <c r="AM25" i="25"/>
  <c r="AL25" i="25"/>
  <c r="AK25" i="25"/>
  <c r="AJ25" i="25"/>
  <c r="AI25" i="25"/>
  <c r="AH25" i="25"/>
  <c r="AG25" i="25"/>
  <c r="AF25" i="25"/>
  <c r="AE25" i="25"/>
  <c r="AA25" i="25"/>
  <c r="Z25" i="25"/>
  <c r="Y25" i="25"/>
  <c r="X25" i="25"/>
  <c r="W25" i="25"/>
  <c r="V25" i="25"/>
  <c r="U25" i="25"/>
  <c r="T25" i="25"/>
  <c r="S25" i="25"/>
  <c r="R25" i="25"/>
  <c r="Q25" i="25"/>
  <c r="N25" i="25"/>
  <c r="M25" i="25"/>
  <c r="L25" i="25"/>
  <c r="K25" i="25"/>
  <c r="J25" i="25"/>
  <c r="I25" i="25"/>
  <c r="H25" i="25"/>
  <c r="G25" i="25"/>
  <c r="F25" i="25"/>
  <c r="E25" i="25"/>
  <c r="D25" i="25"/>
  <c r="C25" i="25"/>
  <c r="AO24" i="25"/>
  <c r="AN24" i="25"/>
  <c r="AM24" i="25"/>
  <c r="AL24" i="25"/>
  <c r="AK24" i="25"/>
  <c r="AJ24" i="25"/>
  <c r="AI24" i="25"/>
  <c r="AH24" i="25"/>
  <c r="AG24" i="25"/>
  <c r="AF24" i="25"/>
  <c r="AE24" i="25"/>
  <c r="AA24" i="25"/>
  <c r="Z24" i="25"/>
  <c r="Y24" i="25"/>
  <c r="X24" i="25"/>
  <c r="W24" i="25"/>
  <c r="V24" i="25"/>
  <c r="U24" i="25"/>
  <c r="T24" i="25"/>
  <c r="S24" i="25"/>
  <c r="R24" i="25"/>
  <c r="Q24" i="25"/>
  <c r="N24" i="25"/>
  <c r="M24" i="25"/>
  <c r="L24" i="25"/>
  <c r="K24" i="25"/>
  <c r="J24" i="25"/>
  <c r="I24" i="25"/>
  <c r="H24" i="25"/>
  <c r="G24" i="25"/>
  <c r="F24" i="25"/>
  <c r="E24" i="25"/>
  <c r="D24" i="25"/>
  <c r="C24" i="25"/>
  <c r="AO23" i="25"/>
  <c r="AN23" i="25"/>
  <c r="AM23" i="25"/>
  <c r="AL23" i="25"/>
  <c r="AK23" i="25"/>
  <c r="AJ23" i="25"/>
  <c r="AI23" i="25"/>
  <c r="AH23" i="25"/>
  <c r="AG23" i="25"/>
  <c r="AF23" i="25"/>
  <c r="AE23" i="25"/>
  <c r="AA23" i="25"/>
  <c r="Z23" i="25"/>
  <c r="Y23" i="25"/>
  <c r="X23" i="25"/>
  <c r="W23" i="25"/>
  <c r="V23" i="25"/>
  <c r="U23" i="25"/>
  <c r="T23" i="25"/>
  <c r="S23" i="25"/>
  <c r="R23" i="25"/>
  <c r="Q23" i="25"/>
  <c r="N23" i="25"/>
  <c r="M23" i="25"/>
  <c r="L23" i="25"/>
  <c r="K23" i="25"/>
  <c r="J23" i="25"/>
  <c r="I23" i="25"/>
  <c r="H23" i="25"/>
  <c r="G23" i="25"/>
  <c r="F23" i="25"/>
  <c r="E23" i="25"/>
  <c r="D23" i="25"/>
  <c r="C23" i="25"/>
  <c r="AO22" i="25"/>
  <c r="AN22" i="25"/>
  <c r="AM22" i="25"/>
  <c r="AL22" i="25"/>
  <c r="AK22" i="25"/>
  <c r="AJ22" i="25"/>
  <c r="AI22" i="25"/>
  <c r="AH22" i="25"/>
  <c r="AG22" i="25"/>
  <c r="AF22" i="25"/>
  <c r="AE22" i="25"/>
  <c r="AA22" i="25"/>
  <c r="Z22" i="25"/>
  <c r="Y22" i="25"/>
  <c r="X22" i="25"/>
  <c r="W22" i="25"/>
  <c r="V22" i="25"/>
  <c r="U22" i="25"/>
  <c r="T22" i="25"/>
  <c r="S22" i="25"/>
  <c r="R22" i="25"/>
  <c r="Q22" i="25"/>
  <c r="N22" i="25"/>
  <c r="M22" i="25"/>
  <c r="L22" i="25"/>
  <c r="K22" i="25"/>
  <c r="J22" i="25"/>
  <c r="I22" i="25"/>
  <c r="H22" i="25"/>
  <c r="G22" i="25"/>
  <c r="F22" i="25"/>
  <c r="E22" i="25"/>
  <c r="D22" i="25"/>
  <c r="C22" i="25"/>
  <c r="AO21" i="25"/>
  <c r="AN21" i="25"/>
  <c r="AM21" i="25"/>
  <c r="AL21" i="25"/>
  <c r="AK21" i="25"/>
  <c r="AJ21" i="25"/>
  <c r="AI21" i="25"/>
  <c r="AH21" i="25"/>
  <c r="AG21" i="25"/>
  <c r="AF21" i="25"/>
  <c r="AE21" i="25"/>
  <c r="AA21" i="25"/>
  <c r="Z21" i="25"/>
  <c r="Y21" i="25"/>
  <c r="X21" i="25"/>
  <c r="W21" i="25"/>
  <c r="V21" i="25"/>
  <c r="U21" i="25"/>
  <c r="T21" i="25"/>
  <c r="S21" i="25"/>
  <c r="R21" i="25"/>
  <c r="Q21" i="25"/>
  <c r="N21" i="25"/>
  <c r="M21" i="25"/>
  <c r="L21" i="25"/>
  <c r="K21" i="25"/>
  <c r="J21" i="25"/>
  <c r="I21" i="25"/>
  <c r="H21" i="25"/>
  <c r="G21" i="25"/>
  <c r="F21" i="25"/>
  <c r="E21" i="25"/>
  <c r="D21" i="25"/>
  <c r="C21" i="25"/>
  <c r="AO20" i="25"/>
  <c r="AN20" i="25"/>
  <c r="AM20" i="25"/>
  <c r="AL20" i="25"/>
  <c r="AK20" i="25"/>
  <c r="AJ20" i="25"/>
  <c r="AI20" i="25"/>
  <c r="AH20" i="25"/>
  <c r="AG20" i="25"/>
  <c r="AF20" i="25"/>
  <c r="AE20" i="25"/>
  <c r="AA20" i="25"/>
  <c r="Z20" i="25"/>
  <c r="Y20" i="25"/>
  <c r="X20" i="25"/>
  <c r="W20" i="25"/>
  <c r="V20" i="25"/>
  <c r="U20" i="25"/>
  <c r="T20" i="25"/>
  <c r="S20" i="25"/>
  <c r="R20" i="25"/>
  <c r="Q20" i="25"/>
  <c r="N20" i="25"/>
  <c r="M20" i="25"/>
  <c r="L20" i="25"/>
  <c r="K20" i="25"/>
  <c r="J20" i="25"/>
  <c r="I20" i="25"/>
  <c r="H20" i="25"/>
  <c r="G20" i="25"/>
  <c r="F20" i="25"/>
  <c r="E20" i="25"/>
  <c r="D20" i="25"/>
  <c r="C20" i="25"/>
  <c r="AO19" i="25"/>
  <c r="AN19" i="25"/>
  <c r="AM19" i="25"/>
  <c r="AL19" i="25"/>
  <c r="AK19" i="25"/>
  <c r="AJ19" i="25"/>
  <c r="AI19" i="25"/>
  <c r="AH19" i="25"/>
  <c r="AG19" i="25"/>
  <c r="AF19" i="25"/>
  <c r="AE19" i="25"/>
  <c r="AA19" i="25"/>
  <c r="Z19" i="25"/>
  <c r="Y19" i="25"/>
  <c r="X19" i="25"/>
  <c r="W19" i="25"/>
  <c r="V19" i="25"/>
  <c r="U19" i="25"/>
  <c r="T19" i="25"/>
  <c r="S19" i="25"/>
  <c r="R19" i="25"/>
  <c r="Q19" i="25"/>
  <c r="N19" i="25"/>
  <c r="M19" i="25"/>
  <c r="L19" i="25"/>
  <c r="K19" i="25"/>
  <c r="J19" i="25"/>
  <c r="I19" i="25"/>
  <c r="H19" i="25"/>
  <c r="G19" i="25"/>
  <c r="F19" i="25"/>
  <c r="E19" i="25"/>
  <c r="D19" i="25"/>
  <c r="C19" i="25"/>
  <c r="AO18" i="25"/>
  <c r="AN18" i="25"/>
  <c r="AM18" i="25"/>
  <c r="AL18" i="25"/>
  <c r="AK18" i="25"/>
  <c r="AJ18" i="25"/>
  <c r="AI18" i="25"/>
  <c r="AH18" i="25"/>
  <c r="AG18" i="25"/>
  <c r="AF18" i="25"/>
  <c r="AE18" i="25"/>
  <c r="AA18" i="25"/>
  <c r="Z18" i="25"/>
  <c r="Y18" i="25"/>
  <c r="X18" i="25"/>
  <c r="W18" i="25"/>
  <c r="V18" i="25"/>
  <c r="U18" i="25"/>
  <c r="T18" i="25"/>
  <c r="S18" i="25"/>
  <c r="R18" i="25"/>
  <c r="Q18" i="25"/>
  <c r="N18" i="25"/>
  <c r="M18" i="25"/>
  <c r="L18" i="25"/>
  <c r="K18" i="25"/>
  <c r="J18" i="25"/>
  <c r="I18" i="25"/>
  <c r="H18" i="25"/>
  <c r="G18" i="25"/>
  <c r="F18" i="25"/>
  <c r="E18" i="25"/>
  <c r="D18" i="25"/>
  <c r="C18" i="25"/>
  <c r="AO17" i="25"/>
  <c r="AN17" i="25"/>
  <c r="AM17" i="25"/>
  <c r="AL17" i="25"/>
  <c r="AK17" i="25"/>
  <c r="AJ17" i="25"/>
  <c r="AI17" i="25"/>
  <c r="AH17" i="25"/>
  <c r="AG17" i="25"/>
  <c r="AF17" i="25"/>
  <c r="AE17" i="25"/>
  <c r="AA17" i="25"/>
  <c r="Z17" i="25"/>
  <c r="Y17" i="25"/>
  <c r="X17" i="25"/>
  <c r="W17" i="25"/>
  <c r="V17" i="25"/>
  <c r="U17" i="25"/>
  <c r="T17" i="25"/>
  <c r="S17" i="25"/>
  <c r="R17" i="25"/>
  <c r="Q17" i="25"/>
  <c r="N17" i="25"/>
  <c r="M17" i="25"/>
  <c r="L17" i="25"/>
  <c r="K17" i="25"/>
  <c r="J17" i="25"/>
  <c r="I17" i="25"/>
  <c r="H17" i="25"/>
  <c r="G17" i="25"/>
  <c r="F17" i="25"/>
  <c r="E17" i="25"/>
  <c r="D17" i="25"/>
  <c r="C17" i="25"/>
  <c r="AO16" i="25"/>
  <c r="AN16" i="25"/>
  <c r="AM16" i="25"/>
  <c r="AL16" i="25"/>
  <c r="AK16" i="25"/>
  <c r="AJ16" i="25"/>
  <c r="AI16" i="25"/>
  <c r="AH16" i="25"/>
  <c r="AG16" i="25"/>
  <c r="AF16" i="25"/>
  <c r="AE16" i="25"/>
  <c r="AA16" i="25"/>
  <c r="Z16" i="25"/>
  <c r="Y16" i="25"/>
  <c r="X16" i="25"/>
  <c r="W16" i="25"/>
  <c r="V16" i="25"/>
  <c r="U16" i="25"/>
  <c r="T16" i="25"/>
  <c r="S16" i="25"/>
  <c r="R16" i="25"/>
  <c r="Q16" i="25"/>
  <c r="N16" i="25"/>
  <c r="M16" i="25"/>
  <c r="L16" i="25"/>
  <c r="K16" i="25"/>
  <c r="J16" i="25"/>
  <c r="I16" i="25"/>
  <c r="H16" i="25"/>
  <c r="G16" i="25"/>
  <c r="F16" i="25"/>
  <c r="E16" i="25"/>
  <c r="D16" i="25"/>
  <c r="C16" i="25"/>
  <c r="AO15" i="25"/>
  <c r="AN15" i="25"/>
  <c r="AM15" i="25"/>
  <c r="AL15" i="25"/>
  <c r="AK15" i="25"/>
  <c r="AJ15" i="25"/>
  <c r="AI15" i="25"/>
  <c r="AH15" i="25"/>
  <c r="AG15" i="25"/>
  <c r="AF15" i="25"/>
  <c r="AE15" i="25"/>
  <c r="AA15" i="25"/>
  <c r="Z15" i="25"/>
  <c r="Y15" i="25"/>
  <c r="X15" i="25"/>
  <c r="W15" i="25"/>
  <c r="V15" i="25"/>
  <c r="U15" i="25"/>
  <c r="T15" i="25"/>
  <c r="S15" i="25"/>
  <c r="R15" i="25"/>
  <c r="Q15" i="25"/>
  <c r="N15" i="25"/>
  <c r="M15" i="25"/>
  <c r="L15" i="25"/>
  <c r="K15" i="25"/>
  <c r="J15" i="25"/>
  <c r="I15" i="25"/>
  <c r="H15" i="25"/>
  <c r="G15" i="25"/>
  <c r="F15" i="25"/>
  <c r="E15" i="25"/>
  <c r="D15" i="25"/>
  <c r="C15" i="25"/>
  <c r="AO14" i="25"/>
  <c r="AN14" i="25"/>
  <c r="AM14" i="25"/>
  <c r="AL14" i="25"/>
  <c r="AK14" i="25"/>
  <c r="AJ14" i="25"/>
  <c r="AI14" i="25"/>
  <c r="AH14" i="25"/>
  <c r="AG14" i="25"/>
  <c r="AF14" i="25"/>
  <c r="AE14" i="25"/>
  <c r="AA14" i="25"/>
  <c r="Z14" i="25"/>
  <c r="Y14" i="25"/>
  <c r="X14" i="25"/>
  <c r="W14" i="25"/>
  <c r="V14" i="25"/>
  <c r="U14" i="25"/>
  <c r="T14" i="25"/>
  <c r="S14" i="25"/>
  <c r="R14" i="25"/>
  <c r="Q14" i="25"/>
  <c r="N14" i="25"/>
  <c r="M14" i="25"/>
  <c r="L14" i="25"/>
  <c r="K14" i="25"/>
  <c r="J14" i="25"/>
  <c r="I14" i="25"/>
  <c r="H14" i="25"/>
  <c r="G14" i="25"/>
  <c r="F14" i="25"/>
  <c r="E14" i="25"/>
  <c r="D14" i="25"/>
  <c r="C14" i="25"/>
  <c r="AO13" i="25"/>
  <c r="AN13" i="25"/>
  <c r="AM13" i="25"/>
  <c r="AL13" i="25"/>
  <c r="AK13" i="25"/>
  <c r="AJ13" i="25"/>
  <c r="AI13" i="25"/>
  <c r="AH13" i="25"/>
  <c r="AG13" i="25"/>
  <c r="AF13" i="25"/>
  <c r="AE13" i="25"/>
  <c r="AA13" i="25"/>
  <c r="Z13" i="25"/>
  <c r="Y13" i="25"/>
  <c r="X13" i="25"/>
  <c r="W13" i="25"/>
  <c r="V13" i="25"/>
  <c r="U13" i="25"/>
  <c r="T13" i="25"/>
  <c r="S13" i="25"/>
  <c r="R13" i="25"/>
  <c r="Q13" i="25"/>
  <c r="N13" i="25"/>
  <c r="M13" i="25"/>
  <c r="L13" i="25"/>
  <c r="K13" i="25"/>
  <c r="J13" i="25"/>
  <c r="I13" i="25"/>
  <c r="H13" i="25"/>
  <c r="G13" i="25"/>
  <c r="F13" i="25"/>
  <c r="E13" i="25"/>
  <c r="D13" i="25"/>
  <c r="C13" i="25"/>
  <c r="AO12" i="25"/>
  <c r="AN12" i="25"/>
  <c r="AM12" i="25"/>
  <c r="AL12" i="25"/>
  <c r="AK12" i="25"/>
  <c r="AJ12" i="25"/>
  <c r="AI12" i="25"/>
  <c r="AH12" i="25"/>
  <c r="AG12" i="25"/>
  <c r="AF12" i="25"/>
  <c r="AE12" i="25"/>
  <c r="AA12" i="25"/>
  <c r="Z12" i="25"/>
  <c r="Y12" i="25"/>
  <c r="X12" i="25"/>
  <c r="W12" i="25"/>
  <c r="V12" i="25"/>
  <c r="U12" i="25"/>
  <c r="T12" i="25"/>
  <c r="S12" i="25"/>
  <c r="R12" i="25"/>
  <c r="Q12" i="25"/>
  <c r="N12" i="25"/>
  <c r="M12" i="25"/>
  <c r="L12" i="25"/>
  <c r="K12" i="25"/>
  <c r="J12" i="25"/>
  <c r="I12" i="25"/>
  <c r="H12" i="25"/>
  <c r="G12" i="25"/>
  <c r="F12" i="25"/>
  <c r="E12" i="25"/>
  <c r="D12" i="25"/>
  <c r="C12" i="25"/>
  <c r="AO11" i="25"/>
  <c r="AN11" i="25"/>
  <c r="AM11" i="25"/>
  <c r="AL11" i="25"/>
  <c r="AK11" i="25"/>
  <c r="AJ11" i="25"/>
  <c r="AI11" i="25"/>
  <c r="AH11" i="25"/>
  <c r="AG11" i="25"/>
  <c r="AF11" i="25"/>
  <c r="AE11" i="25"/>
  <c r="AA11" i="25"/>
  <c r="Z11" i="25"/>
  <c r="Y11" i="25"/>
  <c r="X11" i="25"/>
  <c r="W11" i="25"/>
  <c r="V11" i="25"/>
  <c r="U11" i="25"/>
  <c r="T11" i="25"/>
  <c r="S11" i="25"/>
  <c r="R11" i="25"/>
  <c r="Q11" i="25"/>
  <c r="N11" i="25"/>
  <c r="M11" i="25"/>
  <c r="L11" i="25"/>
  <c r="K11" i="25"/>
  <c r="J11" i="25"/>
  <c r="I11" i="25"/>
  <c r="H11" i="25"/>
  <c r="G11" i="25"/>
  <c r="F11" i="25"/>
  <c r="E11" i="25"/>
  <c r="D11" i="25"/>
  <c r="C11" i="25"/>
  <c r="AO10" i="25"/>
  <c r="AN10" i="25"/>
  <c r="AM10" i="25"/>
  <c r="AL10" i="25"/>
  <c r="AK10" i="25"/>
  <c r="AJ10" i="25"/>
  <c r="AI10" i="25"/>
  <c r="AH10" i="25"/>
  <c r="AG10" i="25"/>
  <c r="AF10" i="25"/>
  <c r="AE10" i="25"/>
  <c r="AA10" i="25"/>
  <c r="Z10" i="25"/>
  <c r="Y10" i="25"/>
  <c r="X10" i="25"/>
  <c r="W10" i="25"/>
  <c r="V10" i="25"/>
  <c r="U10" i="25"/>
  <c r="T10" i="25"/>
  <c r="S10" i="25"/>
  <c r="R10" i="25"/>
  <c r="Q10" i="25"/>
  <c r="N10" i="25"/>
  <c r="M10" i="25"/>
  <c r="L10" i="25"/>
  <c r="K10" i="25"/>
  <c r="J10" i="25"/>
  <c r="I10" i="25"/>
  <c r="H10" i="25"/>
  <c r="G10" i="25"/>
  <c r="F10" i="25"/>
  <c r="E10" i="25"/>
  <c r="D10" i="25"/>
  <c r="C10" i="25"/>
  <c r="AO9" i="25"/>
  <c r="AN9" i="25"/>
  <c r="AM9" i="25"/>
  <c r="AL9" i="25"/>
  <c r="AK9" i="25"/>
  <c r="AJ9" i="25"/>
  <c r="AI9" i="25"/>
  <c r="AH9" i="25"/>
  <c r="AG9" i="25"/>
  <c r="AF9" i="25"/>
  <c r="AE9" i="25"/>
  <c r="AA9" i="25"/>
  <c r="Z9" i="25"/>
  <c r="Y9" i="25"/>
  <c r="X9" i="25"/>
  <c r="W9" i="25"/>
  <c r="V9" i="25"/>
  <c r="U9" i="25"/>
  <c r="T9" i="25"/>
  <c r="S9" i="25"/>
  <c r="R9" i="25"/>
  <c r="Q9" i="25"/>
  <c r="N9" i="25"/>
  <c r="M9" i="25"/>
  <c r="L9" i="25"/>
  <c r="K9" i="25"/>
  <c r="J9" i="25"/>
  <c r="I9" i="25"/>
  <c r="H9" i="25"/>
  <c r="G9" i="25"/>
  <c r="F9" i="25"/>
  <c r="E9" i="25"/>
  <c r="D9" i="25"/>
  <c r="C9" i="25"/>
  <c r="AO8" i="25"/>
  <c r="AN8" i="25"/>
  <c r="AM8" i="25"/>
  <c r="AL8" i="25"/>
  <c r="AK8" i="25"/>
  <c r="AJ8" i="25"/>
  <c r="AI8" i="25"/>
  <c r="AH8" i="25"/>
  <c r="AG8" i="25"/>
  <c r="AF8" i="25"/>
  <c r="AE8" i="25"/>
  <c r="AA8" i="25"/>
  <c r="Z8" i="25"/>
  <c r="Y8" i="25"/>
  <c r="X8" i="25"/>
  <c r="W8" i="25"/>
  <c r="V8" i="25"/>
  <c r="U8" i="25"/>
  <c r="T8" i="25"/>
  <c r="S8" i="25"/>
  <c r="R8" i="25"/>
  <c r="Q8" i="25"/>
  <c r="N8" i="25"/>
  <c r="M8" i="25"/>
  <c r="L8" i="25"/>
  <c r="K8" i="25"/>
  <c r="J8" i="25"/>
  <c r="I8" i="25"/>
  <c r="H8" i="25"/>
  <c r="G8" i="25"/>
  <c r="F8" i="25"/>
  <c r="E8" i="25"/>
  <c r="D8" i="25"/>
  <c r="C8" i="25"/>
  <c r="AO7" i="25"/>
  <c r="AO27" i="25" s="1"/>
  <c r="AN7" i="25"/>
  <c r="AN27" i="25" s="1"/>
  <c r="AM7" i="25"/>
  <c r="AM27" i="25" s="1"/>
  <c r="AL7" i="25"/>
  <c r="AL27" i="25" s="1"/>
  <c r="AK7" i="25"/>
  <c r="AK27" i="25" s="1"/>
  <c r="AJ7" i="25"/>
  <c r="AJ27" i="25" s="1"/>
  <c r="AI7" i="25"/>
  <c r="AI27" i="25" s="1"/>
  <c r="AH7" i="25"/>
  <c r="AH27" i="25" s="1"/>
  <c r="AG7" i="25"/>
  <c r="AG27" i="25" s="1"/>
  <c r="AF7" i="25"/>
  <c r="AF27" i="25" s="1"/>
  <c r="AE7" i="25"/>
  <c r="AE27" i="25" s="1"/>
  <c r="AA7" i="25"/>
  <c r="AA27" i="25" s="1"/>
  <c r="Z7" i="25"/>
  <c r="Z27" i="25" s="1"/>
  <c r="Y7" i="25"/>
  <c r="Y27" i="25" s="1"/>
  <c r="X7" i="25"/>
  <c r="X27" i="25" s="1"/>
  <c r="W7" i="25"/>
  <c r="W27" i="25" s="1"/>
  <c r="V7" i="25"/>
  <c r="V27" i="25" s="1"/>
  <c r="U7" i="25"/>
  <c r="U27" i="25" s="1"/>
  <c r="T7" i="25"/>
  <c r="T27" i="25" s="1"/>
  <c r="S7" i="25"/>
  <c r="S27" i="25" s="1"/>
  <c r="R7" i="25"/>
  <c r="R27" i="25" s="1"/>
  <c r="Q7" i="25"/>
  <c r="Q27" i="25" s="1"/>
  <c r="N7" i="25"/>
  <c r="N27" i="25" s="1"/>
  <c r="M7" i="25"/>
  <c r="M27" i="25" s="1"/>
  <c r="L7" i="25"/>
  <c r="L27" i="25" s="1"/>
  <c r="K7" i="25"/>
  <c r="K27" i="25" s="1"/>
  <c r="J7" i="25"/>
  <c r="J27" i="25" s="1"/>
  <c r="I7" i="25"/>
  <c r="I27" i="25" s="1"/>
  <c r="H7" i="25"/>
  <c r="H27" i="25" s="1"/>
  <c r="G7" i="25"/>
  <c r="G27" i="25" s="1"/>
  <c r="F7" i="25"/>
  <c r="F27" i="25" s="1"/>
  <c r="E7" i="25"/>
  <c r="E27" i="25" s="1"/>
  <c r="D7" i="25"/>
  <c r="D27" i="25" s="1"/>
  <c r="C7" i="25"/>
  <c r="C27" i="25" s="1"/>
  <c r="A3" i="25"/>
  <c r="L53" i="24"/>
  <c r="K53" i="24"/>
  <c r="S53" i="24" s="1"/>
  <c r="J53" i="24"/>
  <c r="I53" i="24"/>
  <c r="H53" i="24"/>
  <c r="R53" i="24" s="1"/>
  <c r="G53" i="24"/>
  <c r="F53" i="24"/>
  <c r="E53" i="24"/>
  <c r="Q53" i="24" s="1"/>
  <c r="B53" i="24"/>
  <c r="S46" i="24"/>
  <c r="R46" i="24"/>
  <c r="Q46" i="24"/>
  <c r="P46" i="24"/>
  <c r="T46" i="24" s="1"/>
  <c r="S45" i="24"/>
  <c r="R45" i="24"/>
  <c r="Q45" i="24"/>
  <c r="P45" i="24"/>
  <c r="T45" i="24" s="1"/>
  <c r="L44" i="24"/>
  <c r="L49" i="24" s="1"/>
  <c r="K44" i="24"/>
  <c r="J44" i="24"/>
  <c r="J49" i="24" s="1"/>
  <c r="I44" i="24"/>
  <c r="I49" i="24" s="1"/>
  <c r="H44" i="24"/>
  <c r="G44" i="24"/>
  <c r="G49" i="24" s="1"/>
  <c r="F44" i="24"/>
  <c r="F49" i="24" s="1"/>
  <c r="E44" i="24"/>
  <c r="D44" i="24"/>
  <c r="D49" i="24" s="1"/>
  <c r="S43" i="24"/>
  <c r="S42" i="24"/>
  <c r="S38" i="24"/>
  <c r="S31" i="24"/>
  <c r="S30" i="24"/>
  <c r="L29" i="24"/>
  <c r="K29" i="24"/>
  <c r="S29" i="24" s="1"/>
  <c r="J29" i="24"/>
  <c r="I29" i="24"/>
  <c r="H29" i="24"/>
  <c r="R29" i="24" s="1"/>
  <c r="G29" i="24"/>
  <c r="F29" i="24"/>
  <c r="E29" i="24"/>
  <c r="Q29" i="24" s="1"/>
  <c r="D29" i="24"/>
  <c r="L24" i="24"/>
  <c r="K24" i="24"/>
  <c r="S24" i="24" s="1"/>
  <c r="J24" i="24"/>
  <c r="I24" i="24"/>
  <c r="H24" i="24"/>
  <c r="R24" i="24" s="1"/>
  <c r="G24" i="24"/>
  <c r="F24" i="24"/>
  <c r="E24" i="24"/>
  <c r="Q24" i="24" s="1"/>
  <c r="D24" i="24"/>
  <c r="S23" i="24"/>
  <c r="L22" i="24"/>
  <c r="K22" i="24"/>
  <c r="S22" i="24" s="1"/>
  <c r="J22" i="24"/>
  <c r="I22" i="24"/>
  <c r="H22" i="24"/>
  <c r="R22" i="24" s="1"/>
  <c r="G22" i="24"/>
  <c r="F22" i="24"/>
  <c r="E22" i="24"/>
  <c r="Q22" i="24" s="1"/>
  <c r="D22" i="24"/>
  <c r="L21" i="24"/>
  <c r="K21" i="24"/>
  <c r="S21" i="24" s="1"/>
  <c r="J21" i="24"/>
  <c r="I21" i="24"/>
  <c r="H21" i="24"/>
  <c r="R21" i="24" s="1"/>
  <c r="G21" i="24"/>
  <c r="F21" i="24"/>
  <c r="E21" i="24"/>
  <c r="Q21" i="24" s="1"/>
  <c r="D21" i="24"/>
  <c r="L20" i="24"/>
  <c r="K20" i="24"/>
  <c r="S20" i="24" s="1"/>
  <c r="J20" i="24"/>
  <c r="I20" i="24"/>
  <c r="H20" i="24"/>
  <c r="R20" i="24" s="1"/>
  <c r="G20" i="24"/>
  <c r="F20" i="24"/>
  <c r="E20" i="24"/>
  <c r="Q20" i="24" s="1"/>
  <c r="D20" i="24"/>
  <c r="L19" i="24"/>
  <c r="K19" i="24"/>
  <c r="S19" i="24" s="1"/>
  <c r="J19" i="24"/>
  <c r="I19" i="24"/>
  <c r="H19" i="24"/>
  <c r="R19" i="24" s="1"/>
  <c r="G19" i="24"/>
  <c r="F19" i="24"/>
  <c r="E19" i="24"/>
  <c r="Q19" i="24" s="1"/>
  <c r="D19" i="24"/>
  <c r="L14" i="24"/>
  <c r="L47" i="24" s="1"/>
  <c r="K14" i="24"/>
  <c r="J14" i="24"/>
  <c r="J47" i="24" s="1"/>
  <c r="I14" i="24"/>
  <c r="I47" i="24" s="1"/>
  <c r="H14" i="24"/>
  <c r="G14" i="24"/>
  <c r="G47" i="24" s="1"/>
  <c r="F14" i="24"/>
  <c r="F47" i="24" s="1"/>
  <c r="E14" i="24"/>
  <c r="D14" i="24"/>
  <c r="D47" i="24" s="1"/>
  <c r="C14" i="24"/>
  <c r="B14" i="24"/>
  <c r="L13" i="24"/>
  <c r="K13" i="24"/>
  <c r="S13" i="24" s="1"/>
  <c r="J13" i="24"/>
  <c r="I13" i="24"/>
  <c r="H13" i="24"/>
  <c r="R13" i="24" s="1"/>
  <c r="G13" i="24"/>
  <c r="F13" i="24"/>
  <c r="E13" i="24"/>
  <c r="Q13" i="24" s="1"/>
  <c r="D13" i="24"/>
  <c r="L12" i="24"/>
  <c r="K12" i="24"/>
  <c r="S12" i="24" s="1"/>
  <c r="J12" i="24"/>
  <c r="I12" i="24"/>
  <c r="H12" i="24"/>
  <c r="R12" i="24" s="1"/>
  <c r="G12" i="24"/>
  <c r="F12" i="24"/>
  <c r="E12" i="24"/>
  <c r="Q12" i="24" s="1"/>
  <c r="D12" i="24"/>
  <c r="L11" i="24"/>
  <c r="L18" i="24" s="1"/>
  <c r="K11" i="24"/>
  <c r="J11" i="24"/>
  <c r="J18" i="24" s="1"/>
  <c r="I11" i="24"/>
  <c r="I18" i="24" s="1"/>
  <c r="H11" i="24"/>
  <c r="G11" i="24"/>
  <c r="G18" i="24" s="1"/>
  <c r="F11" i="24"/>
  <c r="F18" i="24" s="1"/>
  <c r="E11" i="24"/>
  <c r="D11" i="24"/>
  <c r="D18" i="24" s="1"/>
  <c r="C11" i="24"/>
  <c r="B11" i="24"/>
  <c r="S10" i="24"/>
  <c r="R10" i="24"/>
  <c r="Q10" i="24"/>
  <c r="P10" i="24"/>
  <c r="T10" i="24" s="1"/>
  <c r="N10" i="24"/>
  <c r="L9" i="24"/>
  <c r="L37" i="24" s="1"/>
  <c r="K9" i="24"/>
  <c r="J9" i="24"/>
  <c r="J37" i="24" s="1"/>
  <c r="I9" i="24"/>
  <c r="I37" i="24" s="1"/>
  <c r="H9" i="24"/>
  <c r="G9" i="24"/>
  <c r="G37" i="24" s="1"/>
  <c r="F9" i="24"/>
  <c r="F37" i="24" s="1"/>
  <c r="E9" i="24"/>
  <c r="D9" i="24"/>
  <c r="D37" i="24" s="1"/>
  <c r="L8" i="24"/>
  <c r="L36" i="24" s="1"/>
  <c r="L40" i="24" s="1"/>
  <c r="K8" i="24"/>
  <c r="J8" i="24"/>
  <c r="J36" i="24" s="1"/>
  <c r="J40" i="24" s="1"/>
  <c r="I8" i="24"/>
  <c r="I36" i="24" s="1"/>
  <c r="I40" i="24" s="1"/>
  <c r="H8" i="24"/>
  <c r="G8" i="24"/>
  <c r="G36" i="24" s="1"/>
  <c r="G40" i="24" s="1"/>
  <c r="F8" i="24"/>
  <c r="F36" i="24" s="1"/>
  <c r="F40" i="24" s="1"/>
  <c r="E8" i="24"/>
  <c r="D8" i="24"/>
  <c r="D36" i="24" s="1"/>
  <c r="D40" i="24" s="1"/>
  <c r="C8" i="24"/>
  <c r="B8" i="24"/>
  <c r="L6" i="24"/>
  <c r="L16" i="24" s="1"/>
  <c r="L26" i="24" s="1"/>
  <c r="L33" i="24" s="1"/>
  <c r="L51" i="24" s="1"/>
  <c r="L56" i="24" s="1"/>
  <c r="K6" i="24"/>
  <c r="J6" i="24"/>
  <c r="J16" i="24" s="1"/>
  <c r="J26" i="24" s="1"/>
  <c r="J33" i="24" s="1"/>
  <c r="J51" i="24" s="1"/>
  <c r="J56" i="24" s="1"/>
  <c r="I6" i="24"/>
  <c r="I16" i="24" s="1"/>
  <c r="I26" i="24" s="1"/>
  <c r="I33" i="24" s="1"/>
  <c r="I51" i="24" s="1"/>
  <c r="I56" i="24" s="1"/>
  <c r="I57" i="24" s="1"/>
  <c r="H6" i="24"/>
  <c r="G6" i="24"/>
  <c r="G16" i="24" s="1"/>
  <c r="G26" i="24" s="1"/>
  <c r="G33" i="24" s="1"/>
  <c r="G51" i="24" s="1"/>
  <c r="G56" i="24" s="1"/>
  <c r="F6" i="24"/>
  <c r="F16" i="24" s="1"/>
  <c r="F26" i="24" s="1"/>
  <c r="F33" i="24" s="1"/>
  <c r="F51" i="24" s="1"/>
  <c r="F56" i="24" s="1"/>
  <c r="F57" i="24" s="1"/>
  <c r="E6" i="24"/>
  <c r="D6" i="24"/>
  <c r="D16" i="24" s="1"/>
  <c r="D26" i="24" s="1"/>
  <c r="D33" i="24" s="1"/>
  <c r="D51" i="24" s="1"/>
  <c r="C6" i="24"/>
  <c r="C16" i="24" s="1"/>
  <c r="C26" i="24" s="1"/>
  <c r="C33" i="24" s="1"/>
  <c r="B6" i="24"/>
  <c r="S4" i="24"/>
  <c r="A3" i="24"/>
  <c r="Q44" i="23"/>
  <c r="P44" i="23"/>
  <c r="O44" i="23"/>
  <c r="E44" i="23"/>
  <c r="D44" i="23"/>
  <c r="C44" i="23"/>
  <c r="Q43" i="23"/>
  <c r="P43" i="23"/>
  <c r="O43" i="23"/>
  <c r="E43" i="23"/>
  <c r="D43" i="23"/>
  <c r="C43" i="23"/>
  <c r="Q42" i="23"/>
  <c r="P42" i="23"/>
  <c r="O42" i="23"/>
  <c r="E42" i="23"/>
  <c r="D42" i="23"/>
  <c r="C42" i="23"/>
  <c r="Q38" i="23"/>
  <c r="P38" i="23"/>
  <c r="O38" i="23"/>
  <c r="E38" i="23"/>
  <c r="D38" i="23"/>
  <c r="C38" i="23"/>
  <c r="Q37" i="23"/>
  <c r="P37" i="23"/>
  <c r="O37" i="23"/>
  <c r="E37" i="23"/>
  <c r="D37" i="23"/>
  <c r="C37" i="23"/>
  <c r="AG33" i="23"/>
  <c r="AF33" i="23"/>
  <c r="AE33" i="23"/>
  <c r="U33" i="23"/>
  <c r="T33" i="23"/>
  <c r="S33" i="23"/>
  <c r="Q33" i="23"/>
  <c r="P33" i="23"/>
  <c r="O33" i="23"/>
  <c r="E33" i="23"/>
  <c r="D33" i="23"/>
  <c r="C33" i="23"/>
  <c r="AG32" i="23"/>
  <c r="AF32" i="23"/>
  <c r="AE32" i="23"/>
  <c r="U32" i="23"/>
  <c r="T32" i="23"/>
  <c r="S32" i="23"/>
  <c r="Q32" i="23"/>
  <c r="P32" i="23"/>
  <c r="O32" i="23"/>
  <c r="E32" i="23"/>
  <c r="D32" i="23"/>
  <c r="C32" i="23"/>
  <c r="AG31" i="23"/>
  <c r="AF31" i="23"/>
  <c r="AE31" i="23"/>
  <c r="U31" i="23"/>
  <c r="T31" i="23"/>
  <c r="S31" i="23"/>
  <c r="Q31" i="23"/>
  <c r="P31" i="23"/>
  <c r="O31" i="23"/>
  <c r="E31" i="23"/>
  <c r="D31" i="23"/>
  <c r="C31" i="23"/>
  <c r="AG30" i="23"/>
  <c r="AF30" i="23"/>
  <c r="AE30" i="23"/>
  <c r="U30" i="23"/>
  <c r="T30" i="23"/>
  <c r="S30" i="23"/>
  <c r="Q30" i="23"/>
  <c r="P30" i="23"/>
  <c r="O30" i="23"/>
  <c r="E30" i="23"/>
  <c r="D30" i="23"/>
  <c r="C30" i="23"/>
  <c r="AG29" i="23"/>
  <c r="AF29" i="23"/>
  <c r="AE29" i="23"/>
  <c r="U29" i="23"/>
  <c r="T29" i="23"/>
  <c r="S29" i="23"/>
  <c r="Q29" i="23"/>
  <c r="P29" i="23"/>
  <c r="O29" i="23"/>
  <c r="E29" i="23"/>
  <c r="D29" i="23"/>
  <c r="C29" i="23"/>
  <c r="AG28" i="23"/>
  <c r="AF28" i="23"/>
  <c r="AE28" i="23"/>
  <c r="U28" i="23"/>
  <c r="T28" i="23"/>
  <c r="S28" i="23"/>
  <c r="Q28" i="23"/>
  <c r="P28" i="23"/>
  <c r="O28" i="23"/>
  <c r="E28" i="23"/>
  <c r="D28" i="23"/>
  <c r="C28" i="23"/>
  <c r="AG27" i="23"/>
  <c r="AF27" i="23"/>
  <c r="AE27" i="23"/>
  <c r="U27" i="23"/>
  <c r="T27" i="23"/>
  <c r="S27" i="23"/>
  <c r="Q27" i="23"/>
  <c r="P27" i="23"/>
  <c r="O27" i="23"/>
  <c r="E27" i="23"/>
  <c r="D27" i="23"/>
  <c r="C27" i="23"/>
  <c r="AG26" i="23"/>
  <c r="AG35" i="23" s="1"/>
  <c r="AF26" i="23"/>
  <c r="AF35" i="23" s="1"/>
  <c r="AE26" i="23"/>
  <c r="AE35" i="23" s="1"/>
  <c r="U26" i="23"/>
  <c r="T26" i="23"/>
  <c r="S26" i="23"/>
  <c r="S35" i="23" s="1"/>
  <c r="Q26" i="23"/>
  <c r="Q35" i="23" s="1"/>
  <c r="P26" i="23"/>
  <c r="P35" i="23" s="1"/>
  <c r="O26" i="23"/>
  <c r="O35" i="23" s="1"/>
  <c r="E26" i="23"/>
  <c r="D26" i="23"/>
  <c r="C26" i="23"/>
  <c r="C35" i="23" s="1"/>
  <c r="AG22" i="23"/>
  <c r="AF22" i="23"/>
  <c r="AE22" i="23"/>
  <c r="U22" i="23"/>
  <c r="T22" i="23"/>
  <c r="S22" i="23"/>
  <c r="Q22" i="23"/>
  <c r="P22" i="23"/>
  <c r="O22" i="23"/>
  <c r="E22" i="23"/>
  <c r="D22" i="23"/>
  <c r="C22" i="23"/>
  <c r="AG21" i="23"/>
  <c r="AF21" i="23"/>
  <c r="AE21" i="23"/>
  <c r="U21" i="23"/>
  <c r="T21" i="23"/>
  <c r="S21" i="23"/>
  <c r="Q21" i="23"/>
  <c r="P21" i="23"/>
  <c r="O21" i="23"/>
  <c r="E21" i="23"/>
  <c r="D21" i="23"/>
  <c r="C21" i="23"/>
  <c r="AG20" i="23"/>
  <c r="AF20" i="23"/>
  <c r="AE20" i="23"/>
  <c r="U20" i="23"/>
  <c r="T20" i="23"/>
  <c r="S20" i="23"/>
  <c r="Q20" i="23"/>
  <c r="P20" i="23"/>
  <c r="O20" i="23"/>
  <c r="E20" i="23"/>
  <c r="D20" i="23"/>
  <c r="C20" i="23"/>
  <c r="AG19" i="23"/>
  <c r="AF19" i="23"/>
  <c r="AE19" i="23"/>
  <c r="U19" i="23"/>
  <c r="T19" i="23"/>
  <c r="S19" i="23"/>
  <c r="Q19" i="23"/>
  <c r="P19" i="23"/>
  <c r="O19" i="23"/>
  <c r="E19" i="23"/>
  <c r="D19" i="23"/>
  <c r="C19" i="23"/>
  <c r="AG18" i="23"/>
  <c r="AF18" i="23"/>
  <c r="AE18" i="23"/>
  <c r="U18" i="23"/>
  <c r="T18" i="23"/>
  <c r="S18" i="23"/>
  <c r="Q18" i="23"/>
  <c r="P18" i="23"/>
  <c r="O18" i="23"/>
  <c r="E18" i="23"/>
  <c r="D18" i="23"/>
  <c r="C18" i="23"/>
  <c r="AG17" i="23"/>
  <c r="AG24" i="23" s="1"/>
  <c r="AF17" i="23"/>
  <c r="AF24" i="23" s="1"/>
  <c r="AE17" i="23"/>
  <c r="AE24" i="23" s="1"/>
  <c r="U17" i="23"/>
  <c r="T17" i="23"/>
  <c r="S17" i="23"/>
  <c r="S24" i="23" s="1"/>
  <c r="Q17" i="23"/>
  <c r="Q24" i="23" s="1"/>
  <c r="P17" i="23"/>
  <c r="P24" i="23" s="1"/>
  <c r="O17" i="23"/>
  <c r="O24" i="23" s="1"/>
  <c r="E17" i="23"/>
  <c r="D17" i="23"/>
  <c r="C17" i="23"/>
  <c r="C24" i="23" s="1"/>
  <c r="AG10" i="23"/>
  <c r="AF10" i="23"/>
  <c r="AE10" i="23"/>
  <c r="U10" i="23"/>
  <c r="T10" i="23"/>
  <c r="S10" i="23"/>
  <c r="Q10" i="23"/>
  <c r="P10" i="23"/>
  <c r="O10" i="23"/>
  <c r="E10" i="23"/>
  <c r="D10" i="23"/>
  <c r="C10" i="23"/>
  <c r="AG9" i="23"/>
  <c r="AF9" i="23"/>
  <c r="AE9" i="23"/>
  <c r="U9" i="23"/>
  <c r="T9" i="23"/>
  <c r="S9" i="23"/>
  <c r="Q9" i="23"/>
  <c r="P9" i="23"/>
  <c r="O9" i="23"/>
  <c r="E9" i="23"/>
  <c r="D9" i="23"/>
  <c r="C9" i="23"/>
  <c r="AG8" i="23"/>
  <c r="AG12" i="23" s="1"/>
  <c r="AF8" i="23"/>
  <c r="AF12" i="23" s="1"/>
  <c r="AE8" i="23"/>
  <c r="AE12" i="23" s="1"/>
  <c r="U8" i="23"/>
  <c r="T8" i="23"/>
  <c r="S8" i="23"/>
  <c r="S12" i="23" s="1"/>
  <c r="Q8" i="23"/>
  <c r="Q12" i="23" s="1"/>
  <c r="P8" i="23"/>
  <c r="P12" i="23" s="1"/>
  <c r="O8" i="23"/>
  <c r="O12" i="23" s="1"/>
  <c r="E8" i="23"/>
  <c r="D8" i="23"/>
  <c r="C8" i="23"/>
  <c r="C12" i="23" s="1"/>
  <c r="Q6" i="23"/>
  <c r="P6" i="23"/>
  <c r="O6" i="23"/>
  <c r="E6" i="23"/>
  <c r="D6" i="23"/>
  <c r="C6" i="23"/>
  <c r="A3" i="23"/>
  <c r="N58" i="22"/>
  <c r="M58" i="22"/>
  <c r="N54" i="22"/>
  <c r="M54" i="22"/>
  <c r="N53" i="22"/>
  <c r="M53" i="22"/>
  <c r="N52" i="22"/>
  <c r="M52" i="22"/>
  <c r="N51" i="22"/>
  <c r="M51" i="22"/>
  <c r="N47" i="22"/>
  <c r="M47" i="22"/>
  <c r="N46" i="22"/>
  <c r="M46" i="22"/>
  <c r="N42" i="22"/>
  <c r="M42" i="22"/>
  <c r="N41" i="22"/>
  <c r="M41" i="22"/>
  <c r="N40" i="22"/>
  <c r="M40" i="22"/>
  <c r="N39" i="22"/>
  <c r="M39" i="22"/>
  <c r="N38" i="22"/>
  <c r="M38" i="22"/>
  <c r="N37" i="22"/>
  <c r="M37" i="22"/>
  <c r="N36" i="22"/>
  <c r="M36" i="22"/>
  <c r="N35" i="22"/>
  <c r="M35" i="22"/>
  <c r="N34" i="22"/>
  <c r="N44" i="22" s="1"/>
  <c r="M34" i="22"/>
  <c r="M44" i="22" s="1"/>
  <c r="N30" i="22"/>
  <c r="M30" i="22"/>
  <c r="N29" i="22"/>
  <c r="M29" i="22"/>
  <c r="N28" i="22"/>
  <c r="M28" i="22"/>
  <c r="N27" i="22"/>
  <c r="M27" i="22"/>
  <c r="N20" i="22"/>
  <c r="M20" i="22"/>
  <c r="N19" i="22"/>
  <c r="M19" i="22"/>
  <c r="N18" i="22"/>
  <c r="M18" i="22"/>
  <c r="N17" i="22"/>
  <c r="M17" i="22"/>
  <c r="N16" i="22"/>
  <c r="M16" i="22"/>
  <c r="N15" i="22"/>
  <c r="M15" i="22"/>
  <c r="F15" i="22"/>
  <c r="N14" i="22"/>
  <c r="M14" i="22"/>
  <c r="F14" i="22"/>
  <c r="M13" i="22"/>
  <c r="F13" i="22"/>
  <c r="F12" i="22"/>
  <c r="N11" i="22"/>
  <c r="M11" i="22"/>
  <c r="F11" i="22"/>
  <c r="N10" i="22"/>
  <c r="M10" i="22"/>
  <c r="F10" i="22"/>
  <c r="N8" i="22"/>
  <c r="M8" i="22"/>
  <c r="F8" i="22"/>
  <c r="N7" i="22"/>
  <c r="M7" i="22"/>
  <c r="F7" i="22"/>
  <c r="O41" i="19"/>
  <c r="N41" i="19"/>
  <c r="G41" i="19"/>
  <c r="G40" i="19"/>
  <c r="O39" i="19"/>
  <c r="N39" i="19"/>
  <c r="G39" i="19"/>
  <c r="O38" i="19"/>
  <c r="N38" i="19"/>
  <c r="G38" i="19"/>
  <c r="G42" i="19" s="1"/>
  <c r="O33" i="19"/>
  <c r="C13" i="24" s="1"/>
  <c r="N33" i="19"/>
  <c r="G33" i="19"/>
  <c r="O32" i="19"/>
  <c r="C12" i="24" s="1"/>
  <c r="N32" i="19"/>
  <c r="G32" i="19"/>
  <c r="O31" i="19"/>
  <c r="C22" i="24" s="1"/>
  <c r="N31" i="19"/>
  <c r="G31" i="19"/>
  <c r="O30" i="19"/>
  <c r="N30" i="19"/>
  <c r="N34" i="19" s="1"/>
  <c r="G30" i="19"/>
  <c r="G34" i="19" s="1"/>
  <c r="O25" i="19"/>
  <c r="C29" i="24" s="1"/>
  <c r="N25" i="19"/>
  <c r="G25" i="19"/>
  <c r="O24" i="19"/>
  <c r="N24" i="19"/>
  <c r="G24" i="19"/>
  <c r="O23" i="19"/>
  <c r="N23" i="19"/>
  <c r="G23" i="19"/>
  <c r="O16" i="19"/>
  <c r="N16" i="19"/>
  <c r="G16" i="19"/>
  <c r="O15" i="19"/>
  <c r="C36" i="24" s="1"/>
  <c r="C40" i="24" s="1"/>
  <c r="N15" i="19"/>
  <c r="G15" i="19"/>
  <c r="O14" i="19"/>
  <c r="N14" i="19"/>
  <c r="N17" i="19" s="1"/>
  <c r="G14" i="19"/>
  <c r="G17" i="19" s="1"/>
  <c r="O10" i="19"/>
  <c r="N10" i="19"/>
  <c r="G10" i="19"/>
  <c r="O9" i="19"/>
  <c r="C19" i="24" s="1"/>
  <c r="N9" i="19"/>
  <c r="G9" i="19"/>
  <c r="O8" i="19"/>
  <c r="N8" i="19"/>
  <c r="N53" i="19" s="1"/>
  <c r="G8" i="19"/>
  <c r="G53" i="19" s="1"/>
  <c r="O7" i="19"/>
  <c r="O11" i="19" s="1"/>
  <c r="N7" i="19"/>
  <c r="N11" i="19" s="1"/>
  <c r="G7" i="19"/>
  <c r="G11" i="19" s="1"/>
  <c r="Q269" i="18"/>
  <c r="P269" i="18"/>
  <c r="O269" i="18"/>
  <c r="N269" i="18"/>
  <c r="M269" i="18"/>
  <c r="L269" i="18"/>
  <c r="K269" i="18"/>
  <c r="J269" i="18"/>
  <c r="I269" i="18"/>
  <c r="H269" i="18"/>
  <c r="G269" i="18"/>
  <c r="F269" i="18"/>
  <c r="E269" i="18"/>
  <c r="D269" i="18"/>
  <c r="C269" i="18"/>
  <c r="Q268" i="18"/>
  <c r="P268" i="18"/>
  <c r="O268" i="18"/>
  <c r="N268" i="18"/>
  <c r="M268" i="18"/>
  <c r="L268" i="18"/>
  <c r="K268" i="18"/>
  <c r="J268" i="18"/>
  <c r="I268" i="18"/>
  <c r="H268" i="18"/>
  <c r="G268" i="18"/>
  <c r="F268" i="18"/>
  <c r="E268" i="18"/>
  <c r="D268" i="18"/>
  <c r="C268" i="18"/>
  <c r="Q267" i="18"/>
  <c r="P267" i="18"/>
  <c r="O267" i="18"/>
  <c r="N267" i="18"/>
  <c r="M267" i="18"/>
  <c r="L267" i="18"/>
  <c r="K267" i="18"/>
  <c r="J267" i="18"/>
  <c r="I267" i="18"/>
  <c r="H267" i="18"/>
  <c r="G267" i="18"/>
  <c r="F267" i="18"/>
  <c r="E267" i="18"/>
  <c r="D267" i="18"/>
  <c r="C267" i="18"/>
  <c r="Q266" i="18"/>
  <c r="P266" i="18"/>
  <c r="O266" i="18"/>
  <c r="N266" i="18"/>
  <c r="M266" i="18"/>
  <c r="L266" i="18"/>
  <c r="K266" i="18"/>
  <c r="J266" i="18"/>
  <c r="I266" i="18"/>
  <c r="H266" i="18"/>
  <c r="G266" i="18"/>
  <c r="F266" i="18"/>
  <c r="E266" i="18"/>
  <c r="D266" i="18"/>
  <c r="C266" i="18"/>
  <c r="Q265" i="18"/>
  <c r="P265" i="18"/>
  <c r="O265" i="18"/>
  <c r="N265" i="18"/>
  <c r="M265" i="18"/>
  <c r="L265" i="18"/>
  <c r="K265" i="18"/>
  <c r="J265" i="18"/>
  <c r="I265" i="18"/>
  <c r="H265" i="18"/>
  <c r="G265" i="18"/>
  <c r="F265" i="18"/>
  <c r="E265" i="18"/>
  <c r="D265" i="18"/>
  <c r="C265" i="18"/>
  <c r="Q264" i="18"/>
  <c r="P264" i="18"/>
  <c r="O264" i="18"/>
  <c r="N264" i="18"/>
  <c r="M264" i="18"/>
  <c r="L264" i="18"/>
  <c r="K264" i="18"/>
  <c r="J264" i="18"/>
  <c r="I264" i="18"/>
  <c r="H264" i="18"/>
  <c r="G264" i="18"/>
  <c r="F264" i="18"/>
  <c r="E264" i="18"/>
  <c r="D264" i="18"/>
  <c r="C264" i="18"/>
  <c r="Q263" i="18"/>
  <c r="P263" i="18"/>
  <c r="O263" i="18"/>
  <c r="N263" i="18"/>
  <c r="M263" i="18"/>
  <c r="L263" i="18"/>
  <c r="K263" i="18"/>
  <c r="J263" i="18"/>
  <c r="I263" i="18"/>
  <c r="H263" i="18"/>
  <c r="G263" i="18"/>
  <c r="F263" i="18"/>
  <c r="E263" i="18"/>
  <c r="D263" i="18"/>
  <c r="C263" i="18"/>
  <c r="Q262" i="18"/>
  <c r="P262" i="18"/>
  <c r="O262" i="18"/>
  <c r="M262" i="18"/>
  <c r="L262" i="18"/>
  <c r="K262" i="18"/>
  <c r="J262" i="18"/>
  <c r="I262" i="18"/>
  <c r="H262" i="18"/>
  <c r="G262" i="18"/>
  <c r="F262" i="18"/>
  <c r="E262" i="18"/>
  <c r="D262" i="18"/>
  <c r="C262" i="18"/>
  <c r="Q261" i="18"/>
  <c r="P261" i="18"/>
  <c r="O261" i="18"/>
  <c r="M261" i="18"/>
  <c r="L261" i="18"/>
  <c r="K261" i="18"/>
  <c r="J261" i="18"/>
  <c r="I261" i="18"/>
  <c r="H261" i="18"/>
  <c r="G261" i="18"/>
  <c r="F261" i="18"/>
  <c r="E261" i="18"/>
  <c r="D261" i="18"/>
  <c r="C261" i="18"/>
  <c r="Q260" i="18"/>
  <c r="P260" i="18"/>
  <c r="O260" i="18"/>
  <c r="N260" i="18"/>
  <c r="M260" i="18"/>
  <c r="L260" i="18"/>
  <c r="K260" i="18"/>
  <c r="J260" i="18"/>
  <c r="I260" i="18"/>
  <c r="H260" i="18"/>
  <c r="G260" i="18"/>
  <c r="F260" i="18"/>
  <c r="E260" i="18"/>
  <c r="D260" i="18"/>
  <c r="C260" i="18"/>
  <c r="Q259" i="18"/>
  <c r="P259" i="18"/>
  <c r="O259" i="18"/>
  <c r="L259" i="18"/>
  <c r="K259" i="18"/>
  <c r="J259" i="18"/>
  <c r="I259" i="18"/>
  <c r="H259" i="18"/>
  <c r="G259" i="18"/>
  <c r="F259" i="18"/>
  <c r="E259" i="18"/>
  <c r="D259" i="18"/>
  <c r="C259" i="18"/>
  <c r="Q258" i="18"/>
  <c r="P258" i="18"/>
  <c r="O258" i="18"/>
  <c r="L258" i="18"/>
  <c r="K258" i="18"/>
  <c r="J258" i="18"/>
  <c r="I258" i="18"/>
  <c r="H258" i="18"/>
  <c r="G258" i="18"/>
  <c r="F258" i="18"/>
  <c r="E258" i="18"/>
  <c r="D258" i="18"/>
  <c r="C258" i="18"/>
  <c r="Q257" i="18"/>
  <c r="P257" i="18"/>
  <c r="O257" i="18"/>
  <c r="N257" i="18"/>
  <c r="M257" i="18"/>
  <c r="L257" i="18"/>
  <c r="K257" i="18"/>
  <c r="J257" i="18"/>
  <c r="I257" i="18"/>
  <c r="H257" i="18"/>
  <c r="G257" i="18"/>
  <c r="F257" i="18"/>
  <c r="E257" i="18"/>
  <c r="D257" i="18"/>
  <c r="C257" i="18"/>
  <c r="Q256" i="18"/>
  <c r="P256" i="18"/>
  <c r="O256" i="18"/>
  <c r="N256" i="18"/>
  <c r="M256" i="18"/>
  <c r="L256" i="18"/>
  <c r="K256" i="18"/>
  <c r="J256" i="18"/>
  <c r="I256" i="18"/>
  <c r="H256" i="18"/>
  <c r="G256" i="18"/>
  <c r="F256" i="18"/>
  <c r="E256" i="18"/>
  <c r="D256" i="18"/>
  <c r="C256" i="18"/>
  <c r="Q255" i="18"/>
  <c r="P255" i="18"/>
  <c r="O255" i="18"/>
  <c r="N255" i="18"/>
  <c r="M255" i="18"/>
  <c r="L255" i="18"/>
  <c r="K255" i="18"/>
  <c r="J255" i="18"/>
  <c r="I255" i="18"/>
  <c r="H255" i="18"/>
  <c r="G255" i="18"/>
  <c r="F255" i="18"/>
  <c r="E255" i="18"/>
  <c r="D255" i="18"/>
  <c r="C255" i="18"/>
  <c r="Q254" i="18"/>
  <c r="P254" i="18"/>
  <c r="O254" i="18"/>
  <c r="N254" i="18"/>
  <c r="M254" i="18"/>
  <c r="L254" i="18"/>
  <c r="K254" i="18"/>
  <c r="J254" i="18"/>
  <c r="I254" i="18"/>
  <c r="H254" i="18"/>
  <c r="G254" i="18"/>
  <c r="F254" i="18"/>
  <c r="E254" i="18"/>
  <c r="D254" i="18"/>
  <c r="C254" i="18"/>
  <c r="Q253" i="18"/>
  <c r="P253" i="18"/>
  <c r="O253" i="18"/>
  <c r="N253" i="18"/>
  <c r="M253" i="18"/>
  <c r="L253" i="18"/>
  <c r="K253" i="18"/>
  <c r="J253" i="18"/>
  <c r="I253" i="18"/>
  <c r="H253" i="18"/>
  <c r="G253" i="18"/>
  <c r="F253" i="18"/>
  <c r="E253" i="18"/>
  <c r="D253" i="18"/>
  <c r="C253" i="18"/>
  <c r="Q252" i="18"/>
  <c r="P252" i="18"/>
  <c r="O252" i="18"/>
  <c r="N252" i="18"/>
  <c r="M252" i="18"/>
  <c r="L252" i="18"/>
  <c r="K252" i="18"/>
  <c r="J252" i="18"/>
  <c r="I252" i="18"/>
  <c r="H252" i="18"/>
  <c r="G252" i="18"/>
  <c r="F252" i="18"/>
  <c r="E252" i="18"/>
  <c r="D252" i="18"/>
  <c r="C252" i="18"/>
  <c r="Q251" i="18"/>
  <c r="P251" i="18"/>
  <c r="O251" i="18"/>
  <c r="N251" i="18"/>
  <c r="M251" i="18"/>
  <c r="L251" i="18"/>
  <c r="K251" i="18"/>
  <c r="J251" i="18"/>
  <c r="I251" i="18"/>
  <c r="H251" i="18"/>
  <c r="G251" i="18"/>
  <c r="F251" i="18"/>
  <c r="E251" i="18"/>
  <c r="D251" i="18"/>
  <c r="C251" i="18"/>
  <c r="Q250" i="18"/>
  <c r="P250" i="18"/>
  <c r="O250" i="18"/>
  <c r="N250" i="18"/>
  <c r="M250" i="18"/>
  <c r="L250" i="18"/>
  <c r="K250" i="18"/>
  <c r="J250" i="18"/>
  <c r="I250" i="18"/>
  <c r="H250" i="18"/>
  <c r="G250" i="18"/>
  <c r="F250" i="18"/>
  <c r="E250" i="18"/>
  <c r="D250" i="18"/>
  <c r="C250" i="18"/>
  <c r="Q249" i="18"/>
  <c r="P249" i="18"/>
  <c r="O249" i="18"/>
  <c r="N249" i="18"/>
  <c r="M249" i="18"/>
  <c r="L249" i="18"/>
  <c r="K249" i="18"/>
  <c r="J249" i="18"/>
  <c r="I249" i="18"/>
  <c r="H249" i="18"/>
  <c r="G249" i="18"/>
  <c r="F249" i="18"/>
  <c r="E249" i="18"/>
  <c r="D249" i="18"/>
  <c r="C249" i="18"/>
  <c r="Q248" i="18"/>
  <c r="P248" i="18"/>
  <c r="O248" i="18"/>
  <c r="N248" i="18"/>
  <c r="M248" i="18"/>
  <c r="L248" i="18"/>
  <c r="K248" i="18"/>
  <c r="J248" i="18"/>
  <c r="I248" i="18"/>
  <c r="H248" i="18"/>
  <c r="G248" i="18"/>
  <c r="F248" i="18"/>
  <c r="E248" i="18"/>
  <c r="D248" i="18"/>
  <c r="C248" i="18"/>
  <c r="Q247" i="18"/>
  <c r="P247" i="18"/>
  <c r="O247" i="18"/>
  <c r="N247" i="18"/>
  <c r="M247" i="18"/>
  <c r="L247" i="18"/>
  <c r="K247" i="18"/>
  <c r="J247" i="18"/>
  <c r="I247" i="18"/>
  <c r="H247" i="18"/>
  <c r="G247" i="18"/>
  <c r="F247" i="18"/>
  <c r="E247" i="18"/>
  <c r="D247" i="18"/>
  <c r="C247" i="18"/>
  <c r="Q246" i="18"/>
  <c r="P246" i="18"/>
  <c r="O246" i="18"/>
  <c r="N246" i="18"/>
  <c r="M246" i="18"/>
  <c r="L246" i="18"/>
  <c r="K246" i="18"/>
  <c r="J246" i="18"/>
  <c r="I246" i="18"/>
  <c r="H246" i="18"/>
  <c r="G246" i="18"/>
  <c r="F246" i="18"/>
  <c r="E246" i="18"/>
  <c r="D246" i="18"/>
  <c r="C246" i="18"/>
  <c r="Q245" i="18"/>
  <c r="P245" i="18"/>
  <c r="O245" i="18"/>
  <c r="N245" i="18"/>
  <c r="M245" i="18"/>
  <c r="L245" i="18"/>
  <c r="K245" i="18"/>
  <c r="J245" i="18"/>
  <c r="I245" i="18"/>
  <c r="H245" i="18"/>
  <c r="G245" i="18"/>
  <c r="F245" i="18"/>
  <c r="E245" i="18"/>
  <c r="D245" i="18"/>
  <c r="C245" i="18"/>
  <c r="Q244" i="18"/>
  <c r="P244" i="18"/>
  <c r="O244" i="18"/>
  <c r="N244" i="18"/>
  <c r="M244" i="18"/>
  <c r="L244" i="18"/>
  <c r="K244" i="18"/>
  <c r="J244" i="18"/>
  <c r="I244" i="18"/>
  <c r="H244" i="18"/>
  <c r="G244" i="18"/>
  <c r="F244" i="18"/>
  <c r="E244" i="18"/>
  <c r="D244" i="18"/>
  <c r="C244" i="18"/>
  <c r="Q243" i="18"/>
  <c r="P243" i="18"/>
  <c r="O243" i="18"/>
  <c r="N243" i="18"/>
  <c r="M243" i="18"/>
  <c r="L243" i="18"/>
  <c r="K243" i="18"/>
  <c r="J243" i="18"/>
  <c r="I243" i="18"/>
  <c r="H243" i="18"/>
  <c r="G243" i="18"/>
  <c r="F243" i="18"/>
  <c r="E243" i="18"/>
  <c r="D243" i="18"/>
  <c r="C243" i="18"/>
  <c r="Q242" i="18"/>
  <c r="P242" i="18"/>
  <c r="O242" i="18"/>
  <c r="N242" i="18"/>
  <c r="M242" i="18"/>
  <c r="L242" i="18"/>
  <c r="K242" i="18"/>
  <c r="J242" i="18"/>
  <c r="I242" i="18"/>
  <c r="H242" i="18"/>
  <c r="G242" i="18"/>
  <c r="F242" i="18"/>
  <c r="E242" i="18"/>
  <c r="D242" i="18"/>
  <c r="C242" i="18"/>
  <c r="Q241" i="18"/>
  <c r="P241" i="18"/>
  <c r="O241" i="18"/>
  <c r="N241" i="18"/>
  <c r="M241" i="18"/>
  <c r="L241" i="18"/>
  <c r="K241" i="18"/>
  <c r="J241" i="18"/>
  <c r="I241" i="18"/>
  <c r="H241" i="18"/>
  <c r="G241" i="18"/>
  <c r="F241" i="18"/>
  <c r="E241" i="18"/>
  <c r="D241" i="18"/>
  <c r="C241" i="18"/>
  <c r="Q240" i="18"/>
  <c r="P240" i="18"/>
  <c r="O240" i="18"/>
  <c r="N240" i="18"/>
  <c r="M240" i="18"/>
  <c r="L240" i="18"/>
  <c r="K240" i="18"/>
  <c r="J240" i="18"/>
  <c r="I240" i="18"/>
  <c r="H240" i="18"/>
  <c r="G240" i="18"/>
  <c r="F240" i="18"/>
  <c r="E240" i="18"/>
  <c r="D240" i="18"/>
  <c r="C240" i="18"/>
  <c r="Q239" i="18"/>
  <c r="P239" i="18"/>
  <c r="O239" i="18"/>
  <c r="N239" i="18"/>
  <c r="M239" i="18"/>
  <c r="L239" i="18"/>
  <c r="K239" i="18"/>
  <c r="J239" i="18"/>
  <c r="I239" i="18"/>
  <c r="H239" i="18"/>
  <c r="G239" i="18"/>
  <c r="F239" i="18"/>
  <c r="E239" i="18"/>
  <c r="D239" i="18"/>
  <c r="C239" i="18"/>
  <c r="Q238" i="18"/>
  <c r="P238" i="18"/>
  <c r="O238" i="18"/>
  <c r="N238" i="18"/>
  <c r="M238" i="18"/>
  <c r="L238" i="18"/>
  <c r="K238" i="18"/>
  <c r="J238" i="18"/>
  <c r="I238" i="18"/>
  <c r="H238" i="18"/>
  <c r="G238" i="18"/>
  <c r="F238" i="18"/>
  <c r="E238" i="18"/>
  <c r="D238" i="18"/>
  <c r="C238" i="18"/>
  <c r="Q237" i="18"/>
  <c r="P237" i="18"/>
  <c r="O237" i="18"/>
  <c r="N237" i="18"/>
  <c r="M237" i="18"/>
  <c r="L237" i="18"/>
  <c r="K237" i="18"/>
  <c r="J237" i="18"/>
  <c r="I237" i="18"/>
  <c r="H237" i="18"/>
  <c r="G237" i="18"/>
  <c r="F237" i="18"/>
  <c r="E237" i="18"/>
  <c r="D237" i="18"/>
  <c r="C237" i="18"/>
  <c r="Q236" i="18"/>
  <c r="P236" i="18"/>
  <c r="O236" i="18"/>
  <c r="N236" i="18"/>
  <c r="M236" i="18"/>
  <c r="L236" i="18"/>
  <c r="K236" i="18"/>
  <c r="J236" i="18"/>
  <c r="I236" i="18"/>
  <c r="H236" i="18"/>
  <c r="G236" i="18"/>
  <c r="F236" i="18"/>
  <c r="E236" i="18"/>
  <c r="D236" i="18"/>
  <c r="C236" i="18"/>
  <c r="Q235" i="18"/>
  <c r="P235" i="18"/>
  <c r="O235" i="18"/>
  <c r="N235" i="18"/>
  <c r="M235" i="18"/>
  <c r="L235" i="18"/>
  <c r="K235" i="18"/>
  <c r="J235" i="18"/>
  <c r="I235" i="18"/>
  <c r="H235" i="18"/>
  <c r="G235" i="18"/>
  <c r="F235" i="18"/>
  <c r="E235" i="18"/>
  <c r="D235" i="18"/>
  <c r="C235" i="18"/>
  <c r="Q234" i="18"/>
  <c r="P234" i="18"/>
  <c r="O234" i="18"/>
  <c r="N234" i="18"/>
  <c r="M234" i="18"/>
  <c r="L234" i="18"/>
  <c r="K234" i="18"/>
  <c r="J234" i="18"/>
  <c r="I234" i="18"/>
  <c r="H234" i="18"/>
  <c r="G234" i="18"/>
  <c r="F234" i="18"/>
  <c r="E234" i="18"/>
  <c r="D234" i="18"/>
  <c r="C234" i="18"/>
  <c r="Q233" i="18"/>
  <c r="P233" i="18"/>
  <c r="O233" i="18"/>
  <c r="N233" i="18"/>
  <c r="M233" i="18"/>
  <c r="L233" i="18"/>
  <c r="K233" i="18"/>
  <c r="J233" i="18"/>
  <c r="I233" i="18"/>
  <c r="H233" i="18"/>
  <c r="G233" i="18"/>
  <c r="F233" i="18"/>
  <c r="E233" i="18"/>
  <c r="D233" i="18"/>
  <c r="C233" i="18"/>
  <c r="Q232" i="18"/>
  <c r="P232" i="18"/>
  <c r="O232" i="18"/>
  <c r="N232" i="18"/>
  <c r="M232" i="18"/>
  <c r="L232" i="18"/>
  <c r="K232" i="18"/>
  <c r="J232" i="18"/>
  <c r="I232" i="18"/>
  <c r="H232" i="18"/>
  <c r="G232" i="18"/>
  <c r="F232" i="18"/>
  <c r="E232" i="18"/>
  <c r="D232" i="18"/>
  <c r="C232" i="18"/>
  <c r="Q231" i="18"/>
  <c r="P231" i="18"/>
  <c r="O231" i="18"/>
  <c r="N231" i="18"/>
  <c r="M231" i="18"/>
  <c r="L231" i="18"/>
  <c r="K231" i="18"/>
  <c r="J231" i="18"/>
  <c r="I231" i="18"/>
  <c r="H231" i="18"/>
  <c r="G231" i="18"/>
  <c r="F231" i="18"/>
  <c r="E231" i="18"/>
  <c r="D231" i="18"/>
  <c r="C231" i="18"/>
  <c r="Q230" i="18"/>
  <c r="P230" i="18"/>
  <c r="O230" i="18"/>
  <c r="N230" i="18"/>
  <c r="M230" i="18"/>
  <c r="L230" i="18"/>
  <c r="K230" i="18"/>
  <c r="J230" i="18"/>
  <c r="I230" i="18"/>
  <c r="H230" i="18"/>
  <c r="G230" i="18"/>
  <c r="F230" i="18"/>
  <c r="E230" i="18"/>
  <c r="D230" i="18"/>
  <c r="C230" i="18"/>
  <c r="Q229" i="18"/>
  <c r="P229" i="18"/>
  <c r="O229" i="18"/>
  <c r="N229" i="18"/>
  <c r="M229" i="18"/>
  <c r="L229" i="18"/>
  <c r="K229" i="18"/>
  <c r="J229" i="18"/>
  <c r="I229" i="18"/>
  <c r="H229" i="18"/>
  <c r="G229" i="18"/>
  <c r="F229" i="18"/>
  <c r="E229" i="18"/>
  <c r="D229" i="18"/>
  <c r="C229" i="18"/>
  <c r="Q228" i="18"/>
  <c r="P228" i="18"/>
  <c r="O228" i="18"/>
  <c r="N228" i="18"/>
  <c r="M228" i="18"/>
  <c r="L228" i="18"/>
  <c r="K228" i="18"/>
  <c r="J228" i="18"/>
  <c r="I228" i="18"/>
  <c r="H228" i="18"/>
  <c r="G228" i="18"/>
  <c r="F228" i="18"/>
  <c r="E228" i="18"/>
  <c r="D228" i="18"/>
  <c r="C228" i="18"/>
  <c r="Q227" i="18"/>
  <c r="P227" i="18"/>
  <c r="O227" i="18"/>
  <c r="N227" i="18"/>
  <c r="M227" i="18"/>
  <c r="L227" i="18"/>
  <c r="J227" i="18"/>
  <c r="I227" i="18"/>
  <c r="H227" i="18"/>
  <c r="G227" i="18"/>
  <c r="F227" i="18"/>
  <c r="E227" i="18"/>
  <c r="D227" i="18"/>
  <c r="C227" i="18"/>
  <c r="Q226" i="18"/>
  <c r="P226" i="18"/>
  <c r="O226" i="18"/>
  <c r="N226" i="18"/>
  <c r="M226" i="18"/>
  <c r="L226" i="18"/>
  <c r="K226" i="18"/>
  <c r="J226" i="18"/>
  <c r="I226" i="18"/>
  <c r="H226" i="18"/>
  <c r="G226" i="18"/>
  <c r="F226" i="18"/>
  <c r="E226" i="18"/>
  <c r="D226" i="18"/>
  <c r="C226" i="18"/>
  <c r="Q225" i="18"/>
  <c r="P225" i="18"/>
  <c r="O225" i="18"/>
  <c r="N225" i="18"/>
  <c r="M225" i="18"/>
  <c r="L225" i="18"/>
  <c r="K225" i="18"/>
  <c r="J225" i="18"/>
  <c r="I225" i="18"/>
  <c r="H225" i="18"/>
  <c r="G225" i="18"/>
  <c r="F225" i="18"/>
  <c r="E225" i="18"/>
  <c r="D225" i="18"/>
  <c r="C225" i="18"/>
  <c r="Q224" i="18"/>
  <c r="P224" i="18"/>
  <c r="O224" i="18"/>
  <c r="N224" i="18"/>
  <c r="M224" i="18"/>
  <c r="L224" i="18"/>
  <c r="K224" i="18"/>
  <c r="J224" i="18"/>
  <c r="I224" i="18"/>
  <c r="H224" i="18"/>
  <c r="G224" i="18"/>
  <c r="F224" i="18"/>
  <c r="E224" i="18"/>
  <c r="D224" i="18"/>
  <c r="C224" i="18"/>
  <c r="Q223" i="18"/>
  <c r="P223" i="18"/>
  <c r="O223" i="18"/>
  <c r="N223" i="18"/>
  <c r="M223" i="18"/>
  <c r="L223" i="18"/>
  <c r="K223" i="18"/>
  <c r="J223" i="18"/>
  <c r="I223" i="18"/>
  <c r="H223" i="18"/>
  <c r="G223" i="18"/>
  <c r="F223" i="18"/>
  <c r="E223" i="18"/>
  <c r="D223" i="18"/>
  <c r="C223" i="18"/>
  <c r="Q222" i="18"/>
  <c r="P222" i="18"/>
  <c r="O222" i="18"/>
  <c r="N222" i="18"/>
  <c r="M222" i="18"/>
  <c r="L222" i="18"/>
  <c r="K222" i="18"/>
  <c r="J222" i="18"/>
  <c r="I222" i="18"/>
  <c r="H222" i="18"/>
  <c r="G222" i="18"/>
  <c r="F222" i="18"/>
  <c r="E222" i="18"/>
  <c r="D222" i="18"/>
  <c r="C222" i="18"/>
  <c r="Q221" i="18"/>
  <c r="P221" i="18"/>
  <c r="O221" i="18"/>
  <c r="N221" i="18"/>
  <c r="M221" i="18"/>
  <c r="L221" i="18"/>
  <c r="K221" i="18"/>
  <c r="J221" i="18"/>
  <c r="I221" i="18"/>
  <c r="H221" i="18"/>
  <c r="G221" i="18"/>
  <c r="F221" i="18"/>
  <c r="E221" i="18"/>
  <c r="D221" i="18"/>
  <c r="C221" i="18"/>
  <c r="Q220" i="18"/>
  <c r="P220" i="18"/>
  <c r="O220" i="18"/>
  <c r="N220" i="18"/>
  <c r="M220" i="18"/>
  <c r="L220" i="18"/>
  <c r="K220" i="18"/>
  <c r="J220" i="18"/>
  <c r="I220" i="18"/>
  <c r="H220" i="18"/>
  <c r="G220" i="18"/>
  <c r="F220" i="18"/>
  <c r="E220" i="18"/>
  <c r="D220" i="18"/>
  <c r="C220" i="18"/>
  <c r="Q219" i="18"/>
  <c r="P219" i="18"/>
  <c r="O219" i="18"/>
  <c r="N219" i="18"/>
  <c r="M219" i="18"/>
  <c r="L219" i="18"/>
  <c r="K219" i="18"/>
  <c r="J219" i="18"/>
  <c r="I219" i="18"/>
  <c r="H219" i="18"/>
  <c r="G219" i="18"/>
  <c r="F219" i="18"/>
  <c r="E219" i="18"/>
  <c r="D219" i="18"/>
  <c r="C219" i="18"/>
  <c r="Q218" i="18"/>
  <c r="P218" i="18"/>
  <c r="O218" i="18"/>
  <c r="N218" i="18"/>
  <c r="M218" i="18"/>
  <c r="L218" i="18"/>
  <c r="K218" i="18"/>
  <c r="J218" i="18"/>
  <c r="I218" i="18"/>
  <c r="H218" i="18"/>
  <c r="G218" i="18"/>
  <c r="F218" i="18"/>
  <c r="E218" i="18"/>
  <c r="D218" i="18"/>
  <c r="C218" i="18"/>
  <c r="Q217" i="18"/>
  <c r="P217" i="18"/>
  <c r="O217" i="18"/>
  <c r="N217" i="18"/>
  <c r="M217" i="18"/>
  <c r="L217" i="18"/>
  <c r="K217" i="18"/>
  <c r="J217" i="18"/>
  <c r="I217" i="18"/>
  <c r="H217" i="18"/>
  <c r="G217" i="18"/>
  <c r="F217" i="18"/>
  <c r="E217" i="18"/>
  <c r="D217" i="18"/>
  <c r="C217" i="18"/>
  <c r="Q216" i="18"/>
  <c r="P216" i="18"/>
  <c r="O216" i="18"/>
  <c r="N216" i="18"/>
  <c r="M216" i="18"/>
  <c r="L216" i="18"/>
  <c r="K216" i="18"/>
  <c r="J216" i="18"/>
  <c r="I216" i="18"/>
  <c r="H216" i="18"/>
  <c r="G216" i="18"/>
  <c r="F216" i="18"/>
  <c r="E216" i="18"/>
  <c r="D216" i="18"/>
  <c r="C216" i="18"/>
  <c r="Q215" i="18"/>
  <c r="P215" i="18"/>
  <c r="O215" i="18"/>
  <c r="N215" i="18"/>
  <c r="M215" i="18"/>
  <c r="L215" i="18"/>
  <c r="K215" i="18"/>
  <c r="J215" i="18"/>
  <c r="I215" i="18"/>
  <c r="H215" i="18"/>
  <c r="G215" i="18"/>
  <c r="F215" i="18"/>
  <c r="E215" i="18"/>
  <c r="D215" i="18"/>
  <c r="C215" i="18"/>
  <c r="Q214" i="18"/>
  <c r="P214" i="18"/>
  <c r="O214" i="18"/>
  <c r="N214" i="18"/>
  <c r="M214" i="18"/>
  <c r="L214" i="18"/>
  <c r="K214" i="18"/>
  <c r="J214" i="18"/>
  <c r="I214" i="18"/>
  <c r="H214" i="18"/>
  <c r="G214" i="18"/>
  <c r="F214" i="18"/>
  <c r="E214" i="18"/>
  <c r="D214" i="18"/>
  <c r="C214" i="18"/>
  <c r="Q213" i="18"/>
  <c r="P213" i="18"/>
  <c r="O213" i="18"/>
  <c r="N213" i="18"/>
  <c r="M213" i="18"/>
  <c r="L213" i="18"/>
  <c r="K213" i="18"/>
  <c r="J213" i="18"/>
  <c r="I213" i="18"/>
  <c r="H213" i="18"/>
  <c r="G213" i="18"/>
  <c r="F213" i="18"/>
  <c r="E213" i="18"/>
  <c r="D213" i="18"/>
  <c r="C213" i="18"/>
  <c r="Q212" i="18"/>
  <c r="P212" i="18"/>
  <c r="O212" i="18"/>
  <c r="N212" i="18"/>
  <c r="M212" i="18"/>
  <c r="L212" i="18"/>
  <c r="K212" i="18"/>
  <c r="J212" i="18"/>
  <c r="I212" i="18"/>
  <c r="H212" i="18"/>
  <c r="G212" i="18"/>
  <c r="F212" i="18"/>
  <c r="E212" i="18"/>
  <c r="D212" i="18"/>
  <c r="C212" i="18"/>
  <c r="Q211" i="18"/>
  <c r="P211" i="18"/>
  <c r="O211" i="18"/>
  <c r="N211" i="18"/>
  <c r="M211" i="18"/>
  <c r="L211" i="18"/>
  <c r="K211" i="18"/>
  <c r="J211" i="18"/>
  <c r="I211" i="18"/>
  <c r="H211" i="18"/>
  <c r="G211" i="18"/>
  <c r="F211" i="18"/>
  <c r="E211" i="18"/>
  <c r="D211" i="18"/>
  <c r="C211" i="18"/>
  <c r="Q210" i="18"/>
  <c r="P210" i="18"/>
  <c r="O210" i="18"/>
  <c r="N210" i="18"/>
  <c r="M210" i="18"/>
  <c r="L210" i="18"/>
  <c r="K210" i="18"/>
  <c r="J210" i="18"/>
  <c r="I210" i="18"/>
  <c r="H210" i="18"/>
  <c r="G210" i="18"/>
  <c r="F210" i="18"/>
  <c r="E210" i="18"/>
  <c r="D210" i="18"/>
  <c r="C210" i="18"/>
  <c r="Q209" i="18"/>
  <c r="P209" i="18"/>
  <c r="O209" i="18"/>
  <c r="N209" i="18"/>
  <c r="M209" i="18"/>
  <c r="L209" i="18"/>
  <c r="K209" i="18"/>
  <c r="J209" i="18"/>
  <c r="I209" i="18"/>
  <c r="H209" i="18"/>
  <c r="G209" i="18"/>
  <c r="F209" i="18"/>
  <c r="E209" i="18"/>
  <c r="D209" i="18"/>
  <c r="C209" i="18"/>
  <c r="Q208" i="18"/>
  <c r="P208" i="18"/>
  <c r="O208" i="18"/>
  <c r="N208" i="18"/>
  <c r="M208" i="18"/>
  <c r="L208" i="18"/>
  <c r="K208" i="18"/>
  <c r="J208" i="18"/>
  <c r="I208" i="18"/>
  <c r="H208" i="18"/>
  <c r="G208" i="18"/>
  <c r="F208" i="18"/>
  <c r="E208" i="18"/>
  <c r="D208" i="18"/>
  <c r="C208" i="18"/>
  <c r="Q207" i="18"/>
  <c r="P207" i="18"/>
  <c r="O207" i="18"/>
  <c r="N207" i="18"/>
  <c r="M207" i="18"/>
  <c r="L207" i="18"/>
  <c r="K207" i="18"/>
  <c r="J207" i="18"/>
  <c r="I207" i="18"/>
  <c r="H207" i="18"/>
  <c r="G207" i="18"/>
  <c r="F207" i="18"/>
  <c r="E207" i="18"/>
  <c r="D207" i="18"/>
  <c r="C207" i="18"/>
  <c r="Q206" i="18"/>
  <c r="P206" i="18"/>
  <c r="O206" i="18"/>
  <c r="N206" i="18"/>
  <c r="M206" i="18"/>
  <c r="L206" i="18"/>
  <c r="K206" i="18"/>
  <c r="J206" i="18"/>
  <c r="I206" i="18"/>
  <c r="H206" i="18"/>
  <c r="G206" i="18"/>
  <c r="F206" i="18"/>
  <c r="E206" i="18"/>
  <c r="D206" i="18"/>
  <c r="C206" i="18"/>
  <c r="Q205" i="18"/>
  <c r="P205" i="18"/>
  <c r="O205" i="18"/>
  <c r="N205" i="18"/>
  <c r="M205" i="18"/>
  <c r="L205" i="18"/>
  <c r="K205" i="18"/>
  <c r="J205" i="18"/>
  <c r="I205" i="18"/>
  <c r="H205" i="18"/>
  <c r="G205" i="18"/>
  <c r="F205" i="18"/>
  <c r="E205" i="18"/>
  <c r="D205" i="18"/>
  <c r="C205" i="18"/>
  <c r="Q204" i="18"/>
  <c r="P204" i="18"/>
  <c r="O204" i="18"/>
  <c r="N204" i="18"/>
  <c r="M204" i="18"/>
  <c r="L204" i="18"/>
  <c r="K204" i="18"/>
  <c r="J204" i="18"/>
  <c r="I204" i="18"/>
  <c r="H204" i="18"/>
  <c r="G204" i="18"/>
  <c r="F204" i="18"/>
  <c r="E204" i="18"/>
  <c r="D204" i="18"/>
  <c r="C204" i="18"/>
  <c r="Q203" i="18"/>
  <c r="P203" i="18"/>
  <c r="O203" i="18"/>
  <c r="N203" i="18"/>
  <c r="M203" i="18"/>
  <c r="L203" i="18"/>
  <c r="K203" i="18"/>
  <c r="J203" i="18"/>
  <c r="I203" i="18"/>
  <c r="H203" i="18"/>
  <c r="G203" i="18"/>
  <c r="F203" i="18"/>
  <c r="E203" i="18"/>
  <c r="D203" i="18"/>
  <c r="C203" i="18"/>
  <c r="Q202" i="18"/>
  <c r="P202" i="18"/>
  <c r="O202" i="18"/>
  <c r="N202" i="18"/>
  <c r="M202" i="18"/>
  <c r="L202" i="18"/>
  <c r="K202" i="18"/>
  <c r="J202" i="18"/>
  <c r="I202" i="18"/>
  <c r="H202" i="18"/>
  <c r="G202" i="18"/>
  <c r="F202" i="18"/>
  <c r="E202" i="18"/>
  <c r="D202" i="18"/>
  <c r="C202" i="18"/>
  <c r="Q201" i="18"/>
  <c r="P201" i="18"/>
  <c r="O201" i="18"/>
  <c r="N201" i="18"/>
  <c r="M201" i="18"/>
  <c r="L201" i="18"/>
  <c r="K201" i="18"/>
  <c r="J201" i="18"/>
  <c r="I201" i="18"/>
  <c r="H201" i="18"/>
  <c r="G201" i="18"/>
  <c r="F201" i="18"/>
  <c r="E201" i="18"/>
  <c r="D201" i="18"/>
  <c r="C201" i="18"/>
  <c r="Q200" i="18"/>
  <c r="P200" i="18"/>
  <c r="O200" i="18"/>
  <c r="N200" i="18"/>
  <c r="M200" i="18"/>
  <c r="L200" i="18"/>
  <c r="K200" i="18"/>
  <c r="J200" i="18"/>
  <c r="I200" i="18"/>
  <c r="H200" i="18"/>
  <c r="G200" i="18"/>
  <c r="F200" i="18"/>
  <c r="E200" i="18"/>
  <c r="D200" i="18"/>
  <c r="C200" i="18"/>
  <c r="Q199" i="18"/>
  <c r="P199" i="18"/>
  <c r="O199" i="18"/>
  <c r="N199" i="18"/>
  <c r="M199" i="18"/>
  <c r="L199" i="18"/>
  <c r="K199" i="18"/>
  <c r="J199" i="18"/>
  <c r="I199" i="18"/>
  <c r="H199" i="18"/>
  <c r="G199" i="18"/>
  <c r="F199" i="18"/>
  <c r="E199" i="18"/>
  <c r="D199" i="18"/>
  <c r="C199" i="18"/>
  <c r="Q198" i="18"/>
  <c r="P198" i="18"/>
  <c r="O198" i="18"/>
  <c r="N198" i="18"/>
  <c r="M198" i="18"/>
  <c r="L198" i="18"/>
  <c r="K198" i="18"/>
  <c r="J198" i="18"/>
  <c r="I198" i="18"/>
  <c r="H198" i="18"/>
  <c r="G198" i="18"/>
  <c r="F198" i="18"/>
  <c r="E198" i="18"/>
  <c r="D198" i="18"/>
  <c r="C198" i="18"/>
  <c r="Q197" i="18"/>
  <c r="P197" i="18"/>
  <c r="O197" i="18"/>
  <c r="N197" i="18"/>
  <c r="M197" i="18"/>
  <c r="L197" i="18"/>
  <c r="K197" i="18"/>
  <c r="J197" i="18"/>
  <c r="I197" i="18"/>
  <c r="H197" i="18"/>
  <c r="G197" i="18"/>
  <c r="F197" i="18"/>
  <c r="E197" i="18"/>
  <c r="D197" i="18"/>
  <c r="C197" i="18"/>
  <c r="Q196" i="18"/>
  <c r="P196" i="18"/>
  <c r="O196" i="18"/>
  <c r="N196" i="18"/>
  <c r="M196" i="18"/>
  <c r="L196" i="18"/>
  <c r="K196" i="18"/>
  <c r="J196" i="18"/>
  <c r="I196" i="18"/>
  <c r="H196" i="18"/>
  <c r="G196" i="18"/>
  <c r="F196" i="18"/>
  <c r="E196" i="18"/>
  <c r="D196" i="18"/>
  <c r="C196" i="18"/>
  <c r="Q195" i="18"/>
  <c r="P195" i="18"/>
  <c r="O195" i="18"/>
  <c r="N195" i="18"/>
  <c r="M195" i="18"/>
  <c r="L195" i="18"/>
  <c r="K195" i="18"/>
  <c r="J195" i="18"/>
  <c r="I195" i="18"/>
  <c r="H195" i="18"/>
  <c r="G195" i="18"/>
  <c r="F195" i="18"/>
  <c r="E195" i="18"/>
  <c r="D195" i="18"/>
  <c r="C195" i="18"/>
  <c r="Q194" i="18"/>
  <c r="P194" i="18"/>
  <c r="O194" i="18"/>
  <c r="N194" i="18"/>
  <c r="M194" i="18"/>
  <c r="L194" i="18"/>
  <c r="K194" i="18"/>
  <c r="J194" i="18"/>
  <c r="I194" i="18"/>
  <c r="H194" i="18"/>
  <c r="G194" i="18"/>
  <c r="F194" i="18"/>
  <c r="E194" i="18"/>
  <c r="D194" i="18"/>
  <c r="C194" i="18"/>
  <c r="Q193" i="18"/>
  <c r="P193" i="18"/>
  <c r="O193" i="18"/>
  <c r="N193" i="18"/>
  <c r="M193" i="18"/>
  <c r="L193" i="18"/>
  <c r="K193" i="18"/>
  <c r="I193" i="18"/>
  <c r="H193" i="18"/>
  <c r="G193" i="18"/>
  <c r="F193" i="18"/>
  <c r="E193" i="18"/>
  <c r="D193" i="18"/>
  <c r="C193" i="18"/>
  <c r="Q192" i="18"/>
  <c r="P192" i="18"/>
  <c r="O192" i="18"/>
  <c r="N192" i="18"/>
  <c r="M192" i="18"/>
  <c r="L192" i="18"/>
  <c r="K192" i="18"/>
  <c r="J192" i="18"/>
  <c r="I192" i="18"/>
  <c r="H192" i="18"/>
  <c r="G192" i="18"/>
  <c r="F192" i="18"/>
  <c r="E192" i="18"/>
  <c r="D192" i="18"/>
  <c r="C192" i="18"/>
  <c r="Q191" i="18"/>
  <c r="P191" i="18"/>
  <c r="O191" i="18"/>
  <c r="N191" i="18"/>
  <c r="M191" i="18"/>
  <c r="L191" i="18"/>
  <c r="K191" i="18"/>
  <c r="J191" i="18"/>
  <c r="I191" i="18"/>
  <c r="H191" i="18"/>
  <c r="G191" i="18"/>
  <c r="F191" i="18"/>
  <c r="E191" i="18"/>
  <c r="D191" i="18"/>
  <c r="C191" i="18"/>
  <c r="Q190" i="18"/>
  <c r="P190" i="18"/>
  <c r="O190" i="18"/>
  <c r="N190" i="18"/>
  <c r="M190" i="18"/>
  <c r="L190" i="18"/>
  <c r="K190" i="18"/>
  <c r="J190" i="18"/>
  <c r="I190" i="18"/>
  <c r="H190" i="18"/>
  <c r="G190" i="18"/>
  <c r="F190" i="18"/>
  <c r="E190" i="18"/>
  <c r="D190" i="18"/>
  <c r="C190" i="18"/>
  <c r="Q189" i="18"/>
  <c r="P189" i="18"/>
  <c r="O189" i="18"/>
  <c r="N189" i="18"/>
  <c r="M189" i="18"/>
  <c r="L189" i="18"/>
  <c r="K189" i="18"/>
  <c r="H189" i="18"/>
  <c r="G189" i="18"/>
  <c r="F189" i="18"/>
  <c r="E189" i="18"/>
  <c r="D189" i="18"/>
  <c r="C189" i="18"/>
  <c r="Q188" i="18"/>
  <c r="P188" i="18"/>
  <c r="O188" i="18"/>
  <c r="N188" i="18"/>
  <c r="M188" i="18"/>
  <c r="L188" i="18"/>
  <c r="K188" i="18"/>
  <c r="F188" i="18"/>
  <c r="E188" i="18"/>
  <c r="D188" i="18"/>
  <c r="C188" i="18"/>
  <c r="Q187" i="18"/>
  <c r="P187" i="18"/>
  <c r="O187" i="18"/>
  <c r="N187" i="18"/>
  <c r="M187" i="18"/>
  <c r="L187" i="18"/>
  <c r="K187" i="18"/>
  <c r="J187" i="18"/>
  <c r="F187" i="18"/>
  <c r="E187" i="18"/>
  <c r="Q186" i="18"/>
  <c r="P186" i="18"/>
  <c r="O186" i="18"/>
  <c r="N186" i="18"/>
  <c r="M186" i="18"/>
  <c r="L186" i="18"/>
  <c r="K186" i="18"/>
  <c r="F186" i="18"/>
  <c r="E186" i="18"/>
  <c r="Q185" i="18"/>
  <c r="P185" i="18"/>
  <c r="O185" i="18"/>
  <c r="N185" i="18"/>
  <c r="M185" i="18"/>
  <c r="L185" i="18"/>
  <c r="K185" i="18"/>
  <c r="F185" i="18"/>
  <c r="E185" i="18"/>
  <c r="Q184" i="18"/>
  <c r="P184" i="18"/>
  <c r="O184" i="18"/>
  <c r="N184" i="18"/>
  <c r="M184" i="18"/>
  <c r="L184" i="18"/>
  <c r="K184" i="18"/>
  <c r="F184" i="18"/>
  <c r="E184" i="18"/>
  <c r="Q183" i="18"/>
  <c r="P183" i="18"/>
  <c r="O183" i="18"/>
  <c r="N183" i="18"/>
  <c r="M183" i="18"/>
  <c r="L183" i="18"/>
  <c r="K183" i="18"/>
  <c r="J183" i="18"/>
  <c r="F183" i="18"/>
  <c r="E183" i="18"/>
  <c r="Q182" i="18"/>
  <c r="P182" i="18"/>
  <c r="O182" i="18"/>
  <c r="N182" i="18"/>
  <c r="M182" i="18"/>
  <c r="L182" i="18"/>
  <c r="K182" i="18"/>
  <c r="J182" i="18"/>
  <c r="H182" i="18"/>
  <c r="G182" i="18"/>
  <c r="F182" i="18"/>
  <c r="E182" i="18"/>
  <c r="D182" i="18"/>
  <c r="C182" i="18"/>
  <c r="Q181" i="18"/>
  <c r="P181" i="18"/>
  <c r="O181" i="18"/>
  <c r="N181" i="18"/>
  <c r="M181" i="18"/>
  <c r="L181" i="18"/>
  <c r="K181" i="18"/>
  <c r="J181" i="18"/>
  <c r="G181" i="18"/>
  <c r="F181" i="18"/>
  <c r="E181" i="18"/>
  <c r="D181" i="18"/>
  <c r="C181" i="18"/>
  <c r="Q180" i="18"/>
  <c r="P180" i="18"/>
  <c r="O180" i="18"/>
  <c r="N180" i="18"/>
  <c r="M180" i="18"/>
  <c r="L180" i="18"/>
  <c r="K180" i="18"/>
  <c r="J180" i="18"/>
  <c r="I180" i="18"/>
  <c r="F180" i="18"/>
  <c r="E180" i="18"/>
  <c r="Q179" i="18"/>
  <c r="P179" i="18"/>
  <c r="O179" i="18"/>
  <c r="N179" i="18"/>
  <c r="M179" i="18"/>
  <c r="L179" i="18"/>
  <c r="K179" i="18"/>
  <c r="J179" i="18"/>
  <c r="I179" i="18"/>
  <c r="G179" i="18"/>
  <c r="F179" i="18"/>
  <c r="E179" i="18"/>
  <c r="Q178" i="18"/>
  <c r="P178" i="18"/>
  <c r="O178" i="18"/>
  <c r="N178" i="18"/>
  <c r="M178" i="18"/>
  <c r="L178" i="18"/>
  <c r="K178" i="18"/>
  <c r="J178" i="18"/>
  <c r="I178" i="18"/>
  <c r="F178" i="18"/>
  <c r="E178" i="18"/>
  <c r="C178" i="18"/>
  <c r="Q177" i="18"/>
  <c r="P177" i="18"/>
  <c r="O177" i="18"/>
  <c r="N177" i="18"/>
  <c r="M177" i="18"/>
  <c r="L177" i="18"/>
  <c r="K177" i="18"/>
  <c r="J177" i="18"/>
  <c r="I177" i="18"/>
  <c r="F177" i="18"/>
  <c r="E177" i="18"/>
  <c r="D177" i="18"/>
  <c r="Q176" i="18"/>
  <c r="P176" i="18"/>
  <c r="O176" i="18"/>
  <c r="N176" i="18"/>
  <c r="M176" i="18"/>
  <c r="L176" i="18"/>
  <c r="K176" i="18"/>
  <c r="J176" i="18"/>
  <c r="I176" i="18"/>
  <c r="F176" i="18"/>
  <c r="E176" i="18"/>
  <c r="Q175" i="18"/>
  <c r="P175" i="18"/>
  <c r="O175" i="18"/>
  <c r="N175" i="18"/>
  <c r="M175" i="18"/>
  <c r="L175" i="18"/>
  <c r="K175" i="18"/>
  <c r="J175" i="18"/>
  <c r="I175" i="18"/>
  <c r="F175" i="18"/>
  <c r="E175" i="18"/>
  <c r="D175" i="18"/>
  <c r="Q174" i="18"/>
  <c r="P174" i="18"/>
  <c r="O174" i="18"/>
  <c r="N174" i="18"/>
  <c r="M174" i="18"/>
  <c r="L174" i="18"/>
  <c r="K174" i="18"/>
  <c r="J174" i="18"/>
  <c r="I174" i="18"/>
  <c r="F174" i="18"/>
  <c r="E174" i="18"/>
  <c r="D174" i="18"/>
  <c r="Q173" i="18"/>
  <c r="P173" i="18"/>
  <c r="O173" i="18"/>
  <c r="N173" i="18"/>
  <c r="M173" i="18"/>
  <c r="L173" i="18"/>
  <c r="K173" i="18"/>
  <c r="J173" i="18"/>
  <c r="I173" i="18"/>
  <c r="F173" i="18"/>
  <c r="E173" i="18"/>
  <c r="D173" i="18"/>
  <c r="Q172" i="18"/>
  <c r="P172" i="18"/>
  <c r="O172" i="18"/>
  <c r="N172" i="18"/>
  <c r="M172" i="18"/>
  <c r="L172" i="18"/>
  <c r="K172" i="18"/>
  <c r="J172" i="18"/>
  <c r="I172" i="18"/>
  <c r="F172" i="18"/>
  <c r="E172" i="18"/>
  <c r="D172" i="18"/>
  <c r="Q171" i="18"/>
  <c r="P171" i="18"/>
  <c r="O171" i="18"/>
  <c r="N171" i="18"/>
  <c r="M171" i="18"/>
  <c r="L171" i="18"/>
  <c r="K171" i="18"/>
  <c r="J171" i="18"/>
  <c r="I171" i="18"/>
  <c r="H171" i="18"/>
  <c r="F171" i="18"/>
  <c r="E171" i="18"/>
  <c r="D171" i="18"/>
  <c r="Q170" i="18"/>
  <c r="P170" i="18"/>
  <c r="O170" i="18"/>
  <c r="N170" i="18"/>
  <c r="M170" i="18"/>
  <c r="L170" i="18"/>
  <c r="K170" i="18"/>
  <c r="J170" i="18"/>
  <c r="I170" i="18"/>
  <c r="F170" i="18"/>
  <c r="E170" i="18"/>
  <c r="D170" i="18"/>
  <c r="Q169" i="18"/>
  <c r="P169" i="18"/>
  <c r="O169" i="18"/>
  <c r="N169" i="18"/>
  <c r="M169" i="18"/>
  <c r="L169" i="18"/>
  <c r="K169" i="18"/>
  <c r="J169" i="18"/>
  <c r="I169" i="18"/>
  <c r="H169" i="18"/>
  <c r="G169" i="18"/>
  <c r="F169" i="18"/>
  <c r="E169" i="18"/>
  <c r="D169" i="18"/>
  <c r="Q168" i="18"/>
  <c r="P168" i="18"/>
  <c r="O168" i="18"/>
  <c r="N168" i="18"/>
  <c r="M168" i="18"/>
  <c r="L168" i="18"/>
  <c r="K168" i="18"/>
  <c r="J168" i="18"/>
  <c r="I168" i="18"/>
  <c r="G168" i="18"/>
  <c r="F168" i="18"/>
  <c r="E168" i="18"/>
  <c r="D168" i="18"/>
  <c r="C168" i="18"/>
  <c r="Q167" i="18"/>
  <c r="P167" i="18"/>
  <c r="O167" i="18"/>
  <c r="N167" i="18"/>
  <c r="M167" i="18"/>
  <c r="L167" i="18"/>
  <c r="K167" i="18"/>
  <c r="J167" i="18"/>
  <c r="I167" i="18"/>
  <c r="F167" i="18"/>
  <c r="E167" i="18"/>
  <c r="D167" i="18"/>
  <c r="Q166" i="18"/>
  <c r="P166" i="18"/>
  <c r="O166" i="18"/>
  <c r="N166" i="18"/>
  <c r="M166" i="18"/>
  <c r="L166" i="18"/>
  <c r="K166" i="18"/>
  <c r="J166" i="18"/>
  <c r="I166" i="18"/>
  <c r="H166" i="18"/>
  <c r="G166" i="18"/>
  <c r="F166" i="18"/>
  <c r="E166" i="18"/>
  <c r="D166" i="18"/>
  <c r="C166" i="18"/>
  <c r="Q165" i="18"/>
  <c r="P165" i="18"/>
  <c r="O165" i="18"/>
  <c r="N165" i="18"/>
  <c r="M165" i="18"/>
  <c r="L165" i="18"/>
  <c r="K165" i="18"/>
  <c r="J165" i="18"/>
  <c r="I165" i="18"/>
  <c r="H165" i="18"/>
  <c r="F165" i="18"/>
  <c r="E165" i="18"/>
  <c r="D165" i="18"/>
  <c r="Q164" i="18"/>
  <c r="P164" i="18"/>
  <c r="O164" i="18"/>
  <c r="N164" i="18"/>
  <c r="M164" i="18"/>
  <c r="L164" i="18"/>
  <c r="K164" i="18"/>
  <c r="J164" i="18"/>
  <c r="I164" i="18"/>
  <c r="H164" i="18"/>
  <c r="F164" i="18"/>
  <c r="E164" i="18"/>
  <c r="D164" i="18"/>
  <c r="Q163" i="18"/>
  <c r="P163" i="18"/>
  <c r="O163" i="18"/>
  <c r="N163" i="18"/>
  <c r="M163" i="18"/>
  <c r="L163" i="18"/>
  <c r="K163" i="18"/>
  <c r="J163" i="18"/>
  <c r="I163" i="18"/>
  <c r="H163" i="18"/>
  <c r="G163" i="18"/>
  <c r="F163" i="18"/>
  <c r="E163" i="18"/>
  <c r="D163" i="18"/>
  <c r="Q162" i="18"/>
  <c r="P162" i="18"/>
  <c r="O162" i="18"/>
  <c r="N162" i="18"/>
  <c r="M162" i="18"/>
  <c r="L162" i="18"/>
  <c r="K162" i="18"/>
  <c r="J162" i="18"/>
  <c r="I162" i="18"/>
  <c r="H162" i="18"/>
  <c r="F162" i="18"/>
  <c r="E162" i="18"/>
  <c r="D162" i="18"/>
  <c r="Q161" i="18"/>
  <c r="P161" i="18"/>
  <c r="O161" i="18"/>
  <c r="N161" i="18"/>
  <c r="M161" i="18"/>
  <c r="L161" i="18"/>
  <c r="K161" i="18"/>
  <c r="J161" i="18"/>
  <c r="I161" i="18"/>
  <c r="H161" i="18"/>
  <c r="F161" i="18"/>
  <c r="E161" i="18"/>
  <c r="D161" i="18"/>
  <c r="Q160" i="18"/>
  <c r="P160" i="18"/>
  <c r="O160" i="18"/>
  <c r="N160" i="18"/>
  <c r="M160" i="18"/>
  <c r="L160" i="18"/>
  <c r="K160" i="18"/>
  <c r="J160" i="18"/>
  <c r="I160" i="18"/>
  <c r="H160" i="18"/>
  <c r="F160" i="18"/>
  <c r="E160" i="18"/>
  <c r="D160" i="18"/>
  <c r="Q159" i="18"/>
  <c r="P159" i="18"/>
  <c r="O159" i="18"/>
  <c r="N159" i="18"/>
  <c r="M159" i="18"/>
  <c r="L159" i="18"/>
  <c r="K159" i="18"/>
  <c r="J159" i="18"/>
  <c r="I159" i="18"/>
  <c r="H159" i="18"/>
  <c r="F159" i="18"/>
  <c r="E159" i="18"/>
  <c r="D159" i="18"/>
  <c r="C159" i="18"/>
  <c r="Q158" i="18"/>
  <c r="P158" i="18"/>
  <c r="O158" i="18"/>
  <c r="N158" i="18"/>
  <c r="M158" i="18"/>
  <c r="L158" i="18"/>
  <c r="K158" i="18"/>
  <c r="J158" i="18"/>
  <c r="I158" i="18"/>
  <c r="H158" i="18"/>
  <c r="F158" i="18"/>
  <c r="E158" i="18"/>
  <c r="D158" i="18"/>
  <c r="C158" i="18"/>
  <c r="Q157" i="18"/>
  <c r="P157" i="18"/>
  <c r="O157" i="18"/>
  <c r="N157" i="18"/>
  <c r="M157" i="18"/>
  <c r="L157" i="18"/>
  <c r="K157" i="18"/>
  <c r="J157" i="18"/>
  <c r="I157" i="18"/>
  <c r="H157" i="18"/>
  <c r="F157" i="18"/>
  <c r="E157" i="18"/>
  <c r="D157" i="18"/>
  <c r="C157" i="18"/>
  <c r="Q156" i="18"/>
  <c r="P156" i="18"/>
  <c r="O156" i="18"/>
  <c r="N156" i="18"/>
  <c r="M156" i="18"/>
  <c r="L156" i="18"/>
  <c r="K156" i="18"/>
  <c r="J156" i="18"/>
  <c r="I156" i="18"/>
  <c r="H156" i="18"/>
  <c r="G156" i="18"/>
  <c r="F156" i="18"/>
  <c r="E156" i="18"/>
  <c r="D156" i="18"/>
  <c r="C156" i="18"/>
  <c r="Q155" i="18"/>
  <c r="P155" i="18"/>
  <c r="O155" i="18"/>
  <c r="N155" i="18"/>
  <c r="M155" i="18"/>
  <c r="L155" i="18"/>
  <c r="K155" i="18"/>
  <c r="J155" i="18"/>
  <c r="I155" i="18"/>
  <c r="H155" i="18"/>
  <c r="G155" i="18"/>
  <c r="F155" i="18"/>
  <c r="E155" i="18"/>
  <c r="D155" i="18"/>
  <c r="C155" i="18"/>
  <c r="Q154" i="18"/>
  <c r="P154" i="18"/>
  <c r="O154" i="18"/>
  <c r="N154" i="18"/>
  <c r="M154" i="18"/>
  <c r="L154" i="18"/>
  <c r="K154" i="18"/>
  <c r="J154" i="18"/>
  <c r="I154" i="18"/>
  <c r="H154" i="18"/>
  <c r="F154" i="18"/>
  <c r="E154" i="18"/>
  <c r="D154" i="18"/>
  <c r="C154" i="18"/>
  <c r="Q153" i="18"/>
  <c r="P153" i="18"/>
  <c r="O153" i="18"/>
  <c r="N153" i="18"/>
  <c r="M153" i="18"/>
  <c r="L153" i="18"/>
  <c r="K153" i="18"/>
  <c r="J153" i="18"/>
  <c r="I153" i="18"/>
  <c r="H153" i="18"/>
  <c r="F153" i="18"/>
  <c r="E153" i="18"/>
  <c r="D153" i="18"/>
  <c r="C153" i="18"/>
  <c r="Q152" i="18"/>
  <c r="P152" i="18"/>
  <c r="O152" i="18"/>
  <c r="N152" i="18"/>
  <c r="M152" i="18"/>
  <c r="L152" i="18"/>
  <c r="K152" i="18"/>
  <c r="J152" i="18"/>
  <c r="I152" i="18"/>
  <c r="H152" i="18"/>
  <c r="G152" i="18"/>
  <c r="F152" i="18"/>
  <c r="E152" i="18"/>
  <c r="D152" i="18"/>
  <c r="C152" i="18"/>
  <c r="Q151" i="18"/>
  <c r="P151" i="18"/>
  <c r="O151" i="18"/>
  <c r="N151" i="18"/>
  <c r="M151" i="18"/>
  <c r="L151" i="18"/>
  <c r="K151" i="18"/>
  <c r="J151" i="18"/>
  <c r="I151" i="18"/>
  <c r="H151" i="18"/>
  <c r="G151" i="18"/>
  <c r="F151" i="18"/>
  <c r="E151" i="18"/>
  <c r="D151" i="18"/>
  <c r="C151" i="18"/>
  <c r="Q150" i="18"/>
  <c r="P150" i="18"/>
  <c r="O150" i="18"/>
  <c r="N150" i="18"/>
  <c r="M150" i="18"/>
  <c r="L150" i="18"/>
  <c r="K150" i="18"/>
  <c r="J150" i="18"/>
  <c r="I150" i="18"/>
  <c r="H150" i="18"/>
  <c r="G150" i="18"/>
  <c r="F150" i="18"/>
  <c r="E150" i="18"/>
  <c r="D150" i="18"/>
  <c r="C150" i="18"/>
  <c r="Q149" i="18"/>
  <c r="P149" i="18"/>
  <c r="O149" i="18"/>
  <c r="N149" i="18"/>
  <c r="M149" i="18"/>
  <c r="L149" i="18"/>
  <c r="K149" i="18"/>
  <c r="J149" i="18"/>
  <c r="I149" i="18"/>
  <c r="H149" i="18"/>
  <c r="G149" i="18"/>
  <c r="F149" i="18"/>
  <c r="E149" i="18"/>
  <c r="D149" i="18"/>
  <c r="C149" i="18"/>
  <c r="Q148" i="18"/>
  <c r="P148" i="18"/>
  <c r="O148" i="18"/>
  <c r="N148" i="18"/>
  <c r="M148" i="18"/>
  <c r="L148" i="18"/>
  <c r="K148" i="18"/>
  <c r="J148" i="18"/>
  <c r="I148" i="18"/>
  <c r="H148" i="18"/>
  <c r="G148" i="18"/>
  <c r="F148" i="18"/>
  <c r="E148" i="18"/>
  <c r="D148" i="18"/>
  <c r="C148" i="18"/>
  <c r="Q147" i="18"/>
  <c r="P147" i="18"/>
  <c r="O147" i="18"/>
  <c r="N147" i="18"/>
  <c r="M147" i="18"/>
  <c r="L147" i="18"/>
  <c r="K147" i="18"/>
  <c r="J147" i="18"/>
  <c r="I147" i="18"/>
  <c r="H147" i="18"/>
  <c r="G147" i="18"/>
  <c r="F147" i="18"/>
  <c r="E147" i="18"/>
  <c r="D147" i="18"/>
  <c r="C147" i="18"/>
  <c r="Q146" i="18"/>
  <c r="P146" i="18"/>
  <c r="O146" i="18"/>
  <c r="N146" i="18"/>
  <c r="M146" i="18"/>
  <c r="L146" i="18"/>
  <c r="K146" i="18"/>
  <c r="J146" i="18"/>
  <c r="I146" i="18"/>
  <c r="H146" i="18"/>
  <c r="G146" i="18"/>
  <c r="F146" i="18"/>
  <c r="E146" i="18"/>
  <c r="D146" i="18"/>
  <c r="C146" i="18"/>
  <c r="Q145" i="18"/>
  <c r="P145" i="18"/>
  <c r="O145" i="18"/>
  <c r="N145" i="18"/>
  <c r="M145" i="18"/>
  <c r="L145" i="18"/>
  <c r="K145" i="18"/>
  <c r="J145" i="18"/>
  <c r="I145" i="18"/>
  <c r="H145" i="18"/>
  <c r="G145" i="18"/>
  <c r="F145" i="18"/>
  <c r="E145" i="18"/>
  <c r="D145" i="18"/>
  <c r="C145" i="18"/>
  <c r="Q144" i="18"/>
  <c r="P144" i="18"/>
  <c r="O144" i="18"/>
  <c r="N144" i="18"/>
  <c r="M144" i="18"/>
  <c r="L144" i="18"/>
  <c r="K144" i="18"/>
  <c r="J144" i="18"/>
  <c r="I144" i="18"/>
  <c r="H144" i="18"/>
  <c r="G144" i="18"/>
  <c r="F144" i="18"/>
  <c r="E144" i="18"/>
  <c r="D144" i="18"/>
  <c r="C144" i="18"/>
  <c r="Q143" i="18"/>
  <c r="P143" i="18"/>
  <c r="O143" i="18"/>
  <c r="N143" i="18"/>
  <c r="M143" i="18"/>
  <c r="L143" i="18"/>
  <c r="K143" i="18"/>
  <c r="J143" i="18"/>
  <c r="I143" i="18"/>
  <c r="H143" i="18"/>
  <c r="G143" i="18"/>
  <c r="F143" i="18"/>
  <c r="E143" i="18"/>
  <c r="D143" i="18"/>
  <c r="C143" i="18"/>
  <c r="Q142" i="18"/>
  <c r="P142" i="18"/>
  <c r="O142" i="18"/>
  <c r="N142" i="18"/>
  <c r="M142" i="18"/>
  <c r="L142" i="18"/>
  <c r="K142" i="18"/>
  <c r="J142" i="18"/>
  <c r="I142" i="18"/>
  <c r="H142" i="18"/>
  <c r="G142" i="18"/>
  <c r="F142" i="18"/>
  <c r="E142" i="18"/>
  <c r="D142" i="18"/>
  <c r="C142" i="18"/>
  <c r="Q141" i="18"/>
  <c r="P141" i="18"/>
  <c r="O141" i="18"/>
  <c r="N141" i="18"/>
  <c r="M141" i="18"/>
  <c r="L141" i="18"/>
  <c r="K141" i="18"/>
  <c r="J141" i="18"/>
  <c r="I141" i="18"/>
  <c r="H141" i="18"/>
  <c r="G141" i="18"/>
  <c r="F141" i="18"/>
  <c r="E141" i="18"/>
  <c r="D141" i="18"/>
  <c r="C141" i="18"/>
  <c r="Q140" i="18"/>
  <c r="P140" i="18"/>
  <c r="O140" i="18"/>
  <c r="N140" i="18"/>
  <c r="M140" i="18"/>
  <c r="L140" i="18"/>
  <c r="K140" i="18"/>
  <c r="J140" i="18"/>
  <c r="I140" i="18"/>
  <c r="H140" i="18"/>
  <c r="G140" i="18"/>
  <c r="F140" i="18"/>
  <c r="E140" i="18"/>
  <c r="D140" i="18"/>
  <c r="C140" i="18"/>
  <c r="Q139" i="18"/>
  <c r="P139" i="18"/>
  <c r="O139" i="18"/>
  <c r="N139" i="18"/>
  <c r="M139" i="18"/>
  <c r="L139" i="18"/>
  <c r="K139" i="18"/>
  <c r="J139" i="18"/>
  <c r="I139" i="18"/>
  <c r="H139" i="18"/>
  <c r="G139" i="18"/>
  <c r="F139" i="18"/>
  <c r="E139" i="18"/>
  <c r="D139" i="18"/>
  <c r="C139" i="18"/>
  <c r="Q138" i="18"/>
  <c r="P138" i="18"/>
  <c r="O138" i="18"/>
  <c r="N138" i="18"/>
  <c r="M138" i="18"/>
  <c r="L138" i="18"/>
  <c r="K138" i="18"/>
  <c r="J138" i="18"/>
  <c r="I138" i="18"/>
  <c r="H138" i="18"/>
  <c r="G138" i="18"/>
  <c r="F138" i="18"/>
  <c r="E138" i="18"/>
  <c r="D138" i="18"/>
  <c r="C138" i="18"/>
  <c r="Q137" i="18"/>
  <c r="P137" i="18"/>
  <c r="O137" i="18"/>
  <c r="N137" i="18"/>
  <c r="M137" i="18"/>
  <c r="L137" i="18"/>
  <c r="K137" i="18"/>
  <c r="J137" i="18"/>
  <c r="I137" i="18"/>
  <c r="H137" i="18"/>
  <c r="G137" i="18"/>
  <c r="F137" i="18"/>
  <c r="E137" i="18"/>
  <c r="D137" i="18"/>
  <c r="C137" i="18"/>
  <c r="Q136" i="18"/>
  <c r="P136" i="18"/>
  <c r="O136" i="18"/>
  <c r="N136" i="18"/>
  <c r="M136" i="18"/>
  <c r="L136" i="18"/>
  <c r="K136" i="18"/>
  <c r="J136" i="18"/>
  <c r="I136" i="18"/>
  <c r="H136" i="18"/>
  <c r="G136" i="18"/>
  <c r="F136" i="18"/>
  <c r="E136" i="18"/>
  <c r="D136" i="18"/>
  <c r="C136" i="18"/>
  <c r="Q135" i="18"/>
  <c r="P135" i="18"/>
  <c r="O135" i="18"/>
  <c r="N135" i="18"/>
  <c r="M135" i="18"/>
  <c r="L135" i="18"/>
  <c r="K135" i="18"/>
  <c r="J135" i="18"/>
  <c r="I135" i="18"/>
  <c r="H135" i="18"/>
  <c r="G135" i="18"/>
  <c r="F135" i="18"/>
  <c r="E135" i="18"/>
  <c r="D135" i="18"/>
  <c r="C135" i="18"/>
  <c r="Q134" i="18"/>
  <c r="P134" i="18"/>
  <c r="O134" i="18"/>
  <c r="N134" i="18"/>
  <c r="M134" i="18"/>
  <c r="L134" i="18"/>
  <c r="K134" i="18"/>
  <c r="J134" i="18"/>
  <c r="I134" i="18"/>
  <c r="H134" i="18"/>
  <c r="G134" i="18"/>
  <c r="F134" i="18"/>
  <c r="E134" i="18"/>
  <c r="D134" i="18"/>
  <c r="C134" i="18"/>
  <c r="Q133" i="18"/>
  <c r="P133" i="18"/>
  <c r="O133" i="18"/>
  <c r="N133" i="18"/>
  <c r="M133" i="18"/>
  <c r="L133" i="18"/>
  <c r="K133" i="18"/>
  <c r="J133" i="18"/>
  <c r="I133" i="18"/>
  <c r="H133" i="18"/>
  <c r="G133" i="18"/>
  <c r="F133" i="18"/>
  <c r="E133" i="18"/>
  <c r="D133" i="18"/>
  <c r="C133" i="18"/>
  <c r="Q132" i="18"/>
  <c r="P132" i="18"/>
  <c r="O132" i="18"/>
  <c r="N132" i="18"/>
  <c r="M132" i="18"/>
  <c r="L132" i="18"/>
  <c r="K132" i="18"/>
  <c r="J132" i="18"/>
  <c r="I132" i="18"/>
  <c r="H132" i="18"/>
  <c r="G132" i="18"/>
  <c r="F132" i="18"/>
  <c r="E132" i="18"/>
  <c r="D132" i="18"/>
  <c r="C132" i="18"/>
  <c r="Q131" i="18"/>
  <c r="P131" i="18"/>
  <c r="O131" i="18"/>
  <c r="N131" i="18"/>
  <c r="M131" i="18"/>
  <c r="L131" i="18"/>
  <c r="K131" i="18"/>
  <c r="J131" i="18"/>
  <c r="I131" i="18"/>
  <c r="H131" i="18"/>
  <c r="G131" i="18"/>
  <c r="F131" i="18"/>
  <c r="E131" i="18"/>
  <c r="D131" i="18"/>
  <c r="C131" i="18"/>
  <c r="Q130" i="18"/>
  <c r="P130" i="18"/>
  <c r="O130" i="18"/>
  <c r="N130" i="18"/>
  <c r="M130" i="18"/>
  <c r="L130" i="18"/>
  <c r="K130" i="18"/>
  <c r="J130" i="18"/>
  <c r="I130" i="18"/>
  <c r="H130" i="18"/>
  <c r="G130" i="18"/>
  <c r="F130" i="18"/>
  <c r="E130" i="18"/>
  <c r="D130" i="18"/>
  <c r="C130" i="18"/>
  <c r="Q129" i="18"/>
  <c r="P129" i="18"/>
  <c r="O129" i="18"/>
  <c r="N129" i="18"/>
  <c r="M129" i="18"/>
  <c r="L129" i="18"/>
  <c r="K129" i="18"/>
  <c r="J129" i="18"/>
  <c r="I129" i="18"/>
  <c r="H129" i="18"/>
  <c r="G129" i="18"/>
  <c r="F129" i="18"/>
  <c r="E129" i="18"/>
  <c r="D129" i="18"/>
  <c r="C129" i="18"/>
  <c r="Q128" i="18"/>
  <c r="P128" i="18"/>
  <c r="O128" i="18"/>
  <c r="N128" i="18"/>
  <c r="M128" i="18"/>
  <c r="L128" i="18"/>
  <c r="K128" i="18"/>
  <c r="J128" i="18"/>
  <c r="I128" i="18"/>
  <c r="H128" i="18"/>
  <c r="G128" i="18"/>
  <c r="F128" i="18"/>
  <c r="E128" i="18"/>
  <c r="D128" i="18"/>
  <c r="C128" i="18"/>
  <c r="Q127" i="18"/>
  <c r="P127" i="18"/>
  <c r="O127" i="18"/>
  <c r="N127" i="18"/>
  <c r="M127" i="18"/>
  <c r="L127" i="18"/>
  <c r="K127" i="18"/>
  <c r="J127" i="18"/>
  <c r="I127" i="18"/>
  <c r="H127" i="18"/>
  <c r="G127" i="18"/>
  <c r="F127" i="18"/>
  <c r="E127" i="18"/>
  <c r="D127" i="18"/>
  <c r="C127" i="18"/>
  <c r="Q126" i="18"/>
  <c r="P126" i="18"/>
  <c r="O126" i="18"/>
  <c r="N126" i="18"/>
  <c r="M126" i="18"/>
  <c r="L126" i="18"/>
  <c r="K126" i="18"/>
  <c r="J126" i="18"/>
  <c r="I126" i="18"/>
  <c r="H126" i="18"/>
  <c r="G126" i="18"/>
  <c r="F126" i="18"/>
  <c r="E126" i="18"/>
  <c r="D126" i="18"/>
  <c r="C126" i="18"/>
  <c r="Q125" i="18"/>
  <c r="P125" i="18"/>
  <c r="O125" i="18"/>
  <c r="N125" i="18"/>
  <c r="M125" i="18"/>
  <c r="L125" i="18"/>
  <c r="K125" i="18"/>
  <c r="J125" i="18"/>
  <c r="I125" i="18"/>
  <c r="H125" i="18"/>
  <c r="G125" i="18"/>
  <c r="F125" i="18"/>
  <c r="E125" i="18"/>
  <c r="D125" i="18"/>
  <c r="C125" i="18"/>
  <c r="Q124" i="18"/>
  <c r="P124" i="18"/>
  <c r="O124" i="18"/>
  <c r="N124" i="18"/>
  <c r="M124" i="18"/>
  <c r="L124" i="18"/>
  <c r="K124" i="18"/>
  <c r="J124" i="18"/>
  <c r="I124" i="18"/>
  <c r="H124" i="18"/>
  <c r="G124" i="18"/>
  <c r="F124" i="18"/>
  <c r="E124" i="18"/>
  <c r="D124" i="18"/>
  <c r="C124" i="18"/>
  <c r="Q123" i="18"/>
  <c r="P123" i="18"/>
  <c r="O123" i="18"/>
  <c r="N123" i="18"/>
  <c r="M123" i="18"/>
  <c r="L123" i="18"/>
  <c r="K123" i="18"/>
  <c r="J123" i="18"/>
  <c r="I123" i="18"/>
  <c r="H123" i="18"/>
  <c r="G123" i="18"/>
  <c r="F123" i="18"/>
  <c r="E123" i="18"/>
  <c r="D123" i="18"/>
  <c r="C123" i="18"/>
  <c r="Q122" i="18"/>
  <c r="P122" i="18"/>
  <c r="O122" i="18"/>
  <c r="N122" i="18"/>
  <c r="M122" i="18"/>
  <c r="L122" i="18"/>
  <c r="K122" i="18"/>
  <c r="J122" i="18"/>
  <c r="I122" i="18"/>
  <c r="H122" i="18"/>
  <c r="G122" i="18"/>
  <c r="F122" i="18"/>
  <c r="E122" i="18"/>
  <c r="D122" i="18"/>
  <c r="C122" i="18"/>
  <c r="Q121" i="18"/>
  <c r="P121" i="18"/>
  <c r="O121" i="18"/>
  <c r="N121" i="18"/>
  <c r="M121" i="18"/>
  <c r="L121" i="18"/>
  <c r="K121" i="18"/>
  <c r="J121" i="18"/>
  <c r="I121" i="18"/>
  <c r="H121" i="18"/>
  <c r="G121" i="18"/>
  <c r="F121" i="18"/>
  <c r="E121" i="18"/>
  <c r="D121" i="18"/>
  <c r="C121" i="18"/>
  <c r="Q120" i="18"/>
  <c r="P120" i="18"/>
  <c r="O120" i="18"/>
  <c r="N120" i="18"/>
  <c r="M120" i="18"/>
  <c r="L120" i="18"/>
  <c r="K120" i="18"/>
  <c r="J120" i="18"/>
  <c r="I120" i="18"/>
  <c r="H120" i="18"/>
  <c r="G120" i="18"/>
  <c r="F120" i="18"/>
  <c r="E120" i="18"/>
  <c r="D120" i="18"/>
  <c r="C120" i="18"/>
  <c r="Q119" i="18"/>
  <c r="P119" i="18"/>
  <c r="O119" i="18"/>
  <c r="N119" i="18"/>
  <c r="M119" i="18"/>
  <c r="L119" i="18"/>
  <c r="K119" i="18"/>
  <c r="J119" i="18"/>
  <c r="I119" i="18"/>
  <c r="H119" i="18"/>
  <c r="G119" i="18"/>
  <c r="F119" i="18"/>
  <c r="E119" i="18"/>
  <c r="D119" i="18"/>
  <c r="C119" i="18"/>
  <c r="Q118" i="18"/>
  <c r="P118" i="18"/>
  <c r="O118" i="18"/>
  <c r="N118" i="18"/>
  <c r="M118" i="18"/>
  <c r="L118" i="18"/>
  <c r="K118" i="18"/>
  <c r="J118" i="18"/>
  <c r="I118" i="18"/>
  <c r="H118" i="18"/>
  <c r="G118" i="18"/>
  <c r="F118" i="18"/>
  <c r="E118" i="18"/>
  <c r="D118" i="18"/>
  <c r="C118" i="18"/>
  <c r="Q117" i="18"/>
  <c r="P117" i="18"/>
  <c r="O117" i="18"/>
  <c r="N117" i="18"/>
  <c r="M117" i="18"/>
  <c r="L117" i="18"/>
  <c r="K117" i="18"/>
  <c r="J117" i="18"/>
  <c r="I117" i="18"/>
  <c r="H117" i="18"/>
  <c r="G117" i="18"/>
  <c r="F117" i="18"/>
  <c r="E117" i="18"/>
  <c r="D117" i="18"/>
  <c r="C117" i="18"/>
  <c r="Q116" i="18"/>
  <c r="P116" i="18"/>
  <c r="O116" i="18"/>
  <c r="N116" i="18"/>
  <c r="M116" i="18"/>
  <c r="L116" i="18"/>
  <c r="K116" i="18"/>
  <c r="J116" i="18"/>
  <c r="I116" i="18"/>
  <c r="H116" i="18"/>
  <c r="G116" i="18"/>
  <c r="F116" i="18"/>
  <c r="E116" i="18"/>
  <c r="D116" i="18"/>
  <c r="C116" i="18"/>
  <c r="Q115" i="18"/>
  <c r="P115" i="18"/>
  <c r="O115" i="18"/>
  <c r="N115" i="18"/>
  <c r="M115" i="18"/>
  <c r="L115" i="18"/>
  <c r="K115" i="18"/>
  <c r="J115" i="18"/>
  <c r="I115" i="18"/>
  <c r="H115" i="18"/>
  <c r="G115" i="18"/>
  <c r="F115" i="18"/>
  <c r="E115" i="18"/>
  <c r="D115" i="18"/>
  <c r="C115" i="18"/>
  <c r="Q114" i="18"/>
  <c r="P114" i="18"/>
  <c r="O114" i="18"/>
  <c r="N114" i="18"/>
  <c r="M114" i="18"/>
  <c r="L114" i="18"/>
  <c r="K114" i="18"/>
  <c r="J114" i="18"/>
  <c r="I114" i="18"/>
  <c r="H114" i="18"/>
  <c r="G114" i="18"/>
  <c r="F114" i="18"/>
  <c r="E114" i="18"/>
  <c r="D114" i="18"/>
  <c r="C114" i="18"/>
  <c r="Q113" i="18"/>
  <c r="P113" i="18"/>
  <c r="O113" i="18"/>
  <c r="N113" i="18"/>
  <c r="M113" i="18"/>
  <c r="L113" i="18"/>
  <c r="K113" i="18"/>
  <c r="J113" i="18"/>
  <c r="I113" i="18"/>
  <c r="H113" i="18"/>
  <c r="G113" i="18"/>
  <c r="F113" i="18"/>
  <c r="E113" i="18"/>
  <c r="D113" i="18"/>
  <c r="C113" i="18"/>
  <c r="Q112" i="18"/>
  <c r="P112" i="18"/>
  <c r="O112" i="18"/>
  <c r="N112" i="18"/>
  <c r="M112" i="18"/>
  <c r="L112" i="18"/>
  <c r="K112" i="18"/>
  <c r="J112" i="18"/>
  <c r="I112" i="18"/>
  <c r="H112" i="18"/>
  <c r="G112" i="18"/>
  <c r="F112" i="18"/>
  <c r="E112" i="18"/>
  <c r="D112" i="18"/>
  <c r="C112" i="18"/>
  <c r="Q111" i="18"/>
  <c r="P111" i="18"/>
  <c r="O111" i="18"/>
  <c r="N111" i="18"/>
  <c r="M111" i="18"/>
  <c r="L111" i="18"/>
  <c r="K111" i="18"/>
  <c r="J111" i="18"/>
  <c r="I111" i="18"/>
  <c r="H111" i="18"/>
  <c r="G111" i="18"/>
  <c r="F111" i="18"/>
  <c r="E111" i="18"/>
  <c r="D111" i="18"/>
  <c r="C111" i="18"/>
  <c r="Q110" i="18"/>
  <c r="P110" i="18"/>
  <c r="O110" i="18"/>
  <c r="N110" i="18"/>
  <c r="M110" i="18"/>
  <c r="L110" i="18"/>
  <c r="K110" i="18"/>
  <c r="J110" i="18"/>
  <c r="I110" i="18"/>
  <c r="H110" i="18"/>
  <c r="G110" i="18"/>
  <c r="F110" i="18"/>
  <c r="E110" i="18"/>
  <c r="D110" i="18"/>
  <c r="C110" i="18"/>
  <c r="Q109" i="18"/>
  <c r="P109" i="18"/>
  <c r="O109" i="18"/>
  <c r="N109" i="18"/>
  <c r="M109" i="18"/>
  <c r="L109" i="18"/>
  <c r="K109" i="18"/>
  <c r="J109" i="18"/>
  <c r="I109" i="18"/>
  <c r="H109" i="18"/>
  <c r="G109" i="18"/>
  <c r="F109" i="18"/>
  <c r="E109" i="18"/>
  <c r="D109" i="18"/>
  <c r="C109" i="18"/>
  <c r="Q108" i="18"/>
  <c r="P108" i="18"/>
  <c r="O108" i="18"/>
  <c r="N108" i="18"/>
  <c r="M108" i="18"/>
  <c r="L108" i="18"/>
  <c r="K108" i="18"/>
  <c r="J108" i="18"/>
  <c r="I108" i="18"/>
  <c r="H108" i="18"/>
  <c r="G108" i="18"/>
  <c r="F108" i="18"/>
  <c r="E108" i="18"/>
  <c r="D108" i="18"/>
  <c r="C108" i="18"/>
  <c r="Q107" i="18"/>
  <c r="P107" i="18"/>
  <c r="O107" i="18"/>
  <c r="N107" i="18"/>
  <c r="M107" i="18"/>
  <c r="L107" i="18"/>
  <c r="K107" i="18"/>
  <c r="J107" i="18"/>
  <c r="I107" i="18"/>
  <c r="H107" i="18"/>
  <c r="G107" i="18"/>
  <c r="F107" i="18"/>
  <c r="E107" i="18"/>
  <c r="D107" i="18"/>
  <c r="C107" i="18"/>
  <c r="Q106" i="18"/>
  <c r="P106" i="18"/>
  <c r="O106" i="18"/>
  <c r="N106" i="18"/>
  <c r="M106" i="18"/>
  <c r="L106" i="18"/>
  <c r="K106" i="18"/>
  <c r="J106" i="18"/>
  <c r="I106" i="18"/>
  <c r="H106" i="18"/>
  <c r="G106" i="18"/>
  <c r="F106" i="18"/>
  <c r="E106" i="18"/>
  <c r="D106" i="18"/>
  <c r="C106" i="18"/>
  <c r="Q105" i="18"/>
  <c r="P105" i="18"/>
  <c r="O105" i="18"/>
  <c r="N105" i="18"/>
  <c r="M105" i="18"/>
  <c r="L105" i="18"/>
  <c r="K105" i="18"/>
  <c r="J105" i="18"/>
  <c r="I105" i="18"/>
  <c r="H105" i="18"/>
  <c r="G105" i="18"/>
  <c r="F105" i="18"/>
  <c r="E105" i="18"/>
  <c r="D105" i="18"/>
  <c r="C105" i="18"/>
  <c r="Q104" i="18"/>
  <c r="P104" i="18"/>
  <c r="O104" i="18"/>
  <c r="N104" i="18"/>
  <c r="M104" i="18"/>
  <c r="L104" i="18"/>
  <c r="K104" i="18"/>
  <c r="J104" i="18"/>
  <c r="I104" i="18"/>
  <c r="H104" i="18"/>
  <c r="G104" i="18"/>
  <c r="F104" i="18"/>
  <c r="E104" i="18"/>
  <c r="D104" i="18"/>
  <c r="C104" i="18"/>
  <c r="Q103" i="18"/>
  <c r="P103" i="18"/>
  <c r="O103" i="18"/>
  <c r="N103" i="18"/>
  <c r="M103" i="18"/>
  <c r="L103" i="18"/>
  <c r="K103" i="18"/>
  <c r="J103" i="18"/>
  <c r="I103" i="18"/>
  <c r="H103" i="18"/>
  <c r="G103" i="18"/>
  <c r="F103" i="18"/>
  <c r="E103" i="18"/>
  <c r="D103" i="18"/>
  <c r="C103" i="18"/>
  <c r="Q102" i="18"/>
  <c r="P102" i="18"/>
  <c r="O102" i="18"/>
  <c r="N102" i="18"/>
  <c r="M102" i="18"/>
  <c r="L102" i="18"/>
  <c r="K102" i="18"/>
  <c r="J102" i="18"/>
  <c r="I102" i="18"/>
  <c r="H102" i="18"/>
  <c r="G102" i="18"/>
  <c r="F102" i="18"/>
  <c r="E102" i="18"/>
  <c r="D102" i="18"/>
  <c r="C102" i="18"/>
  <c r="Q101" i="18"/>
  <c r="P101" i="18"/>
  <c r="O101" i="18"/>
  <c r="N101" i="18"/>
  <c r="M101" i="18"/>
  <c r="L101" i="18"/>
  <c r="K101" i="18"/>
  <c r="J101" i="18"/>
  <c r="I101" i="18"/>
  <c r="H101" i="18"/>
  <c r="G101" i="18"/>
  <c r="F101" i="18"/>
  <c r="E101" i="18"/>
  <c r="D101" i="18"/>
  <c r="C101" i="18"/>
  <c r="Q100" i="18"/>
  <c r="P100" i="18"/>
  <c r="O100" i="18"/>
  <c r="N100" i="18"/>
  <c r="M100" i="18"/>
  <c r="L100" i="18"/>
  <c r="K100" i="18"/>
  <c r="J100" i="18"/>
  <c r="I100" i="18"/>
  <c r="H100" i="18"/>
  <c r="G100" i="18"/>
  <c r="F100" i="18"/>
  <c r="E100" i="18"/>
  <c r="D100" i="18"/>
  <c r="C100" i="18"/>
  <c r="Q99" i="18"/>
  <c r="P99" i="18"/>
  <c r="O99" i="18"/>
  <c r="N99" i="18"/>
  <c r="M99" i="18"/>
  <c r="L99" i="18"/>
  <c r="K99" i="18"/>
  <c r="J99" i="18"/>
  <c r="I99" i="18"/>
  <c r="H99" i="18"/>
  <c r="G99" i="18"/>
  <c r="F99" i="18"/>
  <c r="E99" i="18"/>
  <c r="D99" i="18"/>
  <c r="C99" i="18"/>
  <c r="Q98" i="18"/>
  <c r="P98" i="18"/>
  <c r="O98" i="18"/>
  <c r="N98" i="18"/>
  <c r="M98" i="18"/>
  <c r="L98" i="18"/>
  <c r="K98" i="18"/>
  <c r="J98" i="18"/>
  <c r="I98" i="18"/>
  <c r="H98" i="18"/>
  <c r="G98" i="18"/>
  <c r="F98" i="18"/>
  <c r="E98" i="18"/>
  <c r="D98" i="18"/>
  <c r="C98" i="18"/>
  <c r="Q97" i="18"/>
  <c r="P97" i="18"/>
  <c r="O97" i="18"/>
  <c r="N97" i="18"/>
  <c r="M97" i="18"/>
  <c r="L97" i="18"/>
  <c r="K97" i="18"/>
  <c r="J97" i="18"/>
  <c r="I97" i="18"/>
  <c r="H97" i="18"/>
  <c r="G97" i="18"/>
  <c r="F97" i="18"/>
  <c r="E97" i="18"/>
  <c r="D97" i="18"/>
  <c r="C97" i="18"/>
  <c r="Q96" i="18"/>
  <c r="P96" i="18"/>
  <c r="O96" i="18"/>
  <c r="N96" i="18"/>
  <c r="M96" i="18"/>
  <c r="L96" i="18"/>
  <c r="K96" i="18"/>
  <c r="J96" i="18"/>
  <c r="I96" i="18"/>
  <c r="H96" i="18"/>
  <c r="G96" i="18"/>
  <c r="F96" i="18"/>
  <c r="E96" i="18"/>
  <c r="D96" i="18"/>
  <c r="C96" i="18"/>
  <c r="Q95" i="18"/>
  <c r="P95" i="18"/>
  <c r="O95" i="18"/>
  <c r="N95" i="18"/>
  <c r="M95" i="18"/>
  <c r="L95" i="18"/>
  <c r="K95" i="18"/>
  <c r="J95" i="18"/>
  <c r="I95" i="18"/>
  <c r="H95" i="18"/>
  <c r="G95" i="18"/>
  <c r="F95" i="18"/>
  <c r="E95" i="18"/>
  <c r="D95" i="18"/>
  <c r="C95" i="18"/>
  <c r="Q94" i="18"/>
  <c r="P94" i="18"/>
  <c r="O94" i="18"/>
  <c r="N94" i="18"/>
  <c r="M94" i="18"/>
  <c r="L94" i="18"/>
  <c r="K94" i="18"/>
  <c r="J94" i="18"/>
  <c r="I94" i="18"/>
  <c r="H94" i="18"/>
  <c r="G94" i="18"/>
  <c r="F94" i="18"/>
  <c r="E94" i="18"/>
  <c r="D94" i="18"/>
  <c r="C94" i="18"/>
  <c r="Q93" i="18"/>
  <c r="P93" i="18"/>
  <c r="O93" i="18"/>
  <c r="N93" i="18"/>
  <c r="M93" i="18"/>
  <c r="L93" i="18"/>
  <c r="K93" i="18"/>
  <c r="J93" i="18"/>
  <c r="I93" i="18"/>
  <c r="H93" i="18"/>
  <c r="G93" i="18"/>
  <c r="F93" i="18"/>
  <c r="E93" i="18"/>
  <c r="D93" i="18"/>
  <c r="C93" i="18"/>
  <c r="Q92" i="18"/>
  <c r="P92" i="18"/>
  <c r="O92" i="18"/>
  <c r="N92" i="18"/>
  <c r="M92" i="18"/>
  <c r="L92" i="18"/>
  <c r="K92" i="18"/>
  <c r="J92" i="18"/>
  <c r="I92" i="18"/>
  <c r="H92" i="18"/>
  <c r="G92" i="18"/>
  <c r="F92" i="18"/>
  <c r="E92" i="18"/>
  <c r="D92" i="18"/>
  <c r="C92" i="18"/>
  <c r="Q91" i="18"/>
  <c r="P91" i="18"/>
  <c r="O91" i="18"/>
  <c r="N91" i="18"/>
  <c r="M91" i="18"/>
  <c r="L91" i="18"/>
  <c r="K91" i="18"/>
  <c r="J91" i="18"/>
  <c r="I91" i="18"/>
  <c r="H91" i="18"/>
  <c r="G91" i="18"/>
  <c r="F91" i="18"/>
  <c r="E91" i="18"/>
  <c r="D91" i="18"/>
  <c r="C91" i="18"/>
  <c r="Q90" i="18"/>
  <c r="P90" i="18"/>
  <c r="O90" i="18"/>
  <c r="N90" i="18"/>
  <c r="M90" i="18"/>
  <c r="L90" i="18"/>
  <c r="K90" i="18"/>
  <c r="J90" i="18"/>
  <c r="I90" i="18"/>
  <c r="H90" i="18"/>
  <c r="G90" i="18"/>
  <c r="F90" i="18"/>
  <c r="E90" i="18"/>
  <c r="D90" i="18"/>
  <c r="C90" i="18"/>
  <c r="Q89" i="18"/>
  <c r="P89" i="18"/>
  <c r="O89" i="18"/>
  <c r="N89" i="18"/>
  <c r="M89" i="18"/>
  <c r="L89" i="18"/>
  <c r="K89" i="18"/>
  <c r="J89" i="18"/>
  <c r="I89" i="18"/>
  <c r="H89" i="18"/>
  <c r="G89" i="18"/>
  <c r="F89" i="18"/>
  <c r="E89" i="18"/>
  <c r="D89" i="18"/>
  <c r="C89" i="18"/>
  <c r="Q88" i="18"/>
  <c r="P88" i="18"/>
  <c r="O88" i="18"/>
  <c r="N88" i="18"/>
  <c r="M88" i="18"/>
  <c r="L88" i="18"/>
  <c r="K88" i="18"/>
  <c r="J88" i="18"/>
  <c r="I88" i="18"/>
  <c r="H88" i="18"/>
  <c r="G88" i="18"/>
  <c r="F88" i="18"/>
  <c r="E88" i="18"/>
  <c r="D88" i="18"/>
  <c r="C88" i="18"/>
  <c r="Q87" i="18"/>
  <c r="P87" i="18"/>
  <c r="O87" i="18"/>
  <c r="Q86" i="18"/>
  <c r="P86" i="18"/>
  <c r="O86" i="18"/>
  <c r="N86" i="18"/>
  <c r="M86" i="18"/>
  <c r="L86" i="18"/>
  <c r="K86" i="18"/>
  <c r="J86" i="18"/>
  <c r="I86" i="18"/>
  <c r="H86" i="18"/>
  <c r="G86" i="18"/>
  <c r="F86" i="18"/>
  <c r="E86" i="18"/>
  <c r="D86" i="18"/>
  <c r="C86" i="18"/>
  <c r="Q85" i="18"/>
  <c r="P85" i="18"/>
  <c r="O85" i="18"/>
  <c r="N85" i="18"/>
  <c r="M85" i="18"/>
  <c r="L85" i="18"/>
  <c r="K85" i="18"/>
  <c r="J85" i="18"/>
  <c r="I85" i="18"/>
  <c r="H85" i="18"/>
  <c r="G85" i="18"/>
  <c r="F85" i="18"/>
  <c r="E85" i="18"/>
  <c r="D85" i="18"/>
  <c r="C85" i="18"/>
  <c r="Q84" i="18"/>
  <c r="P84" i="18"/>
  <c r="O84" i="18"/>
  <c r="N84" i="18"/>
  <c r="M84" i="18"/>
  <c r="L84" i="18"/>
  <c r="K84" i="18"/>
  <c r="J84" i="18"/>
  <c r="I84" i="18"/>
  <c r="H84" i="18"/>
  <c r="G84" i="18"/>
  <c r="F84" i="18"/>
  <c r="E84" i="18"/>
  <c r="D84" i="18"/>
  <c r="C84" i="18"/>
  <c r="Q83" i="18"/>
  <c r="P83" i="18"/>
  <c r="O83" i="18"/>
  <c r="N83" i="18"/>
  <c r="M83" i="18"/>
  <c r="L83" i="18"/>
  <c r="K83" i="18"/>
  <c r="J83" i="18"/>
  <c r="I83" i="18"/>
  <c r="H83" i="18"/>
  <c r="G83" i="18"/>
  <c r="F83" i="18"/>
  <c r="E83" i="18"/>
  <c r="D83" i="18"/>
  <c r="C83" i="18"/>
  <c r="Q82" i="18"/>
  <c r="P82" i="18"/>
  <c r="O82" i="18"/>
  <c r="N82" i="18"/>
  <c r="M82" i="18"/>
  <c r="L82" i="18"/>
  <c r="K82" i="18"/>
  <c r="J82" i="18"/>
  <c r="I82" i="18"/>
  <c r="H82" i="18"/>
  <c r="G82" i="18"/>
  <c r="F82" i="18"/>
  <c r="E82" i="18"/>
  <c r="D82" i="18"/>
  <c r="C82" i="18"/>
  <c r="Q81" i="18"/>
  <c r="P81" i="18"/>
  <c r="O81" i="18"/>
  <c r="N81" i="18"/>
  <c r="M81" i="18"/>
  <c r="L81" i="18"/>
  <c r="K81" i="18"/>
  <c r="J81" i="18"/>
  <c r="I81" i="18"/>
  <c r="H81" i="18"/>
  <c r="G81" i="18"/>
  <c r="F81" i="18"/>
  <c r="E81" i="18"/>
  <c r="D81" i="18"/>
  <c r="C81" i="18"/>
  <c r="Q80" i="18"/>
  <c r="P80" i="18"/>
  <c r="O80" i="18"/>
  <c r="N80" i="18"/>
  <c r="M80" i="18"/>
  <c r="L80" i="18"/>
  <c r="K80" i="18"/>
  <c r="J80" i="18"/>
  <c r="I80" i="18"/>
  <c r="H80" i="18"/>
  <c r="G80" i="18"/>
  <c r="F80" i="18"/>
  <c r="E80" i="18"/>
  <c r="D80" i="18"/>
  <c r="C80" i="18"/>
  <c r="Q79" i="18"/>
  <c r="P79" i="18"/>
  <c r="O79" i="18"/>
  <c r="N79" i="18"/>
  <c r="M79" i="18"/>
  <c r="L79" i="18"/>
  <c r="K79" i="18"/>
  <c r="J79" i="18"/>
  <c r="I79" i="18"/>
  <c r="H79" i="18"/>
  <c r="G79" i="18"/>
  <c r="F79" i="18"/>
  <c r="E79" i="18"/>
  <c r="D79" i="18"/>
  <c r="C79" i="18"/>
  <c r="Q78" i="18"/>
  <c r="P78" i="18"/>
  <c r="O78" i="18"/>
  <c r="N78" i="18"/>
  <c r="M78" i="18"/>
  <c r="L78" i="18"/>
  <c r="K78" i="18"/>
  <c r="J78" i="18"/>
  <c r="I78" i="18"/>
  <c r="H78" i="18"/>
  <c r="G78" i="18"/>
  <c r="F78" i="18"/>
  <c r="E78" i="18"/>
  <c r="D78" i="18"/>
  <c r="C78" i="18"/>
  <c r="Q77" i="18"/>
  <c r="P77" i="18"/>
  <c r="O77" i="18"/>
  <c r="N77" i="18"/>
  <c r="M77" i="18"/>
  <c r="L77" i="18"/>
  <c r="K77" i="18"/>
  <c r="J77" i="18"/>
  <c r="I77" i="18"/>
  <c r="H77" i="18"/>
  <c r="G77" i="18"/>
  <c r="F77" i="18"/>
  <c r="E77" i="18"/>
  <c r="D77" i="18"/>
  <c r="C77" i="18"/>
  <c r="Q76" i="18"/>
  <c r="P76" i="18"/>
  <c r="O76" i="18"/>
  <c r="N76" i="18"/>
  <c r="M76" i="18"/>
  <c r="L76" i="18"/>
  <c r="K76" i="18"/>
  <c r="J76" i="18"/>
  <c r="I76" i="18"/>
  <c r="H76" i="18"/>
  <c r="G76" i="18"/>
  <c r="F76" i="18"/>
  <c r="E76" i="18"/>
  <c r="D76" i="18"/>
  <c r="C76" i="18"/>
  <c r="Q75" i="18"/>
  <c r="P75" i="18"/>
  <c r="O75" i="18"/>
  <c r="N75" i="18"/>
  <c r="M75" i="18"/>
  <c r="L75" i="18"/>
  <c r="K75" i="18"/>
  <c r="J75" i="18"/>
  <c r="I75" i="18"/>
  <c r="H75" i="18"/>
  <c r="G75" i="18"/>
  <c r="F75" i="18"/>
  <c r="E75" i="18"/>
  <c r="D75" i="18"/>
  <c r="C75" i="18"/>
  <c r="Q74" i="18"/>
  <c r="P74" i="18"/>
  <c r="O74" i="18"/>
  <c r="N74" i="18"/>
  <c r="M74" i="18"/>
  <c r="L74" i="18"/>
  <c r="K74" i="18"/>
  <c r="J74" i="18"/>
  <c r="I74" i="18"/>
  <c r="H74" i="18"/>
  <c r="G74" i="18"/>
  <c r="F74" i="18"/>
  <c r="E74" i="18"/>
  <c r="D74" i="18"/>
  <c r="C74" i="18"/>
  <c r="Q73" i="18"/>
  <c r="P73" i="18"/>
  <c r="O73" i="18"/>
  <c r="N73" i="18"/>
  <c r="M73" i="18"/>
  <c r="L73" i="18"/>
  <c r="K73" i="18"/>
  <c r="J73" i="18"/>
  <c r="I73" i="18"/>
  <c r="H73" i="18"/>
  <c r="G73" i="18"/>
  <c r="F73" i="18"/>
  <c r="E73" i="18"/>
  <c r="D73" i="18"/>
  <c r="C73" i="18"/>
  <c r="Q72" i="18"/>
  <c r="P72" i="18"/>
  <c r="O72" i="18"/>
  <c r="N72" i="18"/>
  <c r="M72" i="18"/>
  <c r="L72" i="18"/>
  <c r="K72" i="18"/>
  <c r="J72" i="18"/>
  <c r="I72" i="18"/>
  <c r="H72" i="18"/>
  <c r="G72" i="18"/>
  <c r="F72" i="18"/>
  <c r="E72" i="18"/>
  <c r="D72" i="18"/>
  <c r="C72" i="18"/>
  <c r="Q71" i="18"/>
  <c r="P71" i="18"/>
  <c r="O71" i="18"/>
  <c r="N71" i="18"/>
  <c r="M71" i="18"/>
  <c r="L71" i="18"/>
  <c r="K71" i="18"/>
  <c r="J71" i="18"/>
  <c r="I71" i="18"/>
  <c r="H71" i="18"/>
  <c r="G71" i="18"/>
  <c r="F71" i="18"/>
  <c r="E71" i="18"/>
  <c r="D71" i="18"/>
  <c r="C71" i="18"/>
  <c r="Q70" i="18"/>
  <c r="P70" i="18"/>
  <c r="O70" i="18"/>
  <c r="N70" i="18"/>
  <c r="M70" i="18"/>
  <c r="L70" i="18"/>
  <c r="K70" i="18"/>
  <c r="J70" i="18"/>
  <c r="I70" i="18"/>
  <c r="H70" i="18"/>
  <c r="G70" i="18"/>
  <c r="F70" i="18"/>
  <c r="E70" i="18"/>
  <c r="D70" i="18"/>
  <c r="C70" i="18"/>
  <c r="Q69" i="18"/>
  <c r="P69" i="18"/>
  <c r="O69" i="18"/>
  <c r="N69" i="18"/>
  <c r="M69" i="18"/>
  <c r="L69" i="18"/>
  <c r="K69" i="18"/>
  <c r="J69" i="18"/>
  <c r="I69" i="18"/>
  <c r="H69" i="18"/>
  <c r="G69" i="18"/>
  <c r="F69" i="18"/>
  <c r="E69" i="18"/>
  <c r="D69" i="18"/>
  <c r="C69" i="18"/>
  <c r="Q68" i="18"/>
  <c r="P68" i="18"/>
  <c r="O68" i="18"/>
  <c r="N68" i="18"/>
  <c r="M68" i="18"/>
  <c r="L68" i="18"/>
  <c r="K68" i="18"/>
  <c r="J68" i="18"/>
  <c r="I68" i="18"/>
  <c r="H68" i="18"/>
  <c r="G68" i="18"/>
  <c r="F68" i="18"/>
  <c r="E68" i="18"/>
  <c r="D68" i="18"/>
  <c r="C68" i="18"/>
  <c r="Q67" i="18"/>
  <c r="P67" i="18"/>
  <c r="O67" i="18"/>
  <c r="N67" i="18"/>
  <c r="M67" i="18"/>
  <c r="L67" i="18"/>
  <c r="K67" i="18"/>
  <c r="J67" i="18"/>
  <c r="I67" i="18"/>
  <c r="H67" i="18"/>
  <c r="G67" i="18"/>
  <c r="F67" i="18"/>
  <c r="E67" i="18"/>
  <c r="D67" i="18"/>
  <c r="C67" i="18"/>
  <c r="Q66" i="18"/>
  <c r="P66" i="18"/>
  <c r="O66" i="18"/>
  <c r="N66" i="18"/>
  <c r="M66" i="18"/>
  <c r="L66" i="18"/>
  <c r="K66" i="18"/>
  <c r="J66" i="18"/>
  <c r="I66" i="18"/>
  <c r="H66" i="18"/>
  <c r="G66" i="18"/>
  <c r="F66" i="18"/>
  <c r="E66" i="18"/>
  <c r="D66" i="18"/>
  <c r="C66" i="18"/>
  <c r="Q65" i="18"/>
  <c r="P65" i="18"/>
  <c r="O65" i="18"/>
  <c r="N65" i="18"/>
  <c r="M65" i="18"/>
  <c r="L65" i="18"/>
  <c r="K65" i="18"/>
  <c r="J65" i="18"/>
  <c r="I65" i="18"/>
  <c r="H65" i="18"/>
  <c r="G65" i="18"/>
  <c r="F65" i="18"/>
  <c r="E65" i="18"/>
  <c r="D65" i="18"/>
  <c r="C65" i="18"/>
  <c r="Q64" i="18"/>
  <c r="P64" i="18"/>
  <c r="O64" i="18"/>
  <c r="N64" i="18"/>
  <c r="M64" i="18"/>
  <c r="L64" i="18"/>
  <c r="K64" i="18"/>
  <c r="J64" i="18"/>
  <c r="I64" i="18"/>
  <c r="H64" i="18"/>
  <c r="G64" i="18"/>
  <c r="F64" i="18"/>
  <c r="E64" i="18"/>
  <c r="D64" i="18"/>
  <c r="C64" i="18"/>
  <c r="Q63" i="18"/>
  <c r="P63" i="18"/>
  <c r="O63" i="18"/>
  <c r="N63" i="18"/>
  <c r="M63" i="18"/>
  <c r="L63" i="18"/>
  <c r="K63" i="18"/>
  <c r="J63" i="18"/>
  <c r="I63" i="18"/>
  <c r="H63" i="18"/>
  <c r="G63" i="18"/>
  <c r="F63" i="18"/>
  <c r="E63" i="18"/>
  <c r="D63" i="18"/>
  <c r="C63" i="18"/>
  <c r="Q62" i="18"/>
  <c r="P62" i="18"/>
  <c r="O62" i="18"/>
  <c r="N62" i="18"/>
  <c r="M62" i="18"/>
  <c r="L62" i="18"/>
  <c r="K62" i="18"/>
  <c r="J62" i="18"/>
  <c r="I62" i="18"/>
  <c r="H62" i="18"/>
  <c r="G62" i="18"/>
  <c r="F62" i="18"/>
  <c r="E62" i="18"/>
  <c r="D62" i="18"/>
  <c r="C62" i="18"/>
  <c r="Q61" i="18"/>
  <c r="P61" i="18"/>
  <c r="O61" i="18"/>
  <c r="N61" i="18"/>
  <c r="M61" i="18"/>
  <c r="L61" i="18"/>
  <c r="K61" i="18"/>
  <c r="J61" i="18"/>
  <c r="I61" i="18"/>
  <c r="H61" i="18"/>
  <c r="G61" i="18"/>
  <c r="F61" i="18"/>
  <c r="E61" i="18"/>
  <c r="D61" i="18"/>
  <c r="C61" i="18"/>
  <c r="Q60" i="18"/>
  <c r="P60" i="18"/>
  <c r="O60" i="18"/>
  <c r="N60" i="18"/>
  <c r="M60" i="18"/>
  <c r="L60" i="18"/>
  <c r="K60" i="18"/>
  <c r="J60" i="18"/>
  <c r="I60" i="18"/>
  <c r="H60" i="18"/>
  <c r="G60" i="18"/>
  <c r="F60" i="18"/>
  <c r="E60" i="18"/>
  <c r="D60" i="18"/>
  <c r="C60" i="18"/>
  <c r="Q59" i="18"/>
  <c r="P59" i="18"/>
  <c r="O59" i="18"/>
  <c r="N59" i="18"/>
  <c r="M59" i="18"/>
  <c r="L59" i="18"/>
  <c r="K59" i="18"/>
  <c r="J59" i="18"/>
  <c r="I59" i="18"/>
  <c r="H59" i="18"/>
  <c r="G59" i="18"/>
  <c r="F59" i="18"/>
  <c r="E59" i="18"/>
  <c r="D59" i="18"/>
  <c r="C59" i="18"/>
  <c r="Q58" i="18"/>
  <c r="P58" i="18"/>
  <c r="O58" i="18"/>
  <c r="N58" i="18"/>
  <c r="M58" i="18"/>
  <c r="L58" i="18"/>
  <c r="K58" i="18"/>
  <c r="J58" i="18"/>
  <c r="I58" i="18"/>
  <c r="H58" i="18"/>
  <c r="G58" i="18"/>
  <c r="F58" i="18"/>
  <c r="E58" i="18"/>
  <c r="D58" i="18"/>
  <c r="C58" i="18"/>
  <c r="Q57" i="18"/>
  <c r="P57" i="18"/>
  <c r="O57" i="18"/>
  <c r="N57" i="18"/>
  <c r="M57" i="18"/>
  <c r="L57" i="18"/>
  <c r="K57" i="18"/>
  <c r="J57" i="18"/>
  <c r="I57" i="18"/>
  <c r="H57" i="18"/>
  <c r="G57" i="18"/>
  <c r="F57" i="18"/>
  <c r="E57" i="18"/>
  <c r="D57" i="18"/>
  <c r="C57" i="18"/>
  <c r="Q56" i="18"/>
  <c r="P56" i="18"/>
  <c r="O56" i="18"/>
  <c r="N56" i="18"/>
  <c r="M56" i="18"/>
  <c r="L56" i="18"/>
  <c r="K56" i="18"/>
  <c r="J56" i="18"/>
  <c r="I56" i="18"/>
  <c r="H56" i="18"/>
  <c r="G56" i="18"/>
  <c r="F56" i="18"/>
  <c r="E56" i="18"/>
  <c r="D56" i="18"/>
  <c r="C56" i="18"/>
  <c r="Q55" i="18"/>
  <c r="P55" i="18"/>
  <c r="O55" i="18"/>
  <c r="N55" i="18"/>
  <c r="M55" i="18"/>
  <c r="L55" i="18"/>
  <c r="K55" i="18"/>
  <c r="J55" i="18"/>
  <c r="I55" i="18"/>
  <c r="H55" i="18"/>
  <c r="G55" i="18"/>
  <c r="F55" i="18"/>
  <c r="E55" i="18"/>
  <c r="D55" i="18"/>
  <c r="C55" i="18"/>
  <c r="Q54" i="18"/>
  <c r="P54" i="18"/>
  <c r="O54" i="18"/>
  <c r="N54" i="18"/>
  <c r="M54" i="18"/>
  <c r="L54" i="18"/>
  <c r="K54" i="18"/>
  <c r="J54" i="18"/>
  <c r="I54" i="18"/>
  <c r="H54" i="18"/>
  <c r="G54" i="18"/>
  <c r="F54" i="18"/>
  <c r="E54" i="18"/>
  <c r="D54" i="18"/>
  <c r="C54" i="18"/>
  <c r="Q53" i="18"/>
  <c r="P53" i="18"/>
  <c r="O53" i="18"/>
  <c r="N53" i="18"/>
  <c r="M53" i="18"/>
  <c r="L53" i="18"/>
  <c r="K53" i="18"/>
  <c r="J53" i="18"/>
  <c r="I53" i="18"/>
  <c r="H53" i="18"/>
  <c r="G53" i="18"/>
  <c r="F53" i="18"/>
  <c r="E53" i="18"/>
  <c r="D53" i="18"/>
  <c r="C53" i="18"/>
  <c r="Q52" i="18"/>
  <c r="P52" i="18"/>
  <c r="O52" i="18"/>
  <c r="N52" i="18"/>
  <c r="M52" i="18"/>
  <c r="L52" i="18"/>
  <c r="K52" i="18"/>
  <c r="J52" i="18"/>
  <c r="I52" i="18"/>
  <c r="H52" i="18"/>
  <c r="G52" i="18"/>
  <c r="F52" i="18"/>
  <c r="E52" i="18"/>
  <c r="D52" i="18"/>
  <c r="C52" i="18"/>
  <c r="Q51" i="18"/>
  <c r="P51" i="18"/>
  <c r="O51" i="18"/>
  <c r="N51" i="18"/>
  <c r="M51" i="18"/>
  <c r="L51" i="18"/>
  <c r="K51" i="18"/>
  <c r="J51" i="18"/>
  <c r="I51" i="18"/>
  <c r="H51" i="18"/>
  <c r="G51" i="18"/>
  <c r="F51" i="18"/>
  <c r="E51" i="18"/>
  <c r="D51" i="18"/>
  <c r="C51" i="18"/>
  <c r="Q50" i="18"/>
  <c r="P50" i="18"/>
  <c r="O50" i="18"/>
  <c r="N50" i="18"/>
  <c r="M50" i="18"/>
  <c r="L50" i="18"/>
  <c r="K50" i="18"/>
  <c r="J50" i="18"/>
  <c r="I50" i="18"/>
  <c r="H50" i="18"/>
  <c r="G50" i="18"/>
  <c r="F50" i="18"/>
  <c r="E50" i="18"/>
  <c r="D50" i="18"/>
  <c r="C50" i="18"/>
  <c r="Q49" i="18"/>
  <c r="P49" i="18"/>
  <c r="O49" i="18"/>
  <c r="N49" i="18"/>
  <c r="M49" i="18"/>
  <c r="L49" i="18"/>
  <c r="K49" i="18"/>
  <c r="J49" i="18"/>
  <c r="I49" i="18"/>
  <c r="H49" i="18"/>
  <c r="G49" i="18"/>
  <c r="F49" i="18"/>
  <c r="E49" i="18"/>
  <c r="D49" i="18"/>
  <c r="C49" i="18"/>
  <c r="Q48" i="18"/>
  <c r="P48" i="18"/>
  <c r="O48" i="18"/>
  <c r="N48" i="18"/>
  <c r="M48" i="18"/>
  <c r="L48" i="18"/>
  <c r="K48" i="18"/>
  <c r="J48" i="18"/>
  <c r="I48" i="18"/>
  <c r="H48" i="18"/>
  <c r="G48" i="18"/>
  <c r="F48" i="18"/>
  <c r="E48" i="18"/>
  <c r="D48" i="18"/>
  <c r="C48" i="18"/>
  <c r="Q47" i="18"/>
  <c r="P47" i="18"/>
  <c r="O47" i="18"/>
  <c r="N47" i="18"/>
  <c r="M47" i="18"/>
  <c r="L47" i="18"/>
  <c r="K47" i="18"/>
  <c r="J47" i="18"/>
  <c r="I47" i="18"/>
  <c r="H47" i="18"/>
  <c r="G47" i="18"/>
  <c r="F47" i="18"/>
  <c r="E47" i="18"/>
  <c r="D47" i="18"/>
  <c r="C47" i="18"/>
  <c r="Q46" i="18"/>
  <c r="P46" i="18"/>
  <c r="O46" i="18"/>
  <c r="N46" i="18"/>
  <c r="M46" i="18"/>
  <c r="L46" i="18"/>
  <c r="K46" i="18"/>
  <c r="J46" i="18"/>
  <c r="I46" i="18"/>
  <c r="H46" i="18"/>
  <c r="G46" i="18"/>
  <c r="F46" i="18"/>
  <c r="E46" i="18"/>
  <c r="D46" i="18"/>
  <c r="C46" i="18"/>
  <c r="Q45" i="18"/>
  <c r="P45" i="18"/>
  <c r="O45" i="18"/>
  <c r="N45" i="18"/>
  <c r="M45" i="18"/>
  <c r="L45" i="18"/>
  <c r="K45" i="18"/>
  <c r="J45" i="18"/>
  <c r="I45" i="18"/>
  <c r="H45" i="18"/>
  <c r="G45" i="18"/>
  <c r="F45" i="18"/>
  <c r="E45" i="18"/>
  <c r="D45" i="18"/>
  <c r="C45" i="18"/>
  <c r="Q44" i="18"/>
  <c r="P44" i="18"/>
  <c r="O44" i="18"/>
  <c r="N44" i="18"/>
  <c r="M44" i="18"/>
  <c r="L44" i="18"/>
  <c r="K44" i="18"/>
  <c r="J44" i="18"/>
  <c r="I44" i="18"/>
  <c r="H44" i="18"/>
  <c r="G44" i="18"/>
  <c r="F44" i="18"/>
  <c r="E44" i="18"/>
  <c r="D44" i="18"/>
  <c r="C44" i="18"/>
  <c r="Q43" i="18"/>
  <c r="P43" i="18"/>
  <c r="O43" i="18"/>
  <c r="N43" i="18"/>
  <c r="M43" i="18"/>
  <c r="L43" i="18"/>
  <c r="K43" i="18"/>
  <c r="J43" i="18"/>
  <c r="I43" i="18"/>
  <c r="H43" i="18"/>
  <c r="G43" i="18"/>
  <c r="F43" i="18"/>
  <c r="E43" i="18"/>
  <c r="D43" i="18"/>
  <c r="C43" i="18"/>
  <c r="Q42" i="18"/>
  <c r="P42" i="18"/>
  <c r="O42" i="18"/>
  <c r="N42" i="18"/>
  <c r="M42" i="18"/>
  <c r="L42" i="18"/>
  <c r="K42" i="18"/>
  <c r="J42" i="18"/>
  <c r="I42" i="18"/>
  <c r="H42" i="18"/>
  <c r="G42" i="18"/>
  <c r="F42" i="18"/>
  <c r="E42" i="18"/>
  <c r="D42" i="18"/>
  <c r="C42" i="18"/>
  <c r="Q41" i="18"/>
  <c r="P41" i="18"/>
  <c r="O41" i="18"/>
  <c r="N41" i="18"/>
  <c r="M41" i="18"/>
  <c r="L41" i="18"/>
  <c r="K41" i="18"/>
  <c r="J41" i="18"/>
  <c r="I41" i="18"/>
  <c r="H41" i="18"/>
  <c r="G41" i="18"/>
  <c r="F41" i="18"/>
  <c r="E41" i="18"/>
  <c r="D41" i="18"/>
  <c r="C41" i="18"/>
  <c r="Q40" i="18"/>
  <c r="P40" i="18"/>
  <c r="O40" i="18"/>
  <c r="N40" i="18"/>
  <c r="M40" i="18"/>
  <c r="L40" i="18"/>
  <c r="K40" i="18"/>
  <c r="J40" i="18"/>
  <c r="I40" i="18"/>
  <c r="H40" i="18"/>
  <c r="G40" i="18"/>
  <c r="F40" i="18"/>
  <c r="E40" i="18"/>
  <c r="D40" i="18"/>
  <c r="C40" i="18"/>
  <c r="Q39" i="18"/>
  <c r="P39" i="18"/>
  <c r="O39" i="18"/>
  <c r="N39" i="18"/>
  <c r="M39" i="18"/>
  <c r="L39" i="18"/>
  <c r="K39" i="18"/>
  <c r="J39" i="18"/>
  <c r="I39" i="18"/>
  <c r="H39" i="18"/>
  <c r="G39" i="18"/>
  <c r="F39" i="18"/>
  <c r="E39" i="18"/>
  <c r="D39" i="18"/>
  <c r="C39" i="18"/>
  <c r="Q38" i="18"/>
  <c r="P38" i="18"/>
  <c r="O38" i="18"/>
  <c r="N38" i="18"/>
  <c r="M38" i="18"/>
  <c r="L38" i="18"/>
  <c r="K38" i="18"/>
  <c r="J38" i="18"/>
  <c r="I38" i="18"/>
  <c r="H38" i="18"/>
  <c r="G38" i="18"/>
  <c r="F38" i="18"/>
  <c r="E38" i="18"/>
  <c r="D38" i="18"/>
  <c r="C38" i="18"/>
  <c r="Q37" i="18"/>
  <c r="P37" i="18"/>
  <c r="O37" i="18"/>
  <c r="N37" i="18"/>
  <c r="M37" i="18"/>
  <c r="L37" i="18"/>
  <c r="K37" i="18"/>
  <c r="J37" i="18"/>
  <c r="I37" i="18"/>
  <c r="H37" i="18"/>
  <c r="G37" i="18"/>
  <c r="F37" i="18"/>
  <c r="E37" i="18"/>
  <c r="D37" i="18"/>
  <c r="C37" i="18"/>
  <c r="Q36" i="18"/>
  <c r="P36" i="18"/>
  <c r="O36" i="18"/>
  <c r="N36" i="18"/>
  <c r="M36" i="18"/>
  <c r="L36" i="18"/>
  <c r="K36" i="18"/>
  <c r="J36" i="18"/>
  <c r="I36" i="18"/>
  <c r="H36" i="18"/>
  <c r="G36" i="18"/>
  <c r="F36" i="18"/>
  <c r="E36" i="18"/>
  <c r="D36" i="18"/>
  <c r="C36" i="18"/>
  <c r="Q35" i="18"/>
  <c r="P35" i="18"/>
  <c r="O35" i="18"/>
  <c r="N35" i="18"/>
  <c r="M35" i="18"/>
  <c r="L35" i="18"/>
  <c r="K35" i="18"/>
  <c r="J35" i="18"/>
  <c r="I35" i="18"/>
  <c r="H35" i="18"/>
  <c r="G35" i="18"/>
  <c r="F35" i="18"/>
  <c r="E35" i="18"/>
  <c r="D35" i="18"/>
  <c r="C35" i="18"/>
  <c r="Q34" i="18"/>
  <c r="P34" i="18"/>
  <c r="O34" i="18"/>
  <c r="N34" i="18"/>
  <c r="M34" i="18"/>
  <c r="L34" i="18"/>
  <c r="K34" i="18"/>
  <c r="J34" i="18"/>
  <c r="I34" i="18"/>
  <c r="H34" i="18"/>
  <c r="G34" i="18"/>
  <c r="F34" i="18"/>
  <c r="E34" i="18"/>
  <c r="D34" i="18"/>
  <c r="C34" i="18"/>
  <c r="Q33" i="18"/>
  <c r="P33" i="18"/>
  <c r="O33" i="18"/>
  <c r="N33" i="18"/>
  <c r="M33" i="18"/>
  <c r="L33" i="18"/>
  <c r="K33" i="18"/>
  <c r="J33" i="18"/>
  <c r="I33" i="18"/>
  <c r="H33" i="18"/>
  <c r="G33" i="18"/>
  <c r="F33" i="18"/>
  <c r="E33" i="18"/>
  <c r="D33" i="18"/>
  <c r="C33" i="18"/>
  <c r="Q32" i="18"/>
  <c r="P32" i="18"/>
  <c r="O32" i="18"/>
  <c r="N32" i="18"/>
  <c r="M32" i="18"/>
  <c r="L32" i="18"/>
  <c r="K32" i="18"/>
  <c r="J32" i="18"/>
  <c r="I32" i="18"/>
  <c r="H32" i="18"/>
  <c r="G32" i="18"/>
  <c r="F32" i="18"/>
  <c r="E32" i="18"/>
  <c r="D32" i="18"/>
  <c r="C32" i="18"/>
  <c r="Q31" i="18"/>
  <c r="P31" i="18"/>
  <c r="O31" i="18"/>
  <c r="N31" i="18"/>
  <c r="M31" i="18"/>
  <c r="L31" i="18"/>
  <c r="K31" i="18"/>
  <c r="J31" i="18"/>
  <c r="I31" i="18"/>
  <c r="H31" i="18"/>
  <c r="G31" i="18"/>
  <c r="F31" i="18"/>
  <c r="E31" i="18"/>
  <c r="D31" i="18"/>
  <c r="C31" i="18"/>
  <c r="Q30" i="18"/>
  <c r="P30" i="18"/>
  <c r="O30" i="18"/>
  <c r="N30" i="18"/>
  <c r="M30" i="18"/>
  <c r="L30" i="18"/>
  <c r="K30" i="18"/>
  <c r="J30" i="18"/>
  <c r="I30" i="18"/>
  <c r="H30" i="18"/>
  <c r="G30" i="18"/>
  <c r="F30" i="18"/>
  <c r="E30" i="18"/>
  <c r="D30" i="18"/>
  <c r="C30" i="18"/>
  <c r="Q29" i="18"/>
  <c r="P29" i="18"/>
  <c r="O29" i="18"/>
  <c r="N29" i="18"/>
  <c r="M29" i="18"/>
  <c r="L29" i="18"/>
  <c r="K29" i="18"/>
  <c r="J29" i="18"/>
  <c r="I29" i="18"/>
  <c r="H29" i="18"/>
  <c r="G29" i="18"/>
  <c r="F29" i="18"/>
  <c r="E29" i="18"/>
  <c r="D29" i="18"/>
  <c r="C29" i="18"/>
  <c r="Q28" i="18"/>
  <c r="P28" i="18"/>
  <c r="O28" i="18"/>
  <c r="N28" i="18"/>
  <c r="M28" i="18"/>
  <c r="L28" i="18"/>
  <c r="K28" i="18"/>
  <c r="J28" i="18"/>
  <c r="I28" i="18"/>
  <c r="H28" i="18"/>
  <c r="G28" i="18"/>
  <c r="F28" i="18"/>
  <c r="E28" i="18"/>
  <c r="D28" i="18"/>
  <c r="C28" i="18"/>
  <c r="Q27" i="18"/>
  <c r="P27" i="18"/>
  <c r="O27" i="18"/>
  <c r="N27" i="18"/>
  <c r="M27" i="18"/>
  <c r="L27" i="18"/>
  <c r="K27" i="18"/>
  <c r="J27" i="18"/>
  <c r="I27" i="18"/>
  <c r="H27" i="18"/>
  <c r="G27" i="18"/>
  <c r="F27" i="18"/>
  <c r="E27" i="18"/>
  <c r="D27" i="18"/>
  <c r="C27" i="18"/>
  <c r="Q26" i="18"/>
  <c r="P26" i="18"/>
  <c r="O26" i="18"/>
  <c r="N26" i="18"/>
  <c r="M26" i="18"/>
  <c r="L26" i="18"/>
  <c r="K26" i="18"/>
  <c r="J26" i="18"/>
  <c r="I26" i="18"/>
  <c r="H26" i="18"/>
  <c r="G26" i="18"/>
  <c r="F26" i="18"/>
  <c r="E26" i="18"/>
  <c r="D26" i="18"/>
  <c r="C26" i="18"/>
  <c r="Q25" i="18"/>
  <c r="P25" i="18"/>
  <c r="O25" i="18"/>
  <c r="N25" i="18"/>
  <c r="M25" i="18"/>
  <c r="L25" i="18"/>
  <c r="K25" i="18"/>
  <c r="J25" i="18"/>
  <c r="I25" i="18"/>
  <c r="H25" i="18"/>
  <c r="G25" i="18"/>
  <c r="F25" i="18"/>
  <c r="E25" i="18"/>
  <c r="D25" i="18"/>
  <c r="C25" i="18"/>
  <c r="Q24" i="18"/>
  <c r="P24" i="18"/>
  <c r="O24" i="18"/>
  <c r="N24" i="18"/>
  <c r="M24" i="18"/>
  <c r="L24" i="18"/>
  <c r="K24" i="18"/>
  <c r="J24" i="18"/>
  <c r="I24" i="18"/>
  <c r="H24" i="18"/>
  <c r="G24" i="18"/>
  <c r="F24" i="18"/>
  <c r="E24" i="18"/>
  <c r="D24" i="18"/>
  <c r="C24" i="18"/>
  <c r="Q23" i="18"/>
  <c r="P23" i="18"/>
  <c r="O23" i="18"/>
  <c r="N23" i="18"/>
  <c r="M23" i="18"/>
  <c r="L23" i="18"/>
  <c r="K23" i="18"/>
  <c r="J23" i="18"/>
  <c r="I23" i="18"/>
  <c r="H23" i="18"/>
  <c r="G23" i="18"/>
  <c r="F23" i="18"/>
  <c r="E23" i="18"/>
  <c r="D23" i="18"/>
  <c r="C23" i="18"/>
  <c r="Q22" i="18"/>
  <c r="P22" i="18"/>
  <c r="O22" i="18"/>
  <c r="N22" i="18"/>
  <c r="M22" i="18"/>
  <c r="L22" i="18"/>
  <c r="K22" i="18"/>
  <c r="J22" i="18"/>
  <c r="I22" i="18"/>
  <c r="H22" i="18"/>
  <c r="G22" i="18"/>
  <c r="F22" i="18"/>
  <c r="E22" i="18"/>
  <c r="D22" i="18"/>
  <c r="C22" i="18"/>
  <c r="Q21" i="18"/>
  <c r="P21" i="18"/>
  <c r="O21" i="18"/>
  <c r="N21" i="18"/>
  <c r="M21" i="18"/>
  <c r="L21" i="18"/>
  <c r="K21" i="18"/>
  <c r="J21" i="18"/>
  <c r="I21" i="18"/>
  <c r="H21" i="18"/>
  <c r="G21" i="18"/>
  <c r="F21" i="18"/>
  <c r="E21" i="18"/>
  <c r="D21" i="18"/>
  <c r="C21" i="18"/>
  <c r="Q20" i="18"/>
  <c r="P20" i="18"/>
  <c r="O20" i="18"/>
  <c r="N20" i="18"/>
  <c r="M20" i="18"/>
  <c r="L20" i="18"/>
  <c r="K20" i="18"/>
  <c r="J20" i="18"/>
  <c r="I20" i="18"/>
  <c r="H20" i="18"/>
  <c r="G20" i="18"/>
  <c r="F20" i="18"/>
  <c r="E20" i="18"/>
  <c r="D20" i="18"/>
  <c r="C20" i="18"/>
  <c r="Q19" i="18"/>
  <c r="P19" i="18"/>
  <c r="O19" i="18"/>
  <c r="N19" i="18"/>
  <c r="M19" i="18"/>
  <c r="L19" i="18"/>
  <c r="K19" i="18"/>
  <c r="J19" i="18"/>
  <c r="I19" i="18"/>
  <c r="H19" i="18"/>
  <c r="G19" i="18"/>
  <c r="F19" i="18"/>
  <c r="E19" i="18"/>
  <c r="D19" i="18"/>
  <c r="C19" i="18"/>
  <c r="Q18" i="18"/>
  <c r="P18" i="18"/>
  <c r="O18" i="18"/>
  <c r="N18" i="18"/>
  <c r="M18" i="18"/>
  <c r="L18" i="18"/>
  <c r="K18" i="18"/>
  <c r="J18" i="18"/>
  <c r="I18" i="18"/>
  <c r="H18" i="18"/>
  <c r="G18" i="18"/>
  <c r="F18" i="18"/>
  <c r="E18" i="18"/>
  <c r="D18" i="18"/>
  <c r="C18" i="18"/>
  <c r="Q17" i="18"/>
  <c r="P17" i="18"/>
  <c r="O17" i="18"/>
  <c r="N17" i="18"/>
  <c r="M17" i="18"/>
  <c r="L17" i="18"/>
  <c r="K17" i="18"/>
  <c r="J17" i="18"/>
  <c r="I17" i="18"/>
  <c r="H17" i="18"/>
  <c r="G17" i="18"/>
  <c r="F17" i="18"/>
  <c r="E17" i="18"/>
  <c r="D17" i="18"/>
  <c r="C17" i="18"/>
  <c r="Q16" i="18"/>
  <c r="P16" i="18"/>
  <c r="O16" i="18"/>
  <c r="N16" i="18"/>
  <c r="M16" i="18"/>
  <c r="L16" i="18"/>
  <c r="K16" i="18"/>
  <c r="J16" i="18"/>
  <c r="I16" i="18"/>
  <c r="H16" i="18"/>
  <c r="G16" i="18"/>
  <c r="F16" i="18"/>
  <c r="E16" i="18"/>
  <c r="D16" i="18"/>
  <c r="C16" i="18"/>
  <c r="Q15" i="18"/>
  <c r="P15" i="18"/>
  <c r="O15" i="18"/>
  <c r="N15" i="18"/>
  <c r="M15" i="18"/>
  <c r="L15" i="18"/>
  <c r="K15" i="18"/>
  <c r="J15" i="18"/>
  <c r="I15" i="18"/>
  <c r="H15" i="18"/>
  <c r="G15" i="18"/>
  <c r="F15" i="18"/>
  <c r="E15" i="18"/>
  <c r="D15" i="18"/>
  <c r="C15" i="18"/>
  <c r="Q14" i="18"/>
  <c r="P14" i="18"/>
  <c r="O14" i="18"/>
  <c r="N14" i="18"/>
  <c r="M14" i="18"/>
  <c r="L14" i="18"/>
  <c r="K14" i="18"/>
  <c r="J14" i="18"/>
  <c r="I14" i="18"/>
  <c r="H14" i="18"/>
  <c r="G14" i="18"/>
  <c r="F14" i="18"/>
  <c r="E14" i="18"/>
  <c r="D14" i="18"/>
  <c r="C14" i="18"/>
  <c r="Q13" i="18"/>
  <c r="P13" i="18"/>
  <c r="O13" i="18"/>
  <c r="N13" i="18"/>
  <c r="M13" i="18"/>
  <c r="L13" i="18"/>
  <c r="K13" i="18"/>
  <c r="J13" i="18"/>
  <c r="I13" i="18"/>
  <c r="H13" i="18"/>
  <c r="G13" i="18"/>
  <c r="F13" i="18"/>
  <c r="E13" i="18"/>
  <c r="D13" i="18"/>
  <c r="C13" i="18"/>
  <c r="Q12" i="18"/>
  <c r="P12" i="18"/>
  <c r="O12" i="18"/>
  <c r="N12" i="18"/>
  <c r="M12" i="18"/>
  <c r="L12" i="18"/>
  <c r="K12" i="18"/>
  <c r="J12" i="18"/>
  <c r="I12" i="18"/>
  <c r="H12" i="18"/>
  <c r="G12" i="18"/>
  <c r="F12" i="18"/>
  <c r="E12" i="18"/>
  <c r="D12" i="18"/>
  <c r="C12" i="18"/>
  <c r="Q11" i="18"/>
  <c r="P11" i="18"/>
  <c r="O11" i="18"/>
  <c r="N11" i="18"/>
  <c r="M11" i="18"/>
  <c r="L11" i="18"/>
  <c r="K11" i="18"/>
  <c r="J11" i="18"/>
  <c r="I11" i="18"/>
  <c r="H11" i="18"/>
  <c r="G11" i="18"/>
  <c r="F11" i="18"/>
  <c r="E11" i="18"/>
  <c r="D11" i="18"/>
  <c r="C11" i="18"/>
  <c r="Q10" i="18"/>
  <c r="P10" i="18"/>
  <c r="O10" i="18"/>
  <c r="N10" i="18"/>
  <c r="M10" i="18"/>
  <c r="L10" i="18"/>
  <c r="K10" i="18"/>
  <c r="J10" i="18"/>
  <c r="I10" i="18"/>
  <c r="H10" i="18"/>
  <c r="G10" i="18"/>
  <c r="F10" i="18"/>
  <c r="E10" i="18"/>
  <c r="D10" i="18"/>
  <c r="C10" i="18"/>
  <c r="Q9" i="18"/>
  <c r="P9" i="18"/>
  <c r="O9" i="18"/>
  <c r="N9" i="18"/>
  <c r="M9" i="18"/>
  <c r="L9" i="18"/>
  <c r="K9" i="18"/>
  <c r="J9" i="18"/>
  <c r="I9" i="18"/>
  <c r="H9" i="18"/>
  <c r="G9" i="18"/>
  <c r="F9" i="18"/>
  <c r="E9" i="18"/>
  <c r="D9" i="18"/>
  <c r="C9" i="18"/>
  <c r="Q8" i="18"/>
  <c r="P8" i="18"/>
  <c r="O8" i="18"/>
  <c r="N8" i="18"/>
  <c r="M8" i="18"/>
  <c r="L8" i="18"/>
  <c r="K8" i="18"/>
  <c r="J8" i="18"/>
  <c r="I8" i="18"/>
  <c r="H8" i="18"/>
  <c r="G8" i="18"/>
  <c r="F8" i="18"/>
  <c r="E8" i="18"/>
  <c r="D8" i="18"/>
  <c r="C8" i="18"/>
  <c r="Q7" i="18"/>
  <c r="P7" i="18"/>
  <c r="O7" i="18"/>
  <c r="N7" i="18"/>
  <c r="M7" i="18"/>
  <c r="L7" i="18"/>
  <c r="K7" i="18"/>
  <c r="J7" i="18"/>
  <c r="I7" i="18"/>
  <c r="H7" i="18"/>
  <c r="G7" i="18"/>
  <c r="F7" i="18"/>
  <c r="E7" i="18"/>
  <c r="D7" i="18"/>
  <c r="C7" i="18"/>
  <c r="Q6" i="18"/>
  <c r="P6" i="18"/>
  <c r="O6" i="18"/>
  <c r="N6" i="18"/>
  <c r="M6" i="18"/>
  <c r="L6" i="18"/>
  <c r="K6" i="18"/>
  <c r="J6" i="18"/>
  <c r="I6" i="18"/>
  <c r="H6" i="18"/>
  <c r="G6" i="18"/>
  <c r="F6" i="18"/>
  <c r="E6" i="18"/>
  <c r="D6" i="18"/>
  <c r="C6" i="18"/>
  <c r="Q5" i="18"/>
  <c r="P5" i="18"/>
  <c r="O5" i="18"/>
  <c r="N5" i="18"/>
  <c r="M5" i="18"/>
  <c r="L5" i="18"/>
  <c r="K5" i="18"/>
  <c r="J5" i="18"/>
  <c r="I5" i="18"/>
  <c r="H5" i="18"/>
  <c r="G5" i="18"/>
  <c r="F5" i="18"/>
  <c r="E5" i="18"/>
  <c r="D5" i="18"/>
  <c r="C5" i="18"/>
  <c r="Q4" i="18"/>
  <c r="P4" i="18"/>
  <c r="O4" i="18"/>
  <c r="N4" i="18"/>
  <c r="M4" i="18"/>
  <c r="L4" i="18"/>
  <c r="K4" i="18"/>
  <c r="J4" i="18"/>
  <c r="I4" i="18"/>
  <c r="H4" i="18"/>
  <c r="G4" i="18"/>
  <c r="F4" i="18"/>
  <c r="E4" i="18"/>
  <c r="D4" i="18"/>
  <c r="C4" i="18"/>
  <c r="J1000" i="16"/>
  <c r="I1000" i="16"/>
  <c r="H1000" i="16"/>
  <c r="G1000" i="16"/>
  <c r="J999" i="16"/>
  <c r="I999" i="16"/>
  <c r="H999" i="16"/>
  <c r="G999" i="16"/>
  <c r="J998" i="16"/>
  <c r="I998" i="16"/>
  <c r="H998" i="16"/>
  <c r="G998" i="16"/>
  <c r="J997" i="16"/>
  <c r="I997" i="16"/>
  <c r="H997" i="16"/>
  <c r="G997" i="16"/>
  <c r="J996" i="16"/>
  <c r="I996" i="16"/>
  <c r="H996" i="16"/>
  <c r="G996" i="16"/>
  <c r="J995" i="16"/>
  <c r="I995" i="16"/>
  <c r="H995" i="16"/>
  <c r="G995" i="16"/>
  <c r="J994" i="16"/>
  <c r="I994" i="16"/>
  <c r="H994" i="16"/>
  <c r="G994" i="16"/>
  <c r="J993" i="16"/>
  <c r="I993" i="16"/>
  <c r="H993" i="16"/>
  <c r="G993" i="16"/>
  <c r="J992" i="16"/>
  <c r="I992" i="16"/>
  <c r="H992" i="16"/>
  <c r="G992" i="16"/>
  <c r="J991" i="16"/>
  <c r="I991" i="16"/>
  <c r="H991" i="16"/>
  <c r="G991" i="16"/>
  <c r="J990" i="16"/>
  <c r="I990" i="16"/>
  <c r="H990" i="16"/>
  <c r="G990" i="16"/>
  <c r="J989" i="16"/>
  <c r="I989" i="16"/>
  <c r="H989" i="16"/>
  <c r="G989" i="16"/>
  <c r="J988" i="16"/>
  <c r="I988" i="16"/>
  <c r="H988" i="16"/>
  <c r="G988" i="16"/>
  <c r="J987" i="16"/>
  <c r="I987" i="16"/>
  <c r="H987" i="16"/>
  <c r="G987" i="16"/>
  <c r="J986" i="16"/>
  <c r="I986" i="16"/>
  <c r="H986" i="16"/>
  <c r="G986" i="16"/>
  <c r="J985" i="16"/>
  <c r="I985" i="16"/>
  <c r="H985" i="16"/>
  <c r="G985" i="16"/>
  <c r="J984" i="16"/>
  <c r="I984" i="16"/>
  <c r="H984" i="16"/>
  <c r="G984" i="16"/>
  <c r="J983" i="16"/>
  <c r="I983" i="16"/>
  <c r="H983" i="16"/>
  <c r="G983" i="16"/>
  <c r="J982" i="16"/>
  <c r="I982" i="16"/>
  <c r="H982" i="16"/>
  <c r="G982" i="16"/>
  <c r="J981" i="16"/>
  <c r="I981" i="16"/>
  <c r="H981" i="16"/>
  <c r="G981" i="16"/>
  <c r="J980" i="16"/>
  <c r="I980" i="16"/>
  <c r="H980" i="16"/>
  <c r="G980" i="16"/>
  <c r="J979" i="16"/>
  <c r="I979" i="16"/>
  <c r="H979" i="16"/>
  <c r="G979" i="16"/>
  <c r="J978" i="16"/>
  <c r="I978" i="16"/>
  <c r="H978" i="16"/>
  <c r="G978" i="16"/>
  <c r="J977" i="16"/>
  <c r="I977" i="16"/>
  <c r="H977" i="16"/>
  <c r="G977" i="16"/>
  <c r="J976" i="16"/>
  <c r="I976" i="16"/>
  <c r="H976" i="16"/>
  <c r="G976" i="16"/>
  <c r="J975" i="16"/>
  <c r="I975" i="16"/>
  <c r="H975" i="16"/>
  <c r="G975" i="16"/>
  <c r="J974" i="16"/>
  <c r="I974" i="16"/>
  <c r="H974" i="16"/>
  <c r="G974" i="16"/>
  <c r="J973" i="16"/>
  <c r="I973" i="16"/>
  <c r="H973" i="16"/>
  <c r="G973" i="16"/>
  <c r="J972" i="16"/>
  <c r="I972" i="16"/>
  <c r="H972" i="16"/>
  <c r="G972" i="16"/>
  <c r="J971" i="16"/>
  <c r="I971" i="16"/>
  <c r="H971" i="16"/>
  <c r="G971" i="16"/>
  <c r="J970" i="16"/>
  <c r="I970" i="16"/>
  <c r="H970" i="16"/>
  <c r="G970" i="16"/>
  <c r="J969" i="16"/>
  <c r="I969" i="16"/>
  <c r="H969" i="16"/>
  <c r="G969" i="16"/>
  <c r="J968" i="16"/>
  <c r="I968" i="16"/>
  <c r="H968" i="16"/>
  <c r="G968" i="16"/>
  <c r="J967" i="16"/>
  <c r="I967" i="16"/>
  <c r="H967" i="16"/>
  <c r="G967" i="16"/>
  <c r="J966" i="16"/>
  <c r="I966" i="16"/>
  <c r="H966" i="16"/>
  <c r="G966" i="16"/>
  <c r="J965" i="16"/>
  <c r="I965" i="16"/>
  <c r="H965" i="16"/>
  <c r="G965" i="16"/>
  <c r="J964" i="16"/>
  <c r="I964" i="16"/>
  <c r="H964" i="16"/>
  <c r="G964" i="16"/>
  <c r="J963" i="16"/>
  <c r="I963" i="16"/>
  <c r="H963" i="16"/>
  <c r="G963" i="16"/>
  <c r="J962" i="16"/>
  <c r="I962" i="16"/>
  <c r="H962" i="16"/>
  <c r="G962" i="16"/>
  <c r="J961" i="16"/>
  <c r="I961" i="16"/>
  <c r="H961" i="16"/>
  <c r="G961" i="16"/>
  <c r="J960" i="16"/>
  <c r="I960" i="16"/>
  <c r="H960" i="16"/>
  <c r="G960" i="16"/>
  <c r="J959" i="16"/>
  <c r="I959" i="16"/>
  <c r="H959" i="16"/>
  <c r="G959" i="16"/>
  <c r="J958" i="16"/>
  <c r="I958" i="16"/>
  <c r="H958" i="16"/>
  <c r="G958" i="16"/>
  <c r="J957" i="16"/>
  <c r="I957" i="16"/>
  <c r="H957" i="16"/>
  <c r="G957" i="16"/>
  <c r="J956" i="16"/>
  <c r="I956" i="16"/>
  <c r="H956" i="16"/>
  <c r="G956" i="16"/>
  <c r="J955" i="16"/>
  <c r="I955" i="16"/>
  <c r="H955" i="16"/>
  <c r="G955" i="16"/>
  <c r="J954" i="16"/>
  <c r="I954" i="16"/>
  <c r="H954" i="16"/>
  <c r="G954" i="16"/>
  <c r="J953" i="16"/>
  <c r="I953" i="16"/>
  <c r="H953" i="16"/>
  <c r="G953" i="16"/>
  <c r="J952" i="16"/>
  <c r="I952" i="16"/>
  <c r="H952" i="16"/>
  <c r="G952" i="16"/>
  <c r="J951" i="16"/>
  <c r="I951" i="16"/>
  <c r="H951" i="16"/>
  <c r="G951" i="16"/>
  <c r="J950" i="16"/>
  <c r="I950" i="16"/>
  <c r="H950" i="16"/>
  <c r="G950" i="16"/>
  <c r="J949" i="16"/>
  <c r="I949" i="16"/>
  <c r="H949" i="16"/>
  <c r="G949" i="16"/>
  <c r="J948" i="16"/>
  <c r="I948" i="16"/>
  <c r="H948" i="16"/>
  <c r="G948" i="16"/>
  <c r="J947" i="16"/>
  <c r="I947" i="16"/>
  <c r="H947" i="16"/>
  <c r="G947" i="16"/>
  <c r="J946" i="16"/>
  <c r="I946" i="16"/>
  <c r="H946" i="16"/>
  <c r="G946" i="16"/>
  <c r="J945" i="16"/>
  <c r="I945" i="16"/>
  <c r="H945" i="16"/>
  <c r="G945" i="16"/>
  <c r="J944" i="16"/>
  <c r="I944" i="16"/>
  <c r="H944" i="16"/>
  <c r="G944" i="16"/>
  <c r="J943" i="16"/>
  <c r="I943" i="16"/>
  <c r="H943" i="16"/>
  <c r="G943" i="16"/>
  <c r="J942" i="16"/>
  <c r="I942" i="16"/>
  <c r="H942" i="16"/>
  <c r="G942" i="16"/>
  <c r="J941" i="16"/>
  <c r="I941" i="16"/>
  <c r="H941" i="16"/>
  <c r="G941" i="16"/>
  <c r="J940" i="16"/>
  <c r="I940" i="16"/>
  <c r="H940" i="16"/>
  <c r="G940" i="16"/>
  <c r="J939" i="16"/>
  <c r="I939" i="16"/>
  <c r="H939" i="16"/>
  <c r="G939" i="16"/>
  <c r="J938" i="16"/>
  <c r="I938" i="16"/>
  <c r="H938" i="16"/>
  <c r="G938" i="16"/>
  <c r="J937" i="16"/>
  <c r="I937" i="16"/>
  <c r="H937" i="16"/>
  <c r="G937" i="16"/>
  <c r="J936" i="16"/>
  <c r="I936" i="16"/>
  <c r="H936" i="16"/>
  <c r="G936" i="16"/>
  <c r="J935" i="16"/>
  <c r="I935" i="16"/>
  <c r="H935" i="16"/>
  <c r="G935" i="16"/>
  <c r="J934" i="16"/>
  <c r="I934" i="16"/>
  <c r="H934" i="16"/>
  <c r="G934" i="16"/>
  <c r="J933" i="16"/>
  <c r="I933" i="16"/>
  <c r="H933" i="16"/>
  <c r="G933" i="16"/>
  <c r="J932" i="16"/>
  <c r="I932" i="16"/>
  <c r="H932" i="16"/>
  <c r="G932" i="16"/>
  <c r="J931" i="16"/>
  <c r="I931" i="16"/>
  <c r="H931" i="16"/>
  <c r="G931" i="16"/>
  <c r="J930" i="16"/>
  <c r="I930" i="16"/>
  <c r="H930" i="16"/>
  <c r="G930" i="16"/>
  <c r="J929" i="16"/>
  <c r="I929" i="16"/>
  <c r="H929" i="16"/>
  <c r="G929" i="16"/>
  <c r="J928" i="16"/>
  <c r="I928" i="16"/>
  <c r="H928" i="16"/>
  <c r="G928" i="16"/>
  <c r="J927" i="16"/>
  <c r="I927" i="16"/>
  <c r="H927" i="16"/>
  <c r="G927" i="16"/>
  <c r="J926" i="16"/>
  <c r="I926" i="16"/>
  <c r="H926" i="16"/>
  <c r="G926" i="16"/>
  <c r="J925" i="16"/>
  <c r="I925" i="16"/>
  <c r="H925" i="16"/>
  <c r="G925" i="16"/>
  <c r="J924" i="16"/>
  <c r="I924" i="16"/>
  <c r="H924" i="16"/>
  <c r="G924" i="16"/>
  <c r="J923" i="16"/>
  <c r="I923" i="16"/>
  <c r="H923" i="16"/>
  <c r="G923" i="16"/>
  <c r="J922" i="16"/>
  <c r="I922" i="16"/>
  <c r="H922" i="16"/>
  <c r="G922" i="16"/>
  <c r="J921" i="16"/>
  <c r="I921" i="16"/>
  <c r="H921" i="16"/>
  <c r="G921" i="16"/>
  <c r="J920" i="16"/>
  <c r="I920" i="16"/>
  <c r="H920" i="16"/>
  <c r="G920" i="16"/>
  <c r="J919" i="16"/>
  <c r="I919" i="16"/>
  <c r="H919" i="16"/>
  <c r="G919" i="16"/>
  <c r="J918" i="16"/>
  <c r="I918" i="16"/>
  <c r="H918" i="16"/>
  <c r="G918" i="16"/>
  <c r="J917" i="16"/>
  <c r="I917" i="16"/>
  <c r="H917" i="16"/>
  <c r="G917" i="16"/>
  <c r="J916" i="16"/>
  <c r="I916" i="16"/>
  <c r="H916" i="16"/>
  <c r="G916" i="16"/>
  <c r="J915" i="16"/>
  <c r="I915" i="16"/>
  <c r="H915" i="16"/>
  <c r="G915" i="16"/>
  <c r="J914" i="16"/>
  <c r="I914" i="16"/>
  <c r="H914" i="16"/>
  <c r="G914" i="16"/>
  <c r="J913" i="16"/>
  <c r="I913" i="16"/>
  <c r="H913" i="16"/>
  <c r="G913" i="16"/>
  <c r="J912" i="16"/>
  <c r="I912" i="16"/>
  <c r="H912" i="16"/>
  <c r="G912" i="16"/>
  <c r="J911" i="16"/>
  <c r="I911" i="16"/>
  <c r="H911" i="16"/>
  <c r="G911" i="16"/>
  <c r="J910" i="16"/>
  <c r="I910" i="16"/>
  <c r="H910" i="16"/>
  <c r="G910" i="16"/>
  <c r="J909" i="16"/>
  <c r="I909" i="16"/>
  <c r="H909" i="16"/>
  <c r="G909" i="16"/>
  <c r="J908" i="16"/>
  <c r="I908" i="16"/>
  <c r="H908" i="16"/>
  <c r="G908" i="16"/>
  <c r="J907" i="16"/>
  <c r="I907" i="16"/>
  <c r="H907" i="16"/>
  <c r="G907" i="16"/>
  <c r="J906" i="16"/>
  <c r="I906" i="16"/>
  <c r="H906" i="16"/>
  <c r="G906" i="16"/>
  <c r="J905" i="16"/>
  <c r="I905" i="16"/>
  <c r="H905" i="16"/>
  <c r="G905" i="16"/>
  <c r="J904" i="16"/>
  <c r="I904" i="16"/>
  <c r="H904" i="16"/>
  <c r="G904" i="16"/>
  <c r="J903" i="16"/>
  <c r="I903" i="16"/>
  <c r="H903" i="16"/>
  <c r="G903" i="16"/>
  <c r="J902" i="16"/>
  <c r="I902" i="16"/>
  <c r="H902" i="16"/>
  <c r="G902" i="16"/>
  <c r="J901" i="16"/>
  <c r="I901" i="16"/>
  <c r="H901" i="16"/>
  <c r="G901" i="16"/>
  <c r="J900" i="16"/>
  <c r="I900" i="16"/>
  <c r="H900" i="16"/>
  <c r="G900" i="16"/>
  <c r="J899" i="16"/>
  <c r="I899" i="16"/>
  <c r="H899" i="16"/>
  <c r="G899" i="16"/>
  <c r="J898" i="16"/>
  <c r="I898" i="16"/>
  <c r="H898" i="16"/>
  <c r="G898" i="16"/>
  <c r="J897" i="16"/>
  <c r="I897" i="16"/>
  <c r="H897" i="16"/>
  <c r="G897" i="16"/>
  <c r="J896" i="16"/>
  <c r="I896" i="16"/>
  <c r="H896" i="16"/>
  <c r="G896" i="16"/>
  <c r="J895" i="16"/>
  <c r="I895" i="16"/>
  <c r="H895" i="16"/>
  <c r="G895" i="16"/>
  <c r="J894" i="16"/>
  <c r="I894" i="16"/>
  <c r="H894" i="16"/>
  <c r="G894" i="16"/>
  <c r="J893" i="16"/>
  <c r="I893" i="16"/>
  <c r="H893" i="16"/>
  <c r="G893" i="16"/>
  <c r="J892" i="16"/>
  <c r="I892" i="16"/>
  <c r="H892" i="16"/>
  <c r="G892" i="16"/>
  <c r="J891" i="16"/>
  <c r="I891" i="16"/>
  <c r="H891" i="16"/>
  <c r="G891" i="16"/>
  <c r="J890" i="16"/>
  <c r="I890" i="16"/>
  <c r="H890" i="16"/>
  <c r="G890" i="16"/>
  <c r="J889" i="16"/>
  <c r="I889" i="16"/>
  <c r="H889" i="16"/>
  <c r="G889" i="16"/>
  <c r="J888" i="16"/>
  <c r="I888" i="16"/>
  <c r="H888" i="16"/>
  <c r="G888" i="16"/>
  <c r="J887" i="16"/>
  <c r="I887" i="16"/>
  <c r="H887" i="16"/>
  <c r="G887" i="16"/>
  <c r="J886" i="16"/>
  <c r="I886" i="16"/>
  <c r="H886" i="16"/>
  <c r="G886" i="16"/>
  <c r="J885" i="16"/>
  <c r="I885" i="16"/>
  <c r="H885" i="16"/>
  <c r="G885" i="16"/>
  <c r="J884" i="16"/>
  <c r="I884" i="16"/>
  <c r="H884" i="16"/>
  <c r="G884" i="16"/>
  <c r="J883" i="16"/>
  <c r="I883" i="16"/>
  <c r="H883" i="16"/>
  <c r="G883" i="16"/>
  <c r="J882" i="16"/>
  <c r="I882" i="16"/>
  <c r="H882" i="16"/>
  <c r="G882" i="16"/>
  <c r="J881" i="16"/>
  <c r="I881" i="16"/>
  <c r="H881" i="16"/>
  <c r="G881" i="16"/>
  <c r="J880" i="16"/>
  <c r="I880" i="16"/>
  <c r="H880" i="16"/>
  <c r="G880" i="16"/>
  <c r="J879" i="16"/>
  <c r="I879" i="16"/>
  <c r="H879" i="16"/>
  <c r="G879" i="16"/>
  <c r="J878" i="16"/>
  <c r="I878" i="16"/>
  <c r="H878" i="16"/>
  <c r="G878" i="16"/>
  <c r="J877" i="16"/>
  <c r="I877" i="16"/>
  <c r="H877" i="16"/>
  <c r="G877" i="16"/>
  <c r="J876" i="16"/>
  <c r="I876" i="16"/>
  <c r="H876" i="16"/>
  <c r="G876" i="16"/>
  <c r="J875" i="16"/>
  <c r="I875" i="16"/>
  <c r="H875" i="16"/>
  <c r="G875" i="16"/>
  <c r="J874" i="16"/>
  <c r="I874" i="16"/>
  <c r="H874" i="16"/>
  <c r="G874" i="16"/>
  <c r="J873" i="16"/>
  <c r="I873" i="16"/>
  <c r="H873" i="16"/>
  <c r="G873" i="16"/>
  <c r="J872" i="16"/>
  <c r="I872" i="16"/>
  <c r="H872" i="16"/>
  <c r="G872" i="16"/>
  <c r="J871" i="16"/>
  <c r="I871" i="16"/>
  <c r="H871" i="16"/>
  <c r="G871" i="16"/>
  <c r="J870" i="16"/>
  <c r="I870" i="16"/>
  <c r="H870" i="16"/>
  <c r="G870" i="16"/>
  <c r="J869" i="16"/>
  <c r="I869" i="16"/>
  <c r="H869" i="16"/>
  <c r="G869" i="16"/>
  <c r="J868" i="16"/>
  <c r="I868" i="16"/>
  <c r="H868" i="16"/>
  <c r="G868" i="16"/>
  <c r="J867" i="16"/>
  <c r="I867" i="16"/>
  <c r="H867" i="16"/>
  <c r="G867" i="16"/>
  <c r="J866" i="16"/>
  <c r="I866" i="16"/>
  <c r="H866" i="16"/>
  <c r="G866" i="16"/>
  <c r="J865" i="16"/>
  <c r="I865" i="16"/>
  <c r="H865" i="16"/>
  <c r="G865" i="16"/>
  <c r="J864" i="16"/>
  <c r="I864" i="16"/>
  <c r="H864" i="16"/>
  <c r="G864" i="16"/>
  <c r="J863" i="16"/>
  <c r="I863" i="16"/>
  <c r="H863" i="16"/>
  <c r="G863" i="16"/>
  <c r="J862" i="16"/>
  <c r="I862" i="16"/>
  <c r="H862" i="16"/>
  <c r="G862" i="16"/>
  <c r="J861" i="16"/>
  <c r="I861" i="16"/>
  <c r="H861" i="16"/>
  <c r="G861" i="16"/>
  <c r="J860" i="16"/>
  <c r="I860" i="16"/>
  <c r="H860" i="16"/>
  <c r="G860" i="16"/>
  <c r="J859" i="16"/>
  <c r="I859" i="16"/>
  <c r="H859" i="16"/>
  <c r="G859" i="16"/>
  <c r="J858" i="16"/>
  <c r="I858" i="16"/>
  <c r="H858" i="16"/>
  <c r="G858" i="16"/>
  <c r="J857" i="16"/>
  <c r="I857" i="16"/>
  <c r="H857" i="16"/>
  <c r="G857" i="16"/>
  <c r="J856" i="16"/>
  <c r="I856" i="16"/>
  <c r="H856" i="16"/>
  <c r="G856" i="16"/>
  <c r="J855" i="16"/>
  <c r="I855" i="16"/>
  <c r="H855" i="16"/>
  <c r="G855" i="16"/>
  <c r="J854" i="16"/>
  <c r="I854" i="16"/>
  <c r="H854" i="16"/>
  <c r="G854" i="16"/>
  <c r="J853" i="16"/>
  <c r="I853" i="16"/>
  <c r="H853" i="16"/>
  <c r="G853" i="16"/>
  <c r="J852" i="16"/>
  <c r="I852" i="16"/>
  <c r="H852" i="16"/>
  <c r="G852" i="16"/>
  <c r="J851" i="16"/>
  <c r="I851" i="16"/>
  <c r="H851" i="16"/>
  <c r="G851" i="16"/>
  <c r="J850" i="16"/>
  <c r="I850" i="16"/>
  <c r="H850" i="16"/>
  <c r="G850" i="16"/>
  <c r="J849" i="16"/>
  <c r="I849" i="16"/>
  <c r="H849" i="16"/>
  <c r="G849" i="16"/>
  <c r="J848" i="16"/>
  <c r="I848" i="16"/>
  <c r="H848" i="16"/>
  <c r="G848" i="16"/>
  <c r="J847" i="16"/>
  <c r="I847" i="16"/>
  <c r="H847" i="16"/>
  <c r="G847" i="16"/>
  <c r="J846" i="16"/>
  <c r="I846" i="16"/>
  <c r="H846" i="16"/>
  <c r="G846" i="16"/>
  <c r="J845" i="16"/>
  <c r="I845" i="16"/>
  <c r="H845" i="16"/>
  <c r="G845" i="16"/>
  <c r="J844" i="16"/>
  <c r="I844" i="16"/>
  <c r="H844" i="16"/>
  <c r="G844" i="16"/>
  <c r="J843" i="16"/>
  <c r="I843" i="16"/>
  <c r="H843" i="16"/>
  <c r="G843" i="16"/>
  <c r="J842" i="16"/>
  <c r="I842" i="16"/>
  <c r="H842" i="16"/>
  <c r="G842" i="16"/>
  <c r="J841" i="16"/>
  <c r="I841" i="16"/>
  <c r="H841" i="16"/>
  <c r="G841" i="16"/>
  <c r="J840" i="16"/>
  <c r="I840" i="16"/>
  <c r="H840" i="16"/>
  <c r="G840" i="16"/>
  <c r="J839" i="16"/>
  <c r="I839" i="16"/>
  <c r="H839" i="16"/>
  <c r="G839" i="16"/>
  <c r="J838" i="16"/>
  <c r="I838" i="16"/>
  <c r="H838" i="16"/>
  <c r="G838" i="16"/>
  <c r="J837" i="16"/>
  <c r="I837" i="16"/>
  <c r="H837" i="16"/>
  <c r="G837" i="16"/>
  <c r="J836" i="16"/>
  <c r="I836" i="16"/>
  <c r="H836" i="16"/>
  <c r="G836" i="16"/>
  <c r="J835" i="16"/>
  <c r="I835" i="16"/>
  <c r="H835" i="16"/>
  <c r="G835" i="16"/>
  <c r="J834" i="16"/>
  <c r="I834" i="16"/>
  <c r="H834" i="16"/>
  <c r="G834" i="16"/>
  <c r="J833" i="16"/>
  <c r="I833" i="16"/>
  <c r="H833" i="16"/>
  <c r="G833" i="16"/>
  <c r="J832" i="16"/>
  <c r="I832" i="16"/>
  <c r="H832" i="16"/>
  <c r="G832" i="16"/>
  <c r="J831" i="16"/>
  <c r="I831" i="16"/>
  <c r="H831" i="16"/>
  <c r="G831" i="16"/>
  <c r="J830" i="16"/>
  <c r="I830" i="16"/>
  <c r="H830" i="16"/>
  <c r="G830" i="16"/>
  <c r="J829" i="16"/>
  <c r="I829" i="16"/>
  <c r="H829" i="16"/>
  <c r="G829" i="16"/>
  <c r="J828" i="16"/>
  <c r="I828" i="16"/>
  <c r="H828" i="16"/>
  <c r="G828" i="16"/>
  <c r="J827" i="16"/>
  <c r="I827" i="16"/>
  <c r="H827" i="16"/>
  <c r="G827" i="16"/>
  <c r="J826" i="16"/>
  <c r="I826" i="16"/>
  <c r="H826" i="16"/>
  <c r="G826" i="16"/>
  <c r="J825" i="16"/>
  <c r="I825" i="16"/>
  <c r="H825" i="16"/>
  <c r="G825" i="16"/>
  <c r="J824" i="16"/>
  <c r="I824" i="16"/>
  <c r="H824" i="16"/>
  <c r="G824" i="16"/>
  <c r="J823" i="16"/>
  <c r="I823" i="16"/>
  <c r="H823" i="16"/>
  <c r="G823" i="16"/>
  <c r="J822" i="16"/>
  <c r="I822" i="16"/>
  <c r="H822" i="16"/>
  <c r="G822" i="16"/>
  <c r="J821" i="16"/>
  <c r="I821" i="16"/>
  <c r="H821" i="16"/>
  <c r="G821" i="16"/>
  <c r="J820" i="16"/>
  <c r="I820" i="16"/>
  <c r="H820" i="16"/>
  <c r="G820" i="16"/>
  <c r="J819" i="16"/>
  <c r="I819" i="16"/>
  <c r="H819" i="16"/>
  <c r="G819" i="16"/>
  <c r="J818" i="16"/>
  <c r="I818" i="16"/>
  <c r="H818" i="16"/>
  <c r="G818" i="16"/>
  <c r="J817" i="16"/>
  <c r="I817" i="16"/>
  <c r="H817" i="16"/>
  <c r="G817" i="16"/>
  <c r="J816" i="16"/>
  <c r="I816" i="16"/>
  <c r="H816" i="16"/>
  <c r="G816" i="16"/>
  <c r="J815" i="16"/>
  <c r="I815" i="16"/>
  <c r="H815" i="16"/>
  <c r="G815" i="16"/>
  <c r="J814" i="16"/>
  <c r="I814" i="16"/>
  <c r="H814" i="16"/>
  <c r="G814" i="16"/>
  <c r="J813" i="16"/>
  <c r="I813" i="16"/>
  <c r="H813" i="16"/>
  <c r="G813" i="16"/>
  <c r="J812" i="16"/>
  <c r="I812" i="16"/>
  <c r="H812" i="16"/>
  <c r="G812" i="16"/>
  <c r="J811" i="16"/>
  <c r="I811" i="16"/>
  <c r="H811" i="16"/>
  <c r="G811" i="16"/>
  <c r="J810" i="16"/>
  <c r="I810" i="16"/>
  <c r="H810" i="16"/>
  <c r="G810" i="16"/>
  <c r="J809" i="16"/>
  <c r="I809" i="16"/>
  <c r="H809" i="16"/>
  <c r="G809" i="16"/>
  <c r="J808" i="16"/>
  <c r="I808" i="16"/>
  <c r="H808" i="16"/>
  <c r="G808" i="16"/>
  <c r="J807" i="16"/>
  <c r="I807" i="16"/>
  <c r="H807" i="16"/>
  <c r="G807" i="16"/>
  <c r="J806" i="16"/>
  <c r="I806" i="16"/>
  <c r="H806" i="16"/>
  <c r="G806" i="16"/>
  <c r="J805" i="16"/>
  <c r="I805" i="16"/>
  <c r="H805" i="16"/>
  <c r="G805" i="16"/>
  <c r="J804" i="16"/>
  <c r="I804" i="16"/>
  <c r="H804" i="16"/>
  <c r="G804" i="16"/>
  <c r="J803" i="16"/>
  <c r="I803" i="16"/>
  <c r="H803" i="16"/>
  <c r="G803" i="16"/>
  <c r="J802" i="16"/>
  <c r="I802" i="16"/>
  <c r="H802" i="16"/>
  <c r="G802" i="16"/>
  <c r="J801" i="16"/>
  <c r="I801" i="16"/>
  <c r="H801" i="16"/>
  <c r="G801" i="16"/>
  <c r="J800" i="16"/>
  <c r="I800" i="16"/>
  <c r="H800" i="16"/>
  <c r="G800" i="16"/>
  <c r="J799" i="16"/>
  <c r="I799" i="16"/>
  <c r="H799" i="16"/>
  <c r="G799" i="16"/>
  <c r="J798" i="16"/>
  <c r="I798" i="16"/>
  <c r="H798" i="16"/>
  <c r="G798" i="16"/>
  <c r="J797" i="16"/>
  <c r="I797" i="16"/>
  <c r="H797" i="16"/>
  <c r="G797" i="16"/>
  <c r="J796" i="16"/>
  <c r="I796" i="16"/>
  <c r="H796" i="16"/>
  <c r="G796" i="16"/>
  <c r="J795" i="16"/>
  <c r="I795" i="16"/>
  <c r="H795" i="16"/>
  <c r="G795" i="16"/>
  <c r="J794" i="16"/>
  <c r="I794" i="16"/>
  <c r="H794" i="16"/>
  <c r="G794" i="16"/>
  <c r="J793" i="16"/>
  <c r="I793" i="16"/>
  <c r="H793" i="16"/>
  <c r="G793" i="16"/>
  <c r="J792" i="16"/>
  <c r="I792" i="16"/>
  <c r="H792" i="16"/>
  <c r="G792" i="16"/>
  <c r="J791" i="16"/>
  <c r="I791" i="16"/>
  <c r="H791" i="16"/>
  <c r="G791" i="16"/>
  <c r="J790" i="16"/>
  <c r="I790" i="16"/>
  <c r="H790" i="16"/>
  <c r="G790" i="16"/>
  <c r="J789" i="16"/>
  <c r="I789" i="16"/>
  <c r="H789" i="16"/>
  <c r="G789" i="16"/>
  <c r="J788" i="16"/>
  <c r="I788" i="16"/>
  <c r="H788" i="16"/>
  <c r="G788" i="16"/>
  <c r="J787" i="16"/>
  <c r="I787" i="16"/>
  <c r="H787" i="16"/>
  <c r="G787" i="16"/>
  <c r="J786" i="16"/>
  <c r="I786" i="16"/>
  <c r="H786" i="16"/>
  <c r="G786" i="16"/>
  <c r="J785" i="16"/>
  <c r="I785" i="16"/>
  <c r="H785" i="16"/>
  <c r="G785" i="16"/>
  <c r="J784" i="16"/>
  <c r="I784" i="16"/>
  <c r="H784" i="16"/>
  <c r="G784" i="16"/>
  <c r="J783" i="16"/>
  <c r="I783" i="16"/>
  <c r="H783" i="16"/>
  <c r="G783" i="16"/>
  <c r="J782" i="16"/>
  <c r="I782" i="16"/>
  <c r="H782" i="16"/>
  <c r="G782" i="16"/>
  <c r="J781" i="16"/>
  <c r="I781" i="16"/>
  <c r="H781" i="16"/>
  <c r="G781" i="16"/>
  <c r="J780" i="16"/>
  <c r="I780" i="16"/>
  <c r="H780" i="16"/>
  <c r="G780" i="16"/>
  <c r="J779" i="16"/>
  <c r="I779" i="16"/>
  <c r="H779" i="16"/>
  <c r="G779" i="16"/>
  <c r="J778" i="16"/>
  <c r="I778" i="16"/>
  <c r="H778" i="16"/>
  <c r="G778" i="16"/>
  <c r="J777" i="16"/>
  <c r="I777" i="16"/>
  <c r="H777" i="16"/>
  <c r="G777" i="16"/>
  <c r="J776" i="16"/>
  <c r="I776" i="16"/>
  <c r="H776" i="16"/>
  <c r="G776" i="16"/>
  <c r="J775" i="16"/>
  <c r="I775" i="16"/>
  <c r="H775" i="16"/>
  <c r="G775" i="16"/>
  <c r="J774" i="16"/>
  <c r="I774" i="16"/>
  <c r="H774" i="16"/>
  <c r="G774" i="16"/>
  <c r="J773" i="16"/>
  <c r="I773" i="16"/>
  <c r="H773" i="16"/>
  <c r="G773" i="16"/>
  <c r="J772" i="16"/>
  <c r="I772" i="16"/>
  <c r="H772" i="16"/>
  <c r="G772" i="16"/>
  <c r="J771" i="16"/>
  <c r="I771" i="16"/>
  <c r="H771" i="16"/>
  <c r="G771" i="16"/>
  <c r="J770" i="16"/>
  <c r="I770" i="16"/>
  <c r="H770" i="16"/>
  <c r="G770" i="16"/>
  <c r="J769" i="16"/>
  <c r="I769" i="16"/>
  <c r="H769" i="16"/>
  <c r="G769" i="16"/>
  <c r="J768" i="16"/>
  <c r="I768" i="16"/>
  <c r="H768" i="16"/>
  <c r="G768" i="16"/>
  <c r="J767" i="16"/>
  <c r="I767" i="16"/>
  <c r="H767" i="16"/>
  <c r="G767" i="16"/>
  <c r="J766" i="16"/>
  <c r="I766" i="16"/>
  <c r="H766" i="16"/>
  <c r="G766" i="16"/>
  <c r="J765" i="16"/>
  <c r="I765" i="16"/>
  <c r="H765" i="16"/>
  <c r="G765" i="16"/>
  <c r="J764" i="16"/>
  <c r="I764" i="16"/>
  <c r="H764" i="16"/>
  <c r="G764" i="16"/>
  <c r="J763" i="16"/>
  <c r="I763" i="16"/>
  <c r="H763" i="16"/>
  <c r="G763" i="16"/>
  <c r="J762" i="16"/>
  <c r="I762" i="16"/>
  <c r="H762" i="16"/>
  <c r="G762" i="16"/>
  <c r="J761" i="16"/>
  <c r="I761" i="16"/>
  <c r="H761" i="16"/>
  <c r="G761" i="16"/>
  <c r="J760" i="16"/>
  <c r="I760" i="16"/>
  <c r="H760" i="16"/>
  <c r="G760" i="16"/>
  <c r="J759" i="16"/>
  <c r="I759" i="16"/>
  <c r="H759" i="16"/>
  <c r="G759" i="16"/>
  <c r="J758" i="16"/>
  <c r="I758" i="16"/>
  <c r="H758" i="16"/>
  <c r="G758" i="16"/>
  <c r="J757" i="16"/>
  <c r="I757" i="16"/>
  <c r="H757" i="16"/>
  <c r="G757" i="16"/>
  <c r="J756" i="16"/>
  <c r="I756" i="16"/>
  <c r="H756" i="16"/>
  <c r="G756" i="16"/>
  <c r="J755" i="16"/>
  <c r="I755" i="16"/>
  <c r="H755" i="16"/>
  <c r="G755" i="16"/>
  <c r="J754" i="16"/>
  <c r="I754" i="16"/>
  <c r="H754" i="16"/>
  <c r="G754" i="16"/>
  <c r="J753" i="16"/>
  <c r="I753" i="16"/>
  <c r="H753" i="16"/>
  <c r="G753" i="16"/>
  <c r="J752" i="16"/>
  <c r="I752" i="16"/>
  <c r="H752" i="16"/>
  <c r="G752" i="16"/>
  <c r="J751" i="16"/>
  <c r="I751" i="16"/>
  <c r="H751" i="16"/>
  <c r="G751" i="16"/>
  <c r="J750" i="16"/>
  <c r="I750" i="16"/>
  <c r="H750" i="16"/>
  <c r="G750" i="16"/>
  <c r="J749" i="16"/>
  <c r="I749" i="16"/>
  <c r="H749" i="16"/>
  <c r="G749" i="16"/>
  <c r="J748" i="16"/>
  <c r="I748" i="16"/>
  <c r="H748" i="16"/>
  <c r="G748" i="16"/>
  <c r="J747" i="16"/>
  <c r="I747" i="16"/>
  <c r="H747" i="16"/>
  <c r="G747" i="16"/>
  <c r="J746" i="16"/>
  <c r="I746" i="16"/>
  <c r="H746" i="16"/>
  <c r="G746" i="16"/>
  <c r="J745" i="16"/>
  <c r="I745" i="16"/>
  <c r="H745" i="16"/>
  <c r="G745" i="16"/>
  <c r="J744" i="16"/>
  <c r="I744" i="16"/>
  <c r="H744" i="16"/>
  <c r="G744" i="16"/>
  <c r="J743" i="16"/>
  <c r="I743" i="16"/>
  <c r="H743" i="16"/>
  <c r="G743" i="16"/>
  <c r="J742" i="16"/>
  <c r="I742" i="16"/>
  <c r="H742" i="16"/>
  <c r="G742" i="16"/>
  <c r="J741" i="16"/>
  <c r="I741" i="16"/>
  <c r="H741" i="16"/>
  <c r="G741" i="16"/>
  <c r="J740" i="16"/>
  <c r="I740" i="16"/>
  <c r="H740" i="16"/>
  <c r="G740" i="16"/>
  <c r="J739" i="16"/>
  <c r="I739" i="16"/>
  <c r="H739" i="16"/>
  <c r="G739" i="16"/>
  <c r="J738" i="16"/>
  <c r="I738" i="16"/>
  <c r="H738" i="16"/>
  <c r="G738" i="16"/>
  <c r="J737" i="16"/>
  <c r="I737" i="16"/>
  <c r="H737" i="16"/>
  <c r="G737" i="16"/>
  <c r="J736" i="16"/>
  <c r="I736" i="16"/>
  <c r="H736" i="16"/>
  <c r="G736" i="16"/>
  <c r="J735" i="16"/>
  <c r="I735" i="16"/>
  <c r="H735" i="16"/>
  <c r="G735" i="16"/>
  <c r="J734" i="16"/>
  <c r="I734" i="16"/>
  <c r="H734" i="16"/>
  <c r="G734" i="16"/>
  <c r="J733" i="16"/>
  <c r="I733" i="16"/>
  <c r="H733" i="16"/>
  <c r="G733" i="16"/>
  <c r="J732" i="16"/>
  <c r="I732" i="16"/>
  <c r="H732" i="16"/>
  <c r="G732" i="16"/>
  <c r="J731" i="16"/>
  <c r="I731" i="16"/>
  <c r="H731" i="16"/>
  <c r="G731" i="16"/>
  <c r="J730" i="16"/>
  <c r="I730" i="16"/>
  <c r="H730" i="16"/>
  <c r="G730" i="16"/>
  <c r="J729" i="16"/>
  <c r="I729" i="16"/>
  <c r="H729" i="16"/>
  <c r="G729" i="16"/>
  <c r="J728" i="16"/>
  <c r="I728" i="16"/>
  <c r="H728" i="16"/>
  <c r="G728" i="16"/>
  <c r="J727" i="16"/>
  <c r="I727" i="16"/>
  <c r="H727" i="16"/>
  <c r="G727" i="16"/>
  <c r="J726" i="16"/>
  <c r="I726" i="16"/>
  <c r="H726" i="16"/>
  <c r="G726" i="16"/>
  <c r="J725" i="16"/>
  <c r="I725" i="16"/>
  <c r="H725" i="16"/>
  <c r="G725" i="16"/>
  <c r="J724" i="16"/>
  <c r="I724" i="16"/>
  <c r="H724" i="16"/>
  <c r="G724" i="16"/>
  <c r="J723" i="16"/>
  <c r="I723" i="16"/>
  <c r="H723" i="16"/>
  <c r="G723" i="16"/>
  <c r="J722" i="16"/>
  <c r="I722" i="16"/>
  <c r="H722" i="16"/>
  <c r="G722" i="16"/>
  <c r="J721" i="16"/>
  <c r="I721" i="16"/>
  <c r="H721" i="16"/>
  <c r="G721" i="16"/>
  <c r="J720" i="16"/>
  <c r="I720" i="16"/>
  <c r="H720" i="16"/>
  <c r="G720" i="16"/>
  <c r="J719" i="16"/>
  <c r="I719" i="16"/>
  <c r="H719" i="16"/>
  <c r="G719" i="16"/>
  <c r="J718" i="16"/>
  <c r="I718" i="16"/>
  <c r="H718" i="16"/>
  <c r="G718" i="16"/>
  <c r="J717" i="16"/>
  <c r="I717" i="16"/>
  <c r="H717" i="16"/>
  <c r="G717" i="16"/>
  <c r="J716" i="16"/>
  <c r="I716" i="16"/>
  <c r="H716" i="16"/>
  <c r="G716" i="16"/>
  <c r="J715" i="16"/>
  <c r="I715" i="16"/>
  <c r="H715" i="16"/>
  <c r="G715" i="16"/>
  <c r="J714" i="16"/>
  <c r="I714" i="16"/>
  <c r="H714" i="16"/>
  <c r="G714" i="16"/>
  <c r="J713" i="16"/>
  <c r="I713" i="16"/>
  <c r="H713" i="16"/>
  <c r="G713" i="16"/>
  <c r="J712" i="16"/>
  <c r="I712" i="16"/>
  <c r="H712" i="16"/>
  <c r="G712" i="16"/>
  <c r="J711" i="16"/>
  <c r="I711" i="16"/>
  <c r="H711" i="16"/>
  <c r="G711" i="16"/>
  <c r="J710" i="16"/>
  <c r="I710" i="16"/>
  <c r="H710" i="16"/>
  <c r="G710" i="16"/>
  <c r="J709" i="16"/>
  <c r="I709" i="16"/>
  <c r="H709" i="16"/>
  <c r="G709" i="16"/>
  <c r="J708" i="16"/>
  <c r="I708" i="16"/>
  <c r="H708" i="16"/>
  <c r="G708" i="16"/>
  <c r="J707" i="16"/>
  <c r="I707" i="16"/>
  <c r="H707" i="16"/>
  <c r="G707" i="16"/>
  <c r="J706" i="16"/>
  <c r="I706" i="16"/>
  <c r="H706" i="16"/>
  <c r="G706" i="16"/>
  <c r="J705" i="16"/>
  <c r="I705" i="16"/>
  <c r="H705" i="16"/>
  <c r="G705" i="16"/>
  <c r="J704" i="16"/>
  <c r="I704" i="16"/>
  <c r="H704" i="16"/>
  <c r="G704" i="16"/>
  <c r="J703" i="16"/>
  <c r="I703" i="16"/>
  <c r="H703" i="16"/>
  <c r="G703" i="16"/>
  <c r="J702" i="16"/>
  <c r="I702" i="16"/>
  <c r="H702" i="16"/>
  <c r="G702" i="16"/>
  <c r="J701" i="16"/>
  <c r="I701" i="16"/>
  <c r="H701" i="16"/>
  <c r="G701" i="16"/>
  <c r="J700" i="16"/>
  <c r="I700" i="16"/>
  <c r="H700" i="16"/>
  <c r="G700" i="16"/>
  <c r="J699" i="16"/>
  <c r="I699" i="16"/>
  <c r="H699" i="16"/>
  <c r="G699" i="16"/>
  <c r="J698" i="16"/>
  <c r="I698" i="16"/>
  <c r="H698" i="16"/>
  <c r="G698" i="16"/>
  <c r="J697" i="16"/>
  <c r="I697" i="16"/>
  <c r="H697" i="16"/>
  <c r="G697" i="16"/>
  <c r="J696" i="16"/>
  <c r="I696" i="16"/>
  <c r="H696" i="16"/>
  <c r="G696" i="16"/>
  <c r="J695" i="16"/>
  <c r="I695" i="16"/>
  <c r="H695" i="16"/>
  <c r="G695" i="16"/>
  <c r="J694" i="16"/>
  <c r="I694" i="16"/>
  <c r="H694" i="16"/>
  <c r="G694" i="16"/>
  <c r="J693" i="16"/>
  <c r="I693" i="16"/>
  <c r="H693" i="16"/>
  <c r="G693" i="16"/>
  <c r="J692" i="16"/>
  <c r="I692" i="16"/>
  <c r="H692" i="16"/>
  <c r="G692" i="16"/>
  <c r="J691" i="16"/>
  <c r="I691" i="16"/>
  <c r="H691" i="16"/>
  <c r="G691" i="16"/>
  <c r="J690" i="16"/>
  <c r="I690" i="16"/>
  <c r="H690" i="16"/>
  <c r="G690" i="16"/>
  <c r="J689" i="16"/>
  <c r="I689" i="16"/>
  <c r="H689" i="16"/>
  <c r="G689" i="16"/>
  <c r="J688" i="16"/>
  <c r="I688" i="16"/>
  <c r="H688" i="16"/>
  <c r="G688" i="16"/>
  <c r="J687" i="16"/>
  <c r="I687" i="16"/>
  <c r="H687" i="16"/>
  <c r="G687" i="16"/>
  <c r="J686" i="16"/>
  <c r="I686" i="16"/>
  <c r="H686" i="16"/>
  <c r="G686" i="16"/>
  <c r="J685" i="16"/>
  <c r="I685" i="16"/>
  <c r="H685" i="16"/>
  <c r="G685" i="16"/>
  <c r="J684" i="16"/>
  <c r="I684" i="16"/>
  <c r="H684" i="16"/>
  <c r="G684" i="16"/>
  <c r="J683" i="16"/>
  <c r="I683" i="16"/>
  <c r="H683" i="16"/>
  <c r="G683" i="16"/>
  <c r="J682" i="16"/>
  <c r="I682" i="16"/>
  <c r="H682" i="16"/>
  <c r="G682" i="16"/>
  <c r="J681" i="16"/>
  <c r="I681" i="16"/>
  <c r="H681" i="16"/>
  <c r="G681" i="16"/>
  <c r="J680" i="16"/>
  <c r="I680" i="16"/>
  <c r="H680" i="16"/>
  <c r="G680" i="16"/>
  <c r="J679" i="16"/>
  <c r="I679" i="16"/>
  <c r="H679" i="16"/>
  <c r="G679" i="16"/>
  <c r="J678" i="16"/>
  <c r="I678" i="16"/>
  <c r="H678" i="16"/>
  <c r="G678" i="16"/>
  <c r="J677" i="16"/>
  <c r="I677" i="16"/>
  <c r="H677" i="16"/>
  <c r="G677" i="16"/>
  <c r="J676" i="16"/>
  <c r="I676" i="16"/>
  <c r="H676" i="16"/>
  <c r="G676" i="16"/>
  <c r="J675" i="16"/>
  <c r="I675" i="16"/>
  <c r="H675" i="16"/>
  <c r="G675" i="16"/>
  <c r="J674" i="16"/>
  <c r="I674" i="16"/>
  <c r="H674" i="16"/>
  <c r="G674" i="16"/>
  <c r="J673" i="16"/>
  <c r="I673" i="16"/>
  <c r="H673" i="16"/>
  <c r="G673" i="16"/>
  <c r="J672" i="16"/>
  <c r="I672" i="16"/>
  <c r="H672" i="16"/>
  <c r="G672" i="16"/>
  <c r="J671" i="16"/>
  <c r="I671" i="16"/>
  <c r="H671" i="16"/>
  <c r="G671" i="16"/>
  <c r="J670" i="16"/>
  <c r="I670" i="16"/>
  <c r="H670" i="16"/>
  <c r="G670" i="16"/>
  <c r="J669" i="16"/>
  <c r="I669" i="16"/>
  <c r="H669" i="16"/>
  <c r="G669" i="16"/>
  <c r="J668" i="16"/>
  <c r="I668" i="16"/>
  <c r="H668" i="16"/>
  <c r="G668" i="16"/>
  <c r="J667" i="16"/>
  <c r="I667" i="16"/>
  <c r="H667" i="16"/>
  <c r="G667" i="16"/>
  <c r="J666" i="16"/>
  <c r="I666" i="16"/>
  <c r="H666" i="16"/>
  <c r="G666" i="16"/>
  <c r="J665" i="16"/>
  <c r="I665" i="16"/>
  <c r="H665" i="16"/>
  <c r="G665" i="16"/>
  <c r="J664" i="16"/>
  <c r="I664" i="16"/>
  <c r="H664" i="16"/>
  <c r="G664" i="16"/>
  <c r="J663" i="16"/>
  <c r="I663" i="16"/>
  <c r="H663" i="16"/>
  <c r="G663" i="16"/>
  <c r="J662" i="16"/>
  <c r="I662" i="16"/>
  <c r="H662" i="16"/>
  <c r="G662" i="16"/>
  <c r="J661" i="16"/>
  <c r="I661" i="16"/>
  <c r="H661" i="16"/>
  <c r="G661" i="16"/>
  <c r="J660" i="16"/>
  <c r="I660" i="16"/>
  <c r="H660" i="16"/>
  <c r="G660" i="16"/>
  <c r="J659" i="16"/>
  <c r="I659" i="16"/>
  <c r="H659" i="16"/>
  <c r="G659" i="16"/>
  <c r="J658" i="16"/>
  <c r="I658" i="16"/>
  <c r="H658" i="16"/>
  <c r="G658" i="16"/>
  <c r="J657" i="16"/>
  <c r="I657" i="16"/>
  <c r="H657" i="16"/>
  <c r="G657" i="16"/>
  <c r="J656" i="16"/>
  <c r="I656" i="16"/>
  <c r="H656" i="16"/>
  <c r="G656" i="16"/>
  <c r="J655" i="16"/>
  <c r="I655" i="16"/>
  <c r="H655" i="16"/>
  <c r="G655" i="16"/>
  <c r="J654" i="16"/>
  <c r="I654" i="16"/>
  <c r="H654" i="16"/>
  <c r="G654" i="16"/>
  <c r="J653" i="16"/>
  <c r="I653" i="16"/>
  <c r="H653" i="16"/>
  <c r="G653" i="16"/>
  <c r="J652" i="16"/>
  <c r="I652" i="16"/>
  <c r="H652" i="16"/>
  <c r="G652" i="16"/>
  <c r="J651" i="16"/>
  <c r="I651" i="16"/>
  <c r="H651" i="16"/>
  <c r="G651" i="16"/>
  <c r="J650" i="16"/>
  <c r="I650" i="16"/>
  <c r="H650" i="16"/>
  <c r="G650" i="16"/>
  <c r="J649" i="16"/>
  <c r="I649" i="16"/>
  <c r="H649" i="16"/>
  <c r="G649" i="16"/>
  <c r="J648" i="16"/>
  <c r="I648" i="16"/>
  <c r="H648" i="16"/>
  <c r="G648" i="16"/>
  <c r="J647" i="16"/>
  <c r="I647" i="16"/>
  <c r="H647" i="16"/>
  <c r="G647" i="16"/>
  <c r="J646" i="16"/>
  <c r="I646" i="16"/>
  <c r="H646" i="16"/>
  <c r="G646" i="16"/>
  <c r="J645" i="16"/>
  <c r="I645" i="16"/>
  <c r="H645" i="16"/>
  <c r="G645" i="16"/>
  <c r="J644" i="16"/>
  <c r="I644" i="16"/>
  <c r="H644" i="16"/>
  <c r="G644" i="16"/>
  <c r="J643" i="16"/>
  <c r="I643" i="16"/>
  <c r="H643" i="16"/>
  <c r="G643" i="16"/>
  <c r="J642" i="16"/>
  <c r="I642" i="16"/>
  <c r="H642" i="16"/>
  <c r="G642" i="16"/>
  <c r="J641" i="16"/>
  <c r="I641" i="16"/>
  <c r="H641" i="16"/>
  <c r="G641" i="16"/>
  <c r="J640" i="16"/>
  <c r="I640" i="16"/>
  <c r="H640" i="16"/>
  <c r="G640" i="16"/>
  <c r="J639" i="16"/>
  <c r="I639" i="16"/>
  <c r="H639" i="16"/>
  <c r="G639" i="16"/>
  <c r="J638" i="16"/>
  <c r="I638" i="16"/>
  <c r="H638" i="16"/>
  <c r="G638" i="16"/>
  <c r="J637" i="16"/>
  <c r="I637" i="16"/>
  <c r="H637" i="16"/>
  <c r="G637" i="16"/>
  <c r="J636" i="16"/>
  <c r="I636" i="16"/>
  <c r="H636" i="16"/>
  <c r="G636" i="16"/>
  <c r="J635" i="16"/>
  <c r="I635" i="16"/>
  <c r="H635" i="16"/>
  <c r="G635" i="16"/>
  <c r="J634" i="16"/>
  <c r="I634" i="16"/>
  <c r="H634" i="16"/>
  <c r="G634" i="16"/>
  <c r="J633" i="16"/>
  <c r="I633" i="16"/>
  <c r="H633" i="16"/>
  <c r="G633" i="16"/>
  <c r="J632" i="16"/>
  <c r="I632" i="16"/>
  <c r="H632" i="16"/>
  <c r="G632" i="16"/>
  <c r="J631" i="16"/>
  <c r="I631" i="16"/>
  <c r="H631" i="16"/>
  <c r="G631" i="16"/>
  <c r="J630" i="16"/>
  <c r="I630" i="16"/>
  <c r="H630" i="16"/>
  <c r="G630" i="16"/>
  <c r="J629" i="16"/>
  <c r="I629" i="16"/>
  <c r="H629" i="16"/>
  <c r="G629" i="16"/>
  <c r="J628" i="16"/>
  <c r="I628" i="16"/>
  <c r="H628" i="16"/>
  <c r="G628" i="16"/>
  <c r="J627" i="16"/>
  <c r="I627" i="16"/>
  <c r="H627" i="16"/>
  <c r="G627" i="16"/>
  <c r="J626" i="16"/>
  <c r="I626" i="16"/>
  <c r="H626" i="16"/>
  <c r="G626" i="16"/>
  <c r="J625" i="16"/>
  <c r="I625" i="16"/>
  <c r="H625" i="16"/>
  <c r="G625" i="16"/>
  <c r="J624" i="16"/>
  <c r="I624" i="16"/>
  <c r="H624" i="16"/>
  <c r="G624" i="16"/>
  <c r="J623" i="16"/>
  <c r="I623" i="16"/>
  <c r="H623" i="16"/>
  <c r="G623" i="16"/>
  <c r="J622" i="16"/>
  <c r="I622" i="16"/>
  <c r="H622" i="16"/>
  <c r="G622" i="16"/>
  <c r="J621" i="16"/>
  <c r="I621" i="16"/>
  <c r="H621" i="16"/>
  <c r="G621" i="16"/>
  <c r="J620" i="16"/>
  <c r="I620" i="16"/>
  <c r="H620" i="16"/>
  <c r="G620" i="16"/>
  <c r="J619" i="16"/>
  <c r="I619" i="16"/>
  <c r="H619" i="16"/>
  <c r="G619" i="16"/>
  <c r="J618" i="16"/>
  <c r="I618" i="16"/>
  <c r="H618" i="16"/>
  <c r="G618" i="16"/>
  <c r="J617" i="16"/>
  <c r="I617" i="16"/>
  <c r="H617" i="16"/>
  <c r="G617" i="16"/>
  <c r="J616" i="16"/>
  <c r="I616" i="16"/>
  <c r="H616" i="16"/>
  <c r="G616" i="16"/>
  <c r="J615" i="16"/>
  <c r="I615" i="16"/>
  <c r="H615" i="16"/>
  <c r="G615" i="16"/>
  <c r="J614" i="16"/>
  <c r="I614" i="16"/>
  <c r="H614" i="16"/>
  <c r="G614" i="16"/>
  <c r="J613" i="16"/>
  <c r="I613" i="16"/>
  <c r="H613" i="16"/>
  <c r="G613" i="16"/>
  <c r="J612" i="16"/>
  <c r="I612" i="16"/>
  <c r="H612" i="16"/>
  <c r="G612" i="16"/>
  <c r="J611" i="16"/>
  <c r="I611" i="16"/>
  <c r="H611" i="16"/>
  <c r="G611" i="16"/>
  <c r="J610" i="16"/>
  <c r="I610" i="16"/>
  <c r="H610" i="16"/>
  <c r="G610" i="16"/>
  <c r="J609" i="16"/>
  <c r="I609" i="16"/>
  <c r="H609" i="16"/>
  <c r="G609" i="16"/>
  <c r="J608" i="16"/>
  <c r="I608" i="16"/>
  <c r="H608" i="16"/>
  <c r="G608" i="16"/>
  <c r="J607" i="16"/>
  <c r="I607" i="16"/>
  <c r="H607" i="16"/>
  <c r="G607" i="16"/>
  <c r="J606" i="16"/>
  <c r="I606" i="16"/>
  <c r="H606" i="16"/>
  <c r="G606" i="16"/>
  <c r="J605" i="16"/>
  <c r="I605" i="16"/>
  <c r="H605" i="16"/>
  <c r="G605" i="16"/>
  <c r="J604" i="16"/>
  <c r="I604" i="16"/>
  <c r="H604" i="16"/>
  <c r="G604" i="16"/>
  <c r="J603" i="16"/>
  <c r="I603" i="16"/>
  <c r="H603" i="16"/>
  <c r="G603" i="16"/>
  <c r="J602" i="16"/>
  <c r="I602" i="16"/>
  <c r="H602" i="16"/>
  <c r="G602" i="16"/>
  <c r="J601" i="16"/>
  <c r="I601" i="16"/>
  <c r="H601" i="16"/>
  <c r="G601" i="16"/>
  <c r="J600" i="16"/>
  <c r="I600" i="16"/>
  <c r="H600" i="16"/>
  <c r="G600" i="16"/>
  <c r="J599" i="16"/>
  <c r="I599" i="16"/>
  <c r="H599" i="16"/>
  <c r="G599" i="16"/>
  <c r="J598" i="16"/>
  <c r="I598" i="16"/>
  <c r="H598" i="16"/>
  <c r="G598" i="16"/>
  <c r="J597" i="16"/>
  <c r="I597" i="16"/>
  <c r="H597" i="16"/>
  <c r="G597" i="16"/>
  <c r="J596" i="16"/>
  <c r="I596" i="16"/>
  <c r="H596" i="16"/>
  <c r="G596" i="16"/>
  <c r="J595" i="16"/>
  <c r="I595" i="16"/>
  <c r="H595" i="16"/>
  <c r="G595" i="16"/>
  <c r="J594" i="16"/>
  <c r="I594" i="16"/>
  <c r="H594" i="16"/>
  <c r="G594" i="16"/>
  <c r="J593" i="16"/>
  <c r="I593" i="16"/>
  <c r="H593" i="16"/>
  <c r="G593" i="16"/>
  <c r="J592" i="16"/>
  <c r="I592" i="16"/>
  <c r="H592" i="16"/>
  <c r="G592" i="16"/>
  <c r="J591" i="16"/>
  <c r="I591" i="16"/>
  <c r="H591" i="16"/>
  <c r="G591" i="16"/>
  <c r="J590" i="16"/>
  <c r="I590" i="16"/>
  <c r="H590" i="16"/>
  <c r="G590" i="16"/>
  <c r="J589" i="16"/>
  <c r="I589" i="16"/>
  <c r="H589" i="16"/>
  <c r="G589" i="16"/>
  <c r="J588" i="16"/>
  <c r="I588" i="16"/>
  <c r="H588" i="16"/>
  <c r="G588" i="16"/>
  <c r="J587" i="16"/>
  <c r="I587" i="16"/>
  <c r="H587" i="16"/>
  <c r="G587" i="16"/>
  <c r="J586" i="16"/>
  <c r="I586" i="16"/>
  <c r="H586" i="16"/>
  <c r="G586" i="16"/>
  <c r="J585" i="16"/>
  <c r="I585" i="16"/>
  <c r="H585" i="16"/>
  <c r="G585" i="16"/>
  <c r="J584" i="16"/>
  <c r="I584" i="16"/>
  <c r="H584" i="16"/>
  <c r="G584" i="16"/>
  <c r="J583" i="16"/>
  <c r="I583" i="16"/>
  <c r="H583" i="16"/>
  <c r="G583" i="16"/>
  <c r="J582" i="16"/>
  <c r="I582" i="16"/>
  <c r="H582" i="16"/>
  <c r="G582" i="16"/>
  <c r="J581" i="16"/>
  <c r="I581" i="16"/>
  <c r="H581" i="16"/>
  <c r="G581" i="16"/>
  <c r="J580" i="16"/>
  <c r="I580" i="16"/>
  <c r="H580" i="16"/>
  <c r="G580" i="16"/>
  <c r="J579" i="16"/>
  <c r="I579" i="16"/>
  <c r="H579" i="16"/>
  <c r="G579" i="16"/>
  <c r="J578" i="16"/>
  <c r="I578" i="16"/>
  <c r="H578" i="16"/>
  <c r="G578" i="16"/>
  <c r="J577" i="16"/>
  <c r="I577" i="16"/>
  <c r="H577" i="16"/>
  <c r="G577" i="16"/>
  <c r="J576" i="16"/>
  <c r="I576" i="16"/>
  <c r="H576" i="16"/>
  <c r="G576" i="16"/>
  <c r="J575" i="16"/>
  <c r="I575" i="16"/>
  <c r="H575" i="16"/>
  <c r="G575" i="16"/>
  <c r="J574" i="16"/>
  <c r="I574" i="16"/>
  <c r="H574" i="16"/>
  <c r="G574" i="16"/>
  <c r="J573" i="16"/>
  <c r="I573" i="16"/>
  <c r="H573" i="16"/>
  <c r="G573" i="16"/>
  <c r="J572" i="16"/>
  <c r="I572" i="16"/>
  <c r="H572" i="16"/>
  <c r="G572" i="16"/>
  <c r="J571" i="16"/>
  <c r="I571" i="16"/>
  <c r="H571" i="16"/>
  <c r="G571" i="16"/>
  <c r="J570" i="16"/>
  <c r="I570" i="16"/>
  <c r="H570" i="16"/>
  <c r="G570" i="16"/>
  <c r="J569" i="16"/>
  <c r="I569" i="16"/>
  <c r="H569" i="16"/>
  <c r="G569" i="16"/>
  <c r="J568" i="16"/>
  <c r="I568" i="16"/>
  <c r="H568" i="16"/>
  <c r="G568" i="16"/>
  <c r="J567" i="16"/>
  <c r="I567" i="16"/>
  <c r="H567" i="16"/>
  <c r="G567" i="16"/>
  <c r="J566" i="16"/>
  <c r="I566" i="16"/>
  <c r="H566" i="16"/>
  <c r="G566" i="16"/>
  <c r="J565" i="16"/>
  <c r="I565" i="16"/>
  <c r="H565" i="16"/>
  <c r="G565" i="16"/>
  <c r="J564" i="16"/>
  <c r="I564" i="16"/>
  <c r="H564" i="16"/>
  <c r="G564" i="16"/>
  <c r="J563" i="16"/>
  <c r="I563" i="16"/>
  <c r="H563" i="16"/>
  <c r="G563" i="16"/>
  <c r="J562" i="16"/>
  <c r="I562" i="16"/>
  <c r="H562" i="16"/>
  <c r="G562" i="16"/>
  <c r="J561" i="16"/>
  <c r="I561" i="16"/>
  <c r="H561" i="16"/>
  <c r="G561" i="16"/>
  <c r="J560" i="16"/>
  <c r="I560" i="16"/>
  <c r="H560" i="16"/>
  <c r="G560" i="16"/>
  <c r="J559" i="16"/>
  <c r="I559" i="16"/>
  <c r="H559" i="16"/>
  <c r="G559" i="16"/>
  <c r="J558" i="16"/>
  <c r="I558" i="16"/>
  <c r="H558" i="16"/>
  <c r="G558" i="16"/>
  <c r="J557" i="16"/>
  <c r="I557" i="16"/>
  <c r="H557" i="16"/>
  <c r="G557" i="16"/>
  <c r="J556" i="16"/>
  <c r="I556" i="16"/>
  <c r="H556" i="16"/>
  <c r="G556" i="16"/>
  <c r="J555" i="16"/>
  <c r="I555" i="16"/>
  <c r="H555" i="16"/>
  <c r="G555" i="16"/>
  <c r="J554" i="16"/>
  <c r="I554" i="16"/>
  <c r="H554" i="16"/>
  <c r="G554" i="16"/>
  <c r="J553" i="16"/>
  <c r="I553" i="16"/>
  <c r="H553" i="16"/>
  <c r="G553" i="16"/>
  <c r="J552" i="16"/>
  <c r="I552" i="16"/>
  <c r="H552" i="16"/>
  <c r="G552" i="16"/>
  <c r="J551" i="16"/>
  <c r="I551" i="16"/>
  <c r="H551" i="16"/>
  <c r="G551" i="16"/>
  <c r="J550" i="16"/>
  <c r="I550" i="16"/>
  <c r="H550" i="16"/>
  <c r="G550" i="16"/>
  <c r="J549" i="16"/>
  <c r="I549" i="16"/>
  <c r="H549" i="16"/>
  <c r="G549" i="16"/>
  <c r="J548" i="16"/>
  <c r="I548" i="16"/>
  <c r="H548" i="16"/>
  <c r="G548" i="16"/>
  <c r="J547" i="16"/>
  <c r="I547" i="16"/>
  <c r="H547" i="16"/>
  <c r="G547" i="16"/>
  <c r="J546" i="16"/>
  <c r="I546" i="16"/>
  <c r="H546" i="16"/>
  <c r="G546" i="16"/>
  <c r="J545" i="16"/>
  <c r="I545" i="16"/>
  <c r="H545" i="16"/>
  <c r="G545" i="16"/>
  <c r="J544" i="16"/>
  <c r="I544" i="16"/>
  <c r="H544" i="16"/>
  <c r="G544" i="16"/>
  <c r="J543" i="16"/>
  <c r="I543" i="16"/>
  <c r="H543" i="16"/>
  <c r="G543" i="16"/>
  <c r="J542" i="16"/>
  <c r="I542" i="16"/>
  <c r="H542" i="16"/>
  <c r="G542" i="16"/>
  <c r="J541" i="16"/>
  <c r="I541" i="16"/>
  <c r="H541" i="16"/>
  <c r="G541" i="16"/>
  <c r="J540" i="16"/>
  <c r="I540" i="16"/>
  <c r="H540" i="16"/>
  <c r="G540" i="16"/>
  <c r="J539" i="16"/>
  <c r="I539" i="16"/>
  <c r="H539" i="16"/>
  <c r="G539" i="16"/>
  <c r="J538" i="16"/>
  <c r="I538" i="16"/>
  <c r="H538" i="16"/>
  <c r="G538" i="16"/>
  <c r="J537" i="16"/>
  <c r="I537" i="16"/>
  <c r="H537" i="16"/>
  <c r="G537" i="16"/>
  <c r="J536" i="16"/>
  <c r="I536" i="16"/>
  <c r="H536" i="16"/>
  <c r="G536" i="16"/>
  <c r="J535" i="16"/>
  <c r="I535" i="16"/>
  <c r="H535" i="16"/>
  <c r="G535" i="16"/>
  <c r="J534" i="16"/>
  <c r="I534" i="16"/>
  <c r="H534" i="16"/>
  <c r="G534" i="16"/>
  <c r="J533" i="16"/>
  <c r="I533" i="16"/>
  <c r="H533" i="16"/>
  <c r="G533" i="16"/>
  <c r="J532" i="16"/>
  <c r="I532" i="16"/>
  <c r="H532" i="16"/>
  <c r="G532" i="16"/>
  <c r="J531" i="16"/>
  <c r="I531" i="16"/>
  <c r="H531" i="16"/>
  <c r="G531" i="16"/>
  <c r="J530" i="16"/>
  <c r="I530" i="16"/>
  <c r="H530" i="16"/>
  <c r="G530" i="16"/>
  <c r="J529" i="16"/>
  <c r="I529" i="16"/>
  <c r="H529" i="16"/>
  <c r="G529" i="16"/>
  <c r="J528" i="16"/>
  <c r="I528" i="16"/>
  <c r="H528" i="16"/>
  <c r="G528" i="16"/>
  <c r="J527" i="16"/>
  <c r="I527" i="16"/>
  <c r="H527" i="16"/>
  <c r="G527" i="16"/>
  <c r="J526" i="16"/>
  <c r="I526" i="16"/>
  <c r="H526" i="16"/>
  <c r="G526" i="16"/>
  <c r="J525" i="16"/>
  <c r="I525" i="16"/>
  <c r="H525" i="16"/>
  <c r="G525" i="16"/>
  <c r="J524" i="16"/>
  <c r="I524" i="16"/>
  <c r="H524" i="16"/>
  <c r="G524" i="16"/>
  <c r="J523" i="16"/>
  <c r="I523" i="16"/>
  <c r="H523" i="16"/>
  <c r="G523" i="16"/>
  <c r="J522" i="16"/>
  <c r="I522" i="16"/>
  <c r="H522" i="16"/>
  <c r="G522" i="16"/>
  <c r="J521" i="16"/>
  <c r="I521" i="16"/>
  <c r="H521" i="16"/>
  <c r="G521" i="16"/>
  <c r="J520" i="16"/>
  <c r="I520" i="16"/>
  <c r="H520" i="16"/>
  <c r="G520" i="16"/>
  <c r="J519" i="16"/>
  <c r="I519" i="16"/>
  <c r="H519" i="16"/>
  <c r="G519" i="16"/>
  <c r="J518" i="16"/>
  <c r="I518" i="16"/>
  <c r="H518" i="16"/>
  <c r="G518" i="16"/>
  <c r="J517" i="16"/>
  <c r="I517" i="16"/>
  <c r="H517" i="16"/>
  <c r="G517" i="16"/>
  <c r="J516" i="16"/>
  <c r="I516" i="16"/>
  <c r="H516" i="16"/>
  <c r="G516" i="16"/>
  <c r="J515" i="16"/>
  <c r="I515" i="16"/>
  <c r="H515" i="16"/>
  <c r="G515" i="16"/>
  <c r="J514" i="16"/>
  <c r="I514" i="16"/>
  <c r="H514" i="16"/>
  <c r="G514" i="16"/>
  <c r="J513" i="16"/>
  <c r="I513" i="16"/>
  <c r="H513" i="16"/>
  <c r="G513" i="16"/>
  <c r="J512" i="16"/>
  <c r="I512" i="16"/>
  <c r="H512" i="16"/>
  <c r="G512" i="16"/>
  <c r="J511" i="16"/>
  <c r="I511" i="16"/>
  <c r="H511" i="16"/>
  <c r="G511" i="16"/>
  <c r="J510" i="16"/>
  <c r="I510" i="16"/>
  <c r="H510" i="16"/>
  <c r="G510" i="16"/>
  <c r="J509" i="16"/>
  <c r="I509" i="16"/>
  <c r="H509" i="16"/>
  <c r="G509" i="16"/>
  <c r="J508" i="16"/>
  <c r="I508" i="16"/>
  <c r="H508" i="16"/>
  <c r="G508" i="16"/>
  <c r="J507" i="16"/>
  <c r="I507" i="16"/>
  <c r="H507" i="16"/>
  <c r="G507" i="16"/>
  <c r="J506" i="16"/>
  <c r="I506" i="16"/>
  <c r="H506" i="16"/>
  <c r="G506" i="16"/>
  <c r="J505" i="16"/>
  <c r="I505" i="16"/>
  <c r="H505" i="16"/>
  <c r="G505" i="16"/>
  <c r="J504" i="16"/>
  <c r="I504" i="16"/>
  <c r="H504" i="16"/>
  <c r="G504" i="16"/>
  <c r="J503" i="16"/>
  <c r="I503" i="16"/>
  <c r="H503" i="16"/>
  <c r="G503" i="16"/>
  <c r="J502" i="16"/>
  <c r="I502" i="16"/>
  <c r="H502" i="16"/>
  <c r="G502" i="16"/>
  <c r="J501" i="16"/>
  <c r="I501" i="16"/>
  <c r="H501" i="16"/>
  <c r="G501" i="16"/>
  <c r="J500" i="16"/>
  <c r="I500" i="16"/>
  <c r="H500" i="16"/>
  <c r="G500" i="16"/>
  <c r="J499" i="16"/>
  <c r="I499" i="16"/>
  <c r="H499" i="16"/>
  <c r="G499" i="16"/>
  <c r="J498" i="16"/>
  <c r="I498" i="16"/>
  <c r="H498" i="16"/>
  <c r="G498" i="16"/>
  <c r="J497" i="16"/>
  <c r="I497" i="16"/>
  <c r="H497" i="16"/>
  <c r="G497" i="16"/>
  <c r="J496" i="16"/>
  <c r="I496" i="16"/>
  <c r="H496" i="16"/>
  <c r="G496" i="16"/>
  <c r="J495" i="16"/>
  <c r="I495" i="16"/>
  <c r="H495" i="16"/>
  <c r="G495" i="16"/>
  <c r="J494" i="16"/>
  <c r="I494" i="16"/>
  <c r="H494" i="16"/>
  <c r="G494" i="16"/>
  <c r="J493" i="16"/>
  <c r="I493" i="16"/>
  <c r="H493" i="16"/>
  <c r="G493" i="16"/>
  <c r="J492" i="16"/>
  <c r="I492" i="16"/>
  <c r="H492" i="16"/>
  <c r="G492" i="16"/>
  <c r="J491" i="16"/>
  <c r="I491" i="16"/>
  <c r="H491" i="16"/>
  <c r="G491" i="16"/>
  <c r="J490" i="16"/>
  <c r="I490" i="16"/>
  <c r="H490" i="16"/>
  <c r="G490" i="16"/>
  <c r="J489" i="16"/>
  <c r="I489" i="16"/>
  <c r="H489" i="16"/>
  <c r="G489" i="16"/>
  <c r="J488" i="16"/>
  <c r="I488" i="16"/>
  <c r="H488" i="16"/>
  <c r="G488" i="16"/>
  <c r="J487" i="16"/>
  <c r="I487" i="16"/>
  <c r="H487" i="16"/>
  <c r="G487" i="16"/>
  <c r="J486" i="16"/>
  <c r="I486" i="16"/>
  <c r="H486" i="16"/>
  <c r="G486" i="16"/>
  <c r="J485" i="16"/>
  <c r="I485" i="16"/>
  <c r="H485" i="16"/>
  <c r="G485" i="16"/>
  <c r="J484" i="16"/>
  <c r="I484" i="16"/>
  <c r="H484" i="16"/>
  <c r="G484" i="16"/>
  <c r="J483" i="16"/>
  <c r="I483" i="16"/>
  <c r="H483" i="16"/>
  <c r="G483" i="16"/>
  <c r="J482" i="16"/>
  <c r="I482" i="16"/>
  <c r="H482" i="16"/>
  <c r="G482" i="16"/>
  <c r="J481" i="16"/>
  <c r="I481" i="16"/>
  <c r="H481" i="16"/>
  <c r="G481" i="16"/>
  <c r="J480" i="16"/>
  <c r="I480" i="16"/>
  <c r="H480" i="16"/>
  <c r="G480" i="16"/>
  <c r="J479" i="16"/>
  <c r="I479" i="16"/>
  <c r="H479" i="16"/>
  <c r="G479" i="16"/>
  <c r="J478" i="16"/>
  <c r="I478" i="16"/>
  <c r="H478" i="16"/>
  <c r="G478" i="16"/>
  <c r="J477" i="16"/>
  <c r="I477" i="16"/>
  <c r="H477" i="16"/>
  <c r="G477" i="16"/>
  <c r="J476" i="16"/>
  <c r="I476" i="16"/>
  <c r="H476" i="16"/>
  <c r="G476" i="16"/>
  <c r="J475" i="16"/>
  <c r="I475" i="16"/>
  <c r="H475" i="16"/>
  <c r="G475" i="16"/>
  <c r="J474" i="16"/>
  <c r="I474" i="16"/>
  <c r="H474" i="16"/>
  <c r="G474" i="16"/>
  <c r="J473" i="16"/>
  <c r="I473" i="16"/>
  <c r="H473" i="16"/>
  <c r="G473" i="16"/>
  <c r="J472" i="16"/>
  <c r="I472" i="16"/>
  <c r="H472" i="16"/>
  <c r="G472" i="16"/>
  <c r="J471" i="16"/>
  <c r="I471" i="16"/>
  <c r="H471" i="16"/>
  <c r="G471" i="16"/>
  <c r="J470" i="16"/>
  <c r="I470" i="16"/>
  <c r="H470" i="16"/>
  <c r="G470" i="16"/>
  <c r="J469" i="16"/>
  <c r="I469" i="16"/>
  <c r="H469" i="16"/>
  <c r="G469" i="16"/>
  <c r="J468" i="16"/>
  <c r="I468" i="16"/>
  <c r="H468" i="16"/>
  <c r="G468" i="16"/>
  <c r="J467" i="16"/>
  <c r="I467" i="16"/>
  <c r="H467" i="16"/>
  <c r="G467" i="16"/>
  <c r="J466" i="16"/>
  <c r="I466" i="16"/>
  <c r="H466" i="16"/>
  <c r="G466" i="16"/>
  <c r="J465" i="16"/>
  <c r="I465" i="16"/>
  <c r="H465" i="16"/>
  <c r="G465" i="16"/>
  <c r="J464" i="16"/>
  <c r="I464" i="16"/>
  <c r="H464" i="16"/>
  <c r="G464" i="16"/>
  <c r="J463" i="16"/>
  <c r="I463" i="16"/>
  <c r="H463" i="16"/>
  <c r="G463" i="16"/>
  <c r="J462" i="16"/>
  <c r="I462" i="16"/>
  <c r="H462" i="16"/>
  <c r="G462" i="16"/>
  <c r="J461" i="16"/>
  <c r="I461" i="16"/>
  <c r="H461" i="16"/>
  <c r="G461" i="16"/>
  <c r="J460" i="16"/>
  <c r="I460" i="16"/>
  <c r="H460" i="16"/>
  <c r="G460" i="16"/>
  <c r="J459" i="16"/>
  <c r="I459" i="16"/>
  <c r="H459" i="16"/>
  <c r="G459" i="16"/>
  <c r="J458" i="16"/>
  <c r="I458" i="16"/>
  <c r="H458" i="16"/>
  <c r="G458" i="16"/>
  <c r="J457" i="16"/>
  <c r="I457" i="16"/>
  <c r="H457" i="16"/>
  <c r="G457" i="16"/>
  <c r="J456" i="16"/>
  <c r="I456" i="16"/>
  <c r="H456" i="16"/>
  <c r="G456" i="16"/>
  <c r="J455" i="16"/>
  <c r="I455" i="16"/>
  <c r="H455" i="16"/>
  <c r="G455" i="16"/>
  <c r="J454" i="16"/>
  <c r="I454" i="16"/>
  <c r="H454" i="16"/>
  <c r="G454" i="16"/>
  <c r="J453" i="16"/>
  <c r="I453" i="16"/>
  <c r="H453" i="16"/>
  <c r="G453" i="16"/>
  <c r="J452" i="16"/>
  <c r="I452" i="16"/>
  <c r="H452" i="16"/>
  <c r="G452" i="16"/>
  <c r="J451" i="16"/>
  <c r="I451" i="16"/>
  <c r="H451" i="16"/>
  <c r="G451" i="16"/>
  <c r="J450" i="16"/>
  <c r="I450" i="16"/>
  <c r="H450" i="16"/>
  <c r="G450" i="16"/>
  <c r="J449" i="16"/>
  <c r="I449" i="16"/>
  <c r="H449" i="16"/>
  <c r="G449" i="16"/>
  <c r="J448" i="16"/>
  <c r="I448" i="16"/>
  <c r="H448" i="16"/>
  <c r="G448" i="16"/>
  <c r="J447" i="16"/>
  <c r="I447" i="16"/>
  <c r="H447" i="16"/>
  <c r="G447" i="16"/>
  <c r="J446" i="16"/>
  <c r="I446" i="16"/>
  <c r="H446" i="16"/>
  <c r="G446" i="16"/>
  <c r="J445" i="16"/>
  <c r="I445" i="16"/>
  <c r="H445" i="16"/>
  <c r="G445" i="16"/>
  <c r="J444" i="16"/>
  <c r="I444" i="16"/>
  <c r="H444" i="16"/>
  <c r="G444" i="16"/>
  <c r="J443" i="16"/>
  <c r="I443" i="16"/>
  <c r="H443" i="16"/>
  <c r="G443" i="16"/>
  <c r="J442" i="16"/>
  <c r="I442" i="16"/>
  <c r="H442" i="16"/>
  <c r="G442" i="16"/>
  <c r="J441" i="16"/>
  <c r="I441" i="16"/>
  <c r="H441" i="16"/>
  <c r="G441" i="16"/>
  <c r="J440" i="16"/>
  <c r="I440" i="16"/>
  <c r="H440" i="16"/>
  <c r="G440" i="16"/>
  <c r="J439" i="16"/>
  <c r="I439" i="16"/>
  <c r="H439" i="16"/>
  <c r="G439" i="16"/>
  <c r="J438" i="16"/>
  <c r="I438" i="16"/>
  <c r="H438" i="16"/>
  <c r="G438" i="16"/>
  <c r="J437" i="16"/>
  <c r="I437" i="16"/>
  <c r="H437" i="16"/>
  <c r="G437" i="16"/>
  <c r="J436" i="16"/>
  <c r="I436" i="16"/>
  <c r="H436" i="16"/>
  <c r="G436" i="16"/>
  <c r="J435" i="16"/>
  <c r="I435" i="16"/>
  <c r="H435" i="16"/>
  <c r="G435" i="16"/>
  <c r="J434" i="16"/>
  <c r="I434" i="16"/>
  <c r="H434" i="16"/>
  <c r="G434" i="16"/>
  <c r="J433" i="16"/>
  <c r="I433" i="16"/>
  <c r="H433" i="16"/>
  <c r="G433" i="16"/>
  <c r="J432" i="16"/>
  <c r="I432" i="16"/>
  <c r="H432" i="16"/>
  <c r="G432" i="16"/>
  <c r="J431" i="16"/>
  <c r="I431" i="16"/>
  <c r="H431" i="16"/>
  <c r="G431" i="16"/>
  <c r="J430" i="16"/>
  <c r="I430" i="16"/>
  <c r="H430" i="16"/>
  <c r="G430" i="16"/>
  <c r="J429" i="16"/>
  <c r="I429" i="16"/>
  <c r="H429" i="16"/>
  <c r="G429" i="16"/>
  <c r="J428" i="16"/>
  <c r="I428" i="16"/>
  <c r="H428" i="16"/>
  <c r="G428" i="16"/>
  <c r="J427" i="16"/>
  <c r="I427" i="16"/>
  <c r="H427" i="16"/>
  <c r="G427" i="16"/>
  <c r="J426" i="16"/>
  <c r="I426" i="16"/>
  <c r="H426" i="16"/>
  <c r="G426" i="16"/>
  <c r="J425" i="16"/>
  <c r="I425" i="16"/>
  <c r="H425" i="16"/>
  <c r="G425" i="16"/>
  <c r="J424" i="16"/>
  <c r="I424" i="16"/>
  <c r="H424" i="16"/>
  <c r="G424" i="16"/>
  <c r="J423" i="16"/>
  <c r="I423" i="16"/>
  <c r="H423" i="16"/>
  <c r="G423" i="16"/>
  <c r="J422" i="16"/>
  <c r="I422" i="16"/>
  <c r="H422" i="16"/>
  <c r="G422" i="16"/>
  <c r="J421" i="16"/>
  <c r="I421" i="16"/>
  <c r="H421" i="16"/>
  <c r="G421" i="16"/>
  <c r="J420" i="16"/>
  <c r="I420" i="16"/>
  <c r="H420" i="16"/>
  <c r="G420" i="16"/>
  <c r="J419" i="16"/>
  <c r="I419" i="16"/>
  <c r="H419" i="16"/>
  <c r="G419" i="16"/>
  <c r="J418" i="16"/>
  <c r="I418" i="16"/>
  <c r="H418" i="16"/>
  <c r="G418" i="16"/>
  <c r="J417" i="16"/>
  <c r="I417" i="16"/>
  <c r="H417" i="16"/>
  <c r="G417" i="16"/>
  <c r="J416" i="16"/>
  <c r="I416" i="16"/>
  <c r="H416" i="16"/>
  <c r="G416" i="16"/>
  <c r="J415" i="16"/>
  <c r="I415" i="16"/>
  <c r="H415" i="16"/>
  <c r="G415" i="16"/>
  <c r="J414" i="16"/>
  <c r="I414" i="16"/>
  <c r="H414" i="16"/>
  <c r="G414" i="16"/>
  <c r="J413" i="16"/>
  <c r="I413" i="16"/>
  <c r="H413" i="16"/>
  <c r="G413" i="16"/>
  <c r="J412" i="16"/>
  <c r="I412" i="16"/>
  <c r="H412" i="16"/>
  <c r="G412" i="16"/>
  <c r="J411" i="16"/>
  <c r="I411" i="16"/>
  <c r="H411" i="16"/>
  <c r="G411" i="16"/>
  <c r="J410" i="16"/>
  <c r="I410" i="16"/>
  <c r="H410" i="16"/>
  <c r="G410" i="16"/>
  <c r="J409" i="16"/>
  <c r="I409" i="16"/>
  <c r="H409" i="16"/>
  <c r="G409" i="16"/>
  <c r="J408" i="16"/>
  <c r="I408" i="16"/>
  <c r="H408" i="16"/>
  <c r="G408" i="16"/>
  <c r="J407" i="16"/>
  <c r="I407" i="16"/>
  <c r="H407" i="16"/>
  <c r="G407" i="16"/>
  <c r="J406" i="16"/>
  <c r="I406" i="16"/>
  <c r="H406" i="16"/>
  <c r="G406" i="16"/>
  <c r="J405" i="16"/>
  <c r="I405" i="16"/>
  <c r="H405" i="16"/>
  <c r="G405" i="16"/>
  <c r="J404" i="16"/>
  <c r="I404" i="16"/>
  <c r="H404" i="16"/>
  <c r="G404" i="16"/>
  <c r="J403" i="16"/>
  <c r="I403" i="16"/>
  <c r="H403" i="16"/>
  <c r="G403" i="16"/>
  <c r="J402" i="16"/>
  <c r="I402" i="16"/>
  <c r="H402" i="16"/>
  <c r="G402" i="16"/>
  <c r="J401" i="16"/>
  <c r="I401" i="16"/>
  <c r="H401" i="16"/>
  <c r="G401" i="16"/>
  <c r="J400" i="16"/>
  <c r="I400" i="16"/>
  <c r="H400" i="16"/>
  <c r="G400" i="16"/>
  <c r="J399" i="16"/>
  <c r="I399" i="16"/>
  <c r="H399" i="16"/>
  <c r="G399" i="16"/>
  <c r="J398" i="16"/>
  <c r="I398" i="16"/>
  <c r="H398" i="16"/>
  <c r="G398" i="16"/>
  <c r="J397" i="16"/>
  <c r="I397" i="16"/>
  <c r="H397" i="16"/>
  <c r="G397" i="16"/>
  <c r="J396" i="16"/>
  <c r="I396" i="16"/>
  <c r="H396" i="16"/>
  <c r="G396" i="16"/>
  <c r="J395" i="16"/>
  <c r="I395" i="16"/>
  <c r="H395" i="16"/>
  <c r="G395" i="16"/>
  <c r="J394" i="16"/>
  <c r="I394" i="16"/>
  <c r="H394" i="16"/>
  <c r="G394" i="16"/>
  <c r="J393" i="16"/>
  <c r="I393" i="16"/>
  <c r="H393" i="16"/>
  <c r="G393" i="16"/>
  <c r="J392" i="16"/>
  <c r="I392" i="16"/>
  <c r="H392" i="16"/>
  <c r="G392" i="16"/>
  <c r="J391" i="16"/>
  <c r="I391" i="16"/>
  <c r="H391" i="16"/>
  <c r="G391" i="16"/>
  <c r="J390" i="16"/>
  <c r="I390" i="16"/>
  <c r="H390" i="16"/>
  <c r="G390" i="16"/>
  <c r="J389" i="16"/>
  <c r="I389" i="16"/>
  <c r="H389" i="16"/>
  <c r="G389" i="16"/>
  <c r="J388" i="16"/>
  <c r="I388" i="16"/>
  <c r="H388" i="16"/>
  <c r="G388" i="16"/>
  <c r="J387" i="16"/>
  <c r="I387" i="16"/>
  <c r="H387" i="16"/>
  <c r="G387" i="16"/>
  <c r="J386" i="16"/>
  <c r="I386" i="16"/>
  <c r="H386" i="16"/>
  <c r="G386" i="16"/>
  <c r="J385" i="16"/>
  <c r="I385" i="16"/>
  <c r="H385" i="16"/>
  <c r="G385" i="16"/>
  <c r="J384" i="16"/>
  <c r="I384" i="16"/>
  <c r="H384" i="16"/>
  <c r="G384" i="16"/>
  <c r="J383" i="16"/>
  <c r="I383" i="16"/>
  <c r="H383" i="16"/>
  <c r="G383" i="16"/>
  <c r="J382" i="16"/>
  <c r="I382" i="16"/>
  <c r="H382" i="16"/>
  <c r="G382" i="16"/>
  <c r="J381" i="16"/>
  <c r="I381" i="16"/>
  <c r="H381" i="16"/>
  <c r="G381" i="16"/>
  <c r="J380" i="16"/>
  <c r="I380" i="16"/>
  <c r="H380" i="16"/>
  <c r="G380" i="16"/>
  <c r="J379" i="16"/>
  <c r="I379" i="16"/>
  <c r="H379" i="16"/>
  <c r="G379" i="16"/>
  <c r="J378" i="16"/>
  <c r="I378" i="16"/>
  <c r="H378" i="16"/>
  <c r="G378" i="16"/>
  <c r="J377" i="16"/>
  <c r="I377" i="16"/>
  <c r="H377" i="16"/>
  <c r="G377" i="16"/>
  <c r="J376" i="16"/>
  <c r="I376" i="16"/>
  <c r="H376" i="16"/>
  <c r="G376" i="16"/>
  <c r="J375" i="16"/>
  <c r="I375" i="16"/>
  <c r="H375" i="16"/>
  <c r="G375" i="16"/>
  <c r="J374" i="16"/>
  <c r="I374" i="16"/>
  <c r="H374" i="16"/>
  <c r="G374" i="16"/>
  <c r="J373" i="16"/>
  <c r="I373" i="16"/>
  <c r="H373" i="16"/>
  <c r="G373" i="16"/>
  <c r="J372" i="16"/>
  <c r="I372" i="16"/>
  <c r="H372" i="16"/>
  <c r="G372" i="16"/>
  <c r="J371" i="16"/>
  <c r="I371" i="16"/>
  <c r="H371" i="16"/>
  <c r="G371" i="16"/>
  <c r="J370" i="16"/>
  <c r="I370" i="16"/>
  <c r="H370" i="16"/>
  <c r="G370" i="16"/>
  <c r="J369" i="16"/>
  <c r="I369" i="16"/>
  <c r="H369" i="16"/>
  <c r="G369" i="16"/>
  <c r="J368" i="16"/>
  <c r="I368" i="16"/>
  <c r="H368" i="16"/>
  <c r="G368" i="16"/>
  <c r="J367" i="16"/>
  <c r="I367" i="16"/>
  <c r="H367" i="16"/>
  <c r="G367" i="16"/>
  <c r="J366" i="16"/>
  <c r="I366" i="16"/>
  <c r="H366" i="16"/>
  <c r="G366" i="16"/>
  <c r="J365" i="16"/>
  <c r="I365" i="16"/>
  <c r="H365" i="16"/>
  <c r="G365" i="16"/>
  <c r="J364" i="16"/>
  <c r="I364" i="16"/>
  <c r="H364" i="16"/>
  <c r="G364" i="16"/>
  <c r="J363" i="16"/>
  <c r="I363" i="16"/>
  <c r="H363" i="16"/>
  <c r="G363" i="16"/>
  <c r="J362" i="16"/>
  <c r="I362" i="16"/>
  <c r="H362" i="16"/>
  <c r="G362" i="16"/>
  <c r="J361" i="16"/>
  <c r="I361" i="16"/>
  <c r="H361" i="16"/>
  <c r="G361" i="16"/>
  <c r="J360" i="16"/>
  <c r="I360" i="16"/>
  <c r="H360" i="16"/>
  <c r="G360" i="16"/>
  <c r="J359" i="16"/>
  <c r="I359" i="16"/>
  <c r="H359" i="16"/>
  <c r="G359" i="16"/>
  <c r="J358" i="16"/>
  <c r="I358" i="16"/>
  <c r="H358" i="16"/>
  <c r="G358" i="16"/>
  <c r="J357" i="16"/>
  <c r="I357" i="16"/>
  <c r="H357" i="16"/>
  <c r="G357" i="16"/>
  <c r="J356" i="16"/>
  <c r="I356" i="16"/>
  <c r="H356" i="16"/>
  <c r="G356" i="16"/>
  <c r="J355" i="16"/>
  <c r="I355" i="16"/>
  <c r="H355" i="16"/>
  <c r="G355" i="16"/>
  <c r="J354" i="16"/>
  <c r="I354" i="16"/>
  <c r="H354" i="16"/>
  <c r="G354" i="16"/>
  <c r="J353" i="16"/>
  <c r="I353" i="16"/>
  <c r="H353" i="16"/>
  <c r="G353" i="16"/>
  <c r="J352" i="16"/>
  <c r="I352" i="16"/>
  <c r="H352" i="16"/>
  <c r="G352" i="16"/>
  <c r="J351" i="16"/>
  <c r="I351" i="16"/>
  <c r="H351" i="16"/>
  <c r="G351" i="16"/>
  <c r="J350" i="16"/>
  <c r="I350" i="16"/>
  <c r="H350" i="16"/>
  <c r="G350" i="16"/>
  <c r="J349" i="16"/>
  <c r="I349" i="16"/>
  <c r="H349" i="16"/>
  <c r="G349" i="16"/>
  <c r="J348" i="16"/>
  <c r="I348" i="16"/>
  <c r="H348" i="16"/>
  <c r="G348" i="16"/>
  <c r="J347" i="16"/>
  <c r="I347" i="16"/>
  <c r="H347" i="16"/>
  <c r="G347" i="16"/>
  <c r="J346" i="16"/>
  <c r="I346" i="16"/>
  <c r="H346" i="16"/>
  <c r="G346" i="16"/>
  <c r="J345" i="16"/>
  <c r="I345" i="16"/>
  <c r="H345" i="16"/>
  <c r="G345" i="16"/>
  <c r="J344" i="16"/>
  <c r="I344" i="16"/>
  <c r="H344" i="16"/>
  <c r="G344" i="16"/>
  <c r="J343" i="16"/>
  <c r="I343" i="16"/>
  <c r="H343" i="16"/>
  <c r="G343" i="16"/>
  <c r="J342" i="16"/>
  <c r="I342" i="16"/>
  <c r="H342" i="16"/>
  <c r="G342" i="16"/>
  <c r="J341" i="16"/>
  <c r="I341" i="16"/>
  <c r="H341" i="16"/>
  <c r="G341" i="16"/>
  <c r="J340" i="16"/>
  <c r="I340" i="16"/>
  <c r="H340" i="16"/>
  <c r="G340" i="16"/>
  <c r="J339" i="16"/>
  <c r="I339" i="16"/>
  <c r="H339" i="16"/>
  <c r="G339" i="16"/>
  <c r="J338" i="16"/>
  <c r="I338" i="16"/>
  <c r="H338" i="16"/>
  <c r="G338" i="16"/>
  <c r="J337" i="16"/>
  <c r="I337" i="16"/>
  <c r="H337" i="16"/>
  <c r="G337" i="16"/>
  <c r="J336" i="16"/>
  <c r="I336" i="16"/>
  <c r="H336" i="16"/>
  <c r="G336" i="16"/>
  <c r="J335" i="16"/>
  <c r="I335" i="16"/>
  <c r="H335" i="16"/>
  <c r="G335" i="16"/>
  <c r="J334" i="16"/>
  <c r="I334" i="16"/>
  <c r="H334" i="16"/>
  <c r="G334" i="16"/>
  <c r="J333" i="16"/>
  <c r="I333" i="16"/>
  <c r="H333" i="16"/>
  <c r="G333" i="16"/>
  <c r="J332" i="16"/>
  <c r="I332" i="16"/>
  <c r="H332" i="16"/>
  <c r="G332" i="16"/>
  <c r="J331" i="16"/>
  <c r="I331" i="16"/>
  <c r="H331" i="16"/>
  <c r="G331" i="16"/>
  <c r="J330" i="16"/>
  <c r="I330" i="16"/>
  <c r="H330" i="16"/>
  <c r="G330" i="16"/>
  <c r="J329" i="16"/>
  <c r="I329" i="16"/>
  <c r="H329" i="16"/>
  <c r="G329" i="16"/>
  <c r="J328" i="16"/>
  <c r="I328" i="16"/>
  <c r="H328" i="16"/>
  <c r="G328" i="16"/>
  <c r="J327" i="16"/>
  <c r="I327" i="16"/>
  <c r="H327" i="16"/>
  <c r="G327" i="16"/>
  <c r="J326" i="16"/>
  <c r="I326" i="16"/>
  <c r="H326" i="16"/>
  <c r="G326" i="16"/>
  <c r="J325" i="16"/>
  <c r="I325" i="16"/>
  <c r="H325" i="16"/>
  <c r="G325" i="16"/>
  <c r="J324" i="16"/>
  <c r="I324" i="16"/>
  <c r="H324" i="16"/>
  <c r="G324" i="16"/>
  <c r="J323" i="16"/>
  <c r="I323" i="16"/>
  <c r="H323" i="16"/>
  <c r="G323" i="16"/>
  <c r="J322" i="16"/>
  <c r="I322" i="16"/>
  <c r="H322" i="16"/>
  <c r="G322" i="16"/>
  <c r="J321" i="16"/>
  <c r="I321" i="16"/>
  <c r="H321" i="16"/>
  <c r="G321" i="16"/>
  <c r="J320" i="16"/>
  <c r="I320" i="16"/>
  <c r="H320" i="16"/>
  <c r="G320" i="16"/>
  <c r="J319" i="16"/>
  <c r="I319" i="16"/>
  <c r="H319" i="16"/>
  <c r="G319" i="16"/>
  <c r="J318" i="16"/>
  <c r="I318" i="16"/>
  <c r="H318" i="16"/>
  <c r="G318" i="16"/>
  <c r="J317" i="16"/>
  <c r="I317" i="16"/>
  <c r="H317" i="16"/>
  <c r="G317" i="16"/>
  <c r="J316" i="16"/>
  <c r="I316" i="16"/>
  <c r="H316" i="16"/>
  <c r="G316" i="16"/>
  <c r="J315" i="16"/>
  <c r="I315" i="16"/>
  <c r="H315" i="16"/>
  <c r="G315" i="16"/>
  <c r="J314" i="16"/>
  <c r="I314" i="16"/>
  <c r="H314" i="16"/>
  <c r="G314" i="16"/>
  <c r="J313" i="16"/>
  <c r="I313" i="16"/>
  <c r="H313" i="16"/>
  <c r="G313" i="16"/>
  <c r="J312" i="16"/>
  <c r="I312" i="16"/>
  <c r="H312" i="16"/>
  <c r="G312" i="16"/>
  <c r="J311" i="16"/>
  <c r="I311" i="16"/>
  <c r="H311" i="16"/>
  <c r="G311" i="16"/>
  <c r="J310" i="16"/>
  <c r="I310" i="16"/>
  <c r="H310" i="16"/>
  <c r="G310" i="16"/>
  <c r="J309" i="16"/>
  <c r="I309" i="16"/>
  <c r="H309" i="16"/>
  <c r="G309" i="16"/>
  <c r="J308" i="16"/>
  <c r="I308" i="16"/>
  <c r="H308" i="16"/>
  <c r="G308" i="16"/>
  <c r="J307" i="16"/>
  <c r="I307" i="16"/>
  <c r="H307" i="16"/>
  <c r="G307" i="16"/>
  <c r="J306" i="16"/>
  <c r="I306" i="16"/>
  <c r="H306" i="16"/>
  <c r="G306" i="16"/>
  <c r="J305" i="16"/>
  <c r="I305" i="16"/>
  <c r="H305" i="16"/>
  <c r="G305" i="16"/>
  <c r="J304" i="16"/>
  <c r="I304" i="16"/>
  <c r="H304" i="16"/>
  <c r="G304" i="16"/>
  <c r="J303" i="16"/>
  <c r="I303" i="16"/>
  <c r="H303" i="16"/>
  <c r="G303" i="16"/>
  <c r="J302" i="16"/>
  <c r="I302" i="16"/>
  <c r="H302" i="16"/>
  <c r="G302" i="16"/>
  <c r="J301" i="16"/>
  <c r="I301" i="16"/>
  <c r="H301" i="16"/>
  <c r="G301" i="16"/>
  <c r="J300" i="16"/>
  <c r="I300" i="16"/>
  <c r="H300" i="16"/>
  <c r="G300" i="16"/>
  <c r="J299" i="16"/>
  <c r="I299" i="16"/>
  <c r="H299" i="16"/>
  <c r="G299" i="16"/>
  <c r="J298" i="16"/>
  <c r="I298" i="16"/>
  <c r="H298" i="16"/>
  <c r="G298" i="16"/>
  <c r="J297" i="16"/>
  <c r="I297" i="16"/>
  <c r="H297" i="16"/>
  <c r="G297" i="16"/>
  <c r="J296" i="16"/>
  <c r="I296" i="16"/>
  <c r="H296" i="16"/>
  <c r="G296" i="16"/>
  <c r="J295" i="16"/>
  <c r="I295" i="16"/>
  <c r="H295" i="16"/>
  <c r="G295" i="16"/>
  <c r="J294" i="16"/>
  <c r="I294" i="16"/>
  <c r="H294" i="16"/>
  <c r="G294" i="16"/>
  <c r="J293" i="16"/>
  <c r="I293" i="16"/>
  <c r="H293" i="16"/>
  <c r="G293" i="16"/>
  <c r="J292" i="16"/>
  <c r="I292" i="16"/>
  <c r="H292" i="16"/>
  <c r="G292" i="16"/>
  <c r="J291" i="16"/>
  <c r="I291" i="16"/>
  <c r="H291" i="16"/>
  <c r="G291" i="16"/>
  <c r="J290" i="16"/>
  <c r="I290" i="16"/>
  <c r="H290" i="16"/>
  <c r="G290" i="16"/>
  <c r="J289" i="16"/>
  <c r="I289" i="16"/>
  <c r="H289" i="16"/>
  <c r="G289" i="16"/>
  <c r="J288" i="16"/>
  <c r="I288" i="16"/>
  <c r="H288" i="16"/>
  <c r="G288" i="16"/>
  <c r="J287" i="16"/>
  <c r="I287" i="16"/>
  <c r="H287" i="16"/>
  <c r="G287" i="16"/>
  <c r="J286" i="16"/>
  <c r="I286" i="16"/>
  <c r="H286" i="16"/>
  <c r="G286" i="16"/>
  <c r="J285" i="16"/>
  <c r="I285" i="16"/>
  <c r="H285" i="16"/>
  <c r="G285" i="16"/>
  <c r="J284" i="16"/>
  <c r="I284" i="16"/>
  <c r="H284" i="16"/>
  <c r="G284" i="16"/>
  <c r="J283" i="16"/>
  <c r="I283" i="16"/>
  <c r="H283" i="16"/>
  <c r="G283" i="16"/>
  <c r="J282" i="16"/>
  <c r="I282" i="16"/>
  <c r="H282" i="16"/>
  <c r="G282" i="16"/>
  <c r="J281" i="16"/>
  <c r="I281" i="16"/>
  <c r="H281" i="16"/>
  <c r="G281" i="16"/>
  <c r="J280" i="16"/>
  <c r="I280" i="16"/>
  <c r="H280" i="16"/>
  <c r="G280" i="16"/>
  <c r="J279" i="16"/>
  <c r="I279" i="16"/>
  <c r="H279" i="16"/>
  <c r="G279" i="16"/>
  <c r="J278" i="16"/>
  <c r="I278" i="16"/>
  <c r="H278" i="16"/>
  <c r="G278" i="16"/>
  <c r="J277" i="16"/>
  <c r="I277" i="16"/>
  <c r="H277" i="16"/>
  <c r="G277" i="16"/>
  <c r="J276" i="16"/>
  <c r="I276" i="16"/>
  <c r="H276" i="16"/>
  <c r="G276" i="16"/>
  <c r="J275" i="16"/>
  <c r="I275" i="16"/>
  <c r="H275" i="16"/>
  <c r="G275" i="16"/>
  <c r="J274" i="16"/>
  <c r="I274" i="16"/>
  <c r="H274" i="16"/>
  <c r="G274" i="16"/>
  <c r="J273" i="16"/>
  <c r="I273" i="16"/>
  <c r="H273" i="16"/>
  <c r="G273" i="16"/>
  <c r="J272" i="16"/>
  <c r="I272" i="16"/>
  <c r="H272" i="16"/>
  <c r="G272" i="16"/>
  <c r="J271" i="16"/>
  <c r="I271" i="16"/>
  <c r="H271" i="16"/>
  <c r="G271" i="16"/>
  <c r="J270" i="16"/>
  <c r="I270" i="16"/>
  <c r="H270" i="16"/>
  <c r="G270" i="16"/>
  <c r="J269" i="16"/>
  <c r="I269" i="16"/>
  <c r="H269" i="16"/>
  <c r="G269" i="16"/>
  <c r="J268" i="16"/>
  <c r="I268" i="16"/>
  <c r="H268" i="16"/>
  <c r="G268" i="16"/>
  <c r="J267" i="16"/>
  <c r="I267" i="16"/>
  <c r="H267" i="16"/>
  <c r="G267" i="16"/>
  <c r="J266" i="16"/>
  <c r="I266" i="16"/>
  <c r="H266" i="16"/>
  <c r="G266" i="16"/>
  <c r="J265" i="16"/>
  <c r="I265" i="16"/>
  <c r="H265" i="16"/>
  <c r="G265" i="16"/>
  <c r="J264" i="16"/>
  <c r="I264" i="16"/>
  <c r="H264" i="16"/>
  <c r="G264" i="16"/>
  <c r="J263" i="16"/>
  <c r="I263" i="16"/>
  <c r="H263" i="16"/>
  <c r="G263" i="16"/>
  <c r="J262" i="16"/>
  <c r="I262" i="16"/>
  <c r="H262" i="16"/>
  <c r="G262" i="16"/>
  <c r="J261" i="16"/>
  <c r="I261" i="16"/>
  <c r="H261" i="16"/>
  <c r="G261" i="16"/>
  <c r="J260" i="16"/>
  <c r="I260" i="16"/>
  <c r="H260" i="16"/>
  <c r="G260" i="16"/>
  <c r="J259" i="16"/>
  <c r="I259" i="16"/>
  <c r="H259" i="16"/>
  <c r="G259" i="16"/>
  <c r="J258" i="16"/>
  <c r="I258" i="16"/>
  <c r="H258" i="16"/>
  <c r="G258" i="16"/>
  <c r="J257" i="16"/>
  <c r="I257" i="16"/>
  <c r="H257" i="16"/>
  <c r="G257" i="16"/>
  <c r="J256" i="16"/>
  <c r="I256" i="16"/>
  <c r="H256" i="16"/>
  <c r="G256" i="16"/>
  <c r="J255" i="16"/>
  <c r="I255" i="16"/>
  <c r="H255" i="16"/>
  <c r="G255" i="16"/>
  <c r="J254" i="16"/>
  <c r="I254" i="16"/>
  <c r="H254" i="16"/>
  <c r="G254" i="16"/>
  <c r="J253" i="16"/>
  <c r="I253" i="16"/>
  <c r="H253" i="16"/>
  <c r="G253" i="16"/>
  <c r="J252" i="16"/>
  <c r="I252" i="16"/>
  <c r="H252" i="16"/>
  <c r="G252" i="16"/>
  <c r="J251" i="16"/>
  <c r="I251" i="16"/>
  <c r="H251" i="16"/>
  <c r="G251" i="16"/>
  <c r="J250" i="16"/>
  <c r="I250" i="16"/>
  <c r="H250" i="16"/>
  <c r="G250" i="16"/>
  <c r="J249" i="16"/>
  <c r="I249" i="16"/>
  <c r="H249" i="16"/>
  <c r="G249" i="16"/>
  <c r="J248" i="16"/>
  <c r="I248" i="16"/>
  <c r="H248" i="16"/>
  <c r="G248" i="16"/>
  <c r="J247" i="16"/>
  <c r="I247" i="16"/>
  <c r="H247" i="16"/>
  <c r="G247" i="16"/>
  <c r="J246" i="16"/>
  <c r="I246" i="16"/>
  <c r="H246" i="16"/>
  <c r="G246" i="16"/>
  <c r="J245" i="16"/>
  <c r="I245" i="16"/>
  <c r="H245" i="16"/>
  <c r="G245" i="16"/>
  <c r="J244" i="16"/>
  <c r="I244" i="16"/>
  <c r="H244" i="16"/>
  <c r="G244" i="16"/>
  <c r="J243" i="16"/>
  <c r="I243" i="16"/>
  <c r="H243" i="16"/>
  <c r="G243" i="16"/>
  <c r="J242" i="16"/>
  <c r="I242" i="16"/>
  <c r="H242" i="16"/>
  <c r="G242" i="16"/>
  <c r="J241" i="16"/>
  <c r="I241" i="16"/>
  <c r="H241" i="16"/>
  <c r="G241" i="16"/>
  <c r="J240" i="16"/>
  <c r="I240" i="16"/>
  <c r="H240" i="16"/>
  <c r="G240" i="16"/>
  <c r="J239" i="16"/>
  <c r="I239" i="16"/>
  <c r="H239" i="16"/>
  <c r="G239" i="16"/>
  <c r="J238" i="16"/>
  <c r="I238" i="16"/>
  <c r="H238" i="16"/>
  <c r="G238" i="16"/>
  <c r="J237" i="16"/>
  <c r="I237" i="16"/>
  <c r="H237" i="16"/>
  <c r="G237" i="16"/>
  <c r="J236" i="16"/>
  <c r="I236" i="16"/>
  <c r="H236" i="16"/>
  <c r="G236" i="16"/>
  <c r="J235" i="16"/>
  <c r="I235" i="16"/>
  <c r="H235" i="16"/>
  <c r="G235" i="16"/>
  <c r="J234" i="16"/>
  <c r="I234" i="16"/>
  <c r="H234" i="16"/>
  <c r="G234" i="16"/>
  <c r="J233" i="16"/>
  <c r="I233" i="16"/>
  <c r="H233" i="16"/>
  <c r="G233" i="16"/>
  <c r="J232" i="16"/>
  <c r="I232" i="16"/>
  <c r="H232" i="16"/>
  <c r="G232" i="16"/>
  <c r="J231" i="16"/>
  <c r="I231" i="16"/>
  <c r="H231" i="16"/>
  <c r="G231" i="16"/>
  <c r="J230" i="16"/>
  <c r="I230" i="16"/>
  <c r="H230" i="16"/>
  <c r="G230" i="16"/>
  <c r="J229" i="16"/>
  <c r="I229" i="16"/>
  <c r="H229" i="16"/>
  <c r="G229" i="16"/>
  <c r="J228" i="16"/>
  <c r="I228" i="16"/>
  <c r="H228" i="16"/>
  <c r="G228" i="16"/>
  <c r="J227" i="16"/>
  <c r="I227" i="16"/>
  <c r="H227" i="16"/>
  <c r="G227" i="16"/>
  <c r="J226" i="16"/>
  <c r="I226" i="16"/>
  <c r="H226" i="16"/>
  <c r="G226" i="16"/>
  <c r="J225" i="16"/>
  <c r="I225" i="16"/>
  <c r="H225" i="16"/>
  <c r="G225" i="16"/>
  <c r="J224" i="16"/>
  <c r="I224" i="16"/>
  <c r="H224" i="16"/>
  <c r="G224" i="16"/>
  <c r="J223" i="16"/>
  <c r="I223" i="16"/>
  <c r="H223" i="16"/>
  <c r="G223" i="16"/>
  <c r="J222" i="16"/>
  <c r="I222" i="16"/>
  <c r="H222" i="16"/>
  <c r="G222" i="16"/>
  <c r="J221" i="16"/>
  <c r="I221" i="16"/>
  <c r="H221" i="16"/>
  <c r="G221" i="16"/>
  <c r="J220" i="16"/>
  <c r="I220" i="16"/>
  <c r="H220" i="16"/>
  <c r="G220" i="16"/>
  <c r="J219" i="16"/>
  <c r="I219" i="16"/>
  <c r="H219" i="16"/>
  <c r="G219" i="16"/>
  <c r="J218" i="16"/>
  <c r="I218" i="16"/>
  <c r="H218" i="16"/>
  <c r="G218" i="16"/>
  <c r="J217" i="16"/>
  <c r="I217" i="16"/>
  <c r="H217" i="16"/>
  <c r="G217" i="16"/>
  <c r="J216" i="16"/>
  <c r="I216" i="16"/>
  <c r="H216" i="16"/>
  <c r="G216" i="16"/>
  <c r="J215" i="16"/>
  <c r="I215" i="16"/>
  <c r="H215" i="16"/>
  <c r="G215" i="16"/>
  <c r="J214" i="16"/>
  <c r="I214" i="16"/>
  <c r="H214" i="16"/>
  <c r="G214" i="16"/>
  <c r="J213" i="16"/>
  <c r="I213" i="16"/>
  <c r="H213" i="16"/>
  <c r="G213" i="16"/>
  <c r="J212" i="16"/>
  <c r="I212" i="16"/>
  <c r="H212" i="16"/>
  <c r="G212" i="16"/>
  <c r="J211" i="16"/>
  <c r="I211" i="16"/>
  <c r="H211" i="16"/>
  <c r="G211" i="16"/>
  <c r="J210" i="16"/>
  <c r="I210" i="16"/>
  <c r="H210" i="16"/>
  <c r="G210" i="16"/>
  <c r="J209" i="16"/>
  <c r="I209" i="16"/>
  <c r="H209" i="16"/>
  <c r="G209" i="16"/>
  <c r="J208" i="16"/>
  <c r="I208" i="16"/>
  <c r="H208" i="16"/>
  <c r="G208" i="16"/>
  <c r="J207" i="16"/>
  <c r="I207" i="16"/>
  <c r="H207" i="16"/>
  <c r="G207" i="16"/>
  <c r="J206" i="16"/>
  <c r="I206" i="16"/>
  <c r="H206" i="16"/>
  <c r="G206" i="16"/>
  <c r="J205" i="16"/>
  <c r="I205" i="16"/>
  <c r="H205" i="16"/>
  <c r="G205" i="16"/>
  <c r="J204" i="16"/>
  <c r="I204" i="16"/>
  <c r="H204" i="16"/>
  <c r="G204" i="16"/>
  <c r="J203" i="16"/>
  <c r="I203" i="16"/>
  <c r="H203" i="16"/>
  <c r="G203" i="16"/>
  <c r="J202" i="16"/>
  <c r="I202" i="16"/>
  <c r="H202" i="16"/>
  <c r="G202" i="16"/>
  <c r="J201" i="16"/>
  <c r="I201" i="16"/>
  <c r="H201" i="16"/>
  <c r="G201" i="16"/>
  <c r="J200" i="16"/>
  <c r="I200" i="16"/>
  <c r="H200" i="16"/>
  <c r="G200" i="16"/>
  <c r="J199" i="16"/>
  <c r="I199" i="16"/>
  <c r="H199" i="16"/>
  <c r="G199" i="16"/>
  <c r="J198" i="16"/>
  <c r="I198" i="16"/>
  <c r="H198" i="16"/>
  <c r="G198" i="16"/>
  <c r="J197" i="16"/>
  <c r="I197" i="16"/>
  <c r="H197" i="16"/>
  <c r="G197" i="16"/>
  <c r="J196" i="16"/>
  <c r="I196" i="16"/>
  <c r="H196" i="16"/>
  <c r="G196" i="16"/>
  <c r="J195" i="16"/>
  <c r="I195" i="16"/>
  <c r="H195" i="16"/>
  <c r="G195" i="16"/>
  <c r="J194" i="16"/>
  <c r="I194" i="16"/>
  <c r="H194" i="16"/>
  <c r="G194" i="16"/>
  <c r="J193" i="16"/>
  <c r="I193" i="16"/>
  <c r="H193" i="16"/>
  <c r="G193" i="16"/>
  <c r="J192" i="16"/>
  <c r="I192" i="16"/>
  <c r="H192" i="16"/>
  <c r="G192" i="16"/>
  <c r="J191" i="16"/>
  <c r="I191" i="16"/>
  <c r="H191" i="16"/>
  <c r="G191" i="16"/>
  <c r="J190" i="16"/>
  <c r="I190" i="16"/>
  <c r="H190" i="16"/>
  <c r="G190" i="16"/>
  <c r="J189" i="16"/>
  <c r="I189" i="16"/>
  <c r="H189" i="16"/>
  <c r="G189" i="16"/>
  <c r="J188" i="16"/>
  <c r="I188" i="16"/>
  <c r="H188" i="16"/>
  <c r="G188" i="16"/>
  <c r="J187" i="16"/>
  <c r="I187" i="16"/>
  <c r="H187" i="16"/>
  <c r="G187" i="16"/>
  <c r="J186" i="16"/>
  <c r="I186" i="16"/>
  <c r="H186" i="16"/>
  <c r="G186" i="16"/>
  <c r="J185" i="16"/>
  <c r="I185" i="16"/>
  <c r="H185" i="16"/>
  <c r="G185" i="16"/>
  <c r="J184" i="16"/>
  <c r="I184" i="16"/>
  <c r="H184" i="16"/>
  <c r="G184" i="16"/>
  <c r="J183" i="16"/>
  <c r="I183" i="16"/>
  <c r="H183" i="16"/>
  <c r="G183" i="16"/>
  <c r="J182" i="16"/>
  <c r="I182" i="16"/>
  <c r="H182" i="16"/>
  <c r="G182" i="16"/>
  <c r="J181" i="16"/>
  <c r="I181" i="16"/>
  <c r="H181" i="16"/>
  <c r="G181" i="16"/>
  <c r="J180" i="16"/>
  <c r="I180" i="16"/>
  <c r="H180" i="16"/>
  <c r="G180" i="16"/>
  <c r="J179" i="16"/>
  <c r="I179" i="16"/>
  <c r="H179" i="16"/>
  <c r="G179" i="16"/>
  <c r="J178" i="16"/>
  <c r="I178" i="16"/>
  <c r="H178" i="16"/>
  <c r="G178" i="16"/>
  <c r="J177" i="16"/>
  <c r="I177" i="16"/>
  <c r="H177" i="16"/>
  <c r="G177" i="16"/>
  <c r="J176" i="16"/>
  <c r="I176" i="16"/>
  <c r="H176" i="16"/>
  <c r="G176" i="16"/>
  <c r="J175" i="16"/>
  <c r="I175" i="16"/>
  <c r="H175" i="16"/>
  <c r="G175" i="16"/>
  <c r="J174" i="16"/>
  <c r="I174" i="16"/>
  <c r="H174" i="16"/>
  <c r="G174" i="16"/>
  <c r="J173" i="16"/>
  <c r="I173" i="16"/>
  <c r="H173" i="16"/>
  <c r="G173" i="16"/>
  <c r="J172" i="16"/>
  <c r="I172" i="16"/>
  <c r="H172" i="16"/>
  <c r="G172" i="16"/>
  <c r="J171" i="16"/>
  <c r="I171" i="16"/>
  <c r="H171" i="16"/>
  <c r="G171" i="16"/>
  <c r="J170" i="16"/>
  <c r="I170" i="16"/>
  <c r="H170" i="16"/>
  <c r="G170" i="16"/>
  <c r="J169" i="16"/>
  <c r="I169" i="16"/>
  <c r="H169" i="16"/>
  <c r="G169" i="16"/>
  <c r="J168" i="16"/>
  <c r="I168" i="16"/>
  <c r="H168" i="16"/>
  <c r="G168" i="16"/>
  <c r="J167" i="16"/>
  <c r="I167" i="16"/>
  <c r="H167" i="16"/>
  <c r="G167" i="16"/>
  <c r="J166" i="16"/>
  <c r="I166" i="16"/>
  <c r="H166" i="16"/>
  <c r="G166" i="16"/>
  <c r="J165" i="16"/>
  <c r="I165" i="16"/>
  <c r="H165" i="16"/>
  <c r="G165" i="16"/>
  <c r="J164" i="16"/>
  <c r="I164" i="16"/>
  <c r="H164" i="16"/>
  <c r="G164" i="16"/>
  <c r="J163" i="16"/>
  <c r="I163" i="16"/>
  <c r="H163" i="16"/>
  <c r="G163" i="16"/>
  <c r="J162" i="16"/>
  <c r="I162" i="16"/>
  <c r="H162" i="16"/>
  <c r="G162" i="16"/>
  <c r="J161" i="16"/>
  <c r="I161" i="16"/>
  <c r="H161" i="16"/>
  <c r="G161" i="16"/>
  <c r="J160" i="16"/>
  <c r="I160" i="16"/>
  <c r="H160" i="16"/>
  <c r="G160" i="16"/>
  <c r="J159" i="16"/>
  <c r="I159" i="16"/>
  <c r="H159" i="16"/>
  <c r="G159" i="16"/>
  <c r="J158" i="16"/>
  <c r="I158" i="16"/>
  <c r="H158" i="16"/>
  <c r="G158" i="16"/>
  <c r="J157" i="16"/>
  <c r="I157" i="16"/>
  <c r="H157" i="16"/>
  <c r="G157" i="16"/>
  <c r="J156" i="16"/>
  <c r="I156" i="16"/>
  <c r="H156" i="16"/>
  <c r="G156" i="16"/>
  <c r="J155" i="16"/>
  <c r="I155" i="16"/>
  <c r="H155" i="16"/>
  <c r="G155" i="16"/>
  <c r="J154" i="16"/>
  <c r="I154" i="16"/>
  <c r="H154" i="16"/>
  <c r="G154" i="16"/>
  <c r="J153" i="16"/>
  <c r="I153" i="16"/>
  <c r="H153" i="16"/>
  <c r="G153" i="16"/>
  <c r="J152" i="16"/>
  <c r="I152" i="16"/>
  <c r="H152" i="16"/>
  <c r="G152" i="16"/>
  <c r="J151" i="16"/>
  <c r="I151" i="16"/>
  <c r="H151" i="16"/>
  <c r="G151" i="16"/>
  <c r="J150" i="16"/>
  <c r="I150" i="16"/>
  <c r="H150" i="16"/>
  <c r="G150" i="16"/>
  <c r="J149" i="16"/>
  <c r="I149" i="16"/>
  <c r="H149" i="16"/>
  <c r="G149" i="16"/>
  <c r="J148" i="16"/>
  <c r="I148" i="16"/>
  <c r="H148" i="16"/>
  <c r="G148" i="16"/>
  <c r="J147" i="16"/>
  <c r="I147" i="16"/>
  <c r="H147" i="16"/>
  <c r="G147" i="16"/>
  <c r="J146" i="16"/>
  <c r="I146" i="16"/>
  <c r="H146" i="16"/>
  <c r="G146" i="16"/>
  <c r="J145" i="16"/>
  <c r="I145" i="16"/>
  <c r="H145" i="16"/>
  <c r="G145" i="16"/>
  <c r="J144" i="16"/>
  <c r="I144" i="16"/>
  <c r="H144" i="16"/>
  <c r="G144" i="16"/>
  <c r="J143" i="16"/>
  <c r="I143" i="16"/>
  <c r="H143" i="16"/>
  <c r="G143" i="16"/>
  <c r="J142" i="16"/>
  <c r="I142" i="16"/>
  <c r="H142" i="16"/>
  <c r="G142" i="16"/>
  <c r="J141" i="16"/>
  <c r="I141" i="16"/>
  <c r="H141" i="16"/>
  <c r="G141" i="16"/>
  <c r="J140" i="16"/>
  <c r="I140" i="16"/>
  <c r="H140" i="16"/>
  <c r="G140" i="16"/>
  <c r="J139" i="16"/>
  <c r="I139" i="16"/>
  <c r="H139" i="16"/>
  <c r="G139" i="16"/>
  <c r="J138" i="16"/>
  <c r="I138" i="16"/>
  <c r="H138" i="16"/>
  <c r="G138" i="16"/>
  <c r="J137" i="16"/>
  <c r="I137" i="16"/>
  <c r="H137" i="16"/>
  <c r="G137" i="16"/>
  <c r="J136" i="16"/>
  <c r="I136" i="16"/>
  <c r="H136" i="16"/>
  <c r="G136" i="16"/>
  <c r="J135" i="16"/>
  <c r="I135" i="16"/>
  <c r="H135" i="16"/>
  <c r="G135" i="16"/>
  <c r="J134" i="16"/>
  <c r="I134" i="16"/>
  <c r="H134" i="16"/>
  <c r="G134" i="16"/>
  <c r="J133" i="16"/>
  <c r="I133" i="16"/>
  <c r="H133" i="16"/>
  <c r="G133" i="16"/>
  <c r="J132" i="16"/>
  <c r="I132" i="16"/>
  <c r="H132" i="16"/>
  <c r="G132" i="16"/>
  <c r="J131" i="16"/>
  <c r="I131" i="16"/>
  <c r="H131" i="16"/>
  <c r="G131" i="16"/>
  <c r="J130" i="16"/>
  <c r="I130" i="16"/>
  <c r="H130" i="16"/>
  <c r="G130" i="16"/>
  <c r="J129" i="16"/>
  <c r="I129" i="16"/>
  <c r="H129" i="16"/>
  <c r="G129" i="16"/>
  <c r="J128" i="16"/>
  <c r="I128" i="16"/>
  <c r="H128" i="16"/>
  <c r="G128" i="16"/>
  <c r="J127" i="16"/>
  <c r="I127" i="16"/>
  <c r="H127" i="16"/>
  <c r="G127" i="16"/>
  <c r="J126" i="16"/>
  <c r="I126" i="16"/>
  <c r="H126" i="16"/>
  <c r="G126" i="16"/>
  <c r="J125" i="16"/>
  <c r="I125" i="16"/>
  <c r="H125" i="16"/>
  <c r="G125" i="16"/>
  <c r="J124" i="16"/>
  <c r="I124" i="16"/>
  <c r="H124" i="16"/>
  <c r="G124" i="16"/>
  <c r="J123" i="16"/>
  <c r="I123" i="16"/>
  <c r="H123" i="16"/>
  <c r="G123" i="16"/>
  <c r="J122" i="16"/>
  <c r="I122" i="16"/>
  <c r="H122" i="16"/>
  <c r="G122" i="16"/>
  <c r="J121" i="16"/>
  <c r="I121" i="16"/>
  <c r="H121" i="16"/>
  <c r="G121" i="16"/>
  <c r="J120" i="16"/>
  <c r="I120" i="16"/>
  <c r="H120" i="16"/>
  <c r="G120" i="16"/>
  <c r="J119" i="16"/>
  <c r="I119" i="16"/>
  <c r="H119" i="16"/>
  <c r="G119" i="16"/>
  <c r="J118" i="16"/>
  <c r="I118" i="16"/>
  <c r="H118" i="16"/>
  <c r="G118" i="16"/>
  <c r="J117" i="16"/>
  <c r="I117" i="16"/>
  <c r="H117" i="16"/>
  <c r="G117" i="16"/>
  <c r="J116" i="16"/>
  <c r="I116" i="16"/>
  <c r="H116" i="16"/>
  <c r="G116" i="16"/>
  <c r="J115" i="16"/>
  <c r="I115" i="16"/>
  <c r="H115" i="16"/>
  <c r="G115" i="16"/>
  <c r="J114" i="16"/>
  <c r="I114" i="16"/>
  <c r="H114" i="16"/>
  <c r="G114" i="16"/>
  <c r="J113" i="16"/>
  <c r="I113" i="16"/>
  <c r="H113" i="16"/>
  <c r="G113" i="16"/>
  <c r="J112" i="16"/>
  <c r="I112" i="16"/>
  <c r="H112" i="16"/>
  <c r="G112" i="16"/>
  <c r="J111" i="16"/>
  <c r="I111" i="16"/>
  <c r="H111" i="16"/>
  <c r="G111" i="16"/>
  <c r="J110" i="16"/>
  <c r="I110" i="16"/>
  <c r="H110" i="16"/>
  <c r="G110" i="16"/>
  <c r="J109" i="16"/>
  <c r="I109" i="16"/>
  <c r="H109" i="16"/>
  <c r="G109" i="16"/>
  <c r="J108" i="16"/>
  <c r="I108" i="16"/>
  <c r="H108" i="16"/>
  <c r="G108" i="16"/>
  <c r="J107" i="16"/>
  <c r="I107" i="16"/>
  <c r="H107" i="16"/>
  <c r="G107" i="16"/>
  <c r="J106" i="16"/>
  <c r="I106" i="16"/>
  <c r="H106" i="16"/>
  <c r="G106" i="16"/>
  <c r="J105" i="16"/>
  <c r="I105" i="16"/>
  <c r="H105" i="16"/>
  <c r="G105" i="16"/>
  <c r="J104" i="16"/>
  <c r="I104" i="16"/>
  <c r="H104" i="16"/>
  <c r="G104" i="16"/>
  <c r="J103" i="16"/>
  <c r="I103" i="16"/>
  <c r="H103" i="16"/>
  <c r="G103" i="16"/>
  <c r="J102" i="16"/>
  <c r="I102" i="16"/>
  <c r="H102" i="16"/>
  <c r="G102" i="16"/>
  <c r="J101" i="16"/>
  <c r="I101" i="16"/>
  <c r="H101" i="16"/>
  <c r="G101" i="16"/>
  <c r="J100" i="16"/>
  <c r="I100" i="16"/>
  <c r="H100" i="16"/>
  <c r="G100" i="16"/>
  <c r="J99" i="16"/>
  <c r="I99" i="16"/>
  <c r="H99" i="16"/>
  <c r="G99" i="16"/>
  <c r="J98" i="16"/>
  <c r="I98" i="16"/>
  <c r="H98" i="16"/>
  <c r="G98" i="16"/>
  <c r="J97" i="16"/>
  <c r="I97" i="16"/>
  <c r="H97" i="16"/>
  <c r="G97" i="16"/>
  <c r="J96" i="16"/>
  <c r="I96" i="16"/>
  <c r="H96" i="16"/>
  <c r="G96" i="16"/>
  <c r="J95" i="16"/>
  <c r="I95" i="16"/>
  <c r="H95" i="16"/>
  <c r="G95" i="16"/>
  <c r="J94" i="16"/>
  <c r="I94" i="16"/>
  <c r="H94" i="16"/>
  <c r="G94" i="16"/>
  <c r="J93" i="16"/>
  <c r="I93" i="16"/>
  <c r="H93" i="16"/>
  <c r="G93" i="16"/>
  <c r="J92" i="16"/>
  <c r="I92" i="16"/>
  <c r="H92" i="16"/>
  <c r="G92" i="16"/>
  <c r="J91" i="16"/>
  <c r="I91" i="16"/>
  <c r="H91" i="16"/>
  <c r="G91" i="16"/>
  <c r="J90" i="16"/>
  <c r="I90" i="16"/>
  <c r="H90" i="16"/>
  <c r="G90" i="16"/>
  <c r="J89" i="16"/>
  <c r="I89" i="16"/>
  <c r="H89" i="16"/>
  <c r="G89" i="16"/>
  <c r="J88" i="16"/>
  <c r="I88" i="16"/>
  <c r="H88" i="16"/>
  <c r="G88" i="16"/>
  <c r="J87" i="16"/>
  <c r="I87" i="16"/>
  <c r="H87" i="16"/>
  <c r="G87" i="16"/>
  <c r="J86" i="16"/>
  <c r="I86" i="16"/>
  <c r="H86" i="16"/>
  <c r="G86" i="16"/>
  <c r="J85" i="16"/>
  <c r="I85" i="16"/>
  <c r="H85" i="16"/>
  <c r="G85" i="16"/>
  <c r="J84" i="16"/>
  <c r="I84" i="16"/>
  <c r="H84" i="16"/>
  <c r="G84" i="16"/>
  <c r="J83" i="16"/>
  <c r="I83" i="16"/>
  <c r="H83" i="16"/>
  <c r="G83" i="16"/>
  <c r="J82" i="16"/>
  <c r="I82" i="16"/>
  <c r="H82" i="16"/>
  <c r="G82" i="16"/>
  <c r="J81" i="16"/>
  <c r="I81" i="16"/>
  <c r="H81" i="16"/>
  <c r="G81" i="16"/>
  <c r="J80" i="16"/>
  <c r="I80" i="16"/>
  <c r="H80" i="16"/>
  <c r="G80" i="16"/>
  <c r="J79" i="16"/>
  <c r="I79" i="16"/>
  <c r="H79" i="16"/>
  <c r="G79" i="16"/>
  <c r="J78" i="16"/>
  <c r="I78" i="16"/>
  <c r="H78" i="16"/>
  <c r="G78" i="16"/>
  <c r="J77" i="16"/>
  <c r="I77" i="16"/>
  <c r="H77" i="16"/>
  <c r="G77" i="16"/>
  <c r="J76" i="16"/>
  <c r="I76" i="16"/>
  <c r="H76" i="16"/>
  <c r="G76" i="16"/>
  <c r="J75" i="16"/>
  <c r="I75" i="16"/>
  <c r="H75" i="16"/>
  <c r="G75" i="16"/>
  <c r="J74" i="16"/>
  <c r="I74" i="16"/>
  <c r="H74" i="16"/>
  <c r="G74" i="16"/>
  <c r="J73" i="16"/>
  <c r="I73" i="16"/>
  <c r="H73" i="16"/>
  <c r="G73" i="16"/>
  <c r="J72" i="16"/>
  <c r="I72" i="16"/>
  <c r="H72" i="16"/>
  <c r="G72" i="16"/>
  <c r="J71" i="16"/>
  <c r="I71" i="16"/>
  <c r="H71" i="16"/>
  <c r="G71" i="16"/>
  <c r="J70" i="16"/>
  <c r="I70" i="16"/>
  <c r="H70" i="16"/>
  <c r="G70" i="16"/>
  <c r="J69" i="16"/>
  <c r="I69" i="16"/>
  <c r="H69" i="16"/>
  <c r="G69" i="16"/>
  <c r="J68" i="16"/>
  <c r="I68" i="16"/>
  <c r="H68" i="16"/>
  <c r="G68" i="16"/>
  <c r="J67" i="16"/>
  <c r="I67" i="16"/>
  <c r="H67" i="16"/>
  <c r="G67" i="16"/>
  <c r="J66" i="16"/>
  <c r="I66" i="16"/>
  <c r="H66" i="16"/>
  <c r="G66" i="16"/>
  <c r="J65" i="16"/>
  <c r="I65" i="16"/>
  <c r="H65" i="16"/>
  <c r="G65" i="16"/>
  <c r="J64" i="16"/>
  <c r="I64" i="16"/>
  <c r="H64" i="16"/>
  <c r="G64" i="16"/>
  <c r="J63" i="16"/>
  <c r="I63" i="16"/>
  <c r="H63" i="16"/>
  <c r="G63" i="16"/>
  <c r="J62" i="16"/>
  <c r="I62" i="16"/>
  <c r="H62" i="16"/>
  <c r="G62" i="16"/>
  <c r="J61" i="16"/>
  <c r="I61" i="16"/>
  <c r="H61" i="16"/>
  <c r="G61" i="16"/>
  <c r="J60" i="16"/>
  <c r="I60" i="16"/>
  <c r="H60" i="16"/>
  <c r="G60" i="16"/>
  <c r="J59" i="16"/>
  <c r="I59" i="16"/>
  <c r="H59" i="16"/>
  <c r="G59" i="16"/>
  <c r="J58" i="16"/>
  <c r="I58" i="16"/>
  <c r="H58" i="16"/>
  <c r="G58" i="16"/>
  <c r="J57" i="16"/>
  <c r="I57" i="16"/>
  <c r="H57" i="16"/>
  <c r="G57" i="16"/>
  <c r="J56" i="16"/>
  <c r="I56" i="16"/>
  <c r="H56" i="16"/>
  <c r="G56" i="16"/>
  <c r="J55" i="16"/>
  <c r="I55" i="16"/>
  <c r="H55" i="16"/>
  <c r="G55" i="16"/>
  <c r="J54" i="16"/>
  <c r="I54" i="16"/>
  <c r="H54" i="16"/>
  <c r="G54" i="16"/>
  <c r="J53" i="16"/>
  <c r="I53" i="16"/>
  <c r="H53" i="16"/>
  <c r="G53" i="16"/>
  <c r="J52" i="16"/>
  <c r="I52" i="16"/>
  <c r="H52" i="16"/>
  <c r="G52" i="16"/>
  <c r="J51" i="16"/>
  <c r="I51" i="16"/>
  <c r="H51" i="16"/>
  <c r="G51" i="16"/>
  <c r="J50" i="16"/>
  <c r="I50" i="16"/>
  <c r="H50" i="16"/>
  <c r="G50" i="16"/>
  <c r="J49" i="16"/>
  <c r="I49" i="16"/>
  <c r="H49" i="16"/>
  <c r="G49" i="16"/>
  <c r="J48" i="16"/>
  <c r="I48" i="16"/>
  <c r="H48" i="16"/>
  <c r="G48" i="16"/>
  <c r="J47" i="16"/>
  <c r="I47" i="16"/>
  <c r="H47" i="16"/>
  <c r="G47" i="16"/>
  <c r="J46" i="16"/>
  <c r="I46" i="16"/>
  <c r="H46" i="16"/>
  <c r="G46" i="16"/>
  <c r="J45" i="16"/>
  <c r="I45" i="16"/>
  <c r="H45" i="16"/>
  <c r="G45" i="16"/>
  <c r="J44" i="16"/>
  <c r="I44" i="16"/>
  <c r="H44" i="16"/>
  <c r="G44" i="16"/>
  <c r="J43" i="16"/>
  <c r="I43" i="16"/>
  <c r="H43" i="16"/>
  <c r="G43" i="16"/>
  <c r="J42" i="16"/>
  <c r="I42" i="16"/>
  <c r="H42" i="16"/>
  <c r="G42" i="16"/>
  <c r="J41" i="16"/>
  <c r="I41" i="16"/>
  <c r="H41" i="16"/>
  <c r="G41" i="16"/>
  <c r="J40" i="16"/>
  <c r="I40" i="16"/>
  <c r="H40" i="16"/>
  <c r="G40" i="16"/>
  <c r="J39" i="16"/>
  <c r="I39" i="16"/>
  <c r="H39" i="16"/>
  <c r="G39" i="16"/>
  <c r="J38" i="16"/>
  <c r="I38" i="16"/>
  <c r="H38" i="16"/>
  <c r="G38" i="16"/>
  <c r="J37" i="16"/>
  <c r="I37" i="16"/>
  <c r="H37" i="16"/>
  <c r="G37" i="16"/>
  <c r="J36" i="16"/>
  <c r="I36" i="16"/>
  <c r="H36" i="16"/>
  <c r="G36" i="16"/>
  <c r="J35" i="16"/>
  <c r="I35" i="16"/>
  <c r="H35" i="16"/>
  <c r="G35" i="16"/>
  <c r="J34" i="16"/>
  <c r="I34" i="16"/>
  <c r="H34" i="16"/>
  <c r="G34" i="16"/>
  <c r="J33" i="16"/>
  <c r="I33" i="16"/>
  <c r="H33" i="16"/>
  <c r="G33" i="16"/>
  <c r="J32" i="16"/>
  <c r="I32" i="16"/>
  <c r="H32" i="16"/>
  <c r="G32" i="16"/>
  <c r="J31" i="16"/>
  <c r="I31" i="16"/>
  <c r="H31" i="16"/>
  <c r="G31" i="16"/>
  <c r="J30" i="16"/>
  <c r="I30" i="16"/>
  <c r="H30" i="16"/>
  <c r="G30" i="16"/>
  <c r="J29" i="16"/>
  <c r="I29" i="16"/>
  <c r="H29" i="16"/>
  <c r="G29" i="16"/>
  <c r="J28" i="16"/>
  <c r="I28" i="16"/>
  <c r="H28" i="16"/>
  <c r="G28" i="16"/>
  <c r="J27" i="16"/>
  <c r="I27" i="16"/>
  <c r="H27" i="16"/>
  <c r="G27" i="16"/>
  <c r="J26" i="16"/>
  <c r="I26" i="16"/>
  <c r="H26" i="16"/>
  <c r="G26" i="16"/>
  <c r="J25" i="16"/>
  <c r="I25" i="16"/>
  <c r="H25" i="16"/>
  <c r="G25" i="16"/>
  <c r="J24" i="16"/>
  <c r="I24" i="16"/>
  <c r="H24" i="16"/>
  <c r="G24" i="16"/>
  <c r="J23" i="16"/>
  <c r="I23" i="16"/>
  <c r="H23" i="16"/>
  <c r="G23" i="16"/>
  <c r="J22" i="16"/>
  <c r="I22" i="16"/>
  <c r="H22" i="16"/>
  <c r="G22" i="16"/>
  <c r="J21" i="16"/>
  <c r="I21" i="16"/>
  <c r="H21" i="16"/>
  <c r="G21" i="16"/>
  <c r="J20" i="16"/>
  <c r="I20" i="16"/>
  <c r="H20" i="16"/>
  <c r="G20" i="16"/>
  <c r="J19" i="16"/>
  <c r="I19" i="16"/>
  <c r="H19" i="16"/>
  <c r="G19" i="16"/>
  <c r="J18" i="16"/>
  <c r="I18" i="16"/>
  <c r="H18" i="16"/>
  <c r="G18" i="16"/>
  <c r="J17" i="16"/>
  <c r="I17" i="16"/>
  <c r="H17" i="16"/>
  <c r="G17" i="16"/>
  <c r="J16" i="16"/>
  <c r="I16" i="16"/>
  <c r="H16" i="16"/>
  <c r="G16" i="16"/>
  <c r="J15" i="16"/>
  <c r="I15" i="16"/>
  <c r="H15" i="16"/>
  <c r="G15" i="16"/>
  <c r="J14" i="16"/>
  <c r="I14" i="16"/>
  <c r="H14" i="16"/>
  <c r="G14" i="16"/>
  <c r="J13" i="16"/>
  <c r="I13" i="16"/>
  <c r="H13" i="16"/>
  <c r="G13" i="16"/>
  <c r="J12" i="16"/>
  <c r="I12" i="16"/>
  <c r="H12" i="16"/>
  <c r="G12" i="16"/>
  <c r="J11" i="16"/>
  <c r="I11" i="16"/>
  <c r="H11" i="16"/>
  <c r="G11" i="16"/>
  <c r="J10" i="16"/>
  <c r="I10" i="16"/>
  <c r="H10" i="16"/>
  <c r="G10" i="16"/>
  <c r="J9" i="16"/>
  <c r="I9" i="16"/>
  <c r="H9" i="16"/>
  <c r="G9" i="16"/>
  <c r="J8" i="16"/>
  <c r="I8" i="16"/>
  <c r="H8" i="16"/>
  <c r="G8" i="16"/>
  <c r="J7" i="16"/>
  <c r="I7" i="16"/>
  <c r="H7" i="16"/>
  <c r="G7" i="16"/>
  <c r="J6" i="16"/>
  <c r="I6" i="16"/>
  <c r="H6" i="16"/>
  <c r="G6" i="16"/>
  <c r="J5" i="16"/>
  <c r="I5" i="16"/>
  <c r="H5" i="16"/>
  <c r="G5" i="16"/>
  <c r="J4" i="16"/>
  <c r="I4" i="16"/>
  <c r="H4" i="16"/>
  <c r="G4" i="16"/>
  <c r="J3" i="16"/>
  <c r="I3" i="16"/>
  <c r="H3" i="16"/>
  <c r="G3" i="16"/>
  <c r="M2" i="16"/>
  <c r="J1000" i="15"/>
  <c r="I1000" i="15"/>
  <c r="H1000" i="15"/>
  <c r="G1000" i="15"/>
  <c r="J999" i="15"/>
  <c r="I999" i="15"/>
  <c r="H999" i="15"/>
  <c r="G999" i="15"/>
  <c r="J998" i="15"/>
  <c r="I998" i="15"/>
  <c r="H998" i="15"/>
  <c r="G998" i="15"/>
  <c r="J997" i="15"/>
  <c r="I997" i="15"/>
  <c r="H997" i="15"/>
  <c r="G997" i="15"/>
  <c r="J996" i="15"/>
  <c r="I996" i="15"/>
  <c r="H996" i="15"/>
  <c r="G996" i="15"/>
  <c r="J995" i="15"/>
  <c r="I995" i="15"/>
  <c r="H995" i="15"/>
  <c r="G995" i="15"/>
  <c r="J994" i="15"/>
  <c r="I994" i="15"/>
  <c r="H994" i="15"/>
  <c r="G994" i="15"/>
  <c r="J993" i="15"/>
  <c r="I993" i="15"/>
  <c r="H993" i="15"/>
  <c r="G993" i="15"/>
  <c r="J992" i="15"/>
  <c r="I992" i="15"/>
  <c r="H992" i="15"/>
  <c r="G992" i="15"/>
  <c r="J991" i="15"/>
  <c r="I991" i="15"/>
  <c r="H991" i="15"/>
  <c r="G991" i="15"/>
  <c r="J990" i="15"/>
  <c r="I990" i="15"/>
  <c r="H990" i="15"/>
  <c r="G990" i="15"/>
  <c r="J989" i="15"/>
  <c r="I989" i="15"/>
  <c r="H989" i="15"/>
  <c r="G989" i="15"/>
  <c r="J988" i="15"/>
  <c r="I988" i="15"/>
  <c r="H988" i="15"/>
  <c r="G988" i="15"/>
  <c r="J987" i="15"/>
  <c r="I987" i="15"/>
  <c r="H987" i="15"/>
  <c r="G987" i="15"/>
  <c r="J986" i="15"/>
  <c r="I986" i="15"/>
  <c r="H986" i="15"/>
  <c r="G986" i="15"/>
  <c r="J985" i="15"/>
  <c r="I985" i="15"/>
  <c r="H985" i="15"/>
  <c r="G985" i="15"/>
  <c r="J984" i="15"/>
  <c r="I984" i="15"/>
  <c r="H984" i="15"/>
  <c r="G984" i="15"/>
  <c r="J983" i="15"/>
  <c r="I983" i="15"/>
  <c r="H983" i="15"/>
  <c r="G983" i="15"/>
  <c r="J982" i="15"/>
  <c r="I982" i="15"/>
  <c r="H982" i="15"/>
  <c r="G982" i="15"/>
  <c r="J981" i="15"/>
  <c r="I981" i="15"/>
  <c r="H981" i="15"/>
  <c r="G981" i="15"/>
  <c r="J980" i="15"/>
  <c r="I980" i="15"/>
  <c r="H980" i="15"/>
  <c r="G980" i="15"/>
  <c r="J979" i="15"/>
  <c r="I979" i="15"/>
  <c r="H979" i="15"/>
  <c r="G979" i="15"/>
  <c r="J978" i="15"/>
  <c r="I978" i="15"/>
  <c r="H978" i="15"/>
  <c r="G978" i="15"/>
  <c r="J977" i="15"/>
  <c r="I977" i="15"/>
  <c r="H977" i="15"/>
  <c r="G977" i="15"/>
  <c r="J976" i="15"/>
  <c r="I976" i="15"/>
  <c r="H976" i="15"/>
  <c r="G976" i="15"/>
  <c r="J975" i="15"/>
  <c r="I975" i="15"/>
  <c r="H975" i="15"/>
  <c r="G975" i="15"/>
  <c r="J974" i="15"/>
  <c r="I974" i="15"/>
  <c r="H974" i="15"/>
  <c r="G974" i="15"/>
  <c r="J973" i="15"/>
  <c r="I973" i="15"/>
  <c r="H973" i="15"/>
  <c r="G973" i="15"/>
  <c r="J972" i="15"/>
  <c r="I972" i="15"/>
  <c r="H972" i="15"/>
  <c r="G972" i="15"/>
  <c r="J971" i="15"/>
  <c r="I971" i="15"/>
  <c r="H971" i="15"/>
  <c r="G971" i="15"/>
  <c r="J970" i="15"/>
  <c r="I970" i="15"/>
  <c r="H970" i="15"/>
  <c r="G970" i="15"/>
  <c r="J969" i="15"/>
  <c r="I969" i="15"/>
  <c r="H969" i="15"/>
  <c r="G969" i="15"/>
  <c r="J968" i="15"/>
  <c r="I968" i="15"/>
  <c r="H968" i="15"/>
  <c r="G968" i="15"/>
  <c r="J967" i="15"/>
  <c r="I967" i="15"/>
  <c r="H967" i="15"/>
  <c r="G967" i="15"/>
  <c r="J966" i="15"/>
  <c r="I966" i="15"/>
  <c r="H966" i="15"/>
  <c r="G966" i="15"/>
  <c r="J965" i="15"/>
  <c r="I965" i="15"/>
  <c r="H965" i="15"/>
  <c r="G965" i="15"/>
  <c r="J964" i="15"/>
  <c r="I964" i="15"/>
  <c r="H964" i="15"/>
  <c r="G964" i="15"/>
  <c r="J963" i="15"/>
  <c r="I963" i="15"/>
  <c r="H963" i="15"/>
  <c r="G963" i="15"/>
  <c r="J962" i="15"/>
  <c r="I962" i="15"/>
  <c r="H962" i="15"/>
  <c r="G962" i="15"/>
  <c r="J961" i="15"/>
  <c r="I961" i="15"/>
  <c r="H961" i="15"/>
  <c r="G961" i="15"/>
  <c r="J960" i="15"/>
  <c r="I960" i="15"/>
  <c r="H960" i="15"/>
  <c r="G960" i="15"/>
  <c r="J959" i="15"/>
  <c r="I959" i="15"/>
  <c r="H959" i="15"/>
  <c r="G959" i="15"/>
  <c r="J958" i="15"/>
  <c r="I958" i="15"/>
  <c r="H958" i="15"/>
  <c r="G958" i="15"/>
  <c r="J957" i="15"/>
  <c r="I957" i="15"/>
  <c r="H957" i="15"/>
  <c r="G957" i="15"/>
  <c r="J956" i="15"/>
  <c r="I956" i="15"/>
  <c r="H956" i="15"/>
  <c r="G956" i="15"/>
  <c r="J955" i="15"/>
  <c r="I955" i="15"/>
  <c r="H955" i="15"/>
  <c r="G955" i="15"/>
  <c r="J954" i="15"/>
  <c r="I954" i="15"/>
  <c r="H954" i="15"/>
  <c r="G954" i="15"/>
  <c r="J953" i="15"/>
  <c r="I953" i="15"/>
  <c r="H953" i="15"/>
  <c r="G953" i="15"/>
  <c r="J952" i="15"/>
  <c r="I952" i="15"/>
  <c r="H952" i="15"/>
  <c r="G952" i="15"/>
  <c r="J951" i="15"/>
  <c r="I951" i="15"/>
  <c r="H951" i="15"/>
  <c r="G951" i="15"/>
  <c r="J950" i="15"/>
  <c r="I950" i="15"/>
  <c r="H950" i="15"/>
  <c r="G950" i="15"/>
  <c r="J949" i="15"/>
  <c r="I949" i="15"/>
  <c r="H949" i="15"/>
  <c r="G949" i="15"/>
  <c r="J948" i="15"/>
  <c r="I948" i="15"/>
  <c r="H948" i="15"/>
  <c r="G948" i="15"/>
  <c r="J947" i="15"/>
  <c r="I947" i="15"/>
  <c r="H947" i="15"/>
  <c r="G947" i="15"/>
  <c r="J946" i="15"/>
  <c r="I946" i="15"/>
  <c r="H946" i="15"/>
  <c r="G946" i="15"/>
  <c r="J945" i="15"/>
  <c r="I945" i="15"/>
  <c r="H945" i="15"/>
  <c r="G945" i="15"/>
  <c r="J944" i="15"/>
  <c r="I944" i="15"/>
  <c r="H944" i="15"/>
  <c r="G944" i="15"/>
  <c r="J943" i="15"/>
  <c r="I943" i="15"/>
  <c r="H943" i="15"/>
  <c r="G943" i="15"/>
  <c r="J942" i="15"/>
  <c r="I942" i="15"/>
  <c r="H942" i="15"/>
  <c r="G942" i="15"/>
  <c r="J941" i="15"/>
  <c r="I941" i="15"/>
  <c r="H941" i="15"/>
  <c r="G941" i="15"/>
  <c r="J940" i="15"/>
  <c r="I940" i="15"/>
  <c r="H940" i="15"/>
  <c r="G940" i="15"/>
  <c r="J939" i="15"/>
  <c r="I939" i="15"/>
  <c r="H939" i="15"/>
  <c r="G939" i="15"/>
  <c r="J938" i="15"/>
  <c r="I938" i="15"/>
  <c r="H938" i="15"/>
  <c r="G938" i="15"/>
  <c r="J937" i="15"/>
  <c r="I937" i="15"/>
  <c r="H937" i="15"/>
  <c r="G937" i="15"/>
  <c r="J936" i="15"/>
  <c r="I936" i="15"/>
  <c r="H936" i="15"/>
  <c r="G936" i="15"/>
  <c r="J935" i="15"/>
  <c r="I935" i="15"/>
  <c r="H935" i="15"/>
  <c r="G935" i="15"/>
  <c r="J934" i="15"/>
  <c r="I934" i="15"/>
  <c r="H934" i="15"/>
  <c r="G934" i="15"/>
  <c r="J933" i="15"/>
  <c r="I933" i="15"/>
  <c r="H933" i="15"/>
  <c r="G933" i="15"/>
  <c r="J932" i="15"/>
  <c r="I932" i="15"/>
  <c r="H932" i="15"/>
  <c r="G932" i="15"/>
  <c r="J931" i="15"/>
  <c r="I931" i="15"/>
  <c r="H931" i="15"/>
  <c r="G931" i="15"/>
  <c r="J930" i="15"/>
  <c r="I930" i="15"/>
  <c r="H930" i="15"/>
  <c r="G930" i="15"/>
  <c r="J929" i="15"/>
  <c r="I929" i="15"/>
  <c r="H929" i="15"/>
  <c r="G929" i="15"/>
  <c r="J928" i="15"/>
  <c r="I928" i="15"/>
  <c r="H928" i="15"/>
  <c r="G928" i="15"/>
  <c r="J927" i="15"/>
  <c r="I927" i="15"/>
  <c r="H927" i="15"/>
  <c r="G927" i="15"/>
  <c r="J926" i="15"/>
  <c r="I926" i="15"/>
  <c r="H926" i="15"/>
  <c r="G926" i="15"/>
  <c r="J925" i="15"/>
  <c r="I925" i="15"/>
  <c r="H925" i="15"/>
  <c r="G925" i="15"/>
  <c r="J924" i="15"/>
  <c r="I924" i="15"/>
  <c r="H924" i="15"/>
  <c r="G924" i="15"/>
  <c r="J923" i="15"/>
  <c r="I923" i="15"/>
  <c r="H923" i="15"/>
  <c r="G923" i="15"/>
  <c r="J922" i="15"/>
  <c r="I922" i="15"/>
  <c r="H922" i="15"/>
  <c r="G922" i="15"/>
  <c r="J921" i="15"/>
  <c r="I921" i="15"/>
  <c r="H921" i="15"/>
  <c r="G921" i="15"/>
  <c r="J920" i="15"/>
  <c r="I920" i="15"/>
  <c r="H920" i="15"/>
  <c r="G920" i="15"/>
  <c r="J919" i="15"/>
  <c r="I919" i="15"/>
  <c r="H919" i="15"/>
  <c r="G919" i="15"/>
  <c r="J918" i="15"/>
  <c r="I918" i="15"/>
  <c r="H918" i="15"/>
  <c r="G918" i="15"/>
  <c r="J917" i="15"/>
  <c r="I917" i="15"/>
  <c r="H917" i="15"/>
  <c r="G917" i="15"/>
  <c r="J916" i="15"/>
  <c r="I916" i="15"/>
  <c r="H916" i="15"/>
  <c r="G916" i="15"/>
  <c r="J915" i="15"/>
  <c r="I915" i="15"/>
  <c r="H915" i="15"/>
  <c r="G915" i="15"/>
  <c r="J914" i="15"/>
  <c r="I914" i="15"/>
  <c r="H914" i="15"/>
  <c r="G914" i="15"/>
  <c r="J913" i="15"/>
  <c r="I913" i="15"/>
  <c r="H913" i="15"/>
  <c r="G913" i="15"/>
  <c r="J912" i="15"/>
  <c r="I912" i="15"/>
  <c r="H912" i="15"/>
  <c r="G912" i="15"/>
  <c r="J911" i="15"/>
  <c r="I911" i="15"/>
  <c r="H911" i="15"/>
  <c r="G911" i="15"/>
  <c r="J910" i="15"/>
  <c r="I910" i="15"/>
  <c r="H910" i="15"/>
  <c r="G910" i="15"/>
  <c r="J909" i="15"/>
  <c r="I909" i="15"/>
  <c r="H909" i="15"/>
  <c r="G909" i="15"/>
  <c r="J908" i="15"/>
  <c r="I908" i="15"/>
  <c r="H908" i="15"/>
  <c r="G908" i="15"/>
  <c r="J907" i="15"/>
  <c r="I907" i="15"/>
  <c r="H907" i="15"/>
  <c r="G907" i="15"/>
  <c r="J906" i="15"/>
  <c r="I906" i="15"/>
  <c r="H906" i="15"/>
  <c r="G906" i="15"/>
  <c r="J905" i="15"/>
  <c r="I905" i="15"/>
  <c r="H905" i="15"/>
  <c r="G905" i="15"/>
  <c r="J904" i="15"/>
  <c r="I904" i="15"/>
  <c r="H904" i="15"/>
  <c r="G904" i="15"/>
  <c r="J903" i="15"/>
  <c r="I903" i="15"/>
  <c r="H903" i="15"/>
  <c r="G903" i="15"/>
  <c r="J902" i="15"/>
  <c r="I902" i="15"/>
  <c r="H902" i="15"/>
  <c r="G902" i="15"/>
  <c r="J901" i="15"/>
  <c r="I901" i="15"/>
  <c r="H901" i="15"/>
  <c r="G901" i="15"/>
  <c r="J900" i="15"/>
  <c r="I900" i="15"/>
  <c r="H900" i="15"/>
  <c r="G900" i="15"/>
  <c r="J899" i="15"/>
  <c r="I899" i="15"/>
  <c r="H899" i="15"/>
  <c r="G899" i="15"/>
  <c r="J898" i="15"/>
  <c r="I898" i="15"/>
  <c r="H898" i="15"/>
  <c r="G898" i="15"/>
  <c r="J897" i="15"/>
  <c r="I897" i="15"/>
  <c r="H897" i="15"/>
  <c r="G897" i="15"/>
  <c r="J896" i="15"/>
  <c r="I896" i="15"/>
  <c r="H896" i="15"/>
  <c r="G896" i="15"/>
  <c r="J895" i="15"/>
  <c r="I895" i="15"/>
  <c r="H895" i="15"/>
  <c r="G895" i="15"/>
  <c r="J894" i="15"/>
  <c r="I894" i="15"/>
  <c r="H894" i="15"/>
  <c r="G894" i="15"/>
  <c r="J893" i="15"/>
  <c r="I893" i="15"/>
  <c r="H893" i="15"/>
  <c r="G893" i="15"/>
  <c r="J892" i="15"/>
  <c r="I892" i="15"/>
  <c r="H892" i="15"/>
  <c r="G892" i="15"/>
  <c r="J891" i="15"/>
  <c r="I891" i="15"/>
  <c r="H891" i="15"/>
  <c r="G891" i="15"/>
  <c r="J890" i="15"/>
  <c r="I890" i="15"/>
  <c r="H890" i="15"/>
  <c r="G890" i="15"/>
  <c r="J889" i="15"/>
  <c r="I889" i="15"/>
  <c r="H889" i="15"/>
  <c r="G889" i="15"/>
  <c r="J888" i="15"/>
  <c r="I888" i="15"/>
  <c r="H888" i="15"/>
  <c r="G888" i="15"/>
  <c r="J887" i="15"/>
  <c r="I887" i="15"/>
  <c r="H887" i="15"/>
  <c r="G887" i="15"/>
  <c r="J886" i="15"/>
  <c r="I886" i="15"/>
  <c r="H886" i="15"/>
  <c r="G886" i="15"/>
  <c r="J885" i="15"/>
  <c r="I885" i="15"/>
  <c r="H885" i="15"/>
  <c r="G885" i="15"/>
  <c r="J884" i="15"/>
  <c r="I884" i="15"/>
  <c r="H884" i="15"/>
  <c r="G884" i="15"/>
  <c r="J883" i="15"/>
  <c r="I883" i="15"/>
  <c r="H883" i="15"/>
  <c r="G883" i="15"/>
  <c r="J882" i="15"/>
  <c r="I882" i="15"/>
  <c r="H882" i="15"/>
  <c r="G882" i="15"/>
  <c r="J881" i="15"/>
  <c r="I881" i="15"/>
  <c r="H881" i="15"/>
  <c r="G881" i="15"/>
  <c r="J880" i="15"/>
  <c r="I880" i="15"/>
  <c r="H880" i="15"/>
  <c r="G880" i="15"/>
  <c r="J879" i="15"/>
  <c r="I879" i="15"/>
  <c r="H879" i="15"/>
  <c r="G879" i="15"/>
  <c r="J878" i="15"/>
  <c r="I878" i="15"/>
  <c r="H878" i="15"/>
  <c r="G878" i="15"/>
  <c r="J877" i="15"/>
  <c r="I877" i="15"/>
  <c r="H877" i="15"/>
  <c r="G877" i="15"/>
  <c r="J876" i="15"/>
  <c r="I876" i="15"/>
  <c r="H876" i="15"/>
  <c r="G876" i="15"/>
  <c r="J875" i="15"/>
  <c r="I875" i="15"/>
  <c r="H875" i="15"/>
  <c r="G875" i="15"/>
  <c r="J874" i="15"/>
  <c r="I874" i="15"/>
  <c r="H874" i="15"/>
  <c r="G874" i="15"/>
  <c r="J873" i="15"/>
  <c r="I873" i="15"/>
  <c r="H873" i="15"/>
  <c r="G873" i="15"/>
  <c r="J872" i="15"/>
  <c r="I872" i="15"/>
  <c r="H872" i="15"/>
  <c r="G872" i="15"/>
  <c r="J871" i="15"/>
  <c r="I871" i="15"/>
  <c r="H871" i="15"/>
  <c r="G871" i="15"/>
  <c r="J870" i="15"/>
  <c r="I870" i="15"/>
  <c r="H870" i="15"/>
  <c r="G870" i="15"/>
  <c r="J869" i="15"/>
  <c r="I869" i="15"/>
  <c r="H869" i="15"/>
  <c r="G869" i="15"/>
  <c r="J868" i="15"/>
  <c r="I868" i="15"/>
  <c r="H868" i="15"/>
  <c r="G868" i="15"/>
  <c r="J867" i="15"/>
  <c r="I867" i="15"/>
  <c r="H867" i="15"/>
  <c r="G867" i="15"/>
  <c r="J866" i="15"/>
  <c r="I866" i="15"/>
  <c r="H866" i="15"/>
  <c r="G866" i="15"/>
  <c r="J865" i="15"/>
  <c r="I865" i="15"/>
  <c r="H865" i="15"/>
  <c r="G865" i="15"/>
  <c r="J864" i="15"/>
  <c r="I864" i="15"/>
  <c r="H864" i="15"/>
  <c r="G864" i="15"/>
  <c r="J863" i="15"/>
  <c r="I863" i="15"/>
  <c r="H863" i="15"/>
  <c r="G863" i="15"/>
  <c r="J862" i="15"/>
  <c r="I862" i="15"/>
  <c r="H862" i="15"/>
  <c r="G862" i="15"/>
  <c r="J861" i="15"/>
  <c r="I861" i="15"/>
  <c r="H861" i="15"/>
  <c r="G861" i="15"/>
  <c r="J860" i="15"/>
  <c r="I860" i="15"/>
  <c r="H860" i="15"/>
  <c r="G860" i="15"/>
  <c r="J859" i="15"/>
  <c r="I859" i="15"/>
  <c r="H859" i="15"/>
  <c r="G859" i="15"/>
  <c r="J858" i="15"/>
  <c r="I858" i="15"/>
  <c r="H858" i="15"/>
  <c r="G858" i="15"/>
  <c r="J857" i="15"/>
  <c r="I857" i="15"/>
  <c r="H857" i="15"/>
  <c r="G857" i="15"/>
  <c r="J856" i="15"/>
  <c r="I856" i="15"/>
  <c r="H856" i="15"/>
  <c r="G856" i="15"/>
  <c r="J855" i="15"/>
  <c r="I855" i="15"/>
  <c r="H855" i="15"/>
  <c r="G855" i="15"/>
  <c r="J854" i="15"/>
  <c r="I854" i="15"/>
  <c r="H854" i="15"/>
  <c r="G854" i="15"/>
  <c r="J853" i="15"/>
  <c r="I853" i="15"/>
  <c r="H853" i="15"/>
  <c r="G853" i="15"/>
  <c r="J852" i="15"/>
  <c r="I852" i="15"/>
  <c r="H852" i="15"/>
  <c r="G852" i="15"/>
  <c r="J851" i="15"/>
  <c r="I851" i="15"/>
  <c r="H851" i="15"/>
  <c r="G851" i="15"/>
  <c r="J850" i="15"/>
  <c r="I850" i="15"/>
  <c r="H850" i="15"/>
  <c r="G850" i="15"/>
  <c r="J849" i="15"/>
  <c r="I849" i="15"/>
  <c r="H849" i="15"/>
  <c r="G849" i="15"/>
  <c r="J848" i="15"/>
  <c r="I848" i="15"/>
  <c r="H848" i="15"/>
  <c r="G848" i="15"/>
  <c r="J847" i="15"/>
  <c r="I847" i="15"/>
  <c r="H847" i="15"/>
  <c r="G847" i="15"/>
  <c r="J846" i="15"/>
  <c r="I846" i="15"/>
  <c r="H846" i="15"/>
  <c r="G846" i="15"/>
  <c r="J845" i="15"/>
  <c r="I845" i="15"/>
  <c r="H845" i="15"/>
  <c r="G845" i="15"/>
  <c r="J844" i="15"/>
  <c r="I844" i="15"/>
  <c r="H844" i="15"/>
  <c r="G844" i="15"/>
  <c r="J843" i="15"/>
  <c r="I843" i="15"/>
  <c r="H843" i="15"/>
  <c r="G843" i="15"/>
  <c r="J842" i="15"/>
  <c r="I842" i="15"/>
  <c r="H842" i="15"/>
  <c r="G842" i="15"/>
  <c r="J841" i="15"/>
  <c r="I841" i="15"/>
  <c r="H841" i="15"/>
  <c r="G841" i="15"/>
  <c r="J840" i="15"/>
  <c r="I840" i="15"/>
  <c r="H840" i="15"/>
  <c r="G840" i="15"/>
  <c r="J839" i="15"/>
  <c r="I839" i="15"/>
  <c r="H839" i="15"/>
  <c r="G839" i="15"/>
  <c r="J838" i="15"/>
  <c r="I838" i="15"/>
  <c r="H838" i="15"/>
  <c r="G838" i="15"/>
  <c r="J837" i="15"/>
  <c r="I837" i="15"/>
  <c r="H837" i="15"/>
  <c r="G837" i="15"/>
  <c r="J836" i="15"/>
  <c r="I836" i="15"/>
  <c r="H836" i="15"/>
  <c r="G836" i="15"/>
  <c r="J835" i="15"/>
  <c r="I835" i="15"/>
  <c r="H835" i="15"/>
  <c r="G835" i="15"/>
  <c r="J834" i="15"/>
  <c r="I834" i="15"/>
  <c r="H834" i="15"/>
  <c r="G834" i="15"/>
  <c r="J833" i="15"/>
  <c r="I833" i="15"/>
  <c r="H833" i="15"/>
  <c r="G833" i="15"/>
  <c r="J832" i="15"/>
  <c r="I832" i="15"/>
  <c r="H832" i="15"/>
  <c r="G832" i="15"/>
  <c r="J831" i="15"/>
  <c r="I831" i="15"/>
  <c r="H831" i="15"/>
  <c r="G831" i="15"/>
  <c r="J830" i="15"/>
  <c r="I830" i="15"/>
  <c r="H830" i="15"/>
  <c r="G830" i="15"/>
  <c r="J829" i="15"/>
  <c r="I829" i="15"/>
  <c r="H829" i="15"/>
  <c r="G829" i="15"/>
  <c r="J828" i="15"/>
  <c r="I828" i="15"/>
  <c r="H828" i="15"/>
  <c r="G828" i="15"/>
  <c r="J827" i="15"/>
  <c r="I827" i="15"/>
  <c r="H827" i="15"/>
  <c r="G827" i="15"/>
  <c r="J826" i="15"/>
  <c r="I826" i="15"/>
  <c r="H826" i="15"/>
  <c r="G826" i="15"/>
  <c r="J825" i="15"/>
  <c r="I825" i="15"/>
  <c r="H825" i="15"/>
  <c r="G825" i="15"/>
  <c r="J824" i="15"/>
  <c r="I824" i="15"/>
  <c r="H824" i="15"/>
  <c r="G824" i="15"/>
  <c r="J823" i="15"/>
  <c r="I823" i="15"/>
  <c r="H823" i="15"/>
  <c r="G823" i="15"/>
  <c r="J822" i="15"/>
  <c r="I822" i="15"/>
  <c r="H822" i="15"/>
  <c r="G822" i="15"/>
  <c r="J821" i="15"/>
  <c r="I821" i="15"/>
  <c r="H821" i="15"/>
  <c r="G821" i="15"/>
  <c r="J820" i="15"/>
  <c r="I820" i="15"/>
  <c r="H820" i="15"/>
  <c r="G820" i="15"/>
  <c r="J819" i="15"/>
  <c r="I819" i="15"/>
  <c r="H819" i="15"/>
  <c r="G819" i="15"/>
  <c r="J818" i="15"/>
  <c r="I818" i="15"/>
  <c r="H818" i="15"/>
  <c r="G818" i="15"/>
  <c r="J817" i="15"/>
  <c r="I817" i="15"/>
  <c r="H817" i="15"/>
  <c r="G817" i="15"/>
  <c r="J816" i="15"/>
  <c r="I816" i="15"/>
  <c r="H816" i="15"/>
  <c r="G816" i="15"/>
  <c r="J815" i="15"/>
  <c r="I815" i="15"/>
  <c r="H815" i="15"/>
  <c r="G815" i="15"/>
  <c r="J814" i="15"/>
  <c r="I814" i="15"/>
  <c r="H814" i="15"/>
  <c r="G814" i="15"/>
  <c r="J813" i="15"/>
  <c r="I813" i="15"/>
  <c r="H813" i="15"/>
  <c r="G813" i="15"/>
  <c r="J812" i="15"/>
  <c r="I812" i="15"/>
  <c r="H812" i="15"/>
  <c r="G812" i="15"/>
  <c r="J811" i="15"/>
  <c r="I811" i="15"/>
  <c r="H811" i="15"/>
  <c r="G811" i="15"/>
  <c r="J810" i="15"/>
  <c r="I810" i="15"/>
  <c r="H810" i="15"/>
  <c r="G810" i="15"/>
  <c r="J809" i="15"/>
  <c r="I809" i="15"/>
  <c r="H809" i="15"/>
  <c r="G809" i="15"/>
  <c r="J808" i="15"/>
  <c r="I808" i="15"/>
  <c r="H808" i="15"/>
  <c r="G808" i="15"/>
  <c r="J807" i="15"/>
  <c r="I807" i="15"/>
  <c r="H807" i="15"/>
  <c r="G807" i="15"/>
  <c r="J806" i="15"/>
  <c r="I806" i="15"/>
  <c r="H806" i="15"/>
  <c r="G806" i="15"/>
  <c r="J805" i="15"/>
  <c r="I805" i="15"/>
  <c r="H805" i="15"/>
  <c r="G805" i="15"/>
  <c r="J804" i="15"/>
  <c r="I804" i="15"/>
  <c r="H804" i="15"/>
  <c r="G804" i="15"/>
  <c r="J803" i="15"/>
  <c r="I803" i="15"/>
  <c r="H803" i="15"/>
  <c r="G803" i="15"/>
  <c r="J802" i="15"/>
  <c r="I802" i="15"/>
  <c r="H802" i="15"/>
  <c r="G802" i="15"/>
  <c r="J801" i="15"/>
  <c r="I801" i="15"/>
  <c r="H801" i="15"/>
  <c r="G801" i="15"/>
  <c r="J800" i="15"/>
  <c r="I800" i="15"/>
  <c r="H800" i="15"/>
  <c r="G800" i="15"/>
  <c r="J799" i="15"/>
  <c r="I799" i="15"/>
  <c r="H799" i="15"/>
  <c r="G799" i="15"/>
  <c r="J798" i="15"/>
  <c r="I798" i="15"/>
  <c r="H798" i="15"/>
  <c r="G798" i="15"/>
  <c r="J797" i="15"/>
  <c r="I797" i="15"/>
  <c r="H797" i="15"/>
  <c r="G797" i="15"/>
  <c r="J796" i="15"/>
  <c r="I796" i="15"/>
  <c r="H796" i="15"/>
  <c r="G796" i="15"/>
  <c r="J795" i="15"/>
  <c r="I795" i="15"/>
  <c r="H795" i="15"/>
  <c r="G795" i="15"/>
  <c r="J794" i="15"/>
  <c r="I794" i="15"/>
  <c r="H794" i="15"/>
  <c r="G794" i="15"/>
  <c r="J793" i="15"/>
  <c r="I793" i="15"/>
  <c r="H793" i="15"/>
  <c r="G793" i="15"/>
  <c r="J792" i="15"/>
  <c r="I792" i="15"/>
  <c r="H792" i="15"/>
  <c r="G792" i="15"/>
  <c r="J791" i="15"/>
  <c r="I791" i="15"/>
  <c r="H791" i="15"/>
  <c r="G791" i="15"/>
  <c r="J790" i="15"/>
  <c r="I790" i="15"/>
  <c r="H790" i="15"/>
  <c r="G790" i="15"/>
  <c r="J789" i="15"/>
  <c r="I789" i="15"/>
  <c r="H789" i="15"/>
  <c r="G789" i="15"/>
  <c r="J788" i="15"/>
  <c r="I788" i="15"/>
  <c r="H788" i="15"/>
  <c r="G788" i="15"/>
  <c r="J787" i="15"/>
  <c r="I787" i="15"/>
  <c r="H787" i="15"/>
  <c r="G787" i="15"/>
  <c r="J786" i="15"/>
  <c r="I786" i="15"/>
  <c r="H786" i="15"/>
  <c r="G786" i="15"/>
  <c r="J785" i="15"/>
  <c r="I785" i="15"/>
  <c r="H785" i="15"/>
  <c r="G785" i="15"/>
  <c r="J784" i="15"/>
  <c r="I784" i="15"/>
  <c r="H784" i="15"/>
  <c r="G784" i="15"/>
  <c r="J783" i="15"/>
  <c r="I783" i="15"/>
  <c r="H783" i="15"/>
  <c r="G783" i="15"/>
  <c r="J782" i="15"/>
  <c r="I782" i="15"/>
  <c r="H782" i="15"/>
  <c r="G782" i="15"/>
  <c r="J781" i="15"/>
  <c r="I781" i="15"/>
  <c r="H781" i="15"/>
  <c r="G781" i="15"/>
  <c r="J780" i="15"/>
  <c r="I780" i="15"/>
  <c r="H780" i="15"/>
  <c r="G780" i="15"/>
  <c r="J779" i="15"/>
  <c r="I779" i="15"/>
  <c r="H779" i="15"/>
  <c r="G779" i="15"/>
  <c r="J778" i="15"/>
  <c r="I778" i="15"/>
  <c r="H778" i="15"/>
  <c r="G778" i="15"/>
  <c r="J777" i="15"/>
  <c r="I777" i="15"/>
  <c r="H777" i="15"/>
  <c r="G777" i="15"/>
  <c r="J776" i="15"/>
  <c r="I776" i="15"/>
  <c r="H776" i="15"/>
  <c r="G776" i="15"/>
  <c r="J775" i="15"/>
  <c r="I775" i="15"/>
  <c r="H775" i="15"/>
  <c r="G775" i="15"/>
  <c r="J774" i="15"/>
  <c r="I774" i="15"/>
  <c r="H774" i="15"/>
  <c r="G774" i="15"/>
  <c r="J773" i="15"/>
  <c r="I773" i="15"/>
  <c r="H773" i="15"/>
  <c r="G773" i="15"/>
  <c r="J772" i="15"/>
  <c r="I772" i="15"/>
  <c r="H772" i="15"/>
  <c r="G772" i="15"/>
  <c r="J771" i="15"/>
  <c r="I771" i="15"/>
  <c r="H771" i="15"/>
  <c r="G771" i="15"/>
  <c r="J770" i="15"/>
  <c r="I770" i="15"/>
  <c r="H770" i="15"/>
  <c r="G770" i="15"/>
  <c r="J769" i="15"/>
  <c r="I769" i="15"/>
  <c r="H769" i="15"/>
  <c r="G769" i="15"/>
  <c r="J768" i="15"/>
  <c r="I768" i="15"/>
  <c r="H768" i="15"/>
  <c r="G768" i="15"/>
  <c r="J767" i="15"/>
  <c r="I767" i="15"/>
  <c r="H767" i="15"/>
  <c r="G767" i="15"/>
  <c r="J766" i="15"/>
  <c r="I766" i="15"/>
  <c r="H766" i="15"/>
  <c r="G766" i="15"/>
  <c r="J765" i="15"/>
  <c r="I765" i="15"/>
  <c r="H765" i="15"/>
  <c r="G765" i="15"/>
  <c r="J764" i="15"/>
  <c r="I764" i="15"/>
  <c r="H764" i="15"/>
  <c r="G764" i="15"/>
  <c r="J763" i="15"/>
  <c r="I763" i="15"/>
  <c r="H763" i="15"/>
  <c r="G763" i="15"/>
  <c r="J762" i="15"/>
  <c r="I762" i="15"/>
  <c r="H762" i="15"/>
  <c r="G762" i="15"/>
  <c r="J761" i="15"/>
  <c r="I761" i="15"/>
  <c r="H761" i="15"/>
  <c r="G761" i="15"/>
  <c r="J760" i="15"/>
  <c r="I760" i="15"/>
  <c r="H760" i="15"/>
  <c r="G760" i="15"/>
  <c r="J759" i="15"/>
  <c r="I759" i="15"/>
  <c r="H759" i="15"/>
  <c r="G759" i="15"/>
  <c r="J758" i="15"/>
  <c r="I758" i="15"/>
  <c r="H758" i="15"/>
  <c r="G758" i="15"/>
  <c r="J757" i="15"/>
  <c r="I757" i="15"/>
  <c r="H757" i="15"/>
  <c r="G757" i="15"/>
  <c r="J756" i="15"/>
  <c r="I756" i="15"/>
  <c r="H756" i="15"/>
  <c r="G756" i="15"/>
  <c r="J755" i="15"/>
  <c r="I755" i="15"/>
  <c r="H755" i="15"/>
  <c r="G755" i="15"/>
  <c r="J754" i="15"/>
  <c r="I754" i="15"/>
  <c r="H754" i="15"/>
  <c r="G754" i="15"/>
  <c r="J753" i="15"/>
  <c r="I753" i="15"/>
  <c r="H753" i="15"/>
  <c r="G753" i="15"/>
  <c r="J752" i="15"/>
  <c r="I752" i="15"/>
  <c r="H752" i="15"/>
  <c r="G752" i="15"/>
  <c r="J751" i="15"/>
  <c r="I751" i="15"/>
  <c r="H751" i="15"/>
  <c r="G751" i="15"/>
  <c r="J750" i="15"/>
  <c r="I750" i="15"/>
  <c r="H750" i="15"/>
  <c r="G750" i="15"/>
  <c r="J749" i="15"/>
  <c r="I749" i="15"/>
  <c r="H749" i="15"/>
  <c r="G749" i="15"/>
  <c r="J748" i="15"/>
  <c r="I748" i="15"/>
  <c r="H748" i="15"/>
  <c r="G748" i="15"/>
  <c r="J747" i="15"/>
  <c r="I747" i="15"/>
  <c r="H747" i="15"/>
  <c r="G747" i="15"/>
  <c r="J746" i="15"/>
  <c r="I746" i="15"/>
  <c r="H746" i="15"/>
  <c r="G746" i="15"/>
  <c r="J745" i="15"/>
  <c r="I745" i="15"/>
  <c r="H745" i="15"/>
  <c r="G745" i="15"/>
  <c r="J744" i="15"/>
  <c r="I744" i="15"/>
  <c r="H744" i="15"/>
  <c r="G744" i="15"/>
  <c r="J743" i="15"/>
  <c r="I743" i="15"/>
  <c r="H743" i="15"/>
  <c r="G743" i="15"/>
  <c r="J742" i="15"/>
  <c r="I742" i="15"/>
  <c r="H742" i="15"/>
  <c r="G742" i="15"/>
  <c r="J741" i="15"/>
  <c r="I741" i="15"/>
  <c r="H741" i="15"/>
  <c r="G741" i="15"/>
  <c r="J740" i="15"/>
  <c r="I740" i="15"/>
  <c r="H740" i="15"/>
  <c r="G740" i="15"/>
  <c r="J739" i="15"/>
  <c r="I739" i="15"/>
  <c r="H739" i="15"/>
  <c r="G739" i="15"/>
  <c r="J738" i="15"/>
  <c r="I738" i="15"/>
  <c r="H738" i="15"/>
  <c r="G738" i="15"/>
  <c r="J737" i="15"/>
  <c r="I737" i="15"/>
  <c r="H737" i="15"/>
  <c r="G737" i="15"/>
  <c r="J736" i="15"/>
  <c r="I736" i="15"/>
  <c r="H736" i="15"/>
  <c r="G736" i="15"/>
  <c r="J735" i="15"/>
  <c r="I735" i="15"/>
  <c r="H735" i="15"/>
  <c r="G735" i="15"/>
  <c r="J734" i="15"/>
  <c r="I734" i="15"/>
  <c r="H734" i="15"/>
  <c r="G734" i="15"/>
  <c r="J733" i="15"/>
  <c r="I733" i="15"/>
  <c r="H733" i="15"/>
  <c r="G733" i="15"/>
  <c r="J732" i="15"/>
  <c r="I732" i="15"/>
  <c r="H732" i="15"/>
  <c r="G732" i="15"/>
  <c r="J731" i="15"/>
  <c r="I731" i="15"/>
  <c r="H731" i="15"/>
  <c r="G731" i="15"/>
  <c r="J730" i="15"/>
  <c r="I730" i="15"/>
  <c r="H730" i="15"/>
  <c r="G730" i="15"/>
  <c r="J729" i="15"/>
  <c r="I729" i="15"/>
  <c r="H729" i="15"/>
  <c r="G729" i="15"/>
  <c r="J728" i="15"/>
  <c r="I728" i="15"/>
  <c r="H728" i="15"/>
  <c r="G728" i="15"/>
  <c r="J727" i="15"/>
  <c r="I727" i="15"/>
  <c r="H727" i="15"/>
  <c r="G727" i="15"/>
  <c r="J726" i="15"/>
  <c r="I726" i="15"/>
  <c r="H726" i="15"/>
  <c r="G726" i="15"/>
  <c r="J725" i="15"/>
  <c r="I725" i="15"/>
  <c r="H725" i="15"/>
  <c r="G725" i="15"/>
  <c r="J724" i="15"/>
  <c r="I724" i="15"/>
  <c r="H724" i="15"/>
  <c r="G724" i="15"/>
  <c r="J723" i="15"/>
  <c r="I723" i="15"/>
  <c r="H723" i="15"/>
  <c r="G723" i="15"/>
  <c r="J722" i="15"/>
  <c r="I722" i="15"/>
  <c r="H722" i="15"/>
  <c r="G722" i="15"/>
  <c r="J721" i="15"/>
  <c r="I721" i="15"/>
  <c r="H721" i="15"/>
  <c r="G721" i="15"/>
  <c r="J720" i="15"/>
  <c r="I720" i="15"/>
  <c r="H720" i="15"/>
  <c r="G720" i="15"/>
  <c r="J719" i="15"/>
  <c r="I719" i="15"/>
  <c r="H719" i="15"/>
  <c r="G719" i="15"/>
  <c r="J718" i="15"/>
  <c r="I718" i="15"/>
  <c r="H718" i="15"/>
  <c r="G718" i="15"/>
  <c r="J717" i="15"/>
  <c r="I717" i="15"/>
  <c r="H717" i="15"/>
  <c r="G717" i="15"/>
  <c r="J716" i="15"/>
  <c r="I716" i="15"/>
  <c r="H716" i="15"/>
  <c r="G716" i="15"/>
  <c r="J715" i="15"/>
  <c r="I715" i="15"/>
  <c r="H715" i="15"/>
  <c r="G715" i="15"/>
  <c r="J714" i="15"/>
  <c r="I714" i="15"/>
  <c r="H714" i="15"/>
  <c r="G714" i="15"/>
  <c r="J713" i="15"/>
  <c r="I713" i="15"/>
  <c r="H713" i="15"/>
  <c r="G713" i="15"/>
  <c r="J712" i="15"/>
  <c r="I712" i="15"/>
  <c r="H712" i="15"/>
  <c r="G712" i="15"/>
  <c r="J711" i="15"/>
  <c r="I711" i="15"/>
  <c r="H711" i="15"/>
  <c r="G711" i="15"/>
  <c r="J710" i="15"/>
  <c r="I710" i="15"/>
  <c r="H710" i="15"/>
  <c r="G710" i="15"/>
  <c r="J709" i="15"/>
  <c r="I709" i="15"/>
  <c r="H709" i="15"/>
  <c r="G709" i="15"/>
  <c r="J708" i="15"/>
  <c r="I708" i="15"/>
  <c r="H708" i="15"/>
  <c r="G708" i="15"/>
  <c r="J707" i="15"/>
  <c r="I707" i="15"/>
  <c r="H707" i="15"/>
  <c r="G707" i="15"/>
  <c r="J706" i="15"/>
  <c r="I706" i="15"/>
  <c r="H706" i="15"/>
  <c r="G706" i="15"/>
  <c r="J705" i="15"/>
  <c r="I705" i="15"/>
  <c r="H705" i="15"/>
  <c r="G705" i="15"/>
  <c r="J704" i="15"/>
  <c r="I704" i="15"/>
  <c r="H704" i="15"/>
  <c r="G704" i="15"/>
  <c r="J703" i="15"/>
  <c r="I703" i="15"/>
  <c r="H703" i="15"/>
  <c r="G703" i="15"/>
  <c r="J702" i="15"/>
  <c r="I702" i="15"/>
  <c r="H702" i="15"/>
  <c r="G702" i="15"/>
  <c r="J701" i="15"/>
  <c r="I701" i="15"/>
  <c r="H701" i="15"/>
  <c r="G701" i="15"/>
  <c r="J700" i="15"/>
  <c r="I700" i="15"/>
  <c r="H700" i="15"/>
  <c r="G700" i="15"/>
  <c r="J699" i="15"/>
  <c r="I699" i="15"/>
  <c r="H699" i="15"/>
  <c r="G699" i="15"/>
  <c r="J698" i="15"/>
  <c r="I698" i="15"/>
  <c r="H698" i="15"/>
  <c r="G698" i="15"/>
  <c r="J697" i="15"/>
  <c r="I697" i="15"/>
  <c r="H697" i="15"/>
  <c r="G697" i="15"/>
  <c r="J696" i="15"/>
  <c r="I696" i="15"/>
  <c r="H696" i="15"/>
  <c r="G696" i="15"/>
  <c r="J695" i="15"/>
  <c r="I695" i="15"/>
  <c r="H695" i="15"/>
  <c r="G695" i="15"/>
  <c r="J694" i="15"/>
  <c r="I694" i="15"/>
  <c r="H694" i="15"/>
  <c r="G694" i="15"/>
  <c r="J693" i="15"/>
  <c r="I693" i="15"/>
  <c r="H693" i="15"/>
  <c r="G693" i="15"/>
  <c r="J692" i="15"/>
  <c r="I692" i="15"/>
  <c r="H692" i="15"/>
  <c r="G692" i="15"/>
  <c r="J691" i="15"/>
  <c r="I691" i="15"/>
  <c r="H691" i="15"/>
  <c r="G691" i="15"/>
  <c r="J690" i="15"/>
  <c r="I690" i="15"/>
  <c r="H690" i="15"/>
  <c r="G690" i="15"/>
  <c r="J689" i="15"/>
  <c r="I689" i="15"/>
  <c r="H689" i="15"/>
  <c r="G689" i="15"/>
  <c r="J688" i="15"/>
  <c r="I688" i="15"/>
  <c r="H688" i="15"/>
  <c r="G688" i="15"/>
  <c r="J687" i="15"/>
  <c r="I687" i="15"/>
  <c r="H687" i="15"/>
  <c r="G687" i="15"/>
  <c r="J686" i="15"/>
  <c r="I686" i="15"/>
  <c r="H686" i="15"/>
  <c r="G686" i="15"/>
  <c r="J685" i="15"/>
  <c r="I685" i="15"/>
  <c r="H685" i="15"/>
  <c r="G685" i="15"/>
  <c r="J684" i="15"/>
  <c r="I684" i="15"/>
  <c r="H684" i="15"/>
  <c r="G684" i="15"/>
  <c r="J683" i="15"/>
  <c r="I683" i="15"/>
  <c r="H683" i="15"/>
  <c r="G683" i="15"/>
  <c r="J682" i="15"/>
  <c r="I682" i="15"/>
  <c r="H682" i="15"/>
  <c r="G682" i="15"/>
  <c r="J681" i="15"/>
  <c r="I681" i="15"/>
  <c r="H681" i="15"/>
  <c r="G681" i="15"/>
  <c r="J680" i="15"/>
  <c r="I680" i="15"/>
  <c r="H680" i="15"/>
  <c r="G680" i="15"/>
  <c r="J679" i="15"/>
  <c r="I679" i="15"/>
  <c r="H679" i="15"/>
  <c r="G679" i="15"/>
  <c r="J678" i="15"/>
  <c r="I678" i="15"/>
  <c r="H678" i="15"/>
  <c r="G678" i="15"/>
  <c r="J677" i="15"/>
  <c r="I677" i="15"/>
  <c r="H677" i="15"/>
  <c r="G677" i="15"/>
  <c r="J676" i="15"/>
  <c r="I676" i="15"/>
  <c r="H676" i="15"/>
  <c r="G676" i="15"/>
  <c r="J675" i="15"/>
  <c r="I675" i="15"/>
  <c r="H675" i="15"/>
  <c r="G675" i="15"/>
  <c r="J674" i="15"/>
  <c r="I674" i="15"/>
  <c r="H674" i="15"/>
  <c r="G674" i="15"/>
  <c r="J673" i="15"/>
  <c r="I673" i="15"/>
  <c r="H673" i="15"/>
  <c r="G673" i="15"/>
  <c r="J672" i="15"/>
  <c r="I672" i="15"/>
  <c r="H672" i="15"/>
  <c r="G672" i="15"/>
  <c r="J671" i="15"/>
  <c r="I671" i="15"/>
  <c r="H671" i="15"/>
  <c r="G671" i="15"/>
  <c r="J670" i="15"/>
  <c r="I670" i="15"/>
  <c r="H670" i="15"/>
  <c r="G670" i="15"/>
  <c r="J669" i="15"/>
  <c r="I669" i="15"/>
  <c r="H669" i="15"/>
  <c r="G669" i="15"/>
  <c r="J668" i="15"/>
  <c r="I668" i="15"/>
  <c r="H668" i="15"/>
  <c r="G668" i="15"/>
  <c r="J667" i="15"/>
  <c r="I667" i="15"/>
  <c r="H667" i="15"/>
  <c r="G667" i="15"/>
  <c r="J666" i="15"/>
  <c r="I666" i="15"/>
  <c r="H666" i="15"/>
  <c r="G666" i="15"/>
  <c r="J665" i="15"/>
  <c r="I665" i="15"/>
  <c r="H665" i="15"/>
  <c r="G665" i="15"/>
  <c r="J664" i="15"/>
  <c r="I664" i="15"/>
  <c r="H664" i="15"/>
  <c r="G664" i="15"/>
  <c r="J663" i="15"/>
  <c r="I663" i="15"/>
  <c r="H663" i="15"/>
  <c r="G663" i="15"/>
  <c r="J662" i="15"/>
  <c r="I662" i="15"/>
  <c r="H662" i="15"/>
  <c r="G662" i="15"/>
  <c r="J661" i="15"/>
  <c r="I661" i="15"/>
  <c r="H661" i="15"/>
  <c r="G661" i="15"/>
  <c r="J660" i="15"/>
  <c r="I660" i="15"/>
  <c r="H660" i="15"/>
  <c r="G660" i="15"/>
  <c r="J659" i="15"/>
  <c r="I659" i="15"/>
  <c r="H659" i="15"/>
  <c r="G659" i="15"/>
  <c r="J658" i="15"/>
  <c r="I658" i="15"/>
  <c r="H658" i="15"/>
  <c r="G658" i="15"/>
  <c r="J657" i="15"/>
  <c r="I657" i="15"/>
  <c r="H657" i="15"/>
  <c r="G657" i="15"/>
  <c r="J656" i="15"/>
  <c r="I656" i="15"/>
  <c r="H656" i="15"/>
  <c r="G656" i="15"/>
  <c r="J655" i="15"/>
  <c r="I655" i="15"/>
  <c r="H655" i="15"/>
  <c r="G655" i="15"/>
  <c r="J654" i="15"/>
  <c r="I654" i="15"/>
  <c r="H654" i="15"/>
  <c r="G654" i="15"/>
  <c r="J653" i="15"/>
  <c r="I653" i="15"/>
  <c r="H653" i="15"/>
  <c r="G653" i="15"/>
  <c r="J652" i="15"/>
  <c r="I652" i="15"/>
  <c r="H652" i="15"/>
  <c r="G652" i="15"/>
  <c r="J651" i="15"/>
  <c r="I651" i="15"/>
  <c r="H651" i="15"/>
  <c r="G651" i="15"/>
  <c r="J650" i="15"/>
  <c r="I650" i="15"/>
  <c r="H650" i="15"/>
  <c r="G650" i="15"/>
  <c r="J649" i="15"/>
  <c r="I649" i="15"/>
  <c r="H649" i="15"/>
  <c r="G649" i="15"/>
  <c r="J648" i="15"/>
  <c r="I648" i="15"/>
  <c r="H648" i="15"/>
  <c r="G648" i="15"/>
  <c r="J647" i="15"/>
  <c r="I647" i="15"/>
  <c r="H647" i="15"/>
  <c r="G647" i="15"/>
  <c r="J646" i="15"/>
  <c r="I646" i="15"/>
  <c r="H646" i="15"/>
  <c r="G646" i="15"/>
  <c r="J645" i="15"/>
  <c r="I645" i="15"/>
  <c r="H645" i="15"/>
  <c r="G645" i="15"/>
  <c r="J644" i="15"/>
  <c r="I644" i="15"/>
  <c r="H644" i="15"/>
  <c r="G644" i="15"/>
  <c r="J643" i="15"/>
  <c r="I643" i="15"/>
  <c r="H643" i="15"/>
  <c r="G643" i="15"/>
  <c r="J642" i="15"/>
  <c r="I642" i="15"/>
  <c r="H642" i="15"/>
  <c r="G642" i="15"/>
  <c r="J641" i="15"/>
  <c r="I641" i="15"/>
  <c r="H641" i="15"/>
  <c r="G641" i="15"/>
  <c r="J640" i="15"/>
  <c r="I640" i="15"/>
  <c r="H640" i="15"/>
  <c r="G640" i="15"/>
  <c r="J639" i="15"/>
  <c r="I639" i="15"/>
  <c r="H639" i="15"/>
  <c r="G639" i="15"/>
  <c r="J638" i="15"/>
  <c r="I638" i="15"/>
  <c r="H638" i="15"/>
  <c r="G638" i="15"/>
  <c r="J637" i="15"/>
  <c r="I637" i="15"/>
  <c r="H637" i="15"/>
  <c r="G637" i="15"/>
  <c r="J636" i="15"/>
  <c r="I636" i="15"/>
  <c r="H636" i="15"/>
  <c r="G636" i="15"/>
  <c r="J635" i="15"/>
  <c r="I635" i="15"/>
  <c r="H635" i="15"/>
  <c r="G635" i="15"/>
  <c r="J634" i="15"/>
  <c r="I634" i="15"/>
  <c r="H634" i="15"/>
  <c r="G634" i="15"/>
  <c r="J633" i="15"/>
  <c r="I633" i="15"/>
  <c r="H633" i="15"/>
  <c r="G633" i="15"/>
  <c r="J632" i="15"/>
  <c r="I632" i="15"/>
  <c r="H632" i="15"/>
  <c r="G632" i="15"/>
  <c r="J631" i="15"/>
  <c r="I631" i="15"/>
  <c r="H631" i="15"/>
  <c r="G631" i="15"/>
  <c r="J630" i="15"/>
  <c r="I630" i="15"/>
  <c r="H630" i="15"/>
  <c r="G630" i="15"/>
  <c r="J629" i="15"/>
  <c r="I629" i="15"/>
  <c r="H629" i="15"/>
  <c r="G629" i="15"/>
  <c r="J628" i="15"/>
  <c r="I628" i="15"/>
  <c r="H628" i="15"/>
  <c r="G628" i="15"/>
  <c r="J627" i="15"/>
  <c r="I627" i="15"/>
  <c r="H627" i="15"/>
  <c r="G627" i="15"/>
  <c r="J626" i="15"/>
  <c r="I626" i="15"/>
  <c r="H626" i="15"/>
  <c r="G626" i="15"/>
  <c r="J625" i="15"/>
  <c r="I625" i="15"/>
  <c r="H625" i="15"/>
  <c r="G625" i="15"/>
  <c r="J624" i="15"/>
  <c r="I624" i="15"/>
  <c r="H624" i="15"/>
  <c r="G624" i="15"/>
  <c r="J623" i="15"/>
  <c r="I623" i="15"/>
  <c r="H623" i="15"/>
  <c r="G623" i="15"/>
  <c r="J622" i="15"/>
  <c r="I622" i="15"/>
  <c r="H622" i="15"/>
  <c r="G622" i="15"/>
  <c r="J621" i="15"/>
  <c r="I621" i="15"/>
  <c r="H621" i="15"/>
  <c r="G621" i="15"/>
  <c r="J620" i="15"/>
  <c r="I620" i="15"/>
  <c r="H620" i="15"/>
  <c r="G620" i="15"/>
  <c r="J619" i="15"/>
  <c r="I619" i="15"/>
  <c r="H619" i="15"/>
  <c r="G619" i="15"/>
  <c r="J618" i="15"/>
  <c r="I618" i="15"/>
  <c r="H618" i="15"/>
  <c r="G618" i="15"/>
  <c r="J617" i="15"/>
  <c r="I617" i="15"/>
  <c r="H617" i="15"/>
  <c r="G617" i="15"/>
  <c r="J616" i="15"/>
  <c r="I616" i="15"/>
  <c r="H616" i="15"/>
  <c r="G616" i="15"/>
  <c r="J615" i="15"/>
  <c r="I615" i="15"/>
  <c r="H615" i="15"/>
  <c r="G615" i="15"/>
  <c r="J614" i="15"/>
  <c r="I614" i="15"/>
  <c r="H614" i="15"/>
  <c r="G614" i="15"/>
  <c r="J613" i="15"/>
  <c r="I613" i="15"/>
  <c r="H613" i="15"/>
  <c r="G613" i="15"/>
  <c r="J612" i="15"/>
  <c r="I612" i="15"/>
  <c r="H612" i="15"/>
  <c r="G612" i="15"/>
  <c r="J611" i="15"/>
  <c r="I611" i="15"/>
  <c r="H611" i="15"/>
  <c r="G611" i="15"/>
  <c r="J610" i="15"/>
  <c r="I610" i="15"/>
  <c r="H610" i="15"/>
  <c r="G610" i="15"/>
  <c r="J609" i="15"/>
  <c r="I609" i="15"/>
  <c r="H609" i="15"/>
  <c r="G609" i="15"/>
  <c r="J608" i="15"/>
  <c r="I608" i="15"/>
  <c r="H608" i="15"/>
  <c r="G608" i="15"/>
  <c r="J607" i="15"/>
  <c r="I607" i="15"/>
  <c r="H607" i="15"/>
  <c r="G607" i="15"/>
  <c r="J606" i="15"/>
  <c r="I606" i="15"/>
  <c r="H606" i="15"/>
  <c r="G606" i="15"/>
  <c r="J605" i="15"/>
  <c r="I605" i="15"/>
  <c r="H605" i="15"/>
  <c r="G605" i="15"/>
  <c r="J604" i="15"/>
  <c r="I604" i="15"/>
  <c r="H604" i="15"/>
  <c r="G604" i="15"/>
  <c r="J603" i="15"/>
  <c r="I603" i="15"/>
  <c r="H603" i="15"/>
  <c r="G603" i="15"/>
  <c r="J602" i="15"/>
  <c r="I602" i="15"/>
  <c r="H602" i="15"/>
  <c r="G602" i="15"/>
  <c r="J601" i="15"/>
  <c r="I601" i="15"/>
  <c r="H601" i="15"/>
  <c r="G601" i="15"/>
  <c r="J600" i="15"/>
  <c r="I600" i="15"/>
  <c r="H600" i="15"/>
  <c r="G600" i="15"/>
  <c r="J599" i="15"/>
  <c r="I599" i="15"/>
  <c r="H599" i="15"/>
  <c r="G599" i="15"/>
  <c r="J598" i="15"/>
  <c r="I598" i="15"/>
  <c r="H598" i="15"/>
  <c r="G598" i="15"/>
  <c r="J597" i="15"/>
  <c r="I597" i="15"/>
  <c r="H597" i="15"/>
  <c r="G597" i="15"/>
  <c r="J596" i="15"/>
  <c r="I596" i="15"/>
  <c r="H596" i="15"/>
  <c r="G596" i="15"/>
  <c r="J595" i="15"/>
  <c r="I595" i="15"/>
  <c r="H595" i="15"/>
  <c r="G595" i="15"/>
  <c r="J594" i="15"/>
  <c r="I594" i="15"/>
  <c r="H594" i="15"/>
  <c r="G594" i="15"/>
  <c r="J593" i="15"/>
  <c r="I593" i="15"/>
  <c r="H593" i="15"/>
  <c r="G593" i="15"/>
  <c r="J592" i="15"/>
  <c r="I592" i="15"/>
  <c r="H592" i="15"/>
  <c r="G592" i="15"/>
  <c r="J591" i="15"/>
  <c r="I591" i="15"/>
  <c r="H591" i="15"/>
  <c r="G591" i="15"/>
  <c r="J590" i="15"/>
  <c r="I590" i="15"/>
  <c r="H590" i="15"/>
  <c r="G590" i="15"/>
  <c r="J589" i="15"/>
  <c r="I589" i="15"/>
  <c r="H589" i="15"/>
  <c r="G589" i="15"/>
  <c r="J588" i="15"/>
  <c r="I588" i="15"/>
  <c r="H588" i="15"/>
  <c r="G588" i="15"/>
  <c r="J587" i="15"/>
  <c r="I587" i="15"/>
  <c r="H587" i="15"/>
  <c r="G587" i="15"/>
  <c r="J586" i="15"/>
  <c r="I586" i="15"/>
  <c r="H586" i="15"/>
  <c r="G586" i="15"/>
  <c r="J585" i="15"/>
  <c r="I585" i="15"/>
  <c r="H585" i="15"/>
  <c r="G585" i="15"/>
  <c r="J584" i="15"/>
  <c r="I584" i="15"/>
  <c r="H584" i="15"/>
  <c r="G584" i="15"/>
  <c r="J583" i="15"/>
  <c r="I583" i="15"/>
  <c r="H583" i="15"/>
  <c r="G583" i="15"/>
  <c r="J582" i="15"/>
  <c r="I582" i="15"/>
  <c r="H582" i="15"/>
  <c r="G582" i="15"/>
  <c r="J581" i="15"/>
  <c r="I581" i="15"/>
  <c r="H581" i="15"/>
  <c r="G581" i="15"/>
  <c r="J580" i="15"/>
  <c r="I580" i="15"/>
  <c r="H580" i="15"/>
  <c r="G580" i="15"/>
  <c r="J579" i="15"/>
  <c r="I579" i="15"/>
  <c r="H579" i="15"/>
  <c r="G579" i="15"/>
  <c r="J578" i="15"/>
  <c r="I578" i="15"/>
  <c r="H578" i="15"/>
  <c r="G578" i="15"/>
  <c r="J577" i="15"/>
  <c r="I577" i="15"/>
  <c r="H577" i="15"/>
  <c r="G577" i="15"/>
  <c r="J576" i="15"/>
  <c r="I576" i="15"/>
  <c r="H576" i="15"/>
  <c r="G576" i="15"/>
  <c r="J575" i="15"/>
  <c r="I575" i="15"/>
  <c r="H575" i="15"/>
  <c r="G575" i="15"/>
  <c r="J574" i="15"/>
  <c r="I574" i="15"/>
  <c r="H574" i="15"/>
  <c r="G574" i="15"/>
  <c r="J573" i="15"/>
  <c r="I573" i="15"/>
  <c r="H573" i="15"/>
  <c r="G573" i="15"/>
  <c r="J572" i="15"/>
  <c r="I572" i="15"/>
  <c r="H572" i="15"/>
  <c r="G572" i="15"/>
  <c r="J571" i="15"/>
  <c r="I571" i="15"/>
  <c r="H571" i="15"/>
  <c r="G571" i="15"/>
  <c r="J570" i="15"/>
  <c r="I570" i="15"/>
  <c r="H570" i="15"/>
  <c r="G570" i="15"/>
  <c r="J569" i="15"/>
  <c r="I569" i="15"/>
  <c r="H569" i="15"/>
  <c r="G569" i="15"/>
  <c r="J568" i="15"/>
  <c r="I568" i="15"/>
  <c r="H568" i="15"/>
  <c r="G568" i="15"/>
  <c r="J567" i="15"/>
  <c r="I567" i="15"/>
  <c r="H567" i="15"/>
  <c r="G567" i="15"/>
  <c r="J566" i="15"/>
  <c r="I566" i="15"/>
  <c r="H566" i="15"/>
  <c r="G566" i="15"/>
  <c r="J565" i="15"/>
  <c r="I565" i="15"/>
  <c r="H565" i="15"/>
  <c r="G565" i="15"/>
  <c r="J564" i="15"/>
  <c r="I564" i="15"/>
  <c r="H564" i="15"/>
  <c r="G564" i="15"/>
  <c r="J563" i="15"/>
  <c r="I563" i="15"/>
  <c r="H563" i="15"/>
  <c r="G563" i="15"/>
  <c r="J562" i="15"/>
  <c r="I562" i="15"/>
  <c r="H562" i="15"/>
  <c r="G562" i="15"/>
  <c r="J561" i="15"/>
  <c r="I561" i="15"/>
  <c r="H561" i="15"/>
  <c r="G561" i="15"/>
  <c r="J560" i="15"/>
  <c r="I560" i="15"/>
  <c r="H560" i="15"/>
  <c r="G560" i="15"/>
  <c r="J559" i="15"/>
  <c r="I559" i="15"/>
  <c r="H559" i="15"/>
  <c r="G559" i="15"/>
  <c r="J558" i="15"/>
  <c r="I558" i="15"/>
  <c r="H558" i="15"/>
  <c r="G558" i="15"/>
  <c r="J557" i="15"/>
  <c r="I557" i="15"/>
  <c r="H557" i="15"/>
  <c r="G557" i="15"/>
  <c r="J556" i="15"/>
  <c r="I556" i="15"/>
  <c r="H556" i="15"/>
  <c r="G556" i="15"/>
  <c r="J555" i="15"/>
  <c r="I555" i="15"/>
  <c r="H555" i="15"/>
  <c r="G555" i="15"/>
  <c r="J554" i="15"/>
  <c r="I554" i="15"/>
  <c r="H554" i="15"/>
  <c r="G554" i="15"/>
  <c r="J553" i="15"/>
  <c r="I553" i="15"/>
  <c r="H553" i="15"/>
  <c r="G553" i="15"/>
  <c r="J552" i="15"/>
  <c r="I552" i="15"/>
  <c r="H552" i="15"/>
  <c r="G552" i="15"/>
  <c r="J551" i="15"/>
  <c r="I551" i="15"/>
  <c r="H551" i="15"/>
  <c r="G551" i="15"/>
  <c r="J550" i="15"/>
  <c r="I550" i="15"/>
  <c r="H550" i="15"/>
  <c r="G550" i="15"/>
  <c r="J549" i="15"/>
  <c r="I549" i="15"/>
  <c r="H549" i="15"/>
  <c r="G549" i="15"/>
  <c r="J548" i="15"/>
  <c r="I548" i="15"/>
  <c r="H548" i="15"/>
  <c r="G548" i="15"/>
  <c r="J547" i="15"/>
  <c r="I547" i="15"/>
  <c r="H547" i="15"/>
  <c r="G547" i="15"/>
  <c r="J546" i="15"/>
  <c r="I546" i="15"/>
  <c r="H546" i="15"/>
  <c r="G546" i="15"/>
  <c r="J545" i="15"/>
  <c r="I545" i="15"/>
  <c r="H545" i="15"/>
  <c r="G545" i="15"/>
  <c r="J544" i="15"/>
  <c r="I544" i="15"/>
  <c r="H544" i="15"/>
  <c r="G544" i="15"/>
  <c r="J543" i="15"/>
  <c r="I543" i="15"/>
  <c r="H543" i="15"/>
  <c r="G543" i="15"/>
  <c r="J542" i="15"/>
  <c r="I542" i="15"/>
  <c r="H542" i="15"/>
  <c r="G542" i="15"/>
  <c r="J541" i="15"/>
  <c r="I541" i="15"/>
  <c r="H541" i="15"/>
  <c r="G541" i="15"/>
  <c r="J540" i="15"/>
  <c r="I540" i="15"/>
  <c r="H540" i="15"/>
  <c r="G540" i="15"/>
  <c r="J539" i="15"/>
  <c r="I539" i="15"/>
  <c r="H539" i="15"/>
  <c r="G539" i="15"/>
  <c r="J538" i="15"/>
  <c r="I538" i="15"/>
  <c r="H538" i="15"/>
  <c r="G538" i="15"/>
  <c r="J537" i="15"/>
  <c r="I537" i="15"/>
  <c r="H537" i="15"/>
  <c r="G537" i="15"/>
  <c r="J536" i="15"/>
  <c r="I536" i="15"/>
  <c r="H536" i="15"/>
  <c r="G536" i="15"/>
  <c r="J535" i="15"/>
  <c r="I535" i="15"/>
  <c r="H535" i="15"/>
  <c r="G535" i="15"/>
  <c r="J534" i="15"/>
  <c r="I534" i="15"/>
  <c r="H534" i="15"/>
  <c r="G534" i="15"/>
  <c r="J533" i="15"/>
  <c r="I533" i="15"/>
  <c r="H533" i="15"/>
  <c r="G533" i="15"/>
  <c r="J532" i="15"/>
  <c r="I532" i="15"/>
  <c r="H532" i="15"/>
  <c r="G532" i="15"/>
  <c r="J531" i="15"/>
  <c r="I531" i="15"/>
  <c r="H531" i="15"/>
  <c r="G531" i="15"/>
  <c r="J530" i="15"/>
  <c r="I530" i="15"/>
  <c r="H530" i="15"/>
  <c r="G530" i="15"/>
  <c r="J529" i="15"/>
  <c r="I529" i="15"/>
  <c r="H529" i="15"/>
  <c r="G529" i="15"/>
  <c r="J528" i="15"/>
  <c r="I528" i="15"/>
  <c r="H528" i="15"/>
  <c r="G528" i="15"/>
  <c r="J527" i="15"/>
  <c r="I527" i="15"/>
  <c r="H527" i="15"/>
  <c r="G527" i="15"/>
  <c r="J526" i="15"/>
  <c r="I526" i="15"/>
  <c r="H526" i="15"/>
  <c r="G526" i="15"/>
  <c r="J525" i="15"/>
  <c r="I525" i="15"/>
  <c r="H525" i="15"/>
  <c r="G525" i="15"/>
  <c r="J524" i="15"/>
  <c r="I524" i="15"/>
  <c r="H524" i="15"/>
  <c r="G524" i="15"/>
  <c r="J523" i="15"/>
  <c r="I523" i="15"/>
  <c r="H523" i="15"/>
  <c r="G523" i="15"/>
  <c r="J522" i="15"/>
  <c r="I522" i="15"/>
  <c r="H522" i="15"/>
  <c r="G522" i="15"/>
  <c r="J521" i="15"/>
  <c r="I521" i="15"/>
  <c r="H521" i="15"/>
  <c r="G521" i="15"/>
  <c r="J520" i="15"/>
  <c r="I520" i="15"/>
  <c r="H520" i="15"/>
  <c r="G520" i="15"/>
  <c r="J519" i="15"/>
  <c r="I519" i="15"/>
  <c r="H519" i="15"/>
  <c r="G519" i="15"/>
  <c r="J518" i="15"/>
  <c r="I518" i="15"/>
  <c r="H518" i="15"/>
  <c r="G518" i="15"/>
  <c r="J517" i="15"/>
  <c r="I517" i="15"/>
  <c r="H517" i="15"/>
  <c r="G517" i="15"/>
  <c r="J516" i="15"/>
  <c r="I516" i="15"/>
  <c r="H516" i="15"/>
  <c r="G516" i="15"/>
  <c r="J515" i="15"/>
  <c r="I515" i="15"/>
  <c r="H515" i="15"/>
  <c r="G515" i="15"/>
  <c r="J514" i="15"/>
  <c r="I514" i="15"/>
  <c r="H514" i="15"/>
  <c r="G514" i="15"/>
  <c r="J513" i="15"/>
  <c r="I513" i="15"/>
  <c r="H513" i="15"/>
  <c r="G513" i="15"/>
  <c r="J512" i="15"/>
  <c r="I512" i="15"/>
  <c r="H512" i="15"/>
  <c r="G512" i="15"/>
  <c r="J511" i="15"/>
  <c r="I511" i="15"/>
  <c r="H511" i="15"/>
  <c r="G511" i="15"/>
  <c r="J510" i="15"/>
  <c r="I510" i="15"/>
  <c r="H510" i="15"/>
  <c r="G510" i="15"/>
  <c r="J509" i="15"/>
  <c r="I509" i="15"/>
  <c r="H509" i="15"/>
  <c r="G509" i="15"/>
  <c r="J508" i="15"/>
  <c r="I508" i="15"/>
  <c r="H508" i="15"/>
  <c r="G508" i="15"/>
  <c r="J507" i="15"/>
  <c r="I507" i="15"/>
  <c r="H507" i="15"/>
  <c r="G507" i="15"/>
  <c r="J506" i="15"/>
  <c r="I506" i="15"/>
  <c r="H506" i="15"/>
  <c r="G506" i="15"/>
  <c r="J505" i="15"/>
  <c r="I505" i="15"/>
  <c r="H505" i="15"/>
  <c r="G505" i="15"/>
  <c r="J504" i="15"/>
  <c r="I504" i="15"/>
  <c r="H504" i="15"/>
  <c r="G504" i="15"/>
  <c r="J503" i="15"/>
  <c r="I503" i="15"/>
  <c r="H503" i="15"/>
  <c r="G503" i="15"/>
  <c r="J502" i="15"/>
  <c r="I502" i="15"/>
  <c r="H502" i="15"/>
  <c r="G502" i="15"/>
  <c r="J501" i="15"/>
  <c r="I501" i="15"/>
  <c r="H501" i="15"/>
  <c r="G501" i="15"/>
  <c r="J500" i="15"/>
  <c r="I500" i="15"/>
  <c r="H500" i="15"/>
  <c r="G500" i="15"/>
  <c r="J499" i="15"/>
  <c r="I499" i="15"/>
  <c r="H499" i="15"/>
  <c r="G499" i="15"/>
  <c r="J498" i="15"/>
  <c r="I498" i="15"/>
  <c r="H498" i="15"/>
  <c r="G498" i="15"/>
  <c r="J497" i="15"/>
  <c r="I497" i="15"/>
  <c r="H497" i="15"/>
  <c r="G497" i="15"/>
  <c r="J496" i="15"/>
  <c r="I496" i="15"/>
  <c r="H496" i="15"/>
  <c r="G496" i="15"/>
  <c r="J495" i="15"/>
  <c r="I495" i="15"/>
  <c r="H495" i="15"/>
  <c r="G495" i="15"/>
  <c r="J494" i="15"/>
  <c r="I494" i="15"/>
  <c r="H494" i="15"/>
  <c r="G494" i="15"/>
  <c r="J493" i="15"/>
  <c r="I493" i="15"/>
  <c r="H493" i="15"/>
  <c r="G493" i="15"/>
  <c r="J492" i="15"/>
  <c r="I492" i="15"/>
  <c r="H492" i="15"/>
  <c r="G492" i="15"/>
  <c r="J491" i="15"/>
  <c r="I491" i="15"/>
  <c r="H491" i="15"/>
  <c r="G491" i="15"/>
  <c r="J490" i="15"/>
  <c r="I490" i="15"/>
  <c r="H490" i="15"/>
  <c r="G490" i="15"/>
  <c r="J489" i="15"/>
  <c r="I489" i="15"/>
  <c r="H489" i="15"/>
  <c r="G489" i="15"/>
  <c r="J488" i="15"/>
  <c r="I488" i="15"/>
  <c r="H488" i="15"/>
  <c r="G488" i="15"/>
  <c r="J487" i="15"/>
  <c r="I487" i="15"/>
  <c r="H487" i="15"/>
  <c r="G487" i="15"/>
  <c r="J486" i="15"/>
  <c r="I486" i="15"/>
  <c r="H486" i="15"/>
  <c r="G486" i="15"/>
  <c r="J485" i="15"/>
  <c r="I485" i="15"/>
  <c r="H485" i="15"/>
  <c r="G485" i="15"/>
  <c r="J484" i="15"/>
  <c r="I484" i="15"/>
  <c r="H484" i="15"/>
  <c r="G484" i="15"/>
  <c r="J483" i="15"/>
  <c r="I483" i="15"/>
  <c r="H483" i="15"/>
  <c r="G483" i="15"/>
  <c r="J482" i="15"/>
  <c r="I482" i="15"/>
  <c r="H482" i="15"/>
  <c r="G482" i="15"/>
  <c r="J481" i="15"/>
  <c r="I481" i="15"/>
  <c r="H481" i="15"/>
  <c r="G481" i="15"/>
  <c r="J480" i="15"/>
  <c r="I480" i="15"/>
  <c r="H480" i="15"/>
  <c r="G480" i="15"/>
  <c r="J479" i="15"/>
  <c r="I479" i="15"/>
  <c r="H479" i="15"/>
  <c r="G479" i="15"/>
  <c r="J478" i="15"/>
  <c r="I478" i="15"/>
  <c r="H478" i="15"/>
  <c r="G478" i="15"/>
  <c r="J477" i="15"/>
  <c r="I477" i="15"/>
  <c r="H477" i="15"/>
  <c r="G477" i="15"/>
  <c r="J476" i="15"/>
  <c r="I476" i="15"/>
  <c r="H476" i="15"/>
  <c r="G476" i="15"/>
  <c r="J475" i="15"/>
  <c r="I475" i="15"/>
  <c r="H475" i="15"/>
  <c r="G475" i="15"/>
  <c r="J474" i="15"/>
  <c r="I474" i="15"/>
  <c r="H474" i="15"/>
  <c r="G474" i="15"/>
  <c r="J473" i="15"/>
  <c r="I473" i="15"/>
  <c r="H473" i="15"/>
  <c r="G473" i="15"/>
  <c r="J472" i="15"/>
  <c r="I472" i="15"/>
  <c r="H472" i="15"/>
  <c r="G472" i="15"/>
  <c r="J471" i="15"/>
  <c r="I471" i="15"/>
  <c r="H471" i="15"/>
  <c r="G471" i="15"/>
  <c r="J470" i="15"/>
  <c r="I470" i="15"/>
  <c r="H470" i="15"/>
  <c r="G470" i="15"/>
  <c r="J469" i="15"/>
  <c r="I469" i="15"/>
  <c r="H469" i="15"/>
  <c r="G469" i="15"/>
  <c r="J468" i="15"/>
  <c r="I468" i="15"/>
  <c r="H468" i="15"/>
  <c r="G468" i="15"/>
  <c r="J467" i="15"/>
  <c r="I467" i="15"/>
  <c r="H467" i="15"/>
  <c r="G467" i="15"/>
  <c r="J466" i="15"/>
  <c r="I466" i="15"/>
  <c r="H466" i="15"/>
  <c r="G466" i="15"/>
  <c r="J465" i="15"/>
  <c r="I465" i="15"/>
  <c r="H465" i="15"/>
  <c r="G465" i="15"/>
  <c r="J464" i="15"/>
  <c r="I464" i="15"/>
  <c r="H464" i="15"/>
  <c r="G464" i="15"/>
  <c r="J463" i="15"/>
  <c r="I463" i="15"/>
  <c r="H463" i="15"/>
  <c r="G463" i="15"/>
  <c r="J462" i="15"/>
  <c r="I462" i="15"/>
  <c r="H462" i="15"/>
  <c r="G462" i="15"/>
  <c r="J461" i="15"/>
  <c r="I461" i="15"/>
  <c r="H461" i="15"/>
  <c r="G461" i="15"/>
  <c r="J460" i="15"/>
  <c r="I460" i="15"/>
  <c r="H460" i="15"/>
  <c r="G460" i="15"/>
  <c r="J459" i="15"/>
  <c r="I459" i="15"/>
  <c r="H459" i="15"/>
  <c r="G459" i="15"/>
  <c r="J458" i="15"/>
  <c r="I458" i="15"/>
  <c r="H458" i="15"/>
  <c r="G458" i="15"/>
  <c r="J457" i="15"/>
  <c r="I457" i="15"/>
  <c r="H457" i="15"/>
  <c r="G457" i="15"/>
  <c r="J456" i="15"/>
  <c r="I456" i="15"/>
  <c r="H456" i="15"/>
  <c r="G456" i="15"/>
  <c r="J455" i="15"/>
  <c r="I455" i="15"/>
  <c r="H455" i="15"/>
  <c r="G455" i="15"/>
  <c r="J454" i="15"/>
  <c r="I454" i="15"/>
  <c r="H454" i="15"/>
  <c r="G454" i="15"/>
  <c r="J453" i="15"/>
  <c r="I453" i="15"/>
  <c r="H453" i="15"/>
  <c r="G453" i="15"/>
  <c r="J452" i="15"/>
  <c r="I452" i="15"/>
  <c r="H452" i="15"/>
  <c r="G452" i="15"/>
  <c r="J451" i="15"/>
  <c r="I451" i="15"/>
  <c r="H451" i="15"/>
  <c r="G451" i="15"/>
  <c r="J450" i="15"/>
  <c r="I450" i="15"/>
  <c r="H450" i="15"/>
  <c r="G450" i="15"/>
  <c r="J449" i="15"/>
  <c r="I449" i="15"/>
  <c r="H449" i="15"/>
  <c r="G449" i="15"/>
  <c r="J448" i="15"/>
  <c r="I448" i="15"/>
  <c r="H448" i="15"/>
  <c r="G448" i="15"/>
  <c r="J447" i="15"/>
  <c r="I447" i="15"/>
  <c r="H447" i="15"/>
  <c r="G447" i="15"/>
  <c r="J446" i="15"/>
  <c r="I446" i="15"/>
  <c r="H446" i="15"/>
  <c r="G446" i="15"/>
  <c r="J445" i="15"/>
  <c r="I445" i="15"/>
  <c r="H445" i="15"/>
  <c r="G445" i="15"/>
  <c r="J444" i="15"/>
  <c r="I444" i="15"/>
  <c r="H444" i="15"/>
  <c r="G444" i="15"/>
  <c r="J443" i="15"/>
  <c r="I443" i="15"/>
  <c r="H443" i="15"/>
  <c r="G443" i="15"/>
  <c r="J442" i="15"/>
  <c r="I442" i="15"/>
  <c r="H442" i="15"/>
  <c r="G442" i="15"/>
  <c r="J441" i="15"/>
  <c r="I441" i="15"/>
  <c r="H441" i="15"/>
  <c r="G441" i="15"/>
  <c r="J440" i="15"/>
  <c r="I440" i="15"/>
  <c r="H440" i="15"/>
  <c r="G440" i="15"/>
  <c r="J439" i="15"/>
  <c r="I439" i="15"/>
  <c r="H439" i="15"/>
  <c r="G439" i="15"/>
  <c r="J438" i="15"/>
  <c r="I438" i="15"/>
  <c r="H438" i="15"/>
  <c r="G438" i="15"/>
  <c r="J437" i="15"/>
  <c r="I437" i="15"/>
  <c r="H437" i="15"/>
  <c r="G437" i="15"/>
  <c r="J436" i="15"/>
  <c r="I436" i="15"/>
  <c r="H436" i="15"/>
  <c r="G436" i="15"/>
  <c r="J435" i="15"/>
  <c r="I435" i="15"/>
  <c r="H435" i="15"/>
  <c r="G435" i="15"/>
  <c r="J434" i="15"/>
  <c r="I434" i="15"/>
  <c r="H434" i="15"/>
  <c r="G434" i="15"/>
  <c r="J433" i="15"/>
  <c r="I433" i="15"/>
  <c r="H433" i="15"/>
  <c r="G433" i="15"/>
  <c r="J432" i="15"/>
  <c r="I432" i="15"/>
  <c r="H432" i="15"/>
  <c r="G432" i="15"/>
  <c r="J431" i="15"/>
  <c r="I431" i="15"/>
  <c r="H431" i="15"/>
  <c r="G431" i="15"/>
  <c r="J430" i="15"/>
  <c r="I430" i="15"/>
  <c r="H430" i="15"/>
  <c r="G430" i="15"/>
  <c r="J429" i="15"/>
  <c r="I429" i="15"/>
  <c r="H429" i="15"/>
  <c r="G429" i="15"/>
  <c r="J428" i="15"/>
  <c r="I428" i="15"/>
  <c r="H428" i="15"/>
  <c r="G428" i="15"/>
  <c r="J427" i="15"/>
  <c r="I427" i="15"/>
  <c r="H427" i="15"/>
  <c r="G427" i="15"/>
  <c r="J426" i="15"/>
  <c r="I426" i="15"/>
  <c r="H426" i="15"/>
  <c r="G426" i="15"/>
  <c r="J425" i="15"/>
  <c r="I425" i="15"/>
  <c r="H425" i="15"/>
  <c r="G425" i="15"/>
  <c r="J424" i="15"/>
  <c r="I424" i="15"/>
  <c r="H424" i="15"/>
  <c r="G424" i="15"/>
  <c r="J423" i="15"/>
  <c r="I423" i="15"/>
  <c r="H423" i="15"/>
  <c r="G423" i="15"/>
  <c r="J422" i="15"/>
  <c r="I422" i="15"/>
  <c r="H422" i="15"/>
  <c r="G422" i="15"/>
  <c r="J421" i="15"/>
  <c r="I421" i="15"/>
  <c r="H421" i="15"/>
  <c r="G421" i="15"/>
  <c r="J420" i="15"/>
  <c r="I420" i="15"/>
  <c r="H420" i="15"/>
  <c r="G420" i="15"/>
  <c r="J419" i="15"/>
  <c r="I419" i="15"/>
  <c r="H419" i="15"/>
  <c r="G419" i="15"/>
  <c r="J418" i="15"/>
  <c r="I418" i="15"/>
  <c r="H418" i="15"/>
  <c r="G418" i="15"/>
  <c r="J417" i="15"/>
  <c r="I417" i="15"/>
  <c r="H417" i="15"/>
  <c r="G417" i="15"/>
  <c r="J416" i="15"/>
  <c r="I416" i="15"/>
  <c r="H416" i="15"/>
  <c r="G416" i="15"/>
  <c r="J415" i="15"/>
  <c r="I415" i="15"/>
  <c r="H415" i="15"/>
  <c r="G415" i="15"/>
  <c r="J414" i="15"/>
  <c r="I414" i="15"/>
  <c r="H414" i="15"/>
  <c r="G414" i="15"/>
  <c r="J413" i="15"/>
  <c r="I413" i="15"/>
  <c r="H413" i="15"/>
  <c r="G413" i="15"/>
  <c r="J412" i="15"/>
  <c r="I412" i="15"/>
  <c r="H412" i="15"/>
  <c r="G412" i="15"/>
  <c r="J411" i="15"/>
  <c r="I411" i="15"/>
  <c r="H411" i="15"/>
  <c r="G411" i="15"/>
  <c r="J410" i="15"/>
  <c r="I410" i="15"/>
  <c r="H410" i="15"/>
  <c r="G410" i="15"/>
  <c r="J409" i="15"/>
  <c r="I409" i="15"/>
  <c r="H409" i="15"/>
  <c r="G409" i="15"/>
  <c r="J408" i="15"/>
  <c r="I408" i="15"/>
  <c r="H408" i="15"/>
  <c r="G408" i="15"/>
  <c r="J407" i="15"/>
  <c r="I407" i="15"/>
  <c r="H407" i="15"/>
  <c r="G407" i="15"/>
  <c r="J406" i="15"/>
  <c r="I406" i="15"/>
  <c r="H406" i="15"/>
  <c r="G406" i="15"/>
  <c r="J405" i="15"/>
  <c r="I405" i="15"/>
  <c r="H405" i="15"/>
  <c r="G405" i="15"/>
  <c r="J404" i="15"/>
  <c r="I404" i="15"/>
  <c r="H404" i="15"/>
  <c r="G404" i="15"/>
  <c r="J403" i="15"/>
  <c r="I403" i="15"/>
  <c r="H403" i="15"/>
  <c r="G403" i="15"/>
  <c r="J402" i="15"/>
  <c r="I402" i="15"/>
  <c r="H402" i="15"/>
  <c r="G402" i="15"/>
  <c r="J401" i="15"/>
  <c r="I401" i="15"/>
  <c r="H401" i="15"/>
  <c r="G401" i="15"/>
  <c r="J400" i="15"/>
  <c r="I400" i="15"/>
  <c r="H400" i="15"/>
  <c r="G400" i="15"/>
  <c r="J399" i="15"/>
  <c r="I399" i="15"/>
  <c r="H399" i="15"/>
  <c r="G399" i="15"/>
  <c r="J398" i="15"/>
  <c r="I398" i="15"/>
  <c r="H398" i="15"/>
  <c r="G398" i="15"/>
  <c r="J397" i="15"/>
  <c r="I397" i="15"/>
  <c r="H397" i="15"/>
  <c r="G397" i="15"/>
  <c r="J396" i="15"/>
  <c r="I396" i="15"/>
  <c r="H396" i="15"/>
  <c r="G396" i="15"/>
  <c r="J395" i="15"/>
  <c r="I395" i="15"/>
  <c r="H395" i="15"/>
  <c r="G395" i="15"/>
  <c r="J394" i="15"/>
  <c r="I394" i="15"/>
  <c r="H394" i="15"/>
  <c r="G394" i="15"/>
  <c r="J393" i="15"/>
  <c r="I393" i="15"/>
  <c r="H393" i="15"/>
  <c r="G393" i="15"/>
  <c r="J392" i="15"/>
  <c r="I392" i="15"/>
  <c r="H392" i="15"/>
  <c r="G392" i="15"/>
  <c r="J391" i="15"/>
  <c r="I391" i="15"/>
  <c r="H391" i="15"/>
  <c r="G391" i="15"/>
  <c r="J390" i="15"/>
  <c r="I390" i="15"/>
  <c r="H390" i="15"/>
  <c r="G390" i="15"/>
  <c r="J389" i="15"/>
  <c r="I389" i="15"/>
  <c r="H389" i="15"/>
  <c r="G389" i="15"/>
  <c r="J388" i="15"/>
  <c r="I388" i="15"/>
  <c r="H388" i="15"/>
  <c r="G388" i="15"/>
  <c r="J387" i="15"/>
  <c r="I387" i="15"/>
  <c r="H387" i="15"/>
  <c r="G387" i="15"/>
  <c r="J386" i="15"/>
  <c r="I386" i="15"/>
  <c r="H386" i="15"/>
  <c r="G386" i="15"/>
  <c r="J385" i="15"/>
  <c r="I385" i="15"/>
  <c r="H385" i="15"/>
  <c r="G385" i="15"/>
  <c r="J384" i="15"/>
  <c r="I384" i="15"/>
  <c r="H384" i="15"/>
  <c r="G384" i="15"/>
  <c r="J383" i="15"/>
  <c r="I383" i="15"/>
  <c r="H383" i="15"/>
  <c r="G383" i="15"/>
  <c r="J382" i="15"/>
  <c r="I382" i="15"/>
  <c r="H382" i="15"/>
  <c r="G382" i="15"/>
  <c r="J381" i="15"/>
  <c r="I381" i="15"/>
  <c r="H381" i="15"/>
  <c r="G381" i="15"/>
  <c r="J380" i="15"/>
  <c r="I380" i="15"/>
  <c r="H380" i="15"/>
  <c r="G380" i="15"/>
  <c r="J379" i="15"/>
  <c r="I379" i="15"/>
  <c r="H379" i="15"/>
  <c r="G379" i="15"/>
  <c r="J378" i="15"/>
  <c r="I378" i="15"/>
  <c r="H378" i="15"/>
  <c r="G378" i="15"/>
  <c r="J377" i="15"/>
  <c r="I377" i="15"/>
  <c r="H377" i="15"/>
  <c r="G377" i="15"/>
  <c r="J376" i="15"/>
  <c r="I376" i="15"/>
  <c r="H376" i="15"/>
  <c r="G376" i="15"/>
  <c r="J375" i="15"/>
  <c r="I375" i="15"/>
  <c r="H375" i="15"/>
  <c r="G375" i="15"/>
  <c r="J374" i="15"/>
  <c r="I374" i="15"/>
  <c r="H374" i="15"/>
  <c r="G374" i="15"/>
  <c r="J373" i="15"/>
  <c r="I373" i="15"/>
  <c r="H373" i="15"/>
  <c r="G373" i="15"/>
  <c r="J372" i="15"/>
  <c r="I372" i="15"/>
  <c r="H372" i="15"/>
  <c r="G372" i="15"/>
  <c r="J371" i="15"/>
  <c r="I371" i="15"/>
  <c r="H371" i="15"/>
  <c r="G371" i="15"/>
  <c r="J370" i="15"/>
  <c r="I370" i="15"/>
  <c r="H370" i="15"/>
  <c r="G370" i="15"/>
  <c r="J369" i="15"/>
  <c r="I369" i="15"/>
  <c r="H369" i="15"/>
  <c r="G369" i="15"/>
  <c r="J368" i="15"/>
  <c r="I368" i="15"/>
  <c r="H368" i="15"/>
  <c r="G368" i="15"/>
  <c r="J367" i="15"/>
  <c r="I367" i="15"/>
  <c r="H367" i="15"/>
  <c r="G367" i="15"/>
  <c r="J366" i="15"/>
  <c r="I366" i="15"/>
  <c r="H366" i="15"/>
  <c r="G366" i="15"/>
  <c r="J365" i="15"/>
  <c r="I365" i="15"/>
  <c r="H365" i="15"/>
  <c r="G365" i="15"/>
  <c r="J364" i="15"/>
  <c r="I364" i="15"/>
  <c r="H364" i="15"/>
  <c r="G364" i="15"/>
  <c r="J363" i="15"/>
  <c r="I363" i="15"/>
  <c r="H363" i="15"/>
  <c r="G363" i="15"/>
  <c r="J362" i="15"/>
  <c r="I362" i="15"/>
  <c r="H362" i="15"/>
  <c r="G362" i="15"/>
  <c r="J361" i="15"/>
  <c r="I361" i="15"/>
  <c r="H361" i="15"/>
  <c r="G361" i="15"/>
  <c r="J360" i="15"/>
  <c r="I360" i="15"/>
  <c r="H360" i="15"/>
  <c r="G360" i="15"/>
  <c r="J359" i="15"/>
  <c r="I359" i="15"/>
  <c r="H359" i="15"/>
  <c r="G359" i="15"/>
  <c r="J358" i="15"/>
  <c r="I358" i="15"/>
  <c r="H358" i="15"/>
  <c r="G358" i="15"/>
  <c r="J357" i="15"/>
  <c r="I357" i="15"/>
  <c r="H357" i="15"/>
  <c r="G357" i="15"/>
  <c r="J356" i="15"/>
  <c r="I356" i="15"/>
  <c r="H356" i="15"/>
  <c r="G356" i="15"/>
  <c r="J355" i="15"/>
  <c r="I355" i="15"/>
  <c r="H355" i="15"/>
  <c r="G355" i="15"/>
  <c r="J354" i="15"/>
  <c r="I354" i="15"/>
  <c r="H354" i="15"/>
  <c r="G354" i="15"/>
  <c r="J353" i="15"/>
  <c r="I353" i="15"/>
  <c r="H353" i="15"/>
  <c r="G353" i="15"/>
  <c r="J352" i="15"/>
  <c r="I352" i="15"/>
  <c r="H352" i="15"/>
  <c r="G352" i="15"/>
  <c r="J351" i="15"/>
  <c r="I351" i="15"/>
  <c r="H351" i="15"/>
  <c r="G351" i="15"/>
  <c r="J350" i="15"/>
  <c r="I350" i="15"/>
  <c r="H350" i="15"/>
  <c r="G350" i="15"/>
  <c r="J349" i="15"/>
  <c r="I349" i="15"/>
  <c r="H349" i="15"/>
  <c r="G349" i="15"/>
  <c r="J348" i="15"/>
  <c r="I348" i="15"/>
  <c r="H348" i="15"/>
  <c r="G348" i="15"/>
  <c r="J347" i="15"/>
  <c r="I347" i="15"/>
  <c r="H347" i="15"/>
  <c r="G347" i="15"/>
  <c r="J346" i="15"/>
  <c r="I346" i="15"/>
  <c r="H346" i="15"/>
  <c r="G346" i="15"/>
  <c r="J345" i="15"/>
  <c r="I345" i="15"/>
  <c r="H345" i="15"/>
  <c r="G345" i="15"/>
  <c r="J344" i="15"/>
  <c r="I344" i="15"/>
  <c r="H344" i="15"/>
  <c r="G344" i="15"/>
  <c r="J343" i="15"/>
  <c r="I343" i="15"/>
  <c r="H343" i="15"/>
  <c r="G343" i="15"/>
  <c r="J342" i="15"/>
  <c r="I342" i="15"/>
  <c r="H342" i="15"/>
  <c r="G342" i="15"/>
  <c r="J341" i="15"/>
  <c r="I341" i="15"/>
  <c r="H341" i="15"/>
  <c r="G341" i="15"/>
  <c r="J340" i="15"/>
  <c r="I340" i="15"/>
  <c r="H340" i="15"/>
  <c r="G340" i="15"/>
  <c r="J339" i="15"/>
  <c r="I339" i="15"/>
  <c r="H339" i="15"/>
  <c r="G339" i="15"/>
  <c r="J338" i="15"/>
  <c r="I338" i="15"/>
  <c r="H338" i="15"/>
  <c r="G338" i="15"/>
  <c r="J337" i="15"/>
  <c r="I337" i="15"/>
  <c r="H337" i="15"/>
  <c r="G337" i="15"/>
  <c r="J336" i="15"/>
  <c r="I336" i="15"/>
  <c r="H336" i="15"/>
  <c r="G336" i="15"/>
  <c r="J335" i="15"/>
  <c r="I335" i="15"/>
  <c r="H335" i="15"/>
  <c r="G335" i="15"/>
  <c r="J334" i="15"/>
  <c r="I334" i="15"/>
  <c r="H334" i="15"/>
  <c r="G334" i="15"/>
  <c r="J333" i="15"/>
  <c r="I333" i="15"/>
  <c r="H333" i="15"/>
  <c r="G333" i="15"/>
  <c r="J332" i="15"/>
  <c r="I332" i="15"/>
  <c r="H332" i="15"/>
  <c r="G332" i="15"/>
  <c r="J331" i="15"/>
  <c r="I331" i="15"/>
  <c r="H331" i="15"/>
  <c r="G331" i="15"/>
  <c r="J330" i="15"/>
  <c r="I330" i="15"/>
  <c r="H330" i="15"/>
  <c r="G330" i="15"/>
  <c r="J329" i="15"/>
  <c r="I329" i="15"/>
  <c r="H329" i="15"/>
  <c r="G329" i="15"/>
  <c r="J328" i="15"/>
  <c r="I328" i="15"/>
  <c r="H328" i="15"/>
  <c r="G328" i="15"/>
  <c r="J327" i="15"/>
  <c r="I327" i="15"/>
  <c r="H327" i="15"/>
  <c r="G327" i="15"/>
  <c r="J326" i="15"/>
  <c r="I326" i="15"/>
  <c r="H326" i="15"/>
  <c r="G326" i="15"/>
  <c r="J325" i="15"/>
  <c r="I325" i="15"/>
  <c r="H325" i="15"/>
  <c r="G325" i="15"/>
  <c r="J324" i="15"/>
  <c r="I324" i="15"/>
  <c r="H324" i="15"/>
  <c r="G324" i="15"/>
  <c r="J323" i="15"/>
  <c r="I323" i="15"/>
  <c r="H323" i="15"/>
  <c r="G323" i="15"/>
  <c r="J322" i="15"/>
  <c r="I322" i="15"/>
  <c r="H322" i="15"/>
  <c r="G322" i="15"/>
  <c r="J321" i="15"/>
  <c r="I321" i="15"/>
  <c r="H321" i="15"/>
  <c r="G321" i="15"/>
  <c r="J320" i="15"/>
  <c r="I320" i="15"/>
  <c r="H320" i="15"/>
  <c r="G320" i="15"/>
  <c r="J319" i="15"/>
  <c r="I319" i="15"/>
  <c r="H319" i="15"/>
  <c r="G319" i="15"/>
  <c r="J318" i="15"/>
  <c r="I318" i="15"/>
  <c r="H318" i="15"/>
  <c r="G318" i="15"/>
  <c r="J317" i="15"/>
  <c r="I317" i="15"/>
  <c r="H317" i="15"/>
  <c r="G317" i="15"/>
  <c r="J316" i="15"/>
  <c r="I316" i="15"/>
  <c r="H316" i="15"/>
  <c r="G316" i="15"/>
  <c r="J315" i="15"/>
  <c r="I315" i="15"/>
  <c r="H315" i="15"/>
  <c r="G315" i="15"/>
  <c r="J314" i="15"/>
  <c r="I314" i="15"/>
  <c r="H314" i="15"/>
  <c r="G314" i="15"/>
  <c r="J313" i="15"/>
  <c r="I313" i="15"/>
  <c r="H313" i="15"/>
  <c r="G313" i="15"/>
  <c r="J312" i="15"/>
  <c r="I312" i="15"/>
  <c r="H312" i="15"/>
  <c r="G312" i="15"/>
  <c r="J311" i="15"/>
  <c r="I311" i="15"/>
  <c r="H311" i="15"/>
  <c r="G311" i="15"/>
  <c r="J310" i="15"/>
  <c r="I310" i="15"/>
  <c r="H310" i="15"/>
  <c r="G310" i="15"/>
  <c r="J309" i="15"/>
  <c r="I309" i="15"/>
  <c r="H309" i="15"/>
  <c r="G309" i="15"/>
  <c r="J308" i="15"/>
  <c r="I308" i="15"/>
  <c r="H308" i="15"/>
  <c r="G308" i="15"/>
  <c r="J307" i="15"/>
  <c r="I307" i="15"/>
  <c r="H307" i="15"/>
  <c r="G307" i="15"/>
  <c r="J306" i="15"/>
  <c r="I306" i="15"/>
  <c r="H306" i="15"/>
  <c r="G306" i="15"/>
  <c r="J305" i="15"/>
  <c r="I305" i="15"/>
  <c r="H305" i="15"/>
  <c r="G305" i="15"/>
  <c r="J304" i="15"/>
  <c r="I304" i="15"/>
  <c r="H304" i="15"/>
  <c r="G304" i="15"/>
  <c r="J303" i="15"/>
  <c r="I303" i="15"/>
  <c r="H303" i="15"/>
  <c r="G303" i="15"/>
  <c r="J302" i="15"/>
  <c r="I302" i="15"/>
  <c r="H302" i="15"/>
  <c r="G302" i="15"/>
  <c r="J301" i="15"/>
  <c r="I301" i="15"/>
  <c r="H301" i="15"/>
  <c r="G301" i="15"/>
  <c r="J300" i="15"/>
  <c r="I300" i="15"/>
  <c r="H300" i="15"/>
  <c r="G300" i="15"/>
  <c r="J299" i="15"/>
  <c r="I299" i="15"/>
  <c r="H299" i="15"/>
  <c r="G299" i="15"/>
  <c r="J298" i="15"/>
  <c r="I298" i="15"/>
  <c r="H298" i="15"/>
  <c r="G298" i="15"/>
  <c r="J297" i="15"/>
  <c r="I297" i="15"/>
  <c r="H297" i="15"/>
  <c r="G297" i="15"/>
  <c r="J296" i="15"/>
  <c r="I296" i="15"/>
  <c r="H296" i="15"/>
  <c r="G296" i="15"/>
  <c r="J295" i="15"/>
  <c r="I295" i="15"/>
  <c r="H295" i="15"/>
  <c r="G295" i="15"/>
  <c r="J294" i="15"/>
  <c r="I294" i="15"/>
  <c r="H294" i="15"/>
  <c r="G294" i="15"/>
  <c r="J293" i="15"/>
  <c r="I293" i="15"/>
  <c r="H293" i="15"/>
  <c r="G293" i="15"/>
  <c r="J292" i="15"/>
  <c r="I292" i="15"/>
  <c r="H292" i="15"/>
  <c r="G292" i="15"/>
  <c r="J291" i="15"/>
  <c r="I291" i="15"/>
  <c r="H291" i="15"/>
  <c r="G291" i="15"/>
  <c r="J290" i="15"/>
  <c r="I290" i="15"/>
  <c r="H290" i="15"/>
  <c r="G290" i="15"/>
  <c r="J289" i="15"/>
  <c r="I289" i="15"/>
  <c r="H289" i="15"/>
  <c r="G289" i="15"/>
  <c r="J288" i="15"/>
  <c r="I288" i="15"/>
  <c r="H288" i="15"/>
  <c r="G288" i="15"/>
  <c r="J287" i="15"/>
  <c r="I287" i="15"/>
  <c r="H287" i="15"/>
  <c r="G287" i="15"/>
  <c r="J286" i="15"/>
  <c r="I286" i="15"/>
  <c r="H286" i="15"/>
  <c r="G286" i="15"/>
  <c r="J285" i="15"/>
  <c r="I285" i="15"/>
  <c r="H285" i="15"/>
  <c r="G285" i="15"/>
  <c r="J284" i="15"/>
  <c r="I284" i="15"/>
  <c r="H284" i="15"/>
  <c r="G284" i="15"/>
  <c r="J283" i="15"/>
  <c r="I283" i="15"/>
  <c r="H283" i="15"/>
  <c r="G283" i="15"/>
  <c r="J282" i="15"/>
  <c r="I282" i="15"/>
  <c r="H282" i="15"/>
  <c r="G282" i="15"/>
  <c r="J281" i="15"/>
  <c r="I281" i="15"/>
  <c r="H281" i="15"/>
  <c r="G281" i="15"/>
  <c r="J280" i="15"/>
  <c r="I280" i="15"/>
  <c r="H280" i="15"/>
  <c r="G280" i="15"/>
  <c r="J279" i="15"/>
  <c r="I279" i="15"/>
  <c r="H279" i="15"/>
  <c r="G279" i="15"/>
  <c r="J278" i="15"/>
  <c r="I278" i="15"/>
  <c r="H278" i="15"/>
  <c r="G278" i="15"/>
  <c r="J277" i="15"/>
  <c r="I277" i="15"/>
  <c r="H277" i="15"/>
  <c r="G277" i="15"/>
  <c r="J276" i="15"/>
  <c r="I276" i="15"/>
  <c r="H276" i="15"/>
  <c r="G276" i="15"/>
  <c r="J275" i="15"/>
  <c r="I275" i="15"/>
  <c r="H275" i="15"/>
  <c r="G275" i="15"/>
  <c r="J274" i="15"/>
  <c r="I274" i="15"/>
  <c r="H274" i="15"/>
  <c r="G274" i="15"/>
  <c r="J273" i="15"/>
  <c r="I273" i="15"/>
  <c r="H273" i="15"/>
  <c r="G273" i="15"/>
  <c r="J272" i="15"/>
  <c r="I272" i="15"/>
  <c r="H272" i="15"/>
  <c r="G272" i="15"/>
  <c r="J271" i="15"/>
  <c r="I271" i="15"/>
  <c r="H271" i="15"/>
  <c r="G271" i="15"/>
  <c r="J270" i="15"/>
  <c r="I270" i="15"/>
  <c r="H270" i="15"/>
  <c r="G270" i="15"/>
  <c r="J269" i="15"/>
  <c r="I269" i="15"/>
  <c r="H269" i="15"/>
  <c r="G269" i="15"/>
  <c r="J268" i="15"/>
  <c r="I268" i="15"/>
  <c r="H268" i="15"/>
  <c r="G268" i="15"/>
  <c r="J267" i="15"/>
  <c r="I267" i="15"/>
  <c r="H267" i="15"/>
  <c r="G267" i="15"/>
  <c r="J266" i="15"/>
  <c r="I266" i="15"/>
  <c r="H266" i="15"/>
  <c r="G266" i="15"/>
  <c r="J265" i="15"/>
  <c r="I265" i="15"/>
  <c r="H265" i="15"/>
  <c r="G265" i="15"/>
  <c r="J264" i="15"/>
  <c r="I264" i="15"/>
  <c r="H264" i="15"/>
  <c r="G264" i="15"/>
  <c r="J263" i="15"/>
  <c r="I263" i="15"/>
  <c r="H263" i="15"/>
  <c r="G263" i="15"/>
  <c r="J262" i="15"/>
  <c r="I262" i="15"/>
  <c r="H262" i="15"/>
  <c r="G262" i="15"/>
  <c r="J261" i="15"/>
  <c r="I261" i="15"/>
  <c r="H261" i="15"/>
  <c r="G261" i="15"/>
  <c r="J260" i="15"/>
  <c r="I260" i="15"/>
  <c r="H260" i="15"/>
  <c r="G260" i="15"/>
  <c r="J259" i="15"/>
  <c r="I259" i="15"/>
  <c r="H259" i="15"/>
  <c r="G259" i="15"/>
  <c r="J258" i="15"/>
  <c r="I258" i="15"/>
  <c r="H258" i="15"/>
  <c r="G258" i="15"/>
  <c r="J257" i="15"/>
  <c r="I257" i="15"/>
  <c r="H257" i="15"/>
  <c r="G257" i="15"/>
  <c r="J256" i="15"/>
  <c r="I256" i="15"/>
  <c r="H256" i="15"/>
  <c r="G256" i="15"/>
  <c r="J255" i="15"/>
  <c r="I255" i="15"/>
  <c r="H255" i="15"/>
  <c r="G255" i="15"/>
  <c r="J254" i="15"/>
  <c r="I254" i="15"/>
  <c r="H254" i="15"/>
  <c r="G254" i="15"/>
  <c r="J253" i="15"/>
  <c r="I253" i="15"/>
  <c r="H253" i="15"/>
  <c r="G253" i="15"/>
  <c r="J252" i="15"/>
  <c r="I252" i="15"/>
  <c r="H252" i="15"/>
  <c r="G252" i="15"/>
  <c r="J251" i="15"/>
  <c r="I251" i="15"/>
  <c r="H251" i="15"/>
  <c r="G251" i="15"/>
  <c r="J250" i="15"/>
  <c r="I250" i="15"/>
  <c r="H250" i="15"/>
  <c r="G250" i="15"/>
  <c r="J249" i="15"/>
  <c r="I249" i="15"/>
  <c r="H249" i="15"/>
  <c r="G249" i="15"/>
  <c r="J248" i="15"/>
  <c r="I248" i="15"/>
  <c r="H248" i="15"/>
  <c r="G248" i="15"/>
  <c r="J247" i="15"/>
  <c r="I247" i="15"/>
  <c r="H247" i="15"/>
  <c r="G247" i="15"/>
  <c r="J246" i="15"/>
  <c r="I246" i="15"/>
  <c r="H246" i="15"/>
  <c r="G246" i="15"/>
  <c r="J245" i="15"/>
  <c r="I245" i="15"/>
  <c r="H245" i="15"/>
  <c r="G245" i="15"/>
  <c r="J244" i="15"/>
  <c r="I244" i="15"/>
  <c r="H244" i="15"/>
  <c r="G244" i="15"/>
  <c r="J243" i="15"/>
  <c r="I243" i="15"/>
  <c r="H243" i="15"/>
  <c r="G243" i="15"/>
  <c r="J242" i="15"/>
  <c r="I242" i="15"/>
  <c r="H242" i="15"/>
  <c r="G242" i="15"/>
  <c r="J241" i="15"/>
  <c r="I241" i="15"/>
  <c r="H241" i="15"/>
  <c r="G241" i="15"/>
  <c r="J240" i="15"/>
  <c r="I240" i="15"/>
  <c r="H240" i="15"/>
  <c r="G240" i="15"/>
  <c r="J239" i="15"/>
  <c r="I239" i="15"/>
  <c r="H239" i="15"/>
  <c r="G239" i="15"/>
  <c r="J238" i="15"/>
  <c r="I238" i="15"/>
  <c r="H238" i="15"/>
  <c r="G238" i="15"/>
  <c r="J237" i="15"/>
  <c r="I237" i="15"/>
  <c r="H237" i="15"/>
  <c r="G237" i="15"/>
  <c r="J236" i="15"/>
  <c r="I236" i="15"/>
  <c r="H236" i="15"/>
  <c r="G236" i="15"/>
  <c r="J235" i="15"/>
  <c r="I235" i="15"/>
  <c r="H235" i="15"/>
  <c r="G235" i="15"/>
  <c r="J234" i="15"/>
  <c r="I234" i="15"/>
  <c r="H234" i="15"/>
  <c r="G234" i="15"/>
  <c r="J233" i="15"/>
  <c r="I233" i="15"/>
  <c r="H233" i="15"/>
  <c r="G233" i="15"/>
  <c r="J232" i="15"/>
  <c r="I232" i="15"/>
  <c r="H232" i="15"/>
  <c r="G232" i="15"/>
  <c r="J231" i="15"/>
  <c r="I231" i="15"/>
  <c r="H231" i="15"/>
  <c r="G231" i="15"/>
  <c r="J230" i="15"/>
  <c r="I230" i="15"/>
  <c r="H230" i="15"/>
  <c r="G230" i="15"/>
  <c r="J229" i="15"/>
  <c r="I229" i="15"/>
  <c r="H229" i="15"/>
  <c r="G229" i="15"/>
  <c r="J228" i="15"/>
  <c r="I228" i="15"/>
  <c r="H228" i="15"/>
  <c r="G228" i="15"/>
  <c r="J227" i="15"/>
  <c r="I227" i="15"/>
  <c r="H227" i="15"/>
  <c r="G227" i="15"/>
  <c r="J226" i="15"/>
  <c r="I226" i="15"/>
  <c r="H226" i="15"/>
  <c r="G226" i="15"/>
  <c r="J225" i="15"/>
  <c r="I225" i="15"/>
  <c r="H225" i="15"/>
  <c r="G225" i="15"/>
  <c r="J224" i="15"/>
  <c r="I224" i="15"/>
  <c r="H224" i="15"/>
  <c r="G224" i="15"/>
  <c r="J223" i="15"/>
  <c r="I223" i="15"/>
  <c r="H223" i="15"/>
  <c r="G223" i="15"/>
  <c r="J222" i="15"/>
  <c r="I222" i="15"/>
  <c r="H222" i="15"/>
  <c r="G222" i="15"/>
  <c r="J221" i="15"/>
  <c r="I221" i="15"/>
  <c r="H221" i="15"/>
  <c r="G221" i="15"/>
  <c r="J220" i="15"/>
  <c r="I220" i="15"/>
  <c r="H220" i="15"/>
  <c r="G220" i="15"/>
  <c r="J219" i="15"/>
  <c r="I219" i="15"/>
  <c r="H219" i="15"/>
  <c r="G219" i="15"/>
  <c r="J218" i="15"/>
  <c r="I218" i="15"/>
  <c r="H218" i="15"/>
  <c r="G218" i="15"/>
  <c r="J217" i="15"/>
  <c r="I217" i="15"/>
  <c r="H217" i="15"/>
  <c r="G217" i="15"/>
  <c r="J216" i="15"/>
  <c r="I216" i="15"/>
  <c r="H216" i="15"/>
  <c r="G216" i="15"/>
  <c r="J215" i="15"/>
  <c r="I215" i="15"/>
  <c r="H215" i="15"/>
  <c r="G215" i="15"/>
  <c r="J214" i="15"/>
  <c r="I214" i="15"/>
  <c r="H214" i="15"/>
  <c r="G214" i="15"/>
  <c r="J213" i="15"/>
  <c r="I213" i="15"/>
  <c r="H213" i="15"/>
  <c r="G213" i="15"/>
  <c r="J212" i="15"/>
  <c r="I212" i="15"/>
  <c r="H212" i="15"/>
  <c r="G212" i="15"/>
  <c r="J211" i="15"/>
  <c r="I211" i="15"/>
  <c r="H211" i="15"/>
  <c r="G211" i="15"/>
  <c r="J210" i="15"/>
  <c r="I210" i="15"/>
  <c r="H210" i="15"/>
  <c r="G210" i="15"/>
  <c r="J209" i="15"/>
  <c r="I209" i="15"/>
  <c r="H209" i="15"/>
  <c r="G209" i="15"/>
  <c r="J208" i="15"/>
  <c r="I208" i="15"/>
  <c r="H208" i="15"/>
  <c r="G208" i="15"/>
  <c r="J207" i="15"/>
  <c r="I207" i="15"/>
  <c r="H207" i="15"/>
  <c r="G207" i="15"/>
  <c r="J206" i="15"/>
  <c r="I206" i="15"/>
  <c r="H206" i="15"/>
  <c r="G206" i="15"/>
  <c r="J205" i="15"/>
  <c r="I205" i="15"/>
  <c r="H205" i="15"/>
  <c r="G205" i="15"/>
  <c r="J204" i="15"/>
  <c r="I204" i="15"/>
  <c r="H204" i="15"/>
  <c r="G204" i="15"/>
  <c r="J203" i="15"/>
  <c r="I203" i="15"/>
  <c r="H203" i="15"/>
  <c r="G203" i="15"/>
  <c r="J202" i="15"/>
  <c r="I202" i="15"/>
  <c r="H202" i="15"/>
  <c r="G202" i="15"/>
  <c r="J201" i="15"/>
  <c r="I201" i="15"/>
  <c r="H201" i="15"/>
  <c r="G201" i="15"/>
  <c r="J200" i="15"/>
  <c r="I200" i="15"/>
  <c r="H200" i="15"/>
  <c r="G200" i="15"/>
  <c r="J199" i="15"/>
  <c r="I199" i="15"/>
  <c r="H199" i="15"/>
  <c r="G199" i="15"/>
  <c r="J198" i="15"/>
  <c r="I198" i="15"/>
  <c r="H198" i="15"/>
  <c r="G198" i="15"/>
  <c r="J197" i="15"/>
  <c r="I197" i="15"/>
  <c r="H197" i="15"/>
  <c r="G197" i="15"/>
  <c r="J196" i="15"/>
  <c r="I196" i="15"/>
  <c r="H196" i="15"/>
  <c r="G196" i="15"/>
  <c r="J195" i="15"/>
  <c r="I195" i="15"/>
  <c r="H195" i="15"/>
  <c r="G195" i="15"/>
  <c r="J194" i="15"/>
  <c r="I194" i="15"/>
  <c r="H194" i="15"/>
  <c r="G194" i="15"/>
  <c r="J193" i="15"/>
  <c r="I193" i="15"/>
  <c r="H193" i="15"/>
  <c r="G193" i="15"/>
  <c r="J192" i="15"/>
  <c r="I192" i="15"/>
  <c r="H192" i="15"/>
  <c r="G192" i="15"/>
  <c r="J191" i="15"/>
  <c r="I191" i="15"/>
  <c r="H191" i="15"/>
  <c r="G191" i="15"/>
  <c r="J190" i="15"/>
  <c r="I190" i="15"/>
  <c r="H190" i="15"/>
  <c r="G190" i="15"/>
  <c r="J189" i="15"/>
  <c r="I189" i="15"/>
  <c r="H189" i="15"/>
  <c r="G189" i="15"/>
  <c r="J188" i="15"/>
  <c r="I188" i="15"/>
  <c r="H188" i="15"/>
  <c r="G188" i="15"/>
  <c r="J187" i="15"/>
  <c r="I187" i="15"/>
  <c r="H187" i="15"/>
  <c r="G187" i="15"/>
  <c r="J186" i="15"/>
  <c r="I186" i="15"/>
  <c r="H186" i="15"/>
  <c r="G186" i="15"/>
  <c r="J185" i="15"/>
  <c r="I185" i="15"/>
  <c r="H185" i="15"/>
  <c r="G185" i="15"/>
  <c r="J184" i="15"/>
  <c r="I184" i="15"/>
  <c r="H184" i="15"/>
  <c r="G184" i="15"/>
  <c r="J183" i="15"/>
  <c r="I183" i="15"/>
  <c r="H183" i="15"/>
  <c r="G183" i="15"/>
  <c r="J182" i="15"/>
  <c r="I182" i="15"/>
  <c r="H182" i="15"/>
  <c r="G182" i="15"/>
  <c r="J181" i="15"/>
  <c r="I181" i="15"/>
  <c r="H181" i="15"/>
  <c r="G181" i="15"/>
  <c r="J180" i="15"/>
  <c r="I180" i="15"/>
  <c r="H180" i="15"/>
  <c r="G180" i="15"/>
  <c r="J179" i="15"/>
  <c r="I179" i="15"/>
  <c r="H179" i="15"/>
  <c r="G179" i="15"/>
  <c r="J178" i="15"/>
  <c r="I178" i="15"/>
  <c r="H178" i="15"/>
  <c r="G178" i="15"/>
  <c r="J177" i="15"/>
  <c r="I177" i="15"/>
  <c r="H177" i="15"/>
  <c r="G177" i="15"/>
  <c r="J176" i="15"/>
  <c r="I176" i="15"/>
  <c r="H176" i="15"/>
  <c r="G176" i="15"/>
  <c r="J175" i="15"/>
  <c r="I175" i="15"/>
  <c r="H175" i="15"/>
  <c r="G175" i="15"/>
  <c r="J174" i="15"/>
  <c r="I174" i="15"/>
  <c r="H174" i="15"/>
  <c r="G174" i="15"/>
  <c r="J173" i="15"/>
  <c r="I173" i="15"/>
  <c r="H173" i="15"/>
  <c r="G173" i="15"/>
  <c r="J172" i="15"/>
  <c r="I172" i="15"/>
  <c r="H172" i="15"/>
  <c r="G172" i="15"/>
  <c r="J171" i="15"/>
  <c r="I171" i="15"/>
  <c r="H171" i="15"/>
  <c r="G171" i="15"/>
  <c r="J170" i="15"/>
  <c r="I170" i="15"/>
  <c r="H170" i="15"/>
  <c r="G170" i="15"/>
  <c r="J169" i="15"/>
  <c r="I169" i="15"/>
  <c r="H169" i="15"/>
  <c r="G169" i="15"/>
  <c r="J168" i="15"/>
  <c r="I168" i="15"/>
  <c r="H168" i="15"/>
  <c r="G168" i="15"/>
  <c r="J167" i="15"/>
  <c r="I167" i="15"/>
  <c r="H167" i="15"/>
  <c r="G167" i="15"/>
  <c r="J166" i="15"/>
  <c r="I166" i="15"/>
  <c r="H166" i="15"/>
  <c r="G166" i="15"/>
  <c r="J165" i="15"/>
  <c r="I165" i="15"/>
  <c r="H165" i="15"/>
  <c r="G165" i="15"/>
  <c r="J164" i="15"/>
  <c r="I164" i="15"/>
  <c r="H164" i="15"/>
  <c r="G164" i="15"/>
  <c r="J163" i="15"/>
  <c r="I163" i="15"/>
  <c r="H163" i="15"/>
  <c r="G163" i="15"/>
  <c r="J162" i="15"/>
  <c r="I162" i="15"/>
  <c r="H162" i="15"/>
  <c r="G162" i="15"/>
  <c r="J161" i="15"/>
  <c r="I161" i="15"/>
  <c r="H161" i="15"/>
  <c r="G161" i="15"/>
  <c r="J160" i="15"/>
  <c r="I160" i="15"/>
  <c r="H160" i="15"/>
  <c r="G160" i="15"/>
  <c r="J159" i="15"/>
  <c r="I159" i="15"/>
  <c r="H159" i="15"/>
  <c r="G159" i="15"/>
  <c r="J158" i="15"/>
  <c r="I158" i="15"/>
  <c r="H158" i="15"/>
  <c r="G158" i="15"/>
  <c r="J157" i="15"/>
  <c r="I157" i="15"/>
  <c r="H157" i="15"/>
  <c r="G157" i="15"/>
  <c r="J156" i="15"/>
  <c r="I156" i="15"/>
  <c r="H156" i="15"/>
  <c r="G156" i="15"/>
  <c r="J155" i="15"/>
  <c r="I155" i="15"/>
  <c r="H155" i="15"/>
  <c r="G155" i="15"/>
  <c r="J154" i="15"/>
  <c r="I154" i="15"/>
  <c r="H154" i="15"/>
  <c r="G154" i="15"/>
  <c r="J153" i="15"/>
  <c r="I153" i="15"/>
  <c r="H153" i="15"/>
  <c r="G153" i="15"/>
  <c r="J152" i="15"/>
  <c r="I152" i="15"/>
  <c r="H152" i="15"/>
  <c r="G152" i="15"/>
  <c r="J151" i="15"/>
  <c r="I151" i="15"/>
  <c r="H151" i="15"/>
  <c r="G151" i="15"/>
  <c r="J150" i="15"/>
  <c r="I150" i="15"/>
  <c r="H150" i="15"/>
  <c r="G150" i="15"/>
  <c r="J149" i="15"/>
  <c r="I149" i="15"/>
  <c r="H149" i="15"/>
  <c r="G149" i="15"/>
  <c r="J148" i="15"/>
  <c r="I148" i="15"/>
  <c r="H148" i="15"/>
  <c r="G148" i="15"/>
  <c r="J147" i="15"/>
  <c r="I147" i="15"/>
  <c r="H147" i="15"/>
  <c r="G147" i="15"/>
  <c r="J146" i="15"/>
  <c r="I146" i="15"/>
  <c r="H146" i="15"/>
  <c r="G146" i="15"/>
  <c r="J145" i="15"/>
  <c r="I145" i="15"/>
  <c r="H145" i="15"/>
  <c r="G145" i="15"/>
  <c r="J144" i="15"/>
  <c r="I144" i="15"/>
  <c r="H144" i="15"/>
  <c r="G144" i="15"/>
  <c r="J143" i="15"/>
  <c r="I143" i="15"/>
  <c r="H143" i="15"/>
  <c r="G143" i="15"/>
  <c r="J142" i="15"/>
  <c r="I142" i="15"/>
  <c r="H142" i="15"/>
  <c r="G142" i="15"/>
  <c r="J141" i="15"/>
  <c r="I141" i="15"/>
  <c r="H141" i="15"/>
  <c r="G141" i="15"/>
  <c r="J140" i="15"/>
  <c r="I140" i="15"/>
  <c r="H140" i="15"/>
  <c r="G140" i="15"/>
  <c r="J139" i="15"/>
  <c r="I139" i="15"/>
  <c r="H139" i="15"/>
  <c r="G139" i="15"/>
  <c r="J138" i="15"/>
  <c r="I138" i="15"/>
  <c r="H138" i="15"/>
  <c r="G138" i="15"/>
  <c r="J137" i="15"/>
  <c r="I137" i="15"/>
  <c r="H137" i="15"/>
  <c r="G137" i="15"/>
  <c r="J136" i="15"/>
  <c r="I136" i="15"/>
  <c r="H136" i="15"/>
  <c r="G136" i="15"/>
  <c r="J135" i="15"/>
  <c r="I135" i="15"/>
  <c r="H135" i="15"/>
  <c r="G135" i="15"/>
  <c r="J134" i="15"/>
  <c r="I134" i="15"/>
  <c r="H134" i="15"/>
  <c r="G134" i="15"/>
  <c r="J133" i="15"/>
  <c r="I133" i="15"/>
  <c r="H133" i="15"/>
  <c r="G133" i="15"/>
  <c r="J132" i="15"/>
  <c r="I132" i="15"/>
  <c r="H132" i="15"/>
  <c r="G132" i="15"/>
  <c r="J131" i="15"/>
  <c r="I131" i="15"/>
  <c r="H131" i="15"/>
  <c r="G131" i="15"/>
  <c r="J130" i="15"/>
  <c r="I130" i="15"/>
  <c r="H130" i="15"/>
  <c r="G130" i="15"/>
  <c r="J129" i="15"/>
  <c r="I129" i="15"/>
  <c r="H129" i="15"/>
  <c r="G129" i="15"/>
  <c r="J128" i="15"/>
  <c r="I128" i="15"/>
  <c r="H128" i="15"/>
  <c r="G128" i="15"/>
  <c r="J127" i="15"/>
  <c r="I127" i="15"/>
  <c r="H127" i="15"/>
  <c r="G127" i="15"/>
  <c r="J126" i="15"/>
  <c r="I126" i="15"/>
  <c r="H126" i="15"/>
  <c r="G126" i="15"/>
  <c r="J125" i="15"/>
  <c r="I125" i="15"/>
  <c r="H125" i="15"/>
  <c r="G125" i="15"/>
  <c r="J124" i="15"/>
  <c r="I124" i="15"/>
  <c r="H124" i="15"/>
  <c r="G124" i="15"/>
  <c r="J123" i="15"/>
  <c r="I123" i="15"/>
  <c r="H123" i="15"/>
  <c r="G123" i="15"/>
  <c r="J122" i="15"/>
  <c r="I122" i="15"/>
  <c r="H122" i="15"/>
  <c r="G122" i="15"/>
  <c r="J121" i="15"/>
  <c r="I121" i="15"/>
  <c r="H121" i="15"/>
  <c r="G121" i="15"/>
  <c r="J120" i="15"/>
  <c r="I120" i="15"/>
  <c r="H120" i="15"/>
  <c r="G120" i="15"/>
  <c r="J119" i="15"/>
  <c r="I119" i="15"/>
  <c r="H119" i="15"/>
  <c r="G119" i="15"/>
  <c r="J118" i="15"/>
  <c r="I118" i="15"/>
  <c r="H118" i="15"/>
  <c r="G118" i="15"/>
  <c r="J117" i="15"/>
  <c r="I117" i="15"/>
  <c r="H117" i="15"/>
  <c r="G117" i="15"/>
  <c r="J116" i="15"/>
  <c r="I116" i="15"/>
  <c r="H116" i="15"/>
  <c r="G116" i="15"/>
  <c r="J115" i="15"/>
  <c r="I115" i="15"/>
  <c r="H115" i="15"/>
  <c r="G115" i="15"/>
  <c r="J114" i="15"/>
  <c r="I114" i="15"/>
  <c r="H114" i="15"/>
  <c r="G114" i="15"/>
  <c r="J113" i="15"/>
  <c r="I113" i="15"/>
  <c r="H113" i="15"/>
  <c r="G113" i="15"/>
  <c r="J112" i="15"/>
  <c r="I112" i="15"/>
  <c r="H112" i="15"/>
  <c r="G112" i="15"/>
  <c r="J111" i="15"/>
  <c r="I111" i="15"/>
  <c r="H111" i="15"/>
  <c r="G111" i="15"/>
  <c r="J110" i="15"/>
  <c r="I110" i="15"/>
  <c r="H110" i="15"/>
  <c r="G110" i="15"/>
  <c r="J109" i="15"/>
  <c r="I109" i="15"/>
  <c r="H109" i="15"/>
  <c r="G109" i="15"/>
  <c r="J108" i="15"/>
  <c r="I108" i="15"/>
  <c r="H108" i="15"/>
  <c r="G108" i="15"/>
  <c r="J107" i="15"/>
  <c r="I107" i="15"/>
  <c r="H107" i="15"/>
  <c r="G107" i="15"/>
  <c r="J106" i="15"/>
  <c r="I106" i="15"/>
  <c r="H106" i="15"/>
  <c r="G106" i="15"/>
  <c r="J105" i="15"/>
  <c r="I105" i="15"/>
  <c r="H105" i="15"/>
  <c r="G105" i="15"/>
  <c r="J104" i="15"/>
  <c r="I104" i="15"/>
  <c r="H104" i="15"/>
  <c r="G104" i="15"/>
  <c r="J103" i="15"/>
  <c r="I103" i="15"/>
  <c r="H103" i="15"/>
  <c r="G103" i="15"/>
  <c r="J102" i="15"/>
  <c r="I102" i="15"/>
  <c r="H102" i="15"/>
  <c r="G102" i="15"/>
  <c r="J101" i="15"/>
  <c r="I101" i="15"/>
  <c r="H101" i="15"/>
  <c r="G101" i="15"/>
  <c r="J100" i="15"/>
  <c r="I100" i="15"/>
  <c r="H100" i="15"/>
  <c r="G100" i="15"/>
  <c r="J99" i="15"/>
  <c r="I99" i="15"/>
  <c r="H99" i="15"/>
  <c r="G99" i="15"/>
  <c r="J98" i="15"/>
  <c r="I98" i="15"/>
  <c r="H98" i="15"/>
  <c r="G98" i="15"/>
  <c r="J97" i="15"/>
  <c r="I97" i="15"/>
  <c r="H97" i="15"/>
  <c r="G97" i="15"/>
  <c r="J96" i="15"/>
  <c r="I96" i="15"/>
  <c r="H96" i="15"/>
  <c r="G96" i="15"/>
  <c r="J95" i="15"/>
  <c r="I95" i="15"/>
  <c r="H95" i="15"/>
  <c r="G95" i="15"/>
  <c r="J94" i="15"/>
  <c r="I94" i="15"/>
  <c r="H94" i="15"/>
  <c r="G94" i="15"/>
  <c r="J93" i="15"/>
  <c r="I93" i="15"/>
  <c r="H93" i="15"/>
  <c r="G93" i="15"/>
  <c r="J92" i="15"/>
  <c r="I92" i="15"/>
  <c r="H92" i="15"/>
  <c r="G92" i="15"/>
  <c r="J91" i="15"/>
  <c r="I91" i="15"/>
  <c r="H91" i="15"/>
  <c r="G91" i="15"/>
  <c r="J90" i="15"/>
  <c r="I90" i="15"/>
  <c r="H90" i="15"/>
  <c r="G90" i="15"/>
  <c r="J89" i="15"/>
  <c r="I89" i="15"/>
  <c r="H89" i="15"/>
  <c r="G89" i="15"/>
  <c r="J88" i="15"/>
  <c r="I88" i="15"/>
  <c r="H88" i="15"/>
  <c r="G88" i="15"/>
  <c r="J87" i="15"/>
  <c r="I87" i="15"/>
  <c r="H87" i="15"/>
  <c r="G87" i="15"/>
  <c r="J86" i="15"/>
  <c r="I86" i="15"/>
  <c r="H86" i="15"/>
  <c r="G86" i="15"/>
  <c r="J85" i="15"/>
  <c r="I85" i="15"/>
  <c r="H85" i="15"/>
  <c r="G85" i="15"/>
  <c r="J84" i="15"/>
  <c r="I84" i="15"/>
  <c r="H84" i="15"/>
  <c r="G84" i="15"/>
  <c r="J83" i="15"/>
  <c r="I83" i="15"/>
  <c r="H83" i="15"/>
  <c r="G83" i="15"/>
  <c r="J82" i="15"/>
  <c r="I82" i="15"/>
  <c r="H82" i="15"/>
  <c r="G82" i="15"/>
  <c r="J81" i="15"/>
  <c r="I81" i="15"/>
  <c r="H81" i="15"/>
  <c r="G81" i="15"/>
  <c r="J80" i="15"/>
  <c r="I80" i="15"/>
  <c r="H80" i="15"/>
  <c r="G80" i="15"/>
  <c r="J79" i="15"/>
  <c r="I79" i="15"/>
  <c r="H79" i="15"/>
  <c r="G79" i="15"/>
  <c r="J78" i="15"/>
  <c r="I78" i="15"/>
  <c r="H78" i="15"/>
  <c r="G78" i="15"/>
  <c r="J77" i="15"/>
  <c r="I77" i="15"/>
  <c r="H77" i="15"/>
  <c r="G77" i="15"/>
  <c r="J76" i="15"/>
  <c r="I76" i="15"/>
  <c r="H76" i="15"/>
  <c r="G76" i="15"/>
  <c r="J75" i="15"/>
  <c r="I75" i="15"/>
  <c r="H75" i="15"/>
  <c r="G75" i="15"/>
  <c r="J74" i="15"/>
  <c r="I74" i="15"/>
  <c r="H74" i="15"/>
  <c r="G74" i="15"/>
  <c r="J73" i="15"/>
  <c r="I73" i="15"/>
  <c r="H73" i="15"/>
  <c r="G73" i="15"/>
  <c r="J72" i="15"/>
  <c r="I72" i="15"/>
  <c r="H72" i="15"/>
  <c r="G72" i="15"/>
  <c r="J71" i="15"/>
  <c r="I71" i="15"/>
  <c r="H71" i="15"/>
  <c r="G71" i="15"/>
  <c r="J70" i="15"/>
  <c r="I70" i="15"/>
  <c r="H70" i="15"/>
  <c r="G70" i="15"/>
  <c r="J69" i="15"/>
  <c r="I69" i="15"/>
  <c r="H69" i="15"/>
  <c r="G69" i="15"/>
  <c r="J68" i="15"/>
  <c r="I68" i="15"/>
  <c r="H68" i="15"/>
  <c r="G68" i="15"/>
  <c r="J67" i="15"/>
  <c r="I67" i="15"/>
  <c r="H67" i="15"/>
  <c r="G67" i="15"/>
  <c r="J66" i="15"/>
  <c r="I66" i="15"/>
  <c r="H66" i="15"/>
  <c r="G66" i="15"/>
  <c r="J65" i="15"/>
  <c r="I65" i="15"/>
  <c r="H65" i="15"/>
  <c r="G65" i="15"/>
  <c r="J64" i="15"/>
  <c r="I64" i="15"/>
  <c r="H64" i="15"/>
  <c r="G64" i="15"/>
  <c r="J63" i="15"/>
  <c r="I63" i="15"/>
  <c r="H63" i="15"/>
  <c r="G63" i="15"/>
  <c r="J62" i="15"/>
  <c r="I62" i="15"/>
  <c r="H62" i="15"/>
  <c r="G62" i="15"/>
  <c r="J61" i="15"/>
  <c r="I61" i="15"/>
  <c r="H61" i="15"/>
  <c r="G61" i="15"/>
  <c r="J60" i="15"/>
  <c r="I60" i="15"/>
  <c r="H60" i="15"/>
  <c r="G60" i="15"/>
  <c r="J59" i="15"/>
  <c r="I59" i="15"/>
  <c r="H59" i="15"/>
  <c r="G59" i="15"/>
  <c r="J58" i="15"/>
  <c r="I58" i="15"/>
  <c r="H58" i="15"/>
  <c r="G58" i="15"/>
  <c r="J57" i="15"/>
  <c r="I57" i="15"/>
  <c r="H57" i="15"/>
  <c r="G57" i="15"/>
  <c r="J56" i="15"/>
  <c r="I56" i="15"/>
  <c r="H56" i="15"/>
  <c r="G56" i="15"/>
  <c r="J55" i="15"/>
  <c r="I55" i="15"/>
  <c r="H55" i="15"/>
  <c r="G55" i="15"/>
  <c r="J54" i="15"/>
  <c r="I54" i="15"/>
  <c r="H54" i="15"/>
  <c r="G54" i="15"/>
  <c r="J53" i="15"/>
  <c r="I53" i="15"/>
  <c r="H53" i="15"/>
  <c r="G53" i="15"/>
  <c r="J52" i="15"/>
  <c r="I52" i="15"/>
  <c r="H52" i="15"/>
  <c r="G52" i="15"/>
  <c r="J51" i="15"/>
  <c r="I51" i="15"/>
  <c r="H51" i="15"/>
  <c r="G51" i="15"/>
  <c r="J50" i="15"/>
  <c r="I50" i="15"/>
  <c r="H50" i="15"/>
  <c r="G50" i="15"/>
  <c r="J49" i="15"/>
  <c r="I49" i="15"/>
  <c r="H49" i="15"/>
  <c r="G49" i="15"/>
  <c r="J48" i="15"/>
  <c r="I48" i="15"/>
  <c r="H48" i="15"/>
  <c r="G48" i="15"/>
  <c r="J47" i="15"/>
  <c r="I47" i="15"/>
  <c r="H47" i="15"/>
  <c r="G47" i="15"/>
  <c r="J46" i="15"/>
  <c r="I46" i="15"/>
  <c r="H46" i="15"/>
  <c r="G46" i="15"/>
  <c r="J45" i="15"/>
  <c r="I45" i="15"/>
  <c r="H45" i="15"/>
  <c r="G45" i="15"/>
  <c r="J44" i="15"/>
  <c r="I44" i="15"/>
  <c r="H44" i="15"/>
  <c r="G44" i="15"/>
  <c r="J43" i="15"/>
  <c r="I43" i="15"/>
  <c r="H43" i="15"/>
  <c r="G43" i="15"/>
  <c r="J42" i="15"/>
  <c r="I42" i="15"/>
  <c r="H42" i="15"/>
  <c r="G42" i="15"/>
  <c r="J41" i="15"/>
  <c r="I41" i="15"/>
  <c r="H41" i="15"/>
  <c r="G41" i="15"/>
  <c r="J40" i="15"/>
  <c r="I40" i="15"/>
  <c r="H40" i="15"/>
  <c r="G40" i="15"/>
  <c r="J39" i="15"/>
  <c r="I39" i="15"/>
  <c r="H39" i="15"/>
  <c r="G39" i="15"/>
  <c r="J38" i="15"/>
  <c r="I38" i="15"/>
  <c r="H38" i="15"/>
  <c r="G38" i="15"/>
  <c r="J37" i="15"/>
  <c r="I37" i="15"/>
  <c r="H37" i="15"/>
  <c r="G37" i="15"/>
  <c r="J36" i="15"/>
  <c r="I36" i="15"/>
  <c r="H36" i="15"/>
  <c r="G36" i="15"/>
  <c r="J35" i="15"/>
  <c r="I35" i="15"/>
  <c r="H35" i="15"/>
  <c r="G35" i="15"/>
  <c r="J34" i="15"/>
  <c r="I34" i="15"/>
  <c r="H34" i="15"/>
  <c r="G34" i="15"/>
  <c r="J33" i="15"/>
  <c r="I33" i="15"/>
  <c r="H33" i="15"/>
  <c r="G33" i="15"/>
  <c r="J32" i="15"/>
  <c r="I32" i="15"/>
  <c r="H32" i="15"/>
  <c r="G32" i="15"/>
  <c r="J31" i="15"/>
  <c r="I31" i="15"/>
  <c r="H31" i="15"/>
  <c r="G31" i="15"/>
  <c r="J30" i="15"/>
  <c r="I30" i="15"/>
  <c r="H30" i="15"/>
  <c r="G30" i="15"/>
  <c r="J29" i="15"/>
  <c r="I29" i="15"/>
  <c r="H29" i="15"/>
  <c r="G29" i="15"/>
  <c r="J28" i="15"/>
  <c r="I28" i="15"/>
  <c r="H28" i="15"/>
  <c r="G28" i="15"/>
  <c r="J27" i="15"/>
  <c r="I27" i="15"/>
  <c r="H27" i="15"/>
  <c r="G27" i="15"/>
  <c r="J26" i="15"/>
  <c r="I26" i="15"/>
  <c r="H26" i="15"/>
  <c r="G26" i="15"/>
  <c r="J25" i="15"/>
  <c r="I25" i="15"/>
  <c r="H25" i="15"/>
  <c r="G25" i="15"/>
  <c r="J24" i="15"/>
  <c r="I24" i="15"/>
  <c r="H24" i="15"/>
  <c r="G24" i="15"/>
  <c r="J23" i="15"/>
  <c r="I23" i="15"/>
  <c r="H23" i="15"/>
  <c r="G23" i="15"/>
  <c r="J22" i="15"/>
  <c r="I22" i="15"/>
  <c r="H22" i="15"/>
  <c r="G22" i="15"/>
  <c r="J21" i="15"/>
  <c r="I21" i="15"/>
  <c r="H21" i="15"/>
  <c r="G21" i="15"/>
  <c r="J20" i="15"/>
  <c r="I20" i="15"/>
  <c r="H20" i="15"/>
  <c r="G20" i="15"/>
  <c r="J19" i="15"/>
  <c r="I19" i="15"/>
  <c r="H19" i="15"/>
  <c r="G19" i="15"/>
  <c r="J18" i="15"/>
  <c r="I18" i="15"/>
  <c r="H18" i="15"/>
  <c r="G18" i="15"/>
  <c r="J17" i="15"/>
  <c r="I17" i="15"/>
  <c r="H17" i="15"/>
  <c r="G17" i="15"/>
  <c r="J16" i="15"/>
  <c r="I16" i="15"/>
  <c r="H16" i="15"/>
  <c r="G16" i="15"/>
  <c r="J15" i="15"/>
  <c r="I15" i="15"/>
  <c r="H15" i="15"/>
  <c r="G15" i="15"/>
  <c r="J14" i="15"/>
  <c r="I14" i="15"/>
  <c r="H14" i="15"/>
  <c r="G14" i="15"/>
  <c r="J13" i="15"/>
  <c r="I13" i="15"/>
  <c r="H13" i="15"/>
  <c r="G13" i="15"/>
  <c r="J12" i="15"/>
  <c r="I12" i="15"/>
  <c r="H12" i="15"/>
  <c r="G12" i="15"/>
  <c r="J11" i="15"/>
  <c r="I11" i="15"/>
  <c r="H11" i="15"/>
  <c r="G11" i="15"/>
  <c r="J10" i="15"/>
  <c r="I10" i="15"/>
  <c r="H10" i="15"/>
  <c r="G10" i="15"/>
  <c r="J9" i="15"/>
  <c r="I9" i="15"/>
  <c r="H9" i="15"/>
  <c r="G9" i="15"/>
  <c r="J8" i="15"/>
  <c r="I8" i="15"/>
  <c r="H8" i="15"/>
  <c r="G8" i="15"/>
  <c r="J7" i="15"/>
  <c r="I7" i="15"/>
  <c r="H7" i="15"/>
  <c r="G7" i="15"/>
  <c r="J6" i="15"/>
  <c r="I6" i="15"/>
  <c r="H6" i="15"/>
  <c r="G6" i="15"/>
  <c r="J5" i="15"/>
  <c r="I5" i="15"/>
  <c r="H5" i="15"/>
  <c r="G5" i="15"/>
  <c r="J4" i="15"/>
  <c r="I4" i="15"/>
  <c r="H4" i="15"/>
  <c r="G4" i="15"/>
  <c r="J3" i="15"/>
  <c r="I3" i="15"/>
  <c r="H3" i="15"/>
  <c r="G3" i="15"/>
  <c r="M2" i="15"/>
  <c r="C42" i="14"/>
  <c r="C38" i="14"/>
  <c r="C37" i="14"/>
  <c r="C36" i="14"/>
  <c r="C35" i="14"/>
  <c r="C34" i="14"/>
  <c r="C33" i="14"/>
  <c r="C32" i="14"/>
  <c r="C39" i="14" s="1"/>
  <c r="C28" i="14"/>
  <c r="C22" i="14"/>
  <c r="C20" i="14"/>
  <c r="C19" i="14"/>
  <c r="C18" i="14"/>
  <c r="C17" i="14"/>
  <c r="C16" i="14"/>
  <c r="C14" i="14"/>
  <c r="C13" i="14"/>
  <c r="D42" i="13"/>
  <c r="C42" i="13"/>
  <c r="D41" i="13"/>
  <c r="C41" i="13"/>
  <c r="D40" i="13"/>
  <c r="D43" i="13" s="1"/>
  <c r="C40" i="13"/>
  <c r="C43" i="13" s="1"/>
  <c r="C193" i="4" s="1"/>
  <c r="D193" i="4" s="1"/>
  <c r="D36" i="13"/>
  <c r="C36" i="13"/>
  <c r="D35" i="13"/>
  <c r="C35" i="13"/>
  <c r="D34" i="13"/>
  <c r="C34" i="13"/>
  <c r="D33" i="13"/>
  <c r="D37" i="13" s="1"/>
  <c r="D45" i="13" s="1"/>
  <c r="C33" i="13"/>
  <c r="C37" i="13" s="1"/>
  <c r="D28" i="13"/>
  <c r="C28" i="13"/>
  <c r="D27" i="13"/>
  <c r="C27" i="13"/>
  <c r="D26" i="13"/>
  <c r="C26" i="13"/>
  <c r="D25" i="13"/>
  <c r="D30" i="13" s="1"/>
  <c r="D47" i="13" s="1"/>
  <c r="C25" i="13"/>
  <c r="D18" i="13"/>
  <c r="C18" i="13"/>
  <c r="D17" i="13"/>
  <c r="C17" i="13"/>
  <c r="D16" i="13"/>
  <c r="C16" i="13"/>
  <c r="D15" i="13"/>
  <c r="D19" i="13" s="1"/>
  <c r="C15" i="13"/>
  <c r="C19" i="13" s="1"/>
  <c r="C175" i="4" s="1"/>
  <c r="D175" i="4" s="1"/>
  <c r="D11" i="13"/>
  <c r="C11" i="13"/>
  <c r="D10" i="13"/>
  <c r="C10" i="13"/>
  <c r="D9" i="13"/>
  <c r="D12" i="13" s="1"/>
  <c r="D21" i="13" s="1"/>
  <c r="D48" i="13" s="1"/>
  <c r="C9" i="13"/>
  <c r="C12" i="13" s="1"/>
  <c r="C64" i="12"/>
  <c r="C59" i="12"/>
  <c r="C55" i="12"/>
  <c r="C54" i="12"/>
  <c r="C53" i="12"/>
  <c r="C11" i="14" s="1"/>
  <c r="C52" i="12"/>
  <c r="C47" i="12"/>
  <c r="C46" i="12"/>
  <c r="C43" i="12"/>
  <c r="C42" i="12"/>
  <c r="C41" i="12"/>
  <c r="C40" i="12"/>
  <c r="C39" i="12"/>
  <c r="C38" i="12"/>
  <c r="C37" i="12"/>
  <c r="C36" i="12"/>
  <c r="C35" i="12"/>
  <c r="C44" i="12" s="1"/>
  <c r="C31" i="12"/>
  <c r="C30" i="12"/>
  <c r="C29" i="12"/>
  <c r="C28" i="12"/>
  <c r="C27" i="12"/>
  <c r="C32" i="12" s="1"/>
  <c r="C20" i="12"/>
  <c r="C19" i="12"/>
  <c r="C18" i="12"/>
  <c r="C17" i="12"/>
  <c r="C16" i="12"/>
  <c r="C15" i="12"/>
  <c r="C14" i="12"/>
  <c r="C13" i="12"/>
  <c r="C12" i="12"/>
  <c r="C11" i="12"/>
  <c r="C10" i="12"/>
  <c r="C9" i="12"/>
  <c r="C21" i="12" s="1"/>
  <c r="C6" i="12"/>
  <c r="C42" i="11"/>
  <c r="C38" i="11"/>
  <c r="C37" i="11"/>
  <c r="C36" i="11"/>
  <c r="C35" i="11"/>
  <c r="C34" i="11"/>
  <c r="C33" i="11"/>
  <c r="C32" i="11"/>
  <c r="C39" i="11" s="1"/>
  <c r="C28" i="11"/>
  <c r="C22" i="11"/>
  <c r="C20" i="11"/>
  <c r="C19" i="11"/>
  <c r="C18" i="11"/>
  <c r="C17" i="11"/>
  <c r="C16" i="11"/>
  <c r="C14" i="11"/>
  <c r="C13" i="11"/>
  <c r="D42" i="10"/>
  <c r="C42" i="10"/>
  <c r="D41" i="10"/>
  <c r="C41" i="10"/>
  <c r="D40" i="10"/>
  <c r="D43" i="10" s="1"/>
  <c r="C40" i="10"/>
  <c r="C43" i="10" s="1"/>
  <c r="C158" i="4" s="1"/>
  <c r="D158" i="4" s="1"/>
  <c r="D36" i="10"/>
  <c r="C36" i="10"/>
  <c r="D35" i="10"/>
  <c r="C35" i="10"/>
  <c r="D34" i="10"/>
  <c r="C34" i="10"/>
  <c r="D33" i="10"/>
  <c r="D37" i="10" s="1"/>
  <c r="D45" i="10" s="1"/>
  <c r="C33" i="10"/>
  <c r="C37" i="10" s="1"/>
  <c r="D28" i="10"/>
  <c r="C28" i="10"/>
  <c r="D27" i="10"/>
  <c r="C27" i="10"/>
  <c r="D26" i="10"/>
  <c r="C26" i="10"/>
  <c r="D25" i="10"/>
  <c r="D30" i="10" s="1"/>
  <c r="D47" i="10" s="1"/>
  <c r="C25" i="10"/>
  <c r="D18" i="10"/>
  <c r="C18" i="10"/>
  <c r="D17" i="10"/>
  <c r="C17" i="10"/>
  <c r="D16" i="10"/>
  <c r="C16" i="10"/>
  <c r="D15" i="10"/>
  <c r="D19" i="10" s="1"/>
  <c r="C15" i="10"/>
  <c r="C19" i="10" s="1"/>
  <c r="C140" i="4" s="1"/>
  <c r="D140" i="4" s="1"/>
  <c r="D11" i="10"/>
  <c r="C11" i="10"/>
  <c r="D10" i="10"/>
  <c r="C10" i="10"/>
  <c r="D9" i="10"/>
  <c r="D12" i="10" s="1"/>
  <c r="D21" i="10" s="1"/>
  <c r="D48" i="10" s="1"/>
  <c r="C9" i="10"/>
  <c r="C12" i="10" s="1"/>
  <c r="C64" i="9"/>
  <c r="C59" i="9"/>
  <c r="C55" i="9"/>
  <c r="C54" i="9"/>
  <c r="C53" i="9"/>
  <c r="C11" i="11" s="1"/>
  <c r="C52" i="9"/>
  <c r="C47" i="9"/>
  <c r="C46" i="9"/>
  <c r="C43" i="9"/>
  <c r="C42" i="9"/>
  <c r="C41" i="9"/>
  <c r="C40" i="9"/>
  <c r="C39" i="9"/>
  <c r="C38" i="9"/>
  <c r="C37" i="9"/>
  <c r="C36" i="9"/>
  <c r="C35" i="9"/>
  <c r="C44" i="9" s="1"/>
  <c r="C31" i="9"/>
  <c r="C30" i="9"/>
  <c r="C29" i="9"/>
  <c r="C28" i="9"/>
  <c r="C27" i="9"/>
  <c r="C32" i="9" s="1"/>
  <c r="C20" i="9"/>
  <c r="C19" i="9"/>
  <c r="C18" i="9"/>
  <c r="C17" i="9"/>
  <c r="C16" i="9"/>
  <c r="C15" i="9"/>
  <c r="C14" i="9"/>
  <c r="C13" i="9"/>
  <c r="C12" i="9"/>
  <c r="C11" i="9"/>
  <c r="C10" i="9"/>
  <c r="C9" i="9"/>
  <c r="C21" i="9" s="1"/>
  <c r="C6" i="9"/>
  <c r="D42" i="8"/>
  <c r="C42" i="8"/>
  <c r="F42" i="8" s="1"/>
  <c r="C332" i="4" s="1"/>
  <c r="D332" i="4" s="1"/>
  <c r="E38" i="8"/>
  <c r="D38" i="8"/>
  <c r="C38" i="8"/>
  <c r="F38" i="8" s="1"/>
  <c r="E37" i="8"/>
  <c r="D37" i="8"/>
  <c r="C37" i="8"/>
  <c r="F37" i="8" s="1"/>
  <c r="E36" i="8"/>
  <c r="D36" i="8"/>
  <c r="C36" i="8"/>
  <c r="F36" i="8" s="1"/>
  <c r="E35" i="8"/>
  <c r="D35" i="8"/>
  <c r="C35" i="8"/>
  <c r="F35" i="8" s="1"/>
  <c r="C329" i="4" s="1"/>
  <c r="D329" i="4" s="1"/>
  <c r="E34" i="8"/>
  <c r="D34" i="8"/>
  <c r="C34" i="8"/>
  <c r="F34" i="8" s="1"/>
  <c r="C328" i="4" s="1"/>
  <c r="D328" i="4" s="1"/>
  <c r="E33" i="8"/>
  <c r="D33" i="8"/>
  <c r="C33" i="8"/>
  <c r="F33" i="8" s="1"/>
  <c r="C327" i="4" s="1"/>
  <c r="D327" i="4" s="1"/>
  <c r="E32" i="8"/>
  <c r="E39" i="8" s="1"/>
  <c r="D32" i="8"/>
  <c r="D39" i="8" s="1"/>
  <c r="C32" i="8"/>
  <c r="D28" i="8"/>
  <c r="C28" i="8"/>
  <c r="F28" i="8" s="1"/>
  <c r="C323" i="4" s="1"/>
  <c r="D323" i="4" s="1"/>
  <c r="E27" i="8"/>
  <c r="E29" i="8" s="1"/>
  <c r="D27" i="8"/>
  <c r="D29" i="8" s="1"/>
  <c r="C27" i="8"/>
  <c r="E23" i="8"/>
  <c r="D23" i="8"/>
  <c r="C23" i="8"/>
  <c r="F23" i="8" s="1"/>
  <c r="C318" i="4" s="1"/>
  <c r="D318" i="4" s="1"/>
  <c r="D22" i="8"/>
  <c r="C22" i="8"/>
  <c r="F22" i="8" s="1"/>
  <c r="C319" i="4" s="1"/>
  <c r="D319" i="4" s="1"/>
  <c r="E20" i="8"/>
  <c r="D20" i="8"/>
  <c r="C20" i="8"/>
  <c r="F20" i="8" s="1"/>
  <c r="E19" i="8"/>
  <c r="D19" i="8"/>
  <c r="C19" i="8"/>
  <c r="F19" i="8" s="1"/>
  <c r="C315" i="4" s="1"/>
  <c r="D315" i="4" s="1"/>
  <c r="E18" i="8"/>
  <c r="D18" i="8"/>
  <c r="C18" i="8"/>
  <c r="F18" i="8" s="1"/>
  <c r="C314" i="4" s="1"/>
  <c r="D314" i="4" s="1"/>
  <c r="E17" i="8"/>
  <c r="D17" i="8"/>
  <c r="C17" i="8"/>
  <c r="F17" i="8" s="1"/>
  <c r="C313" i="4" s="1"/>
  <c r="D313" i="4" s="1"/>
  <c r="E16" i="8"/>
  <c r="D16" i="8"/>
  <c r="C16" i="8"/>
  <c r="F16" i="8" s="1"/>
  <c r="C312" i="4" s="1"/>
  <c r="D312" i="4" s="1"/>
  <c r="D14" i="8"/>
  <c r="C14" i="8"/>
  <c r="F14" i="8" s="1"/>
  <c r="C309" i="4" s="1"/>
  <c r="D309" i="4" s="1"/>
  <c r="D13" i="8"/>
  <c r="C13" i="8"/>
  <c r="F13" i="8" s="1"/>
  <c r="C308" i="4" s="1"/>
  <c r="D308" i="4" s="1"/>
  <c r="E12" i="8"/>
  <c r="D12" i="8"/>
  <c r="C12" i="8"/>
  <c r="F12" i="8" s="1"/>
  <c r="C307" i="4" s="1"/>
  <c r="D307" i="4" s="1"/>
  <c r="E11" i="8"/>
  <c r="D11" i="8"/>
  <c r="C11" i="8"/>
  <c r="F11" i="8" s="1"/>
  <c r="E10" i="8"/>
  <c r="D10" i="8"/>
  <c r="C10" i="8"/>
  <c r="F10" i="8" s="1"/>
  <c r="C306" i="4" s="1"/>
  <c r="D306" i="4" s="1"/>
  <c r="E8" i="8"/>
  <c r="E21" i="8" s="1"/>
  <c r="E24" i="8" s="1"/>
  <c r="E41" i="8" s="1"/>
  <c r="E43" i="8" s="1"/>
  <c r="H54" i="7"/>
  <c r="H53" i="7"/>
  <c r="E43" i="7"/>
  <c r="D43" i="7"/>
  <c r="C43" i="7"/>
  <c r="F43" i="7" s="1"/>
  <c r="C228" i="4" s="1"/>
  <c r="D228" i="4" s="1"/>
  <c r="E42" i="7"/>
  <c r="D42" i="7"/>
  <c r="C42" i="7"/>
  <c r="F42" i="7" s="1"/>
  <c r="C227" i="4" s="1"/>
  <c r="D227" i="4" s="1"/>
  <c r="E41" i="7"/>
  <c r="E44" i="7" s="1"/>
  <c r="D41" i="7"/>
  <c r="D44" i="7" s="1"/>
  <c r="C41" i="7"/>
  <c r="E37" i="7"/>
  <c r="D37" i="7"/>
  <c r="C37" i="7"/>
  <c r="F37" i="7" s="1"/>
  <c r="C223" i="4" s="1"/>
  <c r="D223" i="4" s="1"/>
  <c r="E36" i="7"/>
  <c r="D36" i="7"/>
  <c r="C36" i="7"/>
  <c r="F36" i="7" s="1"/>
  <c r="C222" i="4" s="1"/>
  <c r="D222" i="4" s="1"/>
  <c r="E35" i="7"/>
  <c r="D35" i="7"/>
  <c r="C35" i="7"/>
  <c r="F35" i="7" s="1"/>
  <c r="C221" i="4" s="1"/>
  <c r="D221" i="4" s="1"/>
  <c r="E34" i="7"/>
  <c r="E38" i="7" s="1"/>
  <c r="E46" i="7" s="1"/>
  <c r="D34" i="7"/>
  <c r="D38" i="7" s="1"/>
  <c r="D46" i="7" s="1"/>
  <c r="C34" i="7"/>
  <c r="E30" i="7"/>
  <c r="F30" i="7" s="1"/>
  <c r="E28" i="7"/>
  <c r="D28" i="7"/>
  <c r="C28" i="7"/>
  <c r="F28" i="7" s="1"/>
  <c r="E27" i="7"/>
  <c r="D27" i="7"/>
  <c r="C27" i="7"/>
  <c r="F27" i="7" s="1"/>
  <c r="C215" i="4" s="1"/>
  <c r="D215" i="4" s="1"/>
  <c r="E26" i="7"/>
  <c r="D26" i="7"/>
  <c r="C26" i="7"/>
  <c r="F26" i="7" s="1"/>
  <c r="C214" i="4" s="1"/>
  <c r="D214" i="4" s="1"/>
  <c r="E25" i="7"/>
  <c r="D25" i="7"/>
  <c r="C25" i="7"/>
  <c r="E18" i="7"/>
  <c r="D18" i="7"/>
  <c r="C18" i="7"/>
  <c r="F18" i="7" s="1"/>
  <c r="E17" i="7"/>
  <c r="D17" i="7"/>
  <c r="C17" i="7"/>
  <c r="F17" i="7" s="1"/>
  <c r="C208" i="4" s="1"/>
  <c r="D208" i="4" s="1"/>
  <c r="E16" i="7"/>
  <c r="D16" i="7"/>
  <c r="C16" i="7"/>
  <c r="F16" i="7" s="1"/>
  <c r="C207" i="4" s="1"/>
  <c r="D207" i="4" s="1"/>
  <c r="E15" i="7"/>
  <c r="E19" i="7" s="1"/>
  <c r="D15" i="7"/>
  <c r="D19" i="7" s="1"/>
  <c r="C15" i="7"/>
  <c r="E11" i="7"/>
  <c r="D11" i="7"/>
  <c r="C11" i="7"/>
  <c r="F11" i="7" s="1"/>
  <c r="C203" i="4" s="1"/>
  <c r="D203" i="4" s="1"/>
  <c r="E10" i="7"/>
  <c r="D10" i="7"/>
  <c r="C10" i="7"/>
  <c r="F10" i="7" s="1"/>
  <c r="C202" i="4" s="1"/>
  <c r="D202" i="4" s="1"/>
  <c r="E9" i="7"/>
  <c r="E12" i="7" s="1"/>
  <c r="E21" i="7" s="1"/>
  <c r="D9" i="7"/>
  <c r="D12" i="7" s="1"/>
  <c r="D21" i="7" s="1"/>
  <c r="C9" i="7"/>
  <c r="E64" i="6"/>
  <c r="D64" i="6"/>
  <c r="C64" i="6"/>
  <c r="F64" i="6" s="1"/>
  <c r="C123" i="4" s="1"/>
  <c r="D123" i="4" s="1"/>
  <c r="E59" i="6"/>
  <c r="D59" i="6"/>
  <c r="C59" i="6"/>
  <c r="F59" i="6" s="1"/>
  <c r="C121" i="4" s="1"/>
  <c r="D121" i="4" s="1"/>
  <c r="E55" i="6"/>
  <c r="D55" i="6"/>
  <c r="C55" i="6"/>
  <c r="F55" i="6" s="1"/>
  <c r="C119" i="4" s="1"/>
  <c r="D119" i="4" s="1"/>
  <c r="E54" i="6"/>
  <c r="D54" i="6"/>
  <c r="C54" i="6"/>
  <c r="F54" i="6" s="1"/>
  <c r="E53" i="6"/>
  <c r="D53" i="6"/>
  <c r="C53" i="6"/>
  <c r="F53" i="6" s="1"/>
  <c r="E52" i="6"/>
  <c r="D52" i="6"/>
  <c r="C52" i="6"/>
  <c r="F52" i="6" s="1"/>
  <c r="E47" i="6"/>
  <c r="D47" i="6"/>
  <c r="C47" i="6"/>
  <c r="F47" i="6" s="1"/>
  <c r="C115" i="4" s="1"/>
  <c r="D115" i="4" s="1"/>
  <c r="E46" i="6"/>
  <c r="D46" i="6"/>
  <c r="C46" i="6"/>
  <c r="F46" i="6" s="1"/>
  <c r="C114" i="4" s="1"/>
  <c r="D114" i="4" s="1"/>
  <c r="E43" i="6"/>
  <c r="D43" i="6"/>
  <c r="C43" i="6"/>
  <c r="F43" i="6" s="1"/>
  <c r="E42" i="6"/>
  <c r="D42" i="6"/>
  <c r="C42" i="6"/>
  <c r="F42" i="6" s="1"/>
  <c r="E41" i="6"/>
  <c r="D41" i="6"/>
  <c r="C41" i="6"/>
  <c r="F41" i="6" s="1"/>
  <c r="E40" i="6"/>
  <c r="D40" i="6"/>
  <c r="C40" i="6"/>
  <c r="F40" i="6" s="1"/>
  <c r="E39" i="6"/>
  <c r="D39" i="6"/>
  <c r="C39" i="6"/>
  <c r="F39" i="6" s="1"/>
  <c r="E38" i="6"/>
  <c r="D38" i="6"/>
  <c r="C38" i="6"/>
  <c r="F38" i="6" s="1"/>
  <c r="E37" i="6"/>
  <c r="D37" i="6"/>
  <c r="C37" i="6"/>
  <c r="F37" i="6" s="1"/>
  <c r="E36" i="6"/>
  <c r="D36" i="6"/>
  <c r="C36" i="6"/>
  <c r="F36" i="6" s="1"/>
  <c r="C112" i="4" s="1"/>
  <c r="D112" i="4" s="1"/>
  <c r="E35" i="6"/>
  <c r="E44" i="6" s="1"/>
  <c r="D35" i="6"/>
  <c r="D44" i="6" s="1"/>
  <c r="C35" i="6"/>
  <c r="E31" i="6"/>
  <c r="D31" i="6"/>
  <c r="C31" i="6"/>
  <c r="F31" i="6" s="1"/>
  <c r="E30" i="6"/>
  <c r="D30" i="6"/>
  <c r="C30" i="6"/>
  <c r="F30" i="6" s="1"/>
  <c r="E29" i="6"/>
  <c r="D29" i="6"/>
  <c r="C29" i="6"/>
  <c r="F29" i="6" s="1"/>
  <c r="E28" i="6"/>
  <c r="D28" i="6"/>
  <c r="C28" i="6"/>
  <c r="F28" i="6" s="1"/>
  <c r="E27" i="6"/>
  <c r="E32" i="6" s="1"/>
  <c r="D27" i="6"/>
  <c r="D32" i="6" s="1"/>
  <c r="C27" i="6"/>
  <c r="E20" i="6"/>
  <c r="D20" i="6"/>
  <c r="C20" i="6"/>
  <c r="F20" i="6" s="1"/>
  <c r="E19" i="6"/>
  <c r="D19" i="6"/>
  <c r="C19" i="6"/>
  <c r="F19" i="6" s="1"/>
  <c r="E18" i="6"/>
  <c r="D18" i="6"/>
  <c r="C18" i="6"/>
  <c r="F18" i="6" s="1"/>
  <c r="E17" i="6"/>
  <c r="D17" i="6"/>
  <c r="C17" i="6"/>
  <c r="F17" i="6" s="1"/>
  <c r="E16" i="6"/>
  <c r="D16" i="6"/>
  <c r="C16" i="6"/>
  <c r="F16" i="6" s="1"/>
  <c r="E15" i="6"/>
  <c r="D15" i="6"/>
  <c r="C15" i="6"/>
  <c r="F15" i="6" s="1"/>
  <c r="E14" i="6"/>
  <c r="D14" i="6"/>
  <c r="C14" i="6"/>
  <c r="F14" i="6" s="1"/>
  <c r="C102" i="4" s="1"/>
  <c r="D102" i="4" s="1"/>
  <c r="E13" i="6"/>
  <c r="D13" i="6"/>
  <c r="C13" i="6"/>
  <c r="F13" i="6" s="1"/>
  <c r="C101" i="4" s="1"/>
  <c r="D101" i="4" s="1"/>
  <c r="E12" i="6"/>
  <c r="D12" i="6"/>
  <c r="C12" i="6"/>
  <c r="F12" i="6" s="1"/>
  <c r="C99" i="4" s="1"/>
  <c r="D99" i="4" s="1"/>
  <c r="E11" i="6"/>
  <c r="D11" i="6"/>
  <c r="C11" i="6"/>
  <c r="F11" i="6" s="1"/>
  <c r="C98" i="4" s="1"/>
  <c r="D98" i="4" s="1"/>
  <c r="E10" i="6"/>
  <c r="D10" i="6"/>
  <c r="C10" i="6"/>
  <c r="F10" i="6" s="1"/>
  <c r="C97" i="4" s="1"/>
  <c r="D97" i="4" s="1"/>
  <c r="E9" i="6"/>
  <c r="E21" i="6" s="1"/>
  <c r="D9" i="6"/>
  <c r="D21" i="6" s="1"/>
  <c r="C9" i="6"/>
  <c r="E6" i="6"/>
  <c r="E23" i="6" s="1"/>
  <c r="E49" i="6" s="1"/>
  <c r="E57" i="6" s="1"/>
  <c r="E60" i="6" s="1"/>
  <c r="E65" i="6" s="1"/>
  <c r="E29" i="7" s="1"/>
  <c r="D6" i="6"/>
  <c r="D23" i="6" s="1"/>
  <c r="D49" i="6" s="1"/>
  <c r="D57" i="6" s="1"/>
  <c r="D60" i="6" s="1"/>
  <c r="D65" i="6" s="1"/>
  <c r="C6" i="6"/>
  <c r="B25" i="3"/>
  <c r="E25" i="3" s="1"/>
  <c r="F25" i="3" s="1"/>
  <c r="B24" i="3"/>
  <c r="E24" i="3" s="1"/>
  <c r="F24" i="3" s="1"/>
  <c r="B23" i="3"/>
  <c r="E23" i="3" s="1"/>
  <c r="F23" i="3" s="1"/>
  <c r="D12" i="3"/>
  <c r="E12" i="3" s="1"/>
  <c r="D11" i="3"/>
  <c r="E11" i="3" s="1"/>
  <c r="D6" i="3"/>
  <c r="E6" i="3" s="1"/>
  <c r="D5" i="3"/>
  <c r="E5" i="3" s="1"/>
  <c r="C34" i="2"/>
  <c r="B34" i="2"/>
  <c r="C33" i="2"/>
  <c r="B33" i="2"/>
  <c r="C32" i="2"/>
  <c r="B32" i="2"/>
  <c r="C31" i="2"/>
  <c r="B31" i="2"/>
  <c r="C30" i="2"/>
  <c r="B30" i="2"/>
  <c r="C29" i="2"/>
  <c r="B29" i="2"/>
  <c r="B28" i="2"/>
  <c r="D25" i="2"/>
  <c r="D23" i="2"/>
  <c r="C16" i="2"/>
  <c r="B16" i="2"/>
  <c r="D16" i="2" s="1"/>
  <c r="C11" i="2"/>
  <c r="B11" i="2"/>
  <c r="C10" i="2"/>
  <c r="B10" i="2"/>
  <c r="C8" i="2"/>
  <c r="B8" i="2"/>
  <c r="C7" i="2"/>
  <c r="B7" i="2"/>
  <c r="C6" i="2"/>
  <c r="B6" i="2"/>
  <c r="D316" i="4"/>
  <c r="D310" i="4"/>
  <c r="C299" i="4"/>
  <c r="D299" i="4" s="1"/>
  <c r="C296" i="4"/>
  <c r="D296" i="4" s="1"/>
  <c r="C295" i="4"/>
  <c r="D295" i="4" s="1"/>
  <c r="C294" i="4"/>
  <c r="D294" i="4" s="1"/>
  <c r="C293" i="4"/>
  <c r="D293" i="4" s="1"/>
  <c r="C290" i="4"/>
  <c r="D290" i="4" s="1"/>
  <c r="C286" i="4"/>
  <c r="D286" i="4" s="1"/>
  <c r="D283" i="4"/>
  <c r="C282" i="4"/>
  <c r="D282" i="4" s="1"/>
  <c r="C281" i="4"/>
  <c r="D281" i="4" s="1"/>
  <c r="C280" i="4"/>
  <c r="D280" i="4" s="1"/>
  <c r="C279" i="4"/>
  <c r="D279" i="4" s="1"/>
  <c r="D277" i="4"/>
  <c r="C276" i="4"/>
  <c r="D276" i="4" s="1"/>
  <c r="C275" i="4"/>
  <c r="D275" i="4" s="1"/>
  <c r="C266" i="4"/>
  <c r="D266" i="4" s="1"/>
  <c r="C263" i="4"/>
  <c r="D263" i="4" s="1"/>
  <c r="C262" i="4"/>
  <c r="D262" i="4" s="1"/>
  <c r="C261" i="4"/>
  <c r="D261" i="4" s="1"/>
  <c r="C260" i="4"/>
  <c r="D260" i="4" s="1"/>
  <c r="C257" i="4"/>
  <c r="D257" i="4" s="1"/>
  <c r="C253" i="4"/>
  <c r="D253" i="4" s="1"/>
  <c r="D250" i="4"/>
  <c r="C249" i="4"/>
  <c r="D249" i="4" s="1"/>
  <c r="C248" i="4"/>
  <c r="D248" i="4" s="1"/>
  <c r="C247" i="4"/>
  <c r="D247" i="4" s="1"/>
  <c r="C246" i="4"/>
  <c r="D246" i="4" s="1"/>
  <c r="D244" i="4"/>
  <c r="C243" i="4"/>
  <c r="D243" i="4" s="1"/>
  <c r="C242" i="4"/>
  <c r="D242" i="4" s="1"/>
  <c r="C192" i="4"/>
  <c r="D192" i="4" s="1"/>
  <c r="C191" i="4"/>
  <c r="D191" i="4" s="1"/>
  <c r="C190" i="4"/>
  <c r="D190" i="4" s="1"/>
  <c r="C187" i="4"/>
  <c r="D187" i="4" s="1"/>
  <c r="C186" i="4"/>
  <c r="D186" i="4" s="1"/>
  <c r="C185" i="4"/>
  <c r="D185" i="4" s="1"/>
  <c r="C184" i="4"/>
  <c r="D184" i="4" s="1"/>
  <c r="C180" i="4"/>
  <c r="D180" i="4" s="1"/>
  <c r="C179" i="4"/>
  <c r="D179" i="4" s="1"/>
  <c r="C178" i="4"/>
  <c r="D178" i="4" s="1"/>
  <c r="C174" i="4"/>
  <c r="D174" i="4" s="1"/>
  <c r="C173" i="4"/>
  <c r="D173" i="4" s="1"/>
  <c r="C172" i="4"/>
  <c r="D172" i="4" s="1"/>
  <c r="C171" i="4"/>
  <c r="D171" i="4" s="1"/>
  <c r="C168" i="4"/>
  <c r="D168" i="4" s="1"/>
  <c r="C167" i="4"/>
  <c r="D167" i="4" s="1"/>
  <c r="C166" i="4"/>
  <c r="D166" i="4" s="1"/>
  <c r="C157" i="4"/>
  <c r="D157" i="4" s="1"/>
  <c r="C156" i="4"/>
  <c r="D156" i="4" s="1"/>
  <c r="C155" i="4"/>
  <c r="D155" i="4" s="1"/>
  <c r="C152" i="4"/>
  <c r="D152" i="4" s="1"/>
  <c r="C151" i="4"/>
  <c r="D151" i="4" s="1"/>
  <c r="C150" i="4"/>
  <c r="D150" i="4" s="1"/>
  <c r="C149" i="4"/>
  <c r="D149" i="4" s="1"/>
  <c r="C145" i="4"/>
  <c r="D145" i="4" s="1"/>
  <c r="C144" i="4"/>
  <c r="D144" i="4" s="1"/>
  <c r="C143" i="4"/>
  <c r="D143" i="4" s="1"/>
  <c r="C139" i="4"/>
  <c r="D139" i="4" s="1"/>
  <c r="C138" i="4"/>
  <c r="D138" i="4" s="1"/>
  <c r="C137" i="4"/>
  <c r="D137" i="4" s="1"/>
  <c r="C136" i="4"/>
  <c r="D136" i="4" s="1"/>
  <c r="C133" i="4"/>
  <c r="D133" i="4" s="1"/>
  <c r="C132" i="4"/>
  <c r="D132" i="4" s="1"/>
  <c r="C131" i="4"/>
  <c r="D131" i="4" s="1"/>
  <c r="D108" i="4"/>
  <c r="C89" i="4"/>
  <c r="D89" i="4" s="1"/>
  <c r="C87" i="4"/>
  <c r="D87" i="4" s="1"/>
  <c r="C85" i="4"/>
  <c r="D85" i="4" s="1"/>
  <c r="C84" i="4"/>
  <c r="D84" i="4" s="1"/>
  <c r="C83" i="4"/>
  <c r="D83" i="4" s="1"/>
  <c r="C81" i="4"/>
  <c r="D81" i="4" s="1"/>
  <c r="C80" i="4"/>
  <c r="D80" i="4" s="1"/>
  <c r="C78" i="4"/>
  <c r="D78" i="4" s="1"/>
  <c r="C77" i="4"/>
  <c r="D77" i="4" s="1"/>
  <c r="D74" i="4"/>
  <c r="C73" i="4"/>
  <c r="D73" i="4" s="1"/>
  <c r="C72" i="4"/>
  <c r="D72" i="4" s="1"/>
  <c r="C68" i="4"/>
  <c r="D68" i="4" s="1"/>
  <c r="C67" i="4"/>
  <c r="D67" i="4" s="1"/>
  <c r="C66" i="4"/>
  <c r="D66" i="4" s="1"/>
  <c r="C65" i="4"/>
  <c r="D65" i="4" s="1"/>
  <c r="C64" i="4"/>
  <c r="D64" i="4" s="1"/>
  <c r="C63" i="4"/>
  <c r="D63" i="4" s="1"/>
  <c r="C62" i="4"/>
  <c r="D62" i="4" s="1"/>
  <c r="C60" i="4"/>
  <c r="D60" i="4" s="1"/>
  <c r="C55" i="4"/>
  <c r="D55" i="4" s="1"/>
  <c r="C53" i="4"/>
  <c r="D53" i="4" s="1"/>
  <c r="C51" i="4"/>
  <c r="D51" i="4" s="1"/>
  <c r="C50" i="4"/>
  <c r="D50" i="4" s="1"/>
  <c r="C49" i="4"/>
  <c r="D49" i="4" s="1"/>
  <c r="C47" i="4"/>
  <c r="D47" i="4" s="1"/>
  <c r="C46" i="4"/>
  <c r="D46" i="4" s="1"/>
  <c r="C44" i="4"/>
  <c r="D44" i="4" s="1"/>
  <c r="C43" i="4"/>
  <c r="D43" i="4" s="1"/>
  <c r="D40" i="4"/>
  <c r="C39" i="4"/>
  <c r="D39" i="4" s="1"/>
  <c r="C38" i="4"/>
  <c r="D38" i="4" s="1"/>
  <c r="C34" i="4"/>
  <c r="D34" i="4" s="1"/>
  <c r="C33" i="4"/>
  <c r="D33" i="4" s="1"/>
  <c r="C32" i="4"/>
  <c r="D32" i="4" s="1"/>
  <c r="C31" i="4"/>
  <c r="D31" i="4" s="1"/>
  <c r="C30" i="4"/>
  <c r="D30" i="4" s="1"/>
  <c r="C29" i="4"/>
  <c r="D29" i="4" s="1"/>
  <c r="C28" i="4"/>
  <c r="D28" i="4" s="1"/>
  <c r="C26" i="4"/>
  <c r="D26" i="4" s="1"/>
  <c r="B20" i="4"/>
  <c r="B19" i="4"/>
  <c r="B18" i="4"/>
  <c r="B17" i="4"/>
  <c r="B16" i="4"/>
  <c r="B15" i="4"/>
  <c r="B14" i="4"/>
  <c r="B13" i="4"/>
  <c r="B12" i="4"/>
  <c r="B11" i="4"/>
  <c r="B10" i="4"/>
  <c r="B9" i="4"/>
  <c r="B8" i="4"/>
  <c r="B7" i="4"/>
  <c r="F53" i="22" l="1"/>
  <c r="F20" i="22"/>
  <c r="F19" i="22"/>
  <c r="F18" i="22"/>
  <c r="F17" i="22"/>
  <c r="F58" i="22"/>
  <c r="F54" i="22"/>
  <c r="F40" i="22"/>
  <c r="F52" i="22"/>
  <c r="F51" i="22"/>
  <c r="F47" i="22"/>
  <c r="F46" i="22"/>
  <c r="F42" i="22"/>
  <c r="F41" i="22"/>
  <c r="F16" i="22"/>
  <c r="F39" i="22"/>
  <c r="F38" i="22"/>
  <c r="F37" i="22"/>
  <c r="F36" i="22"/>
  <c r="F35" i="22"/>
  <c r="F34" i="22"/>
  <c r="F44" i="22" s="1"/>
  <c r="F30" i="22"/>
  <c r="F29" i="22"/>
  <c r="F28" i="22"/>
  <c r="F27" i="22"/>
  <c r="T58" i="25"/>
  <c r="F56" i="25"/>
  <c r="M56" i="25"/>
  <c r="O271" i="18"/>
  <c r="N153" i="25"/>
  <c r="I139" i="25"/>
  <c r="H139" i="25"/>
  <c r="G139" i="25"/>
  <c r="F139" i="25"/>
  <c r="E139" i="25"/>
  <c r="D139" i="25"/>
  <c r="C139" i="25"/>
  <c r="Z58" i="25"/>
  <c r="C61" i="23"/>
  <c r="C60" i="23"/>
  <c r="C59" i="23"/>
  <c r="C58" i="23"/>
  <c r="C56" i="23"/>
  <c r="N78" i="22"/>
  <c r="M78" i="22"/>
  <c r="F78" i="22"/>
  <c r="N77" i="22"/>
  <c r="M77" i="22"/>
  <c r="F77" i="22"/>
  <c r="N76" i="22"/>
  <c r="M76" i="22"/>
  <c r="F76" i="22"/>
  <c r="N73" i="22"/>
  <c r="M73" i="22"/>
  <c r="N72" i="22"/>
  <c r="M72" i="22"/>
  <c r="F72" i="22"/>
  <c r="N71" i="22"/>
  <c r="M71" i="22"/>
  <c r="F71" i="22"/>
  <c r="N70" i="22"/>
  <c r="M70" i="22"/>
  <c r="F70" i="22"/>
  <c r="N69" i="22"/>
  <c r="M69" i="22"/>
  <c r="F69" i="22"/>
  <c r="N68" i="22"/>
  <c r="M68" i="22"/>
  <c r="F68" i="22"/>
  <c r="N67" i="22"/>
  <c r="M67" i="22"/>
  <c r="F67" i="22"/>
  <c r="F65" i="22"/>
  <c r="N64" i="22"/>
  <c r="M64" i="22"/>
  <c r="F64" i="22"/>
  <c r="M180" i="25"/>
  <c r="M188" i="25" s="1"/>
  <c r="AA188" i="25"/>
  <c r="L180" i="25"/>
  <c r="L188" i="25" s="1"/>
  <c r="Z188" i="25"/>
  <c r="K180" i="25"/>
  <c r="K188" i="25" s="1"/>
  <c r="Y188" i="25"/>
  <c r="J180" i="25"/>
  <c r="J188" i="25" s="1"/>
  <c r="X188" i="25"/>
  <c r="I180" i="25"/>
  <c r="I188" i="25" s="1"/>
  <c r="W188" i="25"/>
  <c r="G180" i="25"/>
  <c r="G188" i="25" s="1"/>
  <c r="U188" i="25"/>
  <c r="F180" i="25"/>
  <c r="F188" i="25" s="1"/>
  <c r="T188" i="25"/>
  <c r="E180" i="25"/>
  <c r="E188" i="25" s="1"/>
  <c r="S188" i="25"/>
  <c r="D180" i="25"/>
  <c r="D188" i="25" s="1"/>
  <c r="R188" i="25"/>
  <c r="N259" i="18"/>
  <c r="N12" i="22"/>
  <c r="N261" i="18"/>
  <c r="O40" i="19"/>
  <c r="O42" i="19" s="1"/>
  <c r="N13" i="22"/>
  <c r="N66" i="22" s="1"/>
  <c r="O26" i="19"/>
  <c r="O27" i="19" s="1"/>
  <c r="N87" i="18"/>
  <c r="N271" i="18" s="1"/>
  <c r="M259" i="18"/>
  <c r="M12" i="22"/>
  <c r="M258" i="18"/>
  <c r="N40" i="19"/>
  <c r="N42" i="19" s="1"/>
  <c r="M87" i="18"/>
  <c r="M271" i="18" s="1"/>
  <c r="N26" i="19"/>
  <c r="AA138" i="25"/>
  <c r="L87" i="18"/>
  <c r="L271" i="18" s="1"/>
  <c r="L28" i="22"/>
  <c r="L58" i="22"/>
  <c r="L10" i="22"/>
  <c r="L37" i="22"/>
  <c r="L52" i="22"/>
  <c r="M31" i="19"/>
  <c r="L53" i="22"/>
  <c r="M14" i="19"/>
  <c r="M32" i="19"/>
  <c r="L36" i="22"/>
  <c r="M33" i="19"/>
  <c r="L46" i="22"/>
  <c r="M26" i="19"/>
  <c r="L20" i="22"/>
  <c r="M39" i="19"/>
  <c r="M23" i="19"/>
  <c r="L35" i="22"/>
  <c r="L51" i="22"/>
  <c r="M40" i="19"/>
  <c r="L19" i="22"/>
  <c r="M10" i="19"/>
  <c r="M41" i="19"/>
  <c r="M25" i="19"/>
  <c r="L34" i="22"/>
  <c r="L47" i="22"/>
  <c r="L8" i="22"/>
  <c r="L18" i="22"/>
  <c r="L71" i="22" s="1"/>
  <c r="L16" i="22"/>
  <c r="L69" i="22" s="1"/>
  <c r="L54" i="22"/>
  <c r="L39" i="22"/>
  <c r="L30" i="22"/>
  <c r="L15" i="22"/>
  <c r="L68" i="22" s="1"/>
  <c r="L17" i="22"/>
  <c r="L70" i="22" s="1"/>
  <c r="M9" i="19"/>
  <c r="L14" i="22"/>
  <c r="L67" i="22" s="1"/>
  <c r="M16" i="19"/>
  <c r="M30" i="19"/>
  <c r="M34" i="19" s="1"/>
  <c r="L13" i="22"/>
  <c r="L29" i="22"/>
  <c r="L12" i="22"/>
  <c r="L65" i="22" s="1"/>
  <c r="L11" i="22"/>
  <c r="L64" i="22" s="1"/>
  <c r="M38" i="19"/>
  <c r="M42" i="19" s="1"/>
  <c r="M24" i="19"/>
  <c r="L41" i="22"/>
  <c r="M7" i="19"/>
  <c r="L27" i="22"/>
  <c r="L42" i="22"/>
  <c r="L38" i="22"/>
  <c r="M15" i="19"/>
  <c r="L40" i="22"/>
  <c r="M8" i="19"/>
  <c r="M53" i="19" s="1"/>
  <c r="K87" i="18"/>
  <c r="K271" i="18" s="1"/>
  <c r="Z138" i="25"/>
  <c r="K15" i="22"/>
  <c r="K30" i="22"/>
  <c r="K14" i="22"/>
  <c r="K13" i="22"/>
  <c r="K12" i="22"/>
  <c r="K11" i="22"/>
  <c r="K34" i="22"/>
  <c r="K17" i="22"/>
  <c r="L14" i="19"/>
  <c r="K10" i="22"/>
  <c r="K40" i="22"/>
  <c r="K54" i="22"/>
  <c r="K18" i="22"/>
  <c r="K35" i="22"/>
  <c r="L8" i="19"/>
  <c r="L7" i="19"/>
  <c r="L15" i="19"/>
  <c r="L16" i="19"/>
  <c r="K19" i="22"/>
  <c r="K36" i="22"/>
  <c r="L23" i="19"/>
  <c r="K41" i="22"/>
  <c r="L24" i="19"/>
  <c r="K20" i="22"/>
  <c r="L25" i="19"/>
  <c r="K37" i="22"/>
  <c r="K29" i="22"/>
  <c r="L26" i="19"/>
  <c r="K42" i="22"/>
  <c r="L30" i="19"/>
  <c r="K38" i="22"/>
  <c r="L31" i="19"/>
  <c r="L32" i="19"/>
  <c r="K53" i="22"/>
  <c r="L33" i="19"/>
  <c r="K46" i="22"/>
  <c r="K51" i="22"/>
  <c r="K27" i="22"/>
  <c r="L38" i="19"/>
  <c r="L39" i="19"/>
  <c r="L40" i="19"/>
  <c r="K47" i="22"/>
  <c r="K28" i="22"/>
  <c r="L9" i="19"/>
  <c r="K39" i="22"/>
  <c r="L41" i="19"/>
  <c r="K52" i="22"/>
  <c r="K8" i="22"/>
  <c r="L10" i="19"/>
  <c r="K58" i="22"/>
  <c r="K16" i="22"/>
  <c r="K69" i="22" s="1"/>
  <c r="J87" i="18"/>
  <c r="J271" i="18" s="1"/>
  <c r="Y138" i="25"/>
  <c r="K23" i="19"/>
  <c r="J47" i="22"/>
  <c r="J37" i="22"/>
  <c r="J16" i="22"/>
  <c r="K30" i="19"/>
  <c r="K33" i="19"/>
  <c r="J38" i="22"/>
  <c r="K26" i="19"/>
  <c r="J18" i="22"/>
  <c r="J10" i="22"/>
  <c r="J17" i="22"/>
  <c r="J58" i="22"/>
  <c r="J8" i="22"/>
  <c r="J19" i="22"/>
  <c r="J72" i="22" s="1"/>
  <c r="J53" i="22"/>
  <c r="J20" i="22"/>
  <c r="J51" i="22"/>
  <c r="J77" i="22" s="1"/>
  <c r="K9" i="19"/>
  <c r="K38" i="19"/>
  <c r="K10" i="19"/>
  <c r="K7" i="19"/>
  <c r="K15" i="19"/>
  <c r="K8" i="19"/>
  <c r="K53" i="19" s="1"/>
  <c r="J54" i="22"/>
  <c r="J27" i="22"/>
  <c r="K14" i="19"/>
  <c r="J40" i="22"/>
  <c r="K41" i="19"/>
  <c r="J28" i="22"/>
  <c r="K39" i="19"/>
  <c r="J11" i="22"/>
  <c r="J64" i="22" s="1"/>
  <c r="J29" i="22"/>
  <c r="J39" i="22"/>
  <c r="K31" i="19"/>
  <c r="J41" i="22"/>
  <c r="K24" i="19"/>
  <c r="J12" i="22"/>
  <c r="J65" i="22" s="1"/>
  <c r="J30" i="22"/>
  <c r="J13" i="22"/>
  <c r="K16" i="19"/>
  <c r="J14" i="22"/>
  <c r="J67" i="22" s="1"/>
  <c r="J34" i="22"/>
  <c r="J15" i="22"/>
  <c r="J68" i="22" s="1"/>
  <c r="K25" i="19"/>
  <c r="K32" i="19"/>
  <c r="J35" i="22"/>
  <c r="K40" i="19"/>
  <c r="J42" i="22"/>
  <c r="J46" i="22"/>
  <c r="J36" i="22"/>
  <c r="J52" i="22"/>
  <c r="J78" i="22" s="1"/>
  <c r="X138" i="25"/>
  <c r="I87" i="18"/>
  <c r="I271" i="18" s="1"/>
  <c r="I53" i="22"/>
  <c r="I51" i="22"/>
  <c r="J31" i="19"/>
  <c r="I17" i="22"/>
  <c r="J33" i="19"/>
  <c r="I18" i="22"/>
  <c r="I46" i="22"/>
  <c r="J39" i="19"/>
  <c r="I29" i="22"/>
  <c r="J24" i="19"/>
  <c r="I58" i="22"/>
  <c r="I20" i="22"/>
  <c r="J8" i="19"/>
  <c r="I54" i="22"/>
  <c r="I27" i="22"/>
  <c r="I47" i="22"/>
  <c r="J32" i="19"/>
  <c r="J30" i="19"/>
  <c r="I19" i="22"/>
  <c r="J26" i="19"/>
  <c r="I10" i="22"/>
  <c r="I11" i="22"/>
  <c r="I41" i="22"/>
  <c r="I42" i="22"/>
  <c r="J23" i="19"/>
  <c r="I30" i="22"/>
  <c r="I14" i="22"/>
  <c r="I34" i="22"/>
  <c r="J38" i="19"/>
  <c r="I35" i="22"/>
  <c r="I12" i="22"/>
  <c r="I36" i="22"/>
  <c r="J16" i="19"/>
  <c r="I37" i="22"/>
  <c r="I52" i="22"/>
  <c r="I38" i="22"/>
  <c r="I16" i="22"/>
  <c r="I8" i="22"/>
  <c r="I39" i="22"/>
  <c r="I28" i="22"/>
  <c r="J41" i="19"/>
  <c r="J9" i="19"/>
  <c r="J25" i="19"/>
  <c r="I15" i="22"/>
  <c r="J10" i="19"/>
  <c r="J15" i="19"/>
  <c r="I13" i="22"/>
  <c r="I40" i="22"/>
  <c r="J7" i="19"/>
  <c r="J40" i="19"/>
  <c r="J14" i="19"/>
  <c r="W138" i="25"/>
  <c r="H87" i="18"/>
  <c r="H271" i="18" s="1"/>
  <c r="H27" i="22"/>
  <c r="H28" i="22"/>
  <c r="H30" i="22"/>
  <c r="H34" i="22"/>
  <c r="H35" i="22"/>
  <c r="H36" i="22"/>
  <c r="H37" i="22"/>
  <c r="H38" i="22"/>
  <c r="H39" i="22"/>
  <c r="I9" i="19"/>
  <c r="B19" i="24" s="1"/>
  <c r="I10" i="19"/>
  <c r="H40" i="22"/>
  <c r="I14" i="19"/>
  <c r="I15" i="19"/>
  <c r="B36" i="24" s="1"/>
  <c r="H46" i="22"/>
  <c r="I32" i="19"/>
  <c r="B12" i="24" s="1"/>
  <c r="I26" i="19"/>
  <c r="I24" i="19"/>
  <c r="I33" i="19"/>
  <c r="B13" i="24" s="1"/>
  <c r="H42" i="22"/>
  <c r="H54" i="22"/>
  <c r="I23" i="19"/>
  <c r="H8" i="22"/>
  <c r="I30" i="19"/>
  <c r="H51" i="22"/>
  <c r="H77" i="22" s="1"/>
  <c r="H52" i="22"/>
  <c r="H78" i="22" s="1"/>
  <c r="H10" i="22"/>
  <c r="I41" i="19"/>
  <c r="H58" i="22"/>
  <c r="H17" i="22"/>
  <c r="H70" i="22" s="1"/>
  <c r="I25" i="19"/>
  <c r="B29" i="24" s="1"/>
  <c r="H16" i="22"/>
  <c r="I40" i="19"/>
  <c r="H15" i="22"/>
  <c r="H41" i="22"/>
  <c r="H14" i="22"/>
  <c r="H29" i="22"/>
  <c r="H53" i="22"/>
  <c r="H13" i="22"/>
  <c r="H47" i="22"/>
  <c r="H12" i="22"/>
  <c r="I16" i="19"/>
  <c r="H11" i="22"/>
  <c r="I31" i="19"/>
  <c r="B22" i="24" s="1"/>
  <c r="I39" i="19"/>
  <c r="I8" i="19"/>
  <c r="I7" i="19"/>
  <c r="I38" i="19"/>
  <c r="H18" i="22"/>
  <c r="H19" i="22"/>
  <c r="H20" i="22"/>
  <c r="V188" i="25"/>
  <c r="H180" i="25"/>
  <c r="H188" i="25" s="1"/>
  <c r="G87" i="18"/>
  <c r="G271" i="18" s="1"/>
  <c r="V138" i="25"/>
  <c r="H26" i="19"/>
  <c r="H15" i="19"/>
  <c r="H14" i="19"/>
  <c r="G53" i="22"/>
  <c r="H7" i="19"/>
  <c r="G40" i="22"/>
  <c r="G47" i="22"/>
  <c r="H10" i="19"/>
  <c r="H9" i="19"/>
  <c r="G39" i="22"/>
  <c r="G38" i="22"/>
  <c r="G37" i="22"/>
  <c r="G36" i="22"/>
  <c r="G35" i="22"/>
  <c r="G34" i="22"/>
  <c r="H25" i="19"/>
  <c r="G30" i="22"/>
  <c r="G29" i="22"/>
  <c r="G16" i="22"/>
  <c r="H38" i="19"/>
  <c r="G28" i="22"/>
  <c r="G13" i="22"/>
  <c r="G8" i="22"/>
  <c r="G46" i="22"/>
  <c r="G15" i="22"/>
  <c r="G68" i="22" s="1"/>
  <c r="H30" i="19"/>
  <c r="G27" i="22"/>
  <c r="G17" i="22"/>
  <c r="G70" i="22" s="1"/>
  <c r="G20" i="22"/>
  <c r="G12" i="22"/>
  <c r="G65" i="22" s="1"/>
  <c r="G54" i="22"/>
  <c r="G52" i="22"/>
  <c r="G78" i="22" s="1"/>
  <c r="G18" i="22"/>
  <c r="G71" i="22" s="1"/>
  <c r="G51" i="22"/>
  <c r="G77" i="22" s="1"/>
  <c r="H40" i="19"/>
  <c r="G11" i="22"/>
  <c r="G64" i="22" s="1"/>
  <c r="H16" i="19"/>
  <c r="G42" i="22"/>
  <c r="H31" i="19"/>
  <c r="G19" i="22"/>
  <c r="G72" i="22" s="1"/>
  <c r="H23" i="19"/>
  <c r="H24" i="19"/>
  <c r="H33" i="19"/>
  <c r="G41" i="22"/>
  <c r="G58" i="22"/>
  <c r="H41" i="19"/>
  <c r="H32" i="19"/>
  <c r="G14" i="22"/>
  <c r="G67" i="22" s="1"/>
  <c r="H8" i="19"/>
  <c r="H53" i="19" s="1"/>
  <c r="H39" i="19"/>
  <c r="G10" i="22"/>
  <c r="F87" i="18"/>
  <c r="F271" i="18" s="1"/>
  <c r="G26" i="19"/>
  <c r="U138" i="25"/>
  <c r="E87" i="18"/>
  <c r="E271" i="18" s="1"/>
  <c r="T138" i="25"/>
  <c r="E14" i="22"/>
  <c r="E52" i="22"/>
  <c r="E51" i="22"/>
  <c r="E47" i="22"/>
  <c r="E46" i="22"/>
  <c r="E42" i="22"/>
  <c r="E41" i="22"/>
  <c r="E40" i="22"/>
  <c r="E13" i="22"/>
  <c r="E39" i="22"/>
  <c r="E38" i="22"/>
  <c r="E37" i="22"/>
  <c r="E36" i="22"/>
  <c r="E35" i="22"/>
  <c r="E34" i="22"/>
  <c r="E44" i="22" s="1"/>
  <c r="E12" i="22"/>
  <c r="E30" i="22"/>
  <c r="E29" i="22"/>
  <c r="E28" i="22"/>
  <c r="E27" i="22"/>
  <c r="E20" i="22"/>
  <c r="E18" i="22"/>
  <c r="E11" i="22"/>
  <c r="F14" i="19"/>
  <c r="F9" i="19"/>
  <c r="F10" i="19"/>
  <c r="F15" i="19"/>
  <c r="F16" i="19"/>
  <c r="E17" i="22"/>
  <c r="F23" i="19"/>
  <c r="F24" i="19"/>
  <c r="F25" i="19"/>
  <c r="F26" i="19"/>
  <c r="F8" i="19"/>
  <c r="F30" i="19"/>
  <c r="F31" i="19"/>
  <c r="E16" i="22"/>
  <c r="F32" i="19"/>
  <c r="F33" i="19"/>
  <c r="F38" i="19"/>
  <c r="F7" i="19"/>
  <c r="F11" i="19" s="1"/>
  <c r="F39" i="19"/>
  <c r="F40" i="19"/>
  <c r="F41" i="19"/>
  <c r="E15" i="22"/>
  <c r="E8" i="22"/>
  <c r="E10" i="22"/>
  <c r="E58" i="22"/>
  <c r="E54" i="22"/>
  <c r="E53" i="22"/>
  <c r="E19" i="22"/>
  <c r="E72" i="22" s="1"/>
  <c r="S138" i="25"/>
  <c r="D87" i="18"/>
  <c r="D271" i="18" s="1"/>
  <c r="D46" i="22"/>
  <c r="D16" i="22"/>
  <c r="E9" i="19"/>
  <c r="E16" i="19"/>
  <c r="E14" i="19"/>
  <c r="E30" i="19"/>
  <c r="D41" i="22"/>
  <c r="E41" i="19"/>
  <c r="D27" i="22"/>
  <c r="E26" i="19"/>
  <c r="E10" i="19"/>
  <c r="E25" i="19"/>
  <c r="D28" i="22"/>
  <c r="D29" i="22"/>
  <c r="D30" i="22"/>
  <c r="D51" i="22"/>
  <c r="D15" i="22"/>
  <c r="D20" i="22"/>
  <c r="D54" i="22"/>
  <c r="D34" i="22"/>
  <c r="D53" i="22"/>
  <c r="D18" i="22"/>
  <c r="D52" i="22"/>
  <c r="D35" i="22"/>
  <c r="D8" i="22"/>
  <c r="D19" i="22"/>
  <c r="D72" i="22" s="1"/>
  <c r="D42" i="22"/>
  <c r="E38" i="19"/>
  <c r="D36" i="22"/>
  <c r="E7" i="19"/>
  <c r="D37" i="22"/>
  <c r="D10" i="22"/>
  <c r="E40" i="19"/>
  <c r="E8" i="19"/>
  <c r="E53" i="19" s="1"/>
  <c r="D38" i="22"/>
  <c r="D58" i="22"/>
  <c r="E33" i="19"/>
  <c r="D11" i="22"/>
  <c r="D64" i="22" s="1"/>
  <c r="E15" i="19"/>
  <c r="D14" i="22"/>
  <c r="D67" i="22" s="1"/>
  <c r="E39" i="19"/>
  <c r="D39" i="22"/>
  <c r="D47" i="22"/>
  <c r="D40" i="22"/>
  <c r="D17" i="22"/>
  <c r="D70" i="22" s="1"/>
  <c r="E24" i="19"/>
  <c r="D13" i="22"/>
  <c r="E23" i="19"/>
  <c r="E27" i="19" s="1"/>
  <c r="E32" i="19"/>
  <c r="D12" i="22"/>
  <c r="D65" i="22" s="1"/>
  <c r="E31" i="19"/>
  <c r="C87" i="18"/>
  <c r="C271" i="18" s="1"/>
  <c r="R138" i="25"/>
  <c r="C54" i="22"/>
  <c r="C36" i="22"/>
  <c r="C30" i="22"/>
  <c r="C35" i="22"/>
  <c r="C18" i="22"/>
  <c r="C34" i="22"/>
  <c r="C51" i="22"/>
  <c r="C29" i="22"/>
  <c r="C27" i="22"/>
  <c r="C8" i="22"/>
  <c r="C28" i="22"/>
  <c r="D41" i="19"/>
  <c r="C20" i="22"/>
  <c r="C12" i="22"/>
  <c r="C65" i="22" s="1"/>
  <c r="C19" i="22"/>
  <c r="C72" i="22" s="1"/>
  <c r="D40" i="19"/>
  <c r="D39" i="19"/>
  <c r="C17" i="22"/>
  <c r="C70" i="22" s="1"/>
  <c r="D38" i="19"/>
  <c r="D33" i="19"/>
  <c r="D32" i="19"/>
  <c r="C53" i="22"/>
  <c r="C16" i="22"/>
  <c r="C69" i="22" s="1"/>
  <c r="C46" i="22"/>
  <c r="D31" i="19"/>
  <c r="D30" i="19"/>
  <c r="D34" i="19" s="1"/>
  <c r="D26" i="19"/>
  <c r="C15" i="22"/>
  <c r="C42" i="22"/>
  <c r="D25" i="19"/>
  <c r="D24" i="19"/>
  <c r="D23" i="19"/>
  <c r="C14" i="22"/>
  <c r="C52" i="22"/>
  <c r="C41" i="22"/>
  <c r="D16" i="19"/>
  <c r="D15" i="19"/>
  <c r="C13" i="22"/>
  <c r="D14" i="19"/>
  <c r="D17" i="19" s="1"/>
  <c r="C40" i="22"/>
  <c r="C47" i="22"/>
  <c r="D10" i="19"/>
  <c r="C58" i="22"/>
  <c r="C11" i="22"/>
  <c r="C39" i="22"/>
  <c r="D9" i="19"/>
  <c r="C38" i="22"/>
  <c r="D8" i="19"/>
  <c r="D7" i="19"/>
  <c r="D11" i="19" s="1"/>
  <c r="C37" i="22"/>
  <c r="C10" i="22"/>
  <c r="AO95" i="25"/>
  <c r="AO112" i="25"/>
  <c r="AN95" i="25"/>
  <c r="AN112" i="25"/>
  <c r="AM95" i="25"/>
  <c r="AM112" i="25"/>
  <c r="AL95" i="25"/>
  <c r="AL112" i="25"/>
  <c r="AK95" i="25"/>
  <c r="AK112" i="25"/>
  <c r="AJ95" i="25"/>
  <c r="AJ112" i="25"/>
  <c r="AI95" i="25"/>
  <c r="AI112" i="25"/>
  <c r="AH95" i="25"/>
  <c r="AH112" i="25"/>
  <c r="AG112" i="25"/>
  <c r="AG95" i="25"/>
  <c r="AF112" i="25"/>
  <c r="AF95" i="25"/>
  <c r="AE112" i="25"/>
  <c r="AE95" i="25"/>
  <c r="AA95" i="25"/>
  <c r="AA112" i="25" s="1"/>
  <c r="Z95" i="25"/>
  <c r="Z112" i="25" s="1"/>
  <c r="Y95" i="25"/>
  <c r="Y112" i="25" s="1"/>
  <c r="X95" i="25"/>
  <c r="X112" i="25" s="1"/>
  <c r="W95" i="25"/>
  <c r="W112" i="25" s="1"/>
  <c r="V95" i="25"/>
  <c r="V112" i="25" s="1"/>
  <c r="U95" i="25"/>
  <c r="U112" i="25" s="1"/>
  <c r="T95" i="25"/>
  <c r="T112" i="25" s="1"/>
  <c r="S95" i="25"/>
  <c r="S112" i="25" s="1"/>
  <c r="R95" i="25"/>
  <c r="R112" i="25" s="1"/>
  <c r="Q112" i="25"/>
  <c r="Q95" i="25"/>
  <c r="P53" i="24"/>
  <c r="T53" i="24" s="1"/>
  <c r="N53" i="24"/>
  <c r="S44" i="24"/>
  <c r="S49" i="24" s="1"/>
  <c r="K49" i="24"/>
  <c r="R44" i="24"/>
  <c r="R49" i="24" s="1"/>
  <c r="H49" i="24"/>
  <c r="E49" i="24"/>
  <c r="Q44" i="24"/>
  <c r="Q49" i="24" s="1"/>
  <c r="K47" i="24"/>
  <c r="S47" i="24" s="1"/>
  <c r="S14" i="24"/>
  <c r="H47" i="24"/>
  <c r="R47" i="24" s="1"/>
  <c r="R14" i="24"/>
  <c r="Q14" i="24"/>
  <c r="E47" i="24"/>
  <c r="Q47" i="24" s="1"/>
  <c r="N14" i="24"/>
  <c r="P14" i="24"/>
  <c r="T14" i="24" s="1"/>
  <c r="K18" i="24"/>
  <c r="S18" i="24" s="1"/>
  <c r="S11" i="24"/>
  <c r="R11" i="24"/>
  <c r="H18" i="24"/>
  <c r="R18" i="24" s="1"/>
  <c r="Q11" i="24"/>
  <c r="E18" i="24"/>
  <c r="Q18" i="24" s="1"/>
  <c r="N11" i="24"/>
  <c r="P11" i="24"/>
  <c r="T11" i="24" s="1"/>
  <c r="S9" i="24"/>
  <c r="K37" i="24"/>
  <c r="S37" i="24" s="1"/>
  <c r="R9" i="24"/>
  <c r="H37" i="24"/>
  <c r="R37" i="24" s="1"/>
  <c r="E37" i="24"/>
  <c r="Q37" i="24" s="1"/>
  <c r="Q9" i="24"/>
  <c r="S8" i="24"/>
  <c r="K36" i="24"/>
  <c r="R8" i="24"/>
  <c r="H36" i="24"/>
  <c r="E36" i="24"/>
  <c r="Q8" i="24"/>
  <c r="N8" i="24"/>
  <c r="P8" i="24"/>
  <c r="T8" i="24" s="1"/>
  <c r="L57" i="24"/>
  <c r="S6" i="24"/>
  <c r="S16" i="24" s="1"/>
  <c r="S26" i="24" s="1"/>
  <c r="S33" i="24" s="1"/>
  <c r="K16" i="24"/>
  <c r="K26" i="24" s="1"/>
  <c r="K33" i="24" s="1"/>
  <c r="J57" i="24"/>
  <c r="R6" i="24"/>
  <c r="R16" i="24" s="1"/>
  <c r="R26" i="24" s="1"/>
  <c r="R33" i="24" s="1"/>
  <c r="H16" i="24"/>
  <c r="H26" i="24" s="1"/>
  <c r="H33" i="24" s="1"/>
  <c r="G57" i="24"/>
  <c r="Q6" i="24"/>
  <c r="Q16" i="24" s="1"/>
  <c r="Q26" i="24" s="1"/>
  <c r="Q33" i="24" s="1"/>
  <c r="E16" i="24"/>
  <c r="E26" i="24" s="1"/>
  <c r="E33" i="24" s="1"/>
  <c r="N6" i="24"/>
  <c r="N16" i="24" s="1"/>
  <c r="N26" i="24" s="1"/>
  <c r="N33" i="24" s="1"/>
  <c r="P6" i="24"/>
  <c r="B16" i="24"/>
  <c r="B26" i="24" s="1"/>
  <c r="B33" i="24" s="1"/>
  <c r="AF44" i="23"/>
  <c r="AE44" i="23" s="1"/>
  <c r="AG44" i="23"/>
  <c r="T44" i="23"/>
  <c r="U44" i="23"/>
  <c r="X44" i="23"/>
  <c r="W44" i="23" s="1"/>
  <c r="Y44" i="23"/>
  <c r="I44" i="23"/>
  <c r="M44" i="23"/>
  <c r="H44" i="23"/>
  <c r="G44" i="23" s="1"/>
  <c r="L44" i="23"/>
  <c r="K44" i="23" s="1"/>
  <c r="T43" i="23"/>
  <c r="X43" i="23"/>
  <c r="AF43" i="23"/>
  <c r="AE43" i="23" s="1"/>
  <c r="AG43" i="23"/>
  <c r="U43" i="23"/>
  <c r="Y43" i="23" s="1"/>
  <c r="I43" i="23"/>
  <c r="M43" i="23"/>
  <c r="E61" i="23"/>
  <c r="H43" i="23"/>
  <c r="L43" i="23"/>
  <c r="D61" i="23"/>
  <c r="U42" i="23"/>
  <c r="T42" i="23"/>
  <c r="X42" i="23"/>
  <c r="Y42" i="23"/>
  <c r="AF42" i="23"/>
  <c r="AE42" i="23" s="1"/>
  <c r="AG42" i="23"/>
  <c r="I42" i="23"/>
  <c r="M42" i="23"/>
  <c r="E60" i="23"/>
  <c r="H42" i="23"/>
  <c r="L42" i="23"/>
  <c r="D60" i="23"/>
  <c r="U38" i="23"/>
  <c r="Y38" i="23" s="1"/>
  <c r="AC38" i="23" s="1"/>
  <c r="T38" i="23"/>
  <c r="X38" i="23" s="1"/>
  <c r="W38" i="23" s="1"/>
  <c r="AG38" i="23"/>
  <c r="AF38" i="23"/>
  <c r="AE38" i="23" s="1"/>
  <c r="I38" i="23"/>
  <c r="M38" i="23"/>
  <c r="H38" i="23"/>
  <c r="AF37" i="23"/>
  <c r="AE37" i="23" s="1"/>
  <c r="AG37" i="23"/>
  <c r="T37" i="23"/>
  <c r="X37" i="23" s="1"/>
  <c r="W37" i="23" s="1"/>
  <c r="U37" i="23"/>
  <c r="Y37" i="23" s="1"/>
  <c r="AC37" i="23" s="1"/>
  <c r="I37" i="23"/>
  <c r="M37" i="23" s="1"/>
  <c r="H37" i="23"/>
  <c r="Y33" i="23"/>
  <c r="AC33" i="23"/>
  <c r="X33" i="23"/>
  <c r="W33" i="23" s="1"/>
  <c r="AB33" i="23"/>
  <c r="AA33" i="23" s="1"/>
  <c r="I33" i="23"/>
  <c r="M33" i="23" s="1"/>
  <c r="H33" i="23"/>
  <c r="Y32" i="23"/>
  <c r="AC32" i="23" s="1"/>
  <c r="X32" i="23"/>
  <c r="I32" i="23"/>
  <c r="M32" i="23"/>
  <c r="H32" i="23"/>
  <c r="G32" i="23" s="1"/>
  <c r="L32" i="23"/>
  <c r="K32" i="23" s="1"/>
  <c r="Y31" i="23"/>
  <c r="AC31" i="23" s="1"/>
  <c r="X31" i="23"/>
  <c r="W31" i="23" s="1"/>
  <c r="AB31" i="23"/>
  <c r="AA31" i="23" s="1"/>
  <c r="I31" i="23"/>
  <c r="M31" i="23" s="1"/>
  <c r="H31" i="23"/>
  <c r="G31" i="23" s="1"/>
  <c r="L31" i="23"/>
  <c r="K31" i="23" s="1"/>
  <c r="Y30" i="23"/>
  <c r="AC30" i="23" s="1"/>
  <c r="X30" i="23"/>
  <c r="W30" i="23" s="1"/>
  <c r="AB30" i="23"/>
  <c r="AA30" i="23" s="1"/>
  <c r="I30" i="23"/>
  <c r="M30" i="23" s="1"/>
  <c r="H30" i="23"/>
  <c r="Y29" i="23"/>
  <c r="AC29" i="23" s="1"/>
  <c r="X29" i="23"/>
  <c r="W29" i="23" s="1"/>
  <c r="AB29" i="23"/>
  <c r="AA29" i="23" s="1"/>
  <c r="I29" i="23"/>
  <c r="M29" i="23" s="1"/>
  <c r="H29" i="23"/>
  <c r="Y28" i="23"/>
  <c r="AC28" i="23" s="1"/>
  <c r="X28" i="23"/>
  <c r="I28" i="23"/>
  <c r="M28" i="23"/>
  <c r="H28" i="23"/>
  <c r="Y27" i="23"/>
  <c r="AC27" i="23" s="1"/>
  <c r="X27" i="23"/>
  <c r="W27" i="23" s="1"/>
  <c r="AB27" i="23"/>
  <c r="AA27" i="23" s="1"/>
  <c r="I27" i="23"/>
  <c r="M27" i="23" s="1"/>
  <c r="H27" i="23"/>
  <c r="Y26" i="23"/>
  <c r="Y35" i="23" s="1"/>
  <c r="AC26" i="23"/>
  <c r="AC35" i="23" s="1"/>
  <c r="U35" i="23"/>
  <c r="X26" i="23"/>
  <c r="AB26" i="23"/>
  <c r="T35" i="23"/>
  <c r="E35" i="23"/>
  <c r="E59" i="23" s="1"/>
  <c r="I26" i="23"/>
  <c r="H26" i="23"/>
  <c r="L26" i="23" s="1"/>
  <c r="D35" i="23"/>
  <c r="D59" i="23" s="1"/>
  <c r="Y22" i="23"/>
  <c r="AC22" i="23"/>
  <c r="X22" i="23"/>
  <c r="W22" i="23" s="1"/>
  <c r="AB22" i="23"/>
  <c r="AA22" i="23" s="1"/>
  <c r="I22" i="23"/>
  <c r="M22" i="23" s="1"/>
  <c r="H22" i="23"/>
  <c r="G22" i="23" s="1"/>
  <c r="L22" i="23"/>
  <c r="K22" i="23" s="1"/>
  <c r="Y21" i="23"/>
  <c r="AC21" i="23"/>
  <c r="X21" i="23"/>
  <c r="I21" i="23"/>
  <c r="M21" i="23" s="1"/>
  <c r="H21" i="23"/>
  <c r="Y20" i="23"/>
  <c r="AC20" i="23" s="1"/>
  <c r="X20" i="23"/>
  <c r="I20" i="23"/>
  <c r="M20" i="23" s="1"/>
  <c r="H20" i="23"/>
  <c r="G20" i="23" s="1"/>
  <c r="L20" i="23"/>
  <c r="K20" i="23" s="1"/>
  <c r="Y19" i="23"/>
  <c r="AC19" i="23" s="1"/>
  <c r="X19" i="23"/>
  <c r="W19" i="23" s="1"/>
  <c r="AB19" i="23"/>
  <c r="AA19" i="23" s="1"/>
  <c r="I19" i="23"/>
  <c r="M19" i="23" s="1"/>
  <c r="H19" i="23"/>
  <c r="G19" i="23" s="1"/>
  <c r="L19" i="23"/>
  <c r="K19" i="23" s="1"/>
  <c r="Y18" i="23"/>
  <c r="AC18" i="23" s="1"/>
  <c r="X18" i="23"/>
  <c r="I18" i="23"/>
  <c r="M18" i="23" s="1"/>
  <c r="H18" i="23"/>
  <c r="G18" i="23" s="1"/>
  <c r="L18" i="23"/>
  <c r="K18" i="23" s="1"/>
  <c r="Y17" i="23"/>
  <c r="U24" i="23"/>
  <c r="T24" i="23"/>
  <c r="X17" i="23"/>
  <c r="AB17" i="23"/>
  <c r="I17" i="23"/>
  <c r="E24" i="23"/>
  <c r="E58" i="23" s="1"/>
  <c r="H17" i="23"/>
  <c r="L17" i="23"/>
  <c r="D24" i="23"/>
  <c r="D58" i="23" s="1"/>
  <c r="Y10" i="23"/>
  <c r="AC10" i="23" s="1"/>
  <c r="X10" i="23"/>
  <c r="I10" i="23"/>
  <c r="M10" i="23" s="1"/>
  <c r="H10" i="23"/>
  <c r="G10" i="23" s="1"/>
  <c r="L10" i="23"/>
  <c r="K10" i="23" s="1"/>
  <c r="Y9" i="23"/>
  <c r="AC9" i="23"/>
  <c r="X9" i="23"/>
  <c r="W9" i="23" s="1"/>
  <c r="AB9" i="23"/>
  <c r="AA9" i="23" s="1"/>
  <c r="I9" i="23"/>
  <c r="M9" i="23"/>
  <c r="H9" i="23"/>
  <c r="U12" i="23"/>
  <c r="Y8" i="23"/>
  <c r="Y12" i="23" s="1"/>
  <c r="AC8" i="23"/>
  <c r="AC12" i="23" s="1"/>
  <c r="T12" i="23"/>
  <c r="X8" i="23"/>
  <c r="AB8" i="23" s="1"/>
  <c r="I8" i="23"/>
  <c r="I12" i="23" s="1"/>
  <c r="M8" i="23"/>
  <c r="M12" i="23" s="1"/>
  <c r="E12" i="23"/>
  <c r="E56" i="23" s="1"/>
  <c r="D12" i="23"/>
  <c r="D56" i="23" s="1"/>
  <c r="H8" i="23"/>
  <c r="L8" i="23" s="1"/>
  <c r="U6" i="23"/>
  <c r="T6" i="23"/>
  <c r="Q50" i="23"/>
  <c r="AG6" i="23"/>
  <c r="Y6" i="23"/>
  <c r="AF6" i="23"/>
  <c r="X6" i="23"/>
  <c r="Q14" i="23"/>
  <c r="P50" i="23"/>
  <c r="P14" i="23"/>
  <c r="O50" i="23"/>
  <c r="O14" i="23"/>
  <c r="I6" i="23"/>
  <c r="M6" i="23" s="1"/>
  <c r="E50" i="23"/>
  <c r="E14" i="23"/>
  <c r="D50" i="23"/>
  <c r="D14" i="23"/>
  <c r="H6" i="23"/>
  <c r="L6" i="23" s="1"/>
  <c r="C14" i="23"/>
  <c r="C50" i="23"/>
  <c r="N82" i="22"/>
  <c r="N32" i="22"/>
  <c r="N75" i="22" s="1"/>
  <c r="M82" i="22"/>
  <c r="M32" i="22"/>
  <c r="M75" i="22" s="1"/>
  <c r="F82" i="22"/>
  <c r="F32" i="22"/>
  <c r="F75" i="22" s="1"/>
  <c r="N63" i="22"/>
  <c r="M63" i="22"/>
  <c r="F63" i="22"/>
  <c r="F22" i="22"/>
  <c r="F24" i="22"/>
  <c r="O34" i="19"/>
  <c r="C44" i="24"/>
  <c r="C47" i="24"/>
  <c r="C9" i="24"/>
  <c r="C37" i="24"/>
  <c r="C20" i="24"/>
  <c r="O17" i="19"/>
  <c r="C18" i="24"/>
  <c r="O53" i="19"/>
  <c r="C21" i="24"/>
  <c r="O19" i="19"/>
  <c r="N19" i="19"/>
  <c r="G19" i="19"/>
  <c r="O35" i="22"/>
  <c r="O54" i="22"/>
  <c r="P30" i="19"/>
  <c r="O53" i="22"/>
  <c r="P26" i="19"/>
  <c r="O52" i="22"/>
  <c r="P25" i="19"/>
  <c r="O51" i="22"/>
  <c r="P24" i="19"/>
  <c r="O47" i="22"/>
  <c r="O34" i="22"/>
  <c r="P23" i="19"/>
  <c r="P27" i="19" s="1"/>
  <c r="O46" i="22"/>
  <c r="P16" i="19"/>
  <c r="P15" i="19"/>
  <c r="O42" i="22"/>
  <c r="P14" i="19"/>
  <c r="P17" i="19" s="1"/>
  <c r="O41" i="22"/>
  <c r="P10" i="19"/>
  <c r="O40" i="22"/>
  <c r="P9" i="19"/>
  <c r="O39" i="22"/>
  <c r="P8" i="19"/>
  <c r="O30" i="22"/>
  <c r="O38" i="22"/>
  <c r="P7" i="19"/>
  <c r="P11" i="19" s="1"/>
  <c r="O37" i="22"/>
  <c r="O13" i="22"/>
  <c r="O27" i="22"/>
  <c r="O20" i="22"/>
  <c r="O19" i="22"/>
  <c r="O18" i="22"/>
  <c r="O17" i="22"/>
  <c r="O29" i="22"/>
  <c r="O16" i="22"/>
  <c r="O15" i="22"/>
  <c r="O14" i="22"/>
  <c r="O12" i="22"/>
  <c r="O11" i="22"/>
  <c r="O10" i="22"/>
  <c r="O36" i="22"/>
  <c r="O8" i="22"/>
  <c r="P41" i="19"/>
  <c r="O28" i="22"/>
  <c r="P40" i="19"/>
  <c r="P39" i="19"/>
  <c r="P38" i="19"/>
  <c r="P42" i="19" s="1"/>
  <c r="P33" i="19"/>
  <c r="P32" i="19"/>
  <c r="O58" i="22"/>
  <c r="P31" i="19"/>
  <c r="C76" i="17"/>
  <c r="C297" i="4"/>
  <c r="D297" i="4" s="1"/>
  <c r="C45" i="13"/>
  <c r="C188" i="4"/>
  <c r="D188" i="4" s="1"/>
  <c r="C21" i="13"/>
  <c r="C169" i="4"/>
  <c r="D169" i="4" s="1"/>
  <c r="C23" i="14"/>
  <c r="C285" i="4" s="1"/>
  <c r="D285" i="4" s="1"/>
  <c r="C12" i="14"/>
  <c r="C274" i="4" s="1"/>
  <c r="D274" i="4" s="1"/>
  <c r="C70" i="17"/>
  <c r="C69" i="17"/>
  <c r="C27" i="14"/>
  <c r="C10" i="14"/>
  <c r="C273" i="4" s="1"/>
  <c r="D273" i="4" s="1"/>
  <c r="C68" i="17"/>
  <c r="C79" i="4"/>
  <c r="D79" i="4" s="1"/>
  <c r="D15" i="3"/>
  <c r="E15" i="3" s="1"/>
  <c r="C67" i="17"/>
  <c r="C75" i="4"/>
  <c r="D75" i="4" s="1"/>
  <c r="C66" i="17"/>
  <c r="C69" i="4"/>
  <c r="D69" i="4" s="1"/>
  <c r="D9" i="3"/>
  <c r="E9" i="3" s="1"/>
  <c r="C62" i="17"/>
  <c r="C23" i="12"/>
  <c r="B76" i="17"/>
  <c r="C264" i="4"/>
  <c r="D264" i="4" s="1"/>
  <c r="C45" i="10"/>
  <c r="C153" i="4"/>
  <c r="D153" i="4" s="1"/>
  <c r="C21" i="10"/>
  <c r="C134" i="4"/>
  <c r="D134" i="4" s="1"/>
  <c r="B70" i="17"/>
  <c r="C23" i="11"/>
  <c r="C252" i="4" s="1"/>
  <c r="D252" i="4" s="1"/>
  <c r="C12" i="11"/>
  <c r="C241" i="4" s="1"/>
  <c r="D241" i="4" s="1"/>
  <c r="C27" i="11"/>
  <c r="B69" i="17"/>
  <c r="C10" i="11"/>
  <c r="C240" i="4" s="1"/>
  <c r="D240" i="4" s="1"/>
  <c r="B68" i="17"/>
  <c r="C45" i="4"/>
  <c r="D45" i="4" s="1"/>
  <c r="D14" i="3"/>
  <c r="E14" i="3" s="1"/>
  <c r="B67" i="17"/>
  <c r="C41" i="4"/>
  <c r="D41" i="4" s="1"/>
  <c r="B66" i="17"/>
  <c r="C35" i="4"/>
  <c r="D35" i="4" s="1"/>
  <c r="D8" i="3"/>
  <c r="E8" i="3" s="1"/>
  <c r="C23" i="9"/>
  <c r="B62" i="17"/>
  <c r="C39" i="8"/>
  <c r="F32" i="8"/>
  <c r="C29" i="8"/>
  <c r="F27" i="8"/>
  <c r="C44" i="7"/>
  <c r="F41" i="7"/>
  <c r="C38" i="7"/>
  <c r="C46" i="7" s="1"/>
  <c r="F34" i="7"/>
  <c r="C217" i="4"/>
  <c r="D217" i="4" s="1"/>
  <c r="D24" i="2"/>
  <c r="F25" i="7"/>
  <c r="C209" i="4"/>
  <c r="D209" i="4" s="1"/>
  <c r="C19" i="7"/>
  <c r="F15" i="7"/>
  <c r="C12" i="7"/>
  <c r="C21" i="7" s="1"/>
  <c r="F9" i="7"/>
  <c r="D70" i="17"/>
  <c r="C118" i="4"/>
  <c r="D118" i="4" s="1"/>
  <c r="D69" i="17"/>
  <c r="C117" i="4"/>
  <c r="D117" i="4" s="1"/>
  <c r="C44" i="6"/>
  <c r="F35" i="6"/>
  <c r="C106" i="4"/>
  <c r="D106" i="4" s="1"/>
  <c r="D13" i="3"/>
  <c r="E13" i="3" s="1"/>
  <c r="F27" i="6"/>
  <c r="C32" i="6"/>
  <c r="C100" i="4"/>
  <c r="D32" i="2"/>
  <c r="E32" i="2" s="1"/>
  <c r="D33" i="2"/>
  <c r="C21" i="6"/>
  <c r="F9" i="6"/>
  <c r="F6" i="6"/>
  <c r="C23" i="6"/>
  <c r="C49" i="6" s="1"/>
  <c r="C57" i="6" s="1"/>
  <c r="C60" i="6" s="1"/>
  <c r="C65" i="6" s="1"/>
  <c r="D31" i="2"/>
  <c r="E31" i="2" s="1"/>
  <c r="D30" i="2"/>
  <c r="E30" i="2" s="1"/>
  <c r="D29" i="2"/>
  <c r="E29" i="2"/>
  <c r="D28" i="2"/>
  <c r="C28" i="2"/>
  <c r="E28" i="2" s="1"/>
  <c r="D11" i="2"/>
  <c r="E11" i="2" s="1"/>
  <c r="D10" i="2"/>
  <c r="D8" i="2"/>
  <c r="E8" i="2" s="1"/>
  <c r="D7" i="2"/>
  <c r="E7" i="2" s="1"/>
  <c r="D6" i="2"/>
  <c r="E6" i="2" s="1"/>
  <c r="T81" i="25"/>
  <c r="Y58" i="25"/>
  <c r="X58" i="25"/>
  <c r="W58" i="25"/>
  <c r="V58" i="25"/>
  <c r="S58" i="25"/>
  <c r="R58" i="25"/>
  <c r="E31" i="7"/>
  <c r="E48" i="7" s="1"/>
  <c r="E49" i="7" s="1"/>
  <c r="J34" i="19" l="1"/>
  <c r="C68" i="22"/>
  <c r="D27" i="19"/>
  <c r="C67" i="22"/>
  <c r="C78" i="22"/>
  <c r="N65" i="22"/>
  <c r="N22" i="22"/>
  <c r="O49" i="19"/>
  <c r="O48" i="19"/>
  <c r="O44" i="19"/>
  <c r="M65" i="22"/>
  <c r="M22" i="22"/>
  <c r="I68" i="22"/>
  <c r="J11" i="19"/>
  <c r="J17" i="19"/>
  <c r="C64" i="22"/>
  <c r="D53" i="19"/>
  <c r="Y61" i="23"/>
  <c r="O55" i="19"/>
  <c r="C24" i="24"/>
  <c r="N27" i="19"/>
  <c r="N55" i="19"/>
  <c r="AA153" i="25"/>
  <c r="M138" i="25"/>
  <c r="M153" i="25" s="1"/>
  <c r="L22" i="22"/>
  <c r="L63" i="22"/>
  <c r="L24" i="22"/>
  <c r="L7" i="22"/>
  <c r="L32" i="22"/>
  <c r="L75" i="22" s="1"/>
  <c r="Z153" i="25"/>
  <c r="L138" i="25"/>
  <c r="L153" i="25" s="1"/>
  <c r="K22" i="22"/>
  <c r="K63" i="22"/>
  <c r="K32" i="22"/>
  <c r="K75" i="22" s="1"/>
  <c r="K24" i="22"/>
  <c r="K7" i="22"/>
  <c r="Y153" i="25"/>
  <c r="K138" i="25"/>
  <c r="K153" i="25" s="1"/>
  <c r="J22" i="22"/>
  <c r="J63" i="22"/>
  <c r="J24" i="22"/>
  <c r="J7" i="22"/>
  <c r="K11" i="19"/>
  <c r="D53" i="24"/>
  <c r="D56" i="24" s="1"/>
  <c r="J32" i="22"/>
  <c r="J75" i="22" s="1"/>
  <c r="X153" i="25"/>
  <c r="J138" i="25"/>
  <c r="J153" i="25" s="1"/>
  <c r="I32" i="22"/>
  <c r="I75" i="22" s="1"/>
  <c r="I22" i="22"/>
  <c r="I63" i="22"/>
  <c r="I24" i="22"/>
  <c r="I7" i="22"/>
  <c r="J19" i="19"/>
  <c r="W153" i="25"/>
  <c r="I138" i="25"/>
  <c r="I153" i="25" s="1"/>
  <c r="H32" i="22"/>
  <c r="H75" i="22" s="1"/>
  <c r="N19" i="24"/>
  <c r="P19" i="24"/>
  <c r="T19" i="24" s="1"/>
  <c r="B18" i="24"/>
  <c r="I17" i="19"/>
  <c r="B20" i="24"/>
  <c r="N36" i="24"/>
  <c r="N40" i="24" s="1"/>
  <c r="P36" i="24"/>
  <c r="B40" i="24"/>
  <c r="N12" i="24"/>
  <c r="P12" i="24"/>
  <c r="T12" i="24" s="1"/>
  <c r="B24" i="24"/>
  <c r="N13" i="24"/>
  <c r="P13" i="24"/>
  <c r="T13" i="24" s="1"/>
  <c r="I27" i="19"/>
  <c r="B47" i="24"/>
  <c r="H7" i="22"/>
  <c r="I34" i="19"/>
  <c r="I35" i="19" s="1"/>
  <c r="B44" i="24"/>
  <c r="H22" i="22"/>
  <c r="H63" i="22"/>
  <c r="N29" i="24"/>
  <c r="P29" i="24"/>
  <c r="T29" i="24" s="1"/>
  <c r="B9" i="24"/>
  <c r="B37" i="24"/>
  <c r="N22" i="24"/>
  <c r="P22" i="24"/>
  <c r="T22" i="24" s="1"/>
  <c r="I53" i="19"/>
  <c r="B21" i="24"/>
  <c r="V153" i="25"/>
  <c r="H138" i="25"/>
  <c r="H153" i="25" s="1"/>
  <c r="G7" i="22"/>
  <c r="G32" i="22"/>
  <c r="G75" i="22" s="1"/>
  <c r="G22" i="22"/>
  <c r="G24" i="22" s="1"/>
  <c r="G63" i="22"/>
  <c r="G27" i="19"/>
  <c r="G55" i="19"/>
  <c r="U153" i="25"/>
  <c r="G138" i="25"/>
  <c r="G153" i="25" s="1"/>
  <c r="T153" i="25"/>
  <c r="F138" i="25"/>
  <c r="F153" i="25" s="1"/>
  <c r="E32" i="22"/>
  <c r="E75" i="22" s="1"/>
  <c r="E82" i="22"/>
  <c r="F48" i="19"/>
  <c r="F49" i="19"/>
  <c r="E7" i="22"/>
  <c r="E22" i="22"/>
  <c r="E24" i="22" s="1"/>
  <c r="E63" i="22"/>
  <c r="S153" i="25"/>
  <c r="E138" i="25"/>
  <c r="E153" i="25" s="1"/>
  <c r="D32" i="22"/>
  <c r="D75" i="22" s="1"/>
  <c r="D82" i="22"/>
  <c r="D7" i="22"/>
  <c r="E11" i="19"/>
  <c r="C53" i="24"/>
  <c r="D22" i="22"/>
  <c r="D24" i="22" s="1"/>
  <c r="D63" i="22"/>
  <c r="R153" i="25"/>
  <c r="D138" i="25"/>
  <c r="D153" i="25" s="1"/>
  <c r="C32" i="22"/>
  <c r="C75" i="22" s="1"/>
  <c r="C6" i="22"/>
  <c r="D19" i="19"/>
  <c r="D48" i="19"/>
  <c r="D49" i="19"/>
  <c r="C22" i="22"/>
  <c r="C24" i="22" s="1"/>
  <c r="C63" i="22"/>
  <c r="S36" i="24"/>
  <c r="S40" i="24" s="1"/>
  <c r="S51" i="24" s="1"/>
  <c r="S56" i="24" s="1"/>
  <c r="S57" i="24" s="1"/>
  <c r="K40" i="24"/>
  <c r="K51" i="24" s="1"/>
  <c r="K56" i="24" s="1"/>
  <c r="K57" i="24" s="1"/>
  <c r="R36" i="24"/>
  <c r="R40" i="24" s="1"/>
  <c r="R51" i="24" s="1"/>
  <c r="R56" i="24" s="1"/>
  <c r="R57" i="24" s="1"/>
  <c r="H40" i="24"/>
  <c r="H51" i="24" s="1"/>
  <c r="H56" i="24" s="1"/>
  <c r="H57" i="24" s="1"/>
  <c r="Q36" i="24"/>
  <c r="Q40" i="24" s="1"/>
  <c r="Q51" i="24" s="1"/>
  <c r="Q56" i="24" s="1"/>
  <c r="Q57" i="24" s="1"/>
  <c r="E40" i="24"/>
  <c r="E51" i="24" s="1"/>
  <c r="E56" i="24" s="1"/>
  <c r="E57" i="24" s="1"/>
  <c r="T6" i="24"/>
  <c r="T16" i="24" s="1"/>
  <c r="T26" i="24" s="1"/>
  <c r="T33" i="24" s="1"/>
  <c r="P16" i="24"/>
  <c r="P26" i="24" s="1"/>
  <c r="P33" i="24" s="1"/>
  <c r="AB44" i="23"/>
  <c r="AA44" i="23" s="1"/>
  <c r="S44" i="23"/>
  <c r="AB43" i="23"/>
  <c r="T61" i="23"/>
  <c r="S43" i="23"/>
  <c r="X61" i="23"/>
  <c r="W43" i="23"/>
  <c r="AC43" i="23"/>
  <c r="U61" i="23"/>
  <c r="H61" i="23"/>
  <c r="G43" i="23"/>
  <c r="L61" i="23"/>
  <c r="K43" i="23"/>
  <c r="AC42" i="23"/>
  <c r="U60" i="23"/>
  <c r="AB42" i="23"/>
  <c r="T60" i="23"/>
  <c r="S42" i="23"/>
  <c r="X60" i="23"/>
  <c r="W42" i="23"/>
  <c r="H60" i="23"/>
  <c r="G42" i="23"/>
  <c r="L60" i="23"/>
  <c r="K42" i="23"/>
  <c r="AB38" i="23"/>
  <c r="AA38" i="23" s="1"/>
  <c r="S38" i="23"/>
  <c r="AB37" i="23"/>
  <c r="AA37" i="23" s="1"/>
  <c r="S37" i="23"/>
  <c r="X35" i="23"/>
  <c r="X59" i="23" s="1"/>
  <c r="W26" i="23"/>
  <c r="W35" i="23" s="1"/>
  <c r="AB35" i="23"/>
  <c r="AA26" i="23"/>
  <c r="AA35" i="23" s="1"/>
  <c r="L35" i="23"/>
  <c r="L59" i="23" s="1"/>
  <c r="K26" i="23"/>
  <c r="K35" i="23" s="1"/>
  <c r="H35" i="23"/>
  <c r="H59" i="23" s="1"/>
  <c r="G26" i="23"/>
  <c r="G35" i="23" s="1"/>
  <c r="X24" i="23"/>
  <c r="X58" i="23" s="1"/>
  <c r="W17" i="23"/>
  <c r="W24" i="23" s="1"/>
  <c r="AB24" i="23"/>
  <c r="AA17" i="23"/>
  <c r="AA24" i="23" s="1"/>
  <c r="H24" i="23"/>
  <c r="H58" i="23" s="1"/>
  <c r="G17" i="23"/>
  <c r="G24" i="23" s="1"/>
  <c r="L24" i="23"/>
  <c r="L58" i="23" s="1"/>
  <c r="K17" i="23"/>
  <c r="K24" i="23" s="1"/>
  <c r="AB12" i="23"/>
  <c r="AA8" i="23"/>
  <c r="AA12" i="23" s="1"/>
  <c r="X12" i="23"/>
  <c r="X56" i="23" s="1"/>
  <c r="W8" i="23"/>
  <c r="W12" i="23" s="1"/>
  <c r="L12" i="23"/>
  <c r="K8" i="23"/>
  <c r="K12" i="23" s="1"/>
  <c r="H12" i="23"/>
  <c r="G8" i="23"/>
  <c r="G12" i="23" s="1"/>
  <c r="AC6" i="23"/>
  <c r="U14" i="23"/>
  <c r="U50" i="23"/>
  <c r="AB6" i="23"/>
  <c r="T14" i="23"/>
  <c r="T50" i="23"/>
  <c r="S6" i="23"/>
  <c r="AG14" i="23"/>
  <c r="AG50" i="23"/>
  <c r="Y14" i="23"/>
  <c r="Y50" i="23"/>
  <c r="AF14" i="23"/>
  <c r="AF50" i="23"/>
  <c r="AE6" i="23"/>
  <c r="X14" i="23"/>
  <c r="X50" i="23"/>
  <c r="W6" i="23"/>
  <c r="Q15" i="23"/>
  <c r="Q40" i="23"/>
  <c r="Q51" i="23"/>
  <c r="P15" i="23"/>
  <c r="P40" i="23"/>
  <c r="P51" i="23"/>
  <c r="O15" i="23"/>
  <c r="O40" i="23"/>
  <c r="O51" i="23"/>
  <c r="I14" i="23"/>
  <c r="I50" i="23"/>
  <c r="M14" i="23"/>
  <c r="M50" i="23"/>
  <c r="E15" i="23"/>
  <c r="E40" i="23"/>
  <c r="E51" i="23"/>
  <c r="E57" i="23"/>
  <c r="L50" i="23"/>
  <c r="K6" i="23"/>
  <c r="D15" i="23"/>
  <c r="D40" i="23"/>
  <c r="D51" i="23"/>
  <c r="D57" i="23"/>
  <c r="H50" i="23"/>
  <c r="G6" i="23"/>
  <c r="C15" i="23"/>
  <c r="C40" i="23"/>
  <c r="C51" i="23"/>
  <c r="C57" i="23"/>
  <c r="G54" i="19"/>
  <c r="F62" i="22"/>
  <c r="F83" i="22"/>
  <c r="F84" i="22" s="1"/>
  <c r="F85" i="22" s="1"/>
  <c r="F25" i="22"/>
  <c r="F49" i="22"/>
  <c r="F74" i="22"/>
  <c r="P19" i="19"/>
  <c r="P48" i="19"/>
  <c r="P49" i="19"/>
  <c r="O32" i="22"/>
  <c r="O75" i="22" s="1"/>
  <c r="O22" i="22"/>
  <c r="O63" i="22"/>
  <c r="O24" i="22"/>
  <c r="O7" i="22"/>
  <c r="C72" i="17"/>
  <c r="C194" i="4"/>
  <c r="D194" i="4" s="1"/>
  <c r="C71" i="17"/>
  <c r="C176" i="4"/>
  <c r="C13" i="2"/>
  <c r="C29" i="14"/>
  <c r="C289" i="4"/>
  <c r="D289" i="4" s="1"/>
  <c r="C24" i="12"/>
  <c r="C49" i="12"/>
  <c r="C63" i="17"/>
  <c r="C70" i="4"/>
  <c r="B72" i="17"/>
  <c r="C159" i="4"/>
  <c r="D159" i="4" s="1"/>
  <c r="B71" i="17"/>
  <c r="C141" i="4"/>
  <c r="B13" i="2"/>
  <c r="C29" i="11"/>
  <c r="C256" i="4"/>
  <c r="D256" i="4" s="1"/>
  <c r="C24" i="9"/>
  <c r="C49" i="9"/>
  <c r="B63" i="17"/>
  <c r="C36" i="4"/>
  <c r="F39" i="8"/>
  <c r="C326" i="4"/>
  <c r="D326" i="4" s="1"/>
  <c r="F29" i="8"/>
  <c r="C322" i="4"/>
  <c r="D322" i="4" s="1"/>
  <c r="F44" i="7"/>
  <c r="C229" i="4" s="1"/>
  <c r="D229" i="4" s="1"/>
  <c r="C226" i="4"/>
  <c r="D226" i="4" s="1"/>
  <c r="F38" i="7"/>
  <c r="C220" i="4"/>
  <c r="D220" i="4" s="1"/>
  <c r="C213" i="4"/>
  <c r="D213" i="4" s="1"/>
  <c r="F19" i="7"/>
  <c r="C210" i="4" s="1"/>
  <c r="D210" i="4" s="1"/>
  <c r="C206" i="4"/>
  <c r="D206" i="4" s="1"/>
  <c r="F12" i="7"/>
  <c r="C201" i="4"/>
  <c r="D201" i="4" s="1"/>
  <c r="F44" i="6"/>
  <c r="C111" i="4"/>
  <c r="D111" i="4" s="1"/>
  <c r="D34" i="2"/>
  <c r="F32" i="6"/>
  <c r="C107" i="4"/>
  <c r="D107" i="4" s="1"/>
  <c r="D100" i="4"/>
  <c r="C13" i="4"/>
  <c r="D13" i="4" s="1"/>
  <c r="F21" i="6"/>
  <c r="C96" i="4"/>
  <c r="D96" i="4" s="1"/>
  <c r="F23" i="6"/>
  <c r="D62" i="17"/>
  <c r="C94" i="4"/>
  <c r="D94" i="4" s="1"/>
  <c r="D7" i="3"/>
  <c r="E7" i="3" s="1"/>
  <c r="B26" i="3"/>
  <c r="E26" i="3" s="1"/>
  <c r="F26" i="3" s="1"/>
  <c r="L78" i="22"/>
  <c r="M17" i="19"/>
  <c r="L73" i="22"/>
  <c r="M27" i="19"/>
  <c r="L77" i="22"/>
  <c r="L72" i="22"/>
  <c r="L44" i="22"/>
  <c r="M11" i="19"/>
  <c r="K68" i="22"/>
  <c r="K67" i="22"/>
  <c r="K64" i="22"/>
  <c r="K70" i="22"/>
  <c r="L11" i="19"/>
  <c r="L27" i="19"/>
  <c r="L34" i="19"/>
  <c r="L35" i="19" s="1"/>
  <c r="L42" i="19"/>
  <c r="J69" i="22"/>
  <c r="J70" i="22"/>
  <c r="K17" i="19"/>
  <c r="I77" i="22"/>
  <c r="I70" i="22"/>
  <c r="J53" i="19"/>
  <c r="I67" i="22"/>
  <c r="C44" i="22"/>
  <c r="H69" i="22"/>
  <c r="H68" i="22"/>
  <c r="H67" i="22"/>
  <c r="H65" i="22"/>
  <c r="H64" i="22"/>
  <c r="I11" i="19"/>
  <c r="I42" i="19"/>
  <c r="H71" i="22"/>
  <c r="H72" i="22"/>
  <c r="H17" i="19"/>
  <c r="H11" i="19"/>
  <c r="G44" i="22"/>
  <c r="G69" i="22"/>
  <c r="H42" i="19"/>
  <c r="H34" i="19"/>
  <c r="H27" i="19"/>
  <c r="E67" i="22"/>
  <c r="E78" i="22"/>
  <c r="E77" i="22"/>
  <c r="E76" i="22"/>
  <c r="E65" i="22"/>
  <c r="E71" i="22"/>
  <c r="E64" i="22"/>
  <c r="F17" i="19"/>
  <c r="F19" i="19" s="1"/>
  <c r="E70" i="22"/>
  <c r="F27" i="19"/>
  <c r="F53" i="19"/>
  <c r="F34" i="19"/>
  <c r="F35" i="19" s="1"/>
  <c r="E69" i="22"/>
  <c r="F42" i="19"/>
  <c r="E68" i="22"/>
  <c r="D69" i="22"/>
  <c r="E17" i="19"/>
  <c r="E34" i="19"/>
  <c r="D77" i="22"/>
  <c r="D68" i="22"/>
  <c r="D44" i="22"/>
  <c r="D76" i="22" s="1"/>
  <c r="D71" i="22"/>
  <c r="D78" i="22"/>
  <c r="E42" i="19"/>
  <c r="C77" i="22"/>
  <c r="D42" i="19"/>
  <c r="D44" i="19" s="1"/>
  <c r="D35" i="19"/>
  <c r="D50" i="19" s="1"/>
  <c r="AC44" i="23"/>
  <c r="I61" i="23"/>
  <c r="M61" i="23"/>
  <c r="Y60" i="23"/>
  <c r="I60" i="23"/>
  <c r="M60" i="23"/>
  <c r="Y59" i="23"/>
  <c r="U59" i="23"/>
  <c r="T59" i="23"/>
  <c r="F86" i="22"/>
  <c r="F87" i="22" s="1"/>
  <c r="O35" i="19"/>
  <c r="O50" i="19" s="1"/>
  <c r="C49" i="24"/>
  <c r="C51" i="24" s="1"/>
  <c r="O46" i="19"/>
  <c r="P34" i="19"/>
  <c r="O77" i="22"/>
  <c r="O44" i="22"/>
  <c r="O72" i="22"/>
  <c r="O70" i="22"/>
  <c r="O68" i="22"/>
  <c r="O65" i="22"/>
  <c r="K65" i="22"/>
  <c r="L17" i="19"/>
  <c r="L53" i="19"/>
  <c r="K77" i="22"/>
  <c r="K27" i="19"/>
  <c r="K34" i="19"/>
  <c r="K35" i="19" s="1"/>
  <c r="J71" i="22"/>
  <c r="K42" i="19"/>
  <c r="I71" i="22"/>
  <c r="I72" i="22"/>
  <c r="I64" i="22"/>
  <c r="I44" i="22"/>
  <c r="I78" i="22"/>
  <c r="H44" i="22"/>
  <c r="U58" i="23"/>
  <c r="T58" i="23"/>
  <c r="U56" i="23"/>
  <c r="Y56" i="23"/>
  <c r="T56" i="23"/>
  <c r="I56" i="23"/>
  <c r="M56" i="23"/>
  <c r="O78" i="22"/>
  <c r="P53" i="19"/>
  <c r="O66" i="22"/>
  <c r="O73" i="22"/>
  <c r="O71" i="22"/>
  <c r="O69" i="22"/>
  <c r="O67" i="22"/>
  <c r="O64" i="22"/>
  <c r="K44" i="22"/>
  <c r="K71" i="22"/>
  <c r="K72" i="22"/>
  <c r="K78" i="22"/>
  <c r="J44" i="22"/>
  <c r="J27" i="19"/>
  <c r="J42" i="19"/>
  <c r="I65" i="22"/>
  <c r="I69" i="22"/>
  <c r="C71" i="22"/>
  <c r="G38" i="23"/>
  <c r="L38" i="23"/>
  <c r="K38" i="23" s="1"/>
  <c r="G37" i="23"/>
  <c r="L37" i="23"/>
  <c r="K37" i="23" s="1"/>
  <c r="G33" i="23"/>
  <c r="L33" i="23"/>
  <c r="K33" i="23" s="1"/>
  <c r="W32" i="23"/>
  <c r="AB32" i="23"/>
  <c r="AA32" i="23" s="1"/>
  <c r="G30" i="23"/>
  <c r="L30" i="23"/>
  <c r="K30" i="23" s="1"/>
  <c r="G29" i="23"/>
  <c r="L29" i="23"/>
  <c r="K29" i="23" s="1"/>
  <c r="W28" i="23"/>
  <c r="AB28" i="23"/>
  <c r="AA28" i="23" s="1"/>
  <c r="G28" i="23"/>
  <c r="L28" i="23"/>
  <c r="K28" i="23" s="1"/>
  <c r="G27" i="23"/>
  <c r="L27" i="23"/>
  <c r="K27" i="23" s="1"/>
  <c r="I35" i="23"/>
  <c r="I59" i="23" s="1"/>
  <c r="M26" i="23"/>
  <c r="M35" i="23" s="1"/>
  <c r="M59" i="23" s="1"/>
  <c r="W21" i="23"/>
  <c r="AB21" i="23"/>
  <c r="AA21" i="23" s="1"/>
  <c r="G21" i="23"/>
  <c r="L21" i="23"/>
  <c r="K21" i="23" s="1"/>
  <c r="W20" i="23"/>
  <c r="AB20" i="23"/>
  <c r="AA20" i="23" s="1"/>
  <c r="W18" i="23"/>
  <c r="AB18" i="23"/>
  <c r="AA18" i="23" s="1"/>
  <c r="Y24" i="23"/>
  <c r="Y58" i="23" s="1"/>
  <c r="AC17" i="23"/>
  <c r="AC24" i="23" s="1"/>
  <c r="I24" i="23"/>
  <c r="I58" i="23" s="1"/>
  <c r="M17" i="23"/>
  <c r="M24" i="23" s="1"/>
  <c r="M58" i="23" s="1"/>
  <c r="W10" i="23"/>
  <c r="AB10" i="23"/>
  <c r="AA10" i="23" s="1"/>
  <c r="G9" i="23"/>
  <c r="L9" i="23"/>
  <c r="K9" i="23" s="1"/>
  <c r="B27" i="3"/>
  <c r="E27" i="3" s="1"/>
  <c r="F27" i="3" s="1"/>
  <c r="E10" i="2"/>
  <c r="N62" i="22" l="1"/>
  <c r="N83" i="22"/>
  <c r="N84" i="22" s="1"/>
  <c r="N85" i="22" s="1"/>
  <c r="N86" i="22" s="1"/>
  <c r="N87" i="22" s="1"/>
  <c r="M24" i="22"/>
  <c r="N54" i="19"/>
  <c r="M62" i="22"/>
  <c r="M83" i="22"/>
  <c r="M84" i="22" s="1"/>
  <c r="M85" i="22" s="1"/>
  <c r="M86" i="22" s="1"/>
  <c r="M87" i="22" s="1"/>
  <c r="O54" i="19"/>
  <c r="O56" i="19" s="1"/>
  <c r="N24" i="22"/>
  <c r="G61" i="23"/>
  <c r="K61" i="23"/>
  <c r="G60" i="23"/>
  <c r="K60" i="23"/>
  <c r="K59" i="23"/>
  <c r="G59" i="23"/>
  <c r="G58" i="23"/>
  <c r="K58" i="23"/>
  <c r="K56" i="23"/>
  <c r="G56" i="23"/>
  <c r="N56" i="19"/>
  <c r="D46" i="19"/>
  <c r="N49" i="19"/>
  <c r="N48" i="19"/>
  <c r="N35" i="19"/>
  <c r="N50" i="19" s="1"/>
  <c r="N44" i="19"/>
  <c r="N46" i="19" s="1"/>
  <c r="M54" i="19"/>
  <c r="M55" i="19"/>
  <c r="L62" i="22"/>
  <c r="L83" i="22"/>
  <c r="L84" i="22" s="1"/>
  <c r="L85" i="22" s="1"/>
  <c r="L25" i="22"/>
  <c r="L49" i="22"/>
  <c r="L74" i="22"/>
  <c r="L55" i="19"/>
  <c r="L54" i="19"/>
  <c r="L56" i="19" s="1"/>
  <c r="K62" i="22"/>
  <c r="K83" i="22"/>
  <c r="K84" i="22" s="1"/>
  <c r="K85" i="22" s="1"/>
  <c r="K25" i="22"/>
  <c r="K49" i="22"/>
  <c r="K74" i="22"/>
  <c r="K54" i="19"/>
  <c r="K55" i="19"/>
  <c r="J62" i="22"/>
  <c r="J83" i="22"/>
  <c r="J84" i="22" s="1"/>
  <c r="J85" i="22" s="1"/>
  <c r="J25" i="22"/>
  <c r="J49" i="22"/>
  <c r="J74" i="22"/>
  <c r="K19" i="19"/>
  <c r="K48" i="19"/>
  <c r="K49" i="19"/>
  <c r="D57" i="24"/>
  <c r="J55" i="19"/>
  <c r="J54" i="19"/>
  <c r="J56" i="19" s="1"/>
  <c r="I62" i="22"/>
  <c r="I83" i="22"/>
  <c r="I84" i="22" s="1"/>
  <c r="I85" i="22" s="1"/>
  <c r="I25" i="22"/>
  <c r="I49" i="22"/>
  <c r="I74" i="22"/>
  <c r="N18" i="24"/>
  <c r="P18" i="24"/>
  <c r="T18" i="24" s="1"/>
  <c r="N20" i="24"/>
  <c r="P20" i="24"/>
  <c r="T20" i="24" s="1"/>
  <c r="T36" i="24"/>
  <c r="T40" i="24" s="1"/>
  <c r="P40" i="24"/>
  <c r="N24" i="24"/>
  <c r="P24" i="24"/>
  <c r="T24" i="24" s="1"/>
  <c r="N47" i="24"/>
  <c r="P47" i="24"/>
  <c r="T47" i="24" s="1"/>
  <c r="N44" i="24"/>
  <c r="N49" i="24" s="1"/>
  <c r="N51" i="24" s="1"/>
  <c r="N56" i="24" s="1"/>
  <c r="P44" i="24"/>
  <c r="B49" i="24"/>
  <c r="B51" i="24" s="1"/>
  <c r="B56" i="24" s="1"/>
  <c r="B57" i="24" s="1"/>
  <c r="H62" i="22"/>
  <c r="H83" i="22"/>
  <c r="H84" i="22" s="1"/>
  <c r="H85" i="22" s="1"/>
  <c r="N9" i="24"/>
  <c r="P9" i="24"/>
  <c r="T9" i="24" s="1"/>
  <c r="N37" i="24"/>
  <c r="P37" i="24"/>
  <c r="T37" i="24" s="1"/>
  <c r="N21" i="24"/>
  <c r="P21" i="24"/>
  <c r="T21" i="24" s="1"/>
  <c r="G25" i="22"/>
  <c r="G49" i="22"/>
  <c r="G74" i="22"/>
  <c r="H54" i="19"/>
  <c r="H55" i="19"/>
  <c r="G62" i="22"/>
  <c r="G83" i="22"/>
  <c r="G84" i="22" s="1"/>
  <c r="G85" i="22" s="1"/>
  <c r="G48" i="19"/>
  <c r="G49" i="19"/>
  <c r="G35" i="19"/>
  <c r="G50" i="19" s="1"/>
  <c r="G44" i="19"/>
  <c r="G46" i="19" s="1"/>
  <c r="E25" i="22"/>
  <c r="E49" i="22"/>
  <c r="E74" i="22"/>
  <c r="F55" i="19"/>
  <c r="F54" i="19"/>
  <c r="F56" i="19" s="1"/>
  <c r="E62" i="22"/>
  <c r="E83" i="22"/>
  <c r="E84" i="22" s="1"/>
  <c r="E85" i="22" s="1"/>
  <c r="E86" i="22" s="1"/>
  <c r="E87" i="22" s="1"/>
  <c r="D25" i="22"/>
  <c r="D49" i="22"/>
  <c r="D74" i="22"/>
  <c r="E19" i="19"/>
  <c r="E48" i="19"/>
  <c r="E49" i="19"/>
  <c r="E54" i="19"/>
  <c r="E55" i="19"/>
  <c r="D62" i="22"/>
  <c r="D83" i="22"/>
  <c r="D84" i="22" s="1"/>
  <c r="D85" i="22" s="1"/>
  <c r="D86" i="22" s="1"/>
  <c r="D87" i="22" s="1"/>
  <c r="C25" i="22"/>
  <c r="C49" i="22"/>
  <c r="C74" i="22"/>
  <c r="D55" i="19"/>
  <c r="D54" i="19"/>
  <c r="D56" i="19" s="1"/>
  <c r="C62" i="22"/>
  <c r="C83" i="22"/>
  <c r="C84" i="22" s="1"/>
  <c r="C85" i="22" s="1"/>
  <c r="AB61" i="23"/>
  <c r="AA43" i="23"/>
  <c r="AB60" i="23"/>
  <c r="AA42" i="23"/>
  <c r="AC56" i="23"/>
  <c r="AC59" i="23"/>
  <c r="AC14" i="23"/>
  <c r="AC50" i="23"/>
  <c r="U15" i="23"/>
  <c r="U40" i="23"/>
  <c r="U51" i="23"/>
  <c r="U57" i="23"/>
  <c r="AB14" i="23"/>
  <c r="AB50" i="23"/>
  <c r="AA6" i="23"/>
  <c r="T15" i="23"/>
  <c r="T40" i="23"/>
  <c r="T51" i="23"/>
  <c r="T57" i="23"/>
  <c r="S56" i="23"/>
  <c r="S58" i="23"/>
  <c r="S59" i="23"/>
  <c r="S14" i="23"/>
  <c r="S50" i="23"/>
  <c r="AG15" i="23"/>
  <c r="AG40" i="23"/>
  <c r="AG51" i="23"/>
  <c r="Y15" i="23"/>
  <c r="Y40" i="23"/>
  <c r="Y51" i="23"/>
  <c r="Y57" i="23"/>
  <c r="AF15" i="23"/>
  <c r="AF40" i="23"/>
  <c r="AF51" i="23"/>
  <c r="AE14" i="23"/>
  <c r="AE50" i="23"/>
  <c r="X15" i="23"/>
  <c r="X40" i="23"/>
  <c r="X51" i="23"/>
  <c r="X57" i="23"/>
  <c r="W14" i="23"/>
  <c r="W50" i="23"/>
  <c r="Q46" i="23"/>
  <c r="Q53" i="23"/>
  <c r="P46" i="23"/>
  <c r="P53" i="23"/>
  <c r="O46" i="23"/>
  <c r="O53" i="23"/>
  <c r="I15" i="23"/>
  <c r="I40" i="23"/>
  <c r="I51" i="23"/>
  <c r="I57" i="23"/>
  <c r="M15" i="23"/>
  <c r="M40" i="23"/>
  <c r="M51" i="23"/>
  <c r="M57" i="23"/>
  <c r="E46" i="23"/>
  <c r="E53" i="23"/>
  <c r="K14" i="23"/>
  <c r="K50" i="23"/>
  <c r="D46" i="23"/>
  <c r="D53" i="23"/>
  <c r="G14" i="23"/>
  <c r="G50" i="23"/>
  <c r="C46" i="23"/>
  <c r="C53" i="23"/>
  <c r="F56" i="22"/>
  <c r="F79" i="22"/>
  <c r="P54" i="19"/>
  <c r="P55" i="19"/>
  <c r="O62" i="22"/>
  <c r="O83" i="22"/>
  <c r="O84" i="22" s="1"/>
  <c r="O85" i="22" s="1"/>
  <c r="O25" i="22"/>
  <c r="O49" i="22"/>
  <c r="O74" i="22"/>
  <c r="D176" i="4"/>
  <c r="C38" i="2" s="1"/>
  <c r="C15" i="4"/>
  <c r="D15" i="4" s="1"/>
  <c r="C75" i="17"/>
  <c r="C291" i="4"/>
  <c r="D291" i="4" s="1"/>
  <c r="C50" i="12"/>
  <c r="C57" i="12"/>
  <c r="C64" i="17"/>
  <c r="C82" i="4"/>
  <c r="D82" i="4" s="1"/>
  <c r="D70" i="4"/>
  <c r="C11" i="4"/>
  <c r="D11" i="4" s="1"/>
  <c r="D141" i="4"/>
  <c r="B38" i="2" s="1"/>
  <c r="C14" i="4"/>
  <c r="D14" i="4" s="1"/>
  <c r="B75" i="17"/>
  <c r="C258" i="4"/>
  <c r="D258" i="4" s="1"/>
  <c r="C50" i="9"/>
  <c r="C57" i="9"/>
  <c r="B64" i="17"/>
  <c r="C48" i="4"/>
  <c r="D48" i="4" s="1"/>
  <c r="D36" i="4"/>
  <c r="C10" i="4"/>
  <c r="D10" i="4" s="1"/>
  <c r="D76" i="17"/>
  <c r="C330" i="4"/>
  <c r="D330" i="4" s="1"/>
  <c r="D75" i="17"/>
  <c r="C324" i="4"/>
  <c r="D324" i="4" s="1"/>
  <c r="F46" i="7"/>
  <c r="C224" i="4"/>
  <c r="D224" i="4" s="1"/>
  <c r="F21" i="7"/>
  <c r="C204" i="4"/>
  <c r="D204" i="4" s="1"/>
  <c r="D68" i="17"/>
  <c r="C113" i="4"/>
  <c r="D113" i="4" s="1"/>
  <c r="D16" i="3"/>
  <c r="E16" i="3" s="1"/>
  <c r="D67" i="17"/>
  <c r="C109" i="4"/>
  <c r="D109" i="4" s="1"/>
  <c r="D66" i="17"/>
  <c r="C103" i="4"/>
  <c r="D103" i="4" s="1"/>
  <c r="D10" i="3"/>
  <c r="E10" i="3" s="1"/>
  <c r="F24" i="6"/>
  <c r="F49" i="6"/>
  <c r="D63" i="17"/>
  <c r="C104" i="4"/>
  <c r="M35" i="19"/>
  <c r="M50" i="19" s="1"/>
  <c r="M44" i="19"/>
  <c r="M49" i="19"/>
  <c r="M48" i="19"/>
  <c r="M19" i="19"/>
  <c r="L49" i="19"/>
  <c r="L48" i="19"/>
  <c r="L19" i="19"/>
  <c r="I49" i="19"/>
  <c r="I48" i="19"/>
  <c r="I19" i="19"/>
  <c r="H49" i="19"/>
  <c r="H48" i="19"/>
  <c r="H19" i="19"/>
  <c r="E44" i="19"/>
  <c r="E35" i="19"/>
  <c r="E50" i="19" s="1"/>
  <c r="P44" i="19"/>
  <c r="P46" i="19" s="1"/>
  <c r="P35" i="19"/>
  <c r="P50" i="19" s="1"/>
  <c r="J35" i="19"/>
  <c r="J50" i="19" s="1"/>
  <c r="J44" i="19"/>
  <c r="J46" i="19" s="1"/>
  <c r="I44" i="19"/>
  <c r="I46" i="19" s="1"/>
  <c r="I50" i="19"/>
  <c r="S61" i="23"/>
  <c r="AC61" i="23"/>
  <c r="S60" i="23"/>
  <c r="W59" i="23"/>
  <c r="G56" i="19"/>
  <c r="L44" i="19"/>
  <c r="L46" i="19" s="1"/>
  <c r="L50" i="19"/>
  <c r="W58" i="23"/>
  <c r="AB56" i="23"/>
  <c r="W56" i="23"/>
  <c r="H35" i="19"/>
  <c r="H50" i="19" s="1"/>
  <c r="H44" i="19"/>
  <c r="H46" i="19" s="1"/>
  <c r="F44" i="19"/>
  <c r="F46" i="19" s="1"/>
  <c r="F50" i="19"/>
  <c r="C56" i="24"/>
  <c r="C57" i="24" s="1"/>
  <c r="K44" i="19"/>
  <c r="K50" i="19"/>
  <c r="AC58" i="23"/>
  <c r="W61" i="23"/>
  <c r="AC60" i="23"/>
  <c r="W60" i="23"/>
  <c r="AB59" i="23"/>
  <c r="AB58" i="23"/>
  <c r="I54" i="19"/>
  <c r="I55" i="19"/>
  <c r="H24" i="22"/>
  <c r="L56" i="23"/>
  <c r="L14" i="23"/>
  <c r="H56" i="23"/>
  <c r="H14" i="23"/>
  <c r="L76" i="22"/>
  <c r="L82" i="22"/>
  <c r="L86" i="22" s="1"/>
  <c r="L87" i="22" s="1"/>
  <c r="C76" i="22"/>
  <c r="C82" i="22"/>
  <c r="C86" i="22" s="1"/>
  <c r="C87" i="22" s="1"/>
  <c r="G76" i="22"/>
  <c r="G82" i="22"/>
  <c r="G86" i="22" s="1"/>
  <c r="G87" i="22" s="1"/>
  <c r="O76" i="22"/>
  <c r="O82" i="22"/>
  <c r="O86" i="22" s="1"/>
  <c r="O87" i="22" s="1"/>
  <c r="I76" i="22"/>
  <c r="I82" i="22"/>
  <c r="I86" i="22" s="1"/>
  <c r="I87" i="22" s="1"/>
  <c r="H76" i="22"/>
  <c r="H82" i="22"/>
  <c r="K76" i="22"/>
  <c r="K82" i="22"/>
  <c r="K86" i="22" s="1"/>
  <c r="K87" i="22" s="1"/>
  <c r="J76" i="22"/>
  <c r="J82" i="22"/>
  <c r="J86" i="22" s="1"/>
  <c r="J87" i="22" s="1"/>
  <c r="J48" i="19"/>
  <c r="J49" i="19"/>
  <c r="M74" i="22" l="1"/>
  <c r="M49" i="22"/>
  <c r="M25" i="22"/>
  <c r="N74" i="22"/>
  <c r="N49" i="22"/>
  <c r="N25" i="22"/>
  <c r="H56" i="19"/>
  <c r="K46" i="19"/>
  <c r="H86" i="22"/>
  <c r="H87" i="22" s="1"/>
  <c r="L56" i="22"/>
  <c r="L79" i="22"/>
  <c r="K56" i="22"/>
  <c r="K79" i="22"/>
  <c r="J56" i="22"/>
  <c r="J79" i="22"/>
  <c r="I56" i="22"/>
  <c r="I79" i="22"/>
  <c r="N57" i="24"/>
  <c r="T44" i="24"/>
  <c r="T49" i="24" s="1"/>
  <c r="T51" i="24" s="1"/>
  <c r="T56" i="24" s="1"/>
  <c r="T57" i="24" s="1"/>
  <c r="P49" i="24"/>
  <c r="P51" i="24" s="1"/>
  <c r="P56" i="24" s="1"/>
  <c r="P57" i="24" s="1"/>
  <c r="G56" i="22"/>
  <c r="G79" i="22"/>
  <c r="E56" i="22"/>
  <c r="E79" i="22"/>
  <c r="D56" i="22"/>
  <c r="D79" i="22"/>
  <c r="C56" i="22"/>
  <c r="C79" i="22"/>
  <c r="AC15" i="23"/>
  <c r="AC40" i="23"/>
  <c r="AC51" i="23"/>
  <c r="AC57" i="23"/>
  <c r="U46" i="23"/>
  <c r="U53" i="23"/>
  <c r="AB15" i="23"/>
  <c r="AB40" i="23"/>
  <c r="AB51" i="23"/>
  <c r="AB57" i="23"/>
  <c r="AA58" i="23"/>
  <c r="AA56" i="23"/>
  <c r="AA59" i="23"/>
  <c r="AA14" i="23"/>
  <c r="AA50" i="23"/>
  <c r="T46" i="23"/>
  <c r="T53" i="23"/>
  <c r="S15" i="23"/>
  <c r="S40" i="23"/>
  <c r="S51" i="23"/>
  <c r="S57" i="23"/>
  <c r="AG46" i="23"/>
  <c r="AG53" i="23"/>
  <c r="Y46" i="23"/>
  <c r="Y53" i="23"/>
  <c r="AF46" i="23"/>
  <c r="AF53" i="23"/>
  <c r="AE15" i="23"/>
  <c r="AE40" i="23"/>
  <c r="AE51" i="23"/>
  <c r="X46" i="23"/>
  <c r="X53" i="23"/>
  <c r="W15" i="23"/>
  <c r="W40" i="23"/>
  <c r="W51" i="23"/>
  <c r="W57" i="23"/>
  <c r="Q52" i="23"/>
  <c r="Q54" i="23"/>
  <c r="P52" i="23"/>
  <c r="P54" i="23"/>
  <c r="O47" i="23"/>
  <c r="O52" i="23"/>
  <c r="O54" i="23"/>
  <c r="I46" i="23"/>
  <c r="I53" i="23"/>
  <c r="M46" i="23"/>
  <c r="M53" i="23"/>
  <c r="E47" i="23"/>
  <c r="E52" i="23"/>
  <c r="E54" i="23"/>
  <c r="K15" i="23"/>
  <c r="K40" i="23"/>
  <c r="K51" i="23"/>
  <c r="K57" i="23"/>
  <c r="D47" i="23"/>
  <c r="D52" i="23"/>
  <c r="D54" i="23"/>
  <c r="G15" i="23"/>
  <c r="G40" i="23"/>
  <c r="G51" i="23"/>
  <c r="G57" i="23"/>
  <c r="C47" i="23"/>
  <c r="C52" i="23"/>
  <c r="C54" i="23"/>
  <c r="F59" i="22"/>
  <c r="F80" i="22"/>
  <c r="O56" i="22"/>
  <c r="O79" i="22"/>
  <c r="C60" i="12"/>
  <c r="C8" i="14"/>
  <c r="C65" i="17"/>
  <c r="C86" i="4"/>
  <c r="D86" i="4" s="1"/>
  <c r="D8" i="8"/>
  <c r="D21" i="8" s="1"/>
  <c r="D24" i="8" s="1"/>
  <c r="D41" i="8" s="1"/>
  <c r="D43" i="8" s="1"/>
  <c r="C60" i="9"/>
  <c r="C8" i="11"/>
  <c r="B65" i="17"/>
  <c r="C52" i="4"/>
  <c r="D52" i="4" s="1"/>
  <c r="C8" i="8"/>
  <c r="D72" i="17"/>
  <c r="C230" i="4"/>
  <c r="D230" i="4" s="1"/>
  <c r="D71" i="17"/>
  <c r="C211" i="4"/>
  <c r="D13" i="2"/>
  <c r="F50" i="6"/>
  <c r="F57" i="6"/>
  <c r="D64" i="17"/>
  <c r="C116" i="4"/>
  <c r="D116" i="4" s="1"/>
  <c r="D104" i="4"/>
  <c r="C12" i="4"/>
  <c r="D12" i="4" s="1"/>
  <c r="H74" i="22"/>
  <c r="H49" i="22"/>
  <c r="H25" i="22"/>
  <c r="L57" i="23"/>
  <c r="L51" i="23"/>
  <c r="L40" i="23"/>
  <c r="L15" i="23"/>
  <c r="H57" i="23"/>
  <c r="H51" i="23"/>
  <c r="H40" i="23"/>
  <c r="H15" i="23"/>
  <c r="M56" i="19"/>
  <c r="K56" i="19"/>
  <c r="E56" i="19"/>
  <c r="AA61" i="23"/>
  <c r="AA60" i="23"/>
  <c r="M46" i="19"/>
  <c r="P56" i="19"/>
  <c r="E46" i="19"/>
  <c r="I56" i="19"/>
  <c r="M79" i="22" l="1"/>
  <c r="M56" i="22"/>
  <c r="N79" i="22"/>
  <c r="N56" i="22"/>
  <c r="L59" i="22"/>
  <c r="L80" i="22"/>
  <c r="K59" i="22"/>
  <c r="K80" i="22"/>
  <c r="J59" i="22"/>
  <c r="J80" i="22"/>
  <c r="I59" i="22"/>
  <c r="I80" i="22"/>
  <c r="G59" i="22"/>
  <c r="G80" i="22"/>
  <c r="E59" i="22"/>
  <c r="E80" i="22"/>
  <c r="D59" i="22"/>
  <c r="D80" i="22"/>
  <c r="C59" i="22"/>
  <c r="C80" i="22"/>
  <c r="AC46" i="23"/>
  <c r="AC53" i="23"/>
  <c r="U47" i="23"/>
  <c r="U52" i="23"/>
  <c r="U54" i="23"/>
  <c r="AB46" i="23"/>
  <c r="AB53" i="23"/>
  <c r="AA15" i="23"/>
  <c r="AA40" i="23"/>
  <c r="AA51" i="23"/>
  <c r="AA57" i="23"/>
  <c r="T47" i="23"/>
  <c r="T52" i="23"/>
  <c r="T54" i="23"/>
  <c r="S46" i="23"/>
  <c r="S53" i="23"/>
  <c r="AG52" i="23"/>
  <c r="AG54" i="23"/>
  <c r="Y47" i="23"/>
  <c r="Y52" i="23"/>
  <c r="Y54" i="23"/>
  <c r="AF52" i="23"/>
  <c r="AF54" i="23"/>
  <c r="AE46" i="23"/>
  <c r="AE53" i="23"/>
  <c r="X47" i="23"/>
  <c r="X52" i="23"/>
  <c r="X54" i="23"/>
  <c r="W46" i="23"/>
  <c r="W53" i="23"/>
  <c r="I47" i="23"/>
  <c r="I52" i="23"/>
  <c r="I54" i="23"/>
  <c r="M47" i="23"/>
  <c r="M52" i="23"/>
  <c r="M54" i="23"/>
  <c r="K46" i="23"/>
  <c r="K53" i="23"/>
  <c r="G46" i="23"/>
  <c r="G53" i="23"/>
  <c r="O59" i="22"/>
  <c r="O80" i="22"/>
  <c r="C61" i="12"/>
  <c r="C65" i="12"/>
  <c r="C88" i="4"/>
  <c r="D18" i="3"/>
  <c r="E18" i="3" s="1"/>
  <c r="C21" i="14"/>
  <c r="C272" i="4"/>
  <c r="D272" i="4" s="1"/>
  <c r="C278" i="4"/>
  <c r="D278" i="4" s="1"/>
  <c r="C61" i="9"/>
  <c r="C65" i="9"/>
  <c r="C54" i="4"/>
  <c r="D17" i="3"/>
  <c r="E17" i="3" s="1"/>
  <c r="C21" i="11"/>
  <c r="C239" i="4"/>
  <c r="D239" i="4" s="1"/>
  <c r="C245" i="4"/>
  <c r="D245" i="4" s="1"/>
  <c r="F8" i="8"/>
  <c r="C21" i="8"/>
  <c r="C24" i="8" s="1"/>
  <c r="C41" i="8" s="1"/>
  <c r="C43" i="8" s="1"/>
  <c r="D211" i="4"/>
  <c r="D38" i="2" s="1"/>
  <c r="E38" i="2" s="1"/>
  <c r="C16" i="4"/>
  <c r="D16" i="4" s="1"/>
  <c r="F60" i="6"/>
  <c r="D65" i="17"/>
  <c r="C120" i="4"/>
  <c r="D120" i="4" s="1"/>
  <c r="H56" i="22"/>
  <c r="H79" i="22"/>
  <c r="L46" i="23"/>
  <c r="L53" i="23"/>
  <c r="H46" i="23"/>
  <c r="H53" i="23"/>
  <c r="M80" i="22" l="1"/>
  <c r="M59" i="22"/>
  <c r="N80" i="22"/>
  <c r="N59" i="22"/>
  <c r="AC47" i="23"/>
  <c r="AC52" i="23"/>
  <c r="AC54" i="23"/>
  <c r="AB47" i="23"/>
  <c r="AB52" i="23"/>
  <c r="AB54" i="23"/>
  <c r="AA46" i="23"/>
  <c r="AA53" i="23"/>
  <c r="S47" i="23"/>
  <c r="S52" i="23"/>
  <c r="S54" i="23"/>
  <c r="AE47" i="23"/>
  <c r="AE52" i="23"/>
  <c r="AE54" i="23"/>
  <c r="W47" i="23"/>
  <c r="W52" i="23"/>
  <c r="W54" i="23"/>
  <c r="K47" i="23"/>
  <c r="K52" i="23"/>
  <c r="K54" i="23"/>
  <c r="G47" i="23"/>
  <c r="G52" i="23"/>
  <c r="G54" i="23"/>
  <c r="C29" i="13"/>
  <c r="C90" i="4"/>
  <c r="D90" i="4" s="1"/>
  <c r="C19" i="2"/>
  <c r="D29" i="7"/>
  <c r="D31" i="7" s="1"/>
  <c r="D48" i="7" s="1"/>
  <c r="D49" i="7" s="1"/>
  <c r="D88" i="4"/>
  <c r="C37" i="2" s="1"/>
  <c r="C8" i="4"/>
  <c r="D8" i="4" s="1"/>
  <c r="C24" i="14"/>
  <c r="C284" i="4"/>
  <c r="D284" i="4" s="1"/>
  <c r="C29" i="10"/>
  <c r="C56" i="4"/>
  <c r="D56" i="4" s="1"/>
  <c r="B19" i="2"/>
  <c r="C29" i="7"/>
  <c r="D54" i="4"/>
  <c r="B37" i="2" s="1"/>
  <c r="C7" i="4"/>
  <c r="D7" i="4" s="1"/>
  <c r="C24" i="11"/>
  <c r="C251" i="4"/>
  <c r="D251" i="4" s="1"/>
  <c r="F21" i="8"/>
  <c r="C305" i="4"/>
  <c r="D305" i="4" s="1"/>
  <c r="C311" i="4"/>
  <c r="D311" i="4" s="1"/>
  <c r="F61" i="6"/>
  <c r="F65" i="6"/>
  <c r="C122" i="4"/>
  <c r="D19" i="3"/>
  <c r="E19" i="3" s="1"/>
  <c r="H59" i="22"/>
  <c r="H80" i="22"/>
  <c r="L47" i="23"/>
  <c r="L52" i="23"/>
  <c r="L54" i="23"/>
  <c r="H47" i="23"/>
  <c r="H52" i="23"/>
  <c r="H54" i="23"/>
  <c r="AA47" i="23" l="1"/>
  <c r="AA52" i="23"/>
  <c r="AA54" i="23"/>
  <c r="C30" i="13"/>
  <c r="C181" i="4"/>
  <c r="D181" i="4" s="1"/>
  <c r="C41" i="14"/>
  <c r="C74" i="17"/>
  <c r="C287" i="4"/>
  <c r="D287" i="4" s="1"/>
  <c r="C30" i="10"/>
  <c r="C146" i="4"/>
  <c r="D146" i="4" s="1"/>
  <c r="C31" i="7"/>
  <c r="C48" i="7" s="1"/>
  <c r="C49" i="7" s="1"/>
  <c r="F29" i="7"/>
  <c r="C41" i="11"/>
  <c r="B74" i="17"/>
  <c r="C254" i="4"/>
  <c r="D254" i="4" s="1"/>
  <c r="F24" i="8"/>
  <c r="C317" i="4"/>
  <c r="D317" i="4" s="1"/>
  <c r="C124" i="4"/>
  <c r="D124" i="4" s="1"/>
  <c r="D19" i="2"/>
  <c r="E19" i="2" s="1"/>
  <c r="D122" i="4"/>
  <c r="D37" i="2" s="1"/>
  <c r="E37" i="2" s="1"/>
  <c r="C9" i="4"/>
  <c r="D9" i="4" s="1"/>
  <c r="C182" i="4" l="1"/>
  <c r="D182" i="4" s="1"/>
  <c r="C39" i="2" s="1"/>
  <c r="C73" i="17"/>
  <c r="C47" i="13"/>
  <c r="C43" i="14"/>
  <c r="C77" i="17"/>
  <c r="C298" i="4"/>
  <c r="D298" i="4" s="1"/>
  <c r="C147" i="4"/>
  <c r="D147" i="4" s="1"/>
  <c r="B39" i="2" s="1"/>
  <c r="B73" i="17"/>
  <c r="C47" i="10"/>
  <c r="F31" i="7"/>
  <c r="C216" i="4"/>
  <c r="D216" i="4" s="1"/>
  <c r="C43" i="11"/>
  <c r="B77" i="17"/>
  <c r="C265" i="4"/>
  <c r="D265" i="4" s="1"/>
  <c r="F41" i="8"/>
  <c r="D74" i="17"/>
  <c r="C320" i="4"/>
  <c r="D320" i="4" s="1"/>
  <c r="C196" i="4" l="1"/>
  <c r="D196" i="4" s="1"/>
  <c r="C48" i="13"/>
  <c r="C195" i="4"/>
  <c r="D195" i="4" s="1"/>
  <c r="C14" i="2"/>
  <c r="C15" i="2" s="1"/>
  <c r="C44" i="14"/>
  <c r="C300" i="4"/>
  <c r="C20" i="2"/>
  <c r="C161" i="4"/>
  <c r="D161" i="4" s="1"/>
  <c r="C48" i="10"/>
  <c r="C160" i="4"/>
  <c r="D160" i="4" s="1"/>
  <c r="B14" i="2"/>
  <c r="B15" i="2" s="1"/>
  <c r="C218" i="4"/>
  <c r="D73" i="17"/>
  <c r="F48" i="7"/>
  <c r="C44" i="11"/>
  <c r="C267" i="4"/>
  <c r="B20" i="2"/>
  <c r="F43" i="8"/>
  <c r="D77" i="17"/>
  <c r="C331" i="4"/>
  <c r="D331" i="4" s="1"/>
  <c r="B29" i="3" l="1"/>
  <c r="E29" i="3" s="1"/>
  <c r="F29" i="3" s="1"/>
  <c r="C17" i="2"/>
  <c r="D300" i="4"/>
  <c r="C40" i="2" s="1"/>
  <c r="C19" i="4"/>
  <c r="D19" i="4" s="1"/>
  <c r="B28" i="3"/>
  <c r="E28" i="3" s="1"/>
  <c r="F28" i="3" s="1"/>
  <c r="B17" i="2"/>
  <c r="D218" i="4"/>
  <c r="D39" i="2" s="1"/>
  <c r="E39" i="2" s="1"/>
  <c r="C17" i="4"/>
  <c r="D17" i="4" s="1"/>
  <c r="C232" i="4"/>
  <c r="D232" i="4" s="1"/>
  <c r="F49" i="7"/>
  <c r="C231" i="4"/>
  <c r="D231" i="4" s="1"/>
  <c r="D14" i="2"/>
  <c r="D15" i="2" s="1"/>
  <c r="E15" i="2" s="1"/>
  <c r="D267" i="4"/>
  <c r="B40" i="2" s="1"/>
  <c r="C18" i="4"/>
  <c r="D18" i="4" s="1"/>
  <c r="F44" i="8"/>
  <c r="C333" i="4"/>
  <c r="D20" i="2"/>
  <c r="E20" i="2" s="1"/>
  <c r="B30" i="3" l="1"/>
  <c r="E30" i="3" s="1"/>
  <c r="F30" i="3" s="1"/>
  <c r="D17" i="2"/>
  <c r="E17" i="2" s="1"/>
  <c r="D333" i="4"/>
  <c r="D40" i="2" s="1"/>
  <c r="C20" i="4"/>
  <c r="D20" i="4" s="1"/>
  <c r="E4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Audit</author>
  </authors>
  <commentList>
    <comment ref="E157" authorId="0" shapeId="0" xr:uid="{00000000-0006-0000-2500-000001000000}">
      <text>
        <r>
          <rPr>
            <sz val="11"/>
            <color theme="1"/>
            <rFont val="Calibri"/>
            <family val="2"/>
            <scheme val="minor"/>
          </rPr>
          <t>17-Oct-2026 COGS indirect-salaries audit. Before: IS | Cost of sales | Overhead - Labor Cost | Salaries and wages. After: IS | Cost of sales | Overhead - Labor Cost | Indirect Salaries. Classification confirmed (no change to FS Group/SubGroup/Line).</t>
        </r>
      </text>
    </comment>
    <comment ref="E191" authorId="0" shapeId="0" xr:uid="{00000000-0006-0000-2500-000002000000}">
      <text>
        <r>
          <rPr>
            <sz val="11"/>
            <color theme="1"/>
            <rFont val="Calibri"/>
            <family val="2"/>
            <scheme val="minor"/>
          </rPr>
          <t>17-Oct-2026 COGS indirect-salaries audit. Before: IS | Cost of sales | Overhead - Rent Labor | Labor rental. After: IS | Cost of sales | Overhead - Labor Cost | Indirect Salaries. FS Line CORRECTED. Historical P&amp;L_2014-2025 re-presents 2024/2025 casual labour (SAR 2,924,648.83 / 3,329,353.63) from Rent Labor to Labor Cost; total COGS unchanged.</t>
        </r>
      </text>
    </comment>
    <comment ref="E284" authorId="0" shapeId="0" xr:uid="{00000000-0006-0000-2500-000003000000}">
      <text>
        <r>
          <rPr>
            <sz val="11"/>
            <color theme="1"/>
            <rFont val="Calibri"/>
            <family val="2"/>
            <scheme val="minor"/>
          </rPr>
          <t>17-Oct-2026 COGS indirect-salaries audit. Before: IS | Cost of sales | Overhead - Labor Cost | Overhead - Labor Cost. After: IS | Cost of sales | Overhead - Labor Cost | Indirect Salaries. Classification confirmed (no change to FS Group/SubGroup/Line).</t>
        </r>
      </text>
    </comment>
    <comment ref="E287" authorId="0" shapeId="0" xr:uid="{00000000-0006-0000-2500-000004000000}">
      <text>
        <r>
          <rPr>
            <sz val="11"/>
            <color theme="1"/>
            <rFont val="Calibri"/>
            <family val="2"/>
            <scheme val="minor"/>
          </rPr>
          <t>17-Oct-2026 COGS indirect-salaries audit. Before: IS | Cost of sales | Overhead - Labor Cost | Overhead - Labor Cost. After: IS | Cost of sales | Overhead - Labor Cost | Indirect Salaries. Classification confirmed (no change to FS Group/SubGroup/Line).</t>
        </r>
      </text>
    </comment>
  </commentList>
</comments>
</file>

<file path=xl/sharedStrings.xml><?xml version="1.0" encoding="utf-8"?>
<sst xmlns="http://schemas.openxmlformats.org/spreadsheetml/2006/main" count="8897" uniqueCount="1602">
  <si>
    <t>FS SIDE-BY-SIDE COMPARISON — CLIENT REFERENCE vs MASTER ENGINE (IS · BS · CFS)</t>
  </si>
  <si>
    <t>Nine months ended 30 September 2026 (YTD) · SAR · Client = FS report 202609 IFRS.xlsx (P&amp;L_2026(Mo) cols AX/AY/AZ, BS cols BB/BC/BD, CF cols O/AD/AS — static values, blue) · Master = live formulas linked to IS_/BS_/CF_ sheets of this workbook (black) · Variance = Master − Client.</t>
  </si>
  <si>
    <t>Sign convention: revenue, income, expenses, assets, liabilities and equity shown positive; profits/(losses) and cash flows signed. Amber variance cells = difference ≥ SAR 0.01, each with an explicit justification. Prepared 17-Oct-2026.</t>
  </si>
  <si>
    <t>Line Item Header</t>
  </si>
  <si>
    <t>Client Reference File (FS report 202609 IFRS)</t>
  </si>
  <si>
    <t>Master Engine Output (Alif_VH_IFRS_Master_Sep2026_Rectified)</t>
  </si>
  <si>
    <t>Variance (SAR)</t>
  </si>
  <si>
    <t>Audit Justification / Remarks</t>
  </si>
  <si>
    <t>KEY TIE-OUT SUMMARY (links to detailed sections below)</t>
  </si>
  <si>
    <t>Alif — Net profit / (loss) for the period</t>
  </si>
  <si>
    <t>See Section A1, row 54. Agreed to SAR 0.00, which confirms full mapping coverage.</t>
  </si>
  <si>
    <t>VH — Net profit / (loss) for the period</t>
  </si>
  <si>
    <t>See Section A2, row 88. Agreed to SAR 0.00.</t>
  </si>
  <si>
    <t>Consolidated — Net profit / (loss) for the period</t>
  </si>
  <si>
    <t>See Section A3, row 122. Agreed to SAR 0.00.</t>
  </si>
  <si>
    <t>Alif — Gross profit / (loss)  [IFRS freight-out reclass]</t>
  </si>
  <si>
    <t>See Section A1, row 36. +7,214,215.08: equal and opposite to the COGS variance.</t>
  </si>
  <si>
    <t>VH — Gross profit / (loss)  [700052 depreciation presentation]</t>
  </si>
  <si>
    <t>See Section A2, row 70. +414,375.81: VH 700052 machine depreciation sits below EBITDA in the master and in COGS in the client file..</t>
  </si>
  <si>
    <t>Consolidated — Gross profit / (loss)</t>
  </si>
  <si>
    <t>See Section A3, row 104. +7,628,590.89 = Alif +7,214,215.08 + VH +414,375.81.</t>
  </si>
  <si>
    <t>Consolidated — Factory indirect salaries in COGS</t>
  </si>
  <si>
    <t>See Section A3, row 100. +56,206.63 = Alif 600044 (SAR 43,521.63) + VH 600044 (SAR 8,085.00) + VH 600043 (SAR 4,600.00).</t>
  </si>
  <si>
    <t>Alif — Total assets</t>
  </si>
  <si>
    <t>See Section B1, row 141. Agreed — no variance (ties to client within ±SAR 0.01)..</t>
  </si>
  <si>
    <t>VH — Total assets</t>
  </si>
  <si>
    <t>See Section B2, row 176. Agreed — no variance (ties to client within ±SAR 0.01)..</t>
  </si>
  <si>
    <t>Consolidated — Total assets</t>
  </si>
  <si>
    <t>See Section B3, row 211. Agreed — no variance (ties to client within ±SAR 0.01).</t>
  </si>
  <si>
    <t>Consolidated — Total equity  [IC elimination SAR 19,243.86]</t>
  </si>
  <si>
    <t>See Section B3, row 218. +19,243.86 = consolidation difference on IC balances (the share-capital/RE presentation nets to nil)..</t>
  </si>
  <si>
    <t>Alif — Closing cash and cash equivalents</t>
  </si>
  <si>
    <t>See Section C1, row 267. SAR +0.46: the master closing cash ties exactly to the balance sheet (SAR 30,034,455.43); the client CF is SAR 0.46 short of its own BS (client CF row 57)..</t>
  </si>
  <si>
    <t>VH — Closing cash and cash equivalents</t>
  </si>
  <si>
    <t>See Section C2, row 300. SAR +0.25: master ties exactly to the BS (SAR 2,763,170.14); client CF check difference..</t>
  </si>
  <si>
    <t>Consolidated — Closing cash and cash equivalents</t>
  </si>
  <si>
    <t>See Section C3, row 333. SAR +0.71: master ties exactly to the consolidated BS (SAR 32,797,625.57); client CF check difference of 0.71..</t>
  </si>
  <si>
    <t>SECTION A — INCOME STATEMENT (IS) COMPARISON</t>
  </si>
  <si>
    <t>A1. Alif (standalone) — Statement of profit or loss · nine months ended 30-Sep-2026</t>
  </si>
  <si>
    <t>Master source: IS_Alif (col C) · Client source: P&amp;L_2026(Mo) col AY</t>
  </si>
  <si>
    <t xml:space="preserve">    Sales revenue</t>
  </si>
  <si>
    <t>Agreed (SAR 126,467,923.88). Multi-line revenue fix: the master sums ALL 18 SALES REVENUE (410001) rows in TB_Input_Alif — multi-line credits, repeated IDs and manual add/remove sales journals — with full-column SUMIFS, plus returns, discounts and scrap (410002-410004). The earlier single-row lookup reported only SAR 5,810,727.40, understating revenue by SAR 120,657,196.48.  [Client ref: 'P&amp;L_2026(Mo)'!AY8]</t>
  </si>
  <si>
    <t>COST OF SALES</t>
  </si>
  <si>
    <t xml:space="preserve">    Raw materials</t>
  </si>
  <si>
    <t>Agreed. Raw materials (510001, 510003-510005 and the 5200xx material, variance and inventory-adjustment GLs) are classified the same way in both files.  [Client ref: 'P&amp;L_2026(Mo)'!AY10]</t>
  </si>
  <si>
    <t xml:space="preserve">    Direct labour</t>
  </si>
  <si>
    <t>Agreed. Includes 520049 DIRECT EXP - Tickets &amp; Visa (SAR 598.80), a new GL added to Map row 293 on 16-Oct. Before that mapping it showed as ⚠ UNMAPPED.  [Client ref: 'P&amp;L_2026(Mo)'!AY11]</t>
  </si>
  <si>
    <t xml:space="preserve">    Freight expenses (in COGS)</t>
  </si>
  <si>
    <t>Freight-out reclassification: 700067 FREIGHT-OUT EXPORT (SAR 6,930,832.17) and 700077 Freight Expenses - Drayage (SAR 769,080.27) are moved from COGS to Selling &amp; Distribution under IFRS. Outbound delivery is a selling cost, not part of inventory cost (IAS 2.10 / 2.16(d)). 700060 FREIGHT-OUT EXP. (SAR 1,697,274.54) is S&amp;D in both files. This is partly offset by 700047 DETENTION CHARGES (SAR 119,718.69), which the master keeps in COGS freight and the client shows in G&amp;A 'Govt license and fees'. Net: -7,699,912.44 + 119,718.69 = -7,580,193.75.  [Client ref: 'P&amp;L_2026(Mo)'!AY12]</t>
  </si>
  <si>
    <t xml:space="preserve">    Customs duties and clearances</t>
  </si>
  <si>
    <t>Agreed. Customs duty and clearance (700070, 700071) are presented in COGS in both files.  [Client ref: 'P&amp;L_2026(Mo)'!AY13]</t>
  </si>
  <si>
    <t xml:space="preserve">    Factory indirect salaries (Overhead - Labor Cost)</t>
  </si>
  <si>
    <t>STEP 1 rectification: +43,521.63 = 600044 Business Trips Exp. - Factory. This is factory supervisory cost, so it is mapped to COGS 'Overhead - Labor Cost' (the client shows it in 'Overhead', also inside COGS). 600001 Indirect Salaries (SAR 5,925,875.39) agrees to the client. That figure already includes 600035 casual labour and 600041 indirect food, which were moved into 600001 by manual JV (net nil on those GLs). The 600035 Map line was corrected from 'Overhead - Rent Labor' to 'Overhead - Labor Cost'; its net YTD balance is nil, so no value changes.  [Client ref: 'P&amp;L_2026(Mo)'!AY14]</t>
  </si>
  <si>
    <t xml:space="preserve">    Depreciation - machines (in COGS)</t>
  </si>
  <si>
    <t>Agreed. 600029 M/C &amp; equipment depreciation (SAR 6,489,832.70, booked by manual JV) is in COGS in both files.  [Client ref: 'P&amp;L_2026(Mo)'!AY15]</t>
  </si>
  <si>
    <t xml:space="preserve">    Other factory overhead (consumables, insurance, R&amp;M, rent, utilities)</t>
  </si>
  <si>
    <t>+322,457.04, made up of: +328,772.13 700057 WAREHOUSE RENT (master: COGS Overhead - Rent as a storage cost; client: S&amp;D 'Rent'); -43,521.63 600044 moved to Indirect Salaries; +37,206.54 700042 Damaged/expired material &amp; bank-charge gain, a credit the client nets in COGS 'Overhead' and the master shows in G&amp;A Back office support.  [Client ref: 'P&amp;L_2026(Mo)'!AY16]</t>
  </si>
  <si>
    <t>Total cost of sales</t>
  </si>
  <si>
    <t>-7,214,215.08 = freight-out reclass to S&amp;D -7,699,912.44 + detention charges kept in COGS +119,718.69 + warehouse rent in COGS +328,772.13 + 700042 credit taken out of COGS +37,206.54. Indirect salaries stay in COGS above gross profit.  [Client ref: 'P&amp;L_2026(Mo)'!AY18]</t>
  </si>
  <si>
    <t>GROSS PROFIT / (LOSS)</t>
  </si>
  <si>
    <t>+7,214,215.08: equal and opposite to the COGS variance. Gross margin is -5.73% in the master vs -11.43% in the client file. The difference comes only from moving costs below gross profit; EBITDA and the net result are unchanged.  [Client ref: 'P&amp;L_2026(Mo)'!AY20]</t>
  </si>
  <si>
    <t>SELLING &amp; DISTRIBUTION (S&amp;D)</t>
  </si>
  <si>
    <t xml:space="preserve">    Freight-out &amp; shipping (S&amp;D)</t>
  </si>
  <si>
    <t>+7,699,912.44 = 700067 FREIGHT-OUT EXPORT (SAR 6,930,832.17) + 700077 Freight - Drayage (SAR 769,080.27), reclassified from COGS to S&amp;D under IFRS. 700060 Freight-out local (Alif SAR 1,697,274.54 / VH SAR 190,520.00) agrees.  [Client ref: 'P&amp;L_2026(Mo)'!AY28]</t>
  </si>
  <si>
    <t xml:space="preserve">    Advertising, exhibitions, commission &amp; buffet (S&amp;D)</t>
  </si>
  <si>
    <t>+112,124.95: the master puts 100% of the buffet/food GLs (700016, 700039) in S&amp;D by nature (Map). The client allocates them by cost centre: SAR 15,674.65 (sales department) in S&amp;D and SAR 112,124.95 in G&amp;A. Advertising (SAR 9,056.46) agrees.  [Client ref: 'P&amp;L_2026(Mo)'!AY31+AY32+AY33+AY34]</t>
  </si>
  <si>
    <t xml:space="preserve">    Sales-department salaries, rent, utilities &amp; admin costs (client departmental carve-out)</t>
  </si>
  <si>
    <t>-4,543,999.03: the client takes sales-department costs out of G&amp;A using cost-centre data (Pivot_S&amp;M / GLExpenses_S&amp;M): salaries 3,770,973.11; rent 401,502.63 (700057 warehouse 328,772.13 + 700069 office 72,730.50); utilities 147,939.54; business travel 135,663.35; govt fees 70,101.74; back office 9,669.90; IT 8,148.76. The master is driven by GL account and classifies by nature through the Map. The TB has no cost-centre dimension, so these stay in G&amp;A (700057 in COGS). EBITDA is unaffected.  [Client ref: 'P&amp;L_2026(Mo)'!AY23+AY24+AY25+AY26+AY27+AY29+AY30]</t>
  </si>
  <si>
    <t>Total selling &amp; distribution</t>
  </si>
  <si>
    <t>+3,268,038.37 = freight-out reclass +7,699,912.44 + buffet by nature +112,124.95 - client departmental carve-out -4,543,999.03.  [Client ref: 'P&amp;L_2026(Mo)'!AY36]</t>
  </si>
  <si>
    <t>GENERAL &amp; ADMINISTRATIVE (G&amp;A)</t>
  </si>
  <si>
    <t xml:space="preserve">    Salaries and wages (G&amp;A, incl. 700001)</t>
  </si>
  <si>
    <t>+3,768,651.56 = sales-department salaries SAR 3,770,973.11 (client S&amp;D; master G&amp;A by nature) - 700078 ADMIN HOUSING RENT SAR 2,321.56 (client: salaries; master: G&amp;A Rent). Admin salaries 700001 (Alif SAR 4,709,687.38 / VH SAR 740,418.56) stay in G&amp;A below gross profit in both files and are kept separate from factory indirect salaries in COGS.  [Client ref: 'P&amp;L_2026(Mo)'!AY38]</t>
  </si>
  <si>
    <t xml:space="preserve">    Other G&amp;A (utilities, travel, IT, licences, rent, back office, buffet, AIMS)</t>
  </si>
  <si>
    <t>+177,525.15 = client S&amp;D non-salary carve-outs returned to G&amp;A +371,523.29 (utilities 147,939.54, travel 135,663.35, govt 70,101.74, back office 9,669.90, IT 8,148.76) + 700069 office rent 72,730.50 (client: S&amp;D rent) + 700078 2,321.56 (client: salaries) - 700047 detention charges 119,718.69 (master: COGS) - buffet 112,124.95 (master: S&amp;D) - 700042 credit 37,206.54 (client: COGS). 700080 Customer penalties (SAR 130,801.58, new GL mapped 16-Oct) agrees as back-office support.  [Client ref: 'P&amp;L_2026(Mo)'!AY39+AY40+AY41+AY42+AY43+AY44+AY45]</t>
  </si>
  <si>
    <t>Total general &amp; administrative</t>
  </si>
  <si>
    <t>+3,946,176.71 = salaries &amp; wages +3,768,651.56 + other G&amp;A +177,525.15 (by nature vs client departmental allocation).  [Client ref: 'P&amp;L_2026(Mo)'!AY47]</t>
  </si>
  <si>
    <t xml:space="preserve">    Impairment of trade receivables (bad debts)</t>
  </si>
  <si>
    <t>Agreed — no variance (ties to client within ±SAR 0.01).  [Client ref: 'P&amp;L_2026(Mo)'!AY49]</t>
  </si>
  <si>
    <t xml:space="preserve">    Inventory adjustment expense</t>
  </si>
  <si>
    <t>Agreed — no variance (ties to client within ±SAR 0.01). VH 700074 inventory adjustment credit of SAR 276.00.  [Client ref: 'P&amp;L_2026(Mo)'!AY50]</t>
  </si>
  <si>
    <t>OPERATING INCOME (EBITDA)</t>
  </si>
  <si>
    <t>Agreed to SAR 0.00. All Alif reclassifications (freight-out, warehouse rent, indirect salaries, departmental S&amp;D carve-out, buffet) stay within operating costs above EBITDA.  [Client ref: 'P&amp;L_2026(Mo)'!AY52]</t>
  </si>
  <si>
    <t xml:space="preserve">    Depreciation &amp; amortisation (below EBITDA)</t>
  </si>
  <si>
    <t>Agreed. Building, RoU (600033 SAR 240,761.51) and admin depreciation GLs are presented below EBITDA.  [Client ref: 'P&amp;L_2026(Mo)'!AY55]</t>
  </si>
  <si>
    <t xml:space="preserve">    Finance costs</t>
  </si>
  <si>
    <t>Agreed — no variance (ties to client within ±SAR 0.01). Murabaha profit, lease interest and bank charges.  [Client ref: 'P&amp;L_2026(Mo)'!AY54]</t>
  </si>
  <si>
    <t xml:space="preserve">    Other income</t>
  </si>
  <si>
    <t>Agreed — no variance (ties to client within ±SAR 0.01). HADAF salary refund (600060) shown as other income. The client shows it as a negative expense; it is presented here as positive income.  [Client ref: 'P&amp;L_2026(Mo)'!−AY56−AY58]</t>
  </si>
  <si>
    <t>PROFIT / (LOSS) BEFORE ZAKAT</t>
  </si>
  <si>
    <t>Agreed — no variance (ties to client within ±SAR 0.01).  [Client ref: 'P&amp;L_2026(Mo)'!AY52−AY54−AY55−AY56−AY58]</t>
  </si>
  <si>
    <t xml:space="preserve">    Zakat expense</t>
  </si>
  <si>
    <t>Agreed — no variance (ties to client within ±SAR 0.01). No zakat charge booked YTD.  [Client ref: 'P&amp;L_2026(Mo)'!AY57]</t>
  </si>
  <si>
    <t>NET PROFIT / (LOSS) FOR THE PERIOD</t>
  </si>
  <si>
    <t>Agreed to SAR 0.00, which confirms full mapping coverage. All 431 Alif TB rows are mapped (Checks section 2: 0 unmapped). The new GLs 520049 (SAR 598.80), 520050 (nil net) and 700080 (SAR 130,801.58) were added to Map rows 293-295; without them SAR 131,400.38 would have dropped out of the statements as ⚠ UNMAPPED.  [Client ref: 'P&amp;L_2026(Mo)'!AY61]</t>
  </si>
  <si>
    <t xml:space="preserve">    Other comprehensive income (actuarial gains/losses)</t>
  </si>
  <si>
    <t>Agreed — no variance (ties to client within ±SAR 0.01).  [Client ref: 'P&amp;L_2026(Mo)'!−AY59]</t>
  </si>
  <si>
    <t>TOTAL COMPREHENSIVE INCOME / (LOSS)</t>
  </si>
  <si>
    <t>Agreed — no variance (ties to client within ±SAR 0.01).  [Client ref: 'P&amp;L_2026(Mo)'!AY61−AY59]</t>
  </si>
  <si>
    <t>A2. Vision Horizon - VH (standalone) — Statement of profit or loss · nine months ended 30-Sep-2026</t>
  </si>
  <si>
    <t>Master source: IS_VH (col C) · Client source: P&amp;L_2026(Mo) col AZ</t>
  </si>
  <si>
    <t>Agreed (SAR 44,443,751.73). VH has one 410001 credit row (SAR 44,627,975.40) plus returns and discounts. The full-column SUMIFS will also pick up any later manual 410001 rows without changing the formula.  [Client ref: 'P&amp;L_2026(Mo)'!AZ8]</t>
  </si>
  <si>
    <t>Agreed. Raw materials (510001, 510003-510005 and the 5200xx material, variance and inventory-adjustment GLs) are classified the same way in both files.  [Client ref: 'P&amp;L_2026(Mo)'!AZ10]</t>
  </si>
  <si>
    <t>Agreed. Direct payroll GLs (510002, 5200xx) map to Direct Labor in both files.  [Client ref: 'P&amp;L_2026(Mo)'!AZ11]</t>
  </si>
  <si>
    <t>Agreed — no variance (ties to client within ±SAR 0.01). VH books outbound freight only to 700060 (SAR 190,520.00), which both files show in S&amp;D.  [Client ref: 'P&amp;L_2026(Mo)'!AZ12]</t>
  </si>
  <si>
    <t>Agreed — no variance (ties to client within ±SAR 0.01).  [Client ref: 'P&amp;L_2026(Mo)'!AZ13]</t>
  </si>
  <si>
    <t>STEP 1 rectification: +12,685.00 = 600044 Business Trips - Factory (SAR 8,085.00) + 600043 Professional fees - factory (SAR 4,600.00). The master treats both as factory indirect labour (COGS 'Overhead - Labor Cost'); the client shows them in 'Overhead'. Both files keep them in COGS. 600001 Indirect Salaries (SAR 1,065,429.31) agrees. 600035 was re-mapped to 'Overhead - Labor Cost' (net nil after the JV into 600001).  [Client ref: 'P&amp;L_2026(Mo)'!AZ14]</t>
  </si>
  <si>
    <t>-414,375.81 = 700052 M/C AND EQUIP. DEP. The client shows it in COGS ('Depreciation - Machines'); the master Map puts the 7000xx depreciation GLs below EBITDA. This affects presentation only. OPEN RECOMMENDATION: if these are production machines, re-map 700052 to 'Depreciation - Machines' (IAS 2.12 production overhead) to match Alif's treatment (see Problem_Areas_&amp;_Solutions #7).  [Client ref: 'P&amp;L_2026(Mo)'!AZ15]</t>
  </si>
  <si>
    <t>-12,685.00: the other side of the indirect-salaries line. 600043 (SAR 4,600.00) and 600044 (SAR 8,085.00) move from 'Overhead' to 'Overhead - Labor Cost'.  [Client ref: 'P&amp;L_2026(Mo)'!AZ16]</t>
  </si>
  <si>
    <t>-414,375.81 = 700052 machine depreciation presented below EBITDA in the master (presentation only). Factory indirect salaries (SAR 1,078,114.31) are in COGS.  [Client ref: 'P&amp;L_2026(Mo)'!AZ18]</t>
  </si>
  <si>
    <t>+414,375.81: VH 700052 machine depreciation sits below EBITDA in the master and in COGS in the client file.  [Client ref: 'P&amp;L_2026(Mo)'!AZ20]</t>
  </si>
  <si>
    <t>Agreed. 700060 FREIGHT-OUT EXP. (SAR 190,520.00) is in S&amp;D in both files.  [Client ref: 'P&amp;L_2026(Mo)'!AZ28]</t>
  </si>
  <si>
    <t>+19,067.42: buffet/food (700016/700039) is S&amp;D by nature in the master and G&amp;A in the client file.  [Client ref: 'P&amp;L_2026(Mo)'!AZ31+AZ32+AZ33+AZ34]</t>
  </si>
  <si>
    <t>Agreed — no variance (ties to client within ±SAR 0.01). No VH sales-department carve-out in the client file.  [Client ref: 'P&amp;L_2026(Mo)'!AZ23+AZ24+AZ25+AZ26+AZ27+AZ29+AZ30]</t>
  </si>
  <si>
    <t>+19,067.42 = buffet/food classified to S&amp;D by nature.  [Client ref: 'P&amp;L_2026(Mo)'!AZ36]</t>
  </si>
  <si>
    <t>Agreed. Admin salaries 700001 (SAR 740,418.56) and the related allowances are in G&amp;A, below gross profit, in both files. Factory indirect salaries (6000xx) are in COGS.  [Client ref: 'P&amp;L_2026(Mo)'!AZ38]</t>
  </si>
  <si>
    <t>-19,067.42: buffet/food is presented in S&amp;D in the master (G&amp;A in the client file).  [Client ref: 'P&amp;L_2026(Mo)'!AZ39+AZ40+AZ41+AZ42+AZ43+AZ44+AZ45]</t>
  </si>
  <si>
    <t>-19,067.42: buffet/food reclassified to S&amp;D.  [Client ref: 'P&amp;L_2026(Mo)'!AZ47]</t>
  </si>
  <si>
    <t>Agreed — no variance (ties to client within ±SAR 0.01).  [Client ref: 'P&amp;L_2026(Mo)'!AZ49]</t>
  </si>
  <si>
    <t>Agreed — no variance (ties to client within ±SAR 0.01). VH 700074 inventory adjustment credit of SAR 276.00.  [Client ref: 'P&amp;L_2026(Mo)'!AZ50]</t>
  </si>
  <si>
    <t>+414,375.81: the client deducts 700052 machine depreciation inside COGS (above EBITDA); the master presents it in Depreciation &amp; amortisation below EBITDA.  [Client ref: 'P&amp;L_2026(Mo)'!AZ52]</t>
  </si>
  <si>
    <t>+414,375.82: the other side of VH 700052 (SAR 414,375.81), with SAR 0.01 rounding.  [Client ref: 'P&amp;L_2026(Mo)'!AZ55]</t>
  </si>
  <si>
    <t>Agreed — no variance (ties to client within ±SAR 0.01). Murabaha profit, lease interest and bank charges.  [Client ref: 'P&amp;L_2026(Mo)'!AZ54]</t>
  </si>
  <si>
    <t>Agreed — no variance (ties to client within ±SAR 0.01). HADAF salary refund (600060) shown as other income. The client shows it as a negative expense; it is presented here as positive income.  [Client ref: 'P&amp;L_2026(Mo)'!−AZ56−AZ58]</t>
  </si>
  <si>
    <t>Agreed — no variance (ties to client within ±SAR 0.01).  [Client ref: 'P&amp;L_2026(Mo)'!AZ52−AZ54−AZ55−AZ56−AZ58]</t>
  </si>
  <si>
    <t>Agreed — no variance (ties to client within ±SAR 0.01). No zakat charge booked YTD.  [Client ref: 'P&amp;L_2026(Mo)'!AZ57]</t>
  </si>
  <si>
    <t>Agreed to SAR 0.00. All 265 VH TB rows are mapped (0 unmapped).  [Client ref: 'P&amp;L_2026(Mo)'!AZ61]</t>
  </si>
  <si>
    <t>Agreed — no variance (ties to client within ±SAR 0.01).  [Client ref: 'P&amp;L_2026(Mo)'!−AZ59]</t>
  </si>
  <si>
    <t>Agreed — no variance (ties to client within ±SAR 0.01).  [Client ref: 'P&amp;L_2026(Mo)'!AZ61−AZ59]</t>
  </si>
  <si>
    <t>A3. Consolidated (Alif + VH) — Statement of profit or loss · nine months ended 30-Sep-2026</t>
  </si>
  <si>
    <t>Master source: IS_Consol (col F) · Client source: P&amp;L_2026(Mo) col AX</t>
  </si>
  <si>
    <t>Agreed (SAR 170,911,675.61 = Alif + VH). Intercompany: no Alif-VH trading was found in the Sep-26 TBs, so the IS_Consol elimination table (H69:H71) is nil. If IC sales arise, enter them there and they will be eliminated from both Sales and COGS.  [Client ref: 'P&amp;L_2026(Mo)'!AX8]</t>
  </si>
  <si>
    <t>Agreed. Raw materials (510001, 510003-510005 and the 5200xx material, variance and inventory-adjustment GLs) are classified the same way in both files.  [Client ref: 'P&amp;L_2026(Mo)'!AX10]</t>
  </si>
  <si>
    <t>Agreed. Direct payroll GLs (510002, 5200xx) map to Direct Labor in both files.  [Client ref: 'P&amp;L_2026(Mo)'!AX11]</t>
  </si>
  <si>
    <t>Alif only: 700067 (SAR 6,930,832.17) and 700077 (SAR 769,080.27) are reclassified from COGS to S&amp;D under IFRS, partly offset by 700047 detention charges (SAR 119,718.69), which stay in COGS in the master but are G&amp;A in the client file. Net -7,580,193.75.  [Client ref: 'P&amp;L_2026(Mo)'!AX12]</t>
  </si>
  <si>
    <t>Agreed. Customs duty and clearance (700070, 700071) are presented in COGS in both files.  [Client ref: 'P&amp;L_2026(Mo)'!AX13]</t>
  </si>
  <si>
    <t>+56,206.63 = Alif 600044 (SAR 43,521.63) + VH 600044 (SAR 8,085.00) + VH 600043 (SAR 4,600.00). These factory indirect labour costs are in COGS 'Overhead - Labor Cost' (client: 'Overhead'). Because both lines sit inside COGS, the reclassification has no effect on gross profit.  [Client ref: 'P&amp;L_2026(Mo)'!AX14]</t>
  </si>
  <si>
    <t>-414,375.81 = VH 700052 machine depreciation: COGS in the client file, below EBITDA in the master. Alif's 600029 (SAR 6,489,832.70) agrees.  [Client ref: 'P&amp;L_2026(Mo)'!AX15]</t>
  </si>
  <si>
    <t>+309,772.04 = Alif +322,457.04 (700057 warehouse rent +328,772.13; 600044 -43,521.63; 700042 credit +37,206.54) + VH -12,685.00 (600043/600044 moved to indirect salaries).  [Client ref: 'P&amp;L_2026(Mo)'!AX16]</t>
  </si>
  <si>
    <t>-7,628,590.89 = Alif -7,214,215.08 + VH -414,375.81 (see component lines).  [Client ref: 'P&amp;L_2026(Mo)'!AX18]</t>
  </si>
  <si>
    <t>+7,628,590.89 = Alif +7,214,215.08 + VH +414,375.81. Consolidated gross margin is -2.78% in the master vs -7.24% in the client file.  [Client ref: 'P&amp;L_2026(Mo)'!AX20]</t>
  </si>
  <si>
    <t>+7,699,912.44 = 700067 FREIGHT-OUT EXPORT (SAR 6,930,832.17) + 700077 Freight - Drayage (SAR 769,080.27), reclassified from COGS to S&amp;D under IFRS. 700060 Freight-out local (Alif SAR 1,697,274.54 / VH SAR 190,520.00) agrees.  [Client ref: 'P&amp;L_2026(Mo)'!AX28]</t>
  </si>
  <si>
    <t>+131,192.37 = Alif +112,124.95 + VH +19,067.42. Buffet/food is classified by nature (S&amp;D) in the master and by department in the client file.  [Client ref: 'P&amp;L_2026(Mo)'!AX31+AX32+AX33+AX34]</t>
  </si>
  <si>
    <t>-4,543,999.03: the client takes sales-department costs out of G&amp;A using cost-centre data (Pivot_S&amp;M / GLExpenses_S&amp;M): salaries 3,770,973.11; rent 401,502.63 (700057 warehouse 328,772.13 + 700069 office 72,730.50); utilities 147,939.54; business travel 135,663.35; govt fees 70,101.74; back office 9,669.90; IT 8,148.76. The master is driven by GL account and classifies by nature through the Map. The TB has no cost-centre dimension, so these stay in G&amp;A (700057 in COGS). EBITDA is unaffected.  [Client ref: 'P&amp;L_2026(Mo)'!AX23+AX24+AX25+AX26+AX27+AX29+AX30]</t>
  </si>
  <si>
    <t>+3,287,105.79 = freight-out reclass +7,699,912.44 + buffet +131,192.37 - departmental carve-out -4,543,999.03.  [Client ref: 'P&amp;L_2026(Mo)'!AX36]</t>
  </si>
  <si>
    <t>+3,768,651.56 = sales-department salaries SAR 3,770,973.11 (client S&amp;D; master G&amp;A by nature) - 700078 ADMIN HOUSING RENT SAR 2,321.56 (client: salaries; master: G&amp;A Rent). Admin salaries 700001 (Alif SAR 4,709,687.38 / VH SAR 740,418.56) stay in G&amp;A below gross profit in both files and are kept separate from factory indirect salaries in COGS.  [Client ref: 'P&amp;L_2026(Mo)'!AX38]</t>
  </si>
  <si>
    <t>+158,457.73 = Alif +177,525.15 + VH -19,067.42 (see entity blocks).  [Client ref: 'P&amp;L_2026(Mo)'!AX39+AX40+AX41+AX42+AX43+AX44+AX45]</t>
  </si>
  <si>
    <t>+3,927,109.29 = Alif +3,946,176.71 + VH -19,067.42.  [Client ref: 'P&amp;L_2026(Mo)'!AX47]</t>
  </si>
  <si>
    <t>Agreed — no variance (ties to client within ±SAR 0.01).  [Client ref: 'P&amp;L_2026(Mo)'!AX49]</t>
  </si>
  <si>
    <t>Agreed — no variance (ties to client within ±SAR 0.01). VH 700074 inventory adjustment credit of SAR 276.00.  [Client ref: 'P&amp;L_2026(Mo)'!AX50]</t>
  </si>
  <si>
    <t>+414,375.81 = VH 700052 machine depreciation presentation (see VH block). Alif agrees.  [Client ref: 'P&amp;L_2026(Mo)'!AX52]</t>
  </si>
  <si>
    <t>+414,375.82: the other side of VH 700052 (SAR 414,375.81), with SAR 0.01 rounding.  [Client ref: 'P&amp;L_2026(Mo)'!AX55]</t>
  </si>
  <si>
    <t>Agreed — no variance (ties to client within ±SAR 0.01). Murabaha profit, lease interest and bank charges.  [Client ref: 'P&amp;L_2026(Mo)'!AX54]</t>
  </si>
  <si>
    <t>Agreed — no variance (ties to client within ±SAR 0.01). HADAF salary refund (600060) shown as other income. The client shows it as a negative expense; it is presented here as positive income.  [Client ref: 'P&amp;L_2026(Mo)'!−AX56−AX58]</t>
  </si>
  <si>
    <t>Agreed — no variance (ties to client within ±SAR 0.01).  [Client ref: 'P&amp;L_2026(Mo)'!AX52−AX54−AX55−AX56−AX58]</t>
  </si>
  <si>
    <t>Agreed — no variance (ties to client within ±SAR 0.01). No zakat charge booked YTD.  [Client ref: 'P&amp;L_2026(Mo)'!AX57]</t>
  </si>
  <si>
    <t>Agreed to SAR 0.00. No intercompany P&amp;L elimination is needed (no IC trading identified), so the consolidated result equals Alif + VH.  [Client ref: 'P&amp;L_2026(Mo)'!AX61]</t>
  </si>
  <si>
    <t>Agreed — no variance (ties to client within ±SAR 0.01).  [Client ref: 'P&amp;L_2026(Mo)'!−AX59]</t>
  </si>
  <si>
    <t>Agreed — no variance (ties to client within ±SAR 0.01).  [Client ref: 'P&amp;L_2026(Mo)'!AX61−AX59]</t>
  </si>
  <si>
    <t>SECTION B — BALANCE SHEET / STATEMENT OF FINANCIAL POSITION (BS) COMPARISON</t>
  </si>
  <si>
    <t>B1. Alif (standalone) — Statement of financial position · as at 30-Sep-2026</t>
  </si>
  <si>
    <t>Master source: BS_Alif (col C) · Client source: BS col BC</t>
  </si>
  <si>
    <t>NON-CURRENT ASSETS</t>
  </si>
  <si>
    <t xml:space="preserve">    Property, plant and equipment</t>
  </si>
  <si>
    <t>Agreed — no variance (ties to client within ±SAR 0.01).  [Client ref: 'BS'!BC15]</t>
  </si>
  <si>
    <t xml:space="preserve">    Right-of-use assets</t>
  </si>
  <si>
    <t>Agreed — no variance (ties to client within ±SAR 0.01).  [Client ref: 'BS'!BC16]</t>
  </si>
  <si>
    <t xml:space="preserve">    Due from related parties</t>
  </si>
  <si>
    <t>Agreed — no variance (ties to client within ±SAR 0.01).  [Client ref: 'BS'!BC14]</t>
  </si>
  <si>
    <t>Total non-current assets</t>
  </si>
  <si>
    <t>Agreed — no variance (ties to client within ±SAR 0.01).  [Client ref: 'BS'!BC17]</t>
  </si>
  <si>
    <t>CURRENT ASSETS</t>
  </si>
  <si>
    <t xml:space="preserve">    Inventories</t>
  </si>
  <si>
    <t>Agreed — no variance (ties to client within ±SAR 0.01).  [Client ref: 'BS'!BC10]</t>
  </si>
  <si>
    <t xml:space="preserve">    Trade receivables</t>
  </si>
  <si>
    <t>Agreed — no variance (ties to client within ±SAR 0.01).  [Client ref: 'BS'!BC8]</t>
  </si>
  <si>
    <t xml:space="preserve">    Prepaid expenses and other receivables</t>
  </si>
  <si>
    <t>Agreed — no variance (ties to client within ±SAR 0.01).  [Client ref: 'BS'!BC9]</t>
  </si>
  <si>
    <t xml:space="preserve">    Cash and cash equivalents</t>
  </si>
  <si>
    <t>Agreed — no variance (ties to client within ±SAR 0.01). Ties to closing cash in the cash flow statement (Checks section 4).  [Client ref: 'BS'!BC7]</t>
  </si>
  <si>
    <t>Total current assets</t>
  </si>
  <si>
    <t>Agreed — no variance (ties to client within ±SAR 0.01).  [Client ref: 'BS'!BC11]</t>
  </si>
  <si>
    <t>TOTAL ASSETS</t>
  </si>
  <si>
    <t>Agreed — no variance (ties to client within ±SAR 0.01).  [Client ref: 'BS'!BC19]</t>
  </si>
  <si>
    <t>EQUITY</t>
  </si>
  <si>
    <t xml:space="preserve">    Share capital</t>
  </si>
  <si>
    <t>Agreed — no variance (ties to client within ±SAR 0.01).  [Client ref: 'BS'!BC38]</t>
  </si>
  <si>
    <t xml:space="preserve">    Additional contribution from shareholders</t>
  </si>
  <si>
    <t>Agreed — no variance (ties to client within ±SAR 0.01).  [Client ref: 'BS'!BC41]</t>
  </si>
  <si>
    <t xml:space="preserve">    Statutory reserve</t>
  </si>
  <si>
    <t>Agreed — no variance (ties to client within ±SAR 0.01).  [Client ref: 'BS'!BC39]</t>
  </si>
  <si>
    <t xml:space="preserve">    Retained earnings (incl. result for the period)</t>
  </si>
  <si>
    <t>Agreed. The master shows opening retained earnings (-107,267,178.55) and the result for the period (-40,498,412.99) on separate rows; together they equal the client figure.  [Client ref: 'BS'!BC40]</t>
  </si>
  <si>
    <t>Total equity</t>
  </si>
  <si>
    <t>Agreed — no variance (ties to client within ±SAR 0.01).  [Client ref: 'BS'!BC42]</t>
  </si>
  <si>
    <t>NON-CURRENT LIABILITIES</t>
  </si>
  <si>
    <t xml:space="preserve">    Due to related parties</t>
  </si>
  <si>
    <t>Agreed — no variance (ties to client within ±SAR 0.01). Includes a/c 270005 due to VH (SAR 1,625,866.01), which is eliminated on consolidation.  [Client ref: 'BS'!BC31]</t>
  </si>
  <si>
    <t xml:space="preserve">    End-of-service indemnities</t>
  </si>
  <si>
    <t>Agreed — no variance (ties to client within ±SAR 0.01).  [Client ref: 'BS'!BC32]</t>
  </si>
  <si>
    <t xml:space="preserve">    Lease liabilities (current + non-current)</t>
  </si>
  <si>
    <t>Agreed — no variance (ties to client within ±SAR 0.01). The client shows a nil current portion; the full balance is non-current.  [Client ref: 'BS'!BC30+BC24]</t>
  </si>
  <si>
    <t xml:space="preserve">    Provision for evacuation</t>
  </si>
  <si>
    <t>Agreed — no variance (ties to client within ±SAR 0.01).  [Client ref: 'BS'!BC33]</t>
  </si>
  <si>
    <t>Total non-current liabilities</t>
  </si>
  <si>
    <t>Agreed — no variance (ties to client within ±SAR 0.01).  [Client ref: 'BS'!BC34+BC24]</t>
  </si>
  <si>
    <t>CURRENT LIABILITIES</t>
  </si>
  <si>
    <t xml:space="preserve">    Short-term Murabaha loans</t>
  </si>
  <si>
    <t>Agreed — no variance (ties to client within ±SAR 0.01).  [Client ref: 'BS'!BC23]</t>
  </si>
  <si>
    <t xml:space="preserve">    Trade payables, accruals and other credit balances</t>
  </si>
  <si>
    <t>Agreed — no variance (ties to client within ±SAR 0.01).  [Client ref: 'BS'!BC26]</t>
  </si>
  <si>
    <t xml:space="preserve">    Zakat provision</t>
  </si>
  <si>
    <t>Agreed — no variance (ties to client within ±SAR 0.01).  [Client ref: 'BS'!BC25]</t>
  </si>
  <si>
    <t>Total current liabilities</t>
  </si>
  <si>
    <t>Agreed — no variance (ties to client within ±SAR 0.01).  [Client ref: 'BS'!BC27−BC24]</t>
  </si>
  <si>
    <t>TOTAL LIABILITIES</t>
  </si>
  <si>
    <t>Agreed — no variance (ties to client within ±SAR 0.01).  [Client ref: 'BS'!BC35]</t>
  </si>
  <si>
    <t>TOTAL EQUITY AND LIABILITIES</t>
  </si>
  <si>
    <t>Agreed — no variance (ties to client within ±SAR 0.01).  [Client ref: 'BS'!BC44]</t>
  </si>
  <si>
    <t>Balance check: total assets - total equity &amp; liabilities</t>
  </si>
  <si>
    <t>Balance sheet difference = 0.00 SAR, with no balancing plug (see Checks section 3).  [Client ref: 'BS'!BC19−BC44]</t>
  </si>
  <si>
    <t>B2. Vision Horizon - VH (standalone) — Statement of financial position · as at 30-Sep-2026</t>
  </si>
  <si>
    <t>Master source: BS_VH (col C) · Client source: BS col BD</t>
  </si>
  <si>
    <t>Agreed — no variance (ties to client within ±SAR 0.01).  [Client ref: 'BS'!BD15]</t>
  </si>
  <si>
    <t>Agreed — no variance (ties to client within ±SAR 0.01).  [Client ref: 'BS'!BD16]</t>
  </si>
  <si>
    <t>Agreed — no variance (ties to client within ±SAR 0.01).  [Client ref: 'BS'!BD14]</t>
  </si>
  <si>
    <t>Agreed — no variance (ties to client within ±SAR 0.01).  [Client ref: 'BS'!BD17]</t>
  </si>
  <si>
    <t>Agreed — no variance (ties to client within ±SAR 0.01).  [Client ref: 'BS'!BD10]</t>
  </si>
  <si>
    <t>Agreed — no variance (ties to client within ±SAR 0.01).  [Client ref: 'BS'!BD8]</t>
  </si>
  <si>
    <t>Agreed — no variance (ties to client within ±SAR 0.01).  [Client ref: 'BS'!BD9]</t>
  </si>
  <si>
    <t>Agreed — no variance (ties to client within ±SAR 0.01). Ties to closing cash in the cash flow statement (Checks section 4).  [Client ref: 'BS'!BD7]</t>
  </si>
  <si>
    <t>Agreed — no variance (ties to client within ±SAR 0.01).  [Client ref: 'BS'!BD11]</t>
  </si>
  <si>
    <t>Agreed — no variance (ties to client within ±SAR 0.01).  [Client ref: 'BS'!BD19]</t>
  </si>
  <si>
    <t>Agreed — no variance (ties to client within ±SAR 0.01).  [Client ref: 'BS'!BD38]</t>
  </si>
  <si>
    <t>Agreed — no variance (ties to client within ±SAR 0.01).  [Client ref: 'BS'!BD41]</t>
  </si>
  <si>
    <t>Agreed — no variance (ties to client within ±SAR 0.01).  [Client ref: 'BS'!BD39]</t>
  </si>
  <si>
    <t>Agreed. Opening RE -16,258,798.73 + result -1,356,565.65 + SAR 0.004 unclosed opening P&amp;L per TB. Since 17-Oct that residual is carried in retained earnings, so the VH balance sheet balances to 0.00 with no plug.  [Client ref: 'BS'!BD40]</t>
  </si>
  <si>
    <t>Agreed — no variance (ties to client within ±SAR 0.01).  [Client ref: 'BS'!BD42]</t>
  </si>
  <si>
    <t>Agreed — no variance (ties to client within ±SAR 0.01). Net of a/c 330004 due from Alif (SAR 1,606,622.15 debit), which is eliminated on consolidation.  [Client ref: 'BS'!BD31]</t>
  </si>
  <si>
    <t>Agreed — no variance (ties to client within ±SAR 0.01).  [Client ref: 'BS'!BD32]</t>
  </si>
  <si>
    <t>Agreed — no variance (ties to client within ±SAR 0.01). The client shows a nil current portion; the full balance is non-current.  [Client ref: 'BS'!BD30+BD24]</t>
  </si>
  <si>
    <t>Agreed — no variance (ties to client within ±SAR 0.01).  [Client ref: 'BS'!BD33]</t>
  </si>
  <si>
    <t>Agreed — no variance (ties to client within ±SAR 0.01).  [Client ref: 'BS'!BD34+BD24]</t>
  </si>
  <si>
    <t>Agreed — no variance (ties to client within ±SAR 0.01).  [Client ref: 'BS'!BD23]</t>
  </si>
  <si>
    <t>Agreed — no variance (ties to client within ±SAR 0.01).  [Client ref: 'BS'!BD26]</t>
  </si>
  <si>
    <t>Agreed — no variance (ties to client within ±SAR 0.01).  [Client ref: 'BS'!BD25]</t>
  </si>
  <si>
    <t>Agreed — no variance (ties to client within ±SAR 0.01).  [Client ref: 'BS'!BD27−BD24]</t>
  </si>
  <si>
    <t>Agreed — no variance (ties to client within ±SAR 0.01).  [Client ref: 'BS'!BD35]</t>
  </si>
  <si>
    <t>Agreed — no variance (ties to client within ±SAR 0.01).  [Client ref: 'BS'!BD44]</t>
  </si>
  <si>
    <t>Balance sheet difference = 0.00 SAR, with no balancing plug (see Checks section 3).  [Client ref: 'BS'!BD19−BD44]</t>
  </si>
  <si>
    <t>B3. Consolidated (Alif + VH) — Statement of financial position · as at 30-Sep-2026</t>
  </si>
  <si>
    <t>Master source: BS_Consol (col F) · Client source: BS col BB</t>
  </si>
  <si>
    <t>Agreed — no variance (ties to client within ±SAR 0.01).  [Client ref: 'BS'!BB15]</t>
  </si>
  <si>
    <t>Agreed — no variance (ties to client within ±SAR 0.01).  [Client ref: 'BS'!BB16]</t>
  </si>
  <si>
    <t>Agreed — no variance (ties to client within ±SAR 0.01). VH due from related parties (SAR 104,625.32) is not a balance with Alif, so it is not eliminated on consolidation.  [Client ref: 'BS'!BB14]</t>
  </si>
  <si>
    <t>Agreed — no variance (ties to client within ±SAR 0.01).  [Client ref: 'BS'!BB17]</t>
  </si>
  <si>
    <t>Agreed — no variance (ties to client within ±SAR 0.01).  [Client ref: 'BS'!BB10]</t>
  </si>
  <si>
    <t>Agreed — no variance (ties to client within ±SAR 0.01).  [Client ref: 'BS'!BB8]</t>
  </si>
  <si>
    <t>Agreed — no variance (ties to client within ±SAR 0.01).  [Client ref: 'BS'!BB9]</t>
  </si>
  <si>
    <t>Agreed — no variance (ties to client within ±SAR 0.01). Ties to closing cash in the cash flow statement (Checks section 4).  [Client ref: 'BS'!BB7]</t>
  </si>
  <si>
    <t>Agreed — no variance (ties to client within ±SAR 0.01).  [Client ref: 'BS'!BB11]</t>
  </si>
  <si>
    <t>Agreed — no variance (ties to client within ±SAR 0.01). No IC asset elimination is needed: VH's receivable from Alif (a/c 330004) sits net inside VH 'Due to related parties' (a liability line), not in assets.  [Client ref: 'BS'!BB19]</t>
  </si>
  <si>
    <t>+500,000.00: the master adds the share capital of both entities (Alif 35,335,000 + VH 500,000). The client consolidated BS shows Alif's capital only and carries VH's SAR 500,000 inside retained earnings. The Alif TB has no investment-in-VH balance to eliminate against, so the master presents combined capital. This is offset in retained earnings; total equity is unaffected.  [Client ref: 'BS'!BB38]</t>
  </si>
  <si>
    <t>Agreed — no variance (ties to client within ±SAR 0.01).  [Client ref: 'BS'!BB41]</t>
  </si>
  <si>
    <t>Agreed — no variance (ties to client within ±SAR 0.01).  [Client ref: 'BS'!BB39]</t>
  </si>
  <si>
    <t>-500,000.00: the other side of the share-capital presentation (VH capital shown as share capital in the master, in RE by the client). Otherwise equals Alif + VH.  [Client ref: 'BS'!BB40]</t>
  </si>
  <si>
    <t xml:space="preserve">    Consolidation difference on intercompany balances</t>
  </si>
  <si>
    <t>+19,243.86 intercompany elimination: Alif a/c 270005 due to VH (SAR 1,625,866.01) is eliminated against VH a/c 330004 due from Alif (SAR 1,606,622.15). The unreconciled SAR 19,243.86 is disclosed as a separate equity line and is not taken to P&amp;L. The client consolidated BS simply adds the two entities with no IC elimination. Action: reconcile the IC accounts (cut-off / in-transit) before year-end.  [Client ref: n/a (line not presented in client file)]</t>
  </si>
  <si>
    <t>+19,243.86 = consolidation difference on IC balances (the share-capital/RE presentation nets to nil).  [Client ref: 'BS'!BB42]</t>
  </si>
  <si>
    <t>-19,243.86 = net IC elimination within the same FS line: -1,625,866.01 (Alif payable 270005) + 1,606,622.15 (VH receivable 330004, which sits net in this line).  [Client ref: 'BS'!BB31]</t>
  </si>
  <si>
    <t>Agreed — no variance (ties to client within ±SAR 0.01).  [Client ref: 'BS'!BB32]</t>
  </si>
  <si>
    <t>Agreed — no variance (ties to client within ±SAR 0.01). The client shows a nil current portion; the full balance is non-current.  [Client ref: 'BS'!BB30+BB24]</t>
  </si>
  <si>
    <t>Agreed — no variance (ties to client within ±SAR 0.01).  [Client ref: 'BS'!BB33]</t>
  </si>
  <si>
    <t>-19,243.86: IC elimination in Due to related parties.  [Client ref: 'BS'!BB34+BB24]</t>
  </si>
  <si>
    <t>Agreed — no variance (ties to client within ±SAR 0.01).  [Client ref: 'BS'!BB23]</t>
  </si>
  <si>
    <t>Agreed — no variance (ties to client within ±SAR 0.01).  [Client ref: 'BS'!BB26]</t>
  </si>
  <si>
    <t>Agreed — no variance (ties to client within ±SAR 0.01).  [Client ref: 'BS'!BB25]</t>
  </si>
  <si>
    <t>Agreed — no variance (ties to client within ±SAR 0.01).  [Client ref: 'BS'!BB27−BB24]</t>
  </si>
  <si>
    <t>-19,243.86: IC elimination (moved to the consolidation-difference line in equity).  [Client ref: 'BS'!BB35]</t>
  </si>
  <si>
    <t>Agreed — no variance (ties to client within ±SAR 0.01).  [Client ref: 'BS'!BB44]</t>
  </si>
  <si>
    <t>Balance sheet difference = 0.00 SAR, with no balancing plug (see Checks section 3).  [Client ref: 'BS'!BB19−BB44]</t>
  </si>
  <si>
    <t>SECTION C — CASH FLOW STATEMENT (CFS) COMPARISON</t>
  </si>
  <si>
    <t>C1. Alif (standalone) — Statement of cash flows (indirect) · nine months ended 30-Sep-2026</t>
  </si>
  <si>
    <t>Master source: CF_Alif (col C) · Client source: CF col AD</t>
  </si>
  <si>
    <t>OPERATING ACTIVITIES</t>
  </si>
  <si>
    <t xml:space="preserve">    Profit / (loss) before zakat</t>
  </si>
  <si>
    <t>Agreed — no variance (ties to client within ±SAR 0.01). Taken from the IS.  [Client ref: 'CF'!AD6]</t>
  </si>
  <si>
    <t xml:space="preserve">    Depreciation &amp; amortisation (PPE + right-of-use + pre-operating)</t>
  </si>
  <si>
    <t>-1,567,562.65: the client adds back the whole decrease in right-of-use assets (incl. the non-cash June-2026 lease derecognition/modification of about SAR 1.30m) as 'amortisation'. The master adds back only the IS depreciation charge (incl. 600033 RoU depreciation SAR 240,761.51) and picks up the rest of the RoU movement in the capex line (capex = ΔPPE + ΔRoU + D&amp;A). Offset in investing (+1,567,560.53; SAR 2.12 rounding).  [Client ref: 'CF'!AD8+AD9]</t>
  </si>
  <si>
    <t xml:space="preserve">    Finance costs added back</t>
  </si>
  <si>
    <t>Agreed — no variance (ties to client within ±SAR 0.01). Finance cost is added back in operating activities.  [Client ref: 'CF'!AD14]</t>
  </si>
  <si>
    <t xml:space="preserve">    End-of-service indemnities - net movement</t>
  </si>
  <si>
    <t>-883,967.92: different opening-balance basis. The client calculates movements from the audited 31-Dec-2025 balance sheet (EOSB SAR 3,006,472); the master uses TB opening balances (SAR 3,890,439.92). The audited opening includes year-end reclassifications between EOSB, receivables, prepayments and payables that net to nil (see working-capital lines).  [Client ref: 'CF'!AD12]</t>
  </si>
  <si>
    <t xml:space="preserve">    Provision for evacuation - net movement</t>
  </si>
  <si>
    <t>SAR 0.05 rounding (the client starts from the rounded audited opening balance).  [Client ref: 'CF'!AD13+AD23]</t>
  </si>
  <si>
    <t xml:space="preserve">    Provision for inventory write-off / ECL</t>
  </si>
  <si>
    <t>Agreed — no variance (ties to client within ±SAR 0.01).  [Client ref: 'CF'!AD10+AD11]</t>
  </si>
  <si>
    <t>Operating cash flow before working-capital changes</t>
  </si>
  <si>
    <t>-2,451,530.52 = D&amp;A basis -1,567,562.65 + EOSB opening basis -883,967.92 + evacuation rounding +0.05.  [Client ref: 'CF'!AD16+AD23]</t>
  </si>
  <si>
    <t xml:space="preserve">    (Increase)/decrease in inventories</t>
  </si>
  <si>
    <t>SAR 0.65 rounding (audited opening inventory SAR 106,117,591 vs TB 106,117,591.65).  [Client ref: 'CF'!AD18]</t>
  </si>
  <si>
    <t xml:space="preserve">    (Increase)/decrease in trade receivables</t>
  </si>
  <si>
    <t>-1,667,351.53 (Alif): opening-balance basis. Audited 31-Dec-2025 trade receivables SAR 20,879,082 vs TB opening SAR 19,211,730.47 (audit gross-up). Offset by the prepayments, payables and EOSB lines; net working-capital effect nil.  [Client ref: 'CF'!AD21]</t>
  </si>
  <si>
    <t xml:space="preserve">    (Increase)/decrease in prepayments &amp; other receivables</t>
  </si>
  <si>
    <t>-4,857,328.47 (Alif): opening-balance basis. Audited 31-Dec-2025 prepayments SAR 10,606,799 vs TB opening SAR 5,749,470.53. Offset within working capital.  [Client ref: 'CF'!AD19]</t>
  </si>
  <si>
    <t xml:space="preserve">    Increase/(decrease) in trade payables, accruals &amp; zakat provision</t>
  </si>
  <si>
    <t>+7,408,647.69 (Alif): opening-balance basis. Audited 31-Dec-2025 payables SAR 23,620,151 vs TB opening SAR 16,211,503.31. Combined with receivables (-1,667,351.53), prepayments (-4,857,328.47) and EOSB (-883,967.92) the net is SAR -0.23, i.e. no cash effect.  [Client ref: 'CF'!AD24]</t>
  </si>
  <si>
    <t xml:space="preserve">    Movement in related-party balances (due to / due from RP)</t>
  </si>
  <si>
    <t>-85,716,023.86: the client shows the movement in amounts due to related parties (AIMS Holding funding) in operating activities. The master shows it in FINANCING (IAS 7.17: shareholder/group funding). Offset in financing (+85,716,023.72; SAR 0.14 rounding).  [Client ref: 'CF'!AD22+AD20]</t>
  </si>
  <si>
    <t>Cash generated from / (used in) operations</t>
  </si>
  <si>
    <t>-87,283,586.04 = related-party funding moved to financing -85,716,023.86 + D&amp;A/RoU basis -1,567,562.65 + rounding 0.47. The working-capital reclassifications net to nil.  [Client ref: 'CF'!AD26]</t>
  </si>
  <si>
    <t xml:space="preserve">    Finance costs paid</t>
  </si>
  <si>
    <t>-8,880,146.98: the master assumes finance cost paid equals the period charge (TB-based simplification, see README). The client shows nil paid for Alif because Murabaha profit is rolled into the loan balance, so its Murabaha movement is lower by the same amount (see financing).  [Client ref: 'CF'!AD28]</t>
  </si>
  <si>
    <t xml:space="preserve">    Zakat paid / EOSB paid</t>
  </si>
  <si>
    <t>Agreed — no variance (ties to client within ±SAR 0.01).  [Client ref: 'CF'!AD29+AD30+AD31]</t>
  </si>
  <si>
    <t>NET CASH FROM / (USED IN) OPERATING ACTIVITIES</t>
  </si>
  <si>
    <t>-96,163,733.02 = related-party funding moved to financing -85,716,023.86 + finance cost paid -8,880,146.98 + D&amp;A/RoU basis -1,567,562.65 + rounding. This is a classification difference only; the net change in cash agrees.  [Client ref: 'CF'!AD33]</t>
  </si>
  <si>
    <t>INVESTING ACTIVITIES</t>
  </si>
  <si>
    <t xml:space="preserve">    Purchase of PPE and right-of-use assets (net of disposals)</t>
  </si>
  <si>
    <t>+1,567,560.53: the master's capex line includes the non-cash RoU decrease (lease derecognition), which the client adds back in operating. Recommendation (IAS 7.43): report the June-2026 lease modification as a non-cash transaction outside both investing and financing.  [Client ref: 'CF'!AD36+AD37+AD38]</t>
  </si>
  <si>
    <t xml:space="preserve">    Movement in amounts due from related parties</t>
  </si>
  <si>
    <t>Agreed — no variance (ties to client within ±SAR 0.01). The client shows this movement within operating (-0.32 VH rounding).  [Client ref: n/a (line not presented in client file)]</t>
  </si>
  <si>
    <t>NET CASH FROM / (USED IN) INVESTING ACTIVITIES</t>
  </si>
  <si>
    <t>+1,567,560.53: see capex.  [Client ref: 'CF'!AD40]</t>
  </si>
  <si>
    <t>FINANCING ACTIVITIES</t>
  </si>
  <si>
    <t xml:space="preserve">    Net movement in short-term Murabaha loans</t>
  </si>
  <si>
    <t>+8,880,147.30: client Murabaha movement is net of finance cost rolled into the loan; the master shows the gross balance movement and finance cost paid in operating. Offsets the finance-cost-paid line.  [Client ref: 'CF'!AD47]</t>
  </si>
  <si>
    <t xml:space="preserve">    Net movement in amounts due to related parties</t>
  </si>
  <si>
    <t>+85,716,023.72: related-party (AIMS Holding) funding presented in financing in the master; the client shows it in operating.  [Client ref: 'CF'!AD46]</t>
  </si>
  <si>
    <t xml:space="preserve">    Net movement in lease liabilities</t>
  </si>
  <si>
    <t>Agreed within SAR 0.05 (rounding). Lease liability net movement, incl. the June-2026 derecognition.  [Client ref: 'CF'!AD43+AD44]</t>
  </si>
  <si>
    <t xml:space="preserve">    Share capital / shareholder contributions / reserves</t>
  </si>
  <si>
    <t>Agreed — no variance (ties to client within ±SAR 0.01). No capital movements YTD.  [Client ref: 'CF'!AD45]</t>
  </si>
  <si>
    <t>NET CASH FROM / (USED IN) FINANCING ACTIVITIES</t>
  </si>
  <si>
    <t>+94,596,170.98 = related-party funding +85,716,023.72 + Murabaha finance-cost basis +8,880,147.30 - rounding 0.04.  [Client ref: 'CF'!AD49]</t>
  </si>
  <si>
    <t>NET CHANGE IN CASH AND CASH EQUIVALENTS</t>
  </si>
  <si>
    <t>SAR -1.52 rounding: the client uses the rounded audited opening cash and carries its own unreconciled check of SAR 0.46 (client CF row 57). The classification differences above net to nil.  [Client ref: 'CF'!AD51]</t>
  </si>
  <si>
    <t xml:space="preserve">    Cash and cash equivalents at 1 January 2026</t>
  </si>
  <si>
    <t>SAR +1.98: the client uses the rounded audited 31-Dec-2025 cash (SAR 1,512,703); the master uses the TB opening balance (SAR 1,512,704.98).  [Client ref: 'CF'!AD53]</t>
  </si>
  <si>
    <t>CASH AND CASH EQUIVALENTS AT 30 SEPTEMBER 2026</t>
  </si>
  <si>
    <t>SAR +0.46: the master closing cash ties exactly to the balance sheet (SAR 30,034,455.43); the client CF is SAR 0.46 short of its own BS (client CF row 57).  [Client ref: 'CF'!AD56]</t>
  </si>
  <si>
    <t>C2. Vision Horizon - VH (standalone) — Statement of cash flows (indirect) · nine months ended 30-Sep-2026</t>
  </si>
  <si>
    <t>Master source: CF_VH (col C) · Client source: CF col AS</t>
  </si>
  <si>
    <t>Agreed — no variance (ties to client within ±SAR 0.01). Taken from the IS.  [Client ref: 'CF'!AS6]</t>
  </si>
  <si>
    <t>-26,659.22: the client adds RoU amortisation (SAR 26,659.22) on top of the IS depreciation of SAR 1,082,789.82, which already includes 600033 RoU depreciation of SAR 26,659.25. That double count is reversed in the client's capex line. The master adds back the IS charge once. Offset in investing (+26,659.17).  [Client ref: 'CF'!AS8+AS9]</t>
  </si>
  <si>
    <t>Agreed — no variance (ties to client within ±SAR 0.01). Finance cost is added back in operating activities.  [Client ref: 'CF'!AS14]</t>
  </si>
  <si>
    <t>Agreed — no variance (ties to client within ±SAR 0.01).  [Client ref: 'CF'!AS12]</t>
  </si>
  <si>
    <t>Agreed — no variance (ties to client within ±SAR 0.01).  [Client ref: 'CF'!AS13+AS23]</t>
  </si>
  <si>
    <t>+276.00: the client adds back the VH 700074 inventory adjustment (-276.00) as a separate non-cash item; the master includes it in the inventories movement.  [Client ref: 'CF'!AS10+AS11]</t>
  </si>
  <si>
    <t>-26,383.22 = RoU double count in the client file -26,659.22 + inventory provision +276.00.  [Client ref: 'CF'!AS16+AS23]</t>
  </si>
  <si>
    <t>-275.48: inventory adjustment (-276.00) included in the movement (the client adds it back separately), plus rounding.  [Client ref: 'CF'!AS18]</t>
  </si>
  <si>
    <t>SAR 0.50 rounding of the opening balance.  [Client ref: 'CF'!AS21]</t>
  </si>
  <si>
    <t>SAR 0.27 rounding of the opening balance.  [Client ref: 'CF'!AS19]</t>
  </si>
  <si>
    <t>SAR 0.33 rounding of the opening balance.  [Client ref: 'CF'!AS24]</t>
  </si>
  <si>
    <t>-7,493,373.96: related-party funding is presented in financing activities in the master (operating in the client file). Offset in financing (+7,493,374.38).  [Client ref: 'CF'!AS22+AS20]</t>
  </si>
  <si>
    <t>-7,520,033.75 = related-party funding moved to financing -7,493,373.96 + RoU double count -26,659.22 + rounding.  [Client ref: 'CF'!AS26]</t>
  </si>
  <si>
    <t>+354,321.89: the client derives finance cost paid (SAR 1,218,139.93) from the accrued/prepaid finance-charge movement; the master uses the period charge (SAR 863,818.04). Offset in the Murabaha line (-354,321.84).  [Client ref: 'CF'!AS28]</t>
  </si>
  <si>
    <t>Agreed — no variance (ties to client within ±SAR 0.01).  [Client ref: 'CF'!AS29+AS30+AS31]</t>
  </si>
  <si>
    <t>-7,165,711.86 = related-party funding -7,493,373.96 + finance cost paid +354,321.89 + RoU -26,659.22 + rounding.  [Client ref: 'CF'!AS33]</t>
  </si>
  <si>
    <t>+26,659.17: reverses the client's RoU double count (see D&amp;A).  [Client ref: 'CF'!AS36+AS37+AS38]</t>
  </si>
  <si>
    <t>+26,659.17: see capex.  [Client ref: 'CF'!AS40]</t>
  </si>
  <si>
    <t>-354,321.84: offsets the VH finance-cost-paid difference (+354,321.89).  [Client ref: 'CF'!AS47]</t>
  </si>
  <si>
    <t>+7,493,374.38: related-party funding presented in financing in the master; the client shows it in operating.  [Client ref: 'CF'!AS46]</t>
  </si>
  <si>
    <t>Agreed within SAR 0.05 (rounding). Lease liability net movement, incl. the June-2026 derecognition.  [Client ref: 'CF'!AS43+AS44]</t>
  </si>
  <si>
    <t>Agreed — no variance (ties to client within ±SAR 0.01). No capital movements YTD.  [Client ref: 'CF'!AS45]</t>
  </si>
  <si>
    <t>+7,139,052.58 = related-party funding +7,493,374.38 + Murabaha -354,321.84 + rounding.  [Client ref: 'CF'!AS49]</t>
  </si>
  <si>
    <t>SAR -0.11 rounding (client CF check difference 0.24).  [Client ref: 'CF'!AS51]</t>
  </si>
  <si>
    <t>SAR +0.36: rounded audited opening cash (SAR 2,303,785) vs TB (SAR 2,303,785.36).  [Client ref: 'CF'!AS53]</t>
  </si>
  <si>
    <t>SAR +0.25: master ties exactly to the BS (SAR 2,763,170.14); client CF check difference.  [Client ref: 'CF'!AS56]</t>
  </si>
  <si>
    <t>C3. Consolidated (Alif + VH) — Statement of cash flows (indirect) · nine months ended 30-Sep-2026</t>
  </si>
  <si>
    <t>Master source: CF_Consol (col F) · Client source: CF col O</t>
  </si>
  <si>
    <t>Agreed — no variance (ties to client within ±SAR 0.01). Taken from the IS.  [Client ref: 'CF'!O6]</t>
  </si>
  <si>
    <t>-1,594,221.86 = Alif -1,567,562.65 (RoU derecognition added back by the client) + VH -26,659.22 (client RoU double count). Offset in investing (+1,594,219.70).  [Client ref: 'CF'!O8+O9]</t>
  </si>
  <si>
    <t>Agreed — no variance (ties to client within ±SAR 0.01). Finance cost is added back in operating activities.  [Client ref: 'CF'!O14]</t>
  </si>
  <si>
    <t>-883,967.92: Alif opening-balance basis (audited 31-Dec-2025 EOSB vs TB opening balance), netted within working capital.  [Client ref: 'CF'!O12]</t>
  </si>
  <si>
    <t>SAR 0.05 rounding (the client starts from the rounded audited opening balance).  [Client ref: 'CF'!O13+O23]</t>
  </si>
  <si>
    <t>+276.00: the client adds back the VH 700074 inventory adjustment (-276.00) as a separate non-cash item; the master includes it in the inventories movement.  [Client ref: 'CF'!O10+O11]</t>
  </si>
  <si>
    <t>-2,477,913.74 = D&amp;A basis -1,594,221.86 + EOSB opening basis -883,967.92 + inventory provision +276.00 + rounding.  [Client ref: 'CF'!O16+O23]</t>
  </si>
  <si>
    <t>-274.83: VH inventory adjustment presentation (-276.00) plus rounding.  [Client ref: 'CF'!O18]</t>
  </si>
  <si>
    <t>-1,667,351.53 (Alif): opening-balance basis. Audited 31-Dec-2025 trade receivables SAR 20,879,082 vs TB opening SAR 19,211,730.47 (audit gross-up). Offset by the prepayments, payables and EOSB lines; net working-capital effect nil.  [Client ref: 'CF'!O21]</t>
  </si>
  <si>
    <t>-4,857,328.47 (Alif): opening-balance basis. Audited 31-Dec-2025 prepayments SAR 10,606,799 vs TB opening SAR 5,749,470.53. Offset within working capital.  [Client ref: 'CF'!O19]</t>
  </si>
  <si>
    <t>+7,408,647.69 (Alif): opening-balance basis. Audited 31-Dec-2025 payables SAR 23,620,151 vs TB opening SAR 16,211,503.31. Combined with receivables (-1,667,351.53), prepayments (-4,857,328.47) and EOSB (-883,967.92) the net is SAR -0.23, i.e. no cash effect.  [Client ref: 'CF'!O24]</t>
  </si>
  <si>
    <t>-93,209,397.82: related-party balance movements (Alif 85.72m + VH 7.49m) are in operating activities in the client file and in financing in the master. No IC cash-flow elimination is needed because the IC balances net within this line.  [Client ref: 'CF'!O22+O20]</t>
  </si>
  <si>
    <t>-94,803,619.79 = related-party funding moved to financing -93,209,397.82 + RoU/D&amp;A basis -1,594,221.86 + rounding.  [Client ref: 'CF'!O26]</t>
  </si>
  <si>
    <t>-8,525,825.09 = Alif -8,880,146.98 + VH +354,321.89 (finance cost paid assumption). Offset in the Murabaha movement.  [Client ref: 'CF'!O28]</t>
  </si>
  <si>
    <t>Agreed — no variance (ties to client within ±SAR 0.01).  [Client ref: 'CF'!O29+O30+O31]</t>
  </si>
  <si>
    <t>-103,329,444.89 = related-party funding -93,209,397.82 + finance cost paid -8,525,825.09 + D&amp;A/RoU basis -1,594,221.86 + rounding.  [Client ref: 'CF'!O33]</t>
  </si>
  <si>
    <t>+1,594,219.70 = Alif +1,567,560.53 + VH +26,659.17.  [Client ref: 'CF'!O36+O37+O38]</t>
  </si>
  <si>
    <t>+1,594,219.70: see capex.  [Client ref: 'CF'!O40]</t>
  </si>
  <si>
    <t>+8,525,825.46 = Alif +8,880,147.30 + VH -354,321.84. Offsets finance cost paid.  [Client ref: 'CF'!O47]</t>
  </si>
  <si>
    <t>+93,209,398.10: related-party funding presented in financing. The IC balances (270005/330004) net within this line, so no separate IC cash-flow elimination is needed (CF_Consol H48:H50 = nil).  [Client ref: 'CF'!O46]</t>
  </si>
  <si>
    <t>Agreed within SAR 0.05 (rounding). Lease liability net movement, incl. the June-2026 derecognition.  [Client ref: 'CF'!O43+O44]</t>
  </si>
  <si>
    <t>Agreed — no variance (ties to client within ±SAR 0.01). No capital movements YTD.  [Client ref: 'CF'!O45]</t>
  </si>
  <si>
    <t>+101,735,223.55 = related-party funding +93,209,398.10 + Murabaha +8,525,825.46 - rounding.  [Client ref: 'CF'!O49]</t>
  </si>
  <si>
    <t>SAR -1.63 rounding (client CF check difference 0.71). Classification differences net to nil.  [Client ref: 'CF'!O51]</t>
  </si>
  <si>
    <t>SAR +2.34: rounded audited opening cash (SAR 3,816,488) vs TB (SAR 3,816,490.34).  [Client ref: 'CF'!O53]</t>
  </si>
  <si>
    <t>SAR +0.71: master ties exactly to the consolidated BS (SAR 32,797,625.57); client CF check difference of 0.71.  [Client ref: 'CF'!O56]</t>
  </si>
  <si>
    <t>Basis of preparation: client figures are copied (unchanged) from FS report 202609 IFRS.xlsx; master figures recalculate live from TB_Input_Alif / TB_Input_VH via Map. All variances are presentation/classification or rounding items. Net result, total assets and total equity of the standalone entities agree to SAR 0.01; consolidated equity differs only by the disclosed SAR 19,243.86 intercompany difference.</t>
  </si>
  <si>
    <t>ALIF GROUP — AUTOMATED IFRS FINANCIAL STATEMENT &amp; HISTORICAL ANALYSIS WORKBOOK</t>
  </si>
  <si>
    <t>Alif standalone · VH standalone · Consolidated — nine months ended 30 September 2026 | Engine v1.2, final 17-Oct-2026 (COGS indirect salaries audit + client side-by-side)</t>
  </si>
  <si>
    <t>HOW THIS WORKBOOK WORKS (plug-and-play)</t>
  </si>
  <si>
    <t>1. Paste every numeric September YTD GL row from FS report 202609 IFRS.xlsx into TB_Input_Alif / TB_Input_VH (A–F, row 3 onward), including repeated IDs and manual journal rows; G–J classify via Map.</t>
  </si>
  <si>
    <t>2. IS_/BS_/CF_ statements recalculate from raw TB inputs and Map; dynamic SUMIFS aggregate all rows for each account/statement line.</t>
  </si>
  <si>
    <t>3. New GL IDs show ⚠ UNMAPPED in G–J and Checks section 2; add the ID to Map. The Sep-26 refresh now has zero unmapped rows.</t>
  </si>
  <si>
    <t>4. The historical sheets (YearlyAlif, BS, P&amp;L_2014-2025, Charts_BS, Charts_P&amp;L) carry a new "Sep-26 YTD" column fed by TB_Input_Alif; all trend charts now run Y2014 → Sep-26 YTD. Charts_YTD adds the entity dashboard.</t>
  </si>
  <si>
    <t>SHEET MAP</t>
  </si>
  <si>
    <t>README · Checks — control panel: TB integrity, mapping coverage, BS equilibrium, cross-statement ties, consolidation info · FS_SideBySide_Comparison — client vs engine IS/BS/CFS comparison with justifications · Problem_Areas_&amp;_Solutions — management analysis</t>
  </si>
  <si>
    <t>IS_/BS_/CF_Consol — consolidated IFRS statements with Alif | VH | Eliminations | Consolidated columns</t>
  </si>
  <si>
    <t>IS_/BS_/CF_Alif, IS_/BS_/CF_VH — standalone IFRS statements (BS includes 1-Jan-26 opening column)</t>
  </si>
  <si>
    <t>14. TB_Input_Alif / TB_Input_VH — raw September YTD rows from FS report 202609 IFRS.xlsx (source fields A–F: GL ID, description, OB, debit, credit, CB; repeated account IDs are retained).</t>
  </si>
  <si>
    <t>YearlyAlif · BS · P&amp;L_2014-2025 · Charts_BS · Charts_P&amp;L · Charts_YTD — historical analysis 2014–2025 + YTD</t>
  </si>
  <si>
    <t>ALIF_Y2014…ALIF_Y2025 · P&amp;L · CF · Notes · Map — legacy/history (P&amp;L, CF, Notes kept hidden as in the source file)</t>
  </si>
  <si>
    <t>SIGN CONVENTIONS</t>
  </si>
  <si>
    <t>TB raw sign: debit-positive / credit-negative. Statements display: revenue positive, expenses positive (subtracted in subtotals), assets positive, liabilities &amp; equity positive.</t>
  </si>
  <si>
    <t>YTD profit/loss = closing (CB) − opening (OB) movement of IS accounts; balance sheet = closing balances; current-period result flows to equity. Any unclosed opening P&amp;L per TB (VH SAR 0.004 rounding) is carried in retained earnings, so the BS difference is exactly 0.00 SAR.</t>
  </si>
  <si>
    <t>INTERCOMPANY ELIMINATIONS (consolidation)</t>
  </si>
  <si>
    <t>Auto-eliminations on BS_Consol: Alif account 270005 due to VH (SAR 1,625,866.01) and VH account 330004 due from Alif (SAR 1,606,622.15), based on Sep-26 closing TBs.</t>
  </si>
  <si>
    <t>The intercompany balances differ by SAR 19,243.86. The unreconciled amount is disclosed as a consolidation equity line (not plugged). Investigate before year-end.</t>
  </si>
  <si>
    <t>IC trading (sales/costs): none identifiable in the TBs; if it exists, enter amounts in the elimination tables on IS_Consol / CF_Consol (blue input cells).</t>
  </si>
  <si>
    <t>CASH FLOW NOTES (indirect method, fully formula-driven)</t>
  </si>
  <si>
    <t>Zakat paid and finance costs paid are assumed equal to the period charge unless accrued via payables (usual TB-derived CF simplification). Capex = Δ(PPE net) + Δ(RoU net) + D&amp;A. Every Map BS line is enumerated, so closing cash ties to the BS by construction.</t>
  </si>
  <si>
    <t>DATA QUALITY ITEMS FLAGGED (see Checks for live values)</t>
  </si>
  <si>
    <t>Sep-26 YTD inputs refreshed from FS report 202609 IFRS.xlsx: 431 Alif and 265 VH numeric GL rows, including manual entries and repeated account IDs. Opening P&amp;L balances are nil other than VH rounding of SAR 0.004.</t>
  </si>
  <si>
    <t>Checks §3: the balance-sheet difference should display 0.00 SAR for Alif, VH and Consolidated; row 17 (unexplained difference) must PASS within ±0.01 SAR.</t>
  </si>
  <si>
    <t>• Historical legacy BS check column shows small pre-existing residuals (e.g. SAR 1.57m in Y2025) inherited from the source file — retained unchanged.</t>
  </si>
  <si>
    <t>• Map strings kept verbatim for continuity (e.g. "Tade payables and Accuals...", trailing spaces); statements show clean labels and match via the grey Map-key column H.</t>
  </si>
  <si>
    <t>GL code 270005 has different entity descriptions (Vision Horzon in Alif / AIMS Investment in VH); mapping is by code. Account 800001 follows the Sep-26 IFRS export and is classified to G&amp;A salaries and wages.</t>
  </si>
  <si>
    <t>The 18 prior mapping additions in Map rows 275–292 remain; this refresh adds 520049, 520050 and 700080 in rows 293–295. Account 420002 is mapped to Other Income (nil YTD).</t>
  </si>
  <si>
    <t>UPDATE CHECKLIST (each month)</t>
  </si>
  <si>
    <t>□ Paste TBs → □ Checks all PASS → □ review IS/BS/CF → □ update IC elimination inputs if balances exist → □ extend chart YTD labels if a new period column is added.</t>
  </si>
  <si>
    <t>Colour legend:  BLUE cells = user input   ·   BLACK cells = formula   ·   yellow fill = warning/input zone</t>
  </si>
  <si>
    <t>VERSION 1.2 — 17-OCT-2026 CHANGES</t>
  </si>
  <si>
    <t>• Step 1 COGS audit: factory indirect-labour GLs 600001, 600035, 600041, 600044 mapped to IS / Cost of sales / Overhead - Labor Cost (Indirect Salaries). 600035 corrected from "Overhead - Rent Labor" (nil net YTD 2026, no value change). Comparatives re-presented consistently (IAS 1.41): on P&amp;L_2014-2025, casual labour of SAR 2,924,648.83 (2024) and SAR 3,329,353.63 (2025) moves from Overhead - Rent Labor to Overhead - Labor Cost; total cost of sales and gross profit unchanged. Admin salaries 700001 remain in G&amp;A. Locked by Checks section 6.</t>
  </si>
  <si>
    <t>• FS_SideBySide_Comparison: line-by-line IS / BS / CFS comparison (Alif, VH, Consolidated) of the client reference file vs this engine, with a justification for every variance.</t>
  </si>
  <si>
    <t>• Problem_Areas_&amp;_Solutions: management matrix of data challenges, accounting causes, implemented solutions and operational controls (areas 1-10).</t>
  </si>
  <si>
    <t>• Retained earnings now include unclosed opening P&amp;L per TB, so the BS difference is 0.00 SAR for Alif, VH and Consolidated. Checks section 7 ties net result, total assets, equity and cash to the client file.</t>
  </si>
  <si>
    <t>CONTROL &amp; INTEGRITY CHECKS</t>
  </si>
  <si>
    <t>All checks recalculate automatically. PASS requires the difference column to be ±0.01.</t>
  </si>
  <si>
    <t>Check</t>
  </si>
  <si>
    <t>Alif</t>
  </si>
  <si>
    <t>VH</t>
  </si>
  <si>
    <t>Consolidated</t>
  </si>
  <si>
    <t>Status</t>
  </si>
  <si>
    <t>How computed / what to do on failure</t>
  </si>
  <si>
    <t>1. Trial balance integrity</t>
  </si>
  <si>
    <t>Σ of closing balances (CB) = 0</t>
  </si>
  <si>
    <t>Raw debit–credit equality of the pasted TB (txtFiscalPerCB). If not nil, the TB export itself is out of balance.</t>
  </si>
  <si>
    <t>Σ of opening balances (OB) = 0</t>
  </si>
  <si>
    <t>Raw debit–credit equality of opening balances (txtFiscalPerOB).</t>
  </si>
  <si>
    <t>Σ(CB) − Σ(OB) − Σ(Dr − Cr) = 0</t>
  </si>
  <si>
    <t>Movement arithmetic of the TB export (CB = OB + Dr − Cr).</t>
  </si>
  <si>
    <t>2. Mapping coverage (Map = single source of truth)</t>
  </si>
  <si>
    <t>Rows in TB with NO Map classification</t>
  </si>
  <si>
    <t>Must be 0. If &gt; 0: add the GL account to the Map sheet (columns A–F); statements include it automatically.</t>
  </si>
  <si>
    <t>Σ of balances on unmapped rows</t>
  </si>
  <si>
    <t>Value leaking out of the statements while unmapped rows exist.</t>
  </si>
  <si>
    <t>3. Balance sheet equilibrium  (Total assets = Total equity + liabilities)</t>
  </si>
  <si>
    <t>Total assets</t>
  </si>
  <si>
    <t>Per statement of financial position.</t>
  </si>
  <si>
    <t>Total equity and liabilities</t>
  </si>
  <si>
    <t>Difference (assets − equity&amp;liabilities)</t>
  </si>
  <si>
    <t>Must be 0.00 SAR for Alif, VH and Consolidated; no balance-sheet plug is used.</t>
  </si>
  <si>
    <t>Unclosed opening P&amp;L per TB (Σ IS opening balances) — now carried in retained earnings</t>
  </si>
  <si>
    <t>Informational. Since 17-Oct-2026 BS_Alif/BS_VH retained earnings include this TB residual (VH SAR 0.004 rounding), so the BS balances exactly with no plug.</t>
  </si>
  <si>
    <t>Unexplained difference (Difference − Expected residual)</t>
  </si>
  <si>
    <t>MUST BE NIL (±0.01 SAR). Equals the row-15 difference because the opening P&amp;L residual is now included in retained earnings. Any residual means unmapped or misclassified GLs.</t>
  </si>
  <si>
    <t>4. Cross-statement ties</t>
  </si>
  <si>
    <t>TCI per IS = −Σ(IS TB movement)</t>
  </si>
  <si>
    <t>Every IS-mapped account must flow into total comprehensive income — nil means full coverage.</t>
  </si>
  <si>
    <t>Closing cash per CF − cash per BS</t>
  </si>
  <si>
    <t>Cash flow statement ties to the balance sheet by construction (every Map BS line is enumerated).</t>
  </si>
  <si>
    <t>5. Consolidation information</t>
  </si>
  <si>
    <t>Intercompany balances eliminated (BS) — net amount</t>
  </si>
  <si>
    <t>Alif a/c 270005 due to VH (SAR 1,625,866.01) less VH a/c 330004 due from Alif (SAR 1,606,622.15) = net elimination in Due to RP.</t>
  </si>
  <si>
    <t>Unreconciled IC difference in consolidated equity</t>
  </si>
  <si>
    <t>Disclosed as its own equity line — investigate/clear before year-end audit.</t>
  </si>
  <si>
    <t>Intercompany P&amp;L eliminated (manual input)</t>
  </si>
  <si>
    <t>Enter on IS_Consol elimination table when IC trading exists (none identified in Sep-26 TBs).</t>
  </si>
  <si>
    <t>6. Factory indirect salaries — COGS classification (Step 1 audit, 17-Oct-2026)</t>
  </si>
  <si>
    <t>Map: target factory-labour GLs (600001/600035/600041/600044) NOT mapped to IS · Cost of sales · Overhead - Labor Cost</t>
  </si>
  <si>
    <t>Must be 0. Map is shared by both entities, so the same value shows in all columns. Verifies FS Group = IS, SubGroup = Cost of sales, FS Line = Overhead - Labor Cost (Indirect Salaries).</t>
  </si>
  <si>
    <t>TB rows of 600001/600035/600041/600044 not classified to COGS Overhead - Labor Cost</t>
  </si>
  <si>
    <t>Row-level test on the pasted TB (columns G-I). Must be 0.</t>
  </si>
  <si>
    <t>Factory (6000xx) GL rows presented in G&amp;A "Salaries and wages"</t>
  </si>
  <si>
    <t>Must be 0. Factory payroll must not be presented below gross profit.</t>
  </si>
  <si>
    <t>Admin salaries 700001 rows NOT in General &amp; Administrative</t>
  </si>
  <si>
    <t>Must be 0. Administrative salaries (700001) stay in G&amp;A below gross profit / above operating profit.</t>
  </si>
  <si>
    <t>IS "Overhead - Labor Cost" − Σ TB movement of all COGS Overhead - Labor Cost GLs</t>
  </si>
  <si>
    <t>Indirect salaries flow fully into COGS (above gross profit); the consolidated column also tests IS_Consol linkage.</t>
  </si>
  <si>
    <t>Factory indirect salaries in COGS (SAR, informational)</t>
  </si>
  <si>
    <t>INFO</t>
  </si>
  <si>
    <t>Overhead - Labor Cost line on IS_Alif / IS_VH / IS_Consol (row 16, inside Total cost of sales, row 21).</t>
  </si>
  <si>
    <t>Administrative salaries &amp; wages in G&amp;A (SAR, informational)</t>
  </si>
  <si>
    <t>G&amp;A Salaries and wages line (row 35, below gross profit, above operating income).</t>
  </si>
  <si>
    <t>7. Tie-out to client reference file (FS report 202609 IFRS) — see FS_SideBySide_Comparison</t>
  </si>
  <si>
    <t>Net profit / (loss): master − client</t>
  </si>
  <si>
    <t>Must be nil. All IS presentation differences are inside operating costs and net to zero.</t>
  </si>
  <si>
    <t>Total assets: master − client</t>
  </si>
  <si>
    <t>Must be nil.</t>
  </si>
  <si>
    <t>Total equity: master − client (consolidated = IC difference)</t>
  </si>
  <si>
    <t>Consolidated column excludes the disclosed IC consolidation difference (BS_Consol!F30, SAR 19,243.86).</t>
  </si>
  <si>
    <t>Closing cash: master − client (client rounding tolerance ±1.00)</t>
  </si>
  <si>
    <t>The client CF carries rounding check differences (0.46 / 0.25 / 0.71). The master closing cash ties exactly to its BS (Checks row 20).</t>
  </si>
  <si>
    <t>Legend: blue cells = user input · black = formula · ⚠ UNMAPPED = extend the Map sheet. No statement line contains a hardcoded adjustment.</t>
  </si>
  <si>
    <t>Updated 17-Oct-2026: sections 6-7 added (COGS indirect salaries audit; client tie-out). Unclosed opening P&amp;L is now carried in retained earnings, so the BS difference is 0.00 for all entities.</t>
  </si>
  <si>
    <t>TB COMPARISON &amp; JUSTIFICATION — SEPTEMBER 2026</t>
  </si>
  <si>
    <t>Old = original master before refresh · Revised = FS report 202609 IFRS.xlsx YTD to 30-Sep-2026 · SAR</t>
  </si>
  <si>
    <t>Account Head</t>
  </si>
  <si>
    <t>Entity</t>
  </si>
  <si>
    <t>Old Balance (SAR)</t>
  </si>
  <si>
    <t>Revised Balance (SAR)</t>
  </si>
  <si>
    <t>Difference (SAR)</t>
  </si>
  <si>
    <t>Justification / Remarks</t>
  </si>
  <si>
    <t>Sales Revenue</t>
  </si>
  <si>
    <t>The prior model omitted multi-line credits for SALES REVENUE (410001); all September YTD postings, duplicate IDs and manual sales entries are now aggregated. Alif ties to SAR 126.47m.</t>
  </si>
  <si>
    <t>Cost of sales / raw materials</t>
  </si>
  <si>
    <t>Revised total cost of sales; raw materials remain included. The three specified outbound freight accounts are excluded from COGS after IFRS reclassification.</t>
  </si>
  <si>
    <t>Freight &amp; Shipping Expenses (S&amp;D)</t>
  </si>
  <si>
    <t>Old balance is the specified GL accounts' old YTD movement (then presented in COGS); revised balance is presented below gross profit in Selling &amp; Distribution.</t>
  </si>
  <si>
    <t>General &amp; Administrative Expenses</t>
  </si>
  <si>
    <t>Map-driven G&amp;A total. Account 800001 is classified to G&amp;A salaries and wages in the September IFRS report; 700080 is mapped to Back office Support.</t>
  </si>
  <si>
    <t>Net Income</t>
  </si>
  <si>
    <t>Recomputed from refreshed YTD movements and all mapped GL rows. Freight reclassification is presentation-only; account 800001 follows the source IFRS classification.</t>
  </si>
  <si>
    <t>CONTROL TIE-OUTS &amp; DATA COMPLETENESS</t>
  </si>
  <si>
    <t>Control</t>
  </si>
  <si>
    <t>Calculated</t>
  </si>
  <si>
    <t>Source / Expected</t>
  </si>
  <si>
    <t>Expected Value</t>
  </si>
  <si>
    <t>Variance</t>
  </si>
  <si>
    <t>Alif numeric GL rows imported</t>
  </si>
  <si>
    <t>ALIF_YtdSep numeric IDs</t>
  </si>
  <si>
    <t>VH numeric GL rows imported</t>
  </si>
  <si>
    <t>VH_YtdSep numeric IDs</t>
  </si>
  <si>
    <t>Alif YTD sales</t>
  </si>
  <si>
    <t>P&amp;L_2026(Mo)!AY8</t>
  </si>
  <si>
    <t>Consolidated YTD sales</t>
  </si>
  <si>
    <t>P&amp;L_2026(Mo)!AX8</t>
  </si>
  <si>
    <t>Unmapped GL rows</t>
  </si>
  <si>
    <t>Required</t>
  </si>
  <si>
    <t>Alif balance-sheet difference</t>
  </si>
  <si>
    <t>Required (±0.01 SAR)</t>
  </si>
  <si>
    <t>VH balance-sheet difference</t>
  </si>
  <si>
    <t>Consolidated balance-sheet difference</t>
  </si>
  <si>
    <t>KEY RECTIFICATION NOTES</t>
  </si>
  <si>
    <t>IFRS freight reclassification: GL accounts 700060, 700067 and 700077 are reclassified from COGS to Selling and Marketing / S&amp;D under IFRS on a separate line below Gross Profit. Account 700047 remains mapped to COGS freight.</t>
  </si>
  <si>
    <t>Multi-line revenue correction: the prior model omitted multi-line credits for SALES REVENUE (410001). All numeric rows from ALIF_YtdSep / VH_YtdSep are now imported, including repeated 410001 IDs and manual add/remove sales journals; Alif YTD sales are SAR 126,467,923.88.</t>
  </si>
  <si>
    <t>Consolidated sales tie-out: revised IS_Consol sales equal SAR 170,911,675.61, matching FS report 202609 IFRS.xlsx, P&amp;L_2026(Mo)!AX8 (variance &lt; SAR 0.01).</t>
  </si>
  <si>
    <t>Mapping completeness: new IDs 520049, 520050 and 700080 were added to Map. 520050 uses the existing Overhead - Labor Cost statement line; account 800001 follows the source IFRS report's G&amp;A classification. No balancing plug is used.</t>
  </si>
  <si>
    <t>Factory indirect salaries (17-Oct-2026): 600001, 600035, 600041 and 600044 are mapped to COGS "Overhead - Labor Cost" (Indirect Salaries) above gross profit; 600035 was corrected from "Overhead - Rent Labor". Administrative salaries 700001 stay in G&amp;A. Client comparison: see FS_SideBySide_Comparison.</t>
  </si>
  <si>
    <t>PROBLEM AREAS &amp; SOLUTIONS — MANAGERIAL ANALYSIS (Alif / VH IFRS reporting engine, Sep-2026 close)</t>
  </si>
  <si>
    <t>Purpose: summarise the data problems, accounting fixes and operational controls found while reconciling the master engine to the client reference file (FS report 202609 IFRS.xlsx). Areas 1-4 are the core rectifications; areas 5-10 are further findings from the side-by-side comparison. Live check values: see Checks sections 2, 3, 6 and 7.</t>
  </si>
  <si>
    <t>#</t>
  </si>
  <si>
    <t>Module / Area</t>
  </si>
  <si>
    <t>Identified Problem / Risk</t>
  </si>
  <si>
    <t>Technical / Accounting Cause</t>
  </si>
  <si>
    <t>Implemented Solution</t>
  </si>
  <si>
    <t>Quantified Impact / Evidence (SAR)</t>
  </si>
  <si>
    <t>Operational Control &amp; Status</t>
  </si>
  <si>
    <t>CORE RECTIFICATIONS (required)</t>
  </si>
  <si>
    <t>1</t>
  </si>
  <si>
    <t>Area 1: Unmapped GL Account Drift (TB copy-paste → Map)</t>
  </si>
  <si>
    <t>New GL codes created in the ERP during the month (e.g. 520049, 520050, 700080) show "⚠ UNMAPPED" in TB_Input G-J when the monthly TB is pasted. Their balances then fall out of the IS/BS, so the BS does not balance and the P&amp;L is misstated, with nothing obvious to warn the user.</t>
  </si>
  <si>
    <t>Statement lines are built with SUMIFS on the Map-derived FS Line (TB col I). A GL ID that is missing from Map!A returns the IFERROR fallback "⚠ UNMAPPED", which matches no statement line, so its balance is excluded. The chart of accounts changes faster than the Map is maintained.</t>
  </si>
  <si>
    <t>Automated Map-sheet extension: the INDEX/MATCH lookups cover Map!A2:A400, so a new ID appended to Map flows through to every statement with no formula changes. Checks tab alert: Checks!B10:D10 counts ⚠ UNMAPPED rows and B11:D11 sums their balances; TB_Input!M2 flags unmapped rows with a balance. The Sep-26 additions are in Map rows 293-295.</t>
  </si>
  <si>
    <t>520049 SAR 598.80 + 700080 SAR 130,801.58 (520050 nil net) = SAR 131,400.38 that would have leaked. Now: unmapped rows = 0 (Checks!D10), unmapped balance = 0.00 (Checks!D11).</t>
  </si>
  <si>
    <t>Monthly: after pasting the TB, Checks section 2 must show 0 / PASS before the statements are reviewed. Owner: GL accountant. Status: CLOSED for Sep-26; control in place.</t>
  </si>
  <si>
    <t>2</t>
  </si>
  <si>
    <t>Area 2: Sales Revenue Truncation (multi-row 410001)</t>
  </si>
  <si>
    <t>SALES REVENUE (410001) appears on many rows in the ERP export (multi-line credits, repeated IDs, manual add/remove sales journals). A lookup that returns the first match (VLOOKUP/INDEX-MATCH) under-reports revenue badly.</t>
  </si>
  <si>
    <t>First-match lookups stop at the first 410001 row. The ERP export does not aggregate by account and manual sales JVs post to the same ID, so a single-row model only captured SAR 5.81m of Alif sales.</t>
  </si>
  <si>
    <t>Full-column dynamic SUMIFS on raw TB rows: IS Sales = -SUMIFS(TB!F:F, TB!I:I,"Sales", TB!G:G,"IS") + SUMIFS(TB!C:C, …). Every row with the same FS Line is aggregated, whatever the number of rows or duplicate IDs. TB integrity checks (Checks section 1) confirm ΣCB = 0 and CB = OB + Dr − Cr.</t>
  </si>
  <si>
    <t>Alif 18 × 410001 rows aggregated: sales SAR 126,467,923.88 (was 5,810,727.40; +120,657,196.48). Consolidated SAR 170,911,675.61 = client P&amp;L_2026(Mo)!AX8 (variance 0.00).</t>
  </si>
  <si>
    <t>Paste ALL numeric rows (including duplicates and manual rows); never de-duplicate the TB. Row-count tie-outs are in TB_Comparison_Justification rows 23-24. Status: CLOSED.</t>
  </si>
  <si>
    <t>3</t>
  </si>
  <si>
    <t>Area 3: IFRS Freight vs. COGS Placement</t>
  </si>
  <si>
    <t>Outbound freight (freight-out local, export freight, drayage) was posted to COGS. This understates gross margin and makes GM% hard to compare with peers and budget.</t>
  </si>
  <si>
    <t>Under IAS 2.10/2.16(d), inventory cost covers only the costs of bringing goods to their present location and condition. Distribution and delivery to customers after the point of sale is a selling cost, so it belongs in S&amp;D below gross profit. The GL range 7000xx mixes selling and production items.</t>
  </si>
  <si>
    <t>Reclassification to S&amp;D under IFRS: Map lines for 700060, 700067 and 700077 are set to "Selling and Marketing / Freight and shipping expenses (S&amp;D)" on a separate IS line below gross profit. Inbound/production-related freight (700068, 700047 detention) stays in COGS freight.</t>
  </si>
  <si>
    <t>700067 SAR 6,930,832.17 + 700077 SAR 769,080.27 moved out of COGS (700060 SAR 1,697,274.54 already S&amp;D). Alif GP: master -7,247,188.21 vs client -14,461,403.28; GM% -5.73% vs -11.43%. EBITDA and net result are unchanged.</t>
  </si>
  <si>
    <t>Any new freight GL must be tagged inbound (COGS) or outbound (S&amp;D) when it is created. Report GM% on the IFRS basis consistently in management packs. Status: CLOSED.</t>
  </si>
  <si>
    <t>4</t>
  </si>
  <si>
    <t>Area 4: Factory Indirect Labor in COGS</t>
  </si>
  <si>
    <t>Factory supervisory and indirect floor labour (supervisors, casual labour, indirect food, factory business trips) could fall outside COGS or be mixed with admin salaries. That would overstate gross margin and understate the absorbed production overhead.</t>
  </si>
  <si>
    <t>IAS 2.12 requires fixed and variable production overheads, including indirect labour, in the cost of conversion. The 6000xx range was partly mapped to "Overhead - Rent Labor" (600035), and manual JVs move 600002-600045 balances into 600001 "Indirect Salaries", so a mis-mapped account would carry the cost out of the labour line.</t>
  </si>
  <si>
    <t>Explicit COGS "Overhead - Labor Cost" mapping: 600001, 600035, 600041 and 600044 are set to IS / Cost of sales / Overhead - Labor Cost (Notes: Indirect Salaries); 600035 corrected from "Overhead - Rent Labor". The IS line is relabelled "Overhead - Labor Cost (factory indirect salaries)". Admin salaries 700001 stay in G&amp;A below gross profit. New Checks section 6 locks this in.</t>
  </si>
  <si>
    <t>Factory indirect salaries in COGS: Alif SAR 5,969,397.02, VH SAR 1,078,114.31, Consolidated SAR 7,047,511.33 (client 6,991,304.70; +56,206.63 = 600044/600043 factory costs the client shows as "Overhead", still in COGS). Admin salaries in G&amp;A: Alif SAR 11,195,522.34.</t>
  </si>
  <si>
    <t>Checks section 6 rows must PASS every month. Payroll to tag new factory cost centres to the 6000xx range. Status: CLOSED.</t>
  </si>
  <si>
    <t>ADDITIONAL FINDINGS FROM THE SIDE-BY-SIDE COMPARISON</t>
  </si>
  <si>
    <t>5</t>
  </si>
  <si>
    <t>Intercompany elimination (consolidation)</t>
  </si>
  <si>
    <t>The Alif ↔ VH current accounts do not agree, and the client consolidated BS adds the two entities together with no IC elimination.</t>
  </si>
  <si>
    <t>Alif a/c 270005 due to VH SAR 1,625,866.01 vs VH a/c 330004 due from Alif SAR 1,606,622.15. The difference is likely cut-off or in-transit items. IFRS 10.B86(c) requires intragroup balances to be eliminated in full.</t>
  </si>
  <si>
    <t>Automatic elimination table on BS_Consol (H53:H54) linked to the TB accounts. The unreconciled SAR 19,243.86 is disclosed as a separate "Consolidation difference" equity line (no P&amp;L plug). IS/CF IC tables are ready for IC trading entries.</t>
  </si>
  <si>
    <t>Consolidated equity +19,243.86 and Due to RP -19,243.86 vs client. No IC trading found in the Sep-26 TBs.</t>
  </si>
  <si>
    <t>Month-end IC confirmation between the Alif and VH accountants; clear the difference before the year-end audit. Status: OPEN (reconciliation).</t>
  </si>
  <si>
    <t>6</t>
  </si>
  <si>
    <t>S&amp;D vs G&amp;A split: by nature vs by department</t>
  </si>
  <si>
    <t>The client builds S&amp;D from a cost-centre pivot (GLExpenses_S&amp;M). The master classifies by GL nature. As a result S&amp;D/G&amp;A subtotals differ even though EBITDA agrees.</t>
  </si>
  <si>
    <t>The TB export has no cost-centre dimension, so the master cannot reproduce the departmental carve-out (sales salaries 3.77m, rent 0.40m, utilities 0.15m, etc.).</t>
  </si>
  <si>
    <t>Differences are fully reconciled and justified line by line in FS_SideBySide_Comparison Section A. EBITDA agrees to SAR 0.00 for Alif.</t>
  </si>
  <si>
    <t>S&amp;D carve-out SAR 4,543,999.03; buffet by nature SAR 131,192.37.</t>
  </si>
  <si>
    <t>Decision needed: (a) add a cost-centre column to the TB export, or (b) accept by-nature presentation for IFRS. Status: OPEN (policy decision).</t>
  </si>
  <si>
    <t>7</t>
  </si>
  <si>
    <t>VH machine depreciation presentation (700052)</t>
  </si>
  <si>
    <t>VH machine depreciation is in COGS in the client file but below EBITDA in the master. VH gross profit and EBITDA differ by SAR 414,375.81.</t>
  </si>
  <si>
    <t>The Map treats 7000xx depreciation GLs as period costs. For production machinery, IAS 2.12 requires depreciation in production overhead (COGS), as is already done for Alif 600029.</t>
  </si>
  <si>
    <t>Not changed in the engine (outside the approved scope). Flagged and justified in the comparison. Recommendation: re-map 700052 to "Depreciation - Machines" once the asset register confirms the machines are used in production.</t>
  </si>
  <si>
    <t>VH COGS -414,375.81 / EBITDA +414,375.81 vs client; net result unaffected.</t>
  </si>
  <si>
    <t>Fixed-asset accountant to confirm asset usage; update Map row for 700052. Status: OPEN (recommendation).</t>
  </si>
  <si>
    <t>8</t>
  </si>
  <si>
    <t>Cash-flow classification differences</t>
  </si>
  <si>
    <t>Related-party funding, finance cost paid and the RoU derecognition are classified differently, so operating cash flow differs by about SAR 96m (Alif) although the net change in cash agrees.</t>
  </si>
  <si>
    <t>IAS 7.17: shareholder/group funding is a financing activity. The master's TB-based simplification assumes finance cost paid = charge. The client rolls Murabaha profit into the loan balance. The June-2026 lease modification is non-cash (IAS 7.43).</t>
  </si>
  <si>
    <t>Master presents RP funding in financing and finance cost paid in operating. All differences are explained line by line in Section C. Net change in cash agrees within SAR 1.63 (client rounding).</t>
  </si>
  <si>
    <t>RP funding Alif 85.72m / VH 7.49m; finance cost paid 8.88m (Alif); RoU 1.57m.</t>
  </si>
  <si>
    <t>Recommendation: add a non-cash lease adjustment row and a finance-cost-paid schedule from the Murabaha statements. Status: OPEN (enhancement).</t>
  </si>
  <si>
    <t>9</t>
  </si>
  <si>
    <t>Opening balances: audited FS vs TB opening</t>
  </si>
  <si>
    <t>The client CF uses the audited 31-Dec-2025 balance sheet as the opening position. The master uses TB opening balances. Individual working-capital movements therefore differ.</t>
  </si>
  <si>
    <t>Year-end audit reclassifications (receivables/prepayments gross-up of SAR 6.52m against payables/EOSB) were not booked back into the GL opening balances.</t>
  </si>
  <si>
    <t>Variances are explained and shown to net to nil (SAR -0.23) across receivables, prepayments, payables and EOSB in Section C.</t>
  </si>
  <si>
    <t>TR 1,667,351.53; prepayments 4,857,328.47; payables 7,408,647.69; EOSB 883,967.92.</t>
  </si>
  <si>
    <t>Book the audit reclassifications in the GL opening period (or keep a mapping override) so that TB OB = audited BS. Status: OPEN.</t>
  </si>
  <si>
    <t>10</t>
  </si>
  <si>
    <t>Balance-sheet equilibrium (VH rounding residual)</t>
  </si>
  <si>
    <t>VH and the consolidated BS showed a SAR 0.004 difference: the TB carries an unclosed opening P&amp;L rounding balance.</t>
  </si>
  <si>
    <t>The opening P&amp;L balance (Σ IS-account OB) was not included in retained earnings, so it appeared in neither the result nor equity.</t>
  </si>
  <si>
    <t>BS_Alif/BS_VH retained earnings now include the unclosed opening P&amp;L per TB (−SUMIFS of IS opening balances). This is the correct accounting home and avoids a plug. The difference is now exactly 0.00 for Alif, VH and Consolidated.</t>
  </si>
  <si>
    <t>Before: VH 0.004 / Consolidated 0.004. After: 0.00 / 0.00 / 0.00 (Checks row 15).</t>
  </si>
  <si>
    <t>Checks section 3 must show 0.00. Status: CLOSED.</t>
  </si>
  <si>
    <t>MANAGEMENT SUMMARY</t>
  </si>
  <si>
    <t>•</t>
  </si>
  <si>
    <t>Data challenges: the monthly ERP TB export is a raw, row-level dump (repeated account IDs, manual JVs, new GL codes, no cost-centre dimension). The engine must therefore aggregate with SUMIFS and must never rely on first-match lookups or a static account list.</t>
  </si>
  <si>
    <t>Accounting fixes: IFRS presentation rules are applied by Map: outbound freight in S&amp;D (IAS 2), factory indirect labour in COGS (IAS 2.12), intragroup balances eliminated (IFRS 10), and unclosed opening P&amp;L carried in retained earnings. Every fix is formula-driven and reversible in Map, with no hard-coded adjustments.</t>
  </si>
  <si>
    <t>Operational solutions: one control panel (Checks) with PASS/REVIEW flags for TB integrity, mapping coverage, BS equilibrium, cross-statement ties, COGS classification and the client tie-out; a side-by-side comparison that documents every presentation difference; and a monthly checklist in the README.</t>
  </si>
  <si>
    <t>Result for Sep-26: net result, total assets and closing cash agree to the client file for Alif, VH and Consolidated (within SAR 0.01; cash within client rounding of SAR 0.71). 0 unmapped GL rows. BS difference 0.00 SAR. Open items: #5 IC reconciliation, #6 S&amp;D policy, #7 VH 700052, #8 CF enhancements, #9 opening-balance alignment.</t>
  </si>
  <si>
    <t>ALIF GROUP — CONSOLIDATED (Alif + VH)</t>
  </si>
  <si>
    <t>Statement of Profit or Loss and Other Comprehensive Income (IFRS)</t>
  </si>
  <si>
    <t>Nine months ended 30 September 2026 (year-to-date, SAR)</t>
  </si>
  <si>
    <t>Eliminations</t>
  </si>
  <si>
    <t>FS Line (Map key)</t>
  </si>
  <si>
    <t>Sales</t>
  </si>
  <si>
    <t>Cost of sales</t>
  </si>
  <si>
    <t>Raw materials</t>
  </si>
  <si>
    <t xml:space="preserve">    Direct Labor</t>
  </si>
  <si>
    <t>Direct Labor</t>
  </si>
  <si>
    <t xml:space="preserve">    Freight expenses</t>
  </si>
  <si>
    <t>Freight expenses</t>
  </si>
  <si>
    <t>Customs duties and clearances</t>
  </si>
  <si>
    <t xml:space="preserve">    Depreciation — machinery and equipment</t>
  </si>
  <si>
    <t>Depreciation - Machines</t>
  </si>
  <si>
    <t xml:space="preserve">    Overhead - Consumables &amp; SP</t>
  </si>
  <si>
    <t>Overhead - Consumables &amp; SP</t>
  </si>
  <si>
    <t xml:space="preserve">    Overhead - Insurance</t>
  </si>
  <si>
    <t>Overhead - Insurance</t>
  </si>
  <si>
    <t xml:space="preserve">    Overhead - Labor Cost (factory indirect salaries)</t>
  </si>
  <si>
    <t>Overhead - Labor Cost</t>
  </si>
  <si>
    <t xml:space="preserve">    Overhead - R&amp;M</t>
  </si>
  <si>
    <t>Overhead - R&amp;M</t>
  </si>
  <si>
    <t xml:space="preserve">    Overhead - Rent</t>
  </si>
  <si>
    <t>Overhead - Rent</t>
  </si>
  <si>
    <t xml:space="preserve">    Overhead - Rent Labor</t>
  </si>
  <si>
    <t>Overhead - Rent Labor</t>
  </si>
  <si>
    <t xml:space="preserve">    Overhead - Utility</t>
  </si>
  <si>
    <t>Overhead - Utility</t>
  </si>
  <si>
    <t>GROSS PROFIT /(LOSS)</t>
  </si>
  <si>
    <t>Gross margin %</t>
  </si>
  <si>
    <t>Selling and distribution expenses</t>
  </si>
  <si>
    <t xml:space="preserve">    Advertising and promotion expenses</t>
  </si>
  <si>
    <t>Advertising and promotion expenses</t>
  </si>
  <si>
    <t xml:space="preserve">    Buffet expenses</t>
  </si>
  <si>
    <t>Buffet expenses</t>
  </si>
  <si>
    <t xml:space="preserve">    Commission expenses</t>
  </si>
  <si>
    <t>Commission expenses</t>
  </si>
  <si>
    <t xml:space="preserve">    Exhibitions</t>
  </si>
  <si>
    <t>Exhibitions</t>
  </si>
  <si>
    <t xml:space="preserve">    Freight and shipping expenses</t>
  </si>
  <si>
    <t>Freight and shipping expenses (S&amp;D)</t>
  </si>
  <si>
    <t>Total selling and distribution</t>
  </si>
  <si>
    <t>General and administrative expenses</t>
  </si>
  <si>
    <t xml:space="preserve">    Salaries and wages (administrative, incl. 700001)</t>
  </si>
  <si>
    <t>Salaries and wages</t>
  </si>
  <si>
    <t xml:space="preserve">    Utilities</t>
  </si>
  <si>
    <t>Utilities</t>
  </si>
  <si>
    <t xml:space="preserve">    Business travel</t>
  </si>
  <si>
    <t>Business travel</t>
  </si>
  <si>
    <t xml:space="preserve">    Training</t>
  </si>
  <si>
    <t>Training</t>
  </si>
  <si>
    <t xml:space="preserve">    IT expenses</t>
  </si>
  <si>
    <t>IT expenses</t>
  </si>
  <si>
    <t xml:space="preserve">    Govt license and fees (including modon)</t>
  </si>
  <si>
    <t>Govt license and fees (including modon)</t>
  </si>
  <si>
    <t xml:space="preserve">    Rent</t>
  </si>
  <si>
    <t>Rent</t>
  </si>
  <si>
    <t xml:space="preserve">    Back office support</t>
  </si>
  <si>
    <t xml:space="preserve">Back office Support </t>
  </si>
  <si>
    <t xml:space="preserve">    AIMS expenses</t>
  </si>
  <si>
    <t>AIMS expenses</t>
  </si>
  <si>
    <t>Total general and administrative</t>
  </si>
  <si>
    <t>Impairment losses on trade receivables (bad debts)</t>
  </si>
  <si>
    <t>Bad debts expense</t>
  </si>
  <si>
    <t>Inventory adjustment expense</t>
  </si>
  <si>
    <t>Inventory Adjustment Expense</t>
  </si>
  <si>
    <t>EBITDA margin %</t>
  </si>
  <si>
    <t>Depreciation and amortisation</t>
  </si>
  <si>
    <t>Depreciation expenses</t>
  </si>
  <si>
    <t>Pre-operating expenses amortised</t>
  </si>
  <si>
    <t>Pre-operating expenses</t>
  </si>
  <si>
    <t>Finance costs</t>
  </si>
  <si>
    <t>Finance cost</t>
  </si>
  <si>
    <t>Other income</t>
  </si>
  <si>
    <t>Other Income</t>
  </si>
  <si>
    <t>PROFIT /(LOSS) BEFORE ZAKAT</t>
  </si>
  <si>
    <t>Zakat expense</t>
  </si>
  <si>
    <t>Zakat expenses</t>
  </si>
  <si>
    <t>PROFIT /(LOSS) FOR THE PERIOD</t>
  </si>
  <si>
    <t>Net margin %</t>
  </si>
  <si>
    <t>Other comprehensive income:</t>
  </si>
  <si>
    <t>Actuarial gains /(losses) on end-of-service indemnities</t>
  </si>
  <si>
    <t>Actuarial gains and losses</t>
  </si>
  <si>
    <t>TOTAL COMPREHENSIVE INCOME /(LOSS) FOR THE PERIOD</t>
  </si>
  <si>
    <t>Intercompany elimination table — amounts are SUBTRACTED from the consolidated column (statement sign convention).</t>
  </si>
  <si>
    <t>FS Line</t>
  </si>
  <si>
    <t>Amount (span: 9M YTD)</t>
  </si>
  <si>
    <t>Scope</t>
  </si>
  <si>
    <t>Note</t>
  </si>
  <si>
    <t>Both</t>
  </si>
  <si>
    <t>IC sales Alif↔VH — none identified in TBs; enter YTD amount if applicable</t>
  </si>
  <si>
    <t>spare row — set FS Line text exactly as in Map column E</t>
  </si>
  <si>
    <t>spare row</t>
  </si>
  <si>
    <t>Statement of Financial Position (IFRS)</t>
  </si>
  <si>
    <t>As at 30 September 2026 (SAR)</t>
  </si>
  <si>
    <t>ASSETS</t>
  </si>
  <si>
    <t>Non-current assets</t>
  </si>
  <si>
    <t>Property, plant and equipment</t>
  </si>
  <si>
    <t>Right of use</t>
  </si>
  <si>
    <t>Due from RP</t>
  </si>
  <si>
    <t>Current assets</t>
  </si>
  <si>
    <t>Inventories</t>
  </si>
  <si>
    <t>Trade receivables</t>
  </si>
  <si>
    <t xml:space="preserve">    Prepaid expenses</t>
  </si>
  <si>
    <t>Prepaid expenses</t>
  </si>
  <si>
    <t>Cash and cash equivalents</t>
  </si>
  <si>
    <t>EQUITY AND LIABILITIES</t>
  </si>
  <si>
    <t>Equity</t>
  </si>
  <si>
    <t>Share capital</t>
  </si>
  <si>
    <t>Additional contribution from shareholders</t>
  </si>
  <si>
    <t>Statutory reserve</t>
  </si>
  <si>
    <t xml:space="preserve">    Retained earnings</t>
  </si>
  <si>
    <t>Retained earnings</t>
  </si>
  <si>
    <t xml:space="preserve">    Result for the period (per statement of profit or loss)</t>
  </si>
  <si>
    <t>(automatic: unreconciled IC balance difference, see elimination table &amp; README)</t>
  </si>
  <si>
    <t>Non-current liabilities</t>
  </si>
  <si>
    <t xml:space="preserve">Due to related parties </t>
  </si>
  <si>
    <t xml:space="preserve">End-of-service indemnities </t>
  </si>
  <si>
    <t xml:space="preserve">    Lease liabilities non-current</t>
  </si>
  <si>
    <t xml:space="preserve">Lease liabilities non-current </t>
  </si>
  <si>
    <t>Provision for evacuation</t>
  </si>
  <si>
    <t>Current liabilities</t>
  </si>
  <si>
    <t>Short-term Murabaha loans</t>
  </si>
  <si>
    <t>Tade payables and Accuals &amp; other credit balances</t>
  </si>
  <si>
    <t>Zakat provision</t>
  </si>
  <si>
    <t>Balance check: TOTAL ASSETS − TOTAL EQUITY AND LIABILITIES</t>
  </si>
  <si>
    <t>Balance-sheet difference must be nil (±0.01 SAR); the refreshed YTD TB is not plugged.</t>
  </si>
  <si>
    <t>Amount @ 30 Sep 26</t>
  </si>
  <si>
    <t>Tag</t>
  </si>
  <si>
    <t>L</t>
  </si>
  <si>
    <t>IC payable — Alif a/c 270005 Vision Horzon Ind. Co. (auto)</t>
  </si>
  <si>
    <t>IC receivable — VH a/c 330004 Alif Leading Industrial Factory (auto)</t>
  </si>
  <si>
    <t>spare row — set FS Line text exactly as in Map column E; tag A/L/E</t>
  </si>
  <si>
    <t>Statement of Cash Flows (indirect method)</t>
  </si>
  <si>
    <t>Nine months ended 30 September 2026 (SAR)</t>
  </si>
  <si>
    <t xml:space="preserve">    Profit /(loss) before zakat</t>
  </si>
  <si>
    <t xml:space="preserve">    Adjustments for non-cash items:</t>
  </si>
  <si>
    <t xml:space="preserve">    Depreciation and amortisation</t>
  </si>
  <si>
    <t xml:space="preserve">    Amortisation of pre-operating expenses</t>
  </si>
  <si>
    <t xml:space="preserve">    End-of-service indemnities — net movement</t>
  </si>
  <si>
    <t xml:space="preserve">    Provision for evacuation — net movement</t>
  </si>
  <si>
    <t xml:space="preserve">    Changes in working capital:</t>
  </si>
  <si>
    <t>Cash generated from /(used in) operations</t>
  </si>
  <si>
    <t xml:space="preserve">    Zakat paid</t>
  </si>
  <si>
    <t>Net cash from /(used in) operating activities</t>
  </si>
  <si>
    <t xml:space="preserve">    Purchase of property, plant and equipment and right-of-use assets</t>
  </si>
  <si>
    <t>see key (1)</t>
  </si>
  <si>
    <t>Net cash from /(used in) investing activities</t>
  </si>
  <si>
    <t xml:space="preserve">    Issue of share capital</t>
  </si>
  <si>
    <t xml:space="preserve">    Net movement in statutory reserve</t>
  </si>
  <si>
    <t xml:space="preserve">    Movement in retained earnings (distributions/adjustments)</t>
  </si>
  <si>
    <t>Net cash from /(used in) financing activities</t>
  </si>
  <si>
    <t xml:space="preserve">    Cash and cash equivalents at beginning of period</t>
  </si>
  <si>
    <t>CASH AND CASH EQUIVALENTS AT END OF PERIOD</t>
  </si>
  <si>
    <t>Check: cash per balance sheet − cash per this statement</t>
  </si>
  <si>
    <t>Intercompany elimination table (cash flows) — amounts are SUBTRACTED from the consolidated column; match on the CF row label in column A.</t>
  </si>
  <si>
    <t>CF row label</t>
  </si>
  <si>
    <t>Amount</t>
  </si>
  <si>
    <t>e.g. IC loan drawdowns/repayments — none identified in TBs</t>
  </si>
  <si>
    <t>Key (1): capex = Δ(PPE net) + Δ(RoU net) + depreciation &amp; amortisation for the period, per Map lines.</t>
  </si>
  <si>
    <t>ALIF LEADING INDUSTRIAL FACTORY — Standalone</t>
  </si>
  <si>
    <t>SAR</t>
  </si>
  <si>
    <t>9M 2026 (YTD)</t>
  </si>
  <si>
    <t>Auto-generated from TB_Input_Alif via Map. FS Line keys in column H. No manual adjustments.</t>
  </si>
  <si>
    <t>30 Sep 2026</t>
  </si>
  <si>
    <t>1 Jan 2026 (opening)</t>
  </si>
  <si>
    <t xml:space="preserve">    Retained earnings (incl. unclosed opening P&amp;L per TB)</t>
  </si>
  <si>
    <t>VH — VISION HORIZON INDUSTRIAL COMPANY — Standalone</t>
  </si>
  <si>
    <t>Auto-generated from TB_Input_VH via Map. FS Line keys in column H. No manual adjustments.</t>
  </si>
  <si>
    <t>TB_Input_Alif — raw trial balance paste zone (source: FS report 202609 IFRS.xlsx / sheet ALIF_YtdSep)</t>
  </si>
  <si>
    <t>PASTE ZONE: columns A–F, data from row 3. Do not type in columns G–J (automatic).</t>
  </si>
  <si>
    <t>txtGLAcctDisp1</t>
  </si>
  <si>
    <t>txtGLAcctDesc1</t>
  </si>
  <si>
    <t>txtFiscalPerOB</t>
  </si>
  <si>
    <t>txtDebit1</t>
  </si>
  <si>
    <t>txtCredit1</t>
  </si>
  <si>
    <t>txtFiscalPerCB</t>
  </si>
  <si>
    <t>FS Group</t>
  </si>
  <si>
    <t>FS SubGroup</t>
  </si>
  <si>
    <t>Notes</t>
  </si>
  <si>
    <t>Unmapped rows with balance:</t>
  </si>
  <si>
    <t>LAND</t>
  </si>
  <si>
    <t>BUILDINGS</t>
  </si>
  <si>
    <t>DECORS AND INSTALLATIONS</t>
  </si>
  <si>
    <t>MACHINERY AND EQUIPMENTS</t>
  </si>
  <si>
    <t>VEHICLES</t>
  </si>
  <si>
    <t>OFFICE EQUIPMENTS&amp; COMPUTR PROGRAMS  INSTALLATIONS</t>
  </si>
  <si>
    <t>FURNITURE AND FITTINGS</t>
  </si>
  <si>
    <t>RIGHT OF USE ASSETS</t>
  </si>
  <si>
    <t>INSTALLATION IN PROGRESS</t>
  </si>
  <si>
    <t>INSTALLATION IN PROGRESS  JEDDAH PROJECT</t>
  </si>
  <si>
    <t>Fixed Assets Clearing Accounts</t>
  </si>
  <si>
    <t>ACCUM DEPR BUILDINGS</t>
  </si>
  <si>
    <t>ACCUM DEPR DECORS</t>
  </si>
  <si>
    <t>ACCUM DEPR M AND E</t>
  </si>
  <si>
    <t>ACCUM DEPR VEHICLES</t>
  </si>
  <si>
    <t>ACCUM DEPR OE</t>
  </si>
  <si>
    <t>ACCUM DEPR F AND F</t>
  </si>
  <si>
    <t>ACCUMULATED DEPRECIATION  OF RIGHT OF USE ASSETS</t>
  </si>
  <si>
    <t>PRE OPERATING EXPS</t>
  </si>
  <si>
    <t>AMORTIZATION OF PRE OPERATING EXPS</t>
  </si>
  <si>
    <t>ALBILAD BANK A</t>
  </si>
  <si>
    <t>ALBILAD BANK B Acc # 0018</t>
  </si>
  <si>
    <t>ALBILAD BANK C</t>
  </si>
  <si>
    <t>AL RAJHI BANK FAC</t>
  </si>
  <si>
    <t>AL-RAJHI BANK IND</t>
  </si>
  <si>
    <t>SAUDI BRITISH BANK</t>
  </si>
  <si>
    <t>NATIONAL COMMERCIAL BANK (NCB)</t>
  </si>
  <si>
    <t>RIYAD BANK SIC SR 9940</t>
  </si>
  <si>
    <t>ARAB NATIONAL BANK</t>
  </si>
  <si>
    <t>AL INMA BANK SAUDI  ARABIA</t>
  </si>
  <si>
    <t>AL INMA BANK (68502524190000)</t>
  </si>
  <si>
    <t>ALBILAD ALIF 0006</t>
  </si>
  <si>
    <t>ALIF ALINMA ( USD )</t>
  </si>
  <si>
    <t>BR. ALSUBEAEI INDUSTRIAL CO. LTD</t>
  </si>
  <si>
    <t>BANK  ALJAZIRA</t>
  </si>
  <si>
    <t>BANK ALBILAD SA6115000612140452040005</t>
  </si>
  <si>
    <t>Bank Al Bilad USD</t>
  </si>
  <si>
    <t>ALINMA BANK SIC FACILITIES</t>
  </si>
  <si>
    <t>Bank Transfer Control</t>
  </si>
  <si>
    <t xml:space="preserve"> TRADE DEBTORS</t>
  </si>
  <si>
    <t xml:space="preserve"> SUNDRY DEBTORS</t>
  </si>
  <si>
    <t xml:space="preserve"> EMPLOYEES LOANS</t>
  </si>
  <si>
    <t xml:space="preserve"> EMPLOYEES LOANS AGAINST END OF SERVICE</t>
  </si>
  <si>
    <t xml:space="preserve"> PETTY CASH</t>
  </si>
  <si>
    <t xml:space="preserve"> PREPAID FIN CHARGES AL RIYADH BANK</t>
  </si>
  <si>
    <t>PREPAID FIN CHARGES ALINMA BANK</t>
  </si>
  <si>
    <t xml:space="preserve"> PREPAID FIN CHARGES ARAB NATIONAL BANK</t>
  </si>
  <si>
    <t xml:space="preserve"> PREPAID FIN CHARGES NCB</t>
  </si>
  <si>
    <t xml:space="preserve"> PREPAID FIN CHARGES JAZIRA</t>
  </si>
  <si>
    <t xml:space="preserve"> L/C MARGINAL DEPOSITS BILAD</t>
  </si>
  <si>
    <t xml:space="preserve"> L/C MARGINAL DEPOSITS AL RIYADH BANK</t>
  </si>
  <si>
    <t xml:space="preserve"> L/C MARGINAL DEPOSITS NCB</t>
  </si>
  <si>
    <t xml:space="preserve"> L/C MARGINAL DEPOSITS ALINMA</t>
  </si>
  <si>
    <t xml:space="preserve"> PREPAID RENT</t>
  </si>
  <si>
    <t xml:space="preserve"> PREPAID HOUSING ALLOWANCE</t>
  </si>
  <si>
    <t xml:space="preserve"> PREPAID TICKETS&amp;VISA ALLOWANCE</t>
  </si>
  <si>
    <t xml:space="preserve"> PREPAID FURNITURE ALLOWANCE</t>
  </si>
  <si>
    <t xml:space="preserve"> PREPAID INSURANCE RENT</t>
  </si>
  <si>
    <t xml:space="preserve"> PREPAID INSURANCE</t>
  </si>
  <si>
    <t xml:space="preserve"> PREPAID SALARIES</t>
  </si>
  <si>
    <t>PAYMENTS DUES UNDER COLLECTIONS</t>
  </si>
  <si>
    <t>PREPAID FAMILY ALLOWANCE</t>
  </si>
  <si>
    <t>PREPAID COMPUTER NET WORK EXP</t>
  </si>
  <si>
    <t>PREPAID PROFESSIONAL EXP</t>
  </si>
  <si>
    <t>INSURANCE OF INTERNATIONAL RISK FORE SALES</t>
  </si>
  <si>
    <t>PREPAID EXPENSES</t>
  </si>
  <si>
    <t xml:space="preserve"> CONSUMABLES</t>
  </si>
  <si>
    <t>INDIRECT MATERIAL</t>
  </si>
  <si>
    <t>SPARE PARTS</t>
  </si>
  <si>
    <t xml:space="preserve"> RAW MAT  MAT LOW CARBON</t>
  </si>
  <si>
    <t xml:space="preserve"> RAW MAT  HIGH CARBON</t>
  </si>
  <si>
    <t xml:space="preserve"> RAW MAT  GI COILS</t>
  </si>
  <si>
    <t xml:space="preserve"> RAW MAT  COPPER</t>
  </si>
  <si>
    <t xml:space="preserve"> RAW MAT  FLAT STEEL</t>
  </si>
  <si>
    <t>RAW MATERIAL</t>
  </si>
  <si>
    <t>PACKAGING</t>
  </si>
  <si>
    <t>FINISHED GOODS</t>
  </si>
  <si>
    <t>SEMI FINISHED GOODS</t>
  </si>
  <si>
    <t>TRADING ITEM</t>
  </si>
  <si>
    <t>WIP</t>
  </si>
  <si>
    <t>Plant Stock Transfer</t>
  </si>
  <si>
    <t>DMR</t>
  </si>
  <si>
    <t>MATERIAL UNDER INSPECTION</t>
  </si>
  <si>
    <t xml:space="preserve"> GOODS IN TRANSIT</t>
  </si>
  <si>
    <t xml:space="preserve"> TRADE CREDITORS FOREIGN</t>
  </si>
  <si>
    <t xml:space="preserve"> TRADE CREDITORS LOCAL</t>
  </si>
  <si>
    <t xml:space="preserve"> NOTES PAYABLE BILAD</t>
  </si>
  <si>
    <t xml:space="preserve"> NOTES PAYABLE NCB</t>
  </si>
  <si>
    <t xml:space="preserve"> NOTES PAYABLE SABB</t>
  </si>
  <si>
    <t xml:space="preserve"> NOTES PAYABLE RIYAD</t>
  </si>
  <si>
    <t>NOTES PAYABLE ARAB NATIONAL BANK</t>
  </si>
  <si>
    <t>NOTES PAYABLE ALINMA BANK</t>
  </si>
  <si>
    <t>NOTES PAYABLE ALJAZIRA BANK</t>
  </si>
  <si>
    <t>AP Cleance Account</t>
  </si>
  <si>
    <t xml:space="preserve"> LANDED COSTS OVERHEAD</t>
  </si>
  <si>
    <t xml:space="preserve"> LANDED COSTS - CUSTOM DUTY</t>
  </si>
  <si>
    <t xml:space="preserve"> LEASE OBLIGATION</t>
  </si>
  <si>
    <t xml:space="preserve"> ACCRUED SALARIES</t>
  </si>
  <si>
    <t xml:space="preserve"> ACCRUED ELECTRICITY</t>
  </si>
  <si>
    <t xml:space="preserve"> ACCRUED  ZAKAT</t>
  </si>
  <si>
    <t xml:space="preserve"> ACCRUED  BONUS</t>
  </si>
  <si>
    <t xml:space="preserve"> ACCRUED  EXP</t>
  </si>
  <si>
    <t>ACCRUED  LEAVE</t>
  </si>
  <si>
    <t>ACCRUED TICKETS</t>
  </si>
  <si>
    <t xml:space="preserve"> PROVISION FOR STATUTARY</t>
  </si>
  <si>
    <t xml:space="preserve"> PROVISION FOR END OF SERVICE  BEN</t>
  </si>
  <si>
    <t xml:space="preserve"> PROVISION FOR DOUBTFUL DEBTS</t>
  </si>
  <si>
    <t>PROVISION FOR DAMAGED &amp; EXPIRED MATERIAL</t>
  </si>
  <si>
    <t>PROVISION FOR EVACUATE SPACE</t>
  </si>
  <si>
    <t>PROVISION FOR  LEAVE</t>
  </si>
  <si>
    <t>ACCRUED EXPENSES-DUTIES</t>
  </si>
  <si>
    <t>AIMS HOLDING  CURRENT ACC</t>
  </si>
  <si>
    <t>Sales VAT</t>
  </si>
  <si>
    <t>Purchase VAT</t>
  </si>
  <si>
    <t>VAT Manual Adjustments</t>
  </si>
  <si>
    <t>VISION HORZON INDESTRIAL COMPANY</t>
  </si>
  <si>
    <t>RETAINED EARNINGS</t>
  </si>
  <si>
    <t>A S A S INTEGRATED</t>
  </si>
  <si>
    <t xml:space="preserve"> ABDULLAH I BRAHIM AL SUBEAEI HOLDING CO</t>
  </si>
  <si>
    <t>ABDULLAH  I BRAHIM AL SUBEAEI  ADDITIONAL CAPITAL</t>
  </si>
  <si>
    <t xml:space="preserve"> SALES REVENUE</t>
  </si>
  <si>
    <t xml:space="preserve"> SALES RETURNS</t>
  </si>
  <si>
    <t xml:space="preserve"> SALES DISCOUNTS</t>
  </si>
  <si>
    <t xml:space="preserve"> SALES REVENUE  SCRAP</t>
  </si>
  <si>
    <t xml:space="preserve"> OTHER INCOME</t>
  </si>
  <si>
    <t xml:space="preserve"> GAIN/LOSS ON SALE OF FA</t>
  </si>
  <si>
    <t xml:space="preserve"> GAIN/LOSS ON CURRENCY EXCHANGE</t>
  </si>
  <si>
    <t>COGS MATERIAL</t>
  </si>
  <si>
    <t xml:space="preserve"> COGS DIRECT LABOR</t>
  </si>
  <si>
    <t xml:space="preserve"> COGS INDIRECT MATERIAL</t>
  </si>
  <si>
    <t xml:space="preserve"> COGS OVERHEAD</t>
  </si>
  <si>
    <t xml:space="preserve"> COGS  VARIANCE</t>
  </si>
  <si>
    <t>DIRECT EXP-Wages and Salaries</t>
  </si>
  <si>
    <t>DIRECT EXP-Overtime</t>
  </si>
  <si>
    <t>DIRECT EXP-Transportation Allowance</t>
  </si>
  <si>
    <t>DIRECT EXP-Food Allowance-closed</t>
  </si>
  <si>
    <t>DIRECT EXP-Leave Pay</t>
  </si>
  <si>
    <t>DIRECT EXP-medical insurance</t>
  </si>
  <si>
    <t>DIRECT EXP-Wages Salaries of saudi employees</t>
  </si>
  <si>
    <t>DIRECT EXP-Food Allowance</t>
  </si>
  <si>
    <t>DIRECT EXP-Housing Allowance</t>
  </si>
  <si>
    <t>DIRECT EXP-Air Tickets</t>
  </si>
  <si>
    <t>DIRECT EXP-Food Expense</t>
  </si>
  <si>
    <t>DIRECT EXP-Staff Accom</t>
  </si>
  <si>
    <t>DIRECT EXP-Medical Expense</t>
  </si>
  <si>
    <t>DIRECT EXP-IQAMA Renewal</t>
  </si>
  <si>
    <t>DIRECT EXP-Medical insurance</t>
  </si>
  <si>
    <t>DIRECT EXP-Consumables</t>
  </si>
  <si>
    <t>DIRECT EXP-Rounding Off</t>
  </si>
  <si>
    <t>DIRECT EXP-MATERIAL PURCHASING VARIANCE</t>
  </si>
  <si>
    <t>Applied Labor</t>
  </si>
  <si>
    <t>Applied Material OH</t>
  </si>
  <si>
    <t>Applied OH</t>
  </si>
  <si>
    <t>Inventory Adjustment</t>
  </si>
  <si>
    <t>Direct Exp Mobile allowance</t>
  </si>
  <si>
    <t>DIRECT SALARY-OUTSIDE LABORS</t>
  </si>
  <si>
    <t>Social Insurance -DIRECT Exp</t>
  </si>
  <si>
    <t>DIRECT EXP-Housing  Rent</t>
  </si>
  <si>
    <t>DIRECT EXP-End of Service</t>
  </si>
  <si>
    <t>DIRECT EXP - Tickets and Visa Allowance</t>
  </si>
  <si>
    <t>DIRECT EXP - Recruitment Expense</t>
  </si>
  <si>
    <t xml:space="preserve"> WAGES AND SALARIES</t>
  </si>
  <si>
    <t xml:space="preserve">  OVER TIME</t>
  </si>
  <si>
    <t xml:space="preserve">  FOOD ALLOWANCE</t>
  </si>
  <si>
    <t xml:space="preserve">  MEDICAL INSURANCE</t>
  </si>
  <si>
    <t xml:space="preserve">  GOV FEES</t>
  </si>
  <si>
    <t xml:space="preserve">  HOUSING AND RENT</t>
  </si>
  <si>
    <t xml:space="preserve">  TRANSPORTATION</t>
  </si>
  <si>
    <t xml:space="preserve">  AIR TICKETS</t>
  </si>
  <si>
    <t xml:space="preserve">  LEAVE PAY</t>
  </si>
  <si>
    <t xml:space="preserve">  END OF SERVICE</t>
  </si>
  <si>
    <t xml:space="preserve"> TICKETS  AND VISA ALLOWANCE</t>
  </si>
  <si>
    <t xml:space="preserve"> EDUCATION ALLOWANCE</t>
  </si>
  <si>
    <t xml:space="preserve"> TELEPHONE ALLOWANCE</t>
  </si>
  <si>
    <t xml:space="preserve"> INDIRECT MATERIAL</t>
  </si>
  <si>
    <t xml:space="preserve"> TOOLS &amp; SPARE PARTS EXPENSE</t>
  </si>
  <si>
    <t xml:space="preserve"> ELECTRICITY</t>
  </si>
  <si>
    <t xml:space="preserve"> WATER</t>
  </si>
  <si>
    <t xml:space="preserve"> FUEL AND OIL</t>
  </si>
  <si>
    <t xml:space="preserve"> M/C AND EQUIP MAINT</t>
  </si>
  <si>
    <t xml:space="preserve"> VEHICLE MAINTENANCE</t>
  </si>
  <si>
    <t xml:space="preserve"> BUILDING MAINTENANCE</t>
  </si>
  <si>
    <t xml:space="preserve"> OFFICE EQUIPMENT MAINTENANCE</t>
  </si>
  <si>
    <t xml:space="preserve"> PUMP RENTAL EXPENSES</t>
  </si>
  <si>
    <t xml:space="preserve"> BUILDING INSURANCE</t>
  </si>
  <si>
    <t xml:space="preserve"> M/C AND EQUIP INSURANCE</t>
  </si>
  <si>
    <t xml:space="preserve"> PRODUCTION HALL RENT</t>
  </si>
  <si>
    <t xml:space="preserve"> STAFF FURNITURE</t>
  </si>
  <si>
    <t xml:space="preserve"> M/C AND EQUIP DEPR</t>
  </si>
  <si>
    <t>Furniture &amp; Fittings Depr</t>
  </si>
  <si>
    <t>Decors and Inst Depr</t>
  </si>
  <si>
    <t>BUILDING DEPRECIATION</t>
  </si>
  <si>
    <t>DEPRECIATION  OF RIGHT OF USE ASSETS</t>
  </si>
  <si>
    <t>EMPLOYEES RESTRUCTURE COST</t>
  </si>
  <si>
    <t>SALARY OF CASUAL LABOUR</t>
  </si>
  <si>
    <t>MATERIAL INSPECTION COST</t>
  </si>
  <si>
    <t>Waste/Environmental Disposal</t>
  </si>
  <si>
    <t>Social Insurance -In DIRECT Exp</t>
  </si>
  <si>
    <t>CLEANING EXP.Indirect Expenses</t>
  </si>
  <si>
    <t>INDIRECT FOOD EXP</t>
  </si>
  <si>
    <t>VEHCILE RENT-INDIRECT EXPENSES</t>
  </si>
  <si>
    <t>Business Trips Exp. - Factory</t>
  </si>
  <si>
    <t>IN DIRECT EXP-Staff Accom</t>
  </si>
  <si>
    <t>Vehicle Insurance Expense - Factory</t>
  </si>
  <si>
    <t>HADAF PROGRAMM FOR REFUND SALARY</t>
  </si>
  <si>
    <t>WAGES AND SALARIES EXP.</t>
  </si>
  <si>
    <t>OVER TIME EXP.</t>
  </si>
  <si>
    <t>FOOD ALLOWANCE- closed</t>
  </si>
  <si>
    <t>MEDICAL INSURANCE EXP.</t>
  </si>
  <si>
    <t>GOV. FEES EXP.</t>
  </si>
  <si>
    <t>HOUSING AND RENT ALLOWANCE</t>
  </si>
  <si>
    <t>TRANSPORTATION ALLOWANCE</t>
  </si>
  <si>
    <t>AIR TICKET EXP.</t>
  </si>
  <si>
    <t>LEAVE PAYMENT EXP.</t>
  </si>
  <si>
    <t>END OF SERVICE EXP.</t>
  </si>
  <si>
    <t>TICKETS &amp; VISA ALLOWANCE</t>
  </si>
  <si>
    <t>EDUCATION ALLOWANCE</t>
  </si>
  <si>
    <t>TELEPHONE ALLOWANCE</t>
  </si>
  <si>
    <t>FURNITURE  ALLOWANCE</t>
  </si>
  <si>
    <t>TRANSPORTATION EXP</t>
  </si>
  <si>
    <t>FOOD EXP</t>
  </si>
  <si>
    <t>STAFF ACCOM. EXP.</t>
  </si>
  <si>
    <t>MEDICAL EXP.</t>
  </si>
  <si>
    <t>INCENTIVES EXP.</t>
  </si>
  <si>
    <t>ELECTRICITY EXP.</t>
  </si>
  <si>
    <t>WATER EXP.</t>
  </si>
  <si>
    <t>TELEPHONE AND FAX EXP.</t>
  </si>
  <si>
    <t>POSTAGE EXP.</t>
  </si>
  <si>
    <t>COMPUTER NETWORK EXP.</t>
  </si>
  <si>
    <t>PROFESSIONAL FEES EXP.</t>
  </si>
  <si>
    <t>MAGAZINES &amp; NEWS PAPERS EXP.</t>
  </si>
  <si>
    <t>TRAINING &amp; SEMINARS EXP.</t>
  </si>
  <si>
    <t>STATIONERY EXP.</t>
  </si>
  <si>
    <t>PRINTINGS EXP.</t>
  </si>
  <si>
    <t>BUILDING MAINTENANCE EXP.</t>
  </si>
  <si>
    <t>OFFICE EQUIP. MAINT. EXP.</t>
  </si>
  <si>
    <t>VEHICLE MAINT. EXP.</t>
  </si>
  <si>
    <t>FUEL AND OIL EXP.</t>
  </si>
  <si>
    <t>CONSUMABLES EXP.</t>
  </si>
  <si>
    <t>ACTUARIAL GAINS AND LOSSES</t>
  </si>
  <si>
    <t>VEHICLES INSURANCE EXP.</t>
  </si>
  <si>
    <t>LEASE INTEREST EXP</t>
  </si>
  <si>
    <t>BUSINESS TRIPS EXP.</t>
  </si>
  <si>
    <t>BUFFET EXP.</t>
  </si>
  <si>
    <t>CLEANING EXP.</t>
  </si>
  <si>
    <t>RECRUITMENT EXP.</t>
  </si>
  <si>
    <t>DAMAGED &amp; EXPIRED MATERIAL &amp; BANK CHARGE GAIN</t>
  </si>
  <si>
    <t>LICENSE FEES EXP.</t>
  </si>
  <si>
    <t>CHAMBER OF COMMERCE EXP.</t>
  </si>
  <si>
    <t>BANK CHARGES EXP.</t>
  </si>
  <si>
    <t>DETENTION CHARGES EXP.</t>
  </si>
  <si>
    <t>ZAKAT EXP.</t>
  </si>
  <si>
    <t>SADAGAT EXP.</t>
  </si>
  <si>
    <t>BUILDING DEP.</t>
  </si>
  <si>
    <t>DECORS AND INST. DEP.</t>
  </si>
  <si>
    <t>M/C AND EQUIP. DEP.</t>
  </si>
  <si>
    <t>TOOLS AND INST. DEP.</t>
  </si>
  <si>
    <t>VEHICLE DEP.</t>
  </si>
  <si>
    <t>OFFICE EQUIP DEP.</t>
  </si>
  <si>
    <t>FURNITURE AND FITTINGS DEP.</t>
  </si>
  <si>
    <t>WAREHOUSE RENT EXP.</t>
  </si>
  <si>
    <t>ADVERTISING AND PROMO. EXP.</t>
  </si>
  <si>
    <t>EXHIBITIONS EXP.</t>
  </si>
  <si>
    <t>FREIGHT-OUT EXP.</t>
  </si>
  <si>
    <t>SALES COMMISSION EXP.</t>
  </si>
  <si>
    <t>BAD DEBTS EXP.</t>
  </si>
  <si>
    <t>SOCIAL INSURANCE</t>
  </si>
  <si>
    <t>AMORTIZATION</t>
  </si>
  <si>
    <t>LEASE INTEREST  EXP.</t>
  </si>
  <si>
    <t>EVACUATE SPACE EXP</t>
  </si>
  <si>
    <t>FREIGHT-OUT EXPORT</t>
  </si>
  <si>
    <t>OTHER  EXPORT FRIGHT</t>
  </si>
  <si>
    <t>OFFICE RENT EXP.</t>
  </si>
  <si>
    <t>CUSTOMS DUTY EXPORT</t>
  </si>
  <si>
    <t>CUSTOMS CLEARANCE (IOR)</t>
  </si>
  <si>
    <t>Salary – Outside</t>
  </si>
  <si>
    <t>Subscriptions &amp; Membership Fees</t>
  </si>
  <si>
    <t>Entertainment expense</t>
  </si>
  <si>
    <t>Freight Expenses (Drayage)</t>
  </si>
  <si>
    <t>ADMIN -HOUSING  RENT</t>
  </si>
  <si>
    <t>Customer Penalties / Sales Claims Expense</t>
  </si>
  <si>
    <t>AIMS HOLDING EXP OF  CURRENT ACC</t>
  </si>
  <si>
    <t>AIMS HOLDING EXP OF CURRENT ACC</t>
  </si>
  <si>
    <t>Indirect Salaries</t>
  </si>
  <si>
    <t>ACCRUED  EXP</t>
  </si>
  <si>
    <t>TB_Input_VH — raw trial balance paste zone (source: FS report 202609 IFRS.xlsx / sheet VH_YtdSep)</t>
  </si>
  <si>
    <t>CLEARING ACC</t>
  </si>
  <si>
    <t>AL INMA BANK (68203834937000)</t>
  </si>
  <si>
    <t>VISION HORIZON INDUSTRIAL COMPANY -0023  (BILAD)</t>
  </si>
  <si>
    <t>TRADE DEBTORS</t>
  </si>
  <si>
    <t>EMPLOYEES LOANS</t>
  </si>
  <si>
    <t>PETTY CASH</t>
  </si>
  <si>
    <t>PREPAID FIN CHARGES AL RIYADH BANK</t>
  </si>
  <si>
    <t>PREPAID FIN CHARGES ARAB NATIONAL BANK</t>
  </si>
  <si>
    <t>PREPAID FIN CHARGES NCB</t>
  </si>
  <si>
    <t>L/C MARGINAL DEPOSITS AL RIYADH BANK</t>
  </si>
  <si>
    <t>L/C MARGINAL DEPOSITS ALINMA</t>
  </si>
  <si>
    <t>PREPAID RENT</t>
  </si>
  <si>
    <t>PREPAID INSURANCE</t>
  </si>
  <si>
    <t>PREPAID PROFESSIONAL FEES</t>
  </si>
  <si>
    <t>Prepaid Expenses</t>
  </si>
  <si>
    <t>CONSUMABLES</t>
  </si>
  <si>
    <t>RAW MAT PAPER</t>
  </si>
  <si>
    <t>RAW MAT  COPPER</t>
  </si>
  <si>
    <t>GOODS IN TRANSIT</t>
  </si>
  <si>
    <t>TRADE CREDITORS FOREIGN</t>
  </si>
  <si>
    <t>TRADE CREDITORS LOCAL</t>
  </si>
  <si>
    <t>NOTES PAYABLE BILAD</t>
  </si>
  <si>
    <t>NOTES PAYABLE RIYAD</t>
  </si>
  <si>
    <t>LANDED COSTS OVERHEAD</t>
  </si>
  <si>
    <t>LEASE OBLIGATION</t>
  </si>
  <si>
    <t>ACCRUED SALARIES</t>
  </si>
  <si>
    <t>Advances from customers</t>
  </si>
  <si>
    <t>PROVISION FOR STATUTARY</t>
  </si>
  <si>
    <t>PROVISION FOR END OF SERVICE  BEN</t>
  </si>
  <si>
    <t>PROVISION FOR LEAVE</t>
  </si>
  <si>
    <t>AIMS Investment</t>
  </si>
  <si>
    <t>INTEGRATED TRAINING COMPANY</t>
  </si>
  <si>
    <t>ABDULLAH I BRAHIM AL SUBEAEI HOLDING CO</t>
  </si>
  <si>
    <t>ALIF LEADING INDUSTRIAL FACTORY</t>
  </si>
  <si>
    <t>SALES REVENUE</t>
  </si>
  <si>
    <t>SALES RETURNS</t>
  </si>
  <si>
    <t>SALES DISCOUNTS</t>
  </si>
  <si>
    <t>SALES REVENUE  SCRAP</t>
  </si>
  <si>
    <t>GAIN/LOSS ON SALE OF FA</t>
  </si>
  <si>
    <t>GAIN/LOSS ON CURRENCY EXCHANGE</t>
  </si>
  <si>
    <t>COGS DIRECT LABOR</t>
  </si>
  <si>
    <t>COGS INDIRECT MATERIAL</t>
  </si>
  <si>
    <t>COGS OVERHEAD</t>
  </si>
  <si>
    <t>COGS  VARIANCE</t>
  </si>
  <si>
    <t>DIRECT EXP-Food Allowance- closed</t>
  </si>
  <si>
    <t>DIRECT EXP-Electricity</t>
  </si>
  <si>
    <t>WAGES AND SALARIES</t>
  </si>
  <si>
    <t>OVER TIME</t>
  </si>
  <si>
    <t>FOOD ALLOWANCE</t>
  </si>
  <si>
    <t>MEDICAL INSURANCE</t>
  </si>
  <si>
    <t>GOV FEES</t>
  </si>
  <si>
    <t>HOUSING AND RENT</t>
  </si>
  <si>
    <t>TRANSPORTATION</t>
  </si>
  <si>
    <t>AIR TICKETS</t>
  </si>
  <si>
    <t>LEAVE PAY</t>
  </si>
  <si>
    <t>END OF SERVICE</t>
  </si>
  <si>
    <t>TICKETS  AND VISA ALLOWANCE</t>
  </si>
  <si>
    <t>TOOLS &amp; SPARE PARTS EXPENSE</t>
  </si>
  <si>
    <t>ELECTRICITY</t>
  </si>
  <si>
    <t>WATER</t>
  </si>
  <si>
    <t>FUEL AND OIL</t>
  </si>
  <si>
    <t>M/C AND EQUIP MAINT</t>
  </si>
  <si>
    <t>VEHICLE MAINTENANCE</t>
  </si>
  <si>
    <t>BUILDING MAINTENANCE</t>
  </si>
  <si>
    <t>OFFICE EQUIPMENT MAINTENANCE</t>
  </si>
  <si>
    <t>PUMP RENTAL EXPENSES</t>
  </si>
  <si>
    <t>M/C AND EQUIP DEPR</t>
  </si>
  <si>
    <t>Outside Labours-close new 600035</t>
  </si>
  <si>
    <t>Telephone and Fax Expense - Factory</t>
  </si>
  <si>
    <t>FOOD ALLOWANCE-Closed</t>
  </si>
  <si>
    <t>LEASE INTEREST EXPENSE</t>
  </si>
  <si>
    <t>YTD September 2026 — entity performance dashboard (auto-linked)</t>
  </si>
  <si>
    <t>Chart data — auto-linked to the statements (do not edit)</t>
  </si>
  <si>
    <t>Revenue</t>
  </si>
  <si>
    <t>Gross profit /(loss)</t>
  </si>
  <si>
    <t>EBITDA</t>
  </si>
  <si>
    <t>Profit /(loss) before zakat</t>
  </si>
  <si>
    <t>Depreciation &amp; amortisation</t>
  </si>
  <si>
    <t>Total liabilities</t>
  </si>
  <si>
    <t>Operating cash flow</t>
  </si>
  <si>
    <t>Investing cash flow</t>
  </si>
  <si>
    <t>Financing cash flow</t>
  </si>
  <si>
    <t>Net change in cash</t>
  </si>
  <si>
    <t>Sources: IS_/BS_/CF_ sheets. Consolidated column is after intercompany eliminations.</t>
  </si>
  <si>
    <t>GLAcctDisp</t>
  </si>
  <si>
    <t>GLAcctDesc</t>
  </si>
  <si>
    <t>Y2014</t>
  </si>
  <si>
    <t>Y2015</t>
  </si>
  <si>
    <t>Y2016</t>
  </si>
  <si>
    <t>Y2017</t>
  </si>
  <si>
    <t>Y2018</t>
  </si>
  <si>
    <t>Y2019</t>
  </si>
  <si>
    <t>Y2020</t>
  </si>
  <si>
    <t>Y2021</t>
  </si>
  <si>
    <t>Y2022</t>
  </si>
  <si>
    <t>Y2023</t>
  </si>
  <si>
    <t>Y2024</t>
  </si>
  <si>
    <t>Y2025</t>
  </si>
  <si>
    <t>YTD_Sep26</t>
  </si>
  <si>
    <t>Acnt Group</t>
  </si>
  <si>
    <t>Expense Group</t>
  </si>
  <si>
    <t>ALBILAD BANK B</t>
  </si>
  <si>
    <t>ALIF ALRAED FACTORY  FOR PRODUCTS (INMA USD )</t>
  </si>
  <si>
    <t>AIMS INDUSTRIAL</t>
  </si>
  <si>
    <t>Balance Sheet</t>
  </si>
  <si>
    <t>31 December 2025</t>
  </si>
  <si>
    <t>per TB Sep-2026</t>
  </si>
  <si>
    <t>Sep-26 YTD</t>
  </si>
  <si>
    <t>LIABILITIES AND SHAREHOLDERS' EQUITY</t>
  </si>
  <si>
    <t>Lease liability - current portion</t>
  </si>
  <si>
    <t>TOTAL LIABILITES</t>
  </si>
  <si>
    <t>Shareholders' equity</t>
  </si>
  <si>
    <t>Total shareholders’ equity</t>
  </si>
  <si>
    <t>TOTAL LIABILITIES AND EQUITY</t>
  </si>
  <si>
    <t>Note: col P check = Alif unclosed 9M YTD result (see Checks sheet)</t>
  </si>
  <si>
    <t>Working capital</t>
  </si>
  <si>
    <t>Current ratio</t>
  </si>
  <si>
    <t>Leverage ratio</t>
  </si>
  <si>
    <t>Days Sales Outstanding</t>
  </si>
  <si>
    <t>Days Inventory Outstanding</t>
  </si>
  <si>
    <t>Days Payable Outstanding</t>
  </si>
  <si>
    <t>Working Capital Cycle</t>
  </si>
  <si>
    <t>Profit &amp; Loss</t>
  </si>
  <si>
    <t>Y2014 - Y2025</t>
  </si>
  <si>
    <t>Tons</t>
  </si>
  <si>
    <t>← input tons for Sep-26 YTD</t>
  </si>
  <si>
    <t>Price</t>
  </si>
  <si>
    <t>Cost of Sales</t>
  </si>
  <si>
    <t>GROSS PROFIT</t>
  </si>
  <si>
    <t>Selling and Distribution</t>
  </si>
  <si>
    <t>General and Admin</t>
  </si>
  <si>
    <t>NET INCOME</t>
  </si>
  <si>
    <t>OTHER COMRPREHENSIVE INCOME</t>
  </si>
  <si>
    <t>Percent:</t>
  </si>
  <si>
    <t>COGS</t>
  </si>
  <si>
    <t>GP</t>
  </si>
  <si>
    <t>Selling</t>
  </si>
  <si>
    <t>G&amp;A</t>
  </si>
  <si>
    <t>Finance Cost</t>
  </si>
  <si>
    <t>Depreciation</t>
  </si>
  <si>
    <t>Net income (loss)</t>
  </si>
  <si>
    <t>Fixed Cost</t>
  </si>
  <si>
    <t>Variable Cost</t>
  </si>
  <si>
    <t>Contribution margin</t>
  </si>
  <si>
    <t>Contribution margin %</t>
  </si>
  <si>
    <t>Breakeven sales</t>
  </si>
  <si>
    <t>Breakeven Tons</t>
  </si>
  <si>
    <t>ALIF</t>
  </si>
  <si>
    <t>MAY 2025</t>
  </si>
  <si>
    <t>MAY 2024</t>
  </si>
  <si>
    <t>MAY 2023</t>
  </si>
  <si>
    <t>MAY 2022</t>
  </si>
  <si>
    <t>YTD MAY 2025</t>
  </si>
  <si>
    <t>YTD MAY 2024</t>
  </si>
  <si>
    <t>YTD MAY 2023</t>
  </si>
  <si>
    <t>YTD MAY 2022</t>
  </si>
  <si>
    <t>Vision</t>
  </si>
  <si>
    <t>Overhead</t>
  </si>
  <si>
    <t>Revised provision on Bad Debts</t>
  </si>
  <si>
    <t>OPERATING INCOME</t>
  </si>
  <si>
    <t>Conso</t>
  </si>
  <si>
    <t>ALIF_Apr</t>
  </si>
  <si>
    <t>Gros profit</t>
  </si>
  <si>
    <t>Net profit</t>
  </si>
  <si>
    <t>Return on Equity</t>
  </si>
  <si>
    <t>Cash Flow</t>
  </si>
  <si>
    <t>Jan</t>
  </si>
  <si>
    <t>Feb</t>
  </si>
  <si>
    <t>Mar</t>
  </si>
  <si>
    <t>Apr</t>
  </si>
  <si>
    <t>May</t>
  </si>
  <si>
    <t>Jun</t>
  </si>
  <si>
    <t>Jul</t>
  </si>
  <si>
    <t>Aug</t>
  </si>
  <si>
    <t>Sep</t>
  </si>
  <si>
    <t>Oct</t>
  </si>
  <si>
    <t>Nov</t>
  </si>
  <si>
    <t>Ytd</t>
  </si>
  <si>
    <t>Q1</t>
  </si>
  <si>
    <t>Q2</t>
  </si>
  <si>
    <t>Q3</t>
  </si>
  <si>
    <t>Profit for the year before zakat</t>
  </si>
  <si>
    <t>Adjustments for:</t>
  </si>
  <si>
    <t xml:space="preserve">Depreciation </t>
  </si>
  <si>
    <t xml:space="preserve">Amortization of the right of use the asset </t>
  </si>
  <si>
    <t>Provision of Expected credit loss</t>
  </si>
  <si>
    <t>Provision for inventory write-off</t>
  </si>
  <si>
    <t>End of service indemnities</t>
  </si>
  <si>
    <t>provision for evacuation</t>
  </si>
  <si>
    <t>Finance charge</t>
  </si>
  <si>
    <t>Working capital changes:</t>
  </si>
  <si>
    <t>(Increase)/decrease current assets</t>
  </si>
  <si>
    <t>Inventory</t>
  </si>
  <si>
    <t xml:space="preserve">Prepayments and other receivables </t>
  </si>
  <si>
    <t>Due to RP</t>
  </si>
  <si>
    <t xml:space="preserve">Provision for evacuation </t>
  </si>
  <si>
    <t>Account payable, and other credit balances</t>
  </si>
  <si>
    <t>Cash from operations</t>
  </si>
  <si>
    <t>Finance charge paid</t>
  </si>
  <si>
    <t>Zakat paid</t>
  </si>
  <si>
    <t>Zakat diff</t>
  </si>
  <si>
    <t>Employees’ end of service benefits paid</t>
  </si>
  <si>
    <t>Net cash from operating activities</t>
  </si>
  <si>
    <t>Additions of property, plant and equipment</t>
  </si>
  <si>
    <t>Dissposals</t>
  </si>
  <si>
    <t>Net cash from (used in) investing activities</t>
  </si>
  <si>
    <t>Financial Lease - Paid</t>
  </si>
  <si>
    <t>Lease liability</t>
  </si>
  <si>
    <t>Increase is share capital</t>
  </si>
  <si>
    <t>cash and cash eq</t>
  </si>
  <si>
    <t xml:space="preserve">Bank Facilities </t>
  </si>
  <si>
    <t>Net cash used in financing activities</t>
  </si>
  <si>
    <t>NET change IN CASH AND CASH EQUIVALENTS</t>
  </si>
  <si>
    <t>Cash and cash equivalents - Beginning balance</t>
  </si>
  <si>
    <t xml:space="preserve">Cash of Mada acqistion </t>
  </si>
  <si>
    <t>CASH AND CASH EQUIVALENTS</t>
  </si>
  <si>
    <t>NOTES</t>
  </si>
  <si>
    <t>CONSOLIDATED</t>
  </si>
  <si>
    <t>Dec</t>
  </si>
  <si>
    <t>YTD</t>
  </si>
  <si>
    <t>TRADE RECEIVABLES</t>
  </si>
  <si>
    <t>INVENTORIES</t>
  </si>
  <si>
    <t>DUE FROM RP</t>
  </si>
  <si>
    <t>PROPERTY, PLANT AND EQUIPMENT</t>
  </si>
  <si>
    <t>PROPERTY, PLANT AND EQUIPMENT NET</t>
  </si>
  <si>
    <t>RIGHT OF USE</t>
  </si>
  <si>
    <t>SHORT-TERM MURABAHA LOANS</t>
  </si>
  <si>
    <t>TADE PAYABLES AND ACCUALS &amp; OTHER CREDIT BALANCES</t>
  </si>
  <si>
    <t xml:space="preserve">LEASE LIABILITIES NON-CURRENT </t>
  </si>
  <si>
    <t xml:space="preserve">DUE TO RELATED PARTIES </t>
  </si>
  <si>
    <t xml:space="preserve">END-OF-SERVICE INDEMNITIES </t>
  </si>
  <si>
    <t>PROVISION FOR EVACUATION</t>
  </si>
  <si>
    <t>REVENUE</t>
  </si>
  <si>
    <t>FINANCE COST</t>
  </si>
  <si>
    <t>DEPRECIATION</t>
  </si>
  <si>
    <t>OTHER INCOME</t>
  </si>
  <si>
    <t>txtFiscalYearOB</t>
  </si>
  <si>
    <t>MANUAL ENTRIES:</t>
  </si>
  <si>
    <t>OVER HEAD</t>
  </si>
  <si>
    <t>O H ALLOCATION</t>
  </si>
  <si>
    <t xml:space="preserve"> SALES REVENUE - BUSBAR</t>
  </si>
  <si>
    <t>COGS MATERIAL - BUSBAR</t>
  </si>
  <si>
    <t>ALLOCATION</t>
  </si>
  <si>
    <t>ALLOCATION FOR JAN TO FEB</t>
  </si>
  <si>
    <t>ALLOCATION OF MARCH</t>
  </si>
  <si>
    <t>ALLOCATION - JUN</t>
  </si>
  <si>
    <t>ALLOCATION - JULY</t>
  </si>
  <si>
    <t>ALLOCATION OVER HEADS - AUG</t>
  </si>
  <si>
    <t>ALLOCATION OVER HEADS</t>
  </si>
  <si>
    <t>ALLOCATION OVER HEAD FOR OCTOBER</t>
  </si>
  <si>
    <t>ALLOCATION OF OVER HEADS</t>
  </si>
  <si>
    <t>allocation of overheads</t>
  </si>
  <si>
    <t>OVER HEADS ALLOCTATION</t>
  </si>
  <si>
    <t>ALOCATION OF OVERHEADS</t>
  </si>
  <si>
    <t>HADAF PROGRAMM FOR REFUND SALARY-PRD</t>
  </si>
  <si>
    <t>DEPRECIATION  OF RIGHT OF USE ASSETS-PRD</t>
  </si>
  <si>
    <t>BUILDING DEPRECIATION-PRD</t>
  </si>
  <si>
    <t>Decors and Inst Depr-PRD</t>
  </si>
  <si>
    <t>Furniture &amp; Fittings Depr-PRD</t>
  </si>
  <si>
    <t xml:space="preserve"> M/C AND EQUIP DEPR-PRD</t>
  </si>
  <si>
    <t xml:space="preserve"> BUILDING MAINTENANCE-PRD</t>
  </si>
  <si>
    <t xml:space="preserve"> VEHICLE MAINTENANCE-PRD</t>
  </si>
  <si>
    <t xml:space="preserve"> M/C AND EQUIP MAINT-PRD</t>
  </si>
  <si>
    <t xml:space="preserve"> FUEL AND OIL-PRD</t>
  </si>
  <si>
    <t xml:space="preserve"> WATER-PRD</t>
  </si>
  <si>
    <t xml:space="preserve"> ELECTRICITY-PRD</t>
  </si>
  <si>
    <t xml:space="preserve"> TOOLS &amp; SPARE PARTS EXPENSE-PRD</t>
  </si>
  <si>
    <t xml:space="preserve"> TOOLS &amp; SPARE PARTS EXPENSE-KHD</t>
  </si>
  <si>
    <t xml:space="preserve"> CONSUMABLES-PRD</t>
  </si>
  <si>
    <t xml:space="preserve"> TICKETS  AND VISA ALLOWANCE-PRD</t>
  </si>
  <si>
    <t xml:space="preserve">  END OF SERVICE-PRD</t>
  </si>
  <si>
    <t xml:space="preserve">  LEAVE PAY-PRD</t>
  </si>
  <si>
    <t xml:space="preserve">  AIR TICKETS-PRD</t>
  </si>
  <si>
    <t xml:space="preserve">  TRANSPORTATION-PRD</t>
  </si>
  <si>
    <t xml:space="preserve">  HOUSING AND RENT-PRD</t>
  </si>
  <si>
    <t xml:space="preserve">  GOV FEES-PRD</t>
  </si>
  <si>
    <t xml:space="preserve">  MEDICAL INSURANCE-PRD</t>
  </si>
  <si>
    <t xml:space="preserve">  FOOD ALLOWANCE-PRD</t>
  </si>
  <si>
    <t xml:space="preserve">  OVER TIME-PRD</t>
  </si>
  <si>
    <t xml:space="preserve"> WAGES AND SALARIES-PRD</t>
  </si>
  <si>
    <t>DIRECT EXP-MATERIAL PURCHASING VARIANCE---WN</t>
  </si>
  <si>
    <t>DIRECT EXP-MATERIAL PURCHASING VARIANCE---FL</t>
  </si>
  <si>
    <t>DIRECT EXP-MATERIAL PURCHASING VARIANCE---AB</t>
  </si>
  <si>
    <t>DIRECT EXP-Medical Expense-PRD</t>
  </si>
  <si>
    <t>DIRECT EXP-Overtime-PRD--WN</t>
  </si>
  <si>
    <t>DIRECT EXP-Overtime-PRD--WM</t>
  </si>
  <si>
    <t>DIRECT EXP-Overtime-PRD--SW</t>
  </si>
  <si>
    <t>DIRECT EXP-Overtime-PRD--CP</t>
  </si>
  <si>
    <t>DIRECT EXP-Overtime-PRD--BB</t>
  </si>
  <si>
    <t>DIRECT EXP-medical insurance-PRD--WN</t>
  </si>
  <si>
    <t>DIRECT EXP-medical insurance-PRD--WM</t>
  </si>
  <si>
    <t>DIRECT EXP-medical insurance-PRD--SW</t>
  </si>
  <si>
    <t>DIRECT EXP-medical insurance-PRD--LS</t>
  </si>
  <si>
    <t>DIRECT EXP-medical insurance-PRD--CP</t>
  </si>
  <si>
    <t>DIRECT EXP-medical insurance-PRD--AB</t>
  </si>
  <si>
    <t>DIRECT EXP-Leave Pay-PRD--WN</t>
  </si>
  <si>
    <t>DIRECT EXP-Leave Pay-PRD--SW</t>
  </si>
  <si>
    <t>DIRECT EXP-Leave Pay-PRD--CP</t>
  </si>
  <si>
    <t>DIRECT EXP-Transportation Allowance-PRD--WN</t>
  </si>
  <si>
    <t>DIRECT EXP-Transportation Allowance-PRD--SW</t>
  </si>
  <si>
    <t>DIRECT EXP-Transportation Allowance-PRD--CP</t>
  </si>
  <si>
    <t>DIRECT EXP-Transportation Allowance-PRD</t>
  </si>
  <si>
    <t>DIRECT EXP-Wages and Salaries-PRD--WN</t>
  </si>
  <si>
    <t>DIRECT EXP-Wages and Salaries-PRD--WM</t>
  </si>
  <si>
    <t>DIRECT EXP-Wages and Salaries-PRD--SW</t>
  </si>
  <si>
    <t>DIRECT EXP-Wages and Salaries-PRD--CP</t>
  </si>
  <si>
    <t>DIRECT EXP-Wages and Salaries-PRD--BB</t>
  </si>
  <si>
    <t xml:space="preserve"> COGS  VARIANCE---WN</t>
  </si>
  <si>
    <t xml:space="preserve"> COGS OVERHEAD---WN</t>
  </si>
  <si>
    <t xml:space="preserve"> COGS OVERHEAD---WM</t>
  </si>
  <si>
    <t xml:space="preserve"> COGS OVERHEAD---TIW</t>
  </si>
  <si>
    <t xml:space="preserve"> COGS OVERHEAD---TH</t>
  </si>
  <si>
    <t xml:space="preserve"> COGS OVERHEAD---SP</t>
  </si>
  <si>
    <t xml:space="preserve"> COGS OVERHEAD---PN</t>
  </si>
  <si>
    <t xml:space="preserve"> COGS OVERHEAD---DP</t>
  </si>
  <si>
    <t xml:space="preserve"> COGS OVERHEAD---CW</t>
  </si>
  <si>
    <t xml:space="preserve"> COGS OVERHEAD---CP</t>
  </si>
  <si>
    <t xml:space="preserve"> COGS OVERHEAD---BB</t>
  </si>
  <si>
    <t xml:space="preserve"> COGS OVERHEAD---AB</t>
  </si>
  <si>
    <t xml:space="preserve"> COGS INDIRECT MATERIAL---WN</t>
  </si>
  <si>
    <t xml:space="preserve"> COGS INDIRECT MATERIAL---WM</t>
  </si>
  <si>
    <t xml:space="preserve"> COGS INDIRECT MATERIAL---TIW</t>
  </si>
  <si>
    <t xml:space="preserve"> COGS INDIRECT MATERIAL---TH</t>
  </si>
  <si>
    <t xml:space="preserve"> COGS INDIRECT MATERIAL---TCN</t>
  </si>
  <si>
    <t xml:space="preserve"> COGS INDIRECT MATERIAL---SW</t>
  </si>
  <si>
    <t xml:space="preserve"> COGS INDIRECT MATERIAL---SP</t>
  </si>
  <si>
    <t xml:space="preserve"> COGS INDIRECT MATERIAL---PN</t>
  </si>
  <si>
    <t xml:space="preserve"> COGS INDIRECT MATERIAL---DP</t>
  </si>
  <si>
    <t xml:space="preserve"> COGS INDIRECT MATERIAL---CW</t>
  </si>
  <si>
    <t xml:space="preserve"> COGS INDIRECT MATERIAL---CP</t>
  </si>
  <si>
    <t xml:space="preserve"> COGS INDIRECT MATERIAL---BB</t>
  </si>
  <si>
    <t xml:space="preserve"> COGS INDIRECT MATERIAL---AB</t>
  </si>
  <si>
    <t xml:space="preserve"> COGS DIRECT LABOR---WN</t>
  </si>
  <si>
    <t xml:space="preserve"> COGS DIRECT LABOR---TIW</t>
  </si>
  <si>
    <t xml:space="preserve"> COGS DIRECT LABOR---PN</t>
  </si>
  <si>
    <t xml:space="preserve"> COGS DIRECT LABOR---DP</t>
  </si>
  <si>
    <t xml:space="preserve"> COGS DIRECT LABOR---CP</t>
  </si>
  <si>
    <t>COGS MATERIAL-PRD--WN</t>
  </si>
  <si>
    <t>COGS MATERIAL-PRD--CP</t>
  </si>
  <si>
    <t>COGS MATERIAL---WN</t>
  </si>
  <si>
    <t>COGS MATERIAL---WM</t>
  </si>
  <si>
    <t>COGS MATERIAL---TIW</t>
  </si>
  <si>
    <t>COGS MATERIAL---TH</t>
  </si>
  <si>
    <t>COGS MATERIAL---TFE</t>
  </si>
  <si>
    <t>COGS MATERIAL---TCN</t>
  </si>
  <si>
    <t>COGS MATERIAL---SW</t>
  </si>
  <si>
    <t>COGS MATERIAL---SP</t>
  </si>
  <si>
    <t>COGS MATERIAL---PN</t>
  </si>
  <si>
    <t>COGS MATERIAL---DP</t>
  </si>
  <si>
    <t>COGS MATERIAL---CW</t>
  </si>
  <si>
    <t>COGS MATERIAL---CP</t>
  </si>
  <si>
    <t>COGS MATERIAL---BB</t>
  </si>
  <si>
    <t>COGS MATERIAL---AB</t>
  </si>
  <si>
    <t>Periodice Posting</t>
  </si>
  <si>
    <t>EMPLOYEES RESTRUCTURE COST-PRD</t>
  </si>
  <si>
    <t xml:space="preserve"> WATER-DMM</t>
  </si>
  <si>
    <t xml:space="preserve"> WATER---C/F</t>
  </si>
  <si>
    <t xml:space="preserve">  GOV FEES-JED-ADM</t>
  </si>
  <si>
    <t xml:space="preserve"> WAGES AND SALARIES-PRD--WN</t>
  </si>
  <si>
    <t>DIRECT EXP-MATERIAL PURCHASING VARIANCE---WD</t>
  </si>
  <si>
    <t>DIRECT EXP-MATERIAL PURCHASING VARIANCE---SP</t>
  </si>
  <si>
    <t>DIRECT EXP-MATERIAL PURCHASING VARIANCE---PN</t>
  </si>
  <si>
    <t>DIRECT EXP-Housing Allowance-PRD--WN</t>
  </si>
  <si>
    <t>DIRECT EXP-Housing Allowance-PRD--WM</t>
  </si>
  <si>
    <t>DIRECT EXP-Housing Allowance-PRD--SW</t>
  </si>
  <si>
    <t>DIRECT EXP-Housing Allowance-PRD--CP</t>
  </si>
  <si>
    <t>DIRECT EXP-Leave Pay-PRD--WM</t>
  </si>
  <si>
    <t>DIRECT EXP-Transportation Allowance-PRD--WM</t>
  </si>
  <si>
    <t xml:space="preserve"> COGS OVERHEAD---SW</t>
  </si>
  <si>
    <t xml:space="preserve"> COGS INDIRECT MATERIAL-PRD</t>
  </si>
  <si>
    <t xml:space="preserve"> COGS INDIRECT MATERIAL---TW</t>
  </si>
  <si>
    <t xml:space="preserve"> COGS INDIRECT MATERIAL---TRSR</t>
  </si>
  <si>
    <t xml:space="preserve"> COGS DIRECT LABOR---BB</t>
  </si>
  <si>
    <t>COGS MATERIAL---TW</t>
  </si>
  <si>
    <t>COGS MATERIAL---TRSR</t>
  </si>
  <si>
    <t xml:space="preserve"> SALES REVENUE - TARIFF</t>
  </si>
  <si>
    <t>Account ID</t>
  </si>
  <si>
    <t>Account Description</t>
  </si>
  <si>
    <t>AA</t>
  </si>
  <si>
    <t>BS</t>
  </si>
  <si>
    <t>Non-Current Assets</t>
  </si>
  <si>
    <t>Leases - right of use assets</t>
  </si>
  <si>
    <t>Property, plant and equipment - Accumulated depreciation</t>
  </si>
  <si>
    <t>Depreciation/amortization of rights of use assets</t>
  </si>
  <si>
    <t>Current Assets</t>
  </si>
  <si>
    <t>Pre Operating Exps</t>
  </si>
  <si>
    <t>Amortization Of Pre Operating Exps</t>
  </si>
  <si>
    <t>Clearing account</t>
  </si>
  <si>
    <t>Bank balances</t>
  </si>
  <si>
    <t>A7</t>
  </si>
  <si>
    <t>Trade receivables - current</t>
  </si>
  <si>
    <t>Advances - current</t>
  </si>
  <si>
    <t>Non-Current Liabilities</t>
  </si>
  <si>
    <t>Petty cash</t>
  </si>
  <si>
    <t>Current Liabilities</t>
  </si>
  <si>
    <t>Prepayments - current</t>
  </si>
  <si>
    <t>Deposits - current</t>
  </si>
  <si>
    <t>Housing allowance</t>
  </si>
  <si>
    <t>Air tickets</t>
  </si>
  <si>
    <t>Furniture allowance</t>
  </si>
  <si>
    <t>Insurance</t>
  </si>
  <si>
    <t>Other receivables - current</t>
  </si>
  <si>
    <t>Family allowance</t>
  </si>
  <si>
    <t>Prepaid expense</t>
  </si>
  <si>
    <t>Raw materials - Inventory</t>
  </si>
  <si>
    <t>Spare parts - Inventory</t>
  </si>
  <si>
    <t>Packaging materials - Inventory</t>
  </si>
  <si>
    <t>Finished goods - Inventory</t>
  </si>
  <si>
    <t>Work in progress - Inventory</t>
  </si>
  <si>
    <t>Goods in transit - Inventory</t>
  </si>
  <si>
    <t>Trade payables - Foreign</t>
  </si>
  <si>
    <t>Trade payables - Local</t>
  </si>
  <si>
    <t>Other loans - current</t>
  </si>
  <si>
    <t>Landed Cost - Customs</t>
  </si>
  <si>
    <t xml:space="preserve"> Lease Obligation</t>
  </si>
  <si>
    <t>Accrued salaries and wages</t>
  </si>
  <si>
    <t>Accrued utilities</t>
  </si>
  <si>
    <t>Accrued bonus</t>
  </si>
  <si>
    <t>Accrued expenses</t>
  </si>
  <si>
    <t>Accrued leave</t>
  </si>
  <si>
    <t>Stockholder's equity</t>
  </si>
  <si>
    <t>Provisions</t>
  </si>
  <si>
    <t>Allowance for slow moving/obsolete inventories - Inventory</t>
  </si>
  <si>
    <t>Aims Holding  Current Acc</t>
  </si>
  <si>
    <t>VAT payables</t>
  </si>
  <si>
    <t>Vision Horzon Indestrial Company</t>
  </si>
  <si>
    <t>Integrated Training Company</t>
  </si>
  <si>
    <t>Alif Leading Industrial Factory</t>
  </si>
  <si>
    <t>IS</t>
  </si>
  <si>
    <t>Trading revenue</t>
  </si>
  <si>
    <t>Scrap sales</t>
  </si>
  <si>
    <t>Gain/Loss on Sale of FA — other income</t>
  </si>
  <si>
    <t>Other expenses</t>
  </si>
  <si>
    <t>Overtime pay</t>
  </si>
  <si>
    <t>Transportation allowance</t>
  </si>
  <si>
    <t>Food and housing</t>
  </si>
  <si>
    <t>Leave pay</t>
  </si>
  <si>
    <t>Medical insurance</t>
  </si>
  <si>
    <t>Iqama renewal</t>
  </si>
  <si>
    <t>Consumables</t>
  </si>
  <si>
    <t>Indirect Salaries — factory supervisory / indirect floor labour (COGS)</t>
  </si>
  <si>
    <t xml:space="preserve">Food &amp; Housing </t>
  </si>
  <si>
    <t>Government fees</t>
  </si>
  <si>
    <t>Vacation pay</t>
  </si>
  <si>
    <t>EOS expenses</t>
  </si>
  <si>
    <t xml:space="preserve">Education &amp; Furniture Allowances </t>
  </si>
  <si>
    <t>Telephone allowance</t>
  </si>
  <si>
    <t>Tools</t>
  </si>
  <si>
    <t>Electricity expenses</t>
  </si>
  <si>
    <t>Water expenses</t>
  </si>
  <si>
    <t>Fuel and oil</t>
  </si>
  <si>
    <t>Machine and equipment</t>
  </si>
  <si>
    <t>Vehicle maintenance</t>
  </si>
  <si>
    <t>Building maintenance</t>
  </si>
  <si>
    <t>Office equipment maintenance</t>
  </si>
  <si>
    <t>Pump rental expenses</t>
  </si>
  <si>
    <t>Building insurance</t>
  </si>
  <si>
    <t>Machine and equipment insurance</t>
  </si>
  <si>
    <t>Production hall rental</t>
  </si>
  <si>
    <t>Depreciation of property, plant and equipment</t>
  </si>
  <si>
    <t>Rental labor</t>
  </si>
  <si>
    <t>Inspection expenses</t>
  </si>
  <si>
    <t>Hadaf program</t>
  </si>
  <si>
    <t>Indemnities</t>
  </si>
  <si>
    <t>Other general and administrative expenses</t>
  </si>
  <si>
    <t>Transportation expenses</t>
  </si>
  <si>
    <t>Selling and Marketing</t>
  </si>
  <si>
    <t>Food expenses</t>
  </si>
  <si>
    <t>Accommodation expenses</t>
  </si>
  <si>
    <t xml:space="preserve">Employee Medical Emergency Expenses </t>
  </si>
  <si>
    <t xml:space="preserve">Incentives </t>
  </si>
  <si>
    <t xml:space="preserve">Postage &amp; Printing </t>
  </si>
  <si>
    <t>Magazines &amp; News Papers Exp.</t>
  </si>
  <si>
    <t>Stationery expenses</t>
  </si>
  <si>
    <t>Vehicle insurance</t>
  </si>
  <si>
    <t>Lease interest</t>
  </si>
  <si>
    <t>Bussiness trip expenses</t>
  </si>
  <si>
    <t xml:space="preserve">Cleaning Expenses </t>
  </si>
  <si>
    <t>Recruitment</t>
  </si>
  <si>
    <t>Licenses and fees</t>
  </si>
  <si>
    <t>Bank charges</t>
  </si>
  <si>
    <t>Zakat</t>
  </si>
  <si>
    <t>Sadagat expense</t>
  </si>
  <si>
    <t>Warehouse Rent ( Khamis, Rioyadh, Dammam)</t>
  </si>
  <si>
    <t>Outbound freight / shipping — reclassified below gross profit under IFRS</t>
  </si>
  <si>
    <t>GOSI</t>
  </si>
  <si>
    <t>Amortization</t>
  </si>
  <si>
    <t>3rd Industrial Area Lease Provision</t>
  </si>
  <si>
    <t xml:space="preserve">Sales Office Rent (Dammam) </t>
  </si>
  <si>
    <t>Aims Holding current account expense — per Sep-26 IFRS report</t>
  </si>
  <si>
    <t>Customs duties</t>
  </si>
  <si>
    <t>Customs clearance</t>
  </si>
  <si>
    <t>Accrued tickets</t>
  </si>
  <si>
    <t>Accrued expenses - duties</t>
  </si>
  <si>
    <t>Ticket and visa allowance</t>
  </si>
  <si>
    <t>Recruitment Expense</t>
  </si>
  <si>
    <t>Customer Penalties / Sales Claims</t>
  </si>
  <si>
    <t xml:space="preserve"> Reference File (FS report 202609 IFRS)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</si>
</sst>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0;[Red]\(#,##0\)"/>
    <numFmt numFmtId="165" formatCode="0.0%"/>
    <numFmt numFmtId="166" formatCode="_(* #,##0_);_(* \(#,##0\);_(* &quot;-&quot;??_);_(@_)"/>
    <numFmt numFmtId="167" formatCode="#,##0.0_);\(#,##0.0\)"/>
    <numFmt numFmtId="168" formatCode="#,##0.0_);[Red]\(#,##0.0\)"/>
    <numFmt numFmtId="169" formatCode="#,##0.00;[Red]\(#,##0.00\);\-"/>
    <numFmt numFmtId="170" formatCode="#,##0.00;[Red]\(#,##0.00\);&quot;-&quot;"/>
  </numFmts>
  <fonts count="55" x14ac:knownFonts="1">
    <font>
      <sz val="11"/>
      <color theme="1"/>
      <name val="Calibri"/>
      <family val="2"/>
      <scheme val="minor"/>
    </font>
    <font>
      <b/>
      <sz val="11"/>
      <name val="Calibri"/>
      <family val="2"/>
    </font>
    <font>
      <sz val="11"/>
      <name val="Calibri"/>
      <family val="2"/>
    </font>
    <font>
      <b/>
      <sz val="10"/>
      <name val="Calibri"/>
      <family val="2"/>
      <scheme val="minor"/>
    </font>
    <font>
      <sz val="10"/>
      <name val="Calibri"/>
      <family val="2"/>
      <scheme val="minor"/>
    </font>
    <font>
      <sz val="10"/>
      <color theme="0"/>
      <name val="Calibri"/>
      <family val="2"/>
      <scheme val="minor"/>
    </font>
    <font>
      <b/>
      <sz val="11"/>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1"/>
      <color theme="0"/>
      <name val="Calibri"/>
      <family val="2"/>
      <scheme val="minor"/>
    </font>
    <font>
      <b/>
      <sz val="11"/>
      <name val="Calibri"/>
      <family val="2"/>
      <scheme val="minor"/>
    </font>
    <font>
      <b/>
      <sz val="11"/>
      <color theme="1"/>
      <name val="Calibri"/>
      <family val="2"/>
      <scheme val="minor"/>
    </font>
    <font>
      <sz val="9"/>
      <color theme="1"/>
      <name val="Calibri"/>
      <family val="2"/>
      <scheme val="minor"/>
    </font>
    <font>
      <sz val="11"/>
      <color rgb="FFFF0000"/>
      <name val="Calibri"/>
      <family val="2"/>
      <scheme val="minor"/>
    </font>
    <font>
      <sz val="11"/>
      <color rgb="FF000000"/>
      <name val="Calibri"/>
      <family val="2"/>
      <scheme val="minor"/>
    </font>
    <font>
      <b/>
      <sz val="11"/>
      <color rgb="FF000000"/>
      <name val="Calibri"/>
      <family val="2"/>
      <scheme val="minor"/>
    </font>
    <font>
      <sz val="11"/>
      <color indexed="9"/>
      <name val="Calibri"/>
      <family val="2"/>
      <scheme val="minor"/>
    </font>
    <font>
      <b/>
      <sz val="10.5"/>
      <name val="Calibri"/>
      <family val="2"/>
      <scheme val="minor"/>
    </font>
    <font>
      <sz val="10.5"/>
      <name val="Calibri"/>
      <family val="2"/>
      <scheme val="minor"/>
    </font>
    <font>
      <b/>
      <sz val="10.5"/>
      <color theme="0"/>
      <name val="Calibri"/>
      <family val="2"/>
      <scheme val="minor"/>
    </font>
    <font>
      <b/>
      <sz val="11"/>
      <color rgb="FF1F3864"/>
      <name val="Calibri"/>
      <family val="2"/>
    </font>
    <font>
      <i/>
      <sz val="9"/>
      <color rgb="FF595959"/>
      <name val="Calibri"/>
      <family val="2"/>
    </font>
    <font>
      <b/>
      <sz val="11"/>
      <color rgb="FFFFFFFF"/>
      <name val="Calibri"/>
      <family val="2"/>
    </font>
    <font>
      <sz val="10"/>
      <name val="Calibri"/>
      <family val="2"/>
    </font>
    <font>
      <b/>
      <sz val="10"/>
      <name val="Calibri"/>
      <family val="2"/>
    </font>
    <font>
      <b/>
      <sz val="14"/>
      <color rgb="FF1F3864"/>
      <name val="Calibri"/>
      <family val="2"/>
    </font>
    <font>
      <i/>
      <sz val="10"/>
      <color rgb="FF595959"/>
      <name val="Calibri"/>
      <family val="2"/>
    </font>
    <font>
      <i/>
      <sz val="8"/>
      <color rgb="FF808080"/>
      <name val="Calibri"/>
      <family val="2"/>
    </font>
    <font>
      <sz val="10"/>
      <color rgb="FF0000CC"/>
      <name val="Calibri"/>
      <family val="2"/>
    </font>
    <font>
      <b/>
      <sz val="10"/>
      <color rgb="FF006100"/>
      <name val="Calibri"/>
      <family val="2"/>
    </font>
    <font>
      <i/>
      <sz val="8"/>
      <color rgb="FF808080"/>
      <name val="Calibri"/>
      <family val="2"/>
    </font>
    <font>
      <sz val="10"/>
      <color rgb="FF0000CC"/>
      <name val="Calibri"/>
      <family val="2"/>
    </font>
    <font>
      <sz val="11"/>
      <color theme="1"/>
      <name val="Calibri"/>
      <family val="2"/>
      <scheme val="minor"/>
    </font>
    <font>
      <b/>
      <sz val="8"/>
      <color theme="1"/>
      <name val="Calibri"/>
      <family val="2"/>
      <scheme val="minor"/>
    </font>
    <font>
      <b/>
      <sz val="16"/>
      <color rgb="FFFFFFFF"/>
      <name val="Calibri"/>
      <family val="2"/>
    </font>
    <font>
      <i/>
      <sz val="10"/>
      <color rgb="FF666666"/>
      <name val="Calibri"/>
      <family val="2"/>
    </font>
    <font>
      <b/>
      <sz val="10"/>
      <color rgb="FFFFFFFF"/>
      <name val="Calibri"/>
      <family val="2"/>
    </font>
    <font>
      <sz val="9"/>
      <color rgb="FF1F1F1F"/>
      <name val="Calibri"/>
      <family val="2"/>
    </font>
    <font>
      <b/>
      <sz val="11"/>
      <color rgb="FFFFFFFF"/>
      <name val="Calibri"/>
      <family val="2"/>
    </font>
    <font>
      <b/>
      <sz val="9"/>
      <color rgb="FFFFFFFF"/>
      <name val="Calibri"/>
      <family val="2"/>
    </font>
    <font>
      <b/>
      <sz val="16"/>
      <color rgb="FFFFFFFF"/>
      <name val="Calibri"/>
    </font>
    <font>
      <i/>
      <sz val="10"/>
      <color rgb="FF666666"/>
      <name val="Calibri"/>
    </font>
    <font>
      <b/>
      <sz val="10"/>
      <color rgb="FFFFFFFF"/>
      <name val="Calibri"/>
    </font>
    <font>
      <b/>
      <sz val="12"/>
      <color rgb="FFFFFFFF"/>
      <name val="Calibri"/>
    </font>
    <font>
      <b/>
      <sz val="10.5"/>
      <color rgb="FF1F3864"/>
      <name val="Calibri"/>
    </font>
    <font>
      <i/>
      <sz val="8"/>
      <color rgb="FF595959"/>
      <name val="Calibri"/>
    </font>
    <font>
      <sz val="9"/>
      <color rgb="FF1F1F1F"/>
      <name val="Calibri"/>
    </font>
    <font>
      <sz val="9"/>
      <color rgb="FF0000FF"/>
      <name val="Calibri"/>
    </font>
    <font>
      <b/>
      <i/>
      <sz val="9"/>
      <color rgb="FF1F4E78"/>
      <name val="Calibri"/>
    </font>
    <font>
      <b/>
      <sz val="9"/>
      <color rgb="FF1F1F1F"/>
      <name val="Calibri"/>
    </font>
    <font>
      <b/>
      <sz val="9"/>
      <color rgb="FF0000FF"/>
      <name val="Calibri"/>
    </font>
    <font>
      <i/>
      <sz val="8.5"/>
      <color rgb="FF595959"/>
      <name val="Calibri"/>
    </font>
    <font>
      <b/>
      <sz val="9"/>
      <color rgb="FF1F3864"/>
      <name val="Calibri"/>
    </font>
    <font>
      <sz val="9.5"/>
      <color rgb="FF1F1F1F"/>
      <name val="Calibri"/>
    </font>
  </fonts>
  <fills count="29">
    <fill>
      <patternFill patternType="none"/>
    </fill>
    <fill>
      <patternFill patternType="gray125"/>
    </fill>
    <fill>
      <patternFill patternType="solid">
        <fgColor theme="0"/>
        <bgColor indexed="64"/>
      </patternFill>
    </fill>
    <fill>
      <patternFill patternType="solid">
        <fgColor rgb="FF075669"/>
        <bgColor indexed="64"/>
      </patternFill>
    </fill>
    <fill>
      <patternFill patternType="solid">
        <fgColor theme="2"/>
        <bgColor indexed="64"/>
      </patternFill>
    </fill>
    <fill>
      <patternFill patternType="solid">
        <fgColor rgb="FF075669"/>
        <bgColor indexed="8"/>
      </patternFill>
    </fill>
    <fill>
      <patternFill patternType="solid">
        <fgColor theme="3" tint="0.79998168889431442"/>
        <bgColor indexed="64"/>
      </patternFill>
    </fill>
    <fill>
      <patternFill patternType="solid">
        <fgColor theme="1"/>
        <bgColor indexed="64"/>
      </patternFill>
    </fill>
    <fill>
      <patternFill patternType="solid">
        <fgColor rgb="FFFFFF00"/>
        <bgColor indexed="64"/>
      </patternFill>
    </fill>
    <fill>
      <patternFill patternType="solid">
        <fgColor rgb="FFFFC000"/>
        <bgColor indexed="64"/>
      </patternFill>
    </fill>
    <fill>
      <patternFill patternType="solid">
        <fgColor theme="5" tint="0.39997558519241921"/>
        <bgColor indexed="64"/>
      </patternFill>
    </fill>
    <fill>
      <patternFill patternType="solid">
        <fgColor rgb="FF1F3864"/>
      </patternFill>
    </fill>
    <fill>
      <patternFill patternType="solid">
        <fgColor rgb="FFFFF2CC"/>
      </patternFill>
    </fill>
    <fill>
      <patternFill patternType="solid">
        <fgColor rgb="FFD9E2F3"/>
      </patternFill>
    </fill>
    <fill>
      <patternFill patternType="solid">
        <fgColor rgb="FFB8CCE4"/>
      </patternFill>
    </fill>
    <fill>
      <patternFill patternType="solid">
        <fgColor rgb="FF17365D"/>
      </patternFill>
    </fill>
    <fill>
      <patternFill patternType="solid">
        <fgColor rgb="FFD9EAF7"/>
      </patternFill>
    </fill>
    <fill>
      <patternFill patternType="solid">
        <fgColor rgb="FF1F4E78"/>
      </patternFill>
    </fill>
    <fill>
      <patternFill patternType="solid">
        <fgColor rgb="FFFFFFFF"/>
      </patternFill>
    </fill>
    <fill>
      <patternFill patternType="solid">
        <fgColor rgb="FFEAF2F8"/>
      </patternFill>
    </fill>
    <fill>
      <patternFill patternType="solid">
        <fgColor rgb="FFE2EFDA"/>
      </patternFill>
    </fill>
    <fill>
      <patternFill patternType="solid">
        <fgColor rgb="FF17365D"/>
      </patternFill>
    </fill>
    <fill>
      <patternFill patternType="solid">
        <fgColor rgb="FFD9EAF7"/>
      </patternFill>
    </fill>
    <fill>
      <patternFill patternType="solid">
        <fgColor rgb="FF1F4E78"/>
      </patternFill>
    </fill>
    <fill>
      <patternFill patternType="solid">
        <fgColor rgb="FF1F3864"/>
      </patternFill>
    </fill>
    <fill>
      <patternFill patternType="solid">
        <fgColor rgb="FFD9E2F3"/>
      </patternFill>
    </fill>
    <fill>
      <patternFill patternType="solid">
        <fgColor rgb="FFF2F2F2"/>
      </patternFill>
    </fill>
    <fill>
      <patternFill patternType="solid">
        <fgColor rgb="FFEAF2F8"/>
      </patternFill>
    </fill>
    <fill>
      <patternFill patternType="solid">
        <fgColor rgb="FFFFF2CC"/>
      </patternFill>
    </fill>
  </fills>
  <borders count="14">
    <border>
      <left/>
      <right/>
      <top/>
      <bottom/>
      <diagonal/>
    </border>
    <border>
      <left/>
      <right/>
      <top style="medium">
        <color indexed="64"/>
      </top>
      <bottom/>
      <diagonal/>
    </border>
    <border>
      <left/>
      <right/>
      <top/>
      <bottom style="thin">
        <color indexed="64"/>
      </bottom>
      <diagonal/>
    </border>
    <border>
      <left/>
      <right/>
      <top style="thin">
        <color indexed="64"/>
      </top>
      <bottom style="thin">
        <color indexed="64"/>
      </bottom>
      <diagonal/>
    </border>
    <border>
      <left/>
      <right/>
      <top/>
      <bottom style="double">
        <color auto="1"/>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rgb="FF1F3864"/>
      </top>
      <bottom/>
      <diagonal/>
    </border>
    <border>
      <left/>
      <right/>
      <top style="double">
        <color rgb="FF1F3864"/>
      </top>
      <bottom/>
      <diagonal/>
    </border>
    <border>
      <left/>
      <right/>
      <top style="medium">
        <color rgb="FF17365D"/>
      </top>
      <bottom style="medium">
        <color rgb="FF17365D"/>
      </bottom>
      <diagonal/>
    </border>
    <border>
      <left/>
      <right/>
      <top/>
      <bottom style="thin">
        <color rgb="FFB4C7E7"/>
      </bottom>
      <diagonal/>
    </border>
    <border>
      <left style="thin">
        <color rgb="FFBFBFBF"/>
      </left>
      <right style="thin">
        <color rgb="FFBFBFBF"/>
      </right>
      <top style="thin">
        <color rgb="FFBFBFBF"/>
      </top>
      <bottom style="medium">
        <color rgb="FF1F4E78"/>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595959"/>
      </top>
      <bottom style="double">
        <color rgb="FF595959"/>
      </bottom>
      <diagonal/>
    </border>
  </borders>
  <cellStyleXfs count="3">
    <xf numFmtId="0" fontId="0" fillId="0" borderId="0"/>
    <xf numFmtId="43" fontId="33" fillId="0" borderId="0"/>
    <xf numFmtId="43" fontId="33" fillId="0" borderId="0"/>
  </cellStyleXfs>
  <cellXfs count="220">
    <xf numFmtId="0" fontId="0" fillId="0" borderId="0" xfId="0"/>
    <xf numFmtId="0" fontId="26" fillId="0" borderId="0" xfId="0" applyFont="1" applyAlignment="1">
      <alignment horizontal="left" vertical="top" wrapText="1"/>
    </xf>
    <xf numFmtId="0" fontId="27" fillId="0" borderId="0" xfId="0" applyFont="1" applyAlignment="1">
      <alignment horizontal="left" vertical="top" wrapText="1"/>
    </xf>
    <xf numFmtId="0" fontId="24" fillId="0" borderId="0" xfId="0" applyFont="1" applyAlignment="1">
      <alignment horizontal="left" vertical="top" wrapText="1"/>
    </xf>
    <xf numFmtId="0" fontId="21" fillId="0" borderId="0" xfId="0" applyFont="1" applyAlignment="1">
      <alignment horizontal="left" vertical="top" wrapText="1"/>
    </xf>
    <xf numFmtId="0" fontId="22" fillId="0" borderId="0" xfId="0" applyFont="1" applyAlignment="1">
      <alignment horizontal="left" vertical="top" wrapText="1"/>
    </xf>
    <xf numFmtId="0" fontId="26" fillId="0" borderId="0" xfId="0" applyFont="1"/>
    <xf numFmtId="0" fontId="27" fillId="0" borderId="0" xfId="0" applyFont="1"/>
    <xf numFmtId="0" fontId="23" fillId="11" borderId="0" xfId="0" applyFont="1" applyFill="1" applyAlignment="1">
      <alignment horizontal="left" vertical="center"/>
    </xf>
    <xf numFmtId="0" fontId="23" fillId="11" borderId="0" xfId="0" applyFont="1" applyFill="1" applyAlignment="1">
      <alignment horizontal="center" vertical="center"/>
    </xf>
    <xf numFmtId="0" fontId="21" fillId="13" borderId="0" xfId="0" applyFont="1" applyFill="1"/>
    <xf numFmtId="0" fontId="0" fillId="13" borderId="0" xfId="0" applyFill="1"/>
    <xf numFmtId="0" fontId="25" fillId="0" borderId="0" xfId="0" applyFont="1" applyAlignment="1">
      <alignment horizontal="left" vertical="center"/>
    </xf>
    <xf numFmtId="0" fontId="30" fillId="0" borderId="0" xfId="0" applyFont="1" applyAlignment="1">
      <alignment horizontal="center" vertical="center"/>
    </xf>
    <xf numFmtId="0" fontId="22" fillId="0" borderId="0" xfId="0" applyFont="1" applyAlignment="1">
      <alignment horizontal="left" vertical="center"/>
    </xf>
    <xf numFmtId="1" fontId="24" fillId="0" borderId="0" xfId="0" applyNumberFormat="1" applyFont="1" applyAlignment="1">
      <alignment horizontal="right" vertical="center"/>
    </xf>
    <xf numFmtId="0" fontId="24" fillId="0" borderId="0" xfId="0" applyFont="1" applyAlignment="1">
      <alignment horizontal="left" vertical="center"/>
    </xf>
    <xf numFmtId="164" fontId="24" fillId="0" borderId="0" xfId="0" applyNumberFormat="1" applyFont="1" applyAlignment="1">
      <alignment horizontal="right" vertical="center"/>
    </xf>
    <xf numFmtId="0" fontId="24" fillId="0" borderId="0" xfId="0" applyFont="1"/>
    <xf numFmtId="0" fontId="21" fillId="0" borderId="0" xfId="0" applyFont="1"/>
    <xf numFmtId="0" fontId="23" fillId="11" borderId="0" xfId="0" applyFont="1" applyFill="1"/>
    <xf numFmtId="164" fontId="23" fillId="11" borderId="0" xfId="0" applyNumberFormat="1" applyFont="1" applyFill="1" applyAlignment="1">
      <alignment horizontal="center" vertical="center"/>
    </xf>
    <xf numFmtId="0" fontId="28" fillId="0" borderId="0" xfId="0" applyFont="1"/>
    <xf numFmtId="0" fontId="25" fillId="0" borderId="0" xfId="0" applyFont="1"/>
    <xf numFmtId="164" fontId="25" fillId="0" borderId="0" xfId="0" applyNumberFormat="1" applyFont="1" applyAlignment="1">
      <alignment horizontal="right" vertical="center"/>
    </xf>
    <xf numFmtId="0" fontId="25" fillId="14" borderId="0" xfId="0" applyFont="1" applyFill="1"/>
    <xf numFmtId="0" fontId="0" fillId="14" borderId="0" xfId="0" applyFill="1"/>
    <xf numFmtId="164" fontId="25" fillId="14" borderId="0" xfId="0" applyNumberFormat="1" applyFont="1" applyFill="1" applyAlignment="1">
      <alignment horizontal="right" vertical="center"/>
    </xf>
    <xf numFmtId="164" fontId="21" fillId="0" borderId="7" xfId="0" applyNumberFormat="1" applyFont="1" applyBorder="1" applyAlignment="1">
      <alignment horizontal="right" vertical="center"/>
    </xf>
    <xf numFmtId="0" fontId="22" fillId="0" borderId="0" xfId="0" applyFont="1"/>
    <xf numFmtId="165" fontId="22" fillId="0" borderId="0" xfId="0" applyNumberFormat="1" applyFont="1" applyAlignment="1">
      <alignment horizontal="right" vertical="center"/>
    </xf>
    <xf numFmtId="164" fontId="21" fillId="0" borderId="8" xfId="0" applyNumberFormat="1" applyFont="1" applyBorder="1" applyAlignment="1">
      <alignment horizontal="right" vertical="center"/>
    </xf>
    <xf numFmtId="164" fontId="29" fillId="12" borderId="0" xfId="0" applyNumberFormat="1" applyFont="1" applyFill="1" applyAlignment="1">
      <alignment horizontal="right" vertical="center"/>
    </xf>
    <xf numFmtId="164" fontId="21" fillId="0" borderId="0" xfId="0" applyNumberFormat="1" applyFont="1" applyAlignment="1">
      <alignment horizontal="right" vertical="center"/>
    </xf>
    <xf numFmtId="2" fontId="22" fillId="0" borderId="0" xfId="0" applyNumberFormat="1" applyFont="1" applyAlignment="1">
      <alignment horizontal="right" vertical="center"/>
    </xf>
    <xf numFmtId="0" fontId="29" fillId="0" borderId="0" xfId="0" applyFont="1"/>
    <xf numFmtId="164" fontId="25" fillId="0" borderId="7" xfId="0" applyNumberFormat="1" applyFont="1" applyBorder="1" applyAlignment="1">
      <alignment horizontal="right" vertical="center"/>
    </xf>
    <xf numFmtId="164" fontId="25" fillId="12" borderId="0" xfId="0" applyNumberFormat="1" applyFont="1" applyFill="1" applyAlignment="1">
      <alignment horizontal="right" vertical="center"/>
    </xf>
    <xf numFmtId="1" fontId="0" fillId="0" borderId="0" xfId="0" applyNumberFormat="1"/>
    <xf numFmtId="0" fontId="25" fillId="0" borderId="0" xfId="0" applyFont="1" applyAlignment="1">
      <alignment horizontal="center" vertical="center"/>
    </xf>
    <xf numFmtId="0" fontId="1" fillId="0" borderId="0" xfId="0" applyFont="1" applyAlignment="1">
      <alignment horizontal="center"/>
    </xf>
    <xf numFmtId="0" fontId="1" fillId="0" borderId="0" xfId="0" applyFont="1"/>
    <xf numFmtId="0" fontId="2" fillId="0" borderId="0" xfId="0" applyFont="1" applyAlignment="1">
      <alignment horizontal="center"/>
    </xf>
    <xf numFmtId="0" fontId="2" fillId="0" borderId="0" xfId="0" applyFont="1"/>
    <xf numFmtId="166" fontId="2" fillId="0" borderId="0" xfId="0" applyNumberFormat="1" applyFont="1"/>
    <xf numFmtId="166" fontId="1" fillId="0" borderId="0" xfId="0" applyNumberFormat="1" applyFont="1"/>
    <xf numFmtId="0" fontId="3" fillId="2" borderId="0" xfId="0" applyFont="1" applyFill="1"/>
    <xf numFmtId="0" fontId="4" fillId="2" borderId="1" xfId="0" applyFont="1" applyFill="1" applyBorder="1" applyAlignment="1">
      <alignment vertical="center"/>
    </xf>
    <xf numFmtId="0" fontId="3" fillId="0" borderId="0" xfId="0" applyFont="1" applyAlignment="1">
      <alignment horizontal="right" vertical="center"/>
    </xf>
    <xf numFmtId="0" fontId="3" fillId="2" borderId="0" xfId="0" applyFont="1" applyFill="1" applyAlignment="1">
      <alignment vertical="center"/>
    </xf>
    <xf numFmtId="0" fontId="3" fillId="0" borderId="0" xfId="0" applyFont="1" applyAlignment="1">
      <alignment horizontal="center"/>
    </xf>
    <xf numFmtId="0" fontId="4" fillId="0" borderId="0" xfId="0" applyFont="1" applyAlignment="1">
      <alignment horizontal="center"/>
    </xf>
    <xf numFmtId="0" fontId="5" fillId="2" borderId="0" xfId="0" applyFont="1" applyFill="1" applyAlignment="1">
      <alignment horizontal="center"/>
    </xf>
    <xf numFmtId="0" fontId="5" fillId="0" borderId="0" xfId="0" applyFont="1" applyAlignment="1">
      <alignment horizontal="center"/>
    </xf>
    <xf numFmtId="0" fontId="31" fillId="0" borderId="0" xfId="0" applyFont="1"/>
    <xf numFmtId="0" fontId="3" fillId="0" borderId="0" xfId="0" applyFont="1" applyAlignment="1">
      <alignment vertical="center"/>
    </xf>
    <xf numFmtId="0" fontId="3" fillId="0" borderId="2" xfId="0" applyFont="1" applyBorder="1" applyAlignment="1">
      <alignment horizontal="centerContinuous"/>
    </xf>
    <xf numFmtId="0" fontId="4" fillId="2" borderId="2" xfId="0" applyFont="1" applyFill="1" applyBorder="1" applyAlignment="1">
      <alignment horizontal="centerContinuous"/>
    </xf>
    <xf numFmtId="166" fontId="6" fillId="3" borderId="3" xfId="0" applyNumberFormat="1" applyFont="1" applyFill="1" applyBorder="1" applyAlignment="1">
      <alignment horizontal="center" vertical="center"/>
    </xf>
    <xf numFmtId="0" fontId="6" fillId="3" borderId="3" xfId="0" applyFont="1" applyFill="1" applyBorder="1" applyAlignment="1">
      <alignment horizontal="center" vertical="center"/>
    </xf>
    <xf numFmtId="3" fontId="4" fillId="0" borderId="0" xfId="0" applyNumberFormat="1" applyFont="1" applyAlignment="1">
      <alignment horizontal="right" vertical="center"/>
    </xf>
    <xf numFmtId="0" fontId="4" fillId="2" borderId="0" xfId="0" applyFont="1" applyFill="1" applyAlignment="1">
      <alignment vertical="center"/>
    </xf>
    <xf numFmtId="166" fontId="7" fillId="0" borderId="0" xfId="0" applyNumberFormat="1" applyFont="1" applyAlignment="1">
      <alignment horizontal="right" vertical="center"/>
    </xf>
    <xf numFmtId="166" fontId="7" fillId="2" borderId="0" xfId="0" applyNumberFormat="1" applyFont="1" applyFill="1" applyAlignment="1">
      <alignment horizontal="right" vertical="center"/>
    </xf>
    <xf numFmtId="166" fontId="8" fillId="2" borderId="3" xfId="0" applyNumberFormat="1" applyFont="1" applyFill="1" applyBorder="1" applyAlignment="1">
      <alignment horizontal="right" vertical="center"/>
    </xf>
    <xf numFmtId="166" fontId="7" fillId="2" borderId="0" xfId="0" applyNumberFormat="1" applyFont="1" applyFill="1" applyAlignment="1">
      <alignment vertical="center"/>
    </xf>
    <xf numFmtId="166" fontId="8" fillId="2" borderId="0" xfId="0" applyNumberFormat="1" applyFont="1" applyFill="1" applyAlignment="1">
      <alignment horizontal="right" vertical="center"/>
    </xf>
    <xf numFmtId="166" fontId="9" fillId="3" borderId="4" xfId="0" applyNumberFormat="1" applyFont="1" applyFill="1" applyBorder="1" applyAlignment="1">
      <alignment horizontal="right" vertical="center"/>
    </xf>
    <xf numFmtId="166" fontId="8" fillId="2" borderId="0" xfId="0" applyNumberFormat="1" applyFont="1" applyFill="1" applyAlignment="1">
      <alignment vertical="center"/>
    </xf>
    <xf numFmtId="166" fontId="8" fillId="2" borderId="0" xfId="0" applyNumberFormat="1" applyFont="1" applyFill="1"/>
    <xf numFmtId="166" fontId="7" fillId="2" borderId="0" xfId="0" applyNumberFormat="1" applyFont="1" applyFill="1"/>
    <xf numFmtId="0" fontId="4" fillId="2" borderId="0" xfId="0" applyFont="1" applyFill="1"/>
    <xf numFmtId="43" fontId="7" fillId="2" borderId="0" xfId="0" applyNumberFormat="1" applyFont="1" applyFill="1"/>
    <xf numFmtId="43" fontId="4" fillId="0" borderId="0" xfId="0" applyNumberFormat="1" applyFont="1"/>
    <xf numFmtId="0" fontId="4" fillId="0" borderId="0" xfId="0" applyFont="1"/>
    <xf numFmtId="166" fontId="4" fillId="0" borderId="0" xfId="0" applyNumberFormat="1" applyFont="1"/>
    <xf numFmtId="166" fontId="3" fillId="0" borderId="0" xfId="0" applyNumberFormat="1" applyFont="1"/>
    <xf numFmtId="166" fontId="10" fillId="0" borderId="0" xfId="0" applyNumberFormat="1" applyFont="1" applyAlignment="1">
      <alignment horizontal="center"/>
    </xf>
    <xf numFmtId="0" fontId="10" fillId="0" borderId="0" xfId="0" applyFont="1" applyAlignment="1">
      <alignment horizontal="center"/>
    </xf>
    <xf numFmtId="0" fontId="10" fillId="0" borderId="0" xfId="0" applyFont="1"/>
    <xf numFmtId="0" fontId="11" fillId="0" borderId="2" xfId="0" applyFont="1" applyBorder="1" applyAlignment="1">
      <alignment horizontal="centerContinuous"/>
    </xf>
    <xf numFmtId="0" fontId="12" fillId="0" borderId="2" xfId="0" applyFont="1" applyBorder="1" applyAlignment="1">
      <alignment horizontal="centerContinuous"/>
    </xf>
    <xf numFmtId="166" fontId="0" fillId="0" borderId="0" xfId="0" applyNumberFormat="1" applyAlignment="1">
      <alignment horizontal="center"/>
    </xf>
    <xf numFmtId="166" fontId="32" fillId="0" borderId="0" xfId="0" applyNumberFormat="1" applyFont="1" applyAlignment="1">
      <alignment horizontal="center"/>
    </xf>
    <xf numFmtId="166" fontId="13" fillId="0" borderId="0" xfId="0" applyNumberFormat="1" applyFont="1" applyAlignment="1">
      <alignment horizontal="center"/>
    </xf>
    <xf numFmtId="0" fontId="12" fillId="0" borderId="0" xfId="0" applyFont="1"/>
    <xf numFmtId="166" fontId="12" fillId="0" borderId="2" xfId="0" applyNumberFormat="1" applyFont="1" applyBorder="1" applyAlignment="1">
      <alignment horizontal="center"/>
    </xf>
    <xf numFmtId="9" fontId="12" fillId="0" borderId="0" xfId="0" applyNumberFormat="1" applyFont="1" applyAlignment="1">
      <alignment horizontal="center"/>
    </xf>
    <xf numFmtId="166" fontId="0" fillId="0" borderId="0" xfId="0" applyNumberFormat="1"/>
    <xf numFmtId="166" fontId="14" fillId="0" borderId="0" xfId="0" applyNumberFormat="1" applyFont="1"/>
    <xf numFmtId="166" fontId="12" fillId="0" borderId="2" xfId="0" applyNumberFormat="1" applyFont="1" applyBorder="1"/>
    <xf numFmtId="0" fontId="0" fillId="0" borderId="2" xfId="0" applyBorder="1"/>
    <xf numFmtId="38" fontId="12" fillId="0" borderId="0" xfId="0" applyNumberFormat="1" applyFont="1"/>
    <xf numFmtId="165" fontId="13" fillId="0" borderId="0" xfId="0" applyNumberFormat="1" applyFont="1" applyAlignment="1">
      <alignment horizontal="center"/>
    </xf>
    <xf numFmtId="166" fontId="15" fillId="0" borderId="0" xfId="0" applyNumberFormat="1" applyFont="1"/>
    <xf numFmtId="165" fontId="15" fillId="0" borderId="0" xfId="0" applyNumberFormat="1" applyFont="1"/>
    <xf numFmtId="166" fontId="15" fillId="0" borderId="2" xfId="0" applyNumberFormat="1" applyFont="1" applyBorder="1"/>
    <xf numFmtId="166" fontId="12" fillId="0" borderId="0" xfId="0" applyNumberFormat="1" applyFont="1"/>
    <xf numFmtId="38" fontId="12" fillId="0" borderId="0" xfId="0" applyNumberFormat="1" applyFont="1" applyAlignment="1">
      <alignment vertical="center"/>
    </xf>
    <xf numFmtId="38" fontId="11" fillId="0" borderId="5" xfId="0" applyNumberFormat="1" applyFont="1" applyBorder="1" applyAlignment="1">
      <alignment vertical="center"/>
    </xf>
    <xf numFmtId="166" fontId="0" fillId="0" borderId="2" xfId="0" applyNumberFormat="1" applyBorder="1"/>
    <xf numFmtId="166" fontId="0" fillId="0" borderId="2" xfId="0" applyNumberFormat="1" applyBorder="1" applyAlignment="1">
      <alignment horizontal="center"/>
    </xf>
    <xf numFmtId="0" fontId="12" fillId="0" borderId="0" xfId="0" applyFont="1" applyAlignment="1">
      <alignment vertical="center"/>
    </xf>
    <xf numFmtId="166" fontId="16" fillId="0" borderId="3" xfId="0" applyNumberFormat="1" applyFont="1" applyBorder="1" applyAlignment="1">
      <alignment vertical="center"/>
    </xf>
    <xf numFmtId="167" fontId="15" fillId="0" borderId="0" xfId="0" applyNumberFormat="1" applyFont="1" applyAlignment="1">
      <alignment horizontal="center"/>
    </xf>
    <xf numFmtId="0" fontId="0" fillId="4" borderId="0" xfId="0" applyFill="1" applyAlignment="1">
      <alignment horizontal="left" indent="1"/>
    </xf>
    <xf numFmtId="167" fontId="15" fillId="4" borderId="0" xfId="0" applyNumberFormat="1" applyFont="1" applyFill="1" applyAlignment="1">
      <alignment horizontal="center"/>
    </xf>
    <xf numFmtId="167" fontId="14" fillId="4" borderId="0" xfId="0" applyNumberFormat="1" applyFont="1" applyFill="1" applyAlignment="1">
      <alignment horizontal="center"/>
    </xf>
    <xf numFmtId="168" fontId="12" fillId="0" borderId="0" xfId="0" applyNumberFormat="1" applyFont="1"/>
    <xf numFmtId="168" fontId="16" fillId="0" borderId="0" xfId="0" applyNumberFormat="1" applyFont="1" applyAlignment="1">
      <alignment horizontal="center"/>
    </xf>
    <xf numFmtId="168" fontId="0" fillId="0" borderId="0" xfId="0" applyNumberFormat="1"/>
    <xf numFmtId="168" fontId="15" fillId="0" borderId="0" xfId="0" applyNumberFormat="1" applyFont="1" applyAlignment="1">
      <alignment horizontal="center"/>
    </xf>
    <xf numFmtId="168" fontId="14" fillId="0" borderId="0" xfId="0" applyNumberFormat="1" applyFont="1" applyAlignment="1">
      <alignment horizontal="center"/>
    </xf>
    <xf numFmtId="40" fontId="0" fillId="0" borderId="0" xfId="0" applyNumberFormat="1"/>
    <xf numFmtId="40" fontId="15" fillId="0" borderId="0" xfId="0" applyNumberFormat="1" applyFont="1" applyAlignment="1">
      <alignment horizontal="center"/>
    </xf>
    <xf numFmtId="166" fontId="16" fillId="0" borderId="0" xfId="0" applyNumberFormat="1" applyFont="1"/>
    <xf numFmtId="43" fontId="15" fillId="0" borderId="0" xfId="0" applyNumberFormat="1" applyFont="1"/>
    <xf numFmtId="166" fontId="12" fillId="0" borderId="0" xfId="0" applyNumberFormat="1" applyFont="1" applyAlignment="1">
      <alignment horizontal="center"/>
    </xf>
    <xf numFmtId="166" fontId="12" fillId="0" borderId="5" xfId="0" applyNumberFormat="1" applyFont="1" applyBorder="1" applyAlignment="1">
      <alignment vertical="center"/>
    </xf>
    <xf numFmtId="166" fontId="16" fillId="0" borderId="0" xfId="0" applyNumberFormat="1" applyFont="1" applyAlignment="1">
      <alignment horizontal="center"/>
    </xf>
    <xf numFmtId="0" fontId="12" fillId="0" borderId="0" xfId="0" applyFont="1" applyAlignment="1">
      <alignment horizontal="center"/>
    </xf>
    <xf numFmtId="9" fontId="15" fillId="0" borderId="0" xfId="0" applyNumberFormat="1" applyFont="1"/>
    <xf numFmtId="0" fontId="17" fillId="5" borderId="0" xfId="0" applyFont="1" applyFill="1" applyAlignment="1">
      <alignment horizontal="center" vertical="center"/>
    </xf>
    <xf numFmtId="0" fontId="3" fillId="6" borderId="6" xfId="0" applyFont="1" applyFill="1" applyBorder="1" applyAlignment="1">
      <alignment horizontal="center" vertical="center" wrapText="1"/>
    </xf>
    <xf numFmtId="0" fontId="9" fillId="7" borderId="6" xfId="0" applyFont="1" applyFill="1" applyBorder="1" applyAlignment="1">
      <alignment horizontal="center" vertical="center" wrapText="1"/>
    </xf>
    <xf numFmtId="0" fontId="18" fillId="0" borderId="0" xfId="0" applyFont="1" applyAlignment="1">
      <alignment horizontal="justify" vertical="top" wrapText="1"/>
    </xf>
    <xf numFmtId="166" fontId="18" fillId="0" borderId="0" xfId="0" applyNumberFormat="1" applyFont="1"/>
    <xf numFmtId="0" fontId="19" fillId="0" borderId="0" xfId="0" applyFont="1" applyAlignment="1">
      <alignment horizontal="left" vertical="top" wrapText="1" indent="1"/>
    </xf>
    <xf numFmtId="166" fontId="19" fillId="0" borderId="0" xfId="0" applyNumberFormat="1" applyFont="1"/>
    <xf numFmtId="166" fontId="18" fillId="0" borderId="2" xfId="0" applyNumberFormat="1" applyFont="1" applyBorder="1"/>
    <xf numFmtId="0" fontId="19" fillId="0" borderId="0" xfId="0" applyFont="1" applyAlignment="1">
      <alignment horizontal="left" vertical="top"/>
    </xf>
    <xf numFmtId="166" fontId="19" fillId="0" borderId="2" xfId="0" applyNumberFormat="1" applyFont="1" applyBorder="1"/>
    <xf numFmtId="0" fontId="2" fillId="0" borderId="2" xfId="0" applyFont="1" applyBorder="1"/>
    <xf numFmtId="166" fontId="20" fillId="3" borderId="0" xfId="0" applyNumberFormat="1" applyFont="1" applyFill="1"/>
    <xf numFmtId="166" fontId="18" fillId="6" borderId="0" xfId="0" applyNumberFormat="1" applyFont="1" applyFill="1"/>
    <xf numFmtId="166" fontId="20" fillId="7" borderId="0" xfId="0" applyNumberFormat="1" applyFont="1" applyFill="1"/>
    <xf numFmtId="0" fontId="19" fillId="0" borderId="0" xfId="0" applyFont="1" applyAlignment="1">
      <alignment horizontal="justify" vertical="top" wrapText="1"/>
    </xf>
    <xf numFmtId="166" fontId="18" fillId="8" borderId="0" xfId="0" applyNumberFormat="1" applyFont="1" applyFill="1"/>
    <xf numFmtId="0" fontId="18" fillId="0" borderId="0" xfId="0" applyFont="1" applyAlignment="1">
      <alignment vertical="top" wrapText="1"/>
    </xf>
    <xf numFmtId="166" fontId="20" fillId="3" borderId="5" xfId="0" applyNumberFormat="1" applyFont="1" applyFill="1" applyBorder="1"/>
    <xf numFmtId="166" fontId="18" fillId="0" borderId="5" xfId="0" applyNumberFormat="1" applyFont="1" applyBorder="1"/>
    <xf numFmtId="0" fontId="3" fillId="0" borderId="0" xfId="0" applyFont="1"/>
    <xf numFmtId="166" fontId="1" fillId="0" borderId="0" xfId="0" applyNumberFormat="1" applyFont="1" applyAlignment="1">
      <alignment horizontal="centerContinuous"/>
    </xf>
    <xf numFmtId="166" fontId="3" fillId="0" borderId="6" xfId="0" applyNumberFormat="1" applyFont="1" applyBorder="1" applyAlignment="1">
      <alignment horizontal="center" vertical="center" wrapText="1"/>
    </xf>
    <xf numFmtId="166" fontId="2" fillId="0" borderId="2" xfId="0" applyNumberFormat="1" applyFont="1" applyBorder="1"/>
    <xf numFmtId="166" fontId="1" fillId="0" borderId="2" xfId="0" applyNumberFormat="1" applyFont="1" applyBorder="1"/>
    <xf numFmtId="0" fontId="0" fillId="0" borderId="0" xfId="0" applyAlignment="1">
      <alignment horizontal="center"/>
    </xf>
    <xf numFmtId="43" fontId="0" fillId="0" borderId="0" xfId="0" applyNumberFormat="1"/>
    <xf numFmtId="43" fontId="0" fillId="8" borderId="0" xfId="0" applyNumberFormat="1" applyFill="1"/>
    <xf numFmtId="0" fontId="0" fillId="8" borderId="0" xfId="0" applyFill="1"/>
    <xf numFmtId="43" fontId="0" fillId="9" borderId="0" xfId="0" applyNumberFormat="1" applyFill="1"/>
    <xf numFmtId="43" fontId="0" fillId="10" borderId="0" xfId="0" applyNumberFormat="1" applyFill="1"/>
    <xf numFmtId="43" fontId="12" fillId="0" borderId="0" xfId="0" applyNumberFormat="1" applyFont="1"/>
    <xf numFmtId="43" fontId="16" fillId="0" borderId="0" xfId="0" applyNumberFormat="1" applyFont="1"/>
    <xf numFmtId="3" fontId="0" fillId="0" borderId="0" xfId="0" applyNumberFormat="1"/>
    <xf numFmtId="4" fontId="0" fillId="0" borderId="0" xfId="0" applyNumberFormat="1"/>
    <xf numFmtId="43" fontId="15" fillId="8" borderId="0" xfId="0" applyNumberFormat="1" applyFont="1" applyFill="1"/>
    <xf numFmtId="0" fontId="0" fillId="8" borderId="0" xfId="0" applyFill="1" applyAlignment="1">
      <alignment horizontal="center"/>
    </xf>
    <xf numFmtId="43" fontId="24" fillId="0" borderId="0" xfId="1" applyFont="1"/>
    <xf numFmtId="43" fontId="0" fillId="0" borderId="0" xfId="1" applyFont="1"/>
    <xf numFmtId="43" fontId="23" fillId="11" borderId="0" xfId="1" applyFont="1" applyFill="1" applyAlignment="1">
      <alignment horizontal="left" vertical="center"/>
    </xf>
    <xf numFmtId="0" fontId="12" fillId="11" borderId="0" xfId="0" applyFont="1" applyFill="1"/>
    <xf numFmtId="164" fontId="8" fillId="12" borderId="0" xfId="0" applyNumberFormat="1" applyFont="1" applyFill="1" applyAlignment="1">
      <alignment horizontal="right" vertical="center"/>
    </xf>
    <xf numFmtId="0" fontId="34" fillId="0" borderId="0" xfId="0" applyFont="1"/>
    <xf numFmtId="169" fontId="24" fillId="0" borderId="0" xfId="0" applyNumberFormat="1" applyFont="1" applyAlignment="1">
      <alignment horizontal="right" vertical="center"/>
    </xf>
    <xf numFmtId="0" fontId="37" fillId="17" borderId="9" xfId="0" applyFont="1" applyFill="1" applyBorder="1" applyAlignment="1">
      <alignment horizontal="center" vertical="center" wrapText="1"/>
    </xf>
    <xf numFmtId="0" fontId="38" fillId="18" borderId="10" xfId="0" applyFont="1" applyFill="1" applyBorder="1" applyAlignment="1">
      <alignment vertical="top" wrapText="1"/>
    </xf>
    <xf numFmtId="0" fontId="38" fillId="18" borderId="10" xfId="0" applyFont="1" applyFill="1" applyBorder="1" applyAlignment="1">
      <alignment horizontal="center" vertical="top"/>
    </xf>
    <xf numFmtId="169" fontId="38" fillId="18" borderId="10" xfId="0" applyNumberFormat="1" applyFont="1" applyFill="1" applyBorder="1" applyAlignment="1">
      <alignment horizontal="right" vertical="top"/>
    </xf>
    <xf numFmtId="0" fontId="38" fillId="19" borderId="10" xfId="0" applyFont="1" applyFill="1" applyBorder="1" applyAlignment="1">
      <alignment vertical="top" wrapText="1"/>
    </xf>
    <xf numFmtId="0" fontId="38" fillId="19" borderId="10" xfId="0" applyFont="1" applyFill="1" applyBorder="1" applyAlignment="1">
      <alignment horizontal="center" vertical="top"/>
    </xf>
    <xf numFmtId="169" fontId="38" fillId="19" borderId="10" xfId="0" applyNumberFormat="1" applyFont="1" applyFill="1" applyBorder="1" applyAlignment="1">
      <alignment horizontal="right" vertical="top"/>
    </xf>
    <xf numFmtId="0" fontId="40" fillId="17" borderId="0" xfId="0" applyFont="1" applyFill="1" applyAlignment="1">
      <alignment horizontal="center" vertical="center" wrapText="1"/>
    </xf>
    <xf numFmtId="0" fontId="38" fillId="18" borderId="10" xfId="0" applyFont="1" applyFill="1" applyBorder="1" applyAlignment="1">
      <alignment vertical="center" wrapText="1"/>
    </xf>
    <xf numFmtId="169" fontId="38" fillId="18" borderId="10" xfId="0" applyNumberFormat="1" applyFont="1" applyFill="1" applyBorder="1" applyAlignment="1">
      <alignment horizontal="right" vertical="center"/>
    </xf>
    <xf numFmtId="0" fontId="38" fillId="18" borderId="10" xfId="0" applyFont="1" applyFill="1" applyBorder="1" applyAlignment="1">
      <alignment horizontal="center" vertical="center"/>
    </xf>
    <xf numFmtId="0" fontId="38" fillId="19" borderId="10" xfId="0" applyFont="1" applyFill="1" applyBorder="1" applyAlignment="1">
      <alignment vertical="center" wrapText="1"/>
    </xf>
    <xf numFmtId="169" fontId="38" fillId="19" borderId="10" xfId="0" applyNumberFormat="1" applyFont="1" applyFill="1" applyBorder="1" applyAlignment="1">
      <alignment horizontal="right" vertical="center"/>
    </xf>
    <xf numFmtId="0" fontId="38" fillId="19" borderId="10" xfId="0" applyFont="1" applyFill="1" applyBorder="1" applyAlignment="1">
      <alignment horizontal="center" vertical="center"/>
    </xf>
    <xf numFmtId="0" fontId="21" fillId="13" borderId="0" xfId="0" applyFont="1" applyFill="1" applyAlignment="1">
      <alignment horizontal="left" vertical="center"/>
    </xf>
    <xf numFmtId="0" fontId="25" fillId="0" borderId="0" xfId="0" applyFont="1" applyAlignment="1">
      <alignment vertical="top" wrapText="1"/>
    </xf>
    <xf numFmtId="169" fontId="24" fillId="0" borderId="0" xfId="0" applyNumberFormat="1" applyFont="1"/>
    <xf numFmtId="0" fontId="30" fillId="0" borderId="0" xfId="0" applyFont="1"/>
    <xf numFmtId="0" fontId="22" fillId="0" borderId="0" xfId="0" applyFont="1" applyAlignment="1">
      <alignment vertical="top" wrapText="1"/>
    </xf>
    <xf numFmtId="0" fontId="41" fillId="21" borderId="0" xfId="0" applyFont="1" applyFill="1" applyAlignment="1">
      <alignment vertical="center"/>
    </xf>
    <xf numFmtId="0" fontId="0" fillId="21" borderId="0" xfId="0" applyFill="1"/>
    <xf numFmtId="0" fontId="43" fillId="23" borderId="11" xfId="0" applyFont="1" applyFill="1" applyBorder="1" applyAlignment="1">
      <alignment vertical="center" wrapText="1"/>
    </xf>
    <xf numFmtId="0" fontId="44" fillId="24" borderId="0" xfId="0" applyFont="1" applyFill="1" applyAlignment="1">
      <alignment vertical="center"/>
    </xf>
    <xf numFmtId="0" fontId="0" fillId="24" borderId="0" xfId="0" applyFill="1"/>
    <xf numFmtId="0" fontId="50" fillId="0" borderId="12" xfId="0" applyFont="1" applyBorder="1" applyAlignment="1">
      <alignment vertical="top" wrapText="1"/>
    </xf>
    <xf numFmtId="170" fontId="51" fillId="0" borderId="12" xfId="0" applyNumberFormat="1" applyFont="1" applyBorder="1" applyAlignment="1">
      <alignment horizontal="right" vertical="top"/>
    </xf>
    <xf numFmtId="170" fontId="50" fillId="0" borderId="12" xfId="0" applyNumberFormat="1" applyFont="1" applyBorder="1" applyAlignment="1">
      <alignment horizontal="right" vertical="top"/>
    </xf>
    <xf numFmtId="0" fontId="47" fillId="0" borderId="12" xfId="0" applyFont="1" applyBorder="1" applyAlignment="1">
      <alignment vertical="top" wrapText="1"/>
    </xf>
    <xf numFmtId="0" fontId="45" fillId="25" borderId="0" xfId="0" applyFont="1" applyFill="1" applyAlignment="1">
      <alignment vertical="center"/>
    </xf>
    <xf numFmtId="0" fontId="0" fillId="25" borderId="0" xfId="0" applyFill="1"/>
    <xf numFmtId="0" fontId="46" fillId="25" borderId="0" xfId="0" applyFont="1" applyFill="1"/>
    <xf numFmtId="170" fontId="48" fillId="0" borderId="12" xfId="0" applyNumberFormat="1" applyFont="1" applyBorder="1" applyAlignment="1">
      <alignment horizontal="right" vertical="top"/>
    </xf>
    <xf numFmtId="170" fontId="47" fillId="0" borderId="12" xfId="0" applyNumberFormat="1" applyFont="1" applyBorder="1" applyAlignment="1">
      <alignment horizontal="right" vertical="top"/>
    </xf>
    <xf numFmtId="0" fontId="49" fillId="26" borderId="12" xfId="0" applyFont="1" applyFill="1" applyBorder="1"/>
    <xf numFmtId="0" fontId="0" fillId="26" borderId="12" xfId="0" applyFill="1" applyBorder="1"/>
    <xf numFmtId="0" fontId="50" fillId="27" borderId="13" xfId="0" applyFont="1" applyFill="1" applyBorder="1" applyAlignment="1">
      <alignment vertical="top" wrapText="1"/>
    </xf>
    <xf numFmtId="170" fontId="51" fillId="27" borderId="13" xfId="0" applyNumberFormat="1" applyFont="1" applyFill="1" applyBorder="1" applyAlignment="1">
      <alignment horizontal="right" vertical="top"/>
    </xf>
    <xf numFmtId="170" fontId="50" fillId="27" borderId="13" xfId="0" applyNumberFormat="1" applyFont="1" applyFill="1" applyBorder="1" applyAlignment="1">
      <alignment horizontal="right" vertical="top"/>
    </xf>
    <xf numFmtId="0" fontId="47" fillId="27" borderId="13" xfId="0" applyFont="1" applyFill="1" applyBorder="1" applyAlignment="1">
      <alignment vertical="top" wrapText="1"/>
    </xf>
    <xf numFmtId="0" fontId="53" fillId="0" borderId="12" xfId="0" applyFont="1" applyBorder="1" applyAlignment="1">
      <alignment horizontal="center" vertical="top"/>
    </xf>
    <xf numFmtId="0" fontId="53" fillId="0" borderId="12" xfId="0" applyFont="1" applyBorder="1" applyAlignment="1">
      <alignment vertical="top" wrapText="1"/>
    </xf>
    <xf numFmtId="0" fontId="47" fillId="20" borderId="12" xfId="0" applyFont="1" applyFill="1" applyBorder="1" applyAlignment="1">
      <alignment vertical="top" wrapText="1"/>
    </xf>
    <xf numFmtId="0" fontId="47" fillId="28" borderId="12" xfId="0" applyFont="1" applyFill="1" applyBorder="1" applyAlignment="1">
      <alignment vertical="top" wrapText="1"/>
    </xf>
    <xf numFmtId="0" fontId="0" fillId="0" borderId="0" xfId="0" applyAlignment="1">
      <alignment horizontal="center" vertical="top"/>
    </xf>
    <xf numFmtId="0" fontId="0" fillId="20" borderId="0" xfId="0" applyFill="1"/>
    <xf numFmtId="0" fontId="42" fillId="22" borderId="0" xfId="0" applyFont="1" applyFill="1" applyAlignment="1">
      <alignment vertical="top" wrapText="1"/>
    </xf>
    <xf numFmtId="0" fontId="0" fillId="0" borderId="0" xfId="0"/>
    <xf numFmtId="0" fontId="52" fillId="0" borderId="0" xfId="0" applyFont="1" applyAlignment="1">
      <alignment vertical="top" wrapText="1"/>
    </xf>
    <xf numFmtId="0" fontId="36" fillId="16" borderId="0" xfId="0" applyFont="1" applyFill="1" applyAlignment="1">
      <alignment vertical="center" wrapText="1"/>
    </xf>
    <xf numFmtId="0" fontId="38" fillId="19" borderId="10" xfId="0" applyFont="1" applyFill="1" applyBorder="1" applyAlignment="1">
      <alignment vertical="center" wrapText="1"/>
    </xf>
    <xf numFmtId="0" fontId="0" fillId="0" borderId="10" xfId="0" applyBorder="1"/>
    <xf numFmtId="0" fontId="38" fillId="18" borderId="10" xfId="0" applyFont="1" applyFill="1" applyBorder="1" applyAlignment="1">
      <alignment vertical="center" wrapText="1"/>
    </xf>
    <xf numFmtId="0" fontId="35" fillId="15" borderId="0" xfId="0" applyFont="1" applyFill="1" applyAlignment="1">
      <alignment vertical="center"/>
    </xf>
    <xf numFmtId="0" fontId="39" fillId="15" borderId="0" xfId="0" applyFont="1" applyFill="1" applyAlignment="1">
      <alignment vertical="center"/>
    </xf>
    <xf numFmtId="0" fontId="54" fillId="0" borderId="0" xfId="0" applyFont="1" applyAlignment="1">
      <alignment vertical="top" wrapText="1"/>
    </xf>
  </cellXfs>
  <cellStyles count="3">
    <cellStyle name="Comma" xfId="1" builtinId="3"/>
    <cellStyle name="Comma 7" xfId="2" xr:uid="{00000000-0005-0000-0000-000002000000}"/>
    <cellStyle name="Normal" xfId="0" builtinId="0"/>
  </cellStyles>
  <dxfs count="4">
    <dxf>
      <font>
        <color rgb="FF006100"/>
      </font>
    </dxf>
    <dxf>
      <font>
        <b/>
        <color rgb="FF9C5700"/>
      </font>
      <fill>
        <patternFill patternType="solid">
          <fgColor rgb="FFFFE699"/>
        </patternFill>
      </fill>
    </dxf>
    <dxf>
      <font>
        <b/>
        <color rgb="FF006100"/>
      </font>
      <fill>
        <patternFill patternType="solid">
          <fgColor rgb="FFC6EFCE"/>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Revenue &amp; profitability — 9M Sep-2026 (SAR)</a:t>
            </a:r>
          </a:p>
        </c:rich>
      </c:tx>
      <c:overlay val="1"/>
    </c:title>
    <c:autoTitleDeleted val="0"/>
    <c:plotArea>
      <c:layout/>
      <c:barChart>
        <c:barDir val="col"/>
        <c:grouping val="clustered"/>
        <c:varyColors val="1"/>
        <c:ser>
          <c:idx val="0"/>
          <c:order val="0"/>
          <c:tx>
            <c:v>Revenue</c:v>
          </c:tx>
          <c:spPr>
            <a:ln>
              <a:prstDash val="solid"/>
            </a:ln>
          </c:spPr>
          <c:invertIfNegative val="1"/>
          <c:cat>
            <c:strRef>
              <c:f>Charts_YTD!$B$61:$D$61</c:f>
              <c:strCache>
                <c:ptCount val="3"/>
                <c:pt idx="0">
                  <c:v>Alif</c:v>
                </c:pt>
                <c:pt idx="1">
                  <c:v>VH</c:v>
                </c:pt>
                <c:pt idx="2">
                  <c:v>Consolidated</c:v>
                </c:pt>
              </c:strCache>
            </c:strRef>
          </c:cat>
          <c:val>
            <c:numRef>
              <c:f>Charts_YTD!$B$62:$D$62</c:f>
              <c:numCache>
                <c:formatCode>#,##0;[Red]\(#,##0\)</c:formatCode>
                <c:ptCount val="3"/>
                <c:pt idx="0">
                  <c:v>126467923.87650502</c:v>
                </c:pt>
                <c:pt idx="1">
                  <c:v>44443751.733000003</c:v>
                </c:pt>
                <c:pt idx="2">
                  <c:v>170911675.60950503</c:v>
                </c:pt>
              </c:numCache>
            </c:numRef>
          </c:val>
          <c:extLst>
            <c:ext xmlns:c16="http://schemas.microsoft.com/office/drawing/2014/chart" uri="{C3380CC4-5D6E-409C-BE32-E72D297353CC}">
              <c16:uniqueId val="{00000000-8C5B-4E98-ABD0-6E376F08141F}"/>
            </c:ext>
          </c:extLst>
        </c:ser>
        <c:ser>
          <c:idx val="1"/>
          <c:order val="1"/>
          <c:tx>
            <c:v>Gross profit /(loss)</c:v>
          </c:tx>
          <c:spPr>
            <a:ln>
              <a:prstDash val="solid"/>
            </a:ln>
          </c:spPr>
          <c:invertIfNegative val="1"/>
          <c:cat>
            <c:strRef>
              <c:f>Charts_YTD!$B$61:$D$61</c:f>
              <c:strCache>
                <c:ptCount val="3"/>
                <c:pt idx="0">
                  <c:v>Alif</c:v>
                </c:pt>
                <c:pt idx="1">
                  <c:v>VH</c:v>
                </c:pt>
                <c:pt idx="2">
                  <c:v>Consolidated</c:v>
                </c:pt>
              </c:strCache>
            </c:strRef>
          </c:cat>
          <c:val>
            <c:numRef>
              <c:f>Charts_YTD!$B$63:$D$63</c:f>
              <c:numCache>
                <c:formatCode>#,##0;[Red]\(#,##0\)</c:formatCode>
                <c:ptCount val="3"/>
                <c:pt idx="0">
                  <c:v>-7247188.2054157555</c:v>
                </c:pt>
                <c:pt idx="1">
                  <c:v>2493336.0869999975</c:v>
                </c:pt>
                <c:pt idx="2">
                  <c:v>-4753852.1184157133</c:v>
                </c:pt>
              </c:numCache>
            </c:numRef>
          </c:val>
          <c:extLst>
            <c:ext xmlns:c16="http://schemas.microsoft.com/office/drawing/2014/chart" uri="{C3380CC4-5D6E-409C-BE32-E72D297353CC}">
              <c16:uniqueId val="{00000001-8C5B-4E98-ABD0-6E376F08141F}"/>
            </c:ext>
          </c:extLst>
        </c:ser>
        <c:ser>
          <c:idx val="2"/>
          <c:order val="2"/>
          <c:tx>
            <c:v>EBITDA</c:v>
          </c:tx>
          <c:spPr>
            <a:ln>
              <a:prstDash val="solid"/>
            </a:ln>
          </c:spPr>
          <c:invertIfNegative val="1"/>
          <c:cat>
            <c:strRef>
              <c:f>Charts_YTD!$B$61:$D$61</c:f>
              <c:strCache>
                <c:ptCount val="3"/>
                <c:pt idx="0">
                  <c:v>Alif</c:v>
                </c:pt>
                <c:pt idx="1">
                  <c:v>VH</c:v>
                </c:pt>
                <c:pt idx="2">
                  <c:v>Consolidated</c:v>
                </c:pt>
              </c:strCache>
            </c:strRef>
          </c:cat>
          <c:val>
            <c:numRef>
              <c:f>Charts_YTD!$B$64:$D$64</c:f>
              <c:numCache>
                <c:formatCode>#,##0;[Red]\(#,##0\)</c:formatCode>
                <c:ptCount val="3"/>
                <c:pt idx="0">
                  <c:v>-30098667.884415753</c:v>
                </c:pt>
                <c:pt idx="1">
                  <c:v>588042.21399999759</c:v>
                </c:pt>
                <c:pt idx="2">
                  <c:v>-29510625.670415714</c:v>
                </c:pt>
              </c:numCache>
            </c:numRef>
          </c:val>
          <c:extLst>
            <c:ext xmlns:c16="http://schemas.microsoft.com/office/drawing/2014/chart" uri="{C3380CC4-5D6E-409C-BE32-E72D297353CC}">
              <c16:uniqueId val="{00000002-8C5B-4E98-ABD0-6E376F08141F}"/>
            </c:ext>
          </c:extLst>
        </c:ser>
        <c:ser>
          <c:idx val="3"/>
          <c:order val="3"/>
          <c:tx>
            <c:v>Profit /(loss) before zakat</c:v>
          </c:tx>
          <c:spPr>
            <a:ln>
              <a:prstDash val="solid"/>
            </a:ln>
          </c:spPr>
          <c:invertIfNegative val="1"/>
          <c:cat>
            <c:strRef>
              <c:f>Charts_YTD!$B$61:$D$61</c:f>
              <c:strCache>
                <c:ptCount val="3"/>
                <c:pt idx="0">
                  <c:v>Alif</c:v>
                </c:pt>
                <c:pt idx="1">
                  <c:v>VH</c:v>
                </c:pt>
                <c:pt idx="2">
                  <c:v>Consolidated</c:v>
                </c:pt>
              </c:strCache>
            </c:strRef>
          </c:cat>
          <c:val>
            <c:numRef>
              <c:f>Charts_YTD!$B$65:$D$65</c:f>
              <c:numCache>
                <c:formatCode>#,##0;[Red]\(#,##0\)</c:formatCode>
                <c:ptCount val="3"/>
                <c:pt idx="0">
                  <c:v>-40498412.990665749</c:v>
                </c:pt>
                <c:pt idx="1">
                  <c:v>-1356565.6500000022</c:v>
                </c:pt>
                <c:pt idx="2">
                  <c:v>-41854978.64066571</c:v>
                </c:pt>
              </c:numCache>
            </c:numRef>
          </c:val>
          <c:extLst>
            <c:ext xmlns:c16="http://schemas.microsoft.com/office/drawing/2014/chart" uri="{C3380CC4-5D6E-409C-BE32-E72D297353CC}">
              <c16:uniqueId val="{00000003-8C5B-4E98-ABD0-6E376F08141F}"/>
            </c:ext>
          </c:extLst>
        </c:ser>
        <c:dLbls>
          <c:showLegendKey val="0"/>
          <c:showVal val="0"/>
          <c:showCatName val="0"/>
          <c:showSerName val="0"/>
          <c:showPercent val="0"/>
          <c:showBubbleSize val="0"/>
        </c:dLbls>
        <c:gapWidth val="12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Red]\(#,##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Cost structure — 9M Sep-2026 (SAR)</a:t>
            </a:r>
          </a:p>
        </c:rich>
      </c:tx>
      <c:overlay val="1"/>
    </c:title>
    <c:autoTitleDeleted val="0"/>
    <c:plotArea>
      <c:layout/>
      <c:barChart>
        <c:barDir val="col"/>
        <c:grouping val="clustered"/>
        <c:varyColors val="1"/>
        <c:ser>
          <c:idx val="0"/>
          <c:order val="0"/>
          <c:tx>
            <c:v>Total cost of sales</c:v>
          </c:tx>
          <c:spPr>
            <a:ln>
              <a:prstDash val="solid"/>
            </a:ln>
          </c:spPr>
          <c:invertIfNegative val="1"/>
          <c:cat>
            <c:strRef>
              <c:f>Charts_YTD!$B$61:$D$61</c:f>
              <c:strCache>
                <c:ptCount val="3"/>
                <c:pt idx="0">
                  <c:v>Alif</c:v>
                </c:pt>
                <c:pt idx="1">
                  <c:v>VH</c:v>
                </c:pt>
                <c:pt idx="2">
                  <c:v>Consolidated</c:v>
                </c:pt>
              </c:strCache>
            </c:strRef>
          </c:cat>
          <c:val>
            <c:numRef>
              <c:f>Charts_YTD!$B$66:$D$66</c:f>
              <c:numCache>
                <c:formatCode>#,##0;[Red]\(#,##0\)</c:formatCode>
                <c:ptCount val="3"/>
                <c:pt idx="0">
                  <c:v>133715112.08192077</c:v>
                </c:pt>
                <c:pt idx="1">
                  <c:v>41950415.646000005</c:v>
                </c:pt>
                <c:pt idx="2">
                  <c:v>175665527.72792074</c:v>
                </c:pt>
              </c:numCache>
            </c:numRef>
          </c:val>
          <c:extLst>
            <c:ext xmlns:c16="http://schemas.microsoft.com/office/drawing/2014/chart" uri="{C3380CC4-5D6E-409C-BE32-E72D297353CC}">
              <c16:uniqueId val="{00000000-DAFA-4D73-A61D-C222DB342EFC}"/>
            </c:ext>
          </c:extLst>
        </c:ser>
        <c:ser>
          <c:idx val="1"/>
          <c:order val="1"/>
          <c:tx>
            <c:v>Total selling &amp; distribution</c:v>
          </c:tx>
          <c:spPr>
            <a:ln>
              <a:prstDash val="solid"/>
            </a:ln>
          </c:spPr>
          <c:invertIfNegative val="1"/>
          <c:cat>
            <c:strRef>
              <c:f>Charts_YTD!$B$61:$D$61</c:f>
              <c:strCache>
                <c:ptCount val="3"/>
                <c:pt idx="0">
                  <c:v>Alif</c:v>
                </c:pt>
                <c:pt idx="1">
                  <c:v>VH</c:v>
                </c:pt>
                <c:pt idx="2">
                  <c:v>Consolidated</c:v>
                </c:pt>
              </c:strCache>
            </c:strRef>
          </c:cat>
          <c:val>
            <c:numRef>
              <c:f>Charts_YTD!$B$67:$D$67</c:f>
              <c:numCache>
                <c:formatCode>#,##0;[Red]\(#,##0\)</c:formatCode>
                <c:ptCount val="3"/>
                <c:pt idx="0">
                  <c:v>9534043.0429999977</c:v>
                </c:pt>
                <c:pt idx="1">
                  <c:v>209587.41800000001</c:v>
                </c:pt>
                <c:pt idx="2">
                  <c:v>9743630.4609999992</c:v>
                </c:pt>
              </c:numCache>
            </c:numRef>
          </c:val>
          <c:extLst>
            <c:ext xmlns:c16="http://schemas.microsoft.com/office/drawing/2014/chart" uri="{C3380CC4-5D6E-409C-BE32-E72D297353CC}">
              <c16:uniqueId val="{00000001-DAFA-4D73-A61D-C222DB342EFC}"/>
            </c:ext>
          </c:extLst>
        </c:ser>
        <c:ser>
          <c:idx val="2"/>
          <c:order val="2"/>
          <c:tx>
            <c:v>Total general &amp; administrative</c:v>
          </c:tx>
          <c:spPr>
            <a:ln>
              <a:prstDash val="solid"/>
            </a:ln>
          </c:spPr>
          <c:invertIfNegative val="1"/>
          <c:cat>
            <c:strRef>
              <c:f>Charts_YTD!$B$61:$D$61</c:f>
              <c:strCache>
                <c:ptCount val="3"/>
                <c:pt idx="0">
                  <c:v>Alif</c:v>
                </c:pt>
                <c:pt idx="1">
                  <c:v>VH</c:v>
                </c:pt>
                <c:pt idx="2">
                  <c:v>Consolidated</c:v>
                </c:pt>
              </c:strCache>
            </c:strRef>
          </c:cat>
          <c:val>
            <c:numRef>
              <c:f>Charts_YTD!$B$68:$D$68</c:f>
              <c:numCache>
                <c:formatCode>#,##0;[Red]\(#,##0\)</c:formatCode>
                <c:ptCount val="3"/>
                <c:pt idx="0">
                  <c:v>13317436.636000002</c:v>
                </c:pt>
                <c:pt idx="1">
                  <c:v>1695982.4549999998</c:v>
                </c:pt>
                <c:pt idx="2">
                  <c:v>15013419.091</c:v>
                </c:pt>
              </c:numCache>
            </c:numRef>
          </c:val>
          <c:extLst>
            <c:ext xmlns:c16="http://schemas.microsoft.com/office/drawing/2014/chart" uri="{C3380CC4-5D6E-409C-BE32-E72D297353CC}">
              <c16:uniqueId val="{00000002-DAFA-4D73-A61D-C222DB342EFC}"/>
            </c:ext>
          </c:extLst>
        </c:ser>
        <c:ser>
          <c:idx val="3"/>
          <c:order val="3"/>
          <c:tx>
            <c:v>Depreciation &amp; amortisation</c:v>
          </c:tx>
          <c:spPr>
            <a:ln>
              <a:prstDash val="solid"/>
            </a:ln>
          </c:spPr>
          <c:invertIfNegative val="1"/>
          <c:cat>
            <c:strRef>
              <c:f>Charts_YTD!$B$61:$D$61</c:f>
              <c:strCache>
                <c:ptCount val="3"/>
                <c:pt idx="0">
                  <c:v>Alif</c:v>
                </c:pt>
                <c:pt idx="1">
                  <c:v>VH</c:v>
                </c:pt>
                <c:pt idx="2">
                  <c:v>Consolidated</c:v>
                </c:pt>
              </c:strCache>
            </c:strRef>
          </c:cat>
          <c:val>
            <c:numRef>
              <c:f>Charts_YTD!$B$69:$D$69</c:f>
              <c:numCache>
                <c:formatCode>#,##0;[Red]\(#,##0\)</c:formatCode>
                <c:ptCount val="3"/>
                <c:pt idx="0">
                  <c:v>1885998.1222499991</c:v>
                </c:pt>
                <c:pt idx="1">
                  <c:v>1082789.8199999998</c:v>
                </c:pt>
                <c:pt idx="2">
                  <c:v>2968787.9422499989</c:v>
                </c:pt>
              </c:numCache>
            </c:numRef>
          </c:val>
          <c:extLst>
            <c:ext xmlns:c16="http://schemas.microsoft.com/office/drawing/2014/chart" uri="{C3380CC4-5D6E-409C-BE32-E72D297353CC}">
              <c16:uniqueId val="{00000003-DAFA-4D73-A61D-C222DB342EFC}"/>
            </c:ext>
          </c:extLst>
        </c:ser>
        <c:ser>
          <c:idx val="4"/>
          <c:order val="4"/>
          <c:tx>
            <c:v>Finance costs</c:v>
          </c:tx>
          <c:spPr>
            <a:ln>
              <a:prstDash val="solid"/>
            </a:ln>
          </c:spPr>
          <c:invertIfNegative val="1"/>
          <c:cat>
            <c:strRef>
              <c:f>Charts_YTD!$B$61:$D$61</c:f>
              <c:strCache>
                <c:ptCount val="3"/>
                <c:pt idx="0">
                  <c:v>Alif</c:v>
                </c:pt>
                <c:pt idx="1">
                  <c:v>VH</c:v>
                </c:pt>
                <c:pt idx="2">
                  <c:v>Consolidated</c:v>
                </c:pt>
              </c:strCache>
            </c:strRef>
          </c:cat>
          <c:val>
            <c:numRef>
              <c:f>Charts_YTD!$B$70:$D$70</c:f>
              <c:numCache>
                <c:formatCode>#,##0;[Red]\(#,##0\)</c:formatCode>
                <c:ptCount val="3"/>
                <c:pt idx="0">
                  <c:v>8880146.9840000011</c:v>
                </c:pt>
                <c:pt idx="1">
                  <c:v>863818.04399999999</c:v>
                </c:pt>
                <c:pt idx="2">
                  <c:v>9743965.0280000009</c:v>
                </c:pt>
              </c:numCache>
            </c:numRef>
          </c:val>
          <c:extLst>
            <c:ext xmlns:c16="http://schemas.microsoft.com/office/drawing/2014/chart" uri="{C3380CC4-5D6E-409C-BE32-E72D297353CC}">
              <c16:uniqueId val="{00000004-DAFA-4D73-A61D-C222DB342EFC}"/>
            </c:ext>
          </c:extLst>
        </c:ser>
        <c:dLbls>
          <c:showLegendKey val="0"/>
          <c:showVal val="0"/>
          <c:showCatName val="0"/>
          <c:showSerName val="0"/>
          <c:showPercent val="0"/>
          <c:showBubbleSize val="0"/>
        </c:dLbls>
        <c:gapWidth val="12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Red]\(#,##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Financial position — 30 Sep 2026 (SAR)</a:t>
            </a:r>
          </a:p>
        </c:rich>
      </c:tx>
      <c:overlay val="1"/>
    </c:title>
    <c:autoTitleDeleted val="0"/>
    <c:plotArea>
      <c:layout/>
      <c:barChart>
        <c:barDir val="col"/>
        <c:grouping val="clustered"/>
        <c:varyColors val="1"/>
        <c:ser>
          <c:idx val="0"/>
          <c:order val="0"/>
          <c:tx>
            <c:v>Total assets</c:v>
          </c:tx>
          <c:spPr>
            <a:ln>
              <a:prstDash val="solid"/>
            </a:ln>
          </c:spPr>
          <c:invertIfNegative val="1"/>
          <c:cat>
            <c:strRef>
              <c:f>Charts_YTD!$B$61:$D$61</c:f>
              <c:strCache>
                <c:ptCount val="3"/>
                <c:pt idx="0">
                  <c:v>Alif</c:v>
                </c:pt>
                <c:pt idx="1">
                  <c:v>VH</c:v>
                </c:pt>
                <c:pt idx="2">
                  <c:v>Consolidated</c:v>
                </c:pt>
              </c:strCache>
            </c:strRef>
          </c:cat>
          <c:val>
            <c:numRef>
              <c:f>Charts_YTD!$B$71:$D$71</c:f>
              <c:numCache>
                <c:formatCode>#,##0;[Red]\(#,##0\)</c:formatCode>
                <c:ptCount val="3"/>
                <c:pt idx="0">
                  <c:v>287923378.10533428</c:v>
                </c:pt>
                <c:pt idx="1">
                  <c:v>70047558.64199999</c:v>
                </c:pt>
                <c:pt idx="2">
                  <c:v>357970936.7473343</c:v>
                </c:pt>
              </c:numCache>
            </c:numRef>
          </c:val>
          <c:extLst>
            <c:ext xmlns:c16="http://schemas.microsoft.com/office/drawing/2014/chart" uri="{C3380CC4-5D6E-409C-BE32-E72D297353CC}">
              <c16:uniqueId val="{00000000-22C5-4783-AE6A-19CC3BEB3E0F}"/>
            </c:ext>
          </c:extLst>
        </c:ser>
        <c:ser>
          <c:idx val="1"/>
          <c:order val="1"/>
          <c:tx>
            <c:v>Total liabilities</c:v>
          </c:tx>
          <c:spPr>
            <a:ln>
              <a:prstDash val="solid"/>
            </a:ln>
          </c:spPr>
          <c:invertIfNegative val="1"/>
          <c:cat>
            <c:strRef>
              <c:f>Charts_YTD!$B$61:$D$61</c:f>
              <c:strCache>
                <c:ptCount val="3"/>
                <c:pt idx="0">
                  <c:v>Alif</c:v>
                </c:pt>
                <c:pt idx="1">
                  <c:v>VH</c:v>
                </c:pt>
                <c:pt idx="2">
                  <c:v>Consolidated</c:v>
                </c:pt>
              </c:strCache>
            </c:strRef>
          </c:cat>
          <c:val>
            <c:numRef>
              <c:f>Charts_YTD!$B$72:$D$72</c:f>
              <c:numCache>
                <c:formatCode>#,##0;[Red]\(#,##0\)</c:formatCode>
                <c:ptCount val="3"/>
                <c:pt idx="0">
                  <c:v>270252517.63600004</c:v>
                </c:pt>
                <c:pt idx="1">
                  <c:v>64662923.013999999</c:v>
                </c:pt>
                <c:pt idx="2">
                  <c:v>334896196.78900003</c:v>
                </c:pt>
              </c:numCache>
            </c:numRef>
          </c:val>
          <c:extLst>
            <c:ext xmlns:c16="http://schemas.microsoft.com/office/drawing/2014/chart" uri="{C3380CC4-5D6E-409C-BE32-E72D297353CC}">
              <c16:uniqueId val="{00000001-22C5-4783-AE6A-19CC3BEB3E0F}"/>
            </c:ext>
          </c:extLst>
        </c:ser>
        <c:ser>
          <c:idx val="2"/>
          <c:order val="2"/>
          <c:tx>
            <c:v>Total equity</c:v>
          </c:tx>
          <c:spPr>
            <a:ln>
              <a:prstDash val="solid"/>
            </a:ln>
          </c:spPr>
          <c:invertIfNegative val="1"/>
          <c:cat>
            <c:strRef>
              <c:f>Charts_YTD!$B$61:$D$61</c:f>
              <c:strCache>
                <c:ptCount val="3"/>
                <c:pt idx="0">
                  <c:v>Alif</c:v>
                </c:pt>
                <c:pt idx="1">
                  <c:v>VH</c:v>
                </c:pt>
                <c:pt idx="2">
                  <c:v>Consolidated</c:v>
                </c:pt>
              </c:strCache>
            </c:strRef>
          </c:cat>
          <c:val>
            <c:numRef>
              <c:f>Charts_YTD!$B$73:$D$73</c:f>
              <c:numCache>
                <c:formatCode>#,##0;[Red]\(#,##0\)</c:formatCode>
                <c:ptCount val="3"/>
                <c:pt idx="0">
                  <c:v>17670860.469334245</c:v>
                </c:pt>
                <c:pt idx="1">
                  <c:v>5384635.6279999986</c:v>
                </c:pt>
                <c:pt idx="2">
                  <c:v>23074739.958334237</c:v>
                </c:pt>
              </c:numCache>
            </c:numRef>
          </c:val>
          <c:extLst>
            <c:ext xmlns:c16="http://schemas.microsoft.com/office/drawing/2014/chart" uri="{C3380CC4-5D6E-409C-BE32-E72D297353CC}">
              <c16:uniqueId val="{00000002-22C5-4783-AE6A-19CC3BEB3E0F}"/>
            </c:ext>
          </c:extLst>
        </c:ser>
        <c:dLbls>
          <c:showLegendKey val="0"/>
          <c:showVal val="0"/>
          <c:showCatName val="0"/>
          <c:showSerName val="0"/>
          <c:showPercent val="0"/>
          <c:showBubbleSize val="0"/>
        </c:dLbls>
        <c:gapWidth val="12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Red]\(#,##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Cash flows — 9M Sep-2026 (SAR)</a:t>
            </a:r>
          </a:p>
        </c:rich>
      </c:tx>
      <c:overlay val="1"/>
    </c:title>
    <c:autoTitleDeleted val="0"/>
    <c:plotArea>
      <c:layout/>
      <c:barChart>
        <c:barDir val="col"/>
        <c:grouping val="clustered"/>
        <c:varyColors val="1"/>
        <c:ser>
          <c:idx val="0"/>
          <c:order val="0"/>
          <c:tx>
            <c:v>Operating cash flow</c:v>
          </c:tx>
          <c:spPr>
            <a:ln>
              <a:prstDash val="solid"/>
            </a:ln>
          </c:spPr>
          <c:invertIfNegative val="1"/>
          <c:cat>
            <c:strRef>
              <c:f>Charts_YTD!$B$61:$D$61</c:f>
              <c:strCache>
                <c:ptCount val="3"/>
                <c:pt idx="0">
                  <c:v>Alif</c:v>
                </c:pt>
                <c:pt idx="1">
                  <c:v>VH</c:v>
                </c:pt>
                <c:pt idx="2">
                  <c:v>Consolidated</c:v>
                </c:pt>
              </c:strCache>
            </c:strRef>
          </c:cat>
          <c:val>
            <c:numRef>
              <c:f>Charts_YTD!$B$74:$D$74</c:f>
              <c:numCache>
                <c:formatCode>#,##0;[Red]\(#,##0\)</c:formatCode>
                <c:ptCount val="3"/>
                <c:pt idx="0">
                  <c:v>4678617.9050000422</c:v>
                </c:pt>
                <c:pt idx="1">
                  <c:v>-26538613.335999995</c:v>
                </c:pt>
                <c:pt idx="2">
                  <c:v>-21859995.430999968</c:v>
                </c:pt>
              </c:numCache>
            </c:numRef>
          </c:val>
          <c:extLst>
            <c:ext xmlns:c16="http://schemas.microsoft.com/office/drawing/2014/chart" uri="{C3380CC4-5D6E-409C-BE32-E72D297353CC}">
              <c16:uniqueId val="{00000000-32A9-46A1-BED7-0C7ED2E51FF2}"/>
            </c:ext>
          </c:extLst>
        </c:ser>
        <c:ser>
          <c:idx val="1"/>
          <c:order val="1"/>
          <c:tx>
            <c:v>Investing cash flow</c:v>
          </c:tx>
          <c:spPr>
            <a:ln>
              <a:prstDash val="solid"/>
            </a:ln>
          </c:spPr>
          <c:invertIfNegative val="1"/>
          <c:cat>
            <c:strRef>
              <c:f>Charts_YTD!$B$61:$D$61</c:f>
              <c:strCache>
                <c:ptCount val="3"/>
                <c:pt idx="0">
                  <c:v>Alif</c:v>
                </c:pt>
                <c:pt idx="1">
                  <c:v>VH</c:v>
                </c:pt>
                <c:pt idx="2">
                  <c:v>Consolidated</c:v>
                </c:pt>
              </c:strCache>
            </c:strRef>
          </c:cat>
          <c:val>
            <c:numRef>
              <c:f>Charts_YTD!$B$75:$D$75</c:f>
              <c:numCache>
                <c:formatCode>#,##0;[Red]\(#,##0\)</c:formatCode>
                <c:ptCount val="3"/>
                <c:pt idx="0">
                  <c:v>-3901265.9100000421</c:v>
                </c:pt>
                <c:pt idx="1">
                  <c:v>-275995.8199999982</c:v>
                </c:pt>
                <c:pt idx="2">
                  <c:v>-4177261.7300000405</c:v>
                </c:pt>
              </c:numCache>
            </c:numRef>
          </c:val>
          <c:extLst>
            <c:ext xmlns:c16="http://schemas.microsoft.com/office/drawing/2014/chart" uri="{C3380CC4-5D6E-409C-BE32-E72D297353CC}">
              <c16:uniqueId val="{00000001-32A9-46A1-BED7-0C7ED2E51FF2}"/>
            </c:ext>
          </c:extLst>
        </c:ser>
        <c:ser>
          <c:idx val="2"/>
          <c:order val="2"/>
          <c:tx>
            <c:v>Financing cash flow</c:v>
          </c:tx>
          <c:spPr>
            <a:ln>
              <a:prstDash val="solid"/>
            </a:ln>
          </c:spPr>
          <c:invertIfNegative val="1"/>
          <c:cat>
            <c:strRef>
              <c:f>Charts_YTD!$B$61:$D$61</c:f>
              <c:strCache>
                <c:ptCount val="3"/>
                <c:pt idx="0">
                  <c:v>Alif</c:v>
                </c:pt>
                <c:pt idx="1">
                  <c:v>VH</c:v>
                </c:pt>
                <c:pt idx="2">
                  <c:v>Consolidated</c:v>
                </c:pt>
              </c:strCache>
            </c:strRef>
          </c:cat>
          <c:val>
            <c:numRef>
              <c:f>Charts_YTD!$B$76:$D$76</c:f>
              <c:numCache>
                <c:formatCode>#,##0;[Red]\(#,##0\)</c:formatCode>
                <c:ptCount val="3"/>
                <c:pt idx="0">
                  <c:v>27744398.452999994</c:v>
                </c:pt>
                <c:pt idx="1">
                  <c:v>27273993.936000004</c:v>
                </c:pt>
                <c:pt idx="2">
                  <c:v>55018392.388999999</c:v>
                </c:pt>
              </c:numCache>
            </c:numRef>
          </c:val>
          <c:extLst>
            <c:ext xmlns:c16="http://schemas.microsoft.com/office/drawing/2014/chart" uri="{C3380CC4-5D6E-409C-BE32-E72D297353CC}">
              <c16:uniqueId val="{00000002-32A9-46A1-BED7-0C7ED2E51FF2}"/>
            </c:ext>
          </c:extLst>
        </c:ser>
        <c:ser>
          <c:idx val="3"/>
          <c:order val="3"/>
          <c:tx>
            <c:v>Net change in cash</c:v>
          </c:tx>
          <c:spPr>
            <a:ln>
              <a:prstDash val="solid"/>
            </a:ln>
          </c:spPr>
          <c:invertIfNegative val="1"/>
          <c:cat>
            <c:strRef>
              <c:f>Charts_YTD!$B$61:$D$61</c:f>
              <c:strCache>
                <c:ptCount val="3"/>
                <c:pt idx="0">
                  <c:v>Alif</c:v>
                </c:pt>
                <c:pt idx="1">
                  <c:v>VH</c:v>
                </c:pt>
                <c:pt idx="2">
                  <c:v>Consolidated</c:v>
                </c:pt>
              </c:strCache>
            </c:strRef>
          </c:cat>
          <c:val>
            <c:numRef>
              <c:f>Charts_YTD!$B$77:$D$77</c:f>
              <c:numCache>
                <c:formatCode>#,##0;[Red]\(#,##0\)</c:formatCode>
                <c:ptCount val="3"/>
                <c:pt idx="0">
                  <c:v>28521750.447999995</c:v>
                </c:pt>
                <c:pt idx="1">
                  <c:v>459384.78000001237</c:v>
                </c:pt>
                <c:pt idx="2">
                  <c:v>28981135.227999989</c:v>
                </c:pt>
              </c:numCache>
            </c:numRef>
          </c:val>
          <c:extLst>
            <c:ext xmlns:c16="http://schemas.microsoft.com/office/drawing/2014/chart" uri="{C3380CC4-5D6E-409C-BE32-E72D297353CC}">
              <c16:uniqueId val="{00000003-32A9-46A1-BED7-0C7ED2E51FF2}"/>
            </c:ext>
          </c:extLst>
        </c:ser>
        <c:dLbls>
          <c:showLegendKey val="0"/>
          <c:showVal val="0"/>
          <c:showCatName val="0"/>
          <c:showSerName val="0"/>
          <c:showPercent val="0"/>
          <c:showBubbleSize val="0"/>
        </c:dLbls>
        <c:gapWidth val="120"/>
        <c:axId val="10"/>
        <c:axId val="100"/>
      </c:bar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0;[Red]\(#,##0\)"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t>Finance Cost and Depreciation</a:t>
            </a:r>
          </a:p>
        </c:rich>
      </c:tx>
      <c:overlay val="1"/>
    </c:title>
    <c:autoTitleDeleted val="0"/>
    <c:plotArea>
      <c:layout/>
      <c:barChart>
        <c:barDir val="col"/>
        <c:grouping val="clustered"/>
        <c:varyColors val="1"/>
        <c:ser>
          <c:idx val="0"/>
          <c:order val="0"/>
          <c:tx>
            <c:v>Short-term Murabaha loans</c:v>
          </c:tx>
          <c:spPr>
            <a:ln>
              <a:prstDash val="solid"/>
            </a:ln>
          </c:spPr>
          <c:invertIfNegative val="1"/>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BS!$D$23:$P$23</c:f>
              <c:numCache>
                <c:formatCode>_(* #,##0_);_(* \(#,##0\);_(* "-"??_);_(@_)</c:formatCode>
                <c:ptCount val="13"/>
                <c:pt idx="0">
                  <c:v>24897662.395</c:v>
                </c:pt>
                <c:pt idx="1">
                  <c:v>11975998.512</c:v>
                </c:pt>
                <c:pt idx="2">
                  <c:v>26152571.23</c:v>
                </c:pt>
                <c:pt idx="3">
                  <c:v>0</c:v>
                </c:pt>
                <c:pt idx="4">
                  <c:v>60835098.295000002</c:v>
                </c:pt>
                <c:pt idx="5">
                  <c:v>67558356.840000004</c:v>
                </c:pt>
                <c:pt idx="6">
                  <c:v>87069638.245000005</c:v>
                </c:pt>
                <c:pt idx="7">
                  <c:v>93444858.009000003</c:v>
                </c:pt>
                <c:pt idx="8">
                  <c:v>129181162.92999998</c:v>
                </c:pt>
                <c:pt idx="9">
                  <c:v>83699243.261999995</c:v>
                </c:pt>
                <c:pt idx="10">
                  <c:v>111392465.919</c:v>
                </c:pt>
                <c:pt idx="11">
                  <c:v>193396818.67900002</c:v>
                </c:pt>
                <c:pt idx="12">
                  <c:v>136845302.74100003</c:v>
                </c:pt>
              </c:numCache>
            </c:numRef>
          </c:val>
          <c:extLst>
            <c:ext xmlns:c16="http://schemas.microsoft.com/office/drawing/2014/chart" uri="{C3380CC4-5D6E-409C-BE32-E72D297353CC}">
              <c16:uniqueId val="{00000000-DDE9-43D0-9970-A2F511E383E3}"/>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Accounts Receivable</a:t>
            </a:r>
          </a:p>
        </c:rich>
      </c:tx>
      <c:overlay val="1"/>
    </c:title>
    <c:autoTitleDeleted val="0"/>
    <c:plotArea>
      <c:layout/>
      <c:lineChart>
        <c:grouping val="standard"/>
        <c:varyColors val="1"/>
        <c:ser>
          <c:idx val="0"/>
          <c:order val="0"/>
          <c:tx>
            <c:v>Trade receivables</c:v>
          </c:tx>
          <c:spPr>
            <a:ln>
              <a:prstDash val="solid"/>
            </a:ln>
          </c:spPr>
          <c:marker>
            <c:symbol val="none"/>
          </c:marker>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BS!$D$8:$P$8</c:f>
              <c:numCache>
                <c:formatCode>_(* #,##0_);_(* \(#,##0\);_(* "-"??_);_(@_)</c:formatCode>
                <c:ptCount val="13"/>
                <c:pt idx="0">
                  <c:v>34778327.274999999</c:v>
                </c:pt>
                <c:pt idx="1">
                  <c:v>35513977.460000001</c:v>
                </c:pt>
                <c:pt idx="2">
                  <c:v>36110502.079999998</c:v>
                </c:pt>
                <c:pt idx="3">
                  <c:v>35801104.203000002</c:v>
                </c:pt>
                <c:pt idx="4">
                  <c:v>34900865.947999999</c:v>
                </c:pt>
                <c:pt idx="5">
                  <c:v>40286632.229000002</c:v>
                </c:pt>
                <c:pt idx="6">
                  <c:v>35451876.857000001</c:v>
                </c:pt>
                <c:pt idx="7">
                  <c:v>59814194.835000001</c:v>
                </c:pt>
                <c:pt idx="8">
                  <c:v>69444422.419</c:v>
                </c:pt>
                <c:pt idx="9">
                  <c:v>32974816.363000002</c:v>
                </c:pt>
                <c:pt idx="10">
                  <c:v>45208932.280000001</c:v>
                </c:pt>
                <c:pt idx="11">
                  <c:v>34614827.501000002</c:v>
                </c:pt>
                <c:pt idx="12">
                  <c:v>21529784.529504996</c:v>
                </c:pt>
              </c:numCache>
            </c:numRef>
          </c:val>
          <c:smooth val="1"/>
          <c:extLst>
            <c:ext xmlns:c16="http://schemas.microsoft.com/office/drawing/2014/chart" uri="{C3380CC4-5D6E-409C-BE32-E72D297353CC}">
              <c16:uniqueId val="{00000000-4A84-401B-A6D0-BABCDBF350D7}"/>
            </c:ext>
          </c:extLst>
        </c:ser>
        <c:ser>
          <c:idx val="1"/>
          <c:order val="1"/>
          <c:tx>
            <c:v>Inventories</c:v>
          </c:tx>
          <c:spPr>
            <a:ln>
              <a:prstDash val="solid"/>
            </a:ln>
          </c:spPr>
          <c:marker>
            <c:symbol val="none"/>
          </c:marker>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BS!$D$10:$P$10</c:f>
              <c:numCache>
                <c:formatCode>_(* #,##0_);_(* \(#,##0\);_(* "-"??_);_(@_)</c:formatCode>
                <c:ptCount val="13"/>
                <c:pt idx="0">
                  <c:v>34065376.359000005</c:v>
                </c:pt>
                <c:pt idx="1">
                  <c:v>28412734</c:v>
                </c:pt>
                <c:pt idx="2">
                  <c:v>31557770.992000006</c:v>
                </c:pt>
                <c:pt idx="3">
                  <c:v>25847130.508000001</c:v>
                </c:pt>
                <c:pt idx="4">
                  <c:v>65632733.660999998</c:v>
                </c:pt>
                <c:pt idx="5">
                  <c:v>63336467.600999996</c:v>
                </c:pt>
                <c:pt idx="6">
                  <c:v>45810720.601000004</c:v>
                </c:pt>
                <c:pt idx="7">
                  <c:v>60639675.158</c:v>
                </c:pt>
                <c:pt idx="8">
                  <c:v>93415465.147000015</c:v>
                </c:pt>
                <c:pt idx="9">
                  <c:v>45411604.563999996</c:v>
                </c:pt>
                <c:pt idx="10">
                  <c:v>59932684.778999999</c:v>
                </c:pt>
                <c:pt idx="11">
                  <c:v>118029748.70999999</c:v>
                </c:pt>
                <c:pt idx="12">
                  <c:v>68750141.290959969</c:v>
                </c:pt>
              </c:numCache>
            </c:numRef>
          </c:val>
          <c:smooth val="1"/>
          <c:extLst>
            <c:ext xmlns:c16="http://schemas.microsoft.com/office/drawing/2014/chart" uri="{C3380CC4-5D6E-409C-BE32-E72D297353CC}">
              <c16:uniqueId val="{00000001-4A84-401B-A6D0-BABCDBF350D7}"/>
            </c:ext>
          </c:extLst>
        </c:ser>
        <c:ser>
          <c:idx val="2"/>
          <c:order val="2"/>
          <c:tx>
            <c:v>Total non-current assets</c:v>
          </c:tx>
          <c:spPr>
            <a:ln>
              <a:prstDash val="solid"/>
            </a:ln>
          </c:spPr>
          <c:marker>
            <c:symbol val="none"/>
          </c:marker>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BS!$D$17:$P$17</c:f>
              <c:numCache>
                <c:formatCode>_(* #,##0_);_(* \(#,##0\);_(* "-"??_);_(@_)</c:formatCode>
                <c:ptCount val="13"/>
                <c:pt idx="0">
                  <c:v>19388806.166000009</c:v>
                </c:pt>
                <c:pt idx="1">
                  <c:v>27222645.847000003</c:v>
                </c:pt>
                <c:pt idx="2">
                  <c:v>113167188.12099999</c:v>
                </c:pt>
                <c:pt idx="3">
                  <c:v>116002902.86300002</c:v>
                </c:pt>
                <c:pt idx="4">
                  <c:v>140385357.215</c:v>
                </c:pt>
                <c:pt idx="5">
                  <c:v>144784019.16799995</c:v>
                </c:pt>
                <c:pt idx="6">
                  <c:v>140727143.89499998</c:v>
                </c:pt>
                <c:pt idx="7">
                  <c:v>137326046.09900001</c:v>
                </c:pt>
                <c:pt idx="8">
                  <c:v>139800421.52200001</c:v>
                </c:pt>
                <c:pt idx="9">
                  <c:v>132661204.67599997</c:v>
                </c:pt>
                <c:pt idx="10">
                  <c:v>139866170.14399999</c:v>
                </c:pt>
                <c:pt idx="11">
                  <c:v>160685390.67200002</c:v>
                </c:pt>
                <c:pt idx="12">
                  <c:v>157362495.96486935</c:v>
                </c:pt>
              </c:numCache>
            </c:numRef>
          </c:val>
          <c:smooth val="1"/>
          <c:extLst>
            <c:ext xmlns:c16="http://schemas.microsoft.com/office/drawing/2014/chart" uri="{C3380CC4-5D6E-409C-BE32-E72D297353CC}">
              <c16:uniqueId val="{00000002-4A84-401B-A6D0-BABCDBF350D7}"/>
            </c:ext>
          </c:extLst>
        </c:ser>
        <c:dLbls>
          <c:showLegendKey val="0"/>
          <c:showVal val="0"/>
          <c:showCatName val="0"/>
          <c:showSerName val="0"/>
          <c:showPercent val="0"/>
          <c:showBubbleSize val="0"/>
        </c:dLbls>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Short Term Loan</a:t>
            </a:r>
          </a:p>
        </c:rich>
      </c:tx>
      <c:overlay val="1"/>
    </c:title>
    <c:autoTitleDeleted val="0"/>
    <c:plotArea>
      <c:layout/>
      <c:barChart>
        <c:barDir val="col"/>
        <c:grouping val="clustered"/>
        <c:varyColors val="1"/>
        <c:ser>
          <c:idx val="0"/>
          <c:order val="0"/>
          <c:tx>
            <c:v>Short-term Murabaha loans</c:v>
          </c:tx>
          <c:spPr>
            <a:ln>
              <a:prstDash val="solid"/>
            </a:ln>
          </c:spPr>
          <c:invertIfNegative val="1"/>
          <c:cat>
            <c:strRef>
              <c:f>BS!$D$5:$P$5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BS!$D$23:$P$23</c:f>
              <c:numCache>
                <c:formatCode>_(* #,##0_);_(* \(#,##0\);_(* "-"??_);_(@_)</c:formatCode>
                <c:ptCount val="13"/>
                <c:pt idx="0">
                  <c:v>24897662.395</c:v>
                </c:pt>
                <c:pt idx="1">
                  <c:v>11975998.512</c:v>
                </c:pt>
                <c:pt idx="2">
                  <c:v>26152571.23</c:v>
                </c:pt>
                <c:pt idx="3">
                  <c:v>0</c:v>
                </c:pt>
                <c:pt idx="4">
                  <c:v>60835098.295000002</c:v>
                </c:pt>
                <c:pt idx="5">
                  <c:v>67558356.840000004</c:v>
                </c:pt>
                <c:pt idx="6">
                  <c:v>87069638.245000005</c:v>
                </c:pt>
                <c:pt idx="7">
                  <c:v>93444858.009000003</c:v>
                </c:pt>
                <c:pt idx="8">
                  <c:v>129181162.92999998</c:v>
                </c:pt>
                <c:pt idx="9">
                  <c:v>83699243.261999995</c:v>
                </c:pt>
                <c:pt idx="10">
                  <c:v>111392465.919</c:v>
                </c:pt>
                <c:pt idx="11">
                  <c:v>193396818.67900002</c:v>
                </c:pt>
                <c:pt idx="12">
                  <c:v>136845302.74100003</c:v>
                </c:pt>
              </c:numCache>
            </c:numRef>
          </c:val>
          <c:extLst>
            <c:ext xmlns:c16="http://schemas.microsoft.com/office/drawing/2014/chart" uri="{C3380CC4-5D6E-409C-BE32-E72D297353CC}">
              <c16:uniqueId val="{00000000-8658-44ED-AFA4-F8062BB678A5}"/>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Sales and COGS</a:t>
            </a:r>
          </a:p>
        </c:rich>
      </c:tx>
      <c:overlay val="1"/>
    </c:title>
    <c:autoTitleDeleted val="0"/>
    <c:plotArea>
      <c:layout/>
      <c:barChart>
        <c:barDir val="col"/>
        <c:grouping val="clustered"/>
        <c:varyColors val="1"/>
        <c:ser>
          <c:idx val="0"/>
          <c:order val="0"/>
          <c:tx>
            <c:v>Sales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'P&amp;L_2014-2025'!$C$8:$O$8</c:f>
              <c:numCache>
                <c:formatCode>_(* #,##0_);_(* \(#,##0\);_(* "-"??_);_(@_)</c:formatCode>
                <c:ptCount val="13"/>
                <c:pt idx="0">
                  <c:v>133975423.855868</c:v>
                </c:pt>
                <c:pt idx="1">
                  <c:v>109444157.5853669</c:v>
                </c:pt>
                <c:pt idx="2">
                  <c:v>87767642.650328979</c:v>
                </c:pt>
                <c:pt idx="3">
                  <c:v>93078605.225867987</c:v>
                </c:pt>
                <c:pt idx="4">
                  <c:v>107410025.54439001</c:v>
                </c:pt>
                <c:pt idx="5">
                  <c:v>146081750.18741196</c:v>
                </c:pt>
                <c:pt idx="6">
                  <c:v>126602833.996544</c:v>
                </c:pt>
                <c:pt idx="7">
                  <c:v>182618747.327999</c:v>
                </c:pt>
                <c:pt idx="8">
                  <c:v>221964755.03041697</c:v>
                </c:pt>
                <c:pt idx="9">
                  <c:v>104200512.36582999</c:v>
                </c:pt>
                <c:pt idx="10">
                  <c:v>135180434.5803</c:v>
                </c:pt>
                <c:pt idx="11">
                  <c:v>155937781.92916942</c:v>
                </c:pt>
                <c:pt idx="12">
                  <c:v>126467923.87650502</c:v>
                </c:pt>
              </c:numCache>
            </c:numRef>
          </c:val>
          <c:extLst>
            <c:ext xmlns:c16="http://schemas.microsoft.com/office/drawing/2014/chart" uri="{C3380CC4-5D6E-409C-BE32-E72D297353CC}">
              <c16:uniqueId val="{00000000-FBFC-45A2-B4E0-A98932257CB2}"/>
            </c:ext>
          </c:extLst>
        </c:ser>
        <c:ser>
          <c:idx val="1"/>
          <c:order val="1"/>
          <c:tx>
            <c:v>Cost of Sales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'P&amp;L_2014-2025'!$C$22:$O$22</c:f>
              <c:numCache>
                <c:formatCode>_(* #,##0_);_(* \(#,##0\);_(* "-"??_);_(@_)</c:formatCode>
                <c:ptCount val="13"/>
                <c:pt idx="0">
                  <c:v>104062218.00060666</c:v>
                </c:pt>
                <c:pt idx="1">
                  <c:v>84062144.402534768</c:v>
                </c:pt>
                <c:pt idx="2">
                  <c:v>70400864.017852664</c:v>
                </c:pt>
                <c:pt idx="3">
                  <c:v>77090598.801613629</c:v>
                </c:pt>
                <c:pt idx="4">
                  <c:v>85787443.724986285</c:v>
                </c:pt>
                <c:pt idx="5">
                  <c:v>121081074.10117428</c:v>
                </c:pt>
                <c:pt idx="6">
                  <c:v>120493197.82156266</c:v>
                </c:pt>
                <c:pt idx="7">
                  <c:v>155836840.031452</c:v>
                </c:pt>
                <c:pt idx="8">
                  <c:v>192008262.00978181</c:v>
                </c:pt>
                <c:pt idx="9">
                  <c:v>107271859.25847292</c:v>
                </c:pt>
                <c:pt idx="10">
                  <c:v>130536032.57213104</c:v>
                </c:pt>
                <c:pt idx="11">
                  <c:v>154595554.06400001</c:v>
                </c:pt>
                <c:pt idx="12">
                  <c:v>133711338.78492077</c:v>
                </c:pt>
              </c:numCache>
            </c:numRef>
          </c:val>
          <c:extLst>
            <c:ext xmlns:c16="http://schemas.microsoft.com/office/drawing/2014/chart" uri="{C3380CC4-5D6E-409C-BE32-E72D297353CC}">
              <c16:uniqueId val="{00000001-FBFC-45A2-B4E0-A98932257CB2}"/>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Sales vs Raw Matl COGS</a:t>
            </a:r>
          </a:p>
        </c:rich>
      </c:tx>
      <c:overlay val="1"/>
    </c:title>
    <c:autoTitleDeleted val="0"/>
    <c:plotArea>
      <c:layout/>
      <c:barChart>
        <c:barDir val="col"/>
        <c:grouping val="clustered"/>
        <c:varyColors val="1"/>
        <c:ser>
          <c:idx val="0"/>
          <c:order val="0"/>
          <c:tx>
            <c:v>Sales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'P&amp;L_2014-2025'!$C$8:$O$8</c:f>
              <c:numCache>
                <c:formatCode>_(* #,##0_);_(* \(#,##0\);_(* "-"??_);_(@_)</c:formatCode>
                <c:ptCount val="13"/>
                <c:pt idx="0">
                  <c:v>133975423.855868</c:v>
                </c:pt>
                <c:pt idx="1">
                  <c:v>109444157.5853669</c:v>
                </c:pt>
                <c:pt idx="2">
                  <c:v>87767642.650328979</c:v>
                </c:pt>
                <c:pt idx="3">
                  <c:v>93078605.225867987</c:v>
                </c:pt>
                <c:pt idx="4">
                  <c:v>107410025.54439001</c:v>
                </c:pt>
                <c:pt idx="5">
                  <c:v>146081750.18741196</c:v>
                </c:pt>
                <c:pt idx="6">
                  <c:v>126602833.996544</c:v>
                </c:pt>
                <c:pt idx="7">
                  <c:v>182618747.327999</c:v>
                </c:pt>
                <c:pt idx="8">
                  <c:v>221964755.03041697</c:v>
                </c:pt>
                <c:pt idx="9">
                  <c:v>104200512.36582999</c:v>
                </c:pt>
                <c:pt idx="10">
                  <c:v>135180434.5803</c:v>
                </c:pt>
                <c:pt idx="11">
                  <c:v>155937781.92916942</c:v>
                </c:pt>
                <c:pt idx="12">
                  <c:v>126467923.87650502</c:v>
                </c:pt>
              </c:numCache>
            </c:numRef>
          </c:val>
          <c:extLst>
            <c:ext xmlns:c16="http://schemas.microsoft.com/office/drawing/2014/chart" uri="{C3380CC4-5D6E-409C-BE32-E72D297353CC}">
              <c16:uniqueId val="{00000000-7224-43CE-BB98-39A926B5BC6E}"/>
            </c:ext>
          </c:extLst>
        </c:ser>
        <c:ser>
          <c:idx val="1"/>
          <c:order val="1"/>
          <c:tx>
            <c:v>Raw materials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'P&amp;L_2014-2025'!$C$10:$O$10</c:f>
              <c:numCache>
                <c:formatCode>_(* #,##0_);_(* \(#,##0\);_(* "-"??_);_(@_)</c:formatCode>
                <c:ptCount val="13"/>
                <c:pt idx="0">
                  <c:v>81941048.596606642</c:v>
                </c:pt>
                <c:pt idx="1">
                  <c:v>65904067.777534761</c:v>
                </c:pt>
                <c:pt idx="2">
                  <c:v>55179705.656852663</c:v>
                </c:pt>
                <c:pt idx="3">
                  <c:v>58214236.07661362</c:v>
                </c:pt>
                <c:pt idx="4">
                  <c:v>75159713.02398628</c:v>
                </c:pt>
                <c:pt idx="5">
                  <c:v>101800151.00217427</c:v>
                </c:pt>
                <c:pt idx="6">
                  <c:v>100988459.92556266</c:v>
                </c:pt>
                <c:pt idx="7">
                  <c:v>128457153.22845203</c:v>
                </c:pt>
                <c:pt idx="8">
                  <c:v>158993620.62478179</c:v>
                </c:pt>
                <c:pt idx="9">
                  <c:v>86519533.614472955</c:v>
                </c:pt>
                <c:pt idx="10">
                  <c:v>106465714.16813104</c:v>
                </c:pt>
                <c:pt idx="11">
                  <c:v>114262456.88799998</c:v>
                </c:pt>
                <c:pt idx="12">
                  <c:v>94755694.149040043</c:v>
                </c:pt>
              </c:numCache>
            </c:numRef>
          </c:val>
          <c:extLst>
            <c:ext xmlns:c16="http://schemas.microsoft.com/office/drawing/2014/chart" uri="{C3380CC4-5D6E-409C-BE32-E72D297353CC}">
              <c16:uniqueId val="{00000001-7224-43CE-BB98-39A926B5BC6E}"/>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Selling and G&amp;A</a:t>
            </a:r>
          </a:p>
        </c:rich>
      </c:tx>
      <c:overlay val="1"/>
    </c:title>
    <c:autoTitleDeleted val="0"/>
    <c:plotArea>
      <c:layout/>
      <c:barChart>
        <c:barDir val="col"/>
        <c:grouping val="clustered"/>
        <c:varyColors val="1"/>
        <c:ser>
          <c:idx val="0"/>
          <c:order val="0"/>
          <c:tx>
            <c:v>Selling and Distribution</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'P&amp;L_2014-2025'!$C$32:$O$32</c:f>
              <c:numCache>
                <c:formatCode>_(* #,##0_);_(* \(#,##0\);_(* "-"??_);_(@_)</c:formatCode>
                <c:ptCount val="13"/>
                <c:pt idx="0">
                  <c:v>256053.86</c:v>
                </c:pt>
                <c:pt idx="1">
                  <c:v>328452.23</c:v>
                </c:pt>
                <c:pt idx="2">
                  <c:v>199171</c:v>
                </c:pt>
                <c:pt idx="3">
                  <c:v>287232.88800000004</c:v>
                </c:pt>
                <c:pt idx="4">
                  <c:v>306068.40600000002</c:v>
                </c:pt>
                <c:pt idx="5">
                  <c:v>340309.91699999996</c:v>
                </c:pt>
                <c:pt idx="6">
                  <c:v>303880.96999999997</c:v>
                </c:pt>
                <c:pt idx="7">
                  <c:v>379011.81700000004</c:v>
                </c:pt>
                <c:pt idx="8">
                  <c:v>500759.15900000004</c:v>
                </c:pt>
                <c:pt idx="9">
                  <c:v>241398.34</c:v>
                </c:pt>
                <c:pt idx="10">
                  <c:v>980013.16600000008</c:v>
                </c:pt>
                <c:pt idx="11">
                  <c:v>1613703.3190000001</c:v>
                </c:pt>
                <c:pt idx="12">
                  <c:v>136856.06299999999</c:v>
                </c:pt>
              </c:numCache>
            </c:numRef>
          </c:val>
          <c:extLst>
            <c:ext xmlns:c16="http://schemas.microsoft.com/office/drawing/2014/chart" uri="{C3380CC4-5D6E-409C-BE32-E72D297353CC}">
              <c16:uniqueId val="{00000000-E037-48CA-81E7-3E4FAD6CE62F}"/>
            </c:ext>
          </c:extLst>
        </c:ser>
        <c:ser>
          <c:idx val="1"/>
          <c:order val="1"/>
          <c:tx>
            <c:v>General and Admin</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'P&amp;L_2014-2025'!$C$44:$O$44</c:f>
              <c:numCache>
                <c:formatCode>_(* #,##0_);_(* \(#,##0\);_(* "-"??_);_(@_)</c:formatCode>
                <c:ptCount val="13"/>
                <c:pt idx="0">
                  <c:v>7702424.1299999999</c:v>
                </c:pt>
                <c:pt idx="1">
                  <c:v>7094796.693</c:v>
                </c:pt>
                <c:pt idx="2">
                  <c:v>7350629.294999999</c:v>
                </c:pt>
                <c:pt idx="3">
                  <c:v>9356300.0989999995</c:v>
                </c:pt>
                <c:pt idx="4">
                  <c:v>9930132.0759999994</c:v>
                </c:pt>
                <c:pt idx="5">
                  <c:v>10394148.647999998</c:v>
                </c:pt>
                <c:pt idx="6">
                  <c:v>16118206.829000002</c:v>
                </c:pt>
                <c:pt idx="7">
                  <c:v>13964300.544000002</c:v>
                </c:pt>
                <c:pt idx="8">
                  <c:v>14345089.629000003</c:v>
                </c:pt>
                <c:pt idx="9">
                  <c:v>13036995.181</c:v>
                </c:pt>
                <c:pt idx="10">
                  <c:v>14261829.189000001</c:v>
                </c:pt>
                <c:pt idx="11">
                  <c:v>26917588.152000003</c:v>
                </c:pt>
                <c:pt idx="12">
                  <c:v>13317436.636000002</c:v>
                </c:pt>
              </c:numCache>
            </c:numRef>
          </c:val>
          <c:extLst>
            <c:ext xmlns:c16="http://schemas.microsoft.com/office/drawing/2014/chart" uri="{C3380CC4-5D6E-409C-BE32-E72D297353CC}">
              <c16:uniqueId val="{00000001-E037-48CA-81E7-3E4FAD6CE62F}"/>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Finance Cost</a:t>
            </a:r>
          </a:p>
        </c:rich>
      </c:tx>
      <c:overlay val="1"/>
    </c:title>
    <c:autoTitleDeleted val="0"/>
    <c:plotArea>
      <c:layout/>
      <c:barChart>
        <c:barDir val="col"/>
        <c:grouping val="clustered"/>
        <c:varyColors val="1"/>
        <c:ser>
          <c:idx val="0"/>
          <c:order val="0"/>
          <c:tx>
            <c:v>Finance cost</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'P&amp;L_2014-2025'!$C$51:$O$51</c:f>
              <c:numCache>
                <c:formatCode>_(* #,##0_);_(* \(#,##0\);_(* "-"??_);_(@_)</c:formatCode>
                <c:ptCount val="13"/>
                <c:pt idx="0">
                  <c:v>1986535.067</c:v>
                </c:pt>
                <c:pt idx="1">
                  <c:v>1159554.7420000001</c:v>
                </c:pt>
                <c:pt idx="2">
                  <c:v>1539704.35</c:v>
                </c:pt>
                <c:pt idx="3">
                  <c:v>1568335.0009999999</c:v>
                </c:pt>
                <c:pt idx="4">
                  <c:v>2338864.71</c:v>
                </c:pt>
                <c:pt idx="5">
                  <c:v>3369252.03</c:v>
                </c:pt>
                <c:pt idx="6">
                  <c:v>3139563.568</c:v>
                </c:pt>
                <c:pt idx="7">
                  <c:v>4025597.2740000002</c:v>
                </c:pt>
                <c:pt idx="8">
                  <c:v>4641310.1399999997</c:v>
                </c:pt>
                <c:pt idx="9">
                  <c:v>5894124.551</c:v>
                </c:pt>
                <c:pt idx="10">
                  <c:v>7716907.142</c:v>
                </c:pt>
                <c:pt idx="11">
                  <c:v>11618933.344000001</c:v>
                </c:pt>
                <c:pt idx="12">
                  <c:v>8880146.9840000011</c:v>
                </c:pt>
              </c:numCache>
            </c:numRef>
          </c:val>
          <c:extLst>
            <c:ext xmlns:c16="http://schemas.microsoft.com/office/drawing/2014/chart" uri="{C3380CC4-5D6E-409C-BE32-E72D297353CC}">
              <c16:uniqueId val="{00000000-C269-4412-BF40-0F1C31604528}"/>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Depreciation</a:t>
            </a:r>
          </a:p>
        </c:rich>
      </c:tx>
      <c:overlay val="1"/>
    </c:title>
    <c:autoTitleDeleted val="0"/>
    <c:plotArea>
      <c:layout/>
      <c:barChart>
        <c:barDir val="col"/>
        <c:grouping val="clustered"/>
        <c:varyColors val="1"/>
        <c:ser>
          <c:idx val="0"/>
          <c:order val="0"/>
          <c:tx>
            <c:v>Depreciation expenses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'P&amp;L_2014-2025'!$C$52:$O$52</c:f>
              <c:numCache>
                <c:formatCode>_(* #,##0_);_(* \(#,##0\);_(* "-"??_);_(@_)</c:formatCode>
                <c:ptCount val="13"/>
                <c:pt idx="0">
                  <c:v>410748.17</c:v>
                </c:pt>
                <c:pt idx="1">
                  <c:v>447124.53</c:v>
                </c:pt>
                <c:pt idx="2">
                  <c:v>295860.39099999989</c:v>
                </c:pt>
                <c:pt idx="3">
                  <c:v>378246.45800000004</c:v>
                </c:pt>
                <c:pt idx="4">
                  <c:v>903739.72699999996</c:v>
                </c:pt>
                <c:pt idx="5">
                  <c:v>718507.80799999996</c:v>
                </c:pt>
                <c:pt idx="6">
                  <c:v>1984412.7469999997</c:v>
                </c:pt>
                <c:pt idx="7">
                  <c:v>2123910.122</c:v>
                </c:pt>
                <c:pt idx="8">
                  <c:v>2249190.7760000001</c:v>
                </c:pt>
                <c:pt idx="9">
                  <c:v>2301784.9879999999</c:v>
                </c:pt>
                <c:pt idx="10">
                  <c:v>2249499.9190000002</c:v>
                </c:pt>
                <c:pt idx="11">
                  <c:v>2603825.5560000003</c:v>
                </c:pt>
                <c:pt idx="12">
                  <c:v>1885998.1222499991</c:v>
                </c:pt>
              </c:numCache>
            </c:numRef>
          </c:val>
          <c:extLst>
            <c:ext xmlns:c16="http://schemas.microsoft.com/office/drawing/2014/chart" uri="{C3380CC4-5D6E-409C-BE32-E72D297353CC}">
              <c16:uniqueId val="{00000000-C031-41B8-B708-94DF9CC1DF21}"/>
            </c:ext>
          </c:extLst>
        </c:ser>
        <c:ser>
          <c:idx val="1"/>
          <c:order val="1"/>
          <c:tx>
            <c:v>GROSS PROFIT</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'P&amp;L_2014-2025'!$C$14:$O$14</c:f>
              <c:numCache>
                <c:formatCode>_(* #,##0_);_(* \(#,##0\);_(* "-"??_);_(@_)</c:formatCode>
                <c:ptCount val="13"/>
                <c:pt idx="0">
                  <c:v>2954190.4589999998</c:v>
                </c:pt>
                <c:pt idx="1">
                  <c:v>3165403.4010000001</c:v>
                </c:pt>
                <c:pt idx="2">
                  <c:v>3435007.7499999995</c:v>
                </c:pt>
                <c:pt idx="3">
                  <c:v>3533037.389</c:v>
                </c:pt>
                <c:pt idx="4">
                  <c:v>2198098.9980000001</c:v>
                </c:pt>
                <c:pt idx="5">
                  <c:v>3638104.1009999998</c:v>
                </c:pt>
                <c:pt idx="6">
                  <c:v>3256640.844</c:v>
                </c:pt>
                <c:pt idx="7">
                  <c:v>3446969.5830000001</c:v>
                </c:pt>
                <c:pt idx="8">
                  <c:v>3787622.0819999999</c:v>
                </c:pt>
                <c:pt idx="9">
                  <c:v>3892923.0929999999</c:v>
                </c:pt>
                <c:pt idx="10">
                  <c:v>4522894.6119999997</c:v>
                </c:pt>
                <c:pt idx="11">
                  <c:v>7355690.534</c:v>
                </c:pt>
                <c:pt idx="12">
                  <c:v>6489832.7048807256</c:v>
                </c:pt>
              </c:numCache>
            </c:numRef>
          </c:val>
          <c:extLst>
            <c:ext xmlns:c16="http://schemas.microsoft.com/office/drawing/2014/chart" uri="{C3380CC4-5D6E-409C-BE32-E72D297353CC}">
              <c16:uniqueId val="{00000001-C031-41B8-B708-94DF9CC1DF21}"/>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Finance Cost and Depreciation</a:t>
            </a:r>
          </a:p>
        </c:rich>
      </c:tx>
      <c:overlay val="1"/>
    </c:title>
    <c:autoTitleDeleted val="0"/>
    <c:plotArea>
      <c:layout/>
      <c:barChart>
        <c:barDir val="col"/>
        <c:grouping val="clustered"/>
        <c:varyColors val="1"/>
        <c:ser>
          <c:idx val="0"/>
          <c:order val="0"/>
          <c:tx>
            <c:v>Depreciation expenses</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'P&amp;L_2014-2025'!$C$52:$O$52</c:f>
              <c:numCache>
                <c:formatCode>_(* #,##0_);_(* \(#,##0\);_(* "-"??_);_(@_)</c:formatCode>
                <c:ptCount val="13"/>
                <c:pt idx="0">
                  <c:v>410748.17</c:v>
                </c:pt>
                <c:pt idx="1">
                  <c:v>447124.53</c:v>
                </c:pt>
                <c:pt idx="2">
                  <c:v>295860.39099999989</c:v>
                </c:pt>
                <c:pt idx="3">
                  <c:v>378246.45800000004</c:v>
                </c:pt>
                <c:pt idx="4">
                  <c:v>903739.72699999996</c:v>
                </c:pt>
                <c:pt idx="5">
                  <c:v>718507.80799999996</c:v>
                </c:pt>
                <c:pt idx="6">
                  <c:v>1984412.7469999997</c:v>
                </c:pt>
                <c:pt idx="7">
                  <c:v>2123910.122</c:v>
                </c:pt>
                <c:pt idx="8">
                  <c:v>2249190.7760000001</c:v>
                </c:pt>
                <c:pt idx="9">
                  <c:v>2301784.9879999999</c:v>
                </c:pt>
                <c:pt idx="10">
                  <c:v>2249499.9190000002</c:v>
                </c:pt>
                <c:pt idx="11">
                  <c:v>2603825.5560000003</c:v>
                </c:pt>
                <c:pt idx="12">
                  <c:v>1885998.1222499991</c:v>
                </c:pt>
              </c:numCache>
            </c:numRef>
          </c:val>
          <c:extLst>
            <c:ext xmlns:c16="http://schemas.microsoft.com/office/drawing/2014/chart" uri="{C3380CC4-5D6E-409C-BE32-E72D297353CC}">
              <c16:uniqueId val="{00000000-116A-40A7-AAD6-E454CBF5A65A}"/>
            </c:ext>
          </c:extLst>
        </c:ser>
        <c:ser>
          <c:idx val="1"/>
          <c:order val="1"/>
          <c:tx>
            <c:v>GROSS PROFIT</c:v>
          </c:tx>
          <c:spPr>
            <a:ln>
              <a:prstDash val="solid"/>
            </a:ln>
          </c:spPr>
          <c:invertIfNegative val="1"/>
          <c:cat>
            <c:strRef>
              <c:f>'P&amp;L_2014-2025'!$C$5:$O$5</c:f>
              <c:strCache>
                <c:ptCount val="13"/>
                <c:pt idx="0">
                  <c:v> Y2014 </c:v>
                </c:pt>
                <c:pt idx="1">
                  <c:v> Y2015 </c:v>
                </c:pt>
                <c:pt idx="2">
                  <c:v> Y2016 </c:v>
                </c:pt>
                <c:pt idx="3">
                  <c:v> Y2017 </c:v>
                </c:pt>
                <c:pt idx="4">
                  <c:v> Y2018 </c:v>
                </c:pt>
                <c:pt idx="5">
                  <c:v> Y2019 </c:v>
                </c:pt>
                <c:pt idx="6">
                  <c:v> Y2020 </c:v>
                </c:pt>
                <c:pt idx="7">
                  <c:v> Y2021 </c:v>
                </c:pt>
                <c:pt idx="8">
                  <c:v> Y2022 </c:v>
                </c:pt>
                <c:pt idx="9">
                  <c:v> Y2023 </c:v>
                </c:pt>
                <c:pt idx="10">
                  <c:v> Y2024 </c:v>
                </c:pt>
                <c:pt idx="11">
                  <c:v> Y2025 </c:v>
                </c:pt>
                <c:pt idx="12">
                  <c:v>Sep-26 YTD</c:v>
                </c:pt>
              </c:strCache>
            </c:strRef>
          </c:cat>
          <c:val>
            <c:numRef>
              <c:f>'P&amp;L_2014-2025'!$C$14:$O$14</c:f>
              <c:numCache>
                <c:formatCode>_(* #,##0_);_(* \(#,##0\);_(* "-"??_);_(@_)</c:formatCode>
                <c:ptCount val="13"/>
                <c:pt idx="0">
                  <c:v>2954190.4589999998</c:v>
                </c:pt>
                <c:pt idx="1">
                  <c:v>3165403.4010000001</c:v>
                </c:pt>
                <c:pt idx="2">
                  <c:v>3435007.7499999995</c:v>
                </c:pt>
                <c:pt idx="3">
                  <c:v>3533037.389</c:v>
                </c:pt>
                <c:pt idx="4">
                  <c:v>2198098.9980000001</c:v>
                </c:pt>
                <c:pt idx="5">
                  <c:v>3638104.1009999998</c:v>
                </c:pt>
                <c:pt idx="6">
                  <c:v>3256640.844</c:v>
                </c:pt>
                <c:pt idx="7">
                  <c:v>3446969.5830000001</c:v>
                </c:pt>
                <c:pt idx="8">
                  <c:v>3787622.0819999999</c:v>
                </c:pt>
                <c:pt idx="9">
                  <c:v>3892923.0929999999</c:v>
                </c:pt>
                <c:pt idx="10">
                  <c:v>4522894.6119999997</c:v>
                </c:pt>
                <c:pt idx="11">
                  <c:v>7355690.534</c:v>
                </c:pt>
                <c:pt idx="12">
                  <c:v>6489832.7048807256</c:v>
                </c:pt>
              </c:numCache>
            </c:numRef>
          </c:val>
          <c:extLst>
            <c:ext xmlns:c16="http://schemas.microsoft.com/office/drawing/2014/chart" uri="{C3380CC4-5D6E-409C-BE32-E72D297353CC}">
              <c16:uniqueId val="{00000001-116A-40A7-AAD6-E454CBF5A65A}"/>
            </c:ext>
          </c:extLst>
        </c:ser>
        <c:dLbls>
          <c:showLegendKey val="0"/>
          <c:showVal val="0"/>
          <c:showCatName val="0"/>
          <c:showSerName val="0"/>
          <c:showPercent val="0"/>
          <c:showBubbleSize val="0"/>
        </c:dLbls>
        <c:gapWidth val="219"/>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numFmt formatCode="_(* #,##0_);_(* \(#,##0\);_(* &quot;-&quot;??_);_(@_)" sourceLinked="1"/>
        <c:majorTickMark val="none"/>
        <c:minorTickMark val="none"/>
        <c:tickLblPos val="nextTo"/>
        <c:crossAx val="10"/>
        <c:crosses val="autoZero"/>
        <c:crossBetween val="between"/>
      </c:valAx>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6300000" cy="3420000"/>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9</xdr:col>
      <xdr:colOff>0</xdr:colOff>
      <xdr:row>2</xdr:row>
      <xdr:rowOff>0</xdr:rowOff>
    </xdr:from>
    <xdr:ext cx="6300000" cy="3420000"/>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22</xdr:row>
      <xdr:rowOff>0</xdr:rowOff>
    </xdr:from>
    <xdr:ext cx="6300000" cy="342000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9</xdr:col>
      <xdr:colOff>0</xdr:colOff>
      <xdr:row>22</xdr:row>
      <xdr:rowOff>0</xdr:rowOff>
    </xdr:from>
    <xdr:ext cx="6300000" cy="3420000"/>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drawings/drawing2.xml><?xml version="1.0" encoding="utf-8"?>
<xdr:wsDr xmlns:xdr="http://schemas.openxmlformats.org/drawingml/2006/spreadsheetDrawing" xmlns:a="http://schemas.openxmlformats.org/drawingml/2006/main">
  <xdr:oneCellAnchor>
    <xdr:from>
      <xdr:col>16</xdr:col>
      <xdr:colOff>0</xdr:colOff>
      <xdr:row>8</xdr:row>
      <xdr:rowOff>0</xdr:rowOff>
    </xdr:from>
    <xdr:ext cx="6623999" cy="3456000"/>
    <xdr:graphicFrame macro="">
      <xdr:nvGraphicFramePr>
        <xdr:cNvPr id="2" name="Chart 1">
          <a:extLst>
            <a:ext uri="{FF2B5EF4-FFF2-40B4-BE49-F238E27FC236}">
              <a16:creationId xmlns:a16="http://schemas.microsoft.com/office/drawing/2014/main" id="{00000000-0008-0000-1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6623999" cy="3456000"/>
    <xdr:graphicFrame macro="">
      <xdr:nvGraphicFramePr>
        <xdr:cNvPr id="2" name="Chart 1">
          <a:extLst>
            <a:ext uri="{FF2B5EF4-FFF2-40B4-BE49-F238E27FC236}">
              <a16:creationId xmlns:a16="http://schemas.microsoft.com/office/drawing/2014/main" id="{00000000-0008-0000-1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0</xdr:col>
      <xdr:colOff>0</xdr:colOff>
      <xdr:row>22</xdr:row>
      <xdr:rowOff>0</xdr:rowOff>
    </xdr:from>
    <xdr:ext cx="6623999" cy="3456000"/>
    <xdr:graphicFrame macro="">
      <xdr:nvGraphicFramePr>
        <xdr:cNvPr id="3" name="Chart 2">
          <a:extLst>
            <a:ext uri="{FF2B5EF4-FFF2-40B4-BE49-F238E27FC236}">
              <a16:creationId xmlns:a16="http://schemas.microsoft.com/office/drawing/2014/main" id="{00000000-0008-0000-1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4176000" cy="3456000"/>
    <xdr:graphicFrame macro="">
      <xdr:nvGraphicFramePr>
        <xdr:cNvPr id="2" name="Chart 1">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11</xdr:col>
      <xdr:colOff>0</xdr:colOff>
      <xdr:row>0</xdr:row>
      <xdr:rowOff>0</xdr:rowOff>
    </xdr:from>
    <xdr:ext cx="4176000" cy="3456000"/>
    <xdr:graphicFrame macro="">
      <xdr:nvGraphicFramePr>
        <xdr:cNvPr id="3" name="Chart 2">
          <a:extLst>
            <a:ext uri="{FF2B5EF4-FFF2-40B4-BE49-F238E27FC236}">
              <a16:creationId xmlns:a16="http://schemas.microsoft.com/office/drawing/2014/main" id="{00000000-0008-0000-1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21</xdr:row>
      <xdr:rowOff>0</xdr:rowOff>
    </xdr:from>
    <xdr:ext cx="4176000" cy="3456000"/>
    <xdr:graphicFrame macro="">
      <xdr:nvGraphicFramePr>
        <xdr:cNvPr id="4" name="Chart 3">
          <a:extLst>
            <a:ext uri="{FF2B5EF4-FFF2-40B4-BE49-F238E27FC236}">
              <a16:creationId xmlns:a16="http://schemas.microsoft.com/office/drawing/2014/main" id="{00000000-0008-0000-1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11</xdr:col>
      <xdr:colOff>0</xdr:colOff>
      <xdr:row>21</xdr:row>
      <xdr:rowOff>0</xdr:rowOff>
    </xdr:from>
    <xdr:ext cx="4176000" cy="3456000"/>
    <xdr:graphicFrame macro="">
      <xdr:nvGraphicFramePr>
        <xdr:cNvPr id="5" name="Chart 4">
          <a:extLst>
            <a:ext uri="{FF2B5EF4-FFF2-40B4-BE49-F238E27FC236}">
              <a16:creationId xmlns:a16="http://schemas.microsoft.com/office/drawing/2014/main" id="{00000000-0008-0000-1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0</xdr:col>
      <xdr:colOff>0</xdr:colOff>
      <xdr:row>44</xdr:row>
      <xdr:rowOff>0</xdr:rowOff>
    </xdr:from>
    <xdr:ext cx="4176000" cy="3456000"/>
    <xdr:graphicFrame macro="">
      <xdr:nvGraphicFramePr>
        <xdr:cNvPr id="6" name="Chart 5">
          <a:extLst>
            <a:ext uri="{FF2B5EF4-FFF2-40B4-BE49-F238E27FC236}">
              <a16:creationId xmlns:a16="http://schemas.microsoft.com/office/drawing/2014/main" id="{00000000-0008-0000-1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wsDr>
</file>

<file path=xl/drawings/drawing5.xml><?xml version="1.0" encoding="utf-8"?>
<xdr:wsDr xmlns:xdr="http://schemas.openxmlformats.org/drawingml/2006/spreadsheetDrawing" xmlns:a="http://schemas.openxmlformats.org/drawingml/2006/main">
  <xdr:oneCellAnchor>
    <xdr:from>
      <xdr:col>16</xdr:col>
      <xdr:colOff>0</xdr:colOff>
      <xdr:row>7</xdr:row>
      <xdr:rowOff>0</xdr:rowOff>
    </xdr:from>
    <xdr:ext cx="6623999" cy="3456000"/>
    <xdr:graphicFrame macro="">
      <xdr:nvGraphicFramePr>
        <xdr:cNvPr id="2" name="Chart 1">
          <a:extLst>
            <a:ext uri="{FF2B5EF4-FFF2-40B4-BE49-F238E27FC236}">
              <a16:creationId xmlns:a16="http://schemas.microsoft.com/office/drawing/2014/main" id="{00000000-0008-0000-1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8.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A46"/>
  <sheetViews>
    <sheetView showGridLines="0" topLeftCell="A16" workbookViewId="0">
      <selection activeCell="A17" sqref="A17"/>
    </sheetView>
  </sheetViews>
  <sheetFormatPr defaultRowHeight="15" x14ac:dyDescent="0.25"/>
  <cols>
    <col min="1" max="1" width="150" customWidth="1"/>
  </cols>
  <sheetData>
    <row r="1" spans="1:1" ht="18.75" customHeight="1" x14ac:dyDescent="0.25">
      <c r="A1" s="1" t="s">
        <v>398</v>
      </c>
    </row>
    <row r="2" spans="1:1" x14ac:dyDescent="0.25">
      <c r="A2" s="2" t="s">
        <v>399</v>
      </c>
    </row>
    <row r="3" spans="1:1" x14ac:dyDescent="0.25">
      <c r="A3" s="3"/>
    </row>
    <row r="4" spans="1:1" x14ac:dyDescent="0.25">
      <c r="A4" s="4" t="s">
        <v>400</v>
      </c>
    </row>
    <row r="5" spans="1:1" ht="25.5" customHeight="1" x14ac:dyDescent="0.25">
      <c r="A5" s="3" t="s">
        <v>401</v>
      </c>
    </row>
    <row r="6" spans="1:1" ht="25.5" customHeight="1" x14ac:dyDescent="0.25">
      <c r="A6" s="3" t="s">
        <v>402</v>
      </c>
    </row>
    <row r="7" spans="1:1" ht="25.5" customHeight="1" x14ac:dyDescent="0.25">
      <c r="A7" s="3" t="s">
        <v>403</v>
      </c>
    </row>
    <row r="8" spans="1:1" ht="25.5" customHeight="1" x14ac:dyDescent="0.25">
      <c r="A8" s="3" t="s">
        <v>404</v>
      </c>
    </row>
    <row r="9" spans="1:1" x14ac:dyDescent="0.25">
      <c r="A9" s="3"/>
    </row>
    <row r="10" spans="1:1" x14ac:dyDescent="0.25">
      <c r="A10" s="4" t="s">
        <v>405</v>
      </c>
    </row>
    <row r="11" spans="1:1" ht="25.5" x14ac:dyDescent="0.25">
      <c r="A11" s="3" t="s">
        <v>406</v>
      </c>
    </row>
    <row r="12" spans="1:1" x14ac:dyDescent="0.25">
      <c r="A12" s="3" t="s">
        <v>407</v>
      </c>
    </row>
    <row r="13" spans="1:1" x14ac:dyDescent="0.25">
      <c r="A13" s="3" t="s">
        <v>408</v>
      </c>
    </row>
    <row r="14" spans="1:1" ht="25.5" x14ac:dyDescent="0.25">
      <c r="A14" s="3" t="s">
        <v>409</v>
      </c>
    </row>
    <row r="15" spans="1:1" x14ac:dyDescent="0.25">
      <c r="A15" s="3" t="s">
        <v>410</v>
      </c>
    </row>
    <row r="16" spans="1:1" x14ac:dyDescent="0.25">
      <c r="A16" s="3" t="s">
        <v>411</v>
      </c>
    </row>
    <row r="17" spans="1:1" x14ac:dyDescent="0.25">
      <c r="A17" s="3"/>
    </row>
    <row r="18" spans="1:1" x14ac:dyDescent="0.25">
      <c r="A18" s="4" t="s">
        <v>412</v>
      </c>
    </row>
    <row r="19" spans="1:1" x14ac:dyDescent="0.25">
      <c r="A19" s="3" t="s">
        <v>413</v>
      </c>
    </row>
    <row r="20" spans="1:1" ht="25.5" customHeight="1" x14ac:dyDescent="0.25">
      <c r="A20" s="3" t="s">
        <v>414</v>
      </c>
    </row>
    <row r="21" spans="1:1" x14ac:dyDescent="0.25">
      <c r="A21" s="3"/>
    </row>
    <row r="22" spans="1:1" x14ac:dyDescent="0.25">
      <c r="A22" s="4" t="s">
        <v>415</v>
      </c>
    </row>
    <row r="23" spans="1:1" ht="25.5" customHeight="1" x14ac:dyDescent="0.25">
      <c r="A23" s="3" t="s">
        <v>416</v>
      </c>
    </row>
    <row r="24" spans="1:1" x14ac:dyDescent="0.25">
      <c r="A24" s="3" t="s">
        <v>417</v>
      </c>
    </row>
    <row r="25" spans="1:1" x14ac:dyDescent="0.25">
      <c r="A25" s="3" t="s">
        <v>418</v>
      </c>
    </row>
    <row r="26" spans="1:1" x14ac:dyDescent="0.25">
      <c r="A26" s="3"/>
    </row>
    <row r="27" spans="1:1" x14ac:dyDescent="0.25">
      <c r="A27" s="4" t="s">
        <v>419</v>
      </c>
    </row>
    <row r="28" spans="1:1" ht="25.5" customHeight="1" x14ac:dyDescent="0.25">
      <c r="A28" s="3" t="s">
        <v>420</v>
      </c>
    </row>
    <row r="29" spans="1:1" x14ac:dyDescent="0.25">
      <c r="A29" s="3"/>
    </row>
    <row r="30" spans="1:1" x14ac:dyDescent="0.25">
      <c r="A30" s="4" t="s">
        <v>421</v>
      </c>
    </row>
    <row r="31" spans="1:1" ht="25.5" customHeight="1" x14ac:dyDescent="0.25">
      <c r="A31" s="3" t="s">
        <v>422</v>
      </c>
    </row>
    <row r="32" spans="1:1" ht="25.5" customHeight="1" x14ac:dyDescent="0.25">
      <c r="A32" s="3" t="s">
        <v>423</v>
      </c>
    </row>
    <row r="33" spans="1:1" x14ac:dyDescent="0.25">
      <c r="A33" s="3" t="s">
        <v>424</v>
      </c>
    </row>
    <row r="34" spans="1:1" x14ac:dyDescent="0.25">
      <c r="A34" s="3" t="s">
        <v>425</v>
      </c>
    </row>
    <row r="35" spans="1:1" ht="25.5" customHeight="1" x14ac:dyDescent="0.25">
      <c r="A35" s="3" t="s">
        <v>426</v>
      </c>
    </row>
    <row r="36" spans="1:1" ht="25.5" customHeight="1" x14ac:dyDescent="0.25">
      <c r="A36" s="3" t="s">
        <v>427</v>
      </c>
    </row>
    <row r="37" spans="1:1" x14ac:dyDescent="0.25">
      <c r="A37" s="3"/>
    </row>
    <row r="38" spans="1:1" x14ac:dyDescent="0.25">
      <c r="A38" s="4" t="s">
        <v>428</v>
      </c>
    </row>
    <row r="39" spans="1:1" x14ac:dyDescent="0.25">
      <c r="A39" s="3" t="s">
        <v>429</v>
      </c>
    </row>
    <row r="40" spans="1:1" x14ac:dyDescent="0.25">
      <c r="A40" s="5" t="s">
        <v>430</v>
      </c>
    </row>
    <row r="42" spans="1:1" x14ac:dyDescent="0.25">
      <c r="A42" s="19" t="s">
        <v>431</v>
      </c>
    </row>
    <row r="43" spans="1:1" x14ac:dyDescent="0.25">
      <c r="A43" s="18" t="s">
        <v>432</v>
      </c>
    </row>
    <row r="44" spans="1:1" x14ac:dyDescent="0.25">
      <c r="A44" s="18" t="s">
        <v>433</v>
      </c>
    </row>
    <row r="45" spans="1:1" x14ac:dyDescent="0.25">
      <c r="A45" s="18" t="s">
        <v>434</v>
      </c>
    </row>
    <row r="46" spans="1:1" x14ac:dyDescent="0.25">
      <c r="A46" s="18" t="s">
        <v>435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0AD47"/>
  </sheetPr>
  <dimension ref="A1:F43"/>
  <sheetViews>
    <sheetView showGridLines="0" zoomScale="90" workbookViewId="0">
      <pane ySplit="4" topLeftCell="A5" activePane="bottomLeft" state="frozen"/>
      <selection pane="bottomLeft"/>
    </sheetView>
  </sheetViews>
  <sheetFormatPr defaultRowHeight="15" x14ac:dyDescent="0.25"/>
  <cols>
    <col min="1" max="1" width="52" customWidth="1"/>
    <col min="2" max="4" width="17" customWidth="1"/>
    <col min="5" max="5" width="10" customWidth="1"/>
    <col min="6" max="6" width="72" customWidth="1"/>
  </cols>
  <sheetData>
    <row r="1" spans="1:6" ht="18.75" customHeight="1" x14ac:dyDescent="0.3">
      <c r="A1" s="6" t="s">
        <v>436</v>
      </c>
    </row>
    <row r="2" spans="1:6" x14ac:dyDescent="0.25">
      <c r="A2" s="7" t="s">
        <v>437</v>
      </c>
    </row>
    <row r="4" spans="1:6" x14ac:dyDescent="0.25">
      <c r="A4" s="8" t="s">
        <v>438</v>
      </c>
      <c r="B4" s="9" t="s">
        <v>439</v>
      </c>
      <c r="C4" s="9" t="s">
        <v>440</v>
      </c>
      <c r="D4" s="9" t="s">
        <v>441</v>
      </c>
      <c r="E4" s="9" t="s">
        <v>442</v>
      </c>
      <c r="F4" s="8" t="s">
        <v>443</v>
      </c>
    </row>
    <row r="5" spans="1:6" x14ac:dyDescent="0.25">
      <c r="A5" s="10" t="s">
        <v>444</v>
      </c>
      <c r="B5" s="11"/>
      <c r="C5" s="11"/>
      <c r="D5" s="11"/>
      <c r="E5" s="11"/>
      <c r="F5" s="11"/>
    </row>
    <row r="6" spans="1:6" x14ac:dyDescent="0.25">
      <c r="A6" s="12" t="s">
        <v>445</v>
      </c>
      <c r="B6" s="164">
        <f>SUM(TB_Input_Alif!$F:$F)</f>
        <v>-4.5634806156158447E-8</v>
      </c>
      <c r="C6" s="164">
        <f>SUM(TB_Input_VH!$F:$F)</f>
        <v>-3.8417056202888489E-9</v>
      </c>
      <c r="D6" s="164">
        <f>B6+C6</f>
        <v>-4.9476511776447296E-8</v>
      </c>
      <c r="E6" s="13" t="str">
        <f>IF(AND(ABS(B6)&lt;0.01,ABS(C6)&lt;0.01,ABS(D6)&lt;0.01),"PASS","REVIEW")</f>
        <v>PASS</v>
      </c>
      <c r="F6" s="14" t="s">
        <v>446</v>
      </c>
    </row>
    <row r="7" spans="1:6" x14ac:dyDescent="0.25">
      <c r="A7" s="12" t="s">
        <v>447</v>
      </c>
      <c r="B7" s="164">
        <f>SUM(TB_Input_Alif!$C:$C)</f>
        <v>-4.4703483581542969E-8</v>
      </c>
      <c r="C7" s="164">
        <f>SUM(TB_Input_VH!$C:$C)</f>
        <v>1.6880221664905548E-9</v>
      </c>
      <c r="D7" s="164">
        <f>B7+C7</f>
        <v>-4.3015461415052414E-8</v>
      </c>
      <c r="E7" s="13" t="str">
        <f>IF(AND(ABS(B7)&lt;0.01,ABS(C7)&lt;0.01,ABS(D7)&lt;0.01),"PASS","REVIEW")</f>
        <v>PASS</v>
      </c>
      <c r="F7" s="14" t="s">
        <v>448</v>
      </c>
    </row>
    <row r="8" spans="1:6" x14ac:dyDescent="0.25">
      <c r="A8" s="12" t="s">
        <v>449</v>
      </c>
      <c r="B8" s="164">
        <f>SUM(TB_Input_Alif!$F:$F)-SUM(TB_Input_Alif!$C:$C)-(SUM(TB_Input_Alif!$D:$D)-SUM(TB_Input_Alif!$E:$E))</f>
        <v>2.3832544684410095E-6</v>
      </c>
      <c r="C8" s="164">
        <f>SUM(TB_Input_VH!$F:$F)-SUM(TB_Input_VH!$C:$C)-(SUM(TB_Input_VH!$D:$D)-SUM(TB_Input_VH!$E:$E))</f>
        <v>-4.823668859899044E-7</v>
      </c>
      <c r="D8" s="164">
        <f>B8+C8</f>
        <v>1.9008875824511051E-6</v>
      </c>
      <c r="E8" s="13" t="str">
        <f>IF(AND(ABS(B8)&lt;0.01,ABS(C8)&lt;0.01,ABS(D8)&lt;0.01),"PASS","REVIEW")</f>
        <v>PASS</v>
      </c>
      <c r="F8" s="14" t="s">
        <v>450</v>
      </c>
    </row>
    <row r="9" spans="1:6" x14ac:dyDescent="0.25">
      <c r="A9" s="10" t="s">
        <v>451</v>
      </c>
      <c r="B9" s="11"/>
      <c r="C9" s="11"/>
      <c r="D9" s="11"/>
      <c r="E9" s="11"/>
      <c r="F9" s="11"/>
    </row>
    <row r="10" spans="1:6" x14ac:dyDescent="0.25">
      <c r="A10" s="12" t="s">
        <v>452</v>
      </c>
      <c r="B10" s="15">
        <f>COUNTIFS(TB_Input_Alif!$G:$G,"⚠ UNMAPPED")</f>
        <v>0</v>
      </c>
      <c r="C10" s="15">
        <f>COUNTIFS(TB_Input_VH!$G:$G,"⚠ UNMAPPED")</f>
        <v>0</v>
      </c>
      <c r="D10" s="15">
        <f>B10+C10</f>
        <v>0</v>
      </c>
      <c r="E10" s="13" t="str">
        <f>IF(AND(ABS(B10)&lt;0.01,ABS(C10)&lt;0.01,ABS(D10)&lt;0.01),"PASS","REVIEW")</f>
        <v>PASS</v>
      </c>
      <c r="F10" s="14" t="s">
        <v>453</v>
      </c>
    </row>
    <row r="11" spans="1:6" x14ac:dyDescent="0.25">
      <c r="A11" s="12" t="s">
        <v>454</v>
      </c>
      <c r="B11" s="164">
        <f>SUMIFS(TB_Input_Alif!$F:$F,TB_Input_Alif!$G:$G,"⚠ UNMAPPED")</f>
        <v>0</v>
      </c>
      <c r="C11" s="164">
        <f>SUMIFS(TB_Input_VH!$F:$F,TB_Input_VH!$G:$G,"⚠ UNMAPPED")</f>
        <v>0</v>
      </c>
      <c r="D11" s="164">
        <f>B11+C11</f>
        <v>0</v>
      </c>
      <c r="E11" s="13" t="str">
        <f>IF(AND(ABS(B11)&lt;0.01,ABS(C11)&lt;0.01,ABS(D11)&lt;0.01),"PASS","REVIEW")</f>
        <v>PASS</v>
      </c>
      <c r="F11" s="14" t="s">
        <v>455</v>
      </c>
    </row>
    <row r="12" spans="1:6" x14ac:dyDescent="0.25">
      <c r="A12" s="10" t="s">
        <v>456</v>
      </c>
      <c r="B12" s="11"/>
      <c r="C12" s="11"/>
      <c r="D12" s="11"/>
      <c r="E12" s="11"/>
      <c r="F12" s="11"/>
    </row>
    <row r="13" spans="1:6" x14ac:dyDescent="0.25">
      <c r="A13" s="16" t="s">
        <v>457</v>
      </c>
      <c r="B13" s="164">
        <f>BS_Alif!C21</f>
        <v>287923378.10533428</v>
      </c>
      <c r="C13" s="164">
        <f>BS_VH!C21</f>
        <v>70047558.64199999</v>
      </c>
      <c r="D13" s="164">
        <f>BS_Consol!F21</f>
        <v>357970936.7473343</v>
      </c>
      <c r="E13" s="18"/>
      <c r="F13" s="14" t="s">
        <v>458</v>
      </c>
    </row>
    <row r="14" spans="1:6" x14ac:dyDescent="0.25">
      <c r="A14" s="16" t="s">
        <v>459</v>
      </c>
      <c r="B14" s="164">
        <f>BS_Alif!C47</f>
        <v>287923378.10533428</v>
      </c>
      <c r="C14" s="164">
        <f>BS_VH!C47</f>
        <v>70047558.64199999</v>
      </c>
      <c r="D14" s="164">
        <f>BS_Consol!F48</f>
        <v>357970936.74733424</v>
      </c>
      <c r="E14" s="18"/>
      <c r="F14" s="14" t="s">
        <v>458</v>
      </c>
    </row>
    <row r="15" spans="1:6" x14ac:dyDescent="0.25">
      <c r="A15" s="12" t="s">
        <v>460</v>
      </c>
      <c r="B15" s="164">
        <f>B13-B14</f>
        <v>0</v>
      </c>
      <c r="C15" s="164">
        <f>C13-C14</f>
        <v>0</v>
      </c>
      <c r="D15" s="164">
        <f>D13-D14</f>
        <v>0</v>
      </c>
      <c r="E15" s="13" t="str">
        <f>IF(AND(ABS(B15)&lt;0.01,ABS(C15)&lt;0.01,ABS(D15)&lt;0.01),"PASS","REVIEW")</f>
        <v>PASS</v>
      </c>
      <c r="F15" s="14" t="s">
        <v>461</v>
      </c>
    </row>
    <row r="16" spans="1:6" x14ac:dyDescent="0.25">
      <c r="A16" s="16" t="s">
        <v>462</v>
      </c>
      <c r="B16" s="164">
        <f>-SUMIFS(TB_Input_Alif!$C:$C,TB_Input_Alif!$G:$G,"IS")</f>
        <v>0</v>
      </c>
      <c r="C16" s="164">
        <f>-SUMIFS(TB_Input_VH!$C:$C,TB_Input_VH!$G:$G,"IS")</f>
        <v>4.0000000153668225E-3</v>
      </c>
      <c r="D16" s="164">
        <f>B16+C16</f>
        <v>4.0000000153668225E-3</v>
      </c>
      <c r="E16" s="18"/>
      <c r="F16" s="14" t="s">
        <v>463</v>
      </c>
    </row>
    <row r="17" spans="1:6" x14ac:dyDescent="0.25">
      <c r="A17" s="12" t="s">
        <v>464</v>
      </c>
      <c r="B17" s="164">
        <f>B15</f>
        <v>0</v>
      </c>
      <c r="C17" s="164">
        <f>C15</f>
        <v>0</v>
      </c>
      <c r="D17" s="164">
        <f>D15</f>
        <v>0</v>
      </c>
      <c r="E17" s="13" t="str">
        <f>IF(AND(ABS(B17)&lt;0.01,ABS(C17)&lt;0.01,ABS(D17)&lt;0.01),"PASS","REVIEW")</f>
        <v>PASS</v>
      </c>
      <c r="F17" s="14" t="s">
        <v>465</v>
      </c>
    </row>
    <row r="18" spans="1:6" x14ac:dyDescent="0.25">
      <c r="A18" s="10" t="s">
        <v>466</v>
      </c>
      <c r="B18" s="11"/>
      <c r="C18" s="11"/>
      <c r="D18" s="11"/>
      <c r="E18" s="11"/>
      <c r="F18" s="11"/>
    </row>
    <row r="19" spans="1:6" x14ac:dyDescent="0.25">
      <c r="A19" s="12" t="s">
        <v>467</v>
      </c>
      <c r="B19" s="164">
        <f>IS_Alif!C65-(-SUMIFS(TB_Input_Alif!$F:$F,TB_Input_Alif!$G:$G,"IS")+SUMIFS(TB_Input_Alif!$C:$C,TB_Input_Alif!$G:$G,"IS"))</f>
        <v>0</v>
      </c>
      <c r="C19" s="164">
        <f>IS_VH!C65-(-SUMIFS(TB_Input_VH!$F:$F,TB_Input_VH!$G:$G,"IS")+SUMIFS(TB_Input_VH!$C:$C,TB_Input_VH!$G:$G,"IS"))</f>
        <v>-2.0954757928848267E-9</v>
      </c>
      <c r="D19" s="164">
        <f>IS_Consol!F65-((-SUMIFS(TB_Input_Alif!$F:$F,TB_Input_Alif!$G:$G,"IS")+SUMIFS(TB_Input_Alif!$C:$C,TB_Input_Alif!$G:$G,"IS"))+(-SUMIFS(TB_Input_VH!$F:$F,TB_Input_VH!$G:$G,"IS")+SUMIFS(TB_Input_VH!$C:$C,TB_Input_VH!$G:$G,"IS"))-SUM(IS_Consol!$H$69:$H$71))</f>
        <v>0</v>
      </c>
      <c r="E19" s="13" t="str">
        <f>IF(AND(ABS(B19)&lt;0.01,ABS(C19)&lt;0.01,ABS(D19)&lt;0.01),"PASS","REVIEW")</f>
        <v>PASS</v>
      </c>
      <c r="F19" s="14" t="s">
        <v>468</v>
      </c>
    </row>
    <row r="20" spans="1:6" x14ac:dyDescent="0.25">
      <c r="A20" s="12" t="s">
        <v>469</v>
      </c>
      <c r="B20" s="164">
        <f>CF_Alif!C43-BS_Alif!C18</f>
        <v>0</v>
      </c>
      <c r="C20" s="164">
        <f>CF_VH!C43-BS_VH!C18</f>
        <v>1.257285475730896E-8</v>
      </c>
      <c r="D20" s="164">
        <f>CF_Consol!F43-BS_Consol!F18</f>
        <v>0</v>
      </c>
      <c r="E20" s="13" t="str">
        <f>IF(AND(ABS(B20)&lt;0.01,ABS(C20)&lt;0.01,ABS(D20)&lt;0.01),"PASS","REVIEW")</f>
        <v>PASS</v>
      </c>
      <c r="F20" s="14" t="s">
        <v>470</v>
      </c>
    </row>
    <row r="22" spans="1:6" x14ac:dyDescent="0.25">
      <c r="A22" s="10" t="s">
        <v>471</v>
      </c>
      <c r="B22" s="11"/>
      <c r="C22" s="11"/>
      <c r="D22" s="11"/>
      <c r="E22" s="11"/>
      <c r="F22" s="11"/>
    </row>
    <row r="23" spans="1:6" x14ac:dyDescent="0.25">
      <c r="A23" s="16" t="s">
        <v>472</v>
      </c>
      <c r="D23" s="17">
        <f>SUM(BS_Consol!$H$53:$H$55)</f>
        <v>19243.861000000034</v>
      </c>
      <c r="F23" s="14" t="s">
        <v>473</v>
      </c>
    </row>
    <row r="24" spans="1:6" x14ac:dyDescent="0.25">
      <c r="A24" s="16" t="s">
        <v>474</v>
      </c>
      <c r="D24" s="17">
        <f>BS_Consol!F30</f>
        <v>19243.861000000034</v>
      </c>
      <c r="F24" s="14" t="s">
        <v>475</v>
      </c>
    </row>
    <row r="25" spans="1:6" x14ac:dyDescent="0.25">
      <c r="A25" s="16" t="s">
        <v>476</v>
      </c>
      <c r="D25" s="17">
        <f>SUM(IS_Consol!$H$69:$H$71)</f>
        <v>0</v>
      </c>
      <c r="F25" s="14" t="s">
        <v>477</v>
      </c>
    </row>
    <row r="27" spans="1:6" x14ac:dyDescent="0.25">
      <c r="A27" s="179" t="s">
        <v>478</v>
      </c>
      <c r="B27" s="11"/>
      <c r="C27" s="11"/>
      <c r="D27" s="11"/>
      <c r="E27" s="11"/>
      <c r="F27" s="11"/>
    </row>
    <row r="28" spans="1:6" ht="26.1" customHeight="1" x14ac:dyDescent="0.25">
      <c r="A28" s="180" t="s">
        <v>479</v>
      </c>
      <c r="B28" s="181">
        <f>4-SUMPRODUCT(COUNTIFS(Map!$A$2:$A$400,{600001,600035,600041,600044},Map!$C$2:$C$400,"IS",Map!$D$2:$D$400,"Cost of sales",Map!$E$2:$E$400,"Overhead - Labor Cost"))</f>
        <v>0</v>
      </c>
      <c r="C28" s="181">
        <f>B28</f>
        <v>0</v>
      </c>
      <c r="D28" s="181">
        <f>B28</f>
        <v>0</v>
      </c>
      <c r="E28" s="182" t="str">
        <f>IF(AND(ABS(B28)&lt;0.01,ABS(C28)&lt;0.01,ABS(D28)&lt;0.01),"PASS","REVIEW")</f>
        <v>PASS</v>
      </c>
      <c r="F28" s="183" t="s">
        <v>480</v>
      </c>
    </row>
    <row r="29" spans="1:6" ht="26.1" customHeight="1" x14ac:dyDescent="0.25">
      <c r="A29" s="180" t="s">
        <v>481</v>
      </c>
      <c r="B29" s="181">
        <f>SUMPRODUCT(ISNUMBER(MATCH(TB_Input_Alif!$A$3:$A$1000,{600001,600035,600041,600044},0))*(((TB_Input_Alif!$G$3:$G$1000&lt;&gt;"IS")+(TB_Input_Alif!$H$3:$H$1000&lt;&gt;"Cost of sales")+(TB_Input_Alif!$I$3:$I$1000&lt;&gt;"Overhead - Labor Cost"))&gt;0))</f>
        <v>0</v>
      </c>
      <c r="C29" s="181">
        <f>SUMPRODUCT(ISNUMBER(MATCH(TB_Input_VH!$A$3:$A$1000,{600001,600035,600041,600044},0))*(((TB_Input_VH!$G$3:$G$1000&lt;&gt;"IS")+(TB_Input_VH!$H$3:$H$1000&lt;&gt;"Cost of sales")+(TB_Input_VH!$I$3:$I$1000&lt;&gt;"Overhead - Labor Cost"))&gt;0))</f>
        <v>0</v>
      </c>
      <c r="D29" s="181">
        <f>B29+C29</f>
        <v>0</v>
      </c>
      <c r="E29" s="182" t="str">
        <f>IF(AND(ABS(B29)&lt;0.01,ABS(C29)&lt;0.01,ABS(D29)&lt;0.01),"PASS","REVIEW")</f>
        <v>PASS</v>
      </c>
      <c r="F29" s="183" t="s">
        <v>482</v>
      </c>
    </row>
    <row r="30" spans="1:6" ht="26.1" customHeight="1" x14ac:dyDescent="0.25">
      <c r="A30" s="180" t="s">
        <v>483</v>
      </c>
      <c r="B30" s="181">
        <f>COUNTIFS(TB_Input_Alif!$A:$A,"&gt;=600000",TB_Input_Alif!$A:$A,"&lt;=600099",TB_Input_Alif!$I:$I,"Salaries and wages")</f>
        <v>0</v>
      </c>
      <c r="C30" s="181">
        <f>COUNTIFS(TB_Input_VH!$A:$A,"&gt;=600000",TB_Input_VH!$A:$A,"&lt;=600099",TB_Input_VH!$I:$I,"Salaries and wages")</f>
        <v>0</v>
      </c>
      <c r="D30" s="181">
        <f>B30+C30</f>
        <v>0</v>
      </c>
      <c r="E30" s="182" t="str">
        <f>IF(AND(ABS(B30)&lt;0.01,ABS(C30)&lt;0.01,ABS(D30)&lt;0.01),"PASS","REVIEW")</f>
        <v>PASS</v>
      </c>
      <c r="F30" s="183" t="s">
        <v>484</v>
      </c>
    </row>
    <row r="31" spans="1:6" ht="26.1" customHeight="1" x14ac:dyDescent="0.25">
      <c r="A31" s="180" t="s">
        <v>485</v>
      </c>
      <c r="B31" s="181">
        <f>COUNTIFS(TB_Input_Alif!$A:$A,700001,TB_Input_Alif!$H:$H,"&lt;&gt;General and Admin")</f>
        <v>0</v>
      </c>
      <c r="C31" s="181">
        <f>COUNTIFS(TB_Input_VH!$A:$A,700001,TB_Input_VH!$H:$H,"&lt;&gt;General and Admin")</f>
        <v>0</v>
      </c>
      <c r="D31" s="181">
        <f>B31+C31</f>
        <v>0</v>
      </c>
      <c r="E31" s="182" t="str">
        <f>IF(AND(ABS(B31)&lt;0.01,ABS(C31)&lt;0.01,ABS(D31)&lt;0.01),"PASS","REVIEW")</f>
        <v>PASS</v>
      </c>
      <c r="F31" s="183" t="s">
        <v>486</v>
      </c>
    </row>
    <row r="32" spans="1:6" ht="26.1" customHeight="1" x14ac:dyDescent="0.25">
      <c r="A32" s="180" t="s">
        <v>487</v>
      </c>
      <c r="B32" s="181">
        <f>IS_Alif!C16-(SUMIFS(TB_Input_Alif!$F:$F,TB_Input_Alif!$H:$H,"Cost of sales",TB_Input_Alif!$I:$I,"Overhead - Labor Cost")-SUMIFS(TB_Input_Alif!$C:$C,TB_Input_Alif!$H:$H,"Cost of sales",TB_Input_Alif!$I:$I,"Overhead - Labor Cost"))</f>
        <v>0</v>
      </c>
      <c r="C32" s="181">
        <f>IS_VH!C16-(SUMIFS(TB_Input_VH!$F:$F,TB_Input_VH!$H:$H,"Cost of sales",TB_Input_VH!$I:$I,"Overhead - Labor Cost")-SUMIFS(TB_Input_VH!$C:$C,TB_Input_VH!$H:$H,"Cost of sales",TB_Input_VH!$I:$I,"Overhead - Labor Cost"))</f>
        <v>0</v>
      </c>
      <c r="D32" s="181">
        <f>IS_Consol!F16-IS_Consol!C16-IS_Consol!D16+B32+C32</f>
        <v>-2.3283064365386963E-10</v>
      </c>
      <c r="E32" s="182" t="str">
        <f>IF(AND(ABS(B32)&lt;0.01,ABS(C32)&lt;0.01,ABS(D32)&lt;0.01),"PASS","REVIEW")</f>
        <v>PASS</v>
      </c>
      <c r="F32" s="183" t="s">
        <v>488</v>
      </c>
    </row>
    <row r="33" spans="1:6" ht="26.1" customHeight="1" x14ac:dyDescent="0.25">
      <c r="A33" s="180" t="s">
        <v>489</v>
      </c>
      <c r="B33" s="181">
        <f>IS_Alif!C16</f>
        <v>5969397.0189999994</v>
      </c>
      <c r="C33" s="181">
        <f>IS_VH!C16</f>
        <v>1078114.3089999997</v>
      </c>
      <c r="D33" s="181">
        <f>IS_Consol!F16</f>
        <v>7047511.3279999988</v>
      </c>
      <c r="E33" s="182" t="s">
        <v>490</v>
      </c>
      <c r="F33" s="183" t="s">
        <v>491</v>
      </c>
    </row>
    <row r="34" spans="1:6" ht="26.1" customHeight="1" x14ac:dyDescent="0.25">
      <c r="A34" s="180" t="s">
        <v>492</v>
      </c>
      <c r="B34" s="181">
        <f>IS_Alif!C35</f>
        <v>11195522.344000001</v>
      </c>
      <c r="C34" s="181">
        <f>IS_VH!C35</f>
        <v>1546060.6849999998</v>
      </c>
      <c r="D34" s="181">
        <f>IS_Consol!F35</f>
        <v>12741583.029000001</v>
      </c>
      <c r="E34" s="182" t="s">
        <v>490</v>
      </c>
      <c r="F34" s="183" t="s">
        <v>493</v>
      </c>
    </row>
    <row r="36" spans="1:6" x14ac:dyDescent="0.25">
      <c r="A36" s="10" t="s">
        <v>494</v>
      </c>
      <c r="B36" s="11"/>
      <c r="C36" s="11"/>
      <c r="D36" s="11"/>
      <c r="E36" s="11"/>
      <c r="F36" s="11"/>
    </row>
    <row r="37" spans="1:6" x14ac:dyDescent="0.25">
      <c r="A37" s="180" t="s">
        <v>495</v>
      </c>
      <c r="B37" s="181">
        <f>FS_SideBySide_Comparison!D54</f>
        <v>2.5331974029541016E-7</v>
      </c>
      <c r="C37" s="181">
        <f>FS_SideBySide_Comparison!D88</f>
        <v>-4.0000022854655981E-3</v>
      </c>
      <c r="D37" s="181">
        <f>FS_SideBySide_Comparison!D122</f>
        <v>-3.9997100830078125E-3</v>
      </c>
      <c r="E37" s="182" t="str">
        <f>IF(AND(ABS(B37)&lt;0.01,ABS(C37)&lt;0.01,ABS(D37)&lt;0.01),"PASS","REVIEW")</f>
        <v>PASS</v>
      </c>
      <c r="F37" s="183" t="s">
        <v>496</v>
      </c>
    </row>
    <row r="38" spans="1:6" x14ac:dyDescent="0.25">
      <c r="A38" s="180" t="s">
        <v>497</v>
      </c>
      <c r="B38" s="181">
        <f>FS_SideBySide_Comparison!D141</f>
        <v>0</v>
      </c>
      <c r="C38" s="181">
        <f>FS_SideBySide_Comparison!D176</f>
        <v>0</v>
      </c>
      <c r="D38" s="181">
        <f>FS_SideBySide_Comparison!D211</f>
        <v>0</v>
      </c>
      <c r="E38" s="182" t="str">
        <f>IF(AND(ABS(B38)&lt;0.01,ABS(C38)&lt;0.01,ABS(D38)&lt;0.01),"PASS","REVIEW")</f>
        <v>PASS</v>
      </c>
      <c r="F38" s="183" t="s">
        <v>498</v>
      </c>
    </row>
    <row r="39" spans="1:6" ht="24" x14ac:dyDescent="0.25">
      <c r="A39" s="180" t="s">
        <v>499</v>
      </c>
      <c r="B39" s="181">
        <f>FS_SideBySide_Comparison!D147</f>
        <v>2.4586915969848633E-7</v>
      </c>
      <c r="C39" s="181">
        <f>FS_SideBySide_Comparison!D182</f>
        <v>0</v>
      </c>
      <c r="D39" s="181">
        <f>FS_SideBySide_Comparison!D218-BS_Consol!F30</f>
        <v>2.360902726650238E-7</v>
      </c>
      <c r="E39" s="182" t="str">
        <f>IF(AND(ABS(B39)&lt;0.01,ABS(C39)&lt;0.01,ABS(D39)&lt;0.01),"PASS","REVIEW")</f>
        <v>PASS</v>
      </c>
      <c r="F39" s="183" t="s">
        <v>500</v>
      </c>
    </row>
    <row r="40" spans="1:6" ht="24" x14ac:dyDescent="0.25">
      <c r="A40" s="180" t="s">
        <v>501</v>
      </c>
      <c r="B40" s="181">
        <f>FS_SideBySide_Comparison!D267</f>
        <v>0.45999999716877937</v>
      </c>
      <c r="C40" s="181">
        <f>FS_SideBySide_Comparison!D300</f>
        <v>0.24500001268461347</v>
      </c>
      <c r="D40" s="181">
        <f>FS_SideBySide_Comparison!D333</f>
        <v>0.70499998703598976</v>
      </c>
      <c r="E40" s="182" t="str">
        <f>IF(AND(ABS(B40)&lt;1,ABS(C40)&lt;1,ABS(D40)&lt;1),"PASS","REVIEW")</f>
        <v>PASS</v>
      </c>
      <c r="F40" s="183" t="s">
        <v>502</v>
      </c>
    </row>
    <row r="42" spans="1:6" x14ac:dyDescent="0.25">
      <c r="A42" s="29" t="s">
        <v>503</v>
      </c>
    </row>
    <row r="43" spans="1:6" x14ac:dyDescent="0.25">
      <c r="A43" s="29" t="s">
        <v>504</v>
      </c>
    </row>
  </sheetData>
  <conditionalFormatting sqref="E5:E42">
    <cfRule type="cellIs" dxfId="3" priority="1" operator="equal">
      <formula>"REVIEW"</formula>
    </cfRule>
    <cfRule type="cellIs" dxfId="2" priority="2" operator="equal">
      <formula>"PASS"</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7"/>
  <sheetViews>
    <sheetView showGridLines="0" zoomScale="85" workbookViewId="0">
      <pane ySplit="4" topLeftCell="A5" activePane="bottomLeft" state="frozen"/>
      <selection pane="bottomLeft" sqref="A1:F1"/>
    </sheetView>
  </sheetViews>
  <sheetFormatPr defaultRowHeight="15" x14ac:dyDescent="0.25"/>
  <cols>
    <col min="1" max="1" width="37" customWidth="1"/>
    <col min="2" max="2" width="16" customWidth="1"/>
    <col min="3" max="3" width="21" customWidth="1"/>
    <col min="4" max="4" width="22" customWidth="1"/>
    <col min="5" max="5" width="20" customWidth="1"/>
    <col min="6" max="6" width="82" customWidth="1"/>
  </cols>
  <sheetData>
    <row r="1" spans="1:6" ht="27.95" customHeight="1" x14ac:dyDescent="0.25">
      <c r="A1" s="217" t="s">
        <v>505</v>
      </c>
      <c r="B1" s="211"/>
      <c r="C1" s="211"/>
      <c r="D1" s="211"/>
      <c r="E1" s="211"/>
      <c r="F1" s="211"/>
    </row>
    <row r="2" spans="1:6" ht="24" customHeight="1" x14ac:dyDescent="0.25">
      <c r="A2" s="213" t="s">
        <v>506</v>
      </c>
      <c r="B2" s="211"/>
      <c r="C2" s="211"/>
      <c r="D2" s="211"/>
      <c r="E2" s="211"/>
      <c r="F2" s="211"/>
    </row>
    <row r="4" spans="1:6" ht="32.1" customHeight="1" x14ac:dyDescent="0.25">
      <c r="A4" s="165" t="s">
        <v>507</v>
      </c>
      <c r="B4" s="165" t="s">
        <v>508</v>
      </c>
      <c r="C4" s="165" t="s">
        <v>509</v>
      </c>
      <c r="D4" s="165" t="s">
        <v>510</v>
      </c>
      <c r="E4" s="165" t="s">
        <v>511</v>
      </c>
      <c r="F4" s="165" t="s">
        <v>512</v>
      </c>
    </row>
    <row r="5" spans="1:6" ht="42" customHeight="1" x14ac:dyDescent="0.25">
      <c r="A5" s="166" t="s">
        <v>513</v>
      </c>
      <c r="B5" s="167" t="s">
        <v>439</v>
      </c>
      <c r="C5" s="168">
        <v>5810727.3960000128</v>
      </c>
      <c r="D5" s="168">
        <f>IS_Alif!C6</f>
        <v>126467923.87650502</v>
      </c>
      <c r="E5" s="168">
        <f t="shared" ref="E5:E19" si="0">D5-C5</f>
        <v>120657196.480505</v>
      </c>
      <c r="F5" s="166" t="s">
        <v>514</v>
      </c>
    </row>
    <row r="6" spans="1:6" ht="42" customHeight="1" x14ac:dyDescent="0.25">
      <c r="A6" s="169" t="s">
        <v>513</v>
      </c>
      <c r="B6" s="170" t="s">
        <v>440</v>
      </c>
      <c r="C6" s="171">
        <v>44443751.733000003</v>
      </c>
      <c r="D6" s="171">
        <f>IS_VH!C6</f>
        <v>44443751.733000003</v>
      </c>
      <c r="E6" s="171">
        <f t="shared" si="0"/>
        <v>0</v>
      </c>
      <c r="F6" s="169" t="s">
        <v>514</v>
      </c>
    </row>
    <row r="7" spans="1:6" ht="42" customHeight="1" x14ac:dyDescent="0.25">
      <c r="A7" s="166" t="s">
        <v>513</v>
      </c>
      <c r="B7" s="167" t="s">
        <v>441</v>
      </c>
      <c r="C7" s="168">
        <v>50254479.129000023</v>
      </c>
      <c r="D7" s="168">
        <f>IS_Consol!F6</f>
        <v>170911675.60950503</v>
      </c>
      <c r="E7" s="168">
        <f t="shared" si="0"/>
        <v>120657196.480505</v>
      </c>
      <c r="F7" s="166" t="s">
        <v>514</v>
      </c>
    </row>
    <row r="8" spans="1:6" ht="42" customHeight="1" x14ac:dyDescent="0.25">
      <c r="A8" s="169" t="s">
        <v>515</v>
      </c>
      <c r="B8" s="170" t="s">
        <v>439</v>
      </c>
      <c r="C8" s="171">
        <v>8134754.9220000133</v>
      </c>
      <c r="D8" s="171">
        <f>IS_Alif!C21</f>
        <v>133715112.08192077</v>
      </c>
      <c r="E8" s="171">
        <f t="shared" si="0"/>
        <v>125580357.15992075</v>
      </c>
      <c r="F8" s="169" t="s">
        <v>516</v>
      </c>
    </row>
    <row r="9" spans="1:6" ht="42" customHeight="1" x14ac:dyDescent="0.25">
      <c r="A9" s="166" t="s">
        <v>515</v>
      </c>
      <c r="B9" s="167" t="s">
        <v>440</v>
      </c>
      <c r="C9" s="168">
        <v>44841164.090000004</v>
      </c>
      <c r="D9" s="168">
        <f>IS_VH!C21</f>
        <v>41950415.646000005</v>
      </c>
      <c r="E9" s="168">
        <f t="shared" si="0"/>
        <v>-2890748.4439999983</v>
      </c>
      <c r="F9" s="166" t="s">
        <v>516</v>
      </c>
    </row>
    <row r="10" spans="1:6" ht="42" customHeight="1" x14ac:dyDescent="0.25">
      <c r="A10" s="169" t="s">
        <v>515</v>
      </c>
      <c r="B10" s="170" t="s">
        <v>441</v>
      </c>
      <c r="C10" s="171">
        <v>52975919.012000017</v>
      </c>
      <c r="D10" s="171">
        <f>IS_Consol!F21</f>
        <v>175665527.72792074</v>
      </c>
      <c r="E10" s="171">
        <f t="shared" si="0"/>
        <v>122689608.71592072</v>
      </c>
      <c r="F10" s="169" t="s">
        <v>516</v>
      </c>
    </row>
    <row r="11" spans="1:6" ht="42" customHeight="1" x14ac:dyDescent="0.25">
      <c r="A11" s="166" t="s">
        <v>517</v>
      </c>
      <c r="B11" s="167" t="s">
        <v>439</v>
      </c>
      <c r="C11" s="168">
        <v>697684.71600000001</v>
      </c>
      <c r="D11" s="168">
        <f>IS_Alif!C31</f>
        <v>9397186.9799999986</v>
      </c>
      <c r="E11" s="168">
        <f t="shared" si="0"/>
        <v>8699502.2639999986</v>
      </c>
      <c r="F11" s="166" t="s">
        <v>518</v>
      </c>
    </row>
    <row r="12" spans="1:6" ht="42" customHeight="1" x14ac:dyDescent="0.25">
      <c r="A12" s="169" t="s">
        <v>517</v>
      </c>
      <c r="B12" s="170" t="s">
        <v>440</v>
      </c>
      <c r="C12" s="171">
        <v>190520</v>
      </c>
      <c r="D12" s="171">
        <f>IS_VH!C31</f>
        <v>190520</v>
      </c>
      <c r="E12" s="171">
        <f t="shared" si="0"/>
        <v>0</v>
      </c>
      <c r="F12" s="169" t="s">
        <v>518</v>
      </c>
    </row>
    <row r="13" spans="1:6" ht="42" customHeight="1" x14ac:dyDescent="0.25">
      <c r="A13" s="166" t="s">
        <v>517</v>
      </c>
      <c r="B13" s="167" t="s">
        <v>441</v>
      </c>
      <c r="C13" s="168">
        <v>888204.71600000001</v>
      </c>
      <c r="D13" s="168">
        <f>IS_Consol!F31</f>
        <v>9587706.9799999986</v>
      </c>
      <c r="E13" s="168">
        <f t="shared" si="0"/>
        <v>8699502.2639999986</v>
      </c>
      <c r="F13" s="166" t="s">
        <v>518</v>
      </c>
    </row>
    <row r="14" spans="1:6" ht="42" customHeight="1" x14ac:dyDescent="0.25">
      <c r="A14" s="169" t="s">
        <v>519</v>
      </c>
      <c r="B14" s="170" t="s">
        <v>439</v>
      </c>
      <c r="C14" s="171">
        <v>983533.26999999885</v>
      </c>
      <c r="D14" s="171">
        <f>IS_Alif!C44</f>
        <v>13317436.636000002</v>
      </c>
      <c r="E14" s="171">
        <f t="shared" si="0"/>
        <v>12333903.366000002</v>
      </c>
      <c r="F14" s="169" t="s">
        <v>520</v>
      </c>
    </row>
    <row r="15" spans="1:6" ht="42" customHeight="1" x14ac:dyDescent="0.25">
      <c r="A15" s="166" t="s">
        <v>519</v>
      </c>
      <c r="B15" s="167" t="s">
        <v>440</v>
      </c>
      <c r="C15" s="168">
        <v>1695982.4550000001</v>
      </c>
      <c r="D15" s="168">
        <f>IS_VH!C44</f>
        <v>1695982.4549999998</v>
      </c>
      <c r="E15" s="168">
        <f t="shared" si="0"/>
        <v>0</v>
      </c>
      <c r="F15" s="166" t="s">
        <v>520</v>
      </c>
    </row>
    <row r="16" spans="1:6" ht="42" customHeight="1" x14ac:dyDescent="0.25">
      <c r="A16" s="169" t="s">
        <v>519</v>
      </c>
      <c r="B16" s="170" t="s">
        <v>441</v>
      </c>
      <c r="C16" s="171">
        <v>2679515.7249999982</v>
      </c>
      <c r="D16" s="171">
        <f>IS_Consol!F44</f>
        <v>15013419.091</v>
      </c>
      <c r="E16" s="171">
        <f t="shared" si="0"/>
        <v>12333903.366000002</v>
      </c>
      <c r="F16" s="169" t="s">
        <v>520</v>
      </c>
    </row>
    <row r="17" spans="1:6" ht="42" customHeight="1" x14ac:dyDescent="0.25">
      <c r="A17" s="166" t="s">
        <v>521</v>
      </c>
      <c r="B17" s="167" t="s">
        <v>439</v>
      </c>
      <c r="C17" s="168">
        <v>-4097617.810000001</v>
      </c>
      <c r="D17" s="168">
        <f>IS_Alif!C60</f>
        <v>-40498412.990665749</v>
      </c>
      <c r="E17" s="168">
        <f t="shared" si="0"/>
        <v>-36400795.180665746</v>
      </c>
      <c r="F17" s="166" t="s">
        <v>522</v>
      </c>
    </row>
    <row r="18" spans="1:6" ht="42" customHeight="1" x14ac:dyDescent="0.25">
      <c r="A18" s="169" t="s">
        <v>521</v>
      </c>
      <c r="B18" s="170" t="s">
        <v>440</v>
      </c>
      <c r="C18" s="171">
        <v>-3118011.3659999999</v>
      </c>
      <c r="D18" s="171">
        <f>IS_VH!C60</f>
        <v>-1356565.6500000022</v>
      </c>
      <c r="E18" s="171">
        <f t="shared" si="0"/>
        <v>1761445.7159999977</v>
      </c>
      <c r="F18" s="169" t="s">
        <v>522</v>
      </c>
    </row>
    <row r="19" spans="1:6" ht="42" customHeight="1" x14ac:dyDescent="0.25">
      <c r="A19" s="166" t="s">
        <v>521</v>
      </c>
      <c r="B19" s="167" t="s">
        <v>441</v>
      </c>
      <c r="C19" s="168">
        <v>-7215629.1760000009</v>
      </c>
      <c r="D19" s="168">
        <f>IS_Consol!F60</f>
        <v>-41854978.64066571</v>
      </c>
      <c r="E19" s="168">
        <f t="shared" si="0"/>
        <v>-34639349.464665711</v>
      </c>
      <c r="F19" s="166" t="s">
        <v>522</v>
      </c>
    </row>
    <row r="21" spans="1:6" ht="21.95" customHeight="1" x14ac:dyDescent="0.25">
      <c r="A21" s="218" t="s">
        <v>523</v>
      </c>
      <c r="B21" s="211"/>
      <c r="C21" s="211"/>
      <c r="D21" s="211"/>
      <c r="E21" s="211"/>
      <c r="F21" s="211"/>
    </row>
    <row r="22" spans="1:6" x14ac:dyDescent="0.25">
      <c r="A22" s="172" t="s">
        <v>524</v>
      </c>
      <c r="B22" s="172" t="s">
        <v>525</v>
      </c>
      <c r="C22" s="172" t="s">
        <v>526</v>
      </c>
      <c r="D22" s="172" t="s">
        <v>527</v>
      </c>
      <c r="E22" s="172" t="s">
        <v>528</v>
      </c>
      <c r="F22" s="172" t="s">
        <v>442</v>
      </c>
    </row>
    <row r="23" spans="1:6" ht="24" customHeight="1" x14ac:dyDescent="0.25">
      <c r="A23" s="173" t="s">
        <v>529</v>
      </c>
      <c r="B23" s="174">
        <f>COUNTA(TB_Input_Alif!$A:$A)-2</f>
        <v>431</v>
      </c>
      <c r="C23" s="173" t="s">
        <v>530</v>
      </c>
      <c r="D23" s="174">
        <v>431</v>
      </c>
      <c r="E23" s="174">
        <f t="shared" ref="E23:E30" si="1">B23-D23</f>
        <v>0</v>
      </c>
      <c r="F23" s="175" t="str">
        <f t="shared" ref="F23:F30" si="2">IF(ABS(E23)&lt;0.01,"PASS","REVIEW")</f>
        <v>PASS</v>
      </c>
    </row>
    <row r="24" spans="1:6" ht="24" customHeight="1" x14ac:dyDescent="0.25">
      <c r="A24" s="176" t="s">
        <v>531</v>
      </c>
      <c r="B24" s="177">
        <f>COUNTA(TB_Input_VH!$A:$A)-2</f>
        <v>265</v>
      </c>
      <c r="C24" s="176" t="s">
        <v>532</v>
      </c>
      <c r="D24" s="177">
        <v>265</v>
      </c>
      <c r="E24" s="177">
        <f t="shared" si="1"/>
        <v>0</v>
      </c>
      <c r="F24" s="178" t="str">
        <f t="shared" si="2"/>
        <v>PASS</v>
      </c>
    </row>
    <row r="25" spans="1:6" ht="24" customHeight="1" x14ac:dyDescent="0.25">
      <c r="A25" s="173" t="s">
        <v>533</v>
      </c>
      <c r="B25" s="174">
        <f>IS_Alif!C6</f>
        <v>126467923.87650502</v>
      </c>
      <c r="C25" s="173" t="s">
        <v>534</v>
      </c>
      <c r="D25" s="174">
        <v>126467923.876505</v>
      </c>
      <c r="E25" s="174">
        <f t="shared" si="1"/>
        <v>0</v>
      </c>
      <c r="F25" s="175" t="str">
        <f t="shared" si="2"/>
        <v>PASS</v>
      </c>
    </row>
    <row r="26" spans="1:6" ht="24" customHeight="1" x14ac:dyDescent="0.25">
      <c r="A26" s="176" t="s">
        <v>535</v>
      </c>
      <c r="B26" s="177">
        <f>IS_Consol!F6</f>
        <v>170911675.60950503</v>
      </c>
      <c r="C26" s="176" t="s">
        <v>536</v>
      </c>
      <c r="D26" s="177">
        <v>170911675.609505</v>
      </c>
      <c r="E26" s="177">
        <f t="shared" si="1"/>
        <v>0</v>
      </c>
      <c r="F26" s="178" t="str">
        <f t="shared" si="2"/>
        <v>PASS</v>
      </c>
    </row>
    <row r="27" spans="1:6" ht="24" customHeight="1" x14ac:dyDescent="0.25">
      <c r="A27" s="173" t="s">
        <v>537</v>
      </c>
      <c r="B27" s="174">
        <f>Checks!D10</f>
        <v>0</v>
      </c>
      <c r="C27" s="173" t="s">
        <v>538</v>
      </c>
      <c r="D27" s="174">
        <v>0</v>
      </c>
      <c r="E27" s="174">
        <f t="shared" si="1"/>
        <v>0</v>
      </c>
      <c r="F27" s="175" t="str">
        <f t="shared" si="2"/>
        <v>PASS</v>
      </c>
    </row>
    <row r="28" spans="1:6" ht="24" customHeight="1" x14ac:dyDescent="0.25">
      <c r="A28" s="176" t="s">
        <v>539</v>
      </c>
      <c r="B28" s="177">
        <f>Checks!B15</f>
        <v>0</v>
      </c>
      <c r="C28" s="176" t="s">
        <v>540</v>
      </c>
      <c r="D28" s="177">
        <v>0</v>
      </c>
      <c r="E28" s="177">
        <f t="shared" si="1"/>
        <v>0</v>
      </c>
      <c r="F28" s="178" t="str">
        <f t="shared" si="2"/>
        <v>PASS</v>
      </c>
    </row>
    <row r="29" spans="1:6" ht="24" customHeight="1" x14ac:dyDescent="0.25">
      <c r="A29" s="173" t="s">
        <v>541</v>
      </c>
      <c r="B29" s="174">
        <f>Checks!C15</f>
        <v>0</v>
      </c>
      <c r="C29" s="173" t="s">
        <v>540</v>
      </c>
      <c r="D29" s="174">
        <v>0</v>
      </c>
      <c r="E29" s="174">
        <f t="shared" si="1"/>
        <v>0</v>
      </c>
      <c r="F29" s="175" t="str">
        <f t="shared" si="2"/>
        <v>PASS</v>
      </c>
    </row>
    <row r="30" spans="1:6" ht="24" customHeight="1" x14ac:dyDescent="0.25">
      <c r="A30" s="176" t="s">
        <v>542</v>
      </c>
      <c r="B30" s="177">
        <f>Checks!D15</f>
        <v>0</v>
      </c>
      <c r="C30" s="176" t="s">
        <v>540</v>
      </c>
      <c r="D30" s="177">
        <v>0</v>
      </c>
      <c r="E30" s="177">
        <f t="shared" si="1"/>
        <v>0</v>
      </c>
      <c r="F30" s="178" t="str">
        <f t="shared" si="2"/>
        <v>PASS</v>
      </c>
    </row>
    <row r="32" spans="1:6" ht="21.95" customHeight="1" x14ac:dyDescent="0.25">
      <c r="A32" s="218" t="s">
        <v>543</v>
      </c>
      <c r="B32" s="211"/>
      <c r="C32" s="211"/>
      <c r="D32" s="211"/>
      <c r="E32" s="211"/>
      <c r="F32" s="211"/>
    </row>
    <row r="33" spans="1:6" ht="33.950000000000003" customHeight="1" x14ac:dyDescent="0.25">
      <c r="A33" s="214" t="s">
        <v>544</v>
      </c>
      <c r="B33" s="215"/>
      <c r="C33" s="215"/>
      <c r="D33" s="215"/>
      <c r="E33" s="215"/>
      <c r="F33" s="215"/>
    </row>
    <row r="34" spans="1:6" ht="33.950000000000003" customHeight="1" x14ac:dyDescent="0.25">
      <c r="A34" s="216" t="s">
        <v>545</v>
      </c>
      <c r="B34" s="215"/>
      <c r="C34" s="215"/>
      <c r="D34" s="215"/>
      <c r="E34" s="215"/>
      <c r="F34" s="215"/>
    </row>
    <row r="35" spans="1:6" ht="33.950000000000003" customHeight="1" x14ac:dyDescent="0.25">
      <c r="A35" s="214" t="s">
        <v>546</v>
      </c>
      <c r="B35" s="215"/>
      <c r="C35" s="215"/>
      <c r="D35" s="215"/>
      <c r="E35" s="215"/>
      <c r="F35" s="215"/>
    </row>
    <row r="36" spans="1:6" ht="33.950000000000003" customHeight="1" x14ac:dyDescent="0.25">
      <c r="A36" s="216" t="s">
        <v>547</v>
      </c>
      <c r="B36" s="215"/>
      <c r="C36" s="215"/>
      <c r="D36" s="215"/>
      <c r="E36" s="215"/>
      <c r="F36" s="215"/>
    </row>
    <row r="37" spans="1:6" ht="33.950000000000003" customHeight="1" x14ac:dyDescent="0.25">
      <c r="A37" s="216" t="s">
        <v>548</v>
      </c>
      <c r="B37" s="215"/>
      <c r="C37" s="215"/>
      <c r="D37" s="215"/>
      <c r="E37" s="215"/>
      <c r="F37" s="215"/>
    </row>
  </sheetData>
  <autoFilter ref="A4:F19" xr:uid="{00000000-0009-0000-0000-000002000000}"/>
  <mergeCells count="9">
    <mergeCell ref="A2:F2"/>
    <mergeCell ref="A33:F33"/>
    <mergeCell ref="A36:F36"/>
    <mergeCell ref="A1:F1"/>
    <mergeCell ref="A37:F37"/>
    <mergeCell ref="A32:F32"/>
    <mergeCell ref="A34:F34"/>
    <mergeCell ref="A35:F35"/>
    <mergeCell ref="A21:F21"/>
  </mergeCell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A1:E336"/>
  <sheetViews>
    <sheetView showGridLines="0" tabSelected="1" workbookViewId="0">
      <pane xSplit="1" ySplit="4" topLeftCell="B77" activePane="bottomRight" state="frozen"/>
      <selection pane="topRight"/>
      <selection pane="bottomLeft"/>
      <selection pane="bottomRight" activeCell="C6" sqref="C6"/>
    </sheetView>
  </sheetViews>
  <sheetFormatPr defaultRowHeight="15" x14ac:dyDescent="0.25"/>
  <cols>
    <col min="1" max="1" width="62" customWidth="1"/>
    <col min="2" max="2" width="24" customWidth="1"/>
    <col min="3" max="3" width="26" customWidth="1"/>
    <col min="4" max="4" width="19" customWidth="1"/>
    <col min="5" max="5" width="118" customWidth="1"/>
  </cols>
  <sheetData>
    <row r="1" spans="1:5" ht="26.1" customHeight="1" x14ac:dyDescent="0.25">
      <c r="A1" s="184" t="s">
        <v>0</v>
      </c>
      <c r="B1" s="185"/>
      <c r="C1" s="185"/>
      <c r="D1" s="185"/>
      <c r="E1" s="185"/>
    </row>
    <row r="2" spans="1:5" ht="27" customHeight="1" x14ac:dyDescent="0.25">
      <c r="A2" s="210" t="s">
        <v>1</v>
      </c>
      <c r="B2" s="211"/>
      <c r="C2" s="211"/>
      <c r="D2" s="211"/>
      <c r="E2" s="211"/>
    </row>
    <row r="3" spans="1:5" ht="27" customHeight="1" x14ac:dyDescent="0.25">
      <c r="A3" s="210" t="s">
        <v>2</v>
      </c>
      <c r="B3" s="211"/>
      <c r="C3" s="211"/>
      <c r="D3" s="211"/>
      <c r="E3" s="211"/>
    </row>
    <row r="4" spans="1:5" ht="30" customHeight="1" x14ac:dyDescent="0.25">
      <c r="A4" s="186" t="s">
        <v>3</v>
      </c>
      <c r="B4" s="186" t="s">
        <v>1601</v>
      </c>
      <c r="C4" s="186" t="s">
        <v>5</v>
      </c>
      <c r="D4" s="186" t="s">
        <v>6</v>
      </c>
      <c r="E4" s="186" t="s">
        <v>7</v>
      </c>
    </row>
    <row r="5" spans="1:5" ht="20.100000000000001" customHeight="1" x14ac:dyDescent="0.25">
      <c r="A5" s="187" t="s">
        <v>8</v>
      </c>
      <c r="B5" s="188"/>
      <c r="C5" s="188"/>
      <c r="D5" s="188"/>
      <c r="E5" s="188"/>
    </row>
    <row r="6" spans="1:5" ht="30" customHeight="1" x14ac:dyDescent="0.25">
      <c r="A6" s="186" t="s">
        <v>3</v>
      </c>
      <c r="B6" s="186" t="s">
        <v>1601</v>
      </c>
      <c r="C6" s="186" t="s">
        <v>5</v>
      </c>
      <c r="D6" s="186" t="s">
        <v>6</v>
      </c>
      <c r="E6" s="186" t="s">
        <v>7</v>
      </c>
    </row>
    <row r="7" spans="1:5" ht="15" customHeight="1" x14ac:dyDescent="0.25">
      <c r="A7" s="189" t="s">
        <v>9</v>
      </c>
      <c r="B7" s="190">
        <f>B54</f>
        <v>-40498412.990666002</v>
      </c>
      <c r="C7" s="191">
        <f>C54</f>
        <v>-40498412.990665749</v>
      </c>
      <c r="D7" s="191">
        <f t="shared" ref="D7:D20" si="0">C7-B7</f>
        <v>2.5331974029541016E-7</v>
      </c>
      <c r="E7" s="192" t="s">
        <v>10</v>
      </c>
    </row>
    <row r="8" spans="1:5" ht="15" customHeight="1" x14ac:dyDescent="0.25">
      <c r="A8" s="189" t="s">
        <v>11</v>
      </c>
      <c r="B8" s="190">
        <f>B88</f>
        <v>-1356565.6459999999</v>
      </c>
      <c r="C8" s="191">
        <f>C88</f>
        <v>-1356565.6500000022</v>
      </c>
      <c r="D8" s="191">
        <f t="shared" si="0"/>
        <v>-4.0000022854655981E-3</v>
      </c>
      <c r="E8" s="192" t="s">
        <v>12</v>
      </c>
    </row>
    <row r="9" spans="1:5" ht="15" customHeight="1" x14ac:dyDescent="0.25">
      <c r="A9" s="189" t="s">
        <v>13</v>
      </c>
      <c r="B9" s="190">
        <f>B122</f>
        <v>-41854978.636666</v>
      </c>
      <c r="C9" s="191">
        <f>C122</f>
        <v>-41854978.64066571</v>
      </c>
      <c r="D9" s="191">
        <f t="shared" si="0"/>
        <v>-3.9997100830078125E-3</v>
      </c>
      <c r="E9" s="192" t="s">
        <v>14</v>
      </c>
    </row>
    <row r="10" spans="1:5" ht="15" customHeight="1" x14ac:dyDescent="0.25">
      <c r="A10" s="189" t="s">
        <v>15</v>
      </c>
      <c r="B10" s="190">
        <f>B36</f>
        <v>-14461403.282415999</v>
      </c>
      <c r="C10" s="191">
        <f>C36</f>
        <v>-7247188.2054157555</v>
      </c>
      <c r="D10" s="191">
        <f t="shared" si="0"/>
        <v>7214215.0770002436</v>
      </c>
      <c r="E10" s="192" t="s">
        <v>16</v>
      </c>
    </row>
    <row r="11" spans="1:5" ht="15" customHeight="1" x14ac:dyDescent="0.25">
      <c r="A11" s="189" t="s">
        <v>17</v>
      </c>
      <c r="B11" s="190">
        <f>B70</f>
        <v>2078960.274</v>
      </c>
      <c r="C11" s="191">
        <f>C70</f>
        <v>2493336.0869999975</v>
      </c>
      <c r="D11" s="191">
        <f t="shared" si="0"/>
        <v>414375.81299999752</v>
      </c>
      <c r="E11" s="192" t="s">
        <v>18</v>
      </c>
    </row>
    <row r="12" spans="1:5" ht="15" customHeight="1" x14ac:dyDescent="0.25">
      <c r="A12" s="189" t="s">
        <v>19</v>
      </c>
      <c r="B12" s="190">
        <f>B104</f>
        <v>-12382443.008416001</v>
      </c>
      <c r="C12" s="191">
        <f>C104</f>
        <v>-4753852.1184157133</v>
      </c>
      <c r="D12" s="191">
        <f t="shared" si="0"/>
        <v>7628590.8900002874</v>
      </c>
      <c r="E12" s="192" t="s">
        <v>20</v>
      </c>
    </row>
    <row r="13" spans="1:5" ht="15" customHeight="1" x14ac:dyDescent="0.25">
      <c r="A13" s="189" t="s">
        <v>21</v>
      </c>
      <c r="B13" s="190">
        <f>B100</f>
        <v>6991304.6979999999</v>
      </c>
      <c r="C13" s="191">
        <f>C100</f>
        <v>7047511.3279999988</v>
      </c>
      <c r="D13" s="191">
        <f t="shared" si="0"/>
        <v>56206.629999998957</v>
      </c>
      <c r="E13" s="192" t="s">
        <v>22</v>
      </c>
    </row>
    <row r="14" spans="1:5" ht="15" customHeight="1" x14ac:dyDescent="0.25">
      <c r="A14" s="189" t="s">
        <v>23</v>
      </c>
      <c r="B14" s="190">
        <f>B141</f>
        <v>287923378.10533398</v>
      </c>
      <c r="C14" s="191">
        <f>C141</f>
        <v>287923378.10533428</v>
      </c>
      <c r="D14" s="191">
        <f t="shared" si="0"/>
        <v>0</v>
      </c>
      <c r="E14" s="192" t="s">
        <v>24</v>
      </c>
    </row>
    <row r="15" spans="1:5" ht="15" customHeight="1" x14ac:dyDescent="0.25">
      <c r="A15" s="189" t="s">
        <v>25</v>
      </c>
      <c r="B15" s="190">
        <f>B176</f>
        <v>70047558.642000005</v>
      </c>
      <c r="C15" s="191">
        <f>C176</f>
        <v>70047558.64199999</v>
      </c>
      <c r="D15" s="191">
        <f t="shared" si="0"/>
        <v>0</v>
      </c>
      <c r="E15" s="192" t="s">
        <v>26</v>
      </c>
    </row>
    <row r="16" spans="1:5" ht="15" customHeight="1" x14ac:dyDescent="0.25">
      <c r="A16" s="189" t="s">
        <v>27</v>
      </c>
      <c r="B16" s="190">
        <f>B211</f>
        <v>357970936.747334</v>
      </c>
      <c r="C16" s="191">
        <f>C211</f>
        <v>357970936.7473343</v>
      </c>
      <c r="D16" s="191">
        <f t="shared" si="0"/>
        <v>0</v>
      </c>
      <c r="E16" s="192" t="s">
        <v>28</v>
      </c>
    </row>
    <row r="17" spans="1:5" ht="15" customHeight="1" x14ac:dyDescent="0.25">
      <c r="A17" s="189" t="s">
        <v>29</v>
      </c>
      <c r="B17" s="190">
        <f>B218</f>
        <v>23055496.097334001</v>
      </c>
      <c r="C17" s="191">
        <f>C218</f>
        <v>23074739.958334237</v>
      </c>
      <c r="D17" s="191">
        <f t="shared" si="0"/>
        <v>19243.861000236124</v>
      </c>
      <c r="E17" s="192" t="s">
        <v>30</v>
      </c>
    </row>
    <row r="18" spans="1:5" ht="24.95" customHeight="1" x14ac:dyDescent="0.25">
      <c r="A18" s="189" t="s">
        <v>31</v>
      </c>
      <c r="B18" s="190">
        <f>B267</f>
        <v>30034454.965999998</v>
      </c>
      <c r="C18" s="191">
        <f>C267</f>
        <v>30034455.425999995</v>
      </c>
      <c r="D18" s="191">
        <f t="shared" si="0"/>
        <v>0.45999999716877937</v>
      </c>
      <c r="E18" s="192" t="s">
        <v>32</v>
      </c>
    </row>
    <row r="19" spans="1:5" ht="15" customHeight="1" x14ac:dyDescent="0.25">
      <c r="A19" s="189" t="s">
        <v>33</v>
      </c>
      <c r="B19" s="190">
        <f>B300</f>
        <v>2763169.895</v>
      </c>
      <c r="C19" s="191">
        <f>C300</f>
        <v>2763170.1400000127</v>
      </c>
      <c r="D19" s="191">
        <f t="shared" si="0"/>
        <v>0.24500001268461347</v>
      </c>
      <c r="E19" s="192" t="s">
        <v>34</v>
      </c>
    </row>
    <row r="20" spans="1:5" ht="15" customHeight="1" x14ac:dyDescent="0.25">
      <c r="A20" s="189" t="s">
        <v>35</v>
      </c>
      <c r="B20" s="190">
        <f>B333</f>
        <v>32797624.861000001</v>
      </c>
      <c r="C20" s="191">
        <f>C333</f>
        <v>32797625.565999988</v>
      </c>
      <c r="D20" s="191">
        <f t="shared" si="0"/>
        <v>0.70499998703598976</v>
      </c>
      <c r="E20" s="192" t="s">
        <v>36</v>
      </c>
    </row>
    <row r="23" spans="1:5" ht="21.95" customHeight="1" x14ac:dyDescent="0.25">
      <c r="A23" s="187" t="s">
        <v>37</v>
      </c>
      <c r="B23" s="188"/>
      <c r="C23" s="188"/>
      <c r="D23" s="188"/>
      <c r="E23" s="188"/>
    </row>
    <row r="24" spans="1:5" ht="18" customHeight="1" x14ac:dyDescent="0.25">
      <c r="A24" s="193" t="s">
        <v>38</v>
      </c>
      <c r="B24" s="194"/>
      <c r="C24" s="194"/>
      <c r="D24" s="194"/>
      <c r="E24" s="195" t="s">
        <v>39</v>
      </c>
    </row>
    <row r="25" spans="1:5" ht="30" customHeight="1" x14ac:dyDescent="0.25">
      <c r="A25" s="186" t="s">
        <v>3</v>
      </c>
      <c r="B25" s="186" t="s">
        <v>4</v>
      </c>
      <c r="C25" s="186" t="s">
        <v>5</v>
      </c>
      <c r="D25" s="186" t="s">
        <v>6</v>
      </c>
      <c r="E25" s="186" t="s">
        <v>7</v>
      </c>
    </row>
    <row r="26" spans="1:5" ht="37.5" customHeight="1" x14ac:dyDescent="0.25">
      <c r="A26" s="192" t="s">
        <v>40</v>
      </c>
      <c r="B26" s="196">
        <v>126467923.876505</v>
      </c>
      <c r="C26" s="197">
        <f>IS_Alif!C6</f>
        <v>126467923.87650502</v>
      </c>
      <c r="D26" s="197">
        <f>C26-B26</f>
        <v>0</v>
      </c>
      <c r="E26" s="192" t="s">
        <v>41</v>
      </c>
    </row>
    <row r="27" spans="1:5" x14ac:dyDescent="0.25">
      <c r="A27" s="198" t="s">
        <v>42</v>
      </c>
      <c r="B27" s="199"/>
      <c r="C27" s="199"/>
      <c r="D27" s="199"/>
      <c r="E27" s="199"/>
    </row>
    <row r="28" spans="1:5" ht="24.95" customHeight="1" x14ac:dyDescent="0.25">
      <c r="A28" s="192" t="s">
        <v>43</v>
      </c>
      <c r="B28" s="196">
        <v>94755694.149039999</v>
      </c>
      <c r="C28" s="197">
        <f>IS_Alif!C9</f>
        <v>94755694.149040043</v>
      </c>
      <c r="D28" s="197">
        <f t="shared" ref="D28:D36" si="1">C28-B28</f>
        <v>0</v>
      </c>
      <c r="E28" s="192" t="s">
        <v>44</v>
      </c>
    </row>
    <row r="29" spans="1:5" ht="24.95" customHeight="1" x14ac:dyDescent="0.25">
      <c r="A29" s="192" t="s">
        <v>45</v>
      </c>
      <c r="B29" s="196">
        <v>15043742.536</v>
      </c>
      <c r="C29" s="197">
        <f>IS_Alif!C10</f>
        <v>15043742.535999998</v>
      </c>
      <c r="D29" s="197">
        <f t="shared" si="1"/>
        <v>0</v>
      </c>
      <c r="E29" s="192" t="s">
        <v>46</v>
      </c>
    </row>
    <row r="30" spans="1:5" ht="50.1" customHeight="1" x14ac:dyDescent="0.25">
      <c r="A30" s="192" t="s">
        <v>47</v>
      </c>
      <c r="B30" s="196">
        <v>7753418.6370000001</v>
      </c>
      <c r="C30" s="197">
        <f>IS_Alif!C11</f>
        <v>173224.88699999999</v>
      </c>
      <c r="D30" s="197">
        <f t="shared" si="1"/>
        <v>-7580193.75</v>
      </c>
      <c r="E30" s="192" t="s">
        <v>48</v>
      </c>
    </row>
    <row r="31" spans="1:5" ht="15" customHeight="1" x14ac:dyDescent="0.25">
      <c r="A31" s="192" t="s">
        <v>49</v>
      </c>
      <c r="B31" s="196">
        <v>2270031.3909999998</v>
      </c>
      <c r="C31" s="197">
        <f>IS_Alif!C12</f>
        <v>2270031.3909999998</v>
      </c>
      <c r="D31" s="197">
        <f t="shared" si="1"/>
        <v>0</v>
      </c>
      <c r="E31" s="192" t="s">
        <v>50</v>
      </c>
    </row>
    <row r="32" spans="1:5" ht="50.1" customHeight="1" x14ac:dyDescent="0.25">
      <c r="A32" s="192" t="s">
        <v>51</v>
      </c>
      <c r="B32" s="196">
        <v>5925875.3890000004</v>
      </c>
      <c r="C32" s="197">
        <f>IS_Alif!C16+IS_Alif!C19</f>
        <v>5969397.0189999994</v>
      </c>
      <c r="D32" s="197">
        <f t="shared" si="1"/>
        <v>43521.629999998957</v>
      </c>
      <c r="E32" s="192" t="s">
        <v>52</v>
      </c>
    </row>
    <row r="33" spans="1:5" ht="15" customHeight="1" x14ac:dyDescent="0.25">
      <c r="A33" s="192" t="s">
        <v>53</v>
      </c>
      <c r="B33" s="196">
        <v>6489832.7048810003</v>
      </c>
      <c r="C33" s="197">
        <f>IS_Alif!C13</f>
        <v>6489832.7048807256</v>
      </c>
      <c r="D33" s="197">
        <f t="shared" si="1"/>
        <v>-2.7474015951156616E-7</v>
      </c>
      <c r="E33" s="192" t="s">
        <v>54</v>
      </c>
    </row>
    <row r="34" spans="1:5" ht="37.5" customHeight="1" x14ac:dyDescent="0.25">
      <c r="A34" s="192" t="s">
        <v>55</v>
      </c>
      <c r="B34" s="196">
        <v>8690732.352</v>
      </c>
      <c r="C34" s="197">
        <f>IS_Alif!C14+IS_Alif!C15+IS_Alif!C17+IS_Alif!C18+IS_Alif!C20</f>
        <v>9013189.3949999996</v>
      </c>
      <c r="D34" s="197">
        <f t="shared" si="1"/>
        <v>322457.0429999996</v>
      </c>
      <c r="E34" s="192" t="s">
        <v>56</v>
      </c>
    </row>
    <row r="35" spans="1:5" ht="24.95" customHeight="1" x14ac:dyDescent="0.25">
      <c r="A35" s="200" t="s">
        <v>57</v>
      </c>
      <c r="B35" s="201">
        <v>140929327.158921</v>
      </c>
      <c r="C35" s="202">
        <f>IS_Alif!C21</f>
        <v>133715112.08192077</v>
      </c>
      <c r="D35" s="202">
        <f t="shared" si="1"/>
        <v>-7214215.0770002306</v>
      </c>
      <c r="E35" s="203" t="s">
        <v>58</v>
      </c>
    </row>
    <row r="36" spans="1:5" ht="24.95" customHeight="1" x14ac:dyDescent="0.25">
      <c r="A36" s="200" t="s">
        <v>59</v>
      </c>
      <c r="B36" s="201">
        <v>-14461403.282415999</v>
      </c>
      <c r="C36" s="202">
        <f>IS_Alif!C23</f>
        <v>-7247188.2054157555</v>
      </c>
      <c r="D36" s="202">
        <f t="shared" si="1"/>
        <v>7214215.0770002436</v>
      </c>
      <c r="E36" s="203" t="s">
        <v>60</v>
      </c>
    </row>
    <row r="37" spans="1:5" x14ac:dyDescent="0.25">
      <c r="A37" s="198" t="s">
        <v>61</v>
      </c>
      <c r="B37" s="199"/>
      <c r="C37" s="199"/>
      <c r="D37" s="199"/>
      <c r="E37" s="199"/>
    </row>
    <row r="38" spans="1:5" ht="24.95" customHeight="1" x14ac:dyDescent="0.25">
      <c r="A38" s="192" t="s">
        <v>62</v>
      </c>
      <c r="B38" s="196">
        <v>1697274.5360000001</v>
      </c>
      <c r="C38" s="197">
        <f>IS_Alif!C31</f>
        <v>9397186.9799999986</v>
      </c>
      <c r="D38" s="197">
        <f>C38-B38</f>
        <v>7699912.4439999983</v>
      </c>
      <c r="E38" s="192" t="s">
        <v>63</v>
      </c>
    </row>
    <row r="39" spans="1:5" ht="24.95" customHeight="1" x14ac:dyDescent="0.25">
      <c r="A39" s="192" t="s">
        <v>64</v>
      </c>
      <c r="B39" s="196">
        <v>24731.11</v>
      </c>
      <c r="C39" s="197">
        <f>IS_Alif!C27+IS_Alif!C28+IS_Alif!C29+IS_Alif!C30</f>
        <v>136856.06299999999</v>
      </c>
      <c r="D39" s="197">
        <f>C39-B39</f>
        <v>112124.95299999999</v>
      </c>
      <c r="E39" s="192" t="s">
        <v>65</v>
      </c>
    </row>
    <row r="40" spans="1:5" ht="50.1" customHeight="1" x14ac:dyDescent="0.25">
      <c r="A40" s="192" t="s">
        <v>66</v>
      </c>
      <c r="B40" s="196">
        <v>4543999.0279999999</v>
      </c>
      <c r="C40" s="197">
        <v>0</v>
      </c>
      <c r="D40" s="197">
        <f>C40-B40</f>
        <v>-4543999.0279999999</v>
      </c>
      <c r="E40" s="192" t="s">
        <v>67</v>
      </c>
    </row>
    <row r="41" spans="1:5" ht="24.95" customHeight="1" x14ac:dyDescent="0.25">
      <c r="A41" s="200" t="s">
        <v>68</v>
      </c>
      <c r="B41" s="201">
        <v>6266004.6739999996</v>
      </c>
      <c r="C41" s="202">
        <f>IS_Alif!C32</f>
        <v>9534043.0429999977</v>
      </c>
      <c r="D41" s="202">
        <f>C41-B41</f>
        <v>3268038.3689999981</v>
      </c>
      <c r="E41" s="203" t="s">
        <v>69</v>
      </c>
    </row>
    <row r="42" spans="1:5" x14ac:dyDescent="0.25">
      <c r="A42" s="198" t="s">
        <v>70</v>
      </c>
      <c r="B42" s="199"/>
      <c r="C42" s="199"/>
      <c r="D42" s="199"/>
      <c r="E42" s="199"/>
    </row>
    <row r="43" spans="1:5" ht="37.5" customHeight="1" x14ac:dyDescent="0.25">
      <c r="A43" s="192" t="s">
        <v>71</v>
      </c>
      <c r="B43" s="196">
        <v>7426870.7869999995</v>
      </c>
      <c r="C43" s="197">
        <f>IS_Alif!C35</f>
        <v>11195522.344000001</v>
      </c>
      <c r="D43" s="197">
        <f t="shared" ref="D43:D56" si="2">C43-B43</f>
        <v>3768651.557000001</v>
      </c>
      <c r="E43" s="192" t="s">
        <v>72</v>
      </c>
    </row>
    <row r="44" spans="1:5" ht="50.1" customHeight="1" x14ac:dyDescent="0.25">
      <c r="A44" s="192" t="s">
        <v>73</v>
      </c>
      <c r="B44" s="196">
        <v>1944389.1410000001</v>
      </c>
      <c r="C44" s="197">
        <f>IS_Alif!C36+IS_Alif!C37+IS_Alif!C38+IS_Alif!C39+IS_Alif!C40+IS_Alif!C41+IS_Alif!C42+IS_Alif!C43</f>
        <v>2121914.2920000004</v>
      </c>
      <c r="D44" s="197">
        <f t="shared" si="2"/>
        <v>177525.1510000003</v>
      </c>
      <c r="E44" s="192" t="s">
        <v>74</v>
      </c>
    </row>
    <row r="45" spans="1:5" ht="24.95" customHeight="1" x14ac:dyDescent="0.25">
      <c r="A45" s="200" t="s">
        <v>75</v>
      </c>
      <c r="B45" s="201">
        <v>9371259.9279999994</v>
      </c>
      <c r="C45" s="202">
        <f>IS_Alif!C44</f>
        <v>13317436.636000002</v>
      </c>
      <c r="D45" s="202">
        <f t="shared" si="2"/>
        <v>3946176.7080000024</v>
      </c>
      <c r="E45" s="203" t="s">
        <v>76</v>
      </c>
    </row>
    <row r="46" spans="1:5" ht="15" customHeight="1" x14ac:dyDescent="0.25">
      <c r="A46" s="192" t="s">
        <v>77</v>
      </c>
      <c r="B46" s="196">
        <v>0</v>
      </c>
      <c r="C46" s="197">
        <f>IS_Alif!C46</f>
        <v>0</v>
      </c>
      <c r="D46" s="197">
        <f t="shared" si="2"/>
        <v>0</v>
      </c>
      <c r="E46" s="192" t="s">
        <v>78</v>
      </c>
    </row>
    <row r="47" spans="1:5" ht="15" customHeight="1" x14ac:dyDescent="0.25">
      <c r="A47" s="192" t="s">
        <v>79</v>
      </c>
      <c r="B47" s="196">
        <v>0</v>
      </c>
      <c r="C47" s="197">
        <f>IS_Alif!C47</f>
        <v>0</v>
      </c>
      <c r="D47" s="197">
        <f t="shared" si="2"/>
        <v>0</v>
      </c>
      <c r="E47" s="192" t="s">
        <v>80</v>
      </c>
    </row>
    <row r="48" spans="1:5" ht="24.95" customHeight="1" x14ac:dyDescent="0.25">
      <c r="A48" s="200" t="s">
        <v>81</v>
      </c>
      <c r="B48" s="201">
        <v>-30098667.884415999</v>
      </c>
      <c r="C48" s="202">
        <f>IS_Alif!C49</f>
        <v>-30098667.884415753</v>
      </c>
      <c r="D48" s="202">
        <f t="shared" si="2"/>
        <v>2.4586915969848633E-7</v>
      </c>
      <c r="E48" s="203" t="s">
        <v>82</v>
      </c>
    </row>
    <row r="49" spans="1:5" ht="15" customHeight="1" x14ac:dyDescent="0.25">
      <c r="A49" s="192" t="s">
        <v>83</v>
      </c>
      <c r="B49" s="196">
        <v>1885998.12225</v>
      </c>
      <c r="C49" s="197">
        <f>IS_Alif!C52+IS_Alif!C53</f>
        <v>1885998.1222499991</v>
      </c>
      <c r="D49" s="197">
        <f t="shared" si="2"/>
        <v>0</v>
      </c>
      <c r="E49" s="192" t="s">
        <v>84</v>
      </c>
    </row>
    <row r="50" spans="1:5" ht="15" customHeight="1" x14ac:dyDescent="0.25">
      <c r="A50" s="192" t="s">
        <v>85</v>
      </c>
      <c r="B50" s="196">
        <v>8880146.9839999992</v>
      </c>
      <c r="C50" s="197">
        <f>IS_Alif!C54</f>
        <v>8880146.9840000011</v>
      </c>
      <c r="D50" s="197">
        <f t="shared" si="2"/>
        <v>0</v>
      </c>
      <c r="E50" s="192" t="s">
        <v>86</v>
      </c>
    </row>
    <row r="51" spans="1:5" ht="24.95" customHeight="1" x14ac:dyDescent="0.25">
      <c r="A51" s="192" t="s">
        <v>87</v>
      </c>
      <c r="B51" s="196">
        <v>366400</v>
      </c>
      <c r="C51" s="197">
        <f>IS_Alif!C55</f>
        <v>366400</v>
      </c>
      <c r="D51" s="197">
        <f t="shared" si="2"/>
        <v>0</v>
      </c>
      <c r="E51" s="192" t="s">
        <v>88</v>
      </c>
    </row>
    <row r="52" spans="1:5" ht="15" customHeight="1" x14ac:dyDescent="0.25">
      <c r="A52" s="200" t="s">
        <v>89</v>
      </c>
      <c r="B52" s="201">
        <v>-40498412.990666002</v>
      </c>
      <c r="C52" s="202">
        <f>IS_Alif!C57</f>
        <v>-40498412.990665749</v>
      </c>
      <c r="D52" s="202">
        <f t="shared" si="2"/>
        <v>2.5331974029541016E-7</v>
      </c>
      <c r="E52" s="203" t="s">
        <v>90</v>
      </c>
    </row>
    <row r="53" spans="1:5" ht="15" customHeight="1" x14ac:dyDescent="0.25">
      <c r="A53" s="192" t="s">
        <v>91</v>
      </c>
      <c r="B53" s="196">
        <v>0</v>
      </c>
      <c r="C53" s="197">
        <f>IS_Alif!C59</f>
        <v>0</v>
      </c>
      <c r="D53" s="197">
        <f t="shared" si="2"/>
        <v>0</v>
      </c>
      <c r="E53" s="192" t="s">
        <v>92</v>
      </c>
    </row>
    <row r="54" spans="1:5" ht="37.5" customHeight="1" x14ac:dyDescent="0.25">
      <c r="A54" s="200" t="s">
        <v>93</v>
      </c>
      <c r="B54" s="201">
        <v>-40498412.990666002</v>
      </c>
      <c r="C54" s="202">
        <f>IS_Alif!C60</f>
        <v>-40498412.990665749</v>
      </c>
      <c r="D54" s="202">
        <f t="shared" si="2"/>
        <v>2.5331974029541016E-7</v>
      </c>
      <c r="E54" s="203" t="s">
        <v>94</v>
      </c>
    </row>
    <row r="55" spans="1:5" ht="15" customHeight="1" x14ac:dyDescent="0.25">
      <c r="A55" s="192" t="s">
        <v>95</v>
      </c>
      <c r="B55" s="196">
        <v>0</v>
      </c>
      <c r="C55" s="197">
        <f>IS_Alif!C64</f>
        <v>0</v>
      </c>
      <c r="D55" s="197">
        <f t="shared" si="2"/>
        <v>0</v>
      </c>
      <c r="E55" s="192" t="s">
        <v>96</v>
      </c>
    </row>
    <row r="56" spans="1:5" ht="15" customHeight="1" x14ac:dyDescent="0.25">
      <c r="A56" s="200" t="s">
        <v>97</v>
      </c>
      <c r="B56" s="201">
        <v>-40498412.990666002</v>
      </c>
      <c r="C56" s="202">
        <f>IS_Alif!C65</f>
        <v>-40498412.990665749</v>
      </c>
      <c r="D56" s="202">
        <f t="shared" si="2"/>
        <v>2.5331974029541016E-7</v>
      </c>
      <c r="E56" s="203" t="s">
        <v>98</v>
      </c>
    </row>
    <row r="58" spans="1:5" ht="18" customHeight="1" x14ac:dyDescent="0.25">
      <c r="A58" s="193" t="s">
        <v>99</v>
      </c>
      <c r="B58" s="194"/>
      <c r="C58" s="194"/>
      <c r="D58" s="194"/>
      <c r="E58" s="195" t="s">
        <v>100</v>
      </c>
    </row>
    <row r="59" spans="1:5" ht="30" customHeight="1" x14ac:dyDescent="0.25">
      <c r="A59" s="186" t="s">
        <v>3</v>
      </c>
      <c r="B59" s="186" t="s">
        <v>4</v>
      </c>
      <c r="C59" s="186" t="s">
        <v>5</v>
      </c>
      <c r="D59" s="186" t="s">
        <v>6</v>
      </c>
      <c r="E59" s="186" t="s">
        <v>7</v>
      </c>
    </row>
    <row r="60" spans="1:5" ht="24.95" customHeight="1" x14ac:dyDescent="0.25">
      <c r="A60" s="192" t="s">
        <v>40</v>
      </c>
      <c r="B60" s="196">
        <v>44443751.733000003</v>
      </c>
      <c r="C60" s="197">
        <f>IS_VH!C6</f>
        <v>44443751.733000003</v>
      </c>
      <c r="D60" s="197">
        <f>C60-B60</f>
        <v>0</v>
      </c>
      <c r="E60" s="192" t="s">
        <v>101</v>
      </c>
    </row>
    <row r="61" spans="1:5" x14ac:dyDescent="0.25">
      <c r="A61" s="198" t="s">
        <v>42</v>
      </c>
      <c r="B61" s="199"/>
      <c r="C61" s="199"/>
      <c r="D61" s="199"/>
      <c r="E61" s="199"/>
    </row>
    <row r="62" spans="1:5" ht="24.95" customHeight="1" x14ac:dyDescent="0.25">
      <c r="A62" s="192" t="s">
        <v>43</v>
      </c>
      <c r="B62" s="196">
        <v>38877734.609999999</v>
      </c>
      <c r="C62" s="197">
        <f>IS_VH!C9</f>
        <v>38877734.610000007</v>
      </c>
      <c r="D62" s="197">
        <f t="shared" ref="D62:D70" si="3">C62-B62</f>
        <v>0</v>
      </c>
      <c r="E62" s="192" t="s">
        <v>102</v>
      </c>
    </row>
    <row r="63" spans="1:5" ht="15" customHeight="1" x14ac:dyDescent="0.25">
      <c r="A63" s="192" t="s">
        <v>45</v>
      </c>
      <c r="B63" s="196">
        <v>993325.06799999997</v>
      </c>
      <c r="C63" s="197">
        <f>IS_VH!C10</f>
        <v>993325.06800000009</v>
      </c>
      <c r="D63" s="197">
        <f t="shared" si="3"/>
        <v>0</v>
      </c>
      <c r="E63" s="192" t="s">
        <v>103</v>
      </c>
    </row>
    <row r="64" spans="1:5" ht="24.95" customHeight="1" x14ac:dyDescent="0.25">
      <c r="A64" s="192" t="s">
        <v>47</v>
      </c>
      <c r="B64" s="196">
        <v>0</v>
      </c>
      <c r="C64" s="197">
        <f>IS_VH!C11</f>
        <v>0</v>
      </c>
      <c r="D64" s="197">
        <f t="shared" si="3"/>
        <v>0</v>
      </c>
      <c r="E64" s="192" t="s">
        <v>104</v>
      </c>
    </row>
    <row r="65" spans="1:5" ht="15" customHeight="1" x14ac:dyDescent="0.25">
      <c r="A65" s="192" t="s">
        <v>49</v>
      </c>
      <c r="B65" s="196">
        <v>0</v>
      </c>
      <c r="C65" s="197">
        <f>IS_VH!C12</f>
        <v>0</v>
      </c>
      <c r="D65" s="197">
        <f t="shared" si="3"/>
        <v>0</v>
      </c>
      <c r="E65" s="192" t="s">
        <v>105</v>
      </c>
    </row>
    <row r="66" spans="1:5" ht="50.1" customHeight="1" x14ac:dyDescent="0.25">
      <c r="A66" s="192" t="s">
        <v>51</v>
      </c>
      <c r="B66" s="196">
        <v>1065429.3089999999</v>
      </c>
      <c r="C66" s="197">
        <f>IS_VH!C16+IS_VH!C19</f>
        <v>1078114.3089999997</v>
      </c>
      <c r="D66" s="197">
        <f t="shared" si="3"/>
        <v>12684.999999999767</v>
      </c>
      <c r="E66" s="192" t="s">
        <v>106</v>
      </c>
    </row>
    <row r="67" spans="1:5" ht="37.5" customHeight="1" x14ac:dyDescent="0.25">
      <c r="A67" s="192" t="s">
        <v>53</v>
      </c>
      <c r="B67" s="196">
        <v>414375.81300000002</v>
      </c>
      <c r="C67" s="197">
        <f>IS_VH!C13</f>
        <v>0</v>
      </c>
      <c r="D67" s="197">
        <f t="shared" si="3"/>
        <v>-414375.81300000002</v>
      </c>
      <c r="E67" s="192" t="s">
        <v>107</v>
      </c>
    </row>
    <row r="68" spans="1:5" ht="24.95" customHeight="1" x14ac:dyDescent="0.25">
      <c r="A68" s="192" t="s">
        <v>55</v>
      </c>
      <c r="B68" s="196">
        <v>1013926.659</v>
      </c>
      <c r="C68" s="197">
        <f>IS_VH!C14+IS_VH!C15+IS_VH!C17+IS_VH!C18+IS_VH!C20</f>
        <v>1001241.659</v>
      </c>
      <c r="D68" s="197">
        <f t="shared" si="3"/>
        <v>-12685</v>
      </c>
      <c r="E68" s="192" t="s">
        <v>108</v>
      </c>
    </row>
    <row r="69" spans="1:5" ht="24.95" customHeight="1" x14ac:dyDescent="0.25">
      <c r="A69" s="200" t="s">
        <v>57</v>
      </c>
      <c r="B69" s="201">
        <v>42364791.458999999</v>
      </c>
      <c r="C69" s="202">
        <f>IS_VH!C21</f>
        <v>41950415.646000005</v>
      </c>
      <c r="D69" s="202">
        <f t="shared" si="3"/>
        <v>-414375.81299999356</v>
      </c>
      <c r="E69" s="203" t="s">
        <v>109</v>
      </c>
    </row>
    <row r="70" spans="1:5" ht="15" customHeight="1" x14ac:dyDescent="0.25">
      <c r="A70" s="200" t="s">
        <v>59</v>
      </c>
      <c r="B70" s="201">
        <v>2078960.274</v>
      </c>
      <c r="C70" s="202">
        <f>IS_VH!C23</f>
        <v>2493336.0869999975</v>
      </c>
      <c r="D70" s="202">
        <f t="shared" si="3"/>
        <v>414375.81299999752</v>
      </c>
      <c r="E70" s="203" t="s">
        <v>110</v>
      </c>
    </row>
    <row r="71" spans="1:5" x14ac:dyDescent="0.25">
      <c r="A71" s="198" t="s">
        <v>61</v>
      </c>
      <c r="B71" s="199"/>
      <c r="C71" s="199"/>
      <c r="D71" s="199"/>
      <c r="E71" s="199"/>
    </row>
    <row r="72" spans="1:5" ht="15" customHeight="1" x14ac:dyDescent="0.25">
      <c r="A72" s="192" t="s">
        <v>62</v>
      </c>
      <c r="B72" s="196">
        <v>190520</v>
      </c>
      <c r="C72" s="197">
        <f>IS_VH!C31</f>
        <v>190520</v>
      </c>
      <c r="D72" s="197">
        <f>C72-B72</f>
        <v>0</v>
      </c>
      <c r="E72" s="192" t="s">
        <v>111</v>
      </c>
    </row>
    <row r="73" spans="1:5" ht="15" customHeight="1" x14ac:dyDescent="0.25">
      <c r="A73" s="192" t="s">
        <v>64</v>
      </c>
      <c r="B73" s="196">
        <v>0</v>
      </c>
      <c r="C73" s="197">
        <f>IS_VH!C27+IS_VH!C28+IS_VH!C29+IS_VH!C30</f>
        <v>19067.418000000001</v>
      </c>
      <c r="D73" s="197">
        <f>C73-B73</f>
        <v>19067.418000000001</v>
      </c>
      <c r="E73" s="192" t="s">
        <v>112</v>
      </c>
    </row>
    <row r="74" spans="1:5" ht="24.95" customHeight="1" x14ac:dyDescent="0.25">
      <c r="A74" s="192" t="s">
        <v>66</v>
      </c>
      <c r="B74" s="196">
        <v>0</v>
      </c>
      <c r="C74" s="197">
        <v>0</v>
      </c>
      <c r="D74" s="197">
        <f>C74-B74</f>
        <v>0</v>
      </c>
      <c r="E74" s="192" t="s">
        <v>113</v>
      </c>
    </row>
    <row r="75" spans="1:5" ht="15" customHeight="1" x14ac:dyDescent="0.25">
      <c r="A75" s="200" t="s">
        <v>68</v>
      </c>
      <c r="B75" s="201">
        <v>190520</v>
      </c>
      <c r="C75" s="202">
        <f>IS_VH!C32</f>
        <v>209587.41800000001</v>
      </c>
      <c r="D75" s="202">
        <f>C75-B75</f>
        <v>19067.418000000005</v>
      </c>
      <c r="E75" s="203" t="s">
        <v>114</v>
      </c>
    </row>
    <row r="76" spans="1:5" x14ac:dyDescent="0.25">
      <c r="A76" s="198" t="s">
        <v>70</v>
      </c>
      <c r="B76" s="199"/>
      <c r="C76" s="199"/>
      <c r="D76" s="199"/>
      <c r="E76" s="199"/>
    </row>
    <row r="77" spans="1:5" ht="24.95" customHeight="1" x14ac:dyDescent="0.25">
      <c r="A77" s="192" t="s">
        <v>71</v>
      </c>
      <c r="B77" s="196">
        <v>1546060.6850000001</v>
      </c>
      <c r="C77" s="197">
        <f>IS_VH!C35</f>
        <v>1546060.6849999998</v>
      </c>
      <c r="D77" s="197">
        <f t="shared" ref="D77:D90" si="4">C77-B77</f>
        <v>0</v>
      </c>
      <c r="E77" s="192" t="s">
        <v>115</v>
      </c>
    </row>
    <row r="78" spans="1:5" ht="15" customHeight="1" x14ac:dyDescent="0.25">
      <c r="A78" s="192" t="s">
        <v>73</v>
      </c>
      <c r="B78" s="196">
        <v>168989.18799999999</v>
      </c>
      <c r="C78" s="197">
        <f>IS_VH!C36+IS_VH!C37+IS_VH!C38+IS_VH!C39+IS_VH!C40+IS_VH!C41+IS_VH!C42+IS_VH!C43</f>
        <v>149921.76999999999</v>
      </c>
      <c r="D78" s="197">
        <f t="shared" si="4"/>
        <v>-19067.418000000005</v>
      </c>
      <c r="E78" s="192" t="s">
        <v>116</v>
      </c>
    </row>
    <row r="79" spans="1:5" ht="15" customHeight="1" x14ac:dyDescent="0.25">
      <c r="A79" s="200" t="s">
        <v>75</v>
      </c>
      <c r="B79" s="201">
        <v>1715049.8729999999</v>
      </c>
      <c r="C79" s="202">
        <f>IS_VH!C44</f>
        <v>1695982.4549999998</v>
      </c>
      <c r="D79" s="202">
        <f t="shared" si="4"/>
        <v>-19067.418000000063</v>
      </c>
      <c r="E79" s="203" t="s">
        <v>117</v>
      </c>
    </row>
    <row r="80" spans="1:5" ht="15" customHeight="1" x14ac:dyDescent="0.25">
      <c r="A80" s="192" t="s">
        <v>77</v>
      </c>
      <c r="B80" s="196">
        <v>0</v>
      </c>
      <c r="C80" s="197">
        <f>IS_VH!C46</f>
        <v>0</v>
      </c>
      <c r="D80" s="197">
        <f t="shared" si="4"/>
        <v>0</v>
      </c>
      <c r="E80" s="192" t="s">
        <v>118</v>
      </c>
    </row>
    <row r="81" spans="1:5" ht="15" customHeight="1" x14ac:dyDescent="0.25">
      <c r="A81" s="192" t="s">
        <v>79</v>
      </c>
      <c r="B81" s="196">
        <v>-276</v>
      </c>
      <c r="C81" s="197">
        <f>IS_VH!C47</f>
        <v>-276</v>
      </c>
      <c r="D81" s="197">
        <f t="shared" si="4"/>
        <v>0</v>
      </c>
      <c r="E81" s="192" t="s">
        <v>119</v>
      </c>
    </row>
    <row r="82" spans="1:5" ht="24.95" customHeight="1" x14ac:dyDescent="0.25">
      <c r="A82" s="200" t="s">
        <v>81</v>
      </c>
      <c r="B82" s="201">
        <v>173666.40100000001</v>
      </c>
      <c r="C82" s="202">
        <f>IS_VH!C49</f>
        <v>588042.21399999759</v>
      </c>
      <c r="D82" s="202">
        <f t="shared" si="4"/>
        <v>414375.81299999758</v>
      </c>
      <c r="E82" s="203" t="s">
        <v>120</v>
      </c>
    </row>
    <row r="83" spans="1:5" ht="15" customHeight="1" x14ac:dyDescent="0.25">
      <c r="A83" s="192" t="s">
        <v>83</v>
      </c>
      <c r="B83" s="196">
        <v>668414.00300000003</v>
      </c>
      <c r="C83" s="197">
        <f>IS_VH!C52+IS_VH!C53</f>
        <v>1082789.8199999998</v>
      </c>
      <c r="D83" s="197">
        <f t="shared" si="4"/>
        <v>414375.81699999981</v>
      </c>
      <c r="E83" s="192" t="s">
        <v>121</v>
      </c>
    </row>
    <row r="84" spans="1:5" ht="15" customHeight="1" x14ac:dyDescent="0.25">
      <c r="A84" s="192" t="s">
        <v>85</v>
      </c>
      <c r="B84" s="196">
        <v>863818.04399999999</v>
      </c>
      <c r="C84" s="197">
        <f>IS_VH!C54</f>
        <v>863818.04399999999</v>
      </c>
      <c r="D84" s="197">
        <f t="shared" si="4"/>
        <v>0</v>
      </c>
      <c r="E84" s="192" t="s">
        <v>122</v>
      </c>
    </row>
    <row r="85" spans="1:5" ht="24.95" customHeight="1" x14ac:dyDescent="0.25">
      <c r="A85" s="192" t="s">
        <v>87</v>
      </c>
      <c r="B85" s="196">
        <v>2000</v>
      </c>
      <c r="C85" s="197">
        <f>IS_VH!C55</f>
        <v>2000</v>
      </c>
      <c r="D85" s="197">
        <f t="shared" si="4"/>
        <v>0</v>
      </c>
      <c r="E85" s="192" t="s">
        <v>123</v>
      </c>
    </row>
    <row r="86" spans="1:5" ht="15" customHeight="1" x14ac:dyDescent="0.25">
      <c r="A86" s="200" t="s">
        <v>89</v>
      </c>
      <c r="B86" s="201">
        <v>-1356565.6459999999</v>
      </c>
      <c r="C86" s="202">
        <f>IS_VH!C57</f>
        <v>-1356565.6500000022</v>
      </c>
      <c r="D86" s="202">
        <f t="shared" si="4"/>
        <v>-4.0000022854655981E-3</v>
      </c>
      <c r="E86" s="203" t="s">
        <v>124</v>
      </c>
    </row>
    <row r="87" spans="1:5" ht="15" customHeight="1" x14ac:dyDescent="0.25">
      <c r="A87" s="192" t="s">
        <v>91</v>
      </c>
      <c r="B87" s="196">
        <v>0</v>
      </c>
      <c r="C87" s="197">
        <f>IS_VH!C59</f>
        <v>0</v>
      </c>
      <c r="D87" s="197">
        <f t="shared" si="4"/>
        <v>0</v>
      </c>
      <c r="E87" s="192" t="s">
        <v>125</v>
      </c>
    </row>
    <row r="88" spans="1:5" ht="15" customHeight="1" x14ac:dyDescent="0.25">
      <c r="A88" s="200" t="s">
        <v>93</v>
      </c>
      <c r="B88" s="201">
        <v>-1356565.6459999999</v>
      </c>
      <c r="C88" s="202">
        <f>IS_VH!C60</f>
        <v>-1356565.6500000022</v>
      </c>
      <c r="D88" s="202">
        <f t="shared" si="4"/>
        <v>-4.0000022854655981E-3</v>
      </c>
      <c r="E88" s="203" t="s">
        <v>126</v>
      </c>
    </row>
    <row r="89" spans="1:5" ht="15" customHeight="1" x14ac:dyDescent="0.25">
      <c r="A89" s="192" t="s">
        <v>95</v>
      </c>
      <c r="B89" s="196">
        <v>0</v>
      </c>
      <c r="C89" s="197">
        <f>IS_VH!C64</f>
        <v>0</v>
      </c>
      <c r="D89" s="197">
        <f t="shared" si="4"/>
        <v>0</v>
      </c>
      <c r="E89" s="192" t="s">
        <v>127</v>
      </c>
    </row>
    <row r="90" spans="1:5" ht="15" customHeight="1" x14ac:dyDescent="0.25">
      <c r="A90" s="200" t="s">
        <v>97</v>
      </c>
      <c r="B90" s="201">
        <v>-1356565.6459999999</v>
      </c>
      <c r="C90" s="202">
        <f>IS_VH!C65</f>
        <v>-1356565.6500000022</v>
      </c>
      <c r="D90" s="202">
        <f t="shared" si="4"/>
        <v>-4.0000022854655981E-3</v>
      </c>
      <c r="E90" s="203" t="s">
        <v>128</v>
      </c>
    </row>
    <row r="92" spans="1:5" ht="18" customHeight="1" x14ac:dyDescent="0.25">
      <c r="A92" s="193" t="s">
        <v>129</v>
      </c>
      <c r="B92" s="194"/>
      <c r="C92" s="194"/>
      <c r="D92" s="194"/>
      <c r="E92" s="195" t="s">
        <v>130</v>
      </c>
    </row>
    <row r="93" spans="1:5" ht="30" customHeight="1" x14ac:dyDescent="0.25">
      <c r="A93" s="186" t="s">
        <v>3</v>
      </c>
      <c r="B93" s="186" t="s">
        <v>4</v>
      </c>
      <c r="C93" s="186" t="s">
        <v>5</v>
      </c>
      <c r="D93" s="186" t="s">
        <v>6</v>
      </c>
      <c r="E93" s="186" t="s">
        <v>7</v>
      </c>
    </row>
    <row r="94" spans="1:5" ht="24.95" customHeight="1" x14ac:dyDescent="0.25">
      <c r="A94" s="192" t="s">
        <v>40</v>
      </c>
      <c r="B94" s="196">
        <v>170911675.609505</v>
      </c>
      <c r="C94" s="197">
        <f>IS_Consol!F6</f>
        <v>170911675.60950503</v>
      </c>
      <c r="D94" s="197">
        <f>C94-B94</f>
        <v>0</v>
      </c>
      <c r="E94" s="192" t="s">
        <v>131</v>
      </c>
    </row>
    <row r="95" spans="1:5" x14ac:dyDescent="0.25">
      <c r="A95" s="198" t="s">
        <v>42</v>
      </c>
      <c r="B95" s="199"/>
      <c r="C95" s="199"/>
      <c r="D95" s="199"/>
      <c r="E95" s="199"/>
    </row>
    <row r="96" spans="1:5" ht="24.95" customHeight="1" x14ac:dyDescent="0.25">
      <c r="A96" s="192" t="s">
        <v>43</v>
      </c>
      <c r="B96" s="196">
        <v>133633428.75904</v>
      </c>
      <c r="C96" s="197">
        <f>IS_Consol!F9</f>
        <v>133633428.75904006</v>
      </c>
      <c r="D96" s="197">
        <f t="shared" ref="D96:D104" si="5">C96-B96</f>
        <v>0</v>
      </c>
      <c r="E96" s="192" t="s">
        <v>132</v>
      </c>
    </row>
    <row r="97" spans="1:5" ht="15" customHeight="1" x14ac:dyDescent="0.25">
      <c r="A97" s="192" t="s">
        <v>45</v>
      </c>
      <c r="B97" s="196">
        <v>16037067.604</v>
      </c>
      <c r="C97" s="197">
        <f>IS_Consol!F10</f>
        <v>16037067.603999998</v>
      </c>
      <c r="D97" s="197">
        <f t="shared" si="5"/>
        <v>0</v>
      </c>
      <c r="E97" s="192" t="s">
        <v>133</v>
      </c>
    </row>
    <row r="98" spans="1:5" ht="24.95" customHeight="1" x14ac:dyDescent="0.25">
      <c r="A98" s="192" t="s">
        <v>47</v>
      </c>
      <c r="B98" s="196">
        <v>7753418.6370000001</v>
      </c>
      <c r="C98" s="197">
        <f>IS_Consol!F11</f>
        <v>173224.88699999999</v>
      </c>
      <c r="D98" s="197">
        <f t="shared" si="5"/>
        <v>-7580193.75</v>
      </c>
      <c r="E98" s="192" t="s">
        <v>134</v>
      </c>
    </row>
    <row r="99" spans="1:5" ht="15" customHeight="1" x14ac:dyDescent="0.25">
      <c r="A99" s="192" t="s">
        <v>49</v>
      </c>
      <c r="B99" s="196">
        <v>2270031.3909999998</v>
      </c>
      <c r="C99" s="197">
        <f>IS_Consol!F12</f>
        <v>2270031.3909999998</v>
      </c>
      <c r="D99" s="197">
        <f t="shared" si="5"/>
        <v>0</v>
      </c>
      <c r="E99" s="192" t="s">
        <v>135</v>
      </c>
    </row>
    <row r="100" spans="1:5" ht="37.5" customHeight="1" x14ac:dyDescent="0.25">
      <c r="A100" s="192" t="s">
        <v>51</v>
      </c>
      <c r="B100" s="196">
        <v>6991304.6979999999</v>
      </c>
      <c r="C100" s="197">
        <f>IS_Consol!F16+IS_Consol!F19</f>
        <v>7047511.3279999988</v>
      </c>
      <c r="D100" s="197">
        <f t="shared" si="5"/>
        <v>56206.629999998957</v>
      </c>
      <c r="E100" s="192" t="s">
        <v>136</v>
      </c>
    </row>
    <row r="101" spans="1:5" ht="24.95" customHeight="1" x14ac:dyDescent="0.25">
      <c r="A101" s="192" t="s">
        <v>53</v>
      </c>
      <c r="B101" s="196">
        <v>6904208.5178810004</v>
      </c>
      <c r="C101" s="197">
        <f>IS_Consol!F13</f>
        <v>6489832.7048807256</v>
      </c>
      <c r="D101" s="197">
        <f t="shared" si="5"/>
        <v>-414375.81300027482</v>
      </c>
      <c r="E101" s="192" t="s">
        <v>137</v>
      </c>
    </row>
    <row r="102" spans="1:5" ht="24.95" customHeight="1" x14ac:dyDescent="0.25">
      <c r="A102" s="192" t="s">
        <v>55</v>
      </c>
      <c r="B102" s="196">
        <v>9704659.0109999999</v>
      </c>
      <c r="C102" s="197">
        <f>IS_Consol!F14+IS_Consol!F15+IS_Consol!F17+IS_Consol!F18+IS_Consol!F20</f>
        <v>10014431.054</v>
      </c>
      <c r="D102" s="197">
        <f t="shared" si="5"/>
        <v>309772.0429999996</v>
      </c>
      <c r="E102" s="192" t="s">
        <v>138</v>
      </c>
    </row>
    <row r="103" spans="1:5" ht="15" customHeight="1" x14ac:dyDescent="0.25">
      <c r="A103" s="200" t="s">
        <v>57</v>
      </c>
      <c r="B103" s="201">
        <v>183294118.61792099</v>
      </c>
      <c r="C103" s="202">
        <f>IS_Consol!F21</f>
        <v>175665527.72792074</v>
      </c>
      <c r="D103" s="202">
        <f t="shared" si="5"/>
        <v>-7628590.8900002539</v>
      </c>
      <c r="E103" s="203" t="s">
        <v>139</v>
      </c>
    </row>
    <row r="104" spans="1:5" ht="24.95" customHeight="1" x14ac:dyDescent="0.25">
      <c r="A104" s="200" t="s">
        <v>59</v>
      </c>
      <c r="B104" s="201">
        <v>-12382443.008416001</v>
      </c>
      <c r="C104" s="202">
        <f>IS_Consol!F23</f>
        <v>-4753852.1184157133</v>
      </c>
      <c r="D104" s="202">
        <f t="shared" si="5"/>
        <v>7628590.8900002874</v>
      </c>
      <c r="E104" s="203" t="s">
        <v>140</v>
      </c>
    </row>
    <row r="105" spans="1:5" x14ac:dyDescent="0.25">
      <c r="A105" s="198" t="s">
        <v>61</v>
      </c>
      <c r="B105" s="199"/>
      <c r="C105" s="199"/>
      <c r="D105" s="199"/>
      <c r="E105" s="199"/>
    </row>
    <row r="106" spans="1:5" ht="24.95" customHeight="1" x14ac:dyDescent="0.25">
      <c r="A106" s="192" t="s">
        <v>62</v>
      </c>
      <c r="B106" s="196">
        <v>1887794.5360000001</v>
      </c>
      <c r="C106" s="197">
        <f>IS_Consol!F31</f>
        <v>9587706.9799999986</v>
      </c>
      <c r="D106" s="197">
        <f>C106-B106</f>
        <v>7699912.4439999983</v>
      </c>
      <c r="E106" s="192" t="s">
        <v>141</v>
      </c>
    </row>
    <row r="107" spans="1:5" ht="24.95" customHeight="1" x14ac:dyDescent="0.25">
      <c r="A107" s="192" t="s">
        <v>64</v>
      </c>
      <c r="B107" s="196">
        <v>24731.11</v>
      </c>
      <c r="C107" s="197">
        <f>IS_Consol!F27+IS_Consol!F28+IS_Consol!F29+IS_Consol!F30</f>
        <v>155923.481</v>
      </c>
      <c r="D107" s="197">
        <f>C107-B107</f>
        <v>131192.37099999998</v>
      </c>
      <c r="E107" s="192" t="s">
        <v>142</v>
      </c>
    </row>
    <row r="108" spans="1:5" ht="50.1" customHeight="1" x14ac:dyDescent="0.25">
      <c r="A108" s="192" t="s">
        <v>66</v>
      </c>
      <c r="B108" s="196">
        <v>4543999.0279999999</v>
      </c>
      <c r="C108" s="197">
        <v>0</v>
      </c>
      <c r="D108" s="197">
        <f>C108-B108</f>
        <v>-4543999.0279999999</v>
      </c>
      <c r="E108" s="192" t="s">
        <v>143</v>
      </c>
    </row>
    <row r="109" spans="1:5" ht="15" customHeight="1" x14ac:dyDescent="0.25">
      <c r="A109" s="200" t="s">
        <v>68</v>
      </c>
      <c r="B109" s="201">
        <v>6456524.6739999996</v>
      </c>
      <c r="C109" s="202">
        <f>IS_Consol!F32</f>
        <v>9743630.4609999992</v>
      </c>
      <c r="D109" s="202">
        <f>C109-B109</f>
        <v>3287105.7869999995</v>
      </c>
      <c r="E109" s="203" t="s">
        <v>144</v>
      </c>
    </row>
    <row r="110" spans="1:5" x14ac:dyDescent="0.25">
      <c r="A110" s="198" t="s">
        <v>70</v>
      </c>
      <c r="B110" s="199"/>
      <c r="C110" s="199"/>
      <c r="D110" s="199"/>
      <c r="E110" s="199"/>
    </row>
    <row r="111" spans="1:5" ht="37.5" customHeight="1" x14ac:dyDescent="0.25">
      <c r="A111" s="192" t="s">
        <v>71</v>
      </c>
      <c r="B111" s="196">
        <v>8972931.4719999991</v>
      </c>
      <c r="C111" s="197">
        <f>IS_Consol!F35</f>
        <v>12741583.029000001</v>
      </c>
      <c r="D111" s="197">
        <f t="shared" ref="D111:D124" si="6">C111-B111</f>
        <v>3768651.5570000019</v>
      </c>
      <c r="E111" s="192" t="s">
        <v>145</v>
      </c>
    </row>
    <row r="112" spans="1:5" ht="15" customHeight="1" x14ac:dyDescent="0.25">
      <c r="A112" s="192" t="s">
        <v>73</v>
      </c>
      <c r="B112" s="196">
        <v>2113378.3289999999</v>
      </c>
      <c r="C112" s="197">
        <f>IS_Consol!F36+IS_Consol!F37+IS_Consol!F38+IS_Consol!F39+IS_Consol!F40+IS_Consol!F41+IS_Consol!F42+IS_Consol!F43</f>
        <v>2271836.0619999999</v>
      </c>
      <c r="D112" s="197">
        <f t="shared" si="6"/>
        <v>158457.73300000001</v>
      </c>
      <c r="E112" s="192" t="s">
        <v>146</v>
      </c>
    </row>
    <row r="113" spans="1:5" ht="15" customHeight="1" x14ac:dyDescent="0.25">
      <c r="A113" s="200" t="s">
        <v>75</v>
      </c>
      <c r="B113" s="201">
        <v>11086309.801000001</v>
      </c>
      <c r="C113" s="202">
        <f>IS_Consol!F44</f>
        <v>15013419.091</v>
      </c>
      <c r="D113" s="202">
        <f t="shared" si="6"/>
        <v>3927109.2899999991</v>
      </c>
      <c r="E113" s="203" t="s">
        <v>147</v>
      </c>
    </row>
    <row r="114" spans="1:5" ht="15" customHeight="1" x14ac:dyDescent="0.25">
      <c r="A114" s="192" t="s">
        <v>77</v>
      </c>
      <c r="B114" s="196">
        <v>0</v>
      </c>
      <c r="C114" s="197">
        <f>IS_Consol!F46</f>
        <v>0</v>
      </c>
      <c r="D114" s="197">
        <f t="shared" si="6"/>
        <v>0</v>
      </c>
      <c r="E114" s="192" t="s">
        <v>148</v>
      </c>
    </row>
    <row r="115" spans="1:5" ht="15" customHeight="1" x14ac:dyDescent="0.25">
      <c r="A115" s="192" t="s">
        <v>79</v>
      </c>
      <c r="B115" s="196">
        <v>-276</v>
      </c>
      <c r="C115" s="197">
        <f>IS_Consol!F47</f>
        <v>-276</v>
      </c>
      <c r="D115" s="197">
        <f t="shared" si="6"/>
        <v>0</v>
      </c>
      <c r="E115" s="192" t="s">
        <v>149</v>
      </c>
    </row>
    <row r="116" spans="1:5" ht="15" customHeight="1" x14ac:dyDescent="0.25">
      <c r="A116" s="200" t="s">
        <v>81</v>
      </c>
      <c r="B116" s="201">
        <v>-29925001.483415999</v>
      </c>
      <c r="C116" s="202">
        <f>IS_Consol!F49</f>
        <v>-29510625.670415714</v>
      </c>
      <c r="D116" s="202">
        <f t="shared" si="6"/>
        <v>414375.81300028414</v>
      </c>
      <c r="E116" s="203" t="s">
        <v>150</v>
      </c>
    </row>
    <row r="117" spans="1:5" ht="15" customHeight="1" x14ac:dyDescent="0.25">
      <c r="A117" s="192" t="s">
        <v>83</v>
      </c>
      <c r="B117" s="196">
        <v>2554412.12525</v>
      </c>
      <c r="C117" s="197">
        <f>IS_Consol!F52+IS_Consol!F53</f>
        <v>2968787.9422499989</v>
      </c>
      <c r="D117" s="197">
        <f t="shared" si="6"/>
        <v>414375.81699999887</v>
      </c>
      <c r="E117" s="192" t="s">
        <v>151</v>
      </c>
    </row>
    <row r="118" spans="1:5" ht="15" customHeight="1" x14ac:dyDescent="0.25">
      <c r="A118" s="192" t="s">
        <v>85</v>
      </c>
      <c r="B118" s="196">
        <v>9743965.0280000009</v>
      </c>
      <c r="C118" s="197">
        <f>IS_Consol!F54</f>
        <v>9743965.0280000009</v>
      </c>
      <c r="D118" s="197">
        <f t="shared" si="6"/>
        <v>0</v>
      </c>
      <c r="E118" s="192" t="s">
        <v>152</v>
      </c>
    </row>
    <row r="119" spans="1:5" ht="24.95" customHeight="1" x14ac:dyDescent="0.25">
      <c r="A119" s="192" t="s">
        <v>87</v>
      </c>
      <c r="B119" s="196">
        <v>368400</v>
      </c>
      <c r="C119" s="197">
        <f>IS_Consol!F55</f>
        <v>368400</v>
      </c>
      <c r="D119" s="197">
        <f t="shared" si="6"/>
        <v>0</v>
      </c>
      <c r="E119" s="192" t="s">
        <v>153</v>
      </c>
    </row>
    <row r="120" spans="1:5" ht="15" customHeight="1" x14ac:dyDescent="0.25">
      <c r="A120" s="200" t="s">
        <v>89</v>
      </c>
      <c r="B120" s="201">
        <v>-41854978.636666</v>
      </c>
      <c r="C120" s="202">
        <f>IS_Consol!F57</f>
        <v>-41854978.64066571</v>
      </c>
      <c r="D120" s="202">
        <f t="shared" si="6"/>
        <v>-3.9997100830078125E-3</v>
      </c>
      <c r="E120" s="203" t="s">
        <v>154</v>
      </c>
    </row>
    <row r="121" spans="1:5" ht="15" customHeight="1" x14ac:dyDescent="0.25">
      <c r="A121" s="192" t="s">
        <v>91</v>
      </c>
      <c r="B121" s="196">
        <v>0</v>
      </c>
      <c r="C121" s="197">
        <f>IS_Consol!F59</f>
        <v>0</v>
      </c>
      <c r="D121" s="197">
        <f t="shared" si="6"/>
        <v>0</v>
      </c>
      <c r="E121" s="192" t="s">
        <v>155</v>
      </c>
    </row>
    <row r="122" spans="1:5" ht="24.95" customHeight="1" x14ac:dyDescent="0.25">
      <c r="A122" s="200" t="s">
        <v>93</v>
      </c>
      <c r="B122" s="201">
        <v>-41854978.636666</v>
      </c>
      <c r="C122" s="202">
        <f>IS_Consol!F60</f>
        <v>-41854978.64066571</v>
      </c>
      <c r="D122" s="202">
        <f t="shared" si="6"/>
        <v>-3.9997100830078125E-3</v>
      </c>
      <c r="E122" s="203" t="s">
        <v>156</v>
      </c>
    </row>
    <row r="123" spans="1:5" ht="15" customHeight="1" x14ac:dyDescent="0.25">
      <c r="A123" s="192" t="s">
        <v>95</v>
      </c>
      <c r="B123" s="196">
        <v>0</v>
      </c>
      <c r="C123" s="197">
        <f>IS_Consol!F64</f>
        <v>0</v>
      </c>
      <c r="D123" s="197">
        <f t="shared" si="6"/>
        <v>0</v>
      </c>
      <c r="E123" s="192" t="s">
        <v>157</v>
      </c>
    </row>
    <row r="124" spans="1:5" ht="15" customHeight="1" x14ac:dyDescent="0.25">
      <c r="A124" s="200" t="s">
        <v>97</v>
      </c>
      <c r="B124" s="201">
        <v>-41854978.636666</v>
      </c>
      <c r="C124" s="202">
        <f>IS_Consol!F65</f>
        <v>-41854978.64066571</v>
      </c>
      <c r="D124" s="202">
        <f t="shared" si="6"/>
        <v>-3.9997100830078125E-3</v>
      </c>
      <c r="E124" s="203" t="s">
        <v>158</v>
      </c>
    </row>
    <row r="127" spans="1:5" ht="21.95" customHeight="1" x14ac:dyDescent="0.25">
      <c r="A127" s="187" t="s">
        <v>159</v>
      </c>
      <c r="B127" s="188"/>
      <c r="C127" s="188"/>
      <c r="D127" s="188"/>
      <c r="E127" s="188"/>
    </row>
    <row r="128" spans="1:5" ht="18" customHeight="1" x14ac:dyDescent="0.25">
      <c r="A128" s="193" t="s">
        <v>160</v>
      </c>
      <c r="B128" s="194"/>
      <c r="C128" s="194"/>
      <c r="D128" s="194"/>
      <c r="E128" s="195" t="s">
        <v>161</v>
      </c>
    </row>
    <row r="129" spans="1:5" ht="30" customHeight="1" x14ac:dyDescent="0.25">
      <c r="A129" s="186" t="s">
        <v>3</v>
      </c>
      <c r="B129" s="186" t="s">
        <v>4</v>
      </c>
      <c r="C129" s="186" t="s">
        <v>5</v>
      </c>
      <c r="D129" s="186" t="s">
        <v>6</v>
      </c>
      <c r="E129" s="186" t="s">
        <v>7</v>
      </c>
    </row>
    <row r="130" spans="1:5" x14ac:dyDescent="0.25">
      <c r="A130" s="198" t="s">
        <v>162</v>
      </c>
      <c r="B130" s="199"/>
      <c r="C130" s="199"/>
      <c r="D130" s="199"/>
      <c r="E130" s="199"/>
    </row>
    <row r="131" spans="1:5" ht="15" customHeight="1" x14ac:dyDescent="0.25">
      <c r="A131" s="192" t="s">
        <v>163</v>
      </c>
      <c r="B131" s="196">
        <v>156384413.61086899</v>
      </c>
      <c r="C131" s="197">
        <f>BS_Alif!C9</f>
        <v>156384413.61086935</v>
      </c>
      <c r="D131" s="197">
        <f>C131-B131</f>
        <v>3.5762786865234375E-7</v>
      </c>
      <c r="E131" s="192" t="s">
        <v>164</v>
      </c>
    </row>
    <row r="132" spans="1:5" ht="15" customHeight="1" x14ac:dyDescent="0.25">
      <c r="A132" s="192" t="s">
        <v>165</v>
      </c>
      <c r="B132" s="196">
        <v>978082.35400000005</v>
      </c>
      <c r="C132" s="197">
        <f>BS_Alif!C10</f>
        <v>978082.35400000005</v>
      </c>
      <c r="D132" s="197">
        <f>C132-B132</f>
        <v>0</v>
      </c>
      <c r="E132" s="192" t="s">
        <v>166</v>
      </c>
    </row>
    <row r="133" spans="1:5" ht="15" customHeight="1" x14ac:dyDescent="0.25">
      <c r="A133" s="192" t="s">
        <v>167</v>
      </c>
      <c r="B133" s="196">
        <v>0</v>
      </c>
      <c r="C133" s="197">
        <f>BS_Alif!C11</f>
        <v>0</v>
      </c>
      <c r="D133" s="197">
        <f>C133-B133</f>
        <v>0</v>
      </c>
      <c r="E133" s="192" t="s">
        <v>168</v>
      </c>
    </row>
    <row r="134" spans="1:5" ht="15" customHeight="1" x14ac:dyDescent="0.25">
      <c r="A134" s="200" t="s">
        <v>169</v>
      </c>
      <c r="B134" s="201">
        <v>157362495.96486899</v>
      </c>
      <c r="C134" s="202">
        <f>BS_Alif!C12</f>
        <v>157362495.96486935</v>
      </c>
      <c r="D134" s="202">
        <f>C134-B134</f>
        <v>3.5762786865234375E-7</v>
      </c>
      <c r="E134" s="203" t="s">
        <v>170</v>
      </c>
    </row>
    <row r="135" spans="1:5" x14ac:dyDescent="0.25">
      <c r="A135" s="198" t="s">
        <v>171</v>
      </c>
      <c r="B135" s="199"/>
      <c r="C135" s="199"/>
      <c r="D135" s="199"/>
      <c r="E135" s="199"/>
    </row>
    <row r="136" spans="1:5" ht="15" customHeight="1" x14ac:dyDescent="0.25">
      <c r="A136" s="192" t="s">
        <v>172</v>
      </c>
      <c r="B136" s="196">
        <v>68750141.290959999</v>
      </c>
      <c r="C136" s="197">
        <f>BS_Alif!C15</f>
        <v>68750141.290959969</v>
      </c>
      <c r="D136" s="197">
        <f t="shared" ref="D136:D141" si="7">C136-B136</f>
        <v>0</v>
      </c>
      <c r="E136" s="192" t="s">
        <v>173</v>
      </c>
    </row>
    <row r="137" spans="1:5" ht="15" customHeight="1" x14ac:dyDescent="0.25">
      <c r="A137" s="192" t="s">
        <v>174</v>
      </c>
      <c r="B137" s="196">
        <v>21529784.529505</v>
      </c>
      <c r="C137" s="197">
        <f>BS_Alif!C16</f>
        <v>21529784.529504996</v>
      </c>
      <c r="D137" s="197">
        <f t="shared" si="7"/>
        <v>0</v>
      </c>
      <c r="E137" s="192" t="s">
        <v>175</v>
      </c>
    </row>
    <row r="138" spans="1:5" ht="15" customHeight="1" x14ac:dyDescent="0.25">
      <c r="A138" s="192" t="s">
        <v>176</v>
      </c>
      <c r="B138" s="196">
        <v>10246500.893999999</v>
      </c>
      <c r="C138" s="197">
        <f>BS_Alif!C17</f>
        <v>10246500.894000001</v>
      </c>
      <c r="D138" s="197">
        <f t="shared" si="7"/>
        <v>0</v>
      </c>
      <c r="E138" s="192" t="s">
        <v>177</v>
      </c>
    </row>
    <row r="139" spans="1:5" ht="15" customHeight="1" x14ac:dyDescent="0.25">
      <c r="A139" s="192" t="s">
        <v>178</v>
      </c>
      <c r="B139" s="196">
        <v>30034455.425999999</v>
      </c>
      <c r="C139" s="197">
        <f>BS_Alif!C18</f>
        <v>30034455.425999999</v>
      </c>
      <c r="D139" s="197">
        <f t="shared" si="7"/>
        <v>0</v>
      </c>
      <c r="E139" s="192" t="s">
        <v>179</v>
      </c>
    </row>
    <row r="140" spans="1:5" ht="15" customHeight="1" x14ac:dyDescent="0.25">
      <c r="A140" s="200" t="s">
        <v>180</v>
      </c>
      <c r="B140" s="201">
        <v>130560882.14046501</v>
      </c>
      <c r="C140" s="202">
        <f>BS_Alif!C19</f>
        <v>130560882.14046496</v>
      </c>
      <c r="D140" s="202">
        <f t="shared" si="7"/>
        <v>0</v>
      </c>
      <c r="E140" s="203" t="s">
        <v>181</v>
      </c>
    </row>
    <row r="141" spans="1:5" ht="15" customHeight="1" x14ac:dyDescent="0.25">
      <c r="A141" s="200" t="s">
        <v>182</v>
      </c>
      <c r="B141" s="201">
        <v>287923378.10533398</v>
      </c>
      <c r="C141" s="202">
        <f>BS_Alif!C21</f>
        <v>287923378.10533428</v>
      </c>
      <c r="D141" s="202">
        <f t="shared" si="7"/>
        <v>0</v>
      </c>
      <c r="E141" s="203" t="s">
        <v>183</v>
      </c>
    </row>
    <row r="142" spans="1:5" x14ac:dyDescent="0.25">
      <c r="A142" s="198" t="s">
        <v>184</v>
      </c>
      <c r="B142" s="199"/>
      <c r="C142" s="199"/>
      <c r="D142" s="199"/>
      <c r="E142" s="199"/>
    </row>
    <row r="143" spans="1:5" ht="15" customHeight="1" x14ac:dyDescent="0.25">
      <c r="A143" s="192" t="s">
        <v>185</v>
      </c>
      <c r="B143" s="196">
        <v>35335000</v>
      </c>
      <c r="C143" s="197">
        <f>BS_Alif!C25</f>
        <v>35335000</v>
      </c>
      <c r="D143" s="197">
        <f>C143-B143</f>
        <v>0</v>
      </c>
      <c r="E143" s="192" t="s">
        <v>186</v>
      </c>
    </row>
    <row r="144" spans="1:5" ht="15" customHeight="1" x14ac:dyDescent="0.25">
      <c r="A144" s="192" t="s">
        <v>187</v>
      </c>
      <c r="B144" s="196">
        <v>122255315.01000001</v>
      </c>
      <c r="C144" s="197">
        <f>BS_Alif!C26</f>
        <v>122255315.01000001</v>
      </c>
      <c r="D144" s="197">
        <f>C144-B144</f>
        <v>0</v>
      </c>
      <c r="E144" s="192" t="s">
        <v>188</v>
      </c>
    </row>
    <row r="145" spans="1:5" ht="15" customHeight="1" x14ac:dyDescent="0.25">
      <c r="A145" s="192" t="s">
        <v>189</v>
      </c>
      <c r="B145" s="196">
        <v>7846137</v>
      </c>
      <c r="C145" s="197">
        <f>BS_Alif!C27</f>
        <v>7846137</v>
      </c>
      <c r="D145" s="197">
        <f>C145-B145</f>
        <v>0</v>
      </c>
      <c r="E145" s="192" t="s">
        <v>190</v>
      </c>
    </row>
    <row r="146" spans="1:5" ht="24.95" customHeight="1" x14ac:dyDescent="0.25">
      <c r="A146" s="192" t="s">
        <v>191</v>
      </c>
      <c r="B146" s="196">
        <v>-147765591.54066601</v>
      </c>
      <c r="C146" s="197">
        <f>BS_Alif!C28+BS_Alif!C29</f>
        <v>-147765591.54066575</v>
      </c>
      <c r="D146" s="197">
        <f>C146-B146</f>
        <v>2.6822090148925781E-7</v>
      </c>
      <c r="E146" s="192" t="s">
        <v>192</v>
      </c>
    </row>
    <row r="147" spans="1:5" ht="15" customHeight="1" x14ac:dyDescent="0.25">
      <c r="A147" s="200" t="s">
        <v>193</v>
      </c>
      <c r="B147" s="201">
        <v>17670860.469333999</v>
      </c>
      <c r="C147" s="202">
        <f>BS_Alif!C30</f>
        <v>17670860.469334245</v>
      </c>
      <c r="D147" s="202">
        <f>C147-B147</f>
        <v>2.4586915969848633E-7</v>
      </c>
      <c r="E147" s="203" t="s">
        <v>194</v>
      </c>
    </row>
    <row r="148" spans="1:5" x14ac:dyDescent="0.25">
      <c r="A148" s="198" t="s">
        <v>195</v>
      </c>
      <c r="B148" s="199"/>
      <c r="C148" s="199"/>
      <c r="D148" s="199"/>
      <c r="E148" s="199"/>
    </row>
    <row r="149" spans="1:5" ht="24.95" customHeight="1" x14ac:dyDescent="0.25">
      <c r="A149" s="192" t="s">
        <v>196</v>
      </c>
      <c r="B149" s="196">
        <v>101028551.85699999</v>
      </c>
      <c r="C149" s="197">
        <f>BS_Alif!C33</f>
        <v>101028551.85699999</v>
      </c>
      <c r="D149" s="197">
        <f>C149-B149</f>
        <v>0</v>
      </c>
      <c r="E149" s="192" t="s">
        <v>197</v>
      </c>
    </row>
    <row r="150" spans="1:5" ht="15" customHeight="1" x14ac:dyDescent="0.25">
      <c r="A150" s="192" t="s">
        <v>198</v>
      </c>
      <c r="B150" s="196">
        <v>4045880.9920000001</v>
      </c>
      <c r="C150" s="197">
        <f>BS_Alif!C34</f>
        <v>4045880.9920000001</v>
      </c>
      <c r="D150" s="197">
        <f>C150-B150</f>
        <v>0</v>
      </c>
      <c r="E150" s="192" t="s">
        <v>199</v>
      </c>
    </row>
    <row r="151" spans="1:5" ht="24.95" customHeight="1" x14ac:dyDescent="0.25">
      <c r="A151" s="192" t="s">
        <v>200</v>
      </c>
      <c r="B151" s="196">
        <v>1165712.719</v>
      </c>
      <c r="C151" s="197">
        <f>BS_Alif!C35</f>
        <v>1165712.719</v>
      </c>
      <c r="D151" s="197">
        <f>C151-B151</f>
        <v>0</v>
      </c>
      <c r="E151" s="192" t="s">
        <v>201</v>
      </c>
    </row>
    <row r="152" spans="1:5" ht="15" customHeight="1" x14ac:dyDescent="0.25">
      <c r="A152" s="192" t="s">
        <v>202</v>
      </c>
      <c r="B152" s="196">
        <v>4931250.8490000004</v>
      </c>
      <c r="C152" s="197">
        <f>BS_Alif!C36</f>
        <v>4931250.8490000004</v>
      </c>
      <c r="D152" s="197">
        <f>C152-B152</f>
        <v>0</v>
      </c>
      <c r="E152" s="192" t="s">
        <v>203</v>
      </c>
    </row>
    <row r="153" spans="1:5" ht="15" customHeight="1" x14ac:dyDescent="0.25">
      <c r="A153" s="200" t="s">
        <v>204</v>
      </c>
      <c r="B153" s="201">
        <v>111171396.417</v>
      </c>
      <c r="C153" s="202">
        <f>BS_Alif!C37</f>
        <v>111171396.417</v>
      </c>
      <c r="D153" s="202">
        <f>C153-B153</f>
        <v>0</v>
      </c>
      <c r="E153" s="203" t="s">
        <v>205</v>
      </c>
    </row>
    <row r="154" spans="1:5" x14ac:dyDescent="0.25">
      <c r="A154" s="198" t="s">
        <v>206</v>
      </c>
      <c r="B154" s="199"/>
      <c r="C154" s="199"/>
      <c r="D154" s="199"/>
      <c r="E154" s="199"/>
    </row>
    <row r="155" spans="1:5" ht="15" customHeight="1" x14ac:dyDescent="0.25">
      <c r="A155" s="192" t="s">
        <v>207</v>
      </c>
      <c r="B155" s="196">
        <v>136845302.741</v>
      </c>
      <c r="C155" s="197">
        <f>BS_Alif!C40</f>
        <v>136845302.74100003</v>
      </c>
      <c r="D155" s="197">
        <f t="shared" ref="D155:D161" si="8">C155-B155</f>
        <v>0</v>
      </c>
      <c r="E155" s="192" t="s">
        <v>208</v>
      </c>
    </row>
    <row r="156" spans="1:5" ht="15" customHeight="1" x14ac:dyDescent="0.25">
      <c r="A156" s="192" t="s">
        <v>209</v>
      </c>
      <c r="B156" s="196">
        <v>22235818.478</v>
      </c>
      <c r="C156" s="197">
        <f>BS_Alif!C41</f>
        <v>22235818.478000004</v>
      </c>
      <c r="D156" s="197">
        <f t="shared" si="8"/>
        <v>0</v>
      </c>
      <c r="E156" s="192" t="s">
        <v>210</v>
      </c>
    </row>
    <row r="157" spans="1:5" ht="15" customHeight="1" x14ac:dyDescent="0.25">
      <c r="A157" s="192" t="s">
        <v>211</v>
      </c>
      <c r="B157" s="196">
        <v>0</v>
      </c>
      <c r="C157" s="197">
        <f>BS_Alif!C42</f>
        <v>0</v>
      </c>
      <c r="D157" s="197">
        <f t="shared" si="8"/>
        <v>0</v>
      </c>
      <c r="E157" s="192" t="s">
        <v>212</v>
      </c>
    </row>
    <row r="158" spans="1:5" ht="15" customHeight="1" x14ac:dyDescent="0.25">
      <c r="A158" s="200" t="s">
        <v>213</v>
      </c>
      <c r="B158" s="201">
        <v>159081121.21900001</v>
      </c>
      <c r="C158" s="202">
        <f>BS_Alif!C43</f>
        <v>159081121.21900004</v>
      </c>
      <c r="D158" s="202">
        <f t="shared" si="8"/>
        <v>0</v>
      </c>
      <c r="E158" s="203" t="s">
        <v>214</v>
      </c>
    </row>
    <row r="159" spans="1:5" ht="15" customHeight="1" x14ac:dyDescent="0.25">
      <c r="A159" s="200" t="s">
        <v>215</v>
      </c>
      <c r="B159" s="201">
        <v>270252517.63599998</v>
      </c>
      <c r="C159" s="202">
        <f>BS_Alif!C45</f>
        <v>270252517.63600004</v>
      </c>
      <c r="D159" s="202">
        <f t="shared" si="8"/>
        <v>0</v>
      </c>
      <c r="E159" s="203" t="s">
        <v>216</v>
      </c>
    </row>
    <row r="160" spans="1:5" ht="15" customHeight="1" x14ac:dyDescent="0.25">
      <c r="A160" s="200" t="s">
        <v>217</v>
      </c>
      <c r="B160" s="201">
        <v>287923378.10533398</v>
      </c>
      <c r="C160" s="202">
        <f>BS_Alif!C47</f>
        <v>287923378.10533428</v>
      </c>
      <c r="D160" s="202">
        <f t="shared" si="8"/>
        <v>0</v>
      </c>
      <c r="E160" s="203" t="s">
        <v>218</v>
      </c>
    </row>
    <row r="161" spans="1:5" ht="15" customHeight="1" x14ac:dyDescent="0.25">
      <c r="A161" s="200" t="s">
        <v>219</v>
      </c>
      <c r="B161" s="201">
        <v>0</v>
      </c>
      <c r="C161" s="202">
        <f>BS_Alif!C21-BS_Alif!C47</f>
        <v>0</v>
      </c>
      <c r="D161" s="202">
        <f t="shared" si="8"/>
        <v>0</v>
      </c>
      <c r="E161" s="203" t="s">
        <v>220</v>
      </c>
    </row>
    <row r="163" spans="1:5" ht="18" customHeight="1" x14ac:dyDescent="0.25">
      <c r="A163" s="193" t="s">
        <v>221</v>
      </c>
      <c r="B163" s="194"/>
      <c r="C163" s="194"/>
      <c r="D163" s="194"/>
      <c r="E163" s="195" t="s">
        <v>222</v>
      </c>
    </row>
    <row r="164" spans="1:5" ht="30" customHeight="1" x14ac:dyDescent="0.25">
      <c r="A164" s="186" t="s">
        <v>3</v>
      </c>
      <c r="B164" s="186" t="s">
        <v>4</v>
      </c>
      <c r="C164" s="186" t="s">
        <v>5</v>
      </c>
      <c r="D164" s="186" t="s">
        <v>6</v>
      </c>
      <c r="E164" s="186" t="s">
        <v>7</v>
      </c>
    </row>
    <row r="165" spans="1:5" x14ac:dyDescent="0.25">
      <c r="A165" s="198" t="s">
        <v>162</v>
      </c>
      <c r="B165" s="199"/>
      <c r="C165" s="199"/>
      <c r="D165" s="199"/>
      <c r="E165" s="199"/>
    </row>
    <row r="166" spans="1:5" ht="15" customHeight="1" x14ac:dyDescent="0.25">
      <c r="A166" s="192" t="s">
        <v>163</v>
      </c>
      <c r="B166" s="196">
        <v>27374670.173999999</v>
      </c>
      <c r="C166" s="197">
        <f>BS_VH!C9</f>
        <v>27374670.173999999</v>
      </c>
      <c r="D166" s="197">
        <f>C166-B166</f>
        <v>0</v>
      </c>
      <c r="E166" s="192" t="s">
        <v>223</v>
      </c>
    </row>
    <row r="167" spans="1:5" ht="15" customHeight="1" x14ac:dyDescent="0.25">
      <c r="A167" s="192" t="s">
        <v>165</v>
      </c>
      <c r="B167" s="196">
        <v>145144.77799999999</v>
      </c>
      <c r="C167" s="197">
        <f>BS_VH!C10</f>
        <v>145144.77800000002</v>
      </c>
      <c r="D167" s="197">
        <f>C167-B167</f>
        <v>0</v>
      </c>
      <c r="E167" s="192" t="s">
        <v>224</v>
      </c>
    </row>
    <row r="168" spans="1:5" ht="15" customHeight="1" x14ac:dyDescent="0.25">
      <c r="A168" s="192" t="s">
        <v>167</v>
      </c>
      <c r="B168" s="196">
        <v>104625.32</v>
      </c>
      <c r="C168" s="197">
        <f>BS_VH!C11</f>
        <v>104625.32</v>
      </c>
      <c r="D168" s="197">
        <f>C168-B168</f>
        <v>0</v>
      </c>
      <c r="E168" s="192" t="s">
        <v>225</v>
      </c>
    </row>
    <row r="169" spans="1:5" ht="15" customHeight="1" x14ac:dyDescent="0.25">
      <c r="A169" s="200" t="s">
        <v>169</v>
      </c>
      <c r="B169" s="201">
        <v>27624440.272</v>
      </c>
      <c r="C169" s="202">
        <f>BS_VH!C12</f>
        <v>27624440.272</v>
      </c>
      <c r="D169" s="202">
        <f>C169-B169</f>
        <v>0</v>
      </c>
      <c r="E169" s="203" t="s">
        <v>226</v>
      </c>
    </row>
    <row r="170" spans="1:5" x14ac:dyDescent="0.25">
      <c r="A170" s="198" t="s">
        <v>171</v>
      </c>
      <c r="B170" s="199"/>
      <c r="C170" s="199"/>
      <c r="D170" s="199"/>
      <c r="E170" s="199"/>
    </row>
    <row r="171" spans="1:5" ht="15" customHeight="1" x14ac:dyDescent="0.25">
      <c r="A171" s="192" t="s">
        <v>172</v>
      </c>
      <c r="B171" s="196">
        <v>32176574.925000001</v>
      </c>
      <c r="C171" s="197">
        <f>BS_VH!C15</f>
        <v>32176574.924999997</v>
      </c>
      <c r="D171" s="197">
        <f t="shared" ref="D171:D176" si="9">C171-B171</f>
        <v>0</v>
      </c>
      <c r="E171" s="192" t="s">
        <v>227</v>
      </c>
    </row>
    <row r="172" spans="1:5" ht="15" customHeight="1" x14ac:dyDescent="0.25">
      <c r="A172" s="192" t="s">
        <v>174</v>
      </c>
      <c r="B172" s="196">
        <v>6772222.0559999999</v>
      </c>
      <c r="C172" s="197">
        <f>BS_VH!C16</f>
        <v>6772222.0559999999</v>
      </c>
      <c r="D172" s="197">
        <f t="shared" si="9"/>
        <v>0</v>
      </c>
      <c r="E172" s="192" t="s">
        <v>228</v>
      </c>
    </row>
    <row r="173" spans="1:5" ht="15" customHeight="1" x14ac:dyDescent="0.25">
      <c r="A173" s="192" t="s">
        <v>176</v>
      </c>
      <c r="B173" s="196">
        <v>711151.24899999995</v>
      </c>
      <c r="C173" s="197">
        <f>BS_VH!C17</f>
        <v>711151.24900000007</v>
      </c>
      <c r="D173" s="197">
        <f t="shared" si="9"/>
        <v>0</v>
      </c>
      <c r="E173" s="192" t="s">
        <v>229</v>
      </c>
    </row>
    <row r="174" spans="1:5" ht="15" customHeight="1" x14ac:dyDescent="0.25">
      <c r="A174" s="192" t="s">
        <v>178</v>
      </c>
      <c r="B174" s="196">
        <v>2763170.14</v>
      </c>
      <c r="C174" s="197">
        <f>BS_VH!C18</f>
        <v>2763170.14</v>
      </c>
      <c r="D174" s="197">
        <f t="shared" si="9"/>
        <v>0</v>
      </c>
      <c r="E174" s="192" t="s">
        <v>230</v>
      </c>
    </row>
    <row r="175" spans="1:5" ht="15" customHeight="1" x14ac:dyDescent="0.25">
      <c r="A175" s="200" t="s">
        <v>180</v>
      </c>
      <c r="B175" s="201">
        <v>42423118.369999997</v>
      </c>
      <c r="C175" s="202">
        <f>BS_VH!C19</f>
        <v>42423118.369999997</v>
      </c>
      <c r="D175" s="202">
        <f t="shared" si="9"/>
        <v>0</v>
      </c>
      <c r="E175" s="203" t="s">
        <v>231</v>
      </c>
    </row>
    <row r="176" spans="1:5" ht="15" customHeight="1" x14ac:dyDescent="0.25">
      <c r="A176" s="200" t="s">
        <v>182</v>
      </c>
      <c r="B176" s="201">
        <v>70047558.642000005</v>
      </c>
      <c r="C176" s="202">
        <f>BS_VH!C21</f>
        <v>70047558.64199999</v>
      </c>
      <c r="D176" s="202">
        <f t="shared" si="9"/>
        <v>0</v>
      </c>
      <c r="E176" s="203" t="s">
        <v>232</v>
      </c>
    </row>
    <row r="177" spans="1:5" x14ac:dyDescent="0.25">
      <c r="A177" s="198" t="s">
        <v>184</v>
      </c>
      <c r="B177" s="199"/>
      <c r="C177" s="199"/>
      <c r="D177" s="199"/>
      <c r="E177" s="199"/>
    </row>
    <row r="178" spans="1:5" ht="15" customHeight="1" x14ac:dyDescent="0.25">
      <c r="A178" s="192" t="s">
        <v>185</v>
      </c>
      <c r="B178" s="196">
        <v>500000</v>
      </c>
      <c r="C178" s="197">
        <f>BS_VH!C25</f>
        <v>500000</v>
      </c>
      <c r="D178" s="197">
        <f>C178-B178</f>
        <v>0</v>
      </c>
      <c r="E178" s="192" t="s">
        <v>233</v>
      </c>
    </row>
    <row r="179" spans="1:5" ht="15" customHeight="1" x14ac:dyDescent="0.25">
      <c r="A179" s="192" t="s">
        <v>187</v>
      </c>
      <c r="B179" s="196">
        <v>22500000</v>
      </c>
      <c r="C179" s="197">
        <f>BS_VH!C26</f>
        <v>22500000</v>
      </c>
      <c r="D179" s="197">
        <f>C179-B179</f>
        <v>0</v>
      </c>
      <c r="E179" s="192" t="s">
        <v>234</v>
      </c>
    </row>
    <row r="180" spans="1:5" ht="15" customHeight="1" x14ac:dyDescent="0.25">
      <c r="A180" s="192" t="s">
        <v>189</v>
      </c>
      <c r="B180" s="196">
        <v>0</v>
      </c>
      <c r="C180" s="197">
        <f>BS_VH!C27</f>
        <v>0</v>
      </c>
      <c r="D180" s="197">
        <f>C180-B180</f>
        <v>0</v>
      </c>
      <c r="E180" s="192" t="s">
        <v>235</v>
      </c>
    </row>
    <row r="181" spans="1:5" ht="24.95" customHeight="1" x14ac:dyDescent="0.25">
      <c r="A181" s="192" t="s">
        <v>191</v>
      </c>
      <c r="B181" s="196">
        <v>-17615364.372000001</v>
      </c>
      <c r="C181" s="197">
        <f>BS_VH!C28+BS_VH!C29</f>
        <v>-17615364.372000001</v>
      </c>
      <c r="D181" s="197">
        <f>C181-B181</f>
        <v>0</v>
      </c>
      <c r="E181" s="192" t="s">
        <v>236</v>
      </c>
    </row>
    <row r="182" spans="1:5" ht="15" customHeight="1" x14ac:dyDescent="0.25">
      <c r="A182" s="200" t="s">
        <v>193</v>
      </c>
      <c r="B182" s="201">
        <v>5384635.6279999996</v>
      </c>
      <c r="C182" s="202">
        <f>BS_VH!C30</f>
        <v>5384635.6279999986</v>
      </c>
      <c r="D182" s="202">
        <f>C182-B182</f>
        <v>0</v>
      </c>
      <c r="E182" s="203" t="s">
        <v>237</v>
      </c>
    </row>
    <row r="183" spans="1:5" x14ac:dyDescent="0.25">
      <c r="A183" s="198" t="s">
        <v>195</v>
      </c>
      <c r="B183" s="199"/>
      <c r="C183" s="199"/>
      <c r="D183" s="199"/>
      <c r="E183" s="199"/>
    </row>
    <row r="184" spans="1:5" ht="24.95" customHeight="1" x14ac:dyDescent="0.25">
      <c r="A184" s="192" t="s">
        <v>196</v>
      </c>
      <c r="B184" s="196">
        <v>40404058.281000003</v>
      </c>
      <c r="C184" s="197">
        <f>BS_VH!C33</f>
        <v>40404058.281000003</v>
      </c>
      <c r="D184" s="197">
        <f>C184-B184</f>
        <v>0</v>
      </c>
      <c r="E184" s="192" t="s">
        <v>238</v>
      </c>
    </row>
    <row r="185" spans="1:5" ht="15" customHeight="1" x14ac:dyDescent="0.25">
      <c r="A185" s="192" t="s">
        <v>198</v>
      </c>
      <c r="B185" s="196">
        <v>812062.06599999999</v>
      </c>
      <c r="C185" s="197">
        <f>BS_VH!C34</f>
        <v>812062.06599999999</v>
      </c>
      <c r="D185" s="197">
        <f>C185-B185</f>
        <v>0</v>
      </c>
      <c r="E185" s="192" t="s">
        <v>239</v>
      </c>
    </row>
    <row r="186" spans="1:5" ht="24.95" customHeight="1" x14ac:dyDescent="0.25">
      <c r="A186" s="192" t="s">
        <v>200</v>
      </c>
      <c r="B186" s="196">
        <v>142956.95800000001</v>
      </c>
      <c r="C186" s="197">
        <f>BS_VH!C35</f>
        <v>142956.95800000001</v>
      </c>
      <c r="D186" s="197">
        <f>C186-B186</f>
        <v>0</v>
      </c>
      <c r="E186" s="192" t="s">
        <v>240</v>
      </c>
    </row>
    <row r="187" spans="1:5" ht="15" customHeight="1" x14ac:dyDescent="0.25">
      <c r="A187" s="192" t="s">
        <v>202</v>
      </c>
      <c r="B187" s="196">
        <v>276000</v>
      </c>
      <c r="C187" s="197">
        <f>BS_VH!C36</f>
        <v>276000</v>
      </c>
      <c r="D187" s="197">
        <f>C187-B187</f>
        <v>0</v>
      </c>
      <c r="E187" s="192" t="s">
        <v>241</v>
      </c>
    </row>
    <row r="188" spans="1:5" ht="15" customHeight="1" x14ac:dyDescent="0.25">
      <c r="A188" s="200" t="s">
        <v>204</v>
      </c>
      <c r="B188" s="201">
        <v>41635077.305</v>
      </c>
      <c r="C188" s="202">
        <f>BS_VH!C37</f>
        <v>41635077.305</v>
      </c>
      <c r="D188" s="202">
        <f>C188-B188</f>
        <v>0</v>
      </c>
      <c r="E188" s="203" t="s">
        <v>242</v>
      </c>
    </row>
    <row r="189" spans="1:5" x14ac:dyDescent="0.25">
      <c r="A189" s="198" t="s">
        <v>206</v>
      </c>
      <c r="B189" s="199"/>
      <c r="C189" s="199"/>
      <c r="D189" s="199"/>
      <c r="E189" s="199"/>
    </row>
    <row r="190" spans="1:5" ht="15" customHeight="1" x14ac:dyDescent="0.25">
      <c r="A190" s="192" t="s">
        <v>207</v>
      </c>
      <c r="B190" s="196">
        <v>19773450.480999999</v>
      </c>
      <c r="C190" s="197">
        <f>BS_VH!C40</f>
        <v>19773450.480999999</v>
      </c>
      <c r="D190" s="197">
        <f t="shared" ref="D190:D196" si="10">C190-B190</f>
        <v>0</v>
      </c>
      <c r="E190" s="192" t="s">
        <v>243</v>
      </c>
    </row>
    <row r="191" spans="1:5" ht="15" customHeight="1" x14ac:dyDescent="0.25">
      <c r="A191" s="192" t="s">
        <v>209</v>
      </c>
      <c r="B191" s="196">
        <v>3254395.2280000001</v>
      </c>
      <c r="C191" s="197">
        <f>BS_VH!C41</f>
        <v>3254395.2279999997</v>
      </c>
      <c r="D191" s="197">
        <f t="shared" si="10"/>
        <v>0</v>
      </c>
      <c r="E191" s="192" t="s">
        <v>244</v>
      </c>
    </row>
    <row r="192" spans="1:5" ht="15" customHeight="1" x14ac:dyDescent="0.25">
      <c r="A192" s="192" t="s">
        <v>211</v>
      </c>
      <c r="B192" s="196">
        <v>0</v>
      </c>
      <c r="C192" s="197">
        <f>BS_VH!C42</f>
        <v>0</v>
      </c>
      <c r="D192" s="197">
        <f t="shared" si="10"/>
        <v>0</v>
      </c>
      <c r="E192" s="192" t="s">
        <v>245</v>
      </c>
    </row>
    <row r="193" spans="1:5" ht="15" customHeight="1" x14ac:dyDescent="0.25">
      <c r="A193" s="200" t="s">
        <v>213</v>
      </c>
      <c r="B193" s="201">
        <v>23027845.708999999</v>
      </c>
      <c r="C193" s="202">
        <f>BS_VH!C43</f>
        <v>23027845.708999999</v>
      </c>
      <c r="D193" s="202">
        <f t="shared" si="10"/>
        <v>0</v>
      </c>
      <c r="E193" s="203" t="s">
        <v>246</v>
      </c>
    </row>
    <row r="194" spans="1:5" ht="15" customHeight="1" x14ac:dyDescent="0.25">
      <c r="A194" s="200" t="s">
        <v>215</v>
      </c>
      <c r="B194" s="201">
        <v>64662923.013999999</v>
      </c>
      <c r="C194" s="202">
        <f>BS_VH!C45</f>
        <v>64662923.013999999</v>
      </c>
      <c r="D194" s="202">
        <f t="shared" si="10"/>
        <v>0</v>
      </c>
      <c r="E194" s="203" t="s">
        <v>247</v>
      </c>
    </row>
    <row r="195" spans="1:5" ht="15" customHeight="1" x14ac:dyDescent="0.25">
      <c r="A195" s="200" t="s">
        <v>217</v>
      </c>
      <c r="B195" s="201">
        <v>70047558.642000005</v>
      </c>
      <c r="C195" s="202">
        <f>BS_VH!C47</f>
        <v>70047558.64199999</v>
      </c>
      <c r="D195" s="202">
        <f t="shared" si="10"/>
        <v>0</v>
      </c>
      <c r="E195" s="203" t="s">
        <v>248</v>
      </c>
    </row>
    <row r="196" spans="1:5" ht="15" customHeight="1" x14ac:dyDescent="0.25">
      <c r="A196" s="200" t="s">
        <v>219</v>
      </c>
      <c r="B196" s="201">
        <v>0</v>
      </c>
      <c r="C196" s="202">
        <f>BS_VH!C21-BS_VH!C47</f>
        <v>0</v>
      </c>
      <c r="D196" s="202">
        <f t="shared" si="10"/>
        <v>0</v>
      </c>
      <c r="E196" s="203" t="s">
        <v>249</v>
      </c>
    </row>
    <row r="198" spans="1:5" ht="18" customHeight="1" x14ac:dyDescent="0.25">
      <c r="A198" s="193" t="s">
        <v>250</v>
      </c>
      <c r="B198" s="194"/>
      <c r="C198" s="194"/>
      <c r="D198" s="194"/>
      <c r="E198" s="195" t="s">
        <v>251</v>
      </c>
    </row>
    <row r="199" spans="1:5" ht="30" customHeight="1" x14ac:dyDescent="0.25">
      <c r="A199" s="186" t="s">
        <v>3</v>
      </c>
      <c r="B199" s="186" t="s">
        <v>4</v>
      </c>
      <c r="C199" s="186" t="s">
        <v>5</v>
      </c>
      <c r="D199" s="186" t="s">
        <v>6</v>
      </c>
      <c r="E199" s="186" t="s">
        <v>7</v>
      </c>
    </row>
    <row r="200" spans="1:5" x14ac:dyDescent="0.25">
      <c r="A200" s="198" t="s">
        <v>162</v>
      </c>
      <c r="B200" s="199"/>
      <c r="C200" s="199"/>
      <c r="D200" s="199"/>
      <c r="E200" s="199"/>
    </row>
    <row r="201" spans="1:5" ht="15" customHeight="1" x14ac:dyDescent="0.25">
      <c r="A201" s="192" t="s">
        <v>163</v>
      </c>
      <c r="B201" s="196">
        <v>183759083.78486899</v>
      </c>
      <c r="C201" s="197">
        <f>BS_Consol!F9</f>
        <v>183759083.78486934</v>
      </c>
      <c r="D201" s="197">
        <f>C201-B201</f>
        <v>3.5762786865234375E-7</v>
      </c>
      <c r="E201" s="192" t="s">
        <v>252</v>
      </c>
    </row>
    <row r="202" spans="1:5" ht="15" customHeight="1" x14ac:dyDescent="0.25">
      <c r="A202" s="192" t="s">
        <v>165</v>
      </c>
      <c r="B202" s="196">
        <v>1123227.132</v>
      </c>
      <c r="C202" s="197">
        <f>BS_Consol!F10</f>
        <v>1123227.132</v>
      </c>
      <c r="D202" s="197">
        <f>C202-B202</f>
        <v>0</v>
      </c>
      <c r="E202" s="192" t="s">
        <v>253</v>
      </c>
    </row>
    <row r="203" spans="1:5" ht="24.95" customHeight="1" x14ac:dyDescent="0.25">
      <c r="A203" s="192" t="s">
        <v>167</v>
      </c>
      <c r="B203" s="196">
        <v>104625.32</v>
      </c>
      <c r="C203" s="197">
        <f>BS_Consol!F11</f>
        <v>104625.32</v>
      </c>
      <c r="D203" s="197">
        <f>C203-B203</f>
        <v>0</v>
      </c>
      <c r="E203" s="192" t="s">
        <v>254</v>
      </c>
    </row>
    <row r="204" spans="1:5" ht="15" customHeight="1" x14ac:dyDescent="0.25">
      <c r="A204" s="200" t="s">
        <v>169</v>
      </c>
      <c r="B204" s="201">
        <v>184986936.23686901</v>
      </c>
      <c r="C204" s="202">
        <f>BS_Consol!F12</f>
        <v>184986936.23686934</v>
      </c>
      <c r="D204" s="202">
        <f>C204-B204</f>
        <v>3.2782554626464844E-7</v>
      </c>
      <c r="E204" s="203" t="s">
        <v>255</v>
      </c>
    </row>
    <row r="205" spans="1:5" x14ac:dyDescent="0.25">
      <c r="A205" s="198" t="s">
        <v>171</v>
      </c>
      <c r="B205" s="199"/>
      <c r="C205" s="199"/>
      <c r="D205" s="199"/>
      <c r="E205" s="199"/>
    </row>
    <row r="206" spans="1:5" ht="15" customHeight="1" x14ac:dyDescent="0.25">
      <c r="A206" s="192" t="s">
        <v>172</v>
      </c>
      <c r="B206" s="196">
        <v>100926716.21596</v>
      </c>
      <c r="C206" s="197">
        <f>BS_Consol!F15</f>
        <v>100926716.21595997</v>
      </c>
      <c r="D206" s="197">
        <f t="shared" ref="D206:D211" si="11">C206-B206</f>
        <v>0</v>
      </c>
      <c r="E206" s="192" t="s">
        <v>256</v>
      </c>
    </row>
    <row r="207" spans="1:5" ht="15" customHeight="1" x14ac:dyDescent="0.25">
      <c r="A207" s="192" t="s">
        <v>174</v>
      </c>
      <c r="B207" s="196">
        <v>28302006.585505001</v>
      </c>
      <c r="C207" s="197">
        <f>BS_Consol!F16</f>
        <v>28302006.585504994</v>
      </c>
      <c r="D207" s="197">
        <f t="shared" si="11"/>
        <v>0</v>
      </c>
      <c r="E207" s="192" t="s">
        <v>257</v>
      </c>
    </row>
    <row r="208" spans="1:5" ht="15" customHeight="1" x14ac:dyDescent="0.25">
      <c r="A208" s="192" t="s">
        <v>176</v>
      </c>
      <c r="B208" s="196">
        <v>10957652.142999999</v>
      </c>
      <c r="C208" s="197">
        <f>BS_Consol!F17</f>
        <v>10957652.143000001</v>
      </c>
      <c r="D208" s="197">
        <f t="shared" si="11"/>
        <v>0</v>
      </c>
      <c r="E208" s="192" t="s">
        <v>258</v>
      </c>
    </row>
    <row r="209" spans="1:5" ht="15" customHeight="1" x14ac:dyDescent="0.25">
      <c r="A209" s="192" t="s">
        <v>178</v>
      </c>
      <c r="B209" s="196">
        <v>32797625.566</v>
      </c>
      <c r="C209" s="197">
        <f>BS_Consol!F18</f>
        <v>32797625.566</v>
      </c>
      <c r="D209" s="197">
        <f t="shared" si="11"/>
        <v>0</v>
      </c>
      <c r="E209" s="192" t="s">
        <v>259</v>
      </c>
    </row>
    <row r="210" spans="1:5" ht="15" customHeight="1" x14ac:dyDescent="0.25">
      <c r="A210" s="200" t="s">
        <v>180</v>
      </c>
      <c r="B210" s="201">
        <v>172984000.510465</v>
      </c>
      <c r="C210" s="202">
        <f>BS_Consol!F19</f>
        <v>172984000.51046497</v>
      </c>
      <c r="D210" s="202">
        <f t="shared" si="11"/>
        <v>0</v>
      </c>
      <c r="E210" s="203" t="s">
        <v>260</v>
      </c>
    </row>
    <row r="211" spans="1:5" ht="24.95" customHeight="1" x14ac:dyDescent="0.25">
      <c r="A211" s="200" t="s">
        <v>182</v>
      </c>
      <c r="B211" s="201">
        <v>357970936.747334</v>
      </c>
      <c r="C211" s="202">
        <f>BS_Consol!F21</f>
        <v>357970936.7473343</v>
      </c>
      <c r="D211" s="202">
        <f t="shared" si="11"/>
        <v>0</v>
      </c>
      <c r="E211" s="203" t="s">
        <v>261</v>
      </c>
    </row>
    <row r="212" spans="1:5" x14ac:dyDescent="0.25">
      <c r="A212" s="198" t="s">
        <v>184</v>
      </c>
      <c r="B212" s="199"/>
      <c r="C212" s="199"/>
      <c r="D212" s="199"/>
      <c r="E212" s="199"/>
    </row>
    <row r="213" spans="1:5" ht="37.5" customHeight="1" x14ac:dyDescent="0.25">
      <c r="A213" s="192" t="s">
        <v>185</v>
      </c>
      <c r="B213" s="196">
        <v>35335000</v>
      </c>
      <c r="C213" s="197">
        <f>BS_Consol!F25</f>
        <v>35835000</v>
      </c>
      <c r="D213" s="197">
        <f t="shared" ref="D213:D218" si="12">C213-B213</f>
        <v>500000</v>
      </c>
      <c r="E213" s="192" t="s">
        <v>262</v>
      </c>
    </row>
    <row r="214" spans="1:5" ht="15" customHeight="1" x14ac:dyDescent="0.25">
      <c r="A214" s="192" t="s">
        <v>187</v>
      </c>
      <c r="B214" s="196">
        <v>144755315.00999999</v>
      </c>
      <c r="C214" s="197">
        <f>BS_Consol!F26</f>
        <v>144755315.00999999</v>
      </c>
      <c r="D214" s="197">
        <f t="shared" si="12"/>
        <v>0</v>
      </c>
      <c r="E214" s="192" t="s">
        <v>263</v>
      </c>
    </row>
    <row r="215" spans="1:5" ht="15" customHeight="1" x14ac:dyDescent="0.25">
      <c r="A215" s="192" t="s">
        <v>189</v>
      </c>
      <c r="B215" s="196">
        <v>7846137</v>
      </c>
      <c r="C215" s="197">
        <f>BS_Consol!F27</f>
        <v>7846137</v>
      </c>
      <c r="D215" s="197">
        <f t="shared" si="12"/>
        <v>0</v>
      </c>
      <c r="E215" s="192" t="s">
        <v>264</v>
      </c>
    </row>
    <row r="216" spans="1:5" ht="24.95" customHeight="1" x14ac:dyDescent="0.25">
      <c r="A216" s="192" t="s">
        <v>191</v>
      </c>
      <c r="B216" s="196">
        <v>-164880955.91266599</v>
      </c>
      <c r="C216" s="197">
        <f>BS_Consol!F28+BS_Consol!F29</f>
        <v>-165380955.91266575</v>
      </c>
      <c r="D216" s="197">
        <f t="shared" si="12"/>
        <v>-499999.99999976158</v>
      </c>
      <c r="E216" s="192" t="s">
        <v>265</v>
      </c>
    </row>
    <row r="217" spans="1:5" ht="50.1" customHeight="1" x14ac:dyDescent="0.25">
      <c r="A217" s="192" t="s">
        <v>266</v>
      </c>
      <c r="B217" s="196">
        <v>0</v>
      </c>
      <c r="C217" s="197">
        <f>BS_Consol!F30</f>
        <v>19243.861000000034</v>
      </c>
      <c r="D217" s="197">
        <f t="shared" si="12"/>
        <v>19243.861000000034</v>
      </c>
      <c r="E217" s="192" t="s">
        <v>267</v>
      </c>
    </row>
    <row r="218" spans="1:5" ht="15" customHeight="1" x14ac:dyDescent="0.25">
      <c r="A218" s="200" t="s">
        <v>193</v>
      </c>
      <c r="B218" s="201">
        <v>23055496.097334001</v>
      </c>
      <c r="C218" s="202">
        <f>BS_Consol!F31</f>
        <v>23074739.958334237</v>
      </c>
      <c r="D218" s="202">
        <f t="shared" si="12"/>
        <v>19243.861000236124</v>
      </c>
      <c r="E218" s="203" t="s">
        <v>268</v>
      </c>
    </row>
    <row r="219" spans="1:5" x14ac:dyDescent="0.25">
      <c r="A219" s="198" t="s">
        <v>195</v>
      </c>
      <c r="B219" s="199"/>
      <c r="C219" s="199"/>
      <c r="D219" s="199"/>
      <c r="E219" s="199"/>
    </row>
    <row r="220" spans="1:5" ht="24.95" customHeight="1" x14ac:dyDescent="0.25">
      <c r="A220" s="192" t="s">
        <v>196</v>
      </c>
      <c r="B220" s="196">
        <v>141432610.13800001</v>
      </c>
      <c r="C220" s="197">
        <f>BS_Consol!F34</f>
        <v>141413366.27700001</v>
      </c>
      <c r="D220" s="197">
        <f>C220-B220</f>
        <v>-19243.861000001431</v>
      </c>
      <c r="E220" s="192" t="s">
        <v>269</v>
      </c>
    </row>
    <row r="221" spans="1:5" ht="15" customHeight="1" x14ac:dyDescent="0.25">
      <c r="A221" s="192" t="s">
        <v>198</v>
      </c>
      <c r="B221" s="196">
        <v>4857943.0580000002</v>
      </c>
      <c r="C221" s="197">
        <f>BS_Consol!F35</f>
        <v>4857943.0580000002</v>
      </c>
      <c r="D221" s="197">
        <f>C221-B221</f>
        <v>0</v>
      </c>
      <c r="E221" s="192" t="s">
        <v>270</v>
      </c>
    </row>
    <row r="222" spans="1:5" ht="24.95" customHeight="1" x14ac:dyDescent="0.25">
      <c r="A222" s="192" t="s">
        <v>200</v>
      </c>
      <c r="B222" s="196">
        <v>1308669.6769999999</v>
      </c>
      <c r="C222" s="197">
        <f>BS_Consol!F36</f>
        <v>1308669.6770000001</v>
      </c>
      <c r="D222" s="197">
        <f>C222-B222</f>
        <v>0</v>
      </c>
      <c r="E222" s="192" t="s">
        <v>271</v>
      </c>
    </row>
    <row r="223" spans="1:5" ht="15" customHeight="1" x14ac:dyDescent="0.25">
      <c r="A223" s="192" t="s">
        <v>202</v>
      </c>
      <c r="B223" s="196">
        <v>5207250.8490000004</v>
      </c>
      <c r="C223" s="197">
        <f>BS_Consol!F37</f>
        <v>5207250.8490000004</v>
      </c>
      <c r="D223" s="197">
        <f>C223-B223</f>
        <v>0</v>
      </c>
      <c r="E223" s="192" t="s">
        <v>272</v>
      </c>
    </row>
    <row r="224" spans="1:5" ht="15" customHeight="1" x14ac:dyDescent="0.25">
      <c r="A224" s="200" t="s">
        <v>204</v>
      </c>
      <c r="B224" s="201">
        <v>152806473.722</v>
      </c>
      <c r="C224" s="202">
        <f>BS_Consol!F38</f>
        <v>152787229.861</v>
      </c>
      <c r="D224" s="202">
        <f>C224-B224</f>
        <v>-19243.861000001431</v>
      </c>
      <c r="E224" s="203" t="s">
        <v>273</v>
      </c>
    </row>
    <row r="225" spans="1:5" x14ac:dyDescent="0.25">
      <c r="A225" s="198" t="s">
        <v>206</v>
      </c>
      <c r="B225" s="199"/>
      <c r="C225" s="199"/>
      <c r="D225" s="199"/>
      <c r="E225" s="199"/>
    </row>
    <row r="226" spans="1:5" ht="15" customHeight="1" x14ac:dyDescent="0.25">
      <c r="A226" s="192" t="s">
        <v>207</v>
      </c>
      <c r="B226" s="196">
        <v>156618753.222</v>
      </c>
      <c r="C226" s="197">
        <f>BS_Consol!F41</f>
        <v>156618753.22200003</v>
      </c>
      <c r="D226" s="197">
        <f t="shared" ref="D226:D232" si="13">C226-B226</f>
        <v>0</v>
      </c>
      <c r="E226" s="192" t="s">
        <v>274</v>
      </c>
    </row>
    <row r="227" spans="1:5" ht="15" customHeight="1" x14ac:dyDescent="0.25">
      <c r="A227" s="192" t="s">
        <v>209</v>
      </c>
      <c r="B227" s="196">
        <v>25490213.706</v>
      </c>
      <c r="C227" s="197">
        <f>BS_Consol!F42</f>
        <v>25490213.706000004</v>
      </c>
      <c r="D227" s="197">
        <f t="shared" si="13"/>
        <v>0</v>
      </c>
      <c r="E227" s="192" t="s">
        <v>275</v>
      </c>
    </row>
    <row r="228" spans="1:5" ht="15" customHeight="1" x14ac:dyDescent="0.25">
      <c r="A228" s="192" t="s">
        <v>211</v>
      </c>
      <c r="B228" s="196">
        <v>0</v>
      </c>
      <c r="C228" s="197">
        <f>BS_Consol!F43</f>
        <v>0</v>
      </c>
      <c r="D228" s="197">
        <f t="shared" si="13"/>
        <v>0</v>
      </c>
      <c r="E228" s="192" t="s">
        <v>276</v>
      </c>
    </row>
    <row r="229" spans="1:5" ht="15" customHeight="1" x14ac:dyDescent="0.25">
      <c r="A229" s="200" t="s">
        <v>213</v>
      </c>
      <c r="B229" s="201">
        <v>182108966.928</v>
      </c>
      <c r="C229" s="202">
        <f>BS_Consol!F44</f>
        <v>182108966.92800003</v>
      </c>
      <c r="D229" s="202">
        <f t="shared" si="13"/>
        <v>0</v>
      </c>
      <c r="E229" s="203" t="s">
        <v>277</v>
      </c>
    </row>
    <row r="230" spans="1:5" ht="15" customHeight="1" x14ac:dyDescent="0.25">
      <c r="A230" s="200" t="s">
        <v>215</v>
      </c>
      <c r="B230" s="201">
        <v>334915440.64999998</v>
      </c>
      <c r="C230" s="202">
        <f>BS_Consol!F46</f>
        <v>334896196.78900003</v>
      </c>
      <c r="D230" s="202">
        <f t="shared" si="13"/>
        <v>-19243.860999941826</v>
      </c>
      <c r="E230" s="203" t="s">
        <v>278</v>
      </c>
    </row>
    <row r="231" spans="1:5" ht="15" customHeight="1" x14ac:dyDescent="0.25">
      <c r="A231" s="200" t="s">
        <v>217</v>
      </c>
      <c r="B231" s="201">
        <v>357970936.747334</v>
      </c>
      <c r="C231" s="202">
        <f>BS_Consol!F48</f>
        <v>357970936.74733424</v>
      </c>
      <c r="D231" s="202">
        <f t="shared" si="13"/>
        <v>0</v>
      </c>
      <c r="E231" s="203" t="s">
        <v>279</v>
      </c>
    </row>
    <row r="232" spans="1:5" ht="15" customHeight="1" x14ac:dyDescent="0.25">
      <c r="A232" s="200" t="s">
        <v>219</v>
      </c>
      <c r="B232" s="201">
        <v>0</v>
      </c>
      <c r="C232" s="202">
        <f>BS_Consol!F21-BS_Consol!F48</f>
        <v>0</v>
      </c>
      <c r="D232" s="202">
        <f t="shared" si="13"/>
        <v>0</v>
      </c>
      <c r="E232" s="203" t="s">
        <v>280</v>
      </c>
    </row>
    <row r="235" spans="1:5" ht="21.95" customHeight="1" x14ac:dyDescent="0.25">
      <c r="A235" s="187" t="s">
        <v>281</v>
      </c>
      <c r="B235" s="188"/>
      <c r="C235" s="188"/>
      <c r="D235" s="188"/>
      <c r="E235" s="188"/>
    </row>
    <row r="236" spans="1:5" ht="18" customHeight="1" x14ac:dyDescent="0.25">
      <c r="A236" s="193" t="s">
        <v>282</v>
      </c>
      <c r="B236" s="194"/>
      <c r="C236" s="194"/>
      <c r="D236" s="194"/>
      <c r="E236" s="195" t="s">
        <v>283</v>
      </c>
    </row>
    <row r="237" spans="1:5" ht="30" customHeight="1" x14ac:dyDescent="0.25">
      <c r="A237" s="186" t="s">
        <v>3</v>
      </c>
      <c r="B237" s="186" t="s">
        <v>4</v>
      </c>
      <c r="C237" s="186" t="s">
        <v>5</v>
      </c>
      <c r="D237" s="186" t="s">
        <v>6</v>
      </c>
      <c r="E237" s="186" t="s">
        <v>7</v>
      </c>
    </row>
    <row r="238" spans="1:5" x14ac:dyDescent="0.25">
      <c r="A238" s="198" t="s">
        <v>284</v>
      </c>
      <c r="B238" s="199"/>
      <c r="C238" s="199"/>
      <c r="D238" s="199"/>
      <c r="E238" s="199"/>
    </row>
    <row r="239" spans="1:5" ht="15" customHeight="1" x14ac:dyDescent="0.25">
      <c r="A239" s="192" t="s">
        <v>285</v>
      </c>
      <c r="B239" s="196">
        <v>-40498412.990666002</v>
      </c>
      <c r="C239" s="197">
        <f>CF_Alif!C8</f>
        <v>-40498412.990665749</v>
      </c>
      <c r="D239" s="197">
        <f t="shared" ref="D239:D254" si="14">C239-B239</f>
        <v>2.5331974029541016E-7</v>
      </c>
      <c r="E239" s="192" t="s">
        <v>286</v>
      </c>
    </row>
    <row r="240" spans="1:5" ht="50.1" customHeight="1" x14ac:dyDescent="0.25">
      <c r="A240" s="192" t="s">
        <v>287</v>
      </c>
      <c r="B240" s="196">
        <v>9943393.4731309991</v>
      </c>
      <c r="C240" s="197">
        <f>CF_Alif!C10+CF_Alif!C11</f>
        <v>8375830.8271307247</v>
      </c>
      <c r="D240" s="197">
        <f t="shared" si="14"/>
        <v>-1567562.6460002745</v>
      </c>
      <c r="E240" s="192" t="s">
        <v>288</v>
      </c>
    </row>
    <row r="241" spans="1:5" ht="15" customHeight="1" x14ac:dyDescent="0.25">
      <c r="A241" s="192" t="s">
        <v>289</v>
      </c>
      <c r="B241" s="196">
        <v>8880146.9839999992</v>
      </c>
      <c r="C241" s="197">
        <f>CF_Alif!C12</f>
        <v>8880146.9840000011</v>
      </c>
      <c r="D241" s="197">
        <f t="shared" si="14"/>
        <v>0</v>
      </c>
      <c r="E241" s="192" t="s">
        <v>290</v>
      </c>
    </row>
    <row r="242" spans="1:5" ht="37.5" customHeight="1" x14ac:dyDescent="0.25">
      <c r="A242" s="192" t="s">
        <v>291</v>
      </c>
      <c r="B242" s="196">
        <v>1039408.992</v>
      </c>
      <c r="C242" s="197">
        <f>CF_Alif!C13</f>
        <v>155441.07200000016</v>
      </c>
      <c r="D242" s="197">
        <f t="shared" si="14"/>
        <v>-883967.91999999981</v>
      </c>
      <c r="E242" s="192" t="s">
        <v>292</v>
      </c>
    </row>
    <row r="243" spans="1:5" ht="15" customHeight="1" x14ac:dyDescent="0.25">
      <c r="A243" s="192" t="s">
        <v>293</v>
      </c>
      <c r="B243" s="196">
        <v>69077.849000000002</v>
      </c>
      <c r="C243" s="197">
        <f>CF_Alif!C14</f>
        <v>69077.900000000373</v>
      </c>
      <c r="D243" s="197">
        <f t="shared" si="14"/>
        <v>5.1000000370549969E-2</v>
      </c>
      <c r="E243" s="192" t="s">
        <v>294</v>
      </c>
    </row>
    <row r="244" spans="1:5" ht="15" customHeight="1" x14ac:dyDescent="0.25">
      <c r="A244" s="192" t="s">
        <v>295</v>
      </c>
      <c r="B244" s="196">
        <v>0</v>
      </c>
      <c r="C244" s="197">
        <v>0</v>
      </c>
      <c r="D244" s="197">
        <f t="shared" si="14"/>
        <v>0</v>
      </c>
      <c r="E244" s="192" t="s">
        <v>296</v>
      </c>
    </row>
    <row r="245" spans="1:5" ht="15" customHeight="1" x14ac:dyDescent="0.25">
      <c r="A245" s="200" t="s">
        <v>297</v>
      </c>
      <c r="B245" s="201">
        <v>-20566385.692535002</v>
      </c>
      <c r="C245" s="202">
        <f>CF_Alif!C8+CF_Alif!C10+CF_Alif!C11+CF_Alif!C12+CF_Alif!C13+CF_Alif!C14</f>
        <v>-23017916.207535021</v>
      </c>
      <c r="D245" s="202">
        <f t="shared" si="14"/>
        <v>-2451530.5150000192</v>
      </c>
      <c r="E245" s="203" t="s">
        <v>298</v>
      </c>
    </row>
    <row r="246" spans="1:5" ht="15" customHeight="1" x14ac:dyDescent="0.25">
      <c r="A246" s="192" t="s">
        <v>299</v>
      </c>
      <c r="B246" s="196">
        <v>37367449.709040001</v>
      </c>
      <c r="C246" s="197">
        <f>CF_Alif!C16</f>
        <v>37367450.355040044</v>
      </c>
      <c r="D246" s="197">
        <f t="shared" si="14"/>
        <v>0.64600004255771637</v>
      </c>
      <c r="E246" s="192" t="s">
        <v>300</v>
      </c>
    </row>
    <row r="247" spans="1:5" ht="24.95" customHeight="1" x14ac:dyDescent="0.25">
      <c r="A247" s="192" t="s">
        <v>301</v>
      </c>
      <c r="B247" s="196">
        <v>-650702.52950499998</v>
      </c>
      <c r="C247" s="197">
        <f>CF_Alif!C17</f>
        <v>-2318054.0605049916</v>
      </c>
      <c r="D247" s="197">
        <f t="shared" si="14"/>
        <v>-1667351.5309999916</v>
      </c>
      <c r="E247" s="192" t="s">
        <v>302</v>
      </c>
    </row>
    <row r="248" spans="1:5" ht="24.95" customHeight="1" x14ac:dyDescent="0.25">
      <c r="A248" s="192" t="s">
        <v>303</v>
      </c>
      <c r="B248" s="196">
        <v>360298.10600000003</v>
      </c>
      <c r="C248" s="197">
        <f>CF_Alif!C18</f>
        <v>-4497030.3660000004</v>
      </c>
      <c r="D248" s="197">
        <f t="shared" si="14"/>
        <v>-4857328.4720000001</v>
      </c>
      <c r="E248" s="192" t="s">
        <v>304</v>
      </c>
    </row>
    <row r="249" spans="1:5" ht="24.95" customHeight="1" x14ac:dyDescent="0.25">
      <c r="A249" s="192" t="s">
        <v>305</v>
      </c>
      <c r="B249" s="196">
        <v>-1384332.5220000001</v>
      </c>
      <c r="C249" s="197">
        <f>CF_Alif!C19+CF_Alif!C20</f>
        <v>6024315.168000007</v>
      </c>
      <c r="D249" s="197">
        <f t="shared" si="14"/>
        <v>7408647.6900000069</v>
      </c>
      <c r="E249" s="192" t="s">
        <v>306</v>
      </c>
    </row>
    <row r="250" spans="1:5" ht="24.95" customHeight="1" x14ac:dyDescent="0.25">
      <c r="A250" s="192" t="s">
        <v>307</v>
      </c>
      <c r="B250" s="196">
        <v>85716023.856999993</v>
      </c>
      <c r="C250" s="197">
        <v>0</v>
      </c>
      <c r="D250" s="197">
        <f t="shared" si="14"/>
        <v>-85716023.856999993</v>
      </c>
      <c r="E250" s="192" t="s">
        <v>308</v>
      </c>
    </row>
    <row r="251" spans="1:5" ht="24.95" customHeight="1" x14ac:dyDescent="0.25">
      <c r="A251" s="200" t="s">
        <v>309</v>
      </c>
      <c r="B251" s="201">
        <v>100842350.928</v>
      </c>
      <c r="C251" s="202">
        <f>CF_Alif!C21</f>
        <v>13558764.889000043</v>
      </c>
      <c r="D251" s="202">
        <f t="shared" si="14"/>
        <v>-87283586.03899996</v>
      </c>
      <c r="E251" s="203" t="s">
        <v>310</v>
      </c>
    </row>
    <row r="252" spans="1:5" ht="37.5" customHeight="1" x14ac:dyDescent="0.25">
      <c r="A252" s="192" t="s">
        <v>311</v>
      </c>
      <c r="B252" s="196">
        <v>0</v>
      </c>
      <c r="C252" s="197">
        <f>CF_Alif!C23</f>
        <v>-8880146.9840000011</v>
      </c>
      <c r="D252" s="197">
        <f t="shared" si="14"/>
        <v>-8880146.9840000011</v>
      </c>
      <c r="E252" s="192" t="s">
        <v>312</v>
      </c>
    </row>
    <row r="253" spans="1:5" ht="15" customHeight="1" x14ac:dyDescent="0.25">
      <c r="A253" s="192" t="s">
        <v>313</v>
      </c>
      <c r="B253" s="196">
        <v>0</v>
      </c>
      <c r="C253" s="197">
        <f>CF_Alif!C22</f>
        <v>0</v>
      </c>
      <c r="D253" s="197">
        <f t="shared" si="14"/>
        <v>0</v>
      </c>
      <c r="E253" s="192" t="s">
        <v>314</v>
      </c>
    </row>
    <row r="254" spans="1:5" ht="24.95" customHeight="1" x14ac:dyDescent="0.25">
      <c r="A254" s="200" t="s">
        <v>315</v>
      </c>
      <c r="B254" s="201">
        <v>100842350.928</v>
      </c>
      <c r="C254" s="202">
        <f>CF_Alif!C24</f>
        <v>4678617.9050000422</v>
      </c>
      <c r="D254" s="202">
        <f t="shared" si="14"/>
        <v>-96163733.022999957</v>
      </c>
      <c r="E254" s="203" t="s">
        <v>316</v>
      </c>
    </row>
    <row r="255" spans="1:5" x14ac:dyDescent="0.25">
      <c r="A255" s="198" t="s">
        <v>317</v>
      </c>
      <c r="B255" s="199"/>
      <c r="C255" s="199"/>
      <c r="D255" s="199"/>
      <c r="E255" s="199"/>
    </row>
    <row r="256" spans="1:5" ht="37.5" customHeight="1" x14ac:dyDescent="0.25">
      <c r="A256" s="192" t="s">
        <v>318</v>
      </c>
      <c r="B256" s="196">
        <v>-5468826.4380000001</v>
      </c>
      <c r="C256" s="197">
        <f>CF_Alif!C27</f>
        <v>-3901265.9100000421</v>
      </c>
      <c r="D256" s="197">
        <f>C256-B256</f>
        <v>1567560.527999958</v>
      </c>
      <c r="E256" s="192" t="s">
        <v>319</v>
      </c>
    </row>
    <row r="257" spans="1:5" ht="24.95" customHeight="1" x14ac:dyDescent="0.25">
      <c r="A257" s="192" t="s">
        <v>320</v>
      </c>
      <c r="B257" s="196">
        <v>0</v>
      </c>
      <c r="C257" s="197">
        <f>CF_Alif!C28</f>
        <v>0</v>
      </c>
      <c r="D257" s="197">
        <f>C257-B257</f>
        <v>0</v>
      </c>
      <c r="E257" s="192" t="s">
        <v>321</v>
      </c>
    </row>
    <row r="258" spans="1:5" ht="15" customHeight="1" x14ac:dyDescent="0.25">
      <c r="A258" s="200" t="s">
        <v>322</v>
      </c>
      <c r="B258" s="201">
        <v>-5468826.4380000001</v>
      </c>
      <c r="C258" s="202">
        <f>CF_Alif!C29</f>
        <v>-3901265.9100000421</v>
      </c>
      <c r="D258" s="202">
        <f>C258-B258</f>
        <v>1567560.527999958</v>
      </c>
      <c r="E258" s="203" t="s">
        <v>323</v>
      </c>
    </row>
    <row r="259" spans="1:5" x14ac:dyDescent="0.25">
      <c r="A259" s="198" t="s">
        <v>324</v>
      </c>
      <c r="B259" s="199"/>
      <c r="C259" s="199"/>
      <c r="D259" s="199"/>
      <c r="E259" s="199"/>
    </row>
    <row r="260" spans="1:5" ht="24.95" customHeight="1" x14ac:dyDescent="0.25">
      <c r="A260" s="192" t="s">
        <v>325</v>
      </c>
      <c r="B260" s="196">
        <v>-65431663.243000001</v>
      </c>
      <c r="C260" s="197">
        <f>CF_Alif!C32</f>
        <v>-56551515.937999994</v>
      </c>
      <c r="D260" s="197">
        <f t="shared" ref="D260:D267" si="15">C260-B260</f>
        <v>8880147.3050000072</v>
      </c>
      <c r="E260" s="192" t="s">
        <v>326</v>
      </c>
    </row>
    <row r="261" spans="1:5" ht="15" customHeight="1" x14ac:dyDescent="0.25">
      <c r="A261" s="192" t="s">
        <v>327</v>
      </c>
      <c r="B261" s="196">
        <v>0</v>
      </c>
      <c r="C261" s="197">
        <f>CF_Alif!C33</f>
        <v>85716023.720999986</v>
      </c>
      <c r="D261" s="197">
        <f t="shared" si="15"/>
        <v>85716023.720999986</v>
      </c>
      <c r="E261" s="192" t="s">
        <v>328</v>
      </c>
    </row>
    <row r="262" spans="1:5" ht="15" customHeight="1" x14ac:dyDescent="0.25">
      <c r="A262" s="192" t="s">
        <v>329</v>
      </c>
      <c r="B262" s="196">
        <v>-1420109.281</v>
      </c>
      <c r="C262" s="197">
        <f>CF_Alif!C34</f>
        <v>-1420109.33</v>
      </c>
      <c r="D262" s="197">
        <f t="shared" si="15"/>
        <v>-4.9000000115483999E-2</v>
      </c>
      <c r="E262" s="192" t="s">
        <v>330</v>
      </c>
    </row>
    <row r="263" spans="1:5" ht="15" customHeight="1" x14ac:dyDescent="0.25">
      <c r="A263" s="192" t="s">
        <v>331</v>
      </c>
      <c r="B263" s="196">
        <v>0</v>
      </c>
      <c r="C263" s="197">
        <f>CF_Alif!C35+CF_Alif!C36+CF_Alif!C37+CF_Alif!C38</f>
        <v>0</v>
      </c>
      <c r="D263" s="197">
        <f t="shared" si="15"/>
        <v>0</v>
      </c>
      <c r="E263" s="192" t="s">
        <v>332</v>
      </c>
    </row>
    <row r="264" spans="1:5" ht="15" customHeight="1" x14ac:dyDescent="0.25">
      <c r="A264" s="200" t="s">
        <v>333</v>
      </c>
      <c r="B264" s="201">
        <v>-66851772.523999996</v>
      </c>
      <c r="C264" s="202">
        <f>CF_Alif!C39</f>
        <v>27744398.452999994</v>
      </c>
      <c r="D264" s="202">
        <f t="shared" si="15"/>
        <v>94596170.976999998</v>
      </c>
      <c r="E264" s="203" t="s">
        <v>334</v>
      </c>
    </row>
    <row r="265" spans="1:5" ht="24.95" customHeight="1" x14ac:dyDescent="0.25">
      <c r="A265" s="200" t="s">
        <v>335</v>
      </c>
      <c r="B265" s="201">
        <v>28521751.965999998</v>
      </c>
      <c r="C265" s="202">
        <f>CF_Alif!C41</f>
        <v>28521750.447999995</v>
      </c>
      <c r="D265" s="202">
        <f t="shared" si="15"/>
        <v>-1.5180000029504299</v>
      </c>
      <c r="E265" s="203" t="s">
        <v>336</v>
      </c>
    </row>
    <row r="266" spans="1:5" ht="24.95" customHeight="1" x14ac:dyDescent="0.25">
      <c r="A266" s="192" t="s">
        <v>337</v>
      </c>
      <c r="B266" s="196">
        <v>1512703</v>
      </c>
      <c r="C266" s="197">
        <f>CF_Alif!C42</f>
        <v>1512704.9779999997</v>
      </c>
      <c r="D266" s="197">
        <f t="shared" si="15"/>
        <v>1.977999999653548</v>
      </c>
      <c r="E266" s="192" t="s">
        <v>338</v>
      </c>
    </row>
    <row r="267" spans="1:5" ht="24.95" customHeight="1" x14ac:dyDescent="0.25">
      <c r="A267" s="200" t="s">
        <v>339</v>
      </c>
      <c r="B267" s="201">
        <v>30034454.965999998</v>
      </c>
      <c r="C267" s="202">
        <f>CF_Alif!C43</f>
        <v>30034455.425999995</v>
      </c>
      <c r="D267" s="202">
        <f t="shared" si="15"/>
        <v>0.45999999716877937</v>
      </c>
      <c r="E267" s="203" t="s">
        <v>340</v>
      </c>
    </row>
    <row r="269" spans="1:5" ht="18" customHeight="1" x14ac:dyDescent="0.25">
      <c r="A269" s="193" t="s">
        <v>341</v>
      </c>
      <c r="B269" s="194"/>
      <c r="C269" s="194"/>
      <c r="D269" s="194"/>
      <c r="E269" s="195" t="s">
        <v>342</v>
      </c>
    </row>
    <row r="270" spans="1:5" ht="30" customHeight="1" x14ac:dyDescent="0.25">
      <c r="A270" s="186" t="s">
        <v>3</v>
      </c>
      <c r="B270" s="186" t="s">
        <v>4</v>
      </c>
      <c r="C270" s="186" t="s">
        <v>5</v>
      </c>
      <c r="D270" s="186" t="s">
        <v>6</v>
      </c>
      <c r="E270" s="186" t="s">
        <v>7</v>
      </c>
    </row>
    <row r="271" spans="1:5" x14ac:dyDescent="0.25">
      <c r="A271" s="198" t="s">
        <v>284</v>
      </c>
      <c r="B271" s="199"/>
      <c r="C271" s="199"/>
      <c r="D271" s="199"/>
      <c r="E271" s="199"/>
    </row>
    <row r="272" spans="1:5" ht="15" customHeight="1" x14ac:dyDescent="0.25">
      <c r="A272" s="192" t="s">
        <v>285</v>
      </c>
      <c r="B272" s="196">
        <v>-1356565.6459999999</v>
      </c>
      <c r="C272" s="197">
        <f>CF_VH!C8</f>
        <v>-1356565.6500000022</v>
      </c>
      <c r="D272" s="197">
        <f t="shared" ref="D272:D287" si="16">C272-B272</f>
        <v>-4.0000022854655981E-3</v>
      </c>
      <c r="E272" s="192" t="s">
        <v>343</v>
      </c>
    </row>
    <row r="273" spans="1:5" ht="37.5" customHeight="1" x14ac:dyDescent="0.25">
      <c r="A273" s="192" t="s">
        <v>287</v>
      </c>
      <c r="B273" s="196">
        <v>1109449.0379999999</v>
      </c>
      <c r="C273" s="197">
        <f>CF_VH!C10+CF_VH!C11</f>
        <v>1082789.8199999998</v>
      </c>
      <c r="D273" s="197">
        <f t="shared" si="16"/>
        <v>-26659.21800000011</v>
      </c>
      <c r="E273" s="192" t="s">
        <v>344</v>
      </c>
    </row>
    <row r="274" spans="1:5" ht="15" customHeight="1" x14ac:dyDescent="0.25">
      <c r="A274" s="192" t="s">
        <v>289</v>
      </c>
      <c r="B274" s="196">
        <v>863818.04399999999</v>
      </c>
      <c r="C274" s="197">
        <f>CF_VH!C12</f>
        <v>863818.04399999999</v>
      </c>
      <c r="D274" s="197">
        <f t="shared" si="16"/>
        <v>0</v>
      </c>
      <c r="E274" s="192" t="s">
        <v>345</v>
      </c>
    </row>
    <row r="275" spans="1:5" ht="15" customHeight="1" x14ac:dyDescent="0.25">
      <c r="A275" s="192" t="s">
        <v>291</v>
      </c>
      <c r="B275" s="196">
        <v>112925.06600000001</v>
      </c>
      <c r="C275" s="197">
        <f>CF_VH!C13</f>
        <v>112925.06599999999</v>
      </c>
      <c r="D275" s="197">
        <f t="shared" si="16"/>
        <v>0</v>
      </c>
      <c r="E275" s="192" t="s">
        <v>346</v>
      </c>
    </row>
    <row r="276" spans="1:5" ht="15" customHeight="1" x14ac:dyDescent="0.25">
      <c r="A276" s="192" t="s">
        <v>293</v>
      </c>
      <c r="B276" s="196">
        <v>0</v>
      </c>
      <c r="C276" s="197">
        <f>CF_VH!C14</f>
        <v>0</v>
      </c>
      <c r="D276" s="197">
        <f t="shared" si="16"/>
        <v>0</v>
      </c>
      <c r="E276" s="192" t="s">
        <v>347</v>
      </c>
    </row>
    <row r="277" spans="1:5" ht="24.95" customHeight="1" x14ac:dyDescent="0.25">
      <c r="A277" s="192" t="s">
        <v>295</v>
      </c>
      <c r="B277" s="196">
        <v>-276</v>
      </c>
      <c r="C277" s="197">
        <v>0</v>
      </c>
      <c r="D277" s="197">
        <f t="shared" si="16"/>
        <v>276</v>
      </c>
      <c r="E277" s="192" t="s">
        <v>348</v>
      </c>
    </row>
    <row r="278" spans="1:5" ht="15" customHeight="1" x14ac:dyDescent="0.25">
      <c r="A278" s="200" t="s">
        <v>297</v>
      </c>
      <c r="B278" s="201">
        <v>729350.50199999998</v>
      </c>
      <c r="C278" s="202">
        <f>CF_VH!C8+CF_VH!C10+CF_VH!C11+CF_VH!C12+CF_VH!C13+CF_VH!C14</f>
        <v>702967.27999999758</v>
      </c>
      <c r="D278" s="202">
        <f t="shared" si="16"/>
        <v>-26383.222000002395</v>
      </c>
      <c r="E278" s="203" t="s">
        <v>349</v>
      </c>
    </row>
    <row r="279" spans="1:5" ht="15" customHeight="1" x14ac:dyDescent="0.25">
      <c r="A279" s="192" t="s">
        <v>299</v>
      </c>
      <c r="B279" s="196">
        <v>-24273853.925000001</v>
      </c>
      <c r="C279" s="197">
        <f>CF_VH!C16</f>
        <v>-24274129.400999997</v>
      </c>
      <c r="D279" s="197">
        <f t="shared" si="16"/>
        <v>-275.47599999606609</v>
      </c>
      <c r="E279" s="192" t="s">
        <v>350</v>
      </c>
    </row>
    <row r="280" spans="1:5" ht="15" customHeight="1" x14ac:dyDescent="0.25">
      <c r="A280" s="192" t="s">
        <v>301</v>
      </c>
      <c r="B280" s="196">
        <v>-5338748.0559999999</v>
      </c>
      <c r="C280" s="197">
        <f>CF_VH!C17</f>
        <v>-5338748.551</v>
      </c>
      <c r="D280" s="197">
        <f t="shared" si="16"/>
        <v>-0.49500000011175871</v>
      </c>
      <c r="E280" s="192" t="s">
        <v>351</v>
      </c>
    </row>
    <row r="281" spans="1:5" ht="15" customHeight="1" x14ac:dyDescent="0.25">
      <c r="A281" s="192" t="s">
        <v>303</v>
      </c>
      <c r="B281" s="196">
        <v>-621540.24899999995</v>
      </c>
      <c r="C281" s="197">
        <f>CF_VH!C18</f>
        <v>-621540.52300000004</v>
      </c>
      <c r="D281" s="197">
        <f t="shared" si="16"/>
        <v>-0.27400000009220093</v>
      </c>
      <c r="E281" s="192" t="s">
        <v>352</v>
      </c>
    </row>
    <row r="282" spans="1:5" ht="15" customHeight="1" x14ac:dyDescent="0.25">
      <c r="A282" s="192" t="s">
        <v>305</v>
      </c>
      <c r="B282" s="196">
        <v>3856656.2280000001</v>
      </c>
      <c r="C282" s="197">
        <f>CF_VH!C19+CF_VH!C20</f>
        <v>3856655.9029999995</v>
      </c>
      <c r="D282" s="197">
        <f t="shared" si="16"/>
        <v>-0.3250000006519258</v>
      </c>
      <c r="E282" s="192" t="s">
        <v>353</v>
      </c>
    </row>
    <row r="283" spans="1:5" ht="24.95" customHeight="1" x14ac:dyDescent="0.25">
      <c r="A283" s="192" t="s">
        <v>307</v>
      </c>
      <c r="B283" s="196">
        <v>7493373.9610000001</v>
      </c>
      <c r="C283" s="197">
        <v>0</v>
      </c>
      <c r="D283" s="197">
        <f t="shared" si="16"/>
        <v>-7493373.9610000001</v>
      </c>
      <c r="E283" s="192" t="s">
        <v>354</v>
      </c>
    </row>
    <row r="284" spans="1:5" ht="15" customHeight="1" x14ac:dyDescent="0.25">
      <c r="A284" s="200" t="s">
        <v>309</v>
      </c>
      <c r="B284" s="201">
        <v>-18154761.539000001</v>
      </c>
      <c r="C284" s="202">
        <f>CF_VH!C21</f>
        <v>-25674795.291999996</v>
      </c>
      <c r="D284" s="202">
        <f t="shared" si="16"/>
        <v>-7520033.7529999949</v>
      </c>
      <c r="E284" s="203" t="s">
        <v>355</v>
      </c>
    </row>
    <row r="285" spans="1:5" ht="24.95" customHeight="1" x14ac:dyDescent="0.25">
      <c r="A285" s="192" t="s">
        <v>311</v>
      </c>
      <c r="B285" s="196">
        <v>-1218139.9339999999</v>
      </c>
      <c r="C285" s="197">
        <f>CF_VH!C23</f>
        <v>-863818.04399999999</v>
      </c>
      <c r="D285" s="197">
        <f t="shared" si="16"/>
        <v>354321.8899999999</v>
      </c>
      <c r="E285" s="192" t="s">
        <v>356</v>
      </c>
    </row>
    <row r="286" spans="1:5" ht="15" customHeight="1" x14ac:dyDescent="0.25">
      <c r="A286" s="192" t="s">
        <v>313</v>
      </c>
      <c r="B286" s="196">
        <v>0</v>
      </c>
      <c r="C286" s="197">
        <f>CF_VH!C22</f>
        <v>0</v>
      </c>
      <c r="D286" s="197">
        <f t="shared" si="16"/>
        <v>0</v>
      </c>
      <c r="E286" s="192" t="s">
        <v>357</v>
      </c>
    </row>
    <row r="287" spans="1:5" ht="15" customHeight="1" x14ac:dyDescent="0.25">
      <c r="A287" s="200" t="s">
        <v>315</v>
      </c>
      <c r="B287" s="201">
        <v>-19372901.473000001</v>
      </c>
      <c r="C287" s="202">
        <f>CF_VH!C24</f>
        <v>-26538613.335999995</v>
      </c>
      <c r="D287" s="202">
        <f t="shared" si="16"/>
        <v>-7165711.8629999943</v>
      </c>
      <c r="E287" s="203" t="s">
        <v>358</v>
      </c>
    </row>
    <row r="288" spans="1:5" x14ac:dyDescent="0.25">
      <c r="A288" s="198" t="s">
        <v>317</v>
      </c>
      <c r="B288" s="199"/>
      <c r="C288" s="199"/>
      <c r="D288" s="199"/>
      <c r="E288" s="199"/>
    </row>
    <row r="289" spans="1:5" ht="15" customHeight="1" x14ac:dyDescent="0.25">
      <c r="A289" s="192" t="s">
        <v>318</v>
      </c>
      <c r="B289" s="196">
        <v>-302654.99</v>
      </c>
      <c r="C289" s="197">
        <f>CF_VH!C27</f>
        <v>-275995.8199999982</v>
      </c>
      <c r="D289" s="197">
        <f>C289-B289</f>
        <v>26659.170000001788</v>
      </c>
      <c r="E289" s="192" t="s">
        <v>359</v>
      </c>
    </row>
    <row r="290" spans="1:5" ht="24.95" customHeight="1" x14ac:dyDescent="0.25">
      <c r="A290" s="192" t="s">
        <v>320</v>
      </c>
      <c r="B290" s="196">
        <v>0</v>
      </c>
      <c r="C290" s="197">
        <f>CF_VH!C28</f>
        <v>0</v>
      </c>
      <c r="D290" s="197">
        <f>C290-B290</f>
        <v>0</v>
      </c>
      <c r="E290" s="192" t="s">
        <v>321</v>
      </c>
    </row>
    <row r="291" spans="1:5" ht="15" customHeight="1" x14ac:dyDescent="0.25">
      <c r="A291" s="200" t="s">
        <v>322</v>
      </c>
      <c r="B291" s="201">
        <v>-302654.99</v>
      </c>
      <c r="C291" s="202">
        <f>CF_VH!C29</f>
        <v>-275995.8199999982</v>
      </c>
      <c r="D291" s="202">
        <f>C291-B291</f>
        <v>26659.170000001788</v>
      </c>
      <c r="E291" s="203" t="s">
        <v>360</v>
      </c>
    </row>
    <row r="292" spans="1:5" x14ac:dyDescent="0.25">
      <c r="A292" s="198" t="s">
        <v>324</v>
      </c>
      <c r="B292" s="199"/>
      <c r="C292" s="199"/>
      <c r="D292" s="199"/>
      <c r="E292" s="199"/>
    </row>
    <row r="293" spans="1:5" ht="15" customHeight="1" x14ac:dyDescent="0.25">
      <c r="A293" s="192" t="s">
        <v>325</v>
      </c>
      <c r="B293" s="196">
        <v>20127772.399999999</v>
      </c>
      <c r="C293" s="197">
        <f>CF_VH!C32</f>
        <v>19773450.557</v>
      </c>
      <c r="D293" s="197">
        <f t="shared" ref="D293:D300" si="17">C293-B293</f>
        <v>-354321.84299999848</v>
      </c>
      <c r="E293" s="192" t="s">
        <v>361</v>
      </c>
    </row>
    <row r="294" spans="1:5" ht="15" customHeight="1" x14ac:dyDescent="0.25">
      <c r="A294" s="192" t="s">
        <v>327</v>
      </c>
      <c r="B294" s="196">
        <v>0</v>
      </c>
      <c r="C294" s="197">
        <f>CF_VH!C33</f>
        <v>7493374.3810000047</v>
      </c>
      <c r="D294" s="197">
        <f t="shared" si="17"/>
        <v>7493374.3810000047</v>
      </c>
      <c r="E294" s="192" t="s">
        <v>362</v>
      </c>
    </row>
    <row r="295" spans="1:5" ht="15" customHeight="1" x14ac:dyDescent="0.25">
      <c r="A295" s="192" t="s">
        <v>329</v>
      </c>
      <c r="B295" s="196">
        <v>7168.9579999999996</v>
      </c>
      <c r="C295" s="197">
        <f>CF_VH!C34</f>
        <v>7168.9980000000214</v>
      </c>
      <c r="D295" s="197">
        <f t="shared" si="17"/>
        <v>4.0000000021791493E-2</v>
      </c>
      <c r="E295" s="192" t="s">
        <v>363</v>
      </c>
    </row>
    <row r="296" spans="1:5" ht="15" customHeight="1" x14ac:dyDescent="0.25">
      <c r="A296" s="192" t="s">
        <v>331</v>
      </c>
      <c r="B296" s="196">
        <v>0</v>
      </c>
      <c r="C296" s="197">
        <f>CF_VH!C35+CF_VH!C36+CF_VH!C37+CF_VH!C38</f>
        <v>0</v>
      </c>
      <c r="D296" s="197">
        <f t="shared" si="17"/>
        <v>0</v>
      </c>
      <c r="E296" s="192" t="s">
        <v>364</v>
      </c>
    </row>
    <row r="297" spans="1:5" ht="15" customHeight="1" x14ac:dyDescent="0.25">
      <c r="A297" s="200" t="s">
        <v>333</v>
      </c>
      <c r="B297" s="201">
        <v>20134941.357999999</v>
      </c>
      <c r="C297" s="202">
        <f>CF_VH!C39</f>
        <v>27273993.936000004</v>
      </c>
      <c r="D297" s="202">
        <f t="shared" si="17"/>
        <v>7139052.5780000053</v>
      </c>
      <c r="E297" s="203" t="s">
        <v>365</v>
      </c>
    </row>
    <row r="298" spans="1:5" ht="15" customHeight="1" x14ac:dyDescent="0.25">
      <c r="A298" s="200" t="s">
        <v>335</v>
      </c>
      <c r="B298" s="201">
        <v>459384.89500000002</v>
      </c>
      <c r="C298" s="202">
        <f>CF_VH!C41</f>
        <v>459384.78000001237</v>
      </c>
      <c r="D298" s="202">
        <f t="shared" si="17"/>
        <v>-0.11499998765066266</v>
      </c>
      <c r="E298" s="203" t="s">
        <v>366</v>
      </c>
    </row>
    <row r="299" spans="1:5" ht="15" customHeight="1" x14ac:dyDescent="0.25">
      <c r="A299" s="192" t="s">
        <v>337</v>
      </c>
      <c r="B299" s="196">
        <v>2303785</v>
      </c>
      <c r="C299" s="197">
        <f>CF_VH!C42</f>
        <v>2303785.3600000003</v>
      </c>
      <c r="D299" s="197">
        <f t="shared" si="17"/>
        <v>0.36000000033527613</v>
      </c>
      <c r="E299" s="192" t="s">
        <v>367</v>
      </c>
    </row>
    <row r="300" spans="1:5" ht="15" customHeight="1" x14ac:dyDescent="0.25">
      <c r="A300" s="200" t="s">
        <v>339</v>
      </c>
      <c r="B300" s="201">
        <v>2763169.895</v>
      </c>
      <c r="C300" s="202">
        <f>CF_VH!C43</f>
        <v>2763170.1400000127</v>
      </c>
      <c r="D300" s="202">
        <f t="shared" si="17"/>
        <v>0.24500001268461347</v>
      </c>
      <c r="E300" s="203" t="s">
        <v>368</v>
      </c>
    </row>
    <row r="302" spans="1:5" ht="18" customHeight="1" x14ac:dyDescent="0.25">
      <c r="A302" s="193" t="s">
        <v>369</v>
      </c>
      <c r="B302" s="194"/>
      <c r="C302" s="194"/>
      <c r="D302" s="194"/>
      <c r="E302" s="195" t="s">
        <v>370</v>
      </c>
    </row>
    <row r="303" spans="1:5" ht="30" customHeight="1" x14ac:dyDescent="0.25">
      <c r="A303" s="186" t="s">
        <v>3</v>
      </c>
      <c r="B303" s="186" t="s">
        <v>4</v>
      </c>
      <c r="C303" s="186" t="s">
        <v>5</v>
      </c>
      <c r="D303" s="186" t="s">
        <v>6</v>
      </c>
      <c r="E303" s="186" t="s">
        <v>7</v>
      </c>
    </row>
    <row r="304" spans="1:5" x14ac:dyDescent="0.25">
      <c r="A304" s="198" t="s">
        <v>284</v>
      </c>
      <c r="B304" s="199"/>
      <c r="C304" s="199"/>
      <c r="D304" s="199"/>
      <c r="E304" s="199"/>
    </row>
    <row r="305" spans="1:5" ht="15" customHeight="1" x14ac:dyDescent="0.25">
      <c r="A305" s="192" t="s">
        <v>285</v>
      </c>
      <c r="B305" s="196">
        <v>-41854978.636666</v>
      </c>
      <c r="C305" s="197">
        <f>CF_Consol!F8</f>
        <v>-41854978.640665755</v>
      </c>
      <c r="D305" s="197">
        <f t="shared" ref="D305:D320" si="18">C305-B305</f>
        <v>-3.999754786491394E-3</v>
      </c>
      <c r="E305" s="192" t="s">
        <v>371</v>
      </c>
    </row>
    <row r="306" spans="1:5" ht="24.95" customHeight="1" x14ac:dyDescent="0.25">
      <c r="A306" s="192" t="s">
        <v>287</v>
      </c>
      <c r="B306" s="196">
        <v>11052842.511131</v>
      </c>
      <c r="C306" s="197">
        <f>CF_Consol!F10+CF_Consol!F11</f>
        <v>9458620.647130724</v>
      </c>
      <c r="D306" s="197">
        <f t="shared" si="18"/>
        <v>-1594221.8640002757</v>
      </c>
      <c r="E306" s="192" t="s">
        <v>372</v>
      </c>
    </row>
    <row r="307" spans="1:5" ht="15" customHeight="1" x14ac:dyDescent="0.25">
      <c r="A307" s="192" t="s">
        <v>289</v>
      </c>
      <c r="B307" s="196">
        <v>9743965.0280000009</v>
      </c>
      <c r="C307" s="197">
        <f>CF_Consol!F12</f>
        <v>9743965.0280000009</v>
      </c>
      <c r="D307" s="197">
        <f t="shared" si="18"/>
        <v>0</v>
      </c>
      <c r="E307" s="192" t="s">
        <v>373</v>
      </c>
    </row>
    <row r="308" spans="1:5" ht="15" customHeight="1" x14ac:dyDescent="0.25">
      <c r="A308" s="192" t="s">
        <v>291</v>
      </c>
      <c r="B308" s="196">
        <v>1152334.058</v>
      </c>
      <c r="C308" s="197">
        <f>CF_Consol!F13</f>
        <v>268366.13800000015</v>
      </c>
      <c r="D308" s="197">
        <f t="shared" si="18"/>
        <v>-883967.91999999981</v>
      </c>
      <c r="E308" s="192" t="s">
        <v>374</v>
      </c>
    </row>
    <row r="309" spans="1:5" ht="15" customHeight="1" x14ac:dyDescent="0.25">
      <c r="A309" s="192" t="s">
        <v>293</v>
      </c>
      <c r="B309" s="196">
        <v>69077.849000000002</v>
      </c>
      <c r="C309" s="197">
        <f>CF_Consol!F14</f>
        <v>69077.900000000373</v>
      </c>
      <c r="D309" s="197">
        <f t="shared" si="18"/>
        <v>5.1000000370549969E-2</v>
      </c>
      <c r="E309" s="192" t="s">
        <v>375</v>
      </c>
    </row>
    <row r="310" spans="1:5" ht="24.95" customHeight="1" x14ac:dyDescent="0.25">
      <c r="A310" s="192" t="s">
        <v>295</v>
      </c>
      <c r="B310" s="196">
        <v>-276</v>
      </c>
      <c r="C310" s="197">
        <v>0</v>
      </c>
      <c r="D310" s="197">
        <f t="shared" si="18"/>
        <v>276</v>
      </c>
      <c r="E310" s="192" t="s">
        <v>376</v>
      </c>
    </row>
    <row r="311" spans="1:5" ht="15" customHeight="1" x14ac:dyDescent="0.25">
      <c r="A311" s="200" t="s">
        <v>297</v>
      </c>
      <c r="B311" s="201">
        <v>-19837035.190535001</v>
      </c>
      <c r="C311" s="202">
        <f>CF_Consol!F8+CF_Consol!F10+CF_Consol!F11+CF_Consol!F12+CF_Consol!F13+CF_Consol!F14</f>
        <v>-22314948.927535027</v>
      </c>
      <c r="D311" s="202">
        <f t="shared" si="18"/>
        <v>-2477913.7370000258</v>
      </c>
      <c r="E311" s="203" t="s">
        <v>377</v>
      </c>
    </row>
    <row r="312" spans="1:5" ht="15" customHeight="1" x14ac:dyDescent="0.25">
      <c r="A312" s="192" t="s">
        <v>299</v>
      </c>
      <c r="B312" s="196">
        <v>13093595.78404</v>
      </c>
      <c r="C312" s="197">
        <f>CF_Consol!F16</f>
        <v>13093320.954040047</v>
      </c>
      <c r="D312" s="197">
        <f t="shared" si="18"/>
        <v>-274.82999995350838</v>
      </c>
      <c r="E312" s="192" t="s">
        <v>378</v>
      </c>
    </row>
    <row r="313" spans="1:5" ht="24.95" customHeight="1" x14ac:dyDescent="0.25">
      <c r="A313" s="192" t="s">
        <v>301</v>
      </c>
      <c r="B313" s="196">
        <v>-5989450.5855050003</v>
      </c>
      <c r="C313" s="197">
        <f>CF_Consol!F17</f>
        <v>-7656802.6115049915</v>
      </c>
      <c r="D313" s="197">
        <f t="shared" si="18"/>
        <v>-1667352.0259999912</v>
      </c>
      <c r="E313" s="192" t="s">
        <v>379</v>
      </c>
    </row>
    <row r="314" spans="1:5" ht="24.95" customHeight="1" x14ac:dyDescent="0.25">
      <c r="A314" s="192" t="s">
        <v>303</v>
      </c>
      <c r="B314" s="196">
        <v>-261242.14300000001</v>
      </c>
      <c r="C314" s="197">
        <f>CF_Consol!F18</f>
        <v>-5118570.8890000004</v>
      </c>
      <c r="D314" s="197">
        <f t="shared" si="18"/>
        <v>-4857328.7460000003</v>
      </c>
      <c r="E314" s="192" t="s">
        <v>380</v>
      </c>
    </row>
    <row r="315" spans="1:5" ht="24.95" customHeight="1" x14ac:dyDescent="0.25">
      <c r="A315" s="192" t="s">
        <v>305</v>
      </c>
      <c r="B315" s="196">
        <v>2472323.7059999998</v>
      </c>
      <c r="C315" s="197">
        <f>CF_Consol!F19+CF_Consol!F20</f>
        <v>9880971.071000006</v>
      </c>
      <c r="D315" s="197">
        <f t="shared" si="18"/>
        <v>7408647.3650000058</v>
      </c>
      <c r="E315" s="192" t="s">
        <v>381</v>
      </c>
    </row>
    <row r="316" spans="1:5" ht="24.95" customHeight="1" x14ac:dyDescent="0.25">
      <c r="A316" s="192" t="s">
        <v>307</v>
      </c>
      <c r="B316" s="196">
        <v>93209397.818000004</v>
      </c>
      <c r="C316" s="197">
        <v>0</v>
      </c>
      <c r="D316" s="197">
        <f t="shared" si="18"/>
        <v>-93209397.818000004</v>
      </c>
      <c r="E316" s="192" t="s">
        <v>382</v>
      </c>
    </row>
    <row r="317" spans="1:5" ht="15" customHeight="1" x14ac:dyDescent="0.25">
      <c r="A317" s="200" t="s">
        <v>309</v>
      </c>
      <c r="B317" s="201">
        <v>82687589.388999999</v>
      </c>
      <c r="C317" s="202">
        <f>CF_Consol!F21</f>
        <v>-12116030.402999967</v>
      </c>
      <c r="D317" s="202">
        <f t="shared" si="18"/>
        <v>-94803619.791999966</v>
      </c>
      <c r="E317" s="203" t="s">
        <v>383</v>
      </c>
    </row>
    <row r="318" spans="1:5" ht="15" customHeight="1" x14ac:dyDescent="0.25">
      <c r="A318" s="192" t="s">
        <v>311</v>
      </c>
      <c r="B318" s="196">
        <v>-1218139.9339999999</v>
      </c>
      <c r="C318" s="197">
        <f>CF_Consol!F23</f>
        <v>-9743965.0280000009</v>
      </c>
      <c r="D318" s="197">
        <f t="shared" si="18"/>
        <v>-8525825.0940000005</v>
      </c>
      <c r="E318" s="192" t="s">
        <v>384</v>
      </c>
    </row>
    <row r="319" spans="1:5" ht="15" customHeight="1" x14ac:dyDescent="0.25">
      <c r="A319" s="192" t="s">
        <v>313</v>
      </c>
      <c r="B319" s="196">
        <v>0</v>
      </c>
      <c r="C319" s="197">
        <f>CF_Consol!F22</f>
        <v>0</v>
      </c>
      <c r="D319" s="197">
        <f t="shared" si="18"/>
        <v>0</v>
      </c>
      <c r="E319" s="192" t="s">
        <v>385</v>
      </c>
    </row>
    <row r="320" spans="1:5" ht="24.95" customHeight="1" x14ac:dyDescent="0.25">
      <c r="A320" s="200" t="s">
        <v>315</v>
      </c>
      <c r="B320" s="201">
        <v>81469449.454999998</v>
      </c>
      <c r="C320" s="202">
        <f>CF_Consol!F24</f>
        <v>-21859995.430999968</v>
      </c>
      <c r="D320" s="202">
        <f t="shared" si="18"/>
        <v>-103329444.88599996</v>
      </c>
      <c r="E320" s="203" t="s">
        <v>386</v>
      </c>
    </row>
    <row r="321" spans="1:5" x14ac:dyDescent="0.25">
      <c r="A321" s="198" t="s">
        <v>317</v>
      </c>
      <c r="B321" s="199"/>
      <c r="C321" s="199"/>
      <c r="D321" s="199"/>
      <c r="E321" s="199"/>
    </row>
    <row r="322" spans="1:5" ht="15" customHeight="1" x14ac:dyDescent="0.25">
      <c r="A322" s="192" t="s">
        <v>318</v>
      </c>
      <c r="B322" s="196">
        <v>-5771481.4280000003</v>
      </c>
      <c r="C322" s="197">
        <f>CF_Consol!F27</f>
        <v>-4177261.7300000405</v>
      </c>
      <c r="D322" s="197">
        <f>C322-B322</f>
        <v>1594219.6979999598</v>
      </c>
      <c r="E322" s="192" t="s">
        <v>387</v>
      </c>
    </row>
    <row r="323" spans="1:5" ht="24.95" customHeight="1" x14ac:dyDescent="0.25">
      <c r="A323" s="192" t="s">
        <v>320</v>
      </c>
      <c r="B323" s="196">
        <v>0</v>
      </c>
      <c r="C323" s="197">
        <f>CF_Consol!F28</f>
        <v>0</v>
      </c>
      <c r="D323" s="197">
        <f>C323-B323</f>
        <v>0</v>
      </c>
      <c r="E323" s="192" t="s">
        <v>321</v>
      </c>
    </row>
    <row r="324" spans="1:5" ht="15" customHeight="1" x14ac:dyDescent="0.25">
      <c r="A324" s="200" t="s">
        <v>322</v>
      </c>
      <c r="B324" s="201">
        <v>-5771481.4280000003</v>
      </c>
      <c r="C324" s="202">
        <f>CF_Consol!F29</f>
        <v>-4177261.7300000405</v>
      </c>
      <c r="D324" s="202">
        <f>C324-B324</f>
        <v>1594219.6979999598</v>
      </c>
      <c r="E324" s="203" t="s">
        <v>388</v>
      </c>
    </row>
    <row r="325" spans="1:5" x14ac:dyDescent="0.25">
      <c r="A325" s="198" t="s">
        <v>324</v>
      </c>
      <c r="B325" s="199"/>
      <c r="C325" s="199"/>
      <c r="D325" s="199"/>
      <c r="E325" s="199"/>
    </row>
    <row r="326" spans="1:5" ht="15" customHeight="1" x14ac:dyDescent="0.25">
      <c r="A326" s="192" t="s">
        <v>325</v>
      </c>
      <c r="B326" s="196">
        <v>-45303890.843000002</v>
      </c>
      <c r="C326" s="197">
        <f>CF_Consol!F32</f>
        <v>-36778065.380999997</v>
      </c>
      <c r="D326" s="197">
        <f t="shared" ref="D326:D333" si="19">C326-B326</f>
        <v>8525825.4620000049</v>
      </c>
      <c r="E326" s="192" t="s">
        <v>389</v>
      </c>
    </row>
    <row r="327" spans="1:5" ht="24.95" customHeight="1" x14ac:dyDescent="0.25">
      <c r="A327" s="192" t="s">
        <v>327</v>
      </c>
      <c r="B327" s="196">
        <v>0</v>
      </c>
      <c r="C327" s="197">
        <f>CF_Consol!F33</f>
        <v>93209398.101999998</v>
      </c>
      <c r="D327" s="197">
        <f t="shared" si="19"/>
        <v>93209398.101999998</v>
      </c>
      <c r="E327" s="192" t="s">
        <v>390</v>
      </c>
    </row>
    <row r="328" spans="1:5" ht="15" customHeight="1" x14ac:dyDescent="0.25">
      <c r="A328" s="192" t="s">
        <v>329</v>
      </c>
      <c r="B328" s="196">
        <v>-1412940.3230000001</v>
      </c>
      <c r="C328" s="197">
        <f>CF_Consol!F34</f>
        <v>-1412940.3319999999</v>
      </c>
      <c r="D328" s="197">
        <f t="shared" si="19"/>
        <v>-8.9999998454004526E-3</v>
      </c>
      <c r="E328" s="192" t="s">
        <v>391</v>
      </c>
    </row>
    <row r="329" spans="1:5" ht="15" customHeight="1" x14ac:dyDescent="0.25">
      <c r="A329" s="192" t="s">
        <v>331</v>
      </c>
      <c r="B329" s="196">
        <v>0</v>
      </c>
      <c r="C329" s="197">
        <f>CF_Consol!F35+CF_Consol!F36+CF_Consol!F37+CF_Consol!F38</f>
        <v>0</v>
      </c>
      <c r="D329" s="197">
        <f t="shared" si="19"/>
        <v>0</v>
      </c>
      <c r="E329" s="192" t="s">
        <v>392</v>
      </c>
    </row>
    <row r="330" spans="1:5" ht="15" customHeight="1" x14ac:dyDescent="0.25">
      <c r="A330" s="200" t="s">
        <v>333</v>
      </c>
      <c r="B330" s="201">
        <v>-46716831.166000001</v>
      </c>
      <c r="C330" s="202">
        <f>CF_Consol!F39</f>
        <v>55018392.388999999</v>
      </c>
      <c r="D330" s="202">
        <f t="shared" si="19"/>
        <v>101735223.55500001</v>
      </c>
      <c r="E330" s="203" t="s">
        <v>393</v>
      </c>
    </row>
    <row r="331" spans="1:5" ht="15" customHeight="1" x14ac:dyDescent="0.25">
      <c r="A331" s="200" t="s">
        <v>335</v>
      </c>
      <c r="B331" s="201">
        <v>28981136.861000001</v>
      </c>
      <c r="C331" s="202">
        <f>CF_Consol!F41</f>
        <v>28981135.227999989</v>
      </c>
      <c r="D331" s="202">
        <f t="shared" si="19"/>
        <v>-1.6330000124871731</v>
      </c>
      <c r="E331" s="203" t="s">
        <v>394</v>
      </c>
    </row>
    <row r="332" spans="1:5" ht="15" customHeight="1" x14ac:dyDescent="0.25">
      <c r="A332" s="192" t="s">
        <v>337</v>
      </c>
      <c r="B332" s="196">
        <v>3816488</v>
      </c>
      <c r="C332" s="197">
        <f>CF_Consol!F42</f>
        <v>3816490.338</v>
      </c>
      <c r="D332" s="197">
        <f t="shared" si="19"/>
        <v>2.3379999999888241</v>
      </c>
      <c r="E332" s="192" t="s">
        <v>395</v>
      </c>
    </row>
    <row r="333" spans="1:5" ht="15" customHeight="1" x14ac:dyDescent="0.25">
      <c r="A333" s="200" t="s">
        <v>339</v>
      </c>
      <c r="B333" s="201">
        <v>32797624.861000001</v>
      </c>
      <c r="C333" s="202">
        <f>CF_Consol!F43</f>
        <v>32797625.565999988</v>
      </c>
      <c r="D333" s="202">
        <f t="shared" si="19"/>
        <v>0.70499998703598976</v>
      </c>
      <c r="E333" s="203" t="s">
        <v>396</v>
      </c>
    </row>
    <row r="336" spans="1:5" ht="26.1" customHeight="1" x14ac:dyDescent="0.25">
      <c r="A336" s="212" t="s">
        <v>397</v>
      </c>
      <c r="B336" s="211"/>
      <c r="C336" s="211"/>
      <c r="D336" s="211"/>
      <c r="E336" s="211"/>
    </row>
  </sheetData>
  <mergeCells count="3">
    <mergeCell ref="A2:E2"/>
    <mergeCell ref="A336:E336"/>
    <mergeCell ref="A3:E3"/>
  </mergeCells>
  <conditionalFormatting sqref="D5:D336">
    <cfRule type="expression" dxfId="1" priority="1">
      <formula>AND(ISNUMBER(D5),ABS(D5)&gt;=0.01)</formula>
    </cfRule>
    <cfRule type="expression" dxfId="0" priority="2">
      <formula>AND(ISNUMBER(D5),ABS(D5)&lt;0.01)</formula>
    </cfRule>
  </conditionalFormatting>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pageSetUpPr fitToPage="1"/>
  </sheetPr>
  <dimension ref="A1:G22"/>
  <sheetViews>
    <sheetView showGridLines="0" workbookViewId="0">
      <pane xSplit="2" ySplit="4" topLeftCell="C5" activePane="bottomRight" state="frozen"/>
      <selection pane="topRight"/>
      <selection pane="bottomLeft"/>
      <selection pane="bottomRight"/>
    </sheetView>
  </sheetViews>
  <sheetFormatPr defaultRowHeight="15" x14ac:dyDescent="0.25"/>
  <cols>
    <col min="1" max="1" width="5" customWidth="1"/>
    <col min="2" max="2" width="30" customWidth="1"/>
    <col min="3" max="3" width="48" customWidth="1"/>
    <col min="4" max="4" width="52" customWidth="1"/>
    <col min="5" max="5" width="60" customWidth="1"/>
    <col min="6" max="6" width="40" customWidth="1"/>
    <col min="7" max="7" width="44" customWidth="1"/>
  </cols>
  <sheetData>
    <row r="1" spans="1:7" ht="26.1" customHeight="1" x14ac:dyDescent="0.25">
      <c r="A1" s="184" t="s">
        <v>549</v>
      </c>
      <c r="B1" s="185"/>
      <c r="C1" s="185"/>
      <c r="D1" s="185"/>
      <c r="E1" s="185"/>
      <c r="F1" s="185"/>
      <c r="G1" s="185"/>
    </row>
    <row r="2" spans="1:7" ht="30" customHeight="1" x14ac:dyDescent="0.25">
      <c r="A2" s="210" t="s">
        <v>550</v>
      </c>
      <c r="B2" s="211"/>
      <c r="C2" s="211"/>
      <c r="D2" s="211"/>
      <c r="E2" s="211"/>
      <c r="F2" s="211"/>
      <c r="G2" s="211"/>
    </row>
    <row r="4" spans="1:7" ht="30" customHeight="1" x14ac:dyDescent="0.25">
      <c r="A4" s="186" t="s">
        <v>551</v>
      </c>
      <c r="B4" s="186" t="s">
        <v>552</v>
      </c>
      <c r="C4" s="186" t="s">
        <v>553</v>
      </c>
      <c r="D4" s="186" t="s">
        <v>554</v>
      </c>
      <c r="E4" s="186" t="s">
        <v>555</v>
      </c>
      <c r="F4" s="186" t="s">
        <v>556</v>
      </c>
      <c r="G4" s="186" t="s">
        <v>557</v>
      </c>
    </row>
    <row r="5" spans="1:7" ht="20.100000000000001" customHeight="1" x14ac:dyDescent="0.25">
      <c r="A5" s="187" t="s">
        <v>558</v>
      </c>
      <c r="B5" s="188"/>
      <c r="C5" s="188"/>
      <c r="D5" s="188"/>
      <c r="E5" s="188"/>
      <c r="F5" s="188"/>
      <c r="G5" s="188"/>
    </row>
    <row r="6" spans="1:7" ht="91.35" customHeight="1" x14ac:dyDescent="0.25">
      <c r="A6" s="204" t="s">
        <v>559</v>
      </c>
      <c r="B6" s="205" t="s">
        <v>560</v>
      </c>
      <c r="C6" s="192" t="s">
        <v>561</v>
      </c>
      <c r="D6" s="192" t="s">
        <v>562</v>
      </c>
      <c r="E6" s="206" t="s">
        <v>563</v>
      </c>
      <c r="F6" s="192" t="s">
        <v>564</v>
      </c>
      <c r="G6" s="206" t="s">
        <v>565</v>
      </c>
    </row>
    <row r="7" spans="1:7" ht="78.2" customHeight="1" x14ac:dyDescent="0.25">
      <c r="A7" s="204" t="s">
        <v>566</v>
      </c>
      <c r="B7" s="205" t="s">
        <v>567</v>
      </c>
      <c r="C7" s="192" t="s">
        <v>568</v>
      </c>
      <c r="D7" s="192" t="s">
        <v>569</v>
      </c>
      <c r="E7" s="206" t="s">
        <v>570</v>
      </c>
      <c r="F7" s="192" t="s">
        <v>571</v>
      </c>
      <c r="G7" s="206" t="s">
        <v>572</v>
      </c>
    </row>
    <row r="8" spans="1:7" ht="90.6" customHeight="1" x14ac:dyDescent="0.25">
      <c r="A8" s="204" t="s">
        <v>573</v>
      </c>
      <c r="B8" s="205" t="s">
        <v>574</v>
      </c>
      <c r="C8" s="192" t="s">
        <v>575</v>
      </c>
      <c r="D8" s="192" t="s">
        <v>576</v>
      </c>
      <c r="E8" s="206" t="s">
        <v>577</v>
      </c>
      <c r="F8" s="192" t="s">
        <v>578</v>
      </c>
      <c r="G8" s="206" t="s">
        <v>579</v>
      </c>
    </row>
    <row r="9" spans="1:7" ht="103.15" customHeight="1" x14ac:dyDescent="0.25">
      <c r="A9" s="204" t="s">
        <v>580</v>
      </c>
      <c r="B9" s="205" t="s">
        <v>581</v>
      </c>
      <c r="C9" s="192" t="s">
        <v>582</v>
      </c>
      <c r="D9" s="192" t="s">
        <v>583</v>
      </c>
      <c r="E9" s="206" t="s">
        <v>584</v>
      </c>
      <c r="F9" s="192" t="s">
        <v>585</v>
      </c>
      <c r="G9" s="206" t="s">
        <v>586</v>
      </c>
    </row>
    <row r="10" spans="1:7" ht="20.100000000000001" customHeight="1" x14ac:dyDescent="0.25">
      <c r="A10" s="187" t="s">
        <v>587</v>
      </c>
      <c r="B10" s="188"/>
      <c r="C10" s="188"/>
      <c r="D10" s="188"/>
      <c r="E10" s="188"/>
      <c r="F10" s="188"/>
      <c r="G10" s="188"/>
    </row>
    <row r="11" spans="1:7" ht="68.650000000000006" customHeight="1" x14ac:dyDescent="0.25">
      <c r="A11" s="204" t="s">
        <v>588</v>
      </c>
      <c r="B11" s="205" t="s">
        <v>589</v>
      </c>
      <c r="C11" s="192" t="s">
        <v>590</v>
      </c>
      <c r="D11" s="192" t="s">
        <v>591</v>
      </c>
      <c r="E11" s="192" t="s">
        <v>592</v>
      </c>
      <c r="F11" s="192" t="s">
        <v>593</v>
      </c>
      <c r="G11" s="207" t="s">
        <v>594</v>
      </c>
    </row>
    <row r="12" spans="1:7" ht="58.9" customHeight="1" x14ac:dyDescent="0.25">
      <c r="A12" s="204" t="s">
        <v>595</v>
      </c>
      <c r="B12" s="205" t="s">
        <v>596</v>
      </c>
      <c r="C12" s="192" t="s">
        <v>597</v>
      </c>
      <c r="D12" s="192" t="s">
        <v>598</v>
      </c>
      <c r="E12" s="192" t="s">
        <v>599</v>
      </c>
      <c r="F12" s="192" t="s">
        <v>600</v>
      </c>
      <c r="G12" s="207" t="s">
        <v>601</v>
      </c>
    </row>
    <row r="13" spans="1:7" ht="63.4" customHeight="1" x14ac:dyDescent="0.25">
      <c r="A13" s="204" t="s">
        <v>602</v>
      </c>
      <c r="B13" s="205" t="s">
        <v>603</v>
      </c>
      <c r="C13" s="192" t="s">
        <v>604</v>
      </c>
      <c r="D13" s="192" t="s">
        <v>605</v>
      </c>
      <c r="E13" s="192" t="s">
        <v>606</v>
      </c>
      <c r="F13" s="192" t="s">
        <v>607</v>
      </c>
      <c r="G13" s="207" t="s">
        <v>608</v>
      </c>
    </row>
    <row r="14" spans="1:7" ht="76.900000000000006" customHeight="1" x14ac:dyDescent="0.25">
      <c r="A14" s="204" t="s">
        <v>609</v>
      </c>
      <c r="B14" s="205" t="s">
        <v>610</v>
      </c>
      <c r="C14" s="192" t="s">
        <v>611</v>
      </c>
      <c r="D14" s="192" t="s">
        <v>612</v>
      </c>
      <c r="E14" s="192" t="s">
        <v>613</v>
      </c>
      <c r="F14" s="192" t="s">
        <v>614</v>
      </c>
      <c r="G14" s="207" t="s">
        <v>615</v>
      </c>
    </row>
    <row r="15" spans="1:7" ht="61.35" customHeight="1" x14ac:dyDescent="0.25">
      <c r="A15" s="204" t="s">
        <v>616</v>
      </c>
      <c r="B15" s="205" t="s">
        <v>617</v>
      </c>
      <c r="C15" s="192" t="s">
        <v>618</v>
      </c>
      <c r="D15" s="192" t="s">
        <v>619</v>
      </c>
      <c r="E15" s="192" t="s">
        <v>620</v>
      </c>
      <c r="F15" s="192" t="s">
        <v>621</v>
      </c>
      <c r="G15" s="207" t="s">
        <v>622</v>
      </c>
    </row>
    <row r="16" spans="1:7" ht="64.5" customHeight="1" x14ac:dyDescent="0.25">
      <c r="A16" s="204" t="s">
        <v>623</v>
      </c>
      <c r="B16" s="205" t="s">
        <v>624</v>
      </c>
      <c r="C16" s="192" t="s">
        <v>625</v>
      </c>
      <c r="D16" s="192" t="s">
        <v>626</v>
      </c>
      <c r="E16" s="192" t="s">
        <v>627</v>
      </c>
      <c r="F16" s="192" t="s">
        <v>628</v>
      </c>
      <c r="G16" s="206" t="s">
        <v>629</v>
      </c>
    </row>
    <row r="18" spans="1:7" ht="20.100000000000001" customHeight="1" x14ac:dyDescent="0.25">
      <c r="A18" s="187" t="s">
        <v>630</v>
      </c>
      <c r="B18" s="188"/>
      <c r="C18" s="188"/>
      <c r="D18" s="188"/>
      <c r="E18" s="188"/>
      <c r="F18" s="188"/>
      <c r="G18" s="188"/>
    </row>
    <row r="19" spans="1:7" ht="30" customHeight="1" x14ac:dyDescent="0.25">
      <c r="A19" s="208" t="s">
        <v>631</v>
      </c>
      <c r="B19" s="219" t="s">
        <v>632</v>
      </c>
      <c r="C19" s="211"/>
      <c r="D19" s="211"/>
      <c r="E19" s="211"/>
      <c r="F19" s="211"/>
      <c r="G19" s="211"/>
    </row>
    <row r="20" spans="1:7" ht="30" customHeight="1" x14ac:dyDescent="0.25">
      <c r="A20" s="208" t="s">
        <v>631</v>
      </c>
      <c r="B20" s="219" t="s">
        <v>633</v>
      </c>
      <c r="C20" s="211"/>
      <c r="D20" s="211"/>
      <c r="E20" s="211"/>
      <c r="F20" s="211"/>
      <c r="G20" s="211"/>
    </row>
    <row r="21" spans="1:7" ht="30" customHeight="1" x14ac:dyDescent="0.25">
      <c r="A21" s="208" t="s">
        <v>631</v>
      </c>
      <c r="B21" s="219" t="s">
        <v>634</v>
      </c>
      <c r="C21" s="211"/>
      <c r="D21" s="211"/>
      <c r="E21" s="211"/>
      <c r="F21" s="211"/>
      <c r="G21" s="211"/>
    </row>
    <row r="22" spans="1:7" ht="30" customHeight="1" x14ac:dyDescent="0.25">
      <c r="A22" s="208" t="s">
        <v>631</v>
      </c>
      <c r="B22" s="219" t="s">
        <v>635</v>
      </c>
      <c r="C22" s="211"/>
      <c r="D22" s="211"/>
      <c r="E22" s="211"/>
      <c r="F22" s="211"/>
      <c r="G22" s="211"/>
    </row>
  </sheetData>
  <mergeCells count="5">
    <mergeCell ref="B19:G19"/>
    <mergeCell ref="B20:G20"/>
    <mergeCell ref="B22:G22"/>
    <mergeCell ref="A2:G2"/>
    <mergeCell ref="B21:G21"/>
  </mergeCell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J71"/>
  <sheetViews>
    <sheetView showGridLines="0" zoomScale="90" workbookViewId="0">
      <pane ySplit="5" topLeftCell="A6" activePane="bottomLeft" state="frozen"/>
      <selection pane="bottomLeft" activeCell="C35" sqref="C35"/>
    </sheetView>
  </sheetViews>
  <sheetFormatPr defaultRowHeight="15" x14ac:dyDescent="0.25"/>
  <cols>
    <col min="1" max="1" width="56" customWidth="1"/>
    <col min="2" max="2" width="2" customWidth="1"/>
    <col min="3" max="5" width="17" customWidth="1"/>
    <col min="6" max="6" width="18" customWidth="1"/>
    <col min="8" max="8" width="40" style="85" customWidth="1"/>
  </cols>
  <sheetData>
    <row r="1" spans="1:8" ht="18.75" customHeight="1" x14ac:dyDescent="0.3">
      <c r="A1" s="6" t="s">
        <v>636</v>
      </c>
    </row>
    <row r="2" spans="1:8" x14ac:dyDescent="0.25">
      <c r="A2" s="19" t="s">
        <v>637</v>
      </c>
    </row>
    <row r="3" spans="1:8" x14ac:dyDescent="0.25">
      <c r="A3" s="7" t="s">
        <v>638</v>
      </c>
    </row>
    <row r="5" spans="1:8" x14ac:dyDescent="0.25">
      <c r="A5" s="20"/>
      <c r="B5" s="20"/>
      <c r="C5" s="21" t="s">
        <v>439</v>
      </c>
      <c r="D5" s="21" t="s">
        <v>440</v>
      </c>
      <c r="E5" s="21" t="s">
        <v>639</v>
      </c>
      <c r="F5" s="21" t="s">
        <v>441</v>
      </c>
      <c r="H5" s="163" t="s">
        <v>640</v>
      </c>
    </row>
    <row r="6" spans="1:8" x14ac:dyDescent="0.25">
      <c r="A6" s="23" t="s">
        <v>641</v>
      </c>
      <c r="C6" s="24">
        <f>IS_Alif!C6</f>
        <v>126467923.87650502</v>
      </c>
      <c r="D6" s="24">
        <f>IS_VH!C6</f>
        <v>44443751.733000003</v>
      </c>
      <c r="E6" s="24">
        <f>-SUMIFS($H$69:$H$71,$G$69:$G$71,$H6)</f>
        <v>0</v>
      </c>
      <c r="F6" s="24">
        <f>SUM(C6:E6)</f>
        <v>170911675.60950503</v>
      </c>
      <c r="H6" s="163" t="s">
        <v>641</v>
      </c>
    </row>
    <row r="8" spans="1:8" x14ac:dyDescent="0.25">
      <c r="A8" s="10" t="s">
        <v>642</v>
      </c>
      <c r="B8" s="11"/>
      <c r="C8" s="11"/>
      <c r="D8" s="11"/>
      <c r="E8" s="11"/>
      <c r="F8" s="11"/>
    </row>
    <row r="9" spans="1:8" x14ac:dyDescent="0.25">
      <c r="A9" s="18" t="s">
        <v>43</v>
      </c>
      <c r="C9" s="17">
        <f>IS_Alif!C9</f>
        <v>94755694.149040043</v>
      </c>
      <c r="D9" s="17">
        <f>IS_VH!C9</f>
        <v>38877734.610000007</v>
      </c>
      <c r="E9" s="17">
        <f t="shared" ref="E9:E20" si="0">-SUMIFS($H$69:$H$71,$G$69:$G$71,$H9)</f>
        <v>0</v>
      </c>
      <c r="F9" s="17">
        <f t="shared" ref="F9:F20" si="1">SUM(C9:E9)</f>
        <v>133633428.75904006</v>
      </c>
      <c r="H9" s="163" t="s">
        <v>643</v>
      </c>
    </row>
    <row r="10" spans="1:8" x14ac:dyDescent="0.25">
      <c r="A10" s="18" t="s">
        <v>644</v>
      </c>
      <c r="C10" s="17">
        <f>IS_Alif!C10</f>
        <v>15043742.535999998</v>
      </c>
      <c r="D10" s="17">
        <f>IS_VH!C10</f>
        <v>993325.06800000009</v>
      </c>
      <c r="E10" s="17">
        <f t="shared" si="0"/>
        <v>0</v>
      </c>
      <c r="F10" s="17">
        <f t="shared" si="1"/>
        <v>16037067.603999998</v>
      </c>
      <c r="H10" s="163" t="s">
        <v>645</v>
      </c>
    </row>
    <row r="11" spans="1:8" x14ac:dyDescent="0.25">
      <c r="A11" s="18" t="s">
        <v>646</v>
      </c>
      <c r="C11" s="17">
        <f>IS_Alif!C11</f>
        <v>173224.88699999999</v>
      </c>
      <c r="D11" s="17">
        <f>IS_VH!C11</f>
        <v>0</v>
      </c>
      <c r="E11" s="17">
        <f t="shared" si="0"/>
        <v>0</v>
      </c>
      <c r="F11" s="17">
        <f t="shared" si="1"/>
        <v>173224.88699999999</v>
      </c>
      <c r="H11" s="163" t="s">
        <v>647</v>
      </c>
    </row>
    <row r="12" spans="1:8" x14ac:dyDescent="0.25">
      <c r="A12" s="18" t="s">
        <v>49</v>
      </c>
      <c r="C12" s="17">
        <f>IS_Alif!C12</f>
        <v>2270031.3909999998</v>
      </c>
      <c r="D12" s="17">
        <f>IS_VH!C12</f>
        <v>0</v>
      </c>
      <c r="E12" s="17">
        <f t="shared" si="0"/>
        <v>0</v>
      </c>
      <c r="F12" s="17">
        <f t="shared" si="1"/>
        <v>2270031.3909999998</v>
      </c>
      <c r="H12" s="163" t="s">
        <v>648</v>
      </c>
    </row>
    <row r="13" spans="1:8" x14ac:dyDescent="0.25">
      <c r="A13" s="18" t="s">
        <v>649</v>
      </c>
      <c r="C13" s="17">
        <f>IS_Alif!C13</f>
        <v>6489832.7048807256</v>
      </c>
      <c r="D13" s="17">
        <f>IS_VH!C13</f>
        <v>0</v>
      </c>
      <c r="E13" s="17">
        <f t="shared" si="0"/>
        <v>0</v>
      </c>
      <c r="F13" s="17">
        <f t="shared" si="1"/>
        <v>6489832.7048807256</v>
      </c>
      <c r="H13" s="163" t="s">
        <v>650</v>
      </c>
    </row>
    <row r="14" spans="1:8" x14ac:dyDescent="0.25">
      <c r="A14" s="18" t="s">
        <v>651</v>
      </c>
      <c r="C14" s="17">
        <f>IS_Alif!C14</f>
        <v>3112107.3179999995</v>
      </c>
      <c r="D14" s="17">
        <f>IS_VH!C14</f>
        <v>95389.197</v>
      </c>
      <c r="E14" s="17">
        <f t="shared" si="0"/>
        <v>0</v>
      </c>
      <c r="F14" s="17">
        <f t="shared" si="1"/>
        <v>3207496.5149999997</v>
      </c>
      <c r="H14" s="163" t="s">
        <v>652</v>
      </c>
    </row>
    <row r="15" spans="1:8" x14ac:dyDescent="0.25">
      <c r="A15" s="18" t="s">
        <v>653</v>
      </c>
      <c r="C15" s="17">
        <f>IS_Alif!C15</f>
        <v>3773.297</v>
      </c>
      <c r="D15" s="17">
        <f>IS_VH!C15</f>
        <v>0</v>
      </c>
      <c r="E15" s="17">
        <f t="shared" si="0"/>
        <v>0</v>
      </c>
      <c r="F15" s="17">
        <f t="shared" si="1"/>
        <v>3773.297</v>
      </c>
      <c r="H15" s="163" t="s">
        <v>654</v>
      </c>
    </row>
    <row r="16" spans="1:8" x14ac:dyDescent="0.25">
      <c r="A16" s="18" t="s">
        <v>655</v>
      </c>
      <c r="C16" s="17">
        <f>IS_Alif!C16</f>
        <v>5969397.0189999994</v>
      </c>
      <c r="D16" s="17">
        <f>IS_VH!C16</f>
        <v>1078114.3089999997</v>
      </c>
      <c r="E16" s="17">
        <f t="shared" si="0"/>
        <v>0</v>
      </c>
      <c r="F16" s="17">
        <f t="shared" si="1"/>
        <v>7047511.3279999988</v>
      </c>
      <c r="H16" s="163" t="s">
        <v>656</v>
      </c>
    </row>
    <row r="17" spans="1:8" x14ac:dyDescent="0.25">
      <c r="A17" s="18" t="s">
        <v>657</v>
      </c>
      <c r="C17" s="17">
        <f>IS_Alif!C17</f>
        <v>3382853.5079999999</v>
      </c>
      <c r="D17" s="17">
        <f>IS_VH!C17</f>
        <v>136041.94399999999</v>
      </c>
      <c r="E17" s="17">
        <f t="shared" si="0"/>
        <v>0</v>
      </c>
      <c r="F17" s="17">
        <f t="shared" si="1"/>
        <v>3518895.452</v>
      </c>
      <c r="H17" s="163" t="s">
        <v>658</v>
      </c>
    </row>
    <row r="18" spans="1:8" x14ac:dyDescent="0.25">
      <c r="A18" s="18" t="s">
        <v>659</v>
      </c>
      <c r="C18" s="17">
        <f>IS_Alif!C18</f>
        <v>358632.93099999998</v>
      </c>
      <c r="D18" s="17">
        <f>IS_VH!C18</f>
        <v>0</v>
      </c>
      <c r="E18" s="17">
        <f t="shared" si="0"/>
        <v>0</v>
      </c>
      <c r="F18" s="17">
        <f t="shared" si="1"/>
        <v>358632.93099999998</v>
      </c>
      <c r="H18" s="163" t="s">
        <v>660</v>
      </c>
    </row>
    <row r="19" spans="1:8" x14ac:dyDescent="0.25">
      <c r="A19" s="18" t="s">
        <v>661</v>
      </c>
      <c r="C19" s="17">
        <f>IS_Alif!C19</f>
        <v>0</v>
      </c>
      <c r="D19" s="17">
        <f>IS_VH!C19</f>
        <v>0</v>
      </c>
      <c r="E19" s="17">
        <f t="shared" si="0"/>
        <v>0</v>
      </c>
      <c r="F19" s="17">
        <f t="shared" si="1"/>
        <v>0</v>
      </c>
      <c r="H19" s="163" t="s">
        <v>662</v>
      </c>
    </row>
    <row r="20" spans="1:8" x14ac:dyDescent="0.25">
      <c r="A20" s="18" t="s">
        <v>663</v>
      </c>
      <c r="C20" s="17">
        <f>IS_Alif!C20</f>
        <v>2155822.341</v>
      </c>
      <c r="D20" s="17">
        <f>IS_VH!C20</f>
        <v>769810.51799999992</v>
      </c>
      <c r="E20" s="17">
        <f t="shared" si="0"/>
        <v>0</v>
      </c>
      <c r="F20" s="17">
        <f t="shared" si="1"/>
        <v>2925632.8590000002</v>
      </c>
      <c r="H20" s="163" t="s">
        <v>664</v>
      </c>
    </row>
    <row r="21" spans="1:8" x14ac:dyDescent="0.25">
      <c r="A21" s="25" t="s">
        <v>57</v>
      </c>
      <c r="B21" s="26"/>
      <c r="C21" s="27">
        <f>SUM(C9:C20)</f>
        <v>133715112.08192077</v>
      </c>
      <c r="D21" s="27">
        <f>SUM(D9:D20)</f>
        <v>41950415.646000005</v>
      </c>
      <c r="E21" s="27">
        <f>SUM(E9:E20)</f>
        <v>0</v>
      </c>
      <c r="F21" s="27">
        <f>SUM(F9:F20)</f>
        <v>175665527.72792074</v>
      </c>
    </row>
    <row r="23" spans="1:8" x14ac:dyDescent="0.25">
      <c r="A23" s="19" t="s">
        <v>665</v>
      </c>
      <c r="C23" s="28">
        <f>C6-C21</f>
        <v>-7247188.2054157555</v>
      </c>
      <c r="D23" s="28">
        <f>D6-D21</f>
        <v>2493336.0869999975</v>
      </c>
      <c r="E23" s="28">
        <f>E6-E21</f>
        <v>0</v>
      </c>
      <c r="F23" s="28">
        <f>F6-F21</f>
        <v>-4753852.1184157133</v>
      </c>
    </row>
    <row r="24" spans="1:8" x14ac:dyDescent="0.25">
      <c r="A24" s="29" t="s">
        <v>666</v>
      </c>
      <c r="F24" s="30">
        <f>F23/F6</f>
        <v>-2.7814671534068875E-2</v>
      </c>
    </row>
    <row r="26" spans="1:8" x14ac:dyDescent="0.25">
      <c r="A26" s="10" t="s">
        <v>667</v>
      </c>
      <c r="B26" s="11"/>
      <c r="C26" s="11"/>
      <c r="D26" s="11"/>
      <c r="E26" s="11"/>
      <c r="F26" s="11"/>
    </row>
    <row r="27" spans="1:8" x14ac:dyDescent="0.25">
      <c r="A27" s="18" t="s">
        <v>668</v>
      </c>
      <c r="C27" s="17">
        <f>IS_Alif!C27</f>
        <v>9056.4580000000005</v>
      </c>
      <c r="D27" s="17">
        <f>IS_VH!C27</f>
        <v>0</v>
      </c>
      <c r="E27" s="17">
        <f>-SUMIFS($H$69:$H$71,$G$69:$G$71,$H27)</f>
        <v>0</v>
      </c>
      <c r="F27" s="17">
        <f>SUM(C27:E27)</f>
        <v>9056.4580000000005</v>
      </c>
      <c r="H27" s="163" t="s">
        <v>669</v>
      </c>
    </row>
    <row r="28" spans="1:8" x14ac:dyDescent="0.25">
      <c r="A28" s="18" t="s">
        <v>670</v>
      </c>
      <c r="C28" s="17">
        <f>IS_Alif!C28</f>
        <v>127799.605</v>
      </c>
      <c r="D28" s="17">
        <f>IS_VH!C28</f>
        <v>19067.418000000001</v>
      </c>
      <c r="E28" s="17">
        <f>-SUMIFS($H$69:$H$71,$G$69:$G$71,$H28)</f>
        <v>0</v>
      </c>
      <c r="F28" s="17">
        <f>SUM(C28:E28)</f>
        <v>146867.02299999999</v>
      </c>
      <c r="H28" s="163" t="s">
        <v>671</v>
      </c>
    </row>
    <row r="29" spans="1:8" x14ac:dyDescent="0.25">
      <c r="A29" s="18" t="s">
        <v>672</v>
      </c>
      <c r="C29" s="17">
        <f>IS_Alif!C29</f>
        <v>0</v>
      </c>
      <c r="D29" s="17">
        <f>IS_VH!C29</f>
        <v>0</v>
      </c>
      <c r="E29" s="17">
        <f>-SUMIFS($H$69:$H$71,$G$69:$G$71,$H29)</f>
        <v>0</v>
      </c>
      <c r="F29" s="17">
        <f>SUM(C29:E29)</f>
        <v>0</v>
      </c>
      <c r="H29" s="163" t="s">
        <v>673</v>
      </c>
    </row>
    <row r="30" spans="1:8" x14ac:dyDescent="0.25">
      <c r="A30" s="18" t="s">
        <v>674</v>
      </c>
      <c r="C30" s="17">
        <f>IS_Alif!C30</f>
        <v>0</v>
      </c>
      <c r="D30" s="17">
        <f>IS_VH!C30</f>
        <v>0</v>
      </c>
      <c r="E30" s="17">
        <f>-SUMIFS($H$69:$H$71,$G$69:$G$71,$H30)</f>
        <v>0</v>
      </c>
      <c r="F30" s="17">
        <f>SUM(C30:E30)</f>
        <v>0</v>
      </c>
      <c r="H30" s="163" t="s">
        <v>675</v>
      </c>
    </row>
    <row r="31" spans="1:8" x14ac:dyDescent="0.25">
      <c r="A31" s="18" t="s">
        <v>676</v>
      </c>
      <c r="C31" s="17">
        <f>IS_Alif!C31</f>
        <v>9397186.9799999986</v>
      </c>
      <c r="D31" s="17">
        <f>IS_VH!C31</f>
        <v>190520</v>
      </c>
      <c r="E31" s="17">
        <f>-SUMIFS($H$69:$H$71,$G$69:$G$71,$H31)</f>
        <v>0</v>
      </c>
      <c r="F31" s="17">
        <f>SUM(C31:E31)</f>
        <v>9587706.9799999986</v>
      </c>
      <c r="H31" s="163" t="s">
        <v>677</v>
      </c>
    </row>
    <row r="32" spans="1:8" x14ac:dyDescent="0.25">
      <c r="A32" s="25" t="s">
        <v>678</v>
      </c>
      <c r="B32" s="26"/>
      <c r="C32" s="27">
        <f>SUM(C27:C31)</f>
        <v>9534043.0429999977</v>
      </c>
      <c r="D32" s="27">
        <f>SUM(D27:D31)</f>
        <v>209587.41800000001</v>
      </c>
      <c r="E32" s="27">
        <f>SUM(E27:E31)</f>
        <v>0</v>
      </c>
      <c r="F32" s="27">
        <f>SUM(F27:F31)</f>
        <v>9743630.4609999992</v>
      </c>
    </row>
    <row r="34" spans="1:8" x14ac:dyDescent="0.25">
      <c r="A34" s="10" t="s">
        <v>679</v>
      </c>
      <c r="B34" s="11"/>
      <c r="C34" s="11"/>
      <c r="D34" s="11"/>
      <c r="E34" s="11"/>
      <c r="F34" s="11"/>
    </row>
    <row r="35" spans="1:8" x14ac:dyDescent="0.25">
      <c r="A35" s="18" t="s">
        <v>680</v>
      </c>
      <c r="C35" s="17">
        <f>IS_Alif!C35</f>
        <v>11195522.344000001</v>
      </c>
      <c r="D35" s="17">
        <f>IS_VH!C35</f>
        <v>1546060.6849999998</v>
      </c>
      <c r="E35" s="17">
        <f t="shared" ref="E35:E43" si="2">-SUMIFS($H$69:$H$71,$G$69:$G$71,$H35)</f>
        <v>0</v>
      </c>
      <c r="F35" s="17">
        <f t="shared" ref="F35:F43" si="3">SUM(C35:E35)</f>
        <v>12741583.029000001</v>
      </c>
      <c r="H35" s="163" t="s">
        <v>681</v>
      </c>
    </row>
    <row r="36" spans="1:8" x14ac:dyDescent="0.25">
      <c r="A36" s="18" t="s">
        <v>682</v>
      </c>
      <c r="C36" s="17">
        <f>IS_Alif!C36</f>
        <v>772352.67300000007</v>
      </c>
      <c r="D36" s="17">
        <f>IS_VH!C36</f>
        <v>52133.248999999996</v>
      </c>
      <c r="E36" s="17">
        <f t="shared" si="2"/>
        <v>0</v>
      </c>
      <c r="F36" s="17">
        <f t="shared" si="3"/>
        <v>824485.92200000002</v>
      </c>
      <c r="H36" s="163" t="s">
        <v>683</v>
      </c>
    </row>
    <row r="37" spans="1:8" x14ac:dyDescent="0.25">
      <c r="A37" s="18" t="s">
        <v>684</v>
      </c>
      <c r="C37" s="17">
        <f>IS_Alif!C37</f>
        <v>253285.35500000004</v>
      </c>
      <c r="D37" s="17">
        <f>IS_VH!C37</f>
        <v>30392.762999999999</v>
      </c>
      <c r="E37" s="17">
        <f t="shared" si="2"/>
        <v>0</v>
      </c>
      <c r="F37" s="17">
        <f t="shared" si="3"/>
        <v>283678.11800000002</v>
      </c>
      <c r="H37" s="163" t="s">
        <v>685</v>
      </c>
    </row>
    <row r="38" spans="1:8" x14ac:dyDescent="0.25">
      <c r="A38" s="18" t="s">
        <v>686</v>
      </c>
      <c r="C38" s="17">
        <f>IS_Alif!C38</f>
        <v>0</v>
      </c>
      <c r="D38" s="17">
        <f>IS_VH!C38</f>
        <v>0</v>
      </c>
      <c r="E38" s="17">
        <f t="shared" si="2"/>
        <v>0</v>
      </c>
      <c r="F38" s="17">
        <f t="shared" si="3"/>
        <v>0</v>
      </c>
      <c r="H38" s="163" t="s">
        <v>687</v>
      </c>
    </row>
    <row r="39" spans="1:8" x14ac:dyDescent="0.25">
      <c r="A39" s="18" t="s">
        <v>688</v>
      </c>
      <c r="C39" s="17">
        <f>IS_Alif!C39</f>
        <v>536718.321</v>
      </c>
      <c r="D39" s="17">
        <f>IS_VH!C39</f>
        <v>1227.8219999999999</v>
      </c>
      <c r="E39" s="17">
        <f t="shared" si="2"/>
        <v>0</v>
      </c>
      <c r="F39" s="17">
        <f t="shared" si="3"/>
        <v>537946.14300000004</v>
      </c>
      <c r="H39" s="163" t="s">
        <v>689</v>
      </c>
    </row>
    <row r="40" spans="1:8" x14ac:dyDescent="0.25">
      <c r="A40" s="18" t="s">
        <v>690</v>
      </c>
      <c r="C40" s="17">
        <f>IS_Alif!C40</f>
        <v>369690.55</v>
      </c>
      <c r="D40" s="17">
        <f>IS_VH!C40</f>
        <v>54118.036</v>
      </c>
      <c r="E40" s="17">
        <f t="shared" si="2"/>
        <v>0</v>
      </c>
      <c r="F40" s="17">
        <f t="shared" si="3"/>
        <v>423808.58600000001</v>
      </c>
      <c r="H40" s="163" t="s">
        <v>691</v>
      </c>
    </row>
    <row r="41" spans="1:8" x14ac:dyDescent="0.25">
      <c r="A41" s="18" t="s">
        <v>692</v>
      </c>
      <c r="C41" s="17">
        <f>IS_Alif!C41</f>
        <v>75052.053</v>
      </c>
      <c r="D41" s="17">
        <f>IS_VH!C41</f>
        <v>0</v>
      </c>
      <c r="E41" s="17">
        <f t="shared" si="2"/>
        <v>0</v>
      </c>
      <c r="F41" s="17">
        <f t="shared" si="3"/>
        <v>75052.053</v>
      </c>
      <c r="H41" s="163" t="s">
        <v>693</v>
      </c>
    </row>
    <row r="42" spans="1:8" x14ac:dyDescent="0.25">
      <c r="A42" s="18" t="s">
        <v>694</v>
      </c>
      <c r="C42" s="17">
        <f>IS_Alif!C42</f>
        <v>114815.34</v>
      </c>
      <c r="D42" s="17">
        <f>IS_VH!C42</f>
        <v>12049.9</v>
      </c>
      <c r="E42" s="17">
        <f t="shared" si="2"/>
        <v>0</v>
      </c>
      <c r="F42" s="17">
        <f t="shared" si="3"/>
        <v>126865.23999999999</v>
      </c>
      <c r="H42" s="163" t="s">
        <v>695</v>
      </c>
    </row>
    <row r="43" spans="1:8" x14ac:dyDescent="0.25">
      <c r="A43" s="18" t="s">
        <v>696</v>
      </c>
      <c r="C43" s="17">
        <f>IS_Alif!C43</f>
        <v>0</v>
      </c>
      <c r="D43" s="17">
        <f>IS_VH!C43</f>
        <v>0</v>
      </c>
      <c r="E43" s="17">
        <f t="shared" si="2"/>
        <v>0</v>
      </c>
      <c r="F43" s="17">
        <f t="shared" si="3"/>
        <v>0</v>
      </c>
      <c r="H43" s="163" t="s">
        <v>697</v>
      </c>
    </row>
    <row r="44" spans="1:8" x14ac:dyDescent="0.25">
      <c r="A44" s="25" t="s">
        <v>698</v>
      </c>
      <c r="B44" s="26"/>
      <c r="C44" s="27">
        <f>SUM(C35:C43)</f>
        <v>13317436.636000002</v>
      </c>
      <c r="D44" s="27">
        <f>SUM(D35:D43)</f>
        <v>1695982.4549999998</v>
      </c>
      <c r="E44" s="27">
        <f>SUM(E35:E43)</f>
        <v>0</v>
      </c>
      <c r="F44" s="27">
        <f>SUM(F35:F43)</f>
        <v>15013419.091</v>
      </c>
    </row>
    <row r="46" spans="1:8" x14ac:dyDescent="0.25">
      <c r="A46" s="18" t="s">
        <v>699</v>
      </c>
      <c r="C46" s="17">
        <f>IS_Alif!C46</f>
        <v>0</v>
      </c>
      <c r="D46" s="17">
        <f>IS_VH!C46</f>
        <v>0</v>
      </c>
      <c r="E46" s="17">
        <f>-SUMIFS($H$69:$H$71,$G$69:$G$71,$H46)</f>
        <v>0</v>
      </c>
      <c r="F46" s="17">
        <f>SUM(C46:E46)</f>
        <v>0</v>
      </c>
      <c r="H46" s="163" t="s">
        <v>700</v>
      </c>
    </row>
    <row r="47" spans="1:8" x14ac:dyDescent="0.25">
      <c r="A47" s="18" t="s">
        <v>701</v>
      </c>
      <c r="C47" s="17">
        <f>IS_Alif!C47</f>
        <v>0</v>
      </c>
      <c r="D47" s="17">
        <f>IS_VH!C47</f>
        <v>-276</v>
      </c>
      <c r="E47" s="17">
        <f>-SUMIFS($H$69:$H$71,$G$69:$G$71,$H47)</f>
        <v>0</v>
      </c>
      <c r="F47" s="17">
        <f>SUM(C47:E47)</f>
        <v>-276</v>
      </c>
      <c r="H47" s="163" t="s">
        <v>702</v>
      </c>
    </row>
    <row r="49" spans="1:8" x14ac:dyDescent="0.25">
      <c r="A49" s="19" t="s">
        <v>81</v>
      </c>
      <c r="C49" s="28">
        <f>C23-C32-C44-C46-C47</f>
        <v>-30098667.884415753</v>
      </c>
      <c r="D49" s="28">
        <f>D23-D32-D44-D46-D47</f>
        <v>588042.21399999759</v>
      </c>
      <c r="E49" s="28">
        <f>E23-E32-E44-E46-E47</f>
        <v>0</v>
      </c>
      <c r="F49" s="28">
        <f>F23-F32-F44-F46-F47</f>
        <v>-29510625.670415714</v>
      </c>
    </row>
    <row r="50" spans="1:8" x14ac:dyDescent="0.25">
      <c r="A50" s="29" t="s">
        <v>703</v>
      </c>
      <c r="F50" s="30">
        <f>F49/F6</f>
        <v>-0.17266594318483483</v>
      </c>
    </row>
    <row r="52" spans="1:8" x14ac:dyDescent="0.25">
      <c r="A52" s="18" t="s">
        <v>704</v>
      </c>
      <c r="C52" s="17">
        <f>IS_Alif!C52</f>
        <v>1885998.1222499991</v>
      </c>
      <c r="D52" s="17">
        <f>IS_VH!C52</f>
        <v>1082789.8199999998</v>
      </c>
      <c r="E52" s="17">
        <f>-SUMIFS($H$69:$H$71,$G$69:$G$71,$H52)</f>
        <v>0</v>
      </c>
      <c r="F52" s="17">
        <f>SUM(C52:E52)</f>
        <v>2968787.9422499989</v>
      </c>
      <c r="H52" s="163" t="s">
        <v>705</v>
      </c>
    </row>
    <row r="53" spans="1:8" x14ac:dyDescent="0.25">
      <c r="A53" s="18" t="s">
        <v>706</v>
      </c>
      <c r="C53" s="17">
        <f>IS_Alif!C53</f>
        <v>0</v>
      </c>
      <c r="D53" s="17">
        <f>IS_VH!C53</f>
        <v>0</v>
      </c>
      <c r="E53" s="17">
        <f>-SUMIFS($H$69:$H$71,$G$69:$G$71,$H53)</f>
        <v>0</v>
      </c>
      <c r="F53" s="17">
        <f>SUM(C53:E53)</f>
        <v>0</v>
      </c>
      <c r="H53" s="163" t="s">
        <v>707</v>
      </c>
    </row>
    <row r="54" spans="1:8" x14ac:dyDescent="0.25">
      <c r="A54" s="18" t="s">
        <v>708</v>
      </c>
      <c r="C54" s="17">
        <f>IS_Alif!C54</f>
        <v>8880146.9840000011</v>
      </c>
      <c r="D54" s="17">
        <f>IS_VH!C54</f>
        <v>863818.04399999999</v>
      </c>
      <c r="E54" s="17">
        <f>-SUMIFS($H$69:$H$71,$G$69:$G$71,$H54)</f>
        <v>0</v>
      </c>
      <c r="F54" s="17">
        <f>SUM(C54:E54)</f>
        <v>9743965.0280000009</v>
      </c>
      <c r="H54" s="163" t="s">
        <v>709</v>
      </c>
    </row>
    <row r="55" spans="1:8" x14ac:dyDescent="0.25">
      <c r="A55" s="18" t="s">
        <v>710</v>
      </c>
      <c r="C55" s="17">
        <f>IS_Alif!C55</f>
        <v>366400</v>
      </c>
      <c r="D55" s="17">
        <f>IS_VH!C55</f>
        <v>2000</v>
      </c>
      <c r="E55" s="17">
        <f>-SUMIFS($H$69:$H$71,$G$69:$G$71,$H55)</f>
        <v>0</v>
      </c>
      <c r="F55" s="17">
        <f>SUM(C55:E55)</f>
        <v>368400</v>
      </c>
      <c r="H55" s="163" t="s">
        <v>711</v>
      </c>
    </row>
    <row r="57" spans="1:8" x14ac:dyDescent="0.25">
      <c r="A57" s="19" t="s">
        <v>712</v>
      </c>
      <c r="C57" s="28">
        <f>C49-C52-C53-C54+C55</f>
        <v>-40498412.990665749</v>
      </c>
      <c r="D57" s="28">
        <f>D49-D52-D53-D54+D55</f>
        <v>-1356565.6500000022</v>
      </c>
      <c r="E57" s="28">
        <f>E49-E52-E53-E54+E55</f>
        <v>0</v>
      </c>
      <c r="F57" s="28">
        <f>F49-F52-F53-F54+F55</f>
        <v>-41854978.64066571</v>
      </c>
    </row>
    <row r="59" spans="1:8" x14ac:dyDescent="0.25">
      <c r="A59" s="18" t="s">
        <v>713</v>
      </c>
      <c r="C59" s="17">
        <f>IS_Alif!C59</f>
        <v>0</v>
      </c>
      <c r="D59" s="17">
        <f>IS_VH!C59</f>
        <v>0</v>
      </c>
      <c r="E59" s="17">
        <f>-SUMIFS($H$69:$H$71,$G$69:$G$71,$H59)</f>
        <v>0</v>
      </c>
      <c r="F59" s="17">
        <f>SUM(C59:E59)</f>
        <v>0</v>
      </c>
      <c r="H59" s="163" t="s">
        <v>714</v>
      </c>
    </row>
    <row r="60" spans="1:8" x14ac:dyDescent="0.25">
      <c r="A60" s="19" t="s">
        <v>715</v>
      </c>
      <c r="C60" s="31">
        <f>C57-C59</f>
        <v>-40498412.990665749</v>
      </c>
      <c r="D60" s="31">
        <f>D57-D59</f>
        <v>-1356565.6500000022</v>
      </c>
      <c r="E60" s="31">
        <f>E57-E59</f>
        <v>0</v>
      </c>
      <c r="F60" s="31">
        <f>F57-F59</f>
        <v>-41854978.64066571</v>
      </c>
    </row>
    <row r="61" spans="1:8" x14ac:dyDescent="0.25">
      <c r="A61" s="29" t="s">
        <v>716</v>
      </c>
      <c r="F61" s="30">
        <f>F60/F6</f>
        <v>-0.24489244805191063</v>
      </c>
    </row>
    <row r="63" spans="1:8" x14ac:dyDescent="0.25">
      <c r="A63" s="23" t="s">
        <v>717</v>
      </c>
    </row>
    <row r="64" spans="1:8" x14ac:dyDescent="0.25">
      <c r="A64" s="18" t="s">
        <v>718</v>
      </c>
      <c r="C64" s="17">
        <f>IS_Alif!C64</f>
        <v>0</v>
      </c>
      <c r="D64" s="17">
        <f>IS_VH!C64</f>
        <v>0</v>
      </c>
      <c r="E64" s="17">
        <f>-SUMIFS($H$69:$H$71,$G$69:$G$71,$H64)</f>
        <v>0</v>
      </c>
      <c r="F64" s="17">
        <f>SUM(C64:E64)</f>
        <v>0</v>
      </c>
      <c r="H64" s="163" t="s">
        <v>719</v>
      </c>
    </row>
    <row r="65" spans="1:10" x14ac:dyDescent="0.25">
      <c r="A65" s="19" t="s">
        <v>720</v>
      </c>
      <c r="C65" s="31">
        <f>C60+C64</f>
        <v>-40498412.990665749</v>
      </c>
      <c r="D65" s="31">
        <f>D60+D64</f>
        <v>-1356565.6500000022</v>
      </c>
      <c r="E65" s="31">
        <f>E60+E64</f>
        <v>0</v>
      </c>
      <c r="F65" s="31">
        <f>F60+F64</f>
        <v>-41854978.64066571</v>
      </c>
    </row>
    <row r="67" spans="1:10" x14ac:dyDescent="0.25">
      <c r="A67" s="29" t="s">
        <v>721</v>
      </c>
    </row>
    <row r="68" spans="1:10" x14ac:dyDescent="0.25">
      <c r="G68" s="20" t="s">
        <v>722</v>
      </c>
      <c r="H68" s="161" t="s">
        <v>723</v>
      </c>
      <c r="I68" s="20" t="s">
        <v>724</v>
      </c>
      <c r="J68" s="20" t="s">
        <v>725</v>
      </c>
    </row>
    <row r="69" spans="1:10" x14ac:dyDescent="0.25">
      <c r="G69" s="18" t="s">
        <v>641</v>
      </c>
      <c r="H69" s="162">
        <v>0</v>
      </c>
      <c r="I69" s="18" t="s">
        <v>726</v>
      </c>
      <c r="J69" s="29" t="s">
        <v>727</v>
      </c>
    </row>
    <row r="70" spans="1:10" x14ac:dyDescent="0.25">
      <c r="G70" s="18"/>
      <c r="H70" s="162">
        <v>0</v>
      </c>
      <c r="J70" s="29" t="s">
        <v>728</v>
      </c>
    </row>
    <row r="71" spans="1:10" x14ac:dyDescent="0.25">
      <c r="G71" s="18"/>
      <c r="H71" s="162">
        <v>0</v>
      </c>
      <c r="J71" s="29" t="s">
        <v>729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3864"/>
  </sheetPr>
  <dimension ref="A1:J55"/>
  <sheetViews>
    <sheetView showGridLines="0" zoomScale="90" workbookViewId="0">
      <pane ySplit="6" topLeftCell="A7" activePane="bottomLeft" state="frozen"/>
      <selection pane="bottomLeft" activeCell="A36" sqref="A36"/>
    </sheetView>
  </sheetViews>
  <sheetFormatPr defaultRowHeight="15" x14ac:dyDescent="0.25"/>
  <cols>
    <col min="1" max="1" width="56" customWidth="1"/>
    <col min="2" max="2" width="2" customWidth="1"/>
    <col min="3" max="6" width="17" customWidth="1"/>
    <col min="8" max="8" width="40" customWidth="1"/>
  </cols>
  <sheetData>
    <row r="1" spans="1:8" ht="18.75" customHeight="1" x14ac:dyDescent="0.3">
      <c r="A1" s="6" t="s">
        <v>636</v>
      </c>
    </row>
    <row r="2" spans="1:8" x14ac:dyDescent="0.25">
      <c r="A2" s="19" t="s">
        <v>730</v>
      </c>
    </row>
    <row r="3" spans="1:8" x14ac:dyDescent="0.25">
      <c r="A3" s="7" t="s">
        <v>731</v>
      </c>
    </row>
    <row r="5" spans="1:8" x14ac:dyDescent="0.25">
      <c r="A5" s="20"/>
      <c r="B5" s="20"/>
      <c r="C5" s="21" t="s">
        <v>439</v>
      </c>
      <c r="D5" s="21" t="s">
        <v>440</v>
      </c>
      <c r="E5" s="21" t="s">
        <v>639</v>
      </c>
      <c r="F5" s="21" t="s">
        <v>441</v>
      </c>
      <c r="H5" s="22" t="s">
        <v>640</v>
      </c>
    </row>
    <row r="7" spans="1:8" x14ac:dyDescent="0.25">
      <c r="A7" s="19" t="s">
        <v>732</v>
      </c>
    </row>
    <row r="8" spans="1:8" x14ac:dyDescent="0.25">
      <c r="A8" s="10" t="s">
        <v>733</v>
      </c>
      <c r="B8" s="11"/>
      <c r="C8" s="11"/>
      <c r="D8" s="11"/>
      <c r="E8" s="11"/>
      <c r="F8" s="11"/>
    </row>
    <row r="9" spans="1:8" x14ac:dyDescent="0.25">
      <c r="A9" s="18" t="s">
        <v>163</v>
      </c>
      <c r="C9" s="17">
        <f>BS_Alif!C9</f>
        <v>156384413.61086935</v>
      </c>
      <c r="D9" s="17">
        <f>BS_VH!C9</f>
        <v>27374670.173999999</v>
      </c>
      <c r="E9" s="17">
        <f>-SUMIFS($H$53:$H$55,$G$53:$G$55,$H9)</f>
        <v>0</v>
      </c>
      <c r="F9" s="17">
        <f>SUM(C9:E9)</f>
        <v>183759083.78486934</v>
      </c>
      <c r="H9" s="22" t="s">
        <v>734</v>
      </c>
    </row>
    <row r="10" spans="1:8" x14ac:dyDescent="0.25">
      <c r="A10" s="18" t="s">
        <v>165</v>
      </c>
      <c r="C10" s="17">
        <f>BS_Alif!C10</f>
        <v>978082.35400000005</v>
      </c>
      <c r="D10" s="17">
        <f>BS_VH!C10</f>
        <v>145144.77800000002</v>
      </c>
      <c r="E10" s="17">
        <f>-SUMIFS($H$53:$H$55,$G$53:$G$55,$H10)</f>
        <v>0</v>
      </c>
      <c r="F10" s="17">
        <f>SUM(C10:E10)</f>
        <v>1123227.132</v>
      </c>
      <c r="H10" s="22" t="s">
        <v>735</v>
      </c>
    </row>
    <row r="11" spans="1:8" x14ac:dyDescent="0.25">
      <c r="A11" s="18" t="s">
        <v>167</v>
      </c>
      <c r="C11" s="17">
        <f>BS_Alif!C11</f>
        <v>0</v>
      </c>
      <c r="D11" s="17">
        <f>BS_VH!C11</f>
        <v>104625.32</v>
      </c>
      <c r="E11" s="17">
        <f>-SUMIFS($H$53:$H$55,$G$53:$G$55,$H11)</f>
        <v>0</v>
      </c>
      <c r="F11" s="17">
        <f>SUM(C11:E11)</f>
        <v>104625.32</v>
      </c>
      <c r="H11" s="22" t="s">
        <v>736</v>
      </c>
    </row>
    <row r="12" spans="1:8" x14ac:dyDescent="0.25">
      <c r="A12" s="25" t="s">
        <v>169</v>
      </c>
      <c r="B12" s="26"/>
      <c r="C12" s="27">
        <f>SUM(C9:C11)</f>
        <v>157362495.96486935</v>
      </c>
      <c r="D12" s="27">
        <f>SUM(D9:D11)</f>
        <v>27624440.272</v>
      </c>
      <c r="E12" s="27">
        <f>SUM(E9:E11)</f>
        <v>0</v>
      </c>
      <c r="F12" s="27">
        <f>SUM(F9:F11)</f>
        <v>184986936.23686934</v>
      </c>
    </row>
    <row r="14" spans="1:8" x14ac:dyDescent="0.25">
      <c r="A14" s="10" t="s">
        <v>737</v>
      </c>
      <c r="B14" s="11"/>
      <c r="C14" s="11"/>
      <c r="D14" s="11"/>
      <c r="E14" s="11"/>
      <c r="F14" s="11"/>
    </row>
    <row r="15" spans="1:8" x14ac:dyDescent="0.25">
      <c r="A15" s="18" t="s">
        <v>172</v>
      </c>
      <c r="C15" s="17">
        <f>BS_Alif!C15</f>
        <v>68750141.290959969</v>
      </c>
      <c r="D15" s="17">
        <f>BS_VH!C15</f>
        <v>32176574.924999997</v>
      </c>
      <c r="E15" s="17">
        <f>-SUMIFS($H$53:$H$55,$G$53:$G$55,$H15)</f>
        <v>0</v>
      </c>
      <c r="F15" s="17">
        <f>SUM(C15:E15)</f>
        <v>100926716.21595997</v>
      </c>
      <c r="H15" s="22" t="s">
        <v>738</v>
      </c>
    </row>
    <row r="16" spans="1:8" x14ac:dyDescent="0.25">
      <c r="A16" s="18" t="s">
        <v>174</v>
      </c>
      <c r="C16" s="17">
        <f>BS_Alif!C16</f>
        <v>21529784.529504996</v>
      </c>
      <c r="D16" s="17">
        <f>BS_VH!C16</f>
        <v>6772222.0559999999</v>
      </c>
      <c r="E16" s="17">
        <f>-SUMIFS($H$53:$H$55,$G$53:$G$55,$H16)</f>
        <v>0</v>
      </c>
      <c r="F16" s="17">
        <f>SUM(C16:E16)</f>
        <v>28302006.585504994</v>
      </c>
      <c r="H16" s="22" t="s">
        <v>739</v>
      </c>
    </row>
    <row r="17" spans="1:10" x14ac:dyDescent="0.25">
      <c r="A17" s="18" t="s">
        <v>740</v>
      </c>
      <c r="C17" s="17">
        <f>BS_Alif!C17</f>
        <v>10246500.894000001</v>
      </c>
      <c r="D17" s="17">
        <f>BS_VH!C17</f>
        <v>711151.24900000007</v>
      </c>
      <c r="E17" s="17">
        <f>-SUMIFS($H$53:$H$55,$G$53:$G$55,$H17)</f>
        <v>0</v>
      </c>
      <c r="F17" s="17">
        <f>SUM(C17:E17)</f>
        <v>10957652.143000001</v>
      </c>
      <c r="H17" s="22" t="s">
        <v>741</v>
      </c>
    </row>
    <row r="18" spans="1:10" x14ac:dyDescent="0.25">
      <c r="A18" s="18" t="s">
        <v>178</v>
      </c>
      <c r="C18" s="17">
        <f>BS_Alif!C18</f>
        <v>30034455.425999999</v>
      </c>
      <c r="D18" s="17">
        <f>BS_VH!C18</f>
        <v>2763170.14</v>
      </c>
      <c r="E18" s="17">
        <f>-SUMIFS($H$53:$H$55,$G$53:$G$55,$H18)</f>
        <v>0</v>
      </c>
      <c r="F18" s="17">
        <f>SUM(C18:E18)</f>
        <v>32797625.566</v>
      </c>
      <c r="H18" s="22" t="s">
        <v>742</v>
      </c>
    </row>
    <row r="19" spans="1:10" x14ac:dyDescent="0.25">
      <c r="A19" s="25" t="s">
        <v>180</v>
      </c>
      <c r="B19" s="26"/>
      <c r="C19" s="27">
        <f>SUM(C15:C18)</f>
        <v>130560882.14046496</v>
      </c>
      <c r="D19" s="27">
        <f>SUM(D15:D18)</f>
        <v>42423118.369999997</v>
      </c>
      <c r="E19" s="27">
        <f>SUM(E15:E18)</f>
        <v>0</v>
      </c>
      <c r="F19" s="27">
        <f>SUM(F15:F18)</f>
        <v>172984000.51046497</v>
      </c>
    </row>
    <row r="21" spans="1:10" x14ac:dyDescent="0.25">
      <c r="A21" s="19" t="s">
        <v>182</v>
      </c>
      <c r="C21" s="31">
        <f>C12+C19</f>
        <v>287923378.10533428</v>
      </c>
      <c r="D21" s="31">
        <f>D12+D19</f>
        <v>70047558.64199999</v>
      </c>
      <c r="E21" s="31">
        <f>E12+E19</f>
        <v>0</v>
      </c>
      <c r="F21" s="31">
        <f>F12+F19</f>
        <v>357970936.7473343</v>
      </c>
    </row>
    <row r="23" spans="1:10" x14ac:dyDescent="0.25">
      <c r="A23" s="19" t="s">
        <v>743</v>
      </c>
    </row>
    <row r="24" spans="1:10" x14ac:dyDescent="0.25">
      <c r="A24" s="10" t="s">
        <v>744</v>
      </c>
      <c r="B24" s="11"/>
      <c r="C24" s="11"/>
      <c r="D24" s="11"/>
      <c r="E24" s="11"/>
      <c r="F24" s="11"/>
    </row>
    <row r="25" spans="1:10" x14ac:dyDescent="0.25">
      <c r="A25" s="18" t="s">
        <v>185</v>
      </c>
      <c r="C25" s="17">
        <f>BS_Alif!C25</f>
        <v>35335000</v>
      </c>
      <c r="D25" s="17">
        <f>BS_VH!C25</f>
        <v>500000</v>
      </c>
      <c r="E25" s="17">
        <f>-SUMIFS($H$53:$H$55,$G$53:$G$55,$H25)</f>
        <v>0</v>
      </c>
      <c r="F25" s="17">
        <f>SUM(C25:E25)</f>
        <v>35835000</v>
      </c>
      <c r="H25" s="22" t="s">
        <v>745</v>
      </c>
    </row>
    <row r="26" spans="1:10" x14ac:dyDescent="0.25">
      <c r="A26" s="18" t="s">
        <v>187</v>
      </c>
      <c r="C26" s="17">
        <f>BS_Alif!C26</f>
        <v>122255315.01000001</v>
      </c>
      <c r="D26" s="17">
        <f>BS_VH!C26</f>
        <v>22500000</v>
      </c>
      <c r="E26" s="17">
        <f>-SUMIFS($H$53:$H$55,$G$53:$G$55,$H26)</f>
        <v>0</v>
      </c>
      <c r="F26" s="17">
        <f>SUM(C26:E26)</f>
        <v>144755315.00999999</v>
      </c>
      <c r="H26" s="22" t="s">
        <v>746</v>
      </c>
    </row>
    <row r="27" spans="1:10" x14ac:dyDescent="0.25">
      <c r="A27" s="18" t="s">
        <v>189</v>
      </c>
      <c r="C27" s="17">
        <f>BS_Alif!C27</f>
        <v>7846137</v>
      </c>
      <c r="D27" s="17">
        <f>BS_VH!C27</f>
        <v>0</v>
      </c>
      <c r="E27" s="17">
        <f>-SUMIFS($H$53:$H$55,$G$53:$G$55,$H27)</f>
        <v>0</v>
      </c>
      <c r="F27" s="17">
        <f>SUM(C27:E27)</f>
        <v>7846137</v>
      </c>
      <c r="H27" s="22" t="s">
        <v>747</v>
      </c>
    </row>
    <row r="28" spans="1:10" x14ac:dyDescent="0.25">
      <c r="A28" s="18" t="s">
        <v>748</v>
      </c>
      <c r="C28" s="17">
        <f>BS_Alif!C28</f>
        <v>-107267178.55</v>
      </c>
      <c r="D28" s="17">
        <f>BS_VH!C28</f>
        <v>-16258798.721999999</v>
      </c>
      <c r="E28" s="17">
        <f>-SUMIFS($H$53:$H$55,$G$53:$G$55,$H28)</f>
        <v>0</v>
      </c>
      <c r="F28" s="17">
        <f>SUM(C28:E28)</f>
        <v>-123525977.272</v>
      </c>
      <c r="H28" s="22" t="s">
        <v>749</v>
      </c>
    </row>
    <row r="29" spans="1:10" x14ac:dyDescent="0.25">
      <c r="A29" s="18" t="s">
        <v>750</v>
      </c>
      <c r="C29" s="17">
        <f>IS_Alif!C65</f>
        <v>-40498412.990665749</v>
      </c>
      <c r="D29" s="17">
        <f>IS_VH!C65</f>
        <v>-1356565.6500000022</v>
      </c>
      <c r="E29" s="17">
        <f>IS_Consol!E65</f>
        <v>0</v>
      </c>
      <c r="F29" s="17">
        <f>SUM(C29:E29)</f>
        <v>-41854978.640665755</v>
      </c>
    </row>
    <row r="30" spans="1:10" x14ac:dyDescent="0.25">
      <c r="A30" s="18" t="s">
        <v>266</v>
      </c>
      <c r="E30" s="17">
        <f>SUMIFS($H$53:$H$55,$I$53:$I$55,"L")+SUMIFS($H$53:$H$55,$I$53:$I$55,"E")-SUMIFS($H$53:$H$55,$I$53:$I$55,"A")</f>
        <v>19243.861000000034</v>
      </c>
      <c r="F30" s="17">
        <f>E30</f>
        <v>19243.861000000034</v>
      </c>
      <c r="J30" s="29" t="s">
        <v>751</v>
      </c>
    </row>
    <row r="31" spans="1:10" x14ac:dyDescent="0.25">
      <c r="A31" s="25" t="s">
        <v>193</v>
      </c>
      <c r="B31" s="26"/>
      <c r="C31" s="27">
        <f>SUM(C25:C30)</f>
        <v>17670860.469334245</v>
      </c>
      <c r="D31" s="27">
        <f>SUM(D25:D30)</f>
        <v>5384635.6279999986</v>
      </c>
      <c r="E31" s="27">
        <f>SUM(E25:E30)</f>
        <v>19243.861000000034</v>
      </c>
      <c r="F31" s="27">
        <f>SUM(F25:F30)</f>
        <v>23074739.958334237</v>
      </c>
    </row>
    <row r="33" spans="1:8" x14ac:dyDescent="0.25">
      <c r="A33" s="10" t="s">
        <v>752</v>
      </c>
      <c r="B33" s="11"/>
      <c r="C33" s="11"/>
      <c r="D33" s="11"/>
      <c r="E33" s="11"/>
      <c r="F33" s="11"/>
    </row>
    <row r="34" spans="1:8" x14ac:dyDescent="0.25">
      <c r="A34" s="18" t="s">
        <v>196</v>
      </c>
      <c r="C34" s="17">
        <f>BS_Alif!C33</f>
        <v>101028551.85699999</v>
      </c>
      <c r="D34" s="17">
        <f>BS_VH!C33</f>
        <v>40404058.281000003</v>
      </c>
      <c r="E34" s="17">
        <f>-SUMIFS($H$53:$H$55,$G$53:$G$55,$H34)</f>
        <v>-19243.861000000034</v>
      </c>
      <c r="F34" s="17">
        <f>SUM(C34:E34)</f>
        <v>141413366.27700001</v>
      </c>
      <c r="H34" s="22" t="s">
        <v>753</v>
      </c>
    </row>
    <row r="35" spans="1:8" x14ac:dyDescent="0.25">
      <c r="A35" s="18" t="s">
        <v>198</v>
      </c>
      <c r="C35" s="17">
        <f>BS_Alif!C34</f>
        <v>4045880.9920000001</v>
      </c>
      <c r="D35" s="17">
        <f>BS_VH!C34</f>
        <v>812062.06599999999</v>
      </c>
      <c r="E35" s="17">
        <f>-SUMIFS($H$53:$H$55,$G$53:$G$55,$H35)</f>
        <v>0</v>
      </c>
      <c r="F35" s="17">
        <f>SUM(C35:E35)</f>
        <v>4857943.0580000002</v>
      </c>
      <c r="H35" s="22" t="s">
        <v>754</v>
      </c>
    </row>
    <row r="36" spans="1:8" x14ac:dyDescent="0.25">
      <c r="A36" s="18" t="s">
        <v>755</v>
      </c>
      <c r="C36" s="17">
        <f>BS_Alif!C35</f>
        <v>1165712.719</v>
      </c>
      <c r="D36" s="17">
        <f>BS_VH!C35</f>
        <v>142956.95800000001</v>
      </c>
      <c r="E36" s="17">
        <f>-SUMIFS($H$53:$H$55,$G$53:$G$55,$H36)</f>
        <v>0</v>
      </c>
      <c r="F36" s="17">
        <f>SUM(C36:E36)</f>
        <v>1308669.6770000001</v>
      </c>
      <c r="H36" s="22" t="s">
        <v>756</v>
      </c>
    </row>
    <row r="37" spans="1:8" x14ac:dyDescent="0.25">
      <c r="A37" s="18" t="s">
        <v>202</v>
      </c>
      <c r="C37" s="17">
        <f>BS_Alif!C36</f>
        <v>4931250.8490000004</v>
      </c>
      <c r="D37" s="17">
        <f>BS_VH!C36</f>
        <v>276000</v>
      </c>
      <c r="E37" s="17">
        <f>-SUMIFS($H$53:$H$55,$G$53:$G$55,$H37)</f>
        <v>0</v>
      </c>
      <c r="F37" s="17">
        <f>SUM(C37:E37)</f>
        <v>5207250.8490000004</v>
      </c>
      <c r="H37" s="22" t="s">
        <v>757</v>
      </c>
    </row>
    <row r="38" spans="1:8" x14ac:dyDescent="0.25">
      <c r="A38" s="25" t="s">
        <v>204</v>
      </c>
      <c r="B38" s="26"/>
      <c r="C38" s="27">
        <f>SUM(C34:C37)</f>
        <v>111171396.417</v>
      </c>
      <c r="D38" s="27">
        <f>SUM(D34:D37)</f>
        <v>41635077.305</v>
      </c>
      <c r="E38" s="27">
        <f>SUM(E34:E37)</f>
        <v>-19243.861000000034</v>
      </c>
      <c r="F38" s="27">
        <f>SUM(F34:F37)</f>
        <v>152787229.861</v>
      </c>
    </row>
    <row r="40" spans="1:8" x14ac:dyDescent="0.25">
      <c r="A40" s="10" t="s">
        <v>758</v>
      </c>
      <c r="B40" s="11"/>
      <c r="C40" s="11"/>
      <c r="D40" s="11"/>
      <c r="E40" s="11"/>
      <c r="F40" s="11"/>
    </row>
    <row r="41" spans="1:8" x14ac:dyDescent="0.25">
      <c r="A41" s="18" t="s">
        <v>207</v>
      </c>
      <c r="C41" s="17">
        <f>BS_Alif!C40</f>
        <v>136845302.74100003</v>
      </c>
      <c r="D41" s="17">
        <f>BS_VH!C40</f>
        <v>19773450.480999999</v>
      </c>
      <c r="E41" s="17">
        <f>-SUMIFS($H$53:$H$55,$G$53:$G$55,$H41)</f>
        <v>0</v>
      </c>
      <c r="F41" s="17">
        <f>SUM(C41:E41)</f>
        <v>156618753.22200003</v>
      </c>
      <c r="H41" s="22" t="s">
        <v>759</v>
      </c>
    </row>
    <row r="42" spans="1:8" x14ac:dyDescent="0.25">
      <c r="A42" s="18" t="s">
        <v>209</v>
      </c>
      <c r="C42" s="17">
        <f>BS_Alif!C41</f>
        <v>22235818.478000004</v>
      </c>
      <c r="D42" s="17">
        <f>BS_VH!C41</f>
        <v>3254395.2279999997</v>
      </c>
      <c r="E42" s="17">
        <f>-SUMIFS($H$53:$H$55,$G$53:$G$55,$H42)</f>
        <v>0</v>
      </c>
      <c r="F42" s="17">
        <f>SUM(C42:E42)</f>
        <v>25490213.706000004</v>
      </c>
      <c r="H42" s="22" t="s">
        <v>760</v>
      </c>
    </row>
    <row r="43" spans="1:8" x14ac:dyDescent="0.25">
      <c r="A43" s="18" t="s">
        <v>211</v>
      </c>
      <c r="C43" s="17">
        <f>BS_Alif!C42</f>
        <v>0</v>
      </c>
      <c r="D43" s="17">
        <f>BS_VH!C42</f>
        <v>0</v>
      </c>
      <c r="E43" s="17">
        <f>-SUMIFS($H$53:$H$55,$G$53:$G$55,$H43)</f>
        <v>0</v>
      </c>
      <c r="F43" s="17">
        <f>SUM(C43:E43)</f>
        <v>0</v>
      </c>
      <c r="H43" s="22" t="s">
        <v>761</v>
      </c>
    </row>
    <row r="44" spans="1:8" x14ac:dyDescent="0.25">
      <c r="A44" s="25" t="s">
        <v>213</v>
      </c>
      <c r="B44" s="26"/>
      <c r="C44" s="27">
        <f>SUM(C41:C43)</f>
        <v>159081121.21900004</v>
      </c>
      <c r="D44" s="27">
        <f>SUM(D41:D43)</f>
        <v>23027845.708999999</v>
      </c>
      <c r="E44" s="27">
        <f>SUM(E41:E43)</f>
        <v>0</v>
      </c>
      <c r="F44" s="27">
        <f>SUM(F41:F43)</f>
        <v>182108966.92800003</v>
      </c>
    </row>
    <row r="46" spans="1:8" x14ac:dyDescent="0.25">
      <c r="A46" s="19" t="s">
        <v>215</v>
      </c>
      <c r="C46" s="33">
        <f>C38+C44</f>
        <v>270252517.63600004</v>
      </c>
      <c r="D46" s="33">
        <f>D38+D44</f>
        <v>64662923.013999999</v>
      </c>
      <c r="E46" s="33">
        <f>E38+E44</f>
        <v>-19243.861000000034</v>
      </c>
      <c r="F46" s="33">
        <f>F38+F44</f>
        <v>334896196.78900003</v>
      </c>
    </row>
    <row r="48" spans="1:8" x14ac:dyDescent="0.25">
      <c r="A48" s="19" t="s">
        <v>217</v>
      </c>
      <c r="C48" s="31">
        <f>C31+C46</f>
        <v>287923378.10533428</v>
      </c>
      <c r="D48" s="31">
        <f>D31+D46</f>
        <v>70047558.64199999</v>
      </c>
      <c r="E48" s="31">
        <f>E31+E46</f>
        <v>0</v>
      </c>
      <c r="F48" s="31">
        <f>F31+F46</f>
        <v>357970936.74733424</v>
      </c>
    </row>
    <row r="49" spans="1:10" x14ac:dyDescent="0.25">
      <c r="A49" s="29" t="s">
        <v>762</v>
      </c>
      <c r="C49" s="34">
        <f>C21-C48</f>
        <v>0</v>
      </c>
      <c r="D49" s="34">
        <f>D21-D48</f>
        <v>0</v>
      </c>
      <c r="E49" s="34">
        <f>E21-E48</f>
        <v>0</v>
      </c>
      <c r="F49" s="34">
        <f>F21-F48</f>
        <v>0</v>
      </c>
      <c r="G49" s="29" t="s">
        <v>763</v>
      </c>
    </row>
    <row r="51" spans="1:10" x14ac:dyDescent="0.25">
      <c r="A51" s="29" t="s">
        <v>721</v>
      </c>
    </row>
    <row r="52" spans="1:10" x14ac:dyDescent="0.25">
      <c r="G52" s="20" t="s">
        <v>722</v>
      </c>
      <c r="H52" s="20" t="s">
        <v>764</v>
      </c>
      <c r="I52" s="20" t="s">
        <v>765</v>
      </c>
      <c r="J52" s="20" t="s">
        <v>725</v>
      </c>
    </row>
    <row r="53" spans="1:10" x14ac:dyDescent="0.25">
      <c r="G53" s="18" t="s">
        <v>753</v>
      </c>
      <c r="H53" s="17">
        <f>-SUMIF(TB_Input_Alif!$A:$A,270005,TB_Input_Alif!$F:$F)</f>
        <v>1625866.014</v>
      </c>
      <c r="I53" s="18" t="s">
        <v>766</v>
      </c>
      <c r="J53" s="29" t="s">
        <v>767</v>
      </c>
    </row>
    <row r="54" spans="1:10" x14ac:dyDescent="0.25">
      <c r="G54" s="18" t="s">
        <v>753</v>
      </c>
      <c r="H54" s="17">
        <f>-SUMIF(TB_Input_VH!$A:$A,330004,TB_Input_VH!$F:$F)</f>
        <v>-1606622.1529999999</v>
      </c>
      <c r="I54" s="18" t="s">
        <v>766</v>
      </c>
      <c r="J54" s="29" t="s">
        <v>768</v>
      </c>
    </row>
    <row r="55" spans="1:10" x14ac:dyDescent="0.25">
      <c r="G55" s="18"/>
      <c r="H55" s="32">
        <v>0</v>
      </c>
      <c r="I55" s="35"/>
      <c r="J55" s="29" t="s">
        <v>769</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I52"/>
  <sheetViews>
    <sheetView showGridLines="0" zoomScale="90" workbookViewId="0">
      <pane ySplit="6" topLeftCell="A16" activePane="bottomLeft" state="frozen"/>
      <selection pane="bottomLeft" activeCell="C16" sqref="C16"/>
    </sheetView>
  </sheetViews>
  <sheetFormatPr defaultRowHeight="15" x14ac:dyDescent="0.25"/>
  <cols>
    <col min="1" max="1" width="58" customWidth="1"/>
    <col min="2" max="2" width="2" customWidth="1"/>
    <col min="3" max="6" width="17" customWidth="1"/>
    <col min="8" max="8" width="40" customWidth="1"/>
  </cols>
  <sheetData>
    <row r="1" spans="1:8" ht="18.75" customHeight="1" x14ac:dyDescent="0.3">
      <c r="A1" s="6" t="s">
        <v>636</v>
      </c>
    </row>
    <row r="2" spans="1:8" x14ac:dyDescent="0.25">
      <c r="A2" s="19" t="s">
        <v>770</v>
      </c>
    </row>
    <row r="3" spans="1:8" x14ac:dyDescent="0.25">
      <c r="A3" s="7" t="s">
        <v>771</v>
      </c>
    </row>
    <row r="5" spans="1:8" x14ac:dyDescent="0.25">
      <c r="A5" s="20"/>
      <c r="B5" s="20"/>
      <c r="C5" s="21" t="s">
        <v>439</v>
      </c>
      <c r="D5" s="21" t="s">
        <v>440</v>
      </c>
      <c r="E5" s="21" t="s">
        <v>639</v>
      </c>
      <c r="F5" s="21" t="s">
        <v>441</v>
      </c>
      <c r="H5" s="22" t="s">
        <v>640</v>
      </c>
    </row>
    <row r="7" spans="1:8" x14ac:dyDescent="0.25">
      <c r="A7" s="10" t="s">
        <v>284</v>
      </c>
      <c r="B7" s="11"/>
      <c r="C7" s="11"/>
      <c r="D7" s="11"/>
      <c r="E7" s="11"/>
      <c r="F7" s="11"/>
    </row>
    <row r="8" spans="1:8" x14ac:dyDescent="0.25">
      <c r="A8" s="18" t="s">
        <v>772</v>
      </c>
      <c r="C8" s="17">
        <f>IS_Alif!C57</f>
        <v>-40498412.990665749</v>
      </c>
      <c r="D8" s="17">
        <f>IS_VH!C57</f>
        <v>-1356565.6500000022</v>
      </c>
      <c r="E8" s="17">
        <f>-SUMIFS($H$48:$H$50,$G$48:$G$50,$A8)</f>
        <v>0</v>
      </c>
      <c r="F8" s="17">
        <f>SUM(C8:E8)</f>
        <v>-41854978.640665755</v>
      </c>
    </row>
    <row r="9" spans="1:8" x14ac:dyDescent="0.25">
      <c r="A9" s="29" t="s">
        <v>773</v>
      </c>
    </row>
    <row r="10" spans="1:8" x14ac:dyDescent="0.25">
      <c r="A10" s="18" t="s">
        <v>774</v>
      </c>
      <c r="C10" s="17">
        <f>IS_Alif!C52+IS_Alif!C13</f>
        <v>8375830.8271307247</v>
      </c>
      <c r="D10" s="17">
        <f>IS_VH!C52+IS_VH!C13</f>
        <v>1082789.8199999998</v>
      </c>
      <c r="E10" s="17">
        <f>-SUMIFS($H$48:$H$50,$G$48:$G$50,$A10)</f>
        <v>0</v>
      </c>
      <c r="F10" s="17">
        <f>SUM(C10:E10)</f>
        <v>9458620.647130724</v>
      </c>
    </row>
    <row r="11" spans="1:8" x14ac:dyDescent="0.25">
      <c r="A11" s="18" t="s">
        <v>775</v>
      </c>
      <c r="C11" s="17">
        <f>IS_Alif!C53</f>
        <v>0</v>
      </c>
      <c r="D11" s="17">
        <f>IS_VH!C53</f>
        <v>0</v>
      </c>
      <c r="E11" s="17">
        <f>-SUMIFS($H$48:$H$50,$G$48:$G$50,$A11)</f>
        <v>0</v>
      </c>
      <c r="F11" s="17">
        <f>SUM(C11:E11)</f>
        <v>0</v>
      </c>
    </row>
    <row r="12" spans="1:8" x14ac:dyDescent="0.25">
      <c r="A12" s="18" t="s">
        <v>85</v>
      </c>
      <c r="C12" s="17">
        <f>IS_Alif!C54</f>
        <v>8880146.9840000011</v>
      </c>
      <c r="D12" s="17">
        <f>IS_VH!C54</f>
        <v>863818.04399999999</v>
      </c>
      <c r="E12" s="17">
        <f>-SUMIFS($H$48:$H$50,$G$48:$G$50,$A12)</f>
        <v>0</v>
      </c>
      <c r="F12" s="17">
        <f>SUM(C12:E12)</f>
        <v>9743965.0280000009</v>
      </c>
    </row>
    <row r="13" spans="1:8" x14ac:dyDescent="0.25">
      <c r="A13" s="18" t="s">
        <v>776</v>
      </c>
      <c r="C13" s="17">
        <f>-(SUMIFS(TB_Input_Alif!$F:$F,TB_Input_Alif!$I:$I,$H13,TB_Input_Alif!$G:$G,"BS")-SUMIFS(TB_Input_Alif!$C:$C,TB_Input_Alif!$I:$I,$H13,TB_Input_Alif!$G:$G,"BS"))</f>
        <v>155441.07200000016</v>
      </c>
      <c r="D13" s="17">
        <f>-(SUMIFS(TB_Input_VH!$F:$F,TB_Input_VH!$I:$I,$H13,TB_Input_VH!$G:$G,"BS")-SUMIFS(TB_Input_VH!$C:$C,TB_Input_VH!$I:$I,$H13,TB_Input_VH!$G:$G,"BS"))</f>
        <v>112925.06599999999</v>
      </c>
      <c r="E13" s="17">
        <v>0</v>
      </c>
      <c r="F13" s="17">
        <f>SUM(C13:E13)</f>
        <v>268366.13800000015</v>
      </c>
      <c r="H13" s="22" t="s">
        <v>754</v>
      </c>
    </row>
    <row r="14" spans="1:8" x14ac:dyDescent="0.25">
      <c r="A14" s="18" t="s">
        <v>777</v>
      </c>
      <c r="C14" s="17">
        <f>-(SUMIFS(TB_Input_Alif!$F:$F,TB_Input_Alif!$I:$I,$H14,TB_Input_Alif!$G:$G,"BS")-SUMIFS(TB_Input_Alif!$C:$C,TB_Input_Alif!$I:$I,$H14,TB_Input_Alif!$G:$G,"BS"))</f>
        <v>69077.900000000373</v>
      </c>
      <c r="D14" s="17">
        <f>-(SUMIFS(TB_Input_VH!$F:$F,TB_Input_VH!$I:$I,$H14,TB_Input_VH!$G:$G,"BS")-SUMIFS(TB_Input_VH!$C:$C,TB_Input_VH!$I:$I,$H14,TB_Input_VH!$G:$G,"BS"))</f>
        <v>0</v>
      </c>
      <c r="E14" s="17">
        <v>0</v>
      </c>
      <c r="F14" s="17">
        <f>SUM(C14:E14)</f>
        <v>69077.900000000373</v>
      </c>
      <c r="H14" s="22" t="s">
        <v>757</v>
      </c>
    </row>
    <row r="15" spans="1:8" x14ac:dyDescent="0.25">
      <c r="A15" s="29" t="s">
        <v>778</v>
      </c>
    </row>
    <row r="16" spans="1:8" x14ac:dyDescent="0.25">
      <c r="A16" s="18" t="s">
        <v>172</v>
      </c>
      <c r="C16" s="17">
        <f>-(SUMIFS(TB_Input_Alif!$F:$F,TB_Input_Alif!$I:$I,$H16,TB_Input_Alif!$G:$G,"BS")-SUMIFS(TB_Input_Alif!$C:$C,TB_Input_Alif!$I:$I,$H16,TB_Input_Alif!$G:$G,"BS"))</f>
        <v>37367450.355040044</v>
      </c>
      <c r="D16" s="17">
        <f>-(SUMIFS(TB_Input_VH!$F:$F,TB_Input_VH!$I:$I,$H16,TB_Input_VH!$G:$G,"BS")-SUMIFS(TB_Input_VH!$C:$C,TB_Input_VH!$I:$I,$H16,TB_Input_VH!$G:$G,"BS"))</f>
        <v>-24274129.400999997</v>
      </c>
      <c r="E16" s="17">
        <f>-SUMIFS($H$48:$H$50,$G$48:$G$50,$A16)</f>
        <v>0</v>
      </c>
      <c r="F16" s="17">
        <f>SUM(C16:E16)</f>
        <v>13093320.954040047</v>
      </c>
      <c r="H16" s="22" t="s">
        <v>738</v>
      </c>
    </row>
    <row r="17" spans="1:8" x14ac:dyDescent="0.25">
      <c r="A17" s="18" t="s">
        <v>174</v>
      </c>
      <c r="C17" s="17">
        <f>-(SUMIFS(TB_Input_Alif!$F:$F,TB_Input_Alif!$I:$I,$H17,TB_Input_Alif!$G:$G,"BS")-SUMIFS(TB_Input_Alif!$C:$C,TB_Input_Alif!$I:$I,$H17,TB_Input_Alif!$G:$G,"BS"))</f>
        <v>-2318054.0605049916</v>
      </c>
      <c r="D17" s="17">
        <f>-(SUMIFS(TB_Input_VH!$F:$F,TB_Input_VH!$I:$I,$H17,TB_Input_VH!$G:$G,"BS")-SUMIFS(TB_Input_VH!$C:$C,TB_Input_VH!$I:$I,$H17,TB_Input_VH!$G:$G,"BS"))</f>
        <v>-5338748.551</v>
      </c>
      <c r="E17" s="17">
        <f>-SUMIFS($H$48:$H$50,$G$48:$G$50,$A17)</f>
        <v>0</v>
      </c>
      <c r="F17" s="17">
        <f>SUM(C17:E17)</f>
        <v>-7656802.6115049915</v>
      </c>
      <c r="H17" s="22" t="s">
        <v>739</v>
      </c>
    </row>
    <row r="18" spans="1:8" x14ac:dyDescent="0.25">
      <c r="A18" s="18" t="s">
        <v>740</v>
      </c>
      <c r="C18" s="17">
        <f>-(SUMIFS(TB_Input_Alif!$F:$F,TB_Input_Alif!$I:$I,$H18,TB_Input_Alif!$G:$G,"BS")-SUMIFS(TB_Input_Alif!$C:$C,TB_Input_Alif!$I:$I,$H18,TB_Input_Alif!$G:$G,"BS"))</f>
        <v>-4497030.3660000004</v>
      </c>
      <c r="D18" s="17">
        <f>-(SUMIFS(TB_Input_VH!$F:$F,TB_Input_VH!$I:$I,$H18,TB_Input_VH!$G:$G,"BS")-SUMIFS(TB_Input_VH!$C:$C,TB_Input_VH!$I:$I,$H18,TB_Input_VH!$G:$G,"BS"))</f>
        <v>-621540.52300000004</v>
      </c>
      <c r="E18" s="17">
        <f>-SUMIFS($H$48:$H$50,$G$48:$G$50,$A18)</f>
        <v>0</v>
      </c>
      <c r="F18" s="17">
        <f>SUM(C18:E18)</f>
        <v>-5118570.8890000004</v>
      </c>
      <c r="H18" s="22" t="s">
        <v>741</v>
      </c>
    </row>
    <row r="19" spans="1:8" x14ac:dyDescent="0.25">
      <c r="A19" s="18" t="s">
        <v>209</v>
      </c>
      <c r="C19" s="17">
        <f>-(SUMIFS(TB_Input_Alif!$F:$F,TB_Input_Alif!$I:$I,$H19,TB_Input_Alif!$G:$G,"BS")-SUMIFS(TB_Input_Alif!$C:$C,TB_Input_Alif!$I:$I,$H19,TB_Input_Alif!$G:$G,"BS"))</f>
        <v>6024315.168000007</v>
      </c>
      <c r="D19" s="17">
        <f>-(SUMIFS(TB_Input_VH!$F:$F,TB_Input_VH!$I:$I,$H19,TB_Input_VH!$G:$G,"BS")-SUMIFS(TB_Input_VH!$C:$C,TB_Input_VH!$I:$I,$H19,TB_Input_VH!$G:$G,"BS"))</f>
        <v>3856655.9029999995</v>
      </c>
      <c r="E19" s="17">
        <f>-SUMIFS($H$48:$H$50,$G$48:$G$50,$A19)</f>
        <v>0</v>
      </c>
      <c r="F19" s="17">
        <f>SUM(C19:E19)</f>
        <v>9880971.071000006</v>
      </c>
      <c r="H19" s="22" t="s">
        <v>760</v>
      </c>
    </row>
    <row r="20" spans="1:8" x14ac:dyDescent="0.25">
      <c r="A20" s="18" t="s">
        <v>211</v>
      </c>
      <c r="C20" s="17">
        <f>-(SUMIFS(TB_Input_Alif!$F:$F,TB_Input_Alif!$I:$I,$H20,TB_Input_Alif!$G:$G,"BS")-SUMIFS(TB_Input_Alif!$C:$C,TB_Input_Alif!$I:$I,$H20,TB_Input_Alif!$G:$G,"BS"))</f>
        <v>0</v>
      </c>
      <c r="D20" s="17">
        <f>-(SUMIFS(TB_Input_VH!$F:$F,TB_Input_VH!$I:$I,$H20,TB_Input_VH!$G:$G,"BS")-SUMIFS(TB_Input_VH!$C:$C,TB_Input_VH!$I:$I,$H20,TB_Input_VH!$G:$G,"BS"))</f>
        <v>0</v>
      </c>
      <c r="E20" s="17">
        <f>-SUMIFS($H$48:$H$50,$G$48:$G$50,$A20)</f>
        <v>0</v>
      </c>
      <c r="F20" s="17">
        <f>SUM(C20:E20)</f>
        <v>0</v>
      </c>
      <c r="H20" s="22" t="s">
        <v>761</v>
      </c>
    </row>
    <row r="21" spans="1:8" x14ac:dyDescent="0.25">
      <c r="A21" s="23" t="s">
        <v>779</v>
      </c>
      <c r="C21" s="36">
        <f>C8+C10+C11+C12+C13+C14+SUM(C16:C20)</f>
        <v>13558764.889000043</v>
      </c>
      <c r="D21" s="36">
        <f>D8+D10+D11+D12+D13+D14+SUM(D16:D20)</f>
        <v>-25674795.291999996</v>
      </c>
      <c r="E21" s="36">
        <f>E8+E10+E11+E12+E13+E14+SUM(E16:E20)</f>
        <v>0</v>
      </c>
      <c r="F21" s="36">
        <f>F8+F10+F11+F12+F13+F14+SUM(F16:F20)</f>
        <v>-12116030.402999967</v>
      </c>
    </row>
    <row r="22" spans="1:8" x14ac:dyDescent="0.25">
      <c r="A22" s="18" t="s">
        <v>780</v>
      </c>
      <c r="C22" s="17">
        <f>-(SUMIFS(TB_Input_Alif!$F:$F,TB_Input_Alif!$I:$I,$H22,TB_Input_Alif!$G:$G,"IS")-SUMIFS(TB_Input_Alif!$C:$C,TB_Input_Alif!$I:$I,$H22,TB_Input_Alif!$G:$G,"IS"))</f>
        <v>0</v>
      </c>
      <c r="D22" s="17">
        <f>-(SUMIFS(TB_Input_VH!$F:$F,TB_Input_VH!$I:$I,$H22,TB_Input_VH!$G:$G,"IS")-SUMIFS(TB_Input_VH!$C:$C,TB_Input_VH!$I:$I,$H22,TB_Input_VH!$G:$G,"IS"))</f>
        <v>0</v>
      </c>
      <c r="E22" s="17">
        <v>0</v>
      </c>
      <c r="F22" s="17">
        <f>SUM(C22:E22)</f>
        <v>0</v>
      </c>
      <c r="H22" s="22" t="s">
        <v>714</v>
      </c>
    </row>
    <row r="23" spans="1:8" x14ac:dyDescent="0.25">
      <c r="A23" s="18" t="s">
        <v>311</v>
      </c>
      <c r="C23" s="17">
        <f>-IS_Alif!C54</f>
        <v>-8880146.9840000011</v>
      </c>
      <c r="D23" s="17">
        <f>-IS_VH!C54</f>
        <v>-863818.04399999999</v>
      </c>
      <c r="E23" s="17">
        <f>-SUMIFS($H$48:$H$50,$G$48:$G$50,$A23)</f>
        <v>0</v>
      </c>
      <c r="F23" s="17">
        <f>SUM(C23:E23)</f>
        <v>-9743965.0280000009</v>
      </c>
    </row>
    <row r="24" spans="1:8" x14ac:dyDescent="0.25">
      <c r="A24" s="25" t="s">
        <v>781</v>
      </c>
      <c r="B24" s="26"/>
      <c r="C24" s="27">
        <f>C21+C22+C23</f>
        <v>4678617.9050000422</v>
      </c>
      <c r="D24" s="27">
        <f>D21+D22+D23</f>
        <v>-26538613.335999995</v>
      </c>
      <c r="E24" s="27">
        <f>E21+E22+E23</f>
        <v>0</v>
      </c>
      <c r="F24" s="27">
        <f>F21+F22+F23</f>
        <v>-21859995.430999968</v>
      </c>
    </row>
    <row r="26" spans="1:8" x14ac:dyDescent="0.25">
      <c r="A26" s="10" t="s">
        <v>317</v>
      </c>
      <c r="B26" s="11"/>
      <c r="C26" s="11"/>
      <c r="D26" s="11"/>
      <c r="E26" s="11"/>
      <c r="F26" s="11"/>
    </row>
    <row r="27" spans="1:8" x14ac:dyDescent="0.25">
      <c r="A27" s="18" t="s">
        <v>782</v>
      </c>
      <c r="C27" s="17">
        <f>-(SUMIFS(TB_Input_Alif!$F:$F,TB_Input_Alif!$I:$I,"Property, plant and equipment",TB_Input_Alif!$G:$G,"BS")-SUMIFS(TB_Input_Alif!$C:$C,TB_Input_Alif!$I:$I,"Property, plant and equipment",TB_Input_Alif!$G:$G,"BS")+SUMIFS(TB_Input_Alif!$F:$F,TB_Input_Alif!$I:$I,"Right of use",TB_Input_Alif!$G:$G,"BS")-SUMIFS(TB_Input_Alif!$C:$C,TB_Input_Alif!$I:$I,"Right of use",TB_Input_Alif!$G:$G,"BS")+IS_Alif!C52+IS_Alif!C13)</f>
        <v>-3901265.9100000421</v>
      </c>
      <c r="D27" s="17">
        <f>-(SUMIFS(TB_Input_VH!$F:$F,TB_Input_VH!$I:$I,"Property, plant and equipment",TB_Input_VH!$G:$G,"BS")-SUMIFS(TB_Input_VH!$C:$C,TB_Input_VH!$I:$I,"Property, plant and equipment",TB_Input_VH!$G:$G,"BS")+SUMIFS(TB_Input_VH!$F:$F,TB_Input_VH!$I:$I,"Right of use",TB_Input_VH!$G:$G,"BS")-SUMIFS(TB_Input_VH!$C:$C,TB_Input_VH!$I:$I,"Right of use",TB_Input_VH!$G:$G,"BS")+IS_VH!C52+IS_VH!C13)</f>
        <v>-275995.8199999982</v>
      </c>
      <c r="E27" s="17">
        <f>-SUMIFS($H$48:$H$50,$G$48:$G$50,$A27)</f>
        <v>0</v>
      </c>
      <c r="F27" s="17">
        <f>SUM(C27:E27)</f>
        <v>-4177261.7300000405</v>
      </c>
      <c r="H27" s="22" t="s">
        <v>783</v>
      </c>
    </row>
    <row r="28" spans="1:8" x14ac:dyDescent="0.25">
      <c r="A28" s="18" t="s">
        <v>320</v>
      </c>
      <c r="C28" s="17">
        <f>-(SUMIFS(TB_Input_Alif!$F:$F,TB_Input_Alif!$I:$I,$H28,TB_Input_Alif!$G:$G,"BS")-SUMIFS(TB_Input_Alif!$C:$C,TB_Input_Alif!$I:$I,$H28,TB_Input_Alif!$G:$G,"BS"))</f>
        <v>0</v>
      </c>
      <c r="D28" s="17">
        <f>-(SUMIFS(TB_Input_VH!$F:$F,TB_Input_VH!$I:$I,$H28,TB_Input_VH!$G:$G,"BS")-SUMIFS(TB_Input_VH!$C:$C,TB_Input_VH!$I:$I,$H28,TB_Input_VH!$G:$G,"BS"))</f>
        <v>0</v>
      </c>
      <c r="E28" s="17">
        <v>0</v>
      </c>
      <c r="F28" s="17">
        <f>SUM(C28:E28)</f>
        <v>0</v>
      </c>
      <c r="H28" s="22" t="s">
        <v>736</v>
      </c>
    </row>
    <row r="29" spans="1:8" x14ac:dyDescent="0.25">
      <c r="A29" s="25" t="s">
        <v>784</v>
      </c>
      <c r="B29" s="26"/>
      <c r="C29" s="27">
        <f>C27+C28</f>
        <v>-3901265.9100000421</v>
      </c>
      <c r="D29" s="27">
        <f>D27+D28</f>
        <v>-275995.8199999982</v>
      </c>
      <c r="E29" s="27">
        <f>E27+E28</f>
        <v>0</v>
      </c>
      <c r="F29" s="27">
        <f>F27+F28</f>
        <v>-4177261.7300000405</v>
      </c>
    </row>
    <row r="31" spans="1:8" x14ac:dyDescent="0.25">
      <c r="A31" s="10" t="s">
        <v>324</v>
      </c>
      <c r="B31" s="11"/>
      <c r="C31" s="11"/>
      <c r="D31" s="11"/>
      <c r="E31" s="11"/>
      <c r="F31" s="11"/>
    </row>
    <row r="32" spans="1:8" x14ac:dyDescent="0.25">
      <c r="A32" s="18" t="s">
        <v>325</v>
      </c>
      <c r="C32" s="17">
        <f>-(SUMIFS(TB_Input_Alif!$F:$F,TB_Input_Alif!$I:$I,$H32,TB_Input_Alif!$G:$G,"BS")-SUMIFS(TB_Input_Alif!$C:$C,TB_Input_Alif!$I:$I,$H32,TB_Input_Alif!$G:$G,"BS"))</f>
        <v>-56551515.937999994</v>
      </c>
      <c r="D32" s="17">
        <f>-(SUMIFS(TB_Input_VH!$F:$F,TB_Input_VH!$I:$I,$H32,TB_Input_VH!$G:$G,"BS")-SUMIFS(TB_Input_VH!$C:$C,TB_Input_VH!$I:$I,$H32,TB_Input_VH!$G:$G,"BS"))</f>
        <v>19773450.557</v>
      </c>
      <c r="E32" s="17">
        <f t="shared" ref="E32:E38" si="0">-SUMIFS($H$48:$H$50,$G$48:$G$50,$A32)</f>
        <v>0</v>
      </c>
      <c r="F32" s="17">
        <f t="shared" ref="F32:F38" si="1">SUM(C32:E32)</f>
        <v>-36778065.380999997</v>
      </c>
      <c r="H32" s="22" t="s">
        <v>759</v>
      </c>
    </row>
    <row r="33" spans="1:9" x14ac:dyDescent="0.25">
      <c r="A33" s="18" t="s">
        <v>327</v>
      </c>
      <c r="C33" s="17">
        <f>-(SUMIFS(TB_Input_Alif!$F:$F,TB_Input_Alif!$I:$I,$H33,TB_Input_Alif!$G:$G,"BS")-SUMIFS(TB_Input_Alif!$C:$C,TB_Input_Alif!$I:$I,$H33,TB_Input_Alif!$G:$G,"BS"))</f>
        <v>85716023.720999986</v>
      </c>
      <c r="D33" s="17">
        <f>-(SUMIFS(TB_Input_VH!$F:$F,TB_Input_VH!$I:$I,$H33,TB_Input_VH!$G:$G,"BS")-SUMIFS(TB_Input_VH!$C:$C,TB_Input_VH!$I:$I,$H33,TB_Input_VH!$G:$G,"BS"))</f>
        <v>7493374.3810000047</v>
      </c>
      <c r="E33" s="17">
        <f t="shared" si="0"/>
        <v>0</v>
      </c>
      <c r="F33" s="17">
        <f t="shared" si="1"/>
        <v>93209398.101999998</v>
      </c>
      <c r="H33" s="22" t="s">
        <v>753</v>
      </c>
    </row>
    <row r="34" spans="1:9" x14ac:dyDescent="0.25">
      <c r="A34" s="18" t="s">
        <v>329</v>
      </c>
      <c r="C34" s="17">
        <f>-(SUMIFS(TB_Input_Alif!$F:$F,TB_Input_Alif!$I:$I,$H34,TB_Input_Alif!$G:$G,"BS")-SUMIFS(TB_Input_Alif!$C:$C,TB_Input_Alif!$I:$I,$H34,TB_Input_Alif!$G:$G,"BS"))</f>
        <v>-1420109.33</v>
      </c>
      <c r="D34" s="17">
        <f>-(SUMIFS(TB_Input_VH!$F:$F,TB_Input_VH!$I:$I,$H34,TB_Input_VH!$G:$G,"BS")-SUMIFS(TB_Input_VH!$C:$C,TB_Input_VH!$I:$I,$H34,TB_Input_VH!$G:$G,"BS"))</f>
        <v>7168.9980000000214</v>
      </c>
      <c r="E34" s="17">
        <f t="shared" si="0"/>
        <v>0</v>
      </c>
      <c r="F34" s="17">
        <f t="shared" si="1"/>
        <v>-1412940.3319999999</v>
      </c>
      <c r="H34" s="22" t="s">
        <v>756</v>
      </c>
    </row>
    <row r="35" spans="1:9" x14ac:dyDescent="0.25">
      <c r="A35" s="18" t="s">
        <v>785</v>
      </c>
      <c r="C35" s="17">
        <f>-(SUMIFS(TB_Input_Alif!$F:$F,TB_Input_Alif!$I:$I,$H35,TB_Input_Alif!$G:$G,"BS")-SUMIFS(TB_Input_Alif!$C:$C,TB_Input_Alif!$I:$I,$H35,TB_Input_Alif!$G:$G,"BS"))</f>
        <v>0</v>
      </c>
      <c r="D35" s="17">
        <f>-(SUMIFS(TB_Input_VH!$F:$F,TB_Input_VH!$I:$I,$H35,TB_Input_VH!$G:$G,"BS")-SUMIFS(TB_Input_VH!$C:$C,TB_Input_VH!$I:$I,$H35,TB_Input_VH!$G:$G,"BS"))</f>
        <v>0</v>
      </c>
      <c r="E35" s="17">
        <f t="shared" si="0"/>
        <v>0</v>
      </c>
      <c r="F35" s="17">
        <f t="shared" si="1"/>
        <v>0</v>
      </c>
      <c r="H35" s="22" t="s">
        <v>745</v>
      </c>
    </row>
    <row r="36" spans="1:9" x14ac:dyDescent="0.25">
      <c r="A36" s="18" t="s">
        <v>187</v>
      </c>
      <c r="C36" s="17">
        <f>-(SUMIFS(TB_Input_Alif!$F:$F,TB_Input_Alif!$I:$I,$H36,TB_Input_Alif!$G:$G,"BS")-SUMIFS(TB_Input_Alif!$C:$C,TB_Input_Alif!$I:$I,$H36,TB_Input_Alif!$G:$G,"BS"))</f>
        <v>0</v>
      </c>
      <c r="D36" s="17">
        <f>-(SUMIFS(TB_Input_VH!$F:$F,TB_Input_VH!$I:$I,$H36,TB_Input_VH!$G:$G,"BS")-SUMIFS(TB_Input_VH!$C:$C,TB_Input_VH!$I:$I,$H36,TB_Input_VH!$G:$G,"BS"))</f>
        <v>0</v>
      </c>
      <c r="E36" s="17">
        <f t="shared" si="0"/>
        <v>0</v>
      </c>
      <c r="F36" s="17">
        <f t="shared" si="1"/>
        <v>0</v>
      </c>
      <c r="H36" s="22" t="s">
        <v>746</v>
      </c>
    </row>
    <row r="37" spans="1:9" x14ac:dyDescent="0.25">
      <c r="A37" s="18" t="s">
        <v>786</v>
      </c>
      <c r="C37" s="17">
        <f>-(SUMIFS(TB_Input_Alif!$F:$F,TB_Input_Alif!$I:$I,$H37,TB_Input_Alif!$G:$G,"BS")-SUMIFS(TB_Input_Alif!$C:$C,TB_Input_Alif!$I:$I,$H37,TB_Input_Alif!$G:$G,"BS"))</f>
        <v>0</v>
      </c>
      <c r="D37" s="17">
        <f>-(SUMIFS(TB_Input_VH!$F:$F,TB_Input_VH!$I:$I,$H37,TB_Input_VH!$G:$G,"BS")-SUMIFS(TB_Input_VH!$C:$C,TB_Input_VH!$I:$I,$H37,TB_Input_VH!$G:$G,"BS"))</f>
        <v>0</v>
      </c>
      <c r="E37" s="17">
        <f t="shared" si="0"/>
        <v>0</v>
      </c>
      <c r="F37" s="17">
        <f t="shared" si="1"/>
        <v>0</v>
      </c>
      <c r="H37" s="22" t="s">
        <v>747</v>
      </c>
    </row>
    <row r="38" spans="1:9" x14ac:dyDescent="0.25">
      <c r="A38" s="18" t="s">
        <v>787</v>
      </c>
      <c r="C38" s="17">
        <f>-(SUMIFS(TB_Input_Alif!$F:$F,TB_Input_Alif!$I:$I,$H38,TB_Input_Alif!$G:$G,"BS")-SUMIFS(TB_Input_Alif!$C:$C,TB_Input_Alif!$I:$I,$H38,TB_Input_Alif!$G:$G,"BS"))</f>
        <v>0</v>
      </c>
      <c r="D38" s="17">
        <f>-(SUMIFS(TB_Input_VH!$F:$F,TB_Input_VH!$I:$I,$H38,TB_Input_VH!$G:$G,"BS")-SUMIFS(TB_Input_VH!$C:$C,TB_Input_VH!$I:$I,$H38,TB_Input_VH!$G:$G,"BS"))</f>
        <v>0</v>
      </c>
      <c r="E38" s="17">
        <f t="shared" si="0"/>
        <v>0</v>
      </c>
      <c r="F38" s="17">
        <f t="shared" si="1"/>
        <v>0</v>
      </c>
      <c r="H38" s="22" t="s">
        <v>749</v>
      </c>
    </row>
    <row r="39" spans="1:9" x14ac:dyDescent="0.25">
      <c r="A39" s="25" t="s">
        <v>788</v>
      </c>
      <c r="B39" s="26"/>
      <c r="C39" s="27">
        <f>SUM(C32:C38)</f>
        <v>27744398.452999994</v>
      </c>
      <c r="D39" s="27">
        <f>SUM(D32:D38)</f>
        <v>27273993.936000004</v>
      </c>
      <c r="E39" s="27">
        <f>SUM(E32:E38)</f>
        <v>0</v>
      </c>
      <c r="F39" s="27">
        <f>SUM(F32:F38)</f>
        <v>55018392.388999999</v>
      </c>
    </row>
    <row r="41" spans="1:9" x14ac:dyDescent="0.25">
      <c r="A41" s="19" t="s">
        <v>335</v>
      </c>
      <c r="C41" s="28">
        <f>C24+C29+C39</f>
        <v>28521750.447999995</v>
      </c>
      <c r="D41" s="28">
        <f>D24+D29+D39</f>
        <v>459384.78000001237</v>
      </c>
      <c r="E41" s="28">
        <f>E24+E29+E39</f>
        <v>0</v>
      </c>
      <c r="F41" s="28">
        <f>F24+F29+F39</f>
        <v>28981135.227999989</v>
      </c>
    </row>
    <row r="42" spans="1:9" x14ac:dyDescent="0.25">
      <c r="A42" s="18" t="s">
        <v>789</v>
      </c>
      <c r="C42" s="17">
        <f>SUMIFS(TB_Input_Alif!$C:$C,TB_Input_Alif!$I:$I,$H42,TB_Input_Alif!$G:$G,"BS")</f>
        <v>1512704.9779999997</v>
      </c>
      <c r="D42" s="17">
        <f>SUMIFS(TB_Input_VH!$C:$C,TB_Input_VH!$I:$I,$H42,TB_Input_VH!$G:$G,"BS")</f>
        <v>2303785.3600000003</v>
      </c>
      <c r="E42" s="17">
        <v>0</v>
      </c>
      <c r="F42" s="17">
        <f>SUM(C42:E42)</f>
        <v>3816490.338</v>
      </c>
      <c r="H42" s="22" t="s">
        <v>742</v>
      </c>
    </row>
    <row r="43" spans="1:9" x14ac:dyDescent="0.25">
      <c r="A43" s="19" t="s">
        <v>790</v>
      </c>
      <c r="C43" s="31">
        <f>C41+C42</f>
        <v>30034455.425999995</v>
      </c>
      <c r="D43" s="31">
        <f>D41+D42</f>
        <v>2763170.1400000127</v>
      </c>
      <c r="E43" s="31">
        <f>E41+E42</f>
        <v>0</v>
      </c>
      <c r="F43" s="31">
        <f>F41+F42</f>
        <v>32797625.565999988</v>
      </c>
    </row>
    <row r="44" spans="1:9" x14ac:dyDescent="0.25">
      <c r="A44" s="29" t="s">
        <v>791</v>
      </c>
      <c r="F44" s="34">
        <f>BS_Consol!F18-F43</f>
        <v>0</v>
      </c>
    </row>
    <row r="46" spans="1:9" x14ac:dyDescent="0.25">
      <c r="A46" s="29" t="s">
        <v>792</v>
      </c>
    </row>
    <row r="47" spans="1:9" x14ac:dyDescent="0.25">
      <c r="G47" s="20" t="s">
        <v>793</v>
      </c>
      <c r="H47" s="20" t="s">
        <v>794</v>
      </c>
      <c r="I47" s="20" t="s">
        <v>725</v>
      </c>
    </row>
    <row r="48" spans="1:9" x14ac:dyDescent="0.25">
      <c r="G48" s="18"/>
      <c r="H48" s="32">
        <v>0</v>
      </c>
      <c r="I48" s="29" t="s">
        <v>795</v>
      </c>
    </row>
    <row r="49" spans="1:9" x14ac:dyDescent="0.25">
      <c r="G49" s="18"/>
      <c r="H49" s="32">
        <v>0</v>
      </c>
      <c r="I49" s="29" t="s">
        <v>729</v>
      </c>
    </row>
    <row r="50" spans="1:9" x14ac:dyDescent="0.25">
      <c r="G50" s="18"/>
      <c r="H50" s="32">
        <v>0</v>
      </c>
      <c r="I50" s="29" t="s">
        <v>729</v>
      </c>
    </row>
    <row r="52" spans="1:9" x14ac:dyDescent="0.25">
      <c r="A52" s="29" t="s">
        <v>796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1F3864"/>
  </sheetPr>
  <dimension ref="A1:H67"/>
  <sheetViews>
    <sheetView showGridLines="0" zoomScale="90" workbookViewId="0">
      <pane ySplit="5" topLeftCell="A6" activePane="bottomLeft" state="frozen"/>
      <selection pane="bottomLeft"/>
    </sheetView>
  </sheetViews>
  <sheetFormatPr defaultRowHeight="15" x14ac:dyDescent="0.25"/>
  <cols>
    <col min="1" max="1" width="56" customWidth="1"/>
    <col min="2" max="2" width="2" customWidth="1"/>
    <col min="3" max="3" width="17" customWidth="1"/>
    <col min="8" max="8" width="40" customWidth="1"/>
  </cols>
  <sheetData>
    <row r="1" spans="1:8" ht="18.75" customHeight="1" x14ac:dyDescent="0.3">
      <c r="A1" s="6" t="s">
        <v>797</v>
      </c>
    </row>
    <row r="2" spans="1:8" x14ac:dyDescent="0.25">
      <c r="A2" s="19" t="s">
        <v>637</v>
      </c>
    </row>
    <row r="3" spans="1:8" x14ac:dyDescent="0.25">
      <c r="A3" s="7" t="s">
        <v>638</v>
      </c>
    </row>
    <row r="5" spans="1:8" x14ac:dyDescent="0.25">
      <c r="A5" s="23" t="s">
        <v>798</v>
      </c>
      <c r="C5" s="24" t="s">
        <v>799</v>
      </c>
      <c r="H5" s="22" t="s">
        <v>640</v>
      </c>
    </row>
    <row r="6" spans="1:8" x14ac:dyDescent="0.25">
      <c r="A6" s="23" t="s">
        <v>641</v>
      </c>
      <c r="C6" s="24">
        <f>-SUMIFS(TB_Input_Alif!$F:$F,TB_Input_Alif!$I:$I,$H6,TB_Input_Alif!$G:$G,"IS")+SUMIFS(TB_Input_Alif!$C:$C,TB_Input_Alif!$I:$I,$H6,TB_Input_Alif!$G:$G,"IS")</f>
        <v>126467923.87650502</v>
      </c>
      <c r="H6" s="22" t="s">
        <v>641</v>
      </c>
    </row>
    <row r="8" spans="1:8" x14ac:dyDescent="0.25">
      <c r="A8" s="10" t="s">
        <v>642</v>
      </c>
      <c r="B8" s="11"/>
      <c r="C8" s="11"/>
    </row>
    <row r="9" spans="1:8" x14ac:dyDescent="0.25">
      <c r="A9" s="18" t="s">
        <v>43</v>
      </c>
      <c r="C9" s="17">
        <f>SUMIFS(TB_Input_Alif!$F:$F,TB_Input_Alif!$I:$I,$H9,TB_Input_Alif!$G:$G,"IS")-SUMIFS(TB_Input_Alif!$C:$C,TB_Input_Alif!$I:$I,$H9,TB_Input_Alif!$G:$G,"IS")</f>
        <v>94755694.149040043</v>
      </c>
      <c r="H9" s="22" t="s">
        <v>643</v>
      </c>
    </row>
    <row r="10" spans="1:8" x14ac:dyDescent="0.25">
      <c r="A10" s="18" t="s">
        <v>644</v>
      </c>
      <c r="C10" s="17">
        <f>SUMIFS(TB_Input_Alif!$F:$F,TB_Input_Alif!$I:$I,$H10,TB_Input_Alif!$G:$G,"IS")-SUMIFS(TB_Input_Alif!$C:$C,TB_Input_Alif!$I:$I,$H10,TB_Input_Alif!$G:$G,"IS")</f>
        <v>15043742.535999998</v>
      </c>
      <c r="H10" s="22" t="s">
        <v>645</v>
      </c>
    </row>
    <row r="11" spans="1:8" x14ac:dyDescent="0.25">
      <c r="A11" s="18" t="s">
        <v>646</v>
      </c>
      <c r="C11" s="17">
        <f>SUMIFS(TB_Input_Alif!$F:$F,TB_Input_Alif!$I:$I,$H11,TB_Input_Alif!$G:$G,"IS")-SUMIFS(TB_Input_Alif!$C:$C,TB_Input_Alif!$I:$I,$H11,TB_Input_Alif!$G:$G,"IS")</f>
        <v>173224.88699999999</v>
      </c>
      <c r="H11" s="22" t="s">
        <v>647</v>
      </c>
    </row>
    <row r="12" spans="1:8" x14ac:dyDescent="0.25">
      <c r="A12" s="18" t="s">
        <v>49</v>
      </c>
      <c r="C12" s="17">
        <f>SUMIFS(TB_Input_Alif!$F:$F,TB_Input_Alif!$I:$I,$H12,TB_Input_Alif!$G:$G,"IS")-SUMIFS(TB_Input_Alif!$C:$C,TB_Input_Alif!$I:$I,$H12,TB_Input_Alif!$G:$G,"IS")</f>
        <v>2270031.3909999998</v>
      </c>
      <c r="H12" s="22" t="s">
        <v>648</v>
      </c>
    </row>
    <row r="13" spans="1:8" x14ac:dyDescent="0.25">
      <c r="A13" s="18" t="s">
        <v>649</v>
      </c>
      <c r="C13" s="17">
        <f>SUMIFS(TB_Input_Alif!$F:$F,TB_Input_Alif!$I:$I,$H13,TB_Input_Alif!$G:$G,"IS")-SUMIFS(TB_Input_Alif!$C:$C,TB_Input_Alif!$I:$I,$H13,TB_Input_Alif!$G:$G,"IS")</f>
        <v>6489832.7048807256</v>
      </c>
      <c r="H13" s="22" t="s">
        <v>650</v>
      </c>
    </row>
    <row r="14" spans="1:8" x14ac:dyDescent="0.25">
      <c r="A14" s="18" t="s">
        <v>651</v>
      </c>
      <c r="C14" s="17">
        <f>SUMIFS(TB_Input_Alif!$F:$F,TB_Input_Alif!$I:$I,$H14,TB_Input_Alif!$G:$G,"IS")-SUMIFS(TB_Input_Alif!$C:$C,TB_Input_Alif!$I:$I,$H14,TB_Input_Alif!$G:$G,"IS")</f>
        <v>3112107.3179999995</v>
      </c>
      <c r="H14" s="22" t="s">
        <v>652</v>
      </c>
    </row>
    <row r="15" spans="1:8" x14ac:dyDescent="0.25">
      <c r="A15" s="18" t="s">
        <v>653</v>
      </c>
      <c r="C15" s="17">
        <f>SUMIFS(TB_Input_Alif!$F:$F,TB_Input_Alif!$I:$I,$H15,TB_Input_Alif!$G:$G,"IS")-SUMIFS(TB_Input_Alif!$C:$C,TB_Input_Alif!$I:$I,$H15,TB_Input_Alif!$G:$G,"IS")</f>
        <v>3773.297</v>
      </c>
      <c r="H15" s="22" t="s">
        <v>654</v>
      </c>
    </row>
    <row r="16" spans="1:8" x14ac:dyDescent="0.25">
      <c r="A16" s="18" t="s">
        <v>655</v>
      </c>
      <c r="C16" s="17">
        <f>SUMIFS(TB_Input_Alif!$F:$F,TB_Input_Alif!$I:$I,$H16,TB_Input_Alif!$G:$G,"IS")-SUMIFS(TB_Input_Alif!$C:$C,TB_Input_Alif!$I:$I,$H16,TB_Input_Alif!$G:$G,"IS")</f>
        <v>5969397.0189999994</v>
      </c>
      <c r="H16" s="22" t="s">
        <v>656</v>
      </c>
    </row>
    <row r="17" spans="1:8" x14ac:dyDescent="0.25">
      <c r="A17" s="18" t="s">
        <v>657</v>
      </c>
      <c r="C17" s="17">
        <f>SUMIFS(TB_Input_Alif!$F:$F,TB_Input_Alif!$I:$I,$H17,TB_Input_Alif!$G:$G,"IS")-SUMIFS(TB_Input_Alif!$C:$C,TB_Input_Alif!$I:$I,$H17,TB_Input_Alif!$G:$G,"IS")</f>
        <v>3382853.5079999999</v>
      </c>
      <c r="H17" s="22" t="s">
        <v>658</v>
      </c>
    </row>
    <row r="18" spans="1:8" x14ac:dyDescent="0.25">
      <c r="A18" s="18" t="s">
        <v>659</v>
      </c>
      <c r="C18" s="17">
        <f>SUMIFS(TB_Input_Alif!$F:$F,TB_Input_Alif!$I:$I,$H18,TB_Input_Alif!$G:$G,"IS")-SUMIFS(TB_Input_Alif!$C:$C,TB_Input_Alif!$I:$I,$H18,TB_Input_Alif!$G:$G,"IS")</f>
        <v>358632.93099999998</v>
      </c>
      <c r="H18" s="22" t="s">
        <v>660</v>
      </c>
    </row>
    <row r="19" spans="1:8" x14ac:dyDescent="0.25">
      <c r="A19" s="18" t="s">
        <v>661</v>
      </c>
      <c r="C19" s="17">
        <f>SUMIFS(TB_Input_Alif!$F:$F,TB_Input_Alif!$I:$I,$H19,TB_Input_Alif!$G:$G,"IS")-SUMIFS(TB_Input_Alif!$C:$C,TB_Input_Alif!$I:$I,$H19,TB_Input_Alif!$G:$G,"IS")</f>
        <v>0</v>
      </c>
      <c r="H19" s="22" t="s">
        <v>662</v>
      </c>
    </row>
    <row r="20" spans="1:8" x14ac:dyDescent="0.25">
      <c r="A20" s="18" t="s">
        <v>663</v>
      </c>
      <c r="C20" s="17">
        <f>SUMIFS(TB_Input_Alif!$F:$F,TB_Input_Alif!$I:$I,$H20,TB_Input_Alif!$G:$G,"IS")-SUMIFS(TB_Input_Alif!$C:$C,TB_Input_Alif!$I:$I,$H20,TB_Input_Alif!$G:$G,"IS")</f>
        <v>2155822.341</v>
      </c>
      <c r="H20" s="22" t="s">
        <v>664</v>
      </c>
    </row>
    <row r="21" spans="1:8" x14ac:dyDescent="0.25">
      <c r="A21" s="25" t="s">
        <v>57</v>
      </c>
      <c r="B21" s="26"/>
      <c r="C21" s="27">
        <f>SUM(C9:C20)</f>
        <v>133715112.08192077</v>
      </c>
    </row>
    <row r="23" spans="1:8" x14ac:dyDescent="0.25">
      <c r="A23" s="19" t="s">
        <v>665</v>
      </c>
      <c r="C23" s="28">
        <f>C6-C21</f>
        <v>-7247188.2054157555</v>
      </c>
    </row>
    <row r="24" spans="1:8" x14ac:dyDescent="0.25">
      <c r="A24" s="29" t="s">
        <v>666</v>
      </c>
      <c r="C24" s="30">
        <f>C23/C6</f>
        <v>-5.7304555837356677E-2</v>
      </c>
    </row>
    <row r="26" spans="1:8" x14ac:dyDescent="0.25">
      <c r="A26" s="10" t="s">
        <v>667</v>
      </c>
      <c r="B26" s="11"/>
      <c r="C26" s="11"/>
    </row>
    <row r="27" spans="1:8" x14ac:dyDescent="0.25">
      <c r="A27" s="18" t="s">
        <v>668</v>
      </c>
      <c r="C27" s="17">
        <f>SUMIFS(TB_Input_Alif!$F:$F,TB_Input_Alif!$I:$I,$H27,TB_Input_Alif!$G:$G,"IS")-SUMIFS(TB_Input_Alif!$C:$C,TB_Input_Alif!$I:$I,$H27,TB_Input_Alif!$G:$G,"IS")</f>
        <v>9056.4580000000005</v>
      </c>
      <c r="H27" s="22" t="s">
        <v>669</v>
      </c>
    </row>
    <row r="28" spans="1:8" x14ac:dyDescent="0.25">
      <c r="A28" s="18" t="s">
        <v>670</v>
      </c>
      <c r="C28" s="17">
        <f>SUMIFS(TB_Input_Alif!$F:$F,TB_Input_Alif!$I:$I,$H28,TB_Input_Alif!$G:$G,"IS")-SUMIFS(TB_Input_Alif!$C:$C,TB_Input_Alif!$I:$I,$H28,TB_Input_Alif!$G:$G,"IS")</f>
        <v>127799.605</v>
      </c>
      <c r="H28" s="22" t="s">
        <v>671</v>
      </c>
    </row>
    <row r="29" spans="1:8" x14ac:dyDescent="0.25">
      <c r="A29" s="18" t="s">
        <v>672</v>
      </c>
      <c r="C29" s="17">
        <f>SUMIFS(TB_Input_Alif!$F:$F,TB_Input_Alif!$I:$I,$H29,TB_Input_Alif!$G:$G,"IS")-SUMIFS(TB_Input_Alif!$C:$C,TB_Input_Alif!$I:$I,$H29,TB_Input_Alif!$G:$G,"IS")</f>
        <v>0</v>
      </c>
      <c r="H29" s="22" t="s">
        <v>673</v>
      </c>
    </row>
    <row r="30" spans="1:8" x14ac:dyDescent="0.25">
      <c r="A30" s="18" t="s">
        <v>674</v>
      </c>
      <c r="C30" s="17">
        <f>SUMIFS(TB_Input_Alif!$F:$F,TB_Input_Alif!$I:$I,$H30,TB_Input_Alif!$G:$G,"IS")-SUMIFS(TB_Input_Alif!$C:$C,TB_Input_Alif!$I:$I,$H30,TB_Input_Alif!$G:$G,"IS")</f>
        <v>0</v>
      </c>
      <c r="H30" s="22" t="s">
        <v>675</v>
      </c>
    </row>
    <row r="31" spans="1:8" x14ac:dyDescent="0.25">
      <c r="A31" s="18" t="s">
        <v>676</v>
      </c>
      <c r="C31" s="17">
        <f>SUMIFS(TB_Input_Alif!$F:$F,TB_Input_Alif!$I:$I,$H31,TB_Input_Alif!$G:$G,"IS")-SUMIFS(TB_Input_Alif!$C:$C,TB_Input_Alif!$I:$I,$H31,TB_Input_Alif!$G:$G,"IS")</f>
        <v>9397186.9799999986</v>
      </c>
      <c r="H31" s="22" t="s">
        <v>677</v>
      </c>
    </row>
    <row r="32" spans="1:8" x14ac:dyDescent="0.25">
      <c r="A32" s="25" t="s">
        <v>678</v>
      </c>
      <c r="B32" s="26"/>
      <c r="C32" s="27">
        <f>SUM(C27:C31)</f>
        <v>9534043.0429999977</v>
      </c>
    </row>
    <row r="34" spans="1:8" x14ac:dyDescent="0.25">
      <c r="A34" s="10" t="s">
        <v>679</v>
      </c>
      <c r="B34" s="11"/>
      <c r="C34" s="11"/>
    </row>
    <row r="35" spans="1:8" x14ac:dyDescent="0.25">
      <c r="A35" s="18" t="s">
        <v>680</v>
      </c>
      <c r="C35" s="17">
        <f>SUMIFS(TB_Input_Alif!$F:$F,TB_Input_Alif!$I:$I,$H35,TB_Input_Alif!$G:$G,"IS")-SUMIFS(TB_Input_Alif!$C:$C,TB_Input_Alif!$I:$I,$H35,TB_Input_Alif!$G:$G,"IS")</f>
        <v>11195522.344000001</v>
      </c>
      <c r="H35" s="22" t="s">
        <v>681</v>
      </c>
    </row>
    <row r="36" spans="1:8" x14ac:dyDescent="0.25">
      <c r="A36" s="18" t="s">
        <v>682</v>
      </c>
      <c r="C36" s="17">
        <f>SUMIFS(TB_Input_Alif!$F:$F,TB_Input_Alif!$I:$I,$H36,TB_Input_Alif!$G:$G,"IS")-SUMIFS(TB_Input_Alif!$C:$C,TB_Input_Alif!$I:$I,$H36,TB_Input_Alif!$G:$G,"IS")</f>
        <v>772352.67300000007</v>
      </c>
      <c r="H36" s="22" t="s">
        <v>683</v>
      </c>
    </row>
    <row r="37" spans="1:8" x14ac:dyDescent="0.25">
      <c r="A37" s="18" t="s">
        <v>684</v>
      </c>
      <c r="C37" s="17">
        <f>SUMIFS(TB_Input_Alif!$F:$F,TB_Input_Alif!$I:$I,$H37,TB_Input_Alif!$G:$G,"IS")-SUMIFS(TB_Input_Alif!$C:$C,TB_Input_Alif!$I:$I,$H37,TB_Input_Alif!$G:$G,"IS")</f>
        <v>253285.35500000004</v>
      </c>
      <c r="H37" s="22" t="s">
        <v>685</v>
      </c>
    </row>
    <row r="38" spans="1:8" x14ac:dyDescent="0.25">
      <c r="A38" s="18" t="s">
        <v>686</v>
      </c>
      <c r="C38" s="17">
        <f>SUMIFS(TB_Input_Alif!$F:$F,TB_Input_Alif!$I:$I,$H38,TB_Input_Alif!$G:$G,"IS")-SUMIFS(TB_Input_Alif!$C:$C,TB_Input_Alif!$I:$I,$H38,TB_Input_Alif!$G:$G,"IS")</f>
        <v>0</v>
      </c>
      <c r="H38" s="22" t="s">
        <v>687</v>
      </c>
    </row>
    <row r="39" spans="1:8" x14ac:dyDescent="0.25">
      <c r="A39" s="18" t="s">
        <v>688</v>
      </c>
      <c r="C39" s="17">
        <f>SUMIFS(TB_Input_Alif!$F:$F,TB_Input_Alif!$I:$I,$H39,TB_Input_Alif!$G:$G,"IS")-SUMIFS(TB_Input_Alif!$C:$C,TB_Input_Alif!$I:$I,$H39,TB_Input_Alif!$G:$G,"IS")</f>
        <v>536718.321</v>
      </c>
      <c r="H39" s="22" t="s">
        <v>689</v>
      </c>
    </row>
    <row r="40" spans="1:8" x14ac:dyDescent="0.25">
      <c r="A40" s="18" t="s">
        <v>690</v>
      </c>
      <c r="C40" s="17">
        <f>SUMIFS(TB_Input_Alif!$F:$F,TB_Input_Alif!$I:$I,$H40,TB_Input_Alif!$G:$G,"IS")-SUMIFS(TB_Input_Alif!$C:$C,TB_Input_Alif!$I:$I,$H40,TB_Input_Alif!$G:$G,"IS")</f>
        <v>369690.55</v>
      </c>
      <c r="H40" s="22" t="s">
        <v>691</v>
      </c>
    </row>
    <row r="41" spans="1:8" x14ac:dyDescent="0.25">
      <c r="A41" s="18" t="s">
        <v>692</v>
      </c>
      <c r="C41" s="17">
        <f>SUMIFS(TB_Input_Alif!$F:$F,TB_Input_Alif!$I:$I,$H41,TB_Input_Alif!$G:$G,"IS")-SUMIFS(TB_Input_Alif!$C:$C,TB_Input_Alif!$I:$I,$H41,TB_Input_Alif!$G:$G,"IS")</f>
        <v>75052.053</v>
      </c>
      <c r="H41" s="22" t="s">
        <v>693</v>
      </c>
    </row>
    <row r="42" spans="1:8" x14ac:dyDescent="0.25">
      <c r="A42" s="18" t="s">
        <v>694</v>
      </c>
      <c r="C42" s="17">
        <f>SUMIFS(TB_Input_Alif!$F:$F,TB_Input_Alif!$I:$I,$H42,TB_Input_Alif!$G:$G,"IS")-SUMIFS(TB_Input_Alif!$C:$C,TB_Input_Alif!$I:$I,$H42,TB_Input_Alif!$G:$G,"IS")</f>
        <v>114815.34</v>
      </c>
      <c r="H42" s="22" t="s">
        <v>695</v>
      </c>
    </row>
    <row r="43" spans="1:8" x14ac:dyDescent="0.25">
      <c r="A43" s="18" t="s">
        <v>696</v>
      </c>
      <c r="C43" s="17">
        <f>SUMIFS(TB_Input_Alif!$F:$F,TB_Input_Alif!$I:$I,$H43,TB_Input_Alif!$G:$G,"IS")-SUMIFS(TB_Input_Alif!$C:$C,TB_Input_Alif!$I:$I,$H43,TB_Input_Alif!$G:$G,"IS")</f>
        <v>0</v>
      </c>
      <c r="H43" s="22" t="s">
        <v>697</v>
      </c>
    </row>
    <row r="44" spans="1:8" x14ac:dyDescent="0.25">
      <c r="A44" s="25" t="s">
        <v>698</v>
      </c>
      <c r="B44" s="26"/>
      <c r="C44" s="27">
        <f>SUM(C35:C43)</f>
        <v>13317436.636000002</v>
      </c>
    </row>
    <row r="46" spans="1:8" x14ac:dyDescent="0.25">
      <c r="A46" s="18" t="s">
        <v>699</v>
      </c>
      <c r="C46" s="17">
        <f>SUMIFS(TB_Input_Alif!$F:$F,TB_Input_Alif!$I:$I,$H46,TB_Input_Alif!$G:$G,"IS")-SUMIFS(TB_Input_Alif!$C:$C,TB_Input_Alif!$I:$I,$H46,TB_Input_Alif!$G:$G,"IS")</f>
        <v>0</v>
      </c>
      <c r="H46" s="22" t="s">
        <v>700</v>
      </c>
    </row>
    <row r="47" spans="1:8" x14ac:dyDescent="0.25">
      <c r="A47" s="18" t="s">
        <v>701</v>
      </c>
      <c r="C47" s="17">
        <f>SUMIFS(TB_Input_Alif!$F:$F,TB_Input_Alif!$I:$I,$H47,TB_Input_Alif!$G:$G,"IS")-SUMIFS(TB_Input_Alif!$C:$C,TB_Input_Alif!$I:$I,$H47,TB_Input_Alif!$G:$G,"IS")</f>
        <v>0</v>
      </c>
      <c r="H47" s="22" t="s">
        <v>702</v>
      </c>
    </row>
    <row r="49" spans="1:8" x14ac:dyDescent="0.25">
      <c r="A49" s="19" t="s">
        <v>81</v>
      </c>
      <c r="C49" s="28">
        <f>C23-C32-C44-C46-C47</f>
        <v>-30098667.884415753</v>
      </c>
    </row>
    <row r="50" spans="1:8" x14ac:dyDescent="0.25">
      <c r="A50" s="29" t="s">
        <v>703</v>
      </c>
      <c r="C50" s="30">
        <f>C49/C6</f>
        <v>-0.23799448082825236</v>
      </c>
    </row>
    <row r="52" spans="1:8" x14ac:dyDescent="0.25">
      <c r="A52" s="18" t="s">
        <v>704</v>
      </c>
      <c r="C52" s="17">
        <f>SUMIFS(TB_Input_Alif!$F:$F,TB_Input_Alif!$I:$I,$H52,TB_Input_Alif!$G:$G,"IS")-SUMIFS(TB_Input_Alif!$C:$C,TB_Input_Alif!$I:$I,$H52,TB_Input_Alif!$G:$G,"IS")</f>
        <v>1885998.1222499991</v>
      </c>
      <c r="H52" s="22" t="s">
        <v>705</v>
      </c>
    </row>
    <row r="53" spans="1:8" x14ac:dyDescent="0.25">
      <c r="A53" s="18" t="s">
        <v>706</v>
      </c>
      <c r="C53" s="17">
        <f>SUMIFS(TB_Input_Alif!$F:$F,TB_Input_Alif!$I:$I,$H53,TB_Input_Alif!$G:$G,"IS")-SUMIFS(TB_Input_Alif!$C:$C,TB_Input_Alif!$I:$I,$H53,TB_Input_Alif!$G:$G,"IS")</f>
        <v>0</v>
      </c>
      <c r="H53" s="22" t="s">
        <v>707</v>
      </c>
    </row>
    <row r="54" spans="1:8" x14ac:dyDescent="0.25">
      <c r="A54" s="18" t="s">
        <v>708</v>
      </c>
      <c r="C54" s="17">
        <f>SUMIFS(TB_Input_Alif!$F:$F,TB_Input_Alif!$I:$I,$H54,TB_Input_Alif!$G:$G,"IS")-SUMIFS(TB_Input_Alif!$C:$C,TB_Input_Alif!$I:$I,$H54,TB_Input_Alif!$G:$G,"IS")</f>
        <v>8880146.9840000011</v>
      </c>
      <c r="H54" s="22" t="s">
        <v>709</v>
      </c>
    </row>
    <row r="55" spans="1:8" x14ac:dyDescent="0.25">
      <c r="A55" s="18" t="s">
        <v>710</v>
      </c>
      <c r="C55" s="17">
        <f>-SUMIFS(TB_Input_Alif!$F:$F,TB_Input_Alif!$I:$I,$H55,TB_Input_Alif!$G:$G,"IS")+SUMIFS(TB_Input_Alif!$C:$C,TB_Input_Alif!$I:$I,$H55,TB_Input_Alif!$G:$G,"IS")</f>
        <v>366400</v>
      </c>
      <c r="H55" s="22" t="s">
        <v>711</v>
      </c>
    </row>
    <row r="57" spans="1:8" x14ac:dyDescent="0.25">
      <c r="A57" s="19" t="s">
        <v>712</v>
      </c>
      <c r="C57" s="28">
        <f>C49-C52-C53-C54+C55</f>
        <v>-40498412.990665749</v>
      </c>
    </row>
    <row r="59" spans="1:8" x14ac:dyDescent="0.25">
      <c r="A59" s="18" t="s">
        <v>713</v>
      </c>
      <c r="C59" s="17">
        <f>SUMIFS(TB_Input_Alif!$F:$F,TB_Input_Alif!$I:$I,$H59,TB_Input_Alif!$G:$G,"IS")-SUMIFS(TB_Input_Alif!$C:$C,TB_Input_Alif!$I:$I,$H59,TB_Input_Alif!$G:$G,"IS")</f>
        <v>0</v>
      </c>
      <c r="H59" s="22" t="s">
        <v>714</v>
      </c>
    </row>
    <row r="60" spans="1:8" x14ac:dyDescent="0.25">
      <c r="A60" s="19" t="s">
        <v>715</v>
      </c>
      <c r="C60" s="31">
        <f>C57-C59</f>
        <v>-40498412.990665749</v>
      </c>
    </row>
    <row r="61" spans="1:8" x14ac:dyDescent="0.25">
      <c r="A61" s="29" t="s">
        <v>716</v>
      </c>
      <c r="C61" s="30">
        <f>C60/C6</f>
        <v>-0.32022675591806304</v>
      </c>
    </row>
    <row r="63" spans="1:8" x14ac:dyDescent="0.25">
      <c r="A63" s="23" t="s">
        <v>717</v>
      </c>
    </row>
    <row r="64" spans="1:8" x14ac:dyDescent="0.25">
      <c r="A64" s="18" t="s">
        <v>718</v>
      </c>
      <c r="C64" s="17">
        <f>-SUMIFS(TB_Input_Alif!$F:$F,TB_Input_Alif!$I:$I,$H64,TB_Input_Alif!$G:$G,"IS")+SUMIFS(TB_Input_Alif!$C:$C,TB_Input_Alif!$I:$I,$H64,TB_Input_Alif!$G:$G,"IS")</f>
        <v>0</v>
      </c>
      <c r="H64" s="22" t="s">
        <v>719</v>
      </c>
    </row>
    <row r="65" spans="1:3" x14ac:dyDescent="0.25">
      <c r="A65" s="19" t="s">
        <v>720</v>
      </c>
      <c r="C65" s="31">
        <f>C60+C64</f>
        <v>-40498412.990665749</v>
      </c>
    </row>
    <row r="67" spans="1:3" x14ac:dyDescent="0.25">
      <c r="A67" s="29" t="s">
        <v>800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H50"/>
  <sheetViews>
    <sheetView showGridLines="0" zoomScale="90" workbookViewId="0">
      <pane ySplit="6" topLeftCell="A7" activePane="bottomLeft" state="frozen"/>
      <selection pane="bottomLeft"/>
    </sheetView>
  </sheetViews>
  <sheetFormatPr defaultRowHeight="15" x14ac:dyDescent="0.25"/>
  <cols>
    <col min="1" max="1" width="56" customWidth="1"/>
    <col min="2" max="2" width="2" customWidth="1"/>
    <col min="3" max="4" width="17" customWidth="1"/>
    <col min="8" max="8" width="40" customWidth="1"/>
  </cols>
  <sheetData>
    <row r="1" spans="1:8" ht="18.75" customHeight="1" x14ac:dyDescent="0.3">
      <c r="A1" s="6" t="s">
        <v>797</v>
      </c>
    </row>
    <row r="2" spans="1:8" x14ac:dyDescent="0.25">
      <c r="A2" s="19" t="s">
        <v>730</v>
      </c>
    </row>
    <row r="3" spans="1:8" x14ac:dyDescent="0.25">
      <c r="A3" s="7" t="s">
        <v>731</v>
      </c>
    </row>
    <row r="5" spans="1:8" x14ac:dyDescent="0.25">
      <c r="C5" s="24" t="s">
        <v>801</v>
      </c>
      <c r="D5" s="24" t="s">
        <v>802</v>
      </c>
      <c r="H5" s="22" t="s">
        <v>640</v>
      </c>
    </row>
    <row r="7" spans="1:8" x14ac:dyDescent="0.25">
      <c r="A7" s="19" t="s">
        <v>732</v>
      </c>
    </row>
    <row r="8" spans="1:8" x14ac:dyDescent="0.25">
      <c r="A8" s="10" t="s">
        <v>733</v>
      </c>
      <c r="B8" s="11"/>
      <c r="C8" s="11"/>
      <c r="D8" s="11"/>
    </row>
    <row r="9" spans="1:8" x14ac:dyDescent="0.25">
      <c r="A9" s="18" t="s">
        <v>163</v>
      </c>
      <c r="C9" s="17">
        <f>SUMIFS(TB_Input_Alif!$F:$F,TB_Input_Alif!$I:$I,$H9,TB_Input_Alif!$G:$G,"BS")</f>
        <v>156384413.61086935</v>
      </c>
      <c r="D9" s="17">
        <f>SUMIFS(TB_Input_Alif!$C:$C,TB_Input_Alif!$I:$I,$H9,TB_Input_Alif!$G:$G,"BS")</f>
        <v>159291416.53000003</v>
      </c>
      <c r="H9" s="22" t="s">
        <v>734</v>
      </c>
    </row>
    <row r="10" spans="1:8" x14ac:dyDescent="0.25">
      <c r="A10" s="18" t="s">
        <v>165</v>
      </c>
      <c r="C10" s="17">
        <f>SUMIFS(TB_Input_Alif!$F:$F,TB_Input_Alif!$I:$I,$H10,TB_Input_Alif!$G:$G,"BS")</f>
        <v>978082.35400000005</v>
      </c>
      <c r="D10" s="17">
        <f>SUMIFS(TB_Input_Alif!$C:$C,TB_Input_Alif!$I:$I,$H10,TB_Input_Alif!$G:$G,"BS")</f>
        <v>2545644.352</v>
      </c>
      <c r="H10" s="22" t="s">
        <v>735</v>
      </c>
    </row>
    <row r="11" spans="1:8" x14ac:dyDescent="0.25">
      <c r="A11" s="18" t="s">
        <v>167</v>
      </c>
      <c r="C11" s="17">
        <f>SUMIFS(TB_Input_Alif!$F:$F,TB_Input_Alif!$I:$I,$H11,TB_Input_Alif!$G:$G,"BS")</f>
        <v>0</v>
      </c>
      <c r="D11" s="17">
        <f>SUMIFS(TB_Input_Alif!$C:$C,TB_Input_Alif!$I:$I,$H11,TB_Input_Alif!$G:$G,"BS")</f>
        <v>0</v>
      </c>
      <c r="H11" s="22" t="s">
        <v>736</v>
      </c>
    </row>
    <row r="12" spans="1:8" x14ac:dyDescent="0.25">
      <c r="A12" s="25" t="s">
        <v>169</v>
      </c>
      <c r="B12" s="26"/>
      <c r="C12" s="27">
        <f>SUM(C9:C11)</f>
        <v>157362495.96486935</v>
      </c>
      <c r="D12" s="27">
        <f>SUM(D9:D11)</f>
        <v>161837060.88200003</v>
      </c>
    </row>
    <row r="14" spans="1:8" x14ac:dyDescent="0.25">
      <c r="A14" s="10" t="s">
        <v>737</v>
      </c>
      <c r="B14" s="11"/>
      <c r="C14" s="11"/>
      <c r="D14" s="11"/>
    </row>
    <row r="15" spans="1:8" x14ac:dyDescent="0.25">
      <c r="A15" s="18" t="s">
        <v>172</v>
      </c>
      <c r="C15" s="17">
        <f>SUMIFS(TB_Input_Alif!$F:$F,TB_Input_Alif!$I:$I,$H15,TB_Input_Alif!$G:$G,"BS")</f>
        <v>68750141.290959969</v>
      </c>
      <c r="D15" s="17">
        <f>SUMIFS(TB_Input_Alif!$C:$C,TB_Input_Alif!$I:$I,$H15,TB_Input_Alif!$G:$G,"BS")</f>
        <v>106117591.64600001</v>
      </c>
      <c r="H15" s="22" t="s">
        <v>738</v>
      </c>
    </row>
    <row r="16" spans="1:8" x14ac:dyDescent="0.25">
      <c r="A16" s="18" t="s">
        <v>174</v>
      </c>
      <c r="C16" s="17">
        <f>SUMIFS(TB_Input_Alif!$F:$F,TB_Input_Alif!$I:$I,$H16,TB_Input_Alif!$G:$G,"BS")</f>
        <v>21529784.529504996</v>
      </c>
      <c r="D16" s="17">
        <f>SUMIFS(TB_Input_Alif!$C:$C,TB_Input_Alif!$I:$I,$H16,TB_Input_Alif!$G:$G,"BS")</f>
        <v>19211730.469000004</v>
      </c>
      <c r="H16" s="22" t="s">
        <v>739</v>
      </c>
    </row>
    <row r="17" spans="1:8" x14ac:dyDescent="0.25">
      <c r="A17" s="18" t="s">
        <v>740</v>
      </c>
      <c r="C17" s="17">
        <f>SUMIFS(TB_Input_Alif!$F:$F,TB_Input_Alif!$I:$I,$H17,TB_Input_Alif!$G:$G,"BS")</f>
        <v>10246500.894000001</v>
      </c>
      <c r="D17" s="17">
        <f>SUMIFS(TB_Input_Alif!$C:$C,TB_Input_Alif!$I:$I,$H17,TB_Input_Alif!$G:$G,"BS")</f>
        <v>5749470.5280000009</v>
      </c>
      <c r="H17" s="22" t="s">
        <v>741</v>
      </c>
    </row>
    <row r="18" spans="1:8" x14ac:dyDescent="0.25">
      <c r="A18" s="18" t="s">
        <v>178</v>
      </c>
      <c r="C18" s="17">
        <f>SUMIFS(TB_Input_Alif!$F:$F,TB_Input_Alif!$I:$I,$H18,TB_Input_Alif!$G:$G,"BS")</f>
        <v>30034455.425999999</v>
      </c>
      <c r="D18" s="17">
        <f>SUMIFS(TB_Input_Alif!$C:$C,TB_Input_Alif!$I:$I,$H18,TB_Input_Alif!$G:$G,"BS")</f>
        <v>1512704.9779999997</v>
      </c>
      <c r="H18" s="22" t="s">
        <v>742</v>
      </c>
    </row>
    <row r="19" spans="1:8" x14ac:dyDescent="0.25">
      <c r="A19" s="25" t="s">
        <v>180</v>
      </c>
      <c r="B19" s="26"/>
      <c r="C19" s="27">
        <f>SUM(C15:C18)</f>
        <v>130560882.14046496</v>
      </c>
      <c r="D19" s="27">
        <f>SUM(D15:D18)</f>
        <v>132591497.62100001</v>
      </c>
    </row>
    <row r="21" spans="1:8" x14ac:dyDescent="0.25">
      <c r="A21" s="19" t="s">
        <v>182</v>
      </c>
      <c r="C21" s="31">
        <f>C12+C19</f>
        <v>287923378.10533428</v>
      </c>
      <c r="D21" s="31">
        <f>D12+D19</f>
        <v>294428558.50300002</v>
      </c>
    </row>
    <row r="23" spans="1:8" x14ac:dyDescent="0.25">
      <c r="A23" s="19" t="s">
        <v>743</v>
      </c>
    </row>
    <row r="24" spans="1:8" x14ac:dyDescent="0.25">
      <c r="A24" s="10" t="s">
        <v>744</v>
      </c>
      <c r="B24" s="11"/>
      <c r="C24" s="11"/>
      <c r="D24" s="11"/>
    </row>
    <row r="25" spans="1:8" x14ac:dyDescent="0.25">
      <c r="A25" s="18" t="s">
        <v>185</v>
      </c>
      <c r="C25" s="17">
        <f>-SUMIFS(TB_Input_Alif!$F:$F,TB_Input_Alif!$I:$I,$H25,TB_Input_Alif!$G:$G,"BS")</f>
        <v>35335000</v>
      </c>
      <c r="D25" s="17">
        <f>-SUMIFS(TB_Input_Alif!$C:$C,TB_Input_Alif!$I:$I,$H25,TB_Input_Alif!$G:$G,"BS")</f>
        <v>35335000</v>
      </c>
      <c r="H25" s="22" t="s">
        <v>745</v>
      </c>
    </row>
    <row r="26" spans="1:8" x14ac:dyDescent="0.25">
      <c r="A26" s="18" t="s">
        <v>187</v>
      </c>
      <c r="C26" s="17">
        <f>-SUMIFS(TB_Input_Alif!$F:$F,TB_Input_Alif!$I:$I,$H26,TB_Input_Alif!$G:$G,"BS")</f>
        <v>122255315.01000001</v>
      </c>
      <c r="D26" s="17">
        <f>-SUMIFS(TB_Input_Alif!$C:$C,TB_Input_Alif!$I:$I,$H26,TB_Input_Alif!$G:$G,"BS")</f>
        <v>122255315.01000001</v>
      </c>
      <c r="H26" s="22" t="s">
        <v>746</v>
      </c>
    </row>
    <row r="27" spans="1:8" x14ac:dyDescent="0.25">
      <c r="A27" s="18" t="s">
        <v>189</v>
      </c>
      <c r="C27" s="17">
        <f>-SUMIFS(TB_Input_Alif!$F:$F,TB_Input_Alif!$I:$I,$H27,TB_Input_Alif!$G:$G,"BS")</f>
        <v>7846137</v>
      </c>
      <c r="D27" s="17">
        <f>-SUMIFS(TB_Input_Alif!$C:$C,TB_Input_Alif!$I:$I,$H27,TB_Input_Alif!$G:$G,"BS")</f>
        <v>7846137</v>
      </c>
      <c r="H27" s="22" t="s">
        <v>747</v>
      </c>
    </row>
    <row r="28" spans="1:8" x14ac:dyDescent="0.25">
      <c r="A28" s="18" t="s">
        <v>803</v>
      </c>
      <c r="C28" s="17">
        <f>-SUMIFS(TB_Input_Alif!$F:$F,TB_Input_Alif!$I:$I,$H28,TB_Input_Alif!$G:$G,"BS")-SUMIFS(TB_Input_Alif!$C:$C,TB_Input_Alif!$G:$G,"IS")</f>
        <v>-107267178.55</v>
      </c>
      <c r="D28" s="17">
        <f>-SUMIFS(TB_Input_Alif!$C:$C,TB_Input_Alif!$I:$I,$H28,TB_Input_Alif!$G:$G,"BS")-SUMIFS(TB_Input_Alif!$C:$C,TB_Input_Alif!$G:$G,"IS")</f>
        <v>-107267178.55</v>
      </c>
      <c r="H28" s="22" t="s">
        <v>749</v>
      </c>
    </row>
    <row r="29" spans="1:8" x14ac:dyDescent="0.25">
      <c r="A29" s="18" t="s">
        <v>750</v>
      </c>
      <c r="C29" s="17">
        <f>IS_Alif!C65</f>
        <v>-40498412.990665749</v>
      </c>
      <c r="D29" s="17">
        <v>0</v>
      </c>
    </row>
    <row r="30" spans="1:8" x14ac:dyDescent="0.25">
      <c r="A30" s="25" t="s">
        <v>193</v>
      </c>
      <c r="B30" s="26"/>
      <c r="C30" s="27">
        <f>SUM(C25:C29)</f>
        <v>17670860.469334245</v>
      </c>
      <c r="D30" s="27">
        <f>SUM(D25:D29)</f>
        <v>58169273.459999993</v>
      </c>
    </row>
    <row r="32" spans="1:8" x14ac:dyDescent="0.25">
      <c r="A32" s="10" t="s">
        <v>752</v>
      </c>
      <c r="B32" s="11"/>
      <c r="C32" s="11"/>
      <c r="D32" s="11"/>
    </row>
    <row r="33" spans="1:8" x14ac:dyDescent="0.25">
      <c r="A33" s="18" t="s">
        <v>196</v>
      </c>
      <c r="C33" s="17">
        <f>-SUMIFS(TB_Input_Alif!$F:$F,TB_Input_Alif!$I:$I,$H33,TB_Input_Alif!$G:$G,"BS")</f>
        <v>101028551.85699999</v>
      </c>
      <c r="D33" s="17">
        <f>-SUMIFS(TB_Input_Alif!$C:$C,TB_Input_Alif!$I:$I,$H33,TB_Input_Alif!$G:$G,"BS")</f>
        <v>15312528.136</v>
      </c>
      <c r="H33" s="22" t="s">
        <v>753</v>
      </c>
    </row>
    <row r="34" spans="1:8" x14ac:dyDescent="0.25">
      <c r="A34" s="18" t="s">
        <v>198</v>
      </c>
      <c r="C34" s="17">
        <f>-SUMIFS(TB_Input_Alif!$F:$F,TB_Input_Alif!$I:$I,$H34,TB_Input_Alif!$G:$G,"BS")</f>
        <v>4045880.9920000001</v>
      </c>
      <c r="D34" s="17">
        <f>-SUMIFS(TB_Input_Alif!$C:$C,TB_Input_Alif!$I:$I,$H34,TB_Input_Alif!$G:$G,"BS")</f>
        <v>3890439.92</v>
      </c>
      <c r="H34" s="22" t="s">
        <v>754</v>
      </c>
    </row>
    <row r="35" spans="1:8" x14ac:dyDescent="0.25">
      <c r="A35" s="18" t="s">
        <v>755</v>
      </c>
      <c r="C35" s="17">
        <f>-SUMIFS(TB_Input_Alif!$F:$F,TB_Input_Alif!$I:$I,$H35,TB_Input_Alif!$G:$G,"BS")</f>
        <v>1165712.719</v>
      </c>
      <c r="D35" s="17">
        <f>-SUMIFS(TB_Input_Alif!$C:$C,TB_Input_Alif!$I:$I,$H35,TB_Input_Alif!$G:$G,"BS")</f>
        <v>2585822.0490000001</v>
      </c>
      <c r="H35" s="22" t="s">
        <v>756</v>
      </c>
    </row>
    <row r="36" spans="1:8" x14ac:dyDescent="0.25">
      <c r="A36" s="18" t="s">
        <v>202</v>
      </c>
      <c r="C36" s="17">
        <f>-SUMIFS(TB_Input_Alif!$F:$F,TB_Input_Alif!$I:$I,$H36,TB_Input_Alif!$G:$G,"BS")</f>
        <v>4931250.8490000004</v>
      </c>
      <c r="D36" s="17">
        <f>-SUMIFS(TB_Input_Alif!$C:$C,TB_Input_Alif!$I:$I,$H36,TB_Input_Alif!$G:$G,"BS")</f>
        <v>4862172.949</v>
      </c>
      <c r="H36" s="22" t="s">
        <v>757</v>
      </c>
    </row>
    <row r="37" spans="1:8" x14ac:dyDescent="0.25">
      <c r="A37" s="25" t="s">
        <v>204</v>
      </c>
      <c r="B37" s="26"/>
      <c r="C37" s="27">
        <f>SUM(C33:C36)</f>
        <v>111171396.417</v>
      </c>
      <c r="D37" s="27">
        <f>SUM(D33:D36)</f>
        <v>26650963.054000001</v>
      </c>
    </row>
    <row r="39" spans="1:8" x14ac:dyDescent="0.25">
      <c r="A39" s="10" t="s">
        <v>758</v>
      </c>
      <c r="B39" s="11"/>
      <c r="C39" s="11"/>
      <c r="D39" s="11"/>
    </row>
    <row r="40" spans="1:8" x14ac:dyDescent="0.25">
      <c r="A40" s="18" t="s">
        <v>207</v>
      </c>
      <c r="C40" s="17">
        <f>-SUMIFS(TB_Input_Alif!$F:$F,TB_Input_Alif!$I:$I,$H40,TB_Input_Alif!$G:$G,"BS")</f>
        <v>136845302.74100003</v>
      </c>
      <c r="D40" s="17">
        <f>-SUMIFS(TB_Input_Alif!$C:$C,TB_Input_Alif!$I:$I,$H40,TB_Input_Alif!$G:$G,"BS")</f>
        <v>193396818.67900002</v>
      </c>
      <c r="H40" s="22" t="s">
        <v>759</v>
      </c>
    </row>
    <row r="41" spans="1:8" x14ac:dyDescent="0.25">
      <c r="A41" s="18" t="s">
        <v>209</v>
      </c>
      <c r="C41" s="17">
        <f>-SUMIFS(TB_Input_Alif!$F:$F,TB_Input_Alif!$I:$I,$H41,TB_Input_Alif!$G:$G,"BS")</f>
        <v>22235818.478000004</v>
      </c>
      <c r="D41" s="17">
        <f>-SUMIFS(TB_Input_Alif!$C:$C,TB_Input_Alif!$I:$I,$H41,TB_Input_Alif!$G:$G,"BS")</f>
        <v>16211503.309999997</v>
      </c>
      <c r="H41" s="22" t="s">
        <v>760</v>
      </c>
    </row>
    <row r="42" spans="1:8" x14ac:dyDescent="0.25">
      <c r="A42" s="18" t="s">
        <v>211</v>
      </c>
      <c r="C42" s="17">
        <f>-SUMIFS(TB_Input_Alif!$F:$F,TB_Input_Alif!$I:$I,$H42,TB_Input_Alif!$G:$G,"BS")</f>
        <v>0</v>
      </c>
      <c r="D42" s="17">
        <f>-SUMIFS(TB_Input_Alif!$C:$C,TB_Input_Alif!$I:$I,$H42,TB_Input_Alif!$G:$G,"BS")</f>
        <v>0</v>
      </c>
      <c r="H42" s="22" t="s">
        <v>761</v>
      </c>
    </row>
    <row r="43" spans="1:8" x14ac:dyDescent="0.25">
      <c r="A43" s="25" t="s">
        <v>213</v>
      </c>
      <c r="B43" s="26"/>
      <c r="C43" s="27">
        <f>SUM(C40:C42)</f>
        <v>159081121.21900004</v>
      </c>
      <c r="D43" s="27">
        <f>SUM(D40:D42)</f>
        <v>209608321.98900002</v>
      </c>
    </row>
    <row r="45" spans="1:8" x14ac:dyDescent="0.25">
      <c r="A45" s="19" t="s">
        <v>215</v>
      </c>
      <c r="C45" s="33">
        <f>C37+C43</f>
        <v>270252517.63600004</v>
      </c>
      <c r="D45" s="33">
        <f>D37+D43</f>
        <v>236259285.04300001</v>
      </c>
    </row>
    <row r="47" spans="1:8" x14ac:dyDescent="0.25">
      <c r="A47" s="19" t="s">
        <v>217</v>
      </c>
      <c r="C47" s="31">
        <f>C30+C45</f>
        <v>287923378.10533428</v>
      </c>
      <c r="D47" s="31">
        <f>D30+D45</f>
        <v>294428558.50300002</v>
      </c>
    </row>
    <row r="48" spans="1:8" x14ac:dyDescent="0.25">
      <c r="A48" s="29" t="s">
        <v>762</v>
      </c>
      <c r="C48" s="34">
        <f>C21-C47</f>
        <v>0</v>
      </c>
      <c r="D48" s="34">
        <f>D21-D47</f>
        <v>0</v>
      </c>
      <c r="G48" s="29" t="s">
        <v>763</v>
      </c>
    </row>
    <row r="50" spans="1:1" x14ac:dyDescent="0.25">
      <c r="A50" s="29" t="s">
        <v>800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H47"/>
  <sheetViews>
    <sheetView showGridLines="0" zoomScale="90" workbookViewId="0">
      <pane ySplit="6" topLeftCell="A7" activePane="bottomLeft" state="frozen"/>
      <selection pane="bottomLeft" activeCell="H22" sqref="H22"/>
    </sheetView>
  </sheetViews>
  <sheetFormatPr defaultRowHeight="15" x14ac:dyDescent="0.25"/>
  <cols>
    <col min="1" max="1" width="58" customWidth="1"/>
    <col min="2" max="2" width="2" customWidth="1"/>
    <col min="3" max="3" width="17" customWidth="1"/>
    <col min="8" max="8" width="40" customWidth="1"/>
  </cols>
  <sheetData>
    <row r="1" spans="1:8" ht="18.75" customHeight="1" x14ac:dyDescent="0.3">
      <c r="A1" s="6" t="s">
        <v>797</v>
      </c>
    </row>
    <row r="2" spans="1:8" x14ac:dyDescent="0.25">
      <c r="A2" s="19" t="s">
        <v>770</v>
      </c>
    </row>
    <row r="3" spans="1:8" x14ac:dyDescent="0.25">
      <c r="A3" s="7" t="s">
        <v>771</v>
      </c>
    </row>
    <row r="5" spans="1:8" x14ac:dyDescent="0.25">
      <c r="C5" s="24" t="s">
        <v>799</v>
      </c>
      <c r="H5" s="22" t="s">
        <v>640</v>
      </c>
    </row>
    <row r="7" spans="1:8" x14ac:dyDescent="0.25">
      <c r="A7" s="10" t="s">
        <v>284</v>
      </c>
      <c r="B7" s="11"/>
      <c r="C7" s="11"/>
    </row>
    <row r="8" spans="1:8" x14ac:dyDescent="0.25">
      <c r="A8" s="18" t="s">
        <v>772</v>
      </c>
      <c r="C8" s="17">
        <f>IS_Alif!C57</f>
        <v>-40498412.990665749</v>
      </c>
    </row>
    <row r="9" spans="1:8" x14ac:dyDescent="0.25">
      <c r="A9" s="29" t="s">
        <v>773</v>
      </c>
    </row>
    <row r="10" spans="1:8" x14ac:dyDescent="0.25">
      <c r="A10" s="18" t="s">
        <v>774</v>
      </c>
      <c r="C10" s="17">
        <f>IS_Alif!C52+IS_Alif!C13</f>
        <v>8375830.8271307247</v>
      </c>
    </row>
    <row r="11" spans="1:8" x14ac:dyDescent="0.25">
      <c r="A11" s="18" t="s">
        <v>775</v>
      </c>
      <c r="C11" s="17">
        <f>IS_Alif!C53</f>
        <v>0</v>
      </c>
    </row>
    <row r="12" spans="1:8" x14ac:dyDescent="0.25">
      <c r="A12" s="18" t="s">
        <v>85</v>
      </c>
      <c r="C12" s="17">
        <f>IS_Alif!C54</f>
        <v>8880146.9840000011</v>
      </c>
    </row>
    <row r="13" spans="1:8" x14ac:dyDescent="0.25">
      <c r="A13" s="18" t="s">
        <v>776</v>
      </c>
      <c r="C13" s="17">
        <f>-(SUMIFS(TB_Input_Alif!$F:$F,TB_Input_Alif!$I:$I,$H13,TB_Input_Alif!$G:$G,"BS")-SUMIFS(TB_Input_Alif!$C:$C,TB_Input_Alif!$I:$I,$H13,TB_Input_Alif!$G:$G,"BS"))</f>
        <v>155441.07200000016</v>
      </c>
      <c r="H13" s="22" t="s">
        <v>754</v>
      </c>
    </row>
    <row r="14" spans="1:8" x14ac:dyDescent="0.25">
      <c r="A14" s="18" t="s">
        <v>777</v>
      </c>
      <c r="C14" s="17">
        <f>-(SUMIFS(TB_Input_Alif!$F:$F,TB_Input_Alif!$I:$I,$H14,TB_Input_Alif!$G:$G,"BS")-SUMIFS(TB_Input_Alif!$C:$C,TB_Input_Alif!$I:$I,$H14,TB_Input_Alif!$G:$G,"BS"))</f>
        <v>69077.900000000373</v>
      </c>
      <c r="H14" s="22" t="s">
        <v>757</v>
      </c>
    </row>
    <row r="15" spans="1:8" x14ac:dyDescent="0.25">
      <c r="A15" s="29" t="s">
        <v>778</v>
      </c>
    </row>
    <row r="16" spans="1:8" x14ac:dyDescent="0.25">
      <c r="A16" s="18" t="s">
        <v>172</v>
      </c>
      <c r="C16" s="17">
        <f>-(SUMIFS(TB_Input_Alif!$F:$F,TB_Input_Alif!$I:$I,$H16,TB_Input_Alif!$G:$G,"BS")-SUMIFS(TB_Input_Alif!$C:$C,TB_Input_Alif!$I:$I,$H16,TB_Input_Alif!$G:$G,"BS"))</f>
        <v>37367450.355040044</v>
      </c>
      <c r="H16" s="22" t="s">
        <v>738</v>
      </c>
    </row>
    <row r="17" spans="1:8" x14ac:dyDescent="0.25">
      <c r="A17" s="18" t="s">
        <v>174</v>
      </c>
      <c r="C17" s="17">
        <f>-(SUMIFS(TB_Input_Alif!$F:$F,TB_Input_Alif!$I:$I,$H17,TB_Input_Alif!$G:$G,"BS")-SUMIFS(TB_Input_Alif!$C:$C,TB_Input_Alif!$I:$I,$H17,TB_Input_Alif!$G:$G,"BS"))</f>
        <v>-2318054.0605049916</v>
      </c>
      <c r="H17" s="22" t="s">
        <v>739</v>
      </c>
    </row>
    <row r="18" spans="1:8" x14ac:dyDescent="0.25">
      <c r="A18" s="18" t="s">
        <v>740</v>
      </c>
      <c r="C18" s="17">
        <f>-(SUMIFS(TB_Input_Alif!$F:$F,TB_Input_Alif!$I:$I,$H18,TB_Input_Alif!$G:$G,"BS")-SUMIFS(TB_Input_Alif!$C:$C,TB_Input_Alif!$I:$I,$H18,TB_Input_Alif!$G:$G,"BS"))</f>
        <v>-4497030.3660000004</v>
      </c>
      <c r="H18" s="22" t="s">
        <v>741</v>
      </c>
    </row>
    <row r="19" spans="1:8" x14ac:dyDescent="0.25">
      <c r="A19" s="18" t="s">
        <v>209</v>
      </c>
      <c r="C19" s="17">
        <f>-(SUMIFS(TB_Input_Alif!$F:$F,TB_Input_Alif!$I:$I,$H19,TB_Input_Alif!$G:$G,"BS")-SUMIFS(TB_Input_Alif!$C:$C,TB_Input_Alif!$I:$I,$H19,TB_Input_Alif!$G:$G,"BS"))</f>
        <v>6024315.168000007</v>
      </c>
      <c r="H19" s="22" t="s">
        <v>760</v>
      </c>
    </row>
    <row r="20" spans="1:8" x14ac:dyDescent="0.25">
      <c r="A20" s="18" t="s">
        <v>211</v>
      </c>
      <c r="C20" s="17">
        <f>-(SUMIFS(TB_Input_Alif!$F:$F,TB_Input_Alif!$I:$I,$H20,TB_Input_Alif!$G:$G,"BS")-SUMIFS(TB_Input_Alif!$C:$C,TB_Input_Alif!$I:$I,$H20,TB_Input_Alif!$G:$G,"BS"))</f>
        <v>0</v>
      </c>
      <c r="H20" s="22" t="s">
        <v>761</v>
      </c>
    </row>
    <row r="21" spans="1:8" x14ac:dyDescent="0.25">
      <c r="A21" s="23" t="s">
        <v>779</v>
      </c>
      <c r="C21" s="36">
        <f>C8+C10+C11+C12+C13+C14+SUM(C16:C20)</f>
        <v>13558764.889000043</v>
      </c>
    </row>
    <row r="22" spans="1:8" x14ac:dyDescent="0.25">
      <c r="A22" s="18" t="s">
        <v>780</v>
      </c>
      <c r="C22" s="17">
        <f>-(SUMIFS(TB_Input_Alif!$F:$F,TB_Input_Alif!$I:$I,$H22,TB_Input_Alif!$G:$G,"IS")-SUMIFS(TB_Input_Alif!$C:$C,TB_Input_Alif!$I:$I,$H22,TB_Input_Alif!$G:$G,"IS"))</f>
        <v>0</v>
      </c>
      <c r="H22" s="22" t="s">
        <v>714</v>
      </c>
    </row>
    <row r="23" spans="1:8" x14ac:dyDescent="0.25">
      <c r="A23" s="18" t="s">
        <v>311</v>
      </c>
      <c r="C23" s="17">
        <f>-IS_Alif!C54</f>
        <v>-8880146.9840000011</v>
      </c>
    </row>
    <row r="24" spans="1:8" x14ac:dyDescent="0.25">
      <c r="A24" s="25" t="s">
        <v>781</v>
      </c>
      <c r="B24" s="26"/>
      <c r="C24" s="27">
        <f>C21+C22+C23</f>
        <v>4678617.9050000422</v>
      </c>
    </row>
    <row r="26" spans="1:8" x14ac:dyDescent="0.25">
      <c r="A26" s="10" t="s">
        <v>317</v>
      </c>
      <c r="B26" s="11"/>
      <c r="C26" s="11"/>
    </row>
    <row r="27" spans="1:8" x14ac:dyDescent="0.25">
      <c r="A27" s="18" t="s">
        <v>782</v>
      </c>
      <c r="C27" s="17">
        <f>-(SUMIFS(TB_Input_Alif!$F:$F,TB_Input_Alif!$I:$I,"Property, plant and equipment",TB_Input_Alif!$G:$G,"BS")-SUMIFS(TB_Input_Alif!$C:$C,TB_Input_Alif!$I:$I,"Property, plant and equipment",TB_Input_Alif!$G:$G,"BS")+SUMIFS(TB_Input_Alif!$F:$F,TB_Input_Alif!$I:$I,"Right of use",TB_Input_Alif!$G:$G,"BS")-SUMIFS(TB_Input_Alif!$C:$C,TB_Input_Alif!$I:$I,"Right of use",TB_Input_Alif!$G:$G,"BS")+IS_Alif!C52+IS_Alif!C13)</f>
        <v>-3901265.9100000421</v>
      </c>
      <c r="H27" s="22" t="s">
        <v>783</v>
      </c>
    </row>
    <row r="28" spans="1:8" x14ac:dyDescent="0.25">
      <c r="A28" s="18" t="s">
        <v>320</v>
      </c>
      <c r="C28" s="17">
        <f>-(SUMIFS(TB_Input_Alif!$F:$F,TB_Input_Alif!$I:$I,$H28,TB_Input_Alif!$G:$G,"BS")-SUMIFS(TB_Input_Alif!$C:$C,TB_Input_Alif!$I:$I,$H28,TB_Input_Alif!$G:$G,"BS"))</f>
        <v>0</v>
      </c>
      <c r="H28" s="22" t="s">
        <v>736</v>
      </c>
    </row>
    <row r="29" spans="1:8" x14ac:dyDescent="0.25">
      <c r="A29" s="25" t="s">
        <v>784</v>
      </c>
      <c r="B29" s="26"/>
      <c r="C29" s="27">
        <f>C27+C28</f>
        <v>-3901265.9100000421</v>
      </c>
    </row>
    <row r="31" spans="1:8" x14ac:dyDescent="0.25">
      <c r="A31" s="10" t="s">
        <v>324</v>
      </c>
      <c r="B31" s="11"/>
      <c r="C31" s="11"/>
    </row>
    <row r="32" spans="1:8" x14ac:dyDescent="0.25">
      <c r="A32" s="18" t="s">
        <v>325</v>
      </c>
      <c r="C32" s="17">
        <f>-(SUMIFS(TB_Input_Alif!$F:$F,TB_Input_Alif!$I:$I,$H32,TB_Input_Alif!$G:$G,"BS")-SUMIFS(TB_Input_Alif!$C:$C,TB_Input_Alif!$I:$I,$H32,TB_Input_Alif!$G:$G,"BS"))</f>
        <v>-56551515.937999994</v>
      </c>
      <c r="H32" s="22" t="s">
        <v>759</v>
      </c>
    </row>
    <row r="33" spans="1:8" x14ac:dyDescent="0.25">
      <c r="A33" s="18" t="s">
        <v>327</v>
      </c>
      <c r="C33" s="17">
        <f>-(SUMIFS(TB_Input_Alif!$F:$F,TB_Input_Alif!$I:$I,$H33,TB_Input_Alif!$G:$G,"BS")-SUMIFS(TB_Input_Alif!$C:$C,TB_Input_Alif!$I:$I,$H33,TB_Input_Alif!$G:$G,"BS"))</f>
        <v>85716023.720999986</v>
      </c>
      <c r="H33" s="22" t="s">
        <v>753</v>
      </c>
    </row>
    <row r="34" spans="1:8" x14ac:dyDescent="0.25">
      <c r="A34" s="18" t="s">
        <v>329</v>
      </c>
      <c r="C34" s="17">
        <f>-(SUMIFS(TB_Input_Alif!$F:$F,TB_Input_Alif!$I:$I,$H34,TB_Input_Alif!$G:$G,"BS")-SUMIFS(TB_Input_Alif!$C:$C,TB_Input_Alif!$I:$I,$H34,TB_Input_Alif!$G:$G,"BS"))</f>
        <v>-1420109.33</v>
      </c>
      <c r="H34" s="22" t="s">
        <v>756</v>
      </c>
    </row>
    <row r="35" spans="1:8" x14ac:dyDescent="0.25">
      <c r="A35" s="18" t="s">
        <v>785</v>
      </c>
      <c r="C35" s="17">
        <f>-(SUMIFS(TB_Input_Alif!$F:$F,TB_Input_Alif!$I:$I,$H35,TB_Input_Alif!$G:$G,"BS")-SUMIFS(TB_Input_Alif!$C:$C,TB_Input_Alif!$I:$I,$H35,TB_Input_Alif!$G:$G,"BS"))</f>
        <v>0</v>
      </c>
      <c r="H35" s="22" t="s">
        <v>745</v>
      </c>
    </row>
    <row r="36" spans="1:8" x14ac:dyDescent="0.25">
      <c r="A36" s="18" t="s">
        <v>187</v>
      </c>
      <c r="C36" s="17">
        <f>-(SUMIFS(TB_Input_Alif!$F:$F,TB_Input_Alif!$I:$I,$H36,TB_Input_Alif!$G:$G,"BS")-SUMIFS(TB_Input_Alif!$C:$C,TB_Input_Alif!$I:$I,$H36,TB_Input_Alif!$G:$G,"BS"))</f>
        <v>0</v>
      </c>
      <c r="H36" s="22" t="s">
        <v>746</v>
      </c>
    </row>
    <row r="37" spans="1:8" x14ac:dyDescent="0.25">
      <c r="A37" s="18" t="s">
        <v>786</v>
      </c>
      <c r="C37" s="17">
        <f>-(SUMIFS(TB_Input_Alif!$F:$F,TB_Input_Alif!$I:$I,$H37,TB_Input_Alif!$G:$G,"BS")-SUMIFS(TB_Input_Alif!$C:$C,TB_Input_Alif!$I:$I,$H37,TB_Input_Alif!$G:$G,"BS"))</f>
        <v>0</v>
      </c>
      <c r="H37" s="22" t="s">
        <v>747</v>
      </c>
    </row>
    <row r="38" spans="1:8" x14ac:dyDescent="0.25">
      <c r="A38" s="18" t="s">
        <v>787</v>
      </c>
      <c r="C38" s="17">
        <f>-(SUMIFS(TB_Input_Alif!$F:$F,TB_Input_Alif!$I:$I,$H38,TB_Input_Alif!$G:$G,"BS")-SUMIFS(TB_Input_Alif!$C:$C,TB_Input_Alif!$I:$I,$H38,TB_Input_Alif!$G:$G,"BS"))</f>
        <v>0</v>
      </c>
      <c r="H38" s="22" t="s">
        <v>749</v>
      </c>
    </row>
    <row r="39" spans="1:8" x14ac:dyDescent="0.25">
      <c r="A39" s="25" t="s">
        <v>788</v>
      </c>
      <c r="B39" s="26"/>
      <c r="C39" s="27">
        <f>SUM(C32:C38)</f>
        <v>27744398.452999994</v>
      </c>
    </row>
    <row r="41" spans="1:8" x14ac:dyDescent="0.25">
      <c r="A41" s="19" t="s">
        <v>335</v>
      </c>
      <c r="C41" s="28">
        <f>C24+C29+C39</f>
        <v>28521750.447999995</v>
      </c>
    </row>
    <row r="42" spans="1:8" x14ac:dyDescent="0.25">
      <c r="A42" s="18" t="s">
        <v>789</v>
      </c>
      <c r="C42" s="17">
        <f>SUMIFS(TB_Input_Alif!$C:$C,TB_Input_Alif!$I:$I,$H42,TB_Input_Alif!$G:$G,"BS")</f>
        <v>1512704.9779999997</v>
      </c>
      <c r="H42" s="22" t="s">
        <v>742</v>
      </c>
    </row>
    <row r="43" spans="1:8" x14ac:dyDescent="0.25">
      <c r="A43" s="19" t="s">
        <v>790</v>
      </c>
      <c r="C43" s="31">
        <f>C41+C42</f>
        <v>30034455.425999995</v>
      </c>
    </row>
    <row r="44" spans="1:8" x14ac:dyDescent="0.25">
      <c r="A44" s="29" t="s">
        <v>791</v>
      </c>
      <c r="C44" s="34">
        <f>BS_Alif!C18-C43</f>
        <v>0</v>
      </c>
    </row>
    <row r="46" spans="1:8" x14ac:dyDescent="0.25">
      <c r="A46" s="29" t="s">
        <v>800</v>
      </c>
    </row>
    <row r="47" spans="1:8" x14ac:dyDescent="0.25">
      <c r="A47" s="29" t="s">
        <v>796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H67"/>
  <sheetViews>
    <sheetView showGridLines="0" zoomScale="90" workbookViewId="0">
      <pane ySplit="5" topLeftCell="A33" activePane="bottomLeft" state="frozen"/>
      <selection pane="bottomLeft"/>
    </sheetView>
  </sheetViews>
  <sheetFormatPr defaultRowHeight="15" x14ac:dyDescent="0.25"/>
  <cols>
    <col min="1" max="1" width="56" customWidth="1"/>
    <col min="2" max="2" width="2" customWidth="1"/>
    <col min="3" max="3" width="17" customWidth="1"/>
    <col min="8" max="8" width="40" customWidth="1"/>
  </cols>
  <sheetData>
    <row r="1" spans="1:8" ht="18.75" customHeight="1" x14ac:dyDescent="0.3">
      <c r="A1" s="6" t="s">
        <v>804</v>
      </c>
    </row>
    <row r="2" spans="1:8" x14ac:dyDescent="0.25">
      <c r="A2" s="19" t="s">
        <v>637</v>
      </c>
    </row>
    <row r="3" spans="1:8" x14ac:dyDescent="0.25">
      <c r="A3" s="7" t="s">
        <v>638</v>
      </c>
    </row>
    <row r="5" spans="1:8" x14ac:dyDescent="0.25">
      <c r="A5" s="23" t="s">
        <v>798</v>
      </c>
      <c r="C5" s="24" t="s">
        <v>799</v>
      </c>
      <c r="H5" s="22" t="s">
        <v>640</v>
      </c>
    </row>
    <row r="6" spans="1:8" x14ac:dyDescent="0.25">
      <c r="A6" s="23" t="s">
        <v>641</v>
      </c>
      <c r="C6" s="24">
        <f>-SUMIFS(TB_Input_VH!$F:$F,TB_Input_VH!$I:$I,$H6,TB_Input_VH!$G:$G,"IS")+SUMIFS(TB_Input_VH!$C:$C,TB_Input_VH!$I:$I,$H6,TB_Input_VH!$G:$G,"IS")</f>
        <v>44443751.733000003</v>
      </c>
      <c r="H6" s="22" t="s">
        <v>641</v>
      </c>
    </row>
    <row r="8" spans="1:8" x14ac:dyDescent="0.25">
      <c r="A8" s="10" t="s">
        <v>642</v>
      </c>
      <c r="B8" s="11"/>
      <c r="C8" s="11"/>
    </row>
    <row r="9" spans="1:8" x14ac:dyDescent="0.25">
      <c r="A9" s="18" t="s">
        <v>43</v>
      </c>
      <c r="C9" s="17">
        <f>SUMIFS(TB_Input_VH!$F:$F,TB_Input_VH!$I:$I,$H9,TB_Input_VH!$G:$G,"IS")-SUMIFS(TB_Input_VH!$C:$C,TB_Input_VH!$I:$I,$H9,TB_Input_VH!$G:$G,"IS")</f>
        <v>38877734.610000007</v>
      </c>
      <c r="H9" s="22" t="s">
        <v>643</v>
      </c>
    </row>
    <row r="10" spans="1:8" x14ac:dyDescent="0.25">
      <c r="A10" s="18" t="s">
        <v>644</v>
      </c>
      <c r="C10" s="17">
        <f>SUMIFS(TB_Input_VH!$F:$F,TB_Input_VH!$I:$I,$H10,TB_Input_VH!$G:$G,"IS")-SUMIFS(TB_Input_VH!$C:$C,TB_Input_VH!$I:$I,$H10,TB_Input_VH!$G:$G,"IS")</f>
        <v>993325.06800000009</v>
      </c>
      <c r="H10" s="22" t="s">
        <v>645</v>
      </c>
    </row>
    <row r="11" spans="1:8" x14ac:dyDescent="0.25">
      <c r="A11" s="18" t="s">
        <v>646</v>
      </c>
      <c r="C11" s="17">
        <f>SUMIFS(TB_Input_VH!$F:$F,TB_Input_VH!$I:$I,$H11,TB_Input_VH!$G:$G,"IS")-SUMIFS(TB_Input_VH!$C:$C,TB_Input_VH!$I:$I,$H11,TB_Input_VH!$G:$G,"IS")</f>
        <v>0</v>
      </c>
      <c r="H11" s="22" t="s">
        <v>647</v>
      </c>
    </row>
    <row r="12" spans="1:8" x14ac:dyDescent="0.25">
      <c r="A12" s="18" t="s">
        <v>49</v>
      </c>
      <c r="C12" s="17">
        <f>SUMIFS(TB_Input_VH!$F:$F,TB_Input_VH!$I:$I,$H12,TB_Input_VH!$G:$G,"IS")-SUMIFS(TB_Input_VH!$C:$C,TB_Input_VH!$I:$I,$H12,TB_Input_VH!$G:$G,"IS")</f>
        <v>0</v>
      </c>
      <c r="H12" s="22" t="s">
        <v>648</v>
      </c>
    </row>
    <row r="13" spans="1:8" x14ac:dyDescent="0.25">
      <c r="A13" s="18" t="s">
        <v>649</v>
      </c>
      <c r="C13" s="17">
        <f>SUMIFS(TB_Input_VH!$F:$F,TB_Input_VH!$I:$I,$H13,TB_Input_VH!$G:$G,"IS")-SUMIFS(TB_Input_VH!$C:$C,TB_Input_VH!$I:$I,$H13,TB_Input_VH!$G:$G,"IS")</f>
        <v>0</v>
      </c>
      <c r="H13" s="22" t="s">
        <v>650</v>
      </c>
    </row>
    <row r="14" spans="1:8" x14ac:dyDescent="0.25">
      <c r="A14" s="18" t="s">
        <v>651</v>
      </c>
      <c r="C14" s="17">
        <f>SUMIFS(TB_Input_VH!$F:$F,TB_Input_VH!$I:$I,$H14,TB_Input_VH!$G:$G,"IS")-SUMIFS(TB_Input_VH!$C:$C,TB_Input_VH!$I:$I,$H14,TB_Input_VH!$G:$G,"IS")</f>
        <v>95389.197</v>
      </c>
      <c r="H14" s="22" t="s">
        <v>652</v>
      </c>
    </row>
    <row r="15" spans="1:8" x14ac:dyDescent="0.25">
      <c r="A15" s="18" t="s">
        <v>653</v>
      </c>
      <c r="C15" s="17">
        <f>SUMIFS(TB_Input_VH!$F:$F,TB_Input_VH!$I:$I,$H15,TB_Input_VH!$G:$G,"IS")-SUMIFS(TB_Input_VH!$C:$C,TB_Input_VH!$I:$I,$H15,TB_Input_VH!$G:$G,"IS")</f>
        <v>0</v>
      </c>
      <c r="H15" s="22" t="s">
        <v>654</v>
      </c>
    </row>
    <row r="16" spans="1:8" x14ac:dyDescent="0.25">
      <c r="A16" s="18" t="s">
        <v>655</v>
      </c>
      <c r="C16" s="17">
        <f>SUMIFS(TB_Input_VH!$F:$F,TB_Input_VH!$I:$I,$H16,TB_Input_VH!$G:$G,"IS")-SUMIFS(TB_Input_VH!$C:$C,TB_Input_VH!$I:$I,$H16,TB_Input_VH!$G:$G,"IS")</f>
        <v>1078114.3089999997</v>
      </c>
      <c r="H16" s="22" t="s">
        <v>656</v>
      </c>
    </row>
    <row r="17" spans="1:8" x14ac:dyDescent="0.25">
      <c r="A17" s="18" t="s">
        <v>657</v>
      </c>
      <c r="C17" s="17">
        <f>SUMIFS(TB_Input_VH!$F:$F,TB_Input_VH!$I:$I,$H17,TB_Input_VH!$G:$G,"IS")-SUMIFS(TB_Input_VH!$C:$C,TB_Input_VH!$I:$I,$H17,TB_Input_VH!$G:$G,"IS")</f>
        <v>136041.94399999999</v>
      </c>
      <c r="H17" s="22" t="s">
        <v>658</v>
      </c>
    </row>
    <row r="18" spans="1:8" x14ac:dyDescent="0.25">
      <c r="A18" s="18" t="s">
        <v>659</v>
      </c>
      <c r="C18" s="17">
        <f>SUMIFS(TB_Input_VH!$F:$F,TB_Input_VH!$I:$I,$H18,TB_Input_VH!$G:$G,"IS")-SUMIFS(TB_Input_VH!$C:$C,TB_Input_VH!$I:$I,$H18,TB_Input_VH!$G:$G,"IS")</f>
        <v>0</v>
      </c>
      <c r="H18" s="22" t="s">
        <v>660</v>
      </c>
    </row>
    <row r="19" spans="1:8" x14ac:dyDescent="0.25">
      <c r="A19" s="18" t="s">
        <v>661</v>
      </c>
      <c r="C19" s="17">
        <f>SUMIFS(TB_Input_VH!$F:$F,TB_Input_VH!$I:$I,$H19,TB_Input_VH!$G:$G,"IS")-SUMIFS(TB_Input_VH!$C:$C,TB_Input_VH!$I:$I,$H19,TB_Input_VH!$G:$G,"IS")</f>
        <v>0</v>
      </c>
      <c r="H19" s="22" t="s">
        <v>662</v>
      </c>
    </row>
    <row r="20" spans="1:8" x14ac:dyDescent="0.25">
      <c r="A20" s="18" t="s">
        <v>663</v>
      </c>
      <c r="C20" s="17">
        <f>SUMIFS(TB_Input_VH!$F:$F,TB_Input_VH!$I:$I,$H20,TB_Input_VH!$G:$G,"IS")-SUMIFS(TB_Input_VH!$C:$C,TB_Input_VH!$I:$I,$H20,TB_Input_VH!$G:$G,"IS")</f>
        <v>769810.51799999992</v>
      </c>
      <c r="H20" s="22" t="s">
        <v>664</v>
      </c>
    </row>
    <row r="21" spans="1:8" x14ac:dyDescent="0.25">
      <c r="A21" s="25" t="s">
        <v>57</v>
      </c>
      <c r="B21" s="26"/>
      <c r="C21" s="27">
        <f>SUM(C9:C20)</f>
        <v>41950415.646000005</v>
      </c>
    </row>
    <row r="23" spans="1:8" x14ac:dyDescent="0.25">
      <c r="A23" s="19" t="s">
        <v>665</v>
      </c>
      <c r="C23" s="28">
        <f>C6-C21</f>
        <v>2493336.0869999975</v>
      </c>
    </row>
    <row r="24" spans="1:8" x14ac:dyDescent="0.25">
      <c r="A24" s="29" t="s">
        <v>666</v>
      </c>
      <c r="C24" s="30">
        <f>C23/C6</f>
        <v>5.6100936347114605E-2</v>
      </c>
    </row>
    <row r="26" spans="1:8" x14ac:dyDescent="0.25">
      <c r="A26" s="10" t="s">
        <v>667</v>
      </c>
      <c r="B26" s="11"/>
      <c r="C26" s="11"/>
    </row>
    <row r="27" spans="1:8" x14ac:dyDescent="0.25">
      <c r="A27" s="18" t="s">
        <v>668</v>
      </c>
      <c r="C27" s="17">
        <f>SUMIFS(TB_Input_VH!$F:$F,TB_Input_VH!$I:$I,$H27,TB_Input_VH!$G:$G,"IS")-SUMIFS(TB_Input_VH!$C:$C,TB_Input_VH!$I:$I,$H27,TB_Input_VH!$G:$G,"IS")</f>
        <v>0</v>
      </c>
      <c r="H27" s="22" t="s">
        <v>669</v>
      </c>
    </row>
    <row r="28" spans="1:8" x14ac:dyDescent="0.25">
      <c r="A28" s="18" t="s">
        <v>670</v>
      </c>
      <c r="C28" s="17">
        <f>SUMIFS(TB_Input_VH!$F:$F,TB_Input_VH!$I:$I,$H28,TB_Input_VH!$G:$G,"IS")-SUMIFS(TB_Input_VH!$C:$C,TB_Input_VH!$I:$I,$H28,TB_Input_VH!$G:$G,"IS")</f>
        <v>19067.418000000001</v>
      </c>
      <c r="H28" s="22" t="s">
        <v>671</v>
      </c>
    </row>
    <row r="29" spans="1:8" x14ac:dyDescent="0.25">
      <c r="A29" s="18" t="s">
        <v>672</v>
      </c>
      <c r="C29" s="17">
        <f>SUMIFS(TB_Input_VH!$F:$F,TB_Input_VH!$I:$I,$H29,TB_Input_VH!$G:$G,"IS")-SUMIFS(TB_Input_VH!$C:$C,TB_Input_VH!$I:$I,$H29,TB_Input_VH!$G:$G,"IS")</f>
        <v>0</v>
      </c>
      <c r="H29" s="22" t="s">
        <v>673</v>
      </c>
    </row>
    <row r="30" spans="1:8" x14ac:dyDescent="0.25">
      <c r="A30" s="18" t="s">
        <v>674</v>
      </c>
      <c r="C30" s="17">
        <f>SUMIFS(TB_Input_VH!$F:$F,TB_Input_VH!$I:$I,$H30,TB_Input_VH!$G:$G,"IS")-SUMIFS(TB_Input_VH!$C:$C,TB_Input_VH!$I:$I,$H30,TB_Input_VH!$G:$G,"IS")</f>
        <v>0</v>
      </c>
      <c r="H30" s="22" t="s">
        <v>675</v>
      </c>
    </row>
    <row r="31" spans="1:8" x14ac:dyDescent="0.25">
      <c r="A31" s="18" t="s">
        <v>676</v>
      </c>
      <c r="C31" s="17">
        <f>SUMIFS(TB_Input_VH!$F:$F,TB_Input_VH!$I:$I,$H31,TB_Input_VH!$G:$G,"IS")-SUMIFS(TB_Input_VH!$C:$C,TB_Input_VH!$I:$I,$H31,TB_Input_VH!$G:$G,"IS")</f>
        <v>190520</v>
      </c>
      <c r="H31" s="22" t="s">
        <v>677</v>
      </c>
    </row>
    <row r="32" spans="1:8" x14ac:dyDescent="0.25">
      <c r="A32" s="25" t="s">
        <v>678</v>
      </c>
      <c r="B32" s="26"/>
      <c r="C32" s="27">
        <f>SUM(C27:C31)</f>
        <v>209587.41800000001</v>
      </c>
    </row>
    <row r="34" spans="1:8" x14ac:dyDescent="0.25">
      <c r="A34" s="10" t="s">
        <v>679</v>
      </c>
      <c r="B34" s="11"/>
      <c r="C34" s="11"/>
    </row>
    <row r="35" spans="1:8" x14ac:dyDescent="0.25">
      <c r="A35" s="18" t="s">
        <v>680</v>
      </c>
      <c r="C35" s="17">
        <f>SUMIFS(TB_Input_VH!$F:$F,TB_Input_VH!$I:$I,$H35,TB_Input_VH!$G:$G,"IS")-SUMIFS(TB_Input_VH!$C:$C,TB_Input_VH!$I:$I,$H35,TB_Input_VH!$G:$G,"IS")</f>
        <v>1546060.6849999998</v>
      </c>
      <c r="H35" s="22" t="s">
        <v>681</v>
      </c>
    </row>
    <row r="36" spans="1:8" x14ac:dyDescent="0.25">
      <c r="A36" s="18" t="s">
        <v>682</v>
      </c>
      <c r="C36" s="17">
        <f>SUMIFS(TB_Input_VH!$F:$F,TB_Input_VH!$I:$I,$H36,TB_Input_VH!$G:$G,"IS")-SUMIFS(TB_Input_VH!$C:$C,TB_Input_VH!$I:$I,$H36,TB_Input_VH!$G:$G,"IS")</f>
        <v>52133.248999999996</v>
      </c>
      <c r="H36" s="22" t="s">
        <v>683</v>
      </c>
    </row>
    <row r="37" spans="1:8" x14ac:dyDescent="0.25">
      <c r="A37" s="18" t="s">
        <v>684</v>
      </c>
      <c r="C37" s="17">
        <f>SUMIFS(TB_Input_VH!$F:$F,TB_Input_VH!$I:$I,$H37,TB_Input_VH!$G:$G,"IS")-SUMIFS(TB_Input_VH!$C:$C,TB_Input_VH!$I:$I,$H37,TB_Input_VH!$G:$G,"IS")</f>
        <v>30392.762999999999</v>
      </c>
      <c r="H37" s="22" t="s">
        <v>685</v>
      </c>
    </row>
    <row r="38" spans="1:8" x14ac:dyDescent="0.25">
      <c r="A38" s="18" t="s">
        <v>686</v>
      </c>
      <c r="C38" s="17">
        <f>SUMIFS(TB_Input_VH!$F:$F,TB_Input_VH!$I:$I,$H38,TB_Input_VH!$G:$G,"IS")-SUMIFS(TB_Input_VH!$C:$C,TB_Input_VH!$I:$I,$H38,TB_Input_VH!$G:$G,"IS")</f>
        <v>0</v>
      </c>
      <c r="H38" s="22" t="s">
        <v>687</v>
      </c>
    </row>
    <row r="39" spans="1:8" x14ac:dyDescent="0.25">
      <c r="A39" s="18" t="s">
        <v>688</v>
      </c>
      <c r="C39" s="17">
        <f>SUMIFS(TB_Input_VH!$F:$F,TB_Input_VH!$I:$I,$H39,TB_Input_VH!$G:$G,"IS")-SUMIFS(TB_Input_VH!$C:$C,TB_Input_VH!$I:$I,$H39,TB_Input_VH!$G:$G,"IS")</f>
        <v>1227.8219999999999</v>
      </c>
      <c r="H39" s="22" t="s">
        <v>689</v>
      </c>
    </row>
    <row r="40" spans="1:8" x14ac:dyDescent="0.25">
      <c r="A40" s="18" t="s">
        <v>690</v>
      </c>
      <c r="C40" s="17">
        <f>SUMIFS(TB_Input_VH!$F:$F,TB_Input_VH!$I:$I,$H40,TB_Input_VH!$G:$G,"IS")-SUMIFS(TB_Input_VH!$C:$C,TB_Input_VH!$I:$I,$H40,TB_Input_VH!$G:$G,"IS")</f>
        <v>54118.036</v>
      </c>
      <c r="H40" s="22" t="s">
        <v>691</v>
      </c>
    </row>
    <row r="41" spans="1:8" x14ac:dyDescent="0.25">
      <c r="A41" s="18" t="s">
        <v>692</v>
      </c>
      <c r="C41" s="17">
        <f>SUMIFS(TB_Input_VH!$F:$F,TB_Input_VH!$I:$I,$H41,TB_Input_VH!$G:$G,"IS")-SUMIFS(TB_Input_VH!$C:$C,TB_Input_VH!$I:$I,$H41,TB_Input_VH!$G:$G,"IS")</f>
        <v>0</v>
      </c>
      <c r="H41" s="22" t="s">
        <v>693</v>
      </c>
    </row>
    <row r="42" spans="1:8" x14ac:dyDescent="0.25">
      <c r="A42" s="18" t="s">
        <v>694</v>
      </c>
      <c r="C42" s="17">
        <f>SUMIFS(TB_Input_VH!$F:$F,TB_Input_VH!$I:$I,$H42,TB_Input_VH!$G:$G,"IS")-SUMIFS(TB_Input_VH!$C:$C,TB_Input_VH!$I:$I,$H42,TB_Input_VH!$G:$G,"IS")</f>
        <v>12049.9</v>
      </c>
      <c r="H42" s="22" t="s">
        <v>695</v>
      </c>
    </row>
    <row r="43" spans="1:8" x14ac:dyDescent="0.25">
      <c r="A43" s="18" t="s">
        <v>696</v>
      </c>
      <c r="C43" s="17">
        <f>SUMIFS(TB_Input_VH!$F:$F,TB_Input_VH!$I:$I,$H43,TB_Input_VH!$G:$G,"IS")-SUMIFS(TB_Input_VH!$C:$C,TB_Input_VH!$I:$I,$H43,TB_Input_VH!$G:$G,"IS")</f>
        <v>0</v>
      </c>
      <c r="H43" s="22" t="s">
        <v>697</v>
      </c>
    </row>
    <row r="44" spans="1:8" x14ac:dyDescent="0.25">
      <c r="A44" s="25" t="s">
        <v>698</v>
      </c>
      <c r="B44" s="26"/>
      <c r="C44" s="27">
        <f>SUM(C35:C43)</f>
        <v>1695982.4549999998</v>
      </c>
    </row>
    <row r="46" spans="1:8" x14ac:dyDescent="0.25">
      <c r="A46" s="18" t="s">
        <v>699</v>
      </c>
      <c r="C46" s="17">
        <f>SUMIFS(TB_Input_VH!$F:$F,TB_Input_VH!$I:$I,$H46,TB_Input_VH!$G:$G,"IS")-SUMIFS(TB_Input_VH!$C:$C,TB_Input_VH!$I:$I,$H46,TB_Input_VH!$G:$G,"IS")</f>
        <v>0</v>
      </c>
      <c r="H46" s="22" t="s">
        <v>700</v>
      </c>
    </row>
    <row r="47" spans="1:8" x14ac:dyDescent="0.25">
      <c r="A47" s="18" t="s">
        <v>701</v>
      </c>
      <c r="C47" s="17">
        <f>SUMIFS(TB_Input_VH!$F:$F,TB_Input_VH!$I:$I,$H47,TB_Input_VH!$G:$G,"IS")-SUMIFS(TB_Input_VH!$C:$C,TB_Input_VH!$I:$I,$H47,TB_Input_VH!$G:$G,"IS")</f>
        <v>-276</v>
      </c>
      <c r="H47" s="22" t="s">
        <v>702</v>
      </c>
    </row>
    <row r="49" spans="1:8" x14ac:dyDescent="0.25">
      <c r="A49" s="19" t="s">
        <v>81</v>
      </c>
      <c r="C49" s="28">
        <f>C23-C32-C44-C46-C47</f>
        <v>588042.21399999759</v>
      </c>
    </row>
    <row r="50" spans="1:8" x14ac:dyDescent="0.25">
      <c r="A50" s="29" t="s">
        <v>703</v>
      </c>
      <c r="C50" s="30">
        <f>C49/C6</f>
        <v>1.3231156035897154E-2</v>
      </c>
    </row>
    <row r="52" spans="1:8" x14ac:dyDescent="0.25">
      <c r="A52" s="18" t="s">
        <v>704</v>
      </c>
      <c r="C52" s="17">
        <f>SUMIFS(TB_Input_VH!$F:$F,TB_Input_VH!$I:$I,$H52,TB_Input_VH!$G:$G,"IS")-SUMIFS(TB_Input_VH!$C:$C,TB_Input_VH!$I:$I,$H52,TB_Input_VH!$G:$G,"IS")</f>
        <v>1082789.8199999998</v>
      </c>
      <c r="H52" s="22" t="s">
        <v>705</v>
      </c>
    </row>
    <row r="53" spans="1:8" x14ac:dyDescent="0.25">
      <c r="A53" s="18" t="s">
        <v>706</v>
      </c>
      <c r="C53" s="17">
        <f>SUMIFS(TB_Input_VH!$F:$F,TB_Input_VH!$I:$I,$H53,TB_Input_VH!$G:$G,"IS")-SUMIFS(TB_Input_VH!$C:$C,TB_Input_VH!$I:$I,$H53,TB_Input_VH!$G:$G,"IS")</f>
        <v>0</v>
      </c>
      <c r="H53" s="22" t="s">
        <v>707</v>
      </c>
    </row>
    <row r="54" spans="1:8" x14ac:dyDescent="0.25">
      <c r="A54" s="18" t="s">
        <v>708</v>
      </c>
      <c r="C54" s="17">
        <f>SUMIFS(TB_Input_VH!$F:$F,TB_Input_VH!$I:$I,$H54,TB_Input_VH!$G:$G,"IS")-SUMIFS(TB_Input_VH!$C:$C,TB_Input_VH!$I:$I,$H54,TB_Input_VH!$G:$G,"IS")</f>
        <v>863818.04399999999</v>
      </c>
      <c r="H54" s="22" t="s">
        <v>709</v>
      </c>
    </row>
    <row r="55" spans="1:8" x14ac:dyDescent="0.25">
      <c r="A55" s="18" t="s">
        <v>710</v>
      </c>
      <c r="C55" s="17">
        <f>-SUMIFS(TB_Input_VH!$F:$F,TB_Input_VH!$I:$I,$H55,TB_Input_VH!$G:$G,"IS")+SUMIFS(TB_Input_VH!$C:$C,TB_Input_VH!$I:$I,$H55,TB_Input_VH!$G:$G,"IS")</f>
        <v>2000</v>
      </c>
      <c r="H55" s="22" t="s">
        <v>711</v>
      </c>
    </row>
    <row r="57" spans="1:8" x14ac:dyDescent="0.25">
      <c r="A57" s="19" t="s">
        <v>712</v>
      </c>
      <c r="C57" s="28">
        <f>C49-C52-C53-C54+C55</f>
        <v>-1356565.6500000022</v>
      </c>
    </row>
    <row r="59" spans="1:8" x14ac:dyDescent="0.25">
      <c r="A59" s="18" t="s">
        <v>713</v>
      </c>
      <c r="C59" s="17">
        <f>SUMIFS(TB_Input_VH!$F:$F,TB_Input_VH!$I:$I,$H59,TB_Input_VH!$G:$G,"IS")-SUMIFS(TB_Input_VH!$C:$C,TB_Input_VH!$I:$I,$H59,TB_Input_VH!$G:$G,"IS")</f>
        <v>0</v>
      </c>
      <c r="H59" s="22" t="s">
        <v>714</v>
      </c>
    </row>
    <row r="60" spans="1:8" x14ac:dyDescent="0.25">
      <c r="A60" s="19" t="s">
        <v>715</v>
      </c>
      <c r="C60" s="31">
        <f>C57-C59</f>
        <v>-1356565.6500000022</v>
      </c>
    </row>
    <row r="61" spans="1:8" x14ac:dyDescent="0.25">
      <c r="A61" s="29" t="s">
        <v>716</v>
      </c>
      <c r="C61" s="30">
        <f>C60/C6</f>
        <v>-3.0523202859868745E-2</v>
      </c>
    </row>
    <row r="63" spans="1:8" x14ac:dyDescent="0.25">
      <c r="A63" s="23" t="s">
        <v>717</v>
      </c>
    </row>
    <row r="64" spans="1:8" x14ac:dyDescent="0.25">
      <c r="A64" s="18" t="s">
        <v>718</v>
      </c>
      <c r="C64" s="17">
        <f>-SUMIFS(TB_Input_VH!$F:$F,TB_Input_VH!$I:$I,$H64,TB_Input_VH!$G:$G,"IS")+SUMIFS(TB_Input_VH!$C:$C,TB_Input_VH!$I:$I,$H64,TB_Input_VH!$G:$G,"IS")</f>
        <v>0</v>
      </c>
      <c r="H64" s="22" t="s">
        <v>719</v>
      </c>
    </row>
    <row r="65" spans="1:3" x14ac:dyDescent="0.25">
      <c r="A65" s="19" t="s">
        <v>720</v>
      </c>
      <c r="C65" s="31">
        <f>C60+C64</f>
        <v>-1356565.6500000022</v>
      </c>
    </row>
    <row r="67" spans="1:3" x14ac:dyDescent="0.25">
      <c r="A67" s="29" t="s">
        <v>805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H50"/>
  <sheetViews>
    <sheetView showGridLines="0" zoomScale="90" workbookViewId="0">
      <pane ySplit="6" topLeftCell="A7" activePane="bottomLeft" state="frozen"/>
      <selection pane="bottomLeft"/>
    </sheetView>
  </sheetViews>
  <sheetFormatPr defaultRowHeight="15" x14ac:dyDescent="0.25"/>
  <cols>
    <col min="1" max="1" width="56" customWidth="1"/>
    <col min="2" max="2" width="2" customWidth="1"/>
    <col min="3" max="4" width="17" customWidth="1"/>
    <col min="8" max="8" width="40" customWidth="1"/>
  </cols>
  <sheetData>
    <row r="1" spans="1:8" ht="18.75" customHeight="1" x14ac:dyDescent="0.3">
      <c r="A1" s="6" t="s">
        <v>804</v>
      </c>
    </row>
    <row r="2" spans="1:8" x14ac:dyDescent="0.25">
      <c r="A2" s="19" t="s">
        <v>730</v>
      </c>
    </row>
    <row r="3" spans="1:8" x14ac:dyDescent="0.25">
      <c r="A3" s="7" t="s">
        <v>731</v>
      </c>
    </row>
    <row r="5" spans="1:8" x14ac:dyDescent="0.25">
      <c r="C5" s="24" t="s">
        <v>801</v>
      </c>
      <c r="D5" s="24" t="s">
        <v>802</v>
      </c>
      <c r="H5" s="22" t="s">
        <v>640</v>
      </c>
    </row>
    <row r="7" spans="1:8" x14ac:dyDescent="0.25">
      <c r="A7" s="19" t="s">
        <v>732</v>
      </c>
    </row>
    <row r="8" spans="1:8" x14ac:dyDescent="0.25">
      <c r="A8" s="10" t="s">
        <v>733</v>
      </c>
      <c r="B8" s="11"/>
      <c r="C8" s="11"/>
      <c r="D8" s="11"/>
    </row>
    <row r="9" spans="1:8" x14ac:dyDescent="0.25">
      <c r="A9" s="18" t="s">
        <v>163</v>
      </c>
      <c r="C9" s="17">
        <f>SUMIFS(TB_Input_VH!$F:$F,TB_Input_VH!$I:$I,$H9,TB_Input_VH!$G:$G,"BS")</f>
        <v>27374670.173999999</v>
      </c>
      <c r="D9" s="17">
        <f>SUMIFS(TB_Input_VH!$C:$C,TB_Input_VH!$I:$I,$H9,TB_Input_VH!$G:$G,"BS")</f>
        <v>28154804.923</v>
      </c>
      <c r="H9" s="22" t="s">
        <v>734</v>
      </c>
    </row>
    <row r="10" spans="1:8" x14ac:dyDescent="0.25">
      <c r="A10" s="18" t="s">
        <v>165</v>
      </c>
      <c r="C10" s="17">
        <f>SUMIFS(TB_Input_VH!$F:$F,TB_Input_VH!$I:$I,$H10,TB_Input_VH!$G:$G,"BS")</f>
        <v>145144.77800000002</v>
      </c>
      <c r="D10" s="17">
        <f>SUMIFS(TB_Input_VH!$C:$C,TB_Input_VH!$I:$I,$H10,TB_Input_VH!$G:$G,"BS")</f>
        <v>171804.02900000004</v>
      </c>
      <c r="H10" s="22" t="s">
        <v>735</v>
      </c>
    </row>
    <row r="11" spans="1:8" x14ac:dyDescent="0.25">
      <c r="A11" s="18" t="s">
        <v>167</v>
      </c>
      <c r="C11" s="17">
        <f>SUMIFS(TB_Input_VH!$F:$F,TB_Input_VH!$I:$I,$H11,TB_Input_VH!$G:$G,"BS")</f>
        <v>104625.32</v>
      </c>
      <c r="D11" s="17">
        <f>SUMIFS(TB_Input_VH!$C:$C,TB_Input_VH!$I:$I,$H11,TB_Input_VH!$G:$G,"BS")</f>
        <v>104625.32</v>
      </c>
      <c r="H11" s="22" t="s">
        <v>736</v>
      </c>
    </row>
    <row r="12" spans="1:8" x14ac:dyDescent="0.25">
      <c r="A12" s="25" t="s">
        <v>169</v>
      </c>
      <c r="B12" s="26"/>
      <c r="C12" s="27">
        <f>SUM(C9:C11)</f>
        <v>27624440.272</v>
      </c>
      <c r="D12" s="27">
        <f>SUM(D9:D11)</f>
        <v>28431234.272</v>
      </c>
    </row>
    <row r="14" spans="1:8" x14ac:dyDescent="0.25">
      <c r="A14" s="10" t="s">
        <v>737</v>
      </c>
      <c r="B14" s="11"/>
      <c r="C14" s="11"/>
      <c r="D14" s="11"/>
    </row>
    <row r="15" spans="1:8" x14ac:dyDescent="0.25">
      <c r="A15" s="18" t="s">
        <v>172</v>
      </c>
      <c r="C15" s="17">
        <f>SUMIFS(TB_Input_VH!$F:$F,TB_Input_VH!$I:$I,$H15,TB_Input_VH!$G:$G,"BS")</f>
        <v>32176574.924999997</v>
      </c>
      <c r="D15" s="17">
        <f>SUMIFS(TB_Input_VH!$C:$C,TB_Input_VH!$I:$I,$H15,TB_Input_VH!$G:$G,"BS")</f>
        <v>7902445.5239999993</v>
      </c>
      <c r="H15" s="22" t="s">
        <v>738</v>
      </c>
    </row>
    <row r="16" spans="1:8" x14ac:dyDescent="0.25">
      <c r="A16" s="18" t="s">
        <v>174</v>
      </c>
      <c r="C16" s="17">
        <f>SUMIFS(TB_Input_VH!$F:$F,TB_Input_VH!$I:$I,$H16,TB_Input_VH!$G:$G,"BS")</f>
        <v>6772222.0559999999</v>
      </c>
      <c r="D16" s="17">
        <f>SUMIFS(TB_Input_VH!$C:$C,TB_Input_VH!$I:$I,$H16,TB_Input_VH!$G:$G,"BS")</f>
        <v>1433473.5049999999</v>
      </c>
      <c r="H16" s="22" t="s">
        <v>739</v>
      </c>
    </row>
    <row r="17" spans="1:8" x14ac:dyDescent="0.25">
      <c r="A17" s="18" t="s">
        <v>740</v>
      </c>
      <c r="C17" s="17">
        <f>SUMIFS(TB_Input_VH!$F:$F,TB_Input_VH!$I:$I,$H17,TB_Input_VH!$G:$G,"BS")</f>
        <v>711151.24900000007</v>
      </c>
      <c r="D17" s="17">
        <f>SUMIFS(TB_Input_VH!$C:$C,TB_Input_VH!$I:$I,$H17,TB_Input_VH!$G:$G,"BS")</f>
        <v>89610.725999999995</v>
      </c>
      <c r="H17" s="22" t="s">
        <v>741</v>
      </c>
    </row>
    <row r="18" spans="1:8" x14ac:dyDescent="0.25">
      <c r="A18" s="18" t="s">
        <v>178</v>
      </c>
      <c r="C18" s="17">
        <f>SUMIFS(TB_Input_VH!$F:$F,TB_Input_VH!$I:$I,$H18,TB_Input_VH!$G:$G,"BS")</f>
        <v>2763170.14</v>
      </c>
      <c r="D18" s="17">
        <f>SUMIFS(TB_Input_VH!$C:$C,TB_Input_VH!$I:$I,$H18,TB_Input_VH!$G:$G,"BS")</f>
        <v>2303785.3600000003</v>
      </c>
      <c r="H18" s="22" t="s">
        <v>742</v>
      </c>
    </row>
    <row r="19" spans="1:8" x14ac:dyDescent="0.25">
      <c r="A19" s="25" t="s">
        <v>180</v>
      </c>
      <c r="B19" s="26"/>
      <c r="C19" s="27">
        <f>SUM(C15:C18)</f>
        <v>42423118.369999997</v>
      </c>
      <c r="D19" s="27">
        <f>SUM(D15:D18)</f>
        <v>11729315.114999998</v>
      </c>
    </row>
    <row r="21" spans="1:8" x14ac:dyDescent="0.25">
      <c r="A21" s="19" t="s">
        <v>182</v>
      </c>
      <c r="C21" s="31">
        <f>C12+C19</f>
        <v>70047558.64199999</v>
      </c>
      <c r="D21" s="31">
        <f>D12+D19</f>
        <v>40160549.386999995</v>
      </c>
    </row>
    <row r="23" spans="1:8" x14ac:dyDescent="0.25">
      <c r="A23" s="19" t="s">
        <v>743</v>
      </c>
    </row>
    <row r="24" spans="1:8" x14ac:dyDescent="0.25">
      <c r="A24" s="10" t="s">
        <v>744</v>
      </c>
      <c r="B24" s="11"/>
      <c r="C24" s="11"/>
      <c r="D24" s="11"/>
    </row>
    <row r="25" spans="1:8" x14ac:dyDescent="0.25">
      <c r="A25" s="18" t="s">
        <v>185</v>
      </c>
      <c r="C25" s="17">
        <f>-SUMIFS(TB_Input_VH!$F:$F,TB_Input_VH!$I:$I,$H25,TB_Input_VH!$G:$G,"BS")</f>
        <v>500000</v>
      </c>
      <c r="D25" s="17">
        <f>-SUMIFS(TB_Input_VH!$C:$C,TB_Input_VH!$I:$I,$H25,TB_Input_VH!$G:$G,"BS")</f>
        <v>500000</v>
      </c>
      <c r="H25" s="22" t="s">
        <v>745</v>
      </c>
    </row>
    <row r="26" spans="1:8" x14ac:dyDescent="0.25">
      <c r="A26" s="18" t="s">
        <v>187</v>
      </c>
      <c r="C26" s="17">
        <f>-SUMIFS(TB_Input_VH!$F:$F,TB_Input_VH!$I:$I,$H26,TB_Input_VH!$G:$G,"BS")</f>
        <v>22500000</v>
      </c>
      <c r="D26" s="17">
        <f>-SUMIFS(TB_Input_VH!$C:$C,TB_Input_VH!$I:$I,$H26,TB_Input_VH!$G:$G,"BS")</f>
        <v>22500000</v>
      </c>
      <c r="H26" s="22" t="s">
        <v>746</v>
      </c>
    </row>
    <row r="27" spans="1:8" x14ac:dyDescent="0.25">
      <c r="A27" s="18" t="s">
        <v>189</v>
      </c>
      <c r="C27" s="17">
        <f>-SUMIFS(TB_Input_VH!$F:$F,TB_Input_VH!$I:$I,$H27,TB_Input_VH!$G:$G,"BS")</f>
        <v>0</v>
      </c>
      <c r="D27" s="17">
        <f>-SUMIFS(TB_Input_VH!$C:$C,TB_Input_VH!$I:$I,$H27,TB_Input_VH!$G:$G,"BS")</f>
        <v>0</v>
      </c>
      <c r="H27" s="22" t="s">
        <v>747</v>
      </c>
    </row>
    <row r="28" spans="1:8" x14ac:dyDescent="0.25">
      <c r="A28" s="18" t="s">
        <v>803</v>
      </c>
      <c r="C28" s="17">
        <f>-SUMIFS(TB_Input_VH!$F:$F,TB_Input_VH!$I:$I,$H28,TB_Input_VH!$G:$G,"BS")-SUMIFS(TB_Input_VH!$C:$C,TB_Input_VH!$G:$G,"IS")</f>
        <v>-16258798.721999999</v>
      </c>
      <c r="D28" s="17">
        <f>-SUMIFS(TB_Input_VH!$C:$C,TB_Input_VH!$I:$I,$H28,TB_Input_VH!$G:$G,"BS")-SUMIFS(TB_Input_VH!$C:$C,TB_Input_VH!$G:$G,"IS")</f>
        <v>-16258798.721999999</v>
      </c>
      <c r="H28" s="22" t="s">
        <v>749</v>
      </c>
    </row>
    <row r="29" spans="1:8" x14ac:dyDescent="0.25">
      <c r="A29" s="18" t="s">
        <v>750</v>
      </c>
      <c r="C29" s="17">
        <f>IS_VH!C65</f>
        <v>-1356565.6500000022</v>
      </c>
      <c r="D29" s="17">
        <v>0</v>
      </c>
    </row>
    <row r="30" spans="1:8" x14ac:dyDescent="0.25">
      <c r="A30" s="25" t="s">
        <v>193</v>
      </c>
      <c r="B30" s="26"/>
      <c r="C30" s="27">
        <f>SUM(C25:C29)</f>
        <v>5384635.6279999986</v>
      </c>
      <c r="D30" s="27">
        <f>SUM(D25:D29)</f>
        <v>6741201.2780000009</v>
      </c>
    </row>
    <row r="32" spans="1:8" x14ac:dyDescent="0.25">
      <c r="A32" s="10" t="s">
        <v>752</v>
      </c>
      <c r="B32" s="11"/>
      <c r="C32" s="11"/>
      <c r="D32" s="11"/>
    </row>
    <row r="33" spans="1:8" x14ac:dyDescent="0.25">
      <c r="A33" s="18" t="s">
        <v>196</v>
      </c>
      <c r="C33" s="17">
        <f>-SUMIFS(TB_Input_VH!$F:$F,TB_Input_VH!$I:$I,$H33,TB_Input_VH!$G:$G,"BS")</f>
        <v>40404058.281000003</v>
      </c>
      <c r="D33" s="17">
        <f>-SUMIFS(TB_Input_VH!$C:$C,TB_Input_VH!$I:$I,$H33,TB_Input_VH!$G:$G,"BS")</f>
        <v>32910683.899999999</v>
      </c>
      <c r="H33" s="22" t="s">
        <v>753</v>
      </c>
    </row>
    <row r="34" spans="1:8" x14ac:dyDescent="0.25">
      <c r="A34" s="18" t="s">
        <v>198</v>
      </c>
      <c r="C34" s="17">
        <f>-SUMIFS(TB_Input_VH!$F:$F,TB_Input_VH!$I:$I,$H34,TB_Input_VH!$G:$G,"BS")</f>
        <v>812062.06599999999</v>
      </c>
      <c r="D34" s="17">
        <f>-SUMIFS(TB_Input_VH!$C:$C,TB_Input_VH!$I:$I,$H34,TB_Input_VH!$G:$G,"BS")</f>
        <v>699137</v>
      </c>
      <c r="H34" s="22" t="s">
        <v>754</v>
      </c>
    </row>
    <row r="35" spans="1:8" x14ac:dyDescent="0.25">
      <c r="A35" s="18" t="s">
        <v>755</v>
      </c>
      <c r="C35" s="17">
        <f>-SUMIFS(TB_Input_VH!$F:$F,TB_Input_VH!$I:$I,$H35,TB_Input_VH!$G:$G,"BS")</f>
        <v>142956.95800000001</v>
      </c>
      <c r="D35" s="17">
        <f>-SUMIFS(TB_Input_VH!$C:$C,TB_Input_VH!$I:$I,$H35,TB_Input_VH!$G:$G,"BS")</f>
        <v>135787.96</v>
      </c>
      <c r="H35" s="22" t="s">
        <v>756</v>
      </c>
    </row>
    <row r="36" spans="1:8" x14ac:dyDescent="0.25">
      <c r="A36" s="18" t="s">
        <v>202</v>
      </c>
      <c r="C36" s="17">
        <f>-SUMIFS(TB_Input_VH!$F:$F,TB_Input_VH!$I:$I,$H36,TB_Input_VH!$G:$G,"BS")</f>
        <v>276000</v>
      </c>
      <c r="D36" s="17">
        <f>-SUMIFS(TB_Input_VH!$C:$C,TB_Input_VH!$I:$I,$H36,TB_Input_VH!$G:$G,"BS")</f>
        <v>276000</v>
      </c>
      <c r="H36" s="22" t="s">
        <v>757</v>
      </c>
    </row>
    <row r="37" spans="1:8" x14ac:dyDescent="0.25">
      <c r="A37" s="25" t="s">
        <v>204</v>
      </c>
      <c r="B37" s="26"/>
      <c r="C37" s="27">
        <f>SUM(C33:C36)</f>
        <v>41635077.305</v>
      </c>
      <c r="D37" s="27">
        <f>SUM(D33:D36)</f>
        <v>34021608.859999999</v>
      </c>
    </row>
    <row r="39" spans="1:8" x14ac:dyDescent="0.25">
      <c r="A39" s="10" t="s">
        <v>758</v>
      </c>
      <c r="B39" s="11"/>
      <c r="C39" s="11"/>
      <c r="D39" s="11"/>
    </row>
    <row r="40" spans="1:8" x14ac:dyDescent="0.25">
      <c r="A40" s="18" t="s">
        <v>207</v>
      </c>
      <c r="C40" s="17">
        <f>-SUMIFS(TB_Input_VH!$F:$F,TB_Input_VH!$I:$I,$H40,TB_Input_VH!$G:$G,"BS")</f>
        <v>19773450.480999999</v>
      </c>
      <c r="D40" s="17">
        <f>-SUMIFS(TB_Input_VH!$C:$C,TB_Input_VH!$I:$I,$H40,TB_Input_VH!$G:$G,"BS")</f>
        <v>-7.5999999999999984E-2</v>
      </c>
      <c r="H40" s="22" t="s">
        <v>759</v>
      </c>
    </row>
    <row r="41" spans="1:8" x14ac:dyDescent="0.25">
      <c r="A41" s="18" t="s">
        <v>209</v>
      </c>
      <c r="C41" s="17">
        <f>-SUMIFS(TB_Input_VH!$F:$F,TB_Input_VH!$I:$I,$H41,TB_Input_VH!$G:$G,"BS")</f>
        <v>3254395.2279999997</v>
      </c>
      <c r="D41" s="17">
        <f>-SUMIFS(TB_Input_VH!$C:$C,TB_Input_VH!$I:$I,$H41,TB_Input_VH!$G:$G,"BS")</f>
        <v>-602260.67499999993</v>
      </c>
      <c r="H41" s="22" t="s">
        <v>760</v>
      </c>
    </row>
    <row r="42" spans="1:8" x14ac:dyDescent="0.25">
      <c r="A42" s="18" t="s">
        <v>211</v>
      </c>
      <c r="C42" s="17">
        <f>-SUMIFS(TB_Input_VH!$F:$F,TB_Input_VH!$I:$I,$H42,TB_Input_VH!$G:$G,"BS")</f>
        <v>0</v>
      </c>
      <c r="D42" s="17">
        <f>-SUMIFS(TB_Input_VH!$C:$C,TB_Input_VH!$I:$I,$H42,TB_Input_VH!$G:$G,"BS")</f>
        <v>0</v>
      </c>
      <c r="H42" s="22" t="s">
        <v>761</v>
      </c>
    </row>
    <row r="43" spans="1:8" x14ac:dyDescent="0.25">
      <c r="A43" s="25" t="s">
        <v>213</v>
      </c>
      <c r="B43" s="26"/>
      <c r="C43" s="27">
        <f>SUM(C40:C42)</f>
        <v>23027845.708999999</v>
      </c>
      <c r="D43" s="27">
        <f>SUM(D40:D42)</f>
        <v>-602260.75099999993</v>
      </c>
    </row>
    <row r="45" spans="1:8" x14ac:dyDescent="0.25">
      <c r="A45" s="19" t="s">
        <v>215</v>
      </c>
      <c r="C45" s="33">
        <f>C37+C43</f>
        <v>64662923.013999999</v>
      </c>
      <c r="D45" s="33">
        <f>D37+D43</f>
        <v>33419348.109000001</v>
      </c>
    </row>
    <row r="47" spans="1:8" x14ac:dyDescent="0.25">
      <c r="A47" s="19" t="s">
        <v>217</v>
      </c>
      <c r="C47" s="31">
        <f>C30+C45</f>
        <v>70047558.64199999</v>
      </c>
      <c r="D47" s="31">
        <f>D30+D45</f>
        <v>40160549.387000002</v>
      </c>
    </row>
    <row r="48" spans="1:8" x14ac:dyDescent="0.25">
      <c r="A48" s="29" t="s">
        <v>762</v>
      </c>
      <c r="C48" s="34">
        <f>C21-C47</f>
        <v>0</v>
      </c>
      <c r="D48" s="34">
        <f>D21-D47</f>
        <v>0</v>
      </c>
      <c r="G48" s="29" t="s">
        <v>763</v>
      </c>
    </row>
    <row r="50" spans="1:1" x14ac:dyDescent="0.25">
      <c r="A50" s="29" t="s">
        <v>805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1F3864"/>
  </sheetPr>
  <dimension ref="A1:H47"/>
  <sheetViews>
    <sheetView showGridLines="0" zoomScale="90" workbookViewId="0">
      <pane ySplit="6" topLeftCell="A7" activePane="bottomLeft" state="frozen"/>
      <selection pane="bottomLeft"/>
    </sheetView>
  </sheetViews>
  <sheetFormatPr defaultRowHeight="15" x14ac:dyDescent="0.25"/>
  <cols>
    <col min="1" max="1" width="58" customWidth="1"/>
    <col min="2" max="2" width="2" customWidth="1"/>
    <col min="3" max="3" width="17" customWidth="1"/>
    <col min="8" max="8" width="40" customWidth="1"/>
  </cols>
  <sheetData>
    <row r="1" spans="1:8" ht="18.75" customHeight="1" x14ac:dyDescent="0.3">
      <c r="A1" s="6" t="s">
        <v>804</v>
      </c>
    </row>
    <row r="2" spans="1:8" x14ac:dyDescent="0.25">
      <c r="A2" s="19" t="s">
        <v>770</v>
      </c>
    </row>
    <row r="3" spans="1:8" x14ac:dyDescent="0.25">
      <c r="A3" s="7" t="s">
        <v>771</v>
      </c>
    </row>
    <row r="5" spans="1:8" x14ac:dyDescent="0.25">
      <c r="C5" s="24" t="s">
        <v>799</v>
      </c>
      <c r="H5" s="22" t="s">
        <v>640</v>
      </c>
    </row>
    <row r="7" spans="1:8" x14ac:dyDescent="0.25">
      <c r="A7" s="10" t="s">
        <v>284</v>
      </c>
      <c r="B7" s="11"/>
      <c r="C7" s="11"/>
    </row>
    <row r="8" spans="1:8" x14ac:dyDescent="0.25">
      <c r="A8" s="18" t="s">
        <v>772</v>
      </c>
      <c r="C8" s="17">
        <f>IS_VH!C57</f>
        <v>-1356565.6500000022</v>
      </c>
    </row>
    <row r="9" spans="1:8" x14ac:dyDescent="0.25">
      <c r="A9" s="29" t="s">
        <v>773</v>
      </c>
    </row>
    <row r="10" spans="1:8" x14ac:dyDescent="0.25">
      <c r="A10" s="18" t="s">
        <v>774</v>
      </c>
      <c r="C10" s="17">
        <f>IS_VH!C52+IS_VH!C13</f>
        <v>1082789.8199999998</v>
      </c>
    </row>
    <row r="11" spans="1:8" x14ac:dyDescent="0.25">
      <c r="A11" s="18" t="s">
        <v>775</v>
      </c>
      <c r="C11" s="17">
        <f>IS_VH!C53</f>
        <v>0</v>
      </c>
    </row>
    <row r="12" spans="1:8" x14ac:dyDescent="0.25">
      <c r="A12" s="18" t="s">
        <v>85</v>
      </c>
      <c r="C12" s="17">
        <f>IS_VH!C54</f>
        <v>863818.04399999999</v>
      </c>
    </row>
    <row r="13" spans="1:8" x14ac:dyDescent="0.25">
      <c r="A13" s="18" t="s">
        <v>776</v>
      </c>
      <c r="C13" s="17">
        <f>-(SUMIFS(TB_Input_VH!$F:$F,TB_Input_VH!$I:$I,$H13,TB_Input_VH!$G:$G,"BS")-SUMIFS(TB_Input_VH!$C:$C,TB_Input_VH!$I:$I,$H13,TB_Input_VH!$G:$G,"BS"))</f>
        <v>112925.06599999999</v>
      </c>
      <c r="H13" s="22" t="s">
        <v>754</v>
      </c>
    </row>
    <row r="14" spans="1:8" x14ac:dyDescent="0.25">
      <c r="A14" s="18" t="s">
        <v>777</v>
      </c>
      <c r="C14" s="17">
        <f>-(SUMIFS(TB_Input_VH!$F:$F,TB_Input_VH!$I:$I,$H14,TB_Input_VH!$G:$G,"BS")-SUMIFS(TB_Input_VH!$C:$C,TB_Input_VH!$I:$I,$H14,TB_Input_VH!$G:$G,"BS"))</f>
        <v>0</v>
      </c>
      <c r="H14" s="22" t="s">
        <v>757</v>
      </c>
    </row>
    <row r="15" spans="1:8" x14ac:dyDescent="0.25">
      <c r="A15" s="29" t="s">
        <v>778</v>
      </c>
    </row>
    <row r="16" spans="1:8" x14ac:dyDescent="0.25">
      <c r="A16" s="18" t="s">
        <v>172</v>
      </c>
      <c r="C16" s="17">
        <f>-(SUMIFS(TB_Input_VH!$F:$F,TB_Input_VH!$I:$I,$H16,TB_Input_VH!$G:$G,"BS")-SUMIFS(TB_Input_VH!$C:$C,TB_Input_VH!$I:$I,$H16,TB_Input_VH!$G:$G,"BS"))</f>
        <v>-24274129.400999997</v>
      </c>
      <c r="H16" s="22" t="s">
        <v>738</v>
      </c>
    </row>
    <row r="17" spans="1:8" x14ac:dyDescent="0.25">
      <c r="A17" s="18" t="s">
        <v>174</v>
      </c>
      <c r="C17" s="17">
        <f>-(SUMIFS(TB_Input_VH!$F:$F,TB_Input_VH!$I:$I,$H17,TB_Input_VH!$G:$G,"BS")-SUMIFS(TB_Input_VH!$C:$C,TB_Input_VH!$I:$I,$H17,TB_Input_VH!$G:$G,"BS"))</f>
        <v>-5338748.551</v>
      </c>
      <c r="H17" s="22" t="s">
        <v>739</v>
      </c>
    </row>
    <row r="18" spans="1:8" x14ac:dyDescent="0.25">
      <c r="A18" s="18" t="s">
        <v>740</v>
      </c>
      <c r="C18" s="17">
        <f>-(SUMIFS(TB_Input_VH!$F:$F,TB_Input_VH!$I:$I,$H18,TB_Input_VH!$G:$G,"BS")-SUMIFS(TB_Input_VH!$C:$C,TB_Input_VH!$I:$I,$H18,TB_Input_VH!$G:$G,"BS"))</f>
        <v>-621540.52300000004</v>
      </c>
      <c r="H18" s="22" t="s">
        <v>741</v>
      </c>
    </row>
    <row r="19" spans="1:8" x14ac:dyDescent="0.25">
      <c r="A19" s="18" t="s">
        <v>209</v>
      </c>
      <c r="C19" s="17">
        <f>-(SUMIFS(TB_Input_VH!$F:$F,TB_Input_VH!$I:$I,$H19,TB_Input_VH!$G:$G,"BS")-SUMIFS(TB_Input_VH!$C:$C,TB_Input_VH!$I:$I,$H19,TB_Input_VH!$G:$G,"BS"))</f>
        <v>3856655.9029999995</v>
      </c>
      <c r="H19" s="22" t="s">
        <v>760</v>
      </c>
    </row>
    <row r="20" spans="1:8" x14ac:dyDescent="0.25">
      <c r="A20" s="18" t="s">
        <v>211</v>
      </c>
      <c r="C20" s="17">
        <f>-(SUMIFS(TB_Input_VH!$F:$F,TB_Input_VH!$I:$I,$H20,TB_Input_VH!$G:$G,"BS")-SUMIFS(TB_Input_VH!$C:$C,TB_Input_VH!$I:$I,$H20,TB_Input_VH!$G:$G,"BS"))</f>
        <v>0</v>
      </c>
      <c r="H20" s="22" t="s">
        <v>761</v>
      </c>
    </row>
    <row r="21" spans="1:8" x14ac:dyDescent="0.25">
      <c r="A21" s="23" t="s">
        <v>779</v>
      </c>
      <c r="C21" s="36">
        <f>C8+C10+C11+C12+C13+C14+SUM(C16:C20)</f>
        <v>-25674795.291999996</v>
      </c>
    </row>
    <row r="22" spans="1:8" x14ac:dyDescent="0.25">
      <c r="A22" s="18" t="s">
        <v>780</v>
      </c>
      <c r="C22" s="17">
        <f>-(SUMIFS(TB_Input_VH!$F:$F,TB_Input_VH!$I:$I,$H22,TB_Input_VH!$G:$G,"IS")-SUMIFS(TB_Input_VH!$C:$C,TB_Input_VH!$I:$I,$H22,TB_Input_VH!$G:$G,"IS"))</f>
        <v>0</v>
      </c>
      <c r="H22" s="22" t="s">
        <v>714</v>
      </c>
    </row>
    <row r="23" spans="1:8" x14ac:dyDescent="0.25">
      <c r="A23" s="18" t="s">
        <v>311</v>
      </c>
      <c r="C23" s="17">
        <f>-IS_VH!C54</f>
        <v>-863818.04399999999</v>
      </c>
    </row>
    <row r="24" spans="1:8" x14ac:dyDescent="0.25">
      <c r="A24" s="25" t="s">
        <v>781</v>
      </c>
      <c r="B24" s="26"/>
      <c r="C24" s="27">
        <f>C21+C22+C23</f>
        <v>-26538613.335999995</v>
      </c>
    </row>
    <row r="26" spans="1:8" x14ac:dyDescent="0.25">
      <c r="A26" s="10" t="s">
        <v>317</v>
      </c>
      <c r="B26" s="11"/>
      <c r="C26" s="11"/>
    </row>
    <row r="27" spans="1:8" x14ac:dyDescent="0.25">
      <c r="A27" s="18" t="s">
        <v>782</v>
      </c>
      <c r="C27" s="17">
        <f>-(SUMIFS(TB_Input_VH!$F:$F,TB_Input_VH!$I:$I,"Property, plant and equipment",TB_Input_VH!$G:$G,"BS")-SUMIFS(TB_Input_VH!$C:$C,TB_Input_VH!$I:$I,"Property, plant and equipment",TB_Input_VH!$G:$G,"BS")+SUMIFS(TB_Input_VH!$F:$F,TB_Input_VH!$I:$I,"Right of use",TB_Input_VH!$G:$G,"BS")-SUMIFS(TB_Input_VH!$C:$C,TB_Input_VH!$I:$I,"Right of use",TB_Input_VH!$G:$G,"BS")+IS_VH!C52+IS_VH!C13)</f>
        <v>-275995.8199999982</v>
      </c>
      <c r="H27" s="22" t="s">
        <v>783</v>
      </c>
    </row>
    <row r="28" spans="1:8" x14ac:dyDescent="0.25">
      <c r="A28" s="18" t="s">
        <v>320</v>
      </c>
      <c r="C28" s="17">
        <f>-(SUMIFS(TB_Input_VH!$F:$F,TB_Input_VH!$I:$I,$H28,TB_Input_VH!$G:$G,"BS")-SUMIFS(TB_Input_VH!$C:$C,TB_Input_VH!$I:$I,$H28,TB_Input_VH!$G:$G,"BS"))</f>
        <v>0</v>
      </c>
      <c r="H28" s="22" t="s">
        <v>736</v>
      </c>
    </row>
    <row r="29" spans="1:8" x14ac:dyDescent="0.25">
      <c r="A29" s="25" t="s">
        <v>784</v>
      </c>
      <c r="B29" s="26"/>
      <c r="C29" s="27">
        <f>C27+C28</f>
        <v>-275995.8199999982</v>
      </c>
    </row>
    <row r="31" spans="1:8" x14ac:dyDescent="0.25">
      <c r="A31" s="10" t="s">
        <v>324</v>
      </c>
      <c r="B31" s="11"/>
      <c r="C31" s="11"/>
    </row>
    <row r="32" spans="1:8" x14ac:dyDescent="0.25">
      <c r="A32" s="18" t="s">
        <v>325</v>
      </c>
      <c r="C32" s="17">
        <f>-(SUMIFS(TB_Input_VH!$F:$F,TB_Input_VH!$I:$I,$H32,TB_Input_VH!$G:$G,"BS")-SUMIFS(TB_Input_VH!$C:$C,TB_Input_VH!$I:$I,$H32,TB_Input_VH!$G:$G,"BS"))</f>
        <v>19773450.557</v>
      </c>
      <c r="H32" s="22" t="s">
        <v>759</v>
      </c>
    </row>
    <row r="33" spans="1:8" x14ac:dyDescent="0.25">
      <c r="A33" s="18" t="s">
        <v>327</v>
      </c>
      <c r="C33" s="17">
        <f>-(SUMIFS(TB_Input_VH!$F:$F,TB_Input_VH!$I:$I,$H33,TB_Input_VH!$G:$G,"BS")-SUMIFS(TB_Input_VH!$C:$C,TB_Input_VH!$I:$I,$H33,TB_Input_VH!$G:$G,"BS"))</f>
        <v>7493374.3810000047</v>
      </c>
      <c r="H33" s="22" t="s">
        <v>753</v>
      </c>
    </row>
    <row r="34" spans="1:8" x14ac:dyDescent="0.25">
      <c r="A34" s="18" t="s">
        <v>329</v>
      </c>
      <c r="C34" s="17">
        <f>-(SUMIFS(TB_Input_VH!$F:$F,TB_Input_VH!$I:$I,$H34,TB_Input_VH!$G:$G,"BS")-SUMIFS(TB_Input_VH!$C:$C,TB_Input_VH!$I:$I,$H34,TB_Input_VH!$G:$G,"BS"))</f>
        <v>7168.9980000000214</v>
      </c>
      <c r="H34" s="22" t="s">
        <v>756</v>
      </c>
    </row>
    <row r="35" spans="1:8" x14ac:dyDescent="0.25">
      <c r="A35" s="18" t="s">
        <v>785</v>
      </c>
      <c r="C35" s="17">
        <f>-(SUMIFS(TB_Input_VH!$F:$F,TB_Input_VH!$I:$I,$H35,TB_Input_VH!$G:$G,"BS")-SUMIFS(TB_Input_VH!$C:$C,TB_Input_VH!$I:$I,$H35,TB_Input_VH!$G:$G,"BS"))</f>
        <v>0</v>
      </c>
      <c r="H35" s="22" t="s">
        <v>745</v>
      </c>
    </row>
    <row r="36" spans="1:8" x14ac:dyDescent="0.25">
      <c r="A36" s="18" t="s">
        <v>187</v>
      </c>
      <c r="C36" s="17">
        <f>-(SUMIFS(TB_Input_VH!$F:$F,TB_Input_VH!$I:$I,$H36,TB_Input_VH!$G:$G,"BS")-SUMIFS(TB_Input_VH!$C:$C,TB_Input_VH!$I:$I,$H36,TB_Input_VH!$G:$G,"BS"))</f>
        <v>0</v>
      </c>
      <c r="H36" s="22" t="s">
        <v>746</v>
      </c>
    </row>
    <row r="37" spans="1:8" x14ac:dyDescent="0.25">
      <c r="A37" s="18" t="s">
        <v>786</v>
      </c>
      <c r="C37" s="17">
        <f>-(SUMIFS(TB_Input_VH!$F:$F,TB_Input_VH!$I:$I,$H37,TB_Input_VH!$G:$G,"BS")-SUMIFS(TB_Input_VH!$C:$C,TB_Input_VH!$I:$I,$H37,TB_Input_VH!$G:$G,"BS"))</f>
        <v>0</v>
      </c>
      <c r="H37" s="22" t="s">
        <v>747</v>
      </c>
    </row>
    <row r="38" spans="1:8" x14ac:dyDescent="0.25">
      <c r="A38" s="18" t="s">
        <v>787</v>
      </c>
      <c r="C38" s="17">
        <f>-(SUMIFS(TB_Input_VH!$F:$F,TB_Input_VH!$I:$I,$H38,TB_Input_VH!$G:$G,"BS")-SUMIFS(TB_Input_VH!$C:$C,TB_Input_VH!$I:$I,$H38,TB_Input_VH!$G:$G,"BS"))</f>
        <v>0</v>
      </c>
      <c r="H38" s="22" t="s">
        <v>749</v>
      </c>
    </row>
    <row r="39" spans="1:8" x14ac:dyDescent="0.25">
      <c r="A39" s="25" t="s">
        <v>788</v>
      </c>
      <c r="B39" s="26"/>
      <c r="C39" s="27">
        <f>SUM(C32:C38)</f>
        <v>27273993.936000004</v>
      </c>
    </row>
    <row r="41" spans="1:8" x14ac:dyDescent="0.25">
      <c r="A41" s="19" t="s">
        <v>335</v>
      </c>
      <c r="C41" s="28">
        <f>C24+C29+C39</f>
        <v>459384.78000001237</v>
      </c>
    </row>
    <row r="42" spans="1:8" x14ac:dyDescent="0.25">
      <c r="A42" s="18" t="s">
        <v>789</v>
      </c>
      <c r="C42" s="17">
        <f>SUMIFS(TB_Input_VH!$C:$C,TB_Input_VH!$I:$I,$H42,TB_Input_VH!$G:$G,"BS")</f>
        <v>2303785.3600000003</v>
      </c>
      <c r="H42" s="22" t="s">
        <v>742</v>
      </c>
    </row>
    <row r="43" spans="1:8" x14ac:dyDescent="0.25">
      <c r="A43" s="19" t="s">
        <v>790</v>
      </c>
      <c r="C43" s="31">
        <f>C41+C42</f>
        <v>2763170.1400000127</v>
      </c>
    </row>
    <row r="44" spans="1:8" x14ac:dyDescent="0.25">
      <c r="A44" s="29" t="s">
        <v>791</v>
      </c>
      <c r="C44" s="34">
        <f>BS_VH!C18-C43</f>
        <v>-1.257285475730896E-8</v>
      </c>
    </row>
    <row r="46" spans="1:8" x14ac:dyDescent="0.25">
      <c r="A46" s="29" t="s">
        <v>805</v>
      </c>
    </row>
    <row r="47" spans="1:8" x14ac:dyDescent="0.25">
      <c r="A47" s="29" t="s">
        <v>796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4472C4"/>
  </sheetPr>
  <dimension ref="A1:M1000"/>
  <sheetViews>
    <sheetView zoomScale="90" workbookViewId="0">
      <pane xSplit="2" ySplit="2" topLeftCell="C3" activePane="bottomRight" state="frozen"/>
      <selection pane="topRight"/>
      <selection pane="bottomLeft"/>
      <selection pane="bottomRight"/>
    </sheetView>
  </sheetViews>
  <sheetFormatPr defaultRowHeight="15" x14ac:dyDescent="0.25"/>
  <cols>
    <col min="1" max="1" width="12" customWidth="1"/>
    <col min="2" max="2" width="42" customWidth="1"/>
    <col min="3" max="3" width="16" style="159" customWidth="1"/>
    <col min="4" max="5" width="17.7109375" style="159" bestFit="1" customWidth="1"/>
    <col min="6" max="6" width="16" style="159" customWidth="1"/>
    <col min="7" max="7" width="8" style="159" customWidth="1"/>
    <col min="8" max="8" width="22" customWidth="1"/>
    <col min="9" max="9" width="44" customWidth="1"/>
    <col min="10" max="10" width="30" customWidth="1"/>
    <col min="12" max="12" width="26" customWidth="1"/>
    <col min="13" max="13" width="12" customWidth="1"/>
  </cols>
  <sheetData>
    <row r="1" spans="1:13" x14ac:dyDescent="0.25">
      <c r="A1" s="19" t="s">
        <v>806</v>
      </c>
      <c r="C1" s="158"/>
      <c r="H1" s="29" t="s">
        <v>807</v>
      </c>
    </row>
    <row r="2" spans="1:13" x14ac:dyDescent="0.25">
      <c r="A2" s="8" t="s">
        <v>808</v>
      </c>
      <c r="B2" s="8" t="s">
        <v>809</v>
      </c>
      <c r="C2" s="160" t="s">
        <v>810</v>
      </c>
      <c r="D2" s="160" t="s">
        <v>811</v>
      </c>
      <c r="E2" s="160" t="s">
        <v>812</v>
      </c>
      <c r="F2" s="160" t="s">
        <v>813</v>
      </c>
      <c r="G2" s="160" t="s">
        <v>814</v>
      </c>
      <c r="H2" s="8" t="s">
        <v>815</v>
      </c>
      <c r="I2" s="8" t="s">
        <v>722</v>
      </c>
      <c r="J2" s="8" t="s">
        <v>816</v>
      </c>
      <c r="L2" s="23" t="s">
        <v>817</v>
      </c>
      <c r="M2" s="37">
        <f>COUNTIFS($G:$G,"⚠ UNMAPPED",$F:$F,"&lt;&gt;0")</f>
        <v>0</v>
      </c>
    </row>
    <row r="3" spans="1:13" x14ac:dyDescent="0.25">
      <c r="A3" s="38">
        <v>110001</v>
      </c>
      <c r="B3" t="s">
        <v>818</v>
      </c>
      <c r="C3" s="158">
        <v>0</v>
      </c>
      <c r="D3" s="158">
        <v>0</v>
      </c>
      <c r="E3" s="158">
        <v>0</v>
      </c>
      <c r="F3" s="158">
        <v>0</v>
      </c>
      <c r="G3" s="158" t="str">
        <f>IF($A3="","",IFERROR(INDEX(Map!$C$2:$C$400,MATCH($A3,Map!$A$2:$A$400,0)),"⚠ UNMAPPED"))</f>
        <v>BS</v>
      </c>
      <c r="H3" s="18" t="str">
        <f>IF($A3="","",IFERROR(INDEX(Map!$D$2:$D$400,MATCH($A3,Map!$A$2:$A$400,0)),"⚠ UNMAPPED"))</f>
        <v>Non-Current Assets</v>
      </c>
      <c r="I3" s="18" t="str">
        <f>IF($A3="","",IFERROR(INDEX(Map!$E$2:$E$400,MATCH($A3,Map!$A$2:$A$400,0)),"⚠ UNMAPPED"))</f>
        <v>Property, plant and equipment</v>
      </c>
      <c r="J3" s="18" t="str">
        <f>IF($A3="","",IFERROR(INDEX(Map!$F$2:$F$400,MATCH($A3,Map!$A$2:$A$400,0)),"⚠ UNMAPPED"))</f>
        <v>Property, plant and equipment</v>
      </c>
    </row>
    <row r="4" spans="1:13" x14ac:dyDescent="0.25">
      <c r="A4" s="38">
        <v>110002</v>
      </c>
      <c r="B4" t="s">
        <v>819</v>
      </c>
      <c r="C4" s="158">
        <v>107296196.56999999</v>
      </c>
      <c r="D4" s="158">
        <v>0</v>
      </c>
      <c r="E4" s="158">
        <v>0</v>
      </c>
      <c r="F4" s="158">
        <v>107296196.56999999</v>
      </c>
      <c r="G4" s="158" t="str">
        <f>IF($A4="","",IFERROR(INDEX(Map!$C$2:$C$400,MATCH($A4,Map!$A$2:$A$400,0)),"⚠ UNMAPPED"))</f>
        <v>BS</v>
      </c>
      <c r="H4" s="18" t="str">
        <f>IF($A4="","",IFERROR(INDEX(Map!$D$2:$D$400,MATCH($A4,Map!$A$2:$A$400,0)),"⚠ UNMAPPED"))</f>
        <v>Non-Current Assets</v>
      </c>
      <c r="I4" s="18" t="str">
        <f>IF($A4="","",IFERROR(INDEX(Map!$E$2:$E$400,MATCH($A4,Map!$A$2:$A$400,0)),"⚠ UNMAPPED"))</f>
        <v>Property, plant and equipment</v>
      </c>
      <c r="J4" s="18" t="str">
        <f>IF($A4="","",IFERROR(INDEX(Map!$F$2:$F$400,MATCH($A4,Map!$A$2:$A$400,0)),"⚠ UNMAPPED"))</f>
        <v>Property, plant and equipment</v>
      </c>
    </row>
    <row r="5" spans="1:13" x14ac:dyDescent="0.25">
      <c r="A5" s="38">
        <v>110003</v>
      </c>
      <c r="B5" t="s">
        <v>820</v>
      </c>
      <c r="C5" s="158">
        <v>2296737.9700000002</v>
      </c>
      <c r="D5" s="158">
        <v>0</v>
      </c>
      <c r="E5" s="158">
        <v>0</v>
      </c>
      <c r="F5" s="158">
        <v>2296737.9700000002</v>
      </c>
      <c r="G5" s="158" t="str">
        <f>IF($A5="","",IFERROR(INDEX(Map!$C$2:$C$400,MATCH($A5,Map!$A$2:$A$400,0)),"⚠ UNMAPPED"))</f>
        <v>BS</v>
      </c>
      <c r="H5" s="18" t="str">
        <f>IF($A5="","",IFERROR(INDEX(Map!$D$2:$D$400,MATCH($A5,Map!$A$2:$A$400,0)),"⚠ UNMAPPED"))</f>
        <v>Non-Current Assets</v>
      </c>
      <c r="I5" s="18" t="str">
        <f>IF($A5="","",IFERROR(INDEX(Map!$E$2:$E$400,MATCH($A5,Map!$A$2:$A$400,0)),"⚠ UNMAPPED"))</f>
        <v>Property, plant and equipment</v>
      </c>
      <c r="J5" s="18" t="str">
        <f>IF($A5="","",IFERROR(INDEX(Map!$F$2:$F$400,MATCH($A5,Map!$A$2:$A$400,0)),"⚠ UNMAPPED"))</f>
        <v>Property, plant and equipment</v>
      </c>
    </row>
    <row r="6" spans="1:13" x14ac:dyDescent="0.25">
      <c r="A6" s="38">
        <v>110004</v>
      </c>
      <c r="B6" t="s">
        <v>821</v>
      </c>
      <c r="C6" s="158">
        <v>94789472.052000001</v>
      </c>
      <c r="D6" s="158">
        <v>0</v>
      </c>
      <c r="E6" s="158">
        <v>0</v>
      </c>
      <c r="F6" s="158">
        <v>94789472.052000001</v>
      </c>
      <c r="G6" s="158" t="str">
        <f>IF($A6="","",IFERROR(INDEX(Map!$C$2:$C$400,MATCH($A6,Map!$A$2:$A$400,0)),"⚠ UNMAPPED"))</f>
        <v>BS</v>
      </c>
      <c r="H6" s="18" t="str">
        <f>IF($A6="","",IFERROR(INDEX(Map!$D$2:$D$400,MATCH($A6,Map!$A$2:$A$400,0)),"⚠ UNMAPPED"))</f>
        <v>Non-Current Assets</v>
      </c>
      <c r="I6" s="18" t="str">
        <f>IF($A6="","",IFERROR(INDEX(Map!$E$2:$E$400,MATCH($A6,Map!$A$2:$A$400,0)),"⚠ UNMAPPED"))</f>
        <v>Property, plant and equipment</v>
      </c>
      <c r="J6" s="18" t="str">
        <f>IF($A6="","",IFERROR(INDEX(Map!$F$2:$F$400,MATCH($A6,Map!$A$2:$A$400,0)),"⚠ UNMAPPED"))</f>
        <v>Property, plant and equipment</v>
      </c>
    </row>
    <row r="7" spans="1:13" x14ac:dyDescent="0.25">
      <c r="A7" s="38">
        <v>110006</v>
      </c>
      <c r="B7" t="s">
        <v>822</v>
      </c>
      <c r="C7" s="158">
        <v>3888255.219</v>
      </c>
      <c r="D7" s="158">
        <v>0</v>
      </c>
      <c r="E7" s="158">
        <v>0</v>
      </c>
      <c r="F7" s="158">
        <v>3888255.219</v>
      </c>
      <c r="G7" s="158" t="str">
        <f>IF($A7="","",IFERROR(INDEX(Map!$C$2:$C$400,MATCH($A7,Map!$A$2:$A$400,0)),"⚠ UNMAPPED"))</f>
        <v>BS</v>
      </c>
      <c r="H7" s="18" t="str">
        <f>IF($A7="","",IFERROR(INDEX(Map!$D$2:$D$400,MATCH($A7,Map!$A$2:$A$400,0)),"⚠ UNMAPPED"))</f>
        <v>Non-Current Assets</v>
      </c>
      <c r="I7" s="18" t="str">
        <f>IF($A7="","",IFERROR(INDEX(Map!$E$2:$E$400,MATCH($A7,Map!$A$2:$A$400,0)),"⚠ UNMAPPED"))</f>
        <v>Property, plant and equipment</v>
      </c>
      <c r="J7" s="18" t="str">
        <f>IF($A7="","",IFERROR(INDEX(Map!$F$2:$F$400,MATCH($A7,Map!$A$2:$A$400,0)),"⚠ UNMAPPED"))</f>
        <v>Property, plant and equipment</v>
      </c>
    </row>
    <row r="8" spans="1:13" x14ac:dyDescent="0.25">
      <c r="A8" s="38">
        <v>110007</v>
      </c>
      <c r="B8" t="s">
        <v>823</v>
      </c>
      <c r="C8" s="158">
        <v>2677196.3050000002</v>
      </c>
      <c r="D8" s="158">
        <v>0</v>
      </c>
      <c r="E8" s="158">
        <v>0</v>
      </c>
      <c r="F8" s="158">
        <v>2677196.3050000002</v>
      </c>
      <c r="G8" s="158" t="str">
        <f>IF($A8="","",IFERROR(INDEX(Map!$C$2:$C$400,MATCH($A8,Map!$A$2:$A$400,0)),"⚠ UNMAPPED"))</f>
        <v>BS</v>
      </c>
      <c r="H8" s="18" t="str">
        <f>IF($A8="","",IFERROR(INDEX(Map!$D$2:$D$400,MATCH($A8,Map!$A$2:$A$400,0)),"⚠ UNMAPPED"))</f>
        <v>Non-Current Assets</v>
      </c>
      <c r="I8" s="18" t="str">
        <f>IF($A8="","",IFERROR(INDEX(Map!$E$2:$E$400,MATCH($A8,Map!$A$2:$A$400,0)),"⚠ UNMAPPED"))</f>
        <v>Property, plant and equipment</v>
      </c>
      <c r="J8" s="18" t="str">
        <f>IF($A8="","",IFERROR(INDEX(Map!$F$2:$F$400,MATCH($A8,Map!$A$2:$A$400,0)),"⚠ UNMAPPED"))</f>
        <v>Property, plant and equipment</v>
      </c>
    </row>
    <row r="9" spans="1:13" x14ac:dyDescent="0.25">
      <c r="A9" s="38">
        <v>110008</v>
      </c>
      <c r="B9" t="s">
        <v>824</v>
      </c>
      <c r="C9" s="158">
        <v>1155192.2409999999</v>
      </c>
      <c r="D9" s="158">
        <v>1311.3040000000001</v>
      </c>
      <c r="E9" s="158">
        <v>0</v>
      </c>
      <c r="F9" s="158">
        <v>1156503.5449999999</v>
      </c>
      <c r="G9" s="158" t="str">
        <f>IF($A9="","",IFERROR(INDEX(Map!$C$2:$C$400,MATCH($A9,Map!$A$2:$A$400,0)),"⚠ UNMAPPED"))</f>
        <v>BS</v>
      </c>
      <c r="H9" s="18" t="str">
        <f>IF($A9="","",IFERROR(INDEX(Map!$D$2:$D$400,MATCH($A9,Map!$A$2:$A$400,0)),"⚠ UNMAPPED"))</f>
        <v>Non-Current Assets</v>
      </c>
      <c r="I9" s="18" t="str">
        <f>IF($A9="","",IFERROR(INDEX(Map!$E$2:$E$400,MATCH($A9,Map!$A$2:$A$400,0)),"⚠ UNMAPPED"))</f>
        <v>Property, plant and equipment</v>
      </c>
      <c r="J9" s="18" t="str">
        <f>IF($A9="","",IFERROR(INDEX(Map!$F$2:$F$400,MATCH($A9,Map!$A$2:$A$400,0)),"⚠ UNMAPPED"))</f>
        <v>Property, plant and equipment</v>
      </c>
    </row>
    <row r="10" spans="1:13" x14ac:dyDescent="0.25">
      <c r="A10" s="38">
        <v>111009</v>
      </c>
      <c r="B10" t="s">
        <v>825</v>
      </c>
      <c r="C10" s="158">
        <v>3674470.773</v>
      </c>
      <c r="D10" s="158">
        <v>0</v>
      </c>
      <c r="E10" s="158">
        <v>1654335.773</v>
      </c>
      <c r="F10" s="158">
        <v>2020135</v>
      </c>
      <c r="G10" s="158" t="str">
        <f>IF($A10="","",IFERROR(INDEX(Map!$C$2:$C$400,MATCH($A10,Map!$A$2:$A$400,0)),"⚠ UNMAPPED"))</f>
        <v>BS</v>
      </c>
      <c r="H10" s="18" t="str">
        <f>IF($A10="","",IFERROR(INDEX(Map!$D$2:$D$400,MATCH($A10,Map!$A$2:$A$400,0)),"⚠ UNMAPPED"))</f>
        <v>Non-Current Assets</v>
      </c>
      <c r="I10" s="18" t="str">
        <f>IF($A10="","",IFERROR(INDEX(Map!$E$2:$E$400,MATCH($A10,Map!$A$2:$A$400,0)),"⚠ UNMAPPED"))</f>
        <v>Right of use</v>
      </c>
      <c r="J10" s="18" t="str">
        <f>IF($A10="","",IFERROR(INDEX(Map!$F$2:$F$400,MATCH($A10,Map!$A$2:$A$400,0)),"⚠ UNMAPPED"))</f>
        <v>Leases - right of use assets</v>
      </c>
    </row>
    <row r="11" spans="1:13" x14ac:dyDescent="0.25">
      <c r="A11" s="38">
        <v>111010</v>
      </c>
      <c r="B11" t="s">
        <v>826</v>
      </c>
      <c r="C11" s="158">
        <v>17130632.348999999</v>
      </c>
      <c r="D11" s="158">
        <v>130000.13</v>
      </c>
      <c r="E11" s="158">
        <v>846211.50800000003</v>
      </c>
      <c r="F11" s="158">
        <v>16414420.971000001</v>
      </c>
      <c r="G11" s="158" t="str">
        <f>IF($A11="","",IFERROR(INDEX(Map!$C$2:$C$400,MATCH($A11,Map!$A$2:$A$400,0)),"⚠ UNMAPPED"))</f>
        <v>BS</v>
      </c>
      <c r="H11" s="18" t="str">
        <f>IF($A11="","",IFERROR(INDEX(Map!$D$2:$D$400,MATCH($A11,Map!$A$2:$A$400,0)),"⚠ UNMAPPED"))</f>
        <v>Non-Current Assets</v>
      </c>
      <c r="I11" s="18" t="str">
        <f>IF($A11="","",IFERROR(INDEX(Map!$E$2:$E$400,MATCH($A11,Map!$A$2:$A$400,0)),"⚠ UNMAPPED"))</f>
        <v>Property, plant and equipment</v>
      </c>
      <c r="J11" s="18" t="str">
        <f>IF($A11="","",IFERROR(INDEX(Map!$F$2:$F$400,MATCH($A11,Map!$A$2:$A$400,0)),"⚠ UNMAPPED"))</f>
        <v>Property, plant and equipment - Accumulated depreciation</v>
      </c>
    </row>
    <row r="12" spans="1:13" x14ac:dyDescent="0.25">
      <c r="A12" s="38">
        <v>111013</v>
      </c>
      <c r="B12" t="s">
        <v>827</v>
      </c>
      <c r="C12" s="158">
        <v>-543176.42200000002</v>
      </c>
      <c r="D12" s="158">
        <v>0</v>
      </c>
      <c r="E12" s="158">
        <v>0</v>
      </c>
      <c r="F12" s="158">
        <v>-543176.42200000002</v>
      </c>
      <c r="G12" s="158" t="str">
        <f>IF($A12="","",IFERROR(INDEX(Map!$C$2:$C$400,MATCH($A12,Map!$A$2:$A$400,0)),"⚠ UNMAPPED"))</f>
        <v>BS</v>
      </c>
      <c r="H12" s="18" t="str">
        <f>IF($A12="","",IFERROR(INDEX(Map!$D$2:$D$400,MATCH($A12,Map!$A$2:$A$400,0)),"⚠ UNMAPPED"))</f>
        <v>Non-Current Assets</v>
      </c>
      <c r="I12" s="18" t="str">
        <f>IF($A12="","",IFERROR(INDEX(Map!$E$2:$E$400,MATCH($A12,Map!$A$2:$A$400,0)),"⚠ UNMAPPED"))</f>
        <v>Property, plant and equipment</v>
      </c>
      <c r="J12" s="18" t="str">
        <f>IF($A12="","",IFERROR(INDEX(Map!$F$2:$F$400,MATCH($A12,Map!$A$2:$A$400,0)),"⚠ UNMAPPED"))</f>
        <v>Property, plant and equipment - Accumulated depreciation</v>
      </c>
    </row>
    <row r="13" spans="1:13" x14ac:dyDescent="0.25">
      <c r="A13" s="38">
        <v>111099</v>
      </c>
      <c r="B13" t="s">
        <v>828</v>
      </c>
      <c r="C13" s="158">
        <v>178579.924</v>
      </c>
      <c r="D13" s="158">
        <v>15146894.504000001</v>
      </c>
      <c r="E13" s="158">
        <v>6484759.0269999998</v>
      </c>
      <c r="F13" s="158">
        <v>8840715.4010000005</v>
      </c>
      <c r="G13" s="158" t="str">
        <f>IF($A13="","",IFERROR(INDEX(Map!$C$2:$C$400,MATCH($A13,Map!$A$2:$A$400,0)),"⚠ UNMAPPED"))</f>
        <v>BS</v>
      </c>
      <c r="H13" s="18" t="str">
        <f>IF($A13="","",IFERROR(INDEX(Map!$D$2:$D$400,MATCH($A13,Map!$A$2:$A$400,0)),"⚠ UNMAPPED"))</f>
        <v>Non-Current Assets</v>
      </c>
      <c r="I13" s="18" t="str">
        <f>IF($A13="","",IFERROR(INDEX(Map!$E$2:$E$400,MATCH($A13,Map!$A$2:$A$400,0)),"⚠ UNMAPPED"))</f>
        <v>Property, plant and equipment</v>
      </c>
      <c r="J13" s="18" t="str">
        <f>IF($A13="","",IFERROR(INDEX(Map!$F$2:$F$400,MATCH($A13,Map!$A$2:$A$400,0)),"⚠ UNMAPPED"))</f>
        <v>Property, plant and equipment - Accumulated depreciation</v>
      </c>
    </row>
    <row r="14" spans="1:13" x14ac:dyDescent="0.25">
      <c r="A14" s="38">
        <v>120001</v>
      </c>
      <c r="B14" t="s">
        <v>829</v>
      </c>
      <c r="C14" s="158">
        <v>-11630035.142999999</v>
      </c>
      <c r="D14" s="158">
        <v>0</v>
      </c>
      <c r="E14" s="158">
        <v>0</v>
      </c>
      <c r="F14" s="158">
        <v>-11630035.142999999</v>
      </c>
      <c r="G14" s="158" t="str">
        <f>IF($A14="","",IFERROR(INDEX(Map!$C$2:$C$400,MATCH($A14,Map!$A$2:$A$400,0)),"⚠ UNMAPPED"))</f>
        <v>BS</v>
      </c>
      <c r="H14" s="18" t="str">
        <f>IF($A14="","",IFERROR(INDEX(Map!$D$2:$D$400,MATCH($A14,Map!$A$2:$A$400,0)),"⚠ UNMAPPED"))</f>
        <v>Non-Current Assets</v>
      </c>
      <c r="I14" s="18" t="str">
        <f>IF($A14="","",IFERROR(INDEX(Map!$E$2:$E$400,MATCH($A14,Map!$A$2:$A$400,0)),"⚠ UNMAPPED"))</f>
        <v>Property, plant and equipment</v>
      </c>
      <c r="J14" s="18" t="str">
        <f>IF($A14="","",IFERROR(INDEX(Map!$F$2:$F$400,MATCH($A14,Map!$A$2:$A$400,0)),"⚠ UNMAPPED"))</f>
        <v>Property, plant and equipment - Accumulated depreciation</v>
      </c>
    </row>
    <row r="15" spans="1:13" x14ac:dyDescent="0.25">
      <c r="A15" s="38">
        <v>120002</v>
      </c>
      <c r="B15" t="s">
        <v>830</v>
      </c>
      <c r="C15" s="158">
        <v>-1783073.851</v>
      </c>
      <c r="D15" s="158">
        <v>0</v>
      </c>
      <c r="E15" s="158">
        <v>0</v>
      </c>
      <c r="F15" s="158">
        <v>-1783073.851</v>
      </c>
      <c r="G15" s="158" t="str">
        <f>IF($A15="","",IFERROR(INDEX(Map!$C$2:$C$400,MATCH($A15,Map!$A$2:$A$400,0)),"⚠ UNMAPPED"))</f>
        <v>BS</v>
      </c>
      <c r="H15" s="18" t="str">
        <f>IF($A15="","",IFERROR(INDEX(Map!$D$2:$D$400,MATCH($A15,Map!$A$2:$A$400,0)),"⚠ UNMAPPED"))</f>
        <v>Non-Current Assets</v>
      </c>
      <c r="I15" s="18" t="str">
        <f>IF($A15="","",IFERROR(INDEX(Map!$E$2:$E$400,MATCH($A15,Map!$A$2:$A$400,0)),"⚠ UNMAPPED"))</f>
        <v>Property, plant and equipment</v>
      </c>
      <c r="J15" s="18" t="str">
        <f>IF($A15="","",IFERROR(INDEX(Map!$F$2:$F$400,MATCH($A15,Map!$A$2:$A$400,0)),"⚠ UNMAPPED"))</f>
        <v>Property, plant and equipment - Accumulated depreciation</v>
      </c>
    </row>
    <row r="16" spans="1:13" x14ac:dyDescent="0.25">
      <c r="A16" s="38">
        <v>120003</v>
      </c>
      <c r="B16" t="s">
        <v>831</v>
      </c>
      <c r="C16" s="158">
        <v>-50472135.898999996</v>
      </c>
      <c r="D16" s="158">
        <v>0</v>
      </c>
      <c r="E16" s="158">
        <v>0</v>
      </c>
      <c r="F16" s="158">
        <v>-50472135.898999996</v>
      </c>
      <c r="G16" s="158" t="str">
        <f>IF($A16="","",IFERROR(INDEX(Map!$C$2:$C$400,MATCH($A16,Map!$A$2:$A$400,0)),"⚠ UNMAPPED"))</f>
        <v>BS</v>
      </c>
      <c r="H16" s="18" t="str">
        <f>IF($A16="","",IFERROR(INDEX(Map!$D$2:$D$400,MATCH($A16,Map!$A$2:$A$400,0)),"⚠ UNMAPPED"))</f>
        <v>Non-Current Assets</v>
      </c>
      <c r="I16" s="18" t="str">
        <f>IF($A16="","",IFERROR(INDEX(Map!$E$2:$E$400,MATCH($A16,Map!$A$2:$A$400,0)),"⚠ UNMAPPED"))</f>
        <v>Property, plant and equipment</v>
      </c>
      <c r="J16" s="18" t="str">
        <f>IF($A16="","",IFERROR(INDEX(Map!$F$2:$F$400,MATCH($A16,Map!$A$2:$A$400,0)),"⚠ UNMAPPED"))</f>
        <v>Property, plant and equipment - Accumulated depreciation</v>
      </c>
    </row>
    <row r="17" spans="1:10" x14ac:dyDescent="0.25">
      <c r="A17" s="38">
        <v>120005</v>
      </c>
      <c r="B17" t="s">
        <v>832</v>
      </c>
      <c r="C17" s="158">
        <v>-2723690.9840000002</v>
      </c>
      <c r="D17" s="158">
        <v>0</v>
      </c>
      <c r="E17" s="158">
        <v>0</v>
      </c>
      <c r="F17" s="158">
        <v>-2723690.9840000002</v>
      </c>
      <c r="G17" s="158" t="str">
        <f>IF($A17="","",IFERROR(INDEX(Map!$C$2:$C$400,MATCH($A17,Map!$A$2:$A$400,0)),"⚠ UNMAPPED"))</f>
        <v>BS</v>
      </c>
      <c r="H17" s="18" t="str">
        <f>IF($A17="","",IFERROR(INDEX(Map!$D$2:$D$400,MATCH($A17,Map!$A$2:$A$400,0)),"⚠ UNMAPPED"))</f>
        <v>Non-Current Assets</v>
      </c>
      <c r="I17" s="18" t="str">
        <f>IF($A17="","",IFERROR(INDEX(Map!$E$2:$E$400,MATCH($A17,Map!$A$2:$A$400,0)),"⚠ UNMAPPED"))</f>
        <v>Property, plant and equipment</v>
      </c>
      <c r="J17" s="18" t="str">
        <f>IF($A17="","",IFERROR(INDEX(Map!$F$2:$F$400,MATCH($A17,Map!$A$2:$A$400,0)),"⚠ UNMAPPED"))</f>
        <v>Property, plant and equipment - Accumulated depreciation</v>
      </c>
    </row>
    <row r="18" spans="1:10" x14ac:dyDescent="0.25">
      <c r="A18" s="38">
        <v>120006</v>
      </c>
      <c r="B18" t="s">
        <v>833</v>
      </c>
      <c r="C18" s="158">
        <v>-2220442.0430000001</v>
      </c>
      <c r="D18" s="158">
        <v>0</v>
      </c>
      <c r="E18" s="158">
        <v>0</v>
      </c>
      <c r="F18" s="158">
        <v>-2220442.0430000001</v>
      </c>
      <c r="G18" s="158" t="str">
        <f>IF($A18="","",IFERROR(INDEX(Map!$C$2:$C$400,MATCH($A18,Map!$A$2:$A$400,0)),"⚠ UNMAPPED"))</f>
        <v>BS</v>
      </c>
      <c r="H18" s="18" t="str">
        <f>IF($A18="","",IFERROR(INDEX(Map!$D$2:$D$400,MATCH($A18,Map!$A$2:$A$400,0)),"⚠ UNMAPPED"))</f>
        <v>Non-Current Assets</v>
      </c>
      <c r="I18" s="18" t="str">
        <f>IF($A18="","",IFERROR(INDEX(Map!$E$2:$E$400,MATCH($A18,Map!$A$2:$A$400,0)),"⚠ UNMAPPED"))</f>
        <v>Property, plant and equipment</v>
      </c>
      <c r="J18" s="18" t="str">
        <f>IF($A18="","",IFERROR(INDEX(Map!$F$2:$F$400,MATCH($A18,Map!$A$2:$A$400,0)),"⚠ UNMAPPED"))</f>
        <v>Property, plant and equipment - Accumulated depreciation</v>
      </c>
    </row>
    <row r="19" spans="1:10" x14ac:dyDescent="0.25">
      <c r="A19" s="38">
        <v>120007</v>
      </c>
      <c r="B19" t="s">
        <v>834</v>
      </c>
      <c r="C19" s="158">
        <v>-748291.75800000003</v>
      </c>
      <c r="D19" s="158">
        <v>0</v>
      </c>
      <c r="E19" s="158">
        <v>0</v>
      </c>
      <c r="F19" s="158">
        <v>-748291.75800000003</v>
      </c>
      <c r="G19" s="158" t="str">
        <f>IF($A19="","",IFERROR(INDEX(Map!$C$2:$C$400,MATCH($A19,Map!$A$2:$A$400,0)),"⚠ UNMAPPED"))</f>
        <v>BS</v>
      </c>
      <c r="H19" s="18" t="str">
        <f>IF($A19="","",IFERROR(INDEX(Map!$D$2:$D$400,MATCH($A19,Map!$A$2:$A$400,0)),"⚠ UNMAPPED"))</f>
        <v>Non-Current Assets</v>
      </c>
      <c r="I19" s="18" t="str">
        <f>IF($A19="","",IFERROR(INDEX(Map!$E$2:$E$400,MATCH($A19,Map!$A$2:$A$400,0)),"⚠ UNMAPPED"))</f>
        <v>Property, plant and equipment</v>
      </c>
      <c r="J19" s="18" t="str">
        <f>IF($A19="","",IFERROR(INDEX(Map!$F$2:$F$400,MATCH($A19,Map!$A$2:$A$400,0)),"⚠ UNMAPPED"))</f>
        <v>Property, plant and equipment - Accumulated depreciation</v>
      </c>
    </row>
    <row r="20" spans="1:10" x14ac:dyDescent="0.25">
      <c r="A20" s="38">
        <v>120008</v>
      </c>
      <c r="B20" t="s">
        <v>835</v>
      </c>
      <c r="C20" s="158">
        <v>-1128826.4210000001</v>
      </c>
      <c r="D20" s="158">
        <v>499132.2</v>
      </c>
      <c r="E20" s="158">
        <v>412358.42499999999</v>
      </c>
      <c r="F20" s="158">
        <v>-1042052.6459999999</v>
      </c>
      <c r="G20" s="158" t="str">
        <f>IF($A20="","",IFERROR(INDEX(Map!$C$2:$C$400,MATCH($A20,Map!$A$2:$A$400,0)),"⚠ UNMAPPED"))</f>
        <v>BS</v>
      </c>
      <c r="H20" s="18" t="str">
        <f>IF($A20="","",IFERROR(INDEX(Map!$D$2:$D$400,MATCH($A20,Map!$A$2:$A$400,0)),"⚠ UNMAPPED"))</f>
        <v>Non-Current Assets</v>
      </c>
      <c r="I20" s="18" t="str">
        <f>IF($A20="","",IFERROR(INDEX(Map!$E$2:$E$400,MATCH($A20,Map!$A$2:$A$400,0)),"⚠ UNMAPPED"))</f>
        <v>Right of use</v>
      </c>
      <c r="J20" s="18" t="str">
        <f>IF($A20="","",IFERROR(INDEX(Map!$F$2:$F$400,MATCH($A20,Map!$A$2:$A$400,0)),"⚠ UNMAPPED"))</f>
        <v>Depreciation/amortization of rights of use assets</v>
      </c>
    </row>
    <row r="21" spans="1:10" x14ac:dyDescent="0.25">
      <c r="A21" s="38">
        <v>121001</v>
      </c>
      <c r="B21" t="s">
        <v>836</v>
      </c>
      <c r="C21" s="158">
        <v>13762616.130000001</v>
      </c>
      <c r="D21" s="158">
        <v>0</v>
      </c>
      <c r="E21" s="158">
        <v>0</v>
      </c>
      <c r="F21" s="158">
        <v>13762616.130000001</v>
      </c>
      <c r="G21" s="158" t="str">
        <f>IF($A21="","",IFERROR(INDEX(Map!$C$2:$C$400,MATCH($A21,Map!$A$2:$A$400,0)),"⚠ UNMAPPED"))</f>
        <v>BS</v>
      </c>
      <c r="H21" s="18" t="str">
        <f>IF($A21="","",IFERROR(INDEX(Map!$D$2:$D$400,MATCH($A21,Map!$A$2:$A$400,0)),"⚠ UNMAPPED"))</f>
        <v>Current Assets</v>
      </c>
      <c r="I21" s="18" t="str">
        <f>IF($A21="","",IFERROR(INDEX(Map!$E$2:$E$400,MATCH($A21,Map!$A$2:$A$400,0)),"⚠ UNMAPPED"))</f>
        <v>Prepaid expenses</v>
      </c>
      <c r="J21" s="18" t="str">
        <f>IF($A21="","",IFERROR(INDEX(Map!$F$2:$F$400,MATCH($A21,Map!$A$2:$A$400,0)),"⚠ UNMAPPED"))</f>
        <v>Pre Operating Exps</v>
      </c>
    </row>
    <row r="22" spans="1:10" x14ac:dyDescent="0.25">
      <c r="A22" s="38">
        <v>121002</v>
      </c>
      <c r="B22" t="s">
        <v>837</v>
      </c>
      <c r="C22" s="158">
        <v>-13762616.130000001</v>
      </c>
      <c r="D22" s="158">
        <v>0</v>
      </c>
      <c r="E22" s="158">
        <v>0</v>
      </c>
      <c r="F22" s="158">
        <v>-13762616.130000001</v>
      </c>
      <c r="G22" s="158" t="str">
        <f>IF($A22="","",IFERROR(INDEX(Map!$C$2:$C$400,MATCH($A22,Map!$A$2:$A$400,0)),"⚠ UNMAPPED"))</f>
        <v>BS</v>
      </c>
      <c r="H22" s="18" t="str">
        <f>IF($A22="","",IFERROR(INDEX(Map!$D$2:$D$400,MATCH($A22,Map!$A$2:$A$400,0)),"⚠ UNMAPPED"))</f>
        <v>Current Assets</v>
      </c>
      <c r="I22" s="18" t="str">
        <f>IF($A22="","",IFERROR(INDEX(Map!$E$2:$E$400,MATCH($A22,Map!$A$2:$A$400,0)),"⚠ UNMAPPED"))</f>
        <v>Prepaid expenses</v>
      </c>
      <c r="J22" s="18" t="str">
        <f>IF($A22="","",IFERROR(INDEX(Map!$F$2:$F$400,MATCH($A22,Map!$A$2:$A$400,0)),"⚠ UNMAPPED"))</f>
        <v>Amortization Of Pre Operating Exps</v>
      </c>
    </row>
    <row r="23" spans="1:10" x14ac:dyDescent="0.25">
      <c r="A23" s="38">
        <v>130001</v>
      </c>
      <c r="B23" t="s">
        <v>838</v>
      </c>
      <c r="C23" s="158">
        <v>0</v>
      </c>
      <c r="D23" s="158">
        <v>0</v>
      </c>
      <c r="E23" s="158">
        <v>0</v>
      </c>
      <c r="F23" s="158">
        <v>0</v>
      </c>
      <c r="G23" s="158" t="str">
        <f>IF($A23="","",IFERROR(INDEX(Map!$C$2:$C$400,MATCH($A23,Map!$A$2:$A$400,0)),"⚠ UNMAPPED"))</f>
        <v>BS</v>
      </c>
      <c r="H23" s="18" t="str">
        <f>IF($A23="","",IFERROR(INDEX(Map!$D$2:$D$400,MATCH($A23,Map!$A$2:$A$400,0)),"⚠ UNMAPPED"))</f>
        <v>Current Assets</v>
      </c>
      <c r="I23" s="18" t="str">
        <f>IF($A23="","",IFERROR(INDEX(Map!$E$2:$E$400,MATCH($A23,Map!$A$2:$A$400,0)),"⚠ UNMAPPED"))</f>
        <v>Cash and cash equivalents</v>
      </c>
      <c r="J23" s="18" t="str">
        <f>IF($A23="","",IFERROR(INDEX(Map!$F$2:$F$400,MATCH($A23,Map!$A$2:$A$400,0)),"⚠ UNMAPPED"))</f>
        <v>Bank balances</v>
      </c>
    </row>
    <row r="24" spans="1:10" x14ac:dyDescent="0.25">
      <c r="A24" s="38">
        <v>130002</v>
      </c>
      <c r="B24" t="s">
        <v>839</v>
      </c>
      <c r="C24" s="158">
        <v>2000</v>
      </c>
      <c r="D24" s="158">
        <v>0</v>
      </c>
      <c r="E24" s="158">
        <v>0</v>
      </c>
      <c r="F24" s="158">
        <v>2000</v>
      </c>
      <c r="G24" s="158" t="str">
        <f>IF($A24="","",IFERROR(INDEX(Map!$C$2:$C$400,MATCH($A24,Map!$A$2:$A$400,0)),"⚠ UNMAPPED"))</f>
        <v>BS</v>
      </c>
      <c r="H24" s="18" t="str">
        <f>IF($A24="","",IFERROR(INDEX(Map!$D$2:$D$400,MATCH($A24,Map!$A$2:$A$400,0)),"⚠ UNMAPPED"))</f>
        <v>Current Assets</v>
      </c>
      <c r="I24" s="18" t="str">
        <f>IF($A24="","",IFERROR(INDEX(Map!$E$2:$E$400,MATCH($A24,Map!$A$2:$A$400,0)),"⚠ UNMAPPED"))</f>
        <v>Cash and cash equivalents</v>
      </c>
      <c r="J24" s="18" t="str">
        <f>IF($A24="","",IFERROR(INDEX(Map!$F$2:$F$400,MATCH($A24,Map!$A$2:$A$400,0)),"⚠ UNMAPPED"))</f>
        <v>Bank balances</v>
      </c>
    </row>
    <row r="25" spans="1:10" x14ac:dyDescent="0.25">
      <c r="A25" s="38">
        <v>130003</v>
      </c>
      <c r="B25" t="s">
        <v>840</v>
      </c>
      <c r="C25" s="158">
        <v>0</v>
      </c>
      <c r="D25" s="158">
        <v>0</v>
      </c>
      <c r="E25" s="158">
        <v>0</v>
      </c>
      <c r="F25" s="158">
        <v>0</v>
      </c>
      <c r="G25" s="158" t="str">
        <f>IF($A25="","",IFERROR(INDEX(Map!$C$2:$C$400,MATCH($A25,Map!$A$2:$A$400,0)),"⚠ UNMAPPED"))</f>
        <v>BS</v>
      </c>
      <c r="H25" s="18" t="str">
        <f>IF($A25="","",IFERROR(INDEX(Map!$D$2:$D$400,MATCH($A25,Map!$A$2:$A$400,0)),"⚠ UNMAPPED"))</f>
        <v>Current Assets</v>
      </c>
      <c r="I25" s="18" t="str">
        <f>IF($A25="","",IFERROR(INDEX(Map!$E$2:$E$400,MATCH($A25,Map!$A$2:$A$400,0)),"⚠ UNMAPPED"))</f>
        <v>Cash and cash equivalents</v>
      </c>
      <c r="J25" s="18" t="str">
        <f>IF($A25="","",IFERROR(INDEX(Map!$F$2:$F$400,MATCH($A25,Map!$A$2:$A$400,0)),"⚠ UNMAPPED"))</f>
        <v>Bank balances</v>
      </c>
    </row>
    <row r="26" spans="1:10" x14ac:dyDescent="0.25">
      <c r="A26" s="38">
        <v>130004</v>
      </c>
      <c r="B26" t="s">
        <v>841</v>
      </c>
      <c r="C26" s="158">
        <v>0</v>
      </c>
      <c r="D26" s="158">
        <v>0</v>
      </c>
      <c r="E26" s="158">
        <v>0</v>
      </c>
      <c r="F26" s="158">
        <v>0</v>
      </c>
      <c r="G26" s="158" t="str">
        <f>IF($A26="","",IFERROR(INDEX(Map!$C$2:$C$400,MATCH($A26,Map!$A$2:$A$400,0)),"⚠ UNMAPPED"))</f>
        <v>BS</v>
      </c>
      <c r="H26" s="18" t="str">
        <f>IF($A26="","",IFERROR(INDEX(Map!$D$2:$D$400,MATCH($A26,Map!$A$2:$A$400,0)),"⚠ UNMAPPED"))</f>
        <v>Current Assets</v>
      </c>
      <c r="I26" s="18" t="str">
        <f>IF($A26="","",IFERROR(INDEX(Map!$E$2:$E$400,MATCH($A26,Map!$A$2:$A$400,0)),"⚠ UNMAPPED"))</f>
        <v>Cash and cash equivalents</v>
      </c>
      <c r="J26" s="18" t="str">
        <f>IF($A26="","",IFERROR(INDEX(Map!$F$2:$F$400,MATCH($A26,Map!$A$2:$A$400,0)),"⚠ UNMAPPED"))</f>
        <v>Bank balances</v>
      </c>
    </row>
    <row r="27" spans="1:10" x14ac:dyDescent="0.25">
      <c r="A27" s="38">
        <v>130005</v>
      </c>
      <c r="B27" t="s">
        <v>842</v>
      </c>
      <c r="C27" s="158">
        <v>0</v>
      </c>
      <c r="D27" s="158">
        <v>0</v>
      </c>
      <c r="E27" s="158">
        <v>0</v>
      </c>
      <c r="F27" s="158">
        <v>0</v>
      </c>
      <c r="G27" s="158" t="str">
        <f>IF($A27="","",IFERROR(INDEX(Map!$C$2:$C$400,MATCH($A27,Map!$A$2:$A$400,0)),"⚠ UNMAPPED"))</f>
        <v>BS</v>
      </c>
      <c r="H27" s="18" t="str">
        <f>IF($A27="","",IFERROR(INDEX(Map!$D$2:$D$400,MATCH($A27,Map!$A$2:$A$400,0)),"⚠ UNMAPPED"))</f>
        <v>Current Assets</v>
      </c>
      <c r="I27" s="18" t="str">
        <f>IF($A27="","",IFERROR(INDEX(Map!$E$2:$E$400,MATCH($A27,Map!$A$2:$A$400,0)),"⚠ UNMAPPED"))</f>
        <v>Cash and cash equivalents</v>
      </c>
      <c r="J27" s="18" t="str">
        <f>IF($A27="","",IFERROR(INDEX(Map!$F$2:$F$400,MATCH($A27,Map!$A$2:$A$400,0)),"⚠ UNMAPPED"))</f>
        <v>Bank balances</v>
      </c>
    </row>
    <row r="28" spans="1:10" x14ac:dyDescent="0.25">
      <c r="A28" s="38">
        <v>130006</v>
      </c>
      <c r="B28" t="s">
        <v>843</v>
      </c>
      <c r="C28" s="158">
        <v>0</v>
      </c>
      <c r="D28" s="158">
        <v>0</v>
      </c>
      <c r="E28" s="158">
        <v>0</v>
      </c>
      <c r="F28" s="158">
        <v>0</v>
      </c>
      <c r="G28" s="158" t="str">
        <f>IF($A28="","",IFERROR(INDEX(Map!$C$2:$C$400,MATCH($A28,Map!$A$2:$A$400,0)),"⚠ UNMAPPED"))</f>
        <v>BS</v>
      </c>
      <c r="H28" s="18" t="str">
        <f>IF($A28="","",IFERROR(INDEX(Map!$D$2:$D$400,MATCH($A28,Map!$A$2:$A$400,0)),"⚠ UNMAPPED"))</f>
        <v>Current Assets</v>
      </c>
      <c r="I28" s="18" t="str">
        <f>IF($A28="","",IFERROR(INDEX(Map!$E$2:$E$400,MATCH($A28,Map!$A$2:$A$400,0)),"⚠ UNMAPPED"))</f>
        <v>Cash and cash equivalents</v>
      </c>
      <c r="J28" s="18" t="str">
        <f>IF($A28="","",IFERROR(INDEX(Map!$F$2:$F$400,MATCH($A28,Map!$A$2:$A$400,0)),"⚠ UNMAPPED"))</f>
        <v>Bank balances</v>
      </c>
    </row>
    <row r="29" spans="1:10" x14ac:dyDescent="0.25">
      <c r="A29" s="38">
        <v>130007</v>
      </c>
      <c r="B29" t="s">
        <v>844</v>
      </c>
      <c r="C29" s="158">
        <v>0</v>
      </c>
      <c r="D29" s="158">
        <v>0</v>
      </c>
      <c r="E29" s="158">
        <v>0</v>
      </c>
      <c r="F29" s="158">
        <v>0</v>
      </c>
      <c r="G29" s="158" t="str">
        <f>IF($A29="","",IFERROR(INDEX(Map!$C$2:$C$400,MATCH($A29,Map!$A$2:$A$400,0)),"⚠ UNMAPPED"))</f>
        <v>BS</v>
      </c>
      <c r="H29" s="18" t="str">
        <f>IF($A29="","",IFERROR(INDEX(Map!$D$2:$D$400,MATCH($A29,Map!$A$2:$A$400,0)),"⚠ UNMAPPED"))</f>
        <v>Current Assets</v>
      </c>
      <c r="I29" s="18" t="str">
        <f>IF($A29="","",IFERROR(INDEX(Map!$E$2:$E$400,MATCH($A29,Map!$A$2:$A$400,0)),"⚠ UNMAPPED"))</f>
        <v>Cash and cash equivalents</v>
      </c>
      <c r="J29" s="18" t="str">
        <f>IF($A29="","",IFERROR(INDEX(Map!$F$2:$F$400,MATCH($A29,Map!$A$2:$A$400,0)),"⚠ UNMAPPED"))</f>
        <v>Bank balances</v>
      </c>
    </row>
    <row r="30" spans="1:10" x14ac:dyDescent="0.25">
      <c r="A30" s="38">
        <v>130008</v>
      </c>
      <c r="B30" t="s">
        <v>845</v>
      </c>
      <c r="C30" s="158">
        <v>463277.23</v>
      </c>
      <c r="D30" s="158">
        <v>87474353.230000004</v>
      </c>
      <c r="E30" s="158">
        <v>86470247.930000007</v>
      </c>
      <c r="F30" s="158">
        <v>1467382.53</v>
      </c>
      <c r="G30" s="158" t="str">
        <f>IF($A30="","",IFERROR(INDEX(Map!$C$2:$C$400,MATCH($A30,Map!$A$2:$A$400,0)),"⚠ UNMAPPED"))</f>
        <v>BS</v>
      </c>
      <c r="H30" s="18" t="str">
        <f>IF($A30="","",IFERROR(INDEX(Map!$D$2:$D$400,MATCH($A30,Map!$A$2:$A$400,0)),"⚠ UNMAPPED"))</f>
        <v>Current Assets</v>
      </c>
      <c r="I30" s="18" t="str">
        <f>IF($A30="","",IFERROR(INDEX(Map!$E$2:$E$400,MATCH($A30,Map!$A$2:$A$400,0)),"⚠ UNMAPPED"))</f>
        <v>Cash and cash equivalents</v>
      </c>
      <c r="J30" s="18" t="str">
        <f>IF($A30="","",IFERROR(INDEX(Map!$F$2:$F$400,MATCH($A30,Map!$A$2:$A$400,0)),"⚠ UNMAPPED"))</f>
        <v>Bank balances</v>
      </c>
    </row>
    <row r="31" spans="1:10" x14ac:dyDescent="0.25">
      <c r="A31" s="38">
        <v>130009</v>
      </c>
      <c r="B31" t="s">
        <v>846</v>
      </c>
      <c r="C31" s="158">
        <v>179637.07500000001</v>
      </c>
      <c r="D31" s="158">
        <v>86088997.840000004</v>
      </c>
      <c r="E31" s="158">
        <v>85441477.707000002</v>
      </c>
      <c r="F31" s="158">
        <v>827157.20799999998</v>
      </c>
      <c r="G31" s="158" t="str">
        <f>IF($A31="","",IFERROR(INDEX(Map!$C$2:$C$400,MATCH($A31,Map!$A$2:$A$400,0)),"⚠ UNMAPPED"))</f>
        <v>BS</v>
      </c>
      <c r="H31" s="18" t="str">
        <f>IF($A31="","",IFERROR(INDEX(Map!$D$2:$D$400,MATCH($A31,Map!$A$2:$A$400,0)),"⚠ UNMAPPED"))</f>
        <v>Current Assets</v>
      </c>
      <c r="I31" s="18" t="str">
        <f>IF($A31="","",IFERROR(INDEX(Map!$E$2:$E$400,MATCH($A31,Map!$A$2:$A$400,0)),"⚠ UNMAPPED"))</f>
        <v>Cash and cash equivalents</v>
      </c>
      <c r="J31" s="18" t="str">
        <f>IF($A31="","",IFERROR(INDEX(Map!$F$2:$F$400,MATCH($A31,Map!$A$2:$A$400,0)),"⚠ UNMAPPED"))</f>
        <v>Bank balances</v>
      </c>
    </row>
    <row r="32" spans="1:10" x14ac:dyDescent="0.25">
      <c r="A32" s="38">
        <v>130010</v>
      </c>
      <c r="B32" t="s">
        <v>847</v>
      </c>
      <c r="C32" s="158">
        <v>0</v>
      </c>
      <c r="D32" s="158">
        <v>112510983.17200001</v>
      </c>
      <c r="E32" s="158">
        <v>109016866.082</v>
      </c>
      <c r="F32" s="158">
        <v>3494117.09</v>
      </c>
      <c r="G32" s="158" t="str">
        <f>IF($A32="","",IFERROR(INDEX(Map!$C$2:$C$400,MATCH($A32,Map!$A$2:$A$400,0)),"⚠ UNMAPPED"))</f>
        <v>BS</v>
      </c>
      <c r="H32" s="18" t="str">
        <f>IF($A32="","",IFERROR(INDEX(Map!$D$2:$D$400,MATCH($A32,Map!$A$2:$A$400,0)),"⚠ UNMAPPED"))</f>
        <v>Current Assets</v>
      </c>
      <c r="I32" s="18" t="str">
        <f>IF($A32="","",IFERROR(INDEX(Map!$E$2:$E$400,MATCH($A32,Map!$A$2:$A$400,0)),"⚠ UNMAPPED"))</f>
        <v>Cash and cash equivalents</v>
      </c>
      <c r="J32" s="18" t="str">
        <f>IF($A32="","",IFERROR(INDEX(Map!$F$2:$F$400,MATCH($A32,Map!$A$2:$A$400,0)),"⚠ UNMAPPED"))</f>
        <v>Bank balances</v>
      </c>
    </row>
    <row r="33" spans="1:10" x14ac:dyDescent="0.25">
      <c r="A33" s="38">
        <v>130011</v>
      </c>
      <c r="B33" t="s">
        <v>848</v>
      </c>
      <c r="C33" s="158">
        <v>86776.12</v>
      </c>
      <c r="D33" s="158">
        <v>24082017.835000001</v>
      </c>
      <c r="E33" s="158">
        <v>18988761.432999998</v>
      </c>
      <c r="F33" s="158">
        <v>5180032.5219999999</v>
      </c>
      <c r="G33" s="158" t="str">
        <f>IF($A33="","",IFERROR(INDEX(Map!$C$2:$C$400,MATCH($A33,Map!$A$2:$A$400,0)),"⚠ UNMAPPED"))</f>
        <v>BS</v>
      </c>
      <c r="H33" s="18" t="str">
        <f>IF($A33="","",IFERROR(INDEX(Map!$D$2:$D$400,MATCH($A33,Map!$A$2:$A$400,0)),"⚠ UNMAPPED"))</f>
        <v>Current Assets</v>
      </c>
      <c r="I33" s="18" t="str">
        <f>IF($A33="","",IFERROR(INDEX(Map!$E$2:$E$400,MATCH($A33,Map!$A$2:$A$400,0)),"⚠ UNMAPPED"))</f>
        <v>Cash and cash equivalents</v>
      </c>
      <c r="J33" s="18" t="str">
        <f>IF($A33="","",IFERROR(INDEX(Map!$F$2:$F$400,MATCH($A33,Map!$A$2:$A$400,0)),"⚠ UNMAPPED"))</f>
        <v>Bank balances</v>
      </c>
    </row>
    <row r="34" spans="1:10" x14ac:dyDescent="0.25">
      <c r="A34" s="38">
        <v>130012</v>
      </c>
      <c r="B34" t="s">
        <v>849</v>
      </c>
      <c r="C34" s="158">
        <v>58830.98</v>
      </c>
      <c r="D34" s="158">
        <v>106683104.668</v>
      </c>
      <c r="E34" s="158">
        <v>104328013.478</v>
      </c>
      <c r="F34" s="158">
        <v>2413922.17</v>
      </c>
      <c r="G34" s="158" t="str">
        <f>IF($A34="","",IFERROR(INDEX(Map!$C$2:$C$400,MATCH($A34,Map!$A$2:$A$400,0)),"⚠ UNMAPPED"))</f>
        <v>BS</v>
      </c>
      <c r="H34" s="18" t="str">
        <f>IF($A34="","",IFERROR(INDEX(Map!$D$2:$D$400,MATCH($A34,Map!$A$2:$A$400,0)),"⚠ UNMAPPED"))</f>
        <v>Current Assets</v>
      </c>
      <c r="I34" s="18" t="str">
        <f>IF($A34="","",IFERROR(INDEX(Map!$E$2:$E$400,MATCH($A34,Map!$A$2:$A$400,0)),"⚠ UNMAPPED"))</f>
        <v>Cash and cash equivalents</v>
      </c>
      <c r="J34" s="18" t="str">
        <f>IF($A34="","",IFERROR(INDEX(Map!$F$2:$F$400,MATCH($A34,Map!$A$2:$A$400,0)),"⚠ UNMAPPED"))</f>
        <v>Bank balances</v>
      </c>
    </row>
    <row r="35" spans="1:10" x14ac:dyDescent="0.25">
      <c r="A35" s="38">
        <v>130013</v>
      </c>
      <c r="B35" t="s">
        <v>850</v>
      </c>
      <c r="C35" s="158">
        <v>386790.929</v>
      </c>
      <c r="D35" s="158">
        <v>2473236.6179999998</v>
      </c>
      <c r="E35" s="158">
        <v>2627877.3229999999</v>
      </c>
      <c r="F35" s="158">
        <v>232150.22399999999</v>
      </c>
      <c r="G35" s="158" t="str">
        <f>IF($A35="","",IFERROR(INDEX(Map!$C$2:$C$400,MATCH($A35,Map!$A$2:$A$400,0)),"⚠ UNMAPPED"))</f>
        <v>BS</v>
      </c>
      <c r="H35" s="18" t="str">
        <f>IF($A35="","",IFERROR(INDEX(Map!$D$2:$D$400,MATCH($A35,Map!$A$2:$A$400,0)),"⚠ UNMAPPED"))</f>
        <v>Current Assets</v>
      </c>
      <c r="I35" s="18" t="str">
        <f>IF($A35="","",IFERROR(INDEX(Map!$E$2:$E$400,MATCH($A35,Map!$A$2:$A$400,0)),"⚠ UNMAPPED"))</f>
        <v>Cash and cash equivalents</v>
      </c>
      <c r="J35" s="18" t="str">
        <f>IF($A35="","",IFERROR(INDEX(Map!$F$2:$F$400,MATCH($A35,Map!$A$2:$A$400,0)),"⚠ UNMAPPED"))</f>
        <v>Bank balances</v>
      </c>
    </row>
    <row r="36" spans="1:10" x14ac:dyDescent="0.25">
      <c r="A36" s="38">
        <v>130014</v>
      </c>
      <c r="B36" t="s">
        <v>851</v>
      </c>
      <c r="C36" s="158">
        <v>0</v>
      </c>
      <c r="D36" s="158">
        <v>0</v>
      </c>
      <c r="E36" s="158">
        <v>0</v>
      </c>
      <c r="F36" s="158">
        <v>0</v>
      </c>
      <c r="G36" s="158" t="str">
        <f>IF($A36="","",IFERROR(INDEX(Map!$C$2:$C$400,MATCH($A36,Map!$A$2:$A$400,0)),"⚠ UNMAPPED"))</f>
        <v>BS</v>
      </c>
      <c r="H36" s="18" t="str">
        <f>IF($A36="","",IFERROR(INDEX(Map!$D$2:$D$400,MATCH($A36,Map!$A$2:$A$400,0)),"⚠ UNMAPPED"))</f>
        <v>Current Assets</v>
      </c>
      <c r="I36" s="18" t="str">
        <f>IF($A36="","",IFERROR(INDEX(Map!$E$2:$E$400,MATCH($A36,Map!$A$2:$A$400,0)),"⚠ UNMAPPED"))</f>
        <v>Cash and cash equivalents</v>
      </c>
      <c r="J36" s="18" t="str">
        <f>IF($A36="","",IFERROR(INDEX(Map!$F$2:$F$400,MATCH($A36,Map!$A$2:$A$400,0)),"⚠ UNMAPPED"))</f>
        <v>Bank balances</v>
      </c>
    </row>
    <row r="37" spans="1:10" x14ac:dyDescent="0.25">
      <c r="A37" s="38">
        <v>130015</v>
      </c>
      <c r="B37" t="s">
        <v>852</v>
      </c>
      <c r="C37" s="158">
        <v>5628.17</v>
      </c>
      <c r="D37" s="158">
        <v>499900</v>
      </c>
      <c r="E37" s="158">
        <v>499900</v>
      </c>
      <c r="F37" s="158">
        <v>5628.17</v>
      </c>
      <c r="G37" s="158" t="str">
        <f>IF($A37="","",IFERROR(INDEX(Map!$C$2:$C$400,MATCH($A37,Map!$A$2:$A$400,0)),"⚠ UNMAPPED"))</f>
        <v>BS</v>
      </c>
      <c r="H37" s="18" t="str">
        <f>IF($A37="","",IFERROR(INDEX(Map!$D$2:$D$400,MATCH($A37,Map!$A$2:$A$400,0)),"⚠ UNMAPPED"))</f>
        <v>Current Assets</v>
      </c>
      <c r="I37" s="18" t="str">
        <f>IF($A37="","",IFERROR(INDEX(Map!$E$2:$E$400,MATCH($A37,Map!$A$2:$A$400,0)),"⚠ UNMAPPED"))</f>
        <v>Cash and cash equivalents</v>
      </c>
      <c r="J37" s="18" t="str">
        <f>IF($A37="","",IFERROR(INDEX(Map!$F$2:$F$400,MATCH($A37,Map!$A$2:$A$400,0)),"⚠ UNMAPPED"))</f>
        <v>Bank balances</v>
      </c>
    </row>
    <row r="38" spans="1:10" x14ac:dyDescent="0.25">
      <c r="A38" s="38">
        <v>130016</v>
      </c>
      <c r="B38" t="s">
        <v>853</v>
      </c>
      <c r="C38" s="158">
        <v>23332.3</v>
      </c>
      <c r="D38" s="158">
        <v>19016361.760000002</v>
      </c>
      <c r="E38" s="158">
        <v>18404174.879999999</v>
      </c>
      <c r="F38" s="158">
        <v>635519.18000000005</v>
      </c>
      <c r="G38" s="158" t="str">
        <f>IF($A38="","",IFERROR(INDEX(Map!$C$2:$C$400,MATCH($A38,Map!$A$2:$A$400,0)),"⚠ UNMAPPED"))</f>
        <v>BS</v>
      </c>
      <c r="H38" s="18" t="str">
        <f>IF($A38="","",IFERROR(INDEX(Map!$D$2:$D$400,MATCH($A38,Map!$A$2:$A$400,0)),"⚠ UNMAPPED"))</f>
        <v>Current Assets</v>
      </c>
      <c r="I38" s="18" t="str">
        <f>IF($A38="","",IFERROR(INDEX(Map!$E$2:$E$400,MATCH($A38,Map!$A$2:$A$400,0)),"⚠ UNMAPPED"))</f>
        <v>Cash and cash equivalents</v>
      </c>
      <c r="J38" s="18" t="str">
        <f>IF($A38="","",IFERROR(INDEX(Map!$F$2:$F$400,MATCH($A38,Map!$A$2:$A$400,0)),"⚠ UNMAPPED"))</f>
        <v>Bank balances</v>
      </c>
    </row>
    <row r="39" spans="1:10" x14ac:dyDescent="0.25">
      <c r="A39" s="38">
        <v>130017</v>
      </c>
      <c r="B39" t="s">
        <v>854</v>
      </c>
      <c r="C39" s="158">
        <v>292.40899999999999</v>
      </c>
      <c r="D39" s="158">
        <v>89682618.597000003</v>
      </c>
      <c r="E39" s="158">
        <v>74065084.925999999</v>
      </c>
      <c r="F39" s="158">
        <v>15617826.08</v>
      </c>
      <c r="G39" s="158" t="str">
        <f>IF($A39="","",IFERROR(INDEX(Map!$C$2:$C$400,MATCH($A39,Map!$A$2:$A$400,0)),"⚠ UNMAPPED"))</f>
        <v>BS</v>
      </c>
      <c r="H39" s="18" t="str">
        <f>IF($A39="","",IFERROR(INDEX(Map!$D$2:$D$400,MATCH($A39,Map!$A$2:$A$400,0)),"⚠ UNMAPPED"))</f>
        <v>Current Assets</v>
      </c>
      <c r="I39" s="18" t="str">
        <f>IF($A39="","",IFERROR(INDEX(Map!$E$2:$E$400,MATCH($A39,Map!$A$2:$A$400,0)),"⚠ UNMAPPED"))</f>
        <v>Cash and cash equivalents</v>
      </c>
      <c r="J39" s="18" t="str">
        <f>IF($A39="","",IFERROR(INDEX(Map!$F$2:$F$400,MATCH($A39,Map!$A$2:$A$400,0)),"⚠ UNMAPPED"))</f>
        <v>Bank balances</v>
      </c>
    </row>
    <row r="40" spans="1:10" x14ac:dyDescent="0.25">
      <c r="A40" s="38">
        <v>130018</v>
      </c>
      <c r="B40" t="s">
        <v>855</v>
      </c>
      <c r="C40" s="158">
        <v>0</v>
      </c>
      <c r="D40" s="158">
        <v>33002961.329999998</v>
      </c>
      <c r="E40" s="158">
        <v>32995126.300999999</v>
      </c>
      <c r="F40" s="158">
        <v>7835.0290000000005</v>
      </c>
      <c r="G40" s="158" t="str">
        <f>IF($A40="","",IFERROR(INDEX(Map!$C$2:$C$400,MATCH($A40,Map!$A$2:$A$400,0)),"⚠ UNMAPPED"))</f>
        <v>BS</v>
      </c>
      <c r="H40" s="18" t="str">
        <f>IF($A40="","",IFERROR(INDEX(Map!$D$2:$D$400,MATCH($A40,Map!$A$2:$A$400,0)),"⚠ UNMAPPED"))</f>
        <v>Current Assets</v>
      </c>
      <c r="I40" s="18" t="str">
        <f>IF($A40="","",IFERROR(INDEX(Map!$E$2:$E$400,MATCH($A40,Map!$A$2:$A$400,0)),"⚠ UNMAPPED"))</f>
        <v>Cash and cash equivalents</v>
      </c>
      <c r="J40" s="18" t="str">
        <f>IF($A40="","",IFERROR(INDEX(Map!$F$2:$F$400,MATCH($A40,Map!$A$2:$A$400,0)),"⚠ UNMAPPED"))</f>
        <v>Bank balances</v>
      </c>
    </row>
    <row r="41" spans="1:10" x14ac:dyDescent="0.25">
      <c r="A41" s="38">
        <v>130099</v>
      </c>
      <c r="B41" t="s">
        <v>856</v>
      </c>
      <c r="C41" s="158">
        <v>0</v>
      </c>
      <c r="D41" s="158">
        <v>148123255.70100001</v>
      </c>
      <c r="E41" s="158">
        <v>148123255.70100001</v>
      </c>
      <c r="F41" s="158">
        <v>0</v>
      </c>
      <c r="G41" s="158" t="str">
        <f>IF($A41="","",IFERROR(INDEX(Map!$C$2:$C$400,MATCH($A41,Map!$A$2:$A$400,0)),"⚠ UNMAPPED"))</f>
        <v>BS</v>
      </c>
      <c r="H41" s="18" t="str">
        <f>IF($A41="","",IFERROR(INDEX(Map!$D$2:$D$400,MATCH($A41,Map!$A$2:$A$400,0)),"⚠ UNMAPPED"))</f>
        <v>Current Assets</v>
      </c>
      <c r="I41" s="18" t="str">
        <f>IF($A41="","",IFERROR(INDEX(Map!$E$2:$E$400,MATCH($A41,Map!$A$2:$A$400,0)),"⚠ UNMAPPED"))</f>
        <v>Cash and cash equivalents</v>
      </c>
      <c r="J41" s="18" t="str">
        <f>IF($A41="","",IFERROR(INDEX(Map!$F$2:$F$400,MATCH($A41,Map!$A$2:$A$400,0)),"⚠ UNMAPPED"))</f>
        <v>Bank balances</v>
      </c>
    </row>
    <row r="42" spans="1:10" x14ac:dyDescent="0.25">
      <c r="A42" s="38">
        <v>140001</v>
      </c>
      <c r="B42" t="s">
        <v>857</v>
      </c>
      <c r="C42" s="158">
        <v>24609989.721000001</v>
      </c>
      <c r="D42" s="158">
        <v>197050339.46799999</v>
      </c>
      <c r="E42" s="158">
        <v>192837134.60100001</v>
      </c>
      <c r="F42" s="158">
        <v>28823194.588</v>
      </c>
      <c r="G42" s="158" t="str">
        <f>IF($A42="","",IFERROR(INDEX(Map!$C$2:$C$400,MATCH($A42,Map!$A$2:$A$400,0)),"⚠ UNMAPPED"))</f>
        <v>BS</v>
      </c>
      <c r="H42" s="18" t="str">
        <f>IF($A42="","",IFERROR(INDEX(Map!$D$2:$D$400,MATCH($A42,Map!$A$2:$A$400,0)),"⚠ UNMAPPED"))</f>
        <v>Current Assets</v>
      </c>
      <c r="I42" s="18" t="str">
        <f>IF($A42="","",IFERROR(INDEX(Map!$E$2:$E$400,MATCH($A42,Map!$A$2:$A$400,0)),"⚠ UNMAPPED"))</f>
        <v>Trade receivables</v>
      </c>
      <c r="J42" s="18" t="str">
        <f>IF($A42="","",IFERROR(INDEX(Map!$F$2:$F$400,MATCH($A42,Map!$A$2:$A$400,0)),"⚠ UNMAPPED"))</f>
        <v>Trade receivables - current</v>
      </c>
    </row>
    <row r="43" spans="1:10" x14ac:dyDescent="0.25">
      <c r="A43" s="38">
        <v>140010</v>
      </c>
      <c r="B43" t="s">
        <v>858</v>
      </c>
      <c r="C43" s="158">
        <v>-114.286</v>
      </c>
      <c r="D43" s="158">
        <v>102734.51700000001</v>
      </c>
      <c r="E43" s="158">
        <v>102734.446</v>
      </c>
      <c r="F43" s="158">
        <v>-114.215</v>
      </c>
      <c r="G43" s="158" t="str">
        <f>IF($A43="","",IFERROR(INDEX(Map!$C$2:$C$400,MATCH($A43,Map!$A$2:$A$400,0)),"⚠ UNMAPPED"))</f>
        <v>BS</v>
      </c>
      <c r="H43" s="18" t="str">
        <f>IF($A43="","",IFERROR(INDEX(Map!$D$2:$D$400,MATCH($A43,Map!$A$2:$A$400,0)),"⚠ UNMAPPED"))</f>
        <v>Current Assets</v>
      </c>
      <c r="I43" s="18" t="str">
        <f>IF($A43="","",IFERROR(INDEX(Map!$E$2:$E$400,MATCH($A43,Map!$A$2:$A$400,0)),"⚠ UNMAPPED"))</f>
        <v>Trade receivables</v>
      </c>
      <c r="J43" s="18" t="str">
        <f>IF($A43="","",IFERROR(INDEX(Map!$F$2:$F$400,MATCH($A43,Map!$A$2:$A$400,0)),"⚠ UNMAPPED"))</f>
        <v>Trade receivables - current</v>
      </c>
    </row>
    <row r="44" spans="1:10" x14ac:dyDescent="0.25">
      <c r="A44" s="38">
        <v>150001</v>
      </c>
      <c r="B44" t="s">
        <v>859</v>
      </c>
      <c r="C44" s="158">
        <v>1605901.52</v>
      </c>
      <c r="D44" s="158">
        <v>314299.40000000002</v>
      </c>
      <c r="E44" s="158">
        <v>590792.52</v>
      </c>
      <c r="F44" s="158">
        <v>1329408.3999999999</v>
      </c>
      <c r="G44" s="158" t="str">
        <f>IF($A44="","",IFERROR(INDEX(Map!$C$2:$C$400,MATCH($A44,Map!$A$2:$A$400,0)),"⚠ UNMAPPED"))</f>
        <v>BS</v>
      </c>
      <c r="H44" s="18" t="str">
        <f>IF($A44="","",IFERROR(INDEX(Map!$D$2:$D$400,MATCH($A44,Map!$A$2:$A$400,0)),"⚠ UNMAPPED"))</f>
        <v>Current Assets</v>
      </c>
      <c r="I44" s="18" t="str">
        <f>IF($A44="","",IFERROR(INDEX(Map!$E$2:$E$400,MATCH($A44,Map!$A$2:$A$400,0)),"⚠ UNMAPPED"))</f>
        <v>Prepaid expenses</v>
      </c>
      <c r="J44" s="18" t="str">
        <f>IF($A44="","",IFERROR(INDEX(Map!$F$2:$F$400,MATCH($A44,Map!$A$2:$A$400,0)),"⚠ UNMAPPED"))</f>
        <v>Advances - current</v>
      </c>
    </row>
    <row r="45" spans="1:10" x14ac:dyDescent="0.25">
      <c r="A45" s="38">
        <v>150002</v>
      </c>
      <c r="B45" t="s">
        <v>860</v>
      </c>
      <c r="C45" s="158">
        <v>0</v>
      </c>
      <c r="D45" s="158">
        <v>0</v>
      </c>
      <c r="E45" s="158">
        <v>0</v>
      </c>
      <c r="F45" s="158">
        <v>0</v>
      </c>
      <c r="G45" s="158" t="str">
        <f>IF($A45="","",IFERROR(INDEX(Map!$C$2:$C$400,MATCH($A45,Map!$A$2:$A$400,0)),"⚠ UNMAPPED"))</f>
        <v>BS</v>
      </c>
      <c r="H45" s="18" t="str">
        <f>IF($A45="","",IFERROR(INDEX(Map!$D$2:$D$400,MATCH($A45,Map!$A$2:$A$400,0)),"⚠ UNMAPPED"))</f>
        <v>Non-Current Liabilities</v>
      </c>
      <c r="I45" s="18" t="str">
        <f>IF($A45="","",IFERROR(INDEX(Map!$E$2:$E$400,MATCH($A45,Map!$A$2:$A$400,0)),"⚠ UNMAPPED"))</f>
        <v xml:space="preserve">End-of-service indemnities </v>
      </c>
      <c r="J45" s="18" t="str">
        <f>IF($A45="","",IFERROR(INDEX(Map!$F$2:$F$400,MATCH($A45,Map!$A$2:$A$400,0)),"⚠ UNMAPPED"))</f>
        <v xml:space="preserve">End-of-service indemnities </v>
      </c>
    </row>
    <row r="46" spans="1:10" x14ac:dyDescent="0.25">
      <c r="A46" s="38">
        <v>160001</v>
      </c>
      <c r="B46" t="s">
        <v>861</v>
      </c>
      <c r="C46" s="158">
        <v>306139.76500000001</v>
      </c>
      <c r="D46" s="158">
        <v>698662.625</v>
      </c>
      <c r="E46" s="158">
        <v>853917.16700000002</v>
      </c>
      <c r="F46" s="158">
        <v>150885.223</v>
      </c>
      <c r="G46" s="158" t="str">
        <f>IF($A46="","",IFERROR(INDEX(Map!$C$2:$C$400,MATCH($A46,Map!$A$2:$A$400,0)),"⚠ UNMAPPED"))</f>
        <v>BS</v>
      </c>
      <c r="H46" s="18" t="str">
        <f>IF($A46="","",IFERROR(INDEX(Map!$D$2:$D$400,MATCH($A46,Map!$A$2:$A$400,0)),"⚠ UNMAPPED"))</f>
        <v>Current Assets</v>
      </c>
      <c r="I46" s="18" t="str">
        <f>IF($A46="","",IFERROR(INDEX(Map!$E$2:$E$400,MATCH($A46,Map!$A$2:$A$400,0)),"⚠ UNMAPPED"))</f>
        <v>Cash and cash equivalents</v>
      </c>
      <c r="J46" s="18" t="str">
        <f>IF($A46="","",IFERROR(INDEX(Map!$F$2:$F$400,MATCH($A46,Map!$A$2:$A$400,0)),"⚠ UNMAPPED"))</f>
        <v>Petty cash</v>
      </c>
    </row>
    <row r="47" spans="1:10" x14ac:dyDescent="0.25">
      <c r="A47" s="38">
        <v>170000</v>
      </c>
      <c r="B47" t="s">
        <v>862</v>
      </c>
      <c r="C47" s="158">
        <v>686721.19099999999</v>
      </c>
      <c r="D47" s="158">
        <v>335508.93</v>
      </c>
      <c r="E47" s="158">
        <v>1009728.39</v>
      </c>
      <c r="F47" s="158">
        <v>12501.731</v>
      </c>
      <c r="G47" s="158" t="str">
        <f>IF($A47="","",IFERROR(INDEX(Map!$C$2:$C$400,MATCH($A47,Map!$A$2:$A$400,0)),"⚠ UNMAPPED"))</f>
        <v>BS</v>
      </c>
      <c r="H47" s="18" t="str">
        <f>IF($A47="","",IFERROR(INDEX(Map!$D$2:$D$400,MATCH($A47,Map!$A$2:$A$400,0)),"⚠ UNMAPPED"))</f>
        <v>Current Liabilities</v>
      </c>
      <c r="I47" s="18" t="str">
        <f>IF($A47="","",IFERROR(INDEX(Map!$E$2:$E$400,MATCH($A47,Map!$A$2:$A$400,0)),"⚠ UNMAPPED"))</f>
        <v>Short-term Murabaha loans</v>
      </c>
      <c r="J47" s="18" t="str">
        <f>IF($A47="","",IFERROR(INDEX(Map!$F$2:$F$400,MATCH($A47,Map!$A$2:$A$400,0)),"⚠ UNMAPPED"))</f>
        <v>Prepayments - current</v>
      </c>
    </row>
    <row r="48" spans="1:10" x14ac:dyDescent="0.25">
      <c r="A48" s="38">
        <v>170001</v>
      </c>
      <c r="B48" t="s">
        <v>863</v>
      </c>
      <c r="C48" s="158">
        <v>1413915.8929999999</v>
      </c>
      <c r="D48" s="158">
        <v>9028249.4470000006</v>
      </c>
      <c r="E48" s="158">
        <v>9209900.9619999994</v>
      </c>
      <c r="F48" s="158">
        <v>1232264.378</v>
      </c>
      <c r="G48" s="158" t="str">
        <f>IF($A48="","",IFERROR(INDEX(Map!$C$2:$C$400,MATCH($A48,Map!$A$2:$A$400,0)),"⚠ UNMAPPED"))</f>
        <v>BS</v>
      </c>
      <c r="H48" s="18" t="str">
        <f>IF($A48="","",IFERROR(INDEX(Map!$D$2:$D$400,MATCH($A48,Map!$A$2:$A$400,0)),"⚠ UNMAPPED"))</f>
        <v>Current Liabilities</v>
      </c>
      <c r="I48" s="18" t="str">
        <f>IF($A48="","",IFERROR(INDEX(Map!$E$2:$E$400,MATCH($A48,Map!$A$2:$A$400,0)),"⚠ UNMAPPED"))</f>
        <v>Short-term Murabaha loans</v>
      </c>
      <c r="J48" s="18" t="str">
        <f>IF($A48="","",IFERROR(INDEX(Map!$F$2:$F$400,MATCH($A48,Map!$A$2:$A$400,0)),"⚠ UNMAPPED"))</f>
        <v>Prepayments - current</v>
      </c>
    </row>
    <row r="49" spans="1:10" x14ac:dyDescent="0.25">
      <c r="A49" s="38">
        <v>170002</v>
      </c>
      <c r="B49" t="s">
        <v>864</v>
      </c>
      <c r="C49" s="158">
        <v>3607203.9890000001</v>
      </c>
      <c r="D49" s="158">
        <v>2183174.9819999998</v>
      </c>
      <c r="E49" s="158">
        <v>4164494.2409999999</v>
      </c>
      <c r="F49" s="158">
        <v>1625884.73</v>
      </c>
      <c r="G49" s="158" t="str">
        <f>IF($A49="","",IFERROR(INDEX(Map!$C$2:$C$400,MATCH($A49,Map!$A$2:$A$400,0)),"⚠ UNMAPPED"))</f>
        <v>BS</v>
      </c>
      <c r="H49" s="18" t="str">
        <f>IF($A49="","",IFERROR(INDEX(Map!$D$2:$D$400,MATCH($A49,Map!$A$2:$A$400,0)),"⚠ UNMAPPED"))</f>
        <v>Current Liabilities</v>
      </c>
      <c r="I49" s="18" t="str">
        <f>IF($A49="","",IFERROR(INDEX(Map!$E$2:$E$400,MATCH($A49,Map!$A$2:$A$400,0)),"⚠ UNMAPPED"))</f>
        <v>Short-term Murabaha loans</v>
      </c>
      <c r="J49" s="18" t="str">
        <f>IF($A49="","",IFERROR(INDEX(Map!$F$2:$F$400,MATCH($A49,Map!$A$2:$A$400,0)),"⚠ UNMAPPED"))</f>
        <v>Prepayments - current</v>
      </c>
    </row>
    <row r="50" spans="1:10" x14ac:dyDescent="0.25">
      <c r="A50" s="38">
        <v>170003</v>
      </c>
      <c r="B50" t="s">
        <v>865</v>
      </c>
      <c r="C50" s="158">
        <v>0</v>
      </c>
      <c r="D50" s="158">
        <v>0</v>
      </c>
      <c r="E50" s="158">
        <v>0</v>
      </c>
      <c r="F50" s="158">
        <v>0</v>
      </c>
      <c r="G50" s="158" t="str">
        <f>IF($A50="","",IFERROR(INDEX(Map!$C$2:$C$400,MATCH($A50,Map!$A$2:$A$400,0)),"⚠ UNMAPPED"))</f>
        <v>BS</v>
      </c>
      <c r="H50" s="18" t="str">
        <f>IF($A50="","",IFERROR(INDEX(Map!$D$2:$D$400,MATCH($A50,Map!$A$2:$A$400,0)),"⚠ UNMAPPED"))</f>
        <v>Current Liabilities</v>
      </c>
      <c r="I50" s="18" t="str">
        <f>IF($A50="","",IFERROR(INDEX(Map!$E$2:$E$400,MATCH($A50,Map!$A$2:$A$400,0)),"⚠ UNMAPPED"))</f>
        <v>Short-term Murabaha loans</v>
      </c>
      <c r="J50" s="18" t="str">
        <f>IF($A50="","",IFERROR(INDEX(Map!$F$2:$F$400,MATCH($A50,Map!$A$2:$A$400,0)),"⚠ UNMAPPED"))</f>
        <v>Prepayments - current</v>
      </c>
    </row>
    <row r="51" spans="1:10" x14ac:dyDescent="0.25">
      <c r="A51" s="38">
        <v>170004</v>
      </c>
      <c r="B51" t="s">
        <v>866</v>
      </c>
      <c r="C51" s="158">
        <v>1E-3</v>
      </c>
      <c r="D51" s="158">
        <v>0</v>
      </c>
      <c r="E51" s="158">
        <v>0</v>
      </c>
      <c r="F51" s="158">
        <v>1E-3</v>
      </c>
      <c r="G51" s="158" t="str">
        <f>IF($A51="","",IFERROR(INDEX(Map!$C$2:$C$400,MATCH($A51,Map!$A$2:$A$400,0)),"⚠ UNMAPPED"))</f>
        <v>BS</v>
      </c>
      <c r="H51" s="18" t="str">
        <f>IF($A51="","",IFERROR(INDEX(Map!$D$2:$D$400,MATCH($A51,Map!$A$2:$A$400,0)),"⚠ UNMAPPED"))</f>
        <v>Current Liabilities</v>
      </c>
      <c r="I51" s="18" t="str">
        <f>IF($A51="","",IFERROR(INDEX(Map!$E$2:$E$400,MATCH($A51,Map!$A$2:$A$400,0)),"⚠ UNMAPPED"))</f>
        <v>Short-term Murabaha loans</v>
      </c>
      <c r="J51" s="18" t="str">
        <f>IF($A51="","",IFERROR(INDEX(Map!$F$2:$F$400,MATCH($A51,Map!$A$2:$A$400,0)),"⚠ UNMAPPED"))</f>
        <v>Prepayments - current</v>
      </c>
    </row>
    <row r="52" spans="1:10" x14ac:dyDescent="0.25">
      <c r="A52" s="38">
        <v>170005</v>
      </c>
      <c r="B52" t="s">
        <v>867</v>
      </c>
      <c r="C52" s="158">
        <v>0</v>
      </c>
      <c r="D52" s="158">
        <v>0</v>
      </c>
      <c r="E52" s="158">
        <v>0</v>
      </c>
      <c r="F52" s="158">
        <v>0</v>
      </c>
      <c r="G52" s="158" t="str">
        <f>IF($A52="","",IFERROR(INDEX(Map!$C$2:$C$400,MATCH($A52,Map!$A$2:$A$400,0)),"⚠ UNMAPPED"))</f>
        <v>BS</v>
      </c>
      <c r="H52" s="18" t="str">
        <f>IF($A52="","",IFERROR(INDEX(Map!$D$2:$D$400,MATCH($A52,Map!$A$2:$A$400,0)),"⚠ UNMAPPED"))</f>
        <v>Current Assets</v>
      </c>
      <c r="I52" s="18" t="str">
        <f>IF($A52="","",IFERROR(INDEX(Map!$E$2:$E$400,MATCH($A52,Map!$A$2:$A$400,0)),"⚠ UNMAPPED"))</f>
        <v>Prepaid expenses</v>
      </c>
      <c r="J52" s="18" t="str">
        <f>IF($A52="","",IFERROR(INDEX(Map!$F$2:$F$400,MATCH($A52,Map!$A$2:$A$400,0)),"⚠ UNMAPPED"))</f>
        <v>Deposits - current</v>
      </c>
    </row>
    <row r="53" spans="1:10" x14ac:dyDescent="0.25">
      <c r="A53" s="38">
        <v>170006</v>
      </c>
      <c r="B53" t="s">
        <v>868</v>
      </c>
      <c r="C53" s="158">
        <v>0</v>
      </c>
      <c r="D53" s="158">
        <v>0</v>
      </c>
      <c r="E53" s="158">
        <v>0</v>
      </c>
      <c r="F53" s="158">
        <v>0</v>
      </c>
      <c r="G53" s="158" t="str">
        <f>IF($A53="","",IFERROR(INDEX(Map!$C$2:$C$400,MATCH($A53,Map!$A$2:$A$400,0)),"⚠ UNMAPPED"))</f>
        <v>BS</v>
      </c>
      <c r="H53" s="18" t="str">
        <f>IF($A53="","",IFERROR(INDEX(Map!$D$2:$D$400,MATCH($A53,Map!$A$2:$A$400,0)),"⚠ UNMAPPED"))</f>
        <v>Current Assets</v>
      </c>
      <c r="I53" s="18" t="str">
        <f>IF($A53="","",IFERROR(INDEX(Map!$E$2:$E$400,MATCH($A53,Map!$A$2:$A$400,0)),"⚠ UNMAPPED"))</f>
        <v>Prepaid expenses</v>
      </c>
      <c r="J53" s="18" t="str">
        <f>IF($A53="","",IFERROR(INDEX(Map!$F$2:$F$400,MATCH($A53,Map!$A$2:$A$400,0)),"⚠ UNMAPPED"))</f>
        <v>Deposits - current</v>
      </c>
    </row>
    <row r="54" spans="1:10" x14ac:dyDescent="0.25">
      <c r="A54" s="38">
        <v>170007</v>
      </c>
      <c r="B54" t="s">
        <v>869</v>
      </c>
      <c r="C54" s="158">
        <v>0</v>
      </c>
      <c r="D54" s="158">
        <v>0</v>
      </c>
      <c r="E54" s="158">
        <v>0</v>
      </c>
      <c r="F54" s="158">
        <v>0</v>
      </c>
      <c r="G54" s="158" t="str">
        <f>IF($A54="","",IFERROR(INDEX(Map!$C$2:$C$400,MATCH($A54,Map!$A$2:$A$400,0)),"⚠ UNMAPPED"))</f>
        <v>BS</v>
      </c>
      <c r="H54" s="18" t="str">
        <f>IF($A54="","",IFERROR(INDEX(Map!$D$2:$D$400,MATCH($A54,Map!$A$2:$A$400,0)),"⚠ UNMAPPED"))</f>
        <v>Current Assets</v>
      </c>
      <c r="I54" s="18" t="str">
        <f>IF($A54="","",IFERROR(INDEX(Map!$E$2:$E$400,MATCH($A54,Map!$A$2:$A$400,0)),"⚠ UNMAPPED"))</f>
        <v>Prepaid expenses</v>
      </c>
      <c r="J54" s="18" t="str">
        <f>IF($A54="","",IFERROR(INDEX(Map!$F$2:$F$400,MATCH($A54,Map!$A$2:$A$400,0)),"⚠ UNMAPPED"))</f>
        <v>Deposits - current</v>
      </c>
    </row>
    <row r="55" spans="1:10" x14ac:dyDescent="0.25">
      <c r="A55" s="38">
        <v>170008</v>
      </c>
      <c r="B55" t="s">
        <v>870</v>
      </c>
      <c r="C55" s="158">
        <v>-97238.096000000005</v>
      </c>
      <c r="D55" s="158">
        <v>632657.03</v>
      </c>
      <c r="E55" s="158">
        <v>529225.147</v>
      </c>
      <c r="F55" s="158">
        <v>6193.7870000000003</v>
      </c>
      <c r="G55" s="158" t="str">
        <f>IF($A55="","",IFERROR(INDEX(Map!$C$2:$C$400,MATCH($A55,Map!$A$2:$A$400,0)),"⚠ UNMAPPED"))</f>
        <v>BS</v>
      </c>
      <c r="H55" s="18" t="str">
        <f>IF($A55="","",IFERROR(INDEX(Map!$D$2:$D$400,MATCH($A55,Map!$A$2:$A$400,0)),"⚠ UNMAPPED"))</f>
        <v>Current Assets</v>
      </c>
      <c r="I55" s="18" t="str">
        <f>IF($A55="","",IFERROR(INDEX(Map!$E$2:$E$400,MATCH($A55,Map!$A$2:$A$400,0)),"⚠ UNMAPPED"))</f>
        <v>Prepaid expenses</v>
      </c>
      <c r="J55" s="18" t="str">
        <f>IF($A55="","",IFERROR(INDEX(Map!$F$2:$F$400,MATCH($A55,Map!$A$2:$A$400,0)),"⚠ UNMAPPED"))</f>
        <v>Deposits - current</v>
      </c>
    </row>
    <row r="56" spans="1:10" x14ac:dyDescent="0.25">
      <c r="A56" s="38">
        <v>170009</v>
      </c>
      <c r="B56" t="s">
        <v>871</v>
      </c>
      <c r="C56" s="158">
        <v>213529.62700000001</v>
      </c>
      <c r="D56" s="158">
        <v>1009069.55</v>
      </c>
      <c r="E56" s="158">
        <v>1006639.806</v>
      </c>
      <c r="F56" s="158">
        <v>215959.37100000001</v>
      </c>
      <c r="G56" s="158" t="str">
        <f>IF($A56="","",IFERROR(INDEX(Map!$C$2:$C$400,MATCH($A56,Map!$A$2:$A$400,0)),"⚠ UNMAPPED"))</f>
        <v>BS</v>
      </c>
      <c r="H56" s="18" t="str">
        <f>IF($A56="","",IFERROR(INDEX(Map!$D$2:$D$400,MATCH($A56,Map!$A$2:$A$400,0)),"⚠ UNMAPPED"))</f>
        <v>Current Assets</v>
      </c>
      <c r="I56" s="18" t="str">
        <f>IF($A56="","",IFERROR(INDEX(Map!$E$2:$E$400,MATCH($A56,Map!$A$2:$A$400,0)),"⚠ UNMAPPED"))</f>
        <v>Prepaid expenses</v>
      </c>
      <c r="J56" s="18" t="str">
        <f>IF($A56="","",IFERROR(INDEX(Map!$F$2:$F$400,MATCH($A56,Map!$A$2:$A$400,0)),"⚠ UNMAPPED"))</f>
        <v>Rent</v>
      </c>
    </row>
    <row r="57" spans="1:10" x14ac:dyDescent="0.25">
      <c r="A57" s="38">
        <v>170010</v>
      </c>
      <c r="B57" t="s">
        <v>872</v>
      </c>
      <c r="C57" s="158">
        <v>0</v>
      </c>
      <c r="D57" s="158">
        <v>0</v>
      </c>
      <c r="E57" s="158">
        <v>0</v>
      </c>
      <c r="F57" s="158">
        <v>0</v>
      </c>
      <c r="G57" s="158" t="str">
        <f>IF($A57="","",IFERROR(INDEX(Map!$C$2:$C$400,MATCH($A57,Map!$A$2:$A$400,0)),"⚠ UNMAPPED"))</f>
        <v>BS</v>
      </c>
      <c r="H57" s="18" t="str">
        <f>IF($A57="","",IFERROR(INDEX(Map!$D$2:$D$400,MATCH($A57,Map!$A$2:$A$400,0)),"⚠ UNMAPPED"))</f>
        <v>Current Assets</v>
      </c>
      <c r="I57" s="18" t="str">
        <f>IF($A57="","",IFERROR(INDEX(Map!$E$2:$E$400,MATCH($A57,Map!$A$2:$A$400,0)),"⚠ UNMAPPED"))</f>
        <v>Prepaid expenses</v>
      </c>
      <c r="J57" s="18" t="str">
        <f>IF($A57="","",IFERROR(INDEX(Map!$F$2:$F$400,MATCH($A57,Map!$A$2:$A$400,0)),"⚠ UNMAPPED"))</f>
        <v>Housing allowance</v>
      </c>
    </row>
    <row r="58" spans="1:10" x14ac:dyDescent="0.25">
      <c r="A58" s="38">
        <v>170011</v>
      </c>
      <c r="B58" t="s">
        <v>873</v>
      </c>
      <c r="C58" s="158">
        <v>0</v>
      </c>
      <c r="D58" s="158">
        <v>0</v>
      </c>
      <c r="E58" s="158">
        <v>0</v>
      </c>
      <c r="F58" s="158">
        <v>0</v>
      </c>
      <c r="G58" s="158" t="str">
        <f>IF($A58="","",IFERROR(INDEX(Map!$C$2:$C$400,MATCH($A58,Map!$A$2:$A$400,0)),"⚠ UNMAPPED"))</f>
        <v>BS</v>
      </c>
      <c r="H58" s="18" t="str">
        <f>IF($A58="","",IFERROR(INDEX(Map!$D$2:$D$400,MATCH($A58,Map!$A$2:$A$400,0)),"⚠ UNMAPPED"))</f>
        <v>Current Assets</v>
      </c>
      <c r="I58" s="18" t="str">
        <f>IF($A58="","",IFERROR(INDEX(Map!$E$2:$E$400,MATCH($A58,Map!$A$2:$A$400,0)),"⚠ UNMAPPED"))</f>
        <v>Prepaid expenses</v>
      </c>
      <c r="J58" s="18" t="str">
        <f>IF($A58="","",IFERROR(INDEX(Map!$F$2:$F$400,MATCH($A58,Map!$A$2:$A$400,0)),"⚠ UNMAPPED"))</f>
        <v>Air tickets</v>
      </c>
    </row>
    <row r="59" spans="1:10" x14ac:dyDescent="0.25">
      <c r="A59" s="38">
        <v>170012</v>
      </c>
      <c r="B59" t="s">
        <v>874</v>
      </c>
      <c r="C59" s="158">
        <v>0</v>
      </c>
      <c r="D59" s="158">
        <v>2850</v>
      </c>
      <c r="E59" s="158">
        <v>2850</v>
      </c>
      <c r="F59" s="158">
        <v>0</v>
      </c>
      <c r="G59" s="158" t="str">
        <f>IF($A59="","",IFERROR(INDEX(Map!$C$2:$C$400,MATCH($A59,Map!$A$2:$A$400,0)),"⚠ UNMAPPED"))</f>
        <v>BS</v>
      </c>
      <c r="H59" s="18" t="str">
        <f>IF($A59="","",IFERROR(INDEX(Map!$D$2:$D$400,MATCH($A59,Map!$A$2:$A$400,0)),"⚠ UNMAPPED"))</f>
        <v>Current Assets</v>
      </c>
      <c r="I59" s="18" t="str">
        <f>IF($A59="","",IFERROR(INDEX(Map!$E$2:$E$400,MATCH($A59,Map!$A$2:$A$400,0)),"⚠ UNMAPPED"))</f>
        <v>Prepaid expenses</v>
      </c>
      <c r="J59" s="18" t="str">
        <f>IF($A59="","",IFERROR(INDEX(Map!$F$2:$F$400,MATCH($A59,Map!$A$2:$A$400,0)),"⚠ UNMAPPED"))</f>
        <v>Furniture allowance</v>
      </c>
    </row>
    <row r="60" spans="1:10" x14ac:dyDescent="0.25">
      <c r="A60" s="38">
        <v>170013</v>
      </c>
      <c r="B60" t="s">
        <v>875</v>
      </c>
      <c r="C60" s="158">
        <v>0</v>
      </c>
      <c r="D60" s="158">
        <v>0</v>
      </c>
      <c r="E60" s="158">
        <v>0</v>
      </c>
      <c r="F60" s="158">
        <v>0</v>
      </c>
      <c r="G60" s="158" t="str">
        <f>IF($A60="","",IFERROR(INDEX(Map!$C$2:$C$400,MATCH($A60,Map!$A$2:$A$400,0)),"⚠ UNMAPPED"))</f>
        <v>BS</v>
      </c>
      <c r="H60" s="18" t="str">
        <f>IF($A60="","",IFERROR(INDEX(Map!$D$2:$D$400,MATCH($A60,Map!$A$2:$A$400,0)),"⚠ UNMAPPED"))</f>
        <v>Current Assets</v>
      </c>
      <c r="I60" s="18" t="str">
        <f>IF($A60="","",IFERROR(INDEX(Map!$E$2:$E$400,MATCH($A60,Map!$A$2:$A$400,0)),"⚠ UNMAPPED"))</f>
        <v>Prepaid expenses</v>
      </c>
      <c r="J60" s="18" t="str">
        <f>IF($A60="","",IFERROR(INDEX(Map!$F$2:$F$400,MATCH($A60,Map!$A$2:$A$400,0)),"⚠ UNMAPPED"))</f>
        <v>Insurance</v>
      </c>
    </row>
    <row r="61" spans="1:10" x14ac:dyDescent="0.25">
      <c r="A61" s="38">
        <v>170014</v>
      </c>
      <c r="B61" t="s">
        <v>876</v>
      </c>
      <c r="C61" s="158">
        <v>506394.54100000003</v>
      </c>
      <c r="D61" s="158">
        <v>1168487.8770000001</v>
      </c>
      <c r="E61" s="158">
        <v>1038238.301</v>
      </c>
      <c r="F61" s="158">
        <v>636644.11699999997</v>
      </c>
      <c r="G61" s="158" t="str">
        <f>IF($A61="","",IFERROR(INDEX(Map!$C$2:$C$400,MATCH($A61,Map!$A$2:$A$400,0)),"⚠ UNMAPPED"))</f>
        <v>BS</v>
      </c>
      <c r="H61" s="18" t="str">
        <f>IF($A61="","",IFERROR(INDEX(Map!$D$2:$D$400,MATCH($A61,Map!$A$2:$A$400,0)),"⚠ UNMAPPED"))</f>
        <v>Current Assets</v>
      </c>
      <c r="I61" s="18" t="str">
        <f>IF($A61="","",IFERROR(INDEX(Map!$E$2:$E$400,MATCH($A61,Map!$A$2:$A$400,0)),"⚠ UNMAPPED"))</f>
        <v>Prepaid expenses</v>
      </c>
      <c r="J61" s="18" t="str">
        <f>IF($A61="","",IFERROR(INDEX(Map!$F$2:$F$400,MATCH($A61,Map!$A$2:$A$400,0)),"⚠ UNMAPPED"))</f>
        <v>Insurance</v>
      </c>
    </row>
    <row r="62" spans="1:10" x14ac:dyDescent="0.25">
      <c r="A62" s="38">
        <v>170015</v>
      </c>
      <c r="B62" t="s">
        <v>877</v>
      </c>
      <c r="C62" s="158">
        <v>0</v>
      </c>
      <c r="D62" s="158">
        <v>0</v>
      </c>
      <c r="E62" s="158">
        <v>0</v>
      </c>
      <c r="F62" s="158">
        <v>0</v>
      </c>
      <c r="G62" s="158" t="str">
        <f>IF($A62="","",IFERROR(INDEX(Map!$C$2:$C$400,MATCH($A62,Map!$A$2:$A$400,0)),"⚠ UNMAPPED"))</f>
        <v>BS</v>
      </c>
      <c r="H62" s="18" t="str">
        <f>IF($A62="","",IFERROR(INDEX(Map!$D$2:$D$400,MATCH($A62,Map!$A$2:$A$400,0)),"⚠ UNMAPPED"))</f>
        <v>Current Assets</v>
      </c>
      <c r="I62" s="18" t="str">
        <f>IF($A62="","",IFERROR(INDEX(Map!$E$2:$E$400,MATCH($A62,Map!$A$2:$A$400,0)),"⚠ UNMAPPED"))</f>
        <v>Prepaid expenses</v>
      </c>
      <c r="J62" s="18" t="str">
        <f>IF($A62="","",IFERROR(INDEX(Map!$F$2:$F$400,MATCH($A62,Map!$A$2:$A$400,0)),"⚠ UNMAPPED"))</f>
        <v>Salaries and wages</v>
      </c>
    </row>
    <row r="63" spans="1:10" x14ac:dyDescent="0.25">
      <c r="A63" s="38">
        <v>170016</v>
      </c>
      <c r="B63" t="s">
        <v>878</v>
      </c>
      <c r="C63" s="158">
        <v>169324</v>
      </c>
      <c r="D63" s="158">
        <v>0</v>
      </c>
      <c r="E63" s="158">
        <v>0</v>
      </c>
      <c r="F63" s="158">
        <v>169324</v>
      </c>
      <c r="G63" s="158" t="str">
        <f>IF($A63="","",IFERROR(INDEX(Map!$C$2:$C$400,MATCH($A63,Map!$A$2:$A$400,0)),"⚠ UNMAPPED"))</f>
        <v>BS</v>
      </c>
      <c r="H63" s="18" t="str">
        <f>IF($A63="","",IFERROR(INDEX(Map!$D$2:$D$400,MATCH($A63,Map!$A$2:$A$400,0)),"⚠ UNMAPPED"))</f>
        <v>Current Assets</v>
      </c>
      <c r="I63" s="18" t="str">
        <f>IF($A63="","",IFERROR(INDEX(Map!$E$2:$E$400,MATCH($A63,Map!$A$2:$A$400,0)),"⚠ UNMAPPED"))</f>
        <v>Prepaid expenses</v>
      </c>
      <c r="J63" s="18" t="str">
        <f>IF($A63="","",IFERROR(INDEX(Map!$F$2:$F$400,MATCH($A63,Map!$A$2:$A$400,0)),"⚠ UNMAPPED"))</f>
        <v>Other receivables - current</v>
      </c>
    </row>
    <row r="64" spans="1:10" x14ac:dyDescent="0.25">
      <c r="A64" s="38">
        <v>170017</v>
      </c>
      <c r="B64" t="s">
        <v>879</v>
      </c>
      <c r="C64" s="158">
        <v>0</v>
      </c>
      <c r="D64" s="158">
        <v>0</v>
      </c>
      <c r="E64" s="158">
        <v>0</v>
      </c>
      <c r="F64" s="158">
        <v>0</v>
      </c>
      <c r="G64" s="158" t="str">
        <f>IF($A64="","",IFERROR(INDEX(Map!$C$2:$C$400,MATCH($A64,Map!$A$2:$A$400,0)),"⚠ UNMAPPED"))</f>
        <v>BS</v>
      </c>
      <c r="H64" s="18" t="str">
        <f>IF($A64="","",IFERROR(INDEX(Map!$D$2:$D$400,MATCH($A64,Map!$A$2:$A$400,0)),"⚠ UNMAPPED"))</f>
        <v>Current Assets</v>
      </c>
      <c r="I64" s="18" t="str">
        <f>IF($A64="","",IFERROR(INDEX(Map!$E$2:$E$400,MATCH($A64,Map!$A$2:$A$400,0)),"⚠ UNMAPPED"))</f>
        <v>Prepaid expenses</v>
      </c>
      <c r="J64" s="18" t="str">
        <f>IF($A64="","",IFERROR(INDEX(Map!$F$2:$F$400,MATCH($A64,Map!$A$2:$A$400,0)),"⚠ UNMAPPED"))</f>
        <v>Family allowance</v>
      </c>
    </row>
    <row r="65" spans="1:10" x14ac:dyDescent="0.25">
      <c r="A65" s="38">
        <v>170018</v>
      </c>
      <c r="B65" t="s">
        <v>880</v>
      </c>
      <c r="C65" s="158">
        <v>6600</v>
      </c>
      <c r="D65" s="158">
        <v>98803.83</v>
      </c>
      <c r="E65" s="158">
        <v>3382.86</v>
      </c>
      <c r="F65" s="158">
        <v>102020.97</v>
      </c>
      <c r="G65" s="158" t="str">
        <f>IF($A65="","",IFERROR(INDEX(Map!$C$2:$C$400,MATCH($A65,Map!$A$2:$A$400,0)),"⚠ UNMAPPED"))</f>
        <v>BS</v>
      </c>
      <c r="H65" s="18" t="str">
        <f>IF($A65="","",IFERROR(INDEX(Map!$D$2:$D$400,MATCH($A65,Map!$A$2:$A$400,0)),"⚠ UNMAPPED"))</f>
        <v>Current Assets</v>
      </c>
      <c r="I65" s="18" t="str">
        <f>IF($A65="","",IFERROR(INDEX(Map!$E$2:$E$400,MATCH($A65,Map!$A$2:$A$400,0)),"⚠ UNMAPPED"))</f>
        <v>Prepaid expenses</v>
      </c>
      <c r="J65" s="18" t="str">
        <f>IF($A65="","",IFERROR(INDEX(Map!$F$2:$F$400,MATCH($A65,Map!$A$2:$A$400,0)),"⚠ UNMAPPED"))</f>
        <v>Other receivables - current</v>
      </c>
    </row>
    <row r="66" spans="1:10" x14ac:dyDescent="0.25">
      <c r="A66" s="38">
        <v>170019</v>
      </c>
      <c r="B66" t="s">
        <v>881</v>
      </c>
      <c r="C66" s="158">
        <v>0</v>
      </c>
      <c r="D66" s="158">
        <v>35399.821000000004</v>
      </c>
      <c r="E66" s="158">
        <v>25812.36</v>
      </c>
      <c r="F66" s="158">
        <v>9587.4609999999993</v>
      </c>
      <c r="G66" s="158" t="str">
        <f>IF($A66="","",IFERROR(INDEX(Map!$C$2:$C$400,MATCH($A66,Map!$A$2:$A$400,0)),"⚠ UNMAPPED"))</f>
        <v>BS</v>
      </c>
      <c r="H66" s="18" t="str">
        <f>IF($A66="","",IFERROR(INDEX(Map!$D$2:$D$400,MATCH($A66,Map!$A$2:$A$400,0)),"⚠ UNMAPPED"))</f>
        <v>Current Assets</v>
      </c>
      <c r="I66" s="18" t="str">
        <f>IF($A66="","",IFERROR(INDEX(Map!$E$2:$E$400,MATCH($A66,Map!$A$2:$A$400,0)),"⚠ UNMAPPED"))</f>
        <v>Prepaid expenses</v>
      </c>
      <c r="J66" s="18" t="str">
        <f>IF($A66="","",IFERROR(INDEX(Map!$F$2:$F$400,MATCH($A66,Map!$A$2:$A$400,0)),"⚠ UNMAPPED"))</f>
        <v>Other receivables - current</v>
      </c>
    </row>
    <row r="67" spans="1:10" x14ac:dyDescent="0.25">
      <c r="A67" s="38">
        <v>170020</v>
      </c>
      <c r="B67" t="s">
        <v>882</v>
      </c>
      <c r="C67" s="158">
        <v>2830593.6630000002</v>
      </c>
      <c r="D67" s="158">
        <v>3381750</v>
      </c>
      <c r="E67" s="158">
        <v>3381750</v>
      </c>
      <c r="F67" s="158">
        <v>2830593.6630000002</v>
      </c>
      <c r="G67" s="158" t="str">
        <f>IF($A67="","",IFERROR(INDEX(Map!$C$2:$C$400,MATCH($A67,Map!$A$2:$A$400,0)),"⚠ UNMAPPED"))</f>
        <v>BS</v>
      </c>
      <c r="H67" s="18" t="str">
        <f>IF($A67="","",IFERROR(INDEX(Map!$D$2:$D$400,MATCH($A67,Map!$A$2:$A$400,0)),"⚠ UNMAPPED"))</f>
        <v>Current Assets</v>
      </c>
      <c r="I67" s="18" t="str">
        <f>IF($A67="","",IFERROR(INDEX(Map!$E$2:$E$400,MATCH($A67,Map!$A$2:$A$400,0)),"⚠ UNMAPPED"))</f>
        <v>Prepaid expenses</v>
      </c>
      <c r="J67" s="18" t="str">
        <f>IF($A67="","",IFERROR(INDEX(Map!$F$2:$F$400,MATCH($A67,Map!$A$2:$A$400,0)),"⚠ UNMAPPED"))</f>
        <v>Insurance</v>
      </c>
    </row>
    <row r="68" spans="1:10" x14ac:dyDescent="0.25">
      <c r="A68" s="38">
        <v>170021</v>
      </c>
      <c r="B68" t="s">
        <v>883</v>
      </c>
      <c r="C68" s="158">
        <v>514365.27299999999</v>
      </c>
      <c r="D68" s="158">
        <v>903514.03899999999</v>
      </c>
      <c r="E68" s="158">
        <v>1251268.544</v>
      </c>
      <c r="F68" s="158">
        <v>166610.76800000001</v>
      </c>
      <c r="G68" s="158" t="str">
        <f>IF($A68="","",IFERROR(INDEX(Map!$C$2:$C$400,MATCH($A68,Map!$A$2:$A$400,0)),"⚠ UNMAPPED"))</f>
        <v>BS</v>
      </c>
      <c r="H68" s="18" t="str">
        <f>IF($A68="","",IFERROR(INDEX(Map!$D$2:$D$400,MATCH($A68,Map!$A$2:$A$400,0)),"⚠ UNMAPPED"))</f>
        <v>Current Assets</v>
      </c>
      <c r="I68" s="18" t="str">
        <f>IF($A68="","",IFERROR(INDEX(Map!$E$2:$E$400,MATCH($A68,Map!$A$2:$A$400,0)),"⚠ UNMAPPED"))</f>
        <v>Prepaid expenses</v>
      </c>
      <c r="J68" s="18" t="str">
        <f>IF($A68="","",IFERROR(INDEX(Map!$F$2:$F$400,MATCH($A68,Map!$A$2:$A$400,0)),"⚠ UNMAPPED"))</f>
        <v>Prepaid expense</v>
      </c>
    </row>
    <row r="69" spans="1:10" x14ac:dyDescent="0.25">
      <c r="A69" s="38">
        <v>180001</v>
      </c>
      <c r="B69" t="s">
        <v>884</v>
      </c>
      <c r="C69" s="158">
        <v>1171139.324</v>
      </c>
      <c r="D69" s="158">
        <v>6318304.3159999996</v>
      </c>
      <c r="E69" s="158">
        <v>4313775.3909999998</v>
      </c>
      <c r="F69" s="158">
        <v>3175668.2489999998</v>
      </c>
      <c r="G69" s="158" t="str">
        <f>IF($A69="","",IFERROR(INDEX(Map!$C$2:$C$400,MATCH($A69,Map!$A$2:$A$400,0)),"⚠ UNMAPPED"))</f>
        <v>BS</v>
      </c>
      <c r="H69" s="18" t="str">
        <f>IF($A69="","",IFERROR(INDEX(Map!$D$2:$D$400,MATCH($A69,Map!$A$2:$A$400,0)),"⚠ UNMAPPED"))</f>
        <v>Current Assets</v>
      </c>
      <c r="I69" s="18" t="str">
        <f>IF($A69="","",IFERROR(INDEX(Map!$E$2:$E$400,MATCH($A69,Map!$A$2:$A$400,0)),"⚠ UNMAPPED"))</f>
        <v>Inventories</v>
      </c>
      <c r="J69" s="18" t="str">
        <f>IF($A69="","",IFERROR(INDEX(Map!$F$2:$F$400,MATCH($A69,Map!$A$2:$A$400,0)),"⚠ UNMAPPED"))</f>
        <v>Raw materials - Inventory</v>
      </c>
    </row>
    <row r="70" spans="1:10" x14ac:dyDescent="0.25">
      <c r="A70" s="38">
        <v>180002</v>
      </c>
      <c r="B70" t="s">
        <v>885</v>
      </c>
      <c r="C70" s="158">
        <v>0</v>
      </c>
      <c r="D70" s="158">
        <v>0</v>
      </c>
      <c r="E70" s="158">
        <v>0</v>
      </c>
      <c r="F70" s="158">
        <v>0</v>
      </c>
      <c r="G70" s="158" t="str">
        <f>IF($A70="","",IFERROR(INDEX(Map!$C$2:$C$400,MATCH($A70,Map!$A$2:$A$400,0)),"⚠ UNMAPPED"))</f>
        <v>BS</v>
      </c>
      <c r="H70" s="18" t="str">
        <f>IF($A70="","",IFERROR(INDEX(Map!$D$2:$D$400,MATCH($A70,Map!$A$2:$A$400,0)),"⚠ UNMAPPED"))</f>
        <v>Current Assets</v>
      </c>
      <c r="I70" s="18" t="str">
        <f>IF($A70="","",IFERROR(INDEX(Map!$E$2:$E$400,MATCH($A70,Map!$A$2:$A$400,0)),"⚠ UNMAPPED"))</f>
        <v>Inventories</v>
      </c>
      <c r="J70" s="18" t="str">
        <f>IF($A70="","",IFERROR(INDEX(Map!$F$2:$F$400,MATCH($A70,Map!$A$2:$A$400,0)),"⚠ UNMAPPED"))</f>
        <v>Raw materials - Inventory</v>
      </c>
    </row>
    <row r="71" spans="1:10" x14ac:dyDescent="0.25">
      <c r="A71" s="38">
        <v>180003</v>
      </c>
      <c r="B71" t="s">
        <v>886</v>
      </c>
      <c r="C71" s="158">
        <v>11494596.999</v>
      </c>
      <c r="D71" s="158">
        <v>10031612.211999999</v>
      </c>
      <c r="E71" s="158">
        <v>9124091.9609999992</v>
      </c>
      <c r="F71" s="158">
        <v>12402117.25</v>
      </c>
      <c r="G71" s="158" t="str">
        <f>IF($A71="","",IFERROR(INDEX(Map!$C$2:$C$400,MATCH($A71,Map!$A$2:$A$400,0)),"⚠ UNMAPPED"))</f>
        <v>BS</v>
      </c>
      <c r="H71" s="18" t="str">
        <f>IF($A71="","",IFERROR(INDEX(Map!$D$2:$D$400,MATCH($A71,Map!$A$2:$A$400,0)),"⚠ UNMAPPED"))</f>
        <v>Current Assets</v>
      </c>
      <c r="I71" s="18" t="str">
        <f>IF($A71="","",IFERROR(INDEX(Map!$E$2:$E$400,MATCH($A71,Map!$A$2:$A$400,0)),"⚠ UNMAPPED"))</f>
        <v>Inventories</v>
      </c>
      <c r="J71" s="18" t="str">
        <f>IF($A71="","",IFERROR(INDEX(Map!$F$2:$F$400,MATCH($A71,Map!$A$2:$A$400,0)),"⚠ UNMAPPED"))</f>
        <v>Spare parts - Inventory</v>
      </c>
    </row>
    <row r="72" spans="1:10" x14ac:dyDescent="0.25">
      <c r="A72" s="38">
        <v>180004</v>
      </c>
      <c r="B72" t="s">
        <v>887</v>
      </c>
      <c r="C72" s="158">
        <v>34814988.912</v>
      </c>
      <c r="D72" s="158">
        <v>114835968.074</v>
      </c>
      <c r="E72" s="158">
        <v>142325058.954</v>
      </c>
      <c r="F72" s="158">
        <v>7325898.0319999997</v>
      </c>
      <c r="G72" s="158" t="str">
        <f>IF($A72="","",IFERROR(INDEX(Map!$C$2:$C$400,MATCH($A72,Map!$A$2:$A$400,0)),"⚠ UNMAPPED"))</f>
        <v>BS</v>
      </c>
      <c r="H72" s="18" t="str">
        <f>IF($A72="","",IFERROR(INDEX(Map!$D$2:$D$400,MATCH($A72,Map!$A$2:$A$400,0)),"⚠ UNMAPPED"))</f>
        <v>Current Assets</v>
      </c>
      <c r="I72" s="18" t="str">
        <f>IF($A72="","",IFERROR(INDEX(Map!$E$2:$E$400,MATCH($A72,Map!$A$2:$A$400,0)),"⚠ UNMAPPED"))</f>
        <v>Inventories</v>
      </c>
      <c r="J72" s="18" t="str">
        <f>IF($A72="","",IFERROR(INDEX(Map!$F$2:$F$400,MATCH($A72,Map!$A$2:$A$400,0)),"⚠ UNMAPPED"))</f>
        <v>Raw materials - Inventory</v>
      </c>
    </row>
    <row r="73" spans="1:10" x14ac:dyDescent="0.25">
      <c r="A73" s="38">
        <v>180005</v>
      </c>
      <c r="B73" t="s">
        <v>888</v>
      </c>
      <c r="C73" s="158">
        <v>2859074.3160000001</v>
      </c>
      <c r="D73" s="158">
        <v>14037581.332</v>
      </c>
      <c r="E73" s="158">
        <v>14244365.286</v>
      </c>
      <c r="F73" s="158">
        <v>2652290.3620000002</v>
      </c>
      <c r="G73" s="158" t="str">
        <f>IF($A73="","",IFERROR(INDEX(Map!$C$2:$C$400,MATCH($A73,Map!$A$2:$A$400,0)),"⚠ UNMAPPED"))</f>
        <v>BS</v>
      </c>
      <c r="H73" s="18" t="str">
        <f>IF($A73="","",IFERROR(INDEX(Map!$D$2:$D$400,MATCH($A73,Map!$A$2:$A$400,0)),"⚠ UNMAPPED"))</f>
        <v>Current Assets</v>
      </c>
      <c r="I73" s="18" t="str">
        <f>IF($A73="","",IFERROR(INDEX(Map!$E$2:$E$400,MATCH($A73,Map!$A$2:$A$400,0)),"⚠ UNMAPPED"))</f>
        <v>Inventories</v>
      </c>
      <c r="J73" s="18" t="str">
        <f>IF($A73="","",IFERROR(INDEX(Map!$F$2:$F$400,MATCH($A73,Map!$A$2:$A$400,0)),"⚠ UNMAPPED"))</f>
        <v>Raw materials - Inventory</v>
      </c>
    </row>
    <row r="74" spans="1:10" x14ac:dyDescent="0.25">
      <c r="A74" s="38">
        <v>180006</v>
      </c>
      <c r="B74" t="s">
        <v>889</v>
      </c>
      <c r="C74" s="158">
        <v>-2.72</v>
      </c>
      <c r="D74" s="158">
        <v>562068.53099999996</v>
      </c>
      <c r="E74" s="158">
        <v>571460.35699999996</v>
      </c>
      <c r="F74" s="158">
        <v>-9394.5460000000003</v>
      </c>
      <c r="G74" s="158" t="str">
        <f>IF($A74="","",IFERROR(INDEX(Map!$C$2:$C$400,MATCH($A74,Map!$A$2:$A$400,0)),"⚠ UNMAPPED"))</f>
        <v>BS</v>
      </c>
      <c r="H74" s="18" t="str">
        <f>IF($A74="","",IFERROR(INDEX(Map!$D$2:$D$400,MATCH($A74,Map!$A$2:$A$400,0)),"⚠ UNMAPPED"))</f>
        <v>Current Assets</v>
      </c>
      <c r="I74" s="18" t="str">
        <f>IF($A74="","",IFERROR(INDEX(Map!$E$2:$E$400,MATCH($A74,Map!$A$2:$A$400,0)),"⚠ UNMAPPED"))</f>
        <v>Inventories</v>
      </c>
      <c r="J74" s="18" t="str">
        <f>IF($A74="","",IFERROR(INDEX(Map!$F$2:$F$400,MATCH($A74,Map!$A$2:$A$400,0)),"⚠ UNMAPPED"))</f>
        <v>Raw materials - Inventory</v>
      </c>
    </row>
    <row r="75" spans="1:10" x14ac:dyDescent="0.25">
      <c r="A75" s="38">
        <v>180007</v>
      </c>
      <c r="B75" t="s">
        <v>890</v>
      </c>
      <c r="C75" s="158">
        <v>221149.47899999999</v>
      </c>
      <c r="D75" s="158">
        <v>0</v>
      </c>
      <c r="E75" s="158">
        <v>0</v>
      </c>
      <c r="F75" s="158">
        <v>221149.47899999999</v>
      </c>
      <c r="G75" s="158" t="str">
        <f>IF($A75="","",IFERROR(INDEX(Map!$C$2:$C$400,MATCH($A75,Map!$A$2:$A$400,0)),"⚠ UNMAPPED"))</f>
        <v>BS</v>
      </c>
      <c r="H75" s="18" t="str">
        <f>IF($A75="","",IFERROR(INDEX(Map!$D$2:$D$400,MATCH($A75,Map!$A$2:$A$400,0)),"⚠ UNMAPPED"))</f>
        <v>Current Assets</v>
      </c>
      <c r="I75" s="18" t="str">
        <f>IF($A75="","",IFERROR(INDEX(Map!$E$2:$E$400,MATCH($A75,Map!$A$2:$A$400,0)),"⚠ UNMAPPED"))</f>
        <v>Inventories</v>
      </c>
      <c r="J75" s="18" t="str">
        <f>IF($A75="","",IFERROR(INDEX(Map!$F$2:$F$400,MATCH($A75,Map!$A$2:$A$400,0)),"⚠ UNMAPPED"))</f>
        <v>Raw materials - Inventory</v>
      </c>
    </row>
    <row r="76" spans="1:10" x14ac:dyDescent="0.25">
      <c r="A76" s="38">
        <v>180008</v>
      </c>
      <c r="B76" t="s">
        <v>891</v>
      </c>
      <c r="C76" s="158">
        <v>0</v>
      </c>
      <c r="D76" s="158">
        <v>0</v>
      </c>
      <c r="E76" s="158">
        <v>0</v>
      </c>
      <c r="F76" s="158">
        <v>0</v>
      </c>
      <c r="G76" s="158" t="str">
        <f>IF($A76="","",IFERROR(INDEX(Map!$C$2:$C$400,MATCH($A76,Map!$A$2:$A$400,0)),"⚠ UNMAPPED"))</f>
        <v>BS</v>
      </c>
      <c r="H76" s="18" t="str">
        <f>IF($A76="","",IFERROR(INDEX(Map!$D$2:$D$400,MATCH($A76,Map!$A$2:$A$400,0)),"⚠ UNMAPPED"))</f>
        <v>Current Assets</v>
      </c>
      <c r="I76" s="18" t="str">
        <f>IF($A76="","",IFERROR(INDEX(Map!$E$2:$E$400,MATCH($A76,Map!$A$2:$A$400,0)),"⚠ UNMAPPED"))</f>
        <v>Inventories</v>
      </c>
      <c r="J76" s="18" t="str">
        <f>IF($A76="","",IFERROR(INDEX(Map!$F$2:$F$400,MATCH($A76,Map!$A$2:$A$400,0)),"⚠ UNMAPPED"))</f>
        <v>Raw materials - Inventory</v>
      </c>
    </row>
    <row r="77" spans="1:10" x14ac:dyDescent="0.25">
      <c r="A77" s="38">
        <v>180009</v>
      </c>
      <c r="B77" t="s">
        <v>892</v>
      </c>
      <c r="C77" s="158">
        <v>0</v>
      </c>
      <c r="D77" s="158">
        <v>0</v>
      </c>
      <c r="E77" s="158">
        <v>0</v>
      </c>
      <c r="F77" s="158">
        <v>0</v>
      </c>
      <c r="G77" s="158" t="str">
        <f>IF($A77="","",IFERROR(INDEX(Map!$C$2:$C$400,MATCH($A77,Map!$A$2:$A$400,0)),"⚠ UNMAPPED"))</f>
        <v>BS</v>
      </c>
      <c r="H77" s="18" t="str">
        <f>IF($A77="","",IFERROR(INDEX(Map!$D$2:$D$400,MATCH($A77,Map!$A$2:$A$400,0)),"⚠ UNMAPPED"))</f>
        <v>Current Assets</v>
      </c>
      <c r="I77" s="18" t="str">
        <f>IF($A77="","",IFERROR(INDEX(Map!$E$2:$E$400,MATCH($A77,Map!$A$2:$A$400,0)),"⚠ UNMAPPED"))</f>
        <v>Inventories</v>
      </c>
      <c r="J77" s="18" t="str">
        <f>IF($A77="","",IFERROR(INDEX(Map!$F$2:$F$400,MATCH($A77,Map!$A$2:$A$400,0)),"⚠ UNMAPPED"))</f>
        <v>Raw materials - Inventory</v>
      </c>
    </row>
    <row r="78" spans="1:10" x14ac:dyDescent="0.25">
      <c r="A78" s="38">
        <v>180010</v>
      </c>
      <c r="B78" t="s">
        <v>893</v>
      </c>
      <c r="C78" s="158">
        <v>3527075.5070000002</v>
      </c>
      <c r="D78" s="158">
        <v>16631940.846000001</v>
      </c>
      <c r="E78" s="158">
        <v>15239869.832</v>
      </c>
      <c r="F78" s="158">
        <v>4919146.5209999997</v>
      </c>
      <c r="G78" s="158" t="str">
        <f>IF($A78="","",IFERROR(INDEX(Map!$C$2:$C$400,MATCH($A78,Map!$A$2:$A$400,0)),"⚠ UNMAPPED"))</f>
        <v>BS</v>
      </c>
      <c r="H78" s="18" t="str">
        <f>IF($A78="","",IFERROR(INDEX(Map!$D$2:$D$400,MATCH($A78,Map!$A$2:$A$400,0)),"⚠ UNMAPPED"))</f>
        <v>Current Assets</v>
      </c>
      <c r="I78" s="18" t="str">
        <f>IF($A78="","",IFERROR(INDEX(Map!$E$2:$E$400,MATCH($A78,Map!$A$2:$A$400,0)),"⚠ UNMAPPED"))</f>
        <v>Inventories</v>
      </c>
      <c r="J78" s="18" t="str">
        <f>IF($A78="","",IFERROR(INDEX(Map!$F$2:$F$400,MATCH($A78,Map!$A$2:$A$400,0)),"⚠ UNMAPPED"))</f>
        <v>Packaging materials - Inventory</v>
      </c>
    </row>
    <row r="79" spans="1:10" x14ac:dyDescent="0.25">
      <c r="A79" s="38">
        <v>180011</v>
      </c>
      <c r="B79" t="s">
        <v>894</v>
      </c>
      <c r="C79" s="158">
        <v>8576686.1659999993</v>
      </c>
      <c r="D79" s="158">
        <v>104721364.539</v>
      </c>
      <c r="E79" s="158">
        <v>107885779.579</v>
      </c>
      <c r="F79" s="158">
        <v>5412271.1260000002</v>
      </c>
      <c r="G79" s="158" t="str">
        <f>IF($A79="","",IFERROR(INDEX(Map!$C$2:$C$400,MATCH($A79,Map!$A$2:$A$400,0)),"⚠ UNMAPPED"))</f>
        <v>BS</v>
      </c>
      <c r="H79" s="18" t="str">
        <f>IF($A79="","",IFERROR(INDEX(Map!$D$2:$D$400,MATCH($A79,Map!$A$2:$A$400,0)),"⚠ UNMAPPED"))</f>
        <v>Current Assets</v>
      </c>
      <c r="I79" s="18" t="str">
        <f>IF($A79="","",IFERROR(INDEX(Map!$E$2:$E$400,MATCH($A79,Map!$A$2:$A$400,0)),"⚠ UNMAPPED"))</f>
        <v>Inventories</v>
      </c>
      <c r="J79" s="18" t="str">
        <f>IF($A79="","",IFERROR(INDEX(Map!$F$2:$F$400,MATCH($A79,Map!$A$2:$A$400,0)),"⚠ UNMAPPED"))</f>
        <v>Finished goods - Inventory</v>
      </c>
    </row>
    <row r="80" spans="1:10" x14ac:dyDescent="0.25">
      <c r="A80" s="38">
        <v>180012</v>
      </c>
      <c r="B80" t="s">
        <v>895</v>
      </c>
      <c r="C80" s="158">
        <v>2837790.0079999999</v>
      </c>
      <c r="D80" s="158">
        <v>143703926.46200001</v>
      </c>
      <c r="E80" s="158">
        <v>142431899.37</v>
      </c>
      <c r="F80" s="158">
        <v>4109817.1</v>
      </c>
      <c r="G80" s="158" t="str">
        <f>IF($A80="","",IFERROR(INDEX(Map!$C$2:$C$400,MATCH($A80,Map!$A$2:$A$400,0)),"⚠ UNMAPPED"))</f>
        <v>BS</v>
      </c>
      <c r="H80" s="18" t="str">
        <f>IF($A80="","",IFERROR(INDEX(Map!$D$2:$D$400,MATCH($A80,Map!$A$2:$A$400,0)),"⚠ UNMAPPED"))</f>
        <v>Current Assets</v>
      </c>
      <c r="I80" s="18" t="str">
        <f>IF($A80="","",IFERROR(INDEX(Map!$E$2:$E$400,MATCH($A80,Map!$A$2:$A$400,0)),"⚠ UNMAPPED"))</f>
        <v>Inventories</v>
      </c>
      <c r="J80" s="18" t="str">
        <f>IF($A80="","",IFERROR(INDEX(Map!$F$2:$F$400,MATCH($A80,Map!$A$2:$A$400,0)),"⚠ UNMAPPED"))</f>
        <v>Work in progress - Inventory</v>
      </c>
    </row>
    <row r="81" spans="1:10" x14ac:dyDescent="0.25">
      <c r="A81" s="38">
        <v>180013</v>
      </c>
      <c r="B81" t="s">
        <v>896</v>
      </c>
      <c r="C81" s="158">
        <v>1942275.3959999999</v>
      </c>
      <c r="D81" s="158">
        <v>2944001.0240000002</v>
      </c>
      <c r="E81" s="158">
        <v>3143878.202</v>
      </c>
      <c r="F81" s="158">
        <v>1742398.2180000001</v>
      </c>
      <c r="G81" s="158" t="str">
        <f>IF($A81="","",IFERROR(INDEX(Map!$C$2:$C$400,MATCH($A81,Map!$A$2:$A$400,0)),"⚠ UNMAPPED"))</f>
        <v>BS</v>
      </c>
      <c r="H81" s="18" t="str">
        <f>IF($A81="","",IFERROR(INDEX(Map!$D$2:$D$400,MATCH($A81,Map!$A$2:$A$400,0)),"⚠ UNMAPPED"))</f>
        <v>Current Assets</v>
      </c>
      <c r="I81" s="18" t="str">
        <f>IF($A81="","",IFERROR(INDEX(Map!$E$2:$E$400,MATCH($A81,Map!$A$2:$A$400,0)),"⚠ UNMAPPED"))</f>
        <v>Inventories</v>
      </c>
      <c r="J81" s="18" t="str">
        <f>IF($A81="","",IFERROR(INDEX(Map!$F$2:$F$400,MATCH($A81,Map!$A$2:$A$400,0)),"⚠ UNMAPPED"))</f>
        <v>Finished goods - Inventory</v>
      </c>
    </row>
    <row r="82" spans="1:10" x14ac:dyDescent="0.25">
      <c r="A82" s="38">
        <v>180014</v>
      </c>
      <c r="B82" t="s">
        <v>897</v>
      </c>
      <c r="C82" s="158">
        <v>0</v>
      </c>
      <c r="D82" s="158">
        <v>237778508.53099999</v>
      </c>
      <c r="E82" s="158">
        <v>236453171.38499999</v>
      </c>
      <c r="F82" s="158">
        <v>1325337.1459999999</v>
      </c>
      <c r="G82" s="158" t="str">
        <f>IF($A82="","",IFERROR(INDEX(Map!$C$2:$C$400,MATCH($A82,Map!$A$2:$A$400,0)),"⚠ UNMAPPED"))</f>
        <v>BS</v>
      </c>
      <c r="H82" s="18" t="str">
        <f>IF($A82="","",IFERROR(INDEX(Map!$D$2:$D$400,MATCH($A82,Map!$A$2:$A$400,0)),"⚠ UNMAPPED"))</f>
        <v>Current Assets</v>
      </c>
      <c r="I82" s="18" t="str">
        <f>IF($A82="","",IFERROR(INDEX(Map!$E$2:$E$400,MATCH($A82,Map!$A$2:$A$400,0)),"⚠ UNMAPPED"))</f>
        <v>Inventories</v>
      </c>
      <c r="J82" s="18" t="str">
        <f>IF($A82="","",IFERROR(INDEX(Map!$F$2:$F$400,MATCH($A82,Map!$A$2:$A$400,0)),"⚠ UNMAPPED"))</f>
        <v>Work in progress - Inventory</v>
      </c>
    </row>
    <row r="83" spans="1:10" x14ac:dyDescent="0.25">
      <c r="A83" s="38">
        <v>180096</v>
      </c>
      <c r="B83" t="s">
        <v>898</v>
      </c>
      <c r="C83" s="158">
        <v>0</v>
      </c>
      <c r="D83" s="158">
        <v>94924476.150000006</v>
      </c>
      <c r="E83" s="158">
        <v>94924476.150000006</v>
      </c>
      <c r="F83" s="158">
        <v>0</v>
      </c>
      <c r="G83" s="158" t="str">
        <f>IF($A83="","",IFERROR(INDEX(Map!$C$2:$C$400,MATCH($A83,Map!$A$2:$A$400,0)),"⚠ UNMAPPED"))</f>
        <v>BS</v>
      </c>
      <c r="H83" s="18" t="str">
        <f>IF($A83="","",IFERROR(INDEX(Map!$D$2:$D$400,MATCH($A83,Map!$A$2:$A$400,0)),"⚠ UNMAPPED"))</f>
        <v>Current Assets</v>
      </c>
      <c r="I83" s="18" t="str">
        <f>IF($A83="","",IFERROR(INDEX(Map!$E$2:$E$400,MATCH($A83,Map!$A$2:$A$400,0)),"⚠ UNMAPPED"))</f>
        <v>Inventories</v>
      </c>
      <c r="J83" s="18" t="str">
        <f>IF($A83="","",IFERROR(INDEX(Map!$F$2:$F$400,MATCH($A83,Map!$A$2:$A$400,0)),"⚠ UNMAPPED"))</f>
        <v>Work in progress - Inventory</v>
      </c>
    </row>
    <row r="84" spans="1:10" x14ac:dyDescent="0.25">
      <c r="A84" s="38">
        <v>180097</v>
      </c>
      <c r="B84" t="s">
        <v>899</v>
      </c>
      <c r="C84" s="158">
        <v>0</v>
      </c>
      <c r="D84" s="158">
        <v>0</v>
      </c>
      <c r="E84" s="158">
        <v>0</v>
      </c>
      <c r="F84" s="158">
        <v>0</v>
      </c>
      <c r="G84" s="158" t="str">
        <f>IF($A84="","",IFERROR(INDEX(Map!$C$2:$C$400,MATCH($A84,Map!$A$2:$A$400,0)),"⚠ UNMAPPED"))</f>
        <v>BS</v>
      </c>
      <c r="H84" s="18" t="str">
        <f>IF($A84="","",IFERROR(INDEX(Map!$D$2:$D$400,MATCH($A84,Map!$A$2:$A$400,0)),"⚠ UNMAPPED"))</f>
        <v>Current Assets</v>
      </c>
      <c r="I84" s="18" t="str">
        <f>IF($A84="","",IFERROR(INDEX(Map!$E$2:$E$400,MATCH($A84,Map!$A$2:$A$400,0)),"⚠ UNMAPPED"))</f>
        <v>Inventories</v>
      </c>
      <c r="J84" s="18" t="str">
        <f>IF($A84="","",IFERROR(INDEX(Map!$F$2:$F$400,MATCH($A84,Map!$A$2:$A$400,0)),"⚠ UNMAPPED"))</f>
        <v>Work in progress - Inventory</v>
      </c>
    </row>
    <row r="85" spans="1:10" x14ac:dyDescent="0.25">
      <c r="A85" s="38">
        <v>180098</v>
      </c>
      <c r="B85" t="s">
        <v>900</v>
      </c>
      <c r="C85" s="158">
        <v>1E-3</v>
      </c>
      <c r="D85" s="158">
        <v>0</v>
      </c>
      <c r="E85" s="158">
        <v>0</v>
      </c>
      <c r="F85" s="158">
        <v>1E-3</v>
      </c>
      <c r="G85" s="158" t="str">
        <f>IF($A85="","",IFERROR(INDEX(Map!$C$2:$C$400,MATCH($A85,Map!$A$2:$A$400,0)),"⚠ UNMAPPED"))</f>
        <v>BS</v>
      </c>
      <c r="H85" s="18" t="str">
        <f>IF($A85="","",IFERROR(INDEX(Map!$D$2:$D$400,MATCH($A85,Map!$A$2:$A$400,0)),"⚠ UNMAPPED"))</f>
        <v>Current Assets</v>
      </c>
      <c r="I85" s="18" t="str">
        <f>IF($A85="","",IFERROR(INDEX(Map!$E$2:$E$400,MATCH($A85,Map!$A$2:$A$400,0)),"⚠ UNMAPPED"))</f>
        <v>Inventories</v>
      </c>
      <c r="J85" s="18" t="str">
        <f>IF($A85="","",IFERROR(INDEX(Map!$F$2:$F$400,MATCH($A85,Map!$A$2:$A$400,0)),"⚠ UNMAPPED"))</f>
        <v>Work in progress - Inventory</v>
      </c>
    </row>
    <row r="86" spans="1:10" x14ac:dyDescent="0.25">
      <c r="A86" s="38">
        <v>180099</v>
      </c>
      <c r="B86" t="s">
        <v>901</v>
      </c>
      <c r="C86" s="158">
        <v>38672818.258000001</v>
      </c>
      <c r="D86" s="158">
        <v>24866212.602000002</v>
      </c>
      <c r="E86" s="158">
        <v>39329692.645000003</v>
      </c>
      <c r="F86" s="158">
        <v>24209338.215</v>
      </c>
      <c r="G86" s="158" t="str">
        <f>IF($A86="","",IFERROR(INDEX(Map!$C$2:$C$400,MATCH($A86,Map!$A$2:$A$400,0)),"⚠ UNMAPPED"))</f>
        <v>BS</v>
      </c>
      <c r="H86" s="18" t="str">
        <f>IF($A86="","",IFERROR(INDEX(Map!$D$2:$D$400,MATCH($A86,Map!$A$2:$A$400,0)),"⚠ UNMAPPED"))</f>
        <v>Current Assets</v>
      </c>
      <c r="I86" s="18" t="str">
        <f>IF($A86="","",IFERROR(INDEX(Map!$E$2:$E$400,MATCH($A86,Map!$A$2:$A$400,0)),"⚠ UNMAPPED"))</f>
        <v>Inventories</v>
      </c>
      <c r="J86" s="18" t="str">
        <f>IF($A86="","",IFERROR(INDEX(Map!$F$2:$F$400,MATCH($A86,Map!$A$2:$A$400,0)),"⚠ UNMAPPED"))</f>
        <v>Goods in transit - Inventory</v>
      </c>
    </row>
    <row r="87" spans="1:10" x14ac:dyDescent="0.25">
      <c r="A87" s="38">
        <v>210001</v>
      </c>
      <c r="B87" t="s">
        <v>902</v>
      </c>
      <c r="C87" s="158">
        <v>-3240868.9709999999</v>
      </c>
      <c r="D87" s="158">
        <v>295528927.051</v>
      </c>
      <c r="E87" s="158">
        <v>289115030.847</v>
      </c>
      <c r="F87" s="158">
        <v>3173027.233</v>
      </c>
      <c r="G87" s="158" t="str">
        <f>IF($A87="","",IFERROR(INDEX(Map!$C$2:$C$400,MATCH($A87,Map!$A$2:$A$400,0)),"⚠ UNMAPPED"))</f>
        <v>BS</v>
      </c>
      <c r="H87" s="18" t="str">
        <f>IF($A87="","",IFERROR(INDEX(Map!$D$2:$D$400,MATCH($A87,Map!$A$2:$A$400,0)),"⚠ UNMAPPED"))</f>
        <v>Current Liabilities</v>
      </c>
      <c r="I87" s="18" t="str">
        <f>IF($A87="","",IFERROR(INDEX(Map!$E$2:$E$400,MATCH($A87,Map!$A$2:$A$400,0)),"⚠ UNMAPPED"))</f>
        <v>Tade payables and Accuals &amp; other credit balances</v>
      </c>
      <c r="J87" s="18" t="str">
        <f>IF($A87="","",IFERROR(INDEX(Map!$F$2:$F$400,MATCH($A87,Map!$A$2:$A$400,0)),"⚠ UNMAPPED"))</f>
        <v>Trade payables - Foreign</v>
      </c>
    </row>
    <row r="88" spans="1:10" x14ac:dyDescent="0.25">
      <c r="A88" s="38">
        <v>210002</v>
      </c>
      <c r="B88" t="s">
        <v>903</v>
      </c>
      <c r="C88" s="158">
        <v>-10690367.937999999</v>
      </c>
      <c r="D88" s="158">
        <v>200153095.831</v>
      </c>
      <c r="E88" s="158">
        <v>197142726.96799999</v>
      </c>
      <c r="F88" s="158">
        <v>-7679999.0750000002</v>
      </c>
      <c r="G88" s="158" t="str">
        <f>IF($A88="","",IFERROR(INDEX(Map!$C$2:$C$400,MATCH($A88,Map!$A$2:$A$400,0)),"⚠ UNMAPPED"))</f>
        <v>BS</v>
      </c>
      <c r="H88" s="18" t="str">
        <f>IF($A88="","",IFERROR(INDEX(Map!$D$2:$D$400,MATCH($A88,Map!$A$2:$A$400,0)),"⚠ UNMAPPED"))</f>
        <v>Current Liabilities</v>
      </c>
      <c r="I88" s="18" t="str">
        <f>IF($A88="","",IFERROR(INDEX(Map!$E$2:$E$400,MATCH($A88,Map!$A$2:$A$400,0)),"⚠ UNMAPPED"))</f>
        <v>Tade payables and Accuals &amp; other credit balances</v>
      </c>
      <c r="J88" s="18" t="str">
        <f>IF($A88="","",IFERROR(INDEX(Map!$F$2:$F$400,MATCH($A88,Map!$A$2:$A$400,0)),"⚠ UNMAPPED"))</f>
        <v>Trade payables - Local</v>
      </c>
    </row>
    <row r="89" spans="1:10" x14ac:dyDescent="0.25">
      <c r="A89" s="38">
        <v>220001</v>
      </c>
      <c r="B89" t="s">
        <v>904</v>
      </c>
      <c r="C89" s="158">
        <v>0</v>
      </c>
      <c r="D89" s="158">
        <v>0</v>
      </c>
      <c r="E89" s="158">
        <v>0</v>
      </c>
      <c r="F89" s="158">
        <v>0</v>
      </c>
      <c r="G89" s="158" t="str">
        <f>IF($A89="","",IFERROR(INDEX(Map!$C$2:$C$400,MATCH($A89,Map!$A$2:$A$400,0)),"⚠ UNMAPPED"))</f>
        <v>BS</v>
      </c>
      <c r="H89" s="18" t="str">
        <f>IF($A89="","",IFERROR(INDEX(Map!$D$2:$D$400,MATCH($A89,Map!$A$2:$A$400,0)),"⚠ UNMAPPED"))</f>
        <v>Current Liabilities</v>
      </c>
      <c r="I89" s="18" t="str">
        <f>IF($A89="","",IFERROR(INDEX(Map!$E$2:$E$400,MATCH($A89,Map!$A$2:$A$400,0)),"⚠ UNMAPPED"))</f>
        <v>Short-term Murabaha loans</v>
      </c>
      <c r="J89" s="18" t="str">
        <f>IF($A89="","",IFERROR(INDEX(Map!$F$2:$F$400,MATCH($A89,Map!$A$2:$A$400,0)),"⚠ UNMAPPED"))</f>
        <v>Other loans - current</v>
      </c>
    </row>
    <row r="90" spans="1:10" x14ac:dyDescent="0.25">
      <c r="A90" s="38">
        <v>220002</v>
      </c>
      <c r="B90" t="s">
        <v>905</v>
      </c>
      <c r="C90" s="158">
        <v>0</v>
      </c>
      <c r="D90" s="158">
        <v>0</v>
      </c>
      <c r="E90" s="158">
        <v>0</v>
      </c>
      <c r="F90" s="158">
        <v>0</v>
      </c>
      <c r="G90" s="158" t="str">
        <f>IF($A90="","",IFERROR(INDEX(Map!$C$2:$C$400,MATCH($A90,Map!$A$2:$A$400,0)),"⚠ UNMAPPED"))</f>
        <v>BS</v>
      </c>
      <c r="H90" s="18" t="str">
        <f>IF($A90="","",IFERROR(INDEX(Map!$D$2:$D$400,MATCH($A90,Map!$A$2:$A$400,0)),"⚠ UNMAPPED"))</f>
        <v>Current Liabilities</v>
      </c>
      <c r="I90" s="18" t="str">
        <f>IF($A90="","",IFERROR(INDEX(Map!$E$2:$E$400,MATCH($A90,Map!$A$2:$A$400,0)),"⚠ UNMAPPED"))</f>
        <v>Short-term Murabaha loans</v>
      </c>
      <c r="J90" s="18" t="str">
        <f>IF($A90="","",IFERROR(INDEX(Map!$F$2:$F$400,MATCH($A90,Map!$A$2:$A$400,0)),"⚠ UNMAPPED"))</f>
        <v>Other loans - current</v>
      </c>
    </row>
    <row r="91" spans="1:10" x14ac:dyDescent="0.25">
      <c r="A91" s="38">
        <v>220003</v>
      </c>
      <c r="B91" t="s">
        <v>906</v>
      </c>
      <c r="C91" s="158">
        <v>0</v>
      </c>
      <c r="D91" s="158">
        <v>0</v>
      </c>
      <c r="E91" s="158">
        <v>0</v>
      </c>
      <c r="F91" s="158">
        <v>0</v>
      </c>
      <c r="G91" s="158" t="str">
        <f>IF($A91="","",IFERROR(INDEX(Map!$C$2:$C$400,MATCH($A91,Map!$A$2:$A$400,0)),"⚠ UNMAPPED"))</f>
        <v>BS</v>
      </c>
      <c r="H91" s="18" t="str">
        <f>IF($A91="","",IFERROR(INDEX(Map!$D$2:$D$400,MATCH($A91,Map!$A$2:$A$400,0)),"⚠ UNMAPPED"))</f>
        <v>Current Liabilities</v>
      </c>
      <c r="I91" s="18" t="str">
        <f>IF($A91="","",IFERROR(INDEX(Map!$E$2:$E$400,MATCH($A91,Map!$A$2:$A$400,0)),"⚠ UNMAPPED"))</f>
        <v>Short-term Murabaha loans</v>
      </c>
      <c r="J91" s="18" t="str">
        <f>IF($A91="","",IFERROR(INDEX(Map!$F$2:$F$400,MATCH($A91,Map!$A$2:$A$400,0)),"⚠ UNMAPPED"))</f>
        <v>Other loans - current</v>
      </c>
    </row>
    <row r="92" spans="1:10" x14ac:dyDescent="0.25">
      <c r="A92" s="38">
        <v>220004</v>
      </c>
      <c r="B92" t="s">
        <v>907</v>
      </c>
      <c r="C92" s="158">
        <v>-42045907.75</v>
      </c>
      <c r="D92" s="158">
        <v>82880528.159999996</v>
      </c>
      <c r="E92" s="158">
        <v>40834620.43</v>
      </c>
      <c r="F92" s="158">
        <v>-0.02</v>
      </c>
      <c r="G92" s="158" t="str">
        <f>IF($A92="","",IFERROR(INDEX(Map!$C$2:$C$400,MATCH($A92,Map!$A$2:$A$400,0)),"⚠ UNMAPPED"))</f>
        <v>BS</v>
      </c>
      <c r="H92" s="18" t="str">
        <f>IF($A92="","",IFERROR(INDEX(Map!$D$2:$D$400,MATCH($A92,Map!$A$2:$A$400,0)),"⚠ UNMAPPED"))</f>
        <v>Current Liabilities</v>
      </c>
      <c r="I92" s="18" t="str">
        <f>IF($A92="","",IFERROR(INDEX(Map!$E$2:$E$400,MATCH($A92,Map!$A$2:$A$400,0)),"⚠ UNMAPPED"))</f>
        <v>Short-term Murabaha loans</v>
      </c>
      <c r="J92" s="18" t="str">
        <f>IF($A92="","",IFERROR(INDEX(Map!$F$2:$F$400,MATCH($A92,Map!$A$2:$A$400,0)),"⚠ UNMAPPED"))</f>
        <v>Other loans - current</v>
      </c>
    </row>
    <row r="93" spans="1:10" x14ac:dyDescent="0.25">
      <c r="A93" s="38">
        <v>220005</v>
      </c>
      <c r="B93" t="s">
        <v>908</v>
      </c>
      <c r="C93" s="158">
        <v>-91416370.724999994</v>
      </c>
      <c r="D93" s="158">
        <v>61603292.82</v>
      </c>
      <c r="E93" s="158">
        <v>51395431.807999998</v>
      </c>
      <c r="F93" s="158">
        <v>-81208509.713</v>
      </c>
      <c r="G93" s="158" t="str">
        <f>IF($A93="","",IFERROR(INDEX(Map!$C$2:$C$400,MATCH($A93,Map!$A$2:$A$400,0)),"⚠ UNMAPPED"))</f>
        <v>BS</v>
      </c>
      <c r="H93" s="18" t="str">
        <f>IF($A93="","",IFERROR(INDEX(Map!$D$2:$D$400,MATCH($A93,Map!$A$2:$A$400,0)),"⚠ UNMAPPED"))</f>
        <v>Current Liabilities</v>
      </c>
      <c r="I93" s="18" t="str">
        <f>IF($A93="","",IFERROR(INDEX(Map!$E$2:$E$400,MATCH($A93,Map!$A$2:$A$400,0)),"⚠ UNMAPPED"))</f>
        <v>Short-term Murabaha loans</v>
      </c>
      <c r="J93" s="18" t="str">
        <f>IF($A93="","",IFERROR(INDEX(Map!$F$2:$F$400,MATCH($A93,Map!$A$2:$A$400,0)),"⚠ UNMAPPED"))</f>
        <v>Other loans - current</v>
      </c>
    </row>
    <row r="94" spans="1:10" x14ac:dyDescent="0.25">
      <c r="A94" s="38">
        <v>220006</v>
      </c>
      <c r="B94" t="s">
        <v>909</v>
      </c>
      <c r="C94" s="158">
        <v>-65642381.278999999</v>
      </c>
      <c r="D94" s="158">
        <v>81887100.209999993</v>
      </c>
      <c r="E94" s="158">
        <v>74752162.780000001</v>
      </c>
      <c r="F94" s="158">
        <v>-58507443.848999999</v>
      </c>
      <c r="G94" s="158" t="str">
        <f>IF($A94="","",IFERROR(INDEX(Map!$C$2:$C$400,MATCH($A94,Map!$A$2:$A$400,0)),"⚠ UNMAPPED"))</f>
        <v>BS</v>
      </c>
      <c r="H94" s="18" t="str">
        <f>IF($A94="","",IFERROR(INDEX(Map!$D$2:$D$400,MATCH($A94,Map!$A$2:$A$400,0)),"⚠ UNMAPPED"))</f>
        <v>Current Liabilities</v>
      </c>
      <c r="I94" s="18" t="str">
        <f>IF($A94="","",IFERROR(INDEX(Map!$E$2:$E$400,MATCH($A94,Map!$A$2:$A$400,0)),"⚠ UNMAPPED"))</f>
        <v>Short-term Murabaha loans</v>
      </c>
      <c r="J94" s="18" t="str">
        <f>IF($A94="","",IFERROR(INDEX(Map!$F$2:$F$400,MATCH($A94,Map!$A$2:$A$400,0)),"⚠ UNMAPPED"))</f>
        <v>Other loans - current</v>
      </c>
    </row>
    <row r="95" spans="1:10" x14ac:dyDescent="0.25">
      <c r="A95" s="38">
        <v>220007</v>
      </c>
      <c r="B95" t="s">
        <v>910</v>
      </c>
      <c r="C95" s="158">
        <v>1E-3</v>
      </c>
      <c r="D95" s="158">
        <v>0</v>
      </c>
      <c r="E95" s="158">
        <v>0</v>
      </c>
      <c r="F95" s="158">
        <v>1E-3</v>
      </c>
      <c r="G95" s="158" t="str">
        <f>IF($A95="","",IFERROR(INDEX(Map!$C$2:$C$400,MATCH($A95,Map!$A$2:$A$400,0)),"⚠ UNMAPPED"))</f>
        <v>BS</v>
      </c>
      <c r="H95" s="18" t="str">
        <f>IF($A95="","",IFERROR(INDEX(Map!$D$2:$D$400,MATCH($A95,Map!$A$2:$A$400,0)),"⚠ UNMAPPED"))</f>
        <v>Current Liabilities</v>
      </c>
      <c r="I95" s="18" t="str">
        <f>IF($A95="","",IFERROR(INDEX(Map!$E$2:$E$400,MATCH($A95,Map!$A$2:$A$400,0)),"⚠ UNMAPPED"))</f>
        <v>Short-term Murabaha loans</v>
      </c>
      <c r="J95" s="18" t="str">
        <f>IF($A95="","",IFERROR(INDEX(Map!$F$2:$F$400,MATCH($A95,Map!$A$2:$A$400,0)),"⚠ UNMAPPED"))</f>
        <v>Other loans - current</v>
      </c>
    </row>
    <row r="96" spans="1:10" x14ac:dyDescent="0.25">
      <c r="A96" s="38">
        <v>230001</v>
      </c>
      <c r="B96" t="s">
        <v>911</v>
      </c>
      <c r="C96" s="158">
        <v>945772.96799999999</v>
      </c>
      <c r="D96" s="158">
        <v>77474639.310000002</v>
      </c>
      <c r="E96" s="158">
        <v>84792448.261000007</v>
      </c>
      <c r="F96" s="158">
        <v>-6372035.983</v>
      </c>
      <c r="G96" s="158" t="str">
        <f>IF($A96="","",IFERROR(INDEX(Map!$C$2:$C$400,MATCH($A96,Map!$A$2:$A$400,0)),"⚠ UNMAPPED"))</f>
        <v>BS</v>
      </c>
      <c r="H96" s="18" t="str">
        <f>IF($A96="","",IFERROR(INDEX(Map!$D$2:$D$400,MATCH($A96,Map!$A$2:$A$400,0)),"⚠ UNMAPPED"))</f>
        <v>Current Liabilities</v>
      </c>
      <c r="I96" s="18" t="str">
        <f>IF($A96="","",IFERROR(INDEX(Map!$E$2:$E$400,MATCH($A96,Map!$A$2:$A$400,0)),"⚠ UNMAPPED"))</f>
        <v>Tade payables and Accuals &amp; other credit balances</v>
      </c>
      <c r="J96" s="18" t="str">
        <f>IF($A96="","",IFERROR(INDEX(Map!$F$2:$F$400,MATCH($A96,Map!$A$2:$A$400,0)),"⚠ UNMAPPED"))</f>
        <v>Clearing account</v>
      </c>
    </row>
    <row r="97" spans="1:10" x14ac:dyDescent="0.25">
      <c r="A97" s="38">
        <v>240001</v>
      </c>
      <c r="B97" t="s">
        <v>912</v>
      </c>
      <c r="C97" s="158">
        <v>-124430.68799999999</v>
      </c>
      <c r="D97" s="158">
        <v>3292146.378</v>
      </c>
      <c r="E97" s="158">
        <v>3021525.608</v>
      </c>
      <c r="F97" s="158">
        <v>146190.08199999999</v>
      </c>
      <c r="G97" s="158" t="str">
        <f>IF($A97="","",IFERROR(INDEX(Map!$C$2:$C$400,MATCH($A97,Map!$A$2:$A$400,0)),"⚠ UNMAPPED"))</f>
        <v>BS</v>
      </c>
      <c r="H97" s="18" t="str">
        <f>IF($A97="","",IFERROR(INDEX(Map!$D$2:$D$400,MATCH($A97,Map!$A$2:$A$400,0)),"⚠ UNMAPPED"))</f>
        <v>Current Liabilities</v>
      </c>
      <c r="I97" s="18" t="str">
        <f>IF($A97="","",IFERROR(INDEX(Map!$E$2:$E$400,MATCH($A97,Map!$A$2:$A$400,0)),"⚠ UNMAPPED"))</f>
        <v>Tade payables and Accuals &amp; other credit balances</v>
      </c>
      <c r="J97" s="18" t="str">
        <f>IF($A97="","",IFERROR(INDEX(Map!$F$2:$F$400,MATCH($A97,Map!$A$2:$A$400,0)),"⚠ UNMAPPED"))</f>
        <v>Overhead</v>
      </c>
    </row>
    <row r="98" spans="1:10" x14ac:dyDescent="0.25">
      <c r="A98" s="38">
        <v>240002</v>
      </c>
      <c r="B98" t="s">
        <v>913</v>
      </c>
      <c r="C98" s="158">
        <v>0</v>
      </c>
      <c r="D98" s="158">
        <v>0</v>
      </c>
      <c r="E98" s="158">
        <v>0</v>
      </c>
      <c r="F98" s="158">
        <v>0</v>
      </c>
      <c r="G98" s="158" t="str">
        <f>IF($A98="","",IFERROR(INDEX(Map!$C$2:$C$400,MATCH($A98,Map!$A$2:$A$400,0)),"⚠ UNMAPPED"))</f>
        <v>BS</v>
      </c>
      <c r="H98" s="18" t="str">
        <f>IF($A98="","",IFERROR(INDEX(Map!$D$2:$D$400,MATCH($A98,Map!$A$2:$A$400,0)),"⚠ UNMAPPED"))</f>
        <v>Current Liabilities</v>
      </c>
      <c r="I98" s="18" t="str">
        <f>IF($A98="","",IFERROR(INDEX(Map!$E$2:$E$400,MATCH($A98,Map!$A$2:$A$400,0)),"⚠ UNMAPPED"))</f>
        <v>Tade payables and Accuals &amp; other credit balances</v>
      </c>
      <c r="J98" s="18" t="str">
        <f>IF($A98="","",IFERROR(INDEX(Map!$F$2:$F$400,MATCH($A98,Map!$A$2:$A$400,0)),"⚠ UNMAPPED"))</f>
        <v>Landed Cost - Customs</v>
      </c>
    </row>
    <row r="99" spans="1:10" x14ac:dyDescent="0.25">
      <c r="A99" s="38">
        <v>240003</v>
      </c>
      <c r="B99" t="s">
        <v>914</v>
      </c>
      <c r="C99" s="158">
        <v>-2585822.0490000001</v>
      </c>
      <c r="D99" s="158">
        <v>1475370.98</v>
      </c>
      <c r="E99" s="158">
        <v>55261.65</v>
      </c>
      <c r="F99" s="158">
        <v>-1165712.719</v>
      </c>
      <c r="G99" s="158" t="str">
        <f>IF($A99="","",IFERROR(INDEX(Map!$C$2:$C$400,MATCH($A99,Map!$A$2:$A$400,0)),"⚠ UNMAPPED"))</f>
        <v>BS</v>
      </c>
      <c r="H99" s="18" t="str">
        <f>IF($A99="","",IFERROR(INDEX(Map!$D$2:$D$400,MATCH($A99,Map!$A$2:$A$400,0)),"⚠ UNMAPPED"))</f>
        <v>Non-Current Liabilities</v>
      </c>
      <c r="I99" s="18" t="str">
        <f>IF($A99="","",IFERROR(INDEX(Map!$E$2:$E$400,MATCH($A99,Map!$A$2:$A$400,0)),"⚠ UNMAPPED"))</f>
        <v xml:space="preserve">Lease liabilities non-current </v>
      </c>
      <c r="J99" s="18" t="str">
        <f>IF($A99="","",IFERROR(INDEX(Map!$F$2:$F$400,MATCH($A99,Map!$A$2:$A$400,0)),"⚠ UNMAPPED"))</f>
        <v xml:space="preserve"> Lease Obligation</v>
      </c>
    </row>
    <row r="100" spans="1:10" x14ac:dyDescent="0.25">
      <c r="A100" s="38">
        <v>250001</v>
      </c>
      <c r="B100" t="s">
        <v>915</v>
      </c>
      <c r="C100" s="158">
        <v>-52113.19</v>
      </c>
      <c r="D100" s="158">
        <v>19199462.199999999</v>
      </c>
      <c r="E100" s="158">
        <v>19221479.287</v>
      </c>
      <c r="F100" s="158">
        <v>-74130.277000000002</v>
      </c>
      <c r="G100" s="158" t="str">
        <f>IF($A100="","",IFERROR(INDEX(Map!$C$2:$C$400,MATCH($A100,Map!$A$2:$A$400,0)),"⚠ UNMAPPED"))</f>
        <v>BS</v>
      </c>
      <c r="H100" s="18" t="str">
        <f>IF($A100="","",IFERROR(INDEX(Map!$D$2:$D$400,MATCH($A100,Map!$A$2:$A$400,0)),"⚠ UNMAPPED"))</f>
        <v>Current Liabilities</v>
      </c>
      <c r="I100" s="18" t="str">
        <f>IF($A100="","",IFERROR(INDEX(Map!$E$2:$E$400,MATCH($A100,Map!$A$2:$A$400,0)),"⚠ UNMAPPED"))</f>
        <v>Tade payables and Accuals &amp; other credit balances</v>
      </c>
      <c r="J100" s="18" t="str">
        <f>IF($A100="","",IFERROR(INDEX(Map!$F$2:$F$400,MATCH($A100,Map!$A$2:$A$400,0)),"⚠ UNMAPPED"))</f>
        <v>Accrued salaries and wages</v>
      </c>
    </row>
    <row r="101" spans="1:10" x14ac:dyDescent="0.25">
      <c r="A101" s="38">
        <v>250002</v>
      </c>
      <c r="B101" t="s">
        <v>916</v>
      </c>
      <c r="C101" s="158">
        <v>0</v>
      </c>
      <c r="D101" s="158">
        <v>0</v>
      </c>
      <c r="E101" s="158">
        <v>0</v>
      </c>
      <c r="F101" s="158">
        <v>0</v>
      </c>
      <c r="G101" s="158" t="str">
        <f>IF($A101="","",IFERROR(INDEX(Map!$C$2:$C$400,MATCH($A101,Map!$A$2:$A$400,0)),"⚠ UNMAPPED"))</f>
        <v>BS</v>
      </c>
      <c r="H101" s="18" t="str">
        <f>IF($A101="","",IFERROR(INDEX(Map!$D$2:$D$400,MATCH($A101,Map!$A$2:$A$400,0)),"⚠ UNMAPPED"))</f>
        <v>Current Liabilities</v>
      </c>
      <c r="I101" s="18" t="str">
        <f>IF($A101="","",IFERROR(INDEX(Map!$E$2:$E$400,MATCH($A101,Map!$A$2:$A$400,0)),"⚠ UNMAPPED"))</f>
        <v>Tade payables and Accuals &amp; other credit balances</v>
      </c>
      <c r="J101" s="18" t="str">
        <f>IF($A101="","",IFERROR(INDEX(Map!$F$2:$F$400,MATCH($A101,Map!$A$2:$A$400,0)),"⚠ UNMAPPED"))</f>
        <v>Accrued utilities</v>
      </c>
    </row>
    <row r="102" spans="1:10" x14ac:dyDescent="0.25">
      <c r="A102" s="38">
        <v>250003</v>
      </c>
      <c r="B102" t="s">
        <v>917</v>
      </c>
      <c r="C102" s="158">
        <v>0</v>
      </c>
      <c r="D102" s="158">
        <v>0</v>
      </c>
      <c r="E102" s="158">
        <v>0</v>
      </c>
      <c r="F102" s="158">
        <v>0</v>
      </c>
      <c r="G102" s="158" t="str">
        <f>IF($A102="","",IFERROR(INDEX(Map!$C$2:$C$400,MATCH($A102,Map!$A$2:$A$400,0)),"⚠ UNMAPPED"))</f>
        <v>BS</v>
      </c>
      <c r="H102" s="18" t="str">
        <f>IF($A102="","",IFERROR(INDEX(Map!$D$2:$D$400,MATCH($A102,Map!$A$2:$A$400,0)),"⚠ UNMAPPED"))</f>
        <v>Current Liabilities</v>
      </c>
      <c r="I102" s="18" t="str">
        <f>IF($A102="","",IFERROR(INDEX(Map!$E$2:$E$400,MATCH($A102,Map!$A$2:$A$400,0)),"⚠ UNMAPPED"))</f>
        <v>Zakat provision</v>
      </c>
      <c r="J102" s="18" t="str">
        <f>IF($A102="","",IFERROR(INDEX(Map!$F$2:$F$400,MATCH($A102,Map!$A$2:$A$400,0)),"⚠ UNMAPPED"))</f>
        <v>Zakat provision</v>
      </c>
    </row>
    <row r="103" spans="1:10" x14ac:dyDescent="0.25">
      <c r="A103" s="38">
        <v>250004</v>
      </c>
      <c r="B103" t="s">
        <v>918</v>
      </c>
      <c r="C103" s="158">
        <v>0</v>
      </c>
      <c r="D103" s="158">
        <v>0</v>
      </c>
      <c r="E103" s="158">
        <v>0</v>
      </c>
      <c r="F103" s="158">
        <v>0</v>
      </c>
      <c r="G103" s="158" t="str">
        <f>IF($A103="","",IFERROR(INDEX(Map!$C$2:$C$400,MATCH($A103,Map!$A$2:$A$400,0)),"⚠ UNMAPPED"))</f>
        <v>BS</v>
      </c>
      <c r="H103" s="18" t="str">
        <f>IF($A103="","",IFERROR(INDEX(Map!$D$2:$D$400,MATCH($A103,Map!$A$2:$A$400,0)),"⚠ UNMAPPED"))</f>
        <v>Current Liabilities</v>
      </c>
      <c r="I103" s="18" t="str">
        <f>IF($A103="","",IFERROR(INDEX(Map!$E$2:$E$400,MATCH($A103,Map!$A$2:$A$400,0)),"⚠ UNMAPPED"))</f>
        <v>Tade payables and Accuals &amp; other credit balances</v>
      </c>
      <c r="J103" s="18" t="str">
        <f>IF($A103="","",IFERROR(INDEX(Map!$F$2:$F$400,MATCH($A103,Map!$A$2:$A$400,0)),"⚠ UNMAPPED"))</f>
        <v>Accrued bonus</v>
      </c>
    </row>
    <row r="104" spans="1:10" x14ac:dyDescent="0.25">
      <c r="A104" s="38">
        <v>250005</v>
      </c>
      <c r="B104" t="s">
        <v>919</v>
      </c>
      <c r="C104" s="158">
        <v>-936802.33</v>
      </c>
      <c r="D104" s="158">
        <v>13430797.084000001</v>
      </c>
      <c r="E104" s="158">
        <v>13316932.199999999</v>
      </c>
      <c r="F104" s="158">
        <v>-822937.446</v>
      </c>
      <c r="G104" s="158" t="str">
        <f>IF($A104="","",IFERROR(INDEX(Map!$C$2:$C$400,MATCH($A104,Map!$A$2:$A$400,0)),"⚠ UNMAPPED"))</f>
        <v>BS</v>
      </c>
      <c r="H104" s="18" t="str">
        <f>IF($A104="","",IFERROR(INDEX(Map!$D$2:$D$400,MATCH($A104,Map!$A$2:$A$400,0)),"⚠ UNMAPPED"))</f>
        <v>Current Liabilities</v>
      </c>
      <c r="I104" s="18" t="str">
        <f>IF($A104="","",IFERROR(INDEX(Map!$E$2:$E$400,MATCH($A104,Map!$A$2:$A$400,0)),"⚠ UNMAPPED"))</f>
        <v>Tade payables and Accuals &amp; other credit balances</v>
      </c>
      <c r="J104" s="18" t="str">
        <f>IF($A104="","",IFERROR(INDEX(Map!$F$2:$F$400,MATCH($A104,Map!$A$2:$A$400,0)),"⚠ UNMAPPED"))</f>
        <v>Accrued expenses</v>
      </c>
    </row>
    <row r="105" spans="1:10" x14ac:dyDescent="0.25">
      <c r="A105" s="38">
        <v>250006</v>
      </c>
      <c r="B105" t="s">
        <v>920</v>
      </c>
      <c r="C105" s="158">
        <v>0</v>
      </c>
      <c r="D105" s="158">
        <v>462</v>
      </c>
      <c r="E105" s="158">
        <v>462</v>
      </c>
      <c r="F105" s="158">
        <v>0</v>
      </c>
      <c r="G105" s="158" t="str">
        <f>IF($A105="","",IFERROR(INDEX(Map!$C$2:$C$400,MATCH($A105,Map!$A$2:$A$400,0)),"⚠ UNMAPPED"))</f>
        <v>BS</v>
      </c>
      <c r="H105" s="18" t="str">
        <f>IF($A105="","",IFERROR(INDEX(Map!$D$2:$D$400,MATCH($A105,Map!$A$2:$A$400,0)),"⚠ UNMAPPED"))</f>
        <v>Current Liabilities</v>
      </c>
      <c r="I105" s="18" t="str">
        <f>IF($A105="","",IFERROR(INDEX(Map!$E$2:$E$400,MATCH($A105,Map!$A$2:$A$400,0)),"⚠ UNMAPPED"))</f>
        <v>Tade payables and Accuals &amp; other credit balances</v>
      </c>
      <c r="J105" s="18" t="str">
        <f>IF($A105="","",IFERROR(INDEX(Map!$F$2:$F$400,MATCH($A105,Map!$A$2:$A$400,0)),"⚠ UNMAPPED"))</f>
        <v>Accrued leave</v>
      </c>
    </row>
    <row r="106" spans="1:10" x14ac:dyDescent="0.25">
      <c r="A106" s="38">
        <v>250008</v>
      </c>
      <c r="B106" t="s">
        <v>921</v>
      </c>
      <c r="C106" s="158">
        <v>0</v>
      </c>
      <c r="D106" s="158">
        <v>307204.18199999997</v>
      </c>
      <c r="E106" s="158">
        <v>278378.12</v>
      </c>
      <c r="F106" s="158">
        <v>28826.062000000002</v>
      </c>
      <c r="G106" s="158" t="str">
        <f>IF($A106="","",IFERROR(INDEX(Map!$C$2:$C$400,MATCH($A106,Map!$A$2:$A$400,0)),"⚠ UNMAPPED"))</f>
        <v>BS</v>
      </c>
      <c r="H106" s="18" t="str">
        <f>IF($A106="","",IFERROR(INDEX(Map!$D$2:$D$400,MATCH($A106,Map!$A$2:$A$400,0)),"⚠ UNMAPPED"))</f>
        <v>Current Liabilities</v>
      </c>
      <c r="I106" s="18" t="str">
        <f>IF($A106="","",IFERROR(INDEX(Map!$E$2:$E$400,MATCH($A106,Map!$A$2:$A$400,0)),"⚠ UNMAPPED"))</f>
        <v>Tade payables and Accuals &amp; other credit balances</v>
      </c>
      <c r="J106" s="18" t="str">
        <f>IF($A106="","",IFERROR(INDEX(Map!$F$2:$F$400,MATCH($A106,Map!$A$2:$A$400,0)),"⚠ UNMAPPED"))</f>
        <v>Accrued tickets</v>
      </c>
    </row>
    <row r="107" spans="1:10" x14ac:dyDescent="0.25">
      <c r="A107" s="38">
        <v>260001</v>
      </c>
      <c r="B107" t="s">
        <v>922</v>
      </c>
      <c r="C107" s="158">
        <v>-7846137</v>
      </c>
      <c r="D107" s="158">
        <v>0</v>
      </c>
      <c r="E107" s="158">
        <v>0</v>
      </c>
      <c r="F107" s="158">
        <v>-7846137</v>
      </c>
      <c r="G107" s="158" t="str">
        <f>IF($A107="","",IFERROR(INDEX(Map!$C$2:$C$400,MATCH($A107,Map!$A$2:$A$400,0)),"⚠ UNMAPPED"))</f>
        <v>BS</v>
      </c>
      <c r="H107" s="18" t="str">
        <f>IF($A107="","",IFERROR(INDEX(Map!$D$2:$D$400,MATCH($A107,Map!$A$2:$A$400,0)),"⚠ UNMAPPED"))</f>
        <v>Stockholder's equity</v>
      </c>
      <c r="I107" s="18" t="str">
        <f>IF($A107="","",IFERROR(INDEX(Map!$E$2:$E$400,MATCH($A107,Map!$A$2:$A$400,0)),"⚠ UNMAPPED"))</f>
        <v>Statutory reserve</v>
      </c>
      <c r="J107" s="18" t="str">
        <f>IF($A107="","",IFERROR(INDEX(Map!$F$2:$F$400,MATCH($A107,Map!$A$2:$A$400,0)),"⚠ UNMAPPED"))</f>
        <v>Statutory reserve</v>
      </c>
    </row>
    <row r="108" spans="1:10" x14ac:dyDescent="0.25">
      <c r="A108" s="38">
        <v>260002</v>
      </c>
      <c r="B108" t="s">
        <v>923</v>
      </c>
      <c r="C108" s="158">
        <v>-3890439.92</v>
      </c>
      <c r="D108" s="158">
        <v>1061982.3759999999</v>
      </c>
      <c r="E108" s="158">
        <v>1217423.4480000001</v>
      </c>
      <c r="F108" s="158">
        <v>-4045880.9920000001</v>
      </c>
      <c r="G108" s="158" t="str">
        <f>IF($A108="","",IFERROR(INDEX(Map!$C$2:$C$400,MATCH($A108,Map!$A$2:$A$400,0)),"⚠ UNMAPPED"))</f>
        <v>BS</v>
      </c>
      <c r="H108" s="18" t="str">
        <f>IF($A108="","",IFERROR(INDEX(Map!$D$2:$D$400,MATCH($A108,Map!$A$2:$A$400,0)),"⚠ UNMAPPED"))</f>
        <v>Non-Current Liabilities</v>
      </c>
      <c r="I108" s="18" t="str">
        <f>IF($A108="","",IFERROR(INDEX(Map!$E$2:$E$400,MATCH($A108,Map!$A$2:$A$400,0)),"⚠ UNMAPPED"))</f>
        <v xml:space="preserve">End-of-service indemnities </v>
      </c>
      <c r="J108" s="18" t="str">
        <f>IF($A108="","",IFERROR(INDEX(Map!$F$2:$F$400,MATCH($A108,Map!$A$2:$A$400,0)),"⚠ UNMAPPED"))</f>
        <v xml:space="preserve">End-of-service indemnities </v>
      </c>
    </row>
    <row r="109" spans="1:10" x14ac:dyDescent="0.25">
      <c r="A109" s="38">
        <v>260003</v>
      </c>
      <c r="B109" t="s">
        <v>924</v>
      </c>
      <c r="C109" s="158">
        <v>-5398144.966</v>
      </c>
      <c r="D109" s="158">
        <v>0</v>
      </c>
      <c r="E109" s="158">
        <v>0</v>
      </c>
      <c r="F109" s="158">
        <v>-5398144.966</v>
      </c>
      <c r="G109" s="158" t="str">
        <f>IF($A109="","",IFERROR(INDEX(Map!$C$2:$C$400,MATCH($A109,Map!$A$2:$A$400,0)),"⚠ UNMAPPED"))</f>
        <v>BS</v>
      </c>
      <c r="H109" s="18" t="str">
        <f>IF($A109="","",IFERROR(INDEX(Map!$D$2:$D$400,MATCH($A109,Map!$A$2:$A$400,0)),"⚠ UNMAPPED"))</f>
        <v>Current Assets</v>
      </c>
      <c r="I109" s="18" t="str">
        <f>IF($A109="","",IFERROR(INDEX(Map!$E$2:$E$400,MATCH($A109,Map!$A$2:$A$400,0)),"⚠ UNMAPPED"))</f>
        <v>Trade receivables</v>
      </c>
      <c r="J109" s="18" t="str">
        <f>IF($A109="","",IFERROR(INDEX(Map!$F$2:$F$400,MATCH($A109,Map!$A$2:$A$400,0)),"⚠ UNMAPPED"))</f>
        <v>Provisions</v>
      </c>
    </row>
    <row r="110" spans="1:10" x14ac:dyDescent="0.25">
      <c r="A110" s="38">
        <v>260004</v>
      </c>
      <c r="B110" t="s">
        <v>925</v>
      </c>
      <c r="C110" s="158">
        <v>0</v>
      </c>
      <c r="D110" s="158">
        <v>0</v>
      </c>
      <c r="E110" s="158">
        <v>0</v>
      </c>
      <c r="F110" s="158">
        <v>0</v>
      </c>
      <c r="G110" s="158" t="str">
        <f>IF($A110="","",IFERROR(INDEX(Map!$C$2:$C$400,MATCH($A110,Map!$A$2:$A$400,0)),"⚠ UNMAPPED"))</f>
        <v>BS</v>
      </c>
      <c r="H110" s="18" t="str">
        <f>IF($A110="","",IFERROR(INDEX(Map!$D$2:$D$400,MATCH($A110,Map!$A$2:$A$400,0)),"⚠ UNMAPPED"))</f>
        <v>Current Assets</v>
      </c>
      <c r="I110" s="18" t="str">
        <f>IF($A110="","",IFERROR(INDEX(Map!$E$2:$E$400,MATCH($A110,Map!$A$2:$A$400,0)),"⚠ UNMAPPED"))</f>
        <v>Inventories</v>
      </c>
      <c r="J110" s="18" t="str">
        <f>IF($A110="","",IFERROR(INDEX(Map!$F$2:$F$400,MATCH($A110,Map!$A$2:$A$400,0)),"⚠ UNMAPPED"))</f>
        <v>Allowance for slow moving/obsolete inventories - Inventory</v>
      </c>
    </row>
    <row r="111" spans="1:10" x14ac:dyDescent="0.25">
      <c r="A111" s="38">
        <v>260005</v>
      </c>
      <c r="B111" t="s">
        <v>926</v>
      </c>
      <c r="C111" s="158">
        <v>-4862172.949</v>
      </c>
      <c r="D111" s="158">
        <v>12885.18</v>
      </c>
      <c r="E111" s="158">
        <v>81963.08</v>
      </c>
      <c r="F111" s="158">
        <v>-4931250.8490000004</v>
      </c>
      <c r="G111" s="158" t="str">
        <f>IF($A111="","",IFERROR(INDEX(Map!$C$2:$C$400,MATCH($A111,Map!$A$2:$A$400,0)),"⚠ UNMAPPED"))</f>
        <v>BS</v>
      </c>
      <c r="H111" s="18" t="str">
        <f>IF($A111="","",IFERROR(INDEX(Map!$D$2:$D$400,MATCH($A111,Map!$A$2:$A$400,0)),"⚠ UNMAPPED"))</f>
        <v>Non-Current Liabilities</v>
      </c>
      <c r="I111" s="18" t="str">
        <f>IF($A111="","",IFERROR(INDEX(Map!$E$2:$E$400,MATCH($A111,Map!$A$2:$A$400,0)),"⚠ UNMAPPED"))</f>
        <v>Provision for evacuation</v>
      </c>
      <c r="J111" s="18" t="str">
        <f>IF($A111="","",IFERROR(INDEX(Map!$F$2:$F$400,MATCH($A111,Map!$A$2:$A$400,0)),"⚠ UNMAPPED"))</f>
        <v>Provision for evacuation</v>
      </c>
    </row>
    <row r="112" spans="1:10" x14ac:dyDescent="0.25">
      <c r="A112" s="38">
        <v>260006</v>
      </c>
      <c r="B112" t="s">
        <v>927</v>
      </c>
      <c r="C112" s="158">
        <v>-1094097.638</v>
      </c>
      <c r="D112" s="158">
        <v>846224.39</v>
      </c>
      <c r="E112" s="158">
        <v>1056925.388</v>
      </c>
      <c r="F112" s="158">
        <v>-1304798.6359999999</v>
      </c>
      <c r="G112" s="158" t="str">
        <f>IF($A112="","",IFERROR(INDEX(Map!$C$2:$C$400,MATCH($A112,Map!$A$2:$A$400,0)),"⚠ UNMAPPED"))</f>
        <v>BS</v>
      </c>
      <c r="H112" s="18" t="str">
        <f>IF($A112="","",IFERROR(INDEX(Map!$D$2:$D$400,MATCH($A112,Map!$A$2:$A$400,0)),"⚠ UNMAPPED"))</f>
        <v>Current Liabilities</v>
      </c>
      <c r="I112" s="18" t="str">
        <f>IF($A112="","",IFERROR(INDEX(Map!$E$2:$E$400,MATCH($A112,Map!$A$2:$A$400,0)),"⚠ UNMAPPED"))</f>
        <v>Tade payables and Accuals &amp; other credit balances</v>
      </c>
      <c r="J112" s="18" t="str">
        <f>IF($A112="","",IFERROR(INDEX(Map!$F$2:$F$400,MATCH($A112,Map!$A$2:$A$400,0)),"⚠ UNMAPPED"))</f>
        <v>Accrued leave</v>
      </c>
    </row>
    <row r="113" spans="1:10" x14ac:dyDescent="0.25">
      <c r="A113" s="38">
        <v>260007</v>
      </c>
      <c r="B113" t="s">
        <v>928</v>
      </c>
      <c r="C113" s="158">
        <v>0</v>
      </c>
      <c r="D113" s="158">
        <v>16290605.684</v>
      </c>
      <c r="E113" s="158">
        <v>17153843.756999999</v>
      </c>
      <c r="F113" s="158">
        <v>-863238.07299999997</v>
      </c>
      <c r="G113" s="158" t="str">
        <f>IF($A113="","",IFERROR(INDEX(Map!$C$2:$C$400,MATCH($A113,Map!$A$2:$A$400,0)),"⚠ UNMAPPED"))</f>
        <v>BS</v>
      </c>
      <c r="H113" s="18" t="str">
        <f>IF($A113="","",IFERROR(INDEX(Map!$D$2:$D$400,MATCH($A113,Map!$A$2:$A$400,0)),"⚠ UNMAPPED"))</f>
        <v>Current Liabilities</v>
      </c>
      <c r="I113" s="18" t="str">
        <f>IF($A113="","",IFERROR(INDEX(Map!$E$2:$E$400,MATCH($A113,Map!$A$2:$A$400,0)),"⚠ UNMAPPED"))</f>
        <v>Tade payables and Accuals &amp; other credit balances</v>
      </c>
      <c r="J113" s="18" t="str">
        <f>IF($A113="","",IFERROR(INDEX(Map!$F$2:$F$400,MATCH($A113,Map!$A$2:$A$400,0)),"⚠ UNMAPPED"))</f>
        <v>Accrued expenses - duties</v>
      </c>
    </row>
    <row r="114" spans="1:10" x14ac:dyDescent="0.25">
      <c r="A114" s="38">
        <v>270001</v>
      </c>
      <c r="B114" t="s">
        <v>929</v>
      </c>
      <c r="C114" s="158">
        <v>-13912295.9</v>
      </c>
      <c r="D114" s="158">
        <v>1864465.227</v>
      </c>
      <c r="E114" s="158">
        <v>87354855.170000002</v>
      </c>
      <c r="F114" s="158">
        <v>-99402685.842999995</v>
      </c>
      <c r="G114" s="158" t="str">
        <f>IF($A114="","",IFERROR(INDEX(Map!$C$2:$C$400,MATCH($A114,Map!$A$2:$A$400,0)),"⚠ UNMAPPED"))</f>
        <v>BS</v>
      </c>
      <c r="H114" s="18" t="str">
        <f>IF($A114="","",IFERROR(INDEX(Map!$D$2:$D$400,MATCH($A114,Map!$A$2:$A$400,0)),"⚠ UNMAPPED"))</f>
        <v>Non-Current Liabilities</v>
      </c>
      <c r="I114" s="18" t="str">
        <f>IF($A114="","",IFERROR(INDEX(Map!$E$2:$E$400,MATCH($A114,Map!$A$2:$A$400,0)),"⚠ UNMAPPED"))</f>
        <v xml:space="preserve">Due to related parties </v>
      </c>
      <c r="J114" s="18" t="str">
        <f>IF($A114="","",IFERROR(INDEX(Map!$F$2:$F$400,MATCH($A114,Map!$A$2:$A$400,0)),"⚠ UNMAPPED"))</f>
        <v>Aims Holding  Current Acc</v>
      </c>
    </row>
    <row r="115" spans="1:10" x14ac:dyDescent="0.25">
      <c r="A115" s="38">
        <v>270002</v>
      </c>
      <c r="B115" t="s">
        <v>930</v>
      </c>
      <c r="C115" s="158">
        <v>0</v>
      </c>
      <c r="D115" s="158">
        <v>139093.59099999999</v>
      </c>
      <c r="E115" s="158">
        <v>8073466.8609999996</v>
      </c>
      <c r="F115" s="158">
        <v>-7934373.2699999996</v>
      </c>
      <c r="G115" s="158" t="str">
        <f>IF($A115="","",IFERROR(INDEX(Map!$C$2:$C$400,MATCH($A115,Map!$A$2:$A$400,0)),"⚠ UNMAPPED"))</f>
        <v>BS</v>
      </c>
      <c r="H115" s="18" t="str">
        <f>IF($A115="","",IFERROR(INDEX(Map!$D$2:$D$400,MATCH($A115,Map!$A$2:$A$400,0)),"⚠ UNMAPPED"))</f>
        <v>Current Liabilities</v>
      </c>
      <c r="I115" s="18" t="str">
        <f>IF($A115="","",IFERROR(INDEX(Map!$E$2:$E$400,MATCH($A115,Map!$A$2:$A$400,0)),"⚠ UNMAPPED"))</f>
        <v>Tade payables and Accuals &amp; other credit balances</v>
      </c>
      <c r="J115" s="18" t="str">
        <f>IF($A115="","",IFERROR(INDEX(Map!$F$2:$F$400,MATCH($A115,Map!$A$2:$A$400,0)),"⚠ UNMAPPED"))</f>
        <v>VAT payables</v>
      </c>
    </row>
    <row r="116" spans="1:10" x14ac:dyDescent="0.25">
      <c r="A116" s="38">
        <v>270003</v>
      </c>
      <c r="B116" t="s">
        <v>931</v>
      </c>
      <c r="C116" s="158">
        <v>0</v>
      </c>
      <c r="D116" s="158">
        <v>4234486.3810000001</v>
      </c>
      <c r="E116" s="158">
        <v>11646.905000000001</v>
      </c>
      <c r="F116" s="158">
        <v>4222839.4759999998</v>
      </c>
      <c r="G116" s="158" t="str">
        <f>IF($A116="","",IFERROR(INDEX(Map!$C$2:$C$400,MATCH($A116,Map!$A$2:$A$400,0)),"⚠ UNMAPPED"))</f>
        <v>BS</v>
      </c>
      <c r="H116" s="18" t="str">
        <f>IF($A116="","",IFERROR(INDEX(Map!$D$2:$D$400,MATCH($A116,Map!$A$2:$A$400,0)),"⚠ UNMAPPED"))</f>
        <v>Current Liabilities</v>
      </c>
      <c r="I116" s="18" t="str">
        <f>IF($A116="","",IFERROR(INDEX(Map!$E$2:$E$400,MATCH($A116,Map!$A$2:$A$400,0)),"⚠ UNMAPPED"))</f>
        <v>Tade payables and Accuals &amp; other credit balances</v>
      </c>
      <c r="J116" s="18" t="str">
        <f>IF($A116="","",IFERROR(INDEX(Map!$F$2:$F$400,MATCH($A116,Map!$A$2:$A$400,0)),"⚠ UNMAPPED"))</f>
        <v>VAT payables</v>
      </c>
    </row>
    <row r="117" spans="1:10" x14ac:dyDescent="0.25">
      <c r="A117" s="38">
        <v>270004</v>
      </c>
      <c r="B117" t="s">
        <v>932</v>
      </c>
      <c r="C117" s="158">
        <v>-1018595.523</v>
      </c>
      <c r="D117" s="158">
        <v>1043565.309</v>
      </c>
      <c r="E117" s="158">
        <v>0</v>
      </c>
      <c r="F117" s="158">
        <v>24969.786</v>
      </c>
      <c r="G117" s="158" t="str">
        <f>IF($A117="","",IFERROR(INDEX(Map!$C$2:$C$400,MATCH($A117,Map!$A$2:$A$400,0)),"⚠ UNMAPPED"))</f>
        <v>BS</v>
      </c>
      <c r="H117" s="18" t="str">
        <f>IF($A117="","",IFERROR(INDEX(Map!$D$2:$D$400,MATCH($A117,Map!$A$2:$A$400,0)),"⚠ UNMAPPED"))</f>
        <v>Current Liabilities</v>
      </c>
      <c r="I117" s="18" t="str">
        <f>IF($A117="","",IFERROR(INDEX(Map!$E$2:$E$400,MATCH($A117,Map!$A$2:$A$400,0)),"⚠ UNMAPPED"))</f>
        <v>Tade payables and Accuals &amp; other credit balances</v>
      </c>
      <c r="J117" s="18" t="str">
        <f>IF($A117="","",IFERROR(INDEX(Map!$F$2:$F$400,MATCH($A117,Map!$A$2:$A$400,0)),"⚠ UNMAPPED"))</f>
        <v>VAT payables</v>
      </c>
    </row>
    <row r="118" spans="1:10" x14ac:dyDescent="0.25">
      <c r="A118" s="38">
        <v>270005</v>
      </c>
      <c r="B118" t="s">
        <v>933</v>
      </c>
      <c r="C118" s="158">
        <v>-1400232.236</v>
      </c>
      <c r="D118" s="158">
        <v>4275390.4469999997</v>
      </c>
      <c r="E118" s="158">
        <v>4501024.2249999996</v>
      </c>
      <c r="F118" s="158">
        <v>-1625866.014</v>
      </c>
      <c r="G118" s="158" t="str">
        <f>IF($A118="","",IFERROR(INDEX(Map!$C$2:$C$400,MATCH($A118,Map!$A$2:$A$400,0)),"⚠ UNMAPPED"))</f>
        <v>BS</v>
      </c>
      <c r="H118" s="18" t="str">
        <f>IF($A118="","",IFERROR(INDEX(Map!$D$2:$D$400,MATCH($A118,Map!$A$2:$A$400,0)),"⚠ UNMAPPED"))</f>
        <v>Non-Current Liabilities</v>
      </c>
      <c r="I118" s="18" t="str">
        <f>IF($A118="","",IFERROR(INDEX(Map!$E$2:$E$400,MATCH($A118,Map!$A$2:$A$400,0)),"⚠ UNMAPPED"))</f>
        <v xml:space="preserve">Due to related parties </v>
      </c>
      <c r="J118" s="18" t="str">
        <f>IF($A118="","",IFERROR(INDEX(Map!$F$2:$F$400,MATCH($A118,Map!$A$2:$A$400,0)),"⚠ UNMAPPED"))</f>
        <v>Vision Horzon Indestrial Company</v>
      </c>
    </row>
    <row r="119" spans="1:10" x14ac:dyDescent="0.25">
      <c r="A119" s="38">
        <v>310001</v>
      </c>
      <c r="B119" t="s">
        <v>934</v>
      </c>
      <c r="C119" s="158">
        <v>107267178.55</v>
      </c>
      <c r="D119" s="158">
        <v>0</v>
      </c>
      <c r="E119" s="158">
        <v>0</v>
      </c>
      <c r="F119" s="158">
        <v>107267178.55</v>
      </c>
      <c r="G119" s="158" t="str">
        <f>IF($A119="","",IFERROR(INDEX(Map!$C$2:$C$400,MATCH($A119,Map!$A$2:$A$400,0)),"⚠ UNMAPPED"))</f>
        <v>BS</v>
      </c>
      <c r="H119" s="18" t="str">
        <f>IF($A119="","",IFERROR(INDEX(Map!$D$2:$D$400,MATCH($A119,Map!$A$2:$A$400,0)),"⚠ UNMAPPED"))</f>
        <v>Stockholder's equity</v>
      </c>
      <c r="I119" s="18" t="str">
        <f>IF($A119="","",IFERROR(INDEX(Map!$E$2:$E$400,MATCH($A119,Map!$A$2:$A$400,0)),"⚠ UNMAPPED"))</f>
        <v>Retained earnings</v>
      </c>
      <c r="J119" s="18" t="str">
        <f>IF($A119="","",IFERROR(INDEX(Map!$F$2:$F$400,MATCH($A119,Map!$A$2:$A$400,0)),"⚠ UNMAPPED"))</f>
        <v>Retained earnings</v>
      </c>
    </row>
    <row r="120" spans="1:10" x14ac:dyDescent="0.25">
      <c r="A120" s="38">
        <v>330001</v>
      </c>
      <c r="B120" t="s">
        <v>935</v>
      </c>
      <c r="C120" s="158">
        <v>0</v>
      </c>
      <c r="D120" s="158">
        <v>0</v>
      </c>
      <c r="E120" s="158">
        <v>0</v>
      </c>
      <c r="F120" s="158">
        <v>0</v>
      </c>
      <c r="G120" s="158" t="str">
        <f>IF($A120="","",IFERROR(INDEX(Map!$C$2:$C$400,MATCH($A120,Map!$A$2:$A$400,0)),"⚠ UNMAPPED"))</f>
        <v>BS</v>
      </c>
      <c r="H120" s="18" t="str">
        <f>IF($A120="","",IFERROR(INDEX(Map!$D$2:$D$400,MATCH($A120,Map!$A$2:$A$400,0)),"⚠ UNMAPPED"))</f>
        <v>Stockholder's equity</v>
      </c>
      <c r="I120" s="18" t="str">
        <f>IF($A120="","",IFERROR(INDEX(Map!$E$2:$E$400,MATCH($A120,Map!$A$2:$A$400,0)),"⚠ UNMAPPED"))</f>
        <v>Retained earnings</v>
      </c>
      <c r="J120" s="18" t="str">
        <f>IF($A120="","",IFERROR(INDEX(Map!$F$2:$F$400,MATCH($A120,Map!$A$2:$A$400,0)),"⚠ UNMAPPED"))</f>
        <v>Retained earnings</v>
      </c>
    </row>
    <row r="121" spans="1:10" x14ac:dyDescent="0.25">
      <c r="A121" s="38">
        <v>330002</v>
      </c>
      <c r="B121" t="s">
        <v>936</v>
      </c>
      <c r="C121" s="158">
        <v>-35335000</v>
      </c>
      <c r="D121" s="158">
        <v>0</v>
      </c>
      <c r="E121" s="158">
        <v>0</v>
      </c>
      <c r="F121" s="158">
        <v>-35335000</v>
      </c>
      <c r="G121" s="158" t="str">
        <f>IF($A121="","",IFERROR(INDEX(Map!$C$2:$C$400,MATCH($A121,Map!$A$2:$A$400,0)),"⚠ UNMAPPED"))</f>
        <v>BS</v>
      </c>
      <c r="H121" s="18" t="str">
        <f>IF($A121="","",IFERROR(INDEX(Map!$D$2:$D$400,MATCH($A121,Map!$A$2:$A$400,0)),"⚠ UNMAPPED"))</f>
        <v>Stockholder's equity</v>
      </c>
      <c r="I121" s="18" t="str">
        <f>IF($A121="","",IFERROR(INDEX(Map!$E$2:$E$400,MATCH($A121,Map!$A$2:$A$400,0)),"⚠ UNMAPPED"))</f>
        <v>Share capital</v>
      </c>
      <c r="J121" s="18" t="str">
        <f>IF($A121="","",IFERROR(INDEX(Map!$F$2:$F$400,MATCH($A121,Map!$A$2:$A$400,0)),"⚠ UNMAPPED"))</f>
        <v>Share capital</v>
      </c>
    </row>
    <row r="122" spans="1:10" x14ac:dyDescent="0.25">
      <c r="A122" s="38">
        <v>330003</v>
      </c>
      <c r="B122" t="s">
        <v>937</v>
      </c>
      <c r="C122" s="158">
        <v>-122255315.01000001</v>
      </c>
      <c r="D122" s="158">
        <v>0</v>
      </c>
      <c r="E122" s="158">
        <v>0</v>
      </c>
      <c r="F122" s="158">
        <v>-122255315.01000001</v>
      </c>
      <c r="G122" s="158" t="str">
        <f>IF($A122="","",IFERROR(INDEX(Map!$C$2:$C$400,MATCH($A122,Map!$A$2:$A$400,0)),"⚠ UNMAPPED"))</f>
        <v>BS</v>
      </c>
      <c r="H122" s="18" t="str">
        <f>IF($A122="","",IFERROR(INDEX(Map!$D$2:$D$400,MATCH($A122,Map!$A$2:$A$400,0)),"⚠ UNMAPPED"))</f>
        <v>Stockholder's equity</v>
      </c>
      <c r="I122" s="18" t="str">
        <f>IF($A122="","",IFERROR(INDEX(Map!$E$2:$E$400,MATCH($A122,Map!$A$2:$A$400,0)),"⚠ UNMAPPED"))</f>
        <v>Additional contribution from shareholders</v>
      </c>
      <c r="J122" s="18" t="str">
        <f>IF($A122="","",IFERROR(INDEX(Map!$F$2:$F$400,MATCH($A122,Map!$A$2:$A$400,0)),"⚠ UNMAPPED"))</f>
        <v>Additional contribution from shareholders</v>
      </c>
    </row>
    <row r="123" spans="1:10" x14ac:dyDescent="0.25">
      <c r="A123" s="38">
        <v>410001</v>
      </c>
      <c r="B123" t="s">
        <v>938</v>
      </c>
      <c r="C123" s="158">
        <v>0</v>
      </c>
      <c r="D123" s="158">
        <v>27708791.377</v>
      </c>
      <c r="E123" s="158">
        <v>157122235.535</v>
      </c>
      <c r="F123" s="158">
        <v>-129413444.15800001</v>
      </c>
      <c r="G123" s="158" t="str">
        <f>IF($A123="","",IFERROR(INDEX(Map!$C$2:$C$400,MATCH($A123,Map!$A$2:$A$400,0)),"⚠ UNMAPPED"))</f>
        <v>IS</v>
      </c>
      <c r="H123" s="18" t="str">
        <f>IF($A123="","",IFERROR(INDEX(Map!$D$2:$D$400,MATCH($A123,Map!$A$2:$A$400,0)),"⚠ UNMAPPED"))</f>
        <v>Sales</v>
      </c>
      <c r="I123" s="18" t="str">
        <f>IF($A123="","",IFERROR(INDEX(Map!$E$2:$E$400,MATCH($A123,Map!$A$2:$A$400,0)),"⚠ UNMAPPED"))</f>
        <v>Sales</v>
      </c>
      <c r="J123" s="18" t="str">
        <f>IF($A123="","",IFERROR(INDEX(Map!$F$2:$F$400,MATCH($A123,Map!$A$2:$A$400,0)),"⚠ UNMAPPED"))</f>
        <v>Trading revenue</v>
      </c>
    </row>
    <row r="124" spans="1:10" x14ac:dyDescent="0.25">
      <c r="A124" s="38">
        <v>410002</v>
      </c>
      <c r="B124" t="s">
        <v>939</v>
      </c>
      <c r="C124" s="158">
        <v>0</v>
      </c>
      <c r="D124" s="158">
        <v>2348924.9670000002</v>
      </c>
      <c r="E124" s="158">
        <v>0</v>
      </c>
      <c r="F124" s="158">
        <v>2348924.9670000002</v>
      </c>
      <c r="G124" s="158" t="str">
        <f>IF($A124="","",IFERROR(INDEX(Map!$C$2:$C$400,MATCH($A124,Map!$A$2:$A$400,0)),"⚠ UNMAPPED"))</f>
        <v>IS</v>
      </c>
      <c r="H124" s="18" t="str">
        <f>IF($A124="","",IFERROR(INDEX(Map!$D$2:$D$400,MATCH($A124,Map!$A$2:$A$400,0)),"⚠ UNMAPPED"))</f>
        <v>Sales</v>
      </c>
      <c r="I124" s="18" t="str">
        <f>IF($A124="","",IFERROR(INDEX(Map!$E$2:$E$400,MATCH($A124,Map!$A$2:$A$400,0)),"⚠ UNMAPPED"))</f>
        <v>Sales</v>
      </c>
      <c r="J124" s="18" t="str">
        <f>IF($A124="","",IFERROR(INDEX(Map!$F$2:$F$400,MATCH($A124,Map!$A$2:$A$400,0)),"⚠ UNMAPPED"))</f>
        <v>Trading revenue</v>
      </c>
    </row>
    <row r="125" spans="1:10" x14ac:dyDescent="0.25">
      <c r="A125" s="38">
        <v>410003</v>
      </c>
      <c r="B125" t="s">
        <v>940</v>
      </c>
      <c r="C125" s="158">
        <v>0</v>
      </c>
      <c r="D125" s="158">
        <v>480848.64399999997</v>
      </c>
      <c r="E125" s="158">
        <v>130880.246</v>
      </c>
      <c r="F125" s="158">
        <v>349968.39799999999</v>
      </c>
      <c r="G125" s="158" t="str">
        <f>IF($A125="","",IFERROR(INDEX(Map!$C$2:$C$400,MATCH($A125,Map!$A$2:$A$400,0)),"⚠ UNMAPPED"))</f>
        <v>IS</v>
      </c>
      <c r="H125" s="18" t="str">
        <f>IF($A125="","",IFERROR(INDEX(Map!$D$2:$D$400,MATCH($A125,Map!$A$2:$A$400,0)),"⚠ UNMAPPED"))</f>
        <v>Sales</v>
      </c>
      <c r="I125" s="18" t="str">
        <f>IF($A125="","",IFERROR(INDEX(Map!$E$2:$E$400,MATCH($A125,Map!$A$2:$A$400,0)),"⚠ UNMAPPED"))</f>
        <v>Sales</v>
      </c>
      <c r="J125" s="18" t="str">
        <f>IF($A125="","",IFERROR(INDEX(Map!$F$2:$F$400,MATCH($A125,Map!$A$2:$A$400,0)),"⚠ UNMAPPED"))</f>
        <v>Trading revenue</v>
      </c>
    </row>
    <row r="126" spans="1:10" x14ac:dyDescent="0.25">
      <c r="A126" s="38">
        <v>410004</v>
      </c>
      <c r="B126" t="s">
        <v>941</v>
      </c>
      <c r="C126" s="158">
        <v>0</v>
      </c>
      <c r="D126" s="158">
        <v>0</v>
      </c>
      <c r="E126" s="158">
        <v>1714512.6769999999</v>
      </c>
      <c r="F126" s="158">
        <v>-1714512.6769999999</v>
      </c>
      <c r="G126" s="158" t="str">
        <f>IF($A126="","",IFERROR(INDEX(Map!$C$2:$C$400,MATCH($A126,Map!$A$2:$A$400,0)),"⚠ UNMAPPED"))</f>
        <v>IS</v>
      </c>
      <c r="H126" s="18" t="str">
        <f>IF($A126="","",IFERROR(INDEX(Map!$D$2:$D$400,MATCH($A126,Map!$A$2:$A$400,0)),"⚠ UNMAPPED"))</f>
        <v>Sales</v>
      </c>
      <c r="I126" s="18" t="str">
        <f>IF($A126="","",IFERROR(INDEX(Map!$E$2:$E$400,MATCH($A126,Map!$A$2:$A$400,0)),"⚠ UNMAPPED"))</f>
        <v>Sales</v>
      </c>
      <c r="J126" s="18" t="str">
        <f>IF($A126="","",IFERROR(INDEX(Map!$F$2:$F$400,MATCH($A126,Map!$A$2:$A$400,0)),"⚠ UNMAPPED"))</f>
        <v>Scrap sales</v>
      </c>
    </row>
    <row r="127" spans="1:10" x14ac:dyDescent="0.25">
      <c r="A127" s="38">
        <v>420001</v>
      </c>
      <c r="B127" t="s">
        <v>942</v>
      </c>
      <c r="C127" s="158">
        <v>0</v>
      </c>
      <c r="D127" s="158">
        <v>0</v>
      </c>
      <c r="E127" s="158">
        <v>0</v>
      </c>
      <c r="F127" s="158">
        <v>0</v>
      </c>
      <c r="G127" s="158" t="str">
        <f>IF($A127="","",IFERROR(INDEX(Map!$C$2:$C$400,MATCH($A127,Map!$A$2:$A$400,0)),"⚠ UNMAPPED"))</f>
        <v>IS</v>
      </c>
      <c r="H127" s="18" t="str">
        <f>IF($A127="","",IFERROR(INDEX(Map!$D$2:$D$400,MATCH($A127,Map!$A$2:$A$400,0)),"⚠ UNMAPPED"))</f>
        <v>Sales</v>
      </c>
      <c r="I127" s="18" t="str">
        <f>IF($A127="","",IFERROR(INDEX(Map!$E$2:$E$400,MATCH($A127,Map!$A$2:$A$400,0)),"⚠ UNMAPPED"))</f>
        <v>Sales</v>
      </c>
      <c r="J127" s="18" t="str">
        <f>IF($A127="","",IFERROR(INDEX(Map!$F$2:$F$400,MATCH($A127,Map!$A$2:$A$400,0)),"⚠ UNMAPPED"))</f>
        <v>Other income</v>
      </c>
    </row>
    <row r="128" spans="1:10" x14ac:dyDescent="0.25">
      <c r="A128" s="38">
        <v>420002</v>
      </c>
      <c r="B128" t="s">
        <v>943</v>
      </c>
      <c r="C128" s="158">
        <v>0</v>
      </c>
      <c r="D128" s="158">
        <v>0</v>
      </c>
      <c r="E128" s="158">
        <v>0</v>
      </c>
      <c r="F128" s="158">
        <v>0</v>
      </c>
      <c r="G128" s="158" t="str">
        <f>IF($A128="","",IFERROR(INDEX(Map!$C$2:$C$400,MATCH($A128,Map!$A$2:$A$400,0)),"⚠ UNMAPPED"))</f>
        <v>IS</v>
      </c>
      <c r="H128" s="18" t="str">
        <f>IF($A128="","",IFERROR(INDEX(Map!$D$2:$D$400,MATCH($A128,Map!$A$2:$A$400,0)),"⚠ UNMAPPED"))</f>
        <v>Other Income</v>
      </c>
      <c r="I128" s="18" t="str">
        <f>IF($A128="","",IFERROR(INDEX(Map!$E$2:$E$400,MATCH($A128,Map!$A$2:$A$400,0)),"⚠ UNMAPPED"))</f>
        <v>Other Income</v>
      </c>
      <c r="J128" s="18" t="str">
        <f>IF($A128="","",IFERROR(INDEX(Map!$F$2:$F$400,MATCH($A128,Map!$A$2:$A$400,0)),"⚠ UNMAPPED"))</f>
        <v>Gain/Loss on Sale of FA — other income</v>
      </c>
    </row>
    <row r="129" spans="1:10" x14ac:dyDescent="0.25">
      <c r="A129" s="38">
        <v>420003</v>
      </c>
      <c r="B129" t="s">
        <v>944</v>
      </c>
      <c r="C129" s="158">
        <v>0</v>
      </c>
      <c r="D129" s="158">
        <v>117676.626</v>
      </c>
      <c r="E129" s="158">
        <v>51687.91</v>
      </c>
      <c r="F129" s="158">
        <v>65988.716</v>
      </c>
      <c r="G129" s="158" t="str">
        <f>IF($A129="","",IFERROR(INDEX(Map!$C$2:$C$400,MATCH($A129,Map!$A$2:$A$400,0)),"⚠ UNMAPPED"))</f>
        <v>IS</v>
      </c>
      <c r="H129" s="18" t="str">
        <f>IF($A129="","",IFERROR(INDEX(Map!$D$2:$D$400,MATCH($A129,Map!$A$2:$A$400,0)),"⚠ UNMAPPED"))</f>
        <v>Sales</v>
      </c>
      <c r="I129" s="18" t="str">
        <f>IF($A129="","",IFERROR(INDEX(Map!$E$2:$E$400,MATCH($A129,Map!$A$2:$A$400,0)),"⚠ UNMAPPED"))</f>
        <v>Sales</v>
      </c>
      <c r="J129" s="18" t="str">
        <f>IF($A129="","",IFERROR(INDEX(Map!$F$2:$F$400,MATCH($A129,Map!$A$2:$A$400,0)),"⚠ UNMAPPED"))</f>
        <v>Scrap sales</v>
      </c>
    </row>
    <row r="130" spans="1:10" x14ac:dyDescent="0.25">
      <c r="A130" s="38">
        <v>510001</v>
      </c>
      <c r="B130" t="s">
        <v>945</v>
      </c>
      <c r="C130" s="158">
        <v>0</v>
      </c>
      <c r="D130" s="158">
        <v>102675203.669</v>
      </c>
      <c r="E130" s="158">
        <v>1846927.1950000001</v>
      </c>
      <c r="F130" s="158">
        <v>100828276.47400001</v>
      </c>
      <c r="G130" s="158" t="str">
        <f>IF($A130="","",IFERROR(INDEX(Map!$C$2:$C$400,MATCH($A130,Map!$A$2:$A$400,0)),"⚠ UNMAPPED"))</f>
        <v>IS</v>
      </c>
      <c r="H130" s="18" t="str">
        <f>IF($A130="","",IFERROR(INDEX(Map!$D$2:$D$400,MATCH($A130,Map!$A$2:$A$400,0)),"⚠ UNMAPPED"))</f>
        <v>Cost of sales</v>
      </c>
      <c r="I130" s="18" t="str">
        <f>IF($A130="","",IFERROR(INDEX(Map!$E$2:$E$400,MATCH($A130,Map!$A$2:$A$400,0)),"⚠ UNMAPPED"))</f>
        <v>Raw materials</v>
      </c>
      <c r="J130" s="18" t="str">
        <f>IF($A130="","",IFERROR(INDEX(Map!$F$2:$F$400,MATCH($A130,Map!$A$2:$A$400,0)),"⚠ UNMAPPED"))</f>
        <v>Raw materials</v>
      </c>
    </row>
    <row r="131" spans="1:10" x14ac:dyDescent="0.25">
      <c r="A131" s="38">
        <v>510002</v>
      </c>
      <c r="B131" t="s">
        <v>946</v>
      </c>
      <c r="C131" s="158">
        <v>0</v>
      </c>
      <c r="D131" s="158">
        <v>97531.551999999996</v>
      </c>
      <c r="E131" s="158">
        <v>0</v>
      </c>
      <c r="F131" s="158">
        <v>97531.551999999996</v>
      </c>
      <c r="G131" s="158" t="str">
        <f>IF($A131="","",IFERROR(INDEX(Map!$C$2:$C$400,MATCH($A131,Map!$A$2:$A$400,0)),"⚠ UNMAPPED"))</f>
        <v>IS</v>
      </c>
      <c r="H131" s="18" t="str">
        <f>IF($A131="","",IFERROR(INDEX(Map!$D$2:$D$400,MATCH($A131,Map!$A$2:$A$400,0)),"⚠ UNMAPPED"))</f>
        <v>Cost of sales</v>
      </c>
      <c r="I131" s="18" t="str">
        <f>IF($A131="","",IFERROR(INDEX(Map!$E$2:$E$400,MATCH($A131,Map!$A$2:$A$400,0)),"⚠ UNMAPPED"))</f>
        <v>Direct Labor</v>
      </c>
      <c r="J131" s="18" t="str">
        <f>IF($A131="","",IFERROR(INDEX(Map!$F$2:$F$400,MATCH($A131,Map!$A$2:$A$400,0)),"⚠ UNMAPPED"))</f>
        <v>Direct Labor</v>
      </c>
    </row>
    <row r="132" spans="1:10" x14ac:dyDescent="0.25">
      <c r="A132" s="38">
        <v>510003</v>
      </c>
      <c r="B132" t="s">
        <v>947</v>
      </c>
      <c r="C132" s="158">
        <v>0</v>
      </c>
      <c r="D132" s="158">
        <v>1630238.787</v>
      </c>
      <c r="E132" s="158">
        <v>0</v>
      </c>
      <c r="F132" s="158">
        <v>1630238.787</v>
      </c>
      <c r="G132" s="158" t="str">
        <f>IF($A132="","",IFERROR(INDEX(Map!$C$2:$C$400,MATCH($A132,Map!$A$2:$A$400,0)),"⚠ UNMAPPED"))</f>
        <v>IS</v>
      </c>
      <c r="H132" s="18" t="str">
        <f>IF($A132="","",IFERROR(INDEX(Map!$D$2:$D$400,MATCH($A132,Map!$A$2:$A$400,0)),"⚠ UNMAPPED"))</f>
        <v>Cost of sales</v>
      </c>
      <c r="I132" s="18" t="str">
        <f>IF($A132="","",IFERROR(INDEX(Map!$E$2:$E$400,MATCH($A132,Map!$A$2:$A$400,0)),"⚠ UNMAPPED"))</f>
        <v>Raw materials</v>
      </c>
      <c r="J132" s="18" t="str">
        <f>IF($A132="","",IFERROR(INDEX(Map!$F$2:$F$400,MATCH($A132,Map!$A$2:$A$400,0)),"⚠ UNMAPPED"))</f>
        <v>Raw materials</v>
      </c>
    </row>
    <row r="133" spans="1:10" x14ac:dyDescent="0.25">
      <c r="A133" s="38">
        <v>510004</v>
      </c>
      <c r="B133" t="s">
        <v>948</v>
      </c>
      <c r="C133" s="158">
        <v>0</v>
      </c>
      <c r="D133" s="158">
        <v>3945561.0090000001</v>
      </c>
      <c r="E133" s="158">
        <v>0</v>
      </c>
      <c r="F133" s="158">
        <v>3945561.0090000001</v>
      </c>
      <c r="G133" s="158" t="str">
        <f>IF($A133="","",IFERROR(INDEX(Map!$C$2:$C$400,MATCH($A133,Map!$A$2:$A$400,0)),"⚠ UNMAPPED"))</f>
        <v>IS</v>
      </c>
      <c r="H133" s="18" t="str">
        <f>IF($A133="","",IFERROR(INDEX(Map!$D$2:$D$400,MATCH($A133,Map!$A$2:$A$400,0)),"⚠ UNMAPPED"))</f>
        <v>Cost of sales</v>
      </c>
      <c r="I133" s="18" t="str">
        <f>IF($A133="","",IFERROR(INDEX(Map!$E$2:$E$400,MATCH($A133,Map!$A$2:$A$400,0)),"⚠ UNMAPPED"))</f>
        <v>Raw materials</v>
      </c>
      <c r="J133" s="18" t="str">
        <f>IF($A133="","",IFERROR(INDEX(Map!$F$2:$F$400,MATCH($A133,Map!$A$2:$A$400,0)),"⚠ UNMAPPED"))</f>
        <v>Other expenses</v>
      </c>
    </row>
    <row r="134" spans="1:10" x14ac:dyDescent="0.25">
      <c r="A134" s="38">
        <v>510005</v>
      </c>
      <c r="B134" t="s">
        <v>949</v>
      </c>
      <c r="C134" s="158">
        <v>0</v>
      </c>
      <c r="D134" s="158">
        <v>1672257.841</v>
      </c>
      <c r="E134" s="158">
        <v>1701.0840000000001</v>
      </c>
      <c r="F134" s="158">
        <v>1670556.757</v>
      </c>
      <c r="G134" s="158" t="str">
        <f>IF($A134="","",IFERROR(INDEX(Map!$C$2:$C$400,MATCH($A134,Map!$A$2:$A$400,0)),"⚠ UNMAPPED"))</f>
        <v>IS</v>
      </c>
      <c r="H134" s="18" t="str">
        <f>IF($A134="","",IFERROR(INDEX(Map!$D$2:$D$400,MATCH($A134,Map!$A$2:$A$400,0)),"⚠ UNMAPPED"))</f>
        <v>Cost of sales</v>
      </c>
      <c r="I134" s="18" t="str">
        <f>IF($A134="","",IFERROR(INDEX(Map!$E$2:$E$400,MATCH($A134,Map!$A$2:$A$400,0)),"⚠ UNMAPPED"))</f>
        <v>Raw materials</v>
      </c>
      <c r="J134" s="18" t="str">
        <f>IF($A134="","",IFERROR(INDEX(Map!$F$2:$F$400,MATCH($A134,Map!$A$2:$A$400,0)),"⚠ UNMAPPED"))</f>
        <v>Other expenses</v>
      </c>
    </row>
    <row r="135" spans="1:10" x14ac:dyDescent="0.25">
      <c r="A135" s="38">
        <v>520001</v>
      </c>
      <c r="B135" t="s">
        <v>950</v>
      </c>
      <c r="C135" s="158">
        <v>0</v>
      </c>
      <c r="D135" s="158">
        <v>4954332.84</v>
      </c>
      <c r="E135" s="158">
        <v>629617.772</v>
      </c>
      <c r="F135" s="158">
        <v>4324715.068</v>
      </c>
      <c r="G135" s="158" t="str">
        <f>IF($A135="","",IFERROR(INDEX(Map!$C$2:$C$400,MATCH($A135,Map!$A$2:$A$400,0)),"⚠ UNMAPPED"))</f>
        <v>IS</v>
      </c>
      <c r="H135" s="18" t="str">
        <f>IF($A135="","",IFERROR(INDEX(Map!$D$2:$D$400,MATCH($A135,Map!$A$2:$A$400,0)),"⚠ UNMAPPED"))</f>
        <v>Cost of sales</v>
      </c>
      <c r="I135" s="18" t="str">
        <f>IF($A135="","",IFERROR(INDEX(Map!$E$2:$E$400,MATCH($A135,Map!$A$2:$A$400,0)),"⚠ UNMAPPED"))</f>
        <v>Direct Labor</v>
      </c>
      <c r="J135" s="18" t="str">
        <f>IF($A135="","",IFERROR(INDEX(Map!$F$2:$F$400,MATCH($A135,Map!$A$2:$A$400,0)),"⚠ UNMAPPED"))</f>
        <v>Salaries and wages</v>
      </c>
    </row>
    <row r="136" spans="1:10" x14ac:dyDescent="0.25">
      <c r="A136" s="38">
        <v>520002</v>
      </c>
      <c r="B136" t="s">
        <v>951</v>
      </c>
      <c r="C136" s="158">
        <v>0</v>
      </c>
      <c r="D136" s="158">
        <v>1562951.47</v>
      </c>
      <c r="E136" s="158">
        <v>306840.38</v>
      </c>
      <c r="F136" s="158">
        <v>1256111.0900000001</v>
      </c>
      <c r="G136" s="158" t="str">
        <f>IF($A136="","",IFERROR(INDEX(Map!$C$2:$C$400,MATCH($A136,Map!$A$2:$A$400,0)),"⚠ UNMAPPED"))</f>
        <v>IS</v>
      </c>
      <c r="H136" s="18" t="str">
        <f>IF($A136="","",IFERROR(INDEX(Map!$D$2:$D$400,MATCH($A136,Map!$A$2:$A$400,0)),"⚠ UNMAPPED"))</f>
        <v>Cost of sales</v>
      </c>
      <c r="I136" s="18" t="str">
        <f>IF($A136="","",IFERROR(INDEX(Map!$E$2:$E$400,MATCH($A136,Map!$A$2:$A$400,0)),"⚠ UNMAPPED"))</f>
        <v>Direct Labor</v>
      </c>
      <c r="J136" s="18" t="str">
        <f>IF($A136="","",IFERROR(INDEX(Map!$F$2:$F$400,MATCH($A136,Map!$A$2:$A$400,0)),"⚠ UNMAPPED"))</f>
        <v>Overtime pay</v>
      </c>
    </row>
    <row r="137" spans="1:10" x14ac:dyDescent="0.25">
      <c r="A137" s="38">
        <v>520003</v>
      </c>
      <c r="B137" t="s">
        <v>952</v>
      </c>
      <c r="C137" s="158">
        <v>0</v>
      </c>
      <c r="D137" s="158">
        <v>364213.01</v>
      </c>
      <c r="E137" s="158">
        <v>17508</v>
      </c>
      <c r="F137" s="158">
        <v>346705.01</v>
      </c>
      <c r="G137" s="158" t="str">
        <f>IF($A137="","",IFERROR(INDEX(Map!$C$2:$C$400,MATCH($A137,Map!$A$2:$A$400,0)),"⚠ UNMAPPED"))</f>
        <v>IS</v>
      </c>
      <c r="H137" s="18" t="str">
        <f>IF($A137="","",IFERROR(INDEX(Map!$D$2:$D$400,MATCH($A137,Map!$A$2:$A$400,0)),"⚠ UNMAPPED"))</f>
        <v>Cost of sales</v>
      </c>
      <c r="I137" s="18" t="str">
        <f>IF($A137="","",IFERROR(INDEX(Map!$E$2:$E$400,MATCH($A137,Map!$A$2:$A$400,0)),"⚠ UNMAPPED"))</f>
        <v>Direct Labor</v>
      </c>
      <c r="J137" s="18" t="str">
        <f>IF($A137="","",IFERROR(INDEX(Map!$F$2:$F$400,MATCH($A137,Map!$A$2:$A$400,0)),"⚠ UNMAPPED"))</f>
        <v>Transportation allowance</v>
      </c>
    </row>
    <row r="138" spans="1:10" x14ac:dyDescent="0.25">
      <c r="A138" s="38">
        <v>520004</v>
      </c>
      <c r="B138" t="s">
        <v>953</v>
      </c>
      <c r="C138" s="158">
        <v>0</v>
      </c>
      <c r="D138" s="158">
        <v>0</v>
      </c>
      <c r="E138" s="158">
        <v>0</v>
      </c>
      <c r="F138" s="158">
        <v>0</v>
      </c>
      <c r="G138" s="158" t="str">
        <f>IF($A138="","",IFERROR(INDEX(Map!$C$2:$C$400,MATCH($A138,Map!$A$2:$A$400,0)),"⚠ UNMAPPED"))</f>
        <v>IS</v>
      </c>
      <c r="H138" s="18" t="str">
        <f>IF($A138="","",IFERROR(INDEX(Map!$D$2:$D$400,MATCH($A138,Map!$A$2:$A$400,0)),"⚠ UNMAPPED"))</f>
        <v>Cost of sales</v>
      </c>
      <c r="I138" s="18" t="str">
        <f>IF($A138="","",IFERROR(INDEX(Map!$E$2:$E$400,MATCH($A138,Map!$A$2:$A$400,0)),"⚠ UNMAPPED"))</f>
        <v>Direct Labor</v>
      </c>
      <c r="J138" s="18" t="str">
        <f>IF($A138="","",IFERROR(INDEX(Map!$F$2:$F$400,MATCH($A138,Map!$A$2:$A$400,0)),"⚠ UNMAPPED"))</f>
        <v>Food and housing</v>
      </c>
    </row>
    <row r="139" spans="1:10" x14ac:dyDescent="0.25">
      <c r="A139" s="38">
        <v>520005</v>
      </c>
      <c r="B139" t="s">
        <v>954</v>
      </c>
      <c r="C139" s="158">
        <v>0</v>
      </c>
      <c r="D139" s="158">
        <v>459007.38</v>
      </c>
      <c r="E139" s="158">
        <v>0</v>
      </c>
      <c r="F139" s="158">
        <v>459007.38</v>
      </c>
      <c r="G139" s="158" t="str">
        <f>IF($A139="","",IFERROR(INDEX(Map!$C$2:$C$400,MATCH($A139,Map!$A$2:$A$400,0)),"⚠ UNMAPPED"))</f>
        <v>IS</v>
      </c>
      <c r="H139" s="18" t="str">
        <f>IF($A139="","",IFERROR(INDEX(Map!$D$2:$D$400,MATCH($A139,Map!$A$2:$A$400,0)),"⚠ UNMAPPED"))</f>
        <v>Cost of sales</v>
      </c>
      <c r="I139" s="18" t="str">
        <f>IF($A139="","",IFERROR(INDEX(Map!$E$2:$E$400,MATCH($A139,Map!$A$2:$A$400,0)),"⚠ UNMAPPED"))</f>
        <v>Direct Labor</v>
      </c>
      <c r="J139" s="18" t="str">
        <f>IF($A139="","",IFERROR(INDEX(Map!$F$2:$F$400,MATCH($A139,Map!$A$2:$A$400,0)),"⚠ UNMAPPED"))</f>
        <v>Leave pay</v>
      </c>
    </row>
    <row r="140" spans="1:10" x14ac:dyDescent="0.25">
      <c r="A140" s="38">
        <v>520006</v>
      </c>
      <c r="B140" t="s">
        <v>955</v>
      </c>
      <c r="C140" s="158">
        <v>0</v>
      </c>
      <c r="D140" s="158">
        <v>246704.14799999999</v>
      </c>
      <c r="E140" s="158">
        <v>0</v>
      </c>
      <c r="F140" s="158">
        <v>246704.14799999999</v>
      </c>
      <c r="G140" s="158" t="str">
        <f>IF($A140="","",IFERROR(INDEX(Map!$C$2:$C$400,MATCH($A140,Map!$A$2:$A$400,0)),"⚠ UNMAPPED"))</f>
        <v>IS</v>
      </c>
      <c r="H140" s="18" t="str">
        <f>IF($A140="","",IFERROR(INDEX(Map!$D$2:$D$400,MATCH($A140,Map!$A$2:$A$400,0)),"⚠ UNMAPPED"))</f>
        <v>Cost of sales</v>
      </c>
      <c r="I140" s="18" t="str">
        <f>IF($A140="","",IFERROR(INDEX(Map!$E$2:$E$400,MATCH($A140,Map!$A$2:$A$400,0)),"⚠ UNMAPPED"))</f>
        <v>Direct Labor</v>
      </c>
      <c r="J140" s="18" t="str">
        <f>IF($A140="","",IFERROR(INDEX(Map!$F$2:$F$400,MATCH($A140,Map!$A$2:$A$400,0)),"⚠ UNMAPPED"))</f>
        <v>Medical insurance</v>
      </c>
    </row>
    <row r="141" spans="1:10" x14ac:dyDescent="0.25">
      <c r="A141" s="38">
        <v>520010</v>
      </c>
      <c r="B141" t="s">
        <v>956</v>
      </c>
      <c r="C141" s="158">
        <v>0</v>
      </c>
      <c r="D141" s="158">
        <v>0</v>
      </c>
      <c r="E141" s="158">
        <v>0</v>
      </c>
      <c r="F141" s="158">
        <v>0</v>
      </c>
      <c r="G141" s="158" t="str">
        <f>IF($A141="","",IFERROR(INDEX(Map!$C$2:$C$400,MATCH($A141,Map!$A$2:$A$400,0)),"⚠ UNMAPPED"))</f>
        <v>IS</v>
      </c>
      <c r="H141" s="18" t="str">
        <f>IF($A141="","",IFERROR(INDEX(Map!$D$2:$D$400,MATCH($A141,Map!$A$2:$A$400,0)),"⚠ UNMAPPED"))</f>
        <v>Cost of sales</v>
      </c>
      <c r="I141" s="18" t="str">
        <f>IF($A141="","",IFERROR(INDEX(Map!$E$2:$E$400,MATCH($A141,Map!$A$2:$A$400,0)),"⚠ UNMAPPED"))</f>
        <v>Direct Labor</v>
      </c>
      <c r="J141" s="18" t="str">
        <f>IF($A141="","",IFERROR(INDEX(Map!$F$2:$F$400,MATCH($A141,Map!$A$2:$A$400,0)),"⚠ UNMAPPED"))</f>
        <v>Salaries and wages</v>
      </c>
    </row>
    <row r="142" spans="1:10" x14ac:dyDescent="0.25">
      <c r="A142" s="38">
        <v>520011</v>
      </c>
      <c r="B142" t="s">
        <v>951</v>
      </c>
      <c r="C142" s="158">
        <v>0</v>
      </c>
      <c r="D142" s="158">
        <v>0</v>
      </c>
      <c r="E142" s="158">
        <v>0</v>
      </c>
      <c r="F142" s="158">
        <v>0</v>
      </c>
      <c r="G142" s="158" t="str">
        <f>IF($A142="","",IFERROR(INDEX(Map!$C$2:$C$400,MATCH($A142,Map!$A$2:$A$400,0)),"⚠ UNMAPPED"))</f>
        <v>IS</v>
      </c>
      <c r="H142" s="18" t="str">
        <f>IF($A142="","",IFERROR(INDEX(Map!$D$2:$D$400,MATCH($A142,Map!$A$2:$A$400,0)),"⚠ UNMAPPED"))</f>
        <v>Cost of sales</v>
      </c>
      <c r="I142" s="18" t="str">
        <f>IF($A142="","",IFERROR(INDEX(Map!$E$2:$E$400,MATCH($A142,Map!$A$2:$A$400,0)),"⚠ UNMAPPED"))</f>
        <v>Direct Labor</v>
      </c>
      <c r="J142" s="18" t="str">
        <f>IF($A142="","",IFERROR(INDEX(Map!$F$2:$F$400,MATCH($A142,Map!$A$2:$A$400,0)),"⚠ UNMAPPED"))</f>
        <v>Overtime pay</v>
      </c>
    </row>
    <row r="143" spans="1:10" x14ac:dyDescent="0.25">
      <c r="A143" s="38">
        <v>520013</v>
      </c>
      <c r="B143" t="s">
        <v>957</v>
      </c>
      <c r="C143" s="158">
        <v>0</v>
      </c>
      <c r="D143" s="158">
        <v>0</v>
      </c>
      <c r="E143" s="158">
        <v>0</v>
      </c>
      <c r="F143" s="158">
        <v>0</v>
      </c>
      <c r="G143" s="158" t="str">
        <f>IF($A143="","",IFERROR(INDEX(Map!$C$2:$C$400,MATCH($A143,Map!$A$2:$A$400,0)),"⚠ UNMAPPED"))</f>
        <v>IS</v>
      </c>
      <c r="H143" s="18" t="str">
        <f>IF($A143="","",IFERROR(INDEX(Map!$D$2:$D$400,MATCH($A143,Map!$A$2:$A$400,0)),"⚠ UNMAPPED"))</f>
        <v>Cost of sales</v>
      </c>
      <c r="I143" s="18" t="str">
        <f>IF($A143="","",IFERROR(INDEX(Map!$E$2:$E$400,MATCH($A143,Map!$A$2:$A$400,0)),"⚠ UNMAPPED"))</f>
        <v>Direct Labor</v>
      </c>
      <c r="J143" s="18" t="str">
        <f>IF($A143="","",IFERROR(INDEX(Map!$F$2:$F$400,MATCH($A143,Map!$A$2:$A$400,0)),"⚠ UNMAPPED"))</f>
        <v>Food and housing</v>
      </c>
    </row>
    <row r="144" spans="1:10" x14ac:dyDescent="0.25">
      <c r="A144" s="38">
        <v>520014</v>
      </c>
      <c r="B144" t="s">
        <v>954</v>
      </c>
      <c r="C144" s="158">
        <v>0</v>
      </c>
      <c r="D144" s="158">
        <v>0</v>
      </c>
      <c r="E144" s="158">
        <v>0</v>
      </c>
      <c r="F144" s="158">
        <v>0</v>
      </c>
      <c r="G144" s="158" t="str">
        <f>IF($A144="","",IFERROR(INDEX(Map!$C$2:$C$400,MATCH($A144,Map!$A$2:$A$400,0)),"⚠ UNMAPPED"))</f>
        <v>IS</v>
      </c>
      <c r="H144" s="18" t="str">
        <f>IF($A144="","",IFERROR(INDEX(Map!$D$2:$D$400,MATCH($A144,Map!$A$2:$A$400,0)),"⚠ UNMAPPED"))</f>
        <v>Cost of sales</v>
      </c>
      <c r="I144" s="18" t="str">
        <f>IF($A144="","",IFERROR(INDEX(Map!$E$2:$E$400,MATCH($A144,Map!$A$2:$A$400,0)),"⚠ UNMAPPED"))</f>
        <v>Direct Labor</v>
      </c>
      <c r="J144" s="18" t="str">
        <f>IF($A144="","",IFERROR(INDEX(Map!$F$2:$F$400,MATCH($A144,Map!$A$2:$A$400,0)),"⚠ UNMAPPED"))</f>
        <v>Leave pay</v>
      </c>
    </row>
    <row r="145" spans="1:10" x14ac:dyDescent="0.25">
      <c r="A145" s="38">
        <v>520015</v>
      </c>
      <c r="B145" t="s">
        <v>958</v>
      </c>
      <c r="C145" s="158">
        <v>0</v>
      </c>
      <c r="D145" s="158">
        <v>1115151.915</v>
      </c>
      <c r="E145" s="158">
        <v>34478</v>
      </c>
      <c r="F145" s="158">
        <v>1080673.915</v>
      </c>
      <c r="G145" s="158" t="str">
        <f>IF($A145="","",IFERROR(INDEX(Map!$C$2:$C$400,MATCH($A145,Map!$A$2:$A$400,0)),"⚠ UNMAPPED"))</f>
        <v>IS</v>
      </c>
      <c r="H145" s="18" t="str">
        <f>IF($A145="","",IFERROR(INDEX(Map!$D$2:$D$400,MATCH($A145,Map!$A$2:$A$400,0)),"⚠ UNMAPPED"))</f>
        <v>Cost of sales</v>
      </c>
      <c r="I145" s="18" t="str">
        <f>IF($A145="","",IFERROR(INDEX(Map!$E$2:$E$400,MATCH($A145,Map!$A$2:$A$400,0)),"⚠ UNMAPPED"))</f>
        <v>Direct Labor</v>
      </c>
      <c r="J145" s="18" t="str">
        <f>IF($A145="","",IFERROR(INDEX(Map!$F$2:$F$400,MATCH($A145,Map!$A$2:$A$400,0)),"⚠ UNMAPPED"))</f>
        <v>Food and housing</v>
      </c>
    </row>
    <row r="146" spans="1:10" x14ac:dyDescent="0.25">
      <c r="A146" s="38">
        <v>520017</v>
      </c>
      <c r="B146" t="s">
        <v>959</v>
      </c>
      <c r="C146" s="158">
        <v>0</v>
      </c>
      <c r="D146" s="158">
        <v>156965.853</v>
      </c>
      <c r="E146" s="158">
        <v>2310</v>
      </c>
      <c r="F146" s="158">
        <v>154655.853</v>
      </c>
      <c r="G146" s="158" t="str">
        <f>IF($A146="","",IFERROR(INDEX(Map!$C$2:$C$400,MATCH($A146,Map!$A$2:$A$400,0)),"⚠ UNMAPPED"))</f>
        <v>IS</v>
      </c>
      <c r="H146" s="18" t="str">
        <f>IF($A146="","",IFERROR(INDEX(Map!$D$2:$D$400,MATCH($A146,Map!$A$2:$A$400,0)),"⚠ UNMAPPED"))</f>
        <v>Cost of sales</v>
      </c>
      <c r="I146" s="18" t="str">
        <f>IF($A146="","",IFERROR(INDEX(Map!$E$2:$E$400,MATCH($A146,Map!$A$2:$A$400,0)),"⚠ UNMAPPED"))</f>
        <v>Direct Labor</v>
      </c>
      <c r="J146" s="18" t="str">
        <f>IF($A146="","",IFERROR(INDEX(Map!$F$2:$F$400,MATCH($A146,Map!$A$2:$A$400,0)),"⚠ UNMAPPED"))</f>
        <v>Air tickets</v>
      </c>
    </row>
    <row r="147" spans="1:10" x14ac:dyDescent="0.25">
      <c r="A147" s="38">
        <v>520019</v>
      </c>
      <c r="B147" t="s">
        <v>960</v>
      </c>
      <c r="C147" s="158">
        <v>0</v>
      </c>
      <c r="D147" s="158">
        <v>1081482.108</v>
      </c>
      <c r="E147" s="158">
        <v>0</v>
      </c>
      <c r="F147" s="158">
        <v>1081482.108</v>
      </c>
      <c r="G147" s="158" t="str">
        <f>IF($A147="","",IFERROR(INDEX(Map!$C$2:$C$400,MATCH($A147,Map!$A$2:$A$400,0)),"⚠ UNMAPPED"))</f>
        <v>IS</v>
      </c>
      <c r="H147" s="18" t="str">
        <f>IF($A147="","",IFERROR(INDEX(Map!$D$2:$D$400,MATCH($A147,Map!$A$2:$A$400,0)),"⚠ UNMAPPED"))</f>
        <v>Cost of sales</v>
      </c>
      <c r="I147" s="18" t="str">
        <f>IF($A147="","",IFERROR(INDEX(Map!$E$2:$E$400,MATCH($A147,Map!$A$2:$A$400,0)),"⚠ UNMAPPED"))</f>
        <v>Direct Labor</v>
      </c>
      <c r="J147" s="18" t="str">
        <f>IF($A147="","",IFERROR(INDEX(Map!$F$2:$F$400,MATCH($A147,Map!$A$2:$A$400,0)),"⚠ UNMAPPED"))</f>
        <v>Food and housing</v>
      </c>
    </row>
    <row r="148" spans="1:10" x14ac:dyDescent="0.25">
      <c r="A148" s="38">
        <v>520020</v>
      </c>
      <c r="B148" t="s">
        <v>961</v>
      </c>
      <c r="C148" s="158">
        <v>0</v>
      </c>
      <c r="D148" s="158">
        <v>121978.93799999999</v>
      </c>
      <c r="E148" s="158">
        <v>0</v>
      </c>
      <c r="F148" s="158">
        <v>121978.93799999999</v>
      </c>
      <c r="G148" s="158" t="str">
        <f>IF($A148="","",IFERROR(INDEX(Map!$C$2:$C$400,MATCH($A148,Map!$A$2:$A$400,0)),"⚠ UNMAPPED"))</f>
        <v>IS</v>
      </c>
      <c r="H148" s="18" t="str">
        <f>IF($A148="","",IFERROR(INDEX(Map!$D$2:$D$400,MATCH($A148,Map!$A$2:$A$400,0)),"⚠ UNMAPPED"))</f>
        <v>Cost of sales</v>
      </c>
      <c r="I148" s="18" t="str">
        <f>IF($A148="","",IFERROR(INDEX(Map!$E$2:$E$400,MATCH($A148,Map!$A$2:$A$400,0)),"⚠ UNMAPPED"))</f>
        <v>Direct Labor</v>
      </c>
      <c r="J148" s="18" t="str">
        <f>IF($A148="","",IFERROR(INDEX(Map!$F$2:$F$400,MATCH($A148,Map!$A$2:$A$400,0)),"⚠ UNMAPPED"))</f>
        <v>Food and housing</v>
      </c>
    </row>
    <row r="149" spans="1:10" x14ac:dyDescent="0.25">
      <c r="A149" s="38">
        <v>520021</v>
      </c>
      <c r="B149" t="s">
        <v>962</v>
      </c>
      <c r="C149" s="158">
        <v>0</v>
      </c>
      <c r="D149" s="158">
        <v>0</v>
      </c>
      <c r="E149" s="158">
        <v>0</v>
      </c>
      <c r="F149" s="158">
        <v>0</v>
      </c>
      <c r="G149" s="158" t="str">
        <f>IF($A149="","",IFERROR(INDEX(Map!$C$2:$C$400,MATCH($A149,Map!$A$2:$A$400,0)),"⚠ UNMAPPED"))</f>
        <v>IS</v>
      </c>
      <c r="H149" s="18" t="str">
        <f>IF($A149="","",IFERROR(INDEX(Map!$D$2:$D$400,MATCH($A149,Map!$A$2:$A$400,0)),"⚠ UNMAPPED"))</f>
        <v>Cost of sales</v>
      </c>
      <c r="I149" s="18" t="str">
        <f>IF($A149="","",IFERROR(INDEX(Map!$E$2:$E$400,MATCH($A149,Map!$A$2:$A$400,0)),"⚠ UNMAPPED"))</f>
        <v>Direct Labor</v>
      </c>
      <c r="J149" s="18" t="str">
        <f>IF($A149="","",IFERROR(INDEX(Map!$F$2:$F$400,MATCH($A149,Map!$A$2:$A$400,0)),"⚠ UNMAPPED"))</f>
        <v>Medical insurance</v>
      </c>
    </row>
    <row r="150" spans="1:10" x14ac:dyDescent="0.25">
      <c r="A150" s="38">
        <v>520022</v>
      </c>
      <c r="B150" t="s">
        <v>963</v>
      </c>
      <c r="C150" s="158">
        <v>0</v>
      </c>
      <c r="D150" s="158">
        <v>18481.024000000001</v>
      </c>
      <c r="E150" s="158">
        <v>105</v>
      </c>
      <c r="F150" s="158">
        <v>18376.024000000001</v>
      </c>
      <c r="G150" s="158" t="str">
        <f>IF($A150="","",IFERROR(INDEX(Map!$C$2:$C$400,MATCH($A150,Map!$A$2:$A$400,0)),"⚠ UNMAPPED"))</f>
        <v>IS</v>
      </c>
      <c r="H150" s="18" t="str">
        <f>IF($A150="","",IFERROR(INDEX(Map!$D$2:$D$400,MATCH($A150,Map!$A$2:$A$400,0)),"⚠ UNMAPPED"))</f>
        <v>Cost of sales</v>
      </c>
      <c r="I150" s="18" t="str">
        <f>IF($A150="","",IFERROR(INDEX(Map!$E$2:$E$400,MATCH($A150,Map!$A$2:$A$400,0)),"⚠ UNMAPPED"))</f>
        <v>Direct Labor</v>
      </c>
      <c r="J150" s="18" t="str">
        <f>IF($A150="","",IFERROR(INDEX(Map!$F$2:$F$400,MATCH($A150,Map!$A$2:$A$400,0)),"⚠ UNMAPPED"))</f>
        <v>Iqama renewal</v>
      </c>
    </row>
    <row r="151" spans="1:10" x14ac:dyDescent="0.25">
      <c r="A151" s="38">
        <v>520023</v>
      </c>
      <c r="B151" t="s">
        <v>964</v>
      </c>
      <c r="C151" s="158">
        <v>0</v>
      </c>
      <c r="D151" s="158">
        <v>0</v>
      </c>
      <c r="E151" s="158">
        <v>0</v>
      </c>
      <c r="F151" s="158">
        <v>0</v>
      </c>
      <c r="G151" s="158" t="str">
        <f>IF($A151="","",IFERROR(INDEX(Map!$C$2:$C$400,MATCH($A151,Map!$A$2:$A$400,0)),"⚠ UNMAPPED"))</f>
        <v>IS</v>
      </c>
      <c r="H151" s="18" t="str">
        <f>IF($A151="","",IFERROR(INDEX(Map!$D$2:$D$400,MATCH($A151,Map!$A$2:$A$400,0)),"⚠ UNMAPPED"))</f>
        <v>Cost of sales</v>
      </c>
      <c r="I151" s="18" t="str">
        <f>IF($A151="","",IFERROR(INDEX(Map!$E$2:$E$400,MATCH($A151,Map!$A$2:$A$400,0)),"⚠ UNMAPPED"))</f>
        <v>Direct Labor</v>
      </c>
      <c r="J151" s="18" t="str">
        <f>IF($A151="","",IFERROR(INDEX(Map!$F$2:$F$400,MATCH($A151,Map!$A$2:$A$400,0)),"⚠ UNMAPPED"))</f>
        <v>Medical insurance</v>
      </c>
    </row>
    <row r="152" spans="1:10" x14ac:dyDescent="0.25">
      <c r="A152" s="38">
        <v>520032</v>
      </c>
      <c r="B152" t="s">
        <v>965</v>
      </c>
      <c r="C152" s="158">
        <v>0</v>
      </c>
      <c r="D152" s="158">
        <v>0</v>
      </c>
      <c r="E152" s="158">
        <v>0</v>
      </c>
      <c r="F152" s="158">
        <v>0</v>
      </c>
      <c r="G152" s="158" t="str">
        <f>IF($A152="","",IFERROR(INDEX(Map!$C$2:$C$400,MATCH($A152,Map!$A$2:$A$400,0)),"⚠ UNMAPPED"))</f>
        <v>IS</v>
      </c>
      <c r="H152" s="18" t="str">
        <f>IF($A152="","",IFERROR(INDEX(Map!$D$2:$D$400,MATCH($A152,Map!$A$2:$A$400,0)),"⚠ UNMAPPED"))</f>
        <v>Cost of sales</v>
      </c>
      <c r="I152" s="18" t="str">
        <f>IF($A152="","",IFERROR(INDEX(Map!$E$2:$E$400,MATCH($A152,Map!$A$2:$A$400,0)),"⚠ UNMAPPED"))</f>
        <v>Raw materials</v>
      </c>
      <c r="J152" s="18" t="str">
        <f>IF($A152="","",IFERROR(INDEX(Map!$F$2:$F$400,MATCH($A152,Map!$A$2:$A$400,0)),"⚠ UNMAPPED"))</f>
        <v>Consumables</v>
      </c>
    </row>
    <row r="153" spans="1:10" x14ac:dyDescent="0.25">
      <c r="A153" s="38">
        <v>520036</v>
      </c>
      <c r="B153" t="s">
        <v>966</v>
      </c>
      <c r="C153" s="158">
        <v>0</v>
      </c>
      <c r="D153" s="158">
        <v>0.25800000000000001</v>
      </c>
      <c r="E153" s="158">
        <v>0.40899999999999997</v>
      </c>
      <c r="F153" s="158">
        <v>-0.151</v>
      </c>
      <c r="G153" s="158" t="str">
        <f>IF($A153="","",IFERROR(INDEX(Map!$C$2:$C$400,MATCH($A153,Map!$A$2:$A$400,0)),"⚠ UNMAPPED"))</f>
        <v>IS</v>
      </c>
      <c r="H153" s="18" t="str">
        <f>IF($A153="","",IFERROR(INDEX(Map!$D$2:$D$400,MATCH($A153,Map!$A$2:$A$400,0)),"⚠ UNMAPPED"))</f>
        <v>Cost of sales</v>
      </c>
      <c r="I153" s="18" t="str">
        <f>IF($A153="","",IFERROR(INDEX(Map!$E$2:$E$400,MATCH($A153,Map!$A$2:$A$400,0)),"⚠ UNMAPPED"))</f>
        <v>Raw materials</v>
      </c>
      <c r="J153" s="18" t="str">
        <f>IF($A153="","",IFERROR(INDEX(Map!$F$2:$F$400,MATCH($A153,Map!$A$2:$A$400,0)),"⚠ UNMAPPED"))</f>
        <v>Raw materials</v>
      </c>
    </row>
    <row r="154" spans="1:10" x14ac:dyDescent="0.25">
      <c r="A154" s="38">
        <v>520037</v>
      </c>
      <c r="B154" t="s">
        <v>967</v>
      </c>
      <c r="C154" s="158">
        <v>0</v>
      </c>
      <c r="D154" s="158">
        <v>3255833.3450000002</v>
      </c>
      <c r="E154" s="158">
        <v>2396114.122</v>
      </c>
      <c r="F154" s="158">
        <v>859719.223</v>
      </c>
      <c r="G154" s="158" t="str">
        <f>IF($A154="","",IFERROR(INDEX(Map!$C$2:$C$400,MATCH($A154,Map!$A$2:$A$400,0)),"⚠ UNMAPPED"))</f>
        <v>IS</v>
      </c>
      <c r="H154" s="18" t="str">
        <f>IF($A154="","",IFERROR(INDEX(Map!$D$2:$D$400,MATCH($A154,Map!$A$2:$A$400,0)),"⚠ UNMAPPED"))</f>
        <v>Cost of sales</v>
      </c>
      <c r="I154" s="18" t="str">
        <f>IF($A154="","",IFERROR(INDEX(Map!$E$2:$E$400,MATCH($A154,Map!$A$2:$A$400,0)),"⚠ UNMAPPED"))</f>
        <v>Raw materials</v>
      </c>
      <c r="J154" s="18" t="str">
        <f>IF($A154="","",IFERROR(INDEX(Map!$F$2:$F$400,MATCH($A154,Map!$A$2:$A$400,0)),"⚠ UNMAPPED"))</f>
        <v>Raw materials</v>
      </c>
    </row>
    <row r="155" spans="1:10" x14ac:dyDescent="0.25">
      <c r="A155" s="38">
        <v>520039</v>
      </c>
      <c r="B155" t="s">
        <v>968</v>
      </c>
      <c r="C155" s="158">
        <v>0</v>
      </c>
      <c r="D155" s="158">
        <v>0</v>
      </c>
      <c r="E155" s="158">
        <v>102159.38800000001</v>
      </c>
      <c r="F155" s="158">
        <v>-102159.38800000001</v>
      </c>
      <c r="G155" s="158" t="str">
        <f>IF($A155="","",IFERROR(INDEX(Map!$C$2:$C$400,MATCH($A155,Map!$A$2:$A$400,0)),"⚠ UNMAPPED"))</f>
        <v>IS</v>
      </c>
      <c r="H155" s="18" t="str">
        <f>IF($A155="","",IFERROR(INDEX(Map!$D$2:$D$400,MATCH($A155,Map!$A$2:$A$400,0)),"⚠ UNMAPPED"))</f>
        <v>Cost of sales</v>
      </c>
      <c r="I155" s="18" t="str">
        <f>IF($A155="","",IFERROR(INDEX(Map!$E$2:$E$400,MATCH($A155,Map!$A$2:$A$400,0)),"⚠ UNMAPPED"))</f>
        <v>Direct Labor</v>
      </c>
      <c r="J155" s="18" t="str">
        <f>IF($A155="","",IFERROR(INDEX(Map!$F$2:$F$400,MATCH($A155,Map!$A$2:$A$400,0)),"⚠ UNMAPPED"))</f>
        <v>Salaries and wages</v>
      </c>
    </row>
    <row r="156" spans="1:10" x14ac:dyDescent="0.25">
      <c r="A156" s="38">
        <v>520040</v>
      </c>
      <c r="B156" t="s">
        <v>969</v>
      </c>
      <c r="C156" s="158">
        <v>0</v>
      </c>
      <c r="D156" s="158">
        <v>0</v>
      </c>
      <c r="E156" s="158">
        <v>0</v>
      </c>
      <c r="F156" s="158">
        <v>0</v>
      </c>
      <c r="G156" s="158" t="str">
        <f>IF($A156="","",IFERROR(INDEX(Map!$C$2:$C$400,MATCH($A156,Map!$A$2:$A$400,0)),"⚠ UNMAPPED"))</f>
        <v>IS</v>
      </c>
      <c r="H156" s="18" t="str">
        <f>IF($A156="","",IFERROR(INDEX(Map!$D$2:$D$400,MATCH($A156,Map!$A$2:$A$400,0)),"⚠ UNMAPPED"))</f>
        <v>Cost of sales</v>
      </c>
      <c r="I156" s="18" t="str">
        <f>IF($A156="","",IFERROR(INDEX(Map!$E$2:$E$400,MATCH($A156,Map!$A$2:$A$400,0)),"⚠ UNMAPPED"))</f>
        <v>Raw materials</v>
      </c>
      <c r="J156" s="18" t="str">
        <f>IF($A156="","",IFERROR(INDEX(Map!$F$2:$F$400,MATCH($A156,Map!$A$2:$A$400,0)),"⚠ UNMAPPED"))</f>
        <v>Other expenses</v>
      </c>
    </row>
    <row r="157" spans="1:10" x14ac:dyDescent="0.25">
      <c r="A157" s="38">
        <v>520041</v>
      </c>
      <c r="B157" t="s">
        <v>970</v>
      </c>
      <c r="C157" s="158">
        <v>0</v>
      </c>
      <c r="D157" s="158">
        <v>0</v>
      </c>
      <c r="E157" s="158">
        <v>11493375.215</v>
      </c>
      <c r="F157" s="158">
        <v>-11493375.215</v>
      </c>
      <c r="G157" s="158" t="str">
        <f>IF($A157="","",IFERROR(INDEX(Map!$C$2:$C$400,MATCH($A157,Map!$A$2:$A$400,0)),"⚠ UNMAPPED"))</f>
        <v>IS</v>
      </c>
      <c r="H157" s="18" t="str">
        <f>IF($A157="","",IFERROR(INDEX(Map!$D$2:$D$400,MATCH($A157,Map!$A$2:$A$400,0)),"⚠ UNMAPPED"))</f>
        <v>Cost of sales</v>
      </c>
      <c r="I157" s="18" t="str">
        <f>IF($A157="","",IFERROR(INDEX(Map!$E$2:$E$400,MATCH($A157,Map!$A$2:$A$400,0)),"⚠ UNMAPPED"))</f>
        <v>Raw materials</v>
      </c>
      <c r="J157" s="18" t="str">
        <f>IF($A157="","",IFERROR(INDEX(Map!$F$2:$F$400,MATCH($A157,Map!$A$2:$A$400,0)),"⚠ UNMAPPED"))</f>
        <v>Other expenses</v>
      </c>
    </row>
    <row r="158" spans="1:10" x14ac:dyDescent="0.25">
      <c r="A158" s="38">
        <v>520042</v>
      </c>
      <c r="B158" t="s">
        <v>971</v>
      </c>
      <c r="C158" s="158">
        <v>0</v>
      </c>
      <c r="D158" s="158">
        <v>16157413.228</v>
      </c>
      <c r="E158" s="158">
        <v>20297760.824999999</v>
      </c>
      <c r="F158" s="158">
        <v>-4140347.5970000001</v>
      </c>
      <c r="G158" s="158" t="str">
        <f>IF($A158="","",IFERROR(INDEX(Map!$C$2:$C$400,MATCH($A158,Map!$A$2:$A$400,0)),"⚠ UNMAPPED"))</f>
        <v>IS</v>
      </c>
      <c r="H158" s="18" t="str">
        <f>IF($A158="","",IFERROR(INDEX(Map!$D$2:$D$400,MATCH($A158,Map!$A$2:$A$400,0)),"⚠ UNMAPPED"))</f>
        <v>Cost of sales</v>
      </c>
      <c r="I158" s="18" t="str">
        <f>IF($A158="","",IFERROR(INDEX(Map!$E$2:$E$400,MATCH($A158,Map!$A$2:$A$400,0)),"⚠ UNMAPPED"))</f>
        <v>Raw materials</v>
      </c>
      <c r="J158" s="18" t="str">
        <f>IF($A158="","",IFERROR(INDEX(Map!$F$2:$F$400,MATCH($A158,Map!$A$2:$A$400,0)),"⚠ UNMAPPED"))</f>
        <v>Inventory Adjustment</v>
      </c>
    </row>
    <row r="159" spans="1:10" x14ac:dyDescent="0.25">
      <c r="A159" s="38">
        <v>520043</v>
      </c>
      <c r="B159" t="s">
        <v>972</v>
      </c>
      <c r="C159" s="158">
        <v>0</v>
      </c>
      <c r="D159" s="158">
        <v>34300</v>
      </c>
      <c r="E159" s="158">
        <v>1734</v>
      </c>
      <c r="F159" s="158">
        <v>32566</v>
      </c>
      <c r="G159" s="158" t="str">
        <f>IF($A159="","",IFERROR(INDEX(Map!$C$2:$C$400,MATCH($A159,Map!$A$2:$A$400,0)),"⚠ UNMAPPED"))</f>
        <v>IS</v>
      </c>
      <c r="H159" s="18" t="str">
        <f>IF($A159="","",IFERROR(INDEX(Map!$D$2:$D$400,MATCH($A159,Map!$A$2:$A$400,0)),"⚠ UNMAPPED"))</f>
        <v>Cost of sales</v>
      </c>
      <c r="I159" s="18" t="str">
        <f>IF($A159="","",IFERROR(INDEX(Map!$E$2:$E$400,MATCH($A159,Map!$A$2:$A$400,0)),"⚠ UNMAPPED"))</f>
        <v>Direct Labor</v>
      </c>
      <c r="J159" s="18" t="str">
        <f>IF($A159="","",IFERROR(INDEX(Map!$F$2:$F$400,MATCH($A159,Map!$A$2:$A$400,0)),"⚠ UNMAPPED"))</f>
        <v>Salaries and wages</v>
      </c>
    </row>
    <row r="160" spans="1:10" x14ac:dyDescent="0.25">
      <c r="A160" s="38">
        <v>520044</v>
      </c>
      <c r="B160" t="s">
        <v>973</v>
      </c>
      <c r="C160" s="158">
        <v>0</v>
      </c>
      <c r="D160" s="158">
        <v>5285475.7149999999</v>
      </c>
      <c r="E160" s="158">
        <v>154972.68299999999</v>
      </c>
      <c r="F160" s="158">
        <v>5130503.0319999997</v>
      </c>
      <c r="G160" s="158" t="str">
        <f>IF($A160="","",IFERROR(INDEX(Map!$C$2:$C$400,MATCH($A160,Map!$A$2:$A$400,0)),"⚠ UNMAPPED"))</f>
        <v>IS</v>
      </c>
      <c r="H160" s="18" t="str">
        <f>IF($A160="","",IFERROR(INDEX(Map!$D$2:$D$400,MATCH($A160,Map!$A$2:$A$400,0)),"⚠ UNMAPPED"))</f>
        <v>Cost of sales</v>
      </c>
      <c r="I160" s="18" t="str">
        <f>IF($A160="","",IFERROR(INDEX(Map!$E$2:$E$400,MATCH($A160,Map!$A$2:$A$400,0)),"⚠ UNMAPPED"))</f>
        <v>Direct Labor</v>
      </c>
      <c r="J160" s="18" t="str">
        <f>IF($A160="","",IFERROR(INDEX(Map!$F$2:$F$400,MATCH($A160,Map!$A$2:$A$400,0)),"⚠ UNMAPPED"))</f>
        <v>Salaries and wages</v>
      </c>
    </row>
    <row r="161" spans="1:10" x14ac:dyDescent="0.25">
      <c r="A161" s="38">
        <v>520045</v>
      </c>
      <c r="B161" t="s">
        <v>974</v>
      </c>
      <c r="C161" s="158">
        <v>0</v>
      </c>
      <c r="D161" s="158">
        <v>655217.63</v>
      </c>
      <c r="E161" s="158">
        <v>262573.43</v>
      </c>
      <c r="F161" s="158">
        <v>392644.2</v>
      </c>
      <c r="G161" s="158" t="str">
        <f>IF($A161="","",IFERROR(INDEX(Map!$C$2:$C$400,MATCH($A161,Map!$A$2:$A$400,0)),"⚠ UNMAPPED"))</f>
        <v>IS</v>
      </c>
      <c r="H161" s="18" t="str">
        <f>IF($A161="","",IFERROR(INDEX(Map!$D$2:$D$400,MATCH($A161,Map!$A$2:$A$400,0)),"⚠ UNMAPPED"))</f>
        <v>Cost of sales</v>
      </c>
      <c r="I161" s="18" t="str">
        <f>IF($A161="","",IFERROR(INDEX(Map!$E$2:$E$400,MATCH($A161,Map!$A$2:$A$400,0)),"⚠ UNMAPPED"))</f>
        <v>Direct Labor</v>
      </c>
      <c r="J161" s="18" t="str">
        <f>IF($A161="","",IFERROR(INDEX(Map!$F$2:$F$400,MATCH($A161,Map!$A$2:$A$400,0)),"⚠ UNMAPPED"))</f>
        <v>Direct Labor</v>
      </c>
    </row>
    <row r="162" spans="1:10" x14ac:dyDescent="0.25">
      <c r="A162" s="38">
        <v>520046</v>
      </c>
      <c r="B162" t="s">
        <v>975</v>
      </c>
      <c r="C162" s="158">
        <v>0</v>
      </c>
      <c r="D162" s="158">
        <v>74940.773000000001</v>
      </c>
      <c r="E162" s="158">
        <v>0</v>
      </c>
      <c r="F162" s="158">
        <v>74940.773000000001</v>
      </c>
      <c r="G162" s="158" t="str">
        <f>IF($A162="","",IFERROR(INDEX(Map!$C$2:$C$400,MATCH($A162,Map!$A$2:$A$400,0)),"⚠ UNMAPPED"))</f>
        <v>IS</v>
      </c>
      <c r="H162" s="18" t="str">
        <f>IF($A162="","",IFERROR(INDEX(Map!$D$2:$D$400,MATCH($A162,Map!$A$2:$A$400,0)),"⚠ UNMAPPED"))</f>
        <v>Cost of sales</v>
      </c>
      <c r="I162" s="18" t="str">
        <f>IF($A162="","",IFERROR(INDEX(Map!$E$2:$E$400,MATCH($A162,Map!$A$2:$A$400,0)),"⚠ UNMAPPED"))</f>
        <v>Direct Labor</v>
      </c>
      <c r="J162" s="18" t="str">
        <f>IF($A162="","",IFERROR(INDEX(Map!$F$2:$F$400,MATCH($A162,Map!$A$2:$A$400,0)),"⚠ UNMAPPED"))</f>
        <v>Direct Labor</v>
      </c>
    </row>
    <row r="163" spans="1:10" x14ac:dyDescent="0.25">
      <c r="A163" s="38">
        <v>520047</v>
      </c>
      <c r="B163" t="s">
        <v>976</v>
      </c>
      <c r="C163" s="158">
        <v>0</v>
      </c>
      <c r="D163" s="158">
        <v>367010.22200000001</v>
      </c>
      <c r="E163" s="158">
        <v>40302.188999999998</v>
      </c>
      <c r="F163" s="158">
        <v>326708.033</v>
      </c>
      <c r="G163" s="158" t="str">
        <f>IF($A163="","",IFERROR(INDEX(Map!$C$2:$C$400,MATCH($A163,Map!$A$2:$A$400,0)),"⚠ UNMAPPED"))</f>
        <v>IS</v>
      </c>
      <c r="H163" s="18" t="str">
        <f>IF($A163="","",IFERROR(INDEX(Map!$D$2:$D$400,MATCH($A163,Map!$A$2:$A$400,0)),"⚠ UNMAPPED"))</f>
        <v>Cost of sales</v>
      </c>
      <c r="I163" s="18" t="str">
        <f>IF($A163="","",IFERROR(INDEX(Map!$E$2:$E$400,MATCH($A163,Map!$A$2:$A$400,0)),"⚠ UNMAPPED"))</f>
        <v>Direct Labor</v>
      </c>
      <c r="J163" s="18" t="str">
        <f>IF($A163="","",IFERROR(INDEX(Map!$F$2:$F$400,MATCH($A163,Map!$A$2:$A$400,0)),"⚠ UNMAPPED"))</f>
        <v>Direct Labor</v>
      </c>
    </row>
    <row r="164" spans="1:10" x14ac:dyDescent="0.25">
      <c r="A164" s="38">
        <v>520049</v>
      </c>
      <c r="B164" t="s">
        <v>977</v>
      </c>
      <c r="C164" s="158">
        <v>0</v>
      </c>
      <c r="D164" s="158">
        <v>598.79999999999995</v>
      </c>
      <c r="E164" s="158">
        <v>0</v>
      </c>
      <c r="F164" s="158">
        <v>598.79999999999995</v>
      </c>
      <c r="G164" s="158" t="str">
        <f>IF($A164="","",IFERROR(INDEX(Map!$C$2:$C$400,MATCH($A164,Map!$A$2:$A$400,0)),"⚠ UNMAPPED"))</f>
        <v>IS</v>
      </c>
      <c r="H164" s="18" t="str">
        <f>IF($A164="","",IFERROR(INDEX(Map!$D$2:$D$400,MATCH($A164,Map!$A$2:$A$400,0)),"⚠ UNMAPPED"))</f>
        <v>Cost of sales</v>
      </c>
      <c r="I164" s="18" t="str">
        <f>IF($A164="","",IFERROR(INDEX(Map!$E$2:$E$400,MATCH($A164,Map!$A$2:$A$400,0)),"⚠ UNMAPPED"))</f>
        <v>Direct Labor</v>
      </c>
      <c r="J164" s="18" t="str">
        <f>IF($A164="","",IFERROR(INDEX(Map!$F$2:$F$400,MATCH($A164,Map!$A$2:$A$400,0)),"⚠ UNMAPPED"))</f>
        <v>Ticket and visa allowance</v>
      </c>
    </row>
    <row r="165" spans="1:10" x14ac:dyDescent="0.25">
      <c r="A165" s="38">
        <v>520050</v>
      </c>
      <c r="B165" t="s">
        <v>978</v>
      </c>
      <c r="C165" s="158">
        <v>0</v>
      </c>
      <c r="D165" s="158">
        <v>3956.6489999999999</v>
      </c>
      <c r="E165" s="158">
        <v>0</v>
      </c>
      <c r="F165" s="158">
        <v>3956.6489999999999</v>
      </c>
      <c r="G165" s="158" t="str">
        <f>IF($A165="","",IFERROR(INDEX(Map!$C$2:$C$400,MATCH($A165,Map!$A$2:$A$400,0)),"⚠ UNMAPPED"))</f>
        <v>IS</v>
      </c>
      <c r="H165" s="18" t="str">
        <f>IF($A165="","",IFERROR(INDEX(Map!$D$2:$D$400,MATCH($A165,Map!$A$2:$A$400,0)),"⚠ UNMAPPED"))</f>
        <v>Cost of sales</v>
      </c>
      <c r="I165" s="18" t="str">
        <f>IF($A165="","",IFERROR(INDEX(Map!$E$2:$E$400,MATCH($A165,Map!$A$2:$A$400,0)),"⚠ UNMAPPED"))</f>
        <v>Overhead - Labor Cost</v>
      </c>
      <c r="J165" s="18" t="str">
        <f>IF($A165="","",IFERROR(INDEX(Map!$F$2:$F$400,MATCH($A165,Map!$A$2:$A$400,0)),"⚠ UNMAPPED"))</f>
        <v>Recruitment Expense</v>
      </c>
    </row>
    <row r="166" spans="1:10" x14ac:dyDescent="0.25">
      <c r="A166" s="38">
        <v>600001</v>
      </c>
      <c r="B166" t="s">
        <v>979</v>
      </c>
      <c r="C166" s="158">
        <v>0</v>
      </c>
      <c r="D166" s="158">
        <v>2275348.92</v>
      </c>
      <c r="E166" s="158">
        <v>210272.4</v>
      </c>
      <c r="F166" s="158">
        <v>2065076.52</v>
      </c>
      <c r="G166" s="158" t="str">
        <f>IF($A166="","",IFERROR(INDEX(Map!$C$2:$C$400,MATCH($A166,Map!$A$2:$A$400,0)),"⚠ UNMAPPED"))</f>
        <v>IS</v>
      </c>
      <c r="H166" s="18" t="str">
        <f>IF($A166="","",IFERROR(INDEX(Map!$D$2:$D$400,MATCH($A166,Map!$A$2:$A$400,0)),"⚠ UNMAPPED"))</f>
        <v>Cost of sales</v>
      </c>
      <c r="I166" s="18" t="str">
        <f>IF($A166="","",IFERROR(INDEX(Map!$E$2:$E$400,MATCH($A166,Map!$A$2:$A$400,0)),"⚠ UNMAPPED"))</f>
        <v>Overhead - Labor Cost</v>
      </c>
      <c r="J166" s="18" t="str">
        <f>IF($A166="","",IFERROR(INDEX(Map!$F$2:$F$400,MATCH($A166,Map!$A$2:$A$400,0)),"⚠ UNMAPPED"))</f>
        <v>Indirect Salaries — factory supervisory / indirect floor labour (COGS)</v>
      </c>
    </row>
    <row r="167" spans="1:10" x14ac:dyDescent="0.25">
      <c r="A167" s="38">
        <v>600002</v>
      </c>
      <c r="B167" t="s">
        <v>980</v>
      </c>
      <c r="C167" s="158">
        <v>0</v>
      </c>
      <c r="D167" s="158">
        <v>459099.72</v>
      </c>
      <c r="E167" s="158">
        <v>86108.07</v>
      </c>
      <c r="F167" s="158">
        <v>372991.65</v>
      </c>
      <c r="G167" s="158" t="str">
        <f>IF($A167="","",IFERROR(INDEX(Map!$C$2:$C$400,MATCH($A167,Map!$A$2:$A$400,0)),"⚠ UNMAPPED"))</f>
        <v>IS</v>
      </c>
      <c r="H167" s="18" t="str">
        <f>IF($A167="","",IFERROR(INDEX(Map!$D$2:$D$400,MATCH($A167,Map!$A$2:$A$400,0)),"⚠ UNMAPPED"))</f>
        <v>Cost of sales</v>
      </c>
      <c r="I167" s="18" t="str">
        <f>IF($A167="","",IFERROR(INDEX(Map!$E$2:$E$400,MATCH($A167,Map!$A$2:$A$400,0)),"⚠ UNMAPPED"))</f>
        <v>Overhead - Labor Cost</v>
      </c>
      <c r="J167" s="18" t="str">
        <f>IF($A167="","",IFERROR(INDEX(Map!$F$2:$F$400,MATCH($A167,Map!$A$2:$A$400,0)),"⚠ UNMAPPED"))</f>
        <v>Overtime pay</v>
      </c>
    </row>
    <row r="168" spans="1:10" x14ac:dyDescent="0.25">
      <c r="A168" s="38">
        <v>600003</v>
      </c>
      <c r="B168" t="s">
        <v>981</v>
      </c>
      <c r="C168" s="158">
        <v>0</v>
      </c>
      <c r="D168" s="158">
        <v>189254.114</v>
      </c>
      <c r="E168" s="158">
        <v>0</v>
      </c>
      <c r="F168" s="158">
        <v>189254.114</v>
      </c>
      <c r="G168" s="158" t="str">
        <f>IF($A168="","",IFERROR(INDEX(Map!$C$2:$C$400,MATCH($A168,Map!$A$2:$A$400,0)),"⚠ UNMAPPED"))</f>
        <v>IS</v>
      </c>
      <c r="H168" s="18" t="str">
        <f>IF($A168="","",IFERROR(INDEX(Map!$D$2:$D$400,MATCH($A168,Map!$A$2:$A$400,0)),"⚠ UNMAPPED"))</f>
        <v>Cost of sales</v>
      </c>
      <c r="I168" s="18" t="str">
        <f>IF($A168="","",IFERROR(INDEX(Map!$E$2:$E$400,MATCH($A168,Map!$A$2:$A$400,0)),"⚠ UNMAPPED"))</f>
        <v>Overhead - Labor Cost</v>
      </c>
      <c r="J168" s="18" t="str">
        <f>IF($A168="","",IFERROR(INDEX(Map!$F$2:$F$400,MATCH($A168,Map!$A$2:$A$400,0)),"⚠ UNMAPPED"))</f>
        <v xml:space="preserve">Food &amp; Housing </v>
      </c>
    </row>
    <row r="169" spans="1:10" x14ac:dyDescent="0.25">
      <c r="A169" s="38">
        <v>600004</v>
      </c>
      <c r="B169" t="s">
        <v>982</v>
      </c>
      <c r="C169" s="158">
        <v>0</v>
      </c>
      <c r="D169" s="158">
        <v>138961.231</v>
      </c>
      <c r="E169" s="158">
        <v>5052</v>
      </c>
      <c r="F169" s="158">
        <v>133909.231</v>
      </c>
      <c r="G169" s="158" t="str">
        <f>IF($A169="","",IFERROR(INDEX(Map!$C$2:$C$400,MATCH($A169,Map!$A$2:$A$400,0)),"⚠ UNMAPPED"))</f>
        <v>IS</v>
      </c>
      <c r="H169" s="18" t="str">
        <f>IF($A169="","",IFERROR(INDEX(Map!$D$2:$D$400,MATCH($A169,Map!$A$2:$A$400,0)),"⚠ UNMAPPED"))</f>
        <v>Cost of sales</v>
      </c>
      <c r="I169" s="18" t="str">
        <f>IF($A169="","",IFERROR(INDEX(Map!$E$2:$E$400,MATCH($A169,Map!$A$2:$A$400,0)),"⚠ UNMAPPED"))</f>
        <v>Overhead - Labor Cost</v>
      </c>
      <c r="J169" s="18" t="str">
        <f>IF($A169="","",IFERROR(INDEX(Map!$F$2:$F$400,MATCH($A169,Map!$A$2:$A$400,0)),"⚠ UNMAPPED"))</f>
        <v>Medical insurance</v>
      </c>
    </row>
    <row r="170" spans="1:10" x14ac:dyDescent="0.25">
      <c r="A170" s="38">
        <v>600005</v>
      </c>
      <c r="B170" t="s">
        <v>983</v>
      </c>
      <c r="C170" s="158">
        <v>0</v>
      </c>
      <c r="D170" s="158">
        <v>242229.03899999999</v>
      </c>
      <c r="E170" s="158">
        <v>4208.03</v>
      </c>
      <c r="F170" s="158">
        <v>238021.00899999999</v>
      </c>
      <c r="G170" s="158" t="str">
        <f>IF($A170="","",IFERROR(INDEX(Map!$C$2:$C$400,MATCH($A170,Map!$A$2:$A$400,0)),"⚠ UNMAPPED"))</f>
        <v>IS</v>
      </c>
      <c r="H170" s="18" t="str">
        <f>IF($A170="","",IFERROR(INDEX(Map!$D$2:$D$400,MATCH($A170,Map!$A$2:$A$400,0)),"⚠ UNMAPPED"))</f>
        <v>General and Admin</v>
      </c>
      <c r="I170" s="18" t="str">
        <f>IF($A170="","",IFERROR(INDEX(Map!$E$2:$E$400,MATCH($A170,Map!$A$2:$A$400,0)),"⚠ UNMAPPED"))</f>
        <v>Govt license and fees (including modon)</v>
      </c>
      <c r="J170" s="18" t="str">
        <f>IF($A170="","",IFERROR(INDEX(Map!$F$2:$F$400,MATCH($A170,Map!$A$2:$A$400,0)),"⚠ UNMAPPED"))</f>
        <v>Government fees</v>
      </c>
    </row>
    <row r="171" spans="1:10" x14ac:dyDescent="0.25">
      <c r="A171" s="38">
        <v>600006</v>
      </c>
      <c r="B171" t="s">
        <v>984</v>
      </c>
      <c r="C171" s="158">
        <v>0</v>
      </c>
      <c r="D171" s="158">
        <v>493773.19900000002</v>
      </c>
      <c r="E171" s="158">
        <v>17484</v>
      </c>
      <c r="F171" s="158">
        <v>476289.19900000002</v>
      </c>
      <c r="G171" s="158" t="str">
        <f>IF($A171="","",IFERROR(INDEX(Map!$C$2:$C$400,MATCH($A171,Map!$A$2:$A$400,0)),"⚠ UNMAPPED"))</f>
        <v>IS</v>
      </c>
      <c r="H171" s="18" t="str">
        <f>IF($A171="","",IFERROR(INDEX(Map!$D$2:$D$400,MATCH($A171,Map!$A$2:$A$400,0)),"⚠ UNMAPPED"))</f>
        <v>Cost of sales</v>
      </c>
      <c r="I171" s="18" t="str">
        <f>IF($A171="","",IFERROR(INDEX(Map!$E$2:$E$400,MATCH($A171,Map!$A$2:$A$400,0)),"⚠ UNMAPPED"))</f>
        <v>Overhead - Labor Cost</v>
      </c>
      <c r="J171" s="18" t="str">
        <f>IF($A171="","",IFERROR(INDEX(Map!$F$2:$F$400,MATCH($A171,Map!$A$2:$A$400,0)),"⚠ UNMAPPED"))</f>
        <v xml:space="preserve">Food &amp; Housing </v>
      </c>
    </row>
    <row r="172" spans="1:10" x14ac:dyDescent="0.25">
      <c r="A172" s="38">
        <v>600007</v>
      </c>
      <c r="B172" t="s">
        <v>985</v>
      </c>
      <c r="C172" s="158">
        <v>0</v>
      </c>
      <c r="D172" s="158">
        <v>159869</v>
      </c>
      <c r="E172" s="158">
        <v>7540</v>
      </c>
      <c r="F172" s="158">
        <v>152329</v>
      </c>
      <c r="G172" s="158" t="str">
        <f>IF($A172="","",IFERROR(INDEX(Map!$C$2:$C$400,MATCH($A172,Map!$A$2:$A$400,0)),"⚠ UNMAPPED"))</f>
        <v>IS</v>
      </c>
      <c r="H172" s="18" t="str">
        <f>IF($A172="","",IFERROR(INDEX(Map!$D$2:$D$400,MATCH($A172,Map!$A$2:$A$400,0)),"⚠ UNMAPPED"))</f>
        <v>Cost of sales</v>
      </c>
      <c r="I172" s="18" t="str">
        <f>IF($A172="","",IFERROR(INDEX(Map!$E$2:$E$400,MATCH($A172,Map!$A$2:$A$400,0)),"⚠ UNMAPPED"))</f>
        <v>Overhead - Labor Cost</v>
      </c>
      <c r="J172" s="18" t="str">
        <f>IF($A172="","",IFERROR(INDEX(Map!$F$2:$F$400,MATCH($A172,Map!$A$2:$A$400,0)),"⚠ UNMAPPED"))</f>
        <v>Transportation allowance</v>
      </c>
    </row>
    <row r="173" spans="1:10" x14ac:dyDescent="0.25">
      <c r="A173" s="38">
        <v>600008</v>
      </c>
      <c r="B173" t="s">
        <v>986</v>
      </c>
      <c r="C173" s="158">
        <v>0</v>
      </c>
      <c r="D173" s="158">
        <v>121791.353</v>
      </c>
      <c r="E173" s="158">
        <v>3890.0039999999999</v>
      </c>
      <c r="F173" s="158">
        <v>117901.349</v>
      </c>
      <c r="G173" s="158" t="str">
        <f>IF($A173="","",IFERROR(INDEX(Map!$C$2:$C$400,MATCH($A173,Map!$A$2:$A$400,0)),"⚠ UNMAPPED"))</f>
        <v>IS</v>
      </c>
      <c r="H173" s="18" t="str">
        <f>IF($A173="","",IFERROR(INDEX(Map!$D$2:$D$400,MATCH($A173,Map!$A$2:$A$400,0)),"⚠ UNMAPPED"))</f>
        <v>Cost of sales</v>
      </c>
      <c r="I173" s="18" t="str">
        <f>IF($A173="","",IFERROR(INDEX(Map!$E$2:$E$400,MATCH($A173,Map!$A$2:$A$400,0)),"⚠ UNMAPPED"))</f>
        <v>Overhead - Labor Cost</v>
      </c>
      <c r="J173" s="18" t="str">
        <f>IF($A173="","",IFERROR(INDEX(Map!$F$2:$F$400,MATCH($A173,Map!$A$2:$A$400,0)),"⚠ UNMAPPED"))</f>
        <v>Air tickets</v>
      </c>
    </row>
    <row r="174" spans="1:10" x14ac:dyDescent="0.25">
      <c r="A174" s="38">
        <v>600009</v>
      </c>
      <c r="B174" t="s">
        <v>987</v>
      </c>
      <c r="C174" s="158">
        <v>0</v>
      </c>
      <c r="D174" s="158">
        <v>239308.34</v>
      </c>
      <c r="E174" s="158">
        <v>0</v>
      </c>
      <c r="F174" s="158">
        <v>239308.34</v>
      </c>
      <c r="G174" s="158" t="str">
        <f>IF($A174="","",IFERROR(INDEX(Map!$C$2:$C$400,MATCH($A174,Map!$A$2:$A$400,0)),"⚠ UNMAPPED"))</f>
        <v>IS</v>
      </c>
      <c r="H174" s="18" t="str">
        <f>IF($A174="","",IFERROR(INDEX(Map!$D$2:$D$400,MATCH($A174,Map!$A$2:$A$400,0)),"⚠ UNMAPPED"))</f>
        <v>Cost of sales</v>
      </c>
      <c r="I174" s="18" t="str">
        <f>IF($A174="","",IFERROR(INDEX(Map!$E$2:$E$400,MATCH($A174,Map!$A$2:$A$400,0)),"⚠ UNMAPPED"))</f>
        <v>Overhead - Labor Cost</v>
      </c>
      <c r="J174" s="18" t="str">
        <f>IF($A174="","",IFERROR(INDEX(Map!$F$2:$F$400,MATCH($A174,Map!$A$2:$A$400,0)),"⚠ UNMAPPED"))</f>
        <v>Vacation pay</v>
      </c>
    </row>
    <row r="175" spans="1:10" x14ac:dyDescent="0.25">
      <c r="A175" s="38">
        <v>600010</v>
      </c>
      <c r="B175" t="s">
        <v>988</v>
      </c>
      <c r="C175" s="158">
        <v>0</v>
      </c>
      <c r="D175" s="158">
        <v>170341.06</v>
      </c>
      <c r="E175" s="158">
        <v>19878.063999999998</v>
      </c>
      <c r="F175" s="158">
        <v>150462.99600000001</v>
      </c>
      <c r="G175" s="158" t="str">
        <f>IF($A175="","",IFERROR(INDEX(Map!$C$2:$C$400,MATCH($A175,Map!$A$2:$A$400,0)),"⚠ UNMAPPED"))</f>
        <v>IS</v>
      </c>
      <c r="H175" s="18" t="str">
        <f>IF($A175="","",IFERROR(INDEX(Map!$D$2:$D$400,MATCH($A175,Map!$A$2:$A$400,0)),"⚠ UNMAPPED"))</f>
        <v>Cost of sales</v>
      </c>
      <c r="I175" s="18" t="str">
        <f>IF($A175="","",IFERROR(INDEX(Map!$E$2:$E$400,MATCH($A175,Map!$A$2:$A$400,0)),"⚠ UNMAPPED"))</f>
        <v>Overhead - Labor Cost</v>
      </c>
      <c r="J175" s="18" t="str">
        <f>IF($A175="","",IFERROR(INDEX(Map!$F$2:$F$400,MATCH($A175,Map!$A$2:$A$400,0)),"⚠ UNMAPPED"))</f>
        <v>EOS expenses</v>
      </c>
    </row>
    <row r="176" spans="1:10" x14ac:dyDescent="0.25">
      <c r="A176" s="38">
        <v>600011</v>
      </c>
      <c r="B176" t="s">
        <v>989</v>
      </c>
      <c r="C176" s="158">
        <v>0</v>
      </c>
      <c r="D176" s="158">
        <v>6003.0110000000004</v>
      </c>
      <c r="E176" s="158">
        <v>6959.0050000000001</v>
      </c>
      <c r="F176" s="158">
        <v>-955.99400000000003</v>
      </c>
      <c r="G176" s="158" t="str">
        <f>IF($A176="","",IFERROR(INDEX(Map!$C$2:$C$400,MATCH($A176,Map!$A$2:$A$400,0)),"⚠ UNMAPPED"))</f>
        <v>IS</v>
      </c>
      <c r="H176" s="18" t="str">
        <f>IF($A176="","",IFERROR(INDEX(Map!$D$2:$D$400,MATCH($A176,Map!$A$2:$A$400,0)),"⚠ UNMAPPED"))</f>
        <v>Cost of sales</v>
      </c>
      <c r="I176" s="18" t="str">
        <f>IF($A176="","",IFERROR(INDEX(Map!$E$2:$E$400,MATCH($A176,Map!$A$2:$A$400,0)),"⚠ UNMAPPED"))</f>
        <v>Overhead - Labor Cost</v>
      </c>
      <c r="J176" s="18" t="str">
        <f>IF($A176="","",IFERROR(INDEX(Map!$F$2:$F$400,MATCH($A176,Map!$A$2:$A$400,0)),"⚠ UNMAPPED"))</f>
        <v>Air tickets</v>
      </c>
    </row>
    <row r="177" spans="1:10" x14ac:dyDescent="0.25">
      <c r="A177" s="38">
        <v>600012</v>
      </c>
      <c r="B177" t="s">
        <v>990</v>
      </c>
      <c r="C177" s="158">
        <v>0</v>
      </c>
      <c r="D177" s="158">
        <v>47895</v>
      </c>
      <c r="E177" s="158">
        <v>1839</v>
      </c>
      <c r="F177" s="158">
        <v>46056</v>
      </c>
      <c r="G177" s="158" t="str">
        <f>IF($A177="","",IFERROR(INDEX(Map!$C$2:$C$400,MATCH($A177,Map!$A$2:$A$400,0)),"⚠ UNMAPPED"))</f>
        <v>IS</v>
      </c>
      <c r="H177" s="18" t="str">
        <f>IF($A177="","",IFERROR(INDEX(Map!$D$2:$D$400,MATCH($A177,Map!$A$2:$A$400,0)),"⚠ UNMAPPED"))</f>
        <v>Cost of sales</v>
      </c>
      <c r="I177" s="18" t="str">
        <f>IF($A177="","",IFERROR(INDEX(Map!$E$2:$E$400,MATCH($A177,Map!$A$2:$A$400,0)),"⚠ UNMAPPED"))</f>
        <v>Overhead - Labor Cost</v>
      </c>
      <c r="J177" s="18" t="str">
        <f>IF($A177="","",IFERROR(INDEX(Map!$F$2:$F$400,MATCH($A177,Map!$A$2:$A$400,0)),"⚠ UNMAPPED"))</f>
        <v xml:space="preserve">Education &amp; Furniture Allowances </v>
      </c>
    </row>
    <row r="178" spans="1:10" x14ac:dyDescent="0.25">
      <c r="A178" s="38">
        <v>600013</v>
      </c>
      <c r="B178" t="s">
        <v>991</v>
      </c>
      <c r="C178" s="158">
        <v>0</v>
      </c>
      <c r="D178" s="158">
        <v>32300</v>
      </c>
      <c r="E178" s="158">
        <v>1322</v>
      </c>
      <c r="F178" s="158">
        <v>30978</v>
      </c>
      <c r="G178" s="158" t="str">
        <f>IF($A178="","",IFERROR(INDEX(Map!$C$2:$C$400,MATCH($A178,Map!$A$2:$A$400,0)),"⚠ UNMAPPED"))</f>
        <v>IS</v>
      </c>
      <c r="H178" s="18" t="str">
        <f>IF($A178="","",IFERROR(INDEX(Map!$D$2:$D$400,MATCH($A178,Map!$A$2:$A$400,0)),"⚠ UNMAPPED"))</f>
        <v>Cost of sales</v>
      </c>
      <c r="I178" s="18" t="str">
        <f>IF($A178="","",IFERROR(INDEX(Map!$E$2:$E$400,MATCH($A178,Map!$A$2:$A$400,0)),"⚠ UNMAPPED"))</f>
        <v>Overhead - Labor Cost</v>
      </c>
      <c r="J178" s="18" t="str">
        <f>IF($A178="","",IFERROR(INDEX(Map!$F$2:$F$400,MATCH($A178,Map!$A$2:$A$400,0)),"⚠ UNMAPPED"))</f>
        <v>Telephone allowance</v>
      </c>
    </row>
    <row r="179" spans="1:10" x14ac:dyDescent="0.25">
      <c r="A179" s="38">
        <v>600014</v>
      </c>
      <c r="B179" t="s">
        <v>884</v>
      </c>
      <c r="C179" s="158">
        <v>0</v>
      </c>
      <c r="D179" s="158">
        <v>2979505.4640000002</v>
      </c>
      <c r="E179" s="158">
        <v>62980.771000000001</v>
      </c>
      <c r="F179" s="158">
        <v>2916524.693</v>
      </c>
      <c r="G179" s="158" t="str">
        <f>IF($A179="","",IFERROR(INDEX(Map!$C$2:$C$400,MATCH($A179,Map!$A$2:$A$400,0)),"⚠ UNMAPPED"))</f>
        <v>IS</v>
      </c>
      <c r="H179" s="18" t="str">
        <f>IF($A179="","",IFERROR(INDEX(Map!$D$2:$D$400,MATCH($A179,Map!$A$2:$A$400,0)),"⚠ UNMAPPED"))</f>
        <v>Cost of sales</v>
      </c>
      <c r="I179" s="18" t="str">
        <f>IF($A179="","",IFERROR(INDEX(Map!$E$2:$E$400,MATCH($A179,Map!$A$2:$A$400,0)),"⚠ UNMAPPED"))</f>
        <v>Overhead - Consumables &amp; SP</v>
      </c>
      <c r="J179" s="18" t="str">
        <f>IF($A179="","",IFERROR(INDEX(Map!$F$2:$F$400,MATCH($A179,Map!$A$2:$A$400,0)),"⚠ UNMAPPED"))</f>
        <v>Consumables</v>
      </c>
    </row>
    <row r="180" spans="1:10" x14ac:dyDescent="0.25">
      <c r="A180" s="38">
        <v>600015</v>
      </c>
      <c r="B180" t="s">
        <v>992</v>
      </c>
      <c r="C180" s="158">
        <v>0</v>
      </c>
      <c r="D180" s="158">
        <v>0</v>
      </c>
      <c r="E180" s="158">
        <v>0</v>
      </c>
      <c r="F180" s="158">
        <v>0</v>
      </c>
      <c r="G180" s="158" t="str">
        <f>IF($A180="","",IFERROR(INDEX(Map!$C$2:$C$400,MATCH($A180,Map!$A$2:$A$400,0)),"⚠ UNMAPPED"))</f>
        <v>IS</v>
      </c>
      <c r="H180" s="18" t="str">
        <f>IF($A180="","",IFERROR(INDEX(Map!$D$2:$D$400,MATCH($A180,Map!$A$2:$A$400,0)),"⚠ UNMAPPED"))</f>
        <v>Cost of sales</v>
      </c>
      <c r="I180" s="18" t="str">
        <f>IF($A180="","",IFERROR(INDEX(Map!$E$2:$E$400,MATCH($A180,Map!$A$2:$A$400,0)),"⚠ UNMAPPED"))</f>
        <v>Overhead - Consumables &amp; SP</v>
      </c>
      <c r="J180" s="18" t="str">
        <f>IF($A180="","",IFERROR(INDEX(Map!$F$2:$F$400,MATCH($A180,Map!$A$2:$A$400,0)),"⚠ UNMAPPED"))</f>
        <v>Consumables</v>
      </c>
    </row>
    <row r="181" spans="1:10" x14ac:dyDescent="0.25">
      <c r="A181" s="38">
        <v>600016</v>
      </c>
      <c r="B181" t="s">
        <v>993</v>
      </c>
      <c r="C181" s="158">
        <v>0</v>
      </c>
      <c r="D181" s="158">
        <v>33215.970999999998</v>
      </c>
      <c r="E181" s="158">
        <v>60570.724999999999</v>
      </c>
      <c r="F181" s="158">
        <v>-27354.754000000001</v>
      </c>
      <c r="G181" s="158" t="str">
        <f>IF($A181="","",IFERROR(INDEX(Map!$C$2:$C$400,MATCH($A181,Map!$A$2:$A$400,0)),"⚠ UNMAPPED"))</f>
        <v>IS</v>
      </c>
      <c r="H181" s="18" t="str">
        <f>IF($A181="","",IFERROR(INDEX(Map!$D$2:$D$400,MATCH($A181,Map!$A$2:$A$400,0)),"⚠ UNMAPPED"))</f>
        <v>Cost of sales</v>
      </c>
      <c r="I181" s="18" t="str">
        <f>IF($A181="","",IFERROR(INDEX(Map!$E$2:$E$400,MATCH($A181,Map!$A$2:$A$400,0)),"⚠ UNMAPPED"))</f>
        <v>Overhead - Consumables &amp; SP</v>
      </c>
      <c r="J181" s="18" t="str">
        <f>IF($A181="","",IFERROR(INDEX(Map!$F$2:$F$400,MATCH($A181,Map!$A$2:$A$400,0)),"⚠ UNMAPPED"))</f>
        <v>Tools</v>
      </c>
    </row>
    <row r="182" spans="1:10" x14ac:dyDescent="0.25">
      <c r="A182" s="38">
        <v>600017</v>
      </c>
      <c r="B182" t="s">
        <v>994</v>
      </c>
      <c r="C182" s="158">
        <v>0</v>
      </c>
      <c r="D182" s="158">
        <v>1987302.5209999999</v>
      </c>
      <c r="E182" s="158">
        <v>0</v>
      </c>
      <c r="F182" s="158">
        <v>1987302.5209999999</v>
      </c>
      <c r="G182" s="158" t="str">
        <f>IF($A182="","",IFERROR(INDEX(Map!$C$2:$C$400,MATCH($A182,Map!$A$2:$A$400,0)),"⚠ UNMAPPED"))</f>
        <v>IS</v>
      </c>
      <c r="H182" s="18" t="str">
        <f>IF($A182="","",IFERROR(INDEX(Map!$D$2:$D$400,MATCH($A182,Map!$A$2:$A$400,0)),"⚠ UNMAPPED"))</f>
        <v>Cost of sales</v>
      </c>
      <c r="I182" s="18" t="str">
        <f>IF($A182="","",IFERROR(INDEX(Map!$E$2:$E$400,MATCH($A182,Map!$A$2:$A$400,0)),"⚠ UNMAPPED"))</f>
        <v>Overhead - Utility</v>
      </c>
      <c r="J182" s="18" t="str">
        <f>IF($A182="","",IFERROR(INDEX(Map!$F$2:$F$400,MATCH($A182,Map!$A$2:$A$400,0)),"⚠ UNMAPPED"))</f>
        <v>Electricity expenses</v>
      </c>
    </row>
    <row r="183" spans="1:10" x14ac:dyDescent="0.25">
      <c r="A183" s="38">
        <v>600018</v>
      </c>
      <c r="B183" t="s">
        <v>995</v>
      </c>
      <c r="C183" s="158">
        <v>0</v>
      </c>
      <c r="D183" s="158">
        <v>146683.1</v>
      </c>
      <c r="E183" s="158">
        <v>0</v>
      </c>
      <c r="F183" s="158">
        <v>146683.1</v>
      </c>
      <c r="G183" s="158" t="str">
        <f>IF($A183="","",IFERROR(INDEX(Map!$C$2:$C$400,MATCH($A183,Map!$A$2:$A$400,0)),"⚠ UNMAPPED"))</f>
        <v>IS</v>
      </c>
      <c r="H183" s="18" t="str">
        <f>IF($A183="","",IFERROR(INDEX(Map!$D$2:$D$400,MATCH($A183,Map!$A$2:$A$400,0)),"⚠ UNMAPPED"))</f>
        <v>Cost of sales</v>
      </c>
      <c r="I183" s="18" t="str">
        <f>IF($A183="","",IFERROR(INDEX(Map!$E$2:$E$400,MATCH($A183,Map!$A$2:$A$400,0)),"⚠ UNMAPPED"))</f>
        <v>Overhead - Utility</v>
      </c>
      <c r="J183" s="18" t="str">
        <f>IF($A183="","",IFERROR(INDEX(Map!$F$2:$F$400,MATCH($A183,Map!$A$2:$A$400,0)),"⚠ UNMAPPED"))</f>
        <v>Water expenses</v>
      </c>
    </row>
    <row r="184" spans="1:10" x14ac:dyDescent="0.25">
      <c r="A184" s="38">
        <v>600019</v>
      </c>
      <c r="B184" t="s">
        <v>996</v>
      </c>
      <c r="C184" s="158">
        <v>0</v>
      </c>
      <c r="D184" s="158">
        <v>21836.720000000001</v>
      </c>
      <c r="E184" s="158">
        <v>0</v>
      </c>
      <c r="F184" s="158">
        <v>21836.720000000001</v>
      </c>
      <c r="G184" s="158" t="str">
        <f>IF($A184="","",IFERROR(INDEX(Map!$C$2:$C$400,MATCH($A184,Map!$A$2:$A$400,0)),"⚠ UNMAPPED"))</f>
        <v>IS</v>
      </c>
      <c r="H184" s="18" t="str">
        <f>IF($A184="","",IFERROR(INDEX(Map!$D$2:$D$400,MATCH($A184,Map!$A$2:$A$400,0)),"⚠ UNMAPPED"))</f>
        <v>Cost of sales</v>
      </c>
      <c r="I184" s="18" t="str">
        <f>IF($A184="","",IFERROR(INDEX(Map!$E$2:$E$400,MATCH($A184,Map!$A$2:$A$400,0)),"⚠ UNMAPPED"))</f>
        <v>Overhead - Utility</v>
      </c>
      <c r="J184" s="18" t="str">
        <f>IF($A184="","",IFERROR(INDEX(Map!$F$2:$F$400,MATCH($A184,Map!$A$2:$A$400,0)),"⚠ UNMAPPED"))</f>
        <v>Fuel and oil</v>
      </c>
    </row>
    <row r="185" spans="1:10" x14ac:dyDescent="0.25">
      <c r="A185" s="38">
        <v>600020</v>
      </c>
      <c r="B185" t="s">
        <v>997</v>
      </c>
      <c r="C185" s="158">
        <v>0</v>
      </c>
      <c r="D185" s="158">
        <v>3569598.8390000002</v>
      </c>
      <c r="E185" s="158">
        <v>247183.02100000001</v>
      </c>
      <c r="F185" s="158">
        <v>3322415.818</v>
      </c>
      <c r="G185" s="158" t="str">
        <f>IF($A185="","",IFERROR(INDEX(Map!$C$2:$C$400,MATCH($A185,Map!$A$2:$A$400,0)),"⚠ UNMAPPED"))</f>
        <v>IS</v>
      </c>
      <c r="H185" s="18" t="str">
        <f>IF($A185="","",IFERROR(INDEX(Map!$D$2:$D$400,MATCH($A185,Map!$A$2:$A$400,0)),"⚠ UNMAPPED"))</f>
        <v>Cost of sales</v>
      </c>
      <c r="I185" s="18" t="str">
        <f>IF($A185="","",IFERROR(INDEX(Map!$E$2:$E$400,MATCH($A185,Map!$A$2:$A$400,0)),"⚠ UNMAPPED"))</f>
        <v>Overhead - R&amp;M</v>
      </c>
      <c r="J185" s="18" t="str">
        <f>IF($A185="","",IFERROR(INDEX(Map!$F$2:$F$400,MATCH($A185,Map!$A$2:$A$400,0)),"⚠ UNMAPPED"))</f>
        <v>Machine and equipment</v>
      </c>
    </row>
    <row r="186" spans="1:10" x14ac:dyDescent="0.25">
      <c r="A186" s="38">
        <v>600021</v>
      </c>
      <c r="B186" t="s">
        <v>998</v>
      </c>
      <c r="C186" s="158">
        <v>0</v>
      </c>
      <c r="D186" s="158">
        <v>6727.3580000000002</v>
      </c>
      <c r="E186" s="158">
        <v>0.25800000000000001</v>
      </c>
      <c r="F186" s="158">
        <v>6727.1</v>
      </c>
      <c r="G186" s="158" t="str">
        <f>IF($A186="","",IFERROR(INDEX(Map!$C$2:$C$400,MATCH($A186,Map!$A$2:$A$400,0)),"⚠ UNMAPPED"))</f>
        <v>IS</v>
      </c>
      <c r="H186" s="18" t="str">
        <f>IF($A186="","",IFERROR(INDEX(Map!$D$2:$D$400,MATCH($A186,Map!$A$2:$A$400,0)),"⚠ UNMAPPED"))</f>
        <v>Cost of sales</v>
      </c>
      <c r="I186" s="18" t="str">
        <f>IF($A186="","",IFERROR(INDEX(Map!$E$2:$E$400,MATCH($A186,Map!$A$2:$A$400,0)),"⚠ UNMAPPED"))</f>
        <v>Overhead - R&amp;M</v>
      </c>
      <c r="J186" s="18" t="str">
        <f>IF($A186="","",IFERROR(INDEX(Map!$F$2:$F$400,MATCH($A186,Map!$A$2:$A$400,0)),"⚠ UNMAPPED"))</f>
        <v>Vehicle maintenance</v>
      </c>
    </row>
    <row r="187" spans="1:10" x14ac:dyDescent="0.25">
      <c r="A187" s="38">
        <v>600022</v>
      </c>
      <c r="B187" t="s">
        <v>999</v>
      </c>
      <c r="C187" s="158">
        <v>0</v>
      </c>
      <c r="D187" s="158">
        <v>53710.59</v>
      </c>
      <c r="E187" s="158">
        <v>0</v>
      </c>
      <c r="F187" s="158">
        <v>53710.59</v>
      </c>
      <c r="G187" s="158" t="str">
        <f>IF($A187="","",IFERROR(INDEX(Map!$C$2:$C$400,MATCH($A187,Map!$A$2:$A$400,0)),"⚠ UNMAPPED"))</f>
        <v>IS</v>
      </c>
      <c r="H187" s="18" t="str">
        <f>IF($A187="","",IFERROR(INDEX(Map!$D$2:$D$400,MATCH($A187,Map!$A$2:$A$400,0)),"⚠ UNMAPPED"))</f>
        <v>Cost of sales</v>
      </c>
      <c r="I187" s="18" t="str">
        <f>IF($A187="","",IFERROR(INDEX(Map!$E$2:$E$400,MATCH($A187,Map!$A$2:$A$400,0)),"⚠ UNMAPPED"))</f>
        <v>Overhead - R&amp;M</v>
      </c>
      <c r="J187" s="18" t="str">
        <f>IF($A187="","",IFERROR(INDEX(Map!$F$2:$F$400,MATCH($A187,Map!$A$2:$A$400,0)),"⚠ UNMAPPED"))</f>
        <v>Building maintenance</v>
      </c>
    </row>
    <row r="188" spans="1:10" x14ac:dyDescent="0.25">
      <c r="A188" s="38">
        <v>600023</v>
      </c>
      <c r="B188" t="s">
        <v>1000</v>
      </c>
      <c r="C188" s="158">
        <v>0</v>
      </c>
      <c r="D188" s="158">
        <v>0</v>
      </c>
      <c r="E188" s="158">
        <v>0</v>
      </c>
      <c r="F188" s="158">
        <v>0</v>
      </c>
      <c r="G188" s="158" t="str">
        <f>IF($A188="","",IFERROR(INDEX(Map!$C$2:$C$400,MATCH($A188,Map!$A$2:$A$400,0)),"⚠ UNMAPPED"))</f>
        <v>IS</v>
      </c>
      <c r="H188" s="18" t="str">
        <f>IF($A188="","",IFERROR(INDEX(Map!$D$2:$D$400,MATCH($A188,Map!$A$2:$A$400,0)),"⚠ UNMAPPED"))</f>
        <v>Cost of sales</v>
      </c>
      <c r="I188" s="18" t="str">
        <f>IF($A188="","",IFERROR(INDEX(Map!$E$2:$E$400,MATCH($A188,Map!$A$2:$A$400,0)),"⚠ UNMAPPED"))</f>
        <v>Overhead - R&amp;M</v>
      </c>
      <c r="J188" s="18" t="str">
        <f>IF($A188="","",IFERROR(INDEX(Map!$F$2:$F$400,MATCH($A188,Map!$A$2:$A$400,0)),"⚠ UNMAPPED"))</f>
        <v>Office equipment maintenance</v>
      </c>
    </row>
    <row r="189" spans="1:10" x14ac:dyDescent="0.25">
      <c r="A189" s="38">
        <v>600024</v>
      </c>
      <c r="B189" t="s">
        <v>1001</v>
      </c>
      <c r="C189" s="158">
        <v>0</v>
      </c>
      <c r="D189" s="158">
        <v>0</v>
      </c>
      <c r="E189" s="158">
        <v>0</v>
      </c>
      <c r="F189" s="158">
        <v>0</v>
      </c>
      <c r="G189" s="158" t="str">
        <f>IF($A189="","",IFERROR(INDEX(Map!$C$2:$C$400,MATCH($A189,Map!$A$2:$A$400,0)),"⚠ UNMAPPED"))</f>
        <v>IS</v>
      </c>
      <c r="H189" s="18" t="str">
        <f>IF($A189="","",IFERROR(INDEX(Map!$D$2:$D$400,MATCH($A189,Map!$A$2:$A$400,0)),"⚠ UNMAPPED"))</f>
        <v>Cost of sales</v>
      </c>
      <c r="I189" s="18" t="str">
        <f>IF($A189="","",IFERROR(INDEX(Map!$E$2:$E$400,MATCH($A189,Map!$A$2:$A$400,0)),"⚠ UNMAPPED"))</f>
        <v>Overhead - Rent</v>
      </c>
      <c r="J189" s="18" t="str">
        <f>IF($A189="","",IFERROR(INDEX(Map!$F$2:$F$400,MATCH($A189,Map!$A$2:$A$400,0)),"⚠ UNMAPPED"))</f>
        <v>Pump rental expenses</v>
      </c>
    </row>
    <row r="190" spans="1:10" x14ac:dyDescent="0.25">
      <c r="A190" s="38">
        <v>600025</v>
      </c>
      <c r="B190" t="s">
        <v>1002</v>
      </c>
      <c r="C190" s="158">
        <v>0</v>
      </c>
      <c r="D190" s="158">
        <v>0</v>
      </c>
      <c r="E190" s="158">
        <v>0</v>
      </c>
      <c r="F190" s="158">
        <v>0</v>
      </c>
      <c r="G190" s="158" t="str">
        <f>IF($A190="","",IFERROR(INDEX(Map!$C$2:$C$400,MATCH($A190,Map!$A$2:$A$400,0)),"⚠ UNMAPPED"))</f>
        <v>IS</v>
      </c>
      <c r="H190" s="18" t="str">
        <f>IF($A190="","",IFERROR(INDEX(Map!$D$2:$D$400,MATCH($A190,Map!$A$2:$A$400,0)),"⚠ UNMAPPED"))</f>
        <v>Cost of sales</v>
      </c>
      <c r="I190" s="18" t="str">
        <f>IF($A190="","",IFERROR(INDEX(Map!$E$2:$E$400,MATCH($A190,Map!$A$2:$A$400,0)),"⚠ UNMAPPED"))</f>
        <v>Overhead - Insurance</v>
      </c>
      <c r="J190" s="18" t="str">
        <f>IF($A190="","",IFERROR(INDEX(Map!$F$2:$F$400,MATCH($A190,Map!$A$2:$A$400,0)),"⚠ UNMAPPED"))</f>
        <v>Building insurance</v>
      </c>
    </row>
    <row r="191" spans="1:10" x14ac:dyDescent="0.25">
      <c r="A191" s="38">
        <v>600026</v>
      </c>
      <c r="B191" t="s">
        <v>1003</v>
      </c>
      <c r="C191" s="158">
        <v>0</v>
      </c>
      <c r="D191" s="158">
        <v>0</v>
      </c>
      <c r="E191" s="158">
        <v>0</v>
      </c>
      <c r="F191" s="158">
        <v>0</v>
      </c>
      <c r="G191" s="158" t="str">
        <f>IF($A191="","",IFERROR(INDEX(Map!$C$2:$C$400,MATCH($A191,Map!$A$2:$A$400,0)),"⚠ UNMAPPED"))</f>
        <v>IS</v>
      </c>
      <c r="H191" s="18" t="str">
        <f>IF($A191="","",IFERROR(INDEX(Map!$D$2:$D$400,MATCH($A191,Map!$A$2:$A$400,0)),"⚠ UNMAPPED"))</f>
        <v>Cost of sales</v>
      </c>
      <c r="I191" s="18" t="str">
        <f>IF($A191="","",IFERROR(INDEX(Map!$E$2:$E$400,MATCH($A191,Map!$A$2:$A$400,0)),"⚠ UNMAPPED"))</f>
        <v>Overhead - Insurance</v>
      </c>
      <c r="J191" s="18" t="str">
        <f>IF($A191="","",IFERROR(INDEX(Map!$F$2:$F$400,MATCH($A191,Map!$A$2:$A$400,0)),"⚠ UNMAPPED"))</f>
        <v>Machine and equipment insurance</v>
      </c>
    </row>
    <row r="192" spans="1:10" x14ac:dyDescent="0.25">
      <c r="A192" s="38">
        <v>600027</v>
      </c>
      <c r="B192" t="s">
        <v>1004</v>
      </c>
      <c r="C192" s="158">
        <v>0</v>
      </c>
      <c r="D192" s="158">
        <v>0</v>
      </c>
      <c r="E192" s="158">
        <v>0</v>
      </c>
      <c r="F192" s="158">
        <v>0</v>
      </c>
      <c r="G192" s="158" t="str">
        <f>IF($A192="","",IFERROR(INDEX(Map!$C$2:$C$400,MATCH($A192,Map!$A$2:$A$400,0)),"⚠ UNMAPPED"))</f>
        <v>IS</v>
      </c>
      <c r="H192" s="18" t="str">
        <f>IF($A192="","",IFERROR(INDEX(Map!$D$2:$D$400,MATCH($A192,Map!$A$2:$A$400,0)),"⚠ UNMAPPED"))</f>
        <v>Cost of sales</v>
      </c>
      <c r="I192" s="18" t="str">
        <f>IF($A192="","",IFERROR(INDEX(Map!$E$2:$E$400,MATCH($A192,Map!$A$2:$A$400,0)),"⚠ UNMAPPED"))</f>
        <v>Overhead - Rent</v>
      </c>
      <c r="J192" s="18" t="str">
        <f>IF($A192="","",IFERROR(INDEX(Map!$F$2:$F$400,MATCH($A192,Map!$A$2:$A$400,0)),"⚠ UNMAPPED"))</f>
        <v>Production hall rental</v>
      </c>
    </row>
    <row r="193" spans="1:10" x14ac:dyDescent="0.25">
      <c r="A193" s="38">
        <v>600028</v>
      </c>
      <c r="B193" t="s">
        <v>1005</v>
      </c>
      <c r="C193" s="158">
        <v>0</v>
      </c>
      <c r="D193" s="158">
        <v>0</v>
      </c>
      <c r="E193" s="158">
        <v>0</v>
      </c>
      <c r="F193" s="158">
        <v>0</v>
      </c>
      <c r="G193" s="158" t="str">
        <f>IF($A193="","",IFERROR(INDEX(Map!$C$2:$C$400,MATCH($A193,Map!$A$2:$A$400,0)),"⚠ UNMAPPED"))</f>
        <v>IS</v>
      </c>
      <c r="H193" s="18" t="str">
        <f>IF($A193="","",IFERROR(INDEX(Map!$D$2:$D$400,MATCH($A193,Map!$A$2:$A$400,0)),"⚠ UNMAPPED"))</f>
        <v>Cost of sales</v>
      </c>
      <c r="I193" s="18" t="str">
        <f>IF($A193="","",IFERROR(INDEX(Map!$E$2:$E$400,MATCH($A193,Map!$A$2:$A$400,0)),"⚠ UNMAPPED"))</f>
        <v>Overhead - Consumables &amp; SP</v>
      </c>
      <c r="J193" s="18" t="str">
        <f>IF($A193="","",IFERROR(INDEX(Map!$F$2:$F$400,MATCH($A193,Map!$A$2:$A$400,0)),"⚠ UNMAPPED"))</f>
        <v xml:space="preserve">Education &amp; Furniture Allowances </v>
      </c>
    </row>
    <row r="194" spans="1:10" x14ac:dyDescent="0.25">
      <c r="A194" s="38">
        <v>600029</v>
      </c>
      <c r="B194" t="s">
        <v>1006</v>
      </c>
      <c r="C194" s="158">
        <v>0</v>
      </c>
      <c r="D194" s="158">
        <v>0</v>
      </c>
      <c r="E194" s="158">
        <v>0</v>
      </c>
      <c r="F194" s="158">
        <v>0</v>
      </c>
      <c r="G194" s="158" t="str">
        <f>IF($A194="","",IFERROR(INDEX(Map!$C$2:$C$400,MATCH($A194,Map!$A$2:$A$400,0)),"⚠ UNMAPPED"))</f>
        <v>IS</v>
      </c>
      <c r="H194" s="18" t="str">
        <f>IF($A194="","",IFERROR(INDEX(Map!$D$2:$D$400,MATCH($A194,Map!$A$2:$A$400,0)),"⚠ UNMAPPED"))</f>
        <v>Cost of sales</v>
      </c>
      <c r="I194" s="18" t="str">
        <f>IF($A194="","",IFERROR(INDEX(Map!$E$2:$E$400,MATCH($A194,Map!$A$2:$A$400,0)),"⚠ UNMAPPED"))</f>
        <v>Depreciation - Machines</v>
      </c>
      <c r="J194" s="18" t="str">
        <f>IF($A194="","",IFERROR(INDEX(Map!$F$2:$F$400,MATCH($A194,Map!$A$2:$A$400,0)),"⚠ UNMAPPED"))</f>
        <v>Depreciation of property, plant and equipment</v>
      </c>
    </row>
    <row r="195" spans="1:10" x14ac:dyDescent="0.25">
      <c r="A195" s="38">
        <v>600030</v>
      </c>
      <c r="B195" t="s">
        <v>1007</v>
      </c>
      <c r="C195" s="158">
        <v>0</v>
      </c>
      <c r="D195" s="158">
        <v>0</v>
      </c>
      <c r="E195" s="158">
        <v>0</v>
      </c>
      <c r="F195" s="158">
        <v>0</v>
      </c>
      <c r="G195" s="158" t="str">
        <f>IF($A195="","",IFERROR(INDEX(Map!$C$2:$C$400,MATCH($A195,Map!$A$2:$A$400,0)),"⚠ UNMAPPED"))</f>
        <v>IS</v>
      </c>
      <c r="H195" s="18" t="str">
        <f>IF($A195="","",IFERROR(INDEX(Map!$D$2:$D$400,MATCH($A195,Map!$A$2:$A$400,0)),"⚠ UNMAPPED"))</f>
        <v>Depreciation expenses</v>
      </c>
      <c r="I195" s="18" t="str">
        <f>IF($A195="","",IFERROR(INDEX(Map!$E$2:$E$400,MATCH($A195,Map!$A$2:$A$400,0)),"⚠ UNMAPPED"))</f>
        <v>Depreciation expenses</v>
      </c>
      <c r="J195" s="18" t="str">
        <f>IF($A195="","",IFERROR(INDEX(Map!$F$2:$F$400,MATCH($A195,Map!$A$2:$A$400,0)),"⚠ UNMAPPED"))</f>
        <v>Depreciation of property, plant and equipment</v>
      </c>
    </row>
    <row r="196" spans="1:10" x14ac:dyDescent="0.25">
      <c r="A196" s="38">
        <v>600031</v>
      </c>
      <c r="B196" t="s">
        <v>1008</v>
      </c>
      <c r="C196" s="158">
        <v>0</v>
      </c>
      <c r="D196" s="158">
        <v>0</v>
      </c>
      <c r="E196" s="158">
        <v>0</v>
      </c>
      <c r="F196" s="158">
        <v>0</v>
      </c>
      <c r="G196" s="158" t="str">
        <f>IF($A196="","",IFERROR(INDEX(Map!$C$2:$C$400,MATCH($A196,Map!$A$2:$A$400,0)),"⚠ UNMAPPED"))</f>
        <v>IS</v>
      </c>
      <c r="H196" s="18" t="str">
        <f>IF($A196="","",IFERROR(INDEX(Map!$D$2:$D$400,MATCH($A196,Map!$A$2:$A$400,0)),"⚠ UNMAPPED"))</f>
        <v>Depreciation expenses</v>
      </c>
      <c r="I196" s="18" t="str">
        <f>IF($A196="","",IFERROR(INDEX(Map!$E$2:$E$400,MATCH($A196,Map!$A$2:$A$400,0)),"⚠ UNMAPPED"))</f>
        <v>Depreciation expenses</v>
      </c>
      <c r="J196" s="18" t="str">
        <f>IF($A196="","",IFERROR(INDEX(Map!$F$2:$F$400,MATCH($A196,Map!$A$2:$A$400,0)),"⚠ UNMAPPED"))</f>
        <v>Depreciation of property, plant and equipment</v>
      </c>
    </row>
    <row r="197" spans="1:10" x14ac:dyDescent="0.25">
      <c r="A197" s="38">
        <v>600032</v>
      </c>
      <c r="B197" t="s">
        <v>1009</v>
      </c>
      <c r="C197" s="158">
        <v>0</v>
      </c>
      <c r="D197" s="158">
        <v>0</v>
      </c>
      <c r="E197" s="158">
        <v>0</v>
      </c>
      <c r="F197" s="158">
        <v>0</v>
      </c>
      <c r="G197" s="158" t="str">
        <f>IF($A197="","",IFERROR(INDEX(Map!$C$2:$C$400,MATCH($A197,Map!$A$2:$A$400,0)),"⚠ UNMAPPED"))</f>
        <v>IS</v>
      </c>
      <c r="H197" s="18" t="str">
        <f>IF($A197="","",IFERROR(INDEX(Map!$D$2:$D$400,MATCH($A197,Map!$A$2:$A$400,0)),"⚠ UNMAPPED"))</f>
        <v>Depreciation expenses</v>
      </c>
      <c r="I197" s="18" t="str">
        <f>IF($A197="","",IFERROR(INDEX(Map!$E$2:$E$400,MATCH($A197,Map!$A$2:$A$400,0)),"⚠ UNMAPPED"))</f>
        <v>Depreciation expenses</v>
      </c>
      <c r="J197" s="18" t="str">
        <f>IF($A197="","",IFERROR(INDEX(Map!$F$2:$F$400,MATCH($A197,Map!$A$2:$A$400,0)),"⚠ UNMAPPED"))</f>
        <v>Depreciation of property, plant and equipment</v>
      </c>
    </row>
    <row r="198" spans="1:10" x14ac:dyDescent="0.25">
      <c r="A198" s="38">
        <v>600033</v>
      </c>
      <c r="B198" t="s">
        <v>1010</v>
      </c>
      <c r="C198" s="158">
        <v>0</v>
      </c>
      <c r="D198" s="158">
        <v>240761.505</v>
      </c>
      <c r="E198" s="158">
        <v>0</v>
      </c>
      <c r="F198" s="158">
        <v>240761.505</v>
      </c>
      <c r="G198" s="158" t="str">
        <f>IF($A198="","",IFERROR(INDEX(Map!$C$2:$C$400,MATCH($A198,Map!$A$2:$A$400,0)),"⚠ UNMAPPED"))</f>
        <v>IS</v>
      </c>
      <c r="H198" s="18" t="str">
        <f>IF($A198="","",IFERROR(INDEX(Map!$D$2:$D$400,MATCH($A198,Map!$A$2:$A$400,0)),"⚠ UNMAPPED"))</f>
        <v>Depreciation expenses</v>
      </c>
      <c r="I198" s="18" t="str">
        <f>IF($A198="","",IFERROR(INDEX(Map!$E$2:$E$400,MATCH($A198,Map!$A$2:$A$400,0)),"⚠ UNMAPPED"))</f>
        <v>Depreciation expenses</v>
      </c>
      <c r="J198" s="18" t="str">
        <f>IF($A198="","",IFERROR(INDEX(Map!$F$2:$F$400,MATCH($A198,Map!$A$2:$A$400,0)),"⚠ UNMAPPED"))</f>
        <v>Depreciation of property, plant and equipment</v>
      </c>
    </row>
    <row r="199" spans="1:10" x14ac:dyDescent="0.25">
      <c r="A199" s="38">
        <v>600034</v>
      </c>
      <c r="B199" t="s">
        <v>1011</v>
      </c>
      <c r="C199" s="158">
        <v>0</v>
      </c>
      <c r="D199" s="158">
        <v>588075.02</v>
      </c>
      <c r="E199" s="158">
        <v>16102.816999999999</v>
      </c>
      <c r="F199" s="158">
        <v>571972.20299999998</v>
      </c>
      <c r="G199" s="158" t="str">
        <f>IF($A199="","",IFERROR(INDEX(Map!$C$2:$C$400,MATCH($A199,Map!$A$2:$A$400,0)),"⚠ UNMAPPED"))</f>
        <v>IS</v>
      </c>
      <c r="H199" s="18" t="str">
        <f>IF($A199="","",IFERROR(INDEX(Map!$D$2:$D$400,MATCH($A199,Map!$A$2:$A$400,0)),"⚠ UNMAPPED"))</f>
        <v>Cost of sales</v>
      </c>
      <c r="I199" s="18" t="str">
        <f>IF($A199="","",IFERROR(INDEX(Map!$E$2:$E$400,MATCH($A199,Map!$A$2:$A$400,0)),"⚠ UNMAPPED"))</f>
        <v>Overhead - Rent Labor</v>
      </c>
      <c r="J199" s="18" t="str">
        <f>IF($A199="","",IFERROR(INDEX(Map!$F$2:$F$400,MATCH($A199,Map!$A$2:$A$400,0)),"⚠ UNMAPPED"))</f>
        <v>Rental labor</v>
      </c>
    </row>
    <row r="200" spans="1:10" x14ac:dyDescent="0.25">
      <c r="A200" s="38">
        <v>600035</v>
      </c>
      <c r="B200" t="s">
        <v>1012</v>
      </c>
      <c r="C200" s="158">
        <v>0</v>
      </c>
      <c r="D200" s="158">
        <v>1236728.6159999999</v>
      </c>
      <c r="E200" s="158">
        <v>137277.34</v>
      </c>
      <c r="F200" s="158">
        <v>1099451.2760000001</v>
      </c>
      <c r="G200" s="158" t="str">
        <f>IF($A200="","",IFERROR(INDEX(Map!$C$2:$C$400,MATCH($A200,Map!$A$2:$A$400,0)),"⚠ UNMAPPED"))</f>
        <v>IS</v>
      </c>
      <c r="H200" s="18" t="str">
        <f>IF($A200="","",IFERROR(INDEX(Map!$D$2:$D$400,MATCH($A200,Map!$A$2:$A$400,0)),"⚠ UNMAPPED"))</f>
        <v>Cost of sales</v>
      </c>
      <c r="I200" s="18" t="str">
        <f>IF($A200="","",IFERROR(INDEX(Map!$E$2:$E$400,MATCH($A200,Map!$A$2:$A$400,0)),"⚠ UNMAPPED"))</f>
        <v>Overhead - Labor Cost</v>
      </c>
      <c r="J200" s="18" t="str">
        <f>IF($A200="","",IFERROR(INDEX(Map!$F$2:$F$400,MATCH($A200,Map!$A$2:$A$400,0)),"⚠ UNMAPPED"))</f>
        <v>Indirect Salaries — factory supervisory / indirect floor labour (COGS)</v>
      </c>
    </row>
    <row r="201" spans="1:10" x14ac:dyDescent="0.25">
      <c r="A201" s="38">
        <v>600036</v>
      </c>
      <c r="B201" t="s">
        <v>1013</v>
      </c>
      <c r="C201" s="158">
        <v>0</v>
      </c>
      <c r="D201" s="158">
        <v>79465.725999999995</v>
      </c>
      <c r="E201" s="158">
        <v>3.0000000000000001E-3</v>
      </c>
      <c r="F201" s="158">
        <v>79465.722999999998</v>
      </c>
      <c r="G201" s="158" t="str">
        <f>IF($A201="","",IFERROR(INDEX(Map!$C$2:$C$400,MATCH($A201,Map!$A$2:$A$400,0)),"⚠ UNMAPPED"))</f>
        <v>IS</v>
      </c>
      <c r="H201" s="18" t="str">
        <f>IF($A201="","",IFERROR(INDEX(Map!$D$2:$D$400,MATCH($A201,Map!$A$2:$A$400,0)),"⚠ UNMAPPED"))</f>
        <v>Cost of sales</v>
      </c>
      <c r="I201" s="18" t="str">
        <f>IF($A201="","",IFERROR(INDEX(Map!$E$2:$E$400,MATCH($A201,Map!$A$2:$A$400,0)),"⚠ UNMAPPED"))</f>
        <v>Overhead - Consumables &amp; SP</v>
      </c>
      <c r="J201" s="18" t="str">
        <f>IF($A201="","",IFERROR(INDEX(Map!$F$2:$F$400,MATCH($A201,Map!$A$2:$A$400,0)),"⚠ UNMAPPED"))</f>
        <v>Inspection expenses</v>
      </c>
    </row>
    <row r="202" spans="1:10" x14ac:dyDescent="0.25">
      <c r="A202" s="38">
        <v>600037</v>
      </c>
      <c r="B202" t="s">
        <v>1014</v>
      </c>
      <c r="C202" s="158">
        <v>0</v>
      </c>
      <c r="D202" s="158">
        <v>38473.779000000002</v>
      </c>
      <c r="E202" s="158">
        <v>0</v>
      </c>
      <c r="F202" s="158">
        <v>38473.779000000002</v>
      </c>
      <c r="G202" s="158" t="str">
        <f>IF($A202="","",IFERROR(INDEX(Map!$C$2:$C$400,MATCH($A202,Map!$A$2:$A$400,0)),"⚠ UNMAPPED"))</f>
        <v>IS</v>
      </c>
      <c r="H202" s="18" t="str">
        <f>IF($A202="","",IFERROR(INDEX(Map!$D$2:$D$400,MATCH($A202,Map!$A$2:$A$400,0)),"⚠ UNMAPPED"))</f>
        <v>Cost of sales</v>
      </c>
      <c r="I202" s="18" t="str">
        <f>IF($A202="","",IFERROR(INDEX(Map!$E$2:$E$400,MATCH($A202,Map!$A$2:$A$400,0)),"⚠ UNMAPPED"))</f>
        <v>Overhead - Consumables &amp; SP</v>
      </c>
      <c r="J202" s="18" t="str">
        <f>IF($A202="","",IFERROR(INDEX(Map!$F$2:$F$400,MATCH($A202,Map!$A$2:$A$400,0)),"⚠ UNMAPPED"))</f>
        <v>Overhead - Consumables &amp; SP</v>
      </c>
    </row>
    <row r="203" spans="1:10" x14ac:dyDescent="0.25">
      <c r="A203" s="38">
        <v>600038</v>
      </c>
      <c r="B203" t="s">
        <v>1015</v>
      </c>
      <c r="C203" s="158">
        <v>0</v>
      </c>
      <c r="D203" s="158">
        <v>171660.56</v>
      </c>
      <c r="E203" s="158">
        <v>64057.94</v>
      </c>
      <c r="F203" s="158">
        <v>107602.62</v>
      </c>
      <c r="G203" s="158" t="str">
        <f>IF($A203="","",IFERROR(INDEX(Map!$C$2:$C$400,MATCH($A203,Map!$A$2:$A$400,0)),"⚠ UNMAPPED"))</f>
        <v>IS</v>
      </c>
      <c r="H203" s="18" t="str">
        <f>IF($A203="","",IFERROR(INDEX(Map!$D$2:$D$400,MATCH($A203,Map!$A$2:$A$400,0)),"⚠ UNMAPPED"))</f>
        <v>Cost of sales</v>
      </c>
      <c r="I203" s="18" t="str">
        <f>IF($A203="","",IFERROR(INDEX(Map!$E$2:$E$400,MATCH($A203,Map!$A$2:$A$400,0)),"⚠ UNMAPPED"))</f>
        <v>Overhead - Labor Cost</v>
      </c>
      <c r="J203" s="18" t="str">
        <f>IF($A203="","",IFERROR(INDEX(Map!$F$2:$F$400,MATCH($A203,Map!$A$2:$A$400,0)),"⚠ UNMAPPED"))</f>
        <v>Overhead - Labor Cost</v>
      </c>
    </row>
    <row r="204" spans="1:10" x14ac:dyDescent="0.25">
      <c r="A204" s="38">
        <v>600039</v>
      </c>
      <c r="B204" t="s">
        <v>1016</v>
      </c>
      <c r="C204" s="158">
        <v>0</v>
      </c>
      <c r="D204" s="158">
        <v>104997.88800000001</v>
      </c>
      <c r="E204" s="158">
        <v>1.0999999999999999E-2</v>
      </c>
      <c r="F204" s="158">
        <v>104997.87699999999</v>
      </c>
      <c r="G204" s="158" t="str">
        <f>IF($A204="","",IFERROR(INDEX(Map!$C$2:$C$400,MATCH($A204,Map!$A$2:$A$400,0)),"⚠ UNMAPPED"))</f>
        <v>IS</v>
      </c>
      <c r="H204" s="18" t="str">
        <f>IF($A204="","",IFERROR(INDEX(Map!$D$2:$D$400,MATCH($A204,Map!$A$2:$A$400,0)),"⚠ UNMAPPED"))</f>
        <v>Cost of sales</v>
      </c>
      <c r="I204" s="18" t="str">
        <f>IF($A204="","",IFERROR(INDEX(Map!$E$2:$E$400,MATCH($A204,Map!$A$2:$A$400,0)),"⚠ UNMAPPED"))</f>
        <v>Overhead - Consumables &amp; SP</v>
      </c>
      <c r="J204" s="18" t="str">
        <f>IF($A204="","",IFERROR(INDEX(Map!$F$2:$F$400,MATCH($A204,Map!$A$2:$A$400,0)),"⚠ UNMAPPED"))</f>
        <v>Overhead - Consumables &amp; SP</v>
      </c>
    </row>
    <row r="205" spans="1:10" x14ac:dyDescent="0.25">
      <c r="A205" s="38">
        <v>600041</v>
      </c>
      <c r="B205" t="s">
        <v>1017</v>
      </c>
      <c r="C205" s="158">
        <v>0</v>
      </c>
      <c r="D205" s="158">
        <v>100208.266</v>
      </c>
      <c r="E205" s="158">
        <v>0</v>
      </c>
      <c r="F205" s="158">
        <v>100208.266</v>
      </c>
      <c r="G205" s="158" t="str">
        <f>IF($A205="","",IFERROR(INDEX(Map!$C$2:$C$400,MATCH($A205,Map!$A$2:$A$400,0)),"⚠ UNMAPPED"))</f>
        <v>IS</v>
      </c>
      <c r="H205" s="18" t="str">
        <f>IF($A205="","",IFERROR(INDEX(Map!$D$2:$D$400,MATCH($A205,Map!$A$2:$A$400,0)),"⚠ UNMAPPED"))</f>
        <v>Cost of sales</v>
      </c>
      <c r="I205" s="18" t="str">
        <f>IF($A205="","",IFERROR(INDEX(Map!$E$2:$E$400,MATCH($A205,Map!$A$2:$A$400,0)),"⚠ UNMAPPED"))</f>
        <v>Overhead - Labor Cost</v>
      </c>
      <c r="J205" s="18" t="str">
        <f>IF($A205="","",IFERROR(INDEX(Map!$F$2:$F$400,MATCH($A205,Map!$A$2:$A$400,0)),"⚠ UNMAPPED"))</f>
        <v>Indirect Salaries — factory supervisory / indirect floor labour (COGS)</v>
      </c>
    </row>
    <row r="206" spans="1:10" x14ac:dyDescent="0.25">
      <c r="A206" s="38">
        <v>600042</v>
      </c>
      <c r="B206" t="s">
        <v>1018</v>
      </c>
      <c r="C206" s="158">
        <v>0</v>
      </c>
      <c r="D206" s="158">
        <v>29860.799999999999</v>
      </c>
      <c r="E206" s="158">
        <v>0</v>
      </c>
      <c r="F206" s="158">
        <v>29860.799999999999</v>
      </c>
      <c r="G206" s="158" t="str">
        <f>IF($A206="","",IFERROR(INDEX(Map!$C$2:$C$400,MATCH($A206,Map!$A$2:$A$400,0)),"⚠ UNMAPPED"))</f>
        <v>IS</v>
      </c>
      <c r="H206" s="18" t="str">
        <f>IF($A206="","",IFERROR(INDEX(Map!$D$2:$D$400,MATCH($A206,Map!$A$2:$A$400,0)),"⚠ UNMAPPED"))</f>
        <v>Cost of sales</v>
      </c>
      <c r="I206" s="18" t="str">
        <f>IF($A206="","",IFERROR(INDEX(Map!$E$2:$E$400,MATCH($A206,Map!$A$2:$A$400,0)),"⚠ UNMAPPED"))</f>
        <v>Overhead - Rent</v>
      </c>
      <c r="J206" s="18" t="str">
        <f>IF($A206="","",IFERROR(INDEX(Map!$F$2:$F$400,MATCH($A206,Map!$A$2:$A$400,0)),"⚠ UNMAPPED"))</f>
        <v>Overhead - Rent</v>
      </c>
    </row>
    <row r="207" spans="1:10" x14ac:dyDescent="0.25">
      <c r="A207" s="38">
        <v>600044</v>
      </c>
      <c r="B207" t="s">
        <v>1019</v>
      </c>
      <c r="C207" s="158">
        <v>0</v>
      </c>
      <c r="D207" s="158">
        <v>43521.63</v>
      </c>
      <c r="E207" s="158">
        <v>0</v>
      </c>
      <c r="F207" s="158">
        <v>43521.63</v>
      </c>
      <c r="G207" s="158" t="str">
        <f>IF($A207="","",IFERROR(INDEX(Map!$C$2:$C$400,MATCH($A207,Map!$A$2:$A$400,0)),"⚠ UNMAPPED"))</f>
        <v>IS</v>
      </c>
      <c r="H207" s="18" t="str">
        <f>IF($A207="","",IFERROR(INDEX(Map!$D$2:$D$400,MATCH($A207,Map!$A$2:$A$400,0)),"⚠ UNMAPPED"))</f>
        <v>Cost of sales</v>
      </c>
      <c r="I207" s="18" t="str">
        <f>IF($A207="","",IFERROR(INDEX(Map!$E$2:$E$400,MATCH($A207,Map!$A$2:$A$400,0)),"⚠ UNMAPPED"))</f>
        <v>Overhead - Labor Cost</v>
      </c>
      <c r="J207" s="18" t="str">
        <f>IF($A207="","",IFERROR(INDEX(Map!$F$2:$F$400,MATCH($A207,Map!$A$2:$A$400,0)),"⚠ UNMAPPED"))</f>
        <v>Indirect Salaries — factory supervisory / indirect floor labour (COGS)</v>
      </c>
    </row>
    <row r="208" spans="1:10" x14ac:dyDescent="0.25">
      <c r="A208" s="38">
        <v>600045</v>
      </c>
      <c r="B208" t="s">
        <v>1020</v>
      </c>
      <c r="C208" s="158">
        <v>0</v>
      </c>
      <c r="D208" s="158">
        <v>69083.97</v>
      </c>
      <c r="E208" s="158">
        <v>0</v>
      </c>
      <c r="F208" s="158">
        <v>69083.97</v>
      </c>
      <c r="G208" s="158" t="str">
        <f>IF($A208="","",IFERROR(INDEX(Map!$C$2:$C$400,MATCH($A208,Map!$A$2:$A$400,0)),"⚠ UNMAPPED"))</f>
        <v>IS</v>
      </c>
      <c r="H208" s="18" t="str">
        <f>IF($A208="","",IFERROR(INDEX(Map!$D$2:$D$400,MATCH($A208,Map!$A$2:$A$400,0)),"⚠ UNMAPPED"))</f>
        <v>Cost of sales</v>
      </c>
      <c r="I208" s="18" t="str">
        <f>IF($A208="","",IFERROR(INDEX(Map!$E$2:$E$400,MATCH($A208,Map!$A$2:$A$400,0)),"⚠ UNMAPPED"))</f>
        <v>Overhead - Labor Cost</v>
      </c>
      <c r="J208" s="18" t="str">
        <f>IF($A208="","",IFERROR(INDEX(Map!$F$2:$F$400,MATCH($A208,Map!$A$2:$A$400,0)),"⚠ UNMAPPED"))</f>
        <v>Overhead - Labor Cost</v>
      </c>
    </row>
    <row r="209" spans="1:10" x14ac:dyDescent="0.25">
      <c r="A209" s="38">
        <v>600055</v>
      </c>
      <c r="B209" t="s">
        <v>1021</v>
      </c>
      <c r="C209" s="158">
        <v>0</v>
      </c>
      <c r="D209" s="158">
        <v>3773.297</v>
      </c>
      <c r="E209" s="158">
        <v>0</v>
      </c>
      <c r="F209" s="158">
        <v>3773.297</v>
      </c>
      <c r="G209" s="158" t="str">
        <f>IF($A209="","",IFERROR(INDEX(Map!$C$2:$C$400,MATCH($A209,Map!$A$2:$A$400,0)),"⚠ UNMAPPED"))</f>
        <v>IS</v>
      </c>
      <c r="H209" s="18" t="str">
        <f>IF($A209="","",IFERROR(INDEX(Map!$D$2:$D$400,MATCH($A209,Map!$A$2:$A$400,0)),"⚠ UNMAPPED"))</f>
        <v>Cost of sales</v>
      </c>
      <c r="I209" s="18" t="str">
        <f>IF($A209="","",IFERROR(INDEX(Map!$E$2:$E$400,MATCH($A209,Map!$A$2:$A$400,0)),"⚠ UNMAPPED"))</f>
        <v>Overhead - Insurance</v>
      </c>
      <c r="J209" s="18" t="str">
        <f>IF($A209="","",IFERROR(INDEX(Map!$F$2:$F$400,MATCH($A209,Map!$A$2:$A$400,0)),"⚠ UNMAPPED"))</f>
        <v>Overhead - Insurance</v>
      </c>
    </row>
    <row r="210" spans="1:10" x14ac:dyDescent="0.25">
      <c r="A210" s="38">
        <v>600060</v>
      </c>
      <c r="B210" t="s">
        <v>1022</v>
      </c>
      <c r="C210" s="158">
        <v>0</v>
      </c>
      <c r="D210" s="158">
        <v>0</v>
      </c>
      <c r="E210" s="158">
        <v>366400</v>
      </c>
      <c r="F210" s="158">
        <v>-366400</v>
      </c>
      <c r="G210" s="158" t="str">
        <f>IF($A210="","",IFERROR(INDEX(Map!$C$2:$C$400,MATCH($A210,Map!$A$2:$A$400,0)),"⚠ UNMAPPED"))</f>
        <v>IS</v>
      </c>
      <c r="H210" s="18" t="str">
        <f>IF($A210="","",IFERROR(INDEX(Map!$D$2:$D$400,MATCH($A210,Map!$A$2:$A$400,0)),"⚠ UNMAPPED"))</f>
        <v>Other Income</v>
      </c>
      <c r="I210" s="18" t="str">
        <f>IF($A210="","",IFERROR(INDEX(Map!$E$2:$E$400,MATCH($A210,Map!$A$2:$A$400,0)),"⚠ UNMAPPED"))</f>
        <v>Other Income</v>
      </c>
      <c r="J210" s="18" t="str">
        <f>IF($A210="","",IFERROR(INDEX(Map!$F$2:$F$400,MATCH($A210,Map!$A$2:$A$400,0)),"⚠ UNMAPPED"))</f>
        <v>Hadaf program</v>
      </c>
    </row>
    <row r="211" spans="1:10" x14ac:dyDescent="0.25">
      <c r="A211" s="38">
        <v>700001</v>
      </c>
      <c r="B211" t="s">
        <v>1023</v>
      </c>
      <c r="C211" s="158">
        <v>0</v>
      </c>
      <c r="D211" s="158">
        <v>4963736.41</v>
      </c>
      <c r="E211" s="158">
        <v>254049.03</v>
      </c>
      <c r="F211" s="158">
        <v>4709687.38</v>
      </c>
      <c r="G211" s="158" t="str">
        <f>IF($A211="","",IFERROR(INDEX(Map!$C$2:$C$400,MATCH($A211,Map!$A$2:$A$400,0)),"⚠ UNMAPPED"))</f>
        <v>IS</v>
      </c>
      <c r="H211" s="18" t="str">
        <f>IF($A211="","",IFERROR(INDEX(Map!$D$2:$D$400,MATCH($A211,Map!$A$2:$A$400,0)),"⚠ UNMAPPED"))</f>
        <v>General and Admin</v>
      </c>
      <c r="I211" s="18" t="str">
        <f>IF($A211="","",IFERROR(INDEX(Map!$E$2:$E$400,MATCH($A211,Map!$A$2:$A$400,0)),"⚠ UNMAPPED"))</f>
        <v>Salaries and wages</v>
      </c>
      <c r="J211" s="18" t="str">
        <f>IF($A211="","",IFERROR(INDEX(Map!$F$2:$F$400,MATCH($A211,Map!$A$2:$A$400,0)),"⚠ UNMAPPED"))</f>
        <v>Salaries and wages</v>
      </c>
    </row>
    <row r="212" spans="1:10" x14ac:dyDescent="0.25">
      <c r="A212" s="38">
        <v>700002</v>
      </c>
      <c r="B212" t="s">
        <v>1024</v>
      </c>
      <c r="C212" s="158">
        <v>0</v>
      </c>
      <c r="D212" s="158">
        <v>298024.26</v>
      </c>
      <c r="E212" s="158">
        <v>52550.879999999997</v>
      </c>
      <c r="F212" s="158">
        <v>245473.38</v>
      </c>
      <c r="G212" s="158" t="str">
        <f>IF($A212="","",IFERROR(INDEX(Map!$C$2:$C$400,MATCH($A212,Map!$A$2:$A$400,0)),"⚠ UNMAPPED"))</f>
        <v>IS</v>
      </c>
      <c r="H212" s="18" t="str">
        <f>IF($A212="","",IFERROR(INDEX(Map!$D$2:$D$400,MATCH($A212,Map!$A$2:$A$400,0)),"⚠ UNMAPPED"))</f>
        <v>General and Admin</v>
      </c>
      <c r="I212" s="18" t="str">
        <f>IF($A212="","",IFERROR(INDEX(Map!$E$2:$E$400,MATCH($A212,Map!$A$2:$A$400,0)),"⚠ UNMAPPED"))</f>
        <v>Salaries and wages</v>
      </c>
      <c r="J212" s="18" t="str">
        <f>IF($A212="","",IFERROR(INDEX(Map!$F$2:$F$400,MATCH($A212,Map!$A$2:$A$400,0)),"⚠ UNMAPPED"))</f>
        <v>Overtime pay</v>
      </c>
    </row>
    <row r="213" spans="1:10" x14ac:dyDescent="0.25">
      <c r="A213" s="38">
        <v>700003</v>
      </c>
      <c r="B213" t="s">
        <v>1025</v>
      </c>
      <c r="C213" s="158">
        <v>0</v>
      </c>
      <c r="D213" s="158">
        <v>0</v>
      </c>
      <c r="E213" s="158">
        <v>0</v>
      </c>
      <c r="F213" s="158">
        <v>0</v>
      </c>
      <c r="G213" s="158" t="str">
        <f>IF($A213="","",IFERROR(INDEX(Map!$C$2:$C$400,MATCH($A213,Map!$A$2:$A$400,0)),"⚠ UNMAPPED"))</f>
        <v>IS</v>
      </c>
      <c r="H213" s="18" t="str">
        <f>IF($A213="","",IFERROR(INDEX(Map!$D$2:$D$400,MATCH($A213,Map!$A$2:$A$400,0)),"⚠ UNMAPPED"))</f>
        <v>General and Admin</v>
      </c>
      <c r="I213" s="18" t="str">
        <f>IF($A213="","",IFERROR(INDEX(Map!$E$2:$E$400,MATCH($A213,Map!$A$2:$A$400,0)),"⚠ UNMAPPED"))</f>
        <v>Salaries and wages</v>
      </c>
      <c r="J213" s="18" t="str">
        <f>IF($A213="","",IFERROR(INDEX(Map!$F$2:$F$400,MATCH($A213,Map!$A$2:$A$400,0)),"⚠ UNMAPPED"))</f>
        <v xml:space="preserve">Food &amp; Housing </v>
      </c>
    </row>
    <row r="214" spans="1:10" x14ac:dyDescent="0.25">
      <c r="A214" s="38">
        <v>700004</v>
      </c>
      <c r="B214" t="s">
        <v>1026</v>
      </c>
      <c r="C214" s="158">
        <v>0</v>
      </c>
      <c r="D214" s="158">
        <v>441849.23700000002</v>
      </c>
      <c r="E214" s="158">
        <v>15983.83</v>
      </c>
      <c r="F214" s="158">
        <v>425865.40700000001</v>
      </c>
      <c r="G214" s="158" t="str">
        <f>IF($A214="","",IFERROR(INDEX(Map!$C$2:$C$400,MATCH($A214,Map!$A$2:$A$400,0)),"⚠ UNMAPPED"))</f>
        <v>IS</v>
      </c>
      <c r="H214" s="18" t="str">
        <f>IF($A214="","",IFERROR(INDEX(Map!$D$2:$D$400,MATCH($A214,Map!$A$2:$A$400,0)),"⚠ UNMAPPED"))</f>
        <v>General and Admin</v>
      </c>
      <c r="I214" s="18" t="str">
        <f>IF($A214="","",IFERROR(INDEX(Map!$E$2:$E$400,MATCH($A214,Map!$A$2:$A$400,0)),"⚠ UNMAPPED"))</f>
        <v>Salaries and wages</v>
      </c>
      <c r="J214" s="18" t="str">
        <f>IF($A214="","",IFERROR(INDEX(Map!$F$2:$F$400,MATCH($A214,Map!$A$2:$A$400,0)),"⚠ UNMAPPED"))</f>
        <v>Medical insurance</v>
      </c>
    </row>
    <row r="215" spans="1:10" x14ac:dyDescent="0.25">
      <c r="A215" s="38">
        <v>700005</v>
      </c>
      <c r="B215" t="s">
        <v>1027</v>
      </c>
      <c r="C215" s="158">
        <v>0</v>
      </c>
      <c r="D215" s="158">
        <v>268646.80099999998</v>
      </c>
      <c r="E215" s="158">
        <v>267874.11</v>
      </c>
      <c r="F215" s="158">
        <v>772.69100000000003</v>
      </c>
      <c r="G215" s="158" t="str">
        <f>IF($A215="","",IFERROR(INDEX(Map!$C$2:$C$400,MATCH($A215,Map!$A$2:$A$400,0)),"⚠ UNMAPPED"))</f>
        <v>IS</v>
      </c>
      <c r="H215" s="18" t="str">
        <f>IF($A215="","",IFERROR(INDEX(Map!$D$2:$D$400,MATCH($A215,Map!$A$2:$A$400,0)),"⚠ UNMAPPED"))</f>
        <v>General and Admin</v>
      </c>
      <c r="I215" s="18" t="str">
        <f>IF($A215="","",IFERROR(INDEX(Map!$E$2:$E$400,MATCH($A215,Map!$A$2:$A$400,0)),"⚠ UNMAPPED"))</f>
        <v>Govt license and fees (including modon)</v>
      </c>
      <c r="J215" s="18" t="str">
        <f>IF($A215="","",IFERROR(INDEX(Map!$F$2:$F$400,MATCH($A215,Map!$A$2:$A$400,0)),"⚠ UNMAPPED"))</f>
        <v>Government fees</v>
      </c>
    </row>
    <row r="216" spans="1:10" x14ac:dyDescent="0.25">
      <c r="A216" s="38">
        <v>700006</v>
      </c>
      <c r="B216" t="s">
        <v>1028</v>
      </c>
      <c r="C216" s="158">
        <v>0</v>
      </c>
      <c r="D216" s="158">
        <v>1153432.5330000001</v>
      </c>
      <c r="E216" s="158">
        <v>49479</v>
      </c>
      <c r="F216" s="158">
        <v>1103953.5330000001</v>
      </c>
      <c r="G216" s="158" t="str">
        <f>IF($A216="","",IFERROR(INDEX(Map!$C$2:$C$400,MATCH($A216,Map!$A$2:$A$400,0)),"⚠ UNMAPPED"))</f>
        <v>IS</v>
      </c>
      <c r="H216" s="18" t="str">
        <f>IF($A216="","",IFERROR(INDEX(Map!$D$2:$D$400,MATCH($A216,Map!$A$2:$A$400,0)),"⚠ UNMAPPED"))</f>
        <v>General and Admin</v>
      </c>
      <c r="I216" s="18" t="str">
        <f>IF($A216="","",IFERROR(INDEX(Map!$E$2:$E$400,MATCH($A216,Map!$A$2:$A$400,0)),"⚠ UNMAPPED"))</f>
        <v>Salaries and wages</v>
      </c>
      <c r="J216" s="18" t="str">
        <f>IF($A216="","",IFERROR(INDEX(Map!$F$2:$F$400,MATCH($A216,Map!$A$2:$A$400,0)),"⚠ UNMAPPED"))</f>
        <v xml:space="preserve">Food &amp; Housing </v>
      </c>
    </row>
    <row r="217" spans="1:10" x14ac:dyDescent="0.25">
      <c r="A217" s="38">
        <v>700007</v>
      </c>
      <c r="B217" t="s">
        <v>1029</v>
      </c>
      <c r="C217" s="158">
        <v>0</v>
      </c>
      <c r="D217" s="158">
        <v>461485</v>
      </c>
      <c r="E217" s="158">
        <v>18912</v>
      </c>
      <c r="F217" s="158">
        <v>442573</v>
      </c>
      <c r="G217" s="158" t="str">
        <f>IF($A217="","",IFERROR(INDEX(Map!$C$2:$C$400,MATCH($A217,Map!$A$2:$A$400,0)),"⚠ UNMAPPED"))</f>
        <v>IS</v>
      </c>
      <c r="H217" s="18" t="str">
        <f>IF($A217="","",IFERROR(INDEX(Map!$D$2:$D$400,MATCH($A217,Map!$A$2:$A$400,0)),"⚠ UNMAPPED"))</f>
        <v>General and Admin</v>
      </c>
      <c r="I217" s="18" t="str">
        <f>IF($A217="","",IFERROR(INDEX(Map!$E$2:$E$400,MATCH($A217,Map!$A$2:$A$400,0)),"⚠ UNMAPPED"))</f>
        <v>Salaries and wages</v>
      </c>
      <c r="J217" s="18" t="str">
        <f>IF($A217="","",IFERROR(INDEX(Map!$F$2:$F$400,MATCH($A217,Map!$A$2:$A$400,0)),"⚠ UNMAPPED"))</f>
        <v>Transportation allowance</v>
      </c>
    </row>
    <row r="218" spans="1:10" x14ac:dyDescent="0.25">
      <c r="A218" s="38">
        <v>700008</v>
      </c>
      <c r="B218" t="s">
        <v>1030</v>
      </c>
      <c r="C218" s="158">
        <v>0</v>
      </c>
      <c r="D218" s="158">
        <v>68777.760999999999</v>
      </c>
      <c r="E218" s="158">
        <v>345</v>
      </c>
      <c r="F218" s="158">
        <v>68432.760999999999</v>
      </c>
      <c r="G218" s="158" t="str">
        <f>IF($A218="","",IFERROR(INDEX(Map!$C$2:$C$400,MATCH($A218,Map!$A$2:$A$400,0)),"⚠ UNMAPPED"))</f>
        <v>IS</v>
      </c>
      <c r="H218" s="18" t="str">
        <f>IF($A218="","",IFERROR(INDEX(Map!$D$2:$D$400,MATCH($A218,Map!$A$2:$A$400,0)),"⚠ UNMAPPED"))</f>
        <v>General and Admin</v>
      </c>
      <c r="I218" s="18" t="str">
        <f>IF($A218="","",IFERROR(INDEX(Map!$E$2:$E$400,MATCH($A218,Map!$A$2:$A$400,0)),"⚠ UNMAPPED"))</f>
        <v>Salaries and wages</v>
      </c>
      <c r="J218" s="18" t="str">
        <f>IF($A218="","",IFERROR(INDEX(Map!$F$2:$F$400,MATCH($A218,Map!$A$2:$A$400,0)),"⚠ UNMAPPED"))</f>
        <v>Air tickets</v>
      </c>
    </row>
    <row r="219" spans="1:10" x14ac:dyDescent="0.25">
      <c r="A219" s="38">
        <v>700009</v>
      </c>
      <c r="B219" t="s">
        <v>1031</v>
      </c>
      <c r="C219" s="158">
        <v>0</v>
      </c>
      <c r="D219" s="158">
        <v>430262.03</v>
      </c>
      <c r="E219" s="158">
        <v>0</v>
      </c>
      <c r="F219" s="158">
        <v>430262.03</v>
      </c>
      <c r="G219" s="158" t="str">
        <f>IF($A219="","",IFERROR(INDEX(Map!$C$2:$C$400,MATCH($A219,Map!$A$2:$A$400,0)),"⚠ UNMAPPED"))</f>
        <v>IS</v>
      </c>
      <c r="H219" s="18" t="str">
        <f>IF($A219="","",IFERROR(INDEX(Map!$D$2:$D$400,MATCH($A219,Map!$A$2:$A$400,0)),"⚠ UNMAPPED"))</f>
        <v>General and Admin</v>
      </c>
      <c r="I219" s="18" t="str">
        <f>IF($A219="","",IFERROR(INDEX(Map!$E$2:$E$400,MATCH($A219,Map!$A$2:$A$400,0)),"⚠ UNMAPPED"))</f>
        <v>Salaries and wages</v>
      </c>
      <c r="J219" s="18" t="str">
        <f>IF($A219="","",IFERROR(INDEX(Map!$F$2:$F$400,MATCH($A219,Map!$A$2:$A$400,0)),"⚠ UNMAPPED"))</f>
        <v>Leave pay</v>
      </c>
    </row>
    <row r="220" spans="1:10" x14ac:dyDescent="0.25">
      <c r="A220" s="38">
        <v>700010</v>
      </c>
      <c r="B220" t="s">
        <v>1032</v>
      </c>
      <c r="C220" s="158">
        <v>0</v>
      </c>
      <c r="D220" s="158">
        <v>688360.85199999996</v>
      </c>
      <c r="E220" s="158">
        <v>270897.47399999999</v>
      </c>
      <c r="F220" s="158">
        <v>417463.37800000003</v>
      </c>
      <c r="G220" s="158" t="str">
        <f>IF($A220="","",IFERROR(INDEX(Map!$C$2:$C$400,MATCH($A220,Map!$A$2:$A$400,0)),"⚠ UNMAPPED"))</f>
        <v>IS</v>
      </c>
      <c r="H220" s="18" t="str">
        <f>IF($A220="","",IFERROR(INDEX(Map!$D$2:$D$400,MATCH($A220,Map!$A$2:$A$400,0)),"⚠ UNMAPPED"))</f>
        <v>General and Admin</v>
      </c>
      <c r="I220" s="18" t="str">
        <f>IF($A220="","",IFERROR(INDEX(Map!$E$2:$E$400,MATCH($A220,Map!$A$2:$A$400,0)),"⚠ UNMAPPED"))</f>
        <v>Salaries and wages</v>
      </c>
      <c r="J220" s="18" t="str">
        <f>IF($A220="","",IFERROR(INDEX(Map!$F$2:$F$400,MATCH($A220,Map!$A$2:$A$400,0)),"⚠ UNMAPPED"))</f>
        <v>Indemnities</v>
      </c>
    </row>
    <row r="221" spans="1:10" x14ac:dyDescent="0.25">
      <c r="A221" s="38">
        <v>700011</v>
      </c>
      <c r="B221" t="s">
        <v>1033</v>
      </c>
      <c r="C221" s="158">
        <v>0</v>
      </c>
      <c r="D221" s="158">
        <v>14875.72</v>
      </c>
      <c r="E221" s="158">
        <v>12330.13</v>
      </c>
      <c r="F221" s="158">
        <v>2545.59</v>
      </c>
      <c r="G221" s="158" t="str">
        <f>IF($A221="","",IFERROR(INDEX(Map!$C$2:$C$400,MATCH($A221,Map!$A$2:$A$400,0)),"⚠ UNMAPPED"))</f>
        <v>IS</v>
      </c>
      <c r="H221" s="18" t="str">
        <f>IF($A221="","",IFERROR(INDEX(Map!$D$2:$D$400,MATCH($A221,Map!$A$2:$A$400,0)),"⚠ UNMAPPED"))</f>
        <v>General and Admin</v>
      </c>
      <c r="I221" s="18" t="str">
        <f>IF($A221="","",IFERROR(INDEX(Map!$E$2:$E$400,MATCH($A221,Map!$A$2:$A$400,0)),"⚠ UNMAPPED"))</f>
        <v>Salaries and wages</v>
      </c>
      <c r="J221" s="18" t="str">
        <f>IF($A221="","",IFERROR(INDEX(Map!$F$2:$F$400,MATCH($A221,Map!$A$2:$A$400,0)),"⚠ UNMAPPED"))</f>
        <v>Air tickets</v>
      </c>
    </row>
    <row r="222" spans="1:10" x14ac:dyDescent="0.25">
      <c r="A222" s="38">
        <v>700012</v>
      </c>
      <c r="B222" t="s">
        <v>1034</v>
      </c>
      <c r="C222" s="158">
        <v>0</v>
      </c>
      <c r="D222" s="158">
        <v>140433</v>
      </c>
      <c r="E222" s="158">
        <v>3846</v>
      </c>
      <c r="F222" s="158">
        <v>136587</v>
      </c>
      <c r="G222" s="158" t="str">
        <f>IF($A222="","",IFERROR(INDEX(Map!$C$2:$C$400,MATCH($A222,Map!$A$2:$A$400,0)),"⚠ UNMAPPED"))</f>
        <v>IS</v>
      </c>
      <c r="H222" s="18" t="str">
        <f>IF($A222="","",IFERROR(INDEX(Map!$D$2:$D$400,MATCH($A222,Map!$A$2:$A$400,0)),"⚠ UNMAPPED"))</f>
        <v>General and Admin</v>
      </c>
      <c r="I222" s="18" t="str">
        <f>IF($A222="","",IFERROR(INDEX(Map!$E$2:$E$400,MATCH($A222,Map!$A$2:$A$400,0)),"⚠ UNMAPPED"))</f>
        <v>Salaries and wages</v>
      </c>
      <c r="J222" s="18" t="str">
        <f>IF($A222="","",IFERROR(INDEX(Map!$F$2:$F$400,MATCH($A222,Map!$A$2:$A$400,0)),"⚠ UNMAPPED"))</f>
        <v xml:space="preserve">Education &amp; Furniture Allowances </v>
      </c>
    </row>
    <row r="223" spans="1:10" x14ac:dyDescent="0.25">
      <c r="A223" s="38">
        <v>700013</v>
      </c>
      <c r="B223" t="s">
        <v>1035</v>
      </c>
      <c r="C223" s="158">
        <v>0</v>
      </c>
      <c r="D223" s="158">
        <v>78300</v>
      </c>
      <c r="E223" s="158">
        <v>3134</v>
      </c>
      <c r="F223" s="158">
        <v>75166</v>
      </c>
      <c r="G223" s="158" t="str">
        <f>IF($A223="","",IFERROR(INDEX(Map!$C$2:$C$400,MATCH($A223,Map!$A$2:$A$400,0)),"⚠ UNMAPPED"))</f>
        <v>IS</v>
      </c>
      <c r="H223" s="18" t="str">
        <f>IF($A223="","",IFERROR(INDEX(Map!$D$2:$D$400,MATCH($A223,Map!$A$2:$A$400,0)),"⚠ UNMAPPED"))</f>
        <v>General and Admin</v>
      </c>
      <c r="I223" s="18" t="str">
        <f>IF($A223="","",IFERROR(INDEX(Map!$E$2:$E$400,MATCH($A223,Map!$A$2:$A$400,0)),"⚠ UNMAPPED"))</f>
        <v>Utilities</v>
      </c>
      <c r="J223" s="18" t="str">
        <f>IF($A223="","",IFERROR(INDEX(Map!$F$2:$F$400,MATCH($A223,Map!$A$2:$A$400,0)),"⚠ UNMAPPED"))</f>
        <v>Other general and administrative expenses</v>
      </c>
    </row>
    <row r="224" spans="1:10" x14ac:dyDescent="0.25">
      <c r="A224" s="38">
        <v>700014</v>
      </c>
      <c r="B224" t="s">
        <v>1036</v>
      </c>
      <c r="C224" s="158">
        <v>0</v>
      </c>
      <c r="D224" s="158">
        <v>0</v>
      </c>
      <c r="E224" s="158">
        <v>0</v>
      </c>
      <c r="F224" s="158">
        <v>0</v>
      </c>
      <c r="G224" s="158" t="str">
        <f>IF($A224="","",IFERROR(INDEX(Map!$C$2:$C$400,MATCH($A224,Map!$A$2:$A$400,0)),"⚠ UNMAPPED"))</f>
        <v>IS</v>
      </c>
      <c r="H224" s="18" t="str">
        <f>IF($A224="","",IFERROR(INDEX(Map!$D$2:$D$400,MATCH($A224,Map!$A$2:$A$400,0)),"⚠ UNMAPPED"))</f>
        <v>General and Admin</v>
      </c>
      <c r="I224" s="18" t="str">
        <f>IF($A224="","",IFERROR(INDEX(Map!$E$2:$E$400,MATCH($A224,Map!$A$2:$A$400,0)),"⚠ UNMAPPED"))</f>
        <v>Salaries and wages</v>
      </c>
      <c r="J224" s="18" t="str">
        <f>IF($A224="","",IFERROR(INDEX(Map!$F$2:$F$400,MATCH($A224,Map!$A$2:$A$400,0)),"⚠ UNMAPPED"))</f>
        <v xml:space="preserve">Education &amp; Furniture Allowances </v>
      </c>
    </row>
    <row r="225" spans="1:10" x14ac:dyDescent="0.25">
      <c r="A225" s="38">
        <v>700015</v>
      </c>
      <c r="B225" t="s">
        <v>1037</v>
      </c>
      <c r="C225" s="158">
        <v>0</v>
      </c>
      <c r="D225" s="158">
        <v>243592.95</v>
      </c>
      <c r="E225" s="158">
        <v>0</v>
      </c>
      <c r="F225" s="158">
        <v>243592.95</v>
      </c>
      <c r="G225" s="158" t="str">
        <f>IF($A225="","",IFERROR(INDEX(Map!$C$2:$C$400,MATCH($A225,Map!$A$2:$A$400,0)),"⚠ UNMAPPED"))</f>
        <v>IS</v>
      </c>
      <c r="H225" s="18" t="str">
        <f>IF($A225="","",IFERROR(INDEX(Map!$D$2:$D$400,MATCH($A225,Map!$A$2:$A$400,0)),"⚠ UNMAPPED"))</f>
        <v>General and Admin</v>
      </c>
      <c r="I225" s="18" t="str">
        <f>IF($A225="","",IFERROR(INDEX(Map!$E$2:$E$400,MATCH($A225,Map!$A$2:$A$400,0)),"⚠ UNMAPPED"))</f>
        <v>Business travel</v>
      </c>
      <c r="J225" s="18" t="str">
        <f>IF($A225="","",IFERROR(INDEX(Map!$F$2:$F$400,MATCH($A225,Map!$A$2:$A$400,0)),"⚠ UNMAPPED"))</f>
        <v>Transportation expenses</v>
      </c>
    </row>
    <row r="226" spans="1:10" x14ac:dyDescent="0.25">
      <c r="A226" s="38">
        <v>700016</v>
      </c>
      <c r="B226" t="s">
        <v>1038</v>
      </c>
      <c r="C226" s="158">
        <v>0</v>
      </c>
      <c r="D226" s="158">
        <v>112905.095</v>
      </c>
      <c r="E226" s="158">
        <v>0</v>
      </c>
      <c r="F226" s="158">
        <v>112905.095</v>
      </c>
      <c r="G226" s="158" t="str">
        <f>IF($A226="","",IFERROR(INDEX(Map!$C$2:$C$400,MATCH($A226,Map!$A$2:$A$400,0)),"⚠ UNMAPPED"))</f>
        <v>IS</v>
      </c>
      <c r="H226" s="18" t="str">
        <f>IF($A226="","",IFERROR(INDEX(Map!$D$2:$D$400,MATCH($A226,Map!$A$2:$A$400,0)),"⚠ UNMAPPED"))</f>
        <v>Selling and Marketing</v>
      </c>
      <c r="I226" s="18" t="str">
        <f>IF($A226="","",IFERROR(INDEX(Map!$E$2:$E$400,MATCH($A226,Map!$A$2:$A$400,0)),"⚠ UNMAPPED"))</f>
        <v>Buffet expenses</v>
      </c>
      <c r="J226" s="18" t="str">
        <f>IF($A226="","",IFERROR(INDEX(Map!$F$2:$F$400,MATCH($A226,Map!$A$2:$A$400,0)),"⚠ UNMAPPED"))</f>
        <v>Food expenses</v>
      </c>
    </row>
    <row r="227" spans="1:10" x14ac:dyDescent="0.25">
      <c r="A227" s="38">
        <v>700017</v>
      </c>
      <c r="B227" t="s">
        <v>1039</v>
      </c>
      <c r="C227" s="158">
        <v>0</v>
      </c>
      <c r="D227" s="158">
        <v>7595.4170000000004</v>
      </c>
      <c r="E227" s="158">
        <v>0</v>
      </c>
      <c r="F227" s="158">
        <v>7595.4170000000004</v>
      </c>
      <c r="G227" s="158" t="str">
        <f>IF($A227="","",IFERROR(INDEX(Map!$C$2:$C$400,MATCH($A227,Map!$A$2:$A$400,0)),"⚠ UNMAPPED"))</f>
        <v>IS</v>
      </c>
      <c r="H227" s="18" t="str">
        <f>IF($A227="","",IFERROR(INDEX(Map!$D$2:$D$400,MATCH($A227,Map!$A$2:$A$400,0)),"⚠ UNMAPPED"))</f>
        <v>General and Admin</v>
      </c>
      <c r="I227" s="18" t="str">
        <f>IF($A227="","",IFERROR(INDEX(Map!$E$2:$E$400,MATCH($A227,Map!$A$2:$A$400,0)),"⚠ UNMAPPED"))</f>
        <v>Salaries and wages</v>
      </c>
      <c r="J227" s="18" t="str">
        <f>IF($A227="","",IFERROR(INDEX(Map!$F$2:$F$400,MATCH($A227,Map!$A$2:$A$400,0)),"⚠ UNMAPPED"))</f>
        <v>Accommodation expenses</v>
      </c>
    </row>
    <row r="228" spans="1:10" x14ac:dyDescent="0.25">
      <c r="A228" s="38">
        <v>700018</v>
      </c>
      <c r="B228" t="s">
        <v>1040</v>
      </c>
      <c r="C228" s="158">
        <v>0</v>
      </c>
      <c r="D228" s="158">
        <v>1275</v>
      </c>
      <c r="E228" s="158">
        <v>0</v>
      </c>
      <c r="F228" s="158">
        <v>1275</v>
      </c>
      <c r="G228" s="158" t="str">
        <f>IF($A228="","",IFERROR(INDEX(Map!$C$2:$C$400,MATCH($A228,Map!$A$2:$A$400,0)),"⚠ UNMAPPED"))</f>
        <v>IS</v>
      </c>
      <c r="H228" s="18" t="str">
        <f>IF($A228="","",IFERROR(INDEX(Map!$D$2:$D$400,MATCH($A228,Map!$A$2:$A$400,0)),"⚠ UNMAPPED"))</f>
        <v>General and Admin</v>
      </c>
      <c r="I228" s="18" t="str">
        <f>IF($A228="","",IFERROR(INDEX(Map!$E$2:$E$400,MATCH($A228,Map!$A$2:$A$400,0)),"⚠ UNMAPPED"))</f>
        <v>Salaries and wages</v>
      </c>
      <c r="J228" s="18" t="str">
        <f>IF($A228="","",IFERROR(INDEX(Map!$F$2:$F$400,MATCH($A228,Map!$A$2:$A$400,0)),"⚠ UNMAPPED"))</f>
        <v xml:space="preserve">Employee Medical Emergency Expenses </v>
      </c>
    </row>
    <row r="229" spans="1:10" x14ac:dyDescent="0.25">
      <c r="A229" s="38">
        <v>700019</v>
      </c>
      <c r="B229" t="s">
        <v>1041</v>
      </c>
      <c r="C229" s="158">
        <v>0</v>
      </c>
      <c r="D229" s="158">
        <v>300000</v>
      </c>
      <c r="E229" s="158">
        <v>0</v>
      </c>
      <c r="F229" s="158">
        <v>300000</v>
      </c>
      <c r="G229" s="158" t="str">
        <f>IF($A229="","",IFERROR(INDEX(Map!$C$2:$C$400,MATCH($A229,Map!$A$2:$A$400,0)),"⚠ UNMAPPED"))</f>
        <v>IS</v>
      </c>
      <c r="H229" s="18" t="str">
        <f>IF($A229="","",IFERROR(INDEX(Map!$D$2:$D$400,MATCH($A229,Map!$A$2:$A$400,0)),"⚠ UNMAPPED"))</f>
        <v>General and Admin</v>
      </c>
      <c r="I229" s="18" t="str">
        <f>IF($A229="","",IFERROR(INDEX(Map!$E$2:$E$400,MATCH($A229,Map!$A$2:$A$400,0)),"⚠ UNMAPPED"))</f>
        <v>Salaries and wages</v>
      </c>
      <c r="J229" s="18" t="str">
        <f>IF($A229="","",IFERROR(INDEX(Map!$F$2:$F$400,MATCH($A229,Map!$A$2:$A$400,0)),"⚠ UNMAPPED"))</f>
        <v xml:space="preserve">Incentives </v>
      </c>
    </row>
    <row r="230" spans="1:10" x14ac:dyDescent="0.25">
      <c r="A230" s="38">
        <v>700020</v>
      </c>
      <c r="B230" t="s">
        <v>1042</v>
      </c>
      <c r="C230" s="158">
        <v>0</v>
      </c>
      <c r="D230" s="158">
        <v>18154.769</v>
      </c>
      <c r="E230" s="158">
        <v>0</v>
      </c>
      <c r="F230" s="158">
        <v>18154.769</v>
      </c>
      <c r="G230" s="158" t="str">
        <f>IF($A230="","",IFERROR(INDEX(Map!$C$2:$C$400,MATCH($A230,Map!$A$2:$A$400,0)),"⚠ UNMAPPED"))</f>
        <v>IS</v>
      </c>
      <c r="H230" s="18" t="str">
        <f>IF($A230="","",IFERROR(INDEX(Map!$D$2:$D$400,MATCH($A230,Map!$A$2:$A$400,0)),"⚠ UNMAPPED"))</f>
        <v>General and Admin</v>
      </c>
      <c r="I230" s="18" t="str">
        <f>IF($A230="","",IFERROR(INDEX(Map!$E$2:$E$400,MATCH($A230,Map!$A$2:$A$400,0)),"⚠ UNMAPPED"))</f>
        <v>Utilities</v>
      </c>
      <c r="J230" s="18" t="str">
        <f>IF($A230="","",IFERROR(INDEX(Map!$F$2:$F$400,MATCH($A230,Map!$A$2:$A$400,0)),"⚠ UNMAPPED"))</f>
        <v>Electricity expenses</v>
      </c>
    </row>
    <row r="231" spans="1:10" x14ac:dyDescent="0.25">
      <c r="A231" s="38">
        <v>700021</v>
      </c>
      <c r="B231" t="s">
        <v>1043</v>
      </c>
      <c r="C231" s="158">
        <v>0</v>
      </c>
      <c r="D231" s="158">
        <v>36545</v>
      </c>
      <c r="E231" s="158">
        <v>0</v>
      </c>
      <c r="F231" s="158">
        <v>36545</v>
      </c>
      <c r="G231" s="158" t="str">
        <f>IF($A231="","",IFERROR(INDEX(Map!$C$2:$C$400,MATCH($A231,Map!$A$2:$A$400,0)),"⚠ UNMAPPED"))</f>
        <v>IS</v>
      </c>
      <c r="H231" s="18" t="str">
        <f>IF($A231="","",IFERROR(INDEX(Map!$D$2:$D$400,MATCH($A231,Map!$A$2:$A$400,0)),"⚠ UNMAPPED"))</f>
        <v>General and Admin</v>
      </c>
      <c r="I231" s="18" t="str">
        <f>IF($A231="","",IFERROR(INDEX(Map!$E$2:$E$400,MATCH($A231,Map!$A$2:$A$400,0)),"⚠ UNMAPPED"))</f>
        <v>Utilities</v>
      </c>
      <c r="J231" s="18" t="str">
        <f>IF($A231="","",IFERROR(INDEX(Map!$F$2:$F$400,MATCH($A231,Map!$A$2:$A$400,0)),"⚠ UNMAPPED"))</f>
        <v>Other general and administrative expenses</v>
      </c>
    </row>
    <row r="232" spans="1:10" x14ac:dyDescent="0.25">
      <c r="A232" s="38">
        <v>700022</v>
      </c>
      <c r="B232" t="s">
        <v>1044</v>
      </c>
      <c r="C232" s="158">
        <v>0</v>
      </c>
      <c r="D232" s="158">
        <v>66771.08</v>
      </c>
      <c r="E232" s="158">
        <v>0</v>
      </c>
      <c r="F232" s="158">
        <v>66771.08</v>
      </c>
      <c r="G232" s="158" t="str">
        <f>IF($A232="","",IFERROR(INDEX(Map!$C$2:$C$400,MATCH($A232,Map!$A$2:$A$400,0)),"⚠ UNMAPPED"))</f>
        <v>IS</v>
      </c>
      <c r="H232" s="18" t="str">
        <f>IF($A232="","",IFERROR(INDEX(Map!$D$2:$D$400,MATCH($A232,Map!$A$2:$A$400,0)),"⚠ UNMAPPED"))</f>
        <v>General and Admin</v>
      </c>
      <c r="I232" s="18" t="str">
        <f>IF($A232="","",IFERROR(INDEX(Map!$E$2:$E$400,MATCH($A232,Map!$A$2:$A$400,0)),"⚠ UNMAPPED"))</f>
        <v>Utilities</v>
      </c>
      <c r="J232" s="18" t="str">
        <f>IF($A232="","",IFERROR(INDEX(Map!$F$2:$F$400,MATCH($A232,Map!$A$2:$A$400,0)),"⚠ UNMAPPED"))</f>
        <v>Other general and administrative expenses</v>
      </c>
    </row>
    <row r="233" spans="1:10" x14ac:dyDescent="0.25">
      <c r="A233" s="38">
        <v>700023</v>
      </c>
      <c r="B233" t="s">
        <v>1045</v>
      </c>
      <c r="C233" s="158">
        <v>0</v>
      </c>
      <c r="D233" s="158">
        <v>40862.133999999998</v>
      </c>
      <c r="E233" s="158">
        <v>4.0000000000000001E-3</v>
      </c>
      <c r="F233" s="158">
        <v>40862.129999999997</v>
      </c>
      <c r="G233" s="158" t="str">
        <f>IF($A233="","",IFERROR(INDEX(Map!$C$2:$C$400,MATCH($A233,Map!$A$2:$A$400,0)),"⚠ UNMAPPED"))</f>
        <v>IS</v>
      </c>
      <c r="H233" s="18" t="str">
        <f>IF($A233="","",IFERROR(INDEX(Map!$D$2:$D$400,MATCH($A233,Map!$A$2:$A$400,0)),"⚠ UNMAPPED"))</f>
        <v>General and Admin</v>
      </c>
      <c r="I233" s="18" t="str">
        <f>IF($A233="","",IFERROR(INDEX(Map!$E$2:$E$400,MATCH($A233,Map!$A$2:$A$400,0)),"⚠ UNMAPPED"))</f>
        <v>Utilities</v>
      </c>
      <c r="J233" s="18" t="str">
        <f>IF($A233="","",IFERROR(INDEX(Map!$F$2:$F$400,MATCH($A233,Map!$A$2:$A$400,0)),"⚠ UNMAPPED"))</f>
        <v xml:space="preserve">Postage &amp; Printing </v>
      </c>
    </row>
    <row r="234" spans="1:10" x14ac:dyDescent="0.25">
      <c r="A234" s="38">
        <v>700024</v>
      </c>
      <c r="B234" t="s">
        <v>1046</v>
      </c>
      <c r="C234" s="158">
        <v>0</v>
      </c>
      <c r="D234" s="158">
        <v>557582.06799999997</v>
      </c>
      <c r="E234" s="158">
        <v>20863.746999999999</v>
      </c>
      <c r="F234" s="158">
        <v>536718.321</v>
      </c>
      <c r="G234" s="158" t="str">
        <f>IF($A234="","",IFERROR(INDEX(Map!$C$2:$C$400,MATCH($A234,Map!$A$2:$A$400,0)),"⚠ UNMAPPED"))</f>
        <v>IS</v>
      </c>
      <c r="H234" s="18" t="str">
        <f>IF($A234="","",IFERROR(INDEX(Map!$D$2:$D$400,MATCH($A234,Map!$A$2:$A$400,0)),"⚠ UNMAPPED"))</f>
        <v>General and Admin</v>
      </c>
      <c r="I234" s="18" t="str">
        <f>IF($A234="","",IFERROR(INDEX(Map!$E$2:$E$400,MATCH($A234,Map!$A$2:$A$400,0)),"⚠ UNMAPPED"))</f>
        <v>IT expenses</v>
      </c>
      <c r="J234" s="18" t="str">
        <f>IF($A234="","",IFERROR(INDEX(Map!$F$2:$F$400,MATCH($A234,Map!$A$2:$A$400,0)),"⚠ UNMAPPED"))</f>
        <v>Other general and administrative expenses</v>
      </c>
    </row>
    <row r="235" spans="1:10" x14ac:dyDescent="0.25">
      <c r="A235" s="38">
        <v>700025</v>
      </c>
      <c r="B235" t="s">
        <v>1047</v>
      </c>
      <c r="C235" s="158">
        <v>0</v>
      </c>
      <c r="D235" s="158">
        <v>1675037.3089999999</v>
      </c>
      <c r="E235" s="158">
        <v>88759.491999999998</v>
      </c>
      <c r="F235" s="158">
        <v>1586277.817</v>
      </c>
      <c r="G235" s="158" t="str">
        <f>IF($A235="","",IFERROR(INDEX(Map!$C$2:$C$400,MATCH($A235,Map!$A$2:$A$400,0)),"⚠ UNMAPPED"))</f>
        <v>IS</v>
      </c>
      <c r="H235" s="18" t="str">
        <f>IF($A235="","",IFERROR(INDEX(Map!$D$2:$D$400,MATCH($A235,Map!$A$2:$A$400,0)),"⚠ UNMAPPED"))</f>
        <v>General and Admin</v>
      </c>
      <c r="I235" s="18" t="str">
        <f>IF($A235="","",IFERROR(INDEX(Map!$E$2:$E$400,MATCH($A235,Map!$A$2:$A$400,0)),"⚠ UNMAPPED"))</f>
        <v>Salaries and wages</v>
      </c>
      <c r="J235" s="18" t="str">
        <f>IF($A235="","",IFERROR(INDEX(Map!$F$2:$F$400,MATCH($A235,Map!$A$2:$A$400,0)),"⚠ UNMAPPED"))</f>
        <v>Salaries and wages</v>
      </c>
    </row>
    <row r="236" spans="1:10" x14ac:dyDescent="0.25">
      <c r="A236" s="38">
        <v>700026</v>
      </c>
      <c r="B236" t="s">
        <v>1048</v>
      </c>
      <c r="C236" s="158">
        <v>0</v>
      </c>
      <c r="D236" s="158">
        <v>0</v>
      </c>
      <c r="E236" s="158">
        <v>0</v>
      </c>
      <c r="F236" s="158">
        <v>0</v>
      </c>
      <c r="G236" s="158" t="str">
        <f>IF($A236="","",IFERROR(INDEX(Map!$C$2:$C$400,MATCH($A236,Map!$A$2:$A$400,0)),"⚠ UNMAPPED"))</f>
        <v>IS</v>
      </c>
      <c r="H236" s="18" t="str">
        <f>IF($A236="","",IFERROR(INDEX(Map!$D$2:$D$400,MATCH($A236,Map!$A$2:$A$400,0)),"⚠ UNMAPPED"))</f>
        <v>General and Admin</v>
      </c>
      <c r="I236" s="18" t="str">
        <f>IF($A236="","",IFERROR(INDEX(Map!$E$2:$E$400,MATCH($A236,Map!$A$2:$A$400,0)),"⚠ UNMAPPED"))</f>
        <v>Utilities</v>
      </c>
      <c r="J236" s="18" t="str">
        <f>IF($A236="","",IFERROR(INDEX(Map!$F$2:$F$400,MATCH($A236,Map!$A$2:$A$400,0)),"⚠ UNMAPPED"))</f>
        <v>Magazines &amp; News Papers Exp.</v>
      </c>
    </row>
    <row r="237" spans="1:10" x14ac:dyDescent="0.25">
      <c r="A237" s="38">
        <v>700027</v>
      </c>
      <c r="B237" t="s">
        <v>1049</v>
      </c>
      <c r="C237" s="158">
        <v>0</v>
      </c>
      <c r="D237" s="158">
        <v>0</v>
      </c>
      <c r="E237" s="158">
        <v>0</v>
      </c>
      <c r="F237" s="158">
        <v>0</v>
      </c>
      <c r="G237" s="158" t="str">
        <f>IF($A237="","",IFERROR(INDEX(Map!$C$2:$C$400,MATCH($A237,Map!$A$2:$A$400,0)),"⚠ UNMAPPED"))</f>
        <v>IS</v>
      </c>
      <c r="H237" s="18" t="str">
        <f>IF($A237="","",IFERROR(INDEX(Map!$D$2:$D$400,MATCH($A237,Map!$A$2:$A$400,0)),"⚠ UNMAPPED"))</f>
        <v>General and Admin</v>
      </c>
      <c r="I237" s="18" t="str">
        <f>IF($A237="","",IFERROR(INDEX(Map!$E$2:$E$400,MATCH($A237,Map!$A$2:$A$400,0)),"⚠ UNMAPPED"))</f>
        <v>Training</v>
      </c>
      <c r="J237" s="18" t="str">
        <f>IF($A237="","",IFERROR(INDEX(Map!$F$2:$F$400,MATCH($A237,Map!$A$2:$A$400,0)),"⚠ UNMAPPED"))</f>
        <v>Training</v>
      </c>
    </row>
    <row r="238" spans="1:10" x14ac:dyDescent="0.25">
      <c r="A238" s="38">
        <v>700028</v>
      </c>
      <c r="B238" t="s">
        <v>1050</v>
      </c>
      <c r="C238" s="158">
        <v>0</v>
      </c>
      <c r="D238" s="158">
        <v>1808</v>
      </c>
      <c r="E238" s="158">
        <v>0</v>
      </c>
      <c r="F238" s="158">
        <v>1808</v>
      </c>
      <c r="G238" s="158" t="str">
        <f>IF($A238="","",IFERROR(INDEX(Map!$C$2:$C$400,MATCH($A238,Map!$A$2:$A$400,0)),"⚠ UNMAPPED"))</f>
        <v>IS</v>
      </c>
      <c r="H238" s="18" t="str">
        <f>IF($A238="","",IFERROR(INDEX(Map!$D$2:$D$400,MATCH($A238,Map!$A$2:$A$400,0)),"⚠ UNMAPPED"))</f>
        <v>General and Admin</v>
      </c>
      <c r="I238" s="18" t="str">
        <f>IF($A238="","",IFERROR(INDEX(Map!$E$2:$E$400,MATCH($A238,Map!$A$2:$A$400,0)),"⚠ UNMAPPED"))</f>
        <v xml:space="preserve">Back office Support </v>
      </c>
      <c r="J238" s="18" t="str">
        <f>IF($A238="","",IFERROR(INDEX(Map!$F$2:$F$400,MATCH($A238,Map!$A$2:$A$400,0)),"⚠ UNMAPPED"))</f>
        <v>Stationery expenses</v>
      </c>
    </row>
    <row r="239" spans="1:10" x14ac:dyDescent="0.25">
      <c r="A239" s="38">
        <v>700029</v>
      </c>
      <c r="B239" t="s">
        <v>1051</v>
      </c>
      <c r="C239" s="158">
        <v>0</v>
      </c>
      <c r="D239" s="158">
        <v>55</v>
      </c>
      <c r="E239" s="158">
        <v>0</v>
      </c>
      <c r="F239" s="158">
        <v>55</v>
      </c>
      <c r="G239" s="158" t="str">
        <f>IF($A239="","",IFERROR(INDEX(Map!$C$2:$C$400,MATCH($A239,Map!$A$2:$A$400,0)),"⚠ UNMAPPED"))</f>
        <v>IS</v>
      </c>
      <c r="H239" s="18" t="str">
        <f>IF($A239="","",IFERROR(INDEX(Map!$D$2:$D$400,MATCH($A239,Map!$A$2:$A$400,0)),"⚠ UNMAPPED"))</f>
        <v>General and Admin</v>
      </c>
      <c r="I239" s="18" t="str">
        <f>IF($A239="","",IFERROR(INDEX(Map!$E$2:$E$400,MATCH($A239,Map!$A$2:$A$400,0)),"⚠ UNMAPPED"))</f>
        <v>Utilities</v>
      </c>
      <c r="J239" s="18" t="str">
        <f>IF($A239="","",IFERROR(INDEX(Map!$F$2:$F$400,MATCH($A239,Map!$A$2:$A$400,0)),"⚠ UNMAPPED"))</f>
        <v xml:space="preserve">Postage &amp; Printing </v>
      </c>
    </row>
    <row r="240" spans="1:10" x14ac:dyDescent="0.25">
      <c r="A240" s="38">
        <v>700030</v>
      </c>
      <c r="B240" t="s">
        <v>1052</v>
      </c>
      <c r="C240" s="158">
        <v>0</v>
      </c>
      <c r="D240" s="158">
        <v>18114.77</v>
      </c>
      <c r="E240" s="158">
        <v>8.0000000000000002E-3</v>
      </c>
      <c r="F240" s="158">
        <v>18114.761999999999</v>
      </c>
      <c r="G240" s="158" t="str">
        <f>IF($A240="","",IFERROR(INDEX(Map!$C$2:$C$400,MATCH($A240,Map!$A$2:$A$400,0)),"⚠ UNMAPPED"))</f>
        <v>IS</v>
      </c>
      <c r="H240" s="18" t="str">
        <f>IF($A240="","",IFERROR(INDEX(Map!$D$2:$D$400,MATCH($A240,Map!$A$2:$A$400,0)),"⚠ UNMAPPED"))</f>
        <v>General and Admin</v>
      </c>
      <c r="I240" s="18" t="str">
        <f>IF($A240="","",IFERROR(INDEX(Map!$E$2:$E$400,MATCH($A240,Map!$A$2:$A$400,0)),"⚠ UNMAPPED"))</f>
        <v>Utilities</v>
      </c>
      <c r="J240" s="18" t="str">
        <f>IF($A240="","",IFERROR(INDEX(Map!$F$2:$F$400,MATCH($A240,Map!$A$2:$A$400,0)),"⚠ UNMAPPED"))</f>
        <v>Building maintenance</v>
      </c>
    </row>
    <row r="241" spans="1:10" x14ac:dyDescent="0.25">
      <c r="A241" s="38">
        <v>700031</v>
      </c>
      <c r="B241" t="s">
        <v>1053</v>
      </c>
      <c r="C241" s="158">
        <v>0</v>
      </c>
      <c r="D241" s="158">
        <v>100</v>
      </c>
      <c r="E241" s="158">
        <v>0</v>
      </c>
      <c r="F241" s="158">
        <v>100</v>
      </c>
      <c r="G241" s="158" t="str">
        <f>IF($A241="","",IFERROR(INDEX(Map!$C$2:$C$400,MATCH($A241,Map!$A$2:$A$400,0)),"⚠ UNMAPPED"))</f>
        <v>IS</v>
      </c>
      <c r="H241" s="18" t="str">
        <f>IF($A241="","",IFERROR(INDEX(Map!$D$2:$D$400,MATCH($A241,Map!$A$2:$A$400,0)),"⚠ UNMAPPED"))</f>
        <v>General and Admin</v>
      </c>
      <c r="I241" s="18" t="str">
        <f>IF($A241="","",IFERROR(INDEX(Map!$E$2:$E$400,MATCH($A241,Map!$A$2:$A$400,0)),"⚠ UNMAPPED"))</f>
        <v>Utilities</v>
      </c>
      <c r="J241" s="18" t="str">
        <f>IF($A241="","",IFERROR(INDEX(Map!$F$2:$F$400,MATCH($A241,Map!$A$2:$A$400,0)),"⚠ UNMAPPED"))</f>
        <v>Office equipment maintenance</v>
      </c>
    </row>
    <row r="242" spans="1:10" x14ac:dyDescent="0.25">
      <c r="A242" s="38">
        <v>700032</v>
      </c>
      <c r="B242" t="s">
        <v>1054</v>
      </c>
      <c r="C242" s="158">
        <v>0</v>
      </c>
      <c r="D242" s="158">
        <v>60111.892999999996</v>
      </c>
      <c r="E242" s="158">
        <v>5.2999999999999999E-2</v>
      </c>
      <c r="F242" s="158">
        <v>60111.839999999997</v>
      </c>
      <c r="G242" s="158" t="str">
        <f>IF($A242="","",IFERROR(INDEX(Map!$C$2:$C$400,MATCH($A242,Map!$A$2:$A$400,0)),"⚠ UNMAPPED"))</f>
        <v>IS</v>
      </c>
      <c r="H242" s="18" t="str">
        <f>IF($A242="","",IFERROR(INDEX(Map!$D$2:$D$400,MATCH($A242,Map!$A$2:$A$400,0)),"⚠ UNMAPPED"))</f>
        <v>General and Admin</v>
      </c>
      <c r="I242" s="18" t="str">
        <f>IF($A242="","",IFERROR(INDEX(Map!$E$2:$E$400,MATCH($A242,Map!$A$2:$A$400,0)),"⚠ UNMAPPED"))</f>
        <v>Utilities</v>
      </c>
      <c r="J242" s="18" t="str">
        <f>IF($A242="","",IFERROR(INDEX(Map!$F$2:$F$400,MATCH($A242,Map!$A$2:$A$400,0)),"⚠ UNMAPPED"))</f>
        <v>Vehicle maintenance</v>
      </c>
    </row>
    <row r="243" spans="1:10" x14ac:dyDescent="0.25">
      <c r="A243" s="38">
        <v>700033</v>
      </c>
      <c r="B243" t="s">
        <v>1055</v>
      </c>
      <c r="C243" s="158">
        <v>0</v>
      </c>
      <c r="D243" s="158">
        <v>154217.36199999999</v>
      </c>
      <c r="E243" s="158">
        <v>4.8000000000000001E-2</v>
      </c>
      <c r="F243" s="158">
        <v>154217.31400000001</v>
      </c>
      <c r="G243" s="158" t="str">
        <f>IF($A243="","",IFERROR(INDEX(Map!$C$2:$C$400,MATCH($A243,Map!$A$2:$A$400,0)),"⚠ UNMAPPED"))</f>
        <v>IS</v>
      </c>
      <c r="H243" s="18" t="str">
        <f>IF($A243="","",IFERROR(INDEX(Map!$D$2:$D$400,MATCH($A243,Map!$A$2:$A$400,0)),"⚠ UNMAPPED"))</f>
        <v>General and Admin</v>
      </c>
      <c r="I243" s="18" t="str">
        <f>IF($A243="","",IFERROR(INDEX(Map!$E$2:$E$400,MATCH($A243,Map!$A$2:$A$400,0)),"⚠ UNMAPPED"))</f>
        <v>Utilities</v>
      </c>
      <c r="J243" s="18" t="str">
        <f>IF($A243="","",IFERROR(INDEX(Map!$F$2:$F$400,MATCH($A243,Map!$A$2:$A$400,0)),"⚠ UNMAPPED"))</f>
        <v>Fuel and oil</v>
      </c>
    </row>
    <row r="244" spans="1:10" x14ac:dyDescent="0.25">
      <c r="A244" s="38">
        <v>700034</v>
      </c>
      <c r="B244" t="s">
        <v>1056</v>
      </c>
      <c r="C244" s="158">
        <v>0</v>
      </c>
      <c r="D244" s="158">
        <v>19458.319</v>
      </c>
      <c r="E244" s="158">
        <v>46.017000000000003</v>
      </c>
      <c r="F244" s="158">
        <v>19412.302</v>
      </c>
      <c r="G244" s="158" t="str">
        <f>IF($A244="","",IFERROR(INDEX(Map!$C$2:$C$400,MATCH($A244,Map!$A$2:$A$400,0)),"⚠ UNMAPPED"))</f>
        <v>IS</v>
      </c>
      <c r="H244" s="18" t="str">
        <f>IF($A244="","",IFERROR(INDEX(Map!$D$2:$D$400,MATCH($A244,Map!$A$2:$A$400,0)),"⚠ UNMAPPED"))</f>
        <v>General and Admin</v>
      </c>
      <c r="I244" s="18" t="str">
        <f>IF($A244="","",IFERROR(INDEX(Map!$E$2:$E$400,MATCH($A244,Map!$A$2:$A$400,0)),"⚠ UNMAPPED"))</f>
        <v xml:space="preserve">Back office Support </v>
      </c>
      <c r="J244" s="18" t="str">
        <f>IF($A244="","",IFERROR(INDEX(Map!$F$2:$F$400,MATCH($A244,Map!$A$2:$A$400,0)),"⚠ UNMAPPED"))</f>
        <v>Consumables</v>
      </c>
    </row>
    <row r="245" spans="1:10" x14ac:dyDescent="0.25">
      <c r="A245" s="38">
        <v>700035</v>
      </c>
      <c r="B245" t="s">
        <v>1057</v>
      </c>
      <c r="C245" s="158">
        <v>0</v>
      </c>
      <c r="D245" s="158">
        <v>0</v>
      </c>
      <c r="E245" s="158">
        <v>0</v>
      </c>
      <c r="F245" s="158">
        <v>0</v>
      </c>
      <c r="G245" s="158" t="str">
        <f>IF($A245="","",IFERROR(INDEX(Map!$C$2:$C$400,MATCH($A245,Map!$A$2:$A$400,0)),"⚠ UNMAPPED"))</f>
        <v>IS</v>
      </c>
      <c r="H245" s="18" t="str">
        <f>IF($A245="","",IFERROR(INDEX(Map!$D$2:$D$400,MATCH($A245,Map!$A$2:$A$400,0)),"⚠ UNMAPPED"))</f>
        <v>General and Admin</v>
      </c>
      <c r="I245" s="18" t="str">
        <f>IF($A245="","",IFERROR(INDEX(Map!$E$2:$E$400,MATCH($A245,Map!$A$2:$A$400,0)),"⚠ UNMAPPED"))</f>
        <v>Actuarial gains and losses</v>
      </c>
      <c r="J245" s="18" t="str">
        <f>IF($A245="","",IFERROR(INDEX(Map!$F$2:$F$400,MATCH($A245,Map!$A$2:$A$400,0)),"⚠ UNMAPPED"))</f>
        <v>Other general and administrative expenses</v>
      </c>
    </row>
    <row r="246" spans="1:10" x14ac:dyDescent="0.25">
      <c r="A246" s="38">
        <v>700036</v>
      </c>
      <c r="B246" t="s">
        <v>1058</v>
      </c>
      <c r="C246" s="158">
        <v>0</v>
      </c>
      <c r="D246" s="158">
        <v>42776.000999999997</v>
      </c>
      <c r="E246" s="158">
        <v>3773.297</v>
      </c>
      <c r="F246" s="158">
        <v>39002.703999999998</v>
      </c>
      <c r="G246" s="158" t="str">
        <f>IF($A246="","",IFERROR(INDEX(Map!$C$2:$C$400,MATCH($A246,Map!$A$2:$A$400,0)),"⚠ UNMAPPED"))</f>
        <v>IS</v>
      </c>
      <c r="H246" s="18" t="str">
        <f>IF($A246="","",IFERROR(INDEX(Map!$D$2:$D$400,MATCH($A246,Map!$A$2:$A$400,0)),"⚠ UNMAPPED"))</f>
        <v>General and Admin</v>
      </c>
      <c r="I246" s="18" t="str">
        <f>IF($A246="","",IFERROR(INDEX(Map!$E$2:$E$400,MATCH($A246,Map!$A$2:$A$400,0)),"⚠ UNMAPPED"))</f>
        <v>Utilities</v>
      </c>
      <c r="J246" s="18" t="str">
        <f>IF($A246="","",IFERROR(INDEX(Map!$F$2:$F$400,MATCH($A246,Map!$A$2:$A$400,0)),"⚠ UNMAPPED"))</f>
        <v>Vehicle insurance</v>
      </c>
    </row>
    <row r="247" spans="1:10" x14ac:dyDescent="0.25">
      <c r="A247" s="38">
        <v>700037</v>
      </c>
      <c r="B247" t="s">
        <v>1059</v>
      </c>
      <c r="C247" s="158">
        <v>0</v>
      </c>
      <c r="D247" s="158">
        <v>0</v>
      </c>
      <c r="E247" s="158">
        <v>0</v>
      </c>
      <c r="F247" s="158">
        <v>0</v>
      </c>
      <c r="G247" s="158" t="str">
        <f>IF($A247="","",IFERROR(INDEX(Map!$C$2:$C$400,MATCH($A247,Map!$A$2:$A$400,0)),"⚠ UNMAPPED"))</f>
        <v>IS</v>
      </c>
      <c r="H247" s="18" t="str">
        <f>IF($A247="","",IFERROR(INDEX(Map!$D$2:$D$400,MATCH($A247,Map!$A$2:$A$400,0)),"⚠ UNMAPPED"))</f>
        <v>Finance cost</v>
      </c>
      <c r="I247" s="18" t="str">
        <f>IF($A247="","",IFERROR(INDEX(Map!$E$2:$E$400,MATCH($A247,Map!$A$2:$A$400,0)),"⚠ UNMAPPED"))</f>
        <v>Finance cost</v>
      </c>
      <c r="J247" s="18" t="str">
        <f>IF($A247="","",IFERROR(INDEX(Map!$F$2:$F$400,MATCH($A247,Map!$A$2:$A$400,0)),"⚠ UNMAPPED"))</f>
        <v>Lease interest</v>
      </c>
    </row>
    <row r="248" spans="1:10" x14ac:dyDescent="0.25">
      <c r="A248" s="38">
        <v>700038</v>
      </c>
      <c r="B248" t="s">
        <v>1060</v>
      </c>
      <c r="C248" s="158">
        <v>0</v>
      </c>
      <c r="D248" s="158">
        <v>208702.35500000001</v>
      </c>
      <c r="E248" s="158">
        <v>9225</v>
      </c>
      <c r="F248" s="158">
        <v>199477.35500000001</v>
      </c>
      <c r="G248" s="158" t="str">
        <f>IF($A248="","",IFERROR(INDEX(Map!$C$2:$C$400,MATCH($A248,Map!$A$2:$A$400,0)),"⚠ UNMAPPED"))</f>
        <v>IS</v>
      </c>
      <c r="H248" s="18" t="str">
        <f>IF($A248="","",IFERROR(INDEX(Map!$D$2:$D$400,MATCH($A248,Map!$A$2:$A$400,0)),"⚠ UNMAPPED"))</f>
        <v>General and Admin</v>
      </c>
      <c r="I248" s="18" t="str">
        <f>IF($A248="","",IFERROR(INDEX(Map!$E$2:$E$400,MATCH($A248,Map!$A$2:$A$400,0)),"⚠ UNMAPPED"))</f>
        <v>Business travel</v>
      </c>
      <c r="J248" s="18" t="str">
        <f>IF($A248="","",IFERROR(INDEX(Map!$F$2:$F$400,MATCH($A248,Map!$A$2:$A$400,0)),"⚠ UNMAPPED"))</f>
        <v>Bussiness trip expenses</v>
      </c>
    </row>
    <row r="249" spans="1:10" x14ac:dyDescent="0.25">
      <c r="A249" s="38">
        <v>700039</v>
      </c>
      <c r="B249" t="s">
        <v>1061</v>
      </c>
      <c r="C249" s="158">
        <v>0</v>
      </c>
      <c r="D249" s="158">
        <v>14894.51</v>
      </c>
      <c r="E249" s="158">
        <v>0</v>
      </c>
      <c r="F249" s="158">
        <v>14894.51</v>
      </c>
      <c r="G249" s="158" t="str">
        <f>IF($A249="","",IFERROR(INDEX(Map!$C$2:$C$400,MATCH($A249,Map!$A$2:$A$400,0)),"⚠ UNMAPPED"))</f>
        <v>IS</v>
      </c>
      <c r="H249" s="18" t="str">
        <f>IF($A249="","",IFERROR(INDEX(Map!$D$2:$D$400,MATCH($A249,Map!$A$2:$A$400,0)),"⚠ UNMAPPED"))</f>
        <v>Selling and Marketing</v>
      </c>
      <c r="I249" s="18" t="str">
        <f>IF($A249="","",IFERROR(INDEX(Map!$E$2:$E$400,MATCH($A249,Map!$A$2:$A$400,0)),"⚠ UNMAPPED"))</f>
        <v>Buffet expenses</v>
      </c>
      <c r="J249" s="18" t="str">
        <f>IF($A249="","",IFERROR(INDEX(Map!$F$2:$F$400,MATCH($A249,Map!$A$2:$A$400,0)),"⚠ UNMAPPED"))</f>
        <v>Buffet expenses</v>
      </c>
    </row>
    <row r="250" spans="1:10" x14ac:dyDescent="0.25">
      <c r="A250" s="38">
        <v>700040</v>
      </c>
      <c r="B250" t="s">
        <v>1062</v>
      </c>
      <c r="C250" s="158">
        <v>0</v>
      </c>
      <c r="D250" s="158">
        <v>52081.81</v>
      </c>
      <c r="E250" s="158">
        <v>0.28000000000000003</v>
      </c>
      <c r="F250" s="158">
        <v>52081.53</v>
      </c>
      <c r="G250" s="158" t="str">
        <f>IF($A250="","",IFERROR(INDEX(Map!$C$2:$C$400,MATCH($A250,Map!$A$2:$A$400,0)),"⚠ UNMAPPED"))</f>
        <v>IS</v>
      </c>
      <c r="H250" s="18" t="str">
        <f>IF($A250="","",IFERROR(INDEX(Map!$D$2:$D$400,MATCH($A250,Map!$A$2:$A$400,0)),"⚠ UNMAPPED"))</f>
        <v>General and Admin</v>
      </c>
      <c r="I250" s="18" t="str">
        <f>IF($A250="","",IFERROR(INDEX(Map!$E$2:$E$400,MATCH($A250,Map!$A$2:$A$400,0)),"⚠ UNMAPPED"))</f>
        <v>Utilities</v>
      </c>
      <c r="J250" s="18" t="str">
        <f>IF($A250="","",IFERROR(INDEX(Map!$F$2:$F$400,MATCH($A250,Map!$A$2:$A$400,0)),"⚠ UNMAPPED"))</f>
        <v xml:space="preserve">Cleaning Expenses </v>
      </c>
    </row>
    <row r="251" spans="1:10" x14ac:dyDescent="0.25">
      <c r="A251" s="38">
        <v>700041</v>
      </c>
      <c r="B251" t="s">
        <v>1063</v>
      </c>
      <c r="C251" s="158">
        <v>0</v>
      </c>
      <c r="D251" s="158">
        <v>21665.780999999999</v>
      </c>
      <c r="E251" s="158">
        <v>0</v>
      </c>
      <c r="F251" s="158">
        <v>21665.780999999999</v>
      </c>
      <c r="G251" s="158" t="str">
        <f>IF($A251="","",IFERROR(INDEX(Map!$C$2:$C$400,MATCH($A251,Map!$A$2:$A$400,0)),"⚠ UNMAPPED"))</f>
        <v>IS</v>
      </c>
      <c r="H251" s="18" t="str">
        <f>IF($A251="","",IFERROR(INDEX(Map!$D$2:$D$400,MATCH($A251,Map!$A$2:$A$400,0)),"⚠ UNMAPPED"))</f>
        <v>General and Admin</v>
      </c>
      <c r="I251" s="18" t="str">
        <f>IF($A251="","",IFERROR(INDEX(Map!$E$2:$E$400,MATCH($A251,Map!$A$2:$A$400,0)),"⚠ UNMAPPED"))</f>
        <v>Salaries and wages</v>
      </c>
      <c r="J251" s="18" t="str">
        <f>IF($A251="","",IFERROR(INDEX(Map!$F$2:$F$400,MATCH($A251,Map!$A$2:$A$400,0)),"⚠ UNMAPPED"))</f>
        <v>Recruitment</v>
      </c>
    </row>
    <row r="252" spans="1:10" x14ac:dyDescent="0.25">
      <c r="A252" s="38">
        <v>700042</v>
      </c>
      <c r="B252" t="s">
        <v>1064</v>
      </c>
      <c r="C252" s="158">
        <v>0</v>
      </c>
      <c r="D252" s="158">
        <v>218523.29300000001</v>
      </c>
      <c r="E252" s="158">
        <v>255729.83499999999</v>
      </c>
      <c r="F252" s="158">
        <v>-37206.542000000001</v>
      </c>
      <c r="G252" s="158" t="str">
        <f>IF($A252="","",IFERROR(INDEX(Map!$C$2:$C$400,MATCH($A252,Map!$A$2:$A$400,0)),"⚠ UNMAPPED"))</f>
        <v>IS</v>
      </c>
      <c r="H252" s="18" t="str">
        <f>IF($A252="","",IFERROR(INDEX(Map!$D$2:$D$400,MATCH($A252,Map!$A$2:$A$400,0)),"⚠ UNMAPPED"))</f>
        <v>General and Admin</v>
      </c>
      <c r="I252" s="18" t="str">
        <f>IF($A252="","",IFERROR(INDEX(Map!$E$2:$E$400,MATCH($A252,Map!$A$2:$A$400,0)),"⚠ UNMAPPED"))</f>
        <v xml:space="preserve">Back office Support </v>
      </c>
      <c r="J252" s="18" t="str">
        <f>IF($A252="","",IFERROR(INDEX(Map!$F$2:$F$400,MATCH($A252,Map!$A$2:$A$400,0)),"⚠ UNMAPPED"))</f>
        <v>Other expenses</v>
      </c>
    </row>
    <row r="253" spans="1:10" x14ac:dyDescent="0.25">
      <c r="A253" s="38">
        <v>700043</v>
      </c>
      <c r="B253" t="s">
        <v>1065</v>
      </c>
      <c r="C253" s="158">
        <v>0</v>
      </c>
      <c r="D253" s="158">
        <v>1715</v>
      </c>
      <c r="E253" s="158">
        <v>0</v>
      </c>
      <c r="F253" s="158">
        <v>1715</v>
      </c>
      <c r="G253" s="158" t="str">
        <f>IF($A253="","",IFERROR(INDEX(Map!$C$2:$C$400,MATCH($A253,Map!$A$2:$A$400,0)),"⚠ UNMAPPED"))</f>
        <v>IS</v>
      </c>
      <c r="H253" s="18" t="str">
        <f>IF($A253="","",IFERROR(INDEX(Map!$D$2:$D$400,MATCH($A253,Map!$A$2:$A$400,0)),"⚠ UNMAPPED"))</f>
        <v>General and Admin</v>
      </c>
      <c r="I253" s="18" t="str">
        <f>IF($A253="","",IFERROR(INDEX(Map!$E$2:$E$400,MATCH($A253,Map!$A$2:$A$400,0)),"⚠ UNMAPPED"))</f>
        <v>Govt license and fees (including modon)</v>
      </c>
      <c r="J253" s="18" t="str">
        <f>IF($A253="","",IFERROR(INDEX(Map!$F$2:$F$400,MATCH($A253,Map!$A$2:$A$400,0)),"⚠ UNMAPPED"))</f>
        <v>Licenses and fees</v>
      </c>
    </row>
    <row r="254" spans="1:10" x14ac:dyDescent="0.25">
      <c r="A254" s="38">
        <v>700044</v>
      </c>
      <c r="B254" t="s">
        <v>1066</v>
      </c>
      <c r="C254" s="158">
        <v>0</v>
      </c>
      <c r="D254" s="158">
        <v>56325.78</v>
      </c>
      <c r="E254" s="158">
        <v>0</v>
      </c>
      <c r="F254" s="158">
        <v>56325.78</v>
      </c>
      <c r="G254" s="158" t="str">
        <f>IF($A254="","",IFERROR(INDEX(Map!$C$2:$C$400,MATCH($A254,Map!$A$2:$A$400,0)),"⚠ UNMAPPED"))</f>
        <v>IS</v>
      </c>
      <c r="H254" s="18" t="str">
        <f>IF($A254="","",IFERROR(INDEX(Map!$D$2:$D$400,MATCH($A254,Map!$A$2:$A$400,0)),"⚠ UNMAPPED"))</f>
        <v>General and Admin</v>
      </c>
      <c r="I254" s="18" t="str">
        <f>IF($A254="","",IFERROR(INDEX(Map!$E$2:$E$400,MATCH($A254,Map!$A$2:$A$400,0)),"⚠ UNMAPPED"))</f>
        <v>Govt license and fees (including modon)</v>
      </c>
      <c r="J254" s="18" t="str">
        <f>IF($A254="","",IFERROR(INDEX(Map!$F$2:$F$400,MATCH($A254,Map!$A$2:$A$400,0)),"⚠ UNMAPPED"))</f>
        <v>Government fees</v>
      </c>
    </row>
    <row r="255" spans="1:10" x14ac:dyDescent="0.25">
      <c r="A255" s="38">
        <v>700045</v>
      </c>
      <c r="B255" t="s">
        <v>1067</v>
      </c>
      <c r="C255" s="158">
        <v>0</v>
      </c>
      <c r="D255" s="158">
        <v>8898275.2599999998</v>
      </c>
      <c r="E255" s="158">
        <v>75533.438999999998</v>
      </c>
      <c r="F255" s="158">
        <v>8822741.8210000005</v>
      </c>
      <c r="G255" s="158" t="str">
        <f>IF($A255="","",IFERROR(INDEX(Map!$C$2:$C$400,MATCH($A255,Map!$A$2:$A$400,0)),"⚠ UNMAPPED"))</f>
        <v>IS</v>
      </c>
      <c r="H255" s="18" t="str">
        <f>IF($A255="","",IFERROR(INDEX(Map!$D$2:$D$400,MATCH($A255,Map!$A$2:$A$400,0)),"⚠ UNMAPPED"))</f>
        <v>Finance cost</v>
      </c>
      <c r="I255" s="18" t="str">
        <f>IF($A255="","",IFERROR(INDEX(Map!$E$2:$E$400,MATCH($A255,Map!$A$2:$A$400,0)),"⚠ UNMAPPED"))</f>
        <v>Finance cost</v>
      </c>
      <c r="J255" s="18" t="str">
        <f>IF($A255="","",IFERROR(INDEX(Map!$F$2:$F$400,MATCH($A255,Map!$A$2:$A$400,0)),"⚠ UNMAPPED"))</f>
        <v>Bank charges</v>
      </c>
    </row>
    <row r="256" spans="1:10" x14ac:dyDescent="0.25">
      <c r="A256" s="38">
        <v>700047</v>
      </c>
      <c r="B256" t="s">
        <v>1068</v>
      </c>
      <c r="C256" s="158">
        <v>0</v>
      </c>
      <c r="D256" s="158">
        <v>119718.694</v>
      </c>
      <c r="E256" s="158">
        <v>0</v>
      </c>
      <c r="F256" s="158">
        <v>119718.694</v>
      </c>
      <c r="G256" s="158" t="str">
        <f>IF($A256="","",IFERROR(INDEX(Map!$C$2:$C$400,MATCH($A256,Map!$A$2:$A$400,0)),"⚠ UNMAPPED"))</f>
        <v>IS</v>
      </c>
      <c r="H256" s="18" t="str">
        <f>IF($A256="","",IFERROR(INDEX(Map!$D$2:$D$400,MATCH($A256,Map!$A$2:$A$400,0)),"⚠ UNMAPPED"))</f>
        <v>Cost of sales</v>
      </c>
      <c r="I256" s="18" t="str">
        <f>IF($A256="","",IFERROR(INDEX(Map!$E$2:$E$400,MATCH($A256,Map!$A$2:$A$400,0)),"⚠ UNMAPPED"))</f>
        <v>Freight expenses</v>
      </c>
      <c r="J256" s="18" t="str">
        <f>IF($A256="","",IFERROR(INDEX(Map!$F$2:$F$400,MATCH($A256,Map!$A$2:$A$400,0)),"⚠ UNMAPPED"))</f>
        <v>Freight expenses</v>
      </c>
    </row>
    <row r="257" spans="1:10" x14ac:dyDescent="0.25">
      <c r="A257" s="38">
        <v>700048</v>
      </c>
      <c r="B257" t="s">
        <v>1069</v>
      </c>
      <c r="C257" s="158">
        <v>0</v>
      </c>
      <c r="D257" s="158">
        <v>0</v>
      </c>
      <c r="E257" s="158">
        <v>0</v>
      </c>
      <c r="F257" s="158">
        <v>0</v>
      </c>
      <c r="G257" s="158" t="str">
        <f>IF($A257="","",IFERROR(INDEX(Map!$C$2:$C$400,MATCH($A257,Map!$A$2:$A$400,0)),"⚠ UNMAPPED"))</f>
        <v>IS</v>
      </c>
      <c r="H257" s="18" t="str">
        <f>IF($A257="","",IFERROR(INDEX(Map!$D$2:$D$400,MATCH($A257,Map!$A$2:$A$400,0)),"⚠ UNMAPPED"))</f>
        <v>Zakat</v>
      </c>
      <c r="I257" s="18" t="str">
        <f>IF($A257="","",IFERROR(INDEX(Map!$E$2:$E$400,MATCH($A257,Map!$A$2:$A$400,0)),"⚠ UNMAPPED"))</f>
        <v>Zakat expenses</v>
      </c>
      <c r="J257" s="18" t="str">
        <f>IF($A257="","",IFERROR(INDEX(Map!$F$2:$F$400,MATCH($A257,Map!$A$2:$A$400,0)),"⚠ UNMAPPED"))</f>
        <v>Zakat expenses</v>
      </c>
    </row>
    <row r="258" spans="1:10" x14ac:dyDescent="0.25">
      <c r="A258" s="38">
        <v>700049</v>
      </c>
      <c r="B258" t="s">
        <v>1070</v>
      </c>
      <c r="C258" s="158">
        <v>0</v>
      </c>
      <c r="D258" s="158">
        <v>0</v>
      </c>
      <c r="E258" s="158">
        <v>0</v>
      </c>
      <c r="F258" s="158">
        <v>0</v>
      </c>
      <c r="G258" s="158" t="str">
        <f>IF($A258="","",IFERROR(INDEX(Map!$C$2:$C$400,MATCH($A258,Map!$A$2:$A$400,0)),"⚠ UNMAPPED"))</f>
        <v>IS</v>
      </c>
      <c r="H258" s="18" t="str">
        <f>IF($A258="","",IFERROR(INDEX(Map!$D$2:$D$400,MATCH($A258,Map!$A$2:$A$400,0)),"⚠ UNMAPPED"))</f>
        <v>General and Admin</v>
      </c>
      <c r="I258" s="18" t="str">
        <f>IF($A258="","",IFERROR(INDEX(Map!$E$2:$E$400,MATCH($A258,Map!$A$2:$A$400,0)),"⚠ UNMAPPED"))</f>
        <v>Salaries and wages</v>
      </c>
      <c r="J258" s="18" t="str">
        <f>IF($A258="","",IFERROR(INDEX(Map!$F$2:$F$400,MATCH($A258,Map!$A$2:$A$400,0)),"⚠ UNMAPPED"))</f>
        <v>Sadagat expense</v>
      </c>
    </row>
    <row r="259" spans="1:10" x14ac:dyDescent="0.25">
      <c r="A259" s="38">
        <v>700050</v>
      </c>
      <c r="B259" t="s">
        <v>1071</v>
      </c>
      <c r="C259" s="158">
        <v>0</v>
      </c>
      <c r="D259" s="158">
        <v>0</v>
      </c>
      <c r="E259" s="158">
        <v>0</v>
      </c>
      <c r="F259" s="158">
        <v>0</v>
      </c>
      <c r="G259" s="158" t="str">
        <f>IF($A259="","",IFERROR(INDEX(Map!$C$2:$C$400,MATCH($A259,Map!$A$2:$A$400,0)),"⚠ UNMAPPED"))</f>
        <v>IS</v>
      </c>
      <c r="H259" s="18" t="str">
        <f>IF($A259="","",IFERROR(INDEX(Map!$D$2:$D$400,MATCH($A259,Map!$A$2:$A$400,0)),"⚠ UNMAPPED"))</f>
        <v>Depreciation expenses</v>
      </c>
      <c r="I259" s="18" t="str">
        <f>IF($A259="","",IFERROR(INDEX(Map!$E$2:$E$400,MATCH($A259,Map!$A$2:$A$400,0)),"⚠ UNMAPPED"))</f>
        <v>Depreciation expenses</v>
      </c>
      <c r="J259" s="18" t="str">
        <f>IF($A259="","",IFERROR(INDEX(Map!$F$2:$F$400,MATCH($A259,Map!$A$2:$A$400,0)),"⚠ UNMAPPED"))</f>
        <v>Depreciation of property, plant and equipment</v>
      </c>
    </row>
    <row r="260" spans="1:10" x14ac:dyDescent="0.25">
      <c r="A260" s="38">
        <v>700051</v>
      </c>
      <c r="B260" t="s">
        <v>1072</v>
      </c>
      <c r="C260" s="158">
        <v>0</v>
      </c>
      <c r="D260" s="158">
        <v>0</v>
      </c>
      <c r="E260" s="158">
        <v>0</v>
      </c>
      <c r="F260" s="158">
        <v>0</v>
      </c>
      <c r="G260" s="158" t="str">
        <f>IF($A260="","",IFERROR(INDEX(Map!$C$2:$C$400,MATCH($A260,Map!$A$2:$A$400,0)),"⚠ UNMAPPED"))</f>
        <v>IS</v>
      </c>
      <c r="H260" s="18" t="str">
        <f>IF($A260="","",IFERROR(INDEX(Map!$D$2:$D$400,MATCH($A260,Map!$A$2:$A$400,0)),"⚠ UNMAPPED"))</f>
        <v>Depreciation expenses</v>
      </c>
      <c r="I260" s="18" t="str">
        <f>IF($A260="","",IFERROR(INDEX(Map!$E$2:$E$400,MATCH($A260,Map!$A$2:$A$400,0)),"⚠ UNMAPPED"))</f>
        <v>Depreciation expenses</v>
      </c>
      <c r="J260" s="18" t="str">
        <f>IF($A260="","",IFERROR(INDEX(Map!$F$2:$F$400,MATCH($A260,Map!$A$2:$A$400,0)),"⚠ UNMAPPED"))</f>
        <v>Depreciation of property, plant and equipment</v>
      </c>
    </row>
    <row r="261" spans="1:10" x14ac:dyDescent="0.25">
      <c r="A261" s="38">
        <v>700052</v>
      </c>
      <c r="B261" t="s">
        <v>1073</v>
      </c>
      <c r="C261" s="158">
        <v>0</v>
      </c>
      <c r="D261" s="158">
        <v>0</v>
      </c>
      <c r="E261" s="158">
        <v>0</v>
      </c>
      <c r="F261" s="158">
        <v>0</v>
      </c>
      <c r="G261" s="158" t="str">
        <f>IF($A261="","",IFERROR(INDEX(Map!$C$2:$C$400,MATCH($A261,Map!$A$2:$A$400,0)),"⚠ UNMAPPED"))</f>
        <v>IS</v>
      </c>
      <c r="H261" s="18" t="str">
        <f>IF($A261="","",IFERROR(INDEX(Map!$D$2:$D$400,MATCH($A261,Map!$A$2:$A$400,0)),"⚠ UNMAPPED"))</f>
        <v>Depreciation expenses</v>
      </c>
      <c r="I261" s="18" t="str">
        <f>IF($A261="","",IFERROR(INDEX(Map!$E$2:$E$400,MATCH($A261,Map!$A$2:$A$400,0)),"⚠ UNMAPPED"))</f>
        <v>Depreciation expenses</v>
      </c>
      <c r="J261" s="18" t="str">
        <f>IF($A261="","",IFERROR(INDEX(Map!$F$2:$F$400,MATCH($A261,Map!$A$2:$A$400,0)),"⚠ UNMAPPED"))</f>
        <v>Depreciation of property, plant and equipment</v>
      </c>
    </row>
    <row r="262" spans="1:10" x14ac:dyDescent="0.25">
      <c r="A262" s="38">
        <v>700053</v>
      </c>
      <c r="B262" t="s">
        <v>1074</v>
      </c>
      <c r="C262" s="158">
        <v>0</v>
      </c>
      <c r="D262" s="158">
        <v>0</v>
      </c>
      <c r="E262" s="158">
        <v>0</v>
      </c>
      <c r="F262" s="158">
        <v>0</v>
      </c>
      <c r="G262" s="158" t="str">
        <f>IF($A262="","",IFERROR(INDEX(Map!$C$2:$C$400,MATCH($A262,Map!$A$2:$A$400,0)),"⚠ UNMAPPED"))</f>
        <v>IS</v>
      </c>
      <c r="H262" s="18" t="str">
        <f>IF($A262="","",IFERROR(INDEX(Map!$D$2:$D$400,MATCH($A262,Map!$A$2:$A$400,0)),"⚠ UNMAPPED"))</f>
        <v>Depreciation expenses</v>
      </c>
      <c r="I262" s="18" t="str">
        <f>IF($A262="","",IFERROR(INDEX(Map!$E$2:$E$400,MATCH($A262,Map!$A$2:$A$400,0)),"⚠ UNMAPPED"))</f>
        <v>Depreciation expenses</v>
      </c>
      <c r="J262" s="18" t="str">
        <f>IF($A262="","",IFERROR(INDEX(Map!$F$2:$F$400,MATCH($A262,Map!$A$2:$A$400,0)),"⚠ UNMAPPED"))</f>
        <v>Depreciation of property, plant and equipment</v>
      </c>
    </row>
    <row r="263" spans="1:10" x14ac:dyDescent="0.25">
      <c r="A263" s="38">
        <v>700054</v>
      </c>
      <c r="B263" t="s">
        <v>1075</v>
      </c>
      <c r="C263" s="158">
        <v>0</v>
      </c>
      <c r="D263" s="158">
        <v>0</v>
      </c>
      <c r="E263" s="158">
        <v>0</v>
      </c>
      <c r="F263" s="158">
        <v>0</v>
      </c>
      <c r="G263" s="158" t="str">
        <f>IF($A263="","",IFERROR(INDEX(Map!$C$2:$C$400,MATCH($A263,Map!$A$2:$A$400,0)),"⚠ UNMAPPED"))</f>
        <v>IS</v>
      </c>
      <c r="H263" s="18" t="str">
        <f>IF($A263="","",IFERROR(INDEX(Map!$D$2:$D$400,MATCH($A263,Map!$A$2:$A$400,0)),"⚠ UNMAPPED"))</f>
        <v>Depreciation expenses</v>
      </c>
      <c r="I263" s="18" t="str">
        <f>IF($A263="","",IFERROR(INDEX(Map!$E$2:$E$400,MATCH($A263,Map!$A$2:$A$400,0)),"⚠ UNMAPPED"))</f>
        <v>Depreciation expenses</v>
      </c>
      <c r="J263" s="18" t="str">
        <f>IF($A263="","",IFERROR(INDEX(Map!$F$2:$F$400,MATCH($A263,Map!$A$2:$A$400,0)),"⚠ UNMAPPED"))</f>
        <v>Depreciation of property, plant and equipment</v>
      </c>
    </row>
    <row r="264" spans="1:10" x14ac:dyDescent="0.25">
      <c r="A264" s="38">
        <v>700055</v>
      </c>
      <c r="B264" t="s">
        <v>1076</v>
      </c>
      <c r="C264" s="158">
        <v>0</v>
      </c>
      <c r="D264" s="158">
        <v>0</v>
      </c>
      <c r="E264" s="158">
        <v>0</v>
      </c>
      <c r="F264" s="158">
        <v>0</v>
      </c>
      <c r="G264" s="158" t="str">
        <f>IF($A264="","",IFERROR(INDEX(Map!$C$2:$C$400,MATCH($A264,Map!$A$2:$A$400,0)),"⚠ UNMAPPED"))</f>
        <v>IS</v>
      </c>
      <c r="H264" s="18" t="str">
        <f>IF($A264="","",IFERROR(INDEX(Map!$D$2:$D$400,MATCH($A264,Map!$A$2:$A$400,0)),"⚠ UNMAPPED"))</f>
        <v>Depreciation expenses</v>
      </c>
      <c r="I264" s="18" t="str">
        <f>IF($A264="","",IFERROR(INDEX(Map!$E$2:$E$400,MATCH($A264,Map!$A$2:$A$400,0)),"⚠ UNMAPPED"))</f>
        <v>Depreciation expenses</v>
      </c>
      <c r="J264" s="18" t="str">
        <f>IF($A264="","",IFERROR(INDEX(Map!$F$2:$F$400,MATCH($A264,Map!$A$2:$A$400,0)),"⚠ UNMAPPED"))</f>
        <v>Depreciation of property, plant and equipment</v>
      </c>
    </row>
    <row r="265" spans="1:10" x14ac:dyDescent="0.25">
      <c r="A265" s="38">
        <v>700056</v>
      </c>
      <c r="B265" t="s">
        <v>1077</v>
      </c>
      <c r="C265" s="158">
        <v>0</v>
      </c>
      <c r="D265" s="158">
        <v>0</v>
      </c>
      <c r="E265" s="158">
        <v>0</v>
      </c>
      <c r="F265" s="158">
        <v>0</v>
      </c>
      <c r="G265" s="158" t="str">
        <f>IF($A265="","",IFERROR(INDEX(Map!$C$2:$C$400,MATCH($A265,Map!$A$2:$A$400,0)),"⚠ UNMAPPED"))</f>
        <v>IS</v>
      </c>
      <c r="H265" s="18" t="str">
        <f>IF($A265="","",IFERROR(INDEX(Map!$D$2:$D$400,MATCH($A265,Map!$A$2:$A$400,0)),"⚠ UNMAPPED"))</f>
        <v>Depreciation expenses</v>
      </c>
      <c r="I265" s="18" t="str">
        <f>IF($A265="","",IFERROR(INDEX(Map!$E$2:$E$400,MATCH($A265,Map!$A$2:$A$400,0)),"⚠ UNMAPPED"))</f>
        <v>Depreciation expenses</v>
      </c>
      <c r="J265" s="18" t="str">
        <f>IF($A265="","",IFERROR(INDEX(Map!$F$2:$F$400,MATCH($A265,Map!$A$2:$A$400,0)),"⚠ UNMAPPED"))</f>
        <v>Depreciation of property, plant and equipment</v>
      </c>
    </row>
    <row r="266" spans="1:10" x14ac:dyDescent="0.25">
      <c r="A266" s="38">
        <v>700057</v>
      </c>
      <c r="B266" t="s">
        <v>1078</v>
      </c>
      <c r="C266" s="158">
        <v>0</v>
      </c>
      <c r="D266" s="158">
        <v>316361.10800000001</v>
      </c>
      <c r="E266" s="158">
        <v>0</v>
      </c>
      <c r="F266" s="158">
        <v>316361.10800000001</v>
      </c>
      <c r="G266" s="158" t="str">
        <f>IF($A266="","",IFERROR(INDEX(Map!$C$2:$C$400,MATCH($A266,Map!$A$2:$A$400,0)),"⚠ UNMAPPED"))</f>
        <v>IS</v>
      </c>
      <c r="H266" s="18" t="str">
        <f>IF($A266="","",IFERROR(INDEX(Map!$D$2:$D$400,MATCH($A266,Map!$A$2:$A$400,0)),"⚠ UNMAPPED"))</f>
        <v>Cost of sales</v>
      </c>
      <c r="I266" s="18" t="str">
        <f>IF($A266="","",IFERROR(INDEX(Map!$E$2:$E$400,MATCH($A266,Map!$A$2:$A$400,0)),"⚠ UNMAPPED"))</f>
        <v>Overhead - Rent</v>
      </c>
      <c r="J266" s="18" t="str">
        <f>IF($A266="","",IFERROR(INDEX(Map!$F$2:$F$400,MATCH($A266,Map!$A$2:$A$400,0)),"⚠ UNMAPPED"))</f>
        <v>Warehouse Rent ( Khamis, Rioyadh, Dammam)</v>
      </c>
    </row>
    <row r="267" spans="1:10" x14ac:dyDescent="0.25">
      <c r="A267" s="38">
        <v>700058</v>
      </c>
      <c r="B267" t="s">
        <v>1079</v>
      </c>
      <c r="C267" s="158">
        <v>0</v>
      </c>
      <c r="D267" s="158">
        <v>9056.4580000000005</v>
      </c>
      <c r="E267" s="158">
        <v>0</v>
      </c>
      <c r="F267" s="158">
        <v>9056.4580000000005</v>
      </c>
      <c r="G267" s="158" t="str">
        <f>IF($A267="","",IFERROR(INDEX(Map!$C$2:$C$400,MATCH($A267,Map!$A$2:$A$400,0)),"⚠ UNMAPPED"))</f>
        <v>IS</v>
      </c>
      <c r="H267" s="18" t="str">
        <f>IF($A267="","",IFERROR(INDEX(Map!$D$2:$D$400,MATCH($A267,Map!$A$2:$A$400,0)),"⚠ UNMAPPED"))</f>
        <v>Selling and Marketing</v>
      </c>
      <c r="I267" s="18" t="str">
        <f>IF($A267="","",IFERROR(INDEX(Map!$E$2:$E$400,MATCH($A267,Map!$A$2:$A$400,0)),"⚠ UNMAPPED"))</f>
        <v>Advertising and promotion expenses</v>
      </c>
      <c r="J267" s="18" t="str">
        <f>IF($A267="","",IFERROR(INDEX(Map!$F$2:$F$400,MATCH($A267,Map!$A$2:$A$400,0)),"⚠ UNMAPPED"))</f>
        <v>Advertising and promotion expenses</v>
      </c>
    </row>
    <row r="268" spans="1:10" x14ac:dyDescent="0.25">
      <c r="A268" s="38">
        <v>700059</v>
      </c>
      <c r="B268" t="s">
        <v>1080</v>
      </c>
      <c r="C268" s="158">
        <v>0</v>
      </c>
      <c r="D268" s="158">
        <v>0</v>
      </c>
      <c r="E268" s="158">
        <v>0</v>
      </c>
      <c r="F268" s="158">
        <v>0</v>
      </c>
      <c r="G268" s="158" t="str">
        <f>IF($A268="","",IFERROR(INDEX(Map!$C$2:$C$400,MATCH($A268,Map!$A$2:$A$400,0)),"⚠ UNMAPPED"))</f>
        <v>IS</v>
      </c>
      <c r="H268" s="18" t="str">
        <f>IF($A268="","",IFERROR(INDEX(Map!$D$2:$D$400,MATCH($A268,Map!$A$2:$A$400,0)),"⚠ UNMAPPED"))</f>
        <v>Selling and Marketing</v>
      </c>
      <c r="I268" s="18" t="str">
        <f>IF($A268="","",IFERROR(INDEX(Map!$E$2:$E$400,MATCH($A268,Map!$A$2:$A$400,0)),"⚠ UNMAPPED"))</f>
        <v>Exhibitions</v>
      </c>
      <c r="J268" s="18" t="str">
        <f>IF($A268="","",IFERROR(INDEX(Map!$F$2:$F$400,MATCH($A268,Map!$A$2:$A$400,0)),"⚠ UNMAPPED"))</f>
        <v>Exhibitions</v>
      </c>
    </row>
    <row r="269" spans="1:10" x14ac:dyDescent="0.25">
      <c r="A269" s="38">
        <v>700060</v>
      </c>
      <c r="B269" t="s">
        <v>1081</v>
      </c>
      <c r="C269" s="158">
        <v>0</v>
      </c>
      <c r="D269" s="158">
        <v>1710872.7339999999</v>
      </c>
      <c r="E269" s="158">
        <v>203383.14799999999</v>
      </c>
      <c r="F269" s="158">
        <v>1507489.5859999999</v>
      </c>
      <c r="G269" s="158" t="str">
        <f>IF($A269="","",IFERROR(INDEX(Map!$C$2:$C$400,MATCH($A269,Map!$A$2:$A$400,0)),"⚠ UNMAPPED"))</f>
        <v>IS</v>
      </c>
      <c r="H269" s="18" t="str">
        <f>IF($A269="","",IFERROR(INDEX(Map!$D$2:$D$400,MATCH($A269,Map!$A$2:$A$400,0)),"⚠ UNMAPPED"))</f>
        <v>Selling and Marketing</v>
      </c>
      <c r="I269" s="18" t="str">
        <f>IF($A269="","",IFERROR(INDEX(Map!$E$2:$E$400,MATCH($A269,Map!$A$2:$A$400,0)),"⚠ UNMAPPED"))</f>
        <v>Freight and shipping expenses (S&amp;D)</v>
      </c>
      <c r="J269" s="18" t="str">
        <f>IF($A269="","",IFERROR(INDEX(Map!$F$2:$F$400,MATCH($A269,Map!$A$2:$A$400,0)),"⚠ UNMAPPED"))</f>
        <v>Outbound freight / shipping — reclassified below gross profit under IFRS</v>
      </c>
    </row>
    <row r="270" spans="1:10" x14ac:dyDescent="0.25">
      <c r="A270" s="38">
        <v>700061</v>
      </c>
      <c r="B270" t="s">
        <v>1082</v>
      </c>
      <c r="C270" s="158">
        <v>0</v>
      </c>
      <c r="D270" s="158">
        <v>0</v>
      </c>
      <c r="E270" s="158">
        <v>0</v>
      </c>
      <c r="F270" s="158">
        <v>0</v>
      </c>
      <c r="G270" s="158" t="str">
        <f>IF($A270="","",IFERROR(INDEX(Map!$C$2:$C$400,MATCH($A270,Map!$A$2:$A$400,0)),"⚠ UNMAPPED"))</f>
        <v>IS</v>
      </c>
      <c r="H270" s="18" t="str">
        <f>IF($A270="","",IFERROR(INDEX(Map!$D$2:$D$400,MATCH($A270,Map!$A$2:$A$400,0)),"⚠ UNMAPPED"))</f>
        <v>Selling and Marketing</v>
      </c>
      <c r="I270" s="18" t="str">
        <f>IF($A270="","",IFERROR(INDEX(Map!$E$2:$E$400,MATCH($A270,Map!$A$2:$A$400,0)),"⚠ UNMAPPED"))</f>
        <v>Commission expenses</v>
      </c>
      <c r="J270" s="18" t="str">
        <f>IF($A270="","",IFERROR(INDEX(Map!$F$2:$F$400,MATCH($A270,Map!$A$2:$A$400,0)),"⚠ UNMAPPED"))</f>
        <v>Commission expenses</v>
      </c>
    </row>
    <row r="271" spans="1:10" x14ac:dyDescent="0.25">
      <c r="A271" s="38">
        <v>700062</v>
      </c>
      <c r="B271" t="s">
        <v>1083</v>
      </c>
      <c r="C271" s="158">
        <v>0</v>
      </c>
      <c r="D271" s="158">
        <v>0</v>
      </c>
      <c r="E271" s="158">
        <v>0</v>
      </c>
      <c r="F271" s="158">
        <v>0</v>
      </c>
      <c r="G271" s="158" t="str">
        <f>IF($A271="","",IFERROR(INDEX(Map!$C$2:$C$400,MATCH($A271,Map!$A$2:$A$400,0)),"⚠ UNMAPPED"))</f>
        <v>IS</v>
      </c>
      <c r="H271" s="18" t="str">
        <f>IF($A271="","",IFERROR(INDEX(Map!$D$2:$D$400,MATCH($A271,Map!$A$2:$A$400,0)),"⚠ UNMAPPED"))</f>
        <v>Revised provision on Bad Debts</v>
      </c>
      <c r="I271" s="18" t="str">
        <f>IF($A271="","",IFERROR(INDEX(Map!$E$2:$E$400,MATCH($A271,Map!$A$2:$A$400,0)),"⚠ UNMAPPED"))</f>
        <v>Bad debts expense</v>
      </c>
      <c r="J271" s="18" t="str">
        <f>IF($A271="","",IFERROR(INDEX(Map!$F$2:$F$400,MATCH($A271,Map!$A$2:$A$400,0)),"⚠ UNMAPPED"))</f>
        <v>Bad debts expense</v>
      </c>
    </row>
    <row r="272" spans="1:10" x14ac:dyDescent="0.25">
      <c r="A272" s="38">
        <v>700063</v>
      </c>
      <c r="B272" t="s">
        <v>1084</v>
      </c>
      <c r="C272" s="158">
        <v>0</v>
      </c>
      <c r="D272" s="158">
        <v>594356.56000000006</v>
      </c>
      <c r="E272" s="158">
        <v>385518.04</v>
      </c>
      <c r="F272" s="158">
        <v>208838.52</v>
      </c>
      <c r="G272" s="158" t="str">
        <f>IF($A272="","",IFERROR(INDEX(Map!$C$2:$C$400,MATCH($A272,Map!$A$2:$A$400,0)),"⚠ UNMAPPED"))</f>
        <v>IS</v>
      </c>
      <c r="H272" s="18" t="str">
        <f>IF($A272="","",IFERROR(INDEX(Map!$D$2:$D$400,MATCH($A272,Map!$A$2:$A$400,0)),"⚠ UNMAPPED"))</f>
        <v>General and Admin</v>
      </c>
      <c r="I272" s="18" t="str">
        <f>IF($A272="","",IFERROR(INDEX(Map!$E$2:$E$400,MATCH($A272,Map!$A$2:$A$400,0)),"⚠ UNMAPPED"))</f>
        <v>Salaries and wages</v>
      </c>
      <c r="J272" s="18" t="str">
        <f>IF($A272="","",IFERROR(INDEX(Map!$F$2:$F$400,MATCH($A272,Map!$A$2:$A$400,0)),"⚠ UNMAPPED"))</f>
        <v>GOSI</v>
      </c>
    </row>
    <row r="273" spans="1:10" x14ac:dyDescent="0.25">
      <c r="A273" s="38">
        <v>700064</v>
      </c>
      <c r="B273" t="s">
        <v>1085</v>
      </c>
      <c r="C273" s="158">
        <v>0</v>
      </c>
      <c r="D273" s="158">
        <v>0</v>
      </c>
      <c r="E273" s="158">
        <v>0</v>
      </c>
      <c r="F273" s="158">
        <v>0</v>
      </c>
      <c r="G273" s="158" t="str">
        <f>IF($A273="","",IFERROR(INDEX(Map!$C$2:$C$400,MATCH($A273,Map!$A$2:$A$400,0)),"⚠ UNMAPPED"))</f>
        <v>IS</v>
      </c>
      <c r="H273" s="18" t="str">
        <f>IF($A273="","",IFERROR(INDEX(Map!$D$2:$D$400,MATCH($A273,Map!$A$2:$A$400,0)),"⚠ UNMAPPED"))</f>
        <v>Pre-operating expenses</v>
      </c>
      <c r="I273" s="18" t="str">
        <f>IF($A273="","",IFERROR(INDEX(Map!$E$2:$E$400,MATCH($A273,Map!$A$2:$A$400,0)),"⚠ UNMAPPED"))</f>
        <v>Pre-operating expenses</v>
      </c>
      <c r="J273" s="18" t="str">
        <f>IF($A273="","",IFERROR(INDEX(Map!$F$2:$F$400,MATCH($A273,Map!$A$2:$A$400,0)),"⚠ UNMAPPED"))</f>
        <v>Amortization</v>
      </c>
    </row>
    <row r="274" spans="1:10" x14ac:dyDescent="0.25">
      <c r="A274" s="38">
        <v>700065</v>
      </c>
      <c r="B274" t="s">
        <v>1086</v>
      </c>
      <c r="C274" s="158">
        <v>0</v>
      </c>
      <c r="D274" s="158">
        <v>85785.163</v>
      </c>
      <c r="E274" s="158">
        <v>28380</v>
      </c>
      <c r="F274" s="158">
        <v>57405.163</v>
      </c>
      <c r="G274" s="158" t="str">
        <f>IF($A274="","",IFERROR(INDEX(Map!$C$2:$C$400,MATCH($A274,Map!$A$2:$A$400,0)),"⚠ UNMAPPED"))</f>
        <v>IS</v>
      </c>
      <c r="H274" s="18" t="str">
        <f>IF($A274="","",IFERROR(INDEX(Map!$D$2:$D$400,MATCH($A274,Map!$A$2:$A$400,0)),"⚠ UNMAPPED"))</f>
        <v>Finance cost</v>
      </c>
      <c r="I274" s="18" t="str">
        <f>IF($A274="","",IFERROR(INDEX(Map!$E$2:$E$400,MATCH($A274,Map!$A$2:$A$400,0)),"⚠ UNMAPPED"))</f>
        <v>Finance cost</v>
      </c>
      <c r="J274" s="18" t="str">
        <f>IF($A274="","",IFERROR(INDEX(Map!$F$2:$F$400,MATCH($A274,Map!$A$2:$A$400,0)),"⚠ UNMAPPED"))</f>
        <v>Lease interest</v>
      </c>
    </row>
    <row r="275" spans="1:10" x14ac:dyDescent="0.25">
      <c r="A275" s="38">
        <v>700066</v>
      </c>
      <c r="B275" t="s">
        <v>1087</v>
      </c>
      <c r="C275" s="158">
        <v>0</v>
      </c>
      <c r="D275" s="158">
        <v>81963.08</v>
      </c>
      <c r="E275" s="158">
        <v>9107.01</v>
      </c>
      <c r="F275" s="158">
        <v>72856.070000000007</v>
      </c>
      <c r="G275" s="158" t="str">
        <f>IF($A275="","",IFERROR(INDEX(Map!$C$2:$C$400,MATCH($A275,Map!$A$2:$A$400,0)),"⚠ UNMAPPED"))</f>
        <v>IS</v>
      </c>
      <c r="H275" s="18" t="str">
        <f>IF($A275="","",IFERROR(INDEX(Map!$D$2:$D$400,MATCH($A275,Map!$A$2:$A$400,0)),"⚠ UNMAPPED"))</f>
        <v>General and Admin</v>
      </c>
      <c r="I275" s="18" t="str">
        <f>IF($A275="","",IFERROR(INDEX(Map!$E$2:$E$400,MATCH($A275,Map!$A$2:$A$400,0)),"⚠ UNMAPPED"))</f>
        <v>Govt license and fees (including modon)</v>
      </c>
      <c r="J275" s="18" t="str">
        <f>IF($A275="","",IFERROR(INDEX(Map!$F$2:$F$400,MATCH($A275,Map!$A$2:$A$400,0)),"⚠ UNMAPPED"))</f>
        <v>3rd Industrial Area Lease Provision</v>
      </c>
    </row>
    <row r="276" spans="1:10" x14ac:dyDescent="0.25">
      <c r="A276" s="38">
        <v>700067</v>
      </c>
      <c r="B276" t="s">
        <v>1088</v>
      </c>
      <c r="C276" s="158">
        <v>0</v>
      </c>
      <c r="D276" s="158">
        <v>7429488.5120000001</v>
      </c>
      <c r="E276" s="158">
        <v>498656.34100000001</v>
      </c>
      <c r="F276" s="158">
        <v>6930832.1710000001</v>
      </c>
      <c r="G276" s="158" t="str">
        <f>IF($A276="","",IFERROR(INDEX(Map!$C$2:$C$400,MATCH($A276,Map!$A$2:$A$400,0)),"⚠ UNMAPPED"))</f>
        <v>IS</v>
      </c>
      <c r="H276" s="18" t="str">
        <f>IF($A276="","",IFERROR(INDEX(Map!$D$2:$D$400,MATCH($A276,Map!$A$2:$A$400,0)),"⚠ UNMAPPED"))</f>
        <v>Selling and Marketing</v>
      </c>
      <c r="I276" s="18" t="str">
        <f>IF($A276="","",IFERROR(INDEX(Map!$E$2:$E$400,MATCH($A276,Map!$A$2:$A$400,0)),"⚠ UNMAPPED"))</f>
        <v>Freight and shipping expenses (S&amp;D)</v>
      </c>
      <c r="J276" s="18" t="str">
        <f>IF($A276="","",IFERROR(INDEX(Map!$F$2:$F$400,MATCH($A276,Map!$A$2:$A$400,0)),"⚠ UNMAPPED"))</f>
        <v>Outbound freight / shipping — reclassified below gross profit under IFRS</v>
      </c>
    </row>
    <row r="277" spans="1:10" x14ac:dyDescent="0.25">
      <c r="A277" s="38">
        <v>700068</v>
      </c>
      <c r="B277" t="s">
        <v>1089</v>
      </c>
      <c r="C277" s="158">
        <v>0</v>
      </c>
      <c r="D277" s="158">
        <v>58956.192999999999</v>
      </c>
      <c r="E277" s="158">
        <v>5450</v>
      </c>
      <c r="F277" s="158">
        <v>53506.192999999999</v>
      </c>
      <c r="G277" s="158" t="str">
        <f>IF($A277="","",IFERROR(INDEX(Map!$C$2:$C$400,MATCH($A277,Map!$A$2:$A$400,0)),"⚠ UNMAPPED"))</f>
        <v>IS</v>
      </c>
      <c r="H277" s="18" t="str">
        <f>IF($A277="","",IFERROR(INDEX(Map!$D$2:$D$400,MATCH($A277,Map!$A$2:$A$400,0)),"⚠ UNMAPPED"))</f>
        <v>Cost of sales</v>
      </c>
      <c r="I277" s="18" t="str">
        <f>IF($A277="","",IFERROR(INDEX(Map!$E$2:$E$400,MATCH($A277,Map!$A$2:$A$400,0)),"⚠ UNMAPPED"))</f>
        <v>Freight expenses</v>
      </c>
      <c r="J277" s="18" t="str">
        <f>IF($A277="","",IFERROR(INDEX(Map!$F$2:$F$400,MATCH($A277,Map!$A$2:$A$400,0)),"⚠ UNMAPPED"))</f>
        <v>Freight expenses</v>
      </c>
    </row>
    <row r="278" spans="1:10" x14ac:dyDescent="0.25">
      <c r="A278" s="38">
        <v>700069</v>
      </c>
      <c r="B278" t="s">
        <v>1090</v>
      </c>
      <c r="C278" s="158">
        <v>0</v>
      </c>
      <c r="D278" s="158">
        <v>85141.519</v>
      </c>
      <c r="E278" s="158">
        <v>0</v>
      </c>
      <c r="F278" s="158">
        <v>85141.519</v>
      </c>
      <c r="G278" s="158" t="str">
        <f>IF($A278="","",IFERROR(INDEX(Map!$C$2:$C$400,MATCH($A278,Map!$A$2:$A$400,0)),"⚠ UNMAPPED"))</f>
        <v>IS</v>
      </c>
      <c r="H278" s="18" t="str">
        <f>IF($A278="","",IFERROR(INDEX(Map!$D$2:$D$400,MATCH($A278,Map!$A$2:$A$400,0)),"⚠ UNMAPPED"))</f>
        <v>General and Admin</v>
      </c>
      <c r="I278" s="18" t="str">
        <f>IF($A278="","",IFERROR(INDEX(Map!$E$2:$E$400,MATCH($A278,Map!$A$2:$A$400,0)),"⚠ UNMAPPED"))</f>
        <v>Rent</v>
      </c>
      <c r="J278" s="18" t="str">
        <f>IF($A278="","",IFERROR(INDEX(Map!$F$2:$F$400,MATCH($A278,Map!$A$2:$A$400,0)),"⚠ UNMAPPED"))</f>
        <v xml:space="preserve">Sales Office Rent (Dammam) </v>
      </c>
    </row>
    <row r="279" spans="1:10" x14ac:dyDescent="0.25">
      <c r="A279" s="38">
        <v>700070</v>
      </c>
      <c r="B279" t="s">
        <v>1091</v>
      </c>
      <c r="C279" s="158">
        <v>0</v>
      </c>
      <c r="D279" s="158">
        <v>8000085.2029999997</v>
      </c>
      <c r="E279" s="158">
        <v>6371241.591</v>
      </c>
      <c r="F279" s="158">
        <v>1628843.612</v>
      </c>
      <c r="G279" s="158" t="str">
        <f>IF($A279="","",IFERROR(INDEX(Map!$C$2:$C$400,MATCH($A279,Map!$A$2:$A$400,0)),"⚠ UNMAPPED"))</f>
        <v>IS</v>
      </c>
      <c r="H279" s="18" t="str">
        <f>IF($A279="","",IFERROR(INDEX(Map!$D$2:$D$400,MATCH($A279,Map!$A$2:$A$400,0)),"⚠ UNMAPPED"))</f>
        <v>Cost of sales</v>
      </c>
      <c r="I279" s="18" t="str">
        <f>IF($A279="","",IFERROR(INDEX(Map!$E$2:$E$400,MATCH($A279,Map!$A$2:$A$400,0)),"⚠ UNMAPPED"))</f>
        <v>Customs duties and clearances</v>
      </c>
      <c r="J279" s="18" t="str">
        <f>IF($A279="","",IFERROR(INDEX(Map!$F$2:$F$400,MATCH($A279,Map!$A$2:$A$400,0)),"⚠ UNMAPPED"))</f>
        <v>Customs duties</v>
      </c>
    </row>
    <row r="280" spans="1:10" x14ac:dyDescent="0.25">
      <c r="A280" s="38">
        <v>700071</v>
      </c>
      <c r="B280" t="s">
        <v>1092</v>
      </c>
      <c r="C280" s="158">
        <v>0</v>
      </c>
      <c r="D280" s="158">
        <v>664061.54799999995</v>
      </c>
      <c r="E280" s="158">
        <v>22873.769</v>
      </c>
      <c r="F280" s="158">
        <v>641187.77899999998</v>
      </c>
      <c r="G280" s="158" t="str">
        <f>IF($A280="","",IFERROR(INDEX(Map!$C$2:$C$400,MATCH($A280,Map!$A$2:$A$400,0)),"⚠ UNMAPPED"))</f>
        <v>IS</v>
      </c>
      <c r="H280" s="18" t="str">
        <f>IF($A280="","",IFERROR(INDEX(Map!$D$2:$D$400,MATCH($A280,Map!$A$2:$A$400,0)),"⚠ UNMAPPED"))</f>
        <v>Cost of sales</v>
      </c>
      <c r="I280" s="18" t="str">
        <f>IF($A280="","",IFERROR(INDEX(Map!$E$2:$E$400,MATCH($A280,Map!$A$2:$A$400,0)),"⚠ UNMAPPED"))</f>
        <v>Customs duties and clearances</v>
      </c>
      <c r="J280" s="18" t="str">
        <f>IF($A280="","",IFERROR(INDEX(Map!$F$2:$F$400,MATCH($A280,Map!$A$2:$A$400,0)),"⚠ UNMAPPED"))</f>
        <v>Customs clearance</v>
      </c>
    </row>
    <row r="281" spans="1:10" x14ac:dyDescent="0.25">
      <c r="A281" s="38">
        <v>700072</v>
      </c>
      <c r="B281" t="s">
        <v>1093</v>
      </c>
      <c r="C281" s="158">
        <v>0</v>
      </c>
      <c r="D281" s="158">
        <v>3371769.5819999999</v>
      </c>
      <c r="E281" s="158">
        <v>593097.90500000003</v>
      </c>
      <c r="F281" s="158">
        <v>2778671.6770000001</v>
      </c>
      <c r="G281" s="158" t="str">
        <f>IF($A281="","",IFERROR(INDEX(Map!$C$2:$C$400,MATCH($A281,Map!$A$2:$A$400,0)),"⚠ UNMAPPED"))</f>
        <v>IS</v>
      </c>
      <c r="H281" s="18" t="str">
        <f>IF($A281="","",IFERROR(INDEX(Map!$D$2:$D$400,MATCH($A281,Map!$A$2:$A$400,0)),"⚠ UNMAPPED"))</f>
        <v>General and Admin</v>
      </c>
      <c r="I281" s="18" t="str">
        <f>IF($A281="","",IFERROR(INDEX(Map!$E$2:$E$400,MATCH($A281,Map!$A$2:$A$400,0)),"⚠ UNMAPPED"))</f>
        <v>Salaries and wages</v>
      </c>
      <c r="J281" s="18" t="str">
        <f>IF($A281="","",IFERROR(INDEX(Map!$F$2:$F$400,MATCH($A281,Map!$A$2:$A$400,0)),"⚠ UNMAPPED"))</f>
        <v>Rental labor</v>
      </c>
    </row>
    <row r="282" spans="1:10" x14ac:dyDescent="0.25">
      <c r="A282" s="38">
        <v>700074</v>
      </c>
      <c r="B282" t="s">
        <v>702</v>
      </c>
      <c r="C282" s="158">
        <v>0</v>
      </c>
      <c r="D282" s="158">
        <v>0</v>
      </c>
      <c r="E282" s="158">
        <v>0</v>
      </c>
      <c r="F282" s="158">
        <v>0</v>
      </c>
      <c r="G282" s="158" t="str">
        <f>IF($A282="","",IFERROR(INDEX(Map!$C$2:$C$400,MATCH($A282,Map!$A$2:$A$400,0)),"⚠ UNMAPPED"))</f>
        <v>IS</v>
      </c>
      <c r="H282" s="18" t="str">
        <f>IF($A282="","",IFERROR(INDEX(Map!$D$2:$D$400,MATCH($A282,Map!$A$2:$A$400,0)),"⚠ UNMAPPED"))</f>
        <v>General and Admin</v>
      </c>
      <c r="I282" s="18" t="str">
        <f>IF($A282="","",IFERROR(INDEX(Map!$E$2:$E$400,MATCH($A282,Map!$A$2:$A$400,0)),"⚠ UNMAPPED"))</f>
        <v>Inventory Adjustment Expense</v>
      </c>
      <c r="J282" s="18" t="str">
        <f>IF($A282="","",IFERROR(INDEX(Map!$F$2:$F$400,MATCH($A282,Map!$A$2:$A$400,0)),"⚠ UNMAPPED"))</f>
        <v>Inventory Adjustment Expense</v>
      </c>
    </row>
    <row r="283" spans="1:10" x14ac:dyDescent="0.25">
      <c r="A283" s="38">
        <v>700075</v>
      </c>
      <c r="B283" t="s">
        <v>1094</v>
      </c>
      <c r="C283" s="158">
        <v>0</v>
      </c>
      <c r="D283" s="158">
        <v>121157.54399999999</v>
      </c>
      <c r="E283" s="158">
        <v>0</v>
      </c>
      <c r="F283" s="158">
        <v>121157.54399999999</v>
      </c>
      <c r="G283" s="158" t="str">
        <f>IF($A283="","",IFERROR(INDEX(Map!$C$2:$C$400,MATCH($A283,Map!$A$2:$A$400,0)),"⚠ UNMAPPED"))</f>
        <v>IS</v>
      </c>
      <c r="H283" s="18" t="str">
        <f>IF($A283="","",IFERROR(INDEX(Map!$D$2:$D$400,MATCH($A283,Map!$A$2:$A$400,0)),"⚠ UNMAPPED"))</f>
        <v>General and Admin</v>
      </c>
      <c r="I283" s="18" t="str">
        <f>IF($A283="","",IFERROR(INDEX(Map!$E$2:$E$400,MATCH($A283,Map!$A$2:$A$400,0)),"⚠ UNMAPPED"))</f>
        <v>Utilities</v>
      </c>
      <c r="J283" s="18" t="str">
        <f>IF($A283="","",IFERROR(INDEX(Map!$F$2:$F$400,MATCH($A283,Map!$A$2:$A$400,0)),"⚠ UNMAPPED"))</f>
        <v>Subscriptions &amp; Membership Fees</v>
      </c>
    </row>
    <row r="284" spans="1:10" x14ac:dyDescent="0.25">
      <c r="A284" s="38">
        <v>700076</v>
      </c>
      <c r="B284" t="s">
        <v>1095</v>
      </c>
      <c r="C284" s="158">
        <v>0</v>
      </c>
      <c r="D284" s="158">
        <v>90013</v>
      </c>
      <c r="E284" s="158">
        <v>0</v>
      </c>
      <c r="F284" s="158">
        <v>90013</v>
      </c>
      <c r="G284" s="158" t="str">
        <f>IF($A284="","",IFERROR(INDEX(Map!$C$2:$C$400,MATCH($A284,Map!$A$2:$A$400,0)),"⚠ UNMAPPED"))</f>
        <v>IS</v>
      </c>
      <c r="H284" s="18" t="str">
        <f>IF($A284="","",IFERROR(INDEX(Map!$D$2:$D$400,MATCH($A284,Map!$A$2:$A$400,0)),"⚠ UNMAPPED"))</f>
        <v>General and Admin</v>
      </c>
      <c r="I284" s="18" t="str">
        <f>IF($A284="","",IFERROR(INDEX(Map!$E$2:$E$400,MATCH($A284,Map!$A$2:$A$400,0)),"⚠ UNMAPPED"))</f>
        <v>Utilities</v>
      </c>
      <c r="J284" s="18" t="str">
        <f>IF($A284="","",IFERROR(INDEX(Map!$F$2:$F$400,MATCH($A284,Map!$A$2:$A$400,0)),"⚠ UNMAPPED"))</f>
        <v>Entertainment expense</v>
      </c>
    </row>
    <row r="285" spans="1:10" x14ac:dyDescent="0.25">
      <c r="A285" s="38">
        <v>700077</v>
      </c>
      <c r="B285" t="s">
        <v>1096</v>
      </c>
      <c r="C285" s="158">
        <v>0</v>
      </c>
      <c r="D285" s="158">
        <v>769080.27300000004</v>
      </c>
      <c r="E285" s="158">
        <v>0</v>
      </c>
      <c r="F285" s="158">
        <v>769080.27300000004</v>
      </c>
      <c r="G285" s="158" t="str">
        <f>IF($A285="","",IFERROR(INDEX(Map!$C$2:$C$400,MATCH($A285,Map!$A$2:$A$400,0)),"⚠ UNMAPPED"))</f>
        <v>IS</v>
      </c>
      <c r="H285" s="18" t="str">
        <f>IF($A285="","",IFERROR(INDEX(Map!$D$2:$D$400,MATCH($A285,Map!$A$2:$A$400,0)),"⚠ UNMAPPED"))</f>
        <v>Selling and Marketing</v>
      </c>
      <c r="I285" s="18" t="str">
        <f>IF($A285="","",IFERROR(INDEX(Map!$E$2:$E$400,MATCH($A285,Map!$A$2:$A$400,0)),"⚠ UNMAPPED"))</f>
        <v>Freight and shipping expenses (S&amp;D)</v>
      </c>
      <c r="J285" s="18" t="str">
        <f>IF($A285="","",IFERROR(INDEX(Map!$F$2:$F$400,MATCH($A285,Map!$A$2:$A$400,0)),"⚠ UNMAPPED"))</f>
        <v>Outbound freight / shipping — reclassified below gross profit under IFRS</v>
      </c>
    </row>
    <row r="286" spans="1:10" x14ac:dyDescent="0.25">
      <c r="A286" s="38">
        <v>700078</v>
      </c>
      <c r="B286" t="s">
        <v>1097</v>
      </c>
      <c r="C286" s="158">
        <v>0</v>
      </c>
      <c r="D286" s="158">
        <v>2321.5569999999998</v>
      </c>
      <c r="E286" s="158">
        <v>0</v>
      </c>
      <c r="F286" s="158">
        <v>2321.5569999999998</v>
      </c>
      <c r="G286" s="158" t="str">
        <f>IF($A286="","",IFERROR(INDEX(Map!$C$2:$C$400,MATCH($A286,Map!$A$2:$A$400,0)),"⚠ UNMAPPED"))</f>
        <v>IS</v>
      </c>
      <c r="H286" s="18" t="str">
        <f>IF($A286="","",IFERROR(INDEX(Map!$D$2:$D$400,MATCH($A286,Map!$A$2:$A$400,0)),"⚠ UNMAPPED"))</f>
        <v>General and Admin</v>
      </c>
      <c r="I286" s="18" t="str">
        <f>IF($A286="","",IFERROR(INDEX(Map!$E$2:$E$400,MATCH($A286,Map!$A$2:$A$400,0)),"⚠ UNMAPPED"))</f>
        <v>Rent</v>
      </c>
      <c r="J286" s="18" t="str">
        <f>IF($A286="","",IFERROR(INDEX(Map!$F$2:$F$400,MATCH($A286,Map!$A$2:$A$400,0)),"⚠ UNMAPPED"))</f>
        <v>Rent</v>
      </c>
    </row>
    <row r="287" spans="1:10" x14ac:dyDescent="0.25">
      <c r="A287" s="38">
        <v>700080</v>
      </c>
      <c r="B287" t="s">
        <v>1098</v>
      </c>
      <c r="C287" s="158">
        <v>0</v>
      </c>
      <c r="D287" s="158">
        <v>130801.58</v>
      </c>
      <c r="E287" s="158">
        <v>0</v>
      </c>
      <c r="F287" s="158">
        <v>130801.58</v>
      </c>
      <c r="G287" s="158" t="str">
        <f>IF($A287="","",IFERROR(INDEX(Map!$C$2:$C$400,MATCH($A287,Map!$A$2:$A$400,0)),"⚠ UNMAPPED"))</f>
        <v>IS</v>
      </c>
      <c r="H287" s="18" t="str">
        <f>IF($A287="","",IFERROR(INDEX(Map!$D$2:$D$400,MATCH($A287,Map!$A$2:$A$400,0)),"⚠ UNMAPPED"))</f>
        <v>General and Admin</v>
      </c>
      <c r="I287" s="18" t="str">
        <f>IF($A287="","",IFERROR(INDEX(Map!$E$2:$E$400,MATCH($A287,Map!$A$2:$A$400,0)),"⚠ UNMAPPED"))</f>
        <v xml:space="preserve">Back office Support </v>
      </c>
      <c r="J287" s="18" t="str">
        <f>IF($A287="","",IFERROR(INDEX(Map!$F$2:$F$400,MATCH($A287,Map!$A$2:$A$400,0)),"⚠ UNMAPPED"))</f>
        <v>Customer Penalties / Sales Claims</v>
      </c>
    </row>
    <row r="288" spans="1:10" x14ac:dyDescent="0.25">
      <c r="A288" s="38">
        <v>800001</v>
      </c>
      <c r="B288" t="s">
        <v>1099</v>
      </c>
      <c r="C288" s="158">
        <v>0</v>
      </c>
      <c r="D288" s="158">
        <v>12639.733</v>
      </c>
      <c r="E288" s="158">
        <v>1704285.06</v>
      </c>
      <c r="F288" s="158">
        <v>-1691645.327</v>
      </c>
      <c r="G288" s="158" t="str">
        <f>IF($A288="","",IFERROR(INDEX(Map!$C$2:$C$400,MATCH($A288,Map!$A$2:$A$400,0)),"⚠ UNMAPPED"))</f>
        <v>IS</v>
      </c>
      <c r="H288" s="18" t="str">
        <f>IF($A288="","",IFERROR(INDEX(Map!$D$2:$D$400,MATCH($A288,Map!$A$2:$A$400,0)),"⚠ UNMAPPED"))</f>
        <v>General and Admin</v>
      </c>
      <c r="I288" s="18" t="str">
        <f>IF($A288="","",IFERROR(INDEX(Map!$E$2:$E$400,MATCH($A288,Map!$A$2:$A$400,0)),"⚠ UNMAPPED"))</f>
        <v>Salaries and wages</v>
      </c>
      <c r="J288" s="18" t="str">
        <f>IF($A288="","",IFERROR(INDEX(Map!$F$2:$F$400,MATCH($A288,Map!$A$2:$A$400,0)),"⚠ UNMAPPED"))</f>
        <v>Aims Holding current account expense — per Sep-26 IFRS report</v>
      </c>
    </row>
    <row r="289" spans="1:10" x14ac:dyDescent="0.25">
      <c r="A289" s="38">
        <v>800002</v>
      </c>
      <c r="B289" t="s">
        <v>1100</v>
      </c>
      <c r="C289" s="158">
        <v>0</v>
      </c>
      <c r="D289" s="158">
        <v>0</v>
      </c>
      <c r="E289" s="158">
        <v>0</v>
      </c>
      <c r="F289" s="158">
        <v>0</v>
      </c>
      <c r="G289" s="158" t="str">
        <f>IF($A289="","",IFERROR(INDEX(Map!$C$2:$C$400,MATCH($A289,Map!$A$2:$A$400,0)),"⚠ UNMAPPED"))</f>
        <v>IS</v>
      </c>
      <c r="H289" s="18" t="str">
        <f>IF($A289="","",IFERROR(INDEX(Map!$D$2:$D$400,MATCH($A289,Map!$A$2:$A$400,0)),"⚠ UNMAPPED"))</f>
        <v>General and Admin</v>
      </c>
      <c r="I289" s="18" t="str">
        <f>IF($A289="","",IFERROR(INDEX(Map!$E$2:$E$400,MATCH($A289,Map!$A$2:$A$400,0)),"⚠ UNMAPPED"))</f>
        <v>AIMS expenses</v>
      </c>
      <c r="J289" s="18" t="str">
        <f>IF($A289="","",IFERROR(INDEX(Map!$F$2:$F$400,MATCH($A289,Map!$A$2:$A$400,0)),"⚠ UNMAPPED"))</f>
        <v>Aims Holding  Current Acc</v>
      </c>
    </row>
    <row r="290" spans="1:10" x14ac:dyDescent="0.25">
      <c r="A290" s="38">
        <v>170021</v>
      </c>
      <c r="B290" t="s">
        <v>883</v>
      </c>
      <c r="C290" s="158"/>
      <c r="D290" s="158">
        <v>4780158.3569999998</v>
      </c>
      <c r="E290" s="158"/>
      <c r="F290" s="158">
        <v>4780158.3569999998</v>
      </c>
      <c r="G290" s="158" t="str">
        <f>IF($A290="","",IFERROR(INDEX(Map!$C$2:$C$400,MATCH($A290,Map!$A$2:$A$400,0)),"⚠ UNMAPPED"))</f>
        <v>BS</v>
      </c>
      <c r="H290" s="18" t="str">
        <f>IF($A290="","",IFERROR(INDEX(Map!$D$2:$D$400,MATCH($A290,Map!$A$2:$A$400,0)),"⚠ UNMAPPED"))</f>
        <v>Current Assets</v>
      </c>
      <c r="I290" s="18" t="str">
        <f>IF($A290="","",IFERROR(INDEX(Map!$E$2:$E$400,MATCH($A290,Map!$A$2:$A$400,0)),"⚠ UNMAPPED"))</f>
        <v>Prepaid expenses</v>
      </c>
      <c r="J290" s="18" t="str">
        <f>IF($A290="","",IFERROR(INDEX(Map!$F$2:$F$400,MATCH($A290,Map!$A$2:$A$400,0)),"⚠ UNMAPPED"))</f>
        <v>Prepaid expense</v>
      </c>
    </row>
    <row r="291" spans="1:10" x14ac:dyDescent="0.25">
      <c r="A291" s="38">
        <v>210001</v>
      </c>
      <c r="B291" t="s">
        <v>902</v>
      </c>
      <c r="C291" s="158"/>
      <c r="D291" s="158"/>
      <c r="E291" s="158">
        <v>4780158.3569999998</v>
      </c>
      <c r="F291" s="158">
        <v>-4780158.3569999998</v>
      </c>
      <c r="G291" s="158" t="str">
        <f>IF($A291="","",IFERROR(INDEX(Map!$C$2:$C$400,MATCH($A291,Map!$A$2:$A$400,0)),"⚠ UNMAPPED"))</f>
        <v>BS</v>
      </c>
      <c r="H291" s="18" t="str">
        <f>IF($A291="","",IFERROR(INDEX(Map!$D$2:$D$400,MATCH($A291,Map!$A$2:$A$400,0)),"⚠ UNMAPPED"))</f>
        <v>Current Liabilities</v>
      </c>
      <c r="I291" s="18" t="str">
        <f>IF($A291="","",IFERROR(INDEX(Map!$E$2:$E$400,MATCH($A291,Map!$A$2:$A$400,0)),"⚠ UNMAPPED"))</f>
        <v>Tade payables and Accuals &amp; other credit balances</v>
      </c>
      <c r="J291" s="18" t="str">
        <f>IF($A291="","",IFERROR(INDEX(Map!$F$2:$F$400,MATCH($A291,Map!$A$2:$A$400,0)),"⚠ UNMAPPED"))</f>
        <v>Trade payables - Foreign</v>
      </c>
    </row>
    <row r="292" spans="1:10" x14ac:dyDescent="0.25">
      <c r="A292" s="38">
        <v>410001</v>
      </c>
      <c r="B292" t="s">
        <v>938</v>
      </c>
      <c r="C292" s="158"/>
      <c r="D292" s="158">
        <v>1746115.8231240001</v>
      </c>
      <c r="E292" s="158"/>
      <c r="F292" s="158">
        <v>1746115.8231240001</v>
      </c>
      <c r="G292" s="158" t="str">
        <f>IF($A292="","",IFERROR(INDEX(Map!$C$2:$C$400,MATCH($A292,Map!$A$2:$A$400,0)),"⚠ UNMAPPED"))</f>
        <v>IS</v>
      </c>
      <c r="H292" s="18" t="str">
        <f>IF($A292="","",IFERROR(INDEX(Map!$D$2:$D$400,MATCH($A292,Map!$A$2:$A$400,0)),"⚠ UNMAPPED"))</f>
        <v>Sales</v>
      </c>
      <c r="I292" s="18" t="str">
        <f>IF($A292="","",IFERROR(INDEX(Map!$E$2:$E$400,MATCH($A292,Map!$A$2:$A$400,0)),"⚠ UNMAPPED"))</f>
        <v>Sales</v>
      </c>
      <c r="J292" s="18" t="str">
        <f>IF($A292="","",IFERROR(INDEX(Map!$F$2:$F$400,MATCH($A292,Map!$A$2:$A$400,0)),"⚠ UNMAPPED"))</f>
        <v>Trading revenue</v>
      </c>
    </row>
    <row r="293" spans="1:10" x14ac:dyDescent="0.25">
      <c r="A293" s="38">
        <v>140001</v>
      </c>
      <c r="B293" t="s">
        <v>857</v>
      </c>
      <c r="C293" s="158"/>
      <c r="D293" s="158"/>
      <c r="E293" s="158">
        <v>1746115.8231240001</v>
      </c>
      <c r="F293" s="158">
        <v>-1746115.8231240001</v>
      </c>
      <c r="G293" s="158" t="str">
        <f>IF($A293="","",IFERROR(INDEX(Map!$C$2:$C$400,MATCH($A293,Map!$A$2:$A$400,0)),"⚠ UNMAPPED"))</f>
        <v>BS</v>
      </c>
      <c r="H293" s="18" t="str">
        <f>IF($A293="","",IFERROR(INDEX(Map!$D$2:$D$400,MATCH($A293,Map!$A$2:$A$400,0)),"⚠ UNMAPPED"))</f>
        <v>Current Assets</v>
      </c>
      <c r="I293" s="18" t="str">
        <f>IF($A293="","",IFERROR(INDEX(Map!$E$2:$E$400,MATCH($A293,Map!$A$2:$A$400,0)),"⚠ UNMAPPED"))</f>
        <v>Trade receivables</v>
      </c>
      <c r="J293" s="18" t="str">
        <f>IF($A293="","",IFERROR(INDEX(Map!$F$2:$F$400,MATCH($A293,Map!$A$2:$A$400,0)),"⚠ UNMAPPED"))</f>
        <v>Trade receivables - current</v>
      </c>
    </row>
    <row r="294" spans="1:10" x14ac:dyDescent="0.25">
      <c r="A294" s="38">
        <v>510001</v>
      </c>
      <c r="B294" t="s">
        <v>945</v>
      </c>
      <c r="C294" s="158"/>
      <c r="D294" s="158"/>
      <c r="E294" s="158">
        <v>877693.92134</v>
      </c>
      <c r="F294" s="158">
        <v>-877693.92134</v>
      </c>
      <c r="G294" s="158" t="str">
        <f>IF($A294="","",IFERROR(INDEX(Map!$C$2:$C$400,MATCH($A294,Map!$A$2:$A$400,0)),"⚠ UNMAPPED"))</f>
        <v>IS</v>
      </c>
      <c r="H294" s="18" t="str">
        <f>IF($A294="","",IFERROR(INDEX(Map!$D$2:$D$400,MATCH($A294,Map!$A$2:$A$400,0)),"⚠ UNMAPPED"))</f>
        <v>Cost of sales</v>
      </c>
      <c r="I294" s="18" t="str">
        <f>IF($A294="","",IFERROR(INDEX(Map!$E$2:$E$400,MATCH($A294,Map!$A$2:$A$400,0)),"⚠ UNMAPPED"))</f>
        <v>Raw materials</v>
      </c>
      <c r="J294" s="18" t="str">
        <f>IF($A294="","",IFERROR(INDEX(Map!$F$2:$F$400,MATCH($A294,Map!$A$2:$A$400,0)),"⚠ UNMAPPED"))</f>
        <v>Raw materials</v>
      </c>
    </row>
    <row r="295" spans="1:10" x14ac:dyDescent="0.25">
      <c r="A295" s="38">
        <v>180099</v>
      </c>
      <c r="B295" t="s">
        <v>901</v>
      </c>
      <c r="C295" s="158"/>
      <c r="D295" s="158">
        <v>877693.92134</v>
      </c>
      <c r="E295" s="158"/>
      <c r="F295" s="158">
        <v>877693.92134</v>
      </c>
      <c r="G295" s="158" t="str">
        <f>IF($A295="","",IFERROR(INDEX(Map!$C$2:$C$400,MATCH($A295,Map!$A$2:$A$400,0)),"⚠ UNMAPPED"))</f>
        <v>BS</v>
      </c>
      <c r="H295" s="18" t="str">
        <f>IF($A295="","",IFERROR(INDEX(Map!$D$2:$D$400,MATCH($A295,Map!$A$2:$A$400,0)),"⚠ UNMAPPED"))</f>
        <v>Current Assets</v>
      </c>
      <c r="I295" s="18" t="str">
        <f>IF($A295="","",IFERROR(INDEX(Map!$E$2:$E$400,MATCH($A295,Map!$A$2:$A$400,0)),"⚠ UNMAPPED"))</f>
        <v>Inventories</v>
      </c>
      <c r="J295" s="18" t="str">
        <f>IF($A295="","",IFERROR(INDEX(Map!$F$2:$F$400,MATCH($A295,Map!$A$2:$A$400,0)),"⚠ UNMAPPED"))</f>
        <v>Goods in transit - Inventory</v>
      </c>
    </row>
    <row r="296" spans="1:10" x14ac:dyDescent="0.25">
      <c r="A296" s="38">
        <v>600029</v>
      </c>
      <c r="B296" t="s">
        <v>1006</v>
      </c>
      <c r="C296" s="158"/>
      <c r="D296" s="158">
        <v>6489832.7048807256</v>
      </c>
      <c r="E296" s="158"/>
      <c r="F296" s="158">
        <v>6489832.7048807256</v>
      </c>
      <c r="G296" s="158" t="str">
        <f>IF($A296="","",IFERROR(INDEX(Map!$C$2:$C$400,MATCH($A296,Map!$A$2:$A$400,0)),"⚠ UNMAPPED"))</f>
        <v>IS</v>
      </c>
      <c r="H296" s="18" t="str">
        <f>IF($A296="","",IFERROR(INDEX(Map!$D$2:$D$400,MATCH($A296,Map!$A$2:$A$400,0)),"⚠ UNMAPPED"))</f>
        <v>Cost of sales</v>
      </c>
      <c r="I296" s="18" t="str">
        <f>IF($A296="","",IFERROR(INDEX(Map!$E$2:$E$400,MATCH($A296,Map!$A$2:$A$400,0)),"⚠ UNMAPPED"))</f>
        <v>Depreciation - Machines</v>
      </c>
      <c r="J296" s="18" t="str">
        <f>IF($A296="","",IFERROR(INDEX(Map!$F$2:$F$400,MATCH($A296,Map!$A$2:$A$400,0)),"⚠ UNMAPPED"))</f>
        <v>Depreciation of property, plant and equipment</v>
      </c>
    </row>
    <row r="297" spans="1:10" x14ac:dyDescent="0.25">
      <c r="A297" s="38">
        <v>600032</v>
      </c>
      <c r="B297" t="s">
        <v>1009</v>
      </c>
      <c r="C297" s="158"/>
      <c r="D297" s="158">
        <v>1194663.42</v>
      </c>
      <c r="E297" s="158"/>
      <c r="F297" s="158">
        <v>1194663.42</v>
      </c>
      <c r="G297" s="158" t="str">
        <f>IF($A297="","",IFERROR(INDEX(Map!$C$2:$C$400,MATCH($A297,Map!$A$2:$A$400,0)),"⚠ UNMAPPED"))</f>
        <v>IS</v>
      </c>
      <c r="H297" s="18" t="str">
        <f>IF($A297="","",IFERROR(INDEX(Map!$D$2:$D$400,MATCH($A297,Map!$A$2:$A$400,0)),"⚠ UNMAPPED"))</f>
        <v>Depreciation expenses</v>
      </c>
      <c r="I297" s="18" t="str">
        <f>IF($A297="","",IFERROR(INDEX(Map!$E$2:$E$400,MATCH($A297,Map!$A$2:$A$400,0)),"⚠ UNMAPPED"))</f>
        <v>Depreciation expenses</v>
      </c>
      <c r="J297" s="18" t="str">
        <f>IF($A297="","",IFERROR(INDEX(Map!$F$2:$F$400,MATCH($A297,Map!$A$2:$A$400,0)),"⚠ UNMAPPED"))</f>
        <v>Depreciation of property, plant and equipment</v>
      </c>
    </row>
    <row r="298" spans="1:10" x14ac:dyDescent="0.25">
      <c r="A298" s="38">
        <v>600033</v>
      </c>
      <c r="B298" t="s">
        <v>1010</v>
      </c>
      <c r="C298" s="158"/>
      <c r="D298" s="158">
        <v>0</v>
      </c>
      <c r="E298" s="158"/>
      <c r="F298" s="158">
        <v>0</v>
      </c>
      <c r="G298" s="158" t="str">
        <f>IF($A298="","",IFERROR(INDEX(Map!$C$2:$C$400,MATCH($A298,Map!$A$2:$A$400,0)),"⚠ UNMAPPED"))</f>
        <v>IS</v>
      </c>
      <c r="H298" s="18" t="str">
        <f>IF($A298="","",IFERROR(INDEX(Map!$D$2:$D$400,MATCH($A298,Map!$A$2:$A$400,0)),"⚠ UNMAPPED"))</f>
        <v>Depreciation expenses</v>
      </c>
      <c r="I298" s="18" t="str">
        <f>IF($A298="","",IFERROR(INDEX(Map!$E$2:$E$400,MATCH($A298,Map!$A$2:$A$400,0)),"⚠ UNMAPPED"))</f>
        <v>Depreciation expenses</v>
      </c>
      <c r="J298" s="18" t="str">
        <f>IF($A298="","",IFERROR(INDEX(Map!$F$2:$F$400,MATCH($A298,Map!$A$2:$A$400,0)),"⚠ UNMAPPED"))</f>
        <v>Depreciation of property, plant and equipment</v>
      </c>
    </row>
    <row r="299" spans="1:10" x14ac:dyDescent="0.25">
      <c r="A299" s="38">
        <v>700050</v>
      </c>
      <c r="B299" t="s">
        <v>1071</v>
      </c>
      <c r="C299" s="158"/>
      <c r="D299" s="158">
        <v>0</v>
      </c>
      <c r="E299" s="158"/>
      <c r="F299" s="158">
        <v>0</v>
      </c>
      <c r="G299" s="158" t="str">
        <f>IF($A299="","",IFERROR(INDEX(Map!$C$2:$C$400,MATCH($A299,Map!$A$2:$A$400,0)),"⚠ UNMAPPED"))</f>
        <v>IS</v>
      </c>
      <c r="H299" s="18" t="str">
        <f>IF($A299="","",IFERROR(INDEX(Map!$D$2:$D$400,MATCH($A299,Map!$A$2:$A$400,0)),"⚠ UNMAPPED"))</f>
        <v>Depreciation expenses</v>
      </c>
      <c r="I299" s="18" t="str">
        <f>IF($A299="","",IFERROR(INDEX(Map!$E$2:$E$400,MATCH($A299,Map!$A$2:$A$400,0)),"⚠ UNMAPPED"))</f>
        <v>Depreciation expenses</v>
      </c>
      <c r="J299" s="18" t="str">
        <f>IF($A299="","",IFERROR(INDEX(Map!$F$2:$F$400,MATCH($A299,Map!$A$2:$A$400,0)),"⚠ UNMAPPED"))</f>
        <v>Depreciation of property, plant and equipment</v>
      </c>
    </row>
    <row r="300" spans="1:10" x14ac:dyDescent="0.25">
      <c r="A300" s="38">
        <v>700051</v>
      </c>
      <c r="B300" t="s">
        <v>1072</v>
      </c>
      <c r="C300" s="158"/>
      <c r="D300" s="158">
        <v>39251.25</v>
      </c>
      <c r="E300" s="158"/>
      <c r="F300" s="158">
        <v>39251.25</v>
      </c>
      <c r="G300" s="158" t="str">
        <f>IF($A300="","",IFERROR(INDEX(Map!$C$2:$C$400,MATCH($A300,Map!$A$2:$A$400,0)),"⚠ UNMAPPED"))</f>
        <v>IS</v>
      </c>
      <c r="H300" s="18" t="str">
        <f>IF($A300="","",IFERROR(INDEX(Map!$D$2:$D$400,MATCH($A300,Map!$A$2:$A$400,0)),"⚠ UNMAPPED"))</f>
        <v>Depreciation expenses</v>
      </c>
      <c r="I300" s="18" t="str">
        <f>IF($A300="","",IFERROR(INDEX(Map!$E$2:$E$400,MATCH($A300,Map!$A$2:$A$400,0)),"⚠ UNMAPPED"))</f>
        <v>Depreciation expenses</v>
      </c>
      <c r="J300" s="18" t="str">
        <f>IF($A300="","",IFERROR(INDEX(Map!$F$2:$F$400,MATCH($A300,Map!$A$2:$A$400,0)),"⚠ UNMAPPED"))</f>
        <v>Depreciation of property, plant and equipment</v>
      </c>
    </row>
    <row r="301" spans="1:10" x14ac:dyDescent="0.25">
      <c r="A301" s="38">
        <v>700052</v>
      </c>
      <c r="B301" t="s">
        <v>1073</v>
      </c>
      <c r="C301" s="158"/>
      <c r="D301" s="158">
        <v>0</v>
      </c>
      <c r="E301" s="158"/>
      <c r="F301" s="158">
        <v>0</v>
      </c>
      <c r="G301" s="158" t="str">
        <f>IF($A301="","",IFERROR(INDEX(Map!$C$2:$C$400,MATCH($A301,Map!$A$2:$A$400,0)),"⚠ UNMAPPED"))</f>
        <v>IS</v>
      </c>
      <c r="H301" s="18" t="str">
        <f>IF($A301="","",IFERROR(INDEX(Map!$D$2:$D$400,MATCH($A301,Map!$A$2:$A$400,0)),"⚠ UNMAPPED"))</f>
        <v>Depreciation expenses</v>
      </c>
      <c r="I301" s="18" t="str">
        <f>IF($A301="","",IFERROR(INDEX(Map!$E$2:$E$400,MATCH($A301,Map!$A$2:$A$400,0)),"⚠ UNMAPPED"))</f>
        <v>Depreciation expenses</v>
      </c>
      <c r="J301" s="18" t="str">
        <f>IF($A301="","",IFERROR(INDEX(Map!$F$2:$F$400,MATCH($A301,Map!$A$2:$A$400,0)),"⚠ UNMAPPED"))</f>
        <v>Depreciation of property, plant and equipment</v>
      </c>
    </row>
    <row r="302" spans="1:10" x14ac:dyDescent="0.25">
      <c r="A302" s="38">
        <v>700053</v>
      </c>
      <c r="B302" t="s">
        <v>1074</v>
      </c>
      <c r="C302" s="158"/>
      <c r="D302" s="158">
        <v>0</v>
      </c>
      <c r="E302" s="158"/>
      <c r="F302" s="158">
        <v>0</v>
      </c>
      <c r="G302" s="158" t="str">
        <f>IF($A302="","",IFERROR(INDEX(Map!$C$2:$C$400,MATCH($A302,Map!$A$2:$A$400,0)),"⚠ UNMAPPED"))</f>
        <v>IS</v>
      </c>
      <c r="H302" s="18" t="str">
        <f>IF($A302="","",IFERROR(INDEX(Map!$D$2:$D$400,MATCH($A302,Map!$A$2:$A$400,0)),"⚠ UNMAPPED"))</f>
        <v>Depreciation expenses</v>
      </c>
      <c r="I302" s="18" t="str">
        <f>IF($A302="","",IFERROR(INDEX(Map!$E$2:$E$400,MATCH($A302,Map!$A$2:$A$400,0)),"⚠ UNMAPPED"))</f>
        <v>Depreciation expenses</v>
      </c>
      <c r="J302" s="18" t="str">
        <f>IF($A302="","",IFERROR(INDEX(Map!$F$2:$F$400,MATCH($A302,Map!$A$2:$A$400,0)),"⚠ UNMAPPED"))</f>
        <v>Depreciation of property, plant and equipment</v>
      </c>
    </row>
    <row r="303" spans="1:10" x14ac:dyDescent="0.25">
      <c r="A303" s="38">
        <v>700054</v>
      </c>
      <c r="B303" t="s">
        <v>1075</v>
      </c>
      <c r="C303" s="158"/>
      <c r="D303" s="158">
        <v>225775.19099999929</v>
      </c>
      <c r="E303" s="158"/>
      <c r="F303" s="158">
        <v>225775.19099999929</v>
      </c>
      <c r="G303" s="158" t="str">
        <f>IF($A303="","",IFERROR(INDEX(Map!$C$2:$C$400,MATCH($A303,Map!$A$2:$A$400,0)),"⚠ UNMAPPED"))</f>
        <v>IS</v>
      </c>
      <c r="H303" s="18" t="str">
        <f>IF($A303="","",IFERROR(INDEX(Map!$D$2:$D$400,MATCH($A303,Map!$A$2:$A$400,0)),"⚠ UNMAPPED"))</f>
        <v>Depreciation expenses</v>
      </c>
      <c r="I303" s="18" t="str">
        <f>IF($A303="","",IFERROR(INDEX(Map!$E$2:$E$400,MATCH($A303,Map!$A$2:$A$400,0)),"⚠ UNMAPPED"))</f>
        <v>Depreciation expenses</v>
      </c>
      <c r="J303" s="18" t="str">
        <f>IF($A303="","",IFERROR(INDEX(Map!$F$2:$F$400,MATCH($A303,Map!$A$2:$A$400,0)),"⚠ UNMAPPED"))</f>
        <v>Depreciation of property, plant and equipment</v>
      </c>
    </row>
    <row r="304" spans="1:10" x14ac:dyDescent="0.25">
      <c r="A304" s="38">
        <v>700055</v>
      </c>
      <c r="B304" t="s">
        <v>1076</v>
      </c>
      <c r="C304" s="158"/>
      <c r="D304" s="158">
        <v>116316.60075</v>
      </c>
      <c r="E304" s="158"/>
      <c r="F304" s="158">
        <v>116316.60075</v>
      </c>
      <c r="G304" s="158" t="str">
        <f>IF($A304="","",IFERROR(INDEX(Map!$C$2:$C$400,MATCH($A304,Map!$A$2:$A$400,0)),"⚠ UNMAPPED"))</f>
        <v>IS</v>
      </c>
      <c r="H304" s="18" t="str">
        <f>IF($A304="","",IFERROR(INDEX(Map!$D$2:$D$400,MATCH($A304,Map!$A$2:$A$400,0)),"⚠ UNMAPPED"))</f>
        <v>Depreciation expenses</v>
      </c>
      <c r="I304" s="18" t="str">
        <f>IF($A304="","",IFERROR(INDEX(Map!$E$2:$E$400,MATCH($A304,Map!$A$2:$A$400,0)),"⚠ UNMAPPED"))</f>
        <v>Depreciation expenses</v>
      </c>
      <c r="J304" s="18" t="str">
        <f>IF($A304="","",IFERROR(INDEX(Map!$F$2:$F$400,MATCH($A304,Map!$A$2:$A$400,0)),"⚠ UNMAPPED"))</f>
        <v>Depreciation of property, plant and equipment</v>
      </c>
    </row>
    <row r="305" spans="1:10" x14ac:dyDescent="0.25">
      <c r="A305" s="38">
        <v>700056</v>
      </c>
      <c r="B305" t="s">
        <v>1077</v>
      </c>
      <c r="C305" s="158"/>
      <c r="D305" s="158">
        <v>69230.155499999993</v>
      </c>
      <c r="E305" s="158"/>
      <c r="F305" s="158">
        <v>69230.155499999993</v>
      </c>
      <c r="G305" s="158" t="str">
        <f>IF($A305="","",IFERROR(INDEX(Map!$C$2:$C$400,MATCH($A305,Map!$A$2:$A$400,0)),"⚠ UNMAPPED"))</f>
        <v>IS</v>
      </c>
      <c r="H305" s="18" t="str">
        <f>IF($A305="","",IFERROR(INDEX(Map!$D$2:$D$400,MATCH($A305,Map!$A$2:$A$400,0)),"⚠ UNMAPPED"))</f>
        <v>Depreciation expenses</v>
      </c>
      <c r="I305" s="18" t="str">
        <f>IF($A305="","",IFERROR(INDEX(Map!$E$2:$E$400,MATCH($A305,Map!$A$2:$A$400,0)),"⚠ UNMAPPED"))</f>
        <v>Depreciation expenses</v>
      </c>
      <c r="J305" s="18" t="str">
        <f>IF($A305="","",IFERROR(INDEX(Map!$F$2:$F$400,MATCH($A305,Map!$A$2:$A$400,0)),"⚠ UNMAPPED"))</f>
        <v>Depreciation of property, plant and equipment</v>
      </c>
    </row>
    <row r="306" spans="1:10" x14ac:dyDescent="0.25">
      <c r="A306" s="38">
        <v>120001</v>
      </c>
      <c r="B306" t="s">
        <v>829</v>
      </c>
      <c r="C306" s="158"/>
      <c r="D306" s="158"/>
      <c r="E306" s="158">
        <v>1194663.42</v>
      </c>
      <c r="F306" s="158">
        <v>-1194663.42</v>
      </c>
      <c r="G306" s="158" t="str">
        <f>IF($A306="","",IFERROR(INDEX(Map!$C$2:$C$400,MATCH($A306,Map!$A$2:$A$400,0)),"⚠ UNMAPPED"))</f>
        <v>BS</v>
      </c>
      <c r="H306" s="18" t="str">
        <f>IF($A306="","",IFERROR(INDEX(Map!$D$2:$D$400,MATCH($A306,Map!$A$2:$A$400,0)),"⚠ UNMAPPED"))</f>
        <v>Non-Current Assets</v>
      </c>
      <c r="I306" s="18" t="str">
        <f>IF($A306="","",IFERROR(INDEX(Map!$E$2:$E$400,MATCH($A306,Map!$A$2:$A$400,0)),"⚠ UNMAPPED"))</f>
        <v>Property, plant and equipment</v>
      </c>
      <c r="J306" s="18" t="str">
        <f>IF($A306="","",IFERROR(INDEX(Map!$F$2:$F$400,MATCH($A306,Map!$A$2:$A$400,0)),"⚠ UNMAPPED"))</f>
        <v>Property, plant and equipment - Accumulated depreciation</v>
      </c>
    </row>
    <row r="307" spans="1:10" x14ac:dyDescent="0.25">
      <c r="A307" s="38">
        <v>120002</v>
      </c>
      <c r="B307" t="s">
        <v>830</v>
      </c>
      <c r="C307" s="158"/>
      <c r="D307" s="158"/>
      <c r="E307" s="158">
        <v>39251.25</v>
      </c>
      <c r="F307" s="158">
        <v>-39251.25</v>
      </c>
      <c r="G307" s="158" t="str">
        <f>IF($A307="","",IFERROR(INDEX(Map!$C$2:$C$400,MATCH($A307,Map!$A$2:$A$400,0)),"⚠ UNMAPPED"))</f>
        <v>BS</v>
      </c>
      <c r="H307" s="18" t="str">
        <f>IF($A307="","",IFERROR(INDEX(Map!$D$2:$D$400,MATCH($A307,Map!$A$2:$A$400,0)),"⚠ UNMAPPED"))</f>
        <v>Non-Current Assets</v>
      </c>
      <c r="I307" s="18" t="str">
        <f>IF($A307="","",IFERROR(INDEX(Map!$E$2:$E$400,MATCH($A307,Map!$A$2:$A$400,0)),"⚠ UNMAPPED"))</f>
        <v>Property, plant and equipment</v>
      </c>
      <c r="J307" s="18" t="str">
        <f>IF($A307="","",IFERROR(INDEX(Map!$F$2:$F$400,MATCH($A307,Map!$A$2:$A$400,0)),"⚠ UNMAPPED"))</f>
        <v>Property, plant and equipment - Accumulated depreciation</v>
      </c>
    </row>
    <row r="308" spans="1:10" x14ac:dyDescent="0.25">
      <c r="A308" s="38">
        <v>120003</v>
      </c>
      <c r="B308" t="s">
        <v>831</v>
      </c>
      <c r="C308" s="158"/>
      <c r="D308" s="158"/>
      <c r="E308" s="158">
        <v>6489832.7048807256</v>
      </c>
      <c r="F308" s="158">
        <v>-6489832.7048807256</v>
      </c>
      <c r="G308" s="158" t="str">
        <f>IF($A308="","",IFERROR(INDEX(Map!$C$2:$C$400,MATCH($A308,Map!$A$2:$A$400,0)),"⚠ UNMAPPED"))</f>
        <v>BS</v>
      </c>
      <c r="H308" s="18" t="str">
        <f>IF($A308="","",IFERROR(INDEX(Map!$D$2:$D$400,MATCH($A308,Map!$A$2:$A$400,0)),"⚠ UNMAPPED"))</f>
        <v>Non-Current Assets</v>
      </c>
      <c r="I308" s="18" t="str">
        <f>IF($A308="","",IFERROR(INDEX(Map!$E$2:$E$400,MATCH($A308,Map!$A$2:$A$400,0)),"⚠ UNMAPPED"))</f>
        <v>Property, plant and equipment</v>
      </c>
      <c r="J308" s="18" t="str">
        <f>IF($A308="","",IFERROR(INDEX(Map!$F$2:$F$400,MATCH($A308,Map!$A$2:$A$400,0)),"⚠ UNMAPPED"))</f>
        <v>Property, plant and equipment - Accumulated depreciation</v>
      </c>
    </row>
    <row r="309" spans="1:10" x14ac:dyDescent="0.25">
      <c r="A309" s="38">
        <v>120005</v>
      </c>
      <c r="B309" t="s">
        <v>832</v>
      </c>
      <c r="C309" s="158"/>
      <c r="D309" s="158"/>
      <c r="E309" s="158">
        <v>225775.19099999929</v>
      </c>
      <c r="F309" s="158">
        <v>-225775.19099999929</v>
      </c>
      <c r="G309" s="158" t="str">
        <f>IF($A309="","",IFERROR(INDEX(Map!$C$2:$C$400,MATCH($A309,Map!$A$2:$A$400,0)),"⚠ UNMAPPED"))</f>
        <v>BS</v>
      </c>
      <c r="H309" s="18" t="str">
        <f>IF($A309="","",IFERROR(INDEX(Map!$D$2:$D$400,MATCH($A309,Map!$A$2:$A$400,0)),"⚠ UNMAPPED"))</f>
        <v>Non-Current Assets</v>
      </c>
      <c r="I309" s="18" t="str">
        <f>IF($A309="","",IFERROR(INDEX(Map!$E$2:$E$400,MATCH($A309,Map!$A$2:$A$400,0)),"⚠ UNMAPPED"))</f>
        <v>Property, plant and equipment</v>
      </c>
      <c r="J309" s="18" t="str">
        <f>IF($A309="","",IFERROR(INDEX(Map!$F$2:$F$400,MATCH($A309,Map!$A$2:$A$400,0)),"⚠ UNMAPPED"))</f>
        <v>Property, plant and equipment - Accumulated depreciation</v>
      </c>
    </row>
    <row r="310" spans="1:10" x14ac:dyDescent="0.25">
      <c r="A310" s="38">
        <v>120006</v>
      </c>
      <c r="B310" t="s">
        <v>833</v>
      </c>
      <c r="C310" s="158"/>
      <c r="D310" s="158"/>
      <c r="E310" s="158">
        <v>116316.60075</v>
      </c>
      <c r="F310" s="158">
        <v>-116316.60075</v>
      </c>
      <c r="G310" s="158" t="str">
        <f>IF($A310="","",IFERROR(INDEX(Map!$C$2:$C$400,MATCH($A310,Map!$A$2:$A$400,0)),"⚠ UNMAPPED"))</f>
        <v>BS</v>
      </c>
      <c r="H310" s="18" t="str">
        <f>IF($A310="","",IFERROR(INDEX(Map!$D$2:$D$400,MATCH($A310,Map!$A$2:$A$400,0)),"⚠ UNMAPPED"))</f>
        <v>Non-Current Assets</v>
      </c>
      <c r="I310" s="18" t="str">
        <f>IF($A310="","",IFERROR(INDEX(Map!$E$2:$E$400,MATCH($A310,Map!$A$2:$A$400,0)),"⚠ UNMAPPED"))</f>
        <v>Property, plant and equipment</v>
      </c>
      <c r="J310" s="18" t="str">
        <f>IF($A310="","",IFERROR(INDEX(Map!$F$2:$F$400,MATCH($A310,Map!$A$2:$A$400,0)),"⚠ UNMAPPED"))</f>
        <v>Property, plant and equipment - Accumulated depreciation</v>
      </c>
    </row>
    <row r="311" spans="1:10" x14ac:dyDescent="0.25">
      <c r="A311" s="38">
        <v>120007</v>
      </c>
      <c r="B311" t="s">
        <v>834</v>
      </c>
      <c r="C311" s="158"/>
      <c r="D311" s="158"/>
      <c r="E311" s="158">
        <v>69230.155499999993</v>
      </c>
      <c r="F311" s="158">
        <v>-69230.155499999993</v>
      </c>
      <c r="G311" s="158" t="str">
        <f>IF($A311="","",IFERROR(INDEX(Map!$C$2:$C$400,MATCH($A311,Map!$A$2:$A$400,0)),"⚠ UNMAPPED"))</f>
        <v>BS</v>
      </c>
      <c r="H311" s="18" t="str">
        <f>IF($A311="","",IFERROR(INDEX(Map!$D$2:$D$400,MATCH($A311,Map!$A$2:$A$400,0)),"⚠ UNMAPPED"))</f>
        <v>Non-Current Assets</v>
      </c>
      <c r="I311" s="18" t="str">
        <f>IF($A311="","",IFERROR(INDEX(Map!$E$2:$E$400,MATCH($A311,Map!$A$2:$A$400,0)),"⚠ UNMAPPED"))</f>
        <v>Property, plant and equipment</v>
      </c>
      <c r="J311" s="18" t="str">
        <f>IF($A311="","",IFERROR(INDEX(Map!$F$2:$F$400,MATCH($A311,Map!$A$2:$A$400,0)),"⚠ UNMAPPED"))</f>
        <v>Property, plant and equipment - Accumulated depreciation</v>
      </c>
    </row>
    <row r="312" spans="1:10" x14ac:dyDescent="0.25">
      <c r="A312" s="38">
        <v>600001</v>
      </c>
      <c r="B312" t="s">
        <v>979</v>
      </c>
      <c r="C312" s="158"/>
      <c r="D312" s="158"/>
      <c r="E312" s="158">
        <v>2065076.52</v>
      </c>
      <c r="F312" s="158">
        <v>-2065076.52</v>
      </c>
      <c r="G312" s="158" t="str">
        <f>IF($A312="","",IFERROR(INDEX(Map!$C$2:$C$400,MATCH($A312,Map!$A$2:$A$400,0)),"⚠ UNMAPPED"))</f>
        <v>IS</v>
      </c>
      <c r="H312" s="18" t="str">
        <f>IF($A312="","",IFERROR(INDEX(Map!$D$2:$D$400,MATCH($A312,Map!$A$2:$A$400,0)),"⚠ UNMAPPED"))</f>
        <v>Cost of sales</v>
      </c>
      <c r="I312" s="18" t="str">
        <f>IF($A312="","",IFERROR(INDEX(Map!$E$2:$E$400,MATCH($A312,Map!$A$2:$A$400,0)),"⚠ UNMAPPED"))</f>
        <v>Overhead - Labor Cost</v>
      </c>
      <c r="J312" s="18" t="str">
        <f>IF($A312="","",IFERROR(INDEX(Map!$F$2:$F$400,MATCH($A312,Map!$A$2:$A$400,0)),"⚠ UNMAPPED"))</f>
        <v>Indirect Salaries — factory supervisory / indirect floor labour (COGS)</v>
      </c>
    </row>
    <row r="313" spans="1:10" x14ac:dyDescent="0.25">
      <c r="A313" s="38">
        <v>600002</v>
      </c>
      <c r="B313" t="s">
        <v>980</v>
      </c>
      <c r="C313" s="158"/>
      <c r="D313" s="158"/>
      <c r="E313" s="158">
        <v>372991.65</v>
      </c>
      <c r="F313" s="158">
        <v>-372991.65</v>
      </c>
      <c r="G313" s="158" t="str">
        <f>IF($A313="","",IFERROR(INDEX(Map!$C$2:$C$400,MATCH($A313,Map!$A$2:$A$400,0)),"⚠ UNMAPPED"))</f>
        <v>IS</v>
      </c>
      <c r="H313" s="18" t="str">
        <f>IF($A313="","",IFERROR(INDEX(Map!$D$2:$D$400,MATCH($A313,Map!$A$2:$A$400,0)),"⚠ UNMAPPED"))</f>
        <v>Cost of sales</v>
      </c>
      <c r="I313" s="18" t="str">
        <f>IF($A313="","",IFERROR(INDEX(Map!$E$2:$E$400,MATCH($A313,Map!$A$2:$A$400,0)),"⚠ UNMAPPED"))</f>
        <v>Overhead - Labor Cost</v>
      </c>
      <c r="J313" s="18" t="str">
        <f>IF($A313="","",IFERROR(INDEX(Map!$F$2:$F$400,MATCH($A313,Map!$A$2:$A$400,0)),"⚠ UNMAPPED"))</f>
        <v>Overtime pay</v>
      </c>
    </row>
    <row r="314" spans="1:10" x14ac:dyDescent="0.25">
      <c r="A314" s="38">
        <v>600003</v>
      </c>
      <c r="B314" t="s">
        <v>981</v>
      </c>
      <c r="C314" s="158"/>
      <c r="D314" s="158"/>
      <c r="E314" s="158">
        <v>189254.114</v>
      </c>
      <c r="F314" s="158">
        <v>-189254.114</v>
      </c>
      <c r="G314" s="158" t="str">
        <f>IF($A314="","",IFERROR(INDEX(Map!$C$2:$C$400,MATCH($A314,Map!$A$2:$A$400,0)),"⚠ UNMAPPED"))</f>
        <v>IS</v>
      </c>
      <c r="H314" s="18" t="str">
        <f>IF($A314="","",IFERROR(INDEX(Map!$D$2:$D$400,MATCH($A314,Map!$A$2:$A$400,0)),"⚠ UNMAPPED"))</f>
        <v>Cost of sales</v>
      </c>
      <c r="I314" s="18" t="str">
        <f>IF($A314="","",IFERROR(INDEX(Map!$E$2:$E$400,MATCH($A314,Map!$A$2:$A$400,0)),"⚠ UNMAPPED"))</f>
        <v>Overhead - Labor Cost</v>
      </c>
      <c r="J314" s="18" t="str">
        <f>IF($A314="","",IFERROR(INDEX(Map!$F$2:$F$400,MATCH($A314,Map!$A$2:$A$400,0)),"⚠ UNMAPPED"))</f>
        <v xml:space="preserve">Food &amp; Housing </v>
      </c>
    </row>
    <row r="315" spans="1:10" x14ac:dyDescent="0.25">
      <c r="A315" s="38">
        <v>600004</v>
      </c>
      <c r="B315" t="s">
        <v>982</v>
      </c>
      <c r="C315" s="158"/>
      <c r="D315" s="158"/>
      <c r="E315" s="158">
        <v>133909.231</v>
      </c>
      <c r="F315" s="158">
        <v>-133909.231</v>
      </c>
      <c r="G315" s="158" t="str">
        <f>IF($A315="","",IFERROR(INDEX(Map!$C$2:$C$400,MATCH($A315,Map!$A$2:$A$400,0)),"⚠ UNMAPPED"))</f>
        <v>IS</v>
      </c>
      <c r="H315" s="18" t="str">
        <f>IF($A315="","",IFERROR(INDEX(Map!$D$2:$D$400,MATCH($A315,Map!$A$2:$A$400,0)),"⚠ UNMAPPED"))</f>
        <v>Cost of sales</v>
      </c>
      <c r="I315" s="18" t="str">
        <f>IF($A315="","",IFERROR(INDEX(Map!$E$2:$E$400,MATCH($A315,Map!$A$2:$A$400,0)),"⚠ UNMAPPED"))</f>
        <v>Overhead - Labor Cost</v>
      </c>
      <c r="J315" s="18" t="str">
        <f>IF($A315="","",IFERROR(INDEX(Map!$F$2:$F$400,MATCH($A315,Map!$A$2:$A$400,0)),"⚠ UNMAPPED"))</f>
        <v>Medical insurance</v>
      </c>
    </row>
    <row r="316" spans="1:10" x14ac:dyDescent="0.25">
      <c r="A316" s="38">
        <v>600006</v>
      </c>
      <c r="B316" t="s">
        <v>984</v>
      </c>
      <c r="C316" s="158"/>
      <c r="D316" s="158"/>
      <c r="E316" s="158">
        <v>476289.19900000002</v>
      </c>
      <c r="F316" s="158">
        <v>-476289.19900000002</v>
      </c>
      <c r="G316" s="158" t="str">
        <f>IF($A316="","",IFERROR(INDEX(Map!$C$2:$C$400,MATCH($A316,Map!$A$2:$A$400,0)),"⚠ UNMAPPED"))</f>
        <v>IS</v>
      </c>
      <c r="H316" s="18" t="str">
        <f>IF($A316="","",IFERROR(INDEX(Map!$D$2:$D$400,MATCH($A316,Map!$A$2:$A$400,0)),"⚠ UNMAPPED"))</f>
        <v>Cost of sales</v>
      </c>
      <c r="I316" s="18" t="str">
        <f>IF($A316="","",IFERROR(INDEX(Map!$E$2:$E$400,MATCH($A316,Map!$A$2:$A$400,0)),"⚠ UNMAPPED"))</f>
        <v>Overhead - Labor Cost</v>
      </c>
      <c r="J316" s="18" t="str">
        <f>IF($A316="","",IFERROR(INDEX(Map!$F$2:$F$400,MATCH($A316,Map!$A$2:$A$400,0)),"⚠ UNMAPPED"))</f>
        <v xml:space="preserve">Food &amp; Housing </v>
      </c>
    </row>
    <row r="317" spans="1:10" x14ac:dyDescent="0.25">
      <c r="A317" s="38">
        <v>600007</v>
      </c>
      <c r="B317" t="s">
        <v>985</v>
      </c>
      <c r="C317" s="158"/>
      <c r="D317" s="158"/>
      <c r="E317" s="158">
        <v>152329</v>
      </c>
      <c r="F317" s="158">
        <v>-152329</v>
      </c>
      <c r="G317" s="158" t="str">
        <f>IF($A317="","",IFERROR(INDEX(Map!$C$2:$C$400,MATCH($A317,Map!$A$2:$A$400,0)),"⚠ UNMAPPED"))</f>
        <v>IS</v>
      </c>
      <c r="H317" s="18" t="str">
        <f>IF($A317="","",IFERROR(INDEX(Map!$D$2:$D$400,MATCH($A317,Map!$A$2:$A$400,0)),"⚠ UNMAPPED"))</f>
        <v>Cost of sales</v>
      </c>
      <c r="I317" s="18" t="str">
        <f>IF($A317="","",IFERROR(INDEX(Map!$E$2:$E$400,MATCH($A317,Map!$A$2:$A$400,0)),"⚠ UNMAPPED"))</f>
        <v>Overhead - Labor Cost</v>
      </c>
      <c r="J317" s="18" t="str">
        <f>IF($A317="","",IFERROR(INDEX(Map!$F$2:$F$400,MATCH($A317,Map!$A$2:$A$400,0)),"⚠ UNMAPPED"))</f>
        <v>Transportation allowance</v>
      </c>
    </row>
    <row r="318" spans="1:10" x14ac:dyDescent="0.25">
      <c r="A318" s="38">
        <v>600008</v>
      </c>
      <c r="B318" t="s">
        <v>986</v>
      </c>
      <c r="C318" s="158"/>
      <c r="D318" s="158"/>
      <c r="E318" s="158">
        <v>117901.349</v>
      </c>
      <c r="F318" s="158">
        <v>-117901.349</v>
      </c>
      <c r="G318" s="158" t="str">
        <f>IF($A318="","",IFERROR(INDEX(Map!$C$2:$C$400,MATCH($A318,Map!$A$2:$A$400,0)),"⚠ UNMAPPED"))</f>
        <v>IS</v>
      </c>
      <c r="H318" s="18" t="str">
        <f>IF($A318="","",IFERROR(INDEX(Map!$D$2:$D$400,MATCH($A318,Map!$A$2:$A$400,0)),"⚠ UNMAPPED"))</f>
        <v>Cost of sales</v>
      </c>
      <c r="I318" s="18" t="str">
        <f>IF($A318="","",IFERROR(INDEX(Map!$E$2:$E$400,MATCH($A318,Map!$A$2:$A$400,0)),"⚠ UNMAPPED"))</f>
        <v>Overhead - Labor Cost</v>
      </c>
      <c r="J318" s="18" t="str">
        <f>IF($A318="","",IFERROR(INDEX(Map!$F$2:$F$400,MATCH($A318,Map!$A$2:$A$400,0)),"⚠ UNMAPPED"))</f>
        <v>Air tickets</v>
      </c>
    </row>
    <row r="319" spans="1:10" x14ac:dyDescent="0.25">
      <c r="A319" s="38">
        <v>600009</v>
      </c>
      <c r="B319" t="s">
        <v>987</v>
      </c>
      <c r="C319" s="158"/>
      <c r="D319" s="158"/>
      <c r="E319" s="158">
        <v>239308.34</v>
      </c>
      <c r="F319" s="158">
        <v>-239308.34</v>
      </c>
      <c r="G319" s="158" t="str">
        <f>IF($A319="","",IFERROR(INDEX(Map!$C$2:$C$400,MATCH($A319,Map!$A$2:$A$400,0)),"⚠ UNMAPPED"))</f>
        <v>IS</v>
      </c>
      <c r="H319" s="18" t="str">
        <f>IF($A319="","",IFERROR(INDEX(Map!$D$2:$D$400,MATCH($A319,Map!$A$2:$A$400,0)),"⚠ UNMAPPED"))</f>
        <v>Cost of sales</v>
      </c>
      <c r="I319" s="18" t="str">
        <f>IF($A319="","",IFERROR(INDEX(Map!$E$2:$E$400,MATCH($A319,Map!$A$2:$A$400,0)),"⚠ UNMAPPED"))</f>
        <v>Overhead - Labor Cost</v>
      </c>
      <c r="J319" s="18" t="str">
        <f>IF($A319="","",IFERROR(INDEX(Map!$F$2:$F$400,MATCH($A319,Map!$A$2:$A$400,0)),"⚠ UNMAPPED"))</f>
        <v>Vacation pay</v>
      </c>
    </row>
    <row r="320" spans="1:10" x14ac:dyDescent="0.25">
      <c r="A320" s="38">
        <v>600010</v>
      </c>
      <c r="B320" t="s">
        <v>988</v>
      </c>
      <c r="C320" s="158"/>
      <c r="D320" s="158"/>
      <c r="E320" s="158">
        <v>150462.99600000001</v>
      </c>
      <c r="F320" s="158">
        <v>-150462.99600000001</v>
      </c>
      <c r="G320" s="158" t="str">
        <f>IF($A320="","",IFERROR(INDEX(Map!$C$2:$C$400,MATCH($A320,Map!$A$2:$A$400,0)),"⚠ UNMAPPED"))</f>
        <v>IS</v>
      </c>
      <c r="H320" s="18" t="str">
        <f>IF($A320="","",IFERROR(INDEX(Map!$D$2:$D$400,MATCH($A320,Map!$A$2:$A$400,0)),"⚠ UNMAPPED"))</f>
        <v>Cost of sales</v>
      </c>
      <c r="I320" s="18" t="str">
        <f>IF($A320="","",IFERROR(INDEX(Map!$E$2:$E$400,MATCH($A320,Map!$A$2:$A$400,0)),"⚠ UNMAPPED"))</f>
        <v>Overhead - Labor Cost</v>
      </c>
      <c r="J320" s="18" t="str">
        <f>IF($A320="","",IFERROR(INDEX(Map!$F$2:$F$400,MATCH($A320,Map!$A$2:$A$400,0)),"⚠ UNMAPPED"))</f>
        <v>EOS expenses</v>
      </c>
    </row>
    <row r="321" spans="1:10" x14ac:dyDescent="0.25">
      <c r="A321" s="38">
        <v>600011</v>
      </c>
      <c r="B321" t="s">
        <v>989</v>
      </c>
      <c r="C321" s="158"/>
      <c r="D321" s="158"/>
      <c r="E321" s="158">
        <v>-955.99400000000003</v>
      </c>
      <c r="F321" s="158">
        <v>955.99400000000003</v>
      </c>
      <c r="G321" s="158" t="str">
        <f>IF($A321="","",IFERROR(INDEX(Map!$C$2:$C$400,MATCH($A321,Map!$A$2:$A$400,0)),"⚠ UNMAPPED"))</f>
        <v>IS</v>
      </c>
      <c r="H321" s="18" t="str">
        <f>IF($A321="","",IFERROR(INDEX(Map!$D$2:$D$400,MATCH($A321,Map!$A$2:$A$400,0)),"⚠ UNMAPPED"))</f>
        <v>Cost of sales</v>
      </c>
      <c r="I321" s="18" t="str">
        <f>IF($A321="","",IFERROR(INDEX(Map!$E$2:$E$400,MATCH($A321,Map!$A$2:$A$400,0)),"⚠ UNMAPPED"))</f>
        <v>Overhead - Labor Cost</v>
      </c>
      <c r="J321" s="18" t="str">
        <f>IF($A321="","",IFERROR(INDEX(Map!$F$2:$F$400,MATCH($A321,Map!$A$2:$A$400,0)),"⚠ UNMAPPED"))</f>
        <v>Air tickets</v>
      </c>
    </row>
    <row r="322" spans="1:10" x14ac:dyDescent="0.25">
      <c r="A322" s="38">
        <v>600012</v>
      </c>
      <c r="B322" t="s">
        <v>990</v>
      </c>
      <c r="C322" s="158"/>
      <c r="D322" s="158"/>
      <c r="E322" s="158">
        <v>46056</v>
      </c>
      <c r="F322" s="158">
        <v>-46056</v>
      </c>
      <c r="G322" s="158" t="str">
        <f>IF($A322="","",IFERROR(INDEX(Map!$C$2:$C$400,MATCH($A322,Map!$A$2:$A$400,0)),"⚠ UNMAPPED"))</f>
        <v>IS</v>
      </c>
      <c r="H322" s="18" t="str">
        <f>IF($A322="","",IFERROR(INDEX(Map!$D$2:$D$400,MATCH($A322,Map!$A$2:$A$400,0)),"⚠ UNMAPPED"))</f>
        <v>Cost of sales</v>
      </c>
      <c r="I322" s="18" t="str">
        <f>IF($A322="","",IFERROR(INDEX(Map!$E$2:$E$400,MATCH($A322,Map!$A$2:$A$400,0)),"⚠ UNMAPPED"))</f>
        <v>Overhead - Labor Cost</v>
      </c>
      <c r="J322" s="18" t="str">
        <f>IF($A322="","",IFERROR(INDEX(Map!$F$2:$F$400,MATCH($A322,Map!$A$2:$A$400,0)),"⚠ UNMAPPED"))</f>
        <v xml:space="preserve">Education &amp; Furniture Allowances </v>
      </c>
    </row>
    <row r="323" spans="1:10" x14ac:dyDescent="0.25">
      <c r="A323" s="38">
        <v>600013</v>
      </c>
      <c r="B323" t="s">
        <v>991</v>
      </c>
      <c r="C323" s="158"/>
      <c r="D323" s="158"/>
      <c r="E323" s="158">
        <v>30978</v>
      </c>
      <c r="F323" s="158">
        <v>-30978</v>
      </c>
      <c r="G323" s="158" t="str">
        <f>IF($A323="","",IFERROR(INDEX(Map!$C$2:$C$400,MATCH($A323,Map!$A$2:$A$400,0)),"⚠ UNMAPPED"))</f>
        <v>IS</v>
      </c>
      <c r="H323" s="18" t="str">
        <f>IF($A323="","",IFERROR(INDEX(Map!$D$2:$D$400,MATCH($A323,Map!$A$2:$A$400,0)),"⚠ UNMAPPED"))</f>
        <v>Cost of sales</v>
      </c>
      <c r="I323" s="18" t="str">
        <f>IF($A323="","",IFERROR(INDEX(Map!$E$2:$E$400,MATCH($A323,Map!$A$2:$A$400,0)),"⚠ UNMAPPED"))</f>
        <v>Overhead - Labor Cost</v>
      </c>
      <c r="J323" s="18" t="str">
        <f>IF($A323="","",IFERROR(INDEX(Map!$F$2:$F$400,MATCH($A323,Map!$A$2:$A$400,0)),"⚠ UNMAPPED"))</f>
        <v>Telephone allowance</v>
      </c>
    </row>
    <row r="324" spans="1:10" x14ac:dyDescent="0.25">
      <c r="A324" s="38">
        <v>600034</v>
      </c>
      <c r="B324" t="s">
        <v>1011</v>
      </c>
      <c r="C324" s="158"/>
      <c r="D324" s="158"/>
      <c r="E324" s="158">
        <v>571972.20299999998</v>
      </c>
      <c r="F324" s="158">
        <v>-571972.20299999998</v>
      </c>
      <c r="G324" s="158" t="str">
        <f>IF($A324="","",IFERROR(INDEX(Map!$C$2:$C$400,MATCH($A324,Map!$A$2:$A$400,0)),"⚠ UNMAPPED"))</f>
        <v>IS</v>
      </c>
      <c r="H324" s="18" t="str">
        <f>IF($A324="","",IFERROR(INDEX(Map!$D$2:$D$400,MATCH($A324,Map!$A$2:$A$400,0)),"⚠ UNMAPPED"))</f>
        <v>Cost of sales</v>
      </c>
      <c r="I324" s="18" t="str">
        <f>IF($A324="","",IFERROR(INDEX(Map!$E$2:$E$400,MATCH($A324,Map!$A$2:$A$400,0)),"⚠ UNMAPPED"))</f>
        <v>Overhead - Rent Labor</v>
      </c>
      <c r="J324" s="18" t="str">
        <f>IF($A324="","",IFERROR(INDEX(Map!$F$2:$F$400,MATCH($A324,Map!$A$2:$A$400,0)),"⚠ UNMAPPED"))</f>
        <v>Rental labor</v>
      </c>
    </row>
    <row r="325" spans="1:10" x14ac:dyDescent="0.25">
      <c r="A325" s="38">
        <v>600035</v>
      </c>
      <c r="B325" t="s">
        <v>1012</v>
      </c>
      <c r="C325" s="158"/>
      <c r="D325" s="158"/>
      <c r="E325" s="158">
        <v>1099451.2760000001</v>
      </c>
      <c r="F325" s="158">
        <v>-1099451.2760000001</v>
      </c>
      <c r="G325" s="158" t="str">
        <f>IF($A325="","",IFERROR(INDEX(Map!$C$2:$C$400,MATCH($A325,Map!$A$2:$A$400,0)),"⚠ UNMAPPED"))</f>
        <v>IS</v>
      </c>
      <c r="H325" s="18" t="str">
        <f>IF($A325="","",IFERROR(INDEX(Map!$D$2:$D$400,MATCH($A325,Map!$A$2:$A$400,0)),"⚠ UNMAPPED"))</f>
        <v>Cost of sales</v>
      </c>
      <c r="I325" s="18" t="str">
        <f>IF($A325="","",IFERROR(INDEX(Map!$E$2:$E$400,MATCH($A325,Map!$A$2:$A$400,0)),"⚠ UNMAPPED"))</f>
        <v>Overhead - Labor Cost</v>
      </c>
      <c r="J325" s="18" t="str">
        <f>IF($A325="","",IFERROR(INDEX(Map!$F$2:$F$400,MATCH($A325,Map!$A$2:$A$400,0)),"⚠ UNMAPPED"))</f>
        <v>Indirect Salaries — factory supervisory / indirect floor labour (COGS)</v>
      </c>
    </row>
    <row r="326" spans="1:10" x14ac:dyDescent="0.25">
      <c r="A326" s="38">
        <v>600038</v>
      </c>
      <c r="B326" t="s">
        <v>1015</v>
      </c>
      <c r="C326" s="158"/>
      <c r="D326" s="158"/>
      <c r="E326" s="158">
        <v>107602.62</v>
      </c>
      <c r="F326" s="158">
        <v>-107602.62</v>
      </c>
      <c r="G326" s="158" t="str">
        <f>IF($A326="","",IFERROR(INDEX(Map!$C$2:$C$400,MATCH($A326,Map!$A$2:$A$400,0)),"⚠ UNMAPPED"))</f>
        <v>IS</v>
      </c>
      <c r="H326" s="18" t="str">
        <f>IF($A326="","",IFERROR(INDEX(Map!$D$2:$D$400,MATCH($A326,Map!$A$2:$A$400,0)),"⚠ UNMAPPED"))</f>
        <v>Cost of sales</v>
      </c>
      <c r="I326" s="18" t="str">
        <f>IF($A326="","",IFERROR(INDEX(Map!$E$2:$E$400,MATCH($A326,Map!$A$2:$A$400,0)),"⚠ UNMAPPED"))</f>
        <v>Overhead - Labor Cost</v>
      </c>
      <c r="J326" s="18" t="str">
        <f>IF($A326="","",IFERROR(INDEX(Map!$F$2:$F$400,MATCH($A326,Map!$A$2:$A$400,0)),"⚠ UNMAPPED"))</f>
        <v>Overhead - Labor Cost</v>
      </c>
    </row>
    <row r="327" spans="1:10" x14ac:dyDescent="0.25">
      <c r="A327" s="38">
        <v>600041</v>
      </c>
      <c r="B327" t="s">
        <v>1017</v>
      </c>
      <c r="C327" s="158"/>
      <c r="D327" s="158"/>
      <c r="E327" s="158">
        <v>100208.266</v>
      </c>
      <c r="F327" s="158">
        <v>-100208.266</v>
      </c>
      <c r="G327" s="158" t="str">
        <f>IF($A327="","",IFERROR(INDEX(Map!$C$2:$C$400,MATCH($A327,Map!$A$2:$A$400,0)),"⚠ UNMAPPED"))</f>
        <v>IS</v>
      </c>
      <c r="H327" s="18" t="str">
        <f>IF($A327="","",IFERROR(INDEX(Map!$D$2:$D$400,MATCH($A327,Map!$A$2:$A$400,0)),"⚠ UNMAPPED"))</f>
        <v>Cost of sales</v>
      </c>
      <c r="I327" s="18" t="str">
        <f>IF($A327="","",IFERROR(INDEX(Map!$E$2:$E$400,MATCH($A327,Map!$A$2:$A$400,0)),"⚠ UNMAPPED"))</f>
        <v>Overhead - Labor Cost</v>
      </c>
      <c r="J327" s="18" t="str">
        <f>IF($A327="","",IFERROR(INDEX(Map!$F$2:$F$400,MATCH($A327,Map!$A$2:$A$400,0)),"⚠ UNMAPPED"))</f>
        <v>Indirect Salaries — factory supervisory / indirect floor labour (COGS)</v>
      </c>
    </row>
    <row r="328" spans="1:10" x14ac:dyDescent="0.25">
      <c r="A328" s="38">
        <v>600045</v>
      </c>
      <c r="B328" t="s">
        <v>1020</v>
      </c>
      <c r="C328" s="158"/>
      <c r="D328" s="158"/>
      <c r="E328" s="158">
        <v>69083.97</v>
      </c>
      <c r="F328" s="158">
        <v>-69083.97</v>
      </c>
      <c r="G328" s="158" t="str">
        <f>IF($A328="","",IFERROR(INDEX(Map!$C$2:$C$400,MATCH($A328,Map!$A$2:$A$400,0)),"⚠ UNMAPPED"))</f>
        <v>IS</v>
      </c>
      <c r="H328" s="18" t="str">
        <f>IF($A328="","",IFERROR(INDEX(Map!$D$2:$D$400,MATCH($A328,Map!$A$2:$A$400,0)),"⚠ UNMAPPED"))</f>
        <v>Cost of sales</v>
      </c>
      <c r="I328" s="18" t="str">
        <f>IF($A328="","",IFERROR(INDEX(Map!$E$2:$E$400,MATCH($A328,Map!$A$2:$A$400,0)),"⚠ UNMAPPED"))</f>
        <v>Overhead - Labor Cost</v>
      </c>
      <c r="J328" s="18" t="str">
        <f>IF($A328="","",IFERROR(INDEX(Map!$F$2:$F$400,MATCH($A328,Map!$A$2:$A$400,0)),"⚠ UNMAPPED"))</f>
        <v>Overhead - Labor Cost</v>
      </c>
    </row>
    <row r="329" spans="1:10" x14ac:dyDescent="0.25">
      <c r="A329" s="38">
        <v>520050</v>
      </c>
      <c r="B329" t="s">
        <v>978</v>
      </c>
      <c r="C329" s="158"/>
      <c r="D329" s="158"/>
      <c r="E329" s="158">
        <v>3956.6489999999999</v>
      </c>
      <c r="F329" s="158">
        <v>-3956.6489999999999</v>
      </c>
      <c r="G329" s="158" t="str">
        <f>IF($A329="","",IFERROR(INDEX(Map!$C$2:$C$400,MATCH($A329,Map!$A$2:$A$400,0)),"⚠ UNMAPPED"))</f>
        <v>IS</v>
      </c>
      <c r="H329" s="18" t="str">
        <f>IF($A329="","",IFERROR(INDEX(Map!$D$2:$D$400,MATCH($A329,Map!$A$2:$A$400,0)),"⚠ UNMAPPED"))</f>
        <v>Cost of sales</v>
      </c>
      <c r="I329" s="18" t="str">
        <f>IF($A329="","",IFERROR(INDEX(Map!$E$2:$E$400,MATCH($A329,Map!$A$2:$A$400,0)),"⚠ UNMAPPED"))</f>
        <v>Overhead - Labor Cost</v>
      </c>
      <c r="J329" s="18" t="str">
        <f>IF($A329="","",IFERROR(INDEX(Map!$F$2:$F$400,MATCH($A329,Map!$A$2:$A$400,0)),"⚠ UNMAPPED"))</f>
        <v>Recruitment Expense</v>
      </c>
    </row>
    <row r="330" spans="1:10" x14ac:dyDescent="0.25">
      <c r="A330" s="38">
        <v>600001</v>
      </c>
      <c r="B330" t="s">
        <v>1101</v>
      </c>
      <c r="C330" s="158"/>
      <c r="D330" s="158">
        <v>5925875.3890000004</v>
      </c>
      <c r="E330" s="158"/>
      <c r="F330" s="158">
        <v>5925875.3890000004</v>
      </c>
      <c r="G330" s="158" t="str">
        <f>IF($A330="","",IFERROR(INDEX(Map!$C$2:$C$400,MATCH($A330,Map!$A$2:$A$400,0)),"⚠ UNMAPPED"))</f>
        <v>IS</v>
      </c>
      <c r="H330" s="18" t="str">
        <f>IF($A330="","",IFERROR(INDEX(Map!$D$2:$D$400,MATCH($A330,Map!$A$2:$A$400,0)),"⚠ UNMAPPED"))</f>
        <v>Cost of sales</v>
      </c>
      <c r="I330" s="18" t="str">
        <f>IF($A330="","",IFERROR(INDEX(Map!$E$2:$E$400,MATCH($A330,Map!$A$2:$A$400,0)),"⚠ UNMAPPED"))</f>
        <v>Overhead - Labor Cost</v>
      </c>
      <c r="J330" s="18" t="str">
        <f>IF($A330="","",IFERROR(INDEX(Map!$F$2:$F$400,MATCH($A330,Map!$A$2:$A$400,0)),"⚠ UNMAPPED"))</f>
        <v>Indirect Salaries — factory supervisory / indirect floor labour (COGS)</v>
      </c>
    </row>
    <row r="331" spans="1:10" x14ac:dyDescent="0.25">
      <c r="A331" s="38">
        <v>700060</v>
      </c>
      <c r="B331" t="s">
        <v>1081</v>
      </c>
      <c r="C331" s="158"/>
      <c r="D331" s="158">
        <v>177284.95</v>
      </c>
      <c r="E331" s="158"/>
      <c r="F331" s="158">
        <v>177284.95</v>
      </c>
      <c r="G331" s="158" t="str">
        <f>IF($A331="","",IFERROR(INDEX(Map!$C$2:$C$400,MATCH($A331,Map!$A$2:$A$400,0)),"⚠ UNMAPPED"))</f>
        <v>IS</v>
      </c>
      <c r="H331" s="18" t="str">
        <f>IF($A331="","",IFERROR(INDEX(Map!$D$2:$D$400,MATCH($A331,Map!$A$2:$A$400,0)),"⚠ UNMAPPED"))</f>
        <v>Selling and Marketing</v>
      </c>
      <c r="I331" s="18" t="str">
        <f>IF($A331="","",IFERROR(INDEX(Map!$E$2:$E$400,MATCH($A331,Map!$A$2:$A$400,0)),"⚠ UNMAPPED"))</f>
        <v>Freight and shipping expenses (S&amp;D)</v>
      </c>
      <c r="J331" s="18" t="str">
        <f>IF($A331="","",IFERROR(INDEX(Map!$F$2:$F$400,MATCH($A331,Map!$A$2:$A$400,0)),"⚠ UNMAPPED"))</f>
        <v>Outbound freight / shipping — reclassified below gross profit under IFRS</v>
      </c>
    </row>
    <row r="332" spans="1:10" x14ac:dyDescent="0.25">
      <c r="A332" s="38">
        <v>700015</v>
      </c>
      <c r="B332" t="s">
        <v>1037</v>
      </c>
      <c r="C332" s="158"/>
      <c r="D332" s="158"/>
      <c r="E332" s="158">
        <v>177284.95</v>
      </c>
      <c r="F332" s="158">
        <v>-177284.95</v>
      </c>
      <c r="G332" s="158" t="str">
        <f>IF($A332="","",IFERROR(INDEX(Map!$C$2:$C$400,MATCH($A332,Map!$A$2:$A$400,0)),"⚠ UNMAPPED"))</f>
        <v>IS</v>
      </c>
      <c r="H332" s="18" t="str">
        <f>IF($A332="","",IFERROR(INDEX(Map!$D$2:$D$400,MATCH($A332,Map!$A$2:$A$400,0)),"⚠ UNMAPPED"))</f>
        <v>General and Admin</v>
      </c>
      <c r="I332" s="18" t="str">
        <f>IF($A332="","",IFERROR(INDEX(Map!$E$2:$E$400,MATCH($A332,Map!$A$2:$A$400,0)),"⚠ UNMAPPED"))</f>
        <v>Business travel</v>
      </c>
      <c r="J332" s="18" t="str">
        <f>IF($A332="","",IFERROR(INDEX(Map!$F$2:$F$400,MATCH($A332,Map!$A$2:$A$400,0)),"⚠ UNMAPPED"))</f>
        <v>Transportation expenses</v>
      </c>
    </row>
    <row r="333" spans="1:10" x14ac:dyDescent="0.25">
      <c r="A333" s="38">
        <v>700060</v>
      </c>
      <c r="B333" t="s">
        <v>1081</v>
      </c>
      <c r="C333" s="158"/>
      <c r="D333" s="158">
        <v>12500</v>
      </c>
      <c r="E333" s="158"/>
      <c r="F333" s="158">
        <v>12500</v>
      </c>
      <c r="G333" s="158" t="str">
        <f>IF($A333="","",IFERROR(INDEX(Map!$C$2:$C$400,MATCH($A333,Map!$A$2:$A$400,0)),"⚠ UNMAPPED"))</f>
        <v>IS</v>
      </c>
      <c r="H333" s="18" t="str">
        <f>IF($A333="","",IFERROR(INDEX(Map!$D$2:$D$400,MATCH($A333,Map!$A$2:$A$400,0)),"⚠ UNMAPPED"))</f>
        <v>Selling and Marketing</v>
      </c>
      <c r="I333" s="18" t="str">
        <f>IF($A333="","",IFERROR(INDEX(Map!$E$2:$E$400,MATCH($A333,Map!$A$2:$A$400,0)),"⚠ UNMAPPED"))</f>
        <v>Freight and shipping expenses (S&amp;D)</v>
      </c>
      <c r="J333" s="18" t="str">
        <f>IF($A333="","",IFERROR(INDEX(Map!$F$2:$F$400,MATCH($A333,Map!$A$2:$A$400,0)),"⚠ UNMAPPED"))</f>
        <v>Outbound freight / shipping — reclassified below gross profit under IFRS</v>
      </c>
    </row>
    <row r="334" spans="1:10" x14ac:dyDescent="0.25">
      <c r="A334" s="38">
        <v>700015</v>
      </c>
      <c r="B334" t="s">
        <v>1037</v>
      </c>
      <c r="C334" s="158"/>
      <c r="D334" s="158"/>
      <c r="E334" s="158">
        <v>12500</v>
      </c>
      <c r="F334" s="158">
        <v>-12500</v>
      </c>
      <c r="G334" s="158" t="str">
        <f>IF($A334="","",IFERROR(INDEX(Map!$C$2:$C$400,MATCH($A334,Map!$A$2:$A$400,0)),"⚠ UNMAPPED"))</f>
        <v>IS</v>
      </c>
      <c r="H334" s="18" t="str">
        <f>IF($A334="","",IFERROR(INDEX(Map!$D$2:$D$400,MATCH($A334,Map!$A$2:$A$400,0)),"⚠ UNMAPPED"))</f>
        <v>General and Admin</v>
      </c>
      <c r="I334" s="18" t="str">
        <f>IF($A334="","",IFERROR(INDEX(Map!$E$2:$E$400,MATCH($A334,Map!$A$2:$A$400,0)),"⚠ UNMAPPED"))</f>
        <v>Business travel</v>
      </c>
      <c r="J334" s="18" t="str">
        <f>IF($A334="","",IFERROR(INDEX(Map!$F$2:$F$400,MATCH($A334,Map!$A$2:$A$400,0)),"⚠ UNMAPPED"))</f>
        <v>Transportation expenses</v>
      </c>
    </row>
    <row r="335" spans="1:10" x14ac:dyDescent="0.25">
      <c r="A335" s="38">
        <v>700060</v>
      </c>
      <c r="B335" t="s">
        <v>1081</v>
      </c>
      <c r="C335" s="158"/>
      <c r="D335" s="158"/>
      <c r="E335" s="158"/>
      <c r="F335" s="158">
        <v>0</v>
      </c>
      <c r="G335" s="158" t="str">
        <f>IF($A335="","",IFERROR(INDEX(Map!$C$2:$C$400,MATCH($A335,Map!$A$2:$A$400,0)),"⚠ UNMAPPED"))</f>
        <v>IS</v>
      </c>
      <c r="H335" s="18" t="str">
        <f>IF($A335="","",IFERROR(INDEX(Map!$D$2:$D$400,MATCH($A335,Map!$A$2:$A$400,0)),"⚠ UNMAPPED"))</f>
        <v>Selling and Marketing</v>
      </c>
      <c r="I335" s="18" t="str">
        <f>IF($A335="","",IFERROR(INDEX(Map!$E$2:$E$400,MATCH($A335,Map!$A$2:$A$400,0)),"⚠ UNMAPPED"))</f>
        <v>Freight and shipping expenses (S&amp;D)</v>
      </c>
      <c r="J335" s="18" t="str">
        <f>IF($A335="","",IFERROR(INDEX(Map!$F$2:$F$400,MATCH($A335,Map!$A$2:$A$400,0)),"⚠ UNMAPPED"))</f>
        <v>Outbound freight / shipping — reclassified below gross profit under IFRS</v>
      </c>
    </row>
    <row r="336" spans="1:10" x14ac:dyDescent="0.25">
      <c r="A336" s="38">
        <v>250005</v>
      </c>
      <c r="B336" t="s">
        <v>1102</v>
      </c>
      <c r="C336" s="158"/>
      <c r="D336" s="158"/>
      <c r="E336" s="158">
        <v>0</v>
      </c>
      <c r="F336" s="158">
        <v>0</v>
      </c>
      <c r="G336" s="158" t="str">
        <f>IF($A336="","",IFERROR(INDEX(Map!$C$2:$C$400,MATCH($A336,Map!$A$2:$A$400,0)),"⚠ UNMAPPED"))</f>
        <v>BS</v>
      </c>
      <c r="H336" s="18" t="str">
        <f>IF($A336="","",IFERROR(INDEX(Map!$D$2:$D$400,MATCH($A336,Map!$A$2:$A$400,0)),"⚠ UNMAPPED"))</f>
        <v>Current Liabilities</v>
      </c>
      <c r="I336" s="18" t="str">
        <f>IF($A336="","",IFERROR(INDEX(Map!$E$2:$E$400,MATCH($A336,Map!$A$2:$A$400,0)),"⚠ UNMAPPED"))</f>
        <v>Tade payables and Accuals &amp; other credit balances</v>
      </c>
      <c r="J336" s="18" t="str">
        <f>IF($A336="","",IFERROR(INDEX(Map!$F$2:$F$400,MATCH($A336,Map!$A$2:$A$400,0)),"⚠ UNMAPPED"))</f>
        <v>Accrued expenses</v>
      </c>
    </row>
    <row r="337" spans="1:10" x14ac:dyDescent="0.25">
      <c r="A337" s="38">
        <v>700057</v>
      </c>
      <c r="B337" t="s">
        <v>1078</v>
      </c>
      <c r="C337" s="158"/>
      <c r="D337" s="158">
        <v>12411.022999999999</v>
      </c>
      <c r="E337" s="158"/>
      <c r="F337" s="158">
        <v>12411.022999999999</v>
      </c>
      <c r="G337" s="158" t="str">
        <f>IF($A337="","",IFERROR(INDEX(Map!$C$2:$C$400,MATCH($A337,Map!$A$2:$A$400,0)),"⚠ UNMAPPED"))</f>
        <v>IS</v>
      </c>
      <c r="H337" s="18" t="str">
        <f>IF($A337="","",IFERROR(INDEX(Map!$D$2:$D$400,MATCH($A337,Map!$A$2:$A$400,0)),"⚠ UNMAPPED"))</f>
        <v>Cost of sales</v>
      </c>
      <c r="I337" s="18" t="str">
        <f>IF($A337="","",IFERROR(INDEX(Map!$E$2:$E$400,MATCH($A337,Map!$A$2:$A$400,0)),"⚠ UNMAPPED"))</f>
        <v>Overhead - Rent</v>
      </c>
      <c r="J337" s="18" t="str">
        <f>IF($A337="","",IFERROR(INDEX(Map!$F$2:$F$400,MATCH($A337,Map!$A$2:$A$400,0)),"⚠ UNMAPPED"))</f>
        <v>Warehouse Rent ( Khamis, Rioyadh, Dammam)</v>
      </c>
    </row>
    <row r="338" spans="1:10" x14ac:dyDescent="0.25">
      <c r="A338" s="38">
        <v>700069</v>
      </c>
      <c r="B338" t="s">
        <v>1090</v>
      </c>
      <c r="C338" s="158"/>
      <c r="D338" s="158"/>
      <c r="E338" s="158">
        <v>12411.022999999999</v>
      </c>
      <c r="F338" s="158">
        <v>-12411.022999999999</v>
      </c>
      <c r="G338" s="158" t="str">
        <f>IF($A338="","",IFERROR(INDEX(Map!$C$2:$C$400,MATCH($A338,Map!$A$2:$A$400,0)),"⚠ UNMAPPED"))</f>
        <v>IS</v>
      </c>
      <c r="H338" s="18" t="str">
        <f>IF($A338="","",IFERROR(INDEX(Map!$D$2:$D$400,MATCH($A338,Map!$A$2:$A$400,0)),"⚠ UNMAPPED"))</f>
        <v>General and Admin</v>
      </c>
      <c r="I338" s="18" t="str">
        <f>IF($A338="","",IFERROR(INDEX(Map!$E$2:$E$400,MATCH($A338,Map!$A$2:$A$400,0)),"⚠ UNMAPPED"))</f>
        <v>Rent</v>
      </c>
      <c r="J338" s="18" t="str">
        <f>IF($A338="","",IFERROR(INDEX(Map!$F$2:$F$400,MATCH($A338,Map!$A$2:$A$400,0)),"⚠ UNMAPPED"))</f>
        <v xml:space="preserve">Sales Office Rent (Dammam) </v>
      </c>
    </row>
    <row r="339" spans="1:10" x14ac:dyDescent="0.25">
      <c r="A339" s="38">
        <v>700063</v>
      </c>
      <c r="B339" t="s">
        <v>1084</v>
      </c>
      <c r="C339" s="158"/>
      <c r="D339" s="158"/>
      <c r="E339" s="158"/>
      <c r="F339" s="158">
        <v>0</v>
      </c>
      <c r="G339" s="158" t="str">
        <f>IF($A339="","",IFERROR(INDEX(Map!$C$2:$C$400,MATCH($A339,Map!$A$2:$A$400,0)),"⚠ UNMAPPED"))</f>
        <v>IS</v>
      </c>
      <c r="H339" s="18" t="str">
        <f>IF($A339="","",IFERROR(INDEX(Map!$D$2:$D$400,MATCH($A339,Map!$A$2:$A$400,0)),"⚠ UNMAPPED"))</f>
        <v>General and Admin</v>
      </c>
      <c r="I339" s="18" t="str">
        <f>IF($A339="","",IFERROR(INDEX(Map!$E$2:$E$400,MATCH($A339,Map!$A$2:$A$400,0)),"⚠ UNMAPPED"))</f>
        <v>Salaries and wages</v>
      </c>
      <c r="J339" s="18" t="str">
        <f>IF($A339="","",IFERROR(INDEX(Map!$F$2:$F$400,MATCH($A339,Map!$A$2:$A$400,0)),"⚠ UNMAPPED"))</f>
        <v>GOSI</v>
      </c>
    </row>
    <row r="340" spans="1:10" x14ac:dyDescent="0.25">
      <c r="A340" s="38">
        <v>600038</v>
      </c>
      <c r="B340" t="s">
        <v>1015</v>
      </c>
      <c r="C340" s="158"/>
      <c r="D340" s="158"/>
      <c r="E340" s="158"/>
      <c r="F340" s="158">
        <v>0</v>
      </c>
      <c r="G340" s="158" t="str">
        <f>IF($A340="","",IFERROR(INDEX(Map!$C$2:$C$400,MATCH($A340,Map!$A$2:$A$400,0)),"⚠ UNMAPPED"))</f>
        <v>IS</v>
      </c>
      <c r="H340" s="18" t="str">
        <f>IF($A340="","",IFERROR(INDEX(Map!$D$2:$D$400,MATCH($A340,Map!$A$2:$A$400,0)),"⚠ UNMAPPED"))</f>
        <v>Cost of sales</v>
      </c>
      <c r="I340" s="18" t="str">
        <f>IF($A340="","",IFERROR(INDEX(Map!$E$2:$E$400,MATCH($A340,Map!$A$2:$A$400,0)),"⚠ UNMAPPED"))</f>
        <v>Overhead - Labor Cost</v>
      </c>
      <c r="J340" s="18" t="str">
        <f>IF($A340="","",IFERROR(INDEX(Map!$F$2:$F$400,MATCH($A340,Map!$A$2:$A$400,0)),"⚠ UNMAPPED"))</f>
        <v>Overhead - Labor Cost</v>
      </c>
    </row>
    <row r="341" spans="1:10" x14ac:dyDescent="0.25">
      <c r="A341" s="38">
        <v>520045</v>
      </c>
      <c r="B341" t="s">
        <v>974</v>
      </c>
      <c r="C341" s="158"/>
      <c r="D341" s="158"/>
      <c r="E341" s="158"/>
      <c r="F341" s="158">
        <v>0</v>
      </c>
      <c r="G341" s="158" t="str">
        <f>IF($A341="","",IFERROR(INDEX(Map!$C$2:$C$400,MATCH($A341,Map!$A$2:$A$400,0)),"⚠ UNMAPPED"))</f>
        <v>IS</v>
      </c>
      <c r="H341" s="18" t="str">
        <f>IF($A341="","",IFERROR(INDEX(Map!$D$2:$D$400,MATCH($A341,Map!$A$2:$A$400,0)),"⚠ UNMAPPED"))</f>
        <v>Cost of sales</v>
      </c>
      <c r="I341" s="18" t="str">
        <f>IF($A341="","",IFERROR(INDEX(Map!$E$2:$E$400,MATCH($A341,Map!$A$2:$A$400,0)),"⚠ UNMAPPED"))</f>
        <v>Direct Labor</v>
      </c>
      <c r="J341" s="18" t="str">
        <f>IF($A341="","",IFERROR(INDEX(Map!$F$2:$F$400,MATCH($A341,Map!$A$2:$A$400,0)),"⚠ UNMAPPED"))</f>
        <v>Direct Labor</v>
      </c>
    </row>
    <row r="342" spans="1:10" x14ac:dyDescent="0.25">
      <c r="A342" s="38">
        <v>250005</v>
      </c>
      <c r="B342" t="s">
        <v>919</v>
      </c>
      <c r="C342" s="158"/>
      <c r="D342" s="158"/>
      <c r="E342" s="158"/>
      <c r="F342" s="158">
        <v>0</v>
      </c>
      <c r="G342" s="158" t="str">
        <f>IF($A342="","",IFERROR(INDEX(Map!$C$2:$C$400,MATCH($A342,Map!$A$2:$A$400,0)),"⚠ UNMAPPED"))</f>
        <v>BS</v>
      </c>
      <c r="H342" s="18" t="str">
        <f>IF($A342="","",IFERROR(INDEX(Map!$D$2:$D$400,MATCH($A342,Map!$A$2:$A$400,0)),"⚠ UNMAPPED"))</f>
        <v>Current Liabilities</v>
      </c>
      <c r="I342" s="18" t="str">
        <f>IF($A342="","",IFERROR(INDEX(Map!$E$2:$E$400,MATCH($A342,Map!$A$2:$A$400,0)),"⚠ UNMAPPED"))</f>
        <v>Tade payables and Accuals &amp; other credit balances</v>
      </c>
      <c r="J342" s="18" t="str">
        <f>IF($A342="","",IFERROR(INDEX(Map!$F$2:$F$400,MATCH($A342,Map!$A$2:$A$400,0)),"⚠ UNMAPPED"))</f>
        <v>Accrued expenses</v>
      </c>
    </row>
    <row r="343" spans="1:10" x14ac:dyDescent="0.25">
      <c r="A343" s="38">
        <v>520002</v>
      </c>
      <c r="B343" t="s">
        <v>951</v>
      </c>
      <c r="C343" s="158"/>
      <c r="D343" s="158"/>
      <c r="E343" s="158"/>
      <c r="F343" s="158">
        <v>0</v>
      </c>
      <c r="G343" s="158" t="str">
        <f>IF($A343="","",IFERROR(INDEX(Map!$C$2:$C$400,MATCH($A343,Map!$A$2:$A$400,0)),"⚠ UNMAPPED"))</f>
        <v>IS</v>
      </c>
      <c r="H343" s="18" t="str">
        <f>IF($A343="","",IFERROR(INDEX(Map!$D$2:$D$400,MATCH($A343,Map!$A$2:$A$400,0)),"⚠ UNMAPPED"))</f>
        <v>Cost of sales</v>
      </c>
      <c r="I343" s="18" t="str">
        <f>IF($A343="","",IFERROR(INDEX(Map!$E$2:$E$400,MATCH($A343,Map!$A$2:$A$400,0)),"⚠ UNMAPPED"))</f>
        <v>Direct Labor</v>
      </c>
      <c r="J343" s="18" t="str">
        <f>IF($A343="","",IFERROR(INDEX(Map!$F$2:$F$400,MATCH($A343,Map!$A$2:$A$400,0)),"⚠ UNMAPPED"))</f>
        <v>Overtime pay</v>
      </c>
    </row>
    <row r="344" spans="1:10" x14ac:dyDescent="0.25">
      <c r="A344" s="38">
        <v>700002</v>
      </c>
      <c r="B344" t="s">
        <v>1024</v>
      </c>
      <c r="C344" s="158"/>
      <c r="D344" s="158"/>
      <c r="E344" s="158"/>
      <c r="F344" s="158">
        <v>0</v>
      </c>
      <c r="G344" s="158" t="str">
        <f>IF($A344="","",IFERROR(INDEX(Map!$C$2:$C$400,MATCH($A344,Map!$A$2:$A$400,0)),"⚠ UNMAPPED"))</f>
        <v>IS</v>
      </c>
      <c r="H344" s="18" t="str">
        <f>IF($A344="","",IFERROR(INDEX(Map!$D$2:$D$400,MATCH($A344,Map!$A$2:$A$400,0)),"⚠ UNMAPPED"))</f>
        <v>General and Admin</v>
      </c>
      <c r="I344" s="18" t="str">
        <f>IF($A344="","",IFERROR(INDEX(Map!$E$2:$E$400,MATCH($A344,Map!$A$2:$A$400,0)),"⚠ UNMAPPED"))</f>
        <v>Salaries and wages</v>
      </c>
      <c r="J344" s="18" t="str">
        <f>IF($A344="","",IFERROR(INDEX(Map!$F$2:$F$400,MATCH($A344,Map!$A$2:$A$400,0)),"⚠ UNMAPPED"))</f>
        <v>Overtime pay</v>
      </c>
    </row>
    <row r="345" spans="1:10" x14ac:dyDescent="0.25">
      <c r="A345" s="38">
        <v>250001</v>
      </c>
      <c r="B345" t="s">
        <v>915</v>
      </c>
      <c r="C345" s="158"/>
      <c r="D345" s="158"/>
      <c r="E345" s="158"/>
      <c r="F345" s="158">
        <v>0</v>
      </c>
      <c r="G345" s="158" t="str">
        <f>IF($A345="","",IFERROR(INDEX(Map!$C$2:$C$400,MATCH($A345,Map!$A$2:$A$400,0)),"⚠ UNMAPPED"))</f>
        <v>BS</v>
      </c>
      <c r="H345" s="18" t="str">
        <f>IF($A345="","",IFERROR(INDEX(Map!$D$2:$D$400,MATCH($A345,Map!$A$2:$A$400,0)),"⚠ UNMAPPED"))</f>
        <v>Current Liabilities</v>
      </c>
      <c r="I345" s="18" t="str">
        <f>IF($A345="","",IFERROR(INDEX(Map!$E$2:$E$400,MATCH($A345,Map!$A$2:$A$400,0)),"⚠ UNMAPPED"))</f>
        <v>Tade payables and Accuals &amp; other credit balances</v>
      </c>
      <c r="J345" s="18" t="str">
        <f>IF($A345="","",IFERROR(INDEX(Map!$F$2:$F$400,MATCH($A345,Map!$A$2:$A$400,0)),"⚠ UNMAPPED"))</f>
        <v>Accrued salaries and wages</v>
      </c>
    </row>
    <row r="346" spans="1:10" x14ac:dyDescent="0.25">
      <c r="A346" s="38">
        <v>520042</v>
      </c>
      <c r="B346" t="s">
        <v>971</v>
      </c>
      <c r="C346" s="158"/>
      <c r="D346" s="158">
        <v>2719169</v>
      </c>
      <c r="E346" s="158"/>
      <c r="F346" s="158">
        <v>2719169</v>
      </c>
      <c r="G346" s="158" t="str">
        <f>IF($A346="","",IFERROR(INDEX(Map!$C$2:$C$400,MATCH($A346,Map!$A$2:$A$400,0)),"⚠ UNMAPPED"))</f>
        <v>IS</v>
      </c>
      <c r="H346" s="18" t="str">
        <f>IF($A346="","",IFERROR(INDEX(Map!$D$2:$D$400,MATCH($A346,Map!$A$2:$A$400,0)),"⚠ UNMAPPED"))</f>
        <v>Cost of sales</v>
      </c>
      <c r="I346" s="18" t="str">
        <f>IF($A346="","",IFERROR(INDEX(Map!$E$2:$E$400,MATCH($A346,Map!$A$2:$A$400,0)),"⚠ UNMAPPED"))</f>
        <v>Raw materials</v>
      </c>
      <c r="J346" s="18" t="str">
        <f>IF($A346="","",IFERROR(INDEX(Map!$F$2:$F$400,MATCH($A346,Map!$A$2:$A$400,0)),"⚠ UNMAPPED"))</f>
        <v>Inventory Adjustment</v>
      </c>
    </row>
    <row r="347" spans="1:10" x14ac:dyDescent="0.25">
      <c r="A347" s="38">
        <v>111099</v>
      </c>
      <c r="B347" t="s">
        <v>828</v>
      </c>
      <c r="C347" s="158"/>
      <c r="D347" s="158"/>
      <c r="E347" s="158">
        <v>2719169</v>
      </c>
      <c r="F347" s="158">
        <v>-2719169</v>
      </c>
      <c r="G347" s="158" t="str">
        <f>IF($A347="","",IFERROR(INDEX(Map!$C$2:$C$400,MATCH($A347,Map!$A$2:$A$400,0)),"⚠ UNMAPPED"))</f>
        <v>BS</v>
      </c>
      <c r="H347" s="18" t="str">
        <f>IF($A347="","",IFERROR(INDEX(Map!$D$2:$D$400,MATCH($A347,Map!$A$2:$A$400,0)),"⚠ UNMAPPED"))</f>
        <v>Non-Current Assets</v>
      </c>
      <c r="I347" s="18" t="str">
        <f>IF($A347="","",IFERROR(INDEX(Map!$E$2:$E$400,MATCH($A347,Map!$A$2:$A$400,0)),"⚠ UNMAPPED"))</f>
        <v>Property, plant and equipment</v>
      </c>
      <c r="J347" s="18" t="str">
        <f>IF($A347="","",IFERROR(INDEX(Map!$F$2:$F$400,MATCH($A347,Map!$A$2:$A$400,0)),"⚠ UNMAPPED"))</f>
        <v>Property, plant and equipment - Accumulated depreciation</v>
      </c>
    </row>
    <row r="348" spans="1:10" x14ac:dyDescent="0.25">
      <c r="A348" s="38">
        <v>520019</v>
      </c>
      <c r="B348" t="s">
        <v>960</v>
      </c>
      <c r="C348" s="158"/>
      <c r="D348" s="158"/>
      <c r="E348" s="158"/>
      <c r="F348" s="158">
        <v>0</v>
      </c>
      <c r="G348" s="158" t="str">
        <f>IF($A348="","",IFERROR(INDEX(Map!$C$2:$C$400,MATCH($A348,Map!$A$2:$A$400,0)),"⚠ UNMAPPED"))</f>
        <v>IS</v>
      </c>
      <c r="H348" s="18" t="str">
        <f>IF($A348="","",IFERROR(INDEX(Map!$D$2:$D$400,MATCH($A348,Map!$A$2:$A$400,0)),"⚠ UNMAPPED"))</f>
        <v>Cost of sales</v>
      </c>
      <c r="I348" s="18" t="str">
        <f>IF($A348="","",IFERROR(INDEX(Map!$E$2:$E$400,MATCH($A348,Map!$A$2:$A$400,0)),"⚠ UNMAPPED"))</f>
        <v>Direct Labor</v>
      </c>
      <c r="J348" s="18" t="str">
        <f>IF($A348="","",IFERROR(INDEX(Map!$F$2:$F$400,MATCH($A348,Map!$A$2:$A$400,0)),"⚠ UNMAPPED"))</f>
        <v>Food and housing</v>
      </c>
    </row>
    <row r="349" spans="1:10" x14ac:dyDescent="0.25">
      <c r="A349" s="38">
        <v>250005</v>
      </c>
      <c r="B349" t="s">
        <v>919</v>
      </c>
      <c r="C349" s="158"/>
      <c r="D349" s="158"/>
      <c r="E349" s="158"/>
      <c r="F349" s="158">
        <v>0</v>
      </c>
      <c r="G349" s="158" t="str">
        <f>IF($A349="","",IFERROR(INDEX(Map!$C$2:$C$400,MATCH($A349,Map!$A$2:$A$400,0)),"⚠ UNMAPPED"))</f>
        <v>BS</v>
      </c>
      <c r="H349" s="18" t="str">
        <f>IF($A349="","",IFERROR(INDEX(Map!$D$2:$D$400,MATCH($A349,Map!$A$2:$A$400,0)),"⚠ UNMAPPED"))</f>
        <v>Current Liabilities</v>
      </c>
      <c r="I349" s="18" t="str">
        <f>IF($A349="","",IFERROR(INDEX(Map!$E$2:$E$400,MATCH($A349,Map!$A$2:$A$400,0)),"⚠ UNMAPPED"))</f>
        <v>Tade payables and Accuals &amp; other credit balances</v>
      </c>
      <c r="J349" s="18" t="str">
        <f>IF($A349="","",IFERROR(INDEX(Map!$F$2:$F$400,MATCH($A349,Map!$A$2:$A$400,0)),"⚠ UNMAPPED"))</f>
        <v>Accrued expenses</v>
      </c>
    </row>
    <row r="350" spans="1:10" x14ac:dyDescent="0.25">
      <c r="A350" s="38">
        <v>600035</v>
      </c>
      <c r="B350" t="s">
        <v>1012</v>
      </c>
      <c r="C350" s="158"/>
      <c r="D350" s="158"/>
      <c r="E350" s="158"/>
      <c r="F350" s="158">
        <v>0</v>
      </c>
      <c r="G350" s="158" t="str">
        <f>IF($A350="","",IFERROR(INDEX(Map!$C$2:$C$400,MATCH($A350,Map!$A$2:$A$400,0)),"⚠ UNMAPPED"))</f>
        <v>IS</v>
      </c>
      <c r="H350" s="18" t="str">
        <f>IF($A350="","",IFERROR(INDEX(Map!$D$2:$D$400,MATCH($A350,Map!$A$2:$A$400,0)),"⚠ UNMAPPED"))</f>
        <v>Cost of sales</v>
      </c>
      <c r="I350" s="18" t="str">
        <f>IF($A350="","",IFERROR(INDEX(Map!$E$2:$E$400,MATCH($A350,Map!$A$2:$A$400,0)),"⚠ UNMAPPED"))</f>
        <v>Overhead - Labor Cost</v>
      </c>
      <c r="J350" s="18" t="str">
        <f>IF($A350="","",IFERROR(INDEX(Map!$F$2:$F$400,MATCH($A350,Map!$A$2:$A$400,0)),"⚠ UNMAPPED"))</f>
        <v>Indirect Salaries — factory supervisory / indirect floor labour (COGS)</v>
      </c>
    </row>
    <row r="351" spans="1:10" x14ac:dyDescent="0.25">
      <c r="A351" s="38">
        <v>600035</v>
      </c>
      <c r="B351" t="s">
        <v>1012</v>
      </c>
      <c r="C351" s="158"/>
      <c r="D351" s="158"/>
      <c r="E351" s="158"/>
      <c r="F351" s="158">
        <v>0</v>
      </c>
      <c r="G351" s="158" t="str">
        <f>IF($A351="","",IFERROR(INDEX(Map!$C$2:$C$400,MATCH($A351,Map!$A$2:$A$400,0)),"⚠ UNMAPPED"))</f>
        <v>IS</v>
      </c>
      <c r="H351" s="18" t="str">
        <f>IF($A351="","",IFERROR(INDEX(Map!$D$2:$D$400,MATCH($A351,Map!$A$2:$A$400,0)),"⚠ UNMAPPED"))</f>
        <v>Cost of sales</v>
      </c>
      <c r="I351" s="18" t="str">
        <f>IF($A351="","",IFERROR(INDEX(Map!$E$2:$E$400,MATCH($A351,Map!$A$2:$A$400,0)),"⚠ UNMAPPED"))</f>
        <v>Overhead - Labor Cost</v>
      </c>
      <c r="J351" s="18" t="str">
        <f>IF($A351="","",IFERROR(INDEX(Map!$F$2:$F$400,MATCH($A351,Map!$A$2:$A$400,0)),"⚠ UNMAPPED"))</f>
        <v>Indirect Salaries — factory supervisory / indirect floor labour (COGS)</v>
      </c>
    </row>
    <row r="352" spans="1:10" x14ac:dyDescent="0.25">
      <c r="A352" s="38">
        <v>600035</v>
      </c>
      <c r="B352" t="s">
        <v>1012</v>
      </c>
      <c r="C352" s="158"/>
      <c r="D352" s="158"/>
      <c r="E352" s="158"/>
      <c r="F352" s="158">
        <v>0</v>
      </c>
      <c r="G352" s="158" t="str">
        <f>IF($A352="","",IFERROR(INDEX(Map!$C$2:$C$400,MATCH($A352,Map!$A$2:$A$400,0)),"⚠ UNMAPPED"))</f>
        <v>IS</v>
      </c>
      <c r="H352" s="18" t="str">
        <f>IF($A352="","",IFERROR(INDEX(Map!$D$2:$D$400,MATCH($A352,Map!$A$2:$A$400,0)),"⚠ UNMAPPED"))</f>
        <v>Cost of sales</v>
      </c>
      <c r="I352" s="18" t="str">
        <f>IF($A352="","",IFERROR(INDEX(Map!$E$2:$E$400,MATCH($A352,Map!$A$2:$A$400,0)),"⚠ UNMAPPED"))</f>
        <v>Overhead - Labor Cost</v>
      </c>
      <c r="J352" s="18" t="str">
        <f>IF($A352="","",IFERROR(INDEX(Map!$F$2:$F$400,MATCH($A352,Map!$A$2:$A$400,0)),"⚠ UNMAPPED"))</f>
        <v>Indirect Salaries — factory supervisory / indirect floor labour (COGS)</v>
      </c>
    </row>
    <row r="353" spans="1:10" x14ac:dyDescent="0.25">
      <c r="A353" s="38">
        <v>520044</v>
      </c>
      <c r="B353" t="s">
        <v>973</v>
      </c>
      <c r="C353" s="158"/>
      <c r="D353" s="158"/>
      <c r="E353" s="158"/>
      <c r="F353" s="158">
        <v>0</v>
      </c>
      <c r="G353" s="158" t="str">
        <f>IF($A353="","",IFERROR(INDEX(Map!$C$2:$C$400,MATCH($A353,Map!$A$2:$A$400,0)),"⚠ UNMAPPED"))</f>
        <v>IS</v>
      </c>
      <c r="H353" s="18" t="str">
        <f>IF($A353="","",IFERROR(INDEX(Map!$D$2:$D$400,MATCH($A353,Map!$A$2:$A$400,0)),"⚠ UNMAPPED"))</f>
        <v>Cost of sales</v>
      </c>
      <c r="I353" s="18" t="str">
        <f>IF($A353="","",IFERROR(INDEX(Map!$E$2:$E$400,MATCH($A353,Map!$A$2:$A$400,0)),"⚠ UNMAPPED"))</f>
        <v>Direct Labor</v>
      </c>
      <c r="J353" s="18" t="str">
        <f>IF($A353="","",IFERROR(INDEX(Map!$F$2:$F$400,MATCH($A353,Map!$A$2:$A$400,0)),"⚠ UNMAPPED"))</f>
        <v>Salaries and wages</v>
      </c>
    </row>
    <row r="354" spans="1:10" x14ac:dyDescent="0.25">
      <c r="A354" s="38">
        <v>520044</v>
      </c>
      <c r="B354" t="s">
        <v>973</v>
      </c>
      <c r="C354" s="158"/>
      <c r="D354" s="158"/>
      <c r="E354" s="158"/>
      <c r="F354" s="158">
        <v>0</v>
      </c>
      <c r="G354" s="158" t="str">
        <f>IF($A354="","",IFERROR(INDEX(Map!$C$2:$C$400,MATCH($A354,Map!$A$2:$A$400,0)),"⚠ UNMAPPED"))</f>
        <v>IS</v>
      </c>
      <c r="H354" s="18" t="str">
        <f>IF($A354="","",IFERROR(INDEX(Map!$D$2:$D$400,MATCH($A354,Map!$A$2:$A$400,0)),"⚠ UNMAPPED"))</f>
        <v>Cost of sales</v>
      </c>
      <c r="I354" s="18" t="str">
        <f>IF($A354="","",IFERROR(INDEX(Map!$E$2:$E$400,MATCH($A354,Map!$A$2:$A$400,0)),"⚠ UNMAPPED"))</f>
        <v>Direct Labor</v>
      </c>
      <c r="J354" s="18" t="str">
        <f>IF($A354="","",IFERROR(INDEX(Map!$F$2:$F$400,MATCH($A354,Map!$A$2:$A$400,0)),"⚠ UNMAPPED"))</f>
        <v>Salaries and wages</v>
      </c>
    </row>
    <row r="355" spans="1:10" x14ac:dyDescent="0.25">
      <c r="A355" s="38">
        <v>520044</v>
      </c>
      <c r="B355" t="s">
        <v>973</v>
      </c>
      <c r="C355" s="158"/>
      <c r="D355" s="158"/>
      <c r="E355" s="158"/>
      <c r="F355" s="158">
        <v>0</v>
      </c>
      <c r="G355" s="158" t="str">
        <f>IF($A355="","",IFERROR(INDEX(Map!$C$2:$C$400,MATCH($A355,Map!$A$2:$A$400,0)),"⚠ UNMAPPED"))</f>
        <v>IS</v>
      </c>
      <c r="H355" s="18" t="str">
        <f>IF($A355="","",IFERROR(INDEX(Map!$D$2:$D$400,MATCH($A355,Map!$A$2:$A$400,0)),"⚠ UNMAPPED"))</f>
        <v>Cost of sales</v>
      </c>
      <c r="I355" s="18" t="str">
        <f>IF($A355="","",IFERROR(INDEX(Map!$E$2:$E$400,MATCH($A355,Map!$A$2:$A$400,0)),"⚠ UNMAPPED"))</f>
        <v>Direct Labor</v>
      </c>
      <c r="J355" s="18" t="str">
        <f>IF($A355="","",IFERROR(INDEX(Map!$F$2:$F$400,MATCH($A355,Map!$A$2:$A$400,0)),"⚠ UNMAPPED"))</f>
        <v>Salaries and wages</v>
      </c>
    </row>
    <row r="356" spans="1:10" x14ac:dyDescent="0.25">
      <c r="A356" s="38">
        <v>520044</v>
      </c>
      <c r="B356" t="s">
        <v>973</v>
      </c>
      <c r="C356" s="158"/>
      <c r="D356" s="158"/>
      <c r="E356" s="158"/>
      <c r="F356" s="158">
        <v>0</v>
      </c>
      <c r="G356" s="158" t="str">
        <f>IF($A356="","",IFERROR(INDEX(Map!$C$2:$C$400,MATCH($A356,Map!$A$2:$A$400,0)),"⚠ UNMAPPED"))</f>
        <v>IS</v>
      </c>
      <c r="H356" s="18" t="str">
        <f>IF($A356="","",IFERROR(INDEX(Map!$D$2:$D$400,MATCH($A356,Map!$A$2:$A$400,0)),"⚠ UNMAPPED"))</f>
        <v>Cost of sales</v>
      </c>
      <c r="I356" s="18" t="str">
        <f>IF($A356="","",IFERROR(INDEX(Map!$E$2:$E$400,MATCH($A356,Map!$A$2:$A$400,0)),"⚠ UNMAPPED"))</f>
        <v>Direct Labor</v>
      </c>
      <c r="J356" s="18" t="str">
        <f>IF($A356="","",IFERROR(INDEX(Map!$F$2:$F$400,MATCH($A356,Map!$A$2:$A$400,0)),"⚠ UNMAPPED"))</f>
        <v>Salaries and wages</v>
      </c>
    </row>
    <row r="357" spans="1:10" x14ac:dyDescent="0.25">
      <c r="A357" s="38">
        <v>520044</v>
      </c>
      <c r="B357" t="s">
        <v>973</v>
      </c>
      <c r="C357" s="158"/>
      <c r="D357" s="158"/>
      <c r="E357" s="158"/>
      <c r="F357" s="158">
        <v>0</v>
      </c>
      <c r="G357" s="158" t="str">
        <f>IF($A357="","",IFERROR(INDEX(Map!$C$2:$C$400,MATCH($A357,Map!$A$2:$A$400,0)),"⚠ UNMAPPED"))</f>
        <v>IS</v>
      </c>
      <c r="H357" s="18" t="str">
        <f>IF($A357="","",IFERROR(INDEX(Map!$D$2:$D$400,MATCH($A357,Map!$A$2:$A$400,0)),"⚠ UNMAPPED"))</f>
        <v>Cost of sales</v>
      </c>
      <c r="I357" s="18" t="str">
        <f>IF($A357="","",IFERROR(INDEX(Map!$E$2:$E$400,MATCH($A357,Map!$A$2:$A$400,0)),"⚠ UNMAPPED"))</f>
        <v>Direct Labor</v>
      </c>
      <c r="J357" s="18" t="str">
        <f>IF($A357="","",IFERROR(INDEX(Map!$F$2:$F$400,MATCH($A357,Map!$A$2:$A$400,0)),"⚠ UNMAPPED"))</f>
        <v>Salaries and wages</v>
      </c>
    </row>
    <row r="358" spans="1:10" x14ac:dyDescent="0.25">
      <c r="A358" s="38">
        <v>520044</v>
      </c>
      <c r="B358" t="s">
        <v>973</v>
      </c>
      <c r="C358" s="158"/>
      <c r="D358" s="158"/>
      <c r="E358" s="158"/>
      <c r="F358" s="158">
        <v>0</v>
      </c>
      <c r="G358" s="158" t="str">
        <f>IF($A358="","",IFERROR(INDEX(Map!$C$2:$C$400,MATCH($A358,Map!$A$2:$A$400,0)),"⚠ UNMAPPED"))</f>
        <v>IS</v>
      </c>
      <c r="H358" s="18" t="str">
        <f>IF($A358="","",IFERROR(INDEX(Map!$D$2:$D$400,MATCH($A358,Map!$A$2:$A$400,0)),"⚠ UNMAPPED"))</f>
        <v>Cost of sales</v>
      </c>
      <c r="I358" s="18" t="str">
        <f>IF($A358="","",IFERROR(INDEX(Map!$E$2:$E$400,MATCH($A358,Map!$A$2:$A$400,0)),"⚠ UNMAPPED"))</f>
        <v>Direct Labor</v>
      </c>
      <c r="J358" s="18" t="str">
        <f>IF($A358="","",IFERROR(INDEX(Map!$F$2:$F$400,MATCH($A358,Map!$A$2:$A$400,0)),"⚠ UNMAPPED"))</f>
        <v>Salaries and wages</v>
      </c>
    </row>
    <row r="359" spans="1:10" x14ac:dyDescent="0.25">
      <c r="A359" s="38">
        <v>520044</v>
      </c>
      <c r="B359" t="s">
        <v>973</v>
      </c>
      <c r="C359" s="158"/>
      <c r="D359" s="158"/>
      <c r="E359" s="158"/>
      <c r="F359" s="158">
        <v>0</v>
      </c>
      <c r="G359" s="158" t="str">
        <f>IF($A359="","",IFERROR(INDEX(Map!$C$2:$C$400,MATCH($A359,Map!$A$2:$A$400,0)),"⚠ UNMAPPED"))</f>
        <v>IS</v>
      </c>
      <c r="H359" s="18" t="str">
        <f>IF($A359="","",IFERROR(INDEX(Map!$D$2:$D$400,MATCH($A359,Map!$A$2:$A$400,0)),"⚠ UNMAPPED"))</f>
        <v>Cost of sales</v>
      </c>
      <c r="I359" s="18" t="str">
        <f>IF($A359="","",IFERROR(INDEX(Map!$E$2:$E$400,MATCH($A359,Map!$A$2:$A$400,0)),"⚠ UNMAPPED"))</f>
        <v>Direct Labor</v>
      </c>
      <c r="J359" s="18" t="str">
        <f>IF($A359="","",IFERROR(INDEX(Map!$F$2:$F$400,MATCH($A359,Map!$A$2:$A$400,0)),"⚠ UNMAPPED"))</f>
        <v>Salaries and wages</v>
      </c>
    </row>
    <row r="360" spans="1:10" x14ac:dyDescent="0.25">
      <c r="A360" s="38">
        <v>520044</v>
      </c>
      <c r="B360" t="s">
        <v>973</v>
      </c>
      <c r="C360" s="158"/>
      <c r="D360" s="158"/>
      <c r="E360" s="158"/>
      <c r="F360" s="158">
        <v>0</v>
      </c>
      <c r="G360" s="158" t="str">
        <f>IF($A360="","",IFERROR(INDEX(Map!$C$2:$C$400,MATCH($A360,Map!$A$2:$A$400,0)),"⚠ UNMAPPED"))</f>
        <v>IS</v>
      </c>
      <c r="H360" s="18" t="str">
        <f>IF($A360="","",IFERROR(INDEX(Map!$D$2:$D$400,MATCH($A360,Map!$A$2:$A$400,0)),"⚠ UNMAPPED"))</f>
        <v>Cost of sales</v>
      </c>
      <c r="I360" s="18" t="str">
        <f>IF($A360="","",IFERROR(INDEX(Map!$E$2:$E$400,MATCH($A360,Map!$A$2:$A$400,0)),"⚠ UNMAPPED"))</f>
        <v>Direct Labor</v>
      </c>
      <c r="J360" s="18" t="str">
        <f>IF($A360="","",IFERROR(INDEX(Map!$F$2:$F$400,MATCH($A360,Map!$A$2:$A$400,0)),"⚠ UNMAPPED"))</f>
        <v>Salaries and wages</v>
      </c>
    </row>
    <row r="361" spans="1:10" x14ac:dyDescent="0.25">
      <c r="A361" s="38">
        <v>520044</v>
      </c>
      <c r="B361" t="s">
        <v>973</v>
      </c>
      <c r="C361" s="158"/>
      <c r="D361" s="158"/>
      <c r="E361" s="158"/>
      <c r="F361" s="158">
        <v>0</v>
      </c>
      <c r="G361" s="158" t="str">
        <f>IF($A361="","",IFERROR(INDEX(Map!$C$2:$C$400,MATCH($A361,Map!$A$2:$A$400,0)),"⚠ UNMAPPED"))</f>
        <v>IS</v>
      </c>
      <c r="H361" s="18" t="str">
        <f>IF($A361="","",IFERROR(INDEX(Map!$D$2:$D$400,MATCH($A361,Map!$A$2:$A$400,0)),"⚠ UNMAPPED"))</f>
        <v>Cost of sales</v>
      </c>
      <c r="I361" s="18" t="str">
        <f>IF($A361="","",IFERROR(INDEX(Map!$E$2:$E$400,MATCH($A361,Map!$A$2:$A$400,0)),"⚠ UNMAPPED"))</f>
        <v>Direct Labor</v>
      </c>
      <c r="J361" s="18" t="str">
        <f>IF($A361="","",IFERROR(INDEX(Map!$F$2:$F$400,MATCH($A361,Map!$A$2:$A$400,0)),"⚠ UNMAPPED"))</f>
        <v>Salaries and wages</v>
      </c>
    </row>
    <row r="362" spans="1:10" x14ac:dyDescent="0.25">
      <c r="A362" s="38">
        <v>520044</v>
      </c>
      <c r="B362" t="s">
        <v>973</v>
      </c>
      <c r="C362" s="158"/>
      <c r="D362" s="158"/>
      <c r="E362" s="158"/>
      <c r="F362" s="158">
        <v>0</v>
      </c>
      <c r="G362" s="158" t="str">
        <f>IF($A362="","",IFERROR(INDEX(Map!$C$2:$C$400,MATCH($A362,Map!$A$2:$A$400,0)),"⚠ UNMAPPED"))</f>
        <v>IS</v>
      </c>
      <c r="H362" s="18" t="str">
        <f>IF($A362="","",IFERROR(INDEX(Map!$D$2:$D$400,MATCH($A362,Map!$A$2:$A$400,0)),"⚠ UNMAPPED"))</f>
        <v>Cost of sales</v>
      </c>
      <c r="I362" s="18" t="str">
        <f>IF($A362="","",IFERROR(INDEX(Map!$E$2:$E$400,MATCH($A362,Map!$A$2:$A$400,0)),"⚠ UNMAPPED"))</f>
        <v>Direct Labor</v>
      </c>
      <c r="J362" s="18" t="str">
        <f>IF($A362="","",IFERROR(INDEX(Map!$F$2:$F$400,MATCH($A362,Map!$A$2:$A$400,0)),"⚠ UNMAPPED"))</f>
        <v>Salaries and wages</v>
      </c>
    </row>
    <row r="363" spans="1:10" x14ac:dyDescent="0.25">
      <c r="A363" s="38">
        <v>250005</v>
      </c>
      <c r="B363" t="s">
        <v>919</v>
      </c>
      <c r="C363" s="158"/>
      <c r="D363" s="158"/>
      <c r="E363" s="158"/>
      <c r="F363" s="158">
        <v>0</v>
      </c>
      <c r="G363" s="158" t="str">
        <f>IF($A363="","",IFERROR(INDEX(Map!$C$2:$C$400,MATCH($A363,Map!$A$2:$A$400,0)),"⚠ UNMAPPED"))</f>
        <v>BS</v>
      </c>
      <c r="H363" s="18" t="str">
        <f>IF($A363="","",IFERROR(INDEX(Map!$D$2:$D$400,MATCH($A363,Map!$A$2:$A$400,0)),"⚠ UNMAPPED"))</f>
        <v>Current Liabilities</v>
      </c>
      <c r="I363" s="18" t="str">
        <f>IF($A363="","",IFERROR(INDEX(Map!$E$2:$E$400,MATCH($A363,Map!$A$2:$A$400,0)),"⚠ UNMAPPED"))</f>
        <v>Tade payables and Accuals &amp; other credit balances</v>
      </c>
      <c r="J363" s="18" t="str">
        <f>IF($A363="","",IFERROR(INDEX(Map!$F$2:$F$400,MATCH($A363,Map!$A$2:$A$400,0)),"⚠ UNMAPPED"))</f>
        <v>Accrued expenses</v>
      </c>
    </row>
    <row r="364" spans="1:10" x14ac:dyDescent="0.25">
      <c r="A364" s="38">
        <v>520042</v>
      </c>
      <c r="B364" t="s">
        <v>971</v>
      </c>
      <c r="C364" s="158"/>
      <c r="D364" s="158"/>
      <c r="E364" s="158"/>
      <c r="F364" s="158">
        <v>0</v>
      </c>
      <c r="G364" s="158" t="str">
        <f>IF($A364="","",IFERROR(INDEX(Map!$C$2:$C$400,MATCH($A364,Map!$A$2:$A$400,0)),"⚠ UNMAPPED"))</f>
        <v>IS</v>
      </c>
      <c r="H364" s="18" t="str">
        <f>IF($A364="","",IFERROR(INDEX(Map!$D$2:$D$400,MATCH($A364,Map!$A$2:$A$400,0)),"⚠ UNMAPPED"))</f>
        <v>Cost of sales</v>
      </c>
      <c r="I364" s="18" t="str">
        <f>IF($A364="","",IFERROR(INDEX(Map!$E$2:$E$400,MATCH($A364,Map!$A$2:$A$400,0)),"⚠ UNMAPPED"))</f>
        <v>Raw materials</v>
      </c>
      <c r="J364" s="18" t="str">
        <f>IF($A364="","",IFERROR(INDEX(Map!$F$2:$F$400,MATCH($A364,Map!$A$2:$A$400,0)),"⚠ UNMAPPED"))</f>
        <v>Inventory Adjustment</v>
      </c>
    </row>
    <row r="365" spans="1:10" x14ac:dyDescent="0.25">
      <c r="A365" s="38">
        <v>111099</v>
      </c>
      <c r="B365" t="s">
        <v>828</v>
      </c>
      <c r="C365" s="158"/>
      <c r="D365" s="158"/>
      <c r="E365" s="158"/>
      <c r="F365" s="158">
        <v>0</v>
      </c>
      <c r="G365" s="158" t="str">
        <f>IF($A365="","",IFERROR(INDEX(Map!$C$2:$C$400,MATCH($A365,Map!$A$2:$A$400,0)),"⚠ UNMAPPED"))</f>
        <v>BS</v>
      </c>
      <c r="H365" s="18" t="str">
        <f>IF($A365="","",IFERROR(INDEX(Map!$D$2:$D$400,MATCH($A365,Map!$A$2:$A$400,0)),"⚠ UNMAPPED"))</f>
        <v>Non-Current Assets</v>
      </c>
      <c r="I365" s="18" t="str">
        <f>IF($A365="","",IFERROR(INDEX(Map!$E$2:$E$400,MATCH($A365,Map!$A$2:$A$400,0)),"⚠ UNMAPPED"))</f>
        <v>Property, plant and equipment</v>
      </c>
      <c r="J365" s="18" t="str">
        <f>IF($A365="","",IFERROR(INDEX(Map!$F$2:$F$400,MATCH($A365,Map!$A$2:$A$400,0)),"⚠ UNMAPPED"))</f>
        <v>Property, plant and equipment - Accumulated depreciation</v>
      </c>
    </row>
    <row r="366" spans="1:10" x14ac:dyDescent="0.25">
      <c r="A366" s="38">
        <v>700060</v>
      </c>
      <c r="B366" t="s">
        <v>1081</v>
      </c>
      <c r="C366" s="158"/>
      <c r="D366" s="158"/>
      <c r="E366" s="158"/>
      <c r="F366" s="158">
        <v>0</v>
      </c>
      <c r="G366" s="158" t="str">
        <f>IF($A366="","",IFERROR(INDEX(Map!$C$2:$C$400,MATCH($A366,Map!$A$2:$A$400,0)),"⚠ UNMAPPED"))</f>
        <v>IS</v>
      </c>
      <c r="H366" s="18" t="str">
        <f>IF($A366="","",IFERROR(INDEX(Map!$D$2:$D$400,MATCH($A366,Map!$A$2:$A$400,0)),"⚠ UNMAPPED"))</f>
        <v>Selling and Marketing</v>
      </c>
      <c r="I366" s="18" t="str">
        <f>IF($A366="","",IFERROR(INDEX(Map!$E$2:$E$400,MATCH($A366,Map!$A$2:$A$400,0)),"⚠ UNMAPPED"))</f>
        <v>Freight and shipping expenses (S&amp;D)</v>
      </c>
      <c r="J366" s="18" t="str">
        <f>IF($A366="","",IFERROR(INDEX(Map!$F$2:$F$400,MATCH($A366,Map!$A$2:$A$400,0)),"⚠ UNMAPPED"))</f>
        <v>Outbound freight / shipping — reclassified below gross profit under IFRS</v>
      </c>
    </row>
    <row r="367" spans="1:10" x14ac:dyDescent="0.25">
      <c r="A367" s="38">
        <v>250005</v>
      </c>
      <c r="B367" t="s">
        <v>1102</v>
      </c>
      <c r="C367" s="158"/>
      <c r="D367" s="158"/>
      <c r="E367" s="158"/>
      <c r="F367" s="158">
        <v>0</v>
      </c>
      <c r="G367" s="158" t="str">
        <f>IF($A367="","",IFERROR(INDEX(Map!$C$2:$C$400,MATCH($A367,Map!$A$2:$A$400,0)),"⚠ UNMAPPED"))</f>
        <v>BS</v>
      </c>
      <c r="H367" s="18" t="str">
        <f>IF($A367="","",IFERROR(INDEX(Map!$D$2:$D$400,MATCH($A367,Map!$A$2:$A$400,0)),"⚠ UNMAPPED"))</f>
        <v>Current Liabilities</v>
      </c>
      <c r="I367" s="18" t="str">
        <f>IF($A367="","",IFERROR(INDEX(Map!$E$2:$E$400,MATCH($A367,Map!$A$2:$A$400,0)),"⚠ UNMAPPED"))</f>
        <v>Tade payables and Accuals &amp; other credit balances</v>
      </c>
      <c r="J367" s="18" t="str">
        <f>IF($A367="","",IFERROR(INDEX(Map!$F$2:$F$400,MATCH($A367,Map!$A$2:$A$400,0)),"⚠ UNMAPPED"))</f>
        <v>Accrued expenses</v>
      </c>
    </row>
    <row r="368" spans="1:10" x14ac:dyDescent="0.25">
      <c r="A368" s="38">
        <v>700060</v>
      </c>
      <c r="B368" t="s">
        <v>1081</v>
      </c>
      <c r="C368" s="158"/>
      <c r="D368" s="158"/>
      <c r="E368" s="158"/>
      <c r="F368" s="158">
        <v>0</v>
      </c>
      <c r="G368" s="158" t="str">
        <f>IF($A368="","",IFERROR(INDEX(Map!$C$2:$C$400,MATCH($A368,Map!$A$2:$A$400,0)),"⚠ UNMAPPED"))</f>
        <v>IS</v>
      </c>
      <c r="H368" s="18" t="str">
        <f>IF($A368="","",IFERROR(INDEX(Map!$D$2:$D$400,MATCH($A368,Map!$A$2:$A$400,0)),"⚠ UNMAPPED"))</f>
        <v>Selling and Marketing</v>
      </c>
      <c r="I368" s="18" t="str">
        <f>IF($A368="","",IFERROR(INDEX(Map!$E$2:$E$400,MATCH($A368,Map!$A$2:$A$400,0)),"⚠ UNMAPPED"))</f>
        <v>Freight and shipping expenses (S&amp;D)</v>
      </c>
      <c r="J368" s="18" t="str">
        <f>IF($A368="","",IFERROR(INDEX(Map!$F$2:$F$400,MATCH($A368,Map!$A$2:$A$400,0)),"⚠ UNMAPPED"))</f>
        <v>Outbound freight / shipping — reclassified below gross profit under IFRS</v>
      </c>
    </row>
    <row r="369" spans="1:10" x14ac:dyDescent="0.25">
      <c r="A369" s="38">
        <v>250005</v>
      </c>
      <c r="B369" t="s">
        <v>1102</v>
      </c>
      <c r="C369" s="158"/>
      <c r="D369" s="158"/>
      <c r="E369" s="158"/>
      <c r="F369" s="158">
        <v>0</v>
      </c>
      <c r="G369" s="158" t="str">
        <f>IF($A369="","",IFERROR(INDEX(Map!$C$2:$C$400,MATCH($A369,Map!$A$2:$A$400,0)),"⚠ UNMAPPED"))</f>
        <v>BS</v>
      </c>
      <c r="H369" s="18" t="str">
        <f>IF($A369="","",IFERROR(INDEX(Map!$D$2:$D$400,MATCH($A369,Map!$A$2:$A$400,0)),"⚠ UNMAPPED"))</f>
        <v>Current Liabilities</v>
      </c>
      <c r="I369" s="18" t="str">
        <f>IF($A369="","",IFERROR(INDEX(Map!$E$2:$E$400,MATCH($A369,Map!$A$2:$A$400,0)),"⚠ UNMAPPED"))</f>
        <v>Tade payables and Accuals &amp; other credit balances</v>
      </c>
      <c r="J369" s="18" t="str">
        <f>IF($A369="","",IFERROR(INDEX(Map!$F$2:$F$400,MATCH($A369,Map!$A$2:$A$400,0)),"⚠ UNMAPPED"))</f>
        <v>Accrued expenses</v>
      </c>
    </row>
    <row r="370" spans="1:10" x14ac:dyDescent="0.25">
      <c r="A370" s="38">
        <v>410001</v>
      </c>
      <c r="B370" t="s">
        <v>938</v>
      </c>
      <c r="C370" s="158"/>
      <c r="D370" s="158">
        <v>1921391.1688635</v>
      </c>
      <c r="E370" s="158"/>
      <c r="F370" s="158">
        <v>1921391.1688635</v>
      </c>
      <c r="G370" s="158" t="str">
        <f>IF($A370="","",IFERROR(INDEX(Map!$C$2:$C$400,MATCH($A370,Map!$A$2:$A$400,0)),"⚠ UNMAPPED"))</f>
        <v>IS</v>
      </c>
      <c r="H370" s="18" t="str">
        <f>IF($A370="","",IFERROR(INDEX(Map!$D$2:$D$400,MATCH($A370,Map!$A$2:$A$400,0)),"⚠ UNMAPPED"))</f>
        <v>Sales</v>
      </c>
      <c r="I370" s="18" t="str">
        <f>IF($A370="","",IFERROR(INDEX(Map!$E$2:$E$400,MATCH($A370,Map!$A$2:$A$400,0)),"⚠ UNMAPPED"))</f>
        <v>Sales</v>
      </c>
      <c r="J370" s="18" t="str">
        <f>IF($A370="","",IFERROR(INDEX(Map!$F$2:$F$400,MATCH($A370,Map!$A$2:$A$400,0)),"⚠ UNMAPPED"))</f>
        <v>Trading revenue</v>
      </c>
    </row>
    <row r="371" spans="1:10" x14ac:dyDescent="0.25">
      <c r="A371" s="38">
        <v>140001</v>
      </c>
      <c r="B371" t="s">
        <v>857</v>
      </c>
      <c r="C371" s="158"/>
      <c r="D371" s="158"/>
      <c r="E371" s="158">
        <v>1921391.1688635</v>
      </c>
      <c r="F371" s="158">
        <v>-1921391.1688635</v>
      </c>
      <c r="G371" s="158" t="str">
        <f>IF($A371="","",IFERROR(INDEX(Map!$C$2:$C$400,MATCH($A371,Map!$A$2:$A$400,0)),"⚠ UNMAPPED"))</f>
        <v>BS</v>
      </c>
      <c r="H371" s="18" t="str">
        <f>IF($A371="","",IFERROR(INDEX(Map!$D$2:$D$400,MATCH($A371,Map!$A$2:$A$400,0)),"⚠ UNMAPPED"))</f>
        <v>Current Assets</v>
      </c>
      <c r="I371" s="18" t="str">
        <f>IF($A371="","",IFERROR(INDEX(Map!$E$2:$E$400,MATCH($A371,Map!$A$2:$A$400,0)),"⚠ UNMAPPED"))</f>
        <v>Trade receivables</v>
      </c>
      <c r="J371" s="18" t="str">
        <f>IF($A371="","",IFERROR(INDEX(Map!$F$2:$F$400,MATCH($A371,Map!$A$2:$A$400,0)),"⚠ UNMAPPED"))</f>
        <v>Trade receivables - current</v>
      </c>
    </row>
    <row r="372" spans="1:10" x14ac:dyDescent="0.25">
      <c r="A372" s="38">
        <v>510001</v>
      </c>
      <c r="B372" t="s">
        <v>945</v>
      </c>
      <c r="C372" s="158"/>
      <c r="D372" s="158"/>
      <c r="E372" s="158">
        <v>1031177.9753</v>
      </c>
      <c r="F372" s="158">
        <v>-1031177.9753</v>
      </c>
      <c r="G372" s="158" t="str">
        <f>IF($A372="","",IFERROR(INDEX(Map!$C$2:$C$400,MATCH($A372,Map!$A$2:$A$400,0)),"⚠ UNMAPPED"))</f>
        <v>IS</v>
      </c>
      <c r="H372" s="18" t="str">
        <f>IF($A372="","",IFERROR(INDEX(Map!$D$2:$D$400,MATCH($A372,Map!$A$2:$A$400,0)),"⚠ UNMAPPED"))</f>
        <v>Cost of sales</v>
      </c>
      <c r="I372" s="18" t="str">
        <f>IF($A372="","",IFERROR(INDEX(Map!$E$2:$E$400,MATCH($A372,Map!$A$2:$A$400,0)),"⚠ UNMAPPED"))</f>
        <v>Raw materials</v>
      </c>
      <c r="J372" s="18" t="str">
        <f>IF($A372="","",IFERROR(INDEX(Map!$F$2:$F$400,MATCH($A372,Map!$A$2:$A$400,0)),"⚠ UNMAPPED"))</f>
        <v>Raw materials</v>
      </c>
    </row>
    <row r="373" spans="1:10" x14ac:dyDescent="0.25">
      <c r="A373" s="38">
        <v>180099</v>
      </c>
      <c r="B373" t="s">
        <v>901</v>
      </c>
      <c r="C373" s="158"/>
      <c r="D373" s="158">
        <v>1031177.9753</v>
      </c>
      <c r="E373" s="158"/>
      <c r="F373" s="158">
        <v>1031177.9753</v>
      </c>
      <c r="G373" s="158" t="str">
        <f>IF($A373="","",IFERROR(INDEX(Map!$C$2:$C$400,MATCH($A373,Map!$A$2:$A$400,0)),"⚠ UNMAPPED"))</f>
        <v>BS</v>
      </c>
      <c r="H373" s="18" t="str">
        <f>IF($A373="","",IFERROR(INDEX(Map!$D$2:$D$400,MATCH($A373,Map!$A$2:$A$400,0)),"⚠ UNMAPPED"))</f>
        <v>Current Assets</v>
      </c>
      <c r="I373" s="18" t="str">
        <f>IF($A373="","",IFERROR(INDEX(Map!$E$2:$E$400,MATCH($A373,Map!$A$2:$A$400,0)),"⚠ UNMAPPED"))</f>
        <v>Inventories</v>
      </c>
      <c r="J373" s="18" t="str">
        <f>IF($A373="","",IFERROR(INDEX(Map!$F$2:$F$400,MATCH($A373,Map!$A$2:$A$400,0)),"⚠ UNMAPPED"))</f>
        <v>Goods in transit - Inventory</v>
      </c>
    </row>
    <row r="374" spans="1:10" x14ac:dyDescent="0.25">
      <c r="A374" s="38">
        <v>410001</v>
      </c>
      <c r="B374" t="s">
        <v>938</v>
      </c>
      <c r="C374" s="158"/>
      <c r="D374" s="158">
        <v>1258001.1049995001</v>
      </c>
      <c r="E374" s="158"/>
      <c r="F374" s="158">
        <v>1258001.1049995001</v>
      </c>
      <c r="G374" s="158" t="str">
        <f>IF($A374="","",IFERROR(INDEX(Map!$C$2:$C$400,MATCH($A374,Map!$A$2:$A$400,0)),"⚠ UNMAPPED"))</f>
        <v>IS</v>
      </c>
      <c r="H374" s="18" t="str">
        <f>IF($A374="","",IFERROR(INDEX(Map!$D$2:$D$400,MATCH($A374,Map!$A$2:$A$400,0)),"⚠ UNMAPPED"))</f>
        <v>Sales</v>
      </c>
      <c r="I374" s="18" t="str">
        <f>IF($A374="","",IFERROR(INDEX(Map!$E$2:$E$400,MATCH($A374,Map!$A$2:$A$400,0)),"⚠ UNMAPPED"))</f>
        <v>Sales</v>
      </c>
      <c r="J374" s="18" t="str">
        <f>IF($A374="","",IFERROR(INDEX(Map!$F$2:$F$400,MATCH($A374,Map!$A$2:$A$400,0)),"⚠ UNMAPPED"))</f>
        <v>Trading revenue</v>
      </c>
    </row>
    <row r="375" spans="1:10" x14ac:dyDescent="0.25">
      <c r="A375" s="38">
        <v>140001</v>
      </c>
      <c r="B375" t="s">
        <v>857</v>
      </c>
      <c r="C375" s="158"/>
      <c r="D375" s="158"/>
      <c r="E375" s="158">
        <v>1258001.1049995001</v>
      </c>
      <c r="F375" s="158">
        <v>-1258001.1049995001</v>
      </c>
      <c r="G375" s="158" t="str">
        <f>IF($A375="","",IFERROR(INDEX(Map!$C$2:$C$400,MATCH($A375,Map!$A$2:$A$400,0)),"⚠ UNMAPPED"))</f>
        <v>BS</v>
      </c>
      <c r="H375" s="18" t="str">
        <f>IF($A375="","",IFERROR(INDEX(Map!$D$2:$D$400,MATCH($A375,Map!$A$2:$A$400,0)),"⚠ UNMAPPED"))</f>
        <v>Current Assets</v>
      </c>
      <c r="I375" s="18" t="str">
        <f>IF($A375="","",IFERROR(INDEX(Map!$E$2:$E$400,MATCH($A375,Map!$A$2:$A$400,0)),"⚠ UNMAPPED"))</f>
        <v>Trade receivables</v>
      </c>
      <c r="J375" s="18" t="str">
        <f>IF($A375="","",IFERROR(INDEX(Map!$F$2:$F$400,MATCH($A375,Map!$A$2:$A$400,0)),"⚠ UNMAPPED"))</f>
        <v>Trade receivables - current</v>
      </c>
    </row>
    <row r="376" spans="1:10" x14ac:dyDescent="0.25">
      <c r="A376" s="38">
        <v>510001</v>
      </c>
      <c r="B376" t="s">
        <v>945</v>
      </c>
      <c r="C376" s="158"/>
      <c r="D376" s="158"/>
      <c r="E376" s="158">
        <v>681930.64512</v>
      </c>
      <c r="F376" s="158">
        <v>-681930.64512</v>
      </c>
      <c r="G376" s="158" t="str">
        <f>IF($A376="","",IFERROR(INDEX(Map!$C$2:$C$400,MATCH($A376,Map!$A$2:$A$400,0)),"⚠ UNMAPPED"))</f>
        <v>IS</v>
      </c>
      <c r="H376" s="18" t="str">
        <f>IF($A376="","",IFERROR(INDEX(Map!$D$2:$D$400,MATCH($A376,Map!$A$2:$A$400,0)),"⚠ UNMAPPED"))</f>
        <v>Cost of sales</v>
      </c>
      <c r="I376" s="18" t="str">
        <f>IF($A376="","",IFERROR(INDEX(Map!$E$2:$E$400,MATCH($A376,Map!$A$2:$A$400,0)),"⚠ UNMAPPED"))</f>
        <v>Raw materials</v>
      </c>
      <c r="J376" s="18" t="str">
        <f>IF($A376="","",IFERROR(INDEX(Map!$F$2:$F$400,MATCH($A376,Map!$A$2:$A$400,0)),"⚠ UNMAPPED"))</f>
        <v>Raw materials</v>
      </c>
    </row>
    <row r="377" spans="1:10" x14ac:dyDescent="0.25">
      <c r="A377" s="38">
        <v>180099</v>
      </c>
      <c r="B377" t="s">
        <v>901</v>
      </c>
      <c r="C377" s="158"/>
      <c r="D377" s="158">
        <v>681930.64512</v>
      </c>
      <c r="E377" s="158"/>
      <c r="F377" s="158">
        <v>681930.64512</v>
      </c>
      <c r="G377" s="158" t="str">
        <f>IF($A377="","",IFERROR(INDEX(Map!$C$2:$C$400,MATCH($A377,Map!$A$2:$A$400,0)),"⚠ UNMAPPED"))</f>
        <v>BS</v>
      </c>
      <c r="H377" s="18" t="str">
        <f>IF($A377="","",IFERROR(INDEX(Map!$D$2:$D$400,MATCH($A377,Map!$A$2:$A$400,0)),"⚠ UNMAPPED"))</f>
        <v>Current Assets</v>
      </c>
      <c r="I377" s="18" t="str">
        <f>IF($A377="","",IFERROR(INDEX(Map!$E$2:$E$400,MATCH($A377,Map!$A$2:$A$400,0)),"⚠ UNMAPPED"))</f>
        <v>Inventories</v>
      </c>
      <c r="J377" s="18" t="str">
        <f>IF($A377="","",IFERROR(INDEX(Map!$F$2:$F$400,MATCH($A377,Map!$A$2:$A$400,0)),"⚠ UNMAPPED"))</f>
        <v>Goods in transit - Inventory</v>
      </c>
    </row>
    <row r="378" spans="1:10" x14ac:dyDescent="0.25">
      <c r="A378" s="38">
        <v>410001</v>
      </c>
      <c r="B378" t="s">
        <v>938</v>
      </c>
      <c r="C378" s="158"/>
      <c r="D378" s="158">
        <v>4004942.2613650002</v>
      </c>
      <c r="E378" s="158"/>
      <c r="F378" s="158">
        <v>4004942.2613650002</v>
      </c>
      <c r="G378" s="158" t="str">
        <f>IF($A378="","",IFERROR(INDEX(Map!$C$2:$C$400,MATCH($A378,Map!$A$2:$A$400,0)),"⚠ UNMAPPED"))</f>
        <v>IS</v>
      </c>
      <c r="H378" s="18" t="str">
        <f>IF($A378="","",IFERROR(INDEX(Map!$D$2:$D$400,MATCH($A378,Map!$A$2:$A$400,0)),"⚠ UNMAPPED"))</f>
        <v>Sales</v>
      </c>
      <c r="I378" s="18" t="str">
        <f>IF($A378="","",IFERROR(INDEX(Map!$E$2:$E$400,MATCH($A378,Map!$A$2:$A$400,0)),"⚠ UNMAPPED"))</f>
        <v>Sales</v>
      </c>
      <c r="J378" s="18" t="str">
        <f>IF($A378="","",IFERROR(INDEX(Map!$F$2:$F$400,MATCH($A378,Map!$A$2:$A$400,0)),"⚠ UNMAPPED"))</f>
        <v>Trading revenue</v>
      </c>
    </row>
    <row r="379" spans="1:10" x14ac:dyDescent="0.25">
      <c r="A379" s="38">
        <v>140001</v>
      </c>
      <c r="B379" t="s">
        <v>857</v>
      </c>
      <c r="C379" s="158"/>
      <c r="D379" s="158"/>
      <c r="E379" s="158">
        <v>4004942.2613650002</v>
      </c>
      <c r="F379" s="158">
        <v>-4004942.2613650002</v>
      </c>
      <c r="G379" s="158" t="str">
        <f>IF($A379="","",IFERROR(INDEX(Map!$C$2:$C$400,MATCH($A379,Map!$A$2:$A$400,0)),"⚠ UNMAPPED"))</f>
        <v>BS</v>
      </c>
      <c r="H379" s="18" t="str">
        <f>IF($A379="","",IFERROR(INDEX(Map!$D$2:$D$400,MATCH($A379,Map!$A$2:$A$400,0)),"⚠ UNMAPPED"))</f>
        <v>Current Assets</v>
      </c>
      <c r="I379" s="18" t="str">
        <f>IF($A379="","",IFERROR(INDEX(Map!$E$2:$E$400,MATCH($A379,Map!$A$2:$A$400,0)),"⚠ UNMAPPED"))</f>
        <v>Trade receivables</v>
      </c>
      <c r="J379" s="18" t="str">
        <f>IF($A379="","",IFERROR(INDEX(Map!$F$2:$F$400,MATCH($A379,Map!$A$2:$A$400,0)),"⚠ UNMAPPED"))</f>
        <v>Trade receivables - current</v>
      </c>
    </row>
    <row r="380" spans="1:10" x14ac:dyDescent="0.25">
      <c r="A380" s="38">
        <v>510001</v>
      </c>
      <c r="B380" t="s">
        <v>945</v>
      </c>
      <c r="C380" s="158"/>
      <c r="D380" s="158"/>
      <c r="E380" s="158">
        <v>2324903.12837</v>
      </c>
      <c r="F380" s="158">
        <v>-2324903.12837</v>
      </c>
      <c r="G380" s="158" t="str">
        <f>IF($A380="","",IFERROR(INDEX(Map!$C$2:$C$400,MATCH($A380,Map!$A$2:$A$400,0)),"⚠ UNMAPPED"))</f>
        <v>IS</v>
      </c>
      <c r="H380" s="18" t="str">
        <f>IF($A380="","",IFERROR(INDEX(Map!$D$2:$D$400,MATCH($A380,Map!$A$2:$A$400,0)),"⚠ UNMAPPED"))</f>
        <v>Cost of sales</v>
      </c>
      <c r="I380" s="18" t="str">
        <f>IF($A380="","",IFERROR(INDEX(Map!$E$2:$E$400,MATCH($A380,Map!$A$2:$A$400,0)),"⚠ UNMAPPED"))</f>
        <v>Raw materials</v>
      </c>
      <c r="J380" s="18" t="str">
        <f>IF($A380="","",IFERROR(INDEX(Map!$F$2:$F$400,MATCH($A380,Map!$A$2:$A$400,0)),"⚠ UNMAPPED"))</f>
        <v>Raw materials</v>
      </c>
    </row>
    <row r="381" spans="1:10" x14ac:dyDescent="0.25">
      <c r="A381" s="38">
        <v>180099</v>
      </c>
      <c r="B381" t="s">
        <v>901</v>
      </c>
      <c r="C381" s="158"/>
      <c r="D381" s="158">
        <v>2324903.12837</v>
      </c>
      <c r="E381" s="158"/>
      <c r="F381" s="158">
        <v>2324903.12837</v>
      </c>
      <c r="G381" s="158" t="str">
        <f>IF($A381="","",IFERROR(INDEX(Map!$C$2:$C$400,MATCH($A381,Map!$A$2:$A$400,0)),"⚠ UNMAPPED"))</f>
        <v>BS</v>
      </c>
      <c r="H381" s="18" t="str">
        <f>IF($A381="","",IFERROR(INDEX(Map!$D$2:$D$400,MATCH($A381,Map!$A$2:$A$400,0)),"⚠ UNMAPPED"))</f>
        <v>Current Assets</v>
      </c>
      <c r="I381" s="18" t="str">
        <f>IF($A381="","",IFERROR(INDEX(Map!$E$2:$E$400,MATCH($A381,Map!$A$2:$A$400,0)),"⚠ UNMAPPED"))</f>
        <v>Inventories</v>
      </c>
      <c r="J381" s="18" t="str">
        <f>IF($A381="","",IFERROR(INDEX(Map!$F$2:$F$400,MATCH($A381,Map!$A$2:$A$400,0)),"⚠ UNMAPPED"))</f>
        <v>Goods in transit - Inventory</v>
      </c>
    </row>
    <row r="382" spans="1:10" x14ac:dyDescent="0.25">
      <c r="A382" s="38">
        <v>410001</v>
      </c>
      <c r="B382" t="s">
        <v>938</v>
      </c>
      <c r="C382" s="158"/>
      <c r="D382" s="158">
        <v>3584746.158178499</v>
      </c>
      <c r="E382" s="158"/>
      <c r="F382" s="158">
        <v>3584746.158178499</v>
      </c>
      <c r="G382" s="158" t="str">
        <f>IF($A382="","",IFERROR(INDEX(Map!$C$2:$C$400,MATCH($A382,Map!$A$2:$A$400,0)),"⚠ UNMAPPED"))</f>
        <v>IS</v>
      </c>
      <c r="H382" s="18" t="str">
        <f>IF($A382="","",IFERROR(INDEX(Map!$D$2:$D$400,MATCH($A382,Map!$A$2:$A$400,0)),"⚠ UNMAPPED"))</f>
        <v>Sales</v>
      </c>
      <c r="I382" s="18" t="str">
        <f>IF($A382="","",IFERROR(INDEX(Map!$E$2:$E$400,MATCH($A382,Map!$A$2:$A$400,0)),"⚠ UNMAPPED"))</f>
        <v>Sales</v>
      </c>
      <c r="J382" s="18" t="str">
        <f>IF($A382="","",IFERROR(INDEX(Map!$F$2:$F$400,MATCH($A382,Map!$A$2:$A$400,0)),"⚠ UNMAPPED"))</f>
        <v>Trading revenue</v>
      </c>
    </row>
    <row r="383" spans="1:10" x14ac:dyDescent="0.25">
      <c r="A383" s="38">
        <v>140001</v>
      </c>
      <c r="B383" t="s">
        <v>857</v>
      </c>
      <c r="C383" s="158"/>
      <c r="D383" s="158"/>
      <c r="E383" s="158">
        <v>3584746.158178499</v>
      </c>
      <c r="F383" s="158">
        <v>-3584746.158178499</v>
      </c>
      <c r="G383" s="158" t="str">
        <f>IF($A383="","",IFERROR(INDEX(Map!$C$2:$C$400,MATCH($A383,Map!$A$2:$A$400,0)),"⚠ UNMAPPED"))</f>
        <v>BS</v>
      </c>
      <c r="H383" s="18" t="str">
        <f>IF($A383="","",IFERROR(INDEX(Map!$D$2:$D$400,MATCH($A383,Map!$A$2:$A$400,0)),"⚠ UNMAPPED"))</f>
        <v>Current Assets</v>
      </c>
      <c r="I383" s="18" t="str">
        <f>IF($A383="","",IFERROR(INDEX(Map!$E$2:$E$400,MATCH($A383,Map!$A$2:$A$400,0)),"⚠ UNMAPPED"))</f>
        <v>Trade receivables</v>
      </c>
      <c r="J383" s="18" t="str">
        <f>IF($A383="","",IFERROR(INDEX(Map!$F$2:$F$400,MATCH($A383,Map!$A$2:$A$400,0)),"⚠ UNMAPPED"))</f>
        <v>Trade receivables - current</v>
      </c>
    </row>
    <row r="384" spans="1:10" x14ac:dyDescent="0.25">
      <c r="A384" s="38">
        <v>510001</v>
      </c>
      <c r="B384" t="s">
        <v>945</v>
      </c>
      <c r="C384" s="158"/>
      <c r="D384" s="158"/>
      <c r="E384" s="158">
        <v>2400085.6982299988</v>
      </c>
      <c r="F384" s="158">
        <v>-2400085.6982299988</v>
      </c>
      <c r="G384" s="158" t="str">
        <f>IF($A384="","",IFERROR(INDEX(Map!$C$2:$C$400,MATCH($A384,Map!$A$2:$A$400,0)),"⚠ UNMAPPED"))</f>
        <v>IS</v>
      </c>
      <c r="H384" s="18" t="str">
        <f>IF($A384="","",IFERROR(INDEX(Map!$D$2:$D$400,MATCH($A384,Map!$A$2:$A$400,0)),"⚠ UNMAPPED"))</f>
        <v>Cost of sales</v>
      </c>
      <c r="I384" s="18" t="str">
        <f>IF($A384="","",IFERROR(INDEX(Map!$E$2:$E$400,MATCH($A384,Map!$A$2:$A$400,0)),"⚠ UNMAPPED"))</f>
        <v>Raw materials</v>
      </c>
      <c r="J384" s="18" t="str">
        <f>IF($A384="","",IFERROR(INDEX(Map!$F$2:$F$400,MATCH($A384,Map!$A$2:$A$400,0)),"⚠ UNMAPPED"))</f>
        <v>Raw materials</v>
      </c>
    </row>
    <row r="385" spans="1:10" x14ac:dyDescent="0.25">
      <c r="A385" s="38">
        <v>180099</v>
      </c>
      <c r="B385" t="s">
        <v>901</v>
      </c>
      <c r="C385" s="158"/>
      <c r="D385" s="158">
        <v>2400085.6982299988</v>
      </c>
      <c r="E385" s="158"/>
      <c r="F385" s="158">
        <v>2400085.6982299988</v>
      </c>
      <c r="G385" s="158" t="str">
        <f>IF($A385="","",IFERROR(INDEX(Map!$C$2:$C$400,MATCH($A385,Map!$A$2:$A$400,0)),"⚠ UNMAPPED"))</f>
        <v>BS</v>
      </c>
      <c r="H385" s="18" t="str">
        <f>IF($A385="","",IFERROR(INDEX(Map!$D$2:$D$400,MATCH($A385,Map!$A$2:$A$400,0)),"⚠ UNMAPPED"))</f>
        <v>Current Assets</v>
      </c>
      <c r="I385" s="18" t="str">
        <f>IF($A385="","",IFERROR(INDEX(Map!$E$2:$E$400,MATCH($A385,Map!$A$2:$A$400,0)),"⚠ UNMAPPED"))</f>
        <v>Inventories</v>
      </c>
      <c r="J385" s="18" t="str">
        <f>IF($A385="","",IFERROR(INDEX(Map!$F$2:$F$400,MATCH($A385,Map!$A$2:$A$400,0)),"⚠ UNMAPPED"))</f>
        <v>Goods in transit - Inventory</v>
      </c>
    </row>
    <row r="386" spans="1:10" x14ac:dyDescent="0.25">
      <c r="A386" s="38">
        <v>410001</v>
      </c>
      <c r="B386" t="s">
        <v>938</v>
      </c>
      <c r="C386" s="158"/>
      <c r="D386" s="158">
        <v>2481777.4436674998</v>
      </c>
      <c r="E386" s="158"/>
      <c r="F386" s="158">
        <v>2481777.4436674998</v>
      </c>
      <c r="G386" s="158" t="str">
        <f>IF($A386="","",IFERROR(INDEX(Map!$C$2:$C$400,MATCH($A386,Map!$A$2:$A$400,0)),"⚠ UNMAPPED"))</f>
        <v>IS</v>
      </c>
      <c r="H386" s="18" t="str">
        <f>IF($A386="","",IFERROR(INDEX(Map!$D$2:$D$400,MATCH($A386,Map!$A$2:$A$400,0)),"⚠ UNMAPPED"))</f>
        <v>Sales</v>
      </c>
      <c r="I386" s="18" t="str">
        <f>IF($A386="","",IFERROR(INDEX(Map!$E$2:$E$400,MATCH($A386,Map!$A$2:$A$400,0)),"⚠ UNMAPPED"))</f>
        <v>Sales</v>
      </c>
      <c r="J386" s="18" t="str">
        <f>IF($A386="","",IFERROR(INDEX(Map!$F$2:$F$400,MATCH($A386,Map!$A$2:$A$400,0)),"⚠ UNMAPPED"))</f>
        <v>Trading revenue</v>
      </c>
    </row>
    <row r="387" spans="1:10" x14ac:dyDescent="0.25">
      <c r="A387" s="38">
        <v>140001</v>
      </c>
      <c r="B387" t="s">
        <v>857</v>
      </c>
      <c r="C387" s="158"/>
      <c r="D387" s="158"/>
      <c r="E387" s="158">
        <v>2481777.4436674998</v>
      </c>
      <c r="F387" s="158">
        <v>-2481777.4436674998</v>
      </c>
      <c r="G387" s="158" t="str">
        <f>IF($A387="","",IFERROR(INDEX(Map!$C$2:$C$400,MATCH($A387,Map!$A$2:$A$400,0)),"⚠ UNMAPPED"))</f>
        <v>BS</v>
      </c>
      <c r="H387" s="18" t="str">
        <f>IF($A387="","",IFERROR(INDEX(Map!$D$2:$D$400,MATCH($A387,Map!$A$2:$A$400,0)),"⚠ UNMAPPED"))</f>
        <v>Current Assets</v>
      </c>
      <c r="I387" s="18" t="str">
        <f>IF($A387="","",IFERROR(INDEX(Map!$E$2:$E$400,MATCH($A387,Map!$A$2:$A$400,0)),"⚠ UNMAPPED"))</f>
        <v>Trade receivables</v>
      </c>
      <c r="J387" s="18" t="str">
        <f>IF($A387="","",IFERROR(INDEX(Map!$F$2:$F$400,MATCH($A387,Map!$A$2:$A$400,0)),"⚠ UNMAPPED"))</f>
        <v>Trade receivables - current</v>
      </c>
    </row>
    <row r="388" spans="1:10" x14ac:dyDescent="0.25">
      <c r="A388" s="38">
        <v>510001</v>
      </c>
      <c r="B388" t="s">
        <v>945</v>
      </c>
      <c r="C388" s="158"/>
      <c r="D388" s="158"/>
      <c r="E388" s="158">
        <v>1401773.5693000001</v>
      </c>
      <c r="F388" s="158">
        <v>-1401773.5693000001</v>
      </c>
      <c r="G388" s="158" t="str">
        <f>IF($A388="","",IFERROR(INDEX(Map!$C$2:$C$400,MATCH($A388,Map!$A$2:$A$400,0)),"⚠ UNMAPPED"))</f>
        <v>IS</v>
      </c>
      <c r="H388" s="18" t="str">
        <f>IF($A388="","",IFERROR(INDEX(Map!$D$2:$D$400,MATCH($A388,Map!$A$2:$A$400,0)),"⚠ UNMAPPED"))</f>
        <v>Cost of sales</v>
      </c>
      <c r="I388" s="18" t="str">
        <f>IF($A388="","",IFERROR(INDEX(Map!$E$2:$E$400,MATCH($A388,Map!$A$2:$A$400,0)),"⚠ UNMAPPED"))</f>
        <v>Raw materials</v>
      </c>
      <c r="J388" s="18" t="str">
        <f>IF($A388="","",IFERROR(INDEX(Map!$F$2:$F$400,MATCH($A388,Map!$A$2:$A$400,0)),"⚠ UNMAPPED"))</f>
        <v>Raw materials</v>
      </c>
    </row>
    <row r="389" spans="1:10" x14ac:dyDescent="0.25">
      <c r="A389" s="38">
        <v>180099</v>
      </c>
      <c r="B389" t="s">
        <v>901</v>
      </c>
      <c r="C389" s="158"/>
      <c r="D389" s="158">
        <v>1401773.5693000001</v>
      </c>
      <c r="E389" s="158"/>
      <c r="F389" s="158">
        <v>1401773.5693000001</v>
      </c>
      <c r="G389" s="158" t="str">
        <f>IF($A389="","",IFERROR(INDEX(Map!$C$2:$C$400,MATCH($A389,Map!$A$2:$A$400,0)),"⚠ UNMAPPED"))</f>
        <v>BS</v>
      </c>
      <c r="H389" s="18" t="str">
        <f>IF($A389="","",IFERROR(INDEX(Map!$D$2:$D$400,MATCH($A389,Map!$A$2:$A$400,0)),"⚠ UNMAPPED"))</f>
        <v>Current Assets</v>
      </c>
      <c r="I389" s="18" t="str">
        <f>IF($A389="","",IFERROR(INDEX(Map!$E$2:$E$400,MATCH($A389,Map!$A$2:$A$400,0)),"⚠ UNMAPPED"))</f>
        <v>Inventories</v>
      </c>
      <c r="J389" s="18" t="str">
        <f>IF($A389="","",IFERROR(INDEX(Map!$F$2:$F$400,MATCH($A389,Map!$A$2:$A$400,0)),"⚠ UNMAPPED"))</f>
        <v>Goods in transit - Inventory</v>
      </c>
    </row>
    <row r="390" spans="1:10" x14ac:dyDescent="0.25">
      <c r="A390" s="38">
        <v>410001</v>
      </c>
      <c r="B390" t="s">
        <v>938</v>
      </c>
      <c r="C390" s="158"/>
      <c r="D390" s="158">
        <v>2490078.1186290001</v>
      </c>
      <c r="E390" s="158"/>
      <c r="F390" s="158">
        <v>2490078.1186290001</v>
      </c>
      <c r="G390" s="158" t="str">
        <f>IF($A390="","",IFERROR(INDEX(Map!$C$2:$C$400,MATCH($A390,Map!$A$2:$A$400,0)),"⚠ UNMAPPED"))</f>
        <v>IS</v>
      </c>
      <c r="H390" s="18" t="str">
        <f>IF($A390="","",IFERROR(INDEX(Map!$D$2:$D$400,MATCH($A390,Map!$A$2:$A$400,0)),"⚠ UNMAPPED"))</f>
        <v>Sales</v>
      </c>
      <c r="I390" s="18" t="str">
        <f>IF($A390="","",IFERROR(INDEX(Map!$E$2:$E$400,MATCH($A390,Map!$A$2:$A$400,0)),"⚠ UNMAPPED"))</f>
        <v>Sales</v>
      </c>
      <c r="J390" s="18" t="str">
        <f>IF($A390="","",IFERROR(INDEX(Map!$F$2:$F$400,MATCH($A390,Map!$A$2:$A$400,0)),"⚠ UNMAPPED"))</f>
        <v>Trading revenue</v>
      </c>
    </row>
    <row r="391" spans="1:10" x14ac:dyDescent="0.25">
      <c r="A391" s="38">
        <v>140001</v>
      </c>
      <c r="B391" t="s">
        <v>857</v>
      </c>
      <c r="C391" s="158"/>
      <c r="D391" s="158"/>
      <c r="E391" s="158">
        <v>2490078.1186290001</v>
      </c>
      <c r="F391" s="158">
        <v>-2490078.1186290001</v>
      </c>
      <c r="G391" s="158" t="str">
        <f>IF($A391="","",IFERROR(INDEX(Map!$C$2:$C$400,MATCH($A391,Map!$A$2:$A$400,0)),"⚠ UNMAPPED"))</f>
        <v>BS</v>
      </c>
      <c r="H391" s="18" t="str">
        <f>IF($A391="","",IFERROR(INDEX(Map!$D$2:$D$400,MATCH($A391,Map!$A$2:$A$400,0)),"⚠ UNMAPPED"))</f>
        <v>Current Assets</v>
      </c>
      <c r="I391" s="18" t="str">
        <f>IF($A391="","",IFERROR(INDEX(Map!$E$2:$E$400,MATCH($A391,Map!$A$2:$A$400,0)),"⚠ UNMAPPED"))</f>
        <v>Trade receivables</v>
      </c>
      <c r="J391" s="18" t="str">
        <f>IF($A391="","",IFERROR(INDEX(Map!$F$2:$F$400,MATCH($A391,Map!$A$2:$A$400,0)),"⚠ UNMAPPED"))</f>
        <v>Trade receivables - current</v>
      </c>
    </row>
    <row r="392" spans="1:10" x14ac:dyDescent="0.25">
      <c r="A392" s="38">
        <v>510001</v>
      </c>
      <c r="B392" t="s">
        <v>945</v>
      </c>
      <c r="C392" s="158"/>
      <c r="D392" s="158"/>
      <c r="E392" s="158">
        <v>1434684.4691999999</v>
      </c>
      <c r="F392" s="158">
        <v>-1434684.4691999999</v>
      </c>
      <c r="G392" s="158" t="str">
        <f>IF($A392="","",IFERROR(INDEX(Map!$C$2:$C$400,MATCH($A392,Map!$A$2:$A$400,0)),"⚠ UNMAPPED"))</f>
        <v>IS</v>
      </c>
      <c r="H392" s="18" t="str">
        <f>IF($A392="","",IFERROR(INDEX(Map!$D$2:$D$400,MATCH($A392,Map!$A$2:$A$400,0)),"⚠ UNMAPPED"))</f>
        <v>Cost of sales</v>
      </c>
      <c r="I392" s="18" t="str">
        <f>IF($A392="","",IFERROR(INDEX(Map!$E$2:$E$400,MATCH($A392,Map!$A$2:$A$400,0)),"⚠ UNMAPPED"))</f>
        <v>Raw materials</v>
      </c>
      <c r="J392" s="18" t="str">
        <f>IF($A392="","",IFERROR(INDEX(Map!$F$2:$F$400,MATCH($A392,Map!$A$2:$A$400,0)),"⚠ UNMAPPED"))</f>
        <v>Raw materials</v>
      </c>
    </row>
    <row r="393" spans="1:10" x14ac:dyDescent="0.25">
      <c r="A393" s="38">
        <v>180099</v>
      </c>
      <c r="B393" t="s">
        <v>901</v>
      </c>
      <c r="C393" s="158"/>
      <c r="D393" s="158">
        <v>1434684.4691999999</v>
      </c>
      <c r="E393" s="158"/>
      <c r="F393" s="158">
        <v>1434684.4691999999</v>
      </c>
      <c r="G393" s="158" t="str">
        <f>IF($A393="","",IFERROR(INDEX(Map!$C$2:$C$400,MATCH($A393,Map!$A$2:$A$400,0)),"⚠ UNMAPPED"))</f>
        <v>BS</v>
      </c>
      <c r="H393" s="18" t="str">
        <f>IF($A393="","",IFERROR(INDEX(Map!$D$2:$D$400,MATCH($A393,Map!$A$2:$A$400,0)),"⚠ UNMAPPED"))</f>
        <v>Current Assets</v>
      </c>
      <c r="I393" s="18" t="str">
        <f>IF($A393="","",IFERROR(INDEX(Map!$E$2:$E$400,MATCH($A393,Map!$A$2:$A$400,0)),"⚠ UNMAPPED"))</f>
        <v>Inventories</v>
      </c>
      <c r="J393" s="18" t="str">
        <f>IF($A393="","",IFERROR(INDEX(Map!$F$2:$F$400,MATCH($A393,Map!$A$2:$A$400,0)),"⚠ UNMAPPED"))</f>
        <v>Goods in transit - Inventory</v>
      </c>
    </row>
    <row r="394" spans="1:10" x14ac:dyDescent="0.25">
      <c r="A394" s="38">
        <v>410001</v>
      </c>
      <c r="B394" t="s">
        <v>938</v>
      </c>
      <c r="C394" s="158"/>
      <c r="D394" s="158">
        <v>1079152.4074804999</v>
      </c>
      <c r="E394" s="158"/>
      <c r="F394" s="158">
        <v>1079152.4074804999</v>
      </c>
      <c r="G394" s="158" t="str">
        <f>IF($A394="","",IFERROR(INDEX(Map!$C$2:$C$400,MATCH($A394,Map!$A$2:$A$400,0)),"⚠ UNMAPPED"))</f>
        <v>IS</v>
      </c>
      <c r="H394" s="18" t="str">
        <f>IF($A394="","",IFERROR(INDEX(Map!$D$2:$D$400,MATCH($A394,Map!$A$2:$A$400,0)),"⚠ UNMAPPED"))</f>
        <v>Sales</v>
      </c>
      <c r="I394" s="18" t="str">
        <f>IF($A394="","",IFERROR(INDEX(Map!$E$2:$E$400,MATCH($A394,Map!$A$2:$A$400,0)),"⚠ UNMAPPED"))</f>
        <v>Sales</v>
      </c>
      <c r="J394" s="18" t="str">
        <f>IF($A394="","",IFERROR(INDEX(Map!$F$2:$F$400,MATCH($A394,Map!$A$2:$A$400,0)),"⚠ UNMAPPED"))</f>
        <v>Trading revenue</v>
      </c>
    </row>
    <row r="395" spans="1:10" x14ac:dyDescent="0.25">
      <c r="A395" s="38">
        <v>140001</v>
      </c>
      <c r="B395" t="s">
        <v>857</v>
      </c>
      <c r="C395" s="158"/>
      <c r="D395" s="158"/>
      <c r="E395" s="158">
        <v>1079152.4074804999</v>
      </c>
      <c r="F395" s="158">
        <v>-1079152.4074804999</v>
      </c>
      <c r="G395" s="158" t="str">
        <f>IF($A395="","",IFERROR(INDEX(Map!$C$2:$C$400,MATCH($A395,Map!$A$2:$A$400,0)),"⚠ UNMAPPED"))</f>
        <v>BS</v>
      </c>
      <c r="H395" s="18" t="str">
        <f>IF($A395="","",IFERROR(INDEX(Map!$D$2:$D$400,MATCH($A395,Map!$A$2:$A$400,0)),"⚠ UNMAPPED"))</f>
        <v>Current Assets</v>
      </c>
      <c r="I395" s="18" t="str">
        <f>IF($A395="","",IFERROR(INDEX(Map!$E$2:$E$400,MATCH($A395,Map!$A$2:$A$400,0)),"⚠ UNMAPPED"))</f>
        <v>Trade receivables</v>
      </c>
      <c r="J395" s="18" t="str">
        <f>IF($A395="","",IFERROR(INDEX(Map!$F$2:$F$400,MATCH($A395,Map!$A$2:$A$400,0)),"⚠ UNMAPPED"))</f>
        <v>Trade receivables - current</v>
      </c>
    </row>
    <row r="396" spans="1:10" x14ac:dyDescent="0.25">
      <c r="A396" s="38">
        <v>510001</v>
      </c>
      <c r="B396" t="s">
        <v>945</v>
      </c>
      <c r="C396" s="158"/>
      <c r="D396" s="158"/>
      <c r="E396" s="158">
        <v>751687.23299999989</v>
      </c>
      <c r="F396" s="158">
        <v>-751687.23299999989</v>
      </c>
      <c r="G396" s="158" t="str">
        <f>IF($A396="","",IFERROR(INDEX(Map!$C$2:$C$400,MATCH($A396,Map!$A$2:$A$400,0)),"⚠ UNMAPPED"))</f>
        <v>IS</v>
      </c>
      <c r="H396" s="18" t="str">
        <f>IF($A396="","",IFERROR(INDEX(Map!$D$2:$D$400,MATCH($A396,Map!$A$2:$A$400,0)),"⚠ UNMAPPED"))</f>
        <v>Cost of sales</v>
      </c>
      <c r="I396" s="18" t="str">
        <f>IF($A396="","",IFERROR(INDEX(Map!$E$2:$E$400,MATCH($A396,Map!$A$2:$A$400,0)),"⚠ UNMAPPED"))</f>
        <v>Raw materials</v>
      </c>
      <c r="J396" s="18" t="str">
        <f>IF($A396="","",IFERROR(INDEX(Map!$F$2:$F$400,MATCH($A396,Map!$A$2:$A$400,0)),"⚠ UNMAPPED"))</f>
        <v>Raw materials</v>
      </c>
    </row>
    <row r="397" spans="1:10" x14ac:dyDescent="0.25">
      <c r="A397" s="38">
        <v>180099</v>
      </c>
      <c r="B397" t="s">
        <v>901</v>
      </c>
      <c r="C397" s="158"/>
      <c r="D397" s="158">
        <v>751687.23299999989</v>
      </c>
      <c r="E397" s="158"/>
      <c r="F397" s="158">
        <v>751687.23299999989</v>
      </c>
      <c r="G397" s="158" t="str">
        <f>IF($A397="","",IFERROR(INDEX(Map!$C$2:$C$400,MATCH($A397,Map!$A$2:$A$400,0)),"⚠ UNMAPPED"))</f>
        <v>BS</v>
      </c>
      <c r="H397" s="18" t="str">
        <f>IF($A397="","",IFERROR(INDEX(Map!$D$2:$D$400,MATCH($A397,Map!$A$2:$A$400,0)),"⚠ UNMAPPED"))</f>
        <v>Current Assets</v>
      </c>
      <c r="I397" s="18" t="str">
        <f>IF($A397="","",IFERROR(INDEX(Map!$E$2:$E$400,MATCH($A397,Map!$A$2:$A$400,0)),"⚠ UNMAPPED"))</f>
        <v>Inventories</v>
      </c>
      <c r="J397" s="18" t="str">
        <f>IF($A397="","",IFERROR(INDEX(Map!$F$2:$F$400,MATCH($A397,Map!$A$2:$A$400,0)),"⚠ UNMAPPED"))</f>
        <v>Goods in transit - Inventory</v>
      </c>
    </row>
    <row r="398" spans="1:10" x14ac:dyDescent="0.25">
      <c r="A398" s="38">
        <v>410001</v>
      </c>
      <c r="B398" t="s">
        <v>938</v>
      </c>
      <c r="C398" s="158"/>
      <c r="D398" s="158">
        <v>1267709.1803955</v>
      </c>
      <c r="E398" s="158"/>
      <c r="F398" s="158">
        <v>1267709.1803955</v>
      </c>
      <c r="G398" s="158" t="str">
        <f>IF($A398="","",IFERROR(INDEX(Map!$C$2:$C$400,MATCH($A398,Map!$A$2:$A$400,0)),"⚠ UNMAPPED"))</f>
        <v>IS</v>
      </c>
      <c r="H398" s="18" t="str">
        <f>IF($A398="","",IFERROR(INDEX(Map!$D$2:$D$400,MATCH($A398,Map!$A$2:$A$400,0)),"⚠ UNMAPPED"))</f>
        <v>Sales</v>
      </c>
      <c r="I398" s="18" t="str">
        <f>IF($A398="","",IFERROR(INDEX(Map!$E$2:$E$400,MATCH($A398,Map!$A$2:$A$400,0)),"⚠ UNMAPPED"))</f>
        <v>Sales</v>
      </c>
      <c r="J398" s="18" t="str">
        <f>IF($A398="","",IFERROR(INDEX(Map!$F$2:$F$400,MATCH($A398,Map!$A$2:$A$400,0)),"⚠ UNMAPPED"))</f>
        <v>Trading revenue</v>
      </c>
    </row>
    <row r="399" spans="1:10" x14ac:dyDescent="0.25">
      <c r="A399" s="38">
        <v>140001</v>
      </c>
      <c r="B399" t="s">
        <v>857</v>
      </c>
      <c r="C399" s="158"/>
      <c r="D399" s="158"/>
      <c r="E399" s="158">
        <v>1267709.1803955</v>
      </c>
      <c r="F399" s="158">
        <v>-1267709.1803955</v>
      </c>
      <c r="G399" s="158" t="str">
        <f>IF($A399="","",IFERROR(INDEX(Map!$C$2:$C$400,MATCH($A399,Map!$A$2:$A$400,0)),"⚠ UNMAPPED"))</f>
        <v>BS</v>
      </c>
      <c r="H399" s="18" t="str">
        <f>IF($A399="","",IFERROR(INDEX(Map!$D$2:$D$400,MATCH($A399,Map!$A$2:$A$400,0)),"⚠ UNMAPPED"))</f>
        <v>Current Assets</v>
      </c>
      <c r="I399" s="18" t="str">
        <f>IF($A399="","",IFERROR(INDEX(Map!$E$2:$E$400,MATCH($A399,Map!$A$2:$A$400,0)),"⚠ UNMAPPED"))</f>
        <v>Trade receivables</v>
      </c>
      <c r="J399" s="18" t="str">
        <f>IF($A399="","",IFERROR(INDEX(Map!$F$2:$F$400,MATCH($A399,Map!$A$2:$A$400,0)),"⚠ UNMAPPED"))</f>
        <v>Trade receivables - current</v>
      </c>
    </row>
    <row r="400" spans="1:10" x14ac:dyDescent="0.25">
      <c r="A400" s="38">
        <v>510001</v>
      </c>
      <c r="B400" t="s">
        <v>945</v>
      </c>
      <c r="C400" s="158"/>
      <c r="D400" s="158"/>
      <c r="E400" s="158">
        <v>821373.67860000022</v>
      </c>
      <c r="F400" s="158">
        <v>-821373.67860000022</v>
      </c>
      <c r="G400" s="158" t="str">
        <f>IF($A400="","",IFERROR(INDEX(Map!$C$2:$C$400,MATCH($A400,Map!$A$2:$A$400,0)),"⚠ UNMAPPED"))</f>
        <v>IS</v>
      </c>
      <c r="H400" s="18" t="str">
        <f>IF($A400="","",IFERROR(INDEX(Map!$D$2:$D$400,MATCH($A400,Map!$A$2:$A$400,0)),"⚠ UNMAPPED"))</f>
        <v>Cost of sales</v>
      </c>
      <c r="I400" s="18" t="str">
        <f>IF($A400="","",IFERROR(INDEX(Map!$E$2:$E$400,MATCH($A400,Map!$A$2:$A$400,0)),"⚠ UNMAPPED"))</f>
        <v>Raw materials</v>
      </c>
      <c r="J400" s="18" t="str">
        <f>IF($A400="","",IFERROR(INDEX(Map!$F$2:$F$400,MATCH($A400,Map!$A$2:$A$400,0)),"⚠ UNMAPPED"))</f>
        <v>Raw materials</v>
      </c>
    </row>
    <row r="401" spans="1:10" x14ac:dyDescent="0.25">
      <c r="A401" s="38">
        <v>180099</v>
      </c>
      <c r="B401" t="s">
        <v>901</v>
      </c>
      <c r="C401" s="158"/>
      <c r="D401" s="158">
        <v>821373.67860000022</v>
      </c>
      <c r="E401" s="158"/>
      <c r="F401" s="158">
        <v>821373.67860000022</v>
      </c>
      <c r="G401" s="158" t="str">
        <f>IF($A401="","",IFERROR(INDEX(Map!$C$2:$C$400,MATCH($A401,Map!$A$2:$A$400,0)),"⚠ UNMAPPED"))</f>
        <v>BS</v>
      </c>
      <c r="H401" s="18" t="str">
        <f>IF($A401="","",IFERROR(INDEX(Map!$D$2:$D$400,MATCH($A401,Map!$A$2:$A$400,0)),"⚠ UNMAPPED"))</f>
        <v>Current Assets</v>
      </c>
      <c r="I401" s="18" t="str">
        <f>IF($A401="","",IFERROR(INDEX(Map!$E$2:$E$400,MATCH($A401,Map!$A$2:$A$400,0)),"⚠ UNMAPPED"))</f>
        <v>Inventories</v>
      </c>
      <c r="J401" s="18" t="str">
        <f>IF($A401="","",IFERROR(INDEX(Map!$F$2:$F$400,MATCH($A401,Map!$A$2:$A$400,0)),"⚠ UNMAPPED"))</f>
        <v>Goods in transit - Inventory</v>
      </c>
    </row>
    <row r="402" spans="1:10" x14ac:dyDescent="0.25">
      <c r="A402" s="38">
        <v>410001</v>
      </c>
      <c r="B402" t="s">
        <v>938</v>
      </c>
      <c r="C402" s="158"/>
      <c r="D402" s="158"/>
      <c r="E402" s="158">
        <v>4900243.6162675004</v>
      </c>
      <c r="F402" s="158">
        <v>-4900243.6162675004</v>
      </c>
      <c r="G402" s="158" t="str">
        <f>IF($A402="","",IFERROR(INDEX(Map!$C$2:$C$400,MATCH($A402,Map!$A$2:$A$400,0)),"⚠ UNMAPPED"))</f>
        <v>IS</v>
      </c>
      <c r="H402" s="18" t="str">
        <f>IF($A402="","",IFERROR(INDEX(Map!$D$2:$D$400,MATCH($A402,Map!$A$2:$A$400,0)),"⚠ UNMAPPED"))</f>
        <v>Sales</v>
      </c>
      <c r="I402" s="18" t="str">
        <f>IF($A402="","",IFERROR(INDEX(Map!$E$2:$E$400,MATCH($A402,Map!$A$2:$A$400,0)),"⚠ UNMAPPED"))</f>
        <v>Sales</v>
      </c>
      <c r="J402" s="18" t="str">
        <f>IF($A402="","",IFERROR(INDEX(Map!$F$2:$F$400,MATCH($A402,Map!$A$2:$A$400,0)),"⚠ UNMAPPED"))</f>
        <v>Trading revenue</v>
      </c>
    </row>
    <row r="403" spans="1:10" x14ac:dyDescent="0.25">
      <c r="A403" s="38">
        <v>140001</v>
      </c>
      <c r="B403" t="s">
        <v>857</v>
      </c>
      <c r="C403" s="158"/>
      <c r="D403" s="158">
        <v>4900243.6162675004</v>
      </c>
      <c r="E403" s="158">
        <v>0</v>
      </c>
      <c r="F403" s="158">
        <v>4900243.6162675004</v>
      </c>
      <c r="G403" s="158" t="str">
        <f>IF($A403="","",IFERROR(INDEX(Map!$C$2:$C$400,MATCH($A403,Map!$A$2:$A$400,0)),"⚠ UNMAPPED"))</f>
        <v>BS</v>
      </c>
      <c r="H403" s="18" t="str">
        <f>IF($A403="","",IFERROR(INDEX(Map!$D$2:$D$400,MATCH($A403,Map!$A$2:$A$400,0)),"⚠ UNMAPPED"))</f>
        <v>Current Assets</v>
      </c>
      <c r="I403" s="18" t="str">
        <f>IF($A403="","",IFERROR(INDEX(Map!$E$2:$E$400,MATCH($A403,Map!$A$2:$A$400,0)),"⚠ UNMAPPED"))</f>
        <v>Trade receivables</v>
      </c>
      <c r="J403" s="18" t="str">
        <f>IF($A403="","",IFERROR(INDEX(Map!$F$2:$F$400,MATCH($A403,Map!$A$2:$A$400,0)),"⚠ UNMAPPED"))</f>
        <v>Trade receivables - current</v>
      </c>
    </row>
    <row r="404" spans="1:10" x14ac:dyDescent="0.25">
      <c r="A404" s="38">
        <v>510001</v>
      </c>
      <c r="B404" t="s">
        <v>945</v>
      </c>
      <c r="C404" s="158"/>
      <c r="D404" s="158">
        <v>2785605.4825300011</v>
      </c>
      <c r="E404" s="158"/>
      <c r="F404" s="158">
        <v>2785605.4825300011</v>
      </c>
      <c r="G404" s="158" t="str">
        <f>IF($A404="","",IFERROR(INDEX(Map!$C$2:$C$400,MATCH($A404,Map!$A$2:$A$400,0)),"⚠ UNMAPPED"))</f>
        <v>IS</v>
      </c>
      <c r="H404" s="18" t="str">
        <f>IF($A404="","",IFERROR(INDEX(Map!$D$2:$D$400,MATCH($A404,Map!$A$2:$A$400,0)),"⚠ UNMAPPED"))</f>
        <v>Cost of sales</v>
      </c>
      <c r="I404" s="18" t="str">
        <f>IF($A404="","",IFERROR(INDEX(Map!$E$2:$E$400,MATCH($A404,Map!$A$2:$A$400,0)),"⚠ UNMAPPED"))</f>
        <v>Raw materials</v>
      </c>
      <c r="J404" s="18" t="str">
        <f>IF($A404="","",IFERROR(INDEX(Map!$F$2:$F$400,MATCH($A404,Map!$A$2:$A$400,0)),"⚠ UNMAPPED"))</f>
        <v>Raw materials</v>
      </c>
    </row>
    <row r="405" spans="1:10" x14ac:dyDescent="0.25">
      <c r="A405" s="38">
        <v>180099</v>
      </c>
      <c r="B405" t="s">
        <v>901</v>
      </c>
      <c r="C405" s="158"/>
      <c r="D405" s="158">
        <v>0</v>
      </c>
      <c r="E405" s="158">
        <v>2785605.4825300011</v>
      </c>
      <c r="F405" s="158">
        <v>-2785605.4825300011</v>
      </c>
      <c r="G405" s="158" t="str">
        <f>IF($A405="","",IFERROR(INDEX(Map!$C$2:$C$400,MATCH($A405,Map!$A$2:$A$400,0)),"⚠ UNMAPPED"))</f>
        <v>BS</v>
      </c>
      <c r="H405" s="18" t="str">
        <f>IF($A405="","",IFERROR(INDEX(Map!$D$2:$D$400,MATCH($A405,Map!$A$2:$A$400,0)),"⚠ UNMAPPED"))</f>
        <v>Current Assets</v>
      </c>
      <c r="I405" s="18" t="str">
        <f>IF($A405="","",IFERROR(INDEX(Map!$E$2:$E$400,MATCH($A405,Map!$A$2:$A$400,0)),"⚠ UNMAPPED"))</f>
        <v>Inventories</v>
      </c>
      <c r="J405" s="18" t="str">
        <f>IF($A405="","",IFERROR(INDEX(Map!$F$2:$F$400,MATCH($A405,Map!$A$2:$A$400,0)),"⚠ UNMAPPED"))</f>
        <v>Goods in transit - Inventory</v>
      </c>
    </row>
    <row r="406" spans="1:10" x14ac:dyDescent="0.25">
      <c r="A406" s="38">
        <v>410001</v>
      </c>
      <c r="B406" t="s">
        <v>938</v>
      </c>
      <c r="C406" s="158"/>
      <c r="D406" s="158"/>
      <c r="E406" s="158">
        <v>1192893.186825</v>
      </c>
      <c r="F406" s="158">
        <v>-1192893.186825</v>
      </c>
      <c r="G406" s="158" t="str">
        <f>IF($A406="","",IFERROR(INDEX(Map!$C$2:$C$400,MATCH($A406,Map!$A$2:$A$400,0)),"⚠ UNMAPPED"))</f>
        <v>IS</v>
      </c>
      <c r="H406" s="18" t="str">
        <f>IF($A406="","",IFERROR(INDEX(Map!$D$2:$D$400,MATCH($A406,Map!$A$2:$A$400,0)),"⚠ UNMAPPED"))</f>
        <v>Sales</v>
      </c>
      <c r="I406" s="18" t="str">
        <f>IF($A406="","",IFERROR(INDEX(Map!$E$2:$E$400,MATCH($A406,Map!$A$2:$A$400,0)),"⚠ UNMAPPED"))</f>
        <v>Sales</v>
      </c>
      <c r="J406" s="18" t="str">
        <f>IF($A406="","",IFERROR(INDEX(Map!$F$2:$F$400,MATCH($A406,Map!$A$2:$A$400,0)),"⚠ UNMAPPED"))</f>
        <v>Trading revenue</v>
      </c>
    </row>
    <row r="407" spans="1:10" x14ac:dyDescent="0.25">
      <c r="A407" s="38">
        <v>140001</v>
      </c>
      <c r="B407" t="s">
        <v>857</v>
      </c>
      <c r="C407" s="158"/>
      <c r="D407" s="158">
        <v>1192893.186825</v>
      </c>
      <c r="E407" s="158">
        <v>0</v>
      </c>
      <c r="F407" s="158">
        <v>1192893.186825</v>
      </c>
      <c r="G407" s="158" t="str">
        <f>IF($A407="","",IFERROR(INDEX(Map!$C$2:$C$400,MATCH($A407,Map!$A$2:$A$400,0)),"⚠ UNMAPPED"))</f>
        <v>BS</v>
      </c>
      <c r="H407" s="18" t="str">
        <f>IF($A407="","",IFERROR(INDEX(Map!$D$2:$D$400,MATCH($A407,Map!$A$2:$A$400,0)),"⚠ UNMAPPED"))</f>
        <v>Current Assets</v>
      </c>
      <c r="I407" s="18" t="str">
        <f>IF($A407="","",IFERROR(INDEX(Map!$E$2:$E$400,MATCH($A407,Map!$A$2:$A$400,0)),"⚠ UNMAPPED"))</f>
        <v>Trade receivables</v>
      </c>
      <c r="J407" s="18" t="str">
        <f>IF($A407="","",IFERROR(INDEX(Map!$F$2:$F$400,MATCH($A407,Map!$A$2:$A$400,0)),"⚠ UNMAPPED"))</f>
        <v>Trade receivables - current</v>
      </c>
    </row>
    <row r="408" spans="1:10" x14ac:dyDescent="0.25">
      <c r="A408" s="38">
        <v>510001</v>
      </c>
      <c r="B408" t="s">
        <v>945</v>
      </c>
      <c r="C408" s="158"/>
      <c r="D408" s="158">
        <v>583540.1635400001</v>
      </c>
      <c r="E408" s="158"/>
      <c r="F408" s="158">
        <v>583540.1635400001</v>
      </c>
      <c r="G408" s="158" t="str">
        <f>IF($A408="","",IFERROR(INDEX(Map!$C$2:$C$400,MATCH($A408,Map!$A$2:$A$400,0)),"⚠ UNMAPPED"))</f>
        <v>IS</v>
      </c>
      <c r="H408" s="18" t="str">
        <f>IF($A408="","",IFERROR(INDEX(Map!$D$2:$D$400,MATCH($A408,Map!$A$2:$A$400,0)),"⚠ UNMAPPED"))</f>
        <v>Cost of sales</v>
      </c>
      <c r="I408" s="18" t="str">
        <f>IF($A408="","",IFERROR(INDEX(Map!$E$2:$E$400,MATCH($A408,Map!$A$2:$A$400,0)),"⚠ UNMAPPED"))</f>
        <v>Raw materials</v>
      </c>
      <c r="J408" s="18" t="str">
        <f>IF($A408="","",IFERROR(INDEX(Map!$F$2:$F$400,MATCH($A408,Map!$A$2:$A$400,0)),"⚠ UNMAPPED"))</f>
        <v>Raw materials</v>
      </c>
    </row>
    <row r="409" spans="1:10" x14ac:dyDescent="0.25">
      <c r="A409" s="38">
        <v>180099</v>
      </c>
      <c r="B409" t="s">
        <v>901</v>
      </c>
      <c r="C409" s="158"/>
      <c r="D409" s="158">
        <v>0</v>
      </c>
      <c r="E409" s="158">
        <v>583540.1635400001</v>
      </c>
      <c r="F409" s="158">
        <v>-583540.1635400001</v>
      </c>
      <c r="G409" s="158" t="str">
        <f>IF($A409="","",IFERROR(INDEX(Map!$C$2:$C$400,MATCH($A409,Map!$A$2:$A$400,0)),"⚠ UNMAPPED"))</f>
        <v>BS</v>
      </c>
      <c r="H409" s="18" t="str">
        <f>IF($A409="","",IFERROR(INDEX(Map!$D$2:$D$400,MATCH($A409,Map!$A$2:$A$400,0)),"⚠ UNMAPPED"))</f>
        <v>Current Assets</v>
      </c>
      <c r="I409" s="18" t="str">
        <f>IF($A409="","",IFERROR(INDEX(Map!$E$2:$E$400,MATCH($A409,Map!$A$2:$A$400,0)),"⚠ UNMAPPED"))</f>
        <v>Inventories</v>
      </c>
      <c r="J409" s="18" t="str">
        <f>IF($A409="","",IFERROR(INDEX(Map!$F$2:$F$400,MATCH($A409,Map!$A$2:$A$400,0)),"⚠ UNMAPPED"))</f>
        <v>Goods in transit - Inventory</v>
      </c>
    </row>
    <row r="410" spans="1:10" x14ac:dyDescent="0.25">
      <c r="A410" s="38">
        <v>410001</v>
      </c>
      <c r="B410" t="s">
        <v>938</v>
      </c>
      <c r="C410" s="158"/>
      <c r="D410" s="158"/>
      <c r="E410" s="158">
        <v>3180347.60922</v>
      </c>
      <c r="F410" s="158">
        <v>-3180347.60922</v>
      </c>
      <c r="G410" s="158" t="str">
        <f>IF($A410="","",IFERROR(INDEX(Map!$C$2:$C$400,MATCH($A410,Map!$A$2:$A$400,0)),"⚠ UNMAPPED"))</f>
        <v>IS</v>
      </c>
      <c r="H410" s="18" t="str">
        <f>IF($A410="","",IFERROR(INDEX(Map!$D$2:$D$400,MATCH($A410,Map!$A$2:$A$400,0)),"⚠ UNMAPPED"))</f>
        <v>Sales</v>
      </c>
      <c r="I410" s="18" t="str">
        <f>IF($A410="","",IFERROR(INDEX(Map!$E$2:$E$400,MATCH($A410,Map!$A$2:$A$400,0)),"⚠ UNMAPPED"))</f>
        <v>Sales</v>
      </c>
      <c r="J410" s="18" t="str">
        <f>IF($A410="","",IFERROR(INDEX(Map!$F$2:$F$400,MATCH($A410,Map!$A$2:$A$400,0)),"⚠ UNMAPPED"))</f>
        <v>Trading revenue</v>
      </c>
    </row>
    <row r="411" spans="1:10" x14ac:dyDescent="0.25">
      <c r="A411" s="38">
        <v>140001</v>
      </c>
      <c r="B411" t="s">
        <v>857</v>
      </c>
      <c r="C411" s="158"/>
      <c r="D411" s="158">
        <v>3180347.60922</v>
      </c>
      <c r="E411" s="158">
        <v>0</v>
      </c>
      <c r="F411" s="158">
        <v>3180347.60922</v>
      </c>
      <c r="G411" s="158" t="str">
        <f>IF($A411="","",IFERROR(INDEX(Map!$C$2:$C$400,MATCH($A411,Map!$A$2:$A$400,0)),"⚠ UNMAPPED"))</f>
        <v>BS</v>
      </c>
      <c r="H411" s="18" t="str">
        <f>IF($A411="","",IFERROR(INDEX(Map!$D$2:$D$400,MATCH($A411,Map!$A$2:$A$400,0)),"⚠ UNMAPPED"))</f>
        <v>Current Assets</v>
      </c>
      <c r="I411" s="18" t="str">
        <f>IF($A411="","",IFERROR(INDEX(Map!$E$2:$E$400,MATCH($A411,Map!$A$2:$A$400,0)),"⚠ UNMAPPED"))</f>
        <v>Trade receivables</v>
      </c>
      <c r="J411" s="18" t="str">
        <f>IF($A411="","",IFERROR(INDEX(Map!$F$2:$F$400,MATCH($A411,Map!$A$2:$A$400,0)),"⚠ UNMAPPED"))</f>
        <v>Trade receivables - current</v>
      </c>
    </row>
    <row r="412" spans="1:10" x14ac:dyDescent="0.25">
      <c r="A412" s="38">
        <v>510001</v>
      </c>
      <c r="B412" t="s">
        <v>945</v>
      </c>
      <c r="C412" s="158"/>
      <c r="D412" s="158">
        <v>1707040.449199999</v>
      </c>
      <c r="E412" s="158"/>
      <c r="F412" s="158">
        <v>1707040.449199999</v>
      </c>
      <c r="G412" s="158" t="str">
        <f>IF($A412="","",IFERROR(INDEX(Map!$C$2:$C$400,MATCH($A412,Map!$A$2:$A$400,0)),"⚠ UNMAPPED"))</f>
        <v>IS</v>
      </c>
      <c r="H412" s="18" t="str">
        <f>IF($A412="","",IFERROR(INDEX(Map!$D$2:$D$400,MATCH($A412,Map!$A$2:$A$400,0)),"⚠ UNMAPPED"))</f>
        <v>Cost of sales</v>
      </c>
      <c r="I412" s="18" t="str">
        <f>IF($A412="","",IFERROR(INDEX(Map!$E$2:$E$400,MATCH($A412,Map!$A$2:$A$400,0)),"⚠ UNMAPPED"))</f>
        <v>Raw materials</v>
      </c>
      <c r="J412" s="18" t="str">
        <f>IF($A412="","",IFERROR(INDEX(Map!$F$2:$F$400,MATCH($A412,Map!$A$2:$A$400,0)),"⚠ UNMAPPED"))</f>
        <v>Raw materials</v>
      </c>
    </row>
    <row r="413" spans="1:10" x14ac:dyDescent="0.25">
      <c r="A413" s="38">
        <v>180099</v>
      </c>
      <c r="B413" t="s">
        <v>901</v>
      </c>
      <c r="C413" s="158"/>
      <c r="D413" s="158">
        <v>0</v>
      </c>
      <c r="E413" s="158">
        <v>1707040.449199999</v>
      </c>
      <c r="F413" s="158">
        <v>-1707040.449199999</v>
      </c>
      <c r="G413" s="158" t="str">
        <f>IF($A413="","",IFERROR(INDEX(Map!$C$2:$C$400,MATCH($A413,Map!$A$2:$A$400,0)),"⚠ UNMAPPED"))</f>
        <v>BS</v>
      </c>
      <c r="H413" s="18" t="str">
        <f>IF($A413="","",IFERROR(INDEX(Map!$D$2:$D$400,MATCH($A413,Map!$A$2:$A$400,0)),"⚠ UNMAPPED"))</f>
        <v>Current Assets</v>
      </c>
      <c r="I413" s="18" t="str">
        <f>IF($A413="","",IFERROR(INDEX(Map!$E$2:$E$400,MATCH($A413,Map!$A$2:$A$400,0)),"⚠ UNMAPPED"))</f>
        <v>Inventories</v>
      </c>
      <c r="J413" s="18" t="str">
        <f>IF($A413="","",IFERROR(INDEX(Map!$F$2:$F$400,MATCH($A413,Map!$A$2:$A$400,0)),"⚠ UNMAPPED"))</f>
        <v>Goods in transit - Inventory</v>
      </c>
    </row>
    <row r="414" spans="1:10" x14ac:dyDescent="0.25">
      <c r="A414" s="38">
        <v>410001</v>
      </c>
      <c r="B414" t="s">
        <v>938</v>
      </c>
      <c r="C414" s="158"/>
      <c r="D414" s="158"/>
      <c r="E414" s="158">
        <v>419897.46333950001</v>
      </c>
      <c r="F414" s="158">
        <v>-419897.46333950001</v>
      </c>
      <c r="G414" s="158" t="str">
        <f>IF($A414="","",IFERROR(INDEX(Map!$C$2:$C$400,MATCH($A414,Map!$A$2:$A$400,0)),"⚠ UNMAPPED"))</f>
        <v>IS</v>
      </c>
      <c r="H414" s="18" t="str">
        <f>IF($A414="","",IFERROR(INDEX(Map!$D$2:$D$400,MATCH($A414,Map!$A$2:$A$400,0)),"⚠ UNMAPPED"))</f>
        <v>Sales</v>
      </c>
      <c r="I414" s="18" t="str">
        <f>IF($A414="","",IFERROR(INDEX(Map!$E$2:$E$400,MATCH($A414,Map!$A$2:$A$400,0)),"⚠ UNMAPPED"))</f>
        <v>Sales</v>
      </c>
      <c r="J414" s="18" t="str">
        <f>IF($A414="","",IFERROR(INDEX(Map!$F$2:$F$400,MATCH($A414,Map!$A$2:$A$400,0)),"⚠ UNMAPPED"))</f>
        <v>Trading revenue</v>
      </c>
    </row>
    <row r="415" spans="1:10" x14ac:dyDescent="0.25">
      <c r="A415" s="38">
        <v>140001</v>
      </c>
      <c r="B415" t="s">
        <v>857</v>
      </c>
      <c r="C415" s="158"/>
      <c r="D415" s="158">
        <v>419897.46333950001</v>
      </c>
      <c r="E415" s="158">
        <v>0</v>
      </c>
      <c r="F415" s="158">
        <v>419897.46333950001</v>
      </c>
      <c r="G415" s="158" t="str">
        <f>IF($A415="","",IFERROR(INDEX(Map!$C$2:$C$400,MATCH($A415,Map!$A$2:$A$400,0)),"⚠ UNMAPPED"))</f>
        <v>BS</v>
      </c>
      <c r="H415" s="18" t="str">
        <f>IF($A415="","",IFERROR(INDEX(Map!$D$2:$D$400,MATCH($A415,Map!$A$2:$A$400,0)),"⚠ UNMAPPED"))</f>
        <v>Current Assets</v>
      </c>
      <c r="I415" s="18" t="str">
        <f>IF($A415="","",IFERROR(INDEX(Map!$E$2:$E$400,MATCH($A415,Map!$A$2:$A$400,0)),"⚠ UNMAPPED"))</f>
        <v>Trade receivables</v>
      </c>
      <c r="J415" s="18" t="str">
        <f>IF($A415="","",IFERROR(INDEX(Map!$F$2:$F$400,MATCH($A415,Map!$A$2:$A$400,0)),"⚠ UNMAPPED"))</f>
        <v>Trade receivables - current</v>
      </c>
    </row>
    <row r="416" spans="1:10" x14ac:dyDescent="0.25">
      <c r="A416" s="38">
        <v>510001</v>
      </c>
      <c r="B416" t="s">
        <v>945</v>
      </c>
      <c r="C416" s="158"/>
      <c r="D416" s="158">
        <v>230253.33888</v>
      </c>
      <c r="E416" s="158"/>
      <c r="F416" s="158">
        <v>230253.33888</v>
      </c>
      <c r="G416" s="158" t="str">
        <f>IF($A416="","",IFERROR(INDEX(Map!$C$2:$C$400,MATCH($A416,Map!$A$2:$A$400,0)),"⚠ UNMAPPED"))</f>
        <v>IS</v>
      </c>
      <c r="H416" s="18" t="str">
        <f>IF($A416="","",IFERROR(INDEX(Map!$D$2:$D$400,MATCH($A416,Map!$A$2:$A$400,0)),"⚠ UNMAPPED"))</f>
        <v>Cost of sales</v>
      </c>
      <c r="I416" s="18" t="str">
        <f>IF($A416="","",IFERROR(INDEX(Map!$E$2:$E$400,MATCH($A416,Map!$A$2:$A$400,0)),"⚠ UNMAPPED"))</f>
        <v>Raw materials</v>
      </c>
      <c r="J416" s="18" t="str">
        <f>IF($A416="","",IFERROR(INDEX(Map!$F$2:$F$400,MATCH($A416,Map!$A$2:$A$400,0)),"⚠ UNMAPPED"))</f>
        <v>Raw materials</v>
      </c>
    </row>
    <row r="417" spans="1:10" x14ac:dyDescent="0.25">
      <c r="A417" s="38">
        <v>180099</v>
      </c>
      <c r="B417" t="s">
        <v>901</v>
      </c>
      <c r="C417" s="158"/>
      <c r="D417" s="158">
        <v>0</v>
      </c>
      <c r="E417" s="158">
        <v>230253.33888</v>
      </c>
      <c r="F417" s="158">
        <v>-230253.33888</v>
      </c>
      <c r="G417" s="158" t="str">
        <f>IF($A417="","",IFERROR(INDEX(Map!$C$2:$C$400,MATCH($A417,Map!$A$2:$A$400,0)),"⚠ UNMAPPED"))</f>
        <v>BS</v>
      </c>
      <c r="H417" s="18" t="str">
        <f>IF($A417="","",IFERROR(INDEX(Map!$D$2:$D$400,MATCH($A417,Map!$A$2:$A$400,0)),"⚠ UNMAPPED"))</f>
        <v>Current Assets</v>
      </c>
      <c r="I417" s="18" t="str">
        <f>IF($A417="","",IFERROR(INDEX(Map!$E$2:$E$400,MATCH($A417,Map!$A$2:$A$400,0)),"⚠ UNMAPPED"))</f>
        <v>Inventories</v>
      </c>
      <c r="J417" s="18" t="str">
        <f>IF($A417="","",IFERROR(INDEX(Map!$F$2:$F$400,MATCH($A417,Map!$A$2:$A$400,0)),"⚠ UNMAPPED"))</f>
        <v>Goods in transit - Inventory</v>
      </c>
    </row>
    <row r="418" spans="1:10" x14ac:dyDescent="0.25">
      <c r="A418" s="38">
        <v>410001</v>
      </c>
      <c r="B418" t="s">
        <v>938</v>
      </c>
      <c r="C418" s="158"/>
      <c r="D418" s="158"/>
      <c r="E418" s="158">
        <v>1182641.5182745</v>
      </c>
      <c r="F418" s="158">
        <v>-1182641.5182745</v>
      </c>
      <c r="G418" s="158" t="str">
        <f>IF($A418="","",IFERROR(INDEX(Map!$C$2:$C$400,MATCH($A418,Map!$A$2:$A$400,0)),"⚠ UNMAPPED"))</f>
        <v>IS</v>
      </c>
      <c r="H418" s="18" t="str">
        <f>IF($A418="","",IFERROR(INDEX(Map!$D$2:$D$400,MATCH($A418,Map!$A$2:$A$400,0)),"⚠ UNMAPPED"))</f>
        <v>Sales</v>
      </c>
      <c r="I418" s="18" t="str">
        <f>IF($A418="","",IFERROR(INDEX(Map!$E$2:$E$400,MATCH($A418,Map!$A$2:$A$400,0)),"⚠ UNMAPPED"))</f>
        <v>Sales</v>
      </c>
      <c r="J418" s="18" t="str">
        <f>IF($A418="","",IFERROR(INDEX(Map!$F$2:$F$400,MATCH($A418,Map!$A$2:$A$400,0)),"⚠ UNMAPPED"))</f>
        <v>Trading revenue</v>
      </c>
    </row>
    <row r="419" spans="1:10" x14ac:dyDescent="0.25">
      <c r="A419" s="38">
        <v>140001</v>
      </c>
      <c r="B419" t="s">
        <v>857</v>
      </c>
      <c r="C419" s="158"/>
      <c r="D419" s="158">
        <v>1182641.5182745</v>
      </c>
      <c r="E419" s="158">
        <v>0</v>
      </c>
      <c r="F419" s="158">
        <v>1182641.5182745</v>
      </c>
      <c r="G419" s="158" t="str">
        <f>IF($A419="","",IFERROR(INDEX(Map!$C$2:$C$400,MATCH($A419,Map!$A$2:$A$400,0)),"⚠ UNMAPPED"))</f>
        <v>BS</v>
      </c>
      <c r="H419" s="18" t="str">
        <f>IF($A419="","",IFERROR(INDEX(Map!$D$2:$D$400,MATCH($A419,Map!$A$2:$A$400,0)),"⚠ UNMAPPED"))</f>
        <v>Current Assets</v>
      </c>
      <c r="I419" s="18" t="str">
        <f>IF($A419="","",IFERROR(INDEX(Map!$E$2:$E$400,MATCH($A419,Map!$A$2:$A$400,0)),"⚠ UNMAPPED"))</f>
        <v>Trade receivables</v>
      </c>
      <c r="J419" s="18" t="str">
        <f>IF($A419="","",IFERROR(INDEX(Map!$F$2:$F$400,MATCH($A419,Map!$A$2:$A$400,0)),"⚠ UNMAPPED"))</f>
        <v>Trade receivables - current</v>
      </c>
    </row>
    <row r="420" spans="1:10" x14ac:dyDescent="0.25">
      <c r="A420" s="38">
        <v>510001</v>
      </c>
      <c r="B420" t="s">
        <v>945</v>
      </c>
      <c r="C420" s="158"/>
      <c r="D420" s="158">
        <v>794024.73202</v>
      </c>
      <c r="E420" s="158"/>
      <c r="F420" s="158">
        <v>794024.73202</v>
      </c>
      <c r="G420" s="158" t="str">
        <f>IF($A420="","",IFERROR(INDEX(Map!$C$2:$C$400,MATCH($A420,Map!$A$2:$A$400,0)),"⚠ UNMAPPED"))</f>
        <v>IS</v>
      </c>
      <c r="H420" s="18" t="str">
        <f>IF($A420="","",IFERROR(INDEX(Map!$D$2:$D$400,MATCH($A420,Map!$A$2:$A$400,0)),"⚠ UNMAPPED"))</f>
        <v>Cost of sales</v>
      </c>
      <c r="I420" s="18" t="str">
        <f>IF($A420="","",IFERROR(INDEX(Map!$E$2:$E$400,MATCH($A420,Map!$A$2:$A$400,0)),"⚠ UNMAPPED"))</f>
        <v>Raw materials</v>
      </c>
      <c r="J420" s="18" t="str">
        <f>IF($A420="","",IFERROR(INDEX(Map!$F$2:$F$400,MATCH($A420,Map!$A$2:$A$400,0)),"⚠ UNMAPPED"))</f>
        <v>Raw materials</v>
      </c>
    </row>
    <row r="421" spans="1:10" x14ac:dyDescent="0.25">
      <c r="A421" s="38">
        <v>180099</v>
      </c>
      <c r="B421" t="s">
        <v>901</v>
      </c>
      <c r="C421" s="158"/>
      <c r="D421" s="158">
        <v>0</v>
      </c>
      <c r="E421" s="158">
        <v>794024.73202</v>
      </c>
      <c r="F421" s="158">
        <v>-794024.73202</v>
      </c>
      <c r="G421" s="158" t="str">
        <f>IF($A421="","",IFERROR(INDEX(Map!$C$2:$C$400,MATCH($A421,Map!$A$2:$A$400,0)),"⚠ UNMAPPED"))</f>
        <v>BS</v>
      </c>
      <c r="H421" s="18" t="str">
        <f>IF($A421="","",IFERROR(INDEX(Map!$D$2:$D$400,MATCH($A421,Map!$A$2:$A$400,0)),"⚠ UNMAPPED"))</f>
        <v>Current Assets</v>
      </c>
      <c r="I421" s="18" t="str">
        <f>IF($A421="","",IFERROR(INDEX(Map!$E$2:$E$400,MATCH($A421,Map!$A$2:$A$400,0)),"⚠ UNMAPPED"))</f>
        <v>Inventories</v>
      </c>
      <c r="J421" s="18" t="str">
        <f>IF($A421="","",IFERROR(INDEX(Map!$F$2:$F$400,MATCH($A421,Map!$A$2:$A$400,0)),"⚠ UNMAPPED"))</f>
        <v>Goods in transit - Inventory</v>
      </c>
    </row>
    <row r="422" spans="1:10" x14ac:dyDescent="0.25">
      <c r="A422" s="38">
        <v>410001</v>
      </c>
      <c r="B422" t="s">
        <v>938</v>
      </c>
      <c r="C422" s="158"/>
      <c r="D422" s="158"/>
      <c r="E422" s="158">
        <v>2961937.1091740001</v>
      </c>
      <c r="F422" s="158">
        <v>-2961937.1091740001</v>
      </c>
      <c r="G422" s="158" t="str">
        <f>IF($A422="","",IFERROR(INDEX(Map!$C$2:$C$400,MATCH($A422,Map!$A$2:$A$400,0)),"⚠ UNMAPPED"))</f>
        <v>IS</v>
      </c>
      <c r="H422" s="18" t="str">
        <f>IF($A422="","",IFERROR(INDEX(Map!$D$2:$D$400,MATCH($A422,Map!$A$2:$A$400,0)),"⚠ UNMAPPED"))</f>
        <v>Sales</v>
      </c>
      <c r="I422" s="18" t="str">
        <f>IF($A422="","",IFERROR(INDEX(Map!$E$2:$E$400,MATCH($A422,Map!$A$2:$A$400,0)),"⚠ UNMAPPED"))</f>
        <v>Sales</v>
      </c>
      <c r="J422" s="18" t="str">
        <f>IF($A422="","",IFERROR(INDEX(Map!$F$2:$F$400,MATCH($A422,Map!$A$2:$A$400,0)),"⚠ UNMAPPED"))</f>
        <v>Trading revenue</v>
      </c>
    </row>
    <row r="423" spans="1:10" x14ac:dyDescent="0.25">
      <c r="A423" s="38">
        <v>140001</v>
      </c>
      <c r="B423" t="s">
        <v>857</v>
      </c>
      <c r="C423" s="158"/>
      <c r="D423" s="158">
        <v>2961937.1091740001</v>
      </c>
      <c r="E423" s="158">
        <v>0</v>
      </c>
      <c r="F423" s="158">
        <v>2961937.1091740001</v>
      </c>
      <c r="G423" s="158" t="str">
        <f>IF($A423="","",IFERROR(INDEX(Map!$C$2:$C$400,MATCH($A423,Map!$A$2:$A$400,0)),"⚠ UNMAPPED"))</f>
        <v>BS</v>
      </c>
      <c r="H423" s="18" t="str">
        <f>IF($A423="","",IFERROR(INDEX(Map!$D$2:$D$400,MATCH($A423,Map!$A$2:$A$400,0)),"⚠ UNMAPPED"))</f>
        <v>Current Assets</v>
      </c>
      <c r="I423" s="18" t="str">
        <f>IF($A423="","",IFERROR(INDEX(Map!$E$2:$E$400,MATCH($A423,Map!$A$2:$A$400,0)),"⚠ UNMAPPED"))</f>
        <v>Trade receivables</v>
      </c>
      <c r="J423" s="18" t="str">
        <f>IF($A423="","",IFERROR(INDEX(Map!$F$2:$F$400,MATCH($A423,Map!$A$2:$A$400,0)),"⚠ UNMAPPED"))</f>
        <v>Trade receivables - current</v>
      </c>
    </row>
    <row r="424" spans="1:10" x14ac:dyDescent="0.25">
      <c r="A424" s="38">
        <v>510001</v>
      </c>
      <c r="B424" t="s">
        <v>945</v>
      </c>
      <c r="C424" s="158"/>
      <c r="D424" s="158">
        <v>1963496.87491</v>
      </c>
      <c r="E424" s="158"/>
      <c r="F424" s="158">
        <v>1963496.87491</v>
      </c>
      <c r="G424" s="158" t="str">
        <f>IF($A424="","",IFERROR(INDEX(Map!$C$2:$C$400,MATCH($A424,Map!$A$2:$A$400,0)),"⚠ UNMAPPED"))</f>
        <v>IS</v>
      </c>
      <c r="H424" s="18" t="str">
        <f>IF($A424="","",IFERROR(INDEX(Map!$D$2:$D$400,MATCH($A424,Map!$A$2:$A$400,0)),"⚠ UNMAPPED"))</f>
        <v>Cost of sales</v>
      </c>
      <c r="I424" s="18" t="str">
        <f>IF($A424="","",IFERROR(INDEX(Map!$E$2:$E$400,MATCH($A424,Map!$A$2:$A$400,0)),"⚠ UNMAPPED"))</f>
        <v>Raw materials</v>
      </c>
      <c r="J424" s="18" t="str">
        <f>IF($A424="","",IFERROR(INDEX(Map!$F$2:$F$400,MATCH($A424,Map!$A$2:$A$400,0)),"⚠ UNMAPPED"))</f>
        <v>Raw materials</v>
      </c>
    </row>
    <row r="425" spans="1:10" x14ac:dyDescent="0.25">
      <c r="A425" s="38">
        <v>180099</v>
      </c>
      <c r="B425" t="s">
        <v>901</v>
      </c>
      <c r="C425" s="158"/>
      <c r="D425" s="158">
        <v>0</v>
      </c>
      <c r="E425" s="158">
        <v>1963496.87491</v>
      </c>
      <c r="F425" s="158">
        <v>-1963496.87491</v>
      </c>
      <c r="G425" s="158" t="str">
        <f>IF($A425="","",IFERROR(INDEX(Map!$C$2:$C$400,MATCH($A425,Map!$A$2:$A$400,0)),"⚠ UNMAPPED"))</f>
        <v>BS</v>
      </c>
      <c r="H425" s="18" t="str">
        <f>IF($A425="","",IFERROR(INDEX(Map!$D$2:$D$400,MATCH($A425,Map!$A$2:$A$400,0)),"⚠ UNMAPPED"))</f>
        <v>Current Assets</v>
      </c>
      <c r="I425" s="18" t="str">
        <f>IF($A425="","",IFERROR(INDEX(Map!$E$2:$E$400,MATCH($A425,Map!$A$2:$A$400,0)),"⚠ UNMAPPED"))</f>
        <v>Inventories</v>
      </c>
      <c r="J425" s="18" t="str">
        <f>IF($A425="","",IFERROR(INDEX(Map!$F$2:$F$400,MATCH($A425,Map!$A$2:$A$400,0)),"⚠ UNMAPPED"))</f>
        <v>Goods in transit - Inventory</v>
      </c>
    </row>
    <row r="426" spans="1:10" x14ac:dyDescent="0.25">
      <c r="A426" s="38">
        <v>410001</v>
      </c>
      <c r="B426" t="s">
        <v>938</v>
      </c>
      <c r="C426" s="158"/>
      <c r="D426" s="158"/>
      <c r="E426" s="158">
        <v>2237113.1012459998</v>
      </c>
      <c r="F426" s="158">
        <v>-2237113.1012459998</v>
      </c>
      <c r="G426" s="158" t="str">
        <f>IF($A426="","",IFERROR(INDEX(Map!$C$2:$C$400,MATCH($A426,Map!$A$2:$A$400,0)),"⚠ UNMAPPED"))</f>
        <v>IS</v>
      </c>
      <c r="H426" s="18" t="str">
        <f>IF($A426="","",IFERROR(INDEX(Map!$D$2:$D$400,MATCH($A426,Map!$A$2:$A$400,0)),"⚠ UNMAPPED"))</f>
        <v>Sales</v>
      </c>
      <c r="I426" s="18" t="str">
        <f>IF($A426="","",IFERROR(INDEX(Map!$E$2:$E$400,MATCH($A426,Map!$A$2:$A$400,0)),"⚠ UNMAPPED"))</f>
        <v>Sales</v>
      </c>
      <c r="J426" s="18" t="str">
        <f>IF($A426="","",IFERROR(INDEX(Map!$F$2:$F$400,MATCH($A426,Map!$A$2:$A$400,0)),"⚠ UNMAPPED"))</f>
        <v>Trading revenue</v>
      </c>
    </row>
    <row r="427" spans="1:10" x14ac:dyDescent="0.25">
      <c r="A427" s="38">
        <v>140001</v>
      </c>
      <c r="B427" t="s">
        <v>857</v>
      </c>
      <c r="C427" s="158"/>
      <c r="D427" s="158">
        <v>2237113.1012459998</v>
      </c>
      <c r="E427" s="158">
        <v>0</v>
      </c>
      <c r="F427" s="158">
        <v>2237113.1012459998</v>
      </c>
      <c r="G427" s="158" t="str">
        <f>IF($A427="","",IFERROR(INDEX(Map!$C$2:$C$400,MATCH($A427,Map!$A$2:$A$400,0)),"⚠ UNMAPPED"))</f>
        <v>BS</v>
      </c>
      <c r="H427" s="18" t="str">
        <f>IF($A427="","",IFERROR(INDEX(Map!$D$2:$D$400,MATCH($A427,Map!$A$2:$A$400,0)),"⚠ UNMAPPED"))</f>
        <v>Current Assets</v>
      </c>
      <c r="I427" s="18" t="str">
        <f>IF($A427="","",IFERROR(INDEX(Map!$E$2:$E$400,MATCH($A427,Map!$A$2:$A$400,0)),"⚠ UNMAPPED"))</f>
        <v>Trade receivables</v>
      </c>
      <c r="J427" s="18" t="str">
        <f>IF($A427="","",IFERROR(INDEX(Map!$F$2:$F$400,MATCH($A427,Map!$A$2:$A$400,0)),"⚠ UNMAPPED"))</f>
        <v>Trade receivables - current</v>
      </c>
    </row>
    <row r="428" spans="1:10" x14ac:dyDescent="0.25">
      <c r="A428" s="38">
        <v>510001</v>
      </c>
      <c r="B428" t="s">
        <v>945</v>
      </c>
      <c r="C428" s="158"/>
      <c r="D428" s="158">
        <v>1260011.7385799999</v>
      </c>
      <c r="E428" s="158"/>
      <c r="F428" s="158">
        <v>1260011.7385799999</v>
      </c>
      <c r="G428" s="158" t="str">
        <f>IF($A428="","",IFERROR(INDEX(Map!$C$2:$C$400,MATCH($A428,Map!$A$2:$A$400,0)),"⚠ UNMAPPED"))</f>
        <v>IS</v>
      </c>
      <c r="H428" s="18" t="str">
        <f>IF($A428="","",IFERROR(INDEX(Map!$D$2:$D$400,MATCH($A428,Map!$A$2:$A$400,0)),"⚠ UNMAPPED"))</f>
        <v>Cost of sales</v>
      </c>
      <c r="I428" s="18" t="str">
        <f>IF($A428="","",IFERROR(INDEX(Map!$E$2:$E$400,MATCH($A428,Map!$A$2:$A$400,0)),"⚠ UNMAPPED"))</f>
        <v>Raw materials</v>
      </c>
      <c r="J428" s="18" t="str">
        <f>IF($A428="","",IFERROR(INDEX(Map!$F$2:$F$400,MATCH($A428,Map!$A$2:$A$400,0)),"⚠ UNMAPPED"))</f>
        <v>Raw materials</v>
      </c>
    </row>
    <row r="429" spans="1:10" x14ac:dyDescent="0.25">
      <c r="A429" s="38">
        <v>180099</v>
      </c>
      <c r="B429" t="s">
        <v>901</v>
      </c>
      <c r="C429" s="158"/>
      <c r="D429" s="158">
        <v>0</v>
      </c>
      <c r="E429" s="158">
        <v>1260011.7385799999</v>
      </c>
      <c r="F429" s="158">
        <v>-1260011.7385799999</v>
      </c>
      <c r="G429" s="158" t="str">
        <f>IF($A429="","",IFERROR(INDEX(Map!$C$2:$C$400,MATCH($A429,Map!$A$2:$A$400,0)),"⚠ UNMAPPED"))</f>
        <v>BS</v>
      </c>
      <c r="H429" s="18" t="str">
        <f>IF($A429="","",IFERROR(INDEX(Map!$D$2:$D$400,MATCH($A429,Map!$A$2:$A$400,0)),"⚠ UNMAPPED"))</f>
        <v>Current Assets</v>
      </c>
      <c r="I429" s="18" t="str">
        <f>IF($A429="","",IFERROR(INDEX(Map!$E$2:$E$400,MATCH($A429,Map!$A$2:$A$400,0)),"⚠ UNMAPPED"))</f>
        <v>Inventories</v>
      </c>
      <c r="J429" s="18" t="str">
        <f>IF($A429="","",IFERROR(INDEX(Map!$F$2:$F$400,MATCH($A429,Map!$A$2:$A$400,0)),"⚠ UNMAPPED"))</f>
        <v>Goods in transit - Inventory</v>
      </c>
    </row>
    <row r="430" spans="1:10" x14ac:dyDescent="0.25">
      <c r="A430" s="38">
        <v>410001</v>
      </c>
      <c r="B430" t="s">
        <v>938</v>
      </c>
      <c r="C430" s="158"/>
      <c r="D430" s="158"/>
      <c r="E430" s="158">
        <v>1863689.1848615</v>
      </c>
      <c r="F430" s="158">
        <v>-1863689.1848615</v>
      </c>
      <c r="G430" s="158" t="str">
        <f>IF($A430="","",IFERROR(INDEX(Map!$C$2:$C$400,MATCH($A430,Map!$A$2:$A$400,0)),"⚠ UNMAPPED"))</f>
        <v>IS</v>
      </c>
      <c r="H430" s="18" t="str">
        <f>IF($A430="","",IFERROR(INDEX(Map!$D$2:$D$400,MATCH($A430,Map!$A$2:$A$400,0)),"⚠ UNMAPPED"))</f>
        <v>Sales</v>
      </c>
      <c r="I430" s="18" t="str">
        <f>IF($A430="","",IFERROR(INDEX(Map!$E$2:$E$400,MATCH($A430,Map!$A$2:$A$400,0)),"⚠ UNMAPPED"))</f>
        <v>Sales</v>
      </c>
      <c r="J430" s="18" t="str">
        <f>IF($A430="","",IFERROR(INDEX(Map!$F$2:$F$400,MATCH($A430,Map!$A$2:$A$400,0)),"⚠ UNMAPPED"))</f>
        <v>Trading revenue</v>
      </c>
    </row>
    <row r="431" spans="1:10" x14ac:dyDescent="0.25">
      <c r="A431" s="38">
        <v>140001</v>
      </c>
      <c r="B431" t="s">
        <v>857</v>
      </c>
      <c r="C431" s="158"/>
      <c r="D431" s="158">
        <v>1863689.1848615</v>
      </c>
      <c r="E431" s="158">
        <v>0</v>
      </c>
      <c r="F431" s="158">
        <v>1863689.1848615</v>
      </c>
      <c r="G431" s="158" t="str">
        <f>IF($A431="","",IFERROR(INDEX(Map!$C$2:$C$400,MATCH($A431,Map!$A$2:$A$400,0)),"⚠ UNMAPPED"))</f>
        <v>BS</v>
      </c>
      <c r="H431" s="18" t="str">
        <f>IF($A431="","",IFERROR(INDEX(Map!$D$2:$D$400,MATCH($A431,Map!$A$2:$A$400,0)),"⚠ UNMAPPED"))</f>
        <v>Current Assets</v>
      </c>
      <c r="I431" s="18" t="str">
        <f>IF($A431="","",IFERROR(INDEX(Map!$E$2:$E$400,MATCH($A431,Map!$A$2:$A$400,0)),"⚠ UNMAPPED"))</f>
        <v>Trade receivables</v>
      </c>
      <c r="J431" s="18" t="str">
        <f>IF($A431="","",IFERROR(INDEX(Map!$F$2:$F$400,MATCH($A431,Map!$A$2:$A$400,0)),"⚠ UNMAPPED"))</f>
        <v>Trade receivables - current</v>
      </c>
    </row>
    <row r="432" spans="1:10" x14ac:dyDescent="0.25">
      <c r="A432" s="38">
        <v>510001</v>
      </c>
      <c r="B432" t="s">
        <v>945</v>
      </c>
      <c r="C432" s="158"/>
      <c r="D432" s="158">
        <v>1137233.40084</v>
      </c>
      <c r="E432" s="158"/>
      <c r="F432" s="158">
        <v>1137233.40084</v>
      </c>
      <c r="G432" s="158" t="str">
        <f>IF($A432="","",IFERROR(INDEX(Map!$C$2:$C$400,MATCH($A432,Map!$A$2:$A$400,0)),"⚠ UNMAPPED"))</f>
        <v>IS</v>
      </c>
      <c r="H432" s="18" t="str">
        <f>IF($A432="","",IFERROR(INDEX(Map!$D$2:$D$400,MATCH($A432,Map!$A$2:$A$400,0)),"⚠ UNMAPPED"))</f>
        <v>Cost of sales</v>
      </c>
      <c r="I432" s="18" t="str">
        <f>IF($A432="","",IFERROR(INDEX(Map!$E$2:$E$400,MATCH($A432,Map!$A$2:$A$400,0)),"⚠ UNMAPPED"))</f>
        <v>Raw materials</v>
      </c>
      <c r="J432" s="18" t="str">
        <f>IF($A432="","",IFERROR(INDEX(Map!$F$2:$F$400,MATCH($A432,Map!$A$2:$A$400,0)),"⚠ UNMAPPED"))</f>
        <v>Raw materials</v>
      </c>
    </row>
    <row r="433" spans="1:10" x14ac:dyDescent="0.25">
      <c r="A433" s="38">
        <v>180099</v>
      </c>
      <c r="B433" t="s">
        <v>901</v>
      </c>
      <c r="C433" s="158"/>
      <c r="D433" s="158">
        <v>0</v>
      </c>
      <c r="E433" s="158">
        <v>1137233.40084</v>
      </c>
      <c r="F433" s="158">
        <v>-1137233.40084</v>
      </c>
      <c r="G433" s="158" t="str">
        <f>IF($A433="","",IFERROR(INDEX(Map!$C$2:$C$400,MATCH($A433,Map!$A$2:$A$400,0)),"⚠ UNMAPPED"))</f>
        <v>BS</v>
      </c>
      <c r="H433" s="18" t="str">
        <f>IF($A433="","",IFERROR(INDEX(Map!$D$2:$D$400,MATCH($A433,Map!$A$2:$A$400,0)),"⚠ UNMAPPED"))</f>
        <v>Current Assets</v>
      </c>
      <c r="I433" s="18" t="str">
        <f>IF($A433="","",IFERROR(INDEX(Map!$E$2:$E$400,MATCH($A433,Map!$A$2:$A$400,0)),"⚠ UNMAPPED"))</f>
        <v>Inventories</v>
      </c>
      <c r="J433" s="18" t="str">
        <f>IF($A433="","",IFERROR(INDEX(Map!$F$2:$F$400,MATCH($A433,Map!$A$2:$A$400,0)),"⚠ UNMAPPED"))</f>
        <v>Goods in transit - Inventory</v>
      </c>
    </row>
    <row r="434" spans="1:10" x14ac:dyDescent="0.25">
      <c r="G434" s="158" t="str">
        <f>IF($A434="","",IFERROR(INDEX(Map!$C$2:$C$400,MATCH($A434,Map!$A$2:$A$400,0)),"⚠ UNMAPPED"))</f>
        <v/>
      </c>
      <c r="H434" s="18" t="str">
        <f>IF($A434="","",IFERROR(INDEX(Map!$D$2:$D$400,MATCH($A434,Map!$A$2:$A$400,0)),"⚠ UNMAPPED"))</f>
        <v/>
      </c>
      <c r="I434" s="18" t="str">
        <f>IF($A434="","",IFERROR(INDEX(Map!$E$2:$E$400,MATCH($A434,Map!$A$2:$A$400,0)),"⚠ UNMAPPED"))</f>
        <v/>
      </c>
      <c r="J434" s="18" t="str">
        <f>IF($A434="","",IFERROR(INDEX(Map!$F$2:$F$400,MATCH($A434,Map!$A$2:$A$400,0)),"⚠ UNMAPPED"))</f>
        <v/>
      </c>
    </row>
    <row r="435" spans="1:10" x14ac:dyDescent="0.25">
      <c r="G435" s="158" t="str">
        <f>IF($A435="","",IFERROR(INDEX(Map!$C$2:$C$400,MATCH($A435,Map!$A$2:$A$400,0)),"⚠ UNMAPPED"))</f>
        <v/>
      </c>
      <c r="H435" s="18" t="str">
        <f>IF($A435="","",IFERROR(INDEX(Map!$D$2:$D$400,MATCH($A435,Map!$A$2:$A$400,0)),"⚠ UNMAPPED"))</f>
        <v/>
      </c>
      <c r="I435" s="18" t="str">
        <f>IF($A435="","",IFERROR(INDEX(Map!$E$2:$E$400,MATCH($A435,Map!$A$2:$A$400,0)),"⚠ UNMAPPED"))</f>
        <v/>
      </c>
      <c r="J435" s="18" t="str">
        <f>IF($A435="","",IFERROR(INDEX(Map!$F$2:$F$400,MATCH($A435,Map!$A$2:$A$400,0)),"⚠ UNMAPPED"))</f>
        <v/>
      </c>
    </row>
    <row r="436" spans="1:10" x14ac:dyDescent="0.25">
      <c r="G436" s="158" t="str">
        <f>IF($A436="","",IFERROR(INDEX(Map!$C$2:$C$400,MATCH($A436,Map!$A$2:$A$400,0)),"⚠ UNMAPPED"))</f>
        <v/>
      </c>
      <c r="H436" s="18" t="str">
        <f>IF($A436="","",IFERROR(INDEX(Map!$D$2:$D$400,MATCH($A436,Map!$A$2:$A$400,0)),"⚠ UNMAPPED"))</f>
        <v/>
      </c>
      <c r="I436" s="18" t="str">
        <f>IF($A436="","",IFERROR(INDEX(Map!$E$2:$E$400,MATCH($A436,Map!$A$2:$A$400,0)),"⚠ UNMAPPED"))</f>
        <v/>
      </c>
      <c r="J436" s="18" t="str">
        <f>IF($A436="","",IFERROR(INDEX(Map!$F$2:$F$400,MATCH($A436,Map!$A$2:$A$400,0)),"⚠ UNMAPPED"))</f>
        <v/>
      </c>
    </row>
    <row r="437" spans="1:10" x14ac:dyDescent="0.25">
      <c r="G437" s="158" t="str">
        <f>IF($A437="","",IFERROR(INDEX(Map!$C$2:$C$400,MATCH($A437,Map!$A$2:$A$400,0)),"⚠ UNMAPPED"))</f>
        <v/>
      </c>
      <c r="H437" s="18" t="str">
        <f>IF($A437="","",IFERROR(INDEX(Map!$D$2:$D$400,MATCH($A437,Map!$A$2:$A$400,0)),"⚠ UNMAPPED"))</f>
        <v/>
      </c>
      <c r="I437" s="18" t="str">
        <f>IF($A437="","",IFERROR(INDEX(Map!$E$2:$E$400,MATCH($A437,Map!$A$2:$A$400,0)),"⚠ UNMAPPED"))</f>
        <v/>
      </c>
      <c r="J437" s="18" t="str">
        <f>IF($A437="","",IFERROR(INDEX(Map!$F$2:$F$400,MATCH($A437,Map!$A$2:$A$400,0)),"⚠ UNMAPPED"))</f>
        <v/>
      </c>
    </row>
    <row r="438" spans="1:10" x14ac:dyDescent="0.25">
      <c r="G438" s="158" t="str">
        <f>IF($A438="","",IFERROR(INDEX(Map!$C$2:$C$400,MATCH($A438,Map!$A$2:$A$400,0)),"⚠ UNMAPPED"))</f>
        <v/>
      </c>
      <c r="H438" s="18" t="str">
        <f>IF($A438="","",IFERROR(INDEX(Map!$D$2:$D$400,MATCH($A438,Map!$A$2:$A$400,0)),"⚠ UNMAPPED"))</f>
        <v/>
      </c>
      <c r="I438" s="18" t="str">
        <f>IF($A438="","",IFERROR(INDEX(Map!$E$2:$E$400,MATCH($A438,Map!$A$2:$A$400,0)),"⚠ UNMAPPED"))</f>
        <v/>
      </c>
      <c r="J438" s="18" t="str">
        <f>IF($A438="","",IFERROR(INDEX(Map!$F$2:$F$400,MATCH($A438,Map!$A$2:$A$400,0)),"⚠ UNMAPPED"))</f>
        <v/>
      </c>
    </row>
    <row r="439" spans="1:10" x14ac:dyDescent="0.25">
      <c r="G439" s="158" t="str">
        <f>IF($A439="","",IFERROR(INDEX(Map!$C$2:$C$400,MATCH($A439,Map!$A$2:$A$400,0)),"⚠ UNMAPPED"))</f>
        <v/>
      </c>
      <c r="H439" s="18" t="str">
        <f>IF($A439="","",IFERROR(INDEX(Map!$D$2:$D$400,MATCH($A439,Map!$A$2:$A$400,0)),"⚠ UNMAPPED"))</f>
        <v/>
      </c>
      <c r="I439" s="18" t="str">
        <f>IF($A439="","",IFERROR(INDEX(Map!$E$2:$E$400,MATCH($A439,Map!$A$2:$A$400,0)),"⚠ UNMAPPED"))</f>
        <v/>
      </c>
      <c r="J439" s="18" t="str">
        <f>IF($A439="","",IFERROR(INDEX(Map!$F$2:$F$400,MATCH($A439,Map!$A$2:$A$400,0)),"⚠ UNMAPPED"))</f>
        <v/>
      </c>
    </row>
    <row r="440" spans="1:10" x14ac:dyDescent="0.25">
      <c r="G440" s="158" t="str">
        <f>IF($A440="","",IFERROR(INDEX(Map!$C$2:$C$400,MATCH($A440,Map!$A$2:$A$400,0)),"⚠ UNMAPPED"))</f>
        <v/>
      </c>
      <c r="H440" s="18" t="str">
        <f>IF($A440="","",IFERROR(INDEX(Map!$D$2:$D$400,MATCH($A440,Map!$A$2:$A$400,0)),"⚠ UNMAPPED"))</f>
        <v/>
      </c>
      <c r="I440" s="18" t="str">
        <f>IF($A440="","",IFERROR(INDEX(Map!$E$2:$E$400,MATCH($A440,Map!$A$2:$A$400,0)),"⚠ UNMAPPED"))</f>
        <v/>
      </c>
      <c r="J440" s="18" t="str">
        <f>IF($A440="","",IFERROR(INDEX(Map!$F$2:$F$400,MATCH($A440,Map!$A$2:$A$400,0)),"⚠ UNMAPPED"))</f>
        <v/>
      </c>
    </row>
    <row r="441" spans="1:10" x14ac:dyDescent="0.25">
      <c r="G441" s="158" t="str">
        <f>IF($A441="","",IFERROR(INDEX(Map!$C$2:$C$400,MATCH($A441,Map!$A$2:$A$400,0)),"⚠ UNMAPPED"))</f>
        <v/>
      </c>
      <c r="H441" s="18" t="str">
        <f>IF($A441="","",IFERROR(INDEX(Map!$D$2:$D$400,MATCH($A441,Map!$A$2:$A$400,0)),"⚠ UNMAPPED"))</f>
        <v/>
      </c>
      <c r="I441" s="18" t="str">
        <f>IF($A441="","",IFERROR(INDEX(Map!$E$2:$E$400,MATCH($A441,Map!$A$2:$A$400,0)),"⚠ UNMAPPED"))</f>
        <v/>
      </c>
      <c r="J441" s="18" t="str">
        <f>IF($A441="","",IFERROR(INDEX(Map!$F$2:$F$400,MATCH($A441,Map!$A$2:$A$400,0)),"⚠ UNMAPPED"))</f>
        <v/>
      </c>
    </row>
    <row r="442" spans="1:10" x14ac:dyDescent="0.25">
      <c r="G442" s="158" t="str">
        <f>IF($A442="","",IFERROR(INDEX(Map!$C$2:$C$400,MATCH($A442,Map!$A$2:$A$400,0)),"⚠ UNMAPPED"))</f>
        <v/>
      </c>
      <c r="H442" s="18" t="str">
        <f>IF($A442="","",IFERROR(INDEX(Map!$D$2:$D$400,MATCH($A442,Map!$A$2:$A$400,0)),"⚠ UNMAPPED"))</f>
        <v/>
      </c>
      <c r="I442" s="18" t="str">
        <f>IF($A442="","",IFERROR(INDEX(Map!$E$2:$E$400,MATCH($A442,Map!$A$2:$A$400,0)),"⚠ UNMAPPED"))</f>
        <v/>
      </c>
      <c r="J442" s="18" t="str">
        <f>IF($A442="","",IFERROR(INDEX(Map!$F$2:$F$400,MATCH($A442,Map!$A$2:$A$400,0)),"⚠ UNMAPPED"))</f>
        <v/>
      </c>
    </row>
    <row r="443" spans="1:10" x14ac:dyDescent="0.25">
      <c r="G443" s="158" t="str">
        <f>IF($A443="","",IFERROR(INDEX(Map!$C$2:$C$400,MATCH($A443,Map!$A$2:$A$400,0)),"⚠ UNMAPPED"))</f>
        <v/>
      </c>
      <c r="H443" s="18" t="str">
        <f>IF($A443="","",IFERROR(INDEX(Map!$D$2:$D$400,MATCH($A443,Map!$A$2:$A$400,0)),"⚠ UNMAPPED"))</f>
        <v/>
      </c>
      <c r="I443" s="18" t="str">
        <f>IF($A443="","",IFERROR(INDEX(Map!$E$2:$E$400,MATCH($A443,Map!$A$2:$A$400,0)),"⚠ UNMAPPED"))</f>
        <v/>
      </c>
      <c r="J443" s="18" t="str">
        <f>IF($A443="","",IFERROR(INDEX(Map!$F$2:$F$400,MATCH($A443,Map!$A$2:$A$400,0)),"⚠ UNMAPPED"))</f>
        <v/>
      </c>
    </row>
    <row r="444" spans="1:10" x14ac:dyDescent="0.25">
      <c r="G444" s="158" t="str">
        <f>IF($A444="","",IFERROR(INDEX(Map!$C$2:$C$400,MATCH($A444,Map!$A$2:$A$400,0)),"⚠ UNMAPPED"))</f>
        <v/>
      </c>
      <c r="H444" s="18" t="str">
        <f>IF($A444="","",IFERROR(INDEX(Map!$D$2:$D$400,MATCH($A444,Map!$A$2:$A$400,0)),"⚠ UNMAPPED"))</f>
        <v/>
      </c>
      <c r="I444" s="18" t="str">
        <f>IF($A444="","",IFERROR(INDEX(Map!$E$2:$E$400,MATCH($A444,Map!$A$2:$A$400,0)),"⚠ UNMAPPED"))</f>
        <v/>
      </c>
      <c r="J444" s="18" t="str">
        <f>IF($A444="","",IFERROR(INDEX(Map!$F$2:$F$400,MATCH($A444,Map!$A$2:$A$400,0)),"⚠ UNMAPPED"))</f>
        <v/>
      </c>
    </row>
    <row r="445" spans="1:10" x14ac:dyDescent="0.25">
      <c r="G445" s="158" t="str">
        <f>IF($A445="","",IFERROR(INDEX(Map!$C$2:$C$400,MATCH($A445,Map!$A$2:$A$400,0)),"⚠ UNMAPPED"))</f>
        <v/>
      </c>
      <c r="H445" s="18" t="str">
        <f>IF($A445="","",IFERROR(INDEX(Map!$D$2:$D$400,MATCH($A445,Map!$A$2:$A$400,0)),"⚠ UNMAPPED"))</f>
        <v/>
      </c>
      <c r="I445" s="18" t="str">
        <f>IF($A445="","",IFERROR(INDEX(Map!$E$2:$E$400,MATCH($A445,Map!$A$2:$A$400,0)),"⚠ UNMAPPED"))</f>
        <v/>
      </c>
      <c r="J445" s="18" t="str">
        <f>IF($A445="","",IFERROR(INDEX(Map!$F$2:$F$400,MATCH($A445,Map!$A$2:$A$400,0)),"⚠ UNMAPPED"))</f>
        <v/>
      </c>
    </row>
    <row r="446" spans="1:10" x14ac:dyDescent="0.25">
      <c r="G446" s="158" t="str">
        <f>IF($A446="","",IFERROR(INDEX(Map!$C$2:$C$400,MATCH($A446,Map!$A$2:$A$400,0)),"⚠ UNMAPPED"))</f>
        <v/>
      </c>
      <c r="H446" s="18" t="str">
        <f>IF($A446="","",IFERROR(INDEX(Map!$D$2:$D$400,MATCH($A446,Map!$A$2:$A$400,0)),"⚠ UNMAPPED"))</f>
        <v/>
      </c>
      <c r="I446" s="18" t="str">
        <f>IF($A446="","",IFERROR(INDEX(Map!$E$2:$E$400,MATCH($A446,Map!$A$2:$A$400,0)),"⚠ UNMAPPED"))</f>
        <v/>
      </c>
      <c r="J446" s="18" t="str">
        <f>IF($A446="","",IFERROR(INDEX(Map!$F$2:$F$400,MATCH($A446,Map!$A$2:$A$400,0)),"⚠ UNMAPPED"))</f>
        <v/>
      </c>
    </row>
    <row r="447" spans="1:10" x14ac:dyDescent="0.25">
      <c r="G447" s="158" t="str">
        <f>IF($A447="","",IFERROR(INDEX(Map!$C$2:$C$400,MATCH($A447,Map!$A$2:$A$400,0)),"⚠ UNMAPPED"))</f>
        <v/>
      </c>
      <c r="H447" s="18" t="str">
        <f>IF($A447="","",IFERROR(INDEX(Map!$D$2:$D$400,MATCH($A447,Map!$A$2:$A$400,0)),"⚠ UNMAPPED"))</f>
        <v/>
      </c>
      <c r="I447" s="18" t="str">
        <f>IF($A447="","",IFERROR(INDEX(Map!$E$2:$E$400,MATCH($A447,Map!$A$2:$A$400,0)),"⚠ UNMAPPED"))</f>
        <v/>
      </c>
      <c r="J447" s="18" t="str">
        <f>IF($A447="","",IFERROR(INDEX(Map!$F$2:$F$400,MATCH($A447,Map!$A$2:$A$400,0)),"⚠ UNMAPPED"))</f>
        <v/>
      </c>
    </row>
    <row r="448" spans="1:10" x14ac:dyDescent="0.25">
      <c r="G448" s="158" t="str">
        <f>IF($A448="","",IFERROR(INDEX(Map!$C$2:$C$400,MATCH($A448,Map!$A$2:$A$400,0)),"⚠ UNMAPPED"))</f>
        <v/>
      </c>
      <c r="H448" s="18" t="str">
        <f>IF($A448="","",IFERROR(INDEX(Map!$D$2:$D$400,MATCH($A448,Map!$A$2:$A$400,0)),"⚠ UNMAPPED"))</f>
        <v/>
      </c>
      <c r="I448" s="18" t="str">
        <f>IF($A448="","",IFERROR(INDEX(Map!$E$2:$E$400,MATCH($A448,Map!$A$2:$A$400,0)),"⚠ UNMAPPED"))</f>
        <v/>
      </c>
      <c r="J448" s="18" t="str">
        <f>IF($A448="","",IFERROR(INDEX(Map!$F$2:$F$400,MATCH($A448,Map!$A$2:$A$400,0)),"⚠ UNMAPPED"))</f>
        <v/>
      </c>
    </row>
    <row r="449" spans="7:10" x14ac:dyDescent="0.25">
      <c r="G449" s="158" t="str">
        <f>IF($A449="","",IFERROR(INDEX(Map!$C$2:$C$400,MATCH($A449,Map!$A$2:$A$400,0)),"⚠ UNMAPPED"))</f>
        <v/>
      </c>
      <c r="H449" s="18" t="str">
        <f>IF($A449="","",IFERROR(INDEX(Map!$D$2:$D$400,MATCH($A449,Map!$A$2:$A$400,0)),"⚠ UNMAPPED"))</f>
        <v/>
      </c>
      <c r="I449" s="18" t="str">
        <f>IF($A449="","",IFERROR(INDEX(Map!$E$2:$E$400,MATCH($A449,Map!$A$2:$A$400,0)),"⚠ UNMAPPED"))</f>
        <v/>
      </c>
      <c r="J449" s="18" t="str">
        <f>IF($A449="","",IFERROR(INDEX(Map!$F$2:$F$400,MATCH($A449,Map!$A$2:$A$400,0)),"⚠ UNMAPPED"))</f>
        <v/>
      </c>
    </row>
    <row r="450" spans="7:10" x14ac:dyDescent="0.25">
      <c r="G450" s="158" t="str">
        <f>IF($A450="","",IFERROR(INDEX(Map!$C$2:$C$400,MATCH($A450,Map!$A$2:$A$400,0)),"⚠ UNMAPPED"))</f>
        <v/>
      </c>
      <c r="H450" s="18" t="str">
        <f>IF($A450="","",IFERROR(INDEX(Map!$D$2:$D$400,MATCH($A450,Map!$A$2:$A$400,0)),"⚠ UNMAPPED"))</f>
        <v/>
      </c>
      <c r="I450" s="18" t="str">
        <f>IF($A450="","",IFERROR(INDEX(Map!$E$2:$E$400,MATCH($A450,Map!$A$2:$A$400,0)),"⚠ UNMAPPED"))</f>
        <v/>
      </c>
      <c r="J450" s="18" t="str">
        <f>IF($A450="","",IFERROR(INDEX(Map!$F$2:$F$400,MATCH($A450,Map!$A$2:$A$400,0)),"⚠ UNMAPPED"))</f>
        <v/>
      </c>
    </row>
    <row r="451" spans="7:10" x14ac:dyDescent="0.25">
      <c r="G451" s="158" t="str">
        <f>IF($A451="","",IFERROR(INDEX(Map!$C$2:$C$400,MATCH($A451,Map!$A$2:$A$400,0)),"⚠ UNMAPPED"))</f>
        <v/>
      </c>
      <c r="H451" s="18" t="str">
        <f>IF($A451="","",IFERROR(INDEX(Map!$D$2:$D$400,MATCH($A451,Map!$A$2:$A$400,0)),"⚠ UNMAPPED"))</f>
        <v/>
      </c>
      <c r="I451" s="18" t="str">
        <f>IF($A451="","",IFERROR(INDEX(Map!$E$2:$E$400,MATCH($A451,Map!$A$2:$A$400,0)),"⚠ UNMAPPED"))</f>
        <v/>
      </c>
      <c r="J451" s="18" t="str">
        <f>IF($A451="","",IFERROR(INDEX(Map!$F$2:$F$400,MATCH($A451,Map!$A$2:$A$400,0)),"⚠ UNMAPPED"))</f>
        <v/>
      </c>
    </row>
    <row r="452" spans="7:10" x14ac:dyDescent="0.25">
      <c r="G452" s="158" t="str">
        <f>IF($A452="","",IFERROR(INDEX(Map!$C$2:$C$400,MATCH($A452,Map!$A$2:$A$400,0)),"⚠ UNMAPPED"))</f>
        <v/>
      </c>
      <c r="H452" s="18" t="str">
        <f>IF($A452="","",IFERROR(INDEX(Map!$D$2:$D$400,MATCH($A452,Map!$A$2:$A$400,0)),"⚠ UNMAPPED"))</f>
        <v/>
      </c>
      <c r="I452" s="18" t="str">
        <f>IF($A452="","",IFERROR(INDEX(Map!$E$2:$E$400,MATCH($A452,Map!$A$2:$A$400,0)),"⚠ UNMAPPED"))</f>
        <v/>
      </c>
      <c r="J452" s="18" t="str">
        <f>IF($A452="","",IFERROR(INDEX(Map!$F$2:$F$400,MATCH($A452,Map!$A$2:$A$400,0)),"⚠ UNMAPPED"))</f>
        <v/>
      </c>
    </row>
    <row r="453" spans="7:10" x14ac:dyDescent="0.25">
      <c r="G453" s="158" t="str">
        <f>IF($A453="","",IFERROR(INDEX(Map!$C$2:$C$400,MATCH($A453,Map!$A$2:$A$400,0)),"⚠ UNMAPPED"))</f>
        <v/>
      </c>
      <c r="H453" s="18" t="str">
        <f>IF($A453="","",IFERROR(INDEX(Map!$D$2:$D$400,MATCH($A453,Map!$A$2:$A$400,0)),"⚠ UNMAPPED"))</f>
        <v/>
      </c>
      <c r="I453" s="18" t="str">
        <f>IF($A453="","",IFERROR(INDEX(Map!$E$2:$E$400,MATCH($A453,Map!$A$2:$A$400,0)),"⚠ UNMAPPED"))</f>
        <v/>
      </c>
      <c r="J453" s="18" t="str">
        <f>IF($A453="","",IFERROR(INDEX(Map!$F$2:$F$400,MATCH($A453,Map!$A$2:$A$400,0)),"⚠ UNMAPPED"))</f>
        <v/>
      </c>
    </row>
    <row r="454" spans="7:10" x14ac:dyDescent="0.25">
      <c r="G454" s="158" t="str">
        <f>IF($A454="","",IFERROR(INDEX(Map!$C$2:$C$400,MATCH($A454,Map!$A$2:$A$400,0)),"⚠ UNMAPPED"))</f>
        <v/>
      </c>
      <c r="H454" s="18" t="str">
        <f>IF($A454="","",IFERROR(INDEX(Map!$D$2:$D$400,MATCH($A454,Map!$A$2:$A$400,0)),"⚠ UNMAPPED"))</f>
        <v/>
      </c>
      <c r="I454" s="18" t="str">
        <f>IF($A454="","",IFERROR(INDEX(Map!$E$2:$E$400,MATCH($A454,Map!$A$2:$A$400,0)),"⚠ UNMAPPED"))</f>
        <v/>
      </c>
      <c r="J454" s="18" t="str">
        <f>IF($A454="","",IFERROR(INDEX(Map!$F$2:$F$400,MATCH($A454,Map!$A$2:$A$400,0)),"⚠ UNMAPPED"))</f>
        <v/>
      </c>
    </row>
    <row r="455" spans="7:10" x14ac:dyDescent="0.25">
      <c r="G455" s="158" t="str">
        <f>IF($A455="","",IFERROR(INDEX(Map!$C$2:$C$400,MATCH($A455,Map!$A$2:$A$400,0)),"⚠ UNMAPPED"))</f>
        <v/>
      </c>
      <c r="H455" s="18" t="str">
        <f>IF($A455="","",IFERROR(INDEX(Map!$D$2:$D$400,MATCH($A455,Map!$A$2:$A$400,0)),"⚠ UNMAPPED"))</f>
        <v/>
      </c>
      <c r="I455" s="18" t="str">
        <f>IF($A455="","",IFERROR(INDEX(Map!$E$2:$E$400,MATCH($A455,Map!$A$2:$A$400,0)),"⚠ UNMAPPED"))</f>
        <v/>
      </c>
      <c r="J455" s="18" t="str">
        <f>IF($A455="","",IFERROR(INDEX(Map!$F$2:$F$400,MATCH($A455,Map!$A$2:$A$400,0)),"⚠ UNMAPPED"))</f>
        <v/>
      </c>
    </row>
    <row r="456" spans="7:10" x14ac:dyDescent="0.25">
      <c r="G456" s="158" t="str">
        <f>IF($A456="","",IFERROR(INDEX(Map!$C$2:$C$400,MATCH($A456,Map!$A$2:$A$400,0)),"⚠ UNMAPPED"))</f>
        <v/>
      </c>
      <c r="H456" s="18" t="str">
        <f>IF($A456="","",IFERROR(INDEX(Map!$D$2:$D$400,MATCH($A456,Map!$A$2:$A$400,0)),"⚠ UNMAPPED"))</f>
        <v/>
      </c>
      <c r="I456" s="18" t="str">
        <f>IF($A456="","",IFERROR(INDEX(Map!$E$2:$E$400,MATCH($A456,Map!$A$2:$A$400,0)),"⚠ UNMAPPED"))</f>
        <v/>
      </c>
      <c r="J456" s="18" t="str">
        <f>IF($A456="","",IFERROR(INDEX(Map!$F$2:$F$400,MATCH($A456,Map!$A$2:$A$400,0)),"⚠ UNMAPPED"))</f>
        <v/>
      </c>
    </row>
    <row r="457" spans="7:10" x14ac:dyDescent="0.25">
      <c r="G457" s="158" t="str">
        <f>IF($A457="","",IFERROR(INDEX(Map!$C$2:$C$400,MATCH($A457,Map!$A$2:$A$400,0)),"⚠ UNMAPPED"))</f>
        <v/>
      </c>
      <c r="H457" s="18" t="str">
        <f>IF($A457="","",IFERROR(INDEX(Map!$D$2:$D$400,MATCH($A457,Map!$A$2:$A$400,0)),"⚠ UNMAPPED"))</f>
        <v/>
      </c>
      <c r="I457" s="18" t="str">
        <f>IF($A457="","",IFERROR(INDEX(Map!$E$2:$E$400,MATCH($A457,Map!$A$2:$A$400,0)),"⚠ UNMAPPED"))</f>
        <v/>
      </c>
      <c r="J457" s="18" t="str">
        <f>IF($A457="","",IFERROR(INDEX(Map!$F$2:$F$400,MATCH($A457,Map!$A$2:$A$400,0)),"⚠ UNMAPPED"))</f>
        <v/>
      </c>
    </row>
    <row r="458" spans="7:10" x14ac:dyDescent="0.25">
      <c r="G458" s="158" t="str">
        <f>IF($A458="","",IFERROR(INDEX(Map!$C$2:$C$400,MATCH($A458,Map!$A$2:$A$400,0)),"⚠ UNMAPPED"))</f>
        <v/>
      </c>
      <c r="H458" s="18" t="str">
        <f>IF($A458="","",IFERROR(INDEX(Map!$D$2:$D$400,MATCH($A458,Map!$A$2:$A$400,0)),"⚠ UNMAPPED"))</f>
        <v/>
      </c>
      <c r="I458" s="18" t="str">
        <f>IF($A458="","",IFERROR(INDEX(Map!$E$2:$E$400,MATCH($A458,Map!$A$2:$A$400,0)),"⚠ UNMAPPED"))</f>
        <v/>
      </c>
      <c r="J458" s="18" t="str">
        <f>IF($A458="","",IFERROR(INDEX(Map!$F$2:$F$400,MATCH($A458,Map!$A$2:$A$400,0)),"⚠ UNMAPPED"))</f>
        <v/>
      </c>
    </row>
    <row r="459" spans="7:10" x14ac:dyDescent="0.25">
      <c r="G459" s="158" t="str">
        <f>IF($A459="","",IFERROR(INDEX(Map!$C$2:$C$400,MATCH($A459,Map!$A$2:$A$400,0)),"⚠ UNMAPPED"))</f>
        <v/>
      </c>
      <c r="H459" s="18" t="str">
        <f>IF($A459="","",IFERROR(INDEX(Map!$D$2:$D$400,MATCH($A459,Map!$A$2:$A$400,0)),"⚠ UNMAPPED"))</f>
        <v/>
      </c>
      <c r="I459" s="18" t="str">
        <f>IF($A459="","",IFERROR(INDEX(Map!$E$2:$E$400,MATCH($A459,Map!$A$2:$A$400,0)),"⚠ UNMAPPED"))</f>
        <v/>
      </c>
      <c r="J459" s="18" t="str">
        <f>IF($A459="","",IFERROR(INDEX(Map!$F$2:$F$400,MATCH($A459,Map!$A$2:$A$400,0)),"⚠ UNMAPPED"))</f>
        <v/>
      </c>
    </row>
    <row r="460" spans="7:10" x14ac:dyDescent="0.25">
      <c r="G460" s="158" t="str">
        <f>IF($A460="","",IFERROR(INDEX(Map!$C$2:$C$400,MATCH($A460,Map!$A$2:$A$400,0)),"⚠ UNMAPPED"))</f>
        <v/>
      </c>
      <c r="H460" s="18" t="str">
        <f>IF($A460="","",IFERROR(INDEX(Map!$D$2:$D$400,MATCH($A460,Map!$A$2:$A$400,0)),"⚠ UNMAPPED"))</f>
        <v/>
      </c>
      <c r="I460" s="18" t="str">
        <f>IF($A460="","",IFERROR(INDEX(Map!$E$2:$E$400,MATCH($A460,Map!$A$2:$A$400,0)),"⚠ UNMAPPED"))</f>
        <v/>
      </c>
      <c r="J460" s="18" t="str">
        <f>IF($A460="","",IFERROR(INDEX(Map!$F$2:$F$400,MATCH($A460,Map!$A$2:$A$400,0)),"⚠ UNMAPPED"))</f>
        <v/>
      </c>
    </row>
    <row r="461" spans="7:10" x14ac:dyDescent="0.25">
      <c r="G461" s="158" t="str">
        <f>IF($A461="","",IFERROR(INDEX(Map!$C$2:$C$400,MATCH($A461,Map!$A$2:$A$400,0)),"⚠ UNMAPPED"))</f>
        <v/>
      </c>
      <c r="H461" s="18" t="str">
        <f>IF($A461="","",IFERROR(INDEX(Map!$D$2:$D$400,MATCH($A461,Map!$A$2:$A$400,0)),"⚠ UNMAPPED"))</f>
        <v/>
      </c>
      <c r="I461" s="18" t="str">
        <f>IF($A461="","",IFERROR(INDEX(Map!$E$2:$E$400,MATCH($A461,Map!$A$2:$A$400,0)),"⚠ UNMAPPED"))</f>
        <v/>
      </c>
      <c r="J461" s="18" t="str">
        <f>IF($A461="","",IFERROR(INDEX(Map!$F$2:$F$400,MATCH($A461,Map!$A$2:$A$400,0)),"⚠ UNMAPPED"))</f>
        <v/>
      </c>
    </row>
    <row r="462" spans="7:10" x14ac:dyDescent="0.25">
      <c r="G462" s="158" t="str">
        <f>IF($A462="","",IFERROR(INDEX(Map!$C$2:$C$400,MATCH($A462,Map!$A$2:$A$400,0)),"⚠ UNMAPPED"))</f>
        <v/>
      </c>
      <c r="H462" s="18" t="str">
        <f>IF($A462="","",IFERROR(INDEX(Map!$D$2:$D$400,MATCH($A462,Map!$A$2:$A$400,0)),"⚠ UNMAPPED"))</f>
        <v/>
      </c>
      <c r="I462" s="18" t="str">
        <f>IF($A462="","",IFERROR(INDEX(Map!$E$2:$E$400,MATCH($A462,Map!$A$2:$A$400,0)),"⚠ UNMAPPED"))</f>
        <v/>
      </c>
      <c r="J462" s="18" t="str">
        <f>IF($A462="","",IFERROR(INDEX(Map!$F$2:$F$400,MATCH($A462,Map!$A$2:$A$400,0)),"⚠ UNMAPPED"))</f>
        <v/>
      </c>
    </row>
    <row r="463" spans="7:10" x14ac:dyDescent="0.25">
      <c r="G463" s="158" t="str">
        <f>IF($A463="","",IFERROR(INDEX(Map!$C$2:$C$400,MATCH($A463,Map!$A$2:$A$400,0)),"⚠ UNMAPPED"))</f>
        <v/>
      </c>
      <c r="H463" s="18" t="str">
        <f>IF($A463="","",IFERROR(INDEX(Map!$D$2:$D$400,MATCH($A463,Map!$A$2:$A$400,0)),"⚠ UNMAPPED"))</f>
        <v/>
      </c>
      <c r="I463" s="18" t="str">
        <f>IF($A463="","",IFERROR(INDEX(Map!$E$2:$E$400,MATCH($A463,Map!$A$2:$A$400,0)),"⚠ UNMAPPED"))</f>
        <v/>
      </c>
      <c r="J463" s="18" t="str">
        <f>IF($A463="","",IFERROR(INDEX(Map!$F$2:$F$400,MATCH($A463,Map!$A$2:$A$400,0)),"⚠ UNMAPPED"))</f>
        <v/>
      </c>
    </row>
    <row r="464" spans="7:10" x14ac:dyDescent="0.25">
      <c r="G464" s="158" t="str">
        <f>IF($A464="","",IFERROR(INDEX(Map!$C$2:$C$400,MATCH($A464,Map!$A$2:$A$400,0)),"⚠ UNMAPPED"))</f>
        <v/>
      </c>
      <c r="H464" s="18" t="str">
        <f>IF($A464="","",IFERROR(INDEX(Map!$D$2:$D$400,MATCH($A464,Map!$A$2:$A$400,0)),"⚠ UNMAPPED"))</f>
        <v/>
      </c>
      <c r="I464" s="18" t="str">
        <f>IF($A464="","",IFERROR(INDEX(Map!$E$2:$E$400,MATCH($A464,Map!$A$2:$A$400,0)),"⚠ UNMAPPED"))</f>
        <v/>
      </c>
      <c r="J464" s="18" t="str">
        <f>IF($A464="","",IFERROR(INDEX(Map!$F$2:$F$400,MATCH($A464,Map!$A$2:$A$400,0)),"⚠ UNMAPPED"))</f>
        <v/>
      </c>
    </row>
    <row r="465" spans="7:10" x14ac:dyDescent="0.25">
      <c r="G465" s="158" t="str">
        <f>IF($A465="","",IFERROR(INDEX(Map!$C$2:$C$400,MATCH($A465,Map!$A$2:$A$400,0)),"⚠ UNMAPPED"))</f>
        <v/>
      </c>
      <c r="H465" s="18" t="str">
        <f>IF($A465="","",IFERROR(INDEX(Map!$D$2:$D$400,MATCH($A465,Map!$A$2:$A$400,0)),"⚠ UNMAPPED"))</f>
        <v/>
      </c>
      <c r="I465" s="18" t="str">
        <f>IF($A465="","",IFERROR(INDEX(Map!$E$2:$E$400,MATCH($A465,Map!$A$2:$A$400,0)),"⚠ UNMAPPED"))</f>
        <v/>
      </c>
      <c r="J465" s="18" t="str">
        <f>IF($A465="","",IFERROR(INDEX(Map!$F$2:$F$400,MATCH($A465,Map!$A$2:$A$400,0)),"⚠ UNMAPPED"))</f>
        <v/>
      </c>
    </row>
    <row r="466" spans="7:10" x14ac:dyDescent="0.25">
      <c r="G466" s="158" t="str">
        <f>IF($A466="","",IFERROR(INDEX(Map!$C$2:$C$400,MATCH($A466,Map!$A$2:$A$400,0)),"⚠ UNMAPPED"))</f>
        <v/>
      </c>
      <c r="H466" s="18" t="str">
        <f>IF($A466="","",IFERROR(INDEX(Map!$D$2:$D$400,MATCH($A466,Map!$A$2:$A$400,0)),"⚠ UNMAPPED"))</f>
        <v/>
      </c>
      <c r="I466" s="18" t="str">
        <f>IF($A466="","",IFERROR(INDEX(Map!$E$2:$E$400,MATCH($A466,Map!$A$2:$A$400,0)),"⚠ UNMAPPED"))</f>
        <v/>
      </c>
      <c r="J466" s="18" t="str">
        <f>IF($A466="","",IFERROR(INDEX(Map!$F$2:$F$400,MATCH($A466,Map!$A$2:$A$400,0)),"⚠ UNMAPPED"))</f>
        <v/>
      </c>
    </row>
    <row r="467" spans="7:10" x14ac:dyDescent="0.25">
      <c r="G467" s="158" t="str">
        <f>IF($A467="","",IFERROR(INDEX(Map!$C$2:$C$400,MATCH($A467,Map!$A$2:$A$400,0)),"⚠ UNMAPPED"))</f>
        <v/>
      </c>
      <c r="H467" s="18" t="str">
        <f>IF($A467="","",IFERROR(INDEX(Map!$D$2:$D$400,MATCH($A467,Map!$A$2:$A$400,0)),"⚠ UNMAPPED"))</f>
        <v/>
      </c>
      <c r="I467" s="18" t="str">
        <f>IF($A467="","",IFERROR(INDEX(Map!$E$2:$E$400,MATCH($A467,Map!$A$2:$A$400,0)),"⚠ UNMAPPED"))</f>
        <v/>
      </c>
      <c r="J467" s="18" t="str">
        <f>IF($A467="","",IFERROR(INDEX(Map!$F$2:$F$400,MATCH($A467,Map!$A$2:$A$400,0)),"⚠ UNMAPPED"))</f>
        <v/>
      </c>
    </row>
    <row r="468" spans="7:10" x14ac:dyDescent="0.25">
      <c r="G468" s="158" t="str">
        <f>IF($A468="","",IFERROR(INDEX(Map!$C$2:$C$400,MATCH($A468,Map!$A$2:$A$400,0)),"⚠ UNMAPPED"))</f>
        <v/>
      </c>
      <c r="H468" s="18" t="str">
        <f>IF($A468="","",IFERROR(INDEX(Map!$D$2:$D$400,MATCH($A468,Map!$A$2:$A$400,0)),"⚠ UNMAPPED"))</f>
        <v/>
      </c>
      <c r="I468" s="18" t="str">
        <f>IF($A468="","",IFERROR(INDEX(Map!$E$2:$E$400,MATCH($A468,Map!$A$2:$A$400,0)),"⚠ UNMAPPED"))</f>
        <v/>
      </c>
      <c r="J468" s="18" t="str">
        <f>IF($A468="","",IFERROR(INDEX(Map!$F$2:$F$400,MATCH($A468,Map!$A$2:$A$400,0)),"⚠ UNMAPPED"))</f>
        <v/>
      </c>
    </row>
    <row r="469" spans="7:10" x14ac:dyDescent="0.25">
      <c r="G469" s="158" t="str">
        <f>IF($A469="","",IFERROR(INDEX(Map!$C$2:$C$400,MATCH($A469,Map!$A$2:$A$400,0)),"⚠ UNMAPPED"))</f>
        <v/>
      </c>
      <c r="H469" s="18" t="str">
        <f>IF($A469="","",IFERROR(INDEX(Map!$D$2:$D$400,MATCH($A469,Map!$A$2:$A$400,0)),"⚠ UNMAPPED"))</f>
        <v/>
      </c>
      <c r="I469" s="18" t="str">
        <f>IF($A469="","",IFERROR(INDEX(Map!$E$2:$E$400,MATCH($A469,Map!$A$2:$A$400,0)),"⚠ UNMAPPED"))</f>
        <v/>
      </c>
      <c r="J469" s="18" t="str">
        <f>IF($A469="","",IFERROR(INDEX(Map!$F$2:$F$400,MATCH($A469,Map!$A$2:$A$400,0)),"⚠ UNMAPPED"))</f>
        <v/>
      </c>
    </row>
    <row r="470" spans="7:10" x14ac:dyDescent="0.25">
      <c r="G470" s="158" t="str">
        <f>IF($A470="","",IFERROR(INDEX(Map!$C$2:$C$400,MATCH($A470,Map!$A$2:$A$400,0)),"⚠ UNMAPPED"))</f>
        <v/>
      </c>
      <c r="H470" s="18" t="str">
        <f>IF($A470="","",IFERROR(INDEX(Map!$D$2:$D$400,MATCH($A470,Map!$A$2:$A$400,0)),"⚠ UNMAPPED"))</f>
        <v/>
      </c>
      <c r="I470" s="18" t="str">
        <f>IF($A470="","",IFERROR(INDEX(Map!$E$2:$E$400,MATCH($A470,Map!$A$2:$A$400,0)),"⚠ UNMAPPED"))</f>
        <v/>
      </c>
      <c r="J470" s="18" t="str">
        <f>IF($A470="","",IFERROR(INDEX(Map!$F$2:$F$400,MATCH($A470,Map!$A$2:$A$400,0)),"⚠ UNMAPPED"))</f>
        <v/>
      </c>
    </row>
    <row r="471" spans="7:10" x14ac:dyDescent="0.25">
      <c r="G471" s="158" t="str">
        <f>IF($A471="","",IFERROR(INDEX(Map!$C$2:$C$400,MATCH($A471,Map!$A$2:$A$400,0)),"⚠ UNMAPPED"))</f>
        <v/>
      </c>
      <c r="H471" s="18" t="str">
        <f>IF($A471="","",IFERROR(INDEX(Map!$D$2:$D$400,MATCH($A471,Map!$A$2:$A$400,0)),"⚠ UNMAPPED"))</f>
        <v/>
      </c>
      <c r="I471" s="18" t="str">
        <f>IF($A471="","",IFERROR(INDEX(Map!$E$2:$E$400,MATCH($A471,Map!$A$2:$A$400,0)),"⚠ UNMAPPED"))</f>
        <v/>
      </c>
      <c r="J471" s="18" t="str">
        <f>IF($A471="","",IFERROR(INDEX(Map!$F$2:$F$400,MATCH($A471,Map!$A$2:$A$400,0)),"⚠ UNMAPPED"))</f>
        <v/>
      </c>
    </row>
    <row r="472" spans="7:10" x14ac:dyDescent="0.25">
      <c r="G472" s="158" t="str">
        <f>IF($A472="","",IFERROR(INDEX(Map!$C$2:$C$400,MATCH($A472,Map!$A$2:$A$400,0)),"⚠ UNMAPPED"))</f>
        <v/>
      </c>
      <c r="H472" s="18" t="str">
        <f>IF($A472="","",IFERROR(INDEX(Map!$D$2:$D$400,MATCH($A472,Map!$A$2:$A$400,0)),"⚠ UNMAPPED"))</f>
        <v/>
      </c>
      <c r="I472" s="18" t="str">
        <f>IF($A472="","",IFERROR(INDEX(Map!$E$2:$E$400,MATCH($A472,Map!$A$2:$A$400,0)),"⚠ UNMAPPED"))</f>
        <v/>
      </c>
      <c r="J472" s="18" t="str">
        <f>IF($A472="","",IFERROR(INDEX(Map!$F$2:$F$400,MATCH($A472,Map!$A$2:$A$400,0)),"⚠ UNMAPPED"))</f>
        <v/>
      </c>
    </row>
    <row r="473" spans="7:10" x14ac:dyDescent="0.25">
      <c r="G473" s="158" t="str">
        <f>IF($A473="","",IFERROR(INDEX(Map!$C$2:$C$400,MATCH($A473,Map!$A$2:$A$400,0)),"⚠ UNMAPPED"))</f>
        <v/>
      </c>
      <c r="H473" s="18" t="str">
        <f>IF($A473="","",IFERROR(INDEX(Map!$D$2:$D$400,MATCH($A473,Map!$A$2:$A$400,0)),"⚠ UNMAPPED"))</f>
        <v/>
      </c>
      <c r="I473" s="18" t="str">
        <f>IF($A473="","",IFERROR(INDEX(Map!$E$2:$E$400,MATCH($A473,Map!$A$2:$A$400,0)),"⚠ UNMAPPED"))</f>
        <v/>
      </c>
      <c r="J473" s="18" t="str">
        <f>IF($A473="","",IFERROR(INDEX(Map!$F$2:$F$400,MATCH($A473,Map!$A$2:$A$400,0)),"⚠ UNMAPPED"))</f>
        <v/>
      </c>
    </row>
    <row r="474" spans="7:10" x14ac:dyDescent="0.25">
      <c r="G474" s="158" t="str">
        <f>IF($A474="","",IFERROR(INDEX(Map!$C$2:$C$400,MATCH($A474,Map!$A$2:$A$400,0)),"⚠ UNMAPPED"))</f>
        <v/>
      </c>
      <c r="H474" s="18" t="str">
        <f>IF($A474="","",IFERROR(INDEX(Map!$D$2:$D$400,MATCH($A474,Map!$A$2:$A$400,0)),"⚠ UNMAPPED"))</f>
        <v/>
      </c>
      <c r="I474" s="18" t="str">
        <f>IF($A474="","",IFERROR(INDEX(Map!$E$2:$E$400,MATCH($A474,Map!$A$2:$A$400,0)),"⚠ UNMAPPED"))</f>
        <v/>
      </c>
      <c r="J474" s="18" t="str">
        <f>IF($A474="","",IFERROR(INDEX(Map!$F$2:$F$400,MATCH($A474,Map!$A$2:$A$400,0)),"⚠ UNMAPPED"))</f>
        <v/>
      </c>
    </row>
    <row r="475" spans="7:10" x14ac:dyDescent="0.25">
      <c r="G475" s="158" t="str">
        <f>IF($A475="","",IFERROR(INDEX(Map!$C$2:$C$400,MATCH($A475,Map!$A$2:$A$400,0)),"⚠ UNMAPPED"))</f>
        <v/>
      </c>
      <c r="H475" s="18" t="str">
        <f>IF($A475="","",IFERROR(INDEX(Map!$D$2:$D$400,MATCH($A475,Map!$A$2:$A$400,0)),"⚠ UNMAPPED"))</f>
        <v/>
      </c>
      <c r="I475" s="18" t="str">
        <f>IF($A475="","",IFERROR(INDEX(Map!$E$2:$E$400,MATCH($A475,Map!$A$2:$A$400,0)),"⚠ UNMAPPED"))</f>
        <v/>
      </c>
      <c r="J475" s="18" t="str">
        <f>IF($A475="","",IFERROR(INDEX(Map!$F$2:$F$400,MATCH($A475,Map!$A$2:$A$400,0)),"⚠ UNMAPPED"))</f>
        <v/>
      </c>
    </row>
    <row r="476" spans="7:10" x14ac:dyDescent="0.25">
      <c r="G476" s="158" t="str">
        <f>IF($A476="","",IFERROR(INDEX(Map!$C$2:$C$400,MATCH($A476,Map!$A$2:$A$400,0)),"⚠ UNMAPPED"))</f>
        <v/>
      </c>
      <c r="H476" s="18" t="str">
        <f>IF($A476="","",IFERROR(INDEX(Map!$D$2:$D$400,MATCH($A476,Map!$A$2:$A$400,0)),"⚠ UNMAPPED"))</f>
        <v/>
      </c>
      <c r="I476" s="18" t="str">
        <f>IF($A476="","",IFERROR(INDEX(Map!$E$2:$E$400,MATCH($A476,Map!$A$2:$A$400,0)),"⚠ UNMAPPED"))</f>
        <v/>
      </c>
      <c r="J476" s="18" t="str">
        <f>IF($A476="","",IFERROR(INDEX(Map!$F$2:$F$400,MATCH($A476,Map!$A$2:$A$400,0)),"⚠ UNMAPPED"))</f>
        <v/>
      </c>
    </row>
    <row r="477" spans="7:10" x14ac:dyDescent="0.25">
      <c r="G477" s="158" t="str">
        <f>IF($A477="","",IFERROR(INDEX(Map!$C$2:$C$400,MATCH($A477,Map!$A$2:$A$400,0)),"⚠ UNMAPPED"))</f>
        <v/>
      </c>
      <c r="H477" s="18" t="str">
        <f>IF($A477="","",IFERROR(INDEX(Map!$D$2:$D$400,MATCH($A477,Map!$A$2:$A$400,0)),"⚠ UNMAPPED"))</f>
        <v/>
      </c>
      <c r="I477" s="18" t="str">
        <f>IF($A477="","",IFERROR(INDEX(Map!$E$2:$E$400,MATCH($A477,Map!$A$2:$A$400,0)),"⚠ UNMAPPED"))</f>
        <v/>
      </c>
      <c r="J477" s="18" t="str">
        <f>IF($A477="","",IFERROR(INDEX(Map!$F$2:$F$400,MATCH($A477,Map!$A$2:$A$400,0)),"⚠ UNMAPPED"))</f>
        <v/>
      </c>
    </row>
    <row r="478" spans="7:10" x14ac:dyDescent="0.25">
      <c r="G478" s="158" t="str">
        <f>IF($A478="","",IFERROR(INDEX(Map!$C$2:$C$400,MATCH($A478,Map!$A$2:$A$400,0)),"⚠ UNMAPPED"))</f>
        <v/>
      </c>
      <c r="H478" s="18" t="str">
        <f>IF($A478="","",IFERROR(INDEX(Map!$D$2:$D$400,MATCH($A478,Map!$A$2:$A$400,0)),"⚠ UNMAPPED"))</f>
        <v/>
      </c>
      <c r="I478" s="18" t="str">
        <f>IF($A478="","",IFERROR(INDEX(Map!$E$2:$E$400,MATCH($A478,Map!$A$2:$A$400,0)),"⚠ UNMAPPED"))</f>
        <v/>
      </c>
      <c r="J478" s="18" t="str">
        <f>IF($A478="","",IFERROR(INDEX(Map!$F$2:$F$400,MATCH($A478,Map!$A$2:$A$400,0)),"⚠ UNMAPPED"))</f>
        <v/>
      </c>
    </row>
    <row r="479" spans="7:10" x14ac:dyDescent="0.25">
      <c r="G479" s="158" t="str">
        <f>IF($A479="","",IFERROR(INDEX(Map!$C$2:$C$400,MATCH($A479,Map!$A$2:$A$400,0)),"⚠ UNMAPPED"))</f>
        <v/>
      </c>
      <c r="H479" s="18" t="str">
        <f>IF($A479="","",IFERROR(INDEX(Map!$D$2:$D$400,MATCH($A479,Map!$A$2:$A$400,0)),"⚠ UNMAPPED"))</f>
        <v/>
      </c>
      <c r="I479" s="18" t="str">
        <f>IF($A479="","",IFERROR(INDEX(Map!$E$2:$E$400,MATCH($A479,Map!$A$2:$A$400,0)),"⚠ UNMAPPED"))</f>
        <v/>
      </c>
      <c r="J479" s="18" t="str">
        <f>IF($A479="","",IFERROR(INDEX(Map!$F$2:$F$400,MATCH($A479,Map!$A$2:$A$400,0)),"⚠ UNMAPPED"))</f>
        <v/>
      </c>
    </row>
    <row r="480" spans="7:10" x14ac:dyDescent="0.25">
      <c r="G480" s="158" t="str">
        <f>IF($A480="","",IFERROR(INDEX(Map!$C$2:$C$400,MATCH($A480,Map!$A$2:$A$400,0)),"⚠ UNMAPPED"))</f>
        <v/>
      </c>
      <c r="H480" s="18" t="str">
        <f>IF($A480="","",IFERROR(INDEX(Map!$D$2:$D$400,MATCH($A480,Map!$A$2:$A$400,0)),"⚠ UNMAPPED"))</f>
        <v/>
      </c>
      <c r="I480" s="18" t="str">
        <f>IF($A480="","",IFERROR(INDEX(Map!$E$2:$E$400,MATCH($A480,Map!$A$2:$A$400,0)),"⚠ UNMAPPED"))</f>
        <v/>
      </c>
      <c r="J480" s="18" t="str">
        <f>IF($A480="","",IFERROR(INDEX(Map!$F$2:$F$400,MATCH($A480,Map!$A$2:$A$400,0)),"⚠ UNMAPPED"))</f>
        <v/>
      </c>
    </row>
    <row r="481" spans="7:10" x14ac:dyDescent="0.25">
      <c r="G481" s="158" t="str">
        <f>IF($A481="","",IFERROR(INDEX(Map!$C$2:$C$400,MATCH($A481,Map!$A$2:$A$400,0)),"⚠ UNMAPPED"))</f>
        <v/>
      </c>
      <c r="H481" s="18" t="str">
        <f>IF($A481="","",IFERROR(INDEX(Map!$D$2:$D$400,MATCH($A481,Map!$A$2:$A$400,0)),"⚠ UNMAPPED"))</f>
        <v/>
      </c>
      <c r="I481" s="18" t="str">
        <f>IF($A481="","",IFERROR(INDEX(Map!$E$2:$E$400,MATCH($A481,Map!$A$2:$A$400,0)),"⚠ UNMAPPED"))</f>
        <v/>
      </c>
      <c r="J481" s="18" t="str">
        <f>IF($A481="","",IFERROR(INDEX(Map!$F$2:$F$400,MATCH($A481,Map!$A$2:$A$400,0)),"⚠ UNMAPPED"))</f>
        <v/>
      </c>
    </row>
    <row r="482" spans="7:10" x14ac:dyDescent="0.25">
      <c r="G482" s="158" t="str">
        <f>IF($A482="","",IFERROR(INDEX(Map!$C$2:$C$400,MATCH($A482,Map!$A$2:$A$400,0)),"⚠ UNMAPPED"))</f>
        <v/>
      </c>
      <c r="H482" s="18" t="str">
        <f>IF($A482="","",IFERROR(INDEX(Map!$D$2:$D$400,MATCH($A482,Map!$A$2:$A$400,0)),"⚠ UNMAPPED"))</f>
        <v/>
      </c>
      <c r="I482" s="18" t="str">
        <f>IF($A482="","",IFERROR(INDEX(Map!$E$2:$E$400,MATCH($A482,Map!$A$2:$A$400,0)),"⚠ UNMAPPED"))</f>
        <v/>
      </c>
      <c r="J482" s="18" t="str">
        <f>IF($A482="","",IFERROR(INDEX(Map!$F$2:$F$400,MATCH($A482,Map!$A$2:$A$400,0)),"⚠ UNMAPPED"))</f>
        <v/>
      </c>
    </row>
    <row r="483" spans="7:10" x14ac:dyDescent="0.25">
      <c r="G483" s="158" t="str">
        <f>IF($A483="","",IFERROR(INDEX(Map!$C$2:$C$400,MATCH($A483,Map!$A$2:$A$400,0)),"⚠ UNMAPPED"))</f>
        <v/>
      </c>
      <c r="H483" s="18" t="str">
        <f>IF($A483="","",IFERROR(INDEX(Map!$D$2:$D$400,MATCH($A483,Map!$A$2:$A$400,0)),"⚠ UNMAPPED"))</f>
        <v/>
      </c>
      <c r="I483" s="18" t="str">
        <f>IF($A483="","",IFERROR(INDEX(Map!$E$2:$E$400,MATCH($A483,Map!$A$2:$A$400,0)),"⚠ UNMAPPED"))</f>
        <v/>
      </c>
      <c r="J483" s="18" t="str">
        <f>IF($A483="","",IFERROR(INDEX(Map!$F$2:$F$400,MATCH($A483,Map!$A$2:$A$400,0)),"⚠ UNMAPPED"))</f>
        <v/>
      </c>
    </row>
    <row r="484" spans="7:10" x14ac:dyDescent="0.25">
      <c r="G484" s="158" t="str">
        <f>IF($A484="","",IFERROR(INDEX(Map!$C$2:$C$400,MATCH($A484,Map!$A$2:$A$400,0)),"⚠ UNMAPPED"))</f>
        <v/>
      </c>
      <c r="H484" s="18" t="str">
        <f>IF($A484="","",IFERROR(INDEX(Map!$D$2:$D$400,MATCH($A484,Map!$A$2:$A$400,0)),"⚠ UNMAPPED"))</f>
        <v/>
      </c>
      <c r="I484" s="18" t="str">
        <f>IF($A484="","",IFERROR(INDEX(Map!$E$2:$E$400,MATCH($A484,Map!$A$2:$A$400,0)),"⚠ UNMAPPED"))</f>
        <v/>
      </c>
      <c r="J484" s="18" t="str">
        <f>IF($A484="","",IFERROR(INDEX(Map!$F$2:$F$400,MATCH($A484,Map!$A$2:$A$400,0)),"⚠ UNMAPPED"))</f>
        <v/>
      </c>
    </row>
    <row r="485" spans="7:10" x14ac:dyDescent="0.25">
      <c r="G485" s="158" t="str">
        <f>IF($A485="","",IFERROR(INDEX(Map!$C$2:$C$400,MATCH($A485,Map!$A$2:$A$400,0)),"⚠ UNMAPPED"))</f>
        <v/>
      </c>
      <c r="H485" s="18" t="str">
        <f>IF($A485="","",IFERROR(INDEX(Map!$D$2:$D$400,MATCH($A485,Map!$A$2:$A$400,0)),"⚠ UNMAPPED"))</f>
        <v/>
      </c>
      <c r="I485" s="18" t="str">
        <f>IF($A485="","",IFERROR(INDEX(Map!$E$2:$E$400,MATCH($A485,Map!$A$2:$A$400,0)),"⚠ UNMAPPED"))</f>
        <v/>
      </c>
      <c r="J485" s="18" t="str">
        <f>IF($A485="","",IFERROR(INDEX(Map!$F$2:$F$400,MATCH($A485,Map!$A$2:$A$400,0)),"⚠ UNMAPPED"))</f>
        <v/>
      </c>
    </row>
    <row r="486" spans="7:10" x14ac:dyDescent="0.25">
      <c r="G486" s="158" t="str">
        <f>IF($A486="","",IFERROR(INDEX(Map!$C$2:$C$400,MATCH($A486,Map!$A$2:$A$400,0)),"⚠ UNMAPPED"))</f>
        <v/>
      </c>
      <c r="H486" s="18" t="str">
        <f>IF($A486="","",IFERROR(INDEX(Map!$D$2:$D$400,MATCH($A486,Map!$A$2:$A$400,0)),"⚠ UNMAPPED"))</f>
        <v/>
      </c>
      <c r="I486" s="18" t="str">
        <f>IF($A486="","",IFERROR(INDEX(Map!$E$2:$E$400,MATCH($A486,Map!$A$2:$A$400,0)),"⚠ UNMAPPED"))</f>
        <v/>
      </c>
      <c r="J486" s="18" t="str">
        <f>IF($A486="","",IFERROR(INDEX(Map!$F$2:$F$400,MATCH($A486,Map!$A$2:$A$400,0)),"⚠ UNMAPPED"))</f>
        <v/>
      </c>
    </row>
    <row r="487" spans="7:10" x14ac:dyDescent="0.25">
      <c r="G487" s="158" t="str">
        <f>IF($A487="","",IFERROR(INDEX(Map!$C$2:$C$400,MATCH($A487,Map!$A$2:$A$400,0)),"⚠ UNMAPPED"))</f>
        <v/>
      </c>
      <c r="H487" s="18" t="str">
        <f>IF($A487="","",IFERROR(INDEX(Map!$D$2:$D$400,MATCH($A487,Map!$A$2:$A$400,0)),"⚠ UNMAPPED"))</f>
        <v/>
      </c>
      <c r="I487" s="18" t="str">
        <f>IF($A487="","",IFERROR(INDEX(Map!$E$2:$E$400,MATCH($A487,Map!$A$2:$A$400,0)),"⚠ UNMAPPED"))</f>
        <v/>
      </c>
      <c r="J487" s="18" t="str">
        <f>IF($A487="","",IFERROR(INDEX(Map!$F$2:$F$400,MATCH($A487,Map!$A$2:$A$400,0)),"⚠ UNMAPPED"))</f>
        <v/>
      </c>
    </row>
    <row r="488" spans="7:10" x14ac:dyDescent="0.25">
      <c r="G488" s="158" t="str">
        <f>IF($A488="","",IFERROR(INDEX(Map!$C$2:$C$400,MATCH($A488,Map!$A$2:$A$400,0)),"⚠ UNMAPPED"))</f>
        <v/>
      </c>
      <c r="H488" s="18" t="str">
        <f>IF($A488="","",IFERROR(INDEX(Map!$D$2:$D$400,MATCH($A488,Map!$A$2:$A$400,0)),"⚠ UNMAPPED"))</f>
        <v/>
      </c>
      <c r="I488" s="18" t="str">
        <f>IF($A488="","",IFERROR(INDEX(Map!$E$2:$E$400,MATCH($A488,Map!$A$2:$A$400,0)),"⚠ UNMAPPED"))</f>
        <v/>
      </c>
      <c r="J488" s="18" t="str">
        <f>IF($A488="","",IFERROR(INDEX(Map!$F$2:$F$400,MATCH($A488,Map!$A$2:$A$400,0)),"⚠ UNMAPPED"))</f>
        <v/>
      </c>
    </row>
    <row r="489" spans="7:10" x14ac:dyDescent="0.25">
      <c r="G489" s="158" t="str">
        <f>IF($A489="","",IFERROR(INDEX(Map!$C$2:$C$400,MATCH($A489,Map!$A$2:$A$400,0)),"⚠ UNMAPPED"))</f>
        <v/>
      </c>
      <c r="H489" s="18" t="str">
        <f>IF($A489="","",IFERROR(INDEX(Map!$D$2:$D$400,MATCH($A489,Map!$A$2:$A$400,0)),"⚠ UNMAPPED"))</f>
        <v/>
      </c>
      <c r="I489" s="18" t="str">
        <f>IF($A489="","",IFERROR(INDEX(Map!$E$2:$E$400,MATCH($A489,Map!$A$2:$A$400,0)),"⚠ UNMAPPED"))</f>
        <v/>
      </c>
      <c r="J489" s="18" t="str">
        <f>IF($A489="","",IFERROR(INDEX(Map!$F$2:$F$400,MATCH($A489,Map!$A$2:$A$400,0)),"⚠ UNMAPPED"))</f>
        <v/>
      </c>
    </row>
    <row r="490" spans="7:10" x14ac:dyDescent="0.25">
      <c r="G490" s="158" t="str">
        <f>IF($A490="","",IFERROR(INDEX(Map!$C$2:$C$400,MATCH($A490,Map!$A$2:$A$400,0)),"⚠ UNMAPPED"))</f>
        <v/>
      </c>
      <c r="H490" s="18" t="str">
        <f>IF($A490="","",IFERROR(INDEX(Map!$D$2:$D$400,MATCH($A490,Map!$A$2:$A$400,0)),"⚠ UNMAPPED"))</f>
        <v/>
      </c>
      <c r="I490" s="18" t="str">
        <f>IF($A490="","",IFERROR(INDEX(Map!$E$2:$E$400,MATCH($A490,Map!$A$2:$A$400,0)),"⚠ UNMAPPED"))</f>
        <v/>
      </c>
      <c r="J490" s="18" t="str">
        <f>IF($A490="","",IFERROR(INDEX(Map!$F$2:$F$400,MATCH($A490,Map!$A$2:$A$400,0)),"⚠ UNMAPPED"))</f>
        <v/>
      </c>
    </row>
    <row r="491" spans="7:10" x14ac:dyDescent="0.25">
      <c r="G491" s="158" t="str">
        <f>IF($A491="","",IFERROR(INDEX(Map!$C$2:$C$400,MATCH($A491,Map!$A$2:$A$400,0)),"⚠ UNMAPPED"))</f>
        <v/>
      </c>
      <c r="H491" s="18" t="str">
        <f>IF($A491="","",IFERROR(INDEX(Map!$D$2:$D$400,MATCH($A491,Map!$A$2:$A$400,0)),"⚠ UNMAPPED"))</f>
        <v/>
      </c>
      <c r="I491" s="18" t="str">
        <f>IF($A491="","",IFERROR(INDEX(Map!$E$2:$E$400,MATCH($A491,Map!$A$2:$A$400,0)),"⚠ UNMAPPED"))</f>
        <v/>
      </c>
      <c r="J491" s="18" t="str">
        <f>IF($A491="","",IFERROR(INDEX(Map!$F$2:$F$400,MATCH($A491,Map!$A$2:$A$400,0)),"⚠ UNMAPPED"))</f>
        <v/>
      </c>
    </row>
    <row r="492" spans="7:10" x14ac:dyDescent="0.25">
      <c r="G492" s="158" t="str">
        <f>IF($A492="","",IFERROR(INDEX(Map!$C$2:$C$400,MATCH($A492,Map!$A$2:$A$400,0)),"⚠ UNMAPPED"))</f>
        <v/>
      </c>
      <c r="H492" s="18" t="str">
        <f>IF($A492="","",IFERROR(INDEX(Map!$D$2:$D$400,MATCH($A492,Map!$A$2:$A$400,0)),"⚠ UNMAPPED"))</f>
        <v/>
      </c>
      <c r="I492" s="18" t="str">
        <f>IF($A492="","",IFERROR(INDEX(Map!$E$2:$E$400,MATCH($A492,Map!$A$2:$A$400,0)),"⚠ UNMAPPED"))</f>
        <v/>
      </c>
      <c r="J492" s="18" t="str">
        <f>IF($A492="","",IFERROR(INDEX(Map!$F$2:$F$400,MATCH($A492,Map!$A$2:$A$400,0)),"⚠ UNMAPPED"))</f>
        <v/>
      </c>
    </row>
    <row r="493" spans="7:10" x14ac:dyDescent="0.25">
      <c r="G493" s="158" t="str">
        <f>IF($A493="","",IFERROR(INDEX(Map!$C$2:$C$400,MATCH($A493,Map!$A$2:$A$400,0)),"⚠ UNMAPPED"))</f>
        <v/>
      </c>
      <c r="H493" s="18" t="str">
        <f>IF($A493="","",IFERROR(INDEX(Map!$D$2:$D$400,MATCH($A493,Map!$A$2:$A$400,0)),"⚠ UNMAPPED"))</f>
        <v/>
      </c>
      <c r="I493" s="18" t="str">
        <f>IF($A493="","",IFERROR(INDEX(Map!$E$2:$E$400,MATCH($A493,Map!$A$2:$A$400,0)),"⚠ UNMAPPED"))</f>
        <v/>
      </c>
      <c r="J493" s="18" t="str">
        <f>IF($A493="","",IFERROR(INDEX(Map!$F$2:$F$400,MATCH($A493,Map!$A$2:$A$400,0)),"⚠ UNMAPPED"))</f>
        <v/>
      </c>
    </row>
    <row r="494" spans="7:10" x14ac:dyDescent="0.25">
      <c r="G494" s="158" t="str">
        <f>IF($A494="","",IFERROR(INDEX(Map!$C$2:$C$400,MATCH($A494,Map!$A$2:$A$400,0)),"⚠ UNMAPPED"))</f>
        <v/>
      </c>
      <c r="H494" s="18" t="str">
        <f>IF($A494="","",IFERROR(INDEX(Map!$D$2:$D$400,MATCH($A494,Map!$A$2:$A$400,0)),"⚠ UNMAPPED"))</f>
        <v/>
      </c>
      <c r="I494" s="18" t="str">
        <f>IF($A494="","",IFERROR(INDEX(Map!$E$2:$E$400,MATCH($A494,Map!$A$2:$A$400,0)),"⚠ UNMAPPED"))</f>
        <v/>
      </c>
      <c r="J494" s="18" t="str">
        <f>IF($A494="","",IFERROR(INDEX(Map!$F$2:$F$400,MATCH($A494,Map!$A$2:$A$400,0)),"⚠ UNMAPPED"))</f>
        <v/>
      </c>
    </row>
    <row r="495" spans="7:10" x14ac:dyDescent="0.25">
      <c r="G495" s="158" t="str">
        <f>IF($A495="","",IFERROR(INDEX(Map!$C$2:$C$400,MATCH($A495,Map!$A$2:$A$400,0)),"⚠ UNMAPPED"))</f>
        <v/>
      </c>
      <c r="H495" s="18" t="str">
        <f>IF($A495="","",IFERROR(INDEX(Map!$D$2:$D$400,MATCH($A495,Map!$A$2:$A$400,0)),"⚠ UNMAPPED"))</f>
        <v/>
      </c>
      <c r="I495" s="18" t="str">
        <f>IF($A495="","",IFERROR(INDEX(Map!$E$2:$E$400,MATCH($A495,Map!$A$2:$A$400,0)),"⚠ UNMAPPED"))</f>
        <v/>
      </c>
      <c r="J495" s="18" t="str">
        <f>IF($A495="","",IFERROR(INDEX(Map!$F$2:$F$400,MATCH($A495,Map!$A$2:$A$400,0)),"⚠ UNMAPPED"))</f>
        <v/>
      </c>
    </row>
    <row r="496" spans="7:10" x14ac:dyDescent="0.25">
      <c r="G496" s="158" t="str">
        <f>IF($A496="","",IFERROR(INDEX(Map!$C$2:$C$400,MATCH($A496,Map!$A$2:$A$400,0)),"⚠ UNMAPPED"))</f>
        <v/>
      </c>
      <c r="H496" s="18" t="str">
        <f>IF($A496="","",IFERROR(INDEX(Map!$D$2:$D$400,MATCH($A496,Map!$A$2:$A$400,0)),"⚠ UNMAPPED"))</f>
        <v/>
      </c>
      <c r="I496" s="18" t="str">
        <f>IF($A496="","",IFERROR(INDEX(Map!$E$2:$E$400,MATCH($A496,Map!$A$2:$A$400,0)),"⚠ UNMAPPED"))</f>
        <v/>
      </c>
      <c r="J496" s="18" t="str">
        <f>IF($A496="","",IFERROR(INDEX(Map!$F$2:$F$400,MATCH($A496,Map!$A$2:$A$400,0)),"⚠ UNMAPPED"))</f>
        <v/>
      </c>
    </row>
    <row r="497" spans="7:10" x14ac:dyDescent="0.25">
      <c r="G497" s="158" t="str">
        <f>IF($A497="","",IFERROR(INDEX(Map!$C$2:$C$400,MATCH($A497,Map!$A$2:$A$400,0)),"⚠ UNMAPPED"))</f>
        <v/>
      </c>
      <c r="H497" s="18" t="str">
        <f>IF($A497="","",IFERROR(INDEX(Map!$D$2:$D$400,MATCH($A497,Map!$A$2:$A$400,0)),"⚠ UNMAPPED"))</f>
        <v/>
      </c>
      <c r="I497" s="18" t="str">
        <f>IF($A497="","",IFERROR(INDEX(Map!$E$2:$E$400,MATCH($A497,Map!$A$2:$A$400,0)),"⚠ UNMAPPED"))</f>
        <v/>
      </c>
      <c r="J497" s="18" t="str">
        <f>IF($A497="","",IFERROR(INDEX(Map!$F$2:$F$400,MATCH($A497,Map!$A$2:$A$400,0)),"⚠ UNMAPPED"))</f>
        <v/>
      </c>
    </row>
    <row r="498" spans="7:10" x14ac:dyDescent="0.25">
      <c r="G498" s="158" t="str">
        <f>IF($A498="","",IFERROR(INDEX(Map!$C$2:$C$400,MATCH($A498,Map!$A$2:$A$400,0)),"⚠ UNMAPPED"))</f>
        <v/>
      </c>
      <c r="H498" s="18" t="str">
        <f>IF($A498="","",IFERROR(INDEX(Map!$D$2:$D$400,MATCH($A498,Map!$A$2:$A$400,0)),"⚠ UNMAPPED"))</f>
        <v/>
      </c>
      <c r="I498" s="18" t="str">
        <f>IF($A498="","",IFERROR(INDEX(Map!$E$2:$E$400,MATCH($A498,Map!$A$2:$A$400,0)),"⚠ UNMAPPED"))</f>
        <v/>
      </c>
      <c r="J498" s="18" t="str">
        <f>IF($A498="","",IFERROR(INDEX(Map!$F$2:$F$400,MATCH($A498,Map!$A$2:$A$400,0)),"⚠ UNMAPPED"))</f>
        <v/>
      </c>
    </row>
    <row r="499" spans="7:10" x14ac:dyDescent="0.25">
      <c r="G499" s="158" t="str">
        <f>IF($A499="","",IFERROR(INDEX(Map!$C$2:$C$400,MATCH($A499,Map!$A$2:$A$400,0)),"⚠ UNMAPPED"))</f>
        <v/>
      </c>
      <c r="H499" s="18" t="str">
        <f>IF($A499="","",IFERROR(INDEX(Map!$D$2:$D$400,MATCH($A499,Map!$A$2:$A$400,0)),"⚠ UNMAPPED"))</f>
        <v/>
      </c>
      <c r="I499" s="18" t="str">
        <f>IF($A499="","",IFERROR(INDEX(Map!$E$2:$E$400,MATCH($A499,Map!$A$2:$A$400,0)),"⚠ UNMAPPED"))</f>
        <v/>
      </c>
      <c r="J499" s="18" t="str">
        <f>IF($A499="","",IFERROR(INDEX(Map!$F$2:$F$400,MATCH($A499,Map!$A$2:$A$400,0)),"⚠ UNMAPPED"))</f>
        <v/>
      </c>
    </row>
    <row r="500" spans="7:10" x14ac:dyDescent="0.25">
      <c r="G500" s="158" t="str">
        <f>IF($A500="","",IFERROR(INDEX(Map!$C$2:$C$400,MATCH($A500,Map!$A$2:$A$400,0)),"⚠ UNMAPPED"))</f>
        <v/>
      </c>
      <c r="H500" s="18" t="str">
        <f>IF($A500="","",IFERROR(INDEX(Map!$D$2:$D$400,MATCH($A500,Map!$A$2:$A$400,0)),"⚠ UNMAPPED"))</f>
        <v/>
      </c>
      <c r="I500" s="18" t="str">
        <f>IF($A500="","",IFERROR(INDEX(Map!$E$2:$E$400,MATCH($A500,Map!$A$2:$A$400,0)),"⚠ UNMAPPED"))</f>
        <v/>
      </c>
      <c r="J500" s="18" t="str">
        <f>IF($A500="","",IFERROR(INDEX(Map!$F$2:$F$400,MATCH($A500,Map!$A$2:$A$400,0)),"⚠ UNMAPPED"))</f>
        <v/>
      </c>
    </row>
    <row r="501" spans="7:10" x14ac:dyDescent="0.25">
      <c r="G501" s="158" t="str">
        <f>IF($A501="","",IFERROR(INDEX(Map!$C$2:$C$400,MATCH($A501,Map!$A$2:$A$400,0)),"⚠ UNMAPPED"))</f>
        <v/>
      </c>
      <c r="H501" s="18" t="str">
        <f>IF($A501="","",IFERROR(INDEX(Map!$D$2:$D$400,MATCH($A501,Map!$A$2:$A$400,0)),"⚠ UNMAPPED"))</f>
        <v/>
      </c>
      <c r="I501" s="18" t="str">
        <f>IF($A501="","",IFERROR(INDEX(Map!$E$2:$E$400,MATCH($A501,Map!$A$2:$A$400,0)),"⚠ UNMAPPED"))</f>
        <v/>
      </c>
      <c r="J501" s="18" t="str">
        <f>IF($A501="","",IFERROR(INDEX(Map!$F$2:$F$400,MATCH($A501,Map!$A$2:$A$400,0)),"⚠ UNMAPPED"))</f>
        <v/>
      </c>
    </row>
    <row r="502" spans="7:10" x14ac:dyDescent="0.25">
      <c r="G502" s="158" t="str">
        <f>IF($A502="","",IFERROR(INDEX(Map!$C$2:$C$400,MATCH($A502,Map!$A$2:$A$400,0)),"⚠ UNMAPPED"))</f>
        <v/>
      </c>
      <c r="H502" s="18" t="str">
        <f>IF($A502="","",IFERROR(INDEX(Map!$D$2:$D$400,MATCH($A502,Map!$A$2:$A$400,0)),"⚠ UNMAPPED"))</f>
        <v/>
      </c>
      <c r="I502" s="18" t="str">
        <f>IF($A502="","",IFERROR(INDEX(Map!$E$2:$E$400,MATCH($A502,Map!$A$2:$A$400,0)),"⚠ UNMAPPED"))</f>
        <v/>
      </c>
      <c r="J502" s="18" t="str">
        <f>IF($A502="","",IFERROR(INDEX(Map!$F$2:$F$400,MATCH($A502,Map!$A$2:$A$400,0)),"⚠ UNMAPPED"))</f>
        <v/>
      </c>
    </row>
    <row r="503" spans="7:10" x14ac:dyDescent="0.25">
      <c r="G503" s="158" t="str">
        <f>IF($A503="","",IFERROR(INDEX(Map!$C$2:$C$400,MATCH($A503,Map!$A$2:$A$400,0)),"⚠ UNMAPPED"))</f>
        <v/>
      </c>
      <c r="H503" s="18" t="str">
        <f>IF($A503="","",IFERROR(INDEX(Map!$D$2:$D$400,MATCH($A503,Map!$A$2:$A$400,0)),"⚠ UNMAPPED"))</f>
        <v/>
      </c>
      <c r="I503" s="18" t="str">
        <f>IF($A503="","",IFERROR(INDEX(Map!$E$2:$E$400,MATCH($A503,Map!$A$2:$A$400,0)),"⚠ UNMAPPED"))</f>
        <v/>
      </c>
      <c r="J503" s="18" t="str">
        <f>IF($A503="","",IFERROR(INDEX(Map!$F$2:$F$400,MATCH($A503,Map!$A$2:$A$400,0)),"⚠ UNMAPPED"))</f>
        <v/>
      </c>
    </row>
    <row r="504" spans="7:10" x14ac:dyDescent="0.25">
      <c r="G504" s="158" t="str">
        <f>IF($A504="","",IFERROR(INDEX(Map!$C$2:$C$400,MATCH($A504,Map!$A$2:$A$400,0)),"⚠ UNMAPPED"))</f>
        <v/>
      </c>
      <c r="H504" s="18" t="str">
        <f>IF($A504="","",IFERROR(INDEX(Map!$D$2:$D$400,MATCH($A504,Map!$A$2:$A$400,0)),"⚠ UNMAPPED"))</f>
        <v/>
      </c>
      <c r="I504" s="18" t="str">
        <f>IF($A504="","",IFERROR(INDEX(Map!$E$2:$E$400,MATCH($A504,Map!$A$2:$A$400,0)),"⚠ UNMAPPED"))</f>
        <v/>
      </c>
      <c r="J504" s="18" t="str">
        <f>IF($A504="","",IFERROR(INDEX(Map!$F$2:$F$400,MATCH($A504,Map!$A$2:$A$400,0)),"⚠ UNMAPPED"))</f>
        <v/>
      </c>
    </row>
    <row r="505" spans="7:10" x14ac:dyDescent="0.25">
      <c r="G505" s="158" t="str">
        <f>IF($A505="","",IFERROR(INDEX(Map!$C$2:$C$400,MATCH($A505,Map!$A$2:$A$400,0)),"⚠ UNMAPPED"))</f>
        <v/>
      </c>
      <c r="H505" s="18" t="str">
        <f>IF($A505="","",IFERROR(INDEX(Map!$D$2:$D$400,MATCH($A505,Map!$A$2:$A$400,0)),"⚠ UNMAPPED"))</f>
        <v/>
      </c>
      <c r="I505" s="18" t="str">
        <f>IF($A505="","",IFERROR(INDEX(Map!$E$2:$E$400,MATCH($A505,Map!$A$2:$A$400,0)),"⚠ UNMAPPED"))</f>
        <v/>
      </c>
      <c r="J505" s="18" t="str">
        <f>IF($A505="","",IFERROR(INDEX(Map!$F$2:$F$400,MATCH($A505,Map!$A$2:$A$400,0)),"⚠ UNMAPPED"))</f>
        <v/>
      </c>
    </row>
    <row r="506" spans="7:10" x14ac:dyDescent="0.25">
      <c r="G506" s="158" t="str">
        <f>IF($A506="","",IFERROR(INDEX(Map!$C$2:$C$400,MATCH($A506,Map!$A$2:$A$400,0)),"⚠ UNMAPPED"))</f>
        <v/>
      </c>
      <c r="H506" s="18" t="str">
        <f>IF($A506="","",IFERROR(INDEX(Map!$D$2:$D$400,MATCH($A506,Map!$A$2:$A$400,0)),"⚠ UNMAPPED"))</f>
        <v/>
      </c>
      <c r="I506" s="18" t="str">
        <f>IF($A506="","",IFERROR(INDEX(Map!$E$2:$E$400,MATCH($A506,Map!$A$2:$A$400,0)),"⚠ UNMAPPED"))</f>
        <v/>
      </c>
      <c r="J506" s="18" t="str">
        <f>IF($A506="","",IFERROR(INDEX(Map!$F$2:$F$400,MATCH($A506,Map!$A$2:$A$400,0)),"⚠ UNMAPPED"))</f>
        <v/>
      </c>
    </row>
    <row r="507" spans="7:10" x14ac:dyDescent="0.25">
      <c r="G507" s="158" t="str">
        <f>IF($A507="","",IFERROR(INDEX(Map!$C$2:$C$400,MATCH($A507,Map!$A$2:$A$400,0)),"⚠ UNMAPPED"))</f>
        <v/>
      </c>
      <c r="H507" s="18" t="str">
        <f>IF($A507="","",IFERROR(INDEX(Map!$D$2:$D$400,MATCH($A507,Map!$A$2:$A$400,0)),"⚠ UNMAPPED"))</f>
        <v/>
      </c>
      <c r="I507" s="18" t="str">
        <f>IF($A507="","",IFERROR(INDEX(Map!$E$2:$E$400,MATCH($A507,Map!$A$2:$A$400,0)),"⚠ UNMAPPED"))</f>
        <v/>
      </c>
      <c r="J507" s="18" t="str">
        <f>IF($A507="","",IFERROR(INDEX(Map!$F$2:$F$400,MATCH($A507,Map!$A$2:$A$400,0)),"⚠ UNMAPPED"))</f>
        <v/>
      </c>
    </row>
    <row r="508" spans="7:10" x14ac:dyDescent="0.25">
      <c r="G508" s="158" t="str">
        <f>IF($A508="","",IFERROR(INDEX(Map!$C$2:$C$400,MATCH($A508,Map!$A$2:$A$400,0)),"⚠ UNMAPPED"))</f>
        <v/>
      </c>
      <c r="H508" s="18" t="str">
        <f>IF($A508="","",IFERROR(INDEX(Map!$D$2:$D$400,MATCH($A508,Map!$A$2:$A$400,0)),"⚠ UNMAPPED"))</f>
        <v/>
      </c>
      <c r="I508" s="18" t="str">
        <f>IF($A508="","",IFERROR(INDEX(Map!$E$2:$E$400,MATCH($A508,Map!$A$2:$A$400,0)),"⚠ UNMAPPED"))</f>
        <v/>
      </c>
      <c r="J508" s="18" t="str">
        <f>IF($A508="","",IFERROR(INDEX(Map!$F$2:$F$400,MATCH($A508,Map!$A$2:$A$400,0)),"⚠ UNMAPPED"))</f>
        <v/>
      </c>
    </row>
    <row r="509" spans="7:10" x14ac:dyDescent="0.25">
      <c r="G509" s="158" t="str">
        <f>IF($A509="","",IFERROR(INDEX(Map!$C$2:$C$400,MATCH($A509,Map!$A$2:$A$400,0)),"⚠ UNMAPPED"))</f>
        <v/>
      </c>
      <c r="H509" s="18" t="str">
        <f>IF($A509="","",IFERROR(INDEX(Map!$D$2:$D$400,MATCH($A509,Map!$A$2:$A$400,0)),"⚠ UNMAPPED"))</f>
        <v/>
      </c>
      <c r="I509" s="18" t="str">
        <f>IF($A509="","",IFERROR(INDEX(Map!$E$2:$E$400,MATCH($A509,Map!$A$2:$A$400,0)),"⚠ UNMAPPED"))</f>
        <v/>
      </c>
      <c r="J509" s="18" t="str">
        <f>IF($A509="","",IFERROR(INDEX(Map!$F$2:$F$400,MATCH($A509,Map!$A$2:$A$400,0)),"⚠ UNMAPPED"))</f>
        <v/>
      </c>
    </row>
    <row r="510" spans="7:10" x14ac:dyDescent="0.25">
      <c r="G510" s="158" t="str">
        <f>IF($A510="","",IFERROR(INDEX(Map!$C$2:$C$400,MATCH($A510,Map!$A$2:$A$400,0)),"⚠ UNMAPPED"))</f>
        <v/>
      </c>
      <c r="H510" s="18" t="str">
        <f>IF($A510="","",IFERROR(INDEX(Map!$D$2:$D$400,MATCH($A510,Map!$A$2:$A$400,0)),"⚠ UNMAPPED"))</f>
        <v/>
      </c>
      <c r="I510" s="18" t="str">
        <f>IF($A510="","",IFERROR(INDEX(Map!$E$2:$E$400,MATCH($A510,Map!$A$2:$A$400,0)),"⚠ UNMAPPED"))</f>
        <v/>
      </c>
      <c r="J510" s="18" t="str">
        <f>IF($A510="","",IFERROR(INDEX(Map!$F$2:$F$400,MATCH($A510,Map!$A$2:$A$400,0)),"⚠ UNMAPPED"))</f>
        <v/>
      </c>
    </row>
    <row r="511" spans="7:10" x14ac:dyDescent="0.25">
      <c r="G511" s="158" t="str">
        <f>IF($A511="","",IFERROR(INDEX(Map!$C$2:$C$400,MATCH($A511,Map!$A$2:$A$400,0)),"⚠ UNMAPPED"))</f>
        <v/>
      </c>
      <c r="H511" s="18" t="str">
        <f>IF($A511="","",IFERROR(INDEX(Map!$D$2:$D$400,MATCH($A511,Map!$A$2:$A$400,0)),"⚠ UNMAPPED"))</f>
        <v/>
      </c>
      <c r="I511" s="18" t="str">
        <f>IF($A511="","",IFERROR(INDEX(Map!$E$2:$E$400,MATCH($A511,Map!$A$2:$A$400,0)),"⚠ UNMAPPED"))</f>
        <v/>
      </c>
      <c r="J511" s="18" t="str">
        <f>IF($A511="","",IFERROR(INDEX(Map!$F$2:$F$400,MATCH($A511,Map!$A$2:$A$400,0)),"⚠ UNMAPPED"))</f>
        <v/>
      </c>
    </row>
    <row r="512" spans="7:10" x14ac:dyDescent="0.25">
      <c r="G512" s="158" t="str">
        <f>IF($A512="","",IFERROR(INDEX(Map!$C$2:$C$400,MATCH($A512,Map!$A$2:$A$400,0)),"⚠ UNMAPPED"))</f>
        <v/>
      </c>
      <c r="H512" s="18" t="str">
        <f>IF($A512="","",IFERROR(INDEX(Map!$D$2:$D$400,MATCH($A512,Map!$A$2:$A$400,0)),"⚠ UNMAPPED"))</f>
        <v/>
      </c>
      <c r="I512" s="18" t="str">
        <f>IF($A512="","",IFERROR(INDEX(Map!$E$2:$E$400,MATCH($A512,Map!$A$2:$A$400,0)),"⚠ UNMAPPED"))</f>
        <v/>
      </c>
      <c r="J512" s="18" t="str">
        <f>IF($A512="","",IFERROR(INDEX(Map!$F$2:$F$400,MATCH($A512,Map!$A$2:$A$400,0)),"⚠ UNMAPPED"))</f>
        <v/>
      </c>
    </row>
    <row r="513" spans="7:10" x14ac:dyDescent="0.25">
      <c r="G513" s="158" t="str">
        <f>IF($A513="","",IFERROR(INDEX(Map!$C$2:$C$400,MATCH($A513,Map!$A$2:$A$400,0)),"⚠ UNMAPPED"))</f>
        <v/>
      </c>
      <c r="H513" s="18" t="str">
        <f>IF($A513="","",IFERROR(INDEX(Map!$D$2:$D$400,MATCH($A513,Map!$A$2:$A$400,0)),"⚠ UNMAPPED"))</f>
        <v/>
      </c>
      <c r="I513" s="18" t="str">
        <f>IF($A513="","",IFERROR(INDEX(Map!$E$2:$E$400,MATCH($A513,Map!$A$2:$A$400,0)),"⚠ UNMAPPED"))</f>
        <v/>
      </c>
      <c r="J513" s="18" t="str">
        <f>IF($A513="","",IFERROR(INDEX(Map!$F$2:$F$400,MATCH($A513,Map!$A$2:$A$400,0)),"⚠ UNMAPPED"))</f>
        <v/>
      </c>
    </row>
    <row r="514" spans="7:10" x14ac:dyDescent="0.25">
      <c r="G514" s="158" t="str">
        <f>IF($A514="","",IFERROR(INDEX(Map!$C$2:$C$400,MATCH($A514,Map!$A$2:$A$400,0)),"⚠ UNMAPPED"))</f>
        <v/>
      </c>
      <c r="H514" s="18" t="str">
        <f>IF($A514="","",IFERROR(INDEX(Map!$D$2:$D$400,MATCH($A514,Map!$A$2:$A$400,0)),"⚠ UNMAPPED"))</f>
        <v/>
      </c>
      <c r="I514" s="18" t="str">
        <f>IF($A514="","",IFERROR(INDEX(Map!$E$2:$E$400,MATCH($A514,Map!$A$2:$A$400,0)),"⚠ UNMAPPED"))</f>
        <v/>
      </c>
      <c r="J514" s="18" t="str">
        <f>IF($A514="","",IFERROR(INDEX(Map!$F$2:$F$400,MATCH($A514,Map!$A$2:$A$400,0)),"⚠ UNMAPPED"))</f>
        <v/>
      </c>
    </row>
    <row r="515" spans="7:10" x14ac:dyDescent="0.25">
      <c r="G515" s="158" t="str">
        <f>IF($A515="","",IFERROR(INDEX(Map!$C$2:$C$400,MATCH($A515,Map!$A$2:$A$400,0)),"⚠ UNMAPPED"))</f>
        <v/>
      </c>
      <c r="H515" s="18" t="str">
        <f>IF($A515="","",IFERROR(INDEX(Map!$D$2:$D$400,MATCH($A515,Map!$A$2:$A$400,0)),"⚠ UNMAPPED"))</f>
        <v/>
      </c>
      <c r="I515" s="18" t="str">
        <f>IF($A515="","",IFERROR(INDEX(Map!$E$2:$E$400,MATCH($A515,Map!$A$2:$A$400,0)),"⚠ UNMAPPED"))</f>
        <v/>
      </c>
      <c r="J515" s="18" t="str">
        <f>IF($A515="","",IFERROR(INDEX(Map!$F$2:$F$400,MATCH($A515,Map!$A$2:$A$400,0)),"⚠ UNMAPPED"))</f>
        <v/>
      </c>
    </row>
    <row r="516" spans="7:10" x14ac:dyDescent="0.25">
      <c r="G516" s="158" t="str">
        <f>IF($A516="","",IFERROR(INDEX(Map!$C$2:$C$400,MATCH($A516,Map!$A$2:$A$400,0)),"⚠ UNMAPPED"))</f>
        <v/>
      </c>
      <c r="H516" s="18" t="str">
        <f>IF($A516="","",IFERROR(INDEX(Map!$D$2:$D$400,MATCH($A516,Map!$A$2:$A$400,0)),"⚠ UNMAPPED"))</f>
        <v/>
      </c>
      <c r="I516" s="18" t="str">
        <f>IF($A516="","",IFERROR(INDEX(Map!$E$2:$E$400,MATCH($A516,Map!$A$2:$A$400,0)),"⚠ UNMAPPED"))</f>
        <v/>
      </c>
      <c r="J516" s="18" t="str">
        <f>IF($A516="","",IFERROR(INDEX(Map!$F$2:$F$400,MATCH($A516,Map!$A$2:$A$400,0)),"⚠ UNMAPPED"))</f>
        <v/>
      </c>
    </row>
    <row r="517" spans="7:10" x14ac:dyDescent="0.25">
      <c r="G517" s="158" t="str">
        <f>IF($A517="","",IFERROR(INDEX(Map!$C$2:$C$400,MATCH($A517,Map!$A$2:$A$400,0)),"⚠ UNMAPPED"))</f>
        <v/>
      </c>
      <c r="H517" s="18" t="str">
        <f>IF($A517="","",IFERROR(INDEX(Map!$D$2:$D$400,MATCH($A517,Map!$A$2:$A$400,0)),"⚠ UNMAPPED"))</f>
        <v/>
      </c>
      <c r="I517" s="18" t="str">
        <f>IF($A517="","",IFERROR(INDEX(Map!$E$2:$E$400,MATCH($A517,Map!$A$2:$A$400,0)),"⚠ UNMAPPED"))</f>
        <v/>
      </c>
      <c r="J517" s="18" t="str">
        <f>IF($A517="","",IFERROR(INDEX(Map!$F$2:$F$400,MATCH($A517,Map!$A$2:$A$400,0)),"⚠ UNMAPPED"))</f>
        <v/>
      </c>
    </row>
    <row r="518" spans="7:10" x14ac:dyDescent="0.25">
      <c r="G518" s="158" t="str">
        <f>IF($A518="","",IFERROR(INDEX(Map!$C$2:$C$400,MATCH($A518,Map!$A$2:$A$400,0)),"⚠ UNMAPPED"))</f>
        <v/>
      </c>
      <c r="H518" s="18" t="str">
        <f>IF($A518="","",IFERROR(INDEX(Map!$D$2:$D$400,MATCH($A518,Map!$A$2:$A$400,0)),"⚠ UNMAPPED"))</f>
        <v/>
      </c>
      <c r="I518" s="18" t="str">
        <f>IF($A518="","",IFERROR(INDEX(Map!$E$2:$E$400,MATCH($A518,Map!$A$2:$A$400,0)),"⚠ UNMAPPED"))</f>
        <v/>
      </c>
      <c r="J518" s="18" t="str">
        <f>IF($A518="","",IFERROR(INDEX(Map!$F$2:$F$400,MATCH($A518,Map!$A$2:$A$400,0)),"⚠ UNMAPPED"))</f>
        <v/>
      </c>
    </row>
    <row r="519" spans="7:10" x14ac:dyDescent="0.25">
      <c r="G519" s="158" t="str">
        <f>IF($A519="","",IFERROR(INDEX(Map!$C$2:$C$400,MATCH($A519,Map!$A$2:$A$400,0)),"⚠ UNMAPPED"))</f>
        <v/>
      </c>
      <c r="H519" s="18" t="str">
        <f>IF($A519="","",IFERROR(INDEX(Map!$D$2:$D$400,MATCH($A519,Map!$A$2:$A$400,0)),"⚠ UNMAPPED"))</f>
        <v/>
      </c>
      <c r="I519" s="18" t="str">
        <f>IF($A519="","",IFERROR(INDEX(Map!$E$2:$E$400,MATCH($A519,Map!$A$2:$A$400,0)),"⚠ UNMAPPED"))</f>
        <v/>
      </c>
      <c r="J519" s="18" t="str">
        <f>IF($A519="","",IFERROR(INDEX(Map!$F$2:$F$400,MATCH($A519,Map!$A$2:$A$400,0)),"⚠ UNMAPPED"))</f>
        <v/>
      </c>
    </row>
    <row r="520" spans="7:10" x14ac:dyDescent="0.25">
      <c r="G520" s="158" t="str">
        <f>IF($A520="","",IFERROR(INDEX(Map!$C$2:$C$400,MATCH($A520,Map!$A$2:$A$400,0)),"⚠ UNMAPPED"))</f>
        <v/>
      </c>
      <c r="H520" s="18" t="str">
        <f>IF($A520="","",IFERROR(INDEX(Map!$D$2:$D$400,MATCH($A520,Map!$A$2:$A$400,0)),"⚠ UNMAPPED"))</f>
        <v/>
      </c>
      <c r="I520" s="18" t="str">
        <f>IF($A520="","",IFERROR(INDEX(Map!$E$2:$E$400,MATCH($A520,Map!$A$2:$A$400,0)),"⚠ UNMAPPED"))</f>
        <v/>
      </c>
      <c r="J520" s="18" t="str">
        <f>IF($A520="","",IFERROR(INDEX(Map!$F$2:$F$400,MATCH($A520,Map!$A$2:$A$400,0)),"⚠ UNMAPPED"))</f>
        <v/>
      </c>
    </row>
    <row r="521" spans="7:10" x14ac:dyDescent="0.25">
      <c r="G521" s="158" t="str">
        <f>IF($A521="","",IFERROR(INDEX(Map!$C$2:$C$400,MATCH($A521,Map!$A$2:$A$400,0)),"⚠ UNMAPPED"))</f>
        <v/>
      </c>
      <c r="H521" s="18" t="str">
        <f>IF($A521="","",IFERROR(INDEX(Map!$D$2:$D$400,MATCH($A521,Map!$A$2:$A$400,0)),"⚠ UNMAPPED"))</f>
        <v/>
      </c>
      <c r="I521" s="18" t="str">
        <f>IF($A521="","",IFERROR(INDEX(Map!$E$2:$E$400,MATCH($A521,Map!$A$2:$A$400,0)),"⚠ UNMAPPED"))</f>
        <v/>
      </c>
      <c r="J521" s="18" t="str">
        <f>IF($A521="","",IFERROR(INDEX(Map!$F$2:$F$400,MATCH($A521,Map!$A$2:$A$400,0)),"⚠ UNMAPPED"))</f>
        <v/>
      </c>
    </row>
    <row r="522" spans="7:10" x14ac:dyDescent="0.25">
      <c r="G522" s="158" t="str">
        <f>IF($A522="","",IFERROR(INDEX(Map!$C$2:$C$400,MATCH($A522,Map!$A$2:$A$400,0)),"⚠ UNMAPPED"))</f>
        <v/>
      </c>
      <c r="H522" s="18" t="str">
        <f>IF($A522="","",IFERROR(INDEX(Map!$D$2:$D$400,MATCH($A522,Map!$A$2:$A$400,0)),"⚠ UNMAPPED"))</f>
        <v/>
      </c>
      <c r="I522" s="18" t="str">
        <f>IF($A522="","",IFERROR(INDEX(Map!$E$2:$E$400,MATCH($A522,Map!$A$2:$A$400,0)),"⚠ UNMAPPED"))</f>
        <v/>
      </c>
      <c r="J522" s="18" t="str">
        <f>IF($A522="","",IFERROR(INDEX(Map!$F$2:$F$400,MATCH($A522,Map!$A$2:$A$400,0)),"⚠ UNMAPPED"))</f>
        <v/>
      </c>
    </row>
    <row r="523" spans="7:10" x14ac:dyDescent="0.25">
      <c r="G523" s="158" t="str">
        <f>IF($A523="","",IFERROR(INDEX(Map!$C$2:$C$400,MATCH($A523,Map!$A$2:$A$400,0)),"⚠ UNMAPPED"))</f>
        <v/>
      </c>
      <c r="H523" s="18" t="str">
        <f>IF($A523="","",IFERROR(INDEX(Map!$D$2:$D$400,MATCH($A523,Map!$A$2:$A$400,0)),"⚠ UNMAPPED"))</f>
        <v/>
      </c>
      <c r="I523" s="18" t="str">
        <f>IF($A523="","",IFERROR(INDEX(Map!$E$2:$E$400,MATCH($A523,Map!$A$2:$A$400,0)),"⚠ UNMAPPED"))</f>
        <v/>
      </c>
      <c r="J523" s="18" t="str">
        <f>IF($A523="","",IFERROR(INDEX(Map!$F$2:$F$400,MATCH($A523,Map!$A$2:$A$400,0)),"⚠ UNMAPPED"))</f>
        <v/>
      </c>
    </row>
    <row r="524" spans="7:10" x14ac:dyDescent="0.25">
      <c r="G524" s="158" t="str">
        <f>IF($A524="","",IFERROR(INDEX(Map!$C$2:$C$400,MATCH($A524,Map!$A$2:$A$400,0)),"⚠ UNMAPPED"))</f>
        <v/>
      </c>
      <c r="H524" s="18" t="str">
        <f>IF($A524="","",IFERROR(INDEX(Map!$D$2:$D$400,MATCH($A524,Map!$A$2:$A$400,0)),"⚠ UNMAPPED"))</f>
        <v/>
      </c>
      <c r="I524" s="18" t="str">
        <f>IF($A524="","",IFERROR(INDEX(Map!$E$2:$E$400,MATCH($A524,Map!$A$2:$A$400,0)),"⚠ UNMAPPED"))</f>
        <v/>
      </c>
      <c r="J524" s="18" t="str">
        <f>IF($A524="","",IFERROR(INDEX(Map!$F$2:$F$400,MATCH($A524,Map!$A$2:$A$400,0)),"⚠ UNMAPPED"))</f>
        <v/>
      </c>
    </row>
    <row r="525" spans="7:10" x14ac:dyDescent="0.25">
      <c r="G525" s="158" t="str">
        <f>IF($A525="","",IFERROR(INDEX(Map!$C$2:$C$400,MATCH($A525,Map!$A$2:$A$400,0)),"⚠ UNMAPPED"))</f>
        <v/>
      </c>
      <c r="H525" s="18" t="str">
        <f>IF($A525="","",IFERROR(INDEX(Map!$D$2:$D$400,MATCH($A525,Map!$A$2:$A$400,0)),"⚠ UNMAPPED"))</f>
        <v/>
      </c>
      <c r="I525" s="18" t="str">
        <f>IF($A525="","",IFERROR(INDEX(Map!$E$2:$E$400,MATCH($A525,Map!$A$2:$A$400,0)),"⚠ UNMAPPED"))</f>
        <v/>
      </c>
      <c r="J525" s="18" t="str">
        <f>IF($A525="","",IFERROR(INDEX(Map!$F$2:$F$400,MATCH($A525,Map!$A$2:$A$400,0)),"⚠ UNMAPPED"))</f>
        <v/>
      </c>
    </row>
    <row r="526" spans="7:10" x14ac:dyDescent="0.25">
      <c r="G526" s="158" t="str">
        <f>IF($A526="","",IFERROR(INDEX(Map!$C$2:$C$400,MATCH($A526,Map!$A$2:$A$400,0)),"⚠ UNMAPPED"))</f>
        <v/>
      </c>
      <c r="H526" s="18" t="str">
        <f>IF($A526="","",IFERROR(INDEX(Map!$D$2:$D$400,MATCH($A526,Map!$A$2:$A$400,0)),"⚠ UNMAPPED"))</f>
        <v/>
      </c>
      <c r="I526" s="18" t="str">
        <f>IF($A526="","",IFERROR(INDEX(Map!$E$2:$E$400,MATCH($A526,Map!$A$2:$A$400,0)),"⚠ UNMAPPED"))</f>
        <v/>
      </c>
      <c r="J526" s="18" t="str">
        <f>IF($A526="","",IFERROR(INDEX(Map!$F$2:$F$400,MATCH($A526,Map!$A$2:$A$400,0)),"⚠ UNMAPPED"))</f>
        <v/>
      </c>
    </row>
    <row r="527" spans="7:10" x14ac:dyDescent="0.25">
      <c r="G527" s="158" t="str">
        <f>IF($A527="","",IFERROR(INDEX(Map!$C$2:$C$400,MATCH($A527,Map!$A$2:$A$400,0)),"⚠ UNMAPPED"))</f>
        <v/>
      </c>
      <c r="H527" s="18" t="str">
        <f>IF($A527="","",IFERROR(INDEX(Map!$D$2:$D$400,MATCH($A527,Map!$A$2:$A$400,0)),"⚠ UNMAPPED"))</f>
        <v/>
      </c>
      <c r="I527" s="18" t="str">
        <f>IF($A527="","",IFERROR(INDEX(Map!$E$2:$E$400,MATCH($A527,Map!$A$2:$A$400,0)),"⚠ UNMAPPED"))</f>
        <v/>
      </c>
      <c r="J527" s="18" t="str">
        <f>IF($A527="","",IFERROR(INDEX(Map!$F$2:$F$400,MATCH($A527,Map!$A$2:$A$400,0)),"⚠ UNMAPPED"))</f>
        <v/>
      </c>
    </row>
    <row r="528" spans="7:10" x14ac:dyDescent="0.25">
      <c r="G528" s="158" t="str">
        <f>IF($A528="","",IFERROR(INDEX(Map!$C$2:$C$400,MATCH($A528,Map!$A$2:$A$400,0)),"⚠ UNMAPPED"))</f>
        <v/>
      </c>
      <c r="H528" s="18" t="str">
        <f>IF($A528="","",IFERROR(INDEX(Map!$D$2:$D$400,MATCH($A528,Map!$A$2:$A$400,0)),"⚠ UNMAPPED"))</f>
        <v/>
      </c>
      <c r="I528" s="18" t="str">
        <f>IF($A528="","",IFERROR(INDEX(Map!$E$2:$E$400,MATCH($A528,Map!$A$2:$A$400,0)),"⚠ UNMAPPED"))</f>
        <v/>
      </c>
      <c r="J528" s="18" t="str">
        <f>IF($A528="","",IFERROR(INDEX(Map!$F$2:$F$400,MATCH($A528,Map!$A$2:$A$400,0)),"⚠ UNMAPPED"))</f>
        <v/>
      </c>
    </row>
    <row r="529" spans="7:10" x14ac:dyDescent="0.25">
      <c r="G529" s="158" t="str">
        <f>IF($A529="","",IFERROR(INDEX(Map!$C$2:$C$400,MATCH($A529,Map!$A$2:$A$400,0)),"⚠ UNMAPPED"))</f>
        <v/>
      </c>
      <c r="H529" s="18" t="str">
        <f>IF($A529="","",IFERROR(INDEX(Map!$D$2:$D$400,MATCH($A529,Map!$A$2:$A$400,0)),"⚠ UNMAPPED"))</f>
        <v/>
      </c>
      <c r="I529" s="18" t="str">
        <f>IF($A529="","",IFERROR(INDEX(Map!$E$2:$E$400,MATCH($A529,Map!$A$2:$A$400,0)),"⚠ UNMAPPED"))</f>
        <v/>
      </c>
      <c r="J529" s="18" t="str">
        <f>IF($A529="","",IFERROR(INDEX(Map!$F$2:$F$400,MATCH($A529,Map!$A$2:$A$400,0)),"⚠ UNMAPPED"))</f>
        <v/>
      </c>
    </row>
    <row r="530" spans="7:10" x14ac:dyDescent="0.25">
      <c r="G530" s="158" t="str">
        <f>IF($A530="","",IFERROR(INDEX(Map!$C$2:$C$400,MATCH($A530,Map!$A$2:$A$400,0)),"⚠ UNMAPPED"))</f>
        <v/>
      </c>
      <c r="H530" s="18" t="str">
        <f>IF($A530="","",IFERROR(INDEX(Map!$D$2:$D$400,MATCH($A530,Map!$A$2:$A$400,0)),"⚠ UNMAPPED"))</f>
        <v/>
      </c>
      <c r="I530" s="18" t="str">
        <f>IF($A530="","",IFERROR(INDEX(Map!$E$2:$E$400,MATCH($A530,Map!$A$2:$A$400,0)),"⚠ UNMAPPED"))</f>
        <v/>
      </c>
      <c r="J530" s="18" t="str">
        <f>IF($A530="","",IFERROR(INDEX(Map!$F$2:$F$400,MATCH($A530,Map!$A$2:$A$400,0)),"⚠ UNMAPPED"))</f>
        <v/>
      </c>
    </row>
    <row r="531" spans="7:10" x14ac:dyDescent="0.25">
      <c r="G531" s="158" t="str">
        <f>IF($A531="","",IFERROR(INDEX(Map!$C$2:$C$400,MATCH($A531,Map!$A$2:$A$400,0)),"⚠ UNMAPPED"))</f>
        <v/>
      </c>
      <c r="H531" s="18" t="str">
        <f>IF($A531="","",IFERROR(INDEX(Map!$D$2:$D$400,MATCH($A531,Map!$A$2:$A$400,0)),"⚠ UNMAPPED"))</f>
        <v/>
      </c>
      <c r="I531" s="18" t="str">
        <f>IF($A531="","",IFERROR(INDEX(Map!$E$2:$E$400,MATCH($A531,Map!$A$2:$A$400,0)),"⚠ UNMAPPED"))</f>
        <v/>
      </c>
      <c r="J531" s="18" t="str">
        <f>IF($A531="","",IFERROR(INDEX(Map!$F$2:$F$400,MATCH($A531,Map!$A$2:$A$400,0)),"⚠ UNMAPPED"))</f>
        <v/>
      </c>
    </row>
    <row r="532" spans="7:10" x14ac:dyDescent="0.25">
      <c r="G532" s="158" t="str">
        <f>IF($A532="","",IFERROR(INDEX(Map!$C$2:$C$400,MATCH($A532,Map!$A$2:$A$400,0)),"⚠ UNMAPPED"))</f>
        <v/>
      </c>
      <c r="H532" s="18" t="str">
        <f>IF($A532="","",IFERROR(INDEX(Map!$D$2:$D$400,MATCH($A532,Map!$A$2:$A$400,0)),"⚠ UNMAPPED"))</f>
        <v/>
      </c>
      <c r="I532" s="18" t="str">
        <f>IF($A532="","",IFERROR(INDEX(Map!$E$2:$E$400,MATCH($A532,Map!$A$2:$A$400,0)),"⚠ UNMAPPED"))</f>
        <v/>
      </c>
      <c r="J532" s="18" t="str">
        <f>IF($A532="","",IFERROR(INDEX(Map!$F$2:$F$400,MATCH($A532,Map!$A$2:$A$400,0)),"⚠ UNMAPPED"))</f>
        <v/>
      </c>
    </row>
    <row r="533" spans="7:10" x14ac:dyDescent="0.25">
      <c r="G533" s="158" t="str">
        <f>IF($A533="","",IFERROR(INDEX(Map!$C$2:$C$400,MATCH($A533,Map!$A$2:$A$400,0)),"⚠ UNMAPPED"))</f>
        <v/>
      </c>
      <c r="H533" s="18" t="str">
        <f>IF($A533="","",IFERROR(INDEX(Map!$D$2:$D$400,MATCH($A533,Map!$A$2:$A$400,0)),"⚠ UNMAPPED"))</f>
        <v/>
      </c>
      <c r="I533" s="18" t="str">
        <f>IF($A533="","",IFERROR(INDEX(Map!$E$2:$E$400,MATCH($A533,Map!$A$2:$A$400,0)),"⚠ UNMAPPED"))</f>
        <v/>
      </c>
      <c r="J533" s="18" t="str">
        <f>IF($A533="","",IFERROR(INDEX(Map!$F$2:$F$400,MATCH($A533,Map!$A$2:$A$400,0)),"⚠ UNMAPPED"))</f>
        <v/>
      </c>
    </row>
    <row r="534" spans="7:10" x14ac:dyDescent="0.25">
      <c r="G534" s="158" t="str">
        <f>IF($A534="","",IFERROR(INDEX(Map!$C$2:$C$400,MATCH($A534,Map!$A$2:$A$400,0)),"⚠ UNMAPPED"))</f>
        <v/>
      </c>
      <c r="H534" s="18" t="str">
        <f>IF($A534="","",IFERROR(INDEX(Map!$D$2:$D$400,MATCH($A534,Map!$A$2:$A$400,0)),"⚠ UNMAPPED"))</f>
        <v/>
      </c>
      <c r="I534" s="18" t="str">
        <f>IF($A534="","",IFERROR(INDEX(Map!$E$2:$E$400,MATCH($A534,Map!$A$2:$A$400,0)),"⚠ UNMAPPED"))</f>
        <v/>
      </c>
      <c r="J534" s="18" t="str">
        <f>IF($A534="","",IFERROR(INDEX(Map!$F$2:$F$400,MATCH($A534,Map!$A$2:$A$400,0)),"⚠ UNMAPPED"))</f>
        <v/>
      </c>
    </row>
    <row r="535" spans="7:10" x14ac:dyDescent="0.25">
      <c r="G535" s="158" t="str">
        <f>IF($A535="","",IFERROR(INDEX(Map!$C$2:$C$400,MATCH($A535,Map!$A$2:$A$400,0)),"⚠ UNMAPPED"))</f>
        <v/>
      </c>
      <c r="H535" s="18" t="str">
        <f>IF($A535="","",IFERROR(INDEX(Map!$D$2:$D$400,MATCH($A535,Map!$A$2:$A$400,0)),"⚠ UNMAPPED"))</f>
        <v/>
      </c>
      <c r="I535" s="18" t="str">
        <f>IF($A535="","",IFERROR(INDEX(Map!$E$2:$E$400,MATCH($A535,Map!$A$2:$A$400,0)),"⚠ UNMAPPED"))</f>
        <v/>
      </c>
      <c r="J535" s="18" t="str">
        <f>IF($A535="","",IFERROR(INDEX(Map!$F$2:$F$400,MATCH($A535,Map!$A$2:$A$400,0)),"⚠ UNMAPPED"))</f>
        <v/>
      </c>
    </row>
    <row r="536" spans="7:10" x14ac:dyDescent="0.25">
      <c r="G536" s="158" t="str">
        <f>IF($A536="","",IFERROR(INDEX(Map!$C$2:$C$400,MATCH($A536,Map!$A$2:$A$400,0)),"⚠ UNMAPPED"))</f>
        <v/>
      </c>
      <c r="H536" s="18" t="str">
        <f>IF($A536="","",IFERROR(INDEX(Map!$D$2:$D$400,MATCH($A536,Map!$A$2:$A$400,0)),"⚠ UNMAPPED"))</f>
        <v/>
      </c>
      <c r="I536" s="18" t="str">
        <f>IF($A536="","",IFERROR(INDEX(Map!$E$2:$E$400,MATCH($A536,Map!$A$2:$A$400,0)),"⚠ UNMAPPED"))</f>
        <v/>
      </c>
      <c r="J536" s="18" t="str">
        <f>IF($A536="","",IFERROR(INDEX(Map!$F$2:$F$400,MATCH($A536,Map!$A$2:$A$400,0)),"⚠ UNMAPPED"))</f>
        <v/>
      </c>
    </row>
    <row r="537" spans="7:10" x14ac:dyDescent="0.25">
      <c r="G537" s="158" t="str">
        <f>IF($A537="","",IFERROR(INDEX(Map!$C$2:$C$400,MATCH($A537,Map!$A$2:$A$400,0)),"⚠ UNMAPPED"))</f>
        <v/>
      </c>
      <c r="H537" s="18" t="str">
        <f>IF($A537="","",IFERROR(INDEX(Map!$D$2:$D$400,MATCH($A537,Map!$A$2:$A$400,0)),"⚠ UNMAPPED"))</f>
        <v/>
      </c>
      <c r="I537" s="18" t="str">
        <f>IF($A537="","",IFERROR(INDEX(Map!$E$2:$E$400,MATCH($A537,Map!$A$2:$A$400,0)),"⚠ UNMAPPED"))</f>
        <v/>
      </c>
      <c r="J537" s="18" t="str">
        <f>IF($A537="","",IFERROR(INDEX(Map!$F$2:$F$400,MATCH($A537,Map!$A$2:$A$400,0)),"⚠ UNMAPPED"))</f>
        <v/>
      </c>
    </row>
    <row r="538" spans="7:10" x14ac:dyDescent="0.25">
      <c r="G538" s="158" t="str">
        <f>IF($A538="","",IFERROR(INDEX(Map!$C$2:$C$400,MATCH($A538,Map!$A$2:$A$400,0)),"⚠ UNMAPPED"))</f>
        <v/>
      </c>
      <c r="H538" s="18" t="str">
        <f>IF($A538="","",IFERROR(INDEX(Map!$D$2:$D$400,MATCH($A538,Map!$A$2:$A$400,0)),"⚠ UNMAPPED"))</f>
        <v/>
      </c>
      <c r="I538" s="18" t="str">
        <f>IF($A538="","",IFERROR(INDEX(Map!$E$2:$E$400,MATCH($A538,Map!$A$2:$A$400,0)),"⚠ UNMAPPED"))</f>
        <v/>
      </c>
      <c r="J538" s="18" t="str">
        <f>IF($A538="","",IFERROR(INDEX(Map!$F$2:$F$400,MATCH($A538,Map!$A$2:$A$400,0)),"⚠ UNMAPPED"))</f>
        <v/>
      </c>
    </row>
    <row r="539" spans="7:10" x14ac:dyDescent="0.25">
      <c r="G539" s="158" t="str">
        <f>IF($A539="","",IFERROR(INDEX(Map!$C$2:$C$400,MATCH($A539,Map!$A$2:$A$400,0)),"⚠ UNMAPPED"))</f>
        <v/>
      </c>
      <c r="H539" s="18" t="str">
        <f>IF($A539="","",IFERROR(INDEX(Map!$D$2:$D$400,MATCH($A539,Map!$A$2:$A$400,0)),"⚠ UNMAPPED"))</f>
        <v/>
      </c>
      <c r="I539" s="18" t="str">
        <f>IF($A539="","",IFERROR(INDEX(Map!$E$2:$E$400,MATCH($A539,Map!$A$2:$A$400,0)),"⚠ UNMAPPED"))</f>
        <v/>
      </c>
      <c r="J539" s="18" t="str">
        <f>IF($A539="","",IFERROR(INDEX(Map!$F$2:$F$400,MATCH($A539,Map!$A$2:$A$400,0)),"⚠ UNMAPPED"))</f>
        <v/>
      </c>
    </row>
    <row r="540" spans="7:10" x14ac:dyDescent="0.25">
      <c r="G540" s="158" t="str">
        <f>IF($A540="","",IFERROR(INDEX(Map!$C$2:$C$400,MATCH($A540,Map!$A$2:$A$400,0)),"⚠ UNMAPPED"))</f>
        <v/>
      </c>
      <c r="H540" s="18" t="str">
        <f>IF($A540="","",IFERROR(INDEX(Map!$D$2:$D$400,MATCH($A540,Map!$A$2:$A$400,0)),"⚠ UNMAPPED"))</f>
        <v/>
      </c>
      <c r="I540" s="18" t="str">
        <f>IF($A540="","",IFERROR(INDEX(Map!$E$2:$E$400,MATCH($A540,Map!$A$2:$A$400,0)),"⚠ UNMAPPED"))</f>
        <v/>
      </c>
      <c r="J540" s="18" t="str">
        <f>IF($A540="","",IFERROR(INDEX(Map!$F$2:$F$400,MATCH($A540,Map!$A$2:$A$400,0)),"⚠ UNMAPPED"))</f>
        <v/>
      </c>
    </row>
    <row r="541" spans="7:10" x14ac:dyDescent="0.25">
      <c r="G541" s="158" t="str">
        <f>IF($A541="","",IFERROR(INDEX(Map!$C$2:$C$400,MATCH($A541,Map!$A$2:$A$400,0)),"⚠ UNMAPPED"))</f>
        <v/>
      </c>
      <c r="H541" s="18" t="str">
        <f>IF($A541="","",IFERROR(INDEX(Map!$D$2:$D$400,MATCH($A541,Map!$A$2:$A$400,0)),"⚠ UNMAPPED"))</f>
        <v/>
      </c>
      <c r="I541" s="18" t="str">
        <f>IF($A541="","",IFERROR(INDEX(Map!$E$2:$E$400,MATCH($A541,Map!$A$2:$A$400,0)),"⚠ UNMAPPED"))</f>
        <v/>
      </c>
      <c r="J541" s="18" t="str">
        <f>IF($A541="","",IFERROR(INDEX(Map!$F$2:$F$400,MATCH($A541,Map!$A$2:$A$400,0)),"⚠ UNMAPPED"))</f>
        <v/>
      </c>
    </row>
    <row r="542" spans="7:10" x14ac:dyDescent="0.25">
      <c r="G542" s="158" t="str">
        <f>IF($A542="","",IFERROR(INDEX(Map!$C$2:$C$400,MATCH($A542,Map!$A$2:$A$400,0)),"⚠ UNMAPPED"))</f>
        <v/>
      </c>
      <c r="H542" s="18" t="str">
        <f>IF($A542="","",IFERROR(INDEX(Map!$D$2:$D$400,MATCH($A542,Map!$A$2:$A$400,0)),"⚠ UNMAPPED"))</f>
        <v/>
      </c>
      <c r="I542" s="18" t="str">
        <f>IF($A542="","",IFERROR(INDEX(Map!$E$2:$E$400,MATCH($A542,Map!$A$2:$A$400,0)),"⚠ UNMAPPED"))</f>
        <v/>
      </c>
      <c r="J542" s="18" t="str">
        <f>IF($A542="","",IFERROR(INDEX(Map!$F$2:$F$400,MATCH($A542,Map!$A$2:$A$400,0)),"⚠ UNMAPPED"))</f>
        <v/>
      </c>
    </row>
    <row r="543" spans="7:10" x14ac:dyDescent="0.25">
      <c r="G543" s="158" t="str">
        <f>IF($A543="","",IFERROR(INDEX(Map!$C$2:$C$400,MATCH($A543,Map!$A$2:$A$400,0)),"⚠ UNMAPPED"))</f>
        <v/>
      </c>
      <c r="H543" s="18" t="str">
        <f>IF($A543="","",IFERROR(INDEX(Map!$D$2:$D$400,MATCH($A543,Map!$A$2:$A$400,0)),"⚠ UNMAPPED"))</f>
        <v/>
      </c>
      <c r="I543" s="18" t="str">
        <f>IF($A543="","",IFERROR(INDEX(Map!$E$2:$E$400,MATCH($A543,Map!$A$2:$A$400,0)),"⚠ UNMAPPED"))</f>
        <v/>
      </c>
      <c r="J543" s="18" t="str">
        <f>IF($A543="","",IFERROR(INDEX(Map!$F$2:$F$400,MATCH($A543,Map!$A$2:$A$400,0)),"⚠ UNMAPPED"))</f>
        <v/>
      </c>
    </row>
    <row r="544" spans="7:10" x14ac:dyDescent="0.25">
      <c r="G544" s="158" t="str">
        <f>IF($A544="","",IFERROR(INDEX(Map!$C$2:$C$400,MATCH($A544,Map!$A$2:$A$400,0)),"⚠ UNMAPPED"))</f>
        <v/>
      </c>
      <c r="H544" s="18" t="str">
        <f>IF($A544="","",IFERROR(INDEX(Map!$D$2:$D$400,MATCH($A544,Map!$A$2:$A$400,0)),"⚠ UNMAPPED"))</f>
        <v/>
      </c>
      <c r="I544" s="18" t="str">
        <f>IF($A544="","",IFERROR(INDEX(Map!$E$2:$E$400,MATCH($A544,Map!$A$2:$A$400,0)),"⚠ UNMAPPED"))</f>
        <v/>
      </c>
      <c r="J544" s="18" t="str">
        <f>IF($A544="","",IFERROR(INDEX(Map!$F$2:$F$400,MATCH($A544,Map!$A$2:$A$400,0)),"⚠ UNMAPPED"))</f>
        <v/>
      </c>
    </row>
    <row r="545" spans="7:10" x14ac:dyDescent="0.25">
      <c r="G545" s="158" t="str">
        <f>IF($A545="","",IFERROR(INDEX(Map!$C$2:$C$400,MATCH($A545,Map!$A$2:$A$400,0)),"⚠ UNMAPPED"))</f>
        <v/>
      </c>
      <c r="H545" s="18" t="str">
        <f>IF($A545="","",IFERROR(INDEX(Map!$D$2:$D$400,MATCH($A545,Map!$A$2:$A$400,0)),"⚠ UNMAPPED"))</f>
        <v/>
      </c>
      <c r="I545" s="18" t="str">
        <f>IF($A545="","",IFERROR(INDEX(Map!$E$2:$E$400,MATCH($A545,Map!$A$2:$A$400,0)),"⚠ UNMAPPED"))</f>
        <v/>
      </c>
      <c r="J545" s="18" t="str">
        <f>IF($A545="","",IFERROR(INDEX(Map!$F$2:$F$400,MATCH($A545,Map!$A$2:$A$400,0)),"⚠ UNMAPPED"))</f>
        <v/>
      </c>
    </row>
    <row r="546" spans="7:10" x14ac:dyDescent="0.25">
      <c r="G546" s="158" t="str">
        <f>IF($A546="","",IFERROR(INDEX(Map!$C$2:$C$400,MATCH($A546,Map!$A$2:$A$400,0)),"⚠ UNMAPPED"))</f>
        <v/>
      </c>
      <c r="H546" s="18" t="str">
        <f>IF($A546="","",IFERROR(INDEX(Map!$D$2:$D$400,MATCH($A546,Map!$A$2:$A$400,0)),"⚠ UNMAPPED"))</f>
        <v/>
      </c>
      <c r="I546" s="18" t="str">
        <f>IF($A546="","",IFERROR(INDEX(Map!$E$2:$E$400,MATCH($A546,Map!$A$2:$A$400,0)),"⚠ UNMAPPED"))</f>
        <v/>
      </c>
      <c r="J546" s="18" t="str">
        <f>IF($A546="","",IFERROR(INDEX(Map!$F$2:$F$400,MATCH($A546,Map!$A$2:$A$400,0)),"⚠ UNMAPPED"))</f>
        <v/>
      </c>
    </row>
    <row r="547" spans="7:10" x14ac:dyDescent="0.25">
      <c r="G547" s="158" t="str">
        <f>IF($A547="","",IFERROR(INDEX(Map!$C$2:$C$400,MATCH($A547,Map!$A$2:$A$400,0)),"⚠ UNMAPPED"))</f>
        <v/>
      </c>
      <c r="H547" s="18" t="str">
        <f>IF($A547="","",IFERROR(INDEX(Map!$D$2:$D$400,MATCH($A547,Map!$A$2:$A$400,0)),"⚠ UNMAPPED"))</f>
        <v/>
      </c>
      <c r="I547" s="18" t="str">
        <f>IF($A547="","",IFERROR(INDEX(Map!$E$2:$E$400,MATCH($A547,Map!$A$2:$A$400,0)),"⚠ UNMAPPED"))</f>
        <v/>
      </c>
      <c r="J547" s="18" t="str">
        <f>IF($A547="","",IFERROR(INDEX(Map!$F$2:$F$400,MATCH($A547,Map!$A$2:$A$400,0)),"⚠ UNMAPPED"))</f>
        <v/>
      </c>
    </row>
    <row r="548" spans="7:10" x14ac:dyDescent="0.25">
      <c r="G548" s="158" t="str">
        <f>IF($A548="","",IFERROR(INDEX(Map!$C$2:$C$400,MATCH($A548,Map!$A$2:$A$400,0)),"⚠ UNMAPPED"))</f>
        <v/>
      </c>
      <c r="H548" s="18" t="str">
        <f>IF($A548="","",IFERROR(INDEX(Map!$D$2:$D$400,MATCH($A548,Map!$A$2:$A$400,0)),"⚠ UNMAPPED"))</f>
        <v/>
      </c>
      <c r="I548" s="18" t="str">
        <f>IF($A548="","",IFERROR(INDEX(Map!$E$2:$E$400,MATCH($A548,Map!$A$2:$A$400,0)),"⚠ UNMAPPED"))</f>
        <v/>
      </c>
      <c r="J548" s="18" t="str">
        <f>IF($A548="","",IFERROR(INDEX(Map!$F$2:$F$400,MATCH($A548,Map!$A$2:$A$400,0)),"⚠ UNMAPPED"))</f>
        <v/>
      </c>
    </row>
    <row r="549" spans="7:10" x14ac:dyDescent="0.25">
      <c r="G549" s="158" t="str">
        <f>IF($A549="","",IFERROR(INDEX(Map!$C$2:$C$400,MATCH($A549,Map!$A$2:$A$400,0)),"⚠ UNMAPPED"))</f>
        <v/>
      </c>
      <c r="H549" s="18" t="str">
        <f>IF($A549="","",IFERROR(INDEX(Map!$D$2:$D$400,MATCH($A549,Map!$A$2:$A$400,0)),"⚠ UNMAPPED"))</f>
        <v/>
      </c>
      <c r="I549" s="18" t="str">
        <f>IF($A549="","",IFERROR(INDEX(Map!$E$2:$E$400,MATCH($A549,Map!$A$2:$A$400,0)),"⚠ UNMAPPED"))</f>
        <v/>
      </c>
      <c r="J549" s="18" t="str">
        <f>IF($A549="","",IFERROR(INDEX(Map!$F$2:$F$400,MATCH($A549,Map!$A$2:$A$400,0)),"⚠ UNMAPPED"))</f>
        <v/>
      </c>
    </row>
    <row r="550" spans="7:10" x14ac:dyDescent="0.25">
      <c r="G550" s="158" t="str">
        <f>IF($A550="","",IFERROR(INDEX(Map!$C$2:$C$400,MATCH($A550,Map!$A$2:$A$400,0)),"⚠ UNMAPPED"))</f>
        <v/>
      </c>
      <c r="H550" s="18" t="str">
        <f>IF($A550="","",IFERROR(INDEX(Map!$D$2:$D$400,MATCH($A550,Map!$A$2:$A$400,0)),"⚠ UNMAPPED"))</f>
        <v/>
      </c>
      <c r="I550" s="18" t="str">
        <f>IF($A550="","",IFERROR(INDEX(Map!$E$2:$E$400,MATCH($A550,Map!$A$2:$A$400,0)),"⚠ UNMAPPED"))</f>
        <v/>
      </c>
      <c r="J550" s="18" t="str">
        <f>IF($A550="","",IFERROR(INDEX(Map!$F$2:$F$400,MATCH($A550,Map!$A$2:$A$400,0)),"⚠ UNMAPPED"))</f>
        <v/>
      </c>
    </row>
    <row r="551" spans="7:10" x14ac:dyDescent="0.25">
      <c r="G551" s="158" t="str">
        <f>IF($A551="","",IFERROR(INDEX(Map!$C$2:$C$400,MATCH($A551,Map!$A$2:$A$400,0)),"⚠ UNMAPPED"))</f>
        <v/>
      </c>
      <c r="H551" s="18" t="str">
        <f>IF($A551="","",IFERROR(INDEX(Map!$D$2:$D$400,MATCH($A551,Map!$A$2:$A$400,0)),"⚠ UNMAPPED"))</f>
        <v/>
      </c>
      <c r="I551" s="18" t="str">
        <f>IF($A551="","",IFERROR(INDEX(Map!$E$2:$E$400,MATCH($A551,Map!$A$2:$A$400,0)),"⚠ UNMAPPED"))</f>
        <v/>
      </c>
      <c r="J551" s="18" t="str">
        <f>IF($A551="","",IFERROR(INDEX(Map!$F$2:$F$400,MATCH($A551,Map!$A$2:$A$400,0)),"⚠ UNMAPPED"))</f>
        <v/>
      </c>
    </row>
    <row r="552" spans="7:10" x14ac:dyDescent="0.25">
      <c r="G552" s="158" t="str">
        <f>IF($A552="","",IFERROR(INDEX(Map!$C$2:$C$400,MATCH($A552,Map!$A$2:$A$400,0)),"⚠ UNMAPPED"))</f>
        <v/>
      </c>
      <c r="H552" s="18" t="str">
        <f>IF($A552="","",IFERROR(INDEX(Map!$D$2:$D$400,MATCH($A552,Map!$A$2:$A$400,0)),"⚠ UNMAPPED"))</f>
        <v/>
      </c>
      <c r="I552" s="18" t="str">
        <f>IF($A552="","",IFERROR(INDEX(Map!$E$2:$E$400,MATCH($A552,Map!$A$2:$A$400,0)),"⚠ UNMAPPED"))</f>
        <v/>
      </c>
      <c r="J552" s="18" t="str">
        <f>IF($A552="","",IFERROR(INDEX(Map!$F$2:$F$400,MATCH($A552,Map!$A$2:$A$400,0)),"⚠ UNMAPPED"))</f>
        <v/>
      </c>
    </row>
    <row r="553" spans="7:10" x14ac:dyDescent="0.25">
      <c r="G553" s="158" t="str">
        <f>IF($A553="","",IFERROR(INDEX(Map!$C$2:$C$400,MATCH($A553,Map!$A$2:$A$400,0)),"⚠ UNMAPPED"))</f>
        <v/>
      </c>
      <c r="H553" s="18" t="str">
        <f>IF($A553="","",IFERROR(INDEX(Map!$D$2:$D$400,MATCH($A553,Map!$A$2:$A$400,0)),"⚠ UNMAPPED"))</f>
        <v/>
      </c>
      <c r="I553" s="18" t="str">
        <f>IF($A553="","",IFERROR(INDEX(Map!$E$2:$E$400,MATCH($A553,Map!$A$2:$A$400,0)),"⚠ UNMAPPED"))</f>
        <v/>
      </c>
      <c r="J553" s="18" t="str">
        <f>IF($A553="","",IFERROR(INDEX(Map!$F$2:$F$400,MATCH($A553,Map!$A$2:$A$400,0)),"⚠ UNMAPPED"))</f>
        <v/>
      </c>
    </row>
    <row r="554" spans="7:10" x14ac:dyDescent="0.25">
      <c r="G554" s="158" t="str">
        <f>IF($A554="","",IFERROR(INDEX(Map!$C$2:$C$400,MATCH($A554,Map!$A$2:$A$400,0)),"⚠ UNMAPPED"))</f>
        <v/>
      </c>
      <c r="H554" s="18" t="str">
        <f>IF($A554="","",IFERROR(INDEX(Map!$D$2:$D$400,MATCH($A554,Map!$A$2:$A$400,0)),"⚠ UNMAPPED"))</f>
        <v/>
      </c>
      <c r="I554" s="18" t="str">
        <f>IF($A554="","",IFERROR(INDEX(Map!$E$2:$E$400,MATCH($A554,Map!$A$2:$A$400,0)),"⚠ UNMAPPED"))</f>
        <v/>
      </c>
      <c r="J554" s="18" t="str">
        <f>IF($A554="","",IFERROR(INDEX(Map!$F$2:$F$400,MATCH($A554,Map!$A$2:$A$400,0)),"⚠ UNMAPPED"))</f>
        <v/>
      </c>
    </row>
    <row r="555" spans="7:10" x14ac:dyDescent="0.25">
      <c r="G555" s="158" t="str">
        <f>IF($A555="","",IFERROR(INDEX(Map!$C$2:$C$400,MATCH($A555,Map!$A$2:$A$400,0)),"⚠ UNMAPPED"))</f>
        <v/>
      </c>
      <c r="H555" s="18" t="str">
        <f>IF($A555="","",IFERROR(INDEX(Map!$D$2:$D$400,MATCH($A555,Map!$A$2:$A$400,0)),"⚠ UNMAPPED"))</f>
        <v/>
      </c>
      <c r="I555" s="18" t="str">
        <f>IF($A555="","",IFERROR(INDEX(Map!$E$2:$E$400,MATCH($A555,Map!$A$2:$A$400,0)),"⚠ UNMAPPED"))</f>
        <v/>
      </c>
      <c r="J555" s="18" t="str">
        <f>IF($A555="","",IFERROR(INDEX(Map!$F$2:$F$400,MATCH($A555,Map!$A$2:$A$400,0)),"⚠ UNMAPPED"))</f>
        <v/>
      </c>
    </row>
    <row r="556" spans="7:10" x14ac:dyDescent="0.25">
      <c r="G556" s="158" t="str">
        <f>IF($A556="","",IFERROR(INDEX(Map!$C$2:$C$400,MATCH($A556,Map!$A$2:$A$400,0)),"⚠ UNMAPPED"))</f>
        <v/>
      </c>
      <c r="H556" s="18" t="str">
        <f>IF($A556="","",IFERROR(INDEX(Map!$D$2:$D$400,MATCH($A556,Map!$A$2:$A$400,0)),"⚠ UNMAPPED"))</f>
        <v/>
      </c>
      <c r="I556" s="18" t="str">
        <f>IF($A556="","",IFERROR(INDEX(Map!$E$2:$E$400,MATCH($A556,Map!$A$2:$A$400,0)),"⚠ UNMAPPED"))</f>
        <v/>
      </c>
      <c r="J556" s="18" t="str">
        <f>IF($A556="","",IFERROR(INDEX(Map!$F$2:$F$400,MATCH($A556,Map!$A$2:$A$400,0)),"⚠ UNMAPPED"))</f>
        <v/>
      </c>
    </row>
    <row r="557" spans="7:10" x14ac:dyDescent="0.25">
      <c r="G557" s="158" t="str">
        <f>IF($A557="","",IFERROR(INDEX(Map!$C$2:$C$400,MATCH($A557,Map!$A$2:$A$400,0)),"⚠ UNMAPPED"))</f>
        <v/>
      </c>
      <c r="H557" s="18" t="str">
        <f>IF($A557="","",IFERROR(INDEX(Map!$D$2:$D$400,MATCH($A557,Map!$A$2:$A$400,0)),"⚠ UNMAPPED"))</f>
        <v/>
      </c>
      <c r="I557" s="18" t="str">
        <f>IF($A557="","",IFERROR(INDEX(Map!$E$2:$E$400,MATCH($A557,Map!$A$2:$A$400,0)),"⚠ UNMAPPED"))</f>
        <v/>
      </c>
      <c r="J557" s="18" t="str">
        <f>IF($A557="","",IFERROR(INDEX(Map!$F$2:$F$400,MATCH($A557,Map!$A$2:$A$400,0)),"⚠ UNMAPPED"))</f>
        <v/>
      </c>
    </row>
    <row r="558" spans="7:10" x14ac:dyDescent="0.25">
      <c r="G558" s="158" t="str">
        <f>IF($A558="","",IFERROR(INDEX(Map!$C$2:$C$400,MATCH($A558,Map!$A$2:$A$400,0)),"⚠ UNMAPPED"))</f>
        <v/>
      </c>
      <c r="H558" s="18" t="str">
        <f>IF($A558="","",IFERROR(INDEX(Map!$D$2:$D$400,MATCH($A558,Map!$A$2:$A$400,0)),"⚠ UNMAPPED"))</f>
        <v/>
      </c>
      <c r="I558" s="18" t="str">
        <f>IF($A558="","",IFERROR(INDEX(Map!$E$2:$E$400,MATCH($A558,Map!$A$2:$A$400,0)),"⚠ UNMAPPED"))</f>
        <v/>
      </c>
      <c r="J558" s="18" t="str">
        <f>IF($A558="","",IFERROR(INDEX(Map!$F$2:$F$400,MATCH($A558,Map!$A$2:$A$400,0)),"⚠ UNMAPPED"))</f>
        <v/>
      </c>
    </row>
    <row r="559" spans="7:10" x14ac:dyDescent="0.25">
      <c r="G559" s="158" t="str">
        <f>IF($A559="","",IFERROR(INDEX(Map!$C$2:$C$400,MATCH($A559,Map!$A$2:$A$400,0)),"⚠ UNMAPPED"))</f>
        <v/>
      </c>
      <c r="H559" s="18" t="str">
        <f>IF($A559="","",IFERROR(INDEX(Map!$D$2:$D$400,MATCH($A559,Map!$A$2:$A$400,0)),"⚠ UNMAPPED"))</f>
        <v/>
      </c>
      <c r="I559" s="18" t="str">
        <f>IF($A559="","",IFERROR(INDEX(Map!$E$2:$E$400,MATCH($A559,Map!$A$2:$A$400,0)),"⚠ UNMAPPED"))</f>
        <v/>
      </c>
      <c r="J559" s="18" t="str">
        <f>IF($A559="","",IFERROR(INDEX(Map!$F$2:$F$400,MATCH($A559,Map!$A$2:$A$400,0)),"⚠ UNMAPPED"))</f>
        <v/>
      </c>
    </row>
    <row r="560" spans="7:10" x14ac:dyDescent="0.25">
      <c r="G560" s="158" t="str">
        <f>IF($A560="","",IFERROR(INDEX(Map!$C$2:$C$400,MATCH($A560,Map!$A$2:$A$400,0)),"⚠ UNMAPPED"))</f>
        <v/>
      </c>
      <c r="H560" s="18" t="str">
        <f>IF($A560="","",IFERROR(INDEX(Map!$D$2:$D$400,MATCH($A560,Map!$A$2:$A$400,0)),"⚠ UNMAPPED"))</f>
        <v/>
      </c>
      <c r="I560" s="18" t="str">
        <f>IF($A560="","",IFERROR(INDEX(Map!$E$2:$E$400,MATCH($A560,Map!$A$2:$A$400,0)),"⚠ UNMAPPED"))</f>
        <v/>
      </c>
      <c r="J560" s="18" t="str">
        <f>IF($A560="","",IFERROR(INDEX(Map!$F$2:$F$400,MATCH($A560,Map!$A$2:$A$400,0)),"⚠ UNMAPPED"))</f>
        <v/>
      </c>
    </row>
    <row r="561" spans="7:10" x14ac:dyDescent="0.25">
      <c r="G561" s="158" t="str">
        <f>IF($A561="","",IFERROR(INDEX(Map!$C$2:$C$400,MATCH($A561,Map!$A$2:$A$400,0)),"⚠ UNMAPPED"))</f>
        <v/>
      </c>
      <c r="H561" s="18" t="str">
        <f>IF($A561="","",IFERROR(INDEX(Map!$D$2:$D$400,MATCH($A561,Map!$A$2:$A$400,0)),"⚠ UNMAPPED"))</f>
        <v/>
      </c>
      <c r="I561" s="18" t="str">
        <f>IF($A561="","",IFERROR(INDEX(Map!$E$2:$E$400,MATCH($A561,Map!$A$2:$A$400,0)),"⚠ UNMAPPED"))</f>
        <v/>
      </c>
      <c r="J561" s="18" t="str">
        <f>IF($A561="","",IFERROR(INDEX(Map!$F$2:$F$400,MATCH($A561,Map!$A$2:$A$400,0)),"⚠ UNMAPPED"))</f>
        <v/>
      </c>
    </row>
    <row r="562" spans="7:10" x14ac:dyDescent="0.25">
      <c r="G562" s="158" t="str">
        <f>IF($A562="","",IFERROR(INDEX(Map!$C$2:$C$400,MATCH($A562,Map!$A$2:$A$400,0)),"⚠ UNMAPPED"))</f>
        <v/>
      </c>
      <c r="H562" s="18" t="str">
        <f>IF($A562="","",IFERROR(INDEX(Map!$D$2:$D$400,MATCH($A562,Map!$A$2:$A$400,0)),"⚠ UNMAPPED"))</f>
        <v/>
      </c>
      <c r="I562" s="18" t="str">
        <f>IF($A562="","",IFERROR(INDEX(Map!$E$2:$E$400,MATCH($A562,Map!$A$2:$A$400,0)),"⚠ UNMAPPED"))</f>
        <v/>
      </c>
      <c r="J562" s="18" t="str">
        <f>IF($A562="","",IFERROR(INDEX(Map!$F$2:$F$400,MATCH($A562,Map!$A$2:$A$400,0)),"⚠ UNMAPPED"))</f>
        <v/>
      </c>
    </row>
    <row r="563" spans="7:10" x14ac:dyDescent="0.25">
      <c r="G563" s="158" t="str">
        <f>IF($A563="","",IFERROR(INDEX(Map!$C$2:$C$400,MATCH($A563,Map!$A$2:$A$400,0)),"⚠ UNMAPPED"))</f>
        <v/>
      </c>
      <c r="H563" s="18" t="str">
        <f>IF($A563="","",IFERROR(INDEX(Map!$D$2:$D$400,MATCH($A563,Map!$A$2:$A$400,0)),"⚠ UNMAPPED"))</f>
        <v/>
      </c>
      <c r="I563" s="18" t="str">
        <f>IF($A563="","",IFERROR(INDEX(Map!$E$2:$E$400,MATCH($A563,Map!$A$2:$A$400,0)),"⚠ UNMAPPED"))</f>
        <v/>
      </c>
      <c r="J563" s="18" t="str">
        <f>IF($A563="","",IFERROR(INDEX(Map!$F$2:$F$400,MATCH($A563,Map!$A$2:$A$400,0)),"⚠ UNMAPPED"))</f>
        <v/>
      </c>
    </row>
    <row r="564" spans="7:10" x14ac:dyDescent="0.25">
      <c r="G564" s="158" t="str">
        <f>IF($A564="","",IFERROR(INDEX(Map!$C$2:$C$400,MATCH($A564,Map!$A$2:$A$400,0)),"⚠ UNMAPPED"))</f>
        <v/>
      </c>
      <c r="H564" s="18" t="str">
        <f>IF($A564="","",IFERROR(INDEX(Map!$D$2:$D$400,MATCH($A564,Map!$A$2:$A$400,0)),"⚠ UNMAPPED"))</f>
        <v/>
      </c>
      <c r="I564" s="18" t="str">
        <f>IF($A564="","",IFERROR(INDEX(Map!$E$2:$E$400,MATCH($A564,Map!$A$2:$A$400,0)),"⚠ UNMAPPED"))</f>
        <v/>
      </c>
      <c r="J564" s="18" t="str">
        <f>IF($A564="","",IFERROR(INDEX(Map!$F$2:$F$400,MATCH($A564,Map!$A$2:$A$400,0)),"⚠ UNMAPPED"))</f>
        <v/>
      </c>
    </row>
    <row r="565" spans="7:10" x14ac:dyDescent="0.25">
      <c r="G565" s="158" t="str">
        <f>IF($A565="","",IFERROR(INDEX(Map!$C$2:$C$400,MATCH($A565,Map!$A$2:$A$400,0)),"⚠ UNMAPPED"))</f>
        <v/>
      </c>
      <c r="H565" s="18" t="str">
        <f>IF($A565="","",IFERROR(INDEX(Map!$D$2:$D$400,MATCH($A565,Map!$A$2:$A$400,0)),"⚠ UNMAPPED"))</f>
        <v/>
      </c>
      <c r="I565" s="18" t="str">
        <f>IF($A565="","",IFERROR(INDEX(Map!$E$2:$E$400,MATCH($A565,Map!$A$2:$A$400,0)),"⚠ UNMAPPED"))</f>
        <v/>
      </c>
      <c r="J565" s="18" t="str">
        <f>IF($A565="","",IFERROR(INDEX(Map!$F$2:$F$400,MATCH($A565,Map!$A$2:$A$400,0)),"⚠ UNMAPPED"))</f>
        <v/>
      </c>
    </row>
    <row r="566" spans="7:10" x14ac:dyDescent="0.25">
      <c r="G566" s="158" t="str">
        <f>IF($A566="","",IFERROR(INDEX(Map!$C$2:$C$400,MATCH($A566,Map!$A$2:$A$400,0)),"⚠ UNMAPPED"))</f>
        <v/>
      </c>
      <c r="H566" s="18" t="str">
        <f>IF($A566="","",IFERROR(INDEX(Map!$D$2:$D$400,MATCH($A566,Map!$A$2:$A$400,0)),"⚠ UNMAPPED"))</f>
        <v/>
      </c>
      <c r="I566" s="18" t="str">
        <f>IF($A566="","",IFERROR(INDEX(Map!$E$2:$E$400,MATCH($A566,Map!$A$2:$A$400,0)),"⚠ UNMAPPED"))</f>
        <v/>
      </c>
      <c r="J566" s="18" t="str">
        <f>IF($A566="","",IFERROR(INDEX(Map!$F$2:$F$400,MATCH($A566,Map!$A$2:$A$400,0)),"⚠ UNMAPPED"))</f>
        <v/>
      </c>
    </row>
    <row r="567" spans="7:10" x14ac:dyDescent="0.25">
      <c r="G567" s="158" t="str">
        <f>IF($A567="","",IFERROR(INDEX(Map!$C$2:$C$400,MATCH($A567,Map!$A$2:$A$400,0)),"⚠ UNMAPPED"))</f>
        <v/>
      </c>
      <c r="H567" s="18" t="str">
        <f>IF($A567="","",IFERROR(INDEX(Map!$D$2:$D$400,MATCH($A567,Map!$A$2:$A$400,0)),"⚠ UNMAPPED"))</f>
        <v/>
      </c>
      <c r="I567" s="18" t="str">
        <f>IF($A567="","",IFERROR(INDEX(Map!$E$2:$E$400,MATCH($A567,Map!$A$2:$A$400,0)),"⚠ UNMAPPED"))</f>
        <v/>
      </c>
      <c r="J567" s="18" t="str">
        <f>IF($A567="","",IFERROR(INDEX(Map!$F$2:$F$400,MATCH($A567,Map!$A$2:$A$400,0)),"⚠ UNMAPPED"))</f>
        <v/>
      </c>
    </row>
    <row r="568" spans="7:10" x14ac:dyDescent="0.25">
      <c r="G568" s="158" t="str">
        <f>IF($A568="","",IFERROR(INDEX(Map!$C$2:$C$400,MATCH($A568,Map!$A$2:$A$400,0)),"⚠ UNMAPPED"))</f>
        <v/>
      </c>
      <c r="H568" s="18" t="str">
        <f>IF($A568="","",IFERROR(INDEX(Map!$D$2:$D$400,MATCH($A568,Map!$A$2:$A$400,0)),"⚠ UNMAPPED"))</f>
        <v/>
      </c>
      <c r="I568" s="18" t="str">
        <f>IF($A568="","",IFERROR(INDEX(Map!$E$2:$E$400,MATCH($A568,Map!$A$2:$A$400,0)),"⚠ UNMAPPED"))</f>
        <v/>
      </c>
      <c r="J568" s="18" t="str">
        <f>IF($A568="","",IFERROR(INDEX(Map!$F$2:$F$400,MATCH($A568,Map!$A$2:$A$400,0)),"⚠ UNMAPPED"))</f>
        <v/>
      </c>
    </row>
    <row r="569" spans="7:10" x14ac:dyDescent="0.25">
      <c r="G569" s="158" t="str">
        <f>IF($A569="","",IFERROR(INDEX(Map!$C$2:$C$400,MATCH($A569,Map!$A$2:$A$400,0)),"⚠ UNMAPPED"))</f>
        <v/>
      </c>
      <c r="H569" s="18" t="str">
        <f>IF($A569="","",IFERROR(INDEX(Map!$D$2:$D$400,MATCH($A569,Map!$A$2:$A$400,0)),"⚠ UNMAPPED"))</f>
        <v/>
      </c>
      <c r="I569" s="18" t="str">
        <f>IF($A569="","",IFERROR(INDEX(Map!$E$2:$E$400,MATCH($A569,Map!$A$2:$A$400,0)),"⚠ UNMAPPED"))</f>
        <v/>
      </c>
      <c r="J569" s="18" t="str">
        <f>IF($A569="","",IFERROR(INDEX(Map!$F$2:$F$400,MATCH($A569,Map!$A$2:$A$400,0)),"⚠ UNMAPPED"))</f>
        <v/>
      </c>
    </row>
    <row r="570" spans="7:10" x14ac:dyDescent="0.25">
      <c r="G570" s="158" t="str">
        <f>IF($A570="","",IFERROR(INDEX(Map!$C$2:$C$400,MATCH($A570,Map!$A$2:$A$400,0)),"⚠ UNMAPPED"))</f>
        <v/>
      </c>
      <c r="H570" s="18" t="str">
        <f>IF($A570="","",IFERROR(INDEX(Map!$D$2:$D$400,MATCH($A570,Map!$A$2:$A$400,0)),"⚠ UNMAPPED"))</f>
        <v/>
      </c>
      <c r="I570" s="18" t="str">
        <f>IF($A570="","",IFERROR(INDEX(Map!$E$2:$E$400,MATCH($A570,Map!$A$2:$A$400,0)),"⚠ UNMAPPED"))</f>
        <v/>
      </c>
      <c r="J570" s="18" t="str">
        <f>IF($A570="","",IFERROR(INDEX(Map!$F$2:$F$400,MATCH($A570,Map!$A$2:$A$400,0)),"⚠ UNMAPPED"))</f>
        <v/>
      </c>
    </row>
    <row r="571" spans="7:10" x14ac:dyDescent="0.25">
      <c r="G571" s="158" t="str">
        <f>IF($A571="","",IFERROR(INDEX(Map!$C$2:$C$400,MATCH($A571,Map!$A$2:$A$400,0)),"⚠ UNMAPPED"))</f>
        <v/>
      </c>
      <c r="H571" s="18" t="str">
        <f>IF($A571="","",IFERROR(INDEX(Map!$D$2:$D$400,MATCH($A571,Map!$A$2:$A$400,0)),"⚠ UNMAPPED"))</f>
        <v/>
      </c>
      <c r="I571" s="18" t="str">
        <f>IF($A571="","",IFERROR(INDEX(Map!$E$2:$E$400,MATCH($A571,Map!$A$2:$A$400,0)),"⚠ UNMAPPED"))</f>
        <v/>
      </c>
      <c r="J571" s="18" t="str">
        <f>IF($A571="","",IFERROR(INDEX(Map!$F$2:$F$400,MATCH($A571,Map!$A$2:$A$400,0)),"⚠ UNMAPPED"))</f>
        <v/>
      </c>
    </row>
    <row r="572" spans="7:10" x14ac:dyDescent="0.25">
      <c r="G572" s="158" t="str">
        <f>IF($A572="","",IFERROR(INDEX(Map!$C$2:$C$400,MATCH($A572,Map!$A$2:$A$400,0)),"⚠ UNMAPPED"))</f>
        <v/>
      </c>
      <c r="H572" s="18" t="str">
        <f>IF($A572="","",IFERROR(INDEX(Map!$D$2:$D$400,MATCH($A572,Map!$A$2:$A$400,0)),"⚠ UNMAPPED"))</f>
        <v/>
      </c>
      <c r="I572" s="18" t="str">
        <f>IF($A572="","",IFERROR(INDEX(Map!$E$2:$E$400,MATCH($A572,Map!$A$2:$A$400,0)),"⚠ UNMAPPED"))</f>
        <v/>
      </c>
      <c r="J572" s="18" t="str">
        <f>IF($A572="","",IFERROR(INDEX(Map!$F$2:$F$400,MATCH($A572,Map!$A$2:$A$400,0)),"⚠ UNMAPPED"))</f>
        <v/>
      </c>
    </row>
    <row r="573" spans="7:10" x14ac:dyDescent="0.25">
      <c r="G573" s="158" t="str">
        <f>IF($A573="","",IFERROR(INDEX(Map!$C$2:$C$400,MATCH($A573,Map!$A$2:$A$400,0)),"⚠ UNMAPPED"))</f>
        <v/>
      </c>
      <c r="H573" s="18" t="str">
        <f>IF($A573="","",IFERROR(INDEX(Map!$D$2:$D$400,MATCH($A573,Map!$A$2:$A$400,0)),"⚠ UNMAPPED"))</f>
        <v/>
      </c>
      <c r="I573" s="18" t="str">
        <f>IF($A573="","",IFERROR(INDEX(Map!$E$2:$E$400,MATCH($A573,Map!$A$2:$A$400,0)),"⚠ UNMAPPED"))</f>
        <v/>
      </c>
      <c r="J573" s="18" t="str">
        <f>IF($A573="","",IFERROR(INDEX(Map!$F$2:$F$400,MATCH($A573,Map!$A$2:$A$400,0)),"⚠ UNMAPPED"))</f>
        <v/>
      </c>
    </row>
    <row r="574" spans="7:10" x14ac:dyDescent="0.25">
      <c r="G574" s="158" t="str">
        <f>IF($A574="","",IFERROR(INDEX(Map!$C$2:$C$400,MATCH($A574,Map!$A$2:$A$400,0)),"⚠ UNMAPPED"))</f>
        <v/>
      </c>
      <c r="H574" s="18" t="str">
        <f>IF($A574="","",IFERROR(INDEX(Map!$D$2:$D$400,MATCH($A574,Map!$A$2:$A$400,0)),"⚠ UNMAPPED"))</f>
        <v/>
      </c>
      <c r="I574" s="18" t="str">
        <f>IF($A574="","",IFERROR(INDEX(Map!$E$2:$E$400,MATCH($A574,Map!$A$2:$A$400,0)),"⚠ UNMAPPED"))</f>
        <v/>
      </c>
      <c r="J574" s="18" t="str">
        <f>IF($A574="","",IFERROR(INDEX(Map!$F$2:$F$400,MATCH($A574,Map!$A$2:$A$400,0)),"⚠ UNMAPPED"))</f>
        <v/>
      </c>
    </row>
    <row r="575" spans="7:10" x14ac:dyDescent="0.25">
      <c r="G575" s="158" t="str">
        <f>IF($A575="","",IFERROR(INDEX(Map!$C$2:$C$400,MATCH($A575,Map!$A$2:$A$400,0)),"⚠ UNMAPPED"))</f>
        <v/>
      </c>
      <c r="H575" s="18" t="str">
        <f>IF($A575="","",IFERROR(INDEX(Map!$D$2:$D$400,MATCH($A575,Map!$A$2:$A$400,0)),"⚠ UNMAPPED"))</f>
        <v/>
      </c>
      <c r="I575" s="18" t="str">
        <f>IF($A575="","",IFERROR(INDEX(Map!$E$2:$E$400,MATCH($A575,Map!$A$2:$A$400,0)),"⚠ UNMAPPED"))</f>
        <v/>
      </c>
      <c r="J575" s="18" t="str">
        <f>IF($A575="","",IFERROR(INDEX(Map!$F$2:$F$400,MATCH($A575,Map!$A$2:$A$400,0)),"⚠ UNMAPPED"))</f>
        <v/>
      </c>
    </row>
    <row r="576" spans="7:10" x14ac:dyDescent="0.25">
      <c r="G576" s="158" t="str">
        <f>IF($A576="","",IFERROR(INDEX(Map!$C$2:$C$400,MATCH($A576,Map!$A$2:$A$400,0)),"⚠ UNMAPPED"))</f>
        <v/>
      </c>
      <c r="H576" s="18" t="str">
        <f>IF($A576="","",IFERROR(INDEX(Map!$D$2:$D$400,MATCH($A576,Map!$A$2:$A$400,0)),"⚠ UNMAPPED"))</f>
        <v/>
      </c>
      <c r="I576" s="18" t="str">
        <f>IF($A576="","",IFERROR(INDEX(Map!$E$2:$E$400,MATCH($A576,Map!$A$2:$A$400,0)),"⚠ UNMAPPED"))</f>
        <v/>
      </c>
      <c r="J576" s="18" t="str">
        <f>IF($A576="","",IFERROR(INDEX(Map!$F$2:$F$400,MATCH($A576,Map!$A$2:$A$400,0)),"⚠ UNMAPPED"))</f>
        <v/>
      </c>
    </row>
    <row r="577" spans="7:10" x14ac:dyDescent="0.25">
      <c r="G577" s="158" t="str">
        <f>IF($A577="","",IFERROR(INDEX(Map!$C$2:$C$400,MATCH($A577,Map!$A$2:$A$400,0)),"⚠ UNMAPPED"))</f>
        <v/>
      </c>
      <c r="H577" s="18" t="str">
        <f>IF($A577="","",IFERROR(INDEX(Map!$D$2:$D$400,MATCH($A577,Map!$A$2:$A$400,0)),"⚠ UNMAPPED"))</f>
        <v/>
      </c>
      <c r="I577" s="18" t="str">
        <f>IF($A577="","",IFERROR(INDEX(Map!$E$2:$E$400,MATCH($A577,Map!$A$2:$A$400,0)),"⚠ UNMAPPED"))</f>
        <v/>
      </c>
      <c r="J577" s="18" t="str">
        <f>IF($A577="","",IFERROR(INDEX(Map!$F$2:$F$400,MATCH($A577,Map!$A$2:$A$400,0)),"⚠ UNMAPPED"))</f>
        <v/>
      </c>
    </row>
    <row r="578" spans="7:10" x14ac:dyDescent="0.25">
      <c r="G578" s="158" t="str">
        <f>IF($A578="","",IFERROR(INDEX(Map!$C$2:$C$400,MATCH($A578,Map!$A$2:$A$400,0)),"⚠ UNMAPPED"))</f>
        <v/>
      </c>
      <c r="H578" s="18" t="str">
        <f>IF($A578="","",IFERROR(INDEX(Map!$D$2:$D$400,MATCH($A578,Map!$A$2:$A$400,0)),"⚠ UNMAPPED"))</f>
        <v/>
      </c>
      <c r="I578" s="18" t="str">
        <f>IF($A578="","",IFERROR(INDEX(Map!$E$2:$E$400,MATCH($A578,Map!$A$2:$A$400,0)),"⚠ UNMAPPED"))</f>
        <v/>
      </c>
      <c r="J578" s="18" t="str">
        <f>IF($A578="","",IFERROR(INDEX(Map!$F$2:$F$400,MATCH($A578,Map!$A$2:$A$400,0)),"⚠ UNMAPPED"))</f>
        <v/>
      </c>
    </row>
    <row r="579" spans="7:10" x14ac:dyDescent="0.25">
      <c r="G579" s="158" t="str">
        <f>IF($A579="","",IFERROR(INDEX(Map!$C$2:$C$400,MATCH($A579,Map!$A$2:$A$400,0)),"⚠ UNMAPPED"))</f>
        <v/>
      </c>
      <c r="H579" s="18" t="str">
        <f>IF($A579="","",IFERROR(INDEX(Map!$D$2:$D$400,MATCH($A579,Map!$A$2:$A$400,0)),"⚠ UNMAPPED"))</f>
        <v/>
      </c>
      <c r="I579" s="18" t="str">
        <f>IF($A579="","",IFERROR(INDEX(Map!$E$2:$E$400,MATCH($A579,Map!$A$2:$A$400,0)),"⚠ UNMAPPED"))</f>
        <v/>
      </c>
      <c r="J579" s="18" t="str">
        <f>IF($A579="","",IFERROR(INDEX(Map!$F$2:$F$400,MATCH($A579,Map!$A$2:$A$400,0)),"⚠ UNMAPPED"))</f>
        <v/>
      </c>
    </row>
    <row r="580" spans="7:10" x14ac:dyDescent="0.25">
      <c r="G580" s="158" t="str">
        <f>IF($A580="","",IFERROR(INDEX(Map!$C$2:$C$400,MATCH($A580,Map!$A$2:$A$400,0)),"⚠ UNMAPPED"))</f>
        <v/>
      </c>
      <c r="H580" s="18" t="str">
        <f>IF($A580="","",IFERROR(INDEX(Map!$D$2:$D$400,MATCH($A580,Map!$A$2:$A$400,0)),"⚠ UNMAPPED"))</f>
        <v/>
      </c>
      <c r="I580" s="18" t="str">
        <f>IF($A580="","",IFERROR(INDEX(Map!$E$2:$E$400,MATCH($A580,Map!$A$2:$A$400,0)),"⚠ UNMAPPED"))</f>
        <v/>
      </c>
      <c r="J580" s="18" t="str">
        <f>IF($A580="","",IFERROR(INDEX(Map!$F$2:$F$400,MATCH($A580,Map!$A$2:$A$400,0)),"⚠ UNMAPPED"))</f>
        <v/>
      </c>
    </row>
    <row r="581" spans="7:10" x14ac:dyDescent="0.25">
      <c r="G581" s="158" t="str">
        <f>IF($A581="","",IFERROR(INDEX(Map!$C$2:$C$400,MATCH($A581,Map!$A$2:$A$400,0)),"⚠ UNMAPPED"))</f>
        <v/>
      </c>
      <c r="H581" s="18" t="str">
        <f>IF($A581="","",IFERROR(INDEX(Map!$D$2:$D$400,MATCH($A581,Map!$A$2:$A$400,0)),"⚠ UNMAPPED"))</f>
        <v/>
      </c>
      <c r="I581" s="18" t="str">
        <f>IF($A581="","",IFERROR(INDEX(Map!$E$2:$E$400,MATCH($A581,Map!$A$2:$A$400,0)),"⚠ UNMAPPED"))</f>
        <v/>
      </c>
      <c r="J581" s="18" t="str">
        <f>IF($A581="","",IFERROR(INDEX(Map!$F$2:$F$400,MATCH($A581,Map!$A$2:$A$400,0)),"⚠ UNMAPPED"))</f>
        <v/>
      </c>
    </row>
    <row r="582" spans="7:10" x14ac:dyDescent="0.25">
      <c r="G582" s="158" t="str">
        <f>IF($A582="","",IFERROR(INDEX(Map!$C$2:$C$400,MATCH($A582,Map!$A$2:$A$400,0)),"⚠ UNMAPPED"))</f>
        <v/>
      </c>
      <c r="H582" s="18" t="str">
        <f>IF($A582="","",IFERROR(INDEX(Map!$D$2:$D$400,MATCH($A582,Map!$A$2:$A$400,0)),"⚠ UNMAPPED"))</f>
        <v/>
      </c>
      <c r="I582" s="18" t="str">
        <f>IF($A582="","",IFERROR(INDEX(Map!$E$2:$E$400,MATCH($A582,Map!$A$2:$A$400,0)),"⚠ UNMAPPED"))</f>
        <v/>
      </c>
      <c r="J582" s="18" t="str">
        <f>IF($A582="","",IFERROR(INDEX(Map!$F$2:$F$400,MATCH($A582,Map!$A$2:$A$400,0)),"⚠ UNMAPPED"))</f>
        <v/>
      </c>
    </row>
    <row r="583" spans="7:10" x14ac:dyDescent="0.25">
      <c r="G583" s="158" t="str">
        <f>IF($A583="","",IFERROR(INDEX(Map!$C$2:$C$400,MATCH($A583,Map!$A$2:$A$400,0)),"⚠ UNMAPPED"))</f>
        <v/>
      </c>
      <c r="H583" s="18" t="str">
        <f>IF($A583="","",IFERROR(INDEX(Map!$D$2:$D$400,MATCH($A583,Map!$A$2:$A$400,0)),"⚠ UNMAPPED"))</f>
        <v/>
      </c>
      <c r="I583" s="18" t="str">
        <f>IF($A583="","",IFERROR(INDEX(Map!$E$2:$E$400,MATCH($A583,Map!$A$2:$A$400,0)),"⚠ UNMAPPED"))</f>
        <v/>
      </c>
      <c r="J583" s="18" t="str">
        <f>IF($A583="","",IFERROR(INDEX(Map!$F$2:$F$400,MATCH($A583,Map!$A$2:$A$400,0)),"⚠ UNMAPPED"))</f>
        <v/>
      </c>
    </row>
    <row r="584" spans="7:10" x14ac:dyDescent="0.25">
      <c r="G584" s="158" t="str">
        <f>IF($A584="","",IFERROR(INDEX(Map!$C$2:$C$400,MATCH($A584,Map!$A$2:$A$400,0)),"⚠ UNMAPPED"))</f>
        <v/>
      </c>
      <c r="H584" s="18" t="str">
        <f>IF($A584="","",IFERROR(INDEX(Map!$D$2:$D$400,MATCH($A584,Map!$A$2:$A$400,0)),"⚠ UNMAPPED"))</f>
        <v/>
      </c>
      <c r="I584" s="18" t="str">
        <f>IF($A584="","",IFERROR(INDEX(Map!$E$2:$E$400,MATCH($A584,Map!$A$2:$A$400,0)),"⚠ UNMAPPED"))</f>
        <v/>
      </c>
      <c r="J584" s="18" t="str">
        <f>IF($A584="","",IFERROR(INDEX(Map!$F$2:$F$400,MATCH($A584,Map!$A$2:$A$400,0)),"⚠ UNMAPPED"))</f>
        <v/>
      </c>
    </row>
    <row r="585" spans="7:10" x14ac:dyDescent="0.25">
      <c r="G585" s="158" t="str">
        <f>IF($A585="","",IFERROR(INDEX(Map!$C$2:$C$400,MATCH($A585,Map!$A$2:$A$400,0)),"⚠ UNMAPPED"))</f>
        <v/>
      </c>
      <c r="H585" s="18" t="str">
        <f>IF($A585="","",IFERROR(INDEX(Map!$D$2:$D$400,MATCH($A585,Map!$A$2:$A$400,0)),"⚠ UNMAPPED"))</f>
        <v/>
      </c>
      <c r="I585" s="18" t="str">
        <f>IF($A585="","",IFERROR(INDEX(Map!$E$2:$E$400,MATCH($A585,Map!$A$2:$A$400,0)),"⚠ UNMAPPED"))</f>
        <v/>
      </c>
      <c r="J585" s="18" t="str">
        <f>IF($A585="","",IFERROR(INDEX(Map!$F$2:$F$400,MATCH($A585,Map!$A$2:$A$400,0)),"⚠ UNMAPPED"))</f>
        <v/>
      </c>
    </row>
    <row r="586" spans="7:10" x14ac:dyDescent="0.25">
      <c r="G586" s="158" t="str">
        <f>IF($A586="","",IFERROR(INDEX(Map!$C$2:$C$400,MATCH($A586,Map!$A$2:$A$400,0)),"⚠ UNMAPPED"))</f>
        <v/>
      </c>
      <c r="H586" s="18" t="str">
        <f>IF($A586="","",IFERROR(INDEX(Map!$D$2:$D$400,MATCH($A586,Map!$A$2:$A$400,0)),"⚠ UNMAPPED"))</f>
        <v/>
      </c>
      <c r="I586" s="18" t="str">
        <f>IF($A586="","",IFERROR(INDEX(Map!$E$2:$E$400,MATCH($A586,Map!$A$2:$A$400,0)),"⚠ UNMAPPED"))</f>
        <v/>
      </c>
      <c r="J586" s="18" t="str">
        <f>IF($A586="","",IFERROR(INDEX(Map!$F$2:$F$400,MATCH($A586,Map!$A$2:$A$400,0)),"⚠ UNMAPPED"))</f>
        <v/>
      </c>
    </row>
    <row r="587" spans="7:10" x14ac:dyDescent="0.25">
      <c r="G587" s="158" t="str">
        <f>IF($A587="","",IFERROR(INDEX(Map!$C$2:$C$400,MATCH($A587,Map!$A$2:$A$400,0)),"⚠ UNMAPPED"))</f>
        <v/>
      </c>
      <c r="H587" s="18" t="str">
        <f>IF($A587="","",IFERROR(INDEX(Map!$D$2:$D$400,MATCH($A587,Map!$A$2:$A$400,0)),"⚠ UNMAPPED"))</f>
        <v/>
      </c>
      <c r="I587" s="18" t="str">
        <f>IF($A587="","",IFERROR(INDEX(Map!$E$2:$E$400,MATCH($A587,Map!$A$2:$A$400,0)),"⚠ UNMAPPED"))</f>
        <v/>
      </c>
      <c r="J587" s="18" t="str">
        <f>IF($A587="","",IFERROR(INDEX(Map!$F$2:$F$400,MATCH($A587,Map!$A$2:$A$400,0)),"⚠ UNMAPPED"))</f>
        <v/>
      </c>
    </row>
    <row r="588" spans="7:10" x14ac:dyDescent="0.25">
      <c r="G588" s="158" t="str">
        <f>IF($A588="","",IFERROR(INDEX(Map!$C$2:$C$400,MATCH($A588,Map!$A$2:$A$400,0)),"⚠ UNMAPPED"))</f>
        <v/>
      </c>
      <c r="H588" s="18" t="str">
        <f>IF($A588="","",IFERROR(INDEX(Map!$D$2:$D$400,MATCH($A588,Map!$A$2:$A$400,0)),"⚠ UNMAPPED"))</f>
        <v/>
      </c>
      <c r="I588" s="18" t="str">
        <f>IF($A588="","",IFERROR(INDEX(Map!$E$2:$E$400,MATCH($A588,Map!$A$2:$A$400,0)),"⚠ UNMAPPED"))</f>
        <v/>
      </c>
      <c r="J588" s="18" t="str">
        <f>IF($A588="","",IFERROR(INDEX(Map!$F$2:$F$400,MATCH($A588,Map!$A$2:$A$400,0)),"⚠ UNMAPPED"))</f>
        <v/>
      </c>
    </row>
    <row r="589" spans="7:10" x14ac:dyDescent="0.25">
      <c r="G589" s="158" t="str">
        <f>IF($A589="","",IFERROR(INDEX(Map!$C$2:$C$400,MATCH($A589,Map!$A$2:$A$400,0)),"⚠ UNMAPPED"))</f>
        <v/>
      </c>
      <c r="H589" s="18" t="str">
        <f>IF($A589="","",IFERROR(INDEX(Map!$D$2:$D$400,MATCH($A589,Map!$A$2:$A$400,0)),"⚠ UNMAPPED"))</f>
        <v/>
      </c>
      <c r="I589" s="18" t="str">
        <f>IF($A589="","",IFERROR(INDEX(Map!$E$2:$E$400,MATCH($A589,Map!$A$2:$A$400,0)),"⚠ UNMAPPED"))</f>
        <v/>
      </c>
      <c r="J589" s="18" t="str">
        <f>IF($A589="","",IFERROR(INDEX(Map!$F$2:$F$400,MATCH($A589,Map!$A$2:$A$400,0)),"⚠ UNMAPPED"))</f>
        <v/>
      </c>
    </row>
    <row r="590" spans="7:10" x14ac:dyDescent="0.25">
      <c r="G590" s="158" t="str">
        <f>IF($A590="","",IFERROR(INDEX(Map!$C$2:$C$400,MATCH($A590,Map!$A$2:$A$400,0)),"⚠ UNMAPPED"))</f>
        <v/>
      </c>
      <c r="H590" s="18" t="str">
        <f>IF($A590="","",IFERROR(INDEX(Map!$D$2:$D$400,MATCH($A590,Map!$A$2:$A$400,0)),"⚠ UNMAPPED"))</f>
        <v/>
      </c>
      <c r="I590" s="18" t="str">
        <f>IF($A590="","",IFERROR(INDEX(Map!$E$2:$E$400,MATCH($A590,Map!$A$2:$A$400,0)),"⚠ UNMAPPED"))</f>
        <v/>
      </c>
      <c r="J590" s="18" t="str">
        <f>IF($A590="","",IFERROR(INDEX(Map!$F$2:$F$400,MATCH($A590,Map!$A$2:$A$400,0)),"⚠ UNMAPPED"))</f>
        <v/>
      </c>
    </row>
    <row r="591" spans="7:10" x14ac:dyDescent="0.25">
      <c r="G591" s="158" t="str">
        <f>IF($A591="","",IFERROR(INDEX(Map!$C$2:$C$400,MATCH($A591,Map!$A$2:$A$400,0)),"⚠ UNMAPPED"))</f>
        <v/>
      </c>
      <c r="H591" s="18" t="str">
        <f>IF($A591="","",IFERROR(INDEX(Map!$D$2:$D$400,MATCH($A591,Map!$A$2:$A$400,0)),"⚠ UNMAPPED"))</f>
        <v/>
      </c>
      <c r="I591" s="18" t="str">
        <f>IF($A591="","",IFERROR(INDEX(Map!$E$2:$E$400,MATCH($A591,Map!$A$2:$A$400,0)),"⚠ UNMAPPED"))</f>
        <v/>
      </c>
      <c r="J591" s="18" t="str">
        <f>IF($A591="","",IFERROR(INDEX(Map!$F$2:$F$400,MATCH($A591,Map!$A$2:$A$400,0)),"⚠ UNMAPPED"))</f>
        <v/>
      </c>
    </row>
    <row r="592" spans="7:10" x14ac:dyDescent="0.25">
      <c r="G592" s="158" t="str">
        <f>IF($A592="","",IFERROR(INDEX(Map!$C$2:$C$400,MATCH($A592,Map!$A$2:$A$400,0)),"⚠ UNMAPPED"))</f>
        <v/>
      </c>
      <c r="H592" s="18" t="str">
        <f>IF($A592="","",IFERROR(INDEX(Map!$D$2:$D$400,MATCH($A592,Map!$A$2:$A$400,0)),"⚠ UNMAPPED"))</f>
        <v/>
      </c>
      <c r="I592" s="18" t="str">
        <f>IF($A592="","",IFERROR(INDEX(Map!$E$2:$E$400,MATCH($A592,Map!$A$2:$A$400,0)),"⚠ UNMAPPED"))</f>
        <v/>
      </c>
      <c r="J592" s="18" t="str">
        <f>IF($A592="","",IFERROR(INDEX(Map!$F$2:$F$400,MATCH($A592,Map!$A$2:$A$400,0)),"⚠ UNMAPPED"))</f>
        <v/>
      </c>
    </row>
    <row r="593" spans="7:10" x14ac:dyDescent="0.25">
      <c r="G593" s="158" t="str">
        <f>IF($A593="","",IFERROR(INDEX(Map!$C$2:$C$400,MATCH($A593,Map!$A$2:$A$400,0)),"⚠ UNMAPPED"))</f>
        <v/>
      </c>
      <c r="H593" s="18" t="str">
        <f>IF($A593="","",IFERROR(INDEX(Map!$D$2:$D$400,MATCH($A593,Map!$A$2:$A$400,0)),"⚠ UNMAPPED"))</f>
        <v/>
      </c>
      <c r="I593" s="18" t="str">
        <f>IF($A593="","",IFERROR(INDEX(Map!$E$2:$E$400,MATCH($A593,Map!$A$2:$A$400,0)),"⚠ UNMAPPED"))</f>
        <v/>
      </c>
      <c r="J593" s="18" t="str">
        <f>IF($A593="","",IFERROR(INDEX(Map!$F$2:$F$400,MATCH($A593,Map!$A$2:$A$400,0)),"⚠ UNMAPPED"))</f>
        <v/>
      </c>
    </row>
    <row r="594" spans="7:10" x14ac:dyDescent="0.25">
      <c r="G594" s="158" t="str">
        <f>IF($A594="","",IFERROR(INDEX(Map!$C$2:$C$400,MATCH($A594,Map!$A$2:$A$400,0)),"⚠ UNMAPPED"))</f>
        <v/>
      </c>
      <c r="H594" s="18" t="str">
        <f>IF($A594="","",IFERROR(INDEX(Map!$D$2:$D$400,MATCH($A594,Map!$A$2:$A$400,0)),"⚠ UNMAPPED"))</f>
        <v/>
      </c>
      <c r="I594" s="18" t="str">
        <f>IF($A594="","",IFERROR(INDEX(Map!$E$2:$E$400,MATCH($A594,Map!$A$2:$A$400,0)),"⚠ UNMAPPED"))</f>
        <v/>
      </c>
      <c r="J594" s="18" t="str">
        <f>IF($A594="","",IFERROR(INDEX(Map!$F$2:$F$400,MATCH($A594,Map!$A$2:$A$400,0)),"⚠ UNMAPPED"))</f>
        <v/>
      </c>
    </row>
    <row r="595" spans="7:10" x14ac:dyDescent="0.25">
      <c r="G595" s="158" t="str">
        <f>IF($A595="","",IFERROR(INDEX(Map!$C$2:$C$400,MATCH($A595,Map!$A$2:$A$400,0)),"⚠ UNMAPPED"))</f>
        <v/>
      </c>
      <c r="H595" s="18" t="str">
        <f>IF($A595="","",IFERROR(INDEX(Map!$D$2:$D$400,MATCH($A595,Map!$A$2:$A$400,0)),"⚠ UNMAPPED"))</f>
        <v/>
      </c>
      <c r="I595" s="18" t="str">
        <f>IF($A595="","",IFERROR(INDEX(Map!$E$2:$E$400,MATCH($A595,Map!$A$2:$A$400,0)),"⚠ UNMAPPED"))</f>
        <v/>
      </c>
      <c r="J595" s="18" t="str">
        <f>IF($A595="","",IFERROR(INDEX(Map!$F$2:$F$400,MATCH($A595,Map!$A$2:$A$400,0)),"⚠ UNMAPPED"))</f>
        <v/>
      </c>
    </row>
    <row r="596" spans="7:10" x14ac:dyDescent="0.25">
      <c r="G596" s="158" t="str">
        <f>IF($A596="","",IFERROR(INDEX(Map!$C$2:$C$400,MATCH($A596,Map!$A$2:$A$400,0)),"⚠ UNMAPPED"))</f>
        <v/>
      </c>
      <c r="H596" s="18" t="str">
        <f>IF($A596="","",IFERROR(INDEX(Map!$D$2:$D$400,MATCH($A596,Map!$A$2:$A$400,0)),"⚠ UNMAPPED"))</f>
        <v/>
      </c>
      <c r="I596" s="18" t="str">
        <f>IF($A596="","",IFERROR(INDEX(Map!$E$2:$E$400,MATCH($A596,Map!$A$2:$A$400,0)),"⚠ UNMAPPED"))</f>
        <v/>
      </c>
      <c r="J596" s="18" t="str">
        <f>IF($A596="","",IFERROR(INDEX(Map!$F$2:$F$400,MATCH($A596,Map!$A$2:$A$400,0)),"⚠ UNMAPPED"))</f>
        <v/>
      </c>
    </row>
    <row r="597" spans="7:10" x14ac:dyDescent="0.25">
      <c r="G597" s="158" t="str">
        <f>IF($A597="","",IFERROR(INDEX(Map!$C$2:$C$400,MATCH($A597,Map!$A$2:$A$400,0)),"⚠ UNMAPPED"))</f>
        <v/>
      </c>
      <c r="H597" s="18" t="str">
        <f>IF($A597="","",IFERROR(INDEX(Map!$D$2:$D$400,MATCH($A597,Map!$A$2:$A$400,0)),"⚠ UNMAPPED"))</f>
        <v/>
      </c>
      <c r="I597" s="18" t="str">
        <f>IF($A597="","",IFERROR(INDEX(Map!$E$2:$E$400,MATCH($A597,Map!$A$2:$A$400,0)),"⚠ UNMAPPED"))</f>
        <v/>
      </c>
      <c r="J597" s="18" t="str">
        <f>IF($A597="","",IFERROR(INDEX(Map!$F$2:$F$400,MATCH($A597,Map!$A$2:$A$400,0)),"⚠ UNMAPPED"))</f>
        <v/>
      </c>
    </row>
    <row r="598" spans="7:10" x14ac:dyDescent="0.25">
      <c r="G598" s="158" t="str">
        <f>IF($A598="","",IFERROR(INDEX(Map!$C$2:$C$400,MATCH($A598,Map!$A$2:$A$400,0)),"⚠ UNMAPPED"))</f>
        <v/>
      </c>
      <c r="H598" s="18" t="str">
        <f>IF($A598="","",IFERROR(INDEX(Map!$D$2:$D$400,MATCH($A598,Map!$A$2:$A$400,0)),"⚠ UNMAPPED"))</f>
        <v/>
      </c>
      <c r="I598" s="18" t="str">
        <f>IF($A598="","",IFERROR(INDEX(Map!$E$2:$E$400,MATCH($A598,Map!$A$2:$A$400,0)),"⚠ UNMAPPED"))</f>
        <v/>
      </c>
      <c r="J598" s="18" t="str">
        <f>IF($A598="","",IFERROR(INDEX(Map!$F$2:$F$400,MATCH($A598,Map!$A$2:$A$400,0)),"⚠ UNMAPPED"))</f>
        <v/>
      </c>
    </row>
    <row r="599" spans="7:10" x14ac:dyDescent="0.25">
      <c r="G599" s="158" t="str">
        <f>IF($A599="","",IFERROR(INDEX(Map!$C$2:$C$400,MATCH($A599,Map!$A$2:$A$400,0)),"⚠ UNMAPPED"))</f>
        <v/>
      </c>
      <c r="H599" s="18" t="str">
        <f>IF($A599="","",IFERROR(INDEX(Map!$D$2:$D$400,MATCH($A599,Map!$A$2:$A$400,0)),"⚠ UNMAPPED"))</f>
        <v/>
      </c>
      <c r="I599" s="18" t="str">
        <f>IF($A599="","",IFERROR(INDEX(Map!$E$2:$E$400,MATCH($A599,Map!$A$2:$A$400,0)),"⚠ UNMAPPED"))</f>
        <v/>
      </c>
      <c r="J599" s="18" t="str">
        <f>IF($A599="","",IFERROR(INDEX(Map!$F$2:$F$400,MATCH($A599,Map!$A$2:$A$400,0)),"⚠ UNMAPPED"))</f>
        <v/>
      </c>
    </row>
    <row r="600" spans="7:10" x14ac:dyDescent="0.25">
      <c r="G600" s="158" t="str">
        <f>IF($A600="","",IFERROR(INDEX(Map!$C$2:$C$400,MATCH($A600,Map!$A$2:$A$400,0)),"⚠ UNMAPPED"))</f>
        <v/>
      </c>
      <c r="H600" s="18" t="str">
        <f>IF($A600="","",IFERROR(INDEX(Map!$D$2:$D$400,MATCH($A600,Map!$A$2:$A$400,0)),"⚠ UNMAPPED"))</f>
        <v/>
      </c>
      <c r="I600" s="18" t="str">
        <f>IF($A600="","",IFERROR(INDEX(Map!$E$2:$E$400,MATCH($A600,Map!$A$2:$A$400,0)),"⚠ UNMAPPED"))</f>
        <v/>
      </c>
      <c r="J600" s="18" t="str">
        <f>IF($A600="","",IFERROR(INDEX(Map!$F$2:$F$400,MATCH($A600,Map!$A$2:$A$400,0)),"⚠ UNMAPPED"))</f>
        <v/>
      </c>
    </row>
    <row r="601" spans="7:10" x14ac:dyDescent="0.25">
      <c r="G601" s="158" t="str">
        <f>IF($A601="","",IFERROR(INDEX(Map!$C$2:$C$400,MATCH($A601,Map!$A$2:$A$400,0)),"⚠ UNMAPPED"))</f>
        <v/>
      </c>
      <c r="H601" s="18" t="str">
        <f>IF($A601="","",IFERROR(INDEX(Map!$D$2:$D$400,MATCH($A601,Map!$A$2:$A$400,0)),"⚠ UNMAPPED"))</f>
        <v/>
      </c>
      <c r="I601" s="18" t="str">
        <f>IF($A601="","",IFERROR(INDEX(Map!$E$2:$E$400,MATCH($A601,Map!$A$2:$A$400,0)),"⚠ UNMAPPED"))</f>
        <v/>
      </c>
      <c r="J601" s="18" t="str">
        <f>IF($A601="","",IFERROR(INDEX(Map!$F$2:$F$400,MATCH($A601,Map!$A$2:$A$400,0)),"⚠ UNMAPPED"))</f>
        <v/>
      </c>
    </row>
    <row r="602" spans="7:10" x14ac:dyDescent="0.25">
      <c r="G602" s="158" t="str">
        <f>IF($A602="","",IFERROR(INDEX(Map!$C$2:$C$400,MATCH($A602,Map!$A$2:$A$400,0)),"⚠ UNMAPPED"))</f>
        <v/>
      </c>
      <c r="H602" s="18" t="str">
        <f>IF($A602="","",IFERROR(INDEX(Map!$D$2:$D$400,MATCH($A602,Map!$A$2:$A$400,0)),"⚠ UNMAPPED"))</f>
        <v/>
      </c>
      <c r="I602" s="18" t="str">
        <f>IF($A602="","",IFERROR(INDEX(Map!$E$2:$E$400,MATCH($A602,Map!$A$2:$A$400,0)),"⚠ UNMAPPED"))</f>
        <v/>
      </c>
      <c r="J602" s="18" t="str">
        <f>IF($A602="","",IFERROR(INDEX(Map!$F$2:$F$400,MATCH($A602,Map!$A$2:$A$400,0)),"⚠ UNMAPPED"))</f>
        <v/>
      </c>
    </row>
    <row r="603" spans="7:10" x14ac:dyDescent="0.25">
      <c r="G603" s="158" t="str">
        <f>IF($A603="","",IFERROR(INDEX(Map!$C$2:$C$400,MATCH($A603,Map!$A$2:$A$400,0)),"⚠ UNMAPPED"))</f>
        <v/>
      </c>
      <c r="H603" s="18" t="str">
        <f>IF($A603="","",IFERROR(INDEX(Map!$D$2:$D$400,MATCH($A603,Map!$A$2:$A$400,0)),"⚠ UNMAPPED"))</f>
        <v/>
      </c>
      <c r="I603" s="18" t="str">
        <f>IF($A603="","",IFERROR(INDEX(Map!$E$2:$E$400,MATCH($A603,Map!$A$2:$A$400,0)),"⚠ UNMAPPED"))</f>
        <v/>
      </c>
      <c r="J603" s="18" t="str">
        <f>IF($A603="","",IFERROR(INDEX(Map!$F$2:$F$400,MATCH($A603,Map!$A$2:$A$400,0)),"⚠ UNMAPPED"))</f>
        <v/>
      </c>
    </row>
    <row r="604" spans="7:10" x14ac:dyDescent="0.25">
      <c r="G604" s="158" t="str">
        <f>IF($A604="","",IFERROR(INDEX(Map!$C$2:$C$400,MATCH($A604,Map!$A$2:$A$400,0)),"⚠ UNMAPPED"))</f>
        <v/>
      </c>
      <c r="H604" s="18" t="str">
        <f>IF($A604="","",IFERROR(INDEX(Map!$D$2:$D$400,MATCH($A604,Map!$A$2:$A$400,0)),"⚠ UNMAPPED"))</f>
        <v/>
      </c>
      <c r="I604" s="18" t="str">
        <f>IF($A604="","",IFERROR(INDEX(Map!$E$2:$E$400,MATCH($A604,Map!$A$2:$A$400,0)),"⚠ UNMAPPED"))</f>
        <v/>
      </c>
      <c r="J604" s="18" t="str">
        <f>IF($A604="","",IFERROR(INDEX(Map!$F$2:$F$400,MATCH($A604,Map!$A$2:$A$400,0)),"⚠ UNMAPPED"))</f>
        <v/>
      </c>
    </row>
    <row r="605" spans="7:10" x14ac:dyDescent="0.25">
      <c r="G605" s="158" t="str">
        <f>IF($A605="","",IFERROR(INDEX(Map!$C$2:$C$400,MATCH($A605,Map!$A$2:$A$400,0)),"⚠ UNMAPPED"))</f>
        <v/>
      </c>
      <c r="H605" s="18" t="str">
        <f>IF($A605="","",IFERROR(INDEX(Map!$D$2:$D$400,MATCH($A605,Map!$A$2:$A$400,0)),"⚠ UNMAPPED"))</f>
        <v/>
      </c>
      <c r="I605" s="18" t="str">
        <f>IF($A605="","",IFERROR(INDEX(Map!$E$2:$E$400,MATCH($A605,Map!$A$2:$A$400,0)),"⚠ UNMAPPED"))</f>
        <v/>
      </c>
      <c r="J605" s="18" t="str">
        <f>IF($A605="","",IFERROR(INDEX(Map!$F$2:$F$400,MATCH($A605,Map!$A$2:$A$400,0)),"⚠ UNMAPPED"))</f>
        <v/>
      </c>
    </row>
    <row r="606" spans="7:10" x14ac:dyDescent="0.25">
      <c r="G606" s="158" t="str">
        <f>IF($A606="","",IFERROR(INDEX(Map!$C$2:$C$400,MATCH($A606,Map!$A$2:$A$400,0)),"⚠ UNMAPPED"))</f>
        <v/>
      </c>
      <c r="H606" s="18" t="str">
        <f>IF($A606="","",IFERROR(INDEX(Map!$D$2:$D$400,MATCH($A606,Map!$A$2:$A$400,0)),"⚠ UNMAPPED"))</f>
        <v/>
      </c>
      <c r="I606" s="18" t="str">
        <f>IF($A606="","",IFERROR(INDEX(Map!$E$2:$E$400,MATCH($A606,Map!$A$2:$A$400,0)),"⚠ UNMAPPED"))</f>
        <v/>
      </c>
      <c r="J606" s="18" t="str">
        <f>IF($A606="","",IFERROR(INDEX(Map!$F$2:$F$400,MATCH($A606,Map!$A$2:$A$400,0)),"⚠ UNMAPPED"))</f>
        <v/>
      </c>
    </row>
    <row r="607" spans="7:10" x14ac:dyDescent="0.25">
      <c r="G607" s="158" t="str">
        <f>IF($A607="","",IFERROR(INDEX(Map!$C$2:$C$400,MATCH($A607,Map!$A$2:$A$400,0)),"⚠ UNMAPPED"))</f>
        <v/>
      </c>
      <c r="H607" s="18" t="str">
        <f>IF($A607="","",IFERROR(INDEX(Map!$D$2:$D$400,MATCH($A607,Map!$A$2:$A$400,0)),"⚠ UNMAPPED"))</f>
        <v/>
      </c>
      <c r="I607" s="18" t="str">
        <f>IF($A607="","",IFERROR(INDEX(Map!$E$2:$E$400,MATCH($A607,Map!$A$2:$A$400,0)),"⚠ UNMAPPED"))</f>
        <v/>
      </c>
      <c r="J607" s="18" t="str">
        <f>IF($A607="","",IFERROR(INDEX(Map!$F$2:$F$400,MATCH($A607,Map!$A$2:$A$400,0)),"⚠ UNMAPPED"))</f>
        <v/>
      </c>
    </row>
    <row r="608" spans="7:10" x14ac:dyDescent="0.25">
      <c r="G608" s="158" t="str">
        <f>IF($A608="","",IFERROR(INDEX(Map!$C$2:$C$400,MATCH($A608,Map!$A$2:$A$400,0)),"⚠ UNMAPPED"))</f>
        <v/>
      </c>
      <c r="H608" s="18" t="str">
        <f>IF($A608="","",IFERROR(INDEX(Map!$D$2:$D$400,MATCH($A608,Map!$A$2:$A$400,0)),"⚠ UNMAPPED"))</f>
        <v/>
      </c>
      <c r="I608" s="18" t="str">
        <f>IF($A608="","",IFERROR(INDEX(Map!$E$2:$E$400,MATCH($A608,Map!$A$2:$A$400,0)),"⚠ UNMAPPED"))</f>
        <v/>
      </c>
      <c r="J608" s="18" t="str">
        <f>IF($A608="","",IFERROR(INDEX(Map!$F$2:$F$400,MATCH($A608,Map!$A$2:$A$400,0)),"⚠ UNMAPPED"))</f>
        <v/>
      </c>
    </row>
    <row r="609" spans="7:10" x14ac:dyDescent="0.25">
      <c r="G609" s="158" t="str">
        <f>IF($A609="","",IFERROR(INDEX(Map!$C$2:$C$400,MATCH($A609,Map!$A$2:$A$400,0)),"⚠ UNMAPPED"))</f>
        <v/>
      </c>
      <c r="H609" s="18" t="str">
        <f>IF($A609="","",IFERROR(INDEX(Map!$D$2:$D$400,MATCH($A609,Map!$A$2:$A$400,0)),"⚠ UNMAPPED"))</f>
        <v/>
      </c>
      <c r="I609" s="18" t="str">
        <f>IF($A609="","",IFERROR(INDEX(Map!$E$2:$E$400,MATCH($A609,Map!$A$2:$A$400,0)),"⚠ UNMAPPED"))</f>
        <v/>
      </c>
      <c r="J609" s="18" t="str">
        <f>IF($A609="","",IFERROR(INDEX(Map!$F$2:$F$400,MATCH($A609,Map!$A$2:$A$400,0)),"⚠ UNMAPPED"))</f>
        <v/>
      </c>
    </row>
    <row r="610" spans="7:10" x14ac:dyDescent="0.25">
      <c r="G610" s="158" t="str">
        <f>IF($A610="","",IFERROR(INDEX(Map!$C$2:$C$400,MATCH($A610,Map!$A$2:$A$400,0)),"⚠ UNMAPPED"))</f>
        <v/>
      </c>
      <c r="H610" s="18" t="str">
        <f>IF($A610="","",IFERROR(INDEX(Map!$D$2:$D$400,MATCH($A610,Map!$A$2:$A$400,0)),"⚠ UNMAPPED"))</f>
        <v/>
      </c>
      <c r="I610" s="18" t="str">
        <f>IF($A610="","",IFERROR(INDEX(Map!$E$2:$E$400,MATCH($A610,Map!$A$2:$A$400,0)),"⚠ UNMAPPED"))</f>
        <v/>
      </c>
      <c r="J610" s="18" t="str">
        <f>IF($A610="","",IFERROR(INDEX(Map!$F$2:$F$400,MATCH($A610,Map!$A$2:$A$400,0)),"⚠ UNMAPPED"))</f>
        <v/>
      </c>
    </row>
    <row r="611" spans="7:10" x14ac:dyDescent="0.25">
      <c r="G611" s="158" t="str">
        <f>IF($A611="","",IFERROR(INDEX(Map!$C$2:$C$400,MATCH($A611,Map!$A$2:$A$400,0)),"⚠ UNMAPPED"))</f>
        <v/>
      </c>
      <c r="H611" s="18" t="str">
        <f>IF($A611="","",IFERROR(INDEX(Map!$D$2:$D$400,MATCH($A611,Map!$A$2:$A$400,0)),"⚠ UNMAPPED"))</f>
        <v/>
      </c>
      <c r="I611" s="18" t="str">
        <f>IF($A611="","",IFERROR(INDEX(Map!$E$2:$E$400,MATCH($A611,Map!$A$2:$A$400,0)),"⚠ UNMAPPED"))</f>
        <v/>
      </c>
      <c r="J611" s="18" t="str">
        <f>IF($A611="","",IFERROR(INDEX(Map!$F$2:$F$400,MATCH($A611,Map!$A$2:$A$400,0)),"⚠ UNMAPPED"))</f>
        <v/>
      </c>
    </row>
    <row r="612" spans="7:10" x14ac:dyDescent="0.25">
      <c r="G612" s="158" t="str">
        <f>IF($A612="","",IFERROR(INDEX(Map!$C$2:$C$400,MATCH($A612,Map!$A$2:$A$400,0)),"⚠ UNMAPPED"))</f>
        <v/>
      </c>
      <c r="H612" s="18" t="str">
        <f>IF($A612="","",IFERROR(INDEX(Map!$D$2:$D$400,MATCH($A612,Map!$A$2:$A$400,0)),"⚠ UNMAPPED"))</f>
        <v/>
      </c>
      <c r="I612" s="18" t="str">
        <f>IF($A612="","",IFERROR(INDEX(Map!$E$2:$E$400,MATCH($A612,Map!$A$2:$A$400,0)),"⚠ UNMAPPED"))</f>
        <v/>
      </c>
      <c r="J612" s="18" t="str">
        <f>IF($A612="","",IFERROR(INDEX(Map!$F$2:$F$400,MATCH($A612,Map!$A$2:$A$400,0)),"⚠ UNMAPPED"))</f>
        <v/>
      </c>
    </row>
    <row r="613" spans="7:10" x14ac:dyDescent="0.25">
      <c r="G613" s="158" t="str">
        <f>IF($A613="","",IFERROR(INDEX(Map!$C$2:$C$400,MATCH($A613,Map!$A$2:$A$400,0)),"⚠ UNMAPPED"))</f>
        <v/>
      </c>
      <c r="H613" s="18" t="str">
        <f>IF($A613="","",IFERROR(INDEX(Map!$D$2:$D$400,MATCH($A613,Map!$A$2:$A$400,0)),"⚠ UNMAPPED"))</f>
        <v/>
      </c>
      <c r="I613" s="18" t="str">
        <f>IF($A613="","",IFERROR(INDEX(Map!$E$2:$E$400,MATCH($A613,Map!$A$2:$A$400,0)),"⚠ UNMAPPED"))</f>
        <v/>
      </c>
      <c r="J613" s="18" t="str">
        <f>IF($A613="","",IFERROR(INDEX(Map!$F$2:$F$400,MATCH($A613,Map!$A$2:$A$400,0)),"⚠ UNMAPPED"))</f>
        <v/>
      </c>
    </row>
    <row r="614" spans="7:10" x14ac:dyDescent="0.25">
      <c r="G614" s="158" t="str">
        <f>IF($A614="","",IFERROR(INDEX(Map!$C$2:$C$400,MATCH($A614,Map!$A$2:$A$400,0)),"⚠ UNMAPPED"))</f>
        <v/>
      </c>
      <c r="H614" s="18" t="str">
        <f>IF($A614="","",IFERROR(INDEX(Map!$D$2:$D$400,MATCH($A614,Map!$A$2:$A$400,0)),"⚠ UNMAPPED"))</f>
        <v/>
      </c>
      <c r="I614" s="18" t="str">
        <f>IF($A614="","",IFERROR(INDEX(Map!$E$2:$E$400,MATCH($A614,Map!$A$2:$A$400,0)),"⚠ UNMAPPED"))</f>
        <v/>
      </c>
      <c r="J614" s="18" t="str">
        <f>IF($A614="","",IFERROR(INDEX(Map!$F$2:$F$400,MATCH($A614,Map!$A$2:$A$400,0)),"⚠ UNMAPPED"))</f>
        <v/>
      </c>
    </row>
    <row r="615" spans="7:10" x14ac:dyDescent="0.25">
      <c r="G615" s="158" t="str">
        <f>IF($A615="","",IFERROR(INDEX(Map!$C$2:$C$400,MATCH($A615,Map!$A$2:$A$400,0)),"⚠ UNMAPPED"))</f>
        <v/>
      </c>
      <c r="H615" s="18" t="str">
        <f>IF($A615="","",IFERROR(INDEX(Map!$D$2:$D$400,MATCH($A615,Map!$A$2:$A$400,0)),"⚠ UNMAPPED"))</f>
        <v/>
      </c>
      <c r="I615" s="18" t="str">
        <f>IF($A615="","",IFERROR(INDEX(Map!$E$2:$E$400,MATCH($A615,Map!$A$2:$A$400,0)),"⚠ UNMAPPED"))</f>
        <v/>
      </c>
      <c r="J615" s="18" t="str">
        <f>IF($A615="","",IFERROR(INDEX(Map!$F$2:$F$400,MATCH($A615,Map!$A$2:$A$400,0)),"⚠ UNMAPPED"))</f>
        <v/>
      </c>
    </row>
    <row r="616" spans="7:10" x14ac:dyDescent="0.25">
      <c r="G616" s="158" t="str">
        <f>IF($A616="","",IFERROR(INDEX(Map!$C$2:$C$400,MATCH($A616,Map!$A$2:$A$400,0)),"⚠ UNMAPPED"))</f>
        <v/>
      </c>
      <c r="H616" s="18" t="str">
        <f>IF($A616="","",IFERROR(INDEX(Map!$D$2:$D$400,MATCH($A616,Map!$A$2:$A$400,0)),"⚠ UNMAPPED"))</f>
        <v/>
      </c>
      <c r="I616" s="18" t="str">
        <f>IF($A616="","",IFERROR(INDEX(Map!$E$2:$E$400,MATCH($A616,Map!$A$2:$A$400,0)),"⚠ UNMAPPED"))</f>
        <v/>
      </c>
      <c r="J616" s="18" t="str">
        <f>IF($A616="","",IFERROR(INDEX(Map!$F$2:$F$400,MATCH($A616,Map!$A$2:$A$400,0)),"⚠ UNMAPPED"))</f>
        <v/>
      </c>
    </row>
    <row r="617" spans="7:10" x14ac:dyDescent="0.25">
      <c r="G617" s="158" t="str">
        <f>IF($A617="","",IFERROR(INDEX(Map!$C$2:$C$400,MATCH($A617,Map!$A$2:$A$400,0)),"⚠ UNMAPPED"))</f>
        <v/>
      </c>
      <c r="H617" s="18" t="str">
        <f>IF($A617="","",IFERROR(INDEX(Map!$D$2:$D$400,MATCH($A617,Map!$A$2:$A$400,0)),"⚠ UNMAPPED"))</f>
        <v/>
      </c>
      <c r="I617" s="18" t="str">
        <f>IF($A617="","",IFERROR(INDEX(Map!$E$2:$E$400,MATCH($A617,Map!$A$2:$A$400,0)),"⚠ UNMAPPED"))</f>
        <v/>
      </c>
      <c r="J617" s="18" t="str">
        <f>IF($A617="","",IFERROR(INDEX(Map!$F$2:$F$400,MATCH($A617,Map!$A$2:$A$400,0)),"⚠ UNMAPPED"))</f>
        <v/>
      </c>
    </row>
    <row r="618" spans="7:10" x14ac:dyDescent="0.25">
      <c r="G618" s="158" t="str">
        <f>IF($A618="","",IFERROR(INDEX(Map!$C$2:$C$400,MATCH($A618,Map!$A$2:$A$400,0)),"⚠ UNMAPPED"))</f>
        <v/>
      </c>
      <c r="H618" s="18" t="str">
        <f>IF($A618="","",IFERROR(INDEX(Map!$D$2:$D$400,MATCH($A618,Map!$A$2:$A$400,0)),"⚠ UNMAPPED"))</f>
        <v/>
      </c>
      <c r="I618" s="18" t="str">
        <f>IF($A618="","",IFERROR(INDEX(Map!$E$2:$E$400,MATCH($A618,Map!$A$2:$A$400,0)),"⚠ UNMAPPED"))</f>
        <v/>
      </c>
      <c r="J618" s="18" t="str">
        <f>IF($A618="","",IFERROR(INDEX(Map!$F$2:$F$400,MATCH($A618,Map!$A$2:$A$400,0)),"⚠ UNMAPPED"))</f>
        <v/>
      </c>
    </row>
    <row r="619" spans="7:10" x14ac:dyDescent="0.25">
      <c r="G619" s="158" t="str">
        <f>IF($A619="","",IFERROR(INDEX(Map!$C$2:$C$400,MATCH($A619,Map!$A$2:$A$400,0)),"⚠ UNMAPPED"))</f>
        <v/>
      </c>
      <c r="H619" s="18" t="str">
        <f>IF($A619="","",IFERROR(INDEX(Map!$D$2:$D$400,MATCH($A619,Map!$A$2:$A$400,0)),"⚠ UNMAPPED"))</f>
        <v/>
      </c>
      <c r="I619" s="18" t="str">
        <f>IF($A619="","",IFERROR(INDEX(Map!$E$2:$E$400,MATCH($A619,Map!$A$2:$A$400,0)),"⚠ UNMAPPED"))</f>
        <v/>
      </c>
      <c r="J619" s="18" t="str">
        <f>IF($A619="","",IFERROR(INDEX(Map!$F$2:$F$400,MATCH($A619,Map!$A$2:$A$400,0)),"⚠ UNMAPPED"))</f>
        <v/>
      </c>
    </row>
    <row r="620" spans="7:10" x14ac:dyDescent="0.25">
      <c r="G620" s="158" t="str">
        <f>IF($A620="","",IFERROR(INDEX(Map!$C$2:$C$400,MATCH($A620,Map!$A$2:$A$400,0)),"⚠ UNMAPPED"))</f>
        <v/>
      </c>
      <c r="H620" s="18" t="str">
        <f>IF($A620="","",IFERROR(INDEX(Map!$D$2:$D$400,MATCH($A620,Map!$A$2:$A$400,0)),"⚠ UNMAPPED"))</f>
        <v/>
      </c>
      <c r="I620" s="18" t="str">
        <f>IF($A620="","",IFERROR(INDEX(Map!$E$2:$E$400,MATCH($A620,Map!$A$2:$A$400,0)),"⚠ UNMAPPED"))</f>
        <v/>
      </c>
      <c r="J620" s="18" t="str">
        <f>IF($A620="","",IFERROR(INDEX(Map!$F$2:$F$400,MATCH($A620,Map!$A$2:$A$400,0)),"⚠ UNMAPPED"))</f>
        <v/>
      </c>
    </row>
    <row r="621" spans="7:10" x14ac:dyDescent="0.25">
      <c r="G621" s="158" t="str">
        <f>IF($A621="","",IFERROR(INDEX(Map!$C$2:$C$400,MATCH($A621,Map!$A$2:$A$400,0)),"⚠ UNMAPPED"))</f>
        <v/>
      </c>
      <c r="H621" s="18" t="str">
        <f>IF($A621="","",IFERROR(INDEX(Map!$D$2:$D$400,MATCH($A621,Map!$A$2:$A$400,0)),"⚠ UNMAPPED"))</f>
        <v/>
      </c>
      <c r="I621" s="18" t="str">
        <f>IF($A621="","",IFERROR(INDEX(Map!$E$2:$E$400,MATCH($A621,Map!$A$2:$A$400,0)),"⚠ UNMAPPED"))</f>
        <v/>
      </c>
      <c r="J621" s="18" t="str">
        <f>IF($A621="","",IFERROR(INDEX(Map!$F$2:$F$400,MATCH($A621,Map!$A$2:$A$400,0)),"⚠ UNMAPPED"))</f>
        <v/>
      </c>
    </row>
    <row r="622" spans="7:10" x14ac:dyDescent="0.25">
      <c r="G622" s="158" t="str">
        <f>IF($A622="","",IFERROR(INDEX(Map!$C$2:$C$400,MATCH($A622,Map!$A$2:$A$400,0)),"⚠ UNMAPPED"))</f>
        <v/>
      </c>
      <c r="H622" s="18" t="str">
        <f>IF($A622="","",IFERROR(INDEX(Map!$D$2:$D$400,MATCH($A622,Map!$A$2:$A$400,0)),"⚠ UNMAPPED"))</f>
        <v/>
      </c>
      <c r="I622" s="18" t="str">
        <f>IF($A622="","",IFERROR(INDEX(Map!$E$2:$E$400,MATCH($A622,Map!$A$2:$A$400,0)),"⚠ UNMAPPED"))</f>
        <v/>
      </c>
      <c r="J622" s="18" t="str">
        <f>IF($A622="","",IFERROR(INDEX(Map!$F$2:$F$400,MATCH($A622,Map!$A$2:$A$400,0)),"⚠ UNMAPPED"))</f>
        <v/>
      </c>
    </row>
    <row r="623" spans="7:10" x14ac:dyDescent="0.25">
      <c r="G623" s="158" t="str">
        <f>IF($A623="","",IFERROR(INDEX(Map!$C$2:$C$400,MATCH($A623,Map!$A$2:$A$400,0)),"⚠ UNMAPPED"))</f>
        <v/>
      </c>
      <c r="H623" s="18" t="str">
        <f>IF($A623="","",IFERROR(INDEX(Map!$D$2:$D$400,MATCH($A623,Map!$A$2:$A$400,0)),"⚠ UNMAPPED"))</f>
        <v/>
      </c>
      <c r="I623" s="18" t="str">
        <f>IF($A623="","",IFERROR(INDEX(Map!$E$2:$E$400,MATCH($A623,Map!$A$2:$A$400,0)),"⚠ UNMAPPED"))</f>
        <v/>
      </c>
      <c r="J623" s="18" t="str">
        <f>IF($A623="","",IFERROR(INDEX(Map!$F$2:$F$400,MATCH($A623,Map!$A$2:$A$400,0)),"⚠ UNMAPPED"))</f>
        <v/>
      </c>
    </row>
    <row r="624" spans="7:10" x14ac:dyDescent="0.25">
      <c r="G624" s="158" t="str">
        <f>IF($A624="","",IFERROR(INDEX(Map!$C$2:$C$400,MATCH($A624,Map!$A$2:$A$400,0)),"⚠ UNMAPPED"))</f>
        <v/>
      </c>
      <c r="H624" s="18" t="str">
        <f>IF($A624="","",IFERROR(INDEX(Map!$D$2:$D$400,MATCH($A624,Map!$A$2:$A$400,0)),"⚠ UNMAPPED"))</f>
        <v/>
      </c>
      <c r="I624" s="18" t="str">
        <f>IF($A624="","",IFERROR(INDEX(Map!$E$2:$E$400,MATCH($A624,Map!$A$2:$A$400,0)),"⚠ UNMAPPED"))</f>
        <v/>
      </c>
      <c r="J624" s="18" t="str">
        <f>IF($A624="","",IFERROR(INDEX(Map!$F$2:$F$400,MATCH($A624,Map!$A$2:$A$400,0)),"⚠ UNMAPPED"))</f>
        <v/>
      </c>
    </row>
    <row r="625" spans="7:10" x14ac:dyDescent="0.25">
      <c r="G625" s="158" t="str">
        <f>IF($A625="","",IFERROR(INDEX(Map!$C$2:$C$400,MATCH($A625,Map!$A$2:$A$400,0)),"⚠ UNMAPPED"))</f>
        <v/>
      </c>
      <c r="H625" s="18" t="str">
        <f>IF($A625="","",IFERROR(INDEX(Map!$D$2:$D$400,MATCH($A625,Map!$A$2:$A$400,0)),"⚠ UNMAPPED"))</f>
        <v/>
      </c>
      <c r="I625" s="18" t="str">
        <f>IF($A625="","",IFERROR(INDEX(Map!$E$2:$E$400,MATCH($A625,Map!$A$2:$A$400,0)),"⚠ UNMAPPED"))</f>
        <v/>
      </c>
      <c r="J625" s="18" t="str">
        <f>IF($A625="","",IFERROR(INDEX(Map!$F$2:$F$400,MATCH($A625,Map!$A$2:$A$400,0)),"⚠ UNMAPPED"))</f>
        <v/>
      </c>
    </row>
    <row r="626" spans="7:10" x14ac:dyDescent="0.25">
      <c r="G626" s="158" t="str">
        <f>IF($A626="","",IFERROR(INDEX(Map!$C$2:$C$400,MATCH($A626,Map!$A$2:$A$400,0)),"⚠ UNMAPPED"))</f>
        <v/>
      </c>
      <c r="H626" s="18" t="str">
        <f>IF($A626="","",IFERROR(INDEX(Map!$D$2:$D$400,MATCH($A626,Map!$A$2:$A$400,0)),"⚠ UNMAPPED"))</f>
        <v/>
      </c>
      <c r="I626" s="18" t="str">
        <f>IF($A626="","",IFERROR(INDEX(Map!$E$2:$E$400,MATCH($A626,Map!$A$2:$A$400,0)),"⚠ UNMAPPED"))</f>
        <v/>
      </c>
      <c r="J626" s="18" t="str">
        <f>IF($A626="","",IFERROR(INDEX(Map!$F$2:$F$400,MATCH($A626,Map!$A$2:$A$400,0)),"⚠ UNMAPPED"))</f>
        <v/>
      </c>
    </row>
    <row r="627" spans="7:10" x14ac:dyDescent="0.25">
      <c r="G627" s="158" t="str">
        <f>IF($A627="","",IFERROR(INDEX(Map!$C$2:$C$400,MATCH($A627,Map!$A$2:$A$400,0)),"⚠ UNMAPPED"))</f>
        <v/>
      </c>
      <c r="H627" s="18" t="str">
        <f>IF($A627="","",IFERROR(INDEX(Map!$D$2:$D$400,MATCH($A627,Map!$A$2:$A$400,0)),"⚠ UNMAPPED"))</f>
        <v/>
      </c>
      <c r="I627" s="18" t="str">
        <f>IF($A627="","",IFERROR(INDEX(Map!$E$2:$E$400,MATCH($A627,Map!$A$2:$A$400,0)),"⚠ UNMAPPED"))</f>
        <v/>
      </c>
      <c r="J627" s="18" t="str">
        <f>IF($A627="","",IFERROR(INDEX(Map!$F$2:$F$400,MATCH($A627,Map!$A$2:$A$400,0)),"⚠ UNMAPPED"))</f>
        <v/>
      </c>
    </row>
    <row r="628" spans="7:10" x14ac:dyDescent="0.25">
      <c r="G628" s="158" t="str">
        <f>IF($A628="","",IFERROR(INDEX(Map!$C$2:$C$400,MATCH($A628,Map!$A$2:$A$400,0)),"⚠ UNMAPPED"))</f>
        <v/>
      </c>
      <c r="H628" s="18" t="str">
        <f>IF($A628="","",IFERROR(INDEX(Map!$D$2:$D$400,MATCH($A628,Map!$A$2:$A$400,0)),"⚠ UNMAPPED"))</f>
        <v/>
      </c>
      <c r="I628" s="18" t="str">
        <f>IF($A628="","",IFERROR(INDEX(Map!$E$2:$E$400,MATCH($A628,Map!$A$2:$A$400,0)),"⚠ UNMAPPED"))</f>
        <v/>
      </c>
      <c r="J628" s="18" t="str">
        <f>IF($A628="","",IFERROR(INDEX(Map!$F$2:$F$400,MATCH($A628,Map!$A$2:$A$400,0)),"⚠ UNMAPPED"))</f>
        <v/>
      </c>
    </row>
    <row r="629" spans="7:10" x14ac:dyDescent="0.25">
      <c r="G629" s="158" t="str">
        <f>IF($A629="","",IFERROR(INDEX(Map!$C$2:$C$400,MATCH($A629,Map!$A$2:$A$400,0)),"⚠ UNMAPPED"))</f>
        <v/>
      </c>
      <c r="H629" s="18" t="str">
        <f>IF($A629="","",IFERROR(INDEX(Map!$D$2:$D$400,MATCH($A629,Map!$A$2:$A$400,0)),"⚠ UNMAPPED"))</f>
        <v/>
      </c>
      <c r="I629" s="18" t="str">
        <f>IF($A629="","",IFERROR(INDEX(Map!$E$2:$E$400,MATCH($A629,Map!$A$2:$A$400,0)),"⚠ UNMAPPED"))</f>
        <v/>
      </c>
      <c r="J629" s="18" t="str">
        <f>IF($A629="","",IFERROR(INDEX(Map!$F$2:$F$400,MATCH($A629,Map!$A$2:$A$400,0)),"⚠ UNMAPPED"))</f>
        <v/>
      </c>
    </row>
    <row r="630" spans="7:10" x14ac:dyDescent="0.25">
      <c r="G630" s="158" t="str">
        <f>IF($A630="","",IFERROR(INDEX(Map!$C$2:$C$400,MATCH($A630,Map!$A$2:$A$400,0)),"⚠ UNMAPPED"))</f>
        <v/>
      </c>
      <c r="H630" s="18" t="str">
        <f>IF($A630="","",IFERROR(INDEX(Map!$D$2:$D$400,MATCH($A630,Map!$A$2:$A$400,0)),"⚠ UNMAPPED"))</f>
        <v/>
      </c>
      <c r="I630" s="18" t="str">
        <f>IF($A630="","",IFERROR(INDEX(Map!$E$2:$E$400,MATCH($A630,Map!$A$2:$A$400,0)),"⚠ UNMAPPED"))</f>
        <v/>
      </c>
      <c r="J630" s="18" t="str">
        <f>IF($A630="","",IFERROR(INDEX(Map!$F$2:$F$400,MATCH($A630,Map!$A$2:$A$400,0)),"⚠ UNMAPPED"))</f>
        <v/>
      </c>
    </row>
    <row r="631" spans="7:10" x14ac:dyDescent="0.25">
      <c r="G631" s="158" t="str">
        <f>IF($A631="","",IFERROR(INDEX(Map!$C$2:$C$400,MATCH($A631,Map!$A$2:$A$400,0)),"⚠ UNMAPPED"))</f>
        <v/>
      </c>
      <c r="H631" s="18" t="str">
        <f>IF($A631="","",IFERROR(INDEX(Map!$D$2:$D$400,MATCH($A631,Map!$A$2:$A$400,0)),"⚠ UNMAPPED"))</f>
        <v/>
      </c>
      <c r="I631" s="18" t="str">
        <f>IF($A631="","",IFERROR(INDEX(Map!$E$2:$E$400,MATCH($A631,Map!$A$2:$A$400,0)),"⚠ UNMAPPED"))</f>
        <v/>
      </c>
      <c r="J631" s="18" t="str">
        <f>IF($A631="","",IFERROR(INDEX(Map!$F$2:$F$400,MATCH($A631,Map!$A$2:$A$400,0)),"⚠ UNMAPPED"))</f>
        <v/>
      </c>
    </row>
    <row r="632" spans="7:10" x14ac:dyDescent="0.25">
      <c r="G632" s="158" t="str">
        <f>IF($A632="","",IFERROR(INDEX(Map!$C$2:$C$400,MATCH($A632,Map!$A$2:$A$400,0)),"⚠ UNMAPPED"))</f>
        <v/>
      </c>
      <c r="H632" s="18" t="str">
        <f>IF($A632="","",IFERROR(INDEX(Map!$D$2:$D$400,MATCH($A632,Map!$A$2:$A$400,0)),"⚠ UNMAPPED"))</f>
        <v/>
      </c>
      <c r="I632" s="18" t="str">
        <f>IF($A632="","",IFERROR(INDEX(Map!$E$2:$E$400,MATCH($A632,Map!$A$2:$A$400,0)),"⚠ UNMAPPED"))</f>
        <v/>
      </c>
      <c r="J632" s="18" t="str">
        <f>IF($A632="","",IFERROR(INDEX(Map!$F$2:$F$400,MATCH($A632,Map!$A$2:$A$400,0)),"⚠ UNMAPPED"))</f>
        <v/>
      </c>
    </row>
    <row r="633" spans="7:10" x14ac:dyDescent="0.25">
      <c r="G633" s="158" t="str">
        <f>IF($A633="","",IFERROR(INDEX(Map!$C$2:$C$400,MATCH($A633,Map!$A$2:$A$400,0)),"⚠ UNMAPPED"))</f>
        <v/>
      </c>
      <c r="H633" s="18" t="str">
        <f>IF($A633="","",IFERROR(INDEX(Map!$D$2:$D$400,MATCH($A633,Map!$A$2:$A$400,0)),"⚠ UNMAPPED"))</f>
        <v/>
      </c>
      <c r="I633" s="18" t="str">
        <f>IF($A633="","",IFERROR(INDEX(Map!$E$2:$E$400,MATCH($A633,Map!$A$2:$A$400,0)),"⚠ UNMAPPED"))</f>
        <v/>
      </c>
      <c r="J633" s="18" t="str">
        <f>IF($A633="","",IFERROR(INDEX(Map!$F$2:$F$400,MATCH($A633,Map!$A$2:$A$400,0)),"⚠ UNMAPPED"))</f>
        <v/>
      </c>
    </row>
    <row r="634" spans="7:10" x14ac:dyDescent="0.25">
      <c r="G634" s="158" t="str">
        <f>IF($A634="","",IFERROR(INDEX(Map!$C$2:$C$400,MATCH($A634,Map!$A$2:$A$400,0)),"⚠ UNMAPPED"))</f>
        <v/>
      </c>
      <c r="H634" s="18" t="str">
        <f>IF($A634="","",IFERROR(INDEX(Map!$D$2:$D$400,MATCH($A634,Map!$A$2:$A$400,0)),"⚠ UNMAPPED"))</f>
        <v/>
      </c>
      <c r="I634" s="18" t="str">
        <f>IF($A634="","",IFERROR(INDEX(Map!$E$2:$E$400,MATCH($A634,Map!$A$2:$A$400,0)),"⚠ UNMAPPED"))</f>
        <v/>
      </c>
      <c r="J634" s="18" t="str">
        <f>IF($A634="","",IFERROR(INDEX(Map!$F$2:$F$400,MATCH($A634,Map!$A$2:$A$400,0)),"⚠ UNMAPPED"))</f>
        <v/>
      </c>
    </row>
    <row r="635" spans="7:10" x14ac:dyDescent="0.25">
      <c r="G635" s="158" t="str">
        <f>IF($A635="","",IFERROR(INDEX(Map!$C$2:$C$400,MATCH($A635,Map!$A$2:$A$400,0)),"⚠ UNMAPPED"))</f>
        <v/>
      </c>
      <c r="H635" s="18" t="str">
        <f>IF($A635="","",IFERROR(INDEX(Map!$D$2:$D$400,MATCH($A635,Map!$A$2:$A$400,0)),"⚠ UNMAPPED"))</f>
        <v/>
      </c>
      <c r="I635" s="18" t="str">
        <f>IF($A635="","",IFERROR(INDEX(Map!$E$2:$E$400,MATCH($A635,Map!$A$2:$A$400,0)),"⚠ UNMAPPED"))</f>
        <v/>
      </c>
      <c r="J635" s="18" t="str">
        <f>IF($A635="","",IFERROR(INDEX(Map!$F$2:$F$400,MATCH($A635,Map!$A$2:$A$400,0)),"⚠ UNMAPPED"))</f>
        <v/>
      </c>
    </row>
    <row r="636" spans="7:10" x14ac:dyDescent="0.25">
      <c r="G636" s="158" t="str">
        <f>IF($A636="","",IFERROR(INDEX(Map!$C$2:$C$400,MATCH($A636,Map!$A$2:$A$400,0)),"⚠ UNMAPPED"))</f>
        <v/>
      </c>
      <c r="H636" s="18" t="str">
        <f>IF($A636="","",IFERROR(INDEX(Map!$D$2:$D$400,MATCH($A636,Map!$A$2:$A$400,0)),"⚠ UNMAPPED"))</f>
        <v/>
      </c>
      <c r="I636" s="18" t="str">
        <f>IF($A636="","",IFERROR(INDEX(Map!$E$2:$E$400,MATCH($A636,Map!$A$2:$A$400,0)),"⚠ UNMAPPED"))</f>
        <v/>
      </c>
      <c r="J636" s="18" t="str">
        <f>IF($A636="","",IFERROR(INDEX(Map!$F$2:$F$400,MATCH($A636,Map!$A$2:$A$400,0)),"⚠ UNMAPPED"))</f>
        <v/>
      </c>
    </row>
    <row r="637" spans="7:10" x14ac:dyDescent="0.25">
      <c r="G637" s="158" t="str">
        <f>IF($A637="","",IFERROR(INDEX(Map!$C$2:$C$400,MATCH($A637,Map!$A$2:$A$400,0)),"⚠ UNMAPPED"))</f>
        <v/>
      </c>
      <c r="H637" s="18" t="str">
        <f>IF($A637="","",IFERROR(INDEX(Map!$D$2:$D$400,MATCH($A637,Map!$A$2:$A$400,0)),"⚠ UNMAPPED"))</f>
        <v/>
      </c>
      <c r="I637" s="18" t="str">
        <f>IF($A637="","",IFERROR(INDEX(Map!$E$2:$E$400,MATCH($A637,Map!$A$2:$A$400,0)),"⚠ UNMAPPED"))</f>
        <v/>
      </c>
      <c r="J637" s="18" t="str">
        <f>IF($A637="","",IFERROR(INDEX(Map!$F$2:$F$400,MATCH($A637,Map!$A$2:$A$400,0)),"⚠ UNMAPPED"))</f>
        <v/>
      </c>
    </row>
    <row r="638" spans="7:10" x14ac:dyDescent="0.25">
      <c r="G638" s="158" t="str">
        <f>IF($A638="","",IFERROR(INDEX(Map!$C$2:$C$400,MATCH($A638,Map!$A$2:$A$400,0)),"⚠ UNMAPPED"))</f>
        <v/>
      </c>
      <c r="H638" s="18" t="str">
        <f>IF($A638="","",IFERROR(INDEX(Map!$D$2:$D$400,MATCH($A638,Map!$A$2:$A$400,0)),"⚠ UNMAPPED"))</f>
        <v/>
      </c>
      <c r="I638" s="18" t="str">
        <f>IF($A638="","",IFERROR(INDEX(Map!$E$2:$E$400,MATCH($A638,Map!$A$2:$A$400,0)),"⚠ UNMAPPED"))</f>
        <v/>
      </c>
      <c r="J638" s="18" t="str">
        <f>IF($A638="","",IFERROR(INDEX(Map!$F$2:$F$400,MATCH($A638,Map!$A$2:$A$400,0)),"⚠ UNMAPPED"))</f>
        <v/>
      </c>
    </row>
    <row r="639" spans="7:10" x14ac:dyDescent="0.25">
      <c r="G639" s="158" t="str">
        <f>IF($A639="","",IFERROR(INDEX(Map!$C$2:$C$400,MATCH($A639,Map!$A$2:$A$400,0)),"⚠ UNMAPPED"))</f>
        <v/>
      </c>
      <c r="H639" s="18" t="str">
        <f>IF($A639="","",IFERROR(INDEX(Map!$D$2:$D$400,MATCH($A639,Map!$A$2:$A$400,0)),"⚠ UNMAPPED"))</f>
        <v/>
      </c>
      <c r="I639" s="18" t="str">
        <f>IF($A639="","",IFERROR(INDEX(Map!$E$2:$E$400,MATCH($A639,Map!$A$2:$A$400,0)),"⚠ UNMAPPED"))</f>
        <v/>
      </c>
      <c r="J639" s="18" t="str">
        <f>IF($A639="","",IFERROR(INDEX(Map!$F$2:$F$400,MATCH($A639,Map!$A$2:$A$400,0)),"⚠ UNMAPPED"))</f>
        <v/>
      </c>
    </row>
    <row r="640" spans="7:10" x14ac:dyDescent="0.25">
      <c r="G640" s="158" t="str">
        <f>IF($A640="","",IFERROR(INDEX(Map!$C$2:$C$400,MATCH($A640,Map!$A$2:$A$400,0)),"⚠ UNMAPPED"))</f>
        <v/>
      </c>
      <c r="H640" s="18" t="str">
        <f>IF($A640="","",IFERROR(INDEX(Map!$D$2:$D$400,MATCH($A640,Map!$A$2:$A$400,0)),"⚠ UNMAPPED"))</f>
        <v/>
      </c>
      <c r="I640" s="18" t="str">
        <f>IF($A640="","",IFERROR(INDEX(Map!$E$2:$E$400,MATCH($A640,Map!$A$2:$A$400,0)),"⚠ UNMAPPED"))</f>
        <v/>
      </c>
      <c r="J640" s="18" t="str">
        <f>IF($A640="","",IFERROR(INDEX(Map!$F$2:$F$400,MATCH($A640,Map!$A$2:$A$400,0)),"⚠ UNMAPPED"))</f>
        <v/>
      </c>
    </row>
    <row r="641" spans="7:10" x14ac:dyDescent="0.25">
      <c r="G641" s="158" t="str">
        <f>IF($A641="","",IFERROR(INDEX(Map!$C$2:$C$400,MATCH($A641,Map!$A$2:$A$400,0)),"⚠ UNMAPPED"))</f>
        <v/>
      </c>
      <c r="H641" s="18" t="str">
        <f>IF($A641="","",IFERROR(INDEX(Map!$D$2:$D$400,MATCH($A641,Map!$A$2:$A$400,0)),"⚠ UNMAPPED"))</f>
        <v/>
      </c>
      <c r="I641" s="18" t="str">
        <f>IF($A641="","",IFERROR(INDEX(Map!$E$2:$E$400,MATCH($A641,Map!$A$2:$A$400,0)),"⚠ UNMAPPED"))</f>
        <v/>
      </c>
      <c r="J641" s="18" t="str">
        <f>IF($A641="","",IFERROR(INDEX(Map!$F$2:$F$400,MATCH($A641,Map!$A$2:$A$400,0)),"⚠ UNMAPPED"))</f>
        <v/>
      </c>
    </row>
    <row r="642" spans="7:10" x14ac:dyDescent="0.25">
      <c r="G642" s="158" t="str">
        <f>IF($A642="","",IFERROR(INDEX(Map!$C$2:$C$400,MATCH($A642,Map!$A$2:$A$400,0)),"⚠ UNMAPPED"))</f>
        <v/>
      </c>
      <c r="H642" s="18" t="str">
        <f>IF($A642="","",IFERROR(INDEX(Map!$D$2:$D$400,MATCH($A642,Map!$A$2:$A$400,0)),"⚠ UNMAPPED"))</f>
        <v/>
      </c>
      <c r="I642" s="18" t="str">
        <f>IF($A642="","",IFERROR(INDEX(Map!$E$2:$E$400,MATCH($A642,Map!$A$2:$A$400,0)),"⚠ UNMAPPED"))</f>
        <v/>
      </c>
      <c r="J642" s="18" t="str">
        <f>IF($A642="","",IFERROR(INDEX(Map!$F$2:$F$400,MATCH($A642,Map!$A$2:$A$400,0)),"⚠ UNMAPPED"))</f>
        <v/>
      </c>
    </row>
    <row r="643" spans="7:10" x14ac:dyDescent="0.25">
      <c r="G643" s="158" t="str">
        <f>IF($A643="","",IFERROR(INDEX(Map!$C$2:$C$400,MATCH($A643,Map!$A$2:$A$400,0)),"⚠ UNMAPPED"))</f>
        <v/>
      </c>
      <c r="H643" s="18" t="str">
        <f>IF($A643="","",IFERROR(INDEX(Map!$D$2:$D$400,MATCH($A643,Map!$A$2:$A$400,0)),"⚠ UNMAPPED"))</f>
        <v/>
      </c>
      <c r="I643" s="18" t="str">
        <f>IF($A643="","",IFERROR(INDEX(Map!$E$2:$E$400,MATCH($A643,Map!$A$2:$A$400,0)),"⚠ UNMAPPED"))</f>
        <v/>
      </c>
      <c r="J643" s="18" t="str">
        <f>IF($A643="","",IFERROR(INDEX(Map!$F$2:$F$400,MATCH($A643,Map!$A$2:$A$400,0)),"⚠ UNMAPPED"))</f>
        <v/>
      </c>
    </row>
    <row r="644" spans="7:10" x14ac:dyDescent="0.25">
      <c r="G644" s="158" t="str">
        <f>IF($A644="","",IFERROR(INDEX(Map!$C$2:$C$400,MATCH($A644,Map!$A$2:$A$400,0)),"⚠ UNMAPPED"))</f>
        <v/>
      </c>
      <c r="H644" s="18" t="str">
        <f>IF($A644="","",IFERROR(INDEX(Map!$D$2:$D$400,MATCH($A644,Map!$A$2:$A$400,0)),"⚠ UNMAPPED"))</f>
        <v/>
      </c>
      <c r="I644" s="18" t="str">
        <f>IF($A644="","",IFERROR(INDEX(Map!$E$2:$E$400,MATCH($A644,Map!$A$2:$A$400,0)),"⚠ UNMAPPED"))</f>
        <v/>
      </c>
      <c r="J644" s="18" t="str">
        <f>IF($A644="","",IFERROR(INDEX(Map!$F$2:$F$400,MATCH($A644,Map!$A$2:$A$400,0)),"⚠ UNMAPPED"))</f>
        <v/>
      </c>
    </row>
    <row r="645" spans="7:10" x14ac:dyDescent="0.25">
      <c r="G645" s="158" t="str">
        <f>IF($A645="","",IFERROR(INDEX(Map!$C$2:$C$400,MATCH($A645,Map!$A$2:$A$400,0)),"⚠ UNMAPPED"))</f>
        <v/>
      </c>
      <c r="H645" s="18" t="str">
        <f>IF($A645="","",IFERROR(INDEX(Map!$D$2:$D$400,MATCH($A645,Map!$A$2:$A$400,0)),"⚠ UNMAPPED"))</f>
        <v/>
      </c>
      <c r="I645" s="18" t="str">
        <f>IF($A645="","",IFERROR(INDEX(Map!$E$2:$E$400,MATCH($A645,Map!$A$2:$A$400,0)),"⚠ UNMAPPED"))</f>
        <v/>
      </c>
      <c r="J645" s="18" t="str">
        <f>IF($A645="","",IFERROR(INDEX(Map!$F$2:$F$400,MATCH($A645,Map!$A$2:$A$400,0)),"⚠ UNMAPPED"))</f>
        <v/>
      </c>
    </row>
    <row r="646" spans="7:10" x14ac:dyDescent="0.25">
      <c r="G646" s="158" t="str">
        <f>IF($A646="","",IFERROR(INDEX(Map!$C$2:$C$400,MATCH($A646,Map!$A$2:$A$400,0)),"⚠ UNMAPPED"))</f>
        <v/>
      </c>
      <c r="H646" s="18" t="str">
        <f>IF($A646="","",IFERROR(INDEX(Map!$D$2:$D$400,MATCH($A646,Map!$A$2:$A$400,0)),"⚠ UNMAPPED"))</f>
        <v/>
      </c>
      <c r="I646" s="18" t="str">
        <f>IF($A646="","",IFERROR(INDEX(Map!$E$2:$E$400,MATCH($A646,Map!$A$2:$A$400,0)),"⚠ UNMAPPED"))</f>
        <v/>
      </c>
      <c r="J646" s="18" t="str">
        <f>IF($A646="","",IFERROR(INDEX(Map!$F$2:$F$400,MATCH($A646,Map!$A$2:$A$400,0)),"⚠ UNMAPPED"))</f>
        <v/>
      </c>
    </row>
    <row r="647" spans="7:10" x14ac:dyDescent="0.25">
      <c r="G647" s="158" t="str">
        <f>IF($A647="","",IFERROR(INDEX(Map!$C$2:$C$400,MATCH($A647,Map!$A$2:$A$400,0)),"⚠ UNMAPPED"))</f>
        <v/>
      </c>
      <c r="H647" s="18" t="str">
        <f>IF($A647="","",IFERROR(INDEX(Map!$D$2:$D$400,MATCH($A647,Map!$A$2:$A$400,0)),"⚠ UNMAPPED"))</f>
        <v/>
      </c>
      <c r="I647" s="18" t="str">
        <f>IF($A647="","",IFERROR(INDEX(Map!$E$2:$E$400,MATCH($A647,Map!$A$2:$A$400,0)),"⚠ UNMAPPED"))</f>
        <v/>
      </c>
      <c r="J647" s="18" t="str">
        <f>IF($A647="","",IFERROR(INDEX(Map!$F$2:$F$400,MATCH($A647,Map!$A$2:$A$400,0)),"⚠ UNMAPPED"))</f>
        <v/>
      </c>
    </row>
    <row r="648" spans="7:10" x14ac:dyDescent="0.25">
      <c r="G648" s="158" t="str">
        <f>IF($A648="","",IFERROR(INDEX(Map!$C$2:$C$400,MATCH($A648,Map!$A$2:$A$400,0)),"⚠ UNMAPPED"))</f>
        <v/>
      </c>
      <c r="H648" s="18" t="str">
        <f>IF($A648="","",IFERROR(INDEX(Map!$D$2:$D$400,MATCH($A648,Map!$A$2:$A$400,0)),"⚠ UNMAPPED"))</f>
        <v/>
      </c>
      <c r="I648" s="18" t="str">
        <f>IF($A648="","",IFERROR(INDEX(Map!$E$2:$E$400,MATCH($A648,Map!$A$2:$A$400,0)),"⚠ UNMAPPED"))</f>
        <v/>
      </c>
      <c r="J648" s="18" t="str">
        <f>IF($A648="","",IFERROR(INDEX(Map!$F$2:$F$400,MATCH($A648,Map!$A$2:$A$400,0)),"⚠ UNMAPPED"))</f>
        <v/>
      </c>
    </row>
    <row r="649" spans="7:10" x14ac:dyDescent="0.25">
      <c r="G649" s="158" t="str">
        <f>IF($A649="","",IFERROR(INDEX(Map!$C$2:$C$400,MATCH($A649,Map!$A$2:$A$400,0)),"⚠ UNMAPPED"))</f>
        <v/>
      </c>
      <c r="H649" s="18" t="str">
        <f>IF($A649="","",IFERROR(INDEX(Map!$D$2:$D$400,MATCH($A649,Map!$A$2:$A$400,0)),"⚠ UNMAPPED"))</f>
        <v/>
      </c>
      <c r="I649" s="18" t="str">
        <f>IF($A649="","",IFERROR(INDEX(Map!$E$2:$E$400,MATCH($A649,Map!$A$2:$A$400,0)),"⚠ UNMAPPED"))</f>
        <v/>
      </c>
      <c r="J649" s="18" t="str">
        <f>IF($A649="","",IFERROR(INDEX(Map!$F$2:$F$400,MATCH($A649,Map!$A$2:$A$400,0)),"⚠ UNMAPPED"))</f>
        <v/>
      </c>
    </row>
    <row r="650" spans="7:10" x14ac:dyDescent="0.25">
      <c r="G650" s="158" t="str">
        <f>IF($A650="","",IFERROR(INDEX(Map!$C$2:$C$400,MATCH($A650,Map!$A$2:$A$400,0)),"⚠ UNMAPPED"))</f>
        <v/>
      </c>
      <c r="H650" s="18" t="str">
        <f>IF($A650="","",IFERROR(INDEX(Map!$D$2:$D$400,MATCH($A650,Map!$A$2:$A$400,0)),"⚠ UNMAPPED"))</f>
        <v/>
      </c>
      <c r="I650" s="18" t="str">
        <f>IF($A650="","",IFERROR(INDEX(Map!$E$2:$E$400,MATCH($A650,Map!$A$2:$A$400,0)),"⚠ UNMAPPED"))</f>
        <v/>
      </c>
      <c r="J650" s="18" t="str">
        <f>IF($A650="","",IFERROR(INDEX(Map!$F$2:$F$400,MATCH($A650,Map!$A$2:$A$400,0)),"⚠ UNMAPPED"))</f>
        <v/>
      </c>
    </row>
    <row r="651" spans="7:10" x14ac:dyDescent="0.25">
      <c r="G651" s="158" t="str">
        <f>IF($A651="","",IFERROR(INDEX(Map!$C$2:$C$400,MATCH($A651,Map!$A$2:$A$400,0)),"⚠ UNMAPPED"))</f>
        <v/>
      </c>
      <c r="H651" s="18" t="str">
        <f>IF($A651="","",IFERROR(INDEX(Map!$D$2:$D$400,MATCH($A651,Map!$A$2:$A$400,0)),"⚠ UNMAPPED"))</f>
        <v/>
      </c>
      <c r="I651" s="18" t="str">
        <f>IF($A651="","",IFERROR(INDEX(Map!$E$2:$E$400,MATCH($A651,Map!$A$2:$A$400,0)),"⚠ UNMAPPED"))</f>
        <v/>
      </c>
      <c r="J651" s="18" t="str">
        <f>IF($A651="","",IFERROR(INDEX(Map!$F$2:$F$400,MATCH($A651,Map!$A$2:$A$400,0)),"⚠ UNMAPPED"))</f>
        <v/>
      </c>
    </row>
    <row r="652" spans="7:10" x14ac:dyDescent="0.25">
      <c r="G652" s="158" t="str">
        <f>IF($A652="","",IFERROR(INDEX(Map!$C$2:$C$400,MATCH($A652,Map!$A$2:$A$400,0)),"⚠ UNMAPPED"))</f>
        <v/>
      </c>
      <c r="H652" s="18" t="str">
        <f>IF($A652="","",IFERROR(INDEX(Map!$D$2:$D$400,MATCH($A652,Map!$A$2:$A$400,0)),"⚠ UNMAPPED"))</f>
        <v/>
      </c>
      <c r="I652" s="18" t="str">
        <f>IF($A652="","",IFERROR(INDEX(Map!$E$2:$E$400,MATCH($A652,Map!$A$2:$A$400,0)),"⚠ UNMAPPED"))</f>
        <v/>
      </c>
      <c r="J652" s="18" t="str">
        <f>IF($A652="","",IFERROR(INDEX(Map!$F$2:$F$400,MATCH($A652,Map!$A$2:$A$400,0)),"⚠ UNMAPPED"))</f>
        <v/>
      </c>
    </row>
    <row r="653" spans="7:10" x14ac:dyDescent="0.25">
      <c r="G653" s="158" t="str">
        <f>IF($A653="","",IFERROR(INDEX(Map!$C$2:$C$400,MATCH($A653,Map!$A$2:$A$400,0)),"⚠ UNMAPPED"))</f>
        <v/>
      </c>
      <c r="H653" s="18" t="str">
        <f>IF($A653="","",IFERROR(INDEX(Map!$D$2:$D$400,MATCH($A653,Map!$A$2:$A$400,0)),"⚠ UNMAPPED"))</f>
        <v/>
      </c>
      <c r="I653" s="18" t="str">
        <f>IF($A653="","",IFERROR(INDEX(Map!$E$2:$E$400,MATCH($A653,Map!$A$2:$A$400,0)),"⚠ UNMAPPED"))</f>
        <v/>
      </c>
      <c r="J653" s="18" t="str">
        <f>IF($A653="","",IFERROR(INDEX(Map!$F$2:$F$400,MATCH($A653,Map!$A$2:$A$400,0)),"⚠ UNMAPPED"))</f>
        <v/>
      </c>
    </row>
    <row r="654" spans="7:10" x14ac:dyDescent="0.25">
      <c r="G654" s="158" t="str">
        <f>IF($A654="","",IFERROR(INDEX(Map!$C$2:$C$400,MATCH($A654,Map!$A$2:$A$400,0)),"⚠ UNMAPPED"))</f>
        <v/>
      </c>
      <c r="H654" s="18" t="str">
        <f>IF($A654="","",IFERROR(INDEX(Map!$D$2:$D$400,MATCH($A654,Map!$A$2:$A$400,0)),"⚠ UNMAPPED"))</f>
        <v/>
      </c>
      <c r="I654" s="18" t="str">
        <f>IF($A654="","",IFERROR(INDEX(Map!$E$2:$E$400,MATCH($A654,Map!$A$2:$A$400,0)),"⚠ UNMAPPED"))</f>
        <v/>
      </c>
      <c r="J654" s="18" t="str">
        <f>IF($A654="","",IFERROR(INDEX(Map!$F$2:$F$400,MATCH($A654,Map!$A$2:$A$400,0)),"⚠ UNMAPPED"))</f>
        <v/>
      </c>
    </row>
    <row r="655" spans="7:10" x14ac:dyDescent="0.25">
      <c r="G655" s="158" t="str">
        <f>IF($A655="","",IFERROR(INDEX(Map!$C$2:$C$400,MATCH($A655,Map!$A$2:$A$400,0)),"⚠ UNMAPPED"))</f>
        <v/>
      </c>
      <c r="H655" s="18" t="str">
        <f>IF($A655="","",IFERROR(INDEX(Map!$D$2:$D$400,MATCH($A655,Map!$A$2:$A$400,0)),"⚠ UNMAPPED"))</f>
        <v/>
      </c>
      <c r="I655" s="18" t="str">
        <f>IF($A655="","",IFERROR(INDEX(Map!$E$2:$E$400,MATCH($A655,Map!$A$2:$A$400,0)),"⚠ UNMAPPED"))</f>
        <v/>
      </c>
      <c r="J655" s="18" t="str">
        <f>IF($A655="","",IFERROR(INDEX(Map!$F$2:$F$400,MATCH($A655,Map!$A$2:$A$400,0)),"⚠ UNMAPPED"))</f>
        <v/>
      </c>
    </row>
    <row r="656" spans="7:10" x14ac:dyDescent="0.25">
      <c r="G656" s="158" t="str">
        <f>IF($A656="","",IFERROR(INDEX(Map!$C$2:$C$400,MATCH($A656,Map!$A$2:$A$400,0)),"⚠ UNMAPPED"))</f>
        <v/>
      </c>
      <c r="H656" s="18" t="str">
        <f>IF($A656="","",IFERROR(INDEX(Map!$D$2:$D$400,MATCH($A656,Map!$A$2:$A$400,0)),"⚠ UNMAPPED"))</f>
        <v/>
      </c>
      <c r="I656" s="18" t="str">
        <f>IF($A656="","",IFERROR(INDEX(Map!$E$2:$E$400,MATCH($A656,Map!$A$2:$A$400,0)),"⚠ UNMAPPED"))</f>
        <v/>
      </c>
      <c r="J656" s="18" t="str">
        <f>IF($A656="","",IFERROR(INDEX(Map!$F$2:$F$400,MATCH($A656,Map!$A$2:$A$400,0)),"⚠ UNMAPPED"))</f>
        <v/>
      </c>
    </row>
    <row r="657" spans="7:10" x14ac:dyDescent="0.25">
      <c r="G657" s="158" t="str">
        <f>IF($A657="","",IFERROR(INDEX(Map!$C$2:$C$400,MATCH($A657,Map!$A$2:$A$400,0)),"⚠ UNMAPPED"))</f>
        <v/>
      </c>
      <c r="H657" s="18" t="str">
        <f>IF($A657="","",IFERROR(INDEX(Map!$D$2:$D$400,MATCH($A657,Map!$A$2:$A$400,0)),"⚠ UNMAPPED"))</f>
        <v/>
      </c>
      <c r="I657" s="18" t="str">
        <f>IF($A657="","",IFERROR(INDEX(Map!$E$2:$E$400,MATCH($A657,Map!$A$2:$A$400,0)),"⚠ UNMAPPED"))</f>
        <v/>
      </c>
      <c r="J657" s="18" t="str">
        <f>IF($A657="","",IFERROR(INDEX(Map!$F$2:$F$400,MATCH($A657,Map!$A$2:$A$400,0)),"⚠ UNMAPPED"))</f>
        <v/>
      </c>
    </row>
    <row r="658" spans="7:10" x14ac:dyDescent="0.25">
      <c r="G658" s="158" t="str">
        <f>IF($A658="","",IFERROR(INDEX(Map!$C$2:$C$400,MATCH($A658,Map!$A$2:$A$400,0)),"⚠ UNMAPPED"))</f>
        <v/>
      </c>
      <c r="H658" s="18" t="str">
        <f>IF($A658="","",IFERROR(INDEX(Map!$D$2:$D$400,MATCH($A658,Map!$A$2:$A$400,0)),"⚠ UNMAPPED"))</f>
        <v/>
      </c>
      <c r="I658" s="18" t="str">
        <f>IF($A658="","",IFERROR(INDEX(Map!$E$2:$E$400,MATCH($A658,Map!$A$2:$A$400,0)),"⚠ UNMAPPED"))</f>
        <v/>
      </c>
      <c r="J658" s="18" t="str">
        <f>IF($A658="","",IFERROR(INDEX(Map!$F$2:$F$400,MATCH($A658,Map!$A$2:$A$400,0)),"⚠ UNMAPPED"))</f>
        <v/>
      </c>
    </row>
    <row r="659" spans="7:10" x14ac:dyDescent="0.25">
      <c r="G659" s="158" t="str">
        <f>IF($A659="","",IFERROR(INDEX(Map!$C$2:$C$400,MATCH($A659,Map!$A$2:$A$400,0)),"⚠ UNMAPPED"))</f>
        <v/>
      </c>
      <c r="H659" s="18" t="str">
        <f>IF($A659="","",IFERROR(INDEX(Map!$D$2:$D$400,MATCH($A659,Map!$A$2:$A$400,0)),"⚠ UNMAPPED"))</f>
        <v/>
      </c>
      <c r="I659" s="18" t="str">
        <f>IF($A659="","",IFERROR(INDEX(Map!$E$2:$E$400,MATCH($A659,Map!$A$2:$A$400,0)),"⚠ UNMAPPED"))</f>
        <v/>
      </c>
      <c r="J659" s="18" t="str">
        <f>IF($A659="","",IFERROR(INDEX(Map!$F$2:$F$400,MATCH($A659,Map!$A$2:$A$400,0)),"⚠ UNMAPPED"))</f>
        <v/>
      </c>
    </row>
    <row r="660" spans="7:10" x14ac:dyDescent="0.25">
      <c r="G660" s="158" t="str">
        <f>IF($A660="","",IFERROR(INDEX(Map!$C$2:$C$400,MATCH($A660,Map!$A$2:$A$400,0)),"⚠ UNMAPPED"))</f>
        <v/>
      </c>
      <c r="H660" s="18" t="str">
        <f>IF($A660="","",IFERROR(INDEX(Map!$D$2:$D$400,MATCH($A660,Map!$A$2:$A$400,0)),"⚠ UNMAPPED"))</f>
        <v/>
      </c>
      <c r="I660" s="18" t="str">
        <f>IF($A660="","",IFERROR(INDEX(Map!$E$2:$E$400,MATCH($A660,Map!$A$2:$A$400,0)),"⚠ UNMAPPED"))</f>
        <v/>
      </c>
      <c r="J660" s="18" t="str">
        <f>IF($A660="","",IFERROR(INDEX(Map!$F$2:$F$400,MATCH($A660,Map!$A$2:$A$400,0)),"⚠ UNMAPPED"))</f>
        <v/>
      </c>
    </row>
    <row r="661" spans="7:10" x14ac:dyDescent="0.25">
      <c r="G661" s="158" t="str">
        <f>IF($A661="","",IFERROR(INDEX(Map!$C$2:$C$400,MATCH($A661,Map!$A$2:$A$400,0)),"⚠ UNMAPPED"))</f>
        <v/>
      </c>
      <c r="H661" s="18" t="str">
        <f>IF($A661="","",IFERROR(INDEX(Map!$D$2:$D$400,MATCH($A661,Map!$A$2:$A$400,0)),"⚠ UNMAPPED"))</f>
        <v/>
      </c>
      <c r="I661" s="18" t="str">
        <f>IF($A661="","",IFERROR(INDEX(Map!$E$2:$E$400,MATCH($A661,Map!$A$2:$A$400,0)),"⚠ UNMAPPED"))</f>
        <v/>
      </c>
      <c r="J661" s="18" t="str">
        <f>IF($A661="","",IFERROR(INDEX(Map!$F$2:$F$400,MATCH($A661,Map!$A$2:$A$400,0)),"⚠ UNMAPPED"))</f>
        <v/>
      </c>
    </row>
    <row r="662" spans="7:10" x14ac:dyDescent="0.25">
      <c r="G662" s="158" t="str">
        <f>IF($A662="","",IFERROR(INDEX(Map!$C$2:$C$400,MATCH($A662,Map!$A$2:$A$400,0)),"⚠ UNMAPPED"))</f>
        <v/>
      </c>
      <c r="H662" s="18" t="str">
        <f>IF($A662="","",IFERROR(INDEX(Map!$D$2:$D$400,MATCH($A662,Map!$A$2:$A$400,0)),"⚠ UNMAPPED"))</f>
        <v/>
      </c>
      <c r="I662" s="18" t="str">
        <f>IF($A662="","",IFERROR(INDEX(Map!$E$2:$E$400,MATCH($A662,Map!$A$2:$A$400,0)),"⚠ UNMAPPED"))</f>
        <v/>
      </c>
      <c r="J662" s="18" t="str">
        <f>IF($A662="","",IFERROR(INDEX(Map!$F$2:$F$400,MATCH($A662,Map!$A$2:$A$400,0)),"⚠ UNMAPPED"))</f>
        <v/>
      </c>
    </row>
    <row r="663" spans="7:10" x14ac:dyDescent="0.25">
      <c r="G663" s="158" t="str">
        <f>IF($A663="","",IFERROR(INDEX(Map!$C$2:$C$400,MATCH($A663,Map!$A$2:$A$400,0)),"⚠ UNMAPPED"))</f>
        <v/>
      </c>
      <c r="H663" s="18" t="str">
        <f>IF($A663="","",IFERROR(INDEX(Map!$D$2:$D$400,MATCH($A663,Map!$A$2:$A$400,0)),"⚠ UNMAPPED"))</f>
        <v/>
      </c>
      <c r="I663" s="18" t="str">
        <f>IF($A663="","",IFERROR(INDEX(Map!$E$2:$E$400,MATCH($A663,Map!$A$2:$A$400,0)),"⚠ UNMAPPED"))</f>
        <v/>
      </c>
      <c r="J663" s="18" t="str">
        <f>IF($A663="","",IFERROR(INDEX(Map!$F$2:$F$400,MATCH($A663,Map!$A$2:$A$400,0)),"⚠ UNMAPPED"))</f>
        <v/>
      </c>
    </row>
    <row r="664" spans="7:10" x14ac:dyDescent="0.25">
      <c r="G664" s="158" t="str">
        <f>IF($A664="","",IFERROR(INDEX(Map!$C$2:$C$400,MATCH($A664,Map!$A$2:$A$400,0)),"⚠ UNMAPPED"))</f>
        <v/>
      </c>
      <c r="H664" s="18" t="str">
        <f>IF($A664="","",IFERROR(INDEX(Map!$D$2:$D$400,MATCH($A664,Map!$A$2:$A$400,0)),"⚠ UNMAPPED"))</f>
        <v/>
      </c>
      <c r="I664" s="18" t="str">
        <f>IF($A664="","",IFERROR(INDEX(Map!$E$2:$E$400,MATCH($A664,Map!$A$2:$A$400,0)),"⚠ UNMAPPED"))</f>
        <v/>
      </c>
      <c r="J664" s="18" t="str">
        <f>IF($A664="","",IFERROR(INDEX(Map!$F$2:$F$400,MATCH($A664,Map!$A$2:$A$400,0)),"⚠ UNMAPPED"))</f>
        <v/>
      </c>
    </row>
    <row r="665" spans="7:10" x14ac:dyDescent="0.25">
      <c r="G665" s="158" t="str">
        <f>IF($A665="","",IFERROR(INDEX(Map!$C$2:$C$400,MATCH($A665,Map!$A$2:$A$400,0)),"⚠ UNMAPPED"))</f>
        <v/>
      </c>
      <c r="H665" s="18" t="str">
        <f>IF($A665="","",IFERROR(INDEX(Map!$D$2:$D$400,MATCH($A665,Map!$A$2:$A$400,0)),"⚠ UNMAPPED"))</f>
        <v/>
      </c>
      <c r="I665" s="18" t="str">
        <f>IF($A665="","",IFERROR(INDEX(Map!$E$2:$E$400,MATCH($A665,Map!$A$2:$A$400,0)),"⚠ UNMAPPED"))</f>
        <v/>
      </c>
      <c r="J665" s="18" t="str">
        <f>IF($A665="","",IFERROR(INDEX(Map!$F$2:$F$400,MATCH($A665,Map!$A$2:$A$400,0)),"⚠ UNMAPPED"))</f>
        <v/>
      </c>
    </row>
    <row r="666" spans="7:10" x14ac:dyDescent="0.25">
      <c r="G666" s="158" t="str">
        <f>IF($A666="","",IFERROR(INDEX(Map!$C$2:$C$400,MATCH($A666,Map!$A$2:$A$400,0)),"⚠ UNMAPPED"))</f>
        <v/>
      </c>
      <c r="H666" s="18" t="str">
        <f>IF($A666="","",IFERROR(INDEX(Map!$D$2:$D$400,MATCH($A666,Map!$A$2:$A$400,0)),"⚠ UNMAPPED"))</f>
        <v/>
      </c>
      <c r="I666" s="18" t="str">
        <f>IF($A666="","",IFERROR(INDEX(Map!$E$2:$E$400,MATCH($A666,Map!$A$2:$A$400,0)),"⚠ UNMAPPED"))</f>
        <v/>
      </c>
      <c r="J666" s="18" t="str">
        <f>IF($A666="","",IFERROR(INDEX(Map!$F$2:$F$400,MATCH($A666,Map!$A$2:$A$400,0)),"⚠ UNMAPPED"))</f>
        <v/>
      </c>
    </row>
    <row r="667" spans="7:10" x14ac:dyDescent="0.25">
      <c r="G667" s="158" t="str">
        <f>IF($A667="","",IFERROR(INDEX(Map!$C$2:$C$400,MATCH($A667,Map!$A$2:$A$400,0)),"⚠ UNMAPPED"))</f>
        <v/>
      </c>
      <c r="H667" s="18" t="str">
        <f>IF($A667="","",IFERROR(INDEX(Map!$D$2:$D$400,MATCH($A667,Map!$A$2:$A$400,0)),"⚠ UNMAPPED"))</f>
        <v/>
      </c>
      <c r="I667" s="18" t="str">
        <f>IF($A667="","",IFERROR(INDEX(Map!$E$2:$E$400,MATCH($A667,Map!$A$2:$A$400,0)),"⚠ UNMAPPED"))</f>
        <v/>
      </c>
      <c r="J667" s="18" t="str">
        <f>IF($A667="","",IFERROR(INDEX(Map!$F$2:$F$400,MATCH($A667,Map!$A$2:$A$400,0)),"⚠ UNMAPPED"))</f>
        <v/>
      </c>
    </row>
    <row r="668" spans="7:10" x14ac:dyDescent="0.25">
      <c r="G668" s="158" t="str">
        <f>IF($A668="","",IFERROR(INDEX(Map!$C$2:$C$400,MATCH($A668,Map!$A$2:$A$400,0)),"⚠ UNMAPPED"))</f>
        <v/>
      </c>
      <c r="H668" s="18" t="str">
        <f>IF($A668="","",IFERROR(INDEX(Map!$D$2:$D$400,MATCH($A668,Map!$A$2:$A$400,0)),"⚠ UNMAPPED"))</f>
        <v/>
      </c>
      <c r="I668" s="18" t="str">
        <f>IF($A668="","",IFERROR(INDEX(Map!$E$2:$E$400,MATCH($A668,Map!$A$2:$A$400,0)),"⚠ UNMAPPED"))</f>
        <v/>
      </c>
      <c r="J668" s="18" t="str">
        <f>IF($A668="","",IFERROR(INDEX(Map!$F$2:$F$400,MATCH($A668,Map!$A$2:$A$400,0)),"⚠ UNMAPPED"))</f>
        <v/>
      </c>
    </row>
    <row r="669" spans="7:10" x14ac:dyDescent="0.25">
      <c r="G669" s="158" t="str">
        <f>IF($A669="","",IFERROR(INDEX(Map!$C$2:$C$400,MATCH($A669,Map!$A$2:$A$400,0)),"⚠ UNMAPPED"))</f>
        <v/>
      </c>
      <c r="H669" s="18" t="str">
        <f>IF($A669="","",IFERROR(INDEX(Map!$D$2:$D$400,MATCH($A669,Map!$A$2:$A$400,0)),"⚠ UNMAPPED"))</f>
        <v/>
      </c>
      <c r="I669" s="18" t="str">
        <f>IF($A669="","",IFERROR(INDEX(Map!$E$2:$E$400,MATCH($A669,Map!$A$2:$A$400,0)),"⚠ UNMAPPED"))</f>
        <v/>
      </c>
      <c r="J669" s="18" t="str">
        <f>IF($A669="","",IFERROR(INDEX(Map!$F$2:$F$400,MATCH($A669,Map!$A$2:$A$400,0)),"⚠ UNMAPPED"))</f>
        <v/>
      </c>
    </row>
    <row r="670" spans="7:10" x14ac:dyDescent="0.25">
      <c r="G670" s="158" t="str">
        <f>IF($A670="","",IFERROR(INDEX(Map!$C$2:$C$400,MATCH($A670,Map!$A$2:$A$400,0)),"⚠ UNMAPPED"))</f>
        <v/>
      </c>
      <c r="H670" s="18" t="str">
        <f>IF($A670="","",IFERROR(INDEX(Map!$D$2:$D$400,MATCH($A670,Map!$A$2:$A$400,0)),"⚠ UNMAPPED"))</f>
        <v/>
      </c>
      <c r="I670" s="18" t="str">
        <f>IF($A670="","",IFERROR(INDEX(Map!$E$2:$E$400,MATCH($A670,Map!$A$2:$A$400,0)),"⚠ UNMAPPED"))</f>
        <v/>
      </c>
      <c r="J670" s="18" t="str">
        <f>IF($A670="","",IFERROR(INDEX(Map!$F$2:$F$400,MATCH($A670,Map!$A$2:$A$400,0)),"⚠ UNMAPPED"))</f>
        <v/>
      </c>
    </row>
    <row r="671" spans="7:10" x14ac:dyDescent="0.25">
      <c r="G671" s="158" t="str">
        <f>IF($A671="","",IFERROR(INDEX(Map!$C$2:$C$400,MATCH($A671,Map!$A$2:$A$400,0)),"⚠ UNMAPPED"))</f>
        <v/>
      </c>
      <c r="H671" s="18" t="str">
        <f>IF($A671="","",IFERROR(INDEX(Map!$D$2:$D$400,MATCH($A671,Map!$A$2:$A$400,0)),"⚠ UNMAPPED"))</f>
        <v/>
      </c>
      <c r="I671" s="18" t="str">
        <f>IF($A671="","",IFERROR(INDEX(Map!$E$2:$E$400,MATCH($A671,Map!$A$2:$A$400,0)),"⚠ UNMAPPED"))</f>
        <v/>
      </c>
      <c r="J671" s="18" t="str">
        <f>IF($A671="","",IFERROR(INDEX(Map!$F$2:$F$400,MATCH($A671,Map!$A$2:$A$400,0)),"⚠ UNMAPPED"))</f>
        <v/>
      </c>
    </row>
    <row r="672" spans="7:10" x14ac:dyDescent="0.25">
      <c r="G672" s="158" t="str">
        <f>IF($A672="","",IFERROR(INDEX(Map!$C$2:$C$400,MATCH($A672,Map!$A$2:$A$400,0)),"⚠ UNMAPPED"))</f>
        <v/>
      </c>
      <c r="H672" s="18" t="str">
        <f>IF($A672="","",IFERROR(INDEX(Map!$D$2:$D$400,MATCH($A672,Map!$A$2:$A$400,0)),"⚠ UNMAPPED"))</f>
        <v/>
      </c>
      <c r="I672" s="18" t="str">
        <f>IF($A672="","",IFERROR(INDEX(Map!$E$2:$E$400,MATCH($A672,Map!$A$2:$A$400,0)),"⚠ UNMAPPED"))</f>
        <v/>
      </c>
      <c r="J672" s="18" t="str">
        <f>IF($A672="","",IFERROR(INDEX(Map!$F$2:$F$400,MATCH($A672,Map!$A$2:$A$400,0)),"⚠ UNMAPPED"))</f>
        <v/>
      </c>
    </row>
    <row r="673" spans="7:10" x14ac:dyDescent="0.25">
      <c r="G673" s="158" t="str">
        <f>IF($A673="","",IFERROR(INDEX(Map!$C$2:$C$400,MATCH($A673,Map!$A$2:$A$400,0)),"⚠ UNMAPPED"))</f>
        <v/>
      </c>
      <c r="H673" s="18" t="str">
        <f>IF($A673="","",IFERROR(INDEX(Map!$D$2:$D$400,MATCH($A673,Map!$A$2:$A$400,0)),"⚠ UNMAPPED"))</f>
        <v/>
      </c>
      <c r="I673" s="18" t="str">
        <f>IF($A673="","",IFERROR(INDEX(Map!$E$2:$E$400,MATCH($A673,Map!$A$2:$A$400,0)),"⚠ UNMAPPED"))</f>
        <v/>
      </c>
      <c r="J673" s="18" t="str">
        <f>IF($A673="","",IFERROR(INDEX(Map!$F$2:$F$400,MATCH($A673,Map!$A$2:$A$400,0)),"⚠ UNMAPPED"))</f>
        <v/>
      </c>
    </row>
    <row r="674" spans="7:10" x14ac:dyDescent="0.25">
      <c r="G674" s="158" t="str">
        <f>IF($A674="","",IFERROR(INDEX(Map!$C$2:$C$400,MATCH($A674,Map!$A$2:$A$400,0)),"⚠ UNMAPPED"))</f>
        <v/>
      </c>
      <c r="H674" s="18" t="str">
        <f>IF($A674="","",IFERROR(INDEX(Map!$D$2:$D$400,MATCH($A674,Map!$A$2:$A$400,0)),"⚠ UNMAPPED"))</f>
        <v/>
      </c>
      <c r="I674" s="18" t="str">
        <f>IF($A674="","",IFERROR(INDEX(Map!$E$2:$E$400,MATCH($A674,Map!$A$2:$A$400,0)),"⚠ UNMAPPED"))</f>
        <v/>
      </c>
      <c r="J674" s="18" t="str">
        <f>IF($A674="","",IFERROR(INDEX(Map!$F$2:$F$400,MATCH($A674,Map!$A$2:$A$400,0)),"⚠ UNMAPPED"))</f>
        <v/>
      </c>
    </row>
    <row r="675" spans="7:10" x14ac:dyDescent="0.25">
      <c r="G675" s="158" t="str">
        <f>IF($A675="","",IFERROR(INDEX(Map!$C$2:$C$400,MATCH($A675,Map!$A$2:$A$400,0)),"⚠ UNMAPPED"))</f>
        <v/>
      </c>
      <c r="H675" s="18" t="str">
        <f>IF($A675="","",IFERROR(INDEX(Map!$D$2:$D$400,MATCH($A675,Map!$A$2:$A$400,0)),"⚠ UNMAPPED"))</f>
        <v/>
      </c>
      <c r="I675" s="18" t="str">
        <f>IF($A675="","",IFERROR(INDEX(Map!$E$2:$E$400,MATCH($A675,Map!$A$2:$A$400,0)),"⚠ UNMAPPED"))</f>
        <v/>
      </c>
      <c r="J675" s="18" t="str">
        <f>IF($A675="","",IFERROR(INDEX(Map!$F$2:$F$400,MATCH($A675,Map!$A$2:$A$400,0)),"⚠ UNMAPPED"))</f>
        <v/>
      </c>
    </row>
    <row r="676" spans="7:10" x14ac:dyDescent="0.25">
      <c r="G676" s="158" t="str">
        <f>IF($A676="","",IFERROR(INDEX(Map!$C$2:$C$400,MATCH($A676,Map!$A$2:$A$400,0)),"⚠ UNMAPPED"))</f>
        <v/>
      </c>
      <c r="H676" s="18" t="str">
        <f>IF($A676="","",IFERROR(INDEX(Map!$D$2:$D$400,MATCH($A676,Map!$A$2:$A$400,0)),"⚠ UNMAPPED"))</f>
        <v/>
      </c>
      <c r="I676" s="18" t="str">
        <f>IF($A676="","",IFERROR(INDEX(Map!$E$2:$E$400,MATCH($A676,Map!$A$2:$A$400,0)),"⚠ UNMAPPED"))</f>
        <v/>
      </c>
      <c r="J676" s="18" t="str">
        <f>IF($A676="","",IFERROR(INDEX(Map!$F$2:$F$400,MATCH($A676,Map!$A$2:$A$400,0)),"⚠ UNMAPPED"))</f>
        <v/>
      </c>
    </row>
    <row r="677" spans="7:10" x14ac:dyDescent="0.25">
      <c r="G677" s="158" t="str">
        <f>IF($A677="","",IFERROR(INDEX(Map!$C$2:$C$400,MATCH($A677,Map!$A$2:$A$400,0)),"⚠ UNMAPPED"))</f>
        <v/>
      </c>
      <c r="H677" s="18" t="str">
        <f>IF($A677="","",IFERROR(INDEX(Map!$D$2:$D$400,MATCH($A677,Map!$A$2:$A$400,0)),"⚠ UNMAPPED"))</f>
        <v/>
      </c>
      <c r="I677" s="18" t="str">
        <f>IF($A677="","",IFERROR(INDEX(Map!$E$2:$E$400,MATCH($A677,Map!$A$2:$A$400,0)),"⚠ UNMAPPED"))</f>
        <v/>
      </c>
      <c r="J677" s="18" t="str">
        <f>IF($A677="","",IFERROR(INDEX(Map!$F$2:$F$400,MATCH($A677,Map!$A$2:$A$400,0)),"⚠ UNMAPPED"))</f>
        <v/>
      </c>
    </row>
    <row r="678" spans="7:10" x14ac:dyDescent="0.25">
      <c r="G678" s="158" t="str">
        <f>IF($A678="","",IFERROR(INDEX(Map!$C$2:$C$400,MATCH($A678,Map!$A$2:$A$400,0)),"⚠ UNMAPPED"))</f>
        <v/>
      </c>
      <c r="H678" s="18" t="str">
        <f>IF($A678="","",IFERROR(INDEX(Map!$D$2:$D$400,MATCH($A678,Map!$A$2:$A$400,0)),"⚠ UNMAPPED"))</f>
        <v/>
      </c>
      <c r="I678" s="18" t="str">
        <f>IF($A678="","",IFERROR(INDEX(Map!$E$2:$E$400,MATCH($A678,Map!$A$2:$A$400,0)),"⚠ UNMAPPED"))</f>
        <v/>
      </c>
      <c r="J678" s="18" t="str">
        <f>IF($A678="","",IFERROR(INDEX(Map!$F$2:$F$400,MATCH($A678,Map!$A$2:$A$400,0)),"⚠ UNMAPPED"))</f>
        <v/>
      </c>
    </row>
    <row r="679" spans="7:10" x14ac:dyDescent="0.25">
      <c r="G679" s="158" t="str">
        <f>IF($A679="","",IFERROR(INDEX(Map!$C$2:$C$400,MATCH($A679,Map!$A$2:$A$400,0)),"⚠ UNMAPPED"))</f>
        <v/>
      </c>
      <c r="H679" s="18" t="str">
        <f>IF($A679="","",IFERROR(INDEX(Map!$D$2:$D$400,MATCH($A679,Map!$A$2:$A$400,0)),"⚠ UNMAPPED"))</f>
        <v/>
      </c>
      <c r="I679" s="18" t="str">
        <f>IF($A679="","",IFERROR(INDEX(Map!$E$2:$E$400,MATCH($A679,Map!$A$2:$A$400,0)),"⚠ UNMAPPED"))</f>
        <v/>
      </c>
      <c r="J679" s="18" t="str">
        <f>IF($A679="","",IFERROR(INDEX(Map!$F$2:$F$400,MATCH($A679,Map!$A$2:$A$400,0)),"⚠ UNMAPPED"))</f>
        <v/>
      </c>
    </row>
    <row r="680" spans="7:10" x14ac:dyDescent="0.25">
      <c r="G680" s="158" t="str">
        <f>IF($A680="","",IFERROR(INDEX(Map!$C$2:$C$400,MATCH($A680,Map!$A$2:$A$400,0)),"⚠ UNMAPPED"))</f>
        <v/>
      </c>
      <c r="H680" s="18" t="str">
        <f>IF($A680="","",IFERROR(INDEX(Map!$D$2:$D$400,MATCH($A680,Map!$A$2:$A$400,0)),"⚠ UNMAPPED"))</f>
        <v/>
      </c>
      <c r="I680" s="18" t="str">
        <f>IF($A680="","",IFERROR(INDEX(Map!$E$2:$E$400,MATCH($A680,Map!$A$2:$A$400,0)),"⚠ UNMAPPED"))</f>
        <v/>
      </c>
      <c r="J680" s="18" t="str">
        <f>IF($A680="","",IFERROR(INDEX(Map!$F$2:$F$400,MATCH($A680,Map!$A$2:$A$400,0)),"⚠ UNMAPPED"))</f>
        <v/>
      </c>
    </row>
    <row r="681" spans="7:10" x14ac:dyDescent="0.25">
      <c r="G681" s="158" t="str">
        <f>IF($A681="","",IFERROR(INDEX(Map!$C$2:$C$400,MATCH($A681,Map!$A$2:$A$400,0)),"⚠ UNMAPPED"))</f>
        <v/>
      </c>
      <c r="H681" s="18" t="str">
        <f>IF($A681="","",IFERROR(INDEX(Map!$D$2:$D$400,MATCH($A681,Map!$A$2:$A$400,0)),"⚠ UNMAPPED"))</f>
        <v/>
      </c>
      <c r="I681" s="18" t="str">
        <f>IF($A681="","",IFERROR(INDEX(Map!$E$2:$E$400,MATCH($A681,Map!$A$2:$A$400,0)),"⚠ UNMAPPED"))</f>
        <v/>
      </c>
      <c r="J681" s="18" t="str">
        <f>IF($A681="","",IFERROR(INDEX(Map!$F$2:$F$400,MATCH($A681,Map!$A$2:$A$400,0)),"⚠ UNMAPPED"))</f>
        <v/>
      </c>
    </row>
    <row r="682" spans="7:10" x14ac:dyDescent="0.25">
      <c r="G682" s="158" t="str">
        <f>IF($A682="","",IFERROR(INDEX(Map!$C$2:$C$400,MATCH($A682,Map!$A$2:$A$400,0)),"⚠ UNMAPPED"))</f>
        <v/>
      </c>
      <c r="H682" s="18" t="str">
        <f>IF($A682="","",IFERROR(INDEX(Map!$D$2:$D$400,MATCH($A682,Map!$A$2:$A$400,0)),"⚠ UNMAPPED"))</f>
        <v/>
      </c>
      <c r="I682" s="18" t="str">
        <f>IF($A682="","",IFERROR(INDEX(Map!$E$2:$E$400,MATCH($A682,Map!$A$2:$A$400,0)),"⚠ UNMAPPED"))</f>
        <v/>
      </c>
      <c r="J682" s="18" t="str">
        <f>IF($A682="","",IFERROR(INDEX(Map!$F$2:$F$400,MATCH($A682,Map!$A$2:$A$400,0)),"⚠ UNMAPPED"))</f>
        <v/>
      </c>
    </row>
    <row r="683" spans="7:10" x14ac:dyDescent="0.25">
      <c r="G683" s="158" t="str">
        <f>IF($A683="","",IFERROR(INDEX(Map!$C$2:$C$400,MATCH($A683,Map!$A$2:$A$400,0)),"⚠ UNMAPPED"))</f>
        <v/>
      </c>
      <c r="H683" s="18" t="str">
        <f>IF($A683="","",IFERROR(INDEX(Map!$D$2:$D$400,MATCH($A683,Map!$A$2:$A$400,0)),"⚠ UNMAPPED"))</f>
        <v/>
      </c>
      <c r="I683" s="18" t="str">
        <f>IF($A683="","",IFERROR(INDEX(Map!$E$2:$E$400,MATCH($A683,Map!$A$2:$A$400,0)),"⚠ UNMAPPED"))</f>
        <v/>
      </c>
      <c r="J683" s="18" t="str">
        <f>IF($A683="","",IFERROR(INDEX(Map!$F$2:$F$400,MATCH($A683,Map!$A$2:$A$400,0)),"⚠ UNMAPPED"))</f>
        <v/>
      </c>
    </row>
    <row r="684" spans="7:10" x14ac:dyDescent="0.25">
      <c r="G684" s="158" t="str">
        <f>IF($A684="","",IFERROR(INDEX(Map!$C$2:$C$400,MATCH($A684,Map!$A$2:$A$400,0)),"⚠ UNMAPPED"))</f>
        <v/>
      </c>
      <c r="H684" s="18" t="str">
        <f>IF($A684="","",IFERROR(INDEX(Map!$D$2:$D$400,MATCH($A684,Map!$A$2:$A$400,0)),"⚠ UNMAPPED"))</f>
        <v/>
      </c>
      <c r="I684" s="18" t="str">
        <f>IF($A684="","",IFERROR(INDEX(Map!$E$2:$E$400,MATCH($A684,Map!$A$2:$A$400,0)),"⚠ UNMAPPED"))</f>
        <v/>
      </c>
      <c r="J684" s="18" t="str">
        <f>IF($A684="","",IFERROR(INDEX(Map!$F$2:$F$400,MATCH($A684,Map!$A$2:$A$400,0)),"⚠ UNMAPPED"))</f>
        <v/>
      </c>
    </row>
    <row r="685" spans="7:10" x14ac:dyDescent="0.25">
      <c r="G685" s="158" t="str">
        <f>IF($A685="","",IFERROR(INDEX(Map!$C$2:$C$400,MATCH($A685,Map!$A$2:$A$400,0)),"⚠ UNMAPPED"))</f>
        <v/>
      </c>
      <c r="H685" s="18" t="str">
        <f>IF($A685="","",IFERROR(INDEX(Map!$D$2:$D$400,MATCH($A685,Map!$A$2:$A$400,0)),"⚠ UNMAPPED"))</f>
        <v/>
      </c>
      <c r="I685" s="18" t="str">
        <f>IF($A685="","",IFERROR(INDEX(Map!$E$2:$E$400,MATCH($A685,Map!$A$2:$A$400,0)),"⚠ UNMAPPED"))</f>
        <v/>
      </c>
      <c r="J685" s="18" t="str">
        <f>IF($A685="","",IFERROR(INDEX(Map!$F$2:$F$400,MATCH($A685,Map!$A$2:$A$400,0)),"⚠ UNMAPPED"))</f>
        <v/>
      </c>
    </row>
    <row r="686" spans="7:10" x14ac:dyDescent="0.25">
      <c r="G686" s="158" t="str">
        <f>IF($A686="","",IFERROR(INDEX(Map!$C$2:$C$400,MATCH($A686,Map!$A$2:$A$400,0)),"⚠ UNMAPPED"))</f>
        <v/>
      </c>
      <c r="H686" s="18" t="str">
        <f>IF($A686="","",IFERROR(INDEX(Map!$D$2:$D$400,MATCH($A686,Map!$A$2:$A$400,0)),"⚠ UNMAPPED"))</f>
        <v/>
      </c>
      <c r="I686" s="18" t="str">
        <f>IF($A686="","",IFERROR(INDEX(Map!$E$2:$E$400,MATCH($A686,Map!$A$2:$A$400,0)),"⚠ UNMAPPED"))</f>
        <v/>
      </c>
      <c r="J686" s="18" t="str">
        <f>IF($A686="","",IFERROR(INDEX(Map!$F$2:$F$400,MATCH($A686,Map!$A$2:$A$400,0)),"⚠ UNMAPPED"))</f>
        <v/>
      </c>
    </row>
    <row r="687" spans="7:10" x14ac:dyDescent="0.25">
      <c r="G687" s="158" t="str">
        <f>IF($A687="","",IFERROR(INDEX(Map!$C$2:$C$400,MATCH($A687,Map!$A$2:$A$400,0)),"⚠ UNMAPPED"))</f>
        <v/>
      </c>
      <c r="H687" s="18" t="str">
        <f>IF($A687="","",IFERROR(INDEX(Map!$D$2:$D$400,MATCH($A687,Map!$A$2:$A$400,0)),"⚠ UNMAPPED"))</f>
        <v/>
      </c>
      <c r="I687" s="18" t="str">
        <f>IF($A687="","",IFERROR(INDEX(Map!$E$2:$E$400,MATCH($A687,Map!$A$2:$A$400,0)),"⚠ UNMAPPED"))</f>
        <v/>
      </c>
      <c r="J687" s="18" t="str">
        <f>IF($A687="","",IFERROR(INDEX(Map!$F$2:$F$400,MATCH($A687,Map!$A$2:$A$400,0)),"⚠ UNMAPPED"))</f>
        <v/>
      </c>
    </row>
    <row r="688" spans="7:10" x14ac:dyDescent="0.25">
      <c r="G688" s="158" t="str">
        <f>IF($A688="","",IFERROR(INDEX(Map!$C$2:$C$400,MATCH($A688,Map!$A$2:$A$400,0)),"⚠ UNMAPPED"))</f>
        <v/>
      </c>
      <c r="H688" s="18" t="str">
        <f>IF($A688="","",IFERROR(INDEX(Map!$D$2:$D$400,MATCH($A688,Map!$A$2:$A$400,0)),"⚠ UNMAPPED"))</f>
        <v/>
      </c>
      <c r="I688" s="18" t="str">
        <f>IF($A688="","",IFERROR(INDEX(Map!$E$2:$E$400,MATCH($A688,Map!$A$2:$A$400,0)),"⚠ UNMAPPED"))</f>
        <v/>
      </c>
      <c r="J688" s="18" t="str">
        <f>IF($A688="","",IFERROR(INDEX(Map!$F$2:$F$400,MATCH($A688,Map!$A$2:$A$400,0)),"⚠ UNMAPPED"))</f>
        <v/>
      </c>
    </row>
    <row r="689" spans="7:10" x14ac:dyDescent="0.25">
      <c r="G689" s="158" t="str">
        <f>IF($A689="","",IFERROR(INDEX(Map!$C$2:$C$400,MATCH($A689,Map!$A$2:$A$400,0)),"⚠ UNMAPPED"))</f>
        <v/>
      </c>
      <c r="H689" s="18" t="str">
        <f>IF($A689="","",IFERROR(INDEX(Map!$D$2:$D$400,MATCH($A689,Map!$A$2:$A$400,0)),"⚠ UNMAPPED"))</f>
        <v/>
      </c>
      <c r="I689" s="18" t="str">
        <f>IF($A689="","",IFERROR(INDEX(Map!$E$2:$E$400,MATCH($A689,Map!$A$2:$A$400,0)),"⚠ UNMAPPED"))</f>
        <v/>
      </c>
      <c r="J689" s="18" t="str">
        <f>IF($A689="","",IFERROR(INDEX(Map!$F$2:$F$400,MATCH($A689,Map!$A$2:$A$400,0)),"⚠ UNMAPPED"))</f>
        <v/>
      </c>
    </row>
    <row r="690" spans="7:10" x14ac:dyDescent="0.25">
      <c r="G690" s="158" t="str">
        <f>IF($A690="","",IFERROR(INDEX(Map!$C$2:$C$400,MATCH($A690,Map!$A$2:$A$400,0)),"⚠ UNMAPPED"))</f>
        <v/>
      </c>
      <c r="H690" s="18" t="str">
        <f>IF($A690="","",IFERROR(INDEX(Map!$D$2:$D$400,MATCH($A690,Map!$A$2:$A$400,0)),"⚠ UNMAPPED"))</f>
        <v/>
      </c>
      <c r="I690" s="18" t="str">
        <f>IF($A690="","",IFERROR(INDEX(Map!$E$2:$E$400,MATCH($A690,Map!$A$2:$A$400,0)),"⚠ UNMAPPED"))</f>
        <v/>
      </c>
      <c r="J690" s="18" t="str">
        <f>IF($A690="","",IFERROR(INDEX(Map!$F$2:$F$400,MATCH($A690,Map!$A$2:$A$400,0)),"⚠ UNMAPPED"))</f>
        <v/>
      </c>
    </row>
    <row r="691" spans="7:10" x14ac:dyDescent="0.25">
      <c r="G691" s="158" t="str">
        <f>IF($A691="","",IFERROR(INDEX(Map!$C$2:$C$400,MATCH($A691,Map!$A$2:$A$400,0)),"⚠ UNMAPPED"))</f>
        <v/>
      </c>
      <c r="H691" s="18" t="str">
        <f>IF($A691="","",IFERROR(INDEX(Map!$D$2:$D$400,MATCH($A691,Map!$A$2:$A$400,0)),"⚠ UNMAPPED"))</f>
        <v/>
      </c>
      <c r="I691" s="18" t="str">
        <f>IF($A691="","",IFERROR(INDEX(Map!$E$2:$E$400,MATCH($A691,Map!$A$2:$A$400,0)),"⚠ UNMAPPED"))</f>
        <v/>
      </c>
      <c r="J691" s="18" t="str">
        <f>IF($A691="","",IFERROR(INDEX(Map!$F$2:$F$400,MATCH($A691,Map!$A$2:$A$400,0)),"⚠ UNMAPPED"))</f>
        <v/>
      </c>
    </row>
    <row r="692" spans="7:10" x14ac:dyDescent="0.25">
      <c r="G692" s="158" t="str">
        <f>IF($A692="","",IFERROR(INDEX(Map!$C$2:$C$400,MATCH($A692,Map!$A$2:$A$400,0)),"⚠ UNMAPPED"))</f>
        <v/>
      </c>
      <c r="H692" s="18" t="str">
        <f>IF($A692="","",IFERROR(INDEX(Map!$D$2:$D$400,MATCH($A692,Map!$A$2:$A$400,0)),"⚠ UNMAPPED"))</f>
        <v/>
      </c>
      <c r="I692" s="18" t="str">
        <f>IF($A692="","",IFERROR(INDEX(Map!$E$2:$E$400,MATCH($A692,Map!$A$2:$A$400,0)),"⚠ UNMAPPED"))</f>
        <v/>
      </c>
      <c r="J692" s="18" t="str">
        <f>IF($A692="","",IFERROR(INDEX(Map!$F$2:$F$400,MATCH($A692,Map!$A$2:$A$400,0)),"⚠ UNMAPPED"))</f>
        <v/>
      </c>
    </row>
    <row r="693" spans="7:10" x14ac:dyDescent="0.25">
      <c r="G693" s="158" t="str">
        <f>IF($A693="","",IFERROR(INDEX(Map!$C$2:$C$400,MATCH($A693,Map!$A$2:$A$400,0)),"⚠ UNMAPPED"))</f>
        <v/>
      </c>
      <c r="H693" s="18" t="str">
        <f>IF($A693="","",IFERROR(INDEX(Map!$D$2:$D$400,MATCH($A693,Map!$A$2:$A$400,0)),"⚠ UNMAPPED"))</f>
        <v/>
      </c>
      <c r="I693" s="18" t="str">
        <f>IF($A693="","",IFERROR(INDEX(Map!$E$2:$E$400,MATCH($A693,Map!$A$2:$A$400,0)),"⚠ UNMAPPED"))</f>
        <v/>
      </c>
      <c r="J693" s="18" t="str">
        <f>IF($A693="","",IFERROR(INDEX(Map!$F$2:$F$400,MATCH($A693,Map!$A$2:$A$400,0)),"⚠ UNMAPPED"))</f>
        <v/>
      </c>
    </row>
    <row r="694" spans="7:10" x14ac:dyDescent="0.25">
      <c r="G694" s="158" t="str">
        <f>IF($A694="","",IFERROR(INDEX(Map!$C$2:$C$400,MATCH($A694,Map!$A$2:$A$400,0)),"⚠ UNMAPPED"))</f>
        <v/>
      </c>
      <c r="H694" s="18" t="str">
        <f>IF($A694="","",IFERROR(INDEX(Map!$D$2:$D$400,MATCH($A694,Map!$A$2:$A$400,0)),"⚠ UNMAPPED"))</f>
        <v/>
      </c>
      <c r="I694" s="18" t="str">
        <f>IF($A694="","",IFERROR(INDEX(Map!$E$2:$E$400,MATCH($A694,Map!$A$2:$A$400,0)),"⚠ UNMAPPED"))</f>
        <v/>
      </c>
      <c r="J694" s="18" t="str">
        <f>IF($A694="","",IFERROR(INDEX(Map!$F$2:$F$400,MATCH($A694,Map!$A$2:$A$400,0)),"⚠ UNMAPPED"))</f>
        <v/>
      </c>
    </row>
    <row r="695" spans="7:10" x14ac:dyDescent="0.25">
      <c r="G695" s="158" t="str">
        <f>IF($A695="","",IFERROR(INDEX(Map!$C$2:$C$400,MATCH($A695,Map!$A$2:$A$400,0)),"⚠ UNMAPPED"))</f>
        <v/>
      </c>
      <c r="H695" s="18" t="str">
        <f>IF($A695="","",IFERROR(INDEX(Map!$D$2:$D$400,MATCH($A695,Map!$A$2:$A$400,0)),"⚠ UNMAPPED"))</f>
        <v/>
      </c>
      <c r="I695" s="18" t="str">
        <f>IF($A695="","",IFERROR(INDEX(Map!$E$2:$E$400,MATCH($A695,Map!$A$2:$A$400,0)),"⚠ UNMAPPED"))</f>
        <v/>
      </c>
      <c r="J695" s="18" t="str">
        <f>IF($A695="","",IFERROR(INDEX(Map!$F$2:$F$400,MATCH($A695,Map!$A$2:$A$400,0)),"⚠ UNMAPPED"))</f>
        <v/>
      </c>
    </row>
    <row r="696" spans="7:10" x14ac:dyDescent="0.25">
      <c r="G696" s="158" t="str">
        <f>IF($A696="","",IFERROR(INDEX(Map!$C$2:$C$400,MATCH($A696,Map!$A$2:$A$400,0)),"⚠ UNMAPPED"))</f>
        <v/>
      </c>
      <c r="H696" s="18" t="str">
        <f>IF($A696="","",IFERROR(INDEX(Map!$D$2:$D$400,MATCH($A696,Map!$A$2:$A$400,0)),"⚠ UNMAPPED"))</f>
        <v/>
      </c>
      <c r="I696" s="18" t="str">
        <f>IF($A696="","",IFERROR(INDEX(Map!$E$2:$E$400,MATCH($A696,Map!$A$2:$A$400,0)),"⚠ UNMAPPED"))</f>
        <v/>
      </c>
      <c r="J696" s="18" t="str">
        <f>IF($A696="","",IFERROR(INDEX(Map!$F$2:$F$400,MATCH($A696,Map!$A$2:$A$400,0)),"⚠ UNMAPPED"))</f>
        <v/>
      </c>
    </row>
    <row r="697" spans="7:10" x14ac:dyDescent="0.25">
      <c r="G697" s="158" t="str">
        <f>IF($A697="","",IFERROR(INDEX(Map!$C$2:$C$400,MATCH($A697,Map!$A$2:$A$400,0)),"⚠ UNMAPPED"))</f>
        <v/>
      </c>
      <c r="H697" s="18" t="str">
        <f>IF($A697="","",IFERROR(INDEX(Map!$D$2:$D$400,MATCH($A697,Map!$A$2:$A$400,0)),"⚠ UNMAPPED"))</f>
        <v/>
      </c>
      <c r="I697" s="18" t="str">
        <f>IF($A697="","",IFERROR(INDEX(Map!$E$2:$E$400,MATCH($A697,Map!$A$2:$A$400,0)),"⚠ UNMAPPED"))</f>
        <v/>
      </c>
      <c r="J697" s="18" t="str">
        <f>IF($A697="","",IFERROR(INDEX(Map!$F$2:$F$400,MATCH($A697,Map!$A$2:$A$400,0)),"⚠ UNMAPPED"))</f>
        <v/>
      </c>
    </row>
    <row r="698" spans="7:10" x14ac:dyDescent="0.25">
      <c r="G698" s="158" t="str">
        <f>IF($A698="","",IFERROR(INDEX(Map!$C$2:$C$400,MATCH($A698,Map!$A$2:$A$400,0)),"⚠ UNMAPPED"))</f>
        <v/>
      </c>
      <c r="H698" s="18" t="str">
        <f>IF($A698="","",IFERROR(INDEX(Map!$D$2:$D$400,MATCH($A698,Map!$A$2:$A$400,0)),"⚠ UNMAPPED"))</f>
        <v/>
      </c>
      <c r="I698" s="18" t="str">
        <f>IF($A698="","",IFERROR(INDEX(Map!$E$2:$E$400,MATCH($A698,Map!$A$2:$A$400,0)),"⚠ UNMAPPED"))</f>
        <v/>
      </c>
      <c r="J698" s="18" t="str">
        <f>IF($A698="","",IFERROR(INDEX(Map!$F$2:$F$400,MATCH($A698,Map!$A$2:$A$400,0)),"⚠ UNMAPPED"))</f>
        <v/>
      </c>
    </row>
    <row r="699" spans="7:10" x14ac:dyDescent="0.25">
      <c r="G699" s="158" t="str">
        <f>IF($A699="","",IFERROR(INDEX(Map!$C$2:$C$400,MATCH($A699,Map!$A$2:$A$400,0)),"⚠ UNMAPPED"))</f>
        <v/>
      </c>
      <c r="H699" s="18" t="str">
        <f>IF($A699="","",IFERROR(INDEX(Map!$D$2:$D$400,MATCH($A699,Map!$A$2:$A$400,0)),"⚠ UNMAPPED"))</f>
        <v/>
      </c>
      <c r="I699" s="18" t="str">
        <f>IF($A699="","",IFERROR(INDEX(Map!$E$2:$E$400,MATCH($A699,Map!$A$2:$A$400,0)),"⚠ UNMAPPED"))</f>
        <v/>
      </c>
      <c r="J699" s="18" t="str">
        <f>IF($A699="","",IFERROR(INDEX(Map!$F$2:$F$400,MATCH($A699,Map!$A$2:$A$400,0)),"⚠ UNMAPPED"))</f>
        <v/>
      </c>
    </row>
    <row r="700" spans="7:10" x14ac:dyDescent="0.25">
      <c r="G700" s="158" t="str">
        <f>IF($A700="","",IFERROR(INDEX(Map!$C$2:$C$400,MATCH($A700,Map!$A$2:$A$400,0)),"⚠ UNMAPPED"))</f>
        <v/>
      </c>
      <c r="H700" s="18" t="str">
        <f>IF($A700="","",IFERROR(INDEX(Map!$D$2:$D$400,MATCH($A700,Map!$A$2:$A$400,0)),"⚠ UNMAPPED"))</f>
        <v/>
      </c>
      <c r="I700" s="18" t="str">
        <f>IF($A700="","",IFERROR(INDEX(Map!$E$2:$E$400,MATCH($A700,Map!$A$2:$A$400,0)),"⚠ UNMAPPED"))</f>
        <v/>
      </c>
      <c r="J700" s="18" t="str">
        <f>IF($A700="","",IFERROR(INDEX(Map!$F$2:$F$400,MATCH($A700,Map!$A$2:$A$400,0)),"⚠ UNMAPPED"))</f>
        <v/>
      </c>
    </row>
    <row r="701" spans="7:10" x14ac:dyDescent="0.25">
      <c r="G701" s="158" t="str">
        <f>IF($A701="","",IFERROR(INDEX(Map!$C$2:$C$400,MATCH($A701,Map!$A$2:$A$400,0)),"⚠ UNMAPPED"))</f>
        <v/>
      </c>
      <c r="H701" s="18" t="str">
        <f>IF($A701="","",IFERROR(INDEX(Map!$D$2:$D$400,MATCH($A701,Map!$A$2:$A$400,0)),"⚠ UNMAPPED"))</f>
        <v/>
      </c>
      <c r="I701" s="18" t="str">
        <f>IF($A701="","",IFERROR(INDEX(Map!$E$2:$E$400,MATCH($A701,Map!$A$2:$A$400,0)),"⚠ UNMAPPED"))</f>
        <v/>
      </c>
      <c r="J701" s="18" t="str">
        <f>IF($A701="","",IFERROR(INDEX(Map!$F$2:$F$400,MATCH($A701,Map!$A$2:$A$400,0)),"⚠ UNMAPPED"))</f>
        <v/>
      </c>
    </row>
    <row r="702" spans="7:10" x14ac:dyDescent="0.25">
      <c r="G702" s="158" t="str">
        <f>IF($A702="","",IFERROR(INDEX(Map!$C$2:$C$400,MATCH($A702,Map!$A$2:$A$400,0)),"⚠ UNMAPPED"))</f>
        <v/>
      </c>
      <c r="H702" s="18" t="str">
        <f>IF($A702="","",IFERROR(INDEX(Map!$D$2:$D$400,MATCH($A702,Map!$A$2:$A$400,0)),"⚠ UNMAPPED"))</f>
        <v/>
      </c>
      <c r="I702" s="18" t="str">
        <f>IF($A702="","",IFERROR(INDEX(Map!$E$2:$E$400,MATCH($A702,Map!$A$2:$A$400,0)),"⚠ UNMAPPED"))</f>
        <v/>
      </c>
      <c r="J702" s="18" t="str">
        <f>IF($A702="","",IFERROR(INDEX(Map!$F$2:$F$400,MATCH($A702,Map!$A$2:$A$400,0)),"⚠ UNMAPPED"))</f>
        <v/>
      </c>
    </row>
    <row r="703" spans="7:10" x14ac:dyDescent="0.25">
      <c r="G703" s="158" t="str">
        <f>IF($A703="","",IFERROR(INDEX(Map!$C$2:$C$400,MATCH($A703,Map!$A$2:$A$400,0)),"⚠ UNMAPPED"))</f>
        <v/>
      </c>
      <c r="H703" s="18" t="str">
        <f>IF($A703="","",IFERROR(INDEX(Map!$D$2:$D$400,MATCH($A703,Map!$A$2:$A$400,0)),"⚠ UNMAPPED"))</f>
        <v/>
      </c>
      <c r="I703" s="18" t="str">
        <f>IF($A703="","",IFERROR(INDEX(Map!$E$2:$E$400,MATCH($A703,Map!$A$2:$A$400,0)),"⚠ UNMAPPED"))</f>
        <v/>
      </c>
      <c r="J703" s="18" t="str">
        <f>IF($A703="","",IFERROR(INDEX(Map!$F$2:$F$400,MATCH($A703,Map!$A$2:$A$400,0)),"⚠ UNMAPPED"))</f>
        <v/>
      </c>
    </row>
    <row r="704" spans="7:10" x14ac:dyDescent="0.25">
      <c r="G704" s="158" t="str">
        <f>IF($A704="","",IFERROR(INDEX(Map!$C$2:$C$400,MATCH($A704,Map!$A$2:$A$400,0)),"⚠ UNMAPPED"))</f>
        <v/>
      </c>
      <c r="H704" s="18" t="str">
        <f>IF($A704="","",IFERROR(INDEX(Map!$D$2:$D$400,MATCH($A704,Map!$A$2:$A$400,0)),"⚠ UNMAPPED"))</f>
        <v/>
      </c>
      <c r="I704" s="18" t="str">
        <f>IF($A704="","",IFERROR(INDEX(Map!$E$2:$E$400,MATCH($A704,Map!$A$2:$A$400,0)),"⚠ UNMAPPED"))</f>
        <v/>
      </c>
      <c r="J704" s="18" t="str">
        <f>IF($A704="","",IFERROR(INDEX(Map!$F$2:$F$400,MATCH($A704,Map!$A$2:$A$400,0)),"⚠ UNMAPPED"))</f>
        <v/>
      </c>
    </row>
    <row r="705" spans="7:10" x14ac:dyDescent="0.25">
      <c r="G705" s="158" t="str">
        <f>IF($A705="","",IFERROR(INDEX(Map!$C$2:$C$400,MATCH($A705,Map!$A$2:$A$400,0)),"⚠ UNMAPPED"))</f>
        <v/>
      </c>
      <c r="H705" s="18" t="str">
        <f>IF($A705="","",IFERROR(INDEX(Map!$D$2:$D$400,MATCH($A705,Map!$A$2:$A$400,0)),"⚠ UNMAPPED"))</f>
        <v/>
      </c>
      <c r="I705" s="18" t="str">
        <f>IF($A705="","",IFERROR(INDEX(Map!$E$2:$E$400,MATCH($A705,Map!$A$2:$A$400,0)),"⚠ UNMAPPED"))</f>
        <v/>
      </c>
      <c r="J705" s="18" t="str">
        <f>IF($A705="","",IFERROR(INDEX(Map!$F$2:$F$400,MATCH($A705,Map!$A$2:$A$400,0)),"⚠ UNMAPPED"))</f>
        <v/>
      </c>
    </row>
    <row r="706" spans="7:10" x14ac:dyDescent="0.25">
      <c r="G706" s="158" t="str">
        <f>IF($A706="","",IFERROR(INDEX(Map!$C$2:$C$400,MATCH($A706,Map!$A$2:$A$400,0)),"⚠ UNMAPPED"))</f>
        <v/>
      </c>
      <c r="H706" s="18" t="str">
        <f>IF($A706="","",IFERROR(INDEX(Map!$D$2:$D$400,MATCH($A706,Map!$A$2:$A$400,0)),"⚠ UNMAPPED"))</f>
        <v/>
      </c>
      <c r="I706" s="18" t="str">
        <f>IF($A706="","",IFERROR(INDEX(Map!$E$2:$E$400,MATCH($A706,Map!$A$2:$A$400,0)),"⚠ UNMAPPED"))</f>
        <v/>
      </c>
      <c r="J706" s="18" t="str">
        <f>IF($A706="","",IFERROR(INDEX(Map!$F$2:$F$400,MATCH($A706,Map!$A$2:$A$400,0)),"⚠ UNMAPPED"))</f>
        <v/>
      </c>
    </row>
    <row r="707" spans="7:10" x14ac:dyDescent="0.25">
      <c r="G707" s="158" t="str">
        <f>IF($A707="","",IFERROR(INDEX(Map!$C$2:$C$400,MATCH($A707,Map!$A$2:$A$400,0)),"⚠ UNMAPPED"))</f>
        <v/>
      </c>
      <c r="H707" s="18" t="str">
        <f>IF($A707="","",IFERROR(INDEX(Map!$D$2:$D$400,MATCH($A707,Map!$A$2:$A$400,0)),"⚠ UNMAPPED"))</f>
        <v/>
      </c>
      <c r="I707" s="18" t="str">
        <f>IF($A707="","",IFERROR(INDEX(Map!$E$2:$E$400,MATCH($A707,Map!$A$2:$A$400,0)),"⚠ UNMAPPED"))</f>
        <v/>
      </c>
      <c r="J707" s="18" t="str">
        <f>IF($A707="","",IFERROR(INDEX(Map!$F$2:$F$400,MATCH($A707,Map!$A$2:$A$400,0)),"⚠ UNMAPPED"))</f>
        <v/>
      </c>
    </row>
    <row r="708" spans="7:10" x14ac:dyDescent="0.25">
      <c r="G708" s="158" t="str">
        <f>IF($A708="","",IFERROR(INDEX(Map!$C$2:$C$400,MATCH($A708,Map!$A$2:$A$400,0)),"⚠ UNMAPPED"))</f>
        <v/>
      </c>
      <c r="H708" s="18" t="str">
        <f>IF($A708="","",IFERROR(INDEX(Map!$D$2:$D$400,MATCH($A708,Map!$A$2:$A$400,0)),"⚠ UNMAPPED"))</f>
        <v/>
      </c>
      <c r="I708" s="18" t="str">
        <f>IF($A708="","",IFERROR(INDEX(Map!$E$2:$E$400,MATCH($A708,Map!$A$2:$A$400,0)),"⚠ UNMAPPED"))</f>
        <v/>
      </c>
      <c r="J708" s="18" t="str">
        <f>IF($A708="","",IFERROR(INDEX(Map!$F$2:$F$400,MATCH($A708,Map!$A$2:$A$400,0)),"⚠ UNMAPPED"))</f>
        <v/>
      </c>
    </row>
    <row r="709" spans="7:10" x14ac:dyDescent="0.25">
      <c r="G709" s="158" t="str">
        <f>IF($A709="","",IFERROR(INDEX(Map!$C$2:$C$400,MATCH($A709,Map!$A$2:$A$400,0)),"⚠ UNMAPPED"))</f>
        <v/>
      </c>
      <c r="H709" s="18" t="str">
        <f>IF($A709="","",IFERROR(INDEX(Map!$D$2:$D$400,MATCH($A709,Map!$A$2:$A$400,0)),"⚠ UNMAPPED"))</f>
        <v/>
      </c>
      <c r="I709" s="18" t="str">
        <f>IF($A709="","",IFERROR(INDEX(Map!$E$2:$E$400,MATCH($A709,Map!$A$2:$A$400,0)),"⚠ UNMAPPED"))</f>
        <v/>
      </c>
      <c r="J709" s="18" t="str">
        <f>IF($A709="","",IFERROR(INDEX(Map!$F$2:$F$400,MATCH($A709,Map!$A$2:$A$400,0)),"⚠ UNMAPPED"))</f>
        <v/>
      </c>
    </row>
    <row r="710" spans="7:10" x14ac:dyDescent="0.25">
      <c r="G710" s="158" t="str">
        <f>IF($A710="","",IFERROR(INDEX(Map!$C$2:$C$400,MATCH($A710,Map!$A$2:$A$400,0)),"⚠ UNMAPPED"))</f>
        <v/>
      </c>
      <c r="H710" s="18" t="str">
        <f>IF($A710="","",IFERROR(INDEX(Map!$D$2:$D$400,MATCH($A710,Map!$A$2:$A$400,0)),"⚠ UNMAPPED"))</f>
        <v/>
      </c>
      <c r="I710" s="18" t="str">
        <f>IF($A710="","",IFERROR(INDEX(Map!$E$2:$E$400,MATCH($A710,Map!$A$2:$A$400,0)),"⚠ UNMAPPED"))</f>
        <v/>
      </c>
      <c r="J710" s="18" t="str">
        <f>IF($A710="","",IFERROR(INDEX(Map!$F$2:$F$400,MATCH($A710,Map!$A$2:$A$400,0)),"⚠ UNMAPPED"))</f>
        <v/>
      </c>
    </row>
    <row r="711" spans="7:10" x14ac:dyDescent="0.25">
      <c r="G711" s="158" t="str">
        <f>IF($A711="","",IFERROR(INDEX(Map!$C$2:$C$400,MATCH($A711,Map!$A$2:$A$400,0)),"⚠ UNMAPPED"))</f>
        <v/>
      </c>
      <c r="H711" s="18" t="str">
        <f>IF($A711="","",IFERROR(INDEX(Map!$D$2:$D$400,MATCH($A711,Map!$A$2:$A$400,0)),"⚠ UNMAPPED"))</f>
        <v/>
      </c>
      <c r="I711" s="18" t="str">
        <f>IF($A711="","",IFERROR(INDEX(Map!$E$2:$E$400,MATCH($A711,Map!$A$2:$A$400,0)),"⚠ UNMAPPED"))</f>
        <v/>
      </c>
      <c r="J711" s="18" t="str">
        <f>IF($A711="","",IFERROR(INDEX(Map!$F$2:$F$400,MATCH($A711,Map!$A$2:$A$400,0)),"⚠ UNMAPPED"))</f>
        <v/>
      </c>
    </row>
    <row r="712" spans="7:10" x14ac:dyDescent="0.25">
      <c r="G712" s="158" t="str">
        <f>IF($A712="","",IFERROR(INDEX(Map!$C$2:$C$400,MATCH($A712,Map!$A$2:$A$400,0)),"⚠ UNMAPPED"))</f>
        <v/>
      </c>
      <c r="H712" s="18" t="str">
        <f>IF($A712="","",IFERROR(INDEX(Map!$D$2:$D$400,MATCH($A712,Map!$A$2:$A$400,0)),"⚠ UNMAPPED"))</f>
        <v/>
      </c>
      <c r="I712" s="18" t="str">
        <f>IF($A712="","",IFERROR(INDEX(Map!$E$2:$E$400,MATCH($A712,Map!$A$2:$A$400,0)),"⚠ UNMAPPED"))</f>
        <v/>
      </c>
      <c r="J712" s="18" t="str">
        <f>IF($A712="","",IFERROR(INDEX(Map!$F$2:$F$400,MATCH($A712,Map!$A$2:$A$400,0)),"⚠ UNMAPPED"))</f>
        <v/>
      </c>
    </row>
    <row r="713" spans="7:10" x14ac:dyDescent="0.25">
      <c r="G713" s="158" t="str">
        <f>IF($A713="","",IFERROR(INDEX(Map!$C$2:$C$400,MATCH($A713,Map!$A$2:$A$400,0)),"⚠ UNMAPPED"))</f>
        <v/>
      </c>
      <c r="H713" s="18" t="str">
        <f>IF($A713="","",IFERROR(INDEX(Map!$D$2:$D$400,MATCH($A713,Map!$A$2:$A$400,0)),"⚠ UNMAPPED"))</f>
        <v/>
      </c>
      <c r="I713" s="18" t="str">
        <f>IF($A713="","",IFERROR(INDEX(Map!$E$2:$E$400,MATCH($A713,Map!$A$2:$A$400,0)),"⚠ UNMAPPED"))</f>
        <v/>
      </c>
      <c r="J713" s="18" t="str">
        <f>IF($A713="","",IFERROR(INDEX(Map!$F$2:$F$400,MATCH($A713,Map!$A$2:$A$400,0)),"⚠ UNMAPPED"))</f>
        <v/>
      </c>
    </row>
    <row r="714" spans="7:10" x14ac:dyDescent="0.25">
      <c r="G714" s="158" t="str">
        <f>IF($A714="","",IFERROR(INDEX(Map!$C$2:$C$400,MATCH($A714,Map!$A$2:$A$400,0)),"⚠ UNMAPPED"))</f>
        <v/>
      </c>
      <c r="H714" s="18" t="str">
        <f>IF($A714="","",IFERROR(INDEX(Map!$D$2:$D$400,MATCH($A714,Map!$A$2:$A$400,0)),"⚠ UNMAPPED"))</f>
        <v/>
      </c>
      <c r="I714" s="18" t="str">
        <f>IF($A714="","",IFERROR(INDEX(Map!$E$2:$E$400,MATCH($A714,Map!$A$2:$A$400,0)),"⚠ UNMAPPED"))</f>
        <v/>
      </c>
      <c r="J714" s="18" t="str">
        <f>IF($A714="","",IFERROR(INDEX(Map!$F$2:$F$400,MATCH($A714,Map!$A$2:$A$400,0)),"⚠ UNMAPPED"))</f>
        <v/>
      </c>
    </row>
    <row r="715" spans="7:10" x14ac:dyDescent="0.25">
      <c r="G715" s="158" t="str">
        <f>IF($A715="","",IFERROR(INDEX(Map!$C$2:$C$400,MATCH($A715,Map!$A$2:$A$400,0)),"⚠ UNMAPPED"))</f>
        <v/>
      </c>
      <c r="H715" s="18" t="str">
        <f>IF($A715="","",IFERROR(INDEX(Map!$D$2:$D$400,MATCH($A715,Map!$A$2:$A$400,0)),"⚠ UNMAPPED"))</f>
        <v/>
      </c>
      <c r="I715" s="18" t="str">
        <f>IF($A715="","",IFERROR(INDEX(Map!$E$2:$E$400,MATCH($A715,Map!$A$2:$A$400,0)),"⚠ UNMAPPED"))</f>
        <v/>
      </c>
      <c r="J715" s="18" t="str">
        <f>IF($A715="","",IFERROR(INDEX(Map!$F$2:$F$400,MATCH($A715,Map!$A$2:$A$400,0)),"⚠ UNMAPPED"))</f>
        <v/>
      </c>
    </row>
    <row r="716" spans="7:10" x14ac:dyDescent="0.25">
      <c r="G716" s="158" t="str">
        <f>IF($A716="","",IFERROR(INDEX(Map!$C$2:$C$400,MATCH($A716,Map!$A$2:$A$400,0)),"⚠ UNMAPPED"))</f>
        <v/>
      </c>
      <c r="H716" s="18" t="str">
        <f>IF($A716="","",IFERROR(INDEX(Map!$D$2:$D$400,MATCH($A716,Map!$A$2:$A$400,0)),"⚠ UNMAPPED"))</f>
        <v/>
      </c>
      <c r="I716" s="18" t="str">
        <f>IF($A716="","",IFERROR(INDEX(Map!$E$2:$E$400,MATCH($A716,Map!$A$2:$A$400,0)),"⚠ UNMAPPED"))</f>
        <v/>
      </c>
      <c r="J716" s="18" t="str">
        <f>IF($A716="","",IFERROR(INDEX(Map!$F$2:$F$400,MATCH($A716,Map!$A$2:$A$400,0)),"⚠ UNMAPPED"))</f>
        <v/>
      </c>
    </row>
    <row r="717" spans="7:10" x14ac:dyDescent="0.25">
      <c r="G717" s="158" t="str">
        <f>IF($A717="","",IFERROR(INDEX(Map!$C$2:$C$400,MATCH($A717,Map!$A$2:$A$400,0)),"⚠ UNMAPPED"))</f>
        <v/>
      </c>
      <c r="H717" s="18" t="str">
        <f>IF($A717="","",IFERROR(INDEX(Map!$D$2:$D$400,MATCH($A717,Map!$A$2:$A$400,0)),"⚠ UNMAPPED"))</f>
        <v/>
      </c>
      <c r="I717" s="18" t="str">
        <f>IF($A717="","",IFERROR(INDEX(Map!$E$2:$E$400,MATCH($A717,Map!$A$2:$A$400,0)),"⚠ UNMAPPED"))</f>
        <v/>
      </c>
      <c r="J717" s="18" t="str">
        <f>IF($A717="","",IFERROR(INDEX(Map!$F$2:$F$400,MATCH($A717,Map!$A$2:$A$400,0)),"⚠ UNMAPPED"))</f>
        <v/>
      </c>
    </row>
    <row r="718" spans="7:10" x14ac:dyDescent="0.25">
      <c r="G718" s="158" t="str">
        <f>IF($A718="","",IFERROR(INDEX(Map!$C$2:$C$400,MATCH($A718,Map!$A$2:$A$400,0)),"⚠ UNMAPPED"))</f>
        <v/>
      </c>
      <c r="H718" s="18" t="str">
        <f>IF($A718="","",IFERROR(INDEX(Map!$D$2:$D$400,MATCH($A718,Map!$A$2:$A$400,0)),"⚠ UNMAPPED"))</f>
        <v/>
      </c>
      <c r="I718" s="18" t="str">
        <f>IF($A718="","",IFERROR(INDEX(Map!$E$2:$E$400,MATCH($A718,Map!$A$2:$A$400,0)),"⚠ UNMAPPED"))</f>
        <v/>
      </c>
      <c r="J718" s="18" t="str">
        <f>IF($A718="","",IFERROR(INDEX(Map!$F$2:$F$400,MATCH($A718,Map!$A$2:$A$400,0)),"⚠ UNMAPPED"))</f>
        <v/>
      </c>
    </row>
    <row r="719" spans="7:10" x14ac:dyDescent="0.25">
      <c r="G719" s="158" t="str">
        <f>IF($A719="","",IFERROR(INDEX(Map!$C$2:$C$400,MATCH($A719,Map!$A$2:$A$400,0)),"⚠ UNMAPPED"))</f>
        <v/>
      </c>
      <c r="H719" s="18" t="str">
        <f>IF($A719="","",IFERROR(INDEX(Map!$D$2:$D$400,MATCH($A719,Map!$A$2:$A$400,0)),"⚠ UNMAPPED"))</f>
        <v/>
      </c>
      <c r="I719" s="18" t="str">
        <f>IF($A719="","",IFERROR(INDEX(Map!$E$2:$E$400,MATCH($A719,Map!$A$2:$A$400,0)),"⚠ UNMAPPED"))</f>
        <v/>
      </c>
      <c r="J719" s="18" t="str">
        <f>IF($A719="","",IFERROR(INDEX(Map!$F$2:$F$400,MATCH($A719,Map!$A$2:$A$400,0)),"⚠ UNMAPPED"))</f>
        <v/>
      </c>
    </row>
    <row r="720" spans="7:10" x14ac:dyDescent="0.25">
      <c r="G720" s="158" t="str">
        <f>IF($A720="","",IFERROR(INDEX(Map!$C$2:$C$400,MATCH($A720,Map!$A$2:$A$400,0)),"⚠ UNMAPPED"))</f>
        <v/>
      </c>
      <c r="H720" s="18" t="str">
        <f>IF($A720="","",IFERROR(INDEX(Map!$D$2:$D$400,MATCH($A720,Map!$A$2:$A$400,0)),"⚠ UNMAPPED"))</f>
        <v/>
      </c>
      <c r="I720" s="18" t="str">
        <f>IF($A720="","",IFERROR(INDEX(Map!$E$2:$E$400,MATCH($A720,Map!$A$2:$A$400,0)),"⚠ UNMAPPED"))</f>
        <v/>
      </c>
      <c r="J720" s="18" t="str">
        <f>IF($A720="","",IFERROR(INDEX(Map!$F$2:$F$400,MATCH($A720,Map!$A$2:$A$400,0)),"⚠ UNMAPPED"))</f>
        <v/>
      </c>
    </row>
    <row r="721" spans="7:10" x14ac:dyDescent="0.25">
      <c r="G721" s="158" t="str">
        <f>IF($A721="","",IFERROR(INDEX(Map!$C$2:$C$400,MATCH($A721,Map!$A$2:$A$400,0)),"⚠ UNMAPPED"))</f>
        <v/>
      </c>
      <c r="H721" s="18" t="str">
        <f>IF($A721="","",IFERROR(INDEX(Map!$D$2:$D$400,MATCH($A721,Map!$A$2:$A$400,0)),"⚠ UNMAPPED"))</f>
        <v/>
      </c>
      <c r="I721" s="18" t="str">
        <f>IF($A721="","",IFERROR(INDEX(Map!$E$2:$E$400,MATCH($A721,Map!$A$2:$A$400,0)),"⚠ UNMAPPED"))</f>
        <v/>
      </c>
      <c r="J721" s="18" t="str">
        <f>IF($A721="","",IFERROR(INDEX(Map!$F$2:$F$400,MATCH($A721,Map!$A$2:$A$400,0)),"⚠ UNMAPPED"))</f>
        <v/>
      </c>
    </row>
    <row r="722" spans="7:10" x14ac:dyDescent="0.25">
      <c r="G722" s="158" t="str">
        <f>IF($A722="","",IFERROR(INDEX(Map!$C$2:$C$400,MATCH($A722,Map!$A$2:$A$400,0)),"⚠ UNMAPPED"))</f>
        <v/>
      </c>
      <c r="H722" s="18" t="str">
        <f>IF($A722="","",IFERROR(INDEX(Map!$D$2:$D$400,MATCH($A722,Map!$A$2:$A$400,0)),"⚠ UNMAPPED"))</f>
        <v/>
      </c>
      <c r="I722" s="18" t="str">
        <f>IF($A722="","",IFERROR(INDEX(Map!$E$2:$E$400,MATCH($A722,Map!$A$2:$A$400,0)),"⚠ UNMAPPED"))</f>
        <v/>
      </c>
      <c r="J722" s="18" t="str">
        <f>IF($A722="","",IFERROR(INDEX(Map!$F$2:$F$400,MATCH($A722,Map!$A$2:$A$400,0)),"⚠ UNMAPPED"))</f>
        <v/>
      </c>
    </row>
    <row r="723" spans="7:10" x14ac:dyDescent="0.25">
      <c r="G723" s="158" t="str">
        <f>IF($A723="","",IFERROR(INDEX(Map!$C$2:$C$400,MATCH($A723,Map!$A$2:$A$400,0)),"⚠ UNMAPPED"))</f>
        <v/>
      </c>
      <c r="H723" s="18" t="str">
        <f>IF($A723="","",IFERROR(INDEX(Map!$D$2:$D$400,MATCH($A723,Map!$A$2:$A$400,0)),"⚠ UNMAPPED"))</f>
        <v/>
      </c>
      <c r="I723" s="18" t="str">
        <f>IF($A723="","",IFERROR(INDEX(Map!$E$2:$E$400,MATCH($A723,Map!$A$2:$A$400,0)),"⚠ UNMAPPED"))</f>
        <v/>
      </c>
      <c r="J723" s="18" t="str">
        <f>IF($A723="","",IFERROR(INDEX(Map!$F$2:$F$400,MATCH($A723,Map!$A$2:$A$400,0)),"⚠ UNMAPPED"))</f>
        <v/>
      </c>
    </row>
    <row r="724" spans="7:10" x14ac:dyDescent="0.25">
      <c r="G724" s="158" t="str">
        <f>IF($A724="","",IFERROR(INDEX(Map!$C$2:$C$400,MATCH($A724,Map!$A$2:$A$400,0)),"⚠ UNMAPPED"))</f>
        <v/>
      </c>
      <c r="H724" s="18" t="str">
        <f>IF($A724="","",IFERROR(INDEX(Map!$D$2:$D$400,MATCH($A724,Map!$A$2:$A$400,0)),"⚠ UNMAPPED"))</f>
        <v/>
      </c>
      <c r="I724" s="18" t="str">
        <f>IF($A724="","",IFERROR(INDEX(Map!$E$2:$E$400,MATCH($A724,Map!$A$2:$A$400,0)),"⚠ UNMAPPED"))</f>
        <v/>
      </c>
      <c r="J724" s="18" t="str">
        <f>IF($A724="","",IFERROR(INDEX(Map!$F$2:$F$400,MATCH($A724,Map!$A$2:$A$400,0)),"⚠ UNMAPPED"))</f>
        <v/>
      </c>
    </row>
    <row r="725" spans="7:10" x14ac:dyDescent="0.25">
      <c r="G725" s="158" t="str">
        <f>IF($A725="","",IFERROR(INDEX(Map!$C$2:$C$400,MATCH($A725,Map!$A$2:$A$400,0)),"⚠ UNMAPPED"))</f>
        <v/>
      </c>
      <c r="H725" s="18" t="str">
        <f>IF($A725="","",IFERROR(INDEX(Map!$D$2:$D$400,MATCH($A725,Map!$A$2:$A$400,0)),"⚠ UNMAPPED"))</f>
        <v/>
      </c>
      <c r="I725" s="18" t="str">
        <f>IF($A725="","",IFERROR(INDEX(Map!$E$2:$E$400,MATCH($A725,Map!$A$2:$A$400,0)),"⚠ UNMAPPED"))</f>
        <v/>
      </c>
      <c r="J725" s="18" t="str">
        <f>IF($A725="","",IFERROR(INDEX(Map!$F$2:$F$400,MATCH($A725,Map!$A$2:$A$400,0)),"⚠ UNMAPPED"))</f>
        <v/>
      </c>
    </row>
    <row r="726" spans="7:10" x14ac:dyDescent="0.25">
      <c r="G726" s="158" t="str">
        <f>IF($A726="","",IFERROR(INDEX(Map!$C$2:$C$400,MATCH($A726,Map!$A$2:$A$400,0)),"⚠ UNMAPPED"))</f>
        <v/>
      </c>
      <c r="H726" s="18" t="str">
        <f>IF($A726="","",IFERROR(INDEX(Map!$D$2:$D$400,MATCH($A726,Map!$A$2:$A$400,0)),"⚠ UNMAPPED"))</f>
        <v/>
      </c>
      <c r="I726" s="18" t="str">
        <f>IF($A726="","",IFERROR(INDEX(Map!$E$2:$E$400,MATCH($A726,Map!$A$2:$A$400,0)),"⚠ UNMAPPED"))</f>
        <v/>
      </c>
      <c r="J726" s="18" t="str">
        <f>IF($A726="","",IFERROR(INDEX(Map!$F$2:$F$400,MATCH($A726,Map!$A$2:$A$400,0)),"⚠ UNMAPPED"))</f>
        <v/>
      </c>
    </row>
    <row r="727" spans="7:10" x14ac:dyDescent="0.25">
      <c r="G727" s="158" t="str">
        <f>IF($A727="","",IFERROR(INDEX(Map!$C$2:$C$400,MATCH($A727,Map!$A$2:$A$400,0)),"⚠ UNMAPPED"))</f>
        <v/>
      </c>
      <c r="H727" s="18" t="str">
        <f>IF($A727="","",IFERROR(INDEX(Map!$D$2:$D$400,MATCH($A727,Map!$A$2:$A$400,0)),"⚠ UNMAPPED"))</f>
        <v/>
      </c>
      <c r="I727" s="18" t="str">
        <f>IF($A727="","",IFERROR(INDEX(Map!$E$2:$E$400,MATCH($A727,Map!$A$2:$A$400,0)),"⚠ UNMAPPED"))</f>
        <v/>
      </c>
      <c r="J727" s="18" t="str">
        <f>IF($A727="","",IFERROR(INDEX(Map!$F$2:$F$400,MATCH($A727,Map!$A$2:$A$400,0)),"⚠ UNMAPPED"))</f>
        <v/>
      </c>
    </row>
    <row r="728" spans="7:10" x14ac:dyDescent="0.25">
      <c r="G728" s="158" t="str">
        <f>IF($A728="","",IFERROR(INDEX(Map!$C$2:$C$400,MATCH($A728,Map!$A$2:$A$400,0)),"⚠ UNMAPPED"))</f>
        <v/>
      </c>
      <c r="H728" s="18" t="str">
        <f>IF($A728="","",IFERROR(INDEX(Map!$D$2:$D$400,MATCH($A728,Map!$A$2:$A$400,0)),"⚠ UNMAPPED"))</f>
        <v/>
      </c>
      <c r="I728" s="18" t="str">
        <f>IF($A728="","",IFERROR(INDEX(Map!$E$2:$E$400,MATCH($A728,Map!$A$2:$A$400,0)),"⚠ UNMAPPED"))</f>
        <v/>
      </c>
      <c r="J728" s="18" t="str">
        <f>IF($A728="","",IFERROR(INDEX(Map!$F$2:$F$400,MATCH($A728,Map!$A$2:$A$400,0)),"⚠ UNMAPPED"))</f>
        <v/>
      </c>
    </row>
    <row r="729" spans="7:10" x14ac:dyDescent="0.25">
      <c r="G729" s="158" t="str">
        <f>IF($A729="","",IFERROR(INDEX(Map!$C$2:$C$400,MATCH($A729,Map!$A$2:$A$400,0)),"⚠ UNMAPPED"))</f>
        <v/>
      </c>
      <c r="H729" s="18" t="str">
        <f>IF($A729="","",IFERROR(INDEX(Map!$D$2:$D$400,MATCH($A729,Map!$A$2:$A$400,0)),"⚠ UNMAPPED"))</f>
        <v/>
      </c>
      <c r="I729" s="18" t="str">
        <f>IF($A729="","",IFERROR(INDEX(Map!$E$2:$E$400,MATCH($A729,Map!$A$2:$A$400,0)),"⚠ UNMAPPED"))</f>
        <v/>
      </c>
      <c r="J729" s="18" t="str">
        <f>IF($A729="","",IFERROR(INDEX(Map!$F$2:$F$400,MATCH($A729,Map!$A$2:$A$400,0)),"⚠ UNMAPPED"))</f>
        <v/>
      </c>
    </row>
    <row r="730" spans="7:10" x14ac:dyDescent="0.25">
      <c r="G730" s="158" t="str">
        <f>IF($A730="","",IFERROR(INDEX(Map!$C$2:$C$400,MATCH($A730,Map!$A$2:$A$400,0)),"⚠ UNMAPPED"))</f>
        <v/>
      </c>
      <c r="H730" s="18" t="str">
        <f>IF($A730="","",IFERROR(INDEX(Map!$D$2:$D$400,MATCH($A730,Map!$A$2:$A$400,0)),"⚠ UNMAPPED"))</f>
        <v/>
      </c>
      <c r="I730" s="18" t="str">
        <f>IF($A730="","",IFERROR(INDEX(Map!$E$2:$E$400,MATCH($A730,Map!$A$2:$A$400,0)),"⚠ UNMAPPED"))</f>
        <v/>
      </c>
      <c r="J730" s="18" t="str">
        <f>IF($A730="","",IFERROR(INDEX(Map!$F$2:$F$400,MATCH($A730,Map!$A$2:$A$400,0)),"⚠ UNMAPPED"))</f>
        <v/>
      </c>
    </row>
    <row r="731" spans="7:10" x14ac:dyDescent="0.25">
      <c r="G731" s="158" t="str">
        <f>IF($A731="","",IFERROR(INDEX(Map!$C$2:$C$400,MATCH($A731,Map!$A$2:$A$400,0)),"⚠ UNMAPPED"))</f>
        <v/>
      </c>
      <c r="H731" s="18" t="str">
        <f>IF($A731="","",IFERROR(INDEX(Map!$D$2:$D$400,MATCH($A731,Map!$A$2:$A$400,0)),"⚠ UNMAPPED"))</f>
        <v/>
      </c>
      <c r="I731" s="18" t="str">
        <f>IF($A731="","",IFERROR(INDEX(Map!$E$2:$E$400,MATCH($A731,Map!$A$2:$A$400,0)),"⚠ UNMAPPED"))</f>
        <v/>
      </c>
      <c r="J731" s="18" t="str">
        <f>IF($A731="","",IFERROR(INDEX(Map!$F$2:$F$400,MATCH($A731,Map!$A$2:$A$400,0)),"⚠ UNMAPPED"))</f>
        <v/>
      </c>
    </row>
    <row r="732" spans="7:10" x14ac:dyDescent="0.25">
      <c r="G732" s="158" t="str">
        <f>IF($A732="","",IFERROR(INDEX(Map!$C$2:$C$400,MATCH($A732,Map!$A$2:$A$400,0)),"⚠ UNMAPPED"))</f>
        <v/>
      </c>
      <c r="H732" s="18" t="str">
        <f>IF($A732="","",IFERROR(INDEX(Map!$D$2:$D$400,MATCH($A732,Map!$A$2:$A$400,0)),"⚠ UNMAPPED"))</f>
        <v/>
      </c>
      <c r="I732" s="18" t="str">
        <f>IF($A732="","",IFERROR(INDEX(Map!$E$2:$E$400,MATCH($A732,Map!$A$2:$A$400,0)),"⚠ UNMAPPED"))</f>
        <v/>
      </c>
      <c r="J732" s="18" t="str">
        <f>IF($A732="","",IFERROR(INDEX(Map!$F$2:$F$400,MATCH($A732,Map!$A$2:$A$400,0)),"⚠ UNMAPPED"))</f>
        <v/>
      </c>
    </row>
    <row r="733" spans="7:10" x14ac:dyDescent="0.25">
      <c r="G733" s="158" t="str">
        <f>IF($A733="","",IFERROR(INDEX(Map!$C$2:$C$400,MATCH($A733,Map!$A$2:$A$400,0)),"⚠ UNMAPPED"))</f>
        <v/>
      </c>
      <c r="H733" s="18" t="str">
        <f>IF($A733="","",IFERROR(INDEX(Map!$D$2:$D$400,MATCH($A733,Map!$A$2:$A$400,0)),"⚠ UNMAPPED"))</f>
        <v/>
      </c>
      <c r="I733" s="18" t="str">
        <f>IF($A733="","",IFERROR(INDEX(Map!$E$2:$E$400,MATCH($A733,Map!$A$2:$A$400,0)),"⚠ UNMAPPED"))</f>
        <v/>
      </c>
      <c r="J733" s="18" t="str">
        <f>IF($A733="","",IFERROR(INDEX(Map!$F$2:$F$400,MATCH($A733,Map!$A$2:$A$400,0)),"⚠ UNMAPPED"))</f>
        <v/>
      </c>
    </row>
    <row r="734" spans="7:10" x14ac:dyDescent="0.25">
      <c r="G734" s="158" t="str">
        <f>IF($A734="","",IFERROR(INDEX(Map!$C$2:$C$400,MATCH($A734,Map!$A$2:$A$400,0)),"⚠ UNMAPPED"))</f>
        <v/>
      </c>
      <c r="H734" s="18" t="str">
        <f>IF($A734="","",IFERROR(INDEX(Map!$D$2:$D$400,MATCH($A734,Map!$A$2:$A$400,0)),"⚠ UNMAPPED"))</f>
        <v/>
      </c>
      <c r="I734" s="18" t="str">
        <f>IF($A734="","",IFERROR(INDEX(Map!$E$2:$E$400,MATCH($A734,Map!$A$2:$A$400,0)),"⚠ UNMAPPED"))</f>
        <v/>
      </c>
      <c r="J734" s="18" t="str">
        <f>IF($A734="","",IFERROR(INDEX(Map!$F$2:$F$400,MATCH($A734,Map!$A$2:$A$400,0)),"⚠ UNMAPPED"))</f>
        <v/>
      </c>
    </row>
    <row r="735" spans="7:10" x14ac:dyDescent="0.25">
      <c r="G735" s="158" t="str">
        <f>IF($A735="","",IFERROR(INDEX(Map!$C$2:$C$400,MATCH($A735,Map!$A$2:$A$400,0)),"⚠ UNMAPPED"))</f>
        <v/>
      </c>
      <c r="H735" s="18" t="str">
        <f>IF($A735="","",IFERROR(INDEX(Map!$D$2:$D$400,MATCH($A735,Map!$A$2:$A$400,0)),"⚠ UNMAPPED"))</f>
        <v/>
      </c>
      <c r="I735" s="18" t="str">
        <f>IF($A735="","",IFERROR(INDEX(Map!$E$2:$E$400,MATCH($A735,Map!$A$2:$A$400,0)),"⚠ UNMAPPED"))</f>
        <v/>
      </c>
      <c r="J735" s="18" t="str">
        <f>IF($A735="","",IFERROR(INDEX(Map!$F$2:$F$400,MATCH($A735,Map!$A$2:$A$400,0)),"⚠ UNMAPPED"))</f>
        <v/>
      </c>
    </row>
    <row r="736" spans="7:10" x14ac:dyDescent="0.25">
      <c r="G736" s="158" t="str">
        <f>IF($A736="","",IFERROR(INDEX(Map!$C$2:$C$400,MATCH($A736,Map!$A$2:$A$400,0)),"⚠ UNMAPPED"))</f>
        <v/>
      </c>
      <c r="H736" s="18" t="str">
        <f>IF($A736="","",IFERROR(INDEX(Map!$D$2:$D$400,MATCH($A736,Map!$A$2:$A$400,0)),"⚠ UNMAPPED"))</f>
        <v/>
      </c>
      <c r="I736" s="18" t="str">
        <f>IF($A736="","",IFERROR(INDEX(Map!$E$2:$E$400,MATCH($A736,Map!$A$2:$A$400,0)),"⚠ UNMAPPED"))</f>
        <v/>
      </c>
      <c r="J736" s="18" t="str">
        <f>IF($A736="","",IFERROR(INDEX(Map!$F$2:$F$400,MATCH($A736,Map!$A$2:$A$400,0)),"⚠ UNMAPPED"))</f>
        <v/>
      </c>
    </row>
    <row r="737" spans="7:10" x14ac:dyDescent="0.25">
      <c r="G737" s="158" t="str">
        <f>IF($A737="","",IFERROR(INDEX(Map!$C$2:$C$400,MATCH($A737,Map!$A$2:$A$400,0)),"⚠ UNMAPPED"))</f>
        <v/>
      </c>
      <c r="H737" s="18" t="str">
        <f>IF($A737="","",IFERROR(INDEX(Map!$D$2:$D$400,MATCH($A737,Map!$A$2:$A$400,0)),"⚠ UNMAPPED"))</f>
        <v/>
      </c>
      <c r="I737" s="18" t="str">
        <f>IF($A737="","",IFERROR(INDEX(Map!$E$2:$E$400,MATCH($A737,Map!$A$2:$A$400,0)),"⚠ UNMAPPED"))</f>
        <v/>
      </c>
      <c r="J737" s="18" t="str">
        <f>IF($A737="","",IFERROR(INDEX(Map!$F$2:$F$400,MATCH($A737,Map!$A$2:$A$400,0)),"⚠ UNMAPPED"))</f>
        <v/>
      </c>
    </row>
    <row r="738" spans="7:10" x14ac:dyDescent="0.25">
      <c r="G738" s="158" t="str">
        <f>IF($A738="","",IFERROR(INDEX(Map!$C$2:$C$400,MATCH($A738,Map!$A$2:$A$400,0)),"⚠ UNMAPPED"))</f>
        <v/>
      </c>
      <c r="H738" s="18" t="str">
        <f>IF($A738="","",IFERROR(INDEX(Map!$D$2:$D$400,MATCH($A738,Map!$A$2:$A$400,0)),"⚠ UNMAPPED"))</f>
        <v/>
      </c>
      <c r="I738" s="18" t="str">
        <f>IF($A738="","",IFERROR(INDEX(Map!$E$2:$E$400,MATCH($A738,Map!$A$2:$A$400,0)),"⚠ UNMAPPED"))</f>
        <v/>
      </c>
      <c r="J738" s="18" t="str">
        <f>IF($A738="","",IFERROR(INDEX(Map!$F$2:$F$400,MATCH($A738,Map!$A$2:$A$400,0)),"⚠ UNMAPPED"))</f>
        <v/>
      </c>
    </row>
    <row r="739" spans="7:10" x14ac:dyDescent="0.25">
      <c r="G739" s="158" t="str">
        <f>IF($A739="","",IFERROR(INDEX(Map!$C$2:$C$400,MATCH($A739,Map!$A$2:$A$400,0)),"⚠ UNMAPPED"))</f>
        <v/>
      </c>
      <c r="H739" s="18" t="str">
        <f>IF($A739="","",IFERROR(INDEX(Map!$D$2:$D$400,MATCH($A739,Map!$A$2:$A$400,0)),"⚠ UNMAPPED"))</f>
        <v/>
      </c>
      <c r="I739" s="18" t="str">
        <f>IF($A739="","",IFERROR(INDEX(Map!$E$2:$E$400,MATCH($A739,Map!$A$2:$A$400,0)),"⚠ UNMAPPED"))</f>
        <v/>
      </c>
      <c r="J739" s="18" t="str">
        <f>IF($A739="","",IFERROR(INDEX(Map!$F$2:$F$400,MATCH($A739,Map!$A$2:$A$400,0)),"⚠ UNMAPPED"))</f>
        <v/>
      </c>
    </row>
    <row r="740" spans="7:10" x14ac:dyDescent="0.25">
      <c r="G740" s="158" t="str">
        <f>IF($A740="","",IFERROR(INDEX(Map!$C$2:$C$400,MATCH($A740,Map!$A$2:$A$400,0)),"⚠ UNMAPPED"))</f>
        <v/>
      </c>
      <c r="H740" s="18" t="str">
        <f>IF($A740="","",IFERROR(INDEX(Map!$D$2:$D$400,MATCH($A740,Map!$A$2:$A$400,0)),"⚠ UNMAPPED"))</f>
        <v/>
      </c>
      <c r="I740" s="18" t="str">
        <f>IF($A740="","",IFERROR(INDEX(Map!$E$2:$E$400,MATCH($A740,Map!$A$2:$A$400,0)),"⚠ UNMAPPED"))</f>
        <v/>
      </c>
      <c r="J740" s="18" t="str">
        <f>IF($A740="","",IFERROR(INDEX(Map!$F$2:$F$400,MATCH($A740,Map!$A$2:$A$400,0)),"⚠ UNMAPPED"))</f>
        <v/>
      </c>
    </row>
    <row r="741" spans="7:10" x14ac:dyDescent="0.25">
      <c r="G741" s="158" t="str">
        <f>IF($A741="","",IFERROR(INDEX(Map!$C$2:$C$400,MATCH($A741,Map!$A$2:$A$400,0)),"⚠ UNMAPPED"))</f>
        <v/>
      </c>
      <c r="H741" s="18" t="str">
        <f>IF($A741="","",IFERROR(INDEX(Map!$D$2:$D$400,MATCH($A741,Map!$A$2:$A$400,0)),"⚠ UNMAPPED"))</f>
        <v/>
      </c>
      <c r="I741" s="18" t="str">
        <f>IF($A741="","",IFERROR(INDEX(Map!$E$2:$E$400,MATCH($A741,Map!$A$2:$A$400,0)),"⚠ UNMAPPED"))</f>
        <v/>
      </c>
      <c r="J741" s="18" t="str">
        <f>IF($A741="","",IFERROR(INDEX(Map!$F$2:$F$400,MATCH($A741,Map!$A$2:$A$400,0)),"⚠ UNMAPPED"))</f>
        <v/>
      </c>
    </row>
    <row r="742" spans="7:10" x14ac:dyDescent="0.25">
      <c r="G742" s="158" t="str">
        <f>IF($A742="","",IFERROR(INDEX(Map!$C$2:$C$400,MATCH($A742,Map!$A$2:$A$400,0)),"⚠ UNMAPPED"))</f>
        <v/>
      </c>
      <c r="H742" s="18" t="str">
        <f>IF($A742="","",IFERROR(INDEX(Map!$D$2:$D$400,MATCH($A742,Map!$A$2:$A$400,0)),"⚠ UNMAPPED"))</f>
        <v/>
      </c>
      <c r="I742" s="18" t="str">
        <f>IF($A742="","",IFERROR(INDEX(Map!$E$2:$E$400,MATCH($A742,Map!$A$2:$A$400,0)),"⚠ UNMAPPED"))</f>
        <v/>
      </c>
      <c r="J742" s="18" t="str">
        <f>IF($A742="","",IFERROR(INDEX(Map!$F$2:$F$400,MATCH($A742,Map!$A$2:$A$400,0)),"⚠ UNMAPPED"))</f>
        <v/>
      </c>
    </row>
    <row r="743" spans="7:10" x14ac:dyDescent="0.25">
      <c r="G743" s="158" t="str">
        <f>IF($A743="","",IFERROR(INDEX(Map!$C$2:$C$400,MATCH($A743,Map!$A$2:$A$400,0)),"⚠ UNMAPPED"))</f>
        <v/>
      </c>
      <c r="H743" s="18" t="str">
        <f>IF($A743="","",IFERROR(INDEX(Map!$D$2:$D$400,MATCH($A743,Map!$A$2:$A$400,0)),"⚠ UNMAPPED"))</f>
        <v/>
      </c>
      <c r="I743" s="18" t="str">
        <f>IF($A743="","",IFERROR(INDEX(Map!$E$2:$E$400,MATCH($A743,Map!$A$2:$A$400,0)),"⚠ UNMAPPED"))</f>
        <v/>
      </c>
      <c r="J743" s="18" t="str">
        <f>IF($A743="","",IFERROR(INDEX(Map!$F$2:$F$400,MATCH($A743,Map!$A$2:$A$400,0)),"⚠ UNMAPPED"))</f>
        <v/>
      </c>
    </row>
    <row r="744" spans="7:10" x14ac:dyDescent="0.25">
      <c r="G744" s="158" t="str">
        <f>IF($A744="","",IFERROR(INDEX(Map!$C$2:$C$400,MATCH($A744,Map!$A$2:$A$400,0)),"⚠ UNMAPPED"))</f>
        <v/>
      </c>
      <c r="H744" s="18" t="str">
        <f>IF($A744="","",IFERROR(INDEX(Map!$D$2:$D$400,MATCH($A744,Map!$A$2:$A$400,0)),"⚠ UNMAPPED"))</f>
        <v/>
      </c>
      <c r="I744" s="18" t="str">
        <f>IF($A744="","",IFERROR(INDEX(Map!$E$2:$E$400,MATCH($A744,Map!$A$2:$A$400,0)),"⚠ UNMAPPED"))</f>
        <v/>
      </c>
      <c r="J744" s="18" t="str">
        <f>IF($A744="","",IFERROR(INDEX(Map!$F$2:$F$400,MATCH($A744,Map!$A$2:$A$400,0)),"⚠ UNMAPPED"))</f>
        <v/>
      </c>
    </row>
    <row r="745" spans="7:10" x14ac:dyDescent="0.25">
      <c r="G745" s="158" t="str">
        <f>IF($A745="","",IFERROR(INDEX(Map!$C$2:$C$400,MATCH($A745,Map!$A$2:$A$400,0)),"⚠ UNMAPPED"))</f>
        <v/>
      </c>
      <c r="H745" s="18" t="str">
        <f>IF($A745="","",IFERROR(INDEX(Map!$D$2:$D$400,MATCH($A745,Map!$A$2:$A$400,0)),"⚠ UNMAPPED"))</f>
        <v/>
      </c>
      <c r="I745" s="18" t="str">
        <f>IF($A745="","",IFERROR(INDEX(Map!$E$2:$E$400,MATCH($A745,Map!$A$2:$A$400,0)),"⚠ UNMAPPED"))</f>
        <v/>
      </c>
      <c r="J745" s="18" t="str">
        <f>IF($A745="","",IFERROR(INDEX(Map!$F$2:$F$400,MATCH($A745,Map!$A$2:$A$400,0)),"⚠ UNMAPPED"))</f>
        <v/>
      </c>
    </row>
    <row r="746" spans="7:10" x14ac:dyDescent="0.25">
      <c r="G746" s="158" t="str">
        <f>IF($A746="","",IFERROR(INDEX(Map!$C$2:$C$400,MATCH($A746,Map!$A$2:$A$400,0)),"⚠ UNMAPPED"))</f>
        <v/>
      </c>
      <c r="H746" s="18" t="str">
        <f>IF($A746="","",IFERROR(INDEX(Map!$D$2:$D$400,MATCH($A746,Map!$A$2:$A$400,0)),"⚠ UNMAPPED"))</f>
        <v/>
      </c>
      <c r="I746" s="18" t="str">
        <f>IF($A746="","",IFERROR(INDEX(Map!$E$2:$E$400,MATCH($A746,Map!$A$2:$A$400,0)),"⚠ UNMAPPED"))</f>
        <v/>
      </c>
      <c r="J746" s="18" t="str">
        <f>IF($A746="","",IFERROR(INDEX(Map!$F$2:$F$400,MATCH($A746,Map!$A$2:$A$400,0)),"⚠ UNMAPPED"))</f>
        <v/>
      </c>
    </row>
    <row r="747" spans="7:10" x14ac:dyDescent="0.25">
      <c r="G747" s="158" t="str">
        <f>IF($A747="","",IFERROR(INDEX(Map!$C$2:$C$400,MATCH($A747,Map!$A$2:$A$400,0)),"⚠ UNMAPPED"))</f>
        <v/>
      </c>
      <c r="H747" s="18" t="str">
        <f>IF($A747="","",IFERROR(INDEX(Map!$D$2:$D$400,MATCH($A747,Map!$A$2:$A$400,0)),"⚠ UNMAPPED"))</f>
        <v/>
      </c>
      <c r="I747" s="18" t="str">
        <f>IF($A747="","",IFERROR(INDEX(Map!$E$2:$E$400,MATCH($A747,Map!$A$2:$A$400,0)),"⚠ UNMAPPED"))</f>
        <v/>
      </c>
      <c r="J747" s="18" t="str">
        <f>IF($A747="","",IFERROR(INDEX(Map!$F$2:$F$400,MATCH($A747,Map!$A$2:$A$400,0)),"⚠ UNMAPPED"))</f>
        <v/>
      </c>
    </row>
    <row r="748" spans="7:10" x14ac:dyDescent="0.25">
      <c r="G748" s="158" t="str">
        <f>IF($A748="","",IFERROR(INDEX(Map!$C$2:$C$400,MATCH($A748,Map!$A$2:$A$400,0)),"⚠ UNMAPPED"))</f>
        <v/>
      </c>
      <c r="H748" s="18" t="str">
        <f>IF($A748="","",IFERROR(INDEX(Map!$D$2:$D$400,MATCH($A748,Map!$A$2:$A$400,0)),"⚠ UNMAPPED"))</f>
        <v/>
      </c>
      <c r="I748" s="18" t="str">
        <f>IF($A748="","",IFERROR(INDEX(Map!$E$2:$E$400,MATCH($A748,Map!$A$2:$A$400,0)),"⚠ UNMAPPED"))</f>
        <v/>
      </c>
      <c r="J748" s="18" t="str">
        <f>IF($A748="","",IFERROR(INDEX(Map!$F$2:$F$400,MATCH($A748,Map!$A$2:$A$400,0)),"⚠ UNMAPPED"))</f>
        <v/>
      </c>
    </row>
    <row r="749" spans="7:10" x14ac:dyDescent="0.25">
      <c r="G749" s="158" t="str">
        <f>IF($A749="","",IFERROR(INDEX(Map!$C$2:$C$400,MATCH($A749,Map!$A$2:$A$400,0)),"⚠ UNMAPPED"))</f>
        <v/>
      </c>
      <c r="H749" s="18" t="str">
        <f>IF($A749="","",IFERROR(INDEX(Map!$D$2:$D$400,MATCH($A749,Map!$A$2:$A$400,0)),"⚠ UNMAPPED"))</f>
        <v/>
      </c>
      <c r="I749" s="18" t="str">
        <f>IF($A749="","",IFERROR(INDEX(Map!$E$2:$E$400,MATCH($A749,Map!$A$2:$A$400,0)),"⚠ UNMAPPED"))</f>
        <v/>
      </c>
      <c r="J749" s="18" t="str">
        <f>IF($A749="","",IFERROR(INDEX(Map!$F$2:$F$400,MATCH($A749,Map!$A$2:$A$400,0)),"⚠ UNMAPPED"))</f>
        <v/>
      </c>
    </row>
    <row r="750" spans="7:10" x14ac:dyDescent="0.25">
      <c r="G750" s="158" t="str">
        <f>IF($A750="","",IFERROR(INDEX(Map!$C$2:$C$400,MATCH($A750,Map!$A$2:$A$400,0)),"⚠ UNMAPPED"))</f>
        <v/>
      </c>
      <c r="H750" s="18" t="str">
        <f>IF($A750="","",IFERROR(INDEX(Map!$D$2:$D$400,MATCH($A750,Map!$A$2:$A$400,0)),"⚠ UNMAPPED"))</f>
        <v/>
      </c>
      <c r="I750" s="18" t="str">
        <f>IF($A750="","",IFERROR(INDEX(Map!$E$2:$E$400,MATCH($A750,Map!$A$2:$A$400,0)),"⚠ UNMAPPED"))</f>
        <v/>
      </c>
      <c r="J750" s="18" t="str">
        <f>IF($A750="","",IFERROR(INDEX(Map!$F$2:$F$400,MATCH($A750,Map!$A$2:$A$400,0)),"⚠ UNMAPPED"))</f>
        <v/>
      </c>
    </row>
    <row r="751" spans="7:10" x14ac:dyDescent="0.25">
      <c r="G751" s="158" t="str">
        <f>IF($A751="","",IFERROR(INDEX(Map!$C$2:$C$400,MATCH($A751,Map!$A$2:$A$400,0)),"⚠ UNMAPPED"))</f>
        <v/>
      </c>
      <c r="H751" s="18" t="str">
        <f>IF($A751="","",IFERROR(INDEX(Map!$D$2:$D$400,MATCH($A751,Map!$A$2:$A$400,0)),"⚠ UNMAPPED"))</f>
        <v/>
      </c>
      <c r="I751" s="18" t="str">
        <f>IF($A751="","",IFERROR(INDEX(Map!$E$2:$E$400,MATCH($A751,Map!$A$2:$A$400,0)),"⚠ UNMAPPED"))</f>
        <v/>
      </c>
      <c r="J751" s="18" t="str">
        <f>IF($A751="","",IFERROR(INDEX(Map!$F$2:$F$400,MATCH($A751,Map!$A$2:$A$400,0)),"⚠ UNMAPPED"))</f>
        <v/>
      </c>
    </row>
    <row r="752" spans="7:10" x14ac:dyDescent="0.25">
      <c r="G752" s="158" t="str">
        <f>IF($A752="","",IFERROR(INDEX(Map!$C$2:$C$400,MATCH($A752,Map!$A$2:$A$400,0)),"⚠ UNMAPPED"))</f>
        <v/>
      </c>
      <c r="H752" s="18" t="str">
        <f>IF($A752="","",IFERROR(INDEX(Map!$D$2:$D$400,MATCH($A752,Map!$A$2:$A$400,0)),"⚠ UNMAPPED"))</f>
        <v/>
      </c>
      <c r="I752" s="18" t="str">
        <f>IF($A752="","",IFERROR(INDEX(Map!$E$2:$E$400,MATCH($A752,Map!$A$2:$A$400,0)),"⚠ UNMAPPED"))</f>
        <v/>
      </c>
      <c r="J752" s="18" t="str">
        <f>IF($A752="","",IFERROR(INDEX(Map!$F$2:$F$400,MATCH($A752,Map!$A$2:$A$400,0)),"⚠ UNMAPPED"))</f>
        <v/>
      </c>
    </row>
    <row r="753" spans="7:10" x14ac:dyDescent="0.25">
      <c r="G753" s="158" t="str">
        <f>IF($A753="","",IFERROR(INDEX(Map!$C$2:$C$400,MATCH($A753,Map!$A$2:$A$400,0)),"⚠ UNMAPPED"))</f>
        <v/>
      </c>
      <c r="H753" s="18" t="str">
        <f>IF($A753="","",IFERROR(INDEX(Map!$D$2:$D$400,MATCH($A753,Map!$A$2:$A$400,0)),"⚠ UNMAPPED"))</f>
        <v/>
      </c>
      <c r="I753" s="18" t="str">
        <f>IF($A753="","",IFERROR(INDEX(Map!$E$2:$E$400,MATCH($A753,Map!$A$2:$A$400,0)),"⚠ UNMAPPED"))</f>
        <v/>
      </c>
      <c r="J753" s="18" t="str">
        <f>IF($A753="","",IFERROR(INDEX(Map!$F$2:$F$400,MATCH($A753,Map!$A$2:$A$400,0)),"⚠ UNMAPPED"))</f>
        <v/>
      </c>
    </row>
    <row r="754" spans="7:10" x14ac:dyDescent="0.25">
      <c r="G754" s="158" t="str">
        <f>IF($A754="","",IFERROR(INDEX(Map!$C$2:$C$400,MATCH($A754,Map!$A$2:$A$400,0)),"⚠ UNMAPPED"))</f>
        <v/>
      </c>
      <c r="H754" s="18" t="str">
        <f>IF($A754="","",IFERROR(INDEX(Map!$D$2:$D$400,MATCH($A754,Map!$A$2:$A$400,0)),"⚠ UNMAPPED"))</f>
        <v/>
      </c>
      <c r="I754" s="18" t="str">
        <f>IF($A754="","",IFERROR(INDEX(Map!$E$2:$E$400,MATCH($A754,Map!$A$2:$A$400,0)),"⚠ UNMAPPED"))</f>
        <v/>
      </c>
      <c r="J754" s="18" t="str">
        <f>IF($A754="","",IFERROR(INDEX(Map!$F$2:$F$400,MATCH($A754,Map!$A$2:$A$400,0)),"⚠ UNMAPPED"))</f>
        <v/>
      </c>
    </row>
    <row r="755" spans="7:10" x14ac:dyDescent="0.25">
      <c r="G755" s="158" t="str">
        <f>IF($A755="","",IFERROR(INDEX(Map!$C$2:$C$400,MATCH($A755,Map!$A$2:$A$400,0)),"⚠ UNMAPPED"))</f>
        <v/>
      </c>
      <c r="H755" s="18" t="str">
        <f>IF($A755="","",IFERROR(INDEX(Map!$D$2:$D$400,MATCH($A755,Map!$A$2:$A$400,0)),"⚠ UNMAPPED"))</f>
        <v/>
      </c>
      <c r="I755" s="18" t="str">
        <f>IF($A755="","",IFERROR(INDEX(Map!$E$2:$E$400,MATCH($A755,Map!$A$2:$A$400,0)),"⚠ UNMAPPED"))</f>
        <v/>
      </c>
      <c r="J755" s="18" t="str">
        <f>IF($A755="","",IFERROR(INDEX(Map!$F$2:$F$400,MATCH($A755,Map!$A$2:$A$400,0)),"⚠ UNMAPPED"))</f>
        <v/>
      </c>
    </row>
    <row r="756" spans="7:10" x14ac:dyDescent="0.25">
      <c r="G756" s="158" t="str">
        <f>IF($A756="","",IFERROR(INDEX(Map!$C$2:$C$400,MATCH($A756,Map!$A$2:$A$400,0)),"⚠ UNMAPPED"))</f>
        <v/>
      </c>
      <c r="H756" s="18" t="str">
        <f>IF($A756="","",IFERROR(INDEX(Map!$D$2:$D$400,MATCH($A756,Map!$A$2:$A$400,0)),"⚠ UNMAPPED"))</f>
        <v/>
      </c>
      <c r="I756" s="18" t="str">
        <f>IF($A756="","",IFERROR(INDEX(Map!$E$2:$E$400,MATCH($A756,Map!$A$2:$A$400,0)),"⚠ UNMAPPED"))</f>
        <v/>
      </c>
      <c r="J756" s="18" t="str">
        <f>IF($A756="","",IFERROR(INDEX(Map!$F$2:$F$400,MATCH($A756,Map!$A$2:$A$400,0)),"⚠ UNMAPPED"))</f>
        <v/>
      </c>
    </row>
    <row r="757" spans="7:10" x14ac:dyDescent="0.25">
      <c r="G757" s="158" t="str">
        <f>IF($A757="","",IFERROR(INDEX(Map!$C$2:$C$400,MATCH($A757,Map!$A$2:$A$400,0)),"⚠ UNMAPPED"))</f>
        <v/>
      </c>
      <c r="H757" s="18" t="str">
        <f>IF($A757="","",IFERROR(INDEX(Map!$D$2:$D$400,MATCH($A757,Map!$A$2:$A$400,0)),"⚠ UNMAPPED"))</f>
        <v/>
      </c>
      <c r="I757" s="18" t="str">
        <f>IF($A757="","",IFERROR(INDEX(Map!$E$2:$E$400,MATCH($A757,Map!$A$2:$A$400,0)),"⚠ UNMAPPED"))</f>
        <v/>
      </c>
      <c r="J757" s="18" t="str">
        <f>IF($A757="","",IFERROR(INDEX(Map!$F$2:$F$400,MATCH($A757,Map!$A$2:$A$400,0)),"⚠ UNMAPPED"))</f>
        <v/>
      </c>
    </row>
    <row r="758" spans="7:10" x14ac:dyDescent="0.25">
      <c r="G758" s="158" t="str">
        <f>IF($A758="","",IFERROR(INDEX(Map!$C$2:$C$400,MATCH($A758,Map!$A$2:$A$400,0)),"⚠ UNMAPPED"))</f>
        <v/>
      </c>
      <c r="H758" s="18" t="str">
        <f>IF($A758="","",IFERROR(INDEX(Map!$D$2:$D$400,MATCH($A758,Map!$A$2:$A$400,0)),"⚠ UNMAPPED"))</f>
        <v/>
      </c>
      <c r="I758" s="18" t="str">
        <f>IF($A758="","",IFERROR(INDEX(Map!$E$2:$E$400,MATCH($A758,Map!$A$2:$A$400,0)),"⚠ UNMAPPED"))</f>
        <v/>
      </c>
      <c r="J758" s="18" t="str">
        <f>IF($A758="","",IFERROR(INDEX(Map!$F$2:$F$400,MATCH($A758,Map!$A$2:$A$400,0)),"⚠ UNMAPPED"))</f>
        <v/>
      </c>
    </row>
    <row r="759" spans="7:10" x14ac:dyDescent="0.25">
      <c r="G759" s="158" t="str">
        <f>IF($A759="","",IFERROR(INDEX(Map!$C$2:$C$400,MATCH($A759,Map!$A$2:$A$400,0)),"⚠ UNMAPPED"))</f>
        <v/>
      </c>
      <c r="H759" s="18" t="str">
        <f>IF($A759="","",IFERROR(INDEX(Map!$D$2:$D$400,MATCH($A759,Map!$A$2:$A$400,0)),"⚠ UNMAPPED"))</f>
        <v/>
      </c>
      <c r="I759" s="18" t="str">
        <f>IF($A759="","",IFERROR(INDEX(Map!$E$2:$E$400,MATCH($A759,Map!$A$2:$A$400,0)),"⚠ UNMAPPED"))</f>
        <v/>
      </c>
      <c r="J759" s="18" t="str">
        <f>IF($A759="","",IFERROR(INDEX(Map!$F$2:$F$400,MATCH($A759,Map!$A$2:$A$400,0)),"⚠ UNMAPPED"))</f>
        <v/>
      </c>
    </row>
    <row r="760" spans="7:10" x14ac:dyDescent="0.25">
      <c r="G760" s="158" t="str">
        <f>IF($A760="","",IFERROR(INDEX(Map!$C$2:$C$400,MATCH($A760,Map!$A$2:$A$400,0)),"⚠ UNMAPPED"))</f>
        <v/>
      </c>
      <c r="H760" s="18" t="str">
        <f>IF($A760="","",IFERROR(INDEX(Map!$D$2:$D$400,MATCH($A760,Map!$A$2:$A$400,0)),"⚠ UNMAPPED"))</f>
        <v/>
      </c>
      <c r="I760" s="18" t="str">
        <f>IF($A760="","",IFERROR(INDEX(Map!$E$2:$E$400,MATCH($A760,Map!$A$2:$A$400,0)),"⚠ UNMAPPED"))</f>
        <v/>
      </c>
      <c r="J760" s="18" t="str">
        <f>IF($A760="","",IFERROR(INDEX(Map!$F$2:$F$400,MATCH($A760,Map!$A$2:$A$400,0)),"⚠ UNMAPPED"))</f>
        <v/>
      </c>
    </row>
    <row r="761" spans="7:10" x14ac:dyDescent="0.25">
      <c r="G761" s="158" t="str">
        <f>IF($A761="","",IFERROR(INDEX(Map!$C$2:$C$400,MATCH($A761,Map!$A$2:$A$400,0)),"⚠ UNMAPPED"))</f>
        <v/>
      </c>
      <c r="H761" s="18" t="str">
        <f>IF($A761="","",IFERROR(INDEX(Map!$D$2:$D$400,MATCH($A761,Map!$A$2:$A$400,0)),"⚠ UNMAPPED"))</f>
        <v/>
      </c>
      <c r="I761" s="18" t="str">
        <f>IF($A761="","",IFERROR(INDEX(Map!$E$2:$E$400,MATCH($A761,Map!$A$2:$A$400,0)),"⚠ UNMAPPED"))</f>
        <v/>
      </c>
      <c r="J761" s="18" t="str">
        <f>IF($A761="","",IFERROR(INDEX(Map!$F$2:$F$400,MATCH($A761,Map!$A$2:$A$400,0)),"⚠ UNMAPPED"))</f>
        <v/>
      </c>
    </row>
    <row r="762" spans="7:10" x14ac:dyDescent="0.25">
      <c r="G762" s="158" t="str">
        <f>IF($A762="","",IFERROR(INDEX(Map!$C$2:$C$400,MATCH($A762,Map!$A$2:$A$400,0)),"⚠ UNMAPPED"))</f>
        <v/>
      </c>
      <c r="H762" s="18" t="str">
        <f>IF($A762="","",IFERROR(INDEX(Map!$D$2:$D$400,MATCH($A762,Map!$A$2:$A$400,0)),"⚠ UNMAPPED"))</f>
        <v/>
      </c>
      <c r="I762" s="18" t="str">
        <f>IF($A762="","",IFERROR(INDEX(Map!$E$2:$E$400,MATCH($A762,Map!$A$2:$A$400,0)),"⚠ UNMAPPED"))</f>
        <v/>
      </c>
      <c r="J762" s="18" t="str">
        <f>IF($A762="","",IFERROR(INDEX(Map!$F$2:$F$400,MATCH($A762,Map!$A$2:$A$400,0)),"⚠ UNMAPPED"))</f>
        <v/>
      </c>
    </row>
    <row r="763" spans="7:10" x14ac:dyDescent="0.25">
      <c r="G763" s="158" t="str">
        <f>IF($A763="","",IFERROR(INDEX(Map!$C$2:$C$400,MATCH($A763,Map!$A$2:$A$400,0)),"⚠ UNMAPPED"))</f>
        <v/>
      </c>
      <c r="H763" s="18" t="str">
        <f>IF($A763="","",IFERROR(INDEX(Map!$D$2:$D$400,MATCH($A763,Map!$A$2:$A$400,0)),"⚠ UNMAPPED"))</f>
        <v/>
      </c>
      <c r="I763" s="18" t="str">
        <f>IF($A763="","",IFERROR(INDEX(Map!$E$2:$E$400,MATCH($A763,Map!$A$2:$A$400,0)),"⚠ UNMAPPED"))</f>
        <v/>
      </c>
      <c r="J763" s="18" t="str">
        <f>IF($A763="","",IFERROR(INDEX(Map!$F$2:$F$400,MATCH($A763,Map!$A$2:$A$400,0)),"⚠ UNMAPPED"))</f>
        <v/>
      </c>
    </row>
    <row r="764" spans="7:10" x14ac:dyDescent="0.25">
      <c r="G764" s="158" t="str">
        <f>IF($A764="","",IFERROR(INDEX(Map!$C$2:$C$400,MATCH($A764,Map!$A$2:$A$400,0)),"⚠ UNMAPPED"))</f>
        <v/>
      </c>
      <c r="H764" s="18" t="str">
        <f>IF($A764="","",IFERROR(INDEX(Map!$D$2:$D$400,MATCH($A764,Map!$A$2:$A$400,0)),"⚠ UNMAPPED"))</f>
        <v/>
      </c>
      <c r="I764" s="18" t="str">
        <f>IF($A764="","",IFERROR(INDEX(Map!$E$2:$E$400,MATCH($A764,Map!$A$2:$A$400,0)),"⚠ UNMAPPED"))</f>
        <v/>
      </c>
      <c r="J764" s="18" t="str">
        <f>IF($A764="","",IFERROR(INDEX(Map!$F$2:$F$400,MATCH($A764,Map!$A$2:$A$400,0)),"⚠ UNMAPPED"))</f>
        <v/>
      </c>
    </row>
    <row r="765" spans="7:10" x14ac:dyDescent="0.25">
      <c r="G765" s="158" t="str">
        <f>IF($A765="","",IFERROR(INDEX(Map!$C$2:$C$400,MATCH($A765,Map!$A$2:$A$400,0)),"⚠ UNMAPPED"))</f>
        <v/>
      </c>
      <c r="H765" s="18" t="str">
        <f>IF($A765="","",IFERROR(INDEX(Map!$D$2:$D$400,MATCH($A765,Map!$A$2:$A$400,0)),"⚠ UNMAPPED"))</f>
        <v/>
      </c>
      <c r="I765" s="18" t="str">
        <f>IF($A765="","",IFERROR(INDEX(Map!$E$2:$E$400,MATCH($A765,Map!$A$2:$A$400,0)),"⚠ UNMAPPED"))</f>
        <v/>
      </c>
      <c r="J765" s="18" t="str">
        <f>IF($A765="","",IFERROR(INDEX(Map!$F$2:$F$400,MATCH($A765,Map!$A$2:$A$400,0)),"⚠ UNMAPPED"))</f>
        <v/>
      </c>
    </row>
    <row r="766" spans="7:10" x14ac:dyDescent="0.25">
      <c r="G766" s="158" t="str">
        <f>IF($A766="","",IFERROR(INDEX(Map!$C$2:$C$400,MATCH($A766,Map!$A$2:$A$400,0)),"⚠ UNMAPPED"))</f>
        <v/>
      </c>
      <c r="H766" s="18" t="str">
        <f>IF($A766="","",IFERROR(INDEX(Map!$D$2:$D$400,MATCH($A766,Map!$A$2:$A$400,0)),"⚠ UNMAPPED"))</f>
        <v/>
      </c>
      <c r="I766" s="18" t="str">
        <f>IF($A766="","",IFERROR(INDEX(Map!$E$2:$E$400,MATCH($A766,Map!$A$2:$A$400,0)),"⚠ UNMAPPED"))</f>
        <v/>
      </c>
      <c r="J766" s="18" t="str">
        <f>IF($A766="","",IFERROR(INDEX(Map!$F$2:$F$400,MATCH($A766,Map!$A$2:$A$400,0)),"⚠ UNMAPPED"))</f>
        <v/>
      </c>
    </row>
    <row r="767" spans="7:10" x14ac:dyDescent="0.25">
      <c r="G767" s="158" t="str">
        <f>IF($A767="","",IFERROR(INDEX(Map!$C$2:$C$400,MATCH($A767,Map!$A$2:$A$400,0)),"⚠ UNMAPPED"))</f>
        <v/>
      </c>
      <c r="H767" s="18" t="str">
        <f>IF($A767="","",IFERROR(INDEX(Map!$D$2:$D$400,MATCH($A767,Map!$A$2:$A$400,0)),"⚠ UNMAPPED"))</f>
        <v/>
      </c>
      <c r="I767" s="18" t="str">
        <f>IF($A767="","",IFERROR(INDEX(Map!$E$2:$E$400,MATCH($A767,Map!$A$2:$A$400,0)),"⚠ UNMAPPED"))</f>
        <v/>
      </c>
      <c r="J767" s="18" t="str">
        <f>IF($A767="","",IFERROR(INDEX(Map!$F$2:$F$400,MATCH($A767,Map!$A$2:$A$400,0)),"⚠ UNMAPPED"))</f>
        <v/>
      </c>
    </row>
    <row r="768" spans="7:10" x14ac:dyDescent="0.25">
      <c r="G768" s="158" t="str">
        <f>IF($A768="","",IFERROR(INDEX(Map!$C$2:$C$400,MATCH($A768,Map!$A$2:$A$400,0)),"⚠ UNMAPPED"))</f>
        <v/>
      </c>
      <c r="H768" s="18" t="str">
        <f>IF($A768="","",IFERROR(INDEX(Map!$D$2:$D$400,MATCH($A768,Map!$A$2:$A$400,0)),"⚠ UNMAPPED"))</f>
        <v/>
      </c>
      <c r="I768" s="18" t="str">
        <f>IF($A768="","",IFERROR(INDEX(Map!$E$2:$E$400,MATCH($A768,Map!$A$2:$A$400,0)),"⚠ UNMAPPED"))</f>
        <v/>
      </c>
      <c r="J768" s="18" t="str">
        <f>IF($A768="","",IFERROR(INDEX(Map!$F$2:$F$400,MATCH($A768,Map!$A$2:$A$400,0)),"⚠ UNMAPPED"))</f>
        <v/>
      </c>
    </row>
    <row r="769" spans="7:10" x14ac:dyDescent="0.25">
      <c r="G769" s="158" t="str">
        <f>IF($A769="","",IFERROR(INDEX(Map!$C$2:$C$400,MATCH($A769,Map!$A$2:$A$400,0)),"⚠ UNMAPPED"))</f>
        <v/>
      </c>
      <c r="H769" s="18" t="str">
        <f>IF($A769="","",IFERROR(INDEX(Map!$D$2:$D$400,MATCH($A769,Map!$A$2:$A$400,0)),"⚠ UNMAPPED"))</f>
        <v/>
      </c>
      <c r="I769" s="18" t="str">
        <f>IF($A769="","",IFERROR(INDEX(Map!$E$2:$E$400,MATCH($A769,Map!$A$2:$A$400,0)),"⚠ UNMAPPED"))</f>
        <v/>
      </c>
      <c r="J769" s="18" t="str">
        <f>IF($A769="","",IFERROR(INDEX(Map!$F$2:$F$400,MATCH($A769,Map!$A$2:$A$400,0)),"⚠ UNMAPPED"))</f>
        <v/>
      </c>
    </row>
    <row r="770" spans="7:10" x14ac:dyDescent="0.25">
      <c r="G770" s="158" t="str">
        <f>IF($A770="","",IFERROR(INDEX(Map!$C$2:$C$400,MATCH($A770,Map!$A$2:$A$400,0)),"⚠ UNMAPPED"))</f>
        <v/>
      </c>
      <c r="H770" s="18" t="str">
        <f>IF($A770="","",IFERROR(INDEX(Map!$D$2:$D$400,MATCH($A770,Map!$A$2:$A$400,0)),"⚠ UNMAPPED"))</f>
        <v/>
      </c>
      <c r="I770" s="18" t="str">
        <f>IF($A770="","",IFERROR(INDEX(Map!$E$2:$E$400,MATCH($A770,Map!$A$2:$A$400,0)),"⚠ UNMAPPED"))</f>
        <v/>
      </c>
      <c r="J770" s="18" t="str">
        <f>IF($A770="","",IFERROR(INDEX(Map!$F$2:$F$400,MATCH($A770,Map!$A$2:$A$400,0)),"⚠ UNMAPPED"))</f>
        <v/>
      </c>
    </row>
    <row r="771" spans="7:10" x14ac:dyDescent="0.25">
      <c r="G771" s="158" t="str">
        <f>IF($A771="","",IFERROR(INDEX(Map!$C$2:$C$400,MATCH($A771,Map!$A$2:$A$400,0)),"⚠ UNMAPPED"))</f>
        <v/>
      </c>
      <c r="H771" s="18" t="str">
        <f>IF($A771="","",IFERROR(INDEX(Map!$D$2:$D$400,MATCH($A771,Map!$A$2:$A$400,0)),"⚠ UNMAPPED"))</f>
        <v/>
      </c>
      <c r="I771" s="18" t="str">
        <f>IF($A771="","",IFERROR(INDEX(Map!$E$2:$E$400,MATCH($A771,Map!$A$2:$A$400,0)),"⚠ UNMAPPED"))</f>
        <v/>
      </c>
      <c r="J771" s="18" t="str">
        <f>IF($A771="","",IFERROR(INDEX(Map!$F$2:$F$400,MATCH($A771,Map!$A$2:$A$400,0)),"⚠ UNMAPPED"))</f>
        <v/>
      </c>
    </row>
    <row r="772" spans="7:10" x14ac:dyDescent="0.25">
      <c r="G772" s="158" t="str">
        <f>IF($A772="","",IFERROR(INDEX(Map!$C$2:$C$400,MATCH($A772,Map!$A$2:$A$400,0)),"⚠ UNMAPPED"))</f>
        <v/>
      </c>
      <c r="H772" s="18" t="str">
        <f>IF($A772="","",IFERROR(INDEX(Map!$D$2:$D$400,MATCH($A772,Map!$A$2:$A$400,0)),"⚠ UNMAPPED"))</f>
        <v/>
      </c>
      <c r="I772" s="18" t="str">
        <f>IF($A772="","",IFERROR(INDEX(Map!$E$2:$E$400,MATCH($A772,Map!$A$2:$A$400,0)),"⚠ UNMAPPED"))</f>
        <v/>
      </c>
      <c r="J772" s="18" t="str">
        <f>IF($A772="","",IFERROR(INDEX(Map!$F$2:$F$400,MATCH($A772,Map!$A$2:$A$400,0)),"⚠ UNMAPPED"))</f>
        <v/>
      </c>
    </row>
    <row r="773" spans="7:10" x14ac:dyDescent="0.25">
      <c r="G773" s="158" t="str">
        <f>IF($A773="","",IFERROR(INDEX(Map!$C$2:$C$400,MATCH($A773,Map!$A$2:$A$400,0)),"⚠ UNMAPPED"))</f>
        <v/>
      </c>
      <c r="H773" s="18" t="str">
        <f>IF($A773="","",IFERROR(INDEX(Map!$D$2:$D$400,MATCH($A773,Map!$A$2:$A$400,0)),"⚠ UNMAPPED"))</f>
        <v/>
      </c>
      <c r="I773" s="18" t="str">
        <f>IF($A773="","",IFERROR(INDEX(Map!$E$2:$E$400,MATCH($A773,Map!$A$2:$A$400,0)),"⚠ UNMAPPED"))</f>
        <v/>
      </c>
      <c r="J773" s="18" t="str">
        <f>IF($A773="","",IFERROR(INDEX(Map!$F$2:$F$400,MATCH($A773,Map!$A$2:$A$400,0)),"⚠ UNMAPPED"))</f>
        <v/>
      </c>
    </row>
    <row r="774" spans="7:10" x14ac:dyDescent="0.25">
      <c r="G774" s="158" t="str">
        <f>IF($A774="","",IFERROR(INDEX(Map!$C$2:$C$400,MATCH($A774,Map!$A$2:$A$400,0)),"⚠ UNMAPPED"))</f>
        <v/>
      </c>
      <c r="H774" s="18" t="str">
        <f>IF($A774="","",IFERROR(INDEX(Map!$D$2:$D$400,MATCH($A774,Map!$A$2:$A$400,0)),"⚠ UNMAPPED"))</f>
        <v/>
      </c>
      <c r="I774" s="18" t="str">
        <f>IF($A774="","",IFERROR(INDEX(Map!$E$2:$E$400,MATCH($A774,Map!$A$2:$A$400,0)),"⚠ UNMAPPED"))</f>
        <v/>
      </c>
      <c r="J774" s="18" t="str">
        <f>IF($A774="","",IFERROR(INDEX(Map!$F$2:$F$400,MATCH($A774,Map!$A$2:$A$400,0)),"⚠ UNMAPPED"))</f>
        <v/>
      </c>
    </row>
    <row r="775" spans="7:10" x14ac:dyDescent="0.25">
      <c r="G775" s="158" t="str">
        <f>IF($A775="","",IFERROR(INDEX(Map!$C$2:$C$400,MATCH($A775,Map!$A$2:$A$400,0)),"⚠ UNMAPPED"))</f>
        <v/>
      </c>
      <c r="H775" s="18" t="str">
        <f>IF($A775="","",IFERROR(INDEX(Map!$D$2:$D$400,MATCH($A775,Map!$A$2:$A$400,0)),"⚠ UNMAPPED"))</f>
        <v/>
      </c>
      <c r="I775" s="18" t="str">
        <f>IF($A775="","",IFERROR(INDEX(Map!$E$2:$E$400,MATCH($A775,Map!$A$2:$A$400,0)),"⚠ UNMAPPED"))</f>
        <v/>
      </c>
      <c r="J775" s="18" t="str">
        <f>IF($A775="","",IFERROR(INDEX(Map!$F$2:$F$400,MATCH($A775,Map!$A$2:$A$400,0)),"⚠ UNMAPPED"))</f>
        <v/>
      </c>
    </row>
    <row r="776" spans="7:10" x14ac:dyDescent="0.25">
      <c r="G776" s="158" t="str">
        <f>IF($A776="","",IFERROR(INDEX(Map!$C$2:$C$400,MATCH($A776,Map!$A$2:$A$400,0)),"⚠ UNMAPPED"))</f>
        <v/>
      </c>
      <c r="H776" s="18" t="str">
        <f>IF($A776="","",IFERROR(INDEX(Map!$D$2:$D$400,MATCH($A776,Map!$A$2:$A$400,0)),"⚠ UNMAPPED"))</f>
        <v/>
      </c>
      <c r="I776" s="18" t="str">
        <f>IF($A776="","",IFERROR(INDEX(Map!$E$2:$E$400,MATCH($A776,Map!$A$2:$A$400,0)),"⚠ UNMAPPED"))</f>
        <v/>
      </c>
      <c r="J776" s="18" t="str">
        <f>IF($A776="","",IFERROR(INDEX(Map!$F$2:$F$400,MATCH($A776,Map!$A$2:$A$400,0)),"⚠ UNMAPPED"))</f>
        <v/>
      </c>
    </row>
    <row r="777" spans="7:10" x14ac:dyDescent="0.25">
      <c r="G777" s="158" t="str">
        <f>IF($A777="","",IFERROR(INDEX(Map!$C$2:$C$400,MATCH($A777,Map!$A$2:$A$400,0)),"⚠ UNMAPPED"))</f>
        <v/>
      </c>
      <c r="H777" s="18" t="str">
        <f>IF($A777="","",IFERROR(INDEX(Map!$D$2:$D$400,MATCH($A777,Map!$A$2:$A$400,0)),"⚠ UNMAPPED"))</f>
        <v/>
      </c>
      <c r="I777" s="18" t="str">
        <f>IF($A777="","",IFERROR(INDEX(Map!$E$2:$E$400,MATCH($A777,Map!$A$2:$A$400,0)),"⚠ UNMAPPED"))</f>
        <v/>
      </c>
      <c r="J777" s="18" t="str">
        <f>IF($A777="","",IFERROR(INDEX(Map!$F$2:$F$400,MATCH($A777,Map!$A$2:$A$400,0)),"⚠ UNMAPPED"))</f>
        <v/>
      </c>
    </row>
    <row r="778" spans="7:10" x14ac:dyDescent="0.25">
      <c r="G778" s="158" t="str">
        <f>IF($A778="","",IFERROR(INDEX(Map!$C$2:$C$400,MATCH($A778,Map!$A$2:$A$400,0)),"⚠ UNMAPPED"))</f>
        <v/>
      </c>
      <c r="H778" s="18" t="str">
        <f>IF($A778="","",IFERROR(INDEX(Map!$D$2:$D$400,MATCH($A778,Map!$A$2:$A$400,0)),"⚠ UNMAPPED"))</f>
        <v/>
      </c>
      <c r="I778" s="18" t="str">
        <f>IF($A778="","",IFERROR(INDEX(Map!$E$2:$E$400,MATCH($A778,Map!$A$2:$A$400,0)),"⚠ UNMAPPED"))</f>
        <v/>
      </c>
      <c r="J778" s="18" t="str">
        <f>IF($A778="","",IFERROR(INDEX(Map!$F$2:$F$400,MATCH($A778,Map!$A$2:$A$400,0)),"⚠ UNMAPPED"))</f>
        <v/>
      </c>
    </row>
    <row r="779" spans="7:10" x14ac:dyDescent="0.25">
      <c r="G779" s="158" t="str">
        <f>IF($A779="","",IFERROR(INDEX(Map!$C$2:$C$400,MATCH($A779,Map!$A$2:$A$400,0)),"⚠ UNMAPPED"))</f>
        <v/>
      </c>
      <c r="H779" s="18" t="str">
        <f>IF($A779="","",IFERROR(INDEX(Map!$D$2:$D$400,MATCH($A779,Map!$A$2:$A$400,0)),"⚠ UNMAPPED"))</f>
        <v/>
      </c>
      <c r="I779" s="18" t="str">
        <f>IF($A779="","",IFERROR(INDEX(Map!$E$2:$E$400,MATCH($A779,Map!$A$2:$A$400,0)),"⚠ UNMAPPED"))</f>
        <v/>
      </c>
      <c r="J779" s="18" t="str">
        <f>IF($A779="","",IFERROR(INDEX(Map!$F$2:$F$400,MATCH($A779,Map!$A$2:$A$400,0)),"⚠ UNMAPPED"))</f>
        <v/>
      </c>
    </row>
    <row r="780" spans="7:10" x14ac:dyDescent="0.25">
      <c r="G780" s="158" t="str">
        <f>IF($A780="","",IFERROR(INDEX(Map!$C$2:$C$400,MATCH($A780,Map!$A$2:$A$400,0)),"⚠ UNMAPPED"))</f>
        <v/>
      </c>
      <c r="H780" s="18" t="str">
        <f>IF($A780="","",IFERROR(INDEX(Map!$D$2:$D$400,MATCH($A780,Map!$A$2:$A$400,0)),"⚠ UNMAPPED"))</f>
        <v/>
      </c>
      <c r="I780" s="18" t="str">
        <f>IF($A780="","",IFERROR(INDEX(Map!$E$2:$E$400,MATCH($A780,Map!$A$2:$A$400,0)),"⚠ UNMAPPED"))</f>
        <v/>
      </c>
      <c r="J780" s="18" t="str">
        <f>IF($A780="","",IFERROR(INDEX(Map!$F$2:$F$400,MATCH($A780,Map!$A$2:$A$400,0)),"⚠ UNMAPPED"))</f>
        <v/>
      </c>
    </row>
    <row r="781" spans="7:10" x14ac:dyDescent="0.25">
      <c r="G781" s="158" t="str">
        <f>IF($A781="","",IFERROR(INDEX(Map!$C$2:$C$400,MATCH($A781,Map!$A$2:$A$400,0)),"⚠ UNMAPPED"))</f>
        <v/>
      </c>
      <c r="H781" s="18" t="str">
        <f>IF($A781="","",IFERROR(INDEX(Map!$D$2:$D$400,MATCH($A781,Map!$A$2:$A$400,0)),"⚠ UNMAPPED"))</f>
        <v/>
      </c>
      <c r="I781" s="18" t="str">
        <f>IF($A781="","",IFERROR(INDEX(Map!$E$2:$E$400,MATCH($A781,Map!$A$2:$A$400,0)),"⚠ UNMAPPED"))</f>
        <v/>
      </c>
      <c r="J781" s="18" t="str">
        <f>IF($A781="","",IFERROR(INDEX(Map!$F$2:$F$400,MATCH($A781,Map!$A$2:$A$400,0)),"⚠ UNMAPPED"))</f>
        <v/>
      </c>
    </row>
    <row r="782" spans="7:10" x14ac:dyDescent="0.25">
      <c r="G782" s="158" t="str">
        <f>IF($A782="","",IFERROR(INDEX(Map!$C$2:$C$400,MATCH($A782,Map!$A$2:$A$400,0)),"⚠ UNMAPPED"))</f>
        <v/>
      </c>
      <c r="H782" s="18" t="str">
        <f>IF($A782="","",IFERROR(INDEX(Map!$D$2:$D$400,MATCH($A782,Map!$A$2:$A$400,0)),"⚠ UNMAPPED"))</f>
        <v/>
      </c>
      <c r="I782" s="18" t="str">
        <f>IF($A782="","",IFERROR(INDEX(Map!$E$2:$E$400,MATCH($A782,Map!$A$2:$A$400,0)),"⚠ UNMAPPED"))</f>
        <v/>
      </c>
      <c r="J782" s="18" t="str">
        <f>IF($A782="","",IFERROR(INDEX(Map!$F$2:$F$400,MATCH($A782,Map!$A$2:$A$400,0)),"⚠ UNMAPPED"))</f>
        <v/>
      </c>
    </row>
    <row r="783" spans="7:10" x14ac:dyDescent="0.25">
      <c r="G783" s="158" t="str">
        <f>IF($A783="","",IFERROR(INDEX(Map!$C$2:$C$400,MATCH($A783,Map!$A$2:$A$400,0)),"⚠ UNMAPPED"))</f>
        <v/>
      </c>
      <c r="H783" s="18" t="str">
        <f>IF($A783="","",IFERROR(INDEX(Map!$D$2:$D$400,MATCH($A783,Map!$A$2:$A$400,0)),"⚠ UNMAPPED"))</f>
        <v/>
      </c>
      <c r="I783" s="18" t="str">
        <f>IF($A783="","",IFERROR(INDEX(Map!$E$2:$E$400,MATCH($A783,Map!$A$2:$A$400,0)),"⚠ UNMAPPED"))</f>
        <v/>
      </c>
      <c r="J783" s="18" t="str">
        <f>IF($A783="","",IFERROR(INDEX(Map!$F$2:$F$400,MATCH($A783,Map!$A$2:$A$400,0)),"⚠ UNMAPPED"))</f>
        <v/>
      </c>
    </row>
    <row r="784" spans="7:10" x14ac:dyDescent="0.25">
      <c r="G784" s="158" t="str">
        <f>IF($A784="","",IFERROR(INDEX(Map!$C$2:$C$400,MATCH($A784,Map!$A$2:$A$400,0)),"⚠ UNMAPPED"))</f>
        <v/>
      </c>
      <c r="H784" s="18" t="str">
        <f>IF($A784="","",IFERROR(INDEX(Map!$D$2:$D$400,MATCH($A784,Map!$A$2:$A$400,0)),"⚠ UNMAPPED"))</f>
        <v/>
      </c>
      <c r="I784" s="18" t="str">
        <f>IF($A784="","",IFERROR(INDEX(Map!$E$2:$E$400,MATCH($A784,Map!$A$2:$A$400,0)),"⚠ UNMAPPED"))</f>
        <v/>
      </c>
      <c r="J784" s="18" t="str">
        <f>IF($A784="","",IFERROR(INDEX(Map!$F$2:$F$400,MATCH($A784,Map!$A$2:$A$400,0)),"⚠ UNMAPPED"))</f>
        <v/>
      </c>
    </row>
    <row r="785" spans="7:10" x14ac:dyDescent="0.25">
      <c r="G785" s="158" t="str">
        <f>IF($A785="","",IFERROR(INDEX(Map!$C$2:$C$400,MATCH($A785,Map!$A$2:$A$400,0)),"⚠ UNMAPPED"))</f>
        <v/>
      </c>
      <c r="H785" s="18" t="str">
        <f>IF($A785="","",IFERROR(INDEX(Map!$D$2:$D$400,MATCH($A785,Map!$A$2:$A$400,0)),"⚠ UNMAPPED"))</f>
        <v/>
      </c>
      <c r="I785" s="18" t="str">
        <f>IF($A785="","",IFERROR(INDEX(Map!$E$2:$E$400,MATCH($A785,Map!$A$2:$A$400,0)),"⚠ UNMAPPED"))</f>
        <v/>
      </c>
      <c r="J785" s="18" t="str">
        <f>IF($A785="","",IFERROR(INDEX(Map!$F$2:$F$400,MATCH($A785,Map!$A$2:$A$400,0)),"⚠ UNMAPPED"))</f>
        <v/>
      </c>
    </row>
    <row r="786" spans="7:10" x14ac:dyDescent="0.25">
      <c r="G786" s="158" t="str">
        <f>IF($A786="","",IFERROR(INDEX(Map!$C$2:$C$400,MATCH($A786,Map!$A$2:$A$400,0)),"⚠ UNMAPPED"))</f>
        <v/>
      </c>
      <c r="H786" s="18" t="str">
        <f>IF($A786="","",IFERROR(INDEX(Map!$D$2:$D$400,MATCH($A786,Map!$A$2:$A$400,0)),"⚠ UNMAPPED"))</f>
        <v/>
      </c>
      <c r="I786" s="18" t="str">
        <f>IF($A786="","",IFERROR(INDEX(Map!$E$2:$E$400,MATCH($A786,Map!$A$2:$A$400,0)),"⚠ UNMAPPED"))</f>
        <v/>
      </c>
      <c r="J786" s="18" t="str">
        <f>IF($A786="","",IFERROR(INDEX(Map!$F$2:$F$400,MATCH($A786,Map!$A$2:$A$400,0)),"⚠ UNMAPPED"))</f>
        <v/>
      </c>
    </row>
    <row r="787" spans="7:10" x14ac:dyDescent="0.25">
      <c r="G787" s="158" t="str">
        <f>IF($A787="","",IFERROR(INDEX(Map!$C$2:$C$400,MATCH($A787,Map!$A$2:$A$400,0)),"⚠ UNMAPPED"))</f>
        <v/>
      </c>
      <c r="H787" s="18" t="str">
        <f>IF($A787="","",IFERROR(INDEX(Map!$D$2:$D$400,MATCH($A787,Map!$A$2:$A$400,0)),"⚠ UNMAPPED"))</f>
        <v/>
      </c>
      <c r="I787" s="18" t="str">
        <f>IF($A787="","",IFERROR(INDEX(Map!$E$2:$E$400,MATCH($A787,Map!$A$2:$A$400,0)),"⚠ UNMAPPED"))</f>
        <v/>
      </c>
      <c r="J787" s="18" t="str">
        <f>IF($A787="","",IFERROR(INDEX(Map!$F$2:$F$400,MATCH($A787,Map!$A$2:$A$400,0)),"⚠ UNMAPPED"))</f>
        <v/>
      </c>
    </row>
    <row r="788" spans="7:10" x14ac:dyDescent="0.25">
      <c r="G788" s="158" t="str">
        <f>IF($A788="","",IFERROR(INDEX(Map!$C$2:$C$400,MATCH($A788,Map!$A$2:$A$400,0)),"⚠ UNMAPPED"))</f>
        <v/>
      </c>
      <c r="H788" s="18" t="str">
        <f>IF($A788="","",IFERROR(INDEX(Map!$D$2:$D$400,MATCH($A788,Map!$A$2:$A$400,0)),"⚠ UNMAPPED"))</f>
        <v/>
      </c>
      <c r="I788" s="18" t="str">
        <f>IF($A788="","",IFERROR(INDEX(Map!$E$2:$E$400,MATCH($A788,Map!$A$2:$A$400,0)),"⚠ UNMAPPED"))</f>
        <v/>
      </c>
      <c r="J788" s="18" t="str">
        <f>IF($A788="","",IFERROR(INDEX(Map!$F$2:$F$400,MATCH($A788,Map!$A$2:$A$400,0)),"⚠ UNMAPPED"))</f>
        <v/>
      </c>
    </row>
    <row r="789" spans="7:10" x14ac:dyDescent="0.25">
      <c r="G789" s="158" t="str">
        <f>IF($A789="","",IFERROR(INDEX(Map!$C$2:$C$400,MATCH($A789,Map!$A$2:$A$400,0)),"⚠ UNMAPPED"))</f>
        <v/>
      </c>
      <c r="H789" s="18" t="str">
        <f>IF($A789="","",IFERROR(INDEX(Map!$D$2:$D$400,MATCH($A789,Map!$A$2:$A$400,0)),"⚠ UNMAPPED"))</f>
        <v/>
      </c>
      <c r="I789" s="18" t="str">
        <f>IF($A789="","",IFERROR(INDEX(Map!$E$2:$E$400,MATCH($A789,Map!$A$2:$A$400,0)),"⚠ UNMAPPED"))</f>
        <v/>
      </c>
      <c r="J789" s="18" t="str">
        <f>IF($A789="","",IFERROR(INDEX(Map!$F$2:$F$400,MATCH($A789,Map!$A$2:$A$400,0)),"⚠ UNMAPPED"))</f>
        <v/>
      </c>
    </row>
    <row r="790" spans="7:10" x14ac:dyDescent="0.25">
      <c r="G790" s="158" t="str">
        <f>IF($A790="","",IFERROR(INDEX(Map!$C$2:$C$400,MATCH($A790,Map!$A$2:$A$400,0)),"⚠ UNMAPPED"))</f>
        <v/>
      </c>
      <c r="H790" s="18" t="str">
        <f>IF($A790="","",IFERROR(INDEX(Map!$D$2:$D$400,MATCH($A790,Map!$A$2:$A$400,0)),"⚠ UNMAPPED"))</f>
        <v/>
      </c>
      <c r="I790" s="18" t="str">
        <f>IF($A790="","",IFERROR(INDEX(Map!$E$2:$E$400,MATCH($A790,Map!$A$2:$A$400,0)),"⚠ UNMAPPED"))</f>
        <v/>
      </c>
      <c r="J790" s="18" t="str">
        <f>IF($A790="","",IFERROR(INDEX(Map!$F$2:$F$400,MATCH($A790,Map!$A$2:$A$400,0)),"⚠ UNMAPPED"))</f>
        <v/>
      </c>
    </row>
    <row r="791" spans="7:10" x14ac:dyDescent="0.25">
      <c r="G791" s="158" t="str">
        <f>IF($A791="","",IFERROR(INDEX(Map!$C$2:$C$400,MATCH($A791,Map!$A$2:$A$400,0)),"⚠ UNMAPPED"))</f>
        <v/>
      </c>
      <c r="H791" s="18" t="str">
        <f>IF($A791="","",IFERROR(INDEX(Map!$D$2:$D$400,MATCH($A791,Map!$A$2:$A$400,0)),"⚠ UNMAPPED"))</f>
        <v/>
      </c>
      <c r="I791" s="18" t="str">
        <f>IF($A791="","",IFERROR(INDEX(Map!$E$2:$E$400,MATCH($A791,Map!$A$2:$A$400,0)),"⚠ UNMAPPED"))</f>
        <v/>
      </c>
      <c r="J791" s="18" t="str">
        <f>IF($A791="","",IFERROR(INDEX(Map!$F$2:$F$400,MATCH($A791,Map!$A$2:$A$400,0)),"⚠ UNMAPPED"))</f>
        <v/>
      </c>
    </row>
    <row r="792" spans="7:10" x14ac:dyDescent="0.25">
      <c r="G792" s="158" t="str">
        <f>IF($A792="","",IFERROR(INDEX(Map!$C$2:$C$400,MATCH($A792,Map!$A$2:$A$400,0)),"⚠ UNMAPPED"))</f>
        <v/>
      </c>
      <c r="H792" s="18" t="str">
        <f>IF($A792="","",IFERROR(INDEX(Map!$D$2:$D$400,MATCH($A792,Map!$A$2:$A$400,0)),"⚠ UNMAPPED"))</f>
        <v/>
      </c>
      <c r="I792" s="18" t="str">
        <f>IF($A792="","",IFERROR(INDEX(Map!$E$2:$E$400,MATCH($A792,Map!$A$2:$A$400,0)),"⚠ UNMAPPED"))</f>
        <v/>
      </c>
      <c r="J792" s="18" t="str">
        <f>IF($A792="","",IFERROR(INDEX(Map!$F$2:$F$400,MATCH($A792,Map!$A$2:$A$400,0)),"⚠ UNMAPPED"))</f>
        <v/>
      </c>
    </row>
    <row r="793" spans="7:10" x14ac:dyDescent="0.25">
      <c r="G793" s="158" t="str">
        <f>IF($A793="","",IFERROR(INDEX(Map!$C$2:$C$400,MATCH($A793,Map!$A$2:$A$400,0)),"⚠ UNMAPPED"))</f>
        <v/>
      </c>
      <c r="H793" s="18" t="str">
        <f>IF($A793="","",IFERROR(INDEX(Map!$D$2:$D$400,MATCH($A793,Map!$A$2:$A$400,0)),"⚠ UNMAPPED"))</f>
        <v/>
      </c>
      <c r="I793" s="18" t="str">
        <f>IF($A793="","",IFERROR(INDEX(Map!$E$2:$E$400,MATCH($A793,Map!$A$2:$A$400,0)),"⚠ UNMAPPED"))</f>
        <v/>
      </c>
      <c r="J793" s="18" t="str">
        <f>IF($A793="","",IFERROR(INDEX(Map!$F$2:$F$400,MATCH($A793,Map!$A$2:$A$400,0)),"⚠ UNMAPPED"))</f>
        <v/>
      </c>
    </row>
    <row r="794" spans="7:10" x14ac:dyDescent="0.25">
      <c r="G794" s="158" t="str">
        <f>IF($A794="","",IFERROR(INDEX(Map!$C$2:$C$400,MATCH($A794,Map!$A$2:$A$400,0)),"⚠ UNMAPPED"))</f>
        <v/>
      </c>
      <c r="H794" s="18" t="str">
        <f>IF($A794="","",IFERROR(INDEX(Map!$D$2:$D$400,MATCH($A794,Map!$A$2:$A$400,0)),"⚠ UNMAPPED"))</f>
        <v/>
      </c>
      <c r="I794" s="18" t="str">
        <f>IF($A794="","",IFERROR(INDEX(Map!$E$2:$E$400,MATCH($A794,Map!$A$2:$A$400,0)),"⚠ UNMAPPED"))</f>
        <v/>
      </c>
      <c r="J794" s="18" t="str">
        <f>IF($A794="","",IFERROR(INDEX(Map!$F$2:$F$400,MATCH($A794,Map!$A$2:$A$400,0)),"⚠ UNMAPPED"))</f>
        <v/>
      </c>
    </row>
    <row r="795" spans="7:10" x14ac:dyDescent="0.25">
      <c r="G795" s="158" t="str">
        <f>IF($A795="","",IFERROR(INDEX(Map!$C$2:$C$400,MATCH($A795,Map!$A$2:$A$400,0)),"⚠ UNMAPPED"))</f>
        <v/>
      </c>
      <c r="H795" s="18" t="str">
        <f>IF($A795="","",IFERROR(INDEX(Map!$D$2:$D$400,MATCH($A795,Map!$A$2:$A$400,0)),"⚠ UNMAPPED"))</f>
        <v/>
      </c>
      <c r="I795" s="18" t="str">
        <f>IF($A795="","",IFERROR(INDEX(Map!$E$2:$E$400,MATCH($A795,Map!$A$2:$A$400,0)),"⚠ UNMAPPED"))</f>
        <v/>
      </c>
      <c r="J795" s="18" t="str">
        <f>IF($A795="","",IFERROR(INDEX(Map!$F$2:$F$400,MATCH($A795,Map!$A$2:$A$400,0)),"⚠ UNMAPPED"))</f>
        <v/>
      </c>
    </row>
    <row r="796" spans="7:10" x14ac:dyDescent="0.25">
      <c r="G796" s="158" t="str">
        <f>IF($A796="","",IFERROR(INDEX(Map!$C$2:$C$400,MATCH($A796,Map!$A$2:$A$400,0)),"⚠ UNMAPPED"))</f>
        <v/>
      </c>
      <c r="H796" s="18" t="str">
        <f>IF($A796="","",IFERROR(INDEX(Map!$D$2:$D$400,MATCH($A796,Map!$A$2:$A$400,0)),"⚠ UNMAPPED"))</f>
        <v/>
      </c>
      <c r="I796" s="18" t="str">
        <f>IF($A796="","",IFERROR(INDEX(Map!$E$2:$E$400,MATCH($A796,Map!$A$2:$A$400,0)),"⚠ UNMAPPED"))</f>
        <v/>
      </c>
      <c r="J796" s="18" t="str">
        <f>IF($A796="","",IFERROR(INDEX(Map!$F$2:$F$400,MATCH($A796,Map!$A$2:$A$400,0)),"⚠ UNMAPPED"))</f>
        <v/>
      </c>
    </row>
    <row r="797" spans="7:10" x14ac:dyDescent="0.25">
      <c r="G797" s="158" t="str">
        <f>IF($A797="","",IFERROR(INDEX(Map!$C$2:$C$400,MATCH($A797,Map!$A$2:$A$400,0)),"⚠ UNMAPPED"))</f>
        <v/>
      </c>
      <c r="H797" s="18" t="str">
        <f>IF($A797="","",IFERROR(INDEX(Map!$D$2:$D$400,MATCH($A797,Map!$A$2:$A$400,0)),"⚠ UNMAPPED"))</f>
        <v/>
      </c>
      <c r="I797" s="18" t="str">
        <f>IF($A797="","",IFERROR(INDEX(Map!$E$2:$E$400,MATCH($A797,Map!$A$2:$A$400,0)),"⚠ UNMAPPED"))</f>
        <v/>
      </c>
      <c r="J797" s="18" t="str">
        <f>IF($A797="","",IFERROR(INDEX(Map!$F$2:$F$400,MATCH($A797,Map!$A$2:$A$400,0)),"⚠ UNMAPPED"))</f>
        <v/>
      </c>
    </row>
    <row r="798" spans="7:10" x14ac:dyDescent="0.25">
      <c r="G798" s="158" t="str">
        <f>IF($A798="","",IFERROR(INDEX(Map!$C$2:$C$400,MATCH($A798,Map!$A$2:$A$400,0)),"⚠ UNMAPPED"))</f>
        <v/>
      </c>
      <c r="H798" s="18" t="str">
        <f>IF($A798="","",IFERROR(INDEX(Map!$D$2:$D$400,MATCH($A798,Map!$A$2:$A$400,0)),"⚠ UNMAPPED"))</f>
        <v/>
      </c>
      <c r="I798" s="18" t="str">
        <f>IF($A798="","",IFERROR(INDEX(Map!$E$2:$E$400,MATCH($A798,Map!$A$2:$A$400,0)),"⚠ UNMAPPED"))</f>
        <v/>
      </c>
      <c r="J798" s="18" t="str">
        <f>IF($A798="","",IFERROR(INDEX(Map!$F$2:$F$400,MATCH($A798,Map!$A$2:$A$400,0)),"⚠ UNMAPPED"))</f>
        <v/>
      </c>
    </row>
    <row r="799" spans="7:10" x14ac:dyDescent="0.25">
      <c r="G799" s="158" t="str">
        <f>IF($A799="","",IFERROR(INDEX(Map!$C$2:$C$400,MATCH($A799,Map!$A$2:$A$400,0)),"⚠ UNMAPPED"))</f>
        <v/>
      </c>
      <c r="H799" s="18" t="str">
        <f>IF($A799="","",IFERROR(INDEX(Map!$D$2:$D$400,MATCH($A799,Map!$A$2:$A$400,0)),"⚠ UNMAPPED"))</f>
        <v/>
      </c>
      <c r="I799" s="18" t="str">
        <f>IF($A799="","",IFERROR(INDEX(Map!$E$2:$E$400,MATCH($A799,Map!$A$2:$A$400,0)),"⚠ UNMAPPED"))</f>
        <v/>
      </c>
      <c r="J799" s="18" t="str">
        <f>IF($A799="","",IFERROR(INDEX(Map!$F$2:$F$400,MATCH($A799,Map!$A$2:$A$400,0)),"⚠ UNMAPPED"))</f>
        <v/>
      </c>
    </row>
    <row r="800" spans="7:10" x14ac:dyDescent="0.25">
      <c r="G800" s="158" t="str">
        <f>IF($A800="","",IFERROR(INDEX(Map!$C$2:$C$400,MATCH($A800,Map!$A$2:$A$400,0)),"⚠ UNMAPPED"))</f>
        <v/>
      </c>
      <c r="H800" s="18" t="str">
        <f>IF($A800="","",IFERROR(INDEX(Map!$D$2:$D$400,MATCH($A800,Map!$A$2:$A$400,0)),"⚠ UNMAPPED"))</f>
        <v/>
      </c>
      <c r="I800" s="18" t="str">
        <f>IF($A800="","",IFERROR(INDEX(Map!$E$2:$E$400,MATCH($A800,Map!$A$2:$A$400,0)),"⚠ UNMAPPED"))</f>
        <v/>
      </c>
      <c r="J800" s="18" t="str">
        <f>IF($A800="","",IFERROR(INDEX(Map!$F$2:$F$400,MATCH($A800,Map!$A$2:$A$400,0)),"⚠ UNMAPPED"))</f>
        <v/>
      </c>
    </row>
    <row r="801" spans="7:10" x14ac:dyDescent="0.25">
      <c r="G801" s="158" t="str">
        <f>IF($A801="","",IFERROR(INDEX(Map!$C$2:$C$400,MATCH($A801,Map!$A$2:$A$400,0)),"⚠ UNMAPPED"))</f>
        <v/>
      </c>
      <c r="H801" s="18" t="str">
        <f>IF($A801="","",IFERROR(INDEX(Map!$D$2:$D$400,MATCH($A801,Map!$A$2:$A$400,0)),"⚠ UNMAPPED"))</f>
        <v/>
      </c>
      <c r="I801" s="18" t="str">
        <f>IF($A801="","",IFERROR(INDEX(Map!$E$2:$E$400,MATCH($A801,Map!$A$2:$A$400,0)),"⚠ UNMAPPED"))</f>
        <v/>
      </c>
      <c r="J801" s="18" t="str">
        <f>IF($A801="","",IFERROR(INDEX(Map!$F$2:$F$400,MATCH($A801,Map!$A$2:$A$400,0)),"⚠ UNMAPPED"))</f>
        <v/>
      </c>
    </row>
    <row r="802" spans="7:10" x14ac:dyDescent="0.25">
      <c r="G802" s="158" t="str">
        <f>IF($A802="","",IFERROR(INDEX(Map!$C$2:$C$400,MATCH($A802,Map!$A$2:$A$400,0)),"⚠ UNMAPPED"))</f>
        <v/>
      </c>
      <c r="H802" s="18" t="str">
        <f>IF($A802="","",IFERROR(INDEX(Map!$D$2:$D$400,MATCH($A802,Map!$A$2:$A$400,0)),"⚠ UNMAPPED"))</f>
        <v/>
      </c>
      <c r="I802" s="18" t="str">
        <f>IF($A802="","",IFERROR(INDEX(Map!$E$2:$E$400,MATCH($A802,Map!$A$2:$A$400,0)),"⚠ UNMAPPED"))</f>
        <v/>
      </c>
      <c r="J802" s="18" t="str">
        <f>IF($A802="","",IFERROR(INDEX(Map!$F$2:$F$400,MATCH($A802,Map!$A$2:$A$400,0)),"⚠ UNMAPPED"))</f>
        <v/>
      </c>
    </row>
    <row r="803" spans="7:10" x14ac:dyDescent="0.25">
      <c r="G803" s="158" t="str">
        <f>IF($A803="","",IFERROR(INDEX(Map!$C$2:$C$400,MATCH($A803,Map!$A$2:$A$400,0)),"⚠ UNMAPPED"))</f>
        <v/>
      </c>
      <c r="H803" s="18" t="str">
        <f>IF($A803="","",IFERROR(INDEX(Map!$D$2:$D$400,MATCH($A803,Map!$A$2:$A$400,0)),"⚠ UNMAPPED"))</f>
        <v/>
      </c>
      <c r="I803" s="18" t="str">
        <f>IF($A803="","",IFERROR(INDEX(Map!$E$2:$E$400,MATCH($A803,Map!$A$2:$A$400,0)),"⚠ UNMAPPED"))</f>
        <v/>
      </c>
      <c r="J803" s="18" t="str">
        <f>IF($A803="","",IFERROR(INDEX(Map!$F$2:$F$400,MATCH($A803,Map!$A$2:$A$400,0)),"⚠ UNMAPPED"))</f>
        <v/>
      </c>
    </row>
    <row r="804" spans="7:10" x14ac:dyDescent="0.25">
      <c r="G804" s="158" t="str">
        <f>IF($A804="","",IFERROR(INDEX(Map!$C$2:$C$400,MATCH($A804,Map!$A$2:$A$400,0)),"⚠ UNMAPPED"))</f>
        <v/>
      </c>
      <c r="H804" s="18" t="str">
        <f>IF($A804="","",IFERROR(INDEX(Map!$D$2:$D$400,MATCH($A804,Map!$A$2:$A$400,0)),"⚠ UNMAPPED"))</f>
        <v/>
      </c>
      <c r="I804" s="18" t="str">
        <f>IF($A804="","",IFERROR(INDEX(Map!$E$2:$E$400,MATCH($A804,Map!$A$2:$A$400,0)),"⚠ UNMAPPED"))</f>
        <v/>
      </c>
      <c r="J804" s="18" t="str">
        <f>IF($A804="","",IFERROR(INDEX(Map!$F$2:$F$400,MATCH($A804,Map!$A$2:$A$400,0)),"⚠ UNMAPPED"))</f>
        <v/>
      </c>
    </row>
    <row r="805" spans="7:10" x14ac:dyDescent="0.25">
      <c r="G805" s="158" t="str">
        <f>IF($A805="","",IFERROR(INDEX(Map!$C$2:$C$400,MATCH($A805,Map!$A$2:$A$400,0)),"⚠ UNMAPPED"))</f>
        <v/>
      </c>
      <c r="H805" s="18" t="str">
        <f>IF($A805="","",IFERROR(INDEX(Map!$D$2:$D$400,MATCH($A805,Map!$A$2:$A$400,0)),"⚠ UNMAPPED"))</f>
        <v/>
      </c>
      <c r="I805" s="18" t="str">
        <f>IF($A805="","",IFERROR(INDEX(Map!$E$2:$E$400,MATCH($A805,Map!$A$2:$A$400,0)),"⚠ UNMAPPED"))</f>
        <v/>
      </c>
      <c r="J805" s="18" t="str">
        <f>IF($A805="","",IFERROR(INDEX(Map!$F$2:$F$400,MATCH($A805,Map!$A$2:$A$400,0)),"⚠ UNMAPPED"))</f>
        <v/>
      </c>
    </row>
    <row r="806" spans="7:10" x14ac:dyDescent="0.25">
      <c r="G806" s="158" t="str">
        <f>IF($A806="","",IFERROR(INDEX(Map!$C$2:$C$400,MATCH($A806,Map!$A$2:$A$400,0)),"⚠ UNMAPPED"))</f>
        <v/>
      </c>
      <c r="H806" s="18" t="str">
        <f>IF($A806="","",IFERROR(INDEX(Map!$D$2:$D$400,MATCH($A806,Map!$A$2:$A$400,0)),"⚠ UNMAPPED"))</f>
        <v/>
      </c>
      <c r="I806" s="18" t="str">
        <f>IF($A806="","",IFERROR(INDEX(Map!$E$2:$E$400,MATCH($A806,Map!$A$2:$A$400,0)),"⚠ UNMAPPED"))</f>
        <v/>
      </c>
      <c r="J806" s="18" t="str">
        <f>IF($A806="","",IFERROR(INDEX(Map!$F$2:$F$400,MATCH($A806,Map!$A$2:$A$400,0)),"⚠ UNMAPPED"))</f>
        <v/>
      </c>
    </row>
    <row r="807" spans="7:10" x14ac:dyDescent="0.25">
      <c r="G807" s="158" t="str">
        <f>IF($A807="","",IFERROR(INDEX(Map!$C$2:$C$400,MATCH($A807,Map!$A$2:$A$400,0)),"⚠ UNMAPPED"))</f>
        <v/>
      </c>
      <c r="H807" s="18" t="str">
        <f>IF($A807="","",IFERROR(INDEX(Map!$D$2:$D$400,MATCH($A807,Map!$A$2:$A$400,0)),"⚠ UNMAPPED"))</f>
        <v/>
      </c>
      <c r="I807" s="18" t="str">
        <f>IF($A807="","",IFERROR(INDEX(Map!$E$2:$E$400,MATCH($A807,Map!$A$2:$A$400,0)),"⚠ UNMAPPED"))</f>
        <v/>
      </c>
      <c r="J807" s="18" t="str">
        <f>IF($A807="","",IFERROR(INDEX(Map!$F$2:$F$400,MATCH($A807,Map!$A$2:$A$400,0)),"⚠ UNMAPPED"))</f>
        <v/>
      </c>
    </row>
    <row r="808" spans="7:10" x14ac:dyDescent="0.25">
      <c r="G808" s="158" t="str">
        <f>IF($A808="","",IFERROR(INDEX(Map!$C$2:$C$400,MATCH($A808,Map!$A$2:$A$400,0)),"⚠ UNMAPPED"))</f>
        <v/>
      </c>
      <c r="H808" s="18" t="str">
        <f>IF($A808="","",IFERROR(INDEX(Map!$D$2:$D$400,MATCH($A808,Map!$A$2:$A$400,0)),"⚠ UNMAPPED"))</f>
        <v/>
      </c>
      <c r="I808" s="18" t="str">
        <f>IF($A808="","",IFERROR(INDEX(Map!$E$2:$E$400,MATCH($A808,Map!$A$2:$A$400,0)),"⚠ UNMAPPED"))</f>
        <v/>
      </c>
      <c r="J808" s="18" t="str">
        <f>IF($A808="","",IFERROR(INDEX(Map!$F$2:$F$400,MATCH($A808,Map!$A$2:$A$400,0)),"⚠ UNMAPPED"))</f>
        <v/>
      </c>
    </row>
    <row r="809" spans="7:10" x14ac:dyDescent="0.25">
      <c r="G809" s="158" t="str">
        <f>IF($A809="","",IFERROR(INDEX(Map!$C$2:$C$400,MATCH($A809,Map!$A$2:$A$400,0)),"⚠ UNMAPPED"))</f>
        <v/>
      </c>
      <c r="H809" s="18" t="str">
        <f>IF($A809="","",IFERROR(INDEX(Map!$D$2:$D$400,MATCH($A809,Map!$A$2:$A$400,0)),"⚠ UNMAPPED"))</f>
        <v/>
      </c>
      <c r="I809" s="18" t="str">
        <f>IF($A809="","",IFERROR(INDEX(Map!$E$2:$E$400,MATCH($A809,Map!$A$2:$A$400,0)),"⚠ UNMAPPED"))</f>
        <v/>
      </c>
      <c r="J809" s="18" t="str">
        <f>IF($A809="","",IFERROR(INDEX(Map!$F$2:$F$400,MATCH($A809,Map!$A$2:$A$400,0)),"⚠ UNMAPPED"))</f>
        <v/>
      </c>
    </row>
    <row r="810" spans="7:10" x14ac:dyDescent="0.25">
      <c r="G810" s="158" t="str">
        <f>IF($A810="","",IFERROR(INDEX(Map!$C$2:$C$400,MATCH($A810,Map!$A$2:$A$400,0)),"⚠ UNMAPPED"))</f>
        <v/>
      </c>
      <c r="H810" s="18" t="str">
        <f>IF($A810="","",IFERROR(INDEX(Map!$D$2:$D$400,MATCH($A810,Map!$A$2:$A$400,0)),"⚠ UNMAPPED"))</f>
        <v/>
      </c>
      <c r="I810" s="18" t="str">
        <f>IF($A810="","",IFERROR(INDEX(Map!$E$2:$E$400,MATCH($A810,Map!$A$2:$A$400,0)),"⚠ UNMAPPED"))</f>
        <v/>
      </c>
      <c r="J810" s="18" t="str">
        <f>IF($A810="","",IFERROR(INDEX(Map!$F$2:$F$400,MATCH($A810,Map!$A$2:$A$400,0)),"⚠ UNMAPPED"))</f>
        <v/>
      </c>
    </row>
    <row r="811" spans="7:10" x14ac:dyDescent="0.25">
      <c r="G811" s="158" t="str">
        <f>IF($A811="","",IFERROR(INDEX(Map!$C$2:$C$400,MATCH($A811,Map!$A$2:$A$400,0)),"⚠ UNMAPPED"))</f>
        <v/>
      </c>
      <c r="H811" s="18" t="str">
        <f>IF($A811="","",IFERROR(INDEX(Map!$D$2:$D$400,MATCH($A811,Map!$A$2:$A$400,0)),"⚠ UNMAPPED"))</f>
        <v/>
      </c>
      <c r="I811" s="18" t="str">
        <f>IF($A811="","",IFERROR(INDEX(Map!$E$2:$E$400,MATCH($A811,Map!$A$2:$A$400,0)),"⚠ UNMAPPED"))</f>
        <v/>
      </c>
      <c r="J811" s="18" t="str">
        <f>IF($A811="","",IFERROR(INDEX(Map!$F$2:$F$400,MATCH($A811,Map!$A$2:$A$400,0)),"⚠ UNMAPPED"))</f>
        <v/>
      </c>
    </row>
    <row r="812" spans="7:10" x14ac:dyDescent="0.25">
      <c r="G812" s="158" t="str">
        <f>IF($A812="","",IFERROR(INDEX(Map!$C$2:$C$400,MATCH($A812,Map!$A$2:$A$400,0)),"⚠ UNMAPPED"))</f>
        <v/>
      </c>
      <c r="H812" s="18" t="str">
        <f>IF($A812="","",IFERROR(INDEX(Map!$D$2:$D$400,MATCH($A812,Map!$A$2:$A$400,0)),"⚠ UNMAPPED"))</f>
        <v/>
      </c>
      <c r="I812" s="18" t="str">
        <f>IF($A812="","",IFERROR(INDEX(Map!$E$2:$E$400,MATCH($A812,Map!$A$2:$A$400,0)),"⚠ UNMAPPED"))</f>
        <v/>
      </c>
      <c r="J812" s="18" t="str">
        <f>IF($A812="","",IFERROR(INDEX(Map!$F$2:$F$400,MATCH($A812,Map!$A$2:$A$400,0)),"⚠ UNMAPPED"))</f>
        <v/>
      </c>
    </row>
    <row r="813" spans="7:10" x14ac:dyDescent="0.25">
      <c r="G813" s="158" t="str">
        <f>IF($A813="","",IFERROR(INDEX(Map!$C$2:$C$400,MATCH($A813,Map!$A$2:$A$400,0)),"⚠ UNMAPPED"))</f>
        <v/>
      </c>
      <c r="H813" s="18" t="str">
        <f>IF($A813="","",IFERROR(INDEX(Map!$D$2:$D$400,MATCH($A813,Map!$A$2:$A$400,0)),"⚠ UNMAPPED"))</f>
        <v/>
      </c>
      <c r="I813" s="18" t="str">
        <f>IF($A813="","",IFERROR(INDEX(Map!$E$2:$E$400,MATCH($A813,Map!$A$2:$A$400,0)),"⚠ UNMAPPED"))</f>
        <v/>
      </c>
      <c r="J813" s="18" t="str">
        <f>IF($A813="","",IFERROR(INDEX(Map!$F$2:$F$400,MATCH($A813,Map!$A$2:$A$400,0)),"⚠ UNMAPPED"))</f>
        <v/>
      </c>
    </row>
    <row r="814" spans="7:10" x14ac:dyDescent="0.25">
      <c r="G814" s="158" t="str">
        <f>IF($A814="","",IFERROR(INDEX(Map!$C$2:$C$400,MATCH($A814,Map!$A$2:$A$400,0)),"⚠ UNMAPPED"))</f>
        <v/>
      </c>
      <c r="H814" s="18" t="str">
        <f>IF($A814="","",IFERROR(INDEX(Map!$D$2:$D$400,MATCH($A814,Map!$A$2:$A$400,0)),"⚠ UNMAPPED"))</f>
        <v/>
      </c>
      <c r="I814" s="18" t="str">
        <f>IF($A814="","",IFERROR(INDEX(Map!$E$2:$E$400,MATCH($A814,Map!$A$2:$A$400,0)),"⚠ UNMAPPED"))</f>
        <v/>
      </c>
      <c r="J814" s="18" t="str">
        <f>IF($A814="","",IFERROR(INDEX(Map!$F$2:$F$400,MATCH($A814,Map!$A$2:$A$400,0)),"⚠ UNMAPPED"))</f>
        <v/>
      </c>
    </row>
    <row r="815" spans="7:10" x14ac:dyDescent="0.25">
      <c r="G815" s="158" t="str">
        <f>IF($A815="","",IFERROR(INDEX(Map!$C$2:$C$400,MATCH($A815,Map!$A$2:$A$400,0)),"⚠ UNMAPPED"))</f>
        <v/>
      </c>
      <c r="H815" s="18" t="str">
        <f>IF($A815="","",IFERROR(INDEX(Map!$D$2:$D$400,MATCH($A815,Map!$A$2:$A$400,0)),"⚠ UNMAPPED"))</f>
        <v/>
      </c>
      <c r="I815" s="18" t="str">
        <f>IF($A815="","",IFERROR(INDEX(Map!$E$2:$E$400,MATCH($A815,Map!$A$2:$A$400,0)),"⚠ UNMAPPED"))</f>
        <v/>
      </c>
      <c r="J815" s="18" t="str">
        <f>IF($A815="","",IFERROR(INDEX(Map!$F$2:$F$400,MATCH($A815,Map!$A$2:$A$400,0)),"⚠ UNMAPPED"))</f>
        <v/>
      </c>
    </row>
    <row r="816" spans="7:10" x14ac:dyDescent="0.25">
      <c r="G816" s="158" t="str">
        <f>IF($A816="","",IFERROR(INDEX(Map!$C$2:$C$400,MATCH($A816,Map!$A$2:$A$400,0)),"⚠ UNMAPPED"))</f>
        <v/>
      </c>
      <c r="H816" s="18" t="str">
        <f>IF($A816="","",IFERROR(INDEX(Map!$D$2:$D$400,MATCH($A816,Map!$A$2:$A$400,0)),"⚠ UNMAPPED"))</f>
        <v/>
      </c>
      <c r="I816" s="18" t="str">
        <f>IF($A816="","",IFERROR(INDEX(Map!$E$2:$E$400,MATCH($A816,Map!$A$2:$A$400,0)),"⚠ UNMAPPED"))</f>
        <v/>
      </c>
      <c r="J816" s="18" t="str">
        <f>IF($A816="","",IFERROR(INDEX(Map!$F$2:$F$400,MATCH($A816,Map!$A$2:$A$400,0)),"⚠ UNMAPPED"))</f>
        <v/>
      </c>
    </row>
    <row r="817" spans="7:10" x14ac:dyDescent="0.25">
      <c r="G817" s="158" t="str">
        <f>IF($A817="","",IFERROR(INDEX(Map!$C$2:$C$400,MATCH($A817,Map!$A$2:$A$400,0)),"⚠ UNMAPPED"))</f>
        <v/>
      </c>
      <c r="H817" s="18" t="str">
        <f>IF($A817="","",IFERROR(INDEX(Map!$D$2:$D$400,MATCH($A817,Map!$A$2:$A$400,0)),"⚠ UNMAPPED"))</f>
        <v/>
      </c>
      <c r="I817" s="18" t="str">
        <f>IF($A817="","",IFERROR(INDEX(Map!$E$2:$E$400,MATCH($A817,Map!$A$2:$A$400,0)),"⚠ UNMAPPED"))</f>
        <v/>
      </c>
      <c r="J817" s="18" t="str">
        <f>IF($A817="","",IFERROR(INDEX(Map!$F$2:$F$400,MATCH($A817,Map!$A$2:$A$400,0)),"⚠ UNMAPPED"))</f>
        <v/>
      </c>
    </row>
    <row r="818" spans="7:10" x14ac:dyDescent="0.25">
      <c r="G818" s="158" t="str">
        <f>IF($A818="","",IFERROR(INDEX(Map!$C$2:$C$400,MATCH($A818,Map!$A$2:$A$400,0)),"⚠ UNMAPPED"))</f>
        <v/>
      </c>
      <c r="H818" s="18" t="str">
        <f>IF($A818="","",IFERROR(INDEX(Map!$D$2:$D$400,MATCH($A818,Map!$A$2:$A$400,0)),"⚠ UNMAPPED"))</f>
        <v/>
      </c>
      <c r="I818" s="18" t="str">
        <f>IF($A818="","",IFERROR(INDEX(Map!$E$2:$E$400,MATCH($A818,Map!$A$2:$A$400,0)),"⚠ UNMAPPED"))</f>
        <v/>
      </c>
      <c r="J818" s="18" t="str">
        <f>IF($A818="","",IFERROR(INDEX(Map!$F$2:$F$400,MATCH($A818,Map!$A$2:$A$400,0)),"⚠ UNMAPPED"))</f>
        <v/>
      </c>
    </row>
    <row r="819" spans="7:10" x14ac:dyDescent="0.25">
      <c r="G819" s="158" t="str">
        <f>IF($A819="","",IFERROR(INDEX(Map!$C$2:$C$400,MATCH($A819,Map!$A$2:$A$400,0)),"⚠ UNMAPPED"))</f>
        <v/>
      </c>
      <c r="H819" s="18" t="str">
        <f>IF($A819="","",IFERROR(INDEX(Map!$D$2:$D$400,MATCH($A819,Map!$A$2:$A$400,0)),"⚠ UNMAPPED"))</f>
        <v/>
      </c>
      <c r="I819" s="18" t="str">
        <f>IF($A819="","",IFERROR(INDEX(Map!$E$2:$E$400,MATCH($A819,Map!$A$2:$A$400,0)),"⚠ UNMAPPED"))</f>
        <v/>
      </c>
      <c r="J819" s="18" t="str">
        <f>IF($A819="","",IFERROR(INDEX(Map!$F$2:$F$400,MATCH($A819,Map!$A$2:$A$400,0)),"⚠ UNMAPPED"))</f>
        <v/>
      </c>
    </row>
    <row r="820" spans="7:10" x14ac:dyDescent="0.25">
      <c r="G820" s="158" t="str">
        <f>IF($A820="","",IFERROR(INDEX(Map!$C$2:$C$400,MATCH($A820,Map!$A$2:$A$400,0)),"⚠ UNMAPPED"))</f>
        <v/>
      </c>
      <c r="H820" s="18" t="str">
        <f>IF($A820="","",IFERROR(INDEX(Map!$D$2:$D$400,MATCH($A820,Map!$A$2:$A$400,0)),"⚠ UNMAPPED"))</f>
        <v/>
      </c>
      <c r="I820" s="18" t="str">
        <f>IF($A820="","",IFERROR(INDEX(Map!$E$2:$E$400,MATCH($A820,Map!$A$2:$A$400,0)),"⚠ UNMAPPED"))</f>
        <v/>
      </c>
      <c r="J820" s="18" t="str">
        <f>IF($A820="","",IFERROR(INDEX(Map!$F$2:$F$400,MATCH($A820,Map!$A$2:$A$400,0)),"⚠ UNMAPPED"))</f>
        <v/>
      </c>
    </row>
    <row r="821" spans="7:10" x14ac:dyDescent="0.25">
      <c r="G821" s="158" t="str">
        <f>IF($A821="","",IFERROR(INDEX(Map!$C$2:$C$400,MATCH($A821,Map!$A$2:$A$400,0)),"⚠ UNMAPPED"))</f>
        <v/>
      </c>
      <c r="H821" s="18" t="str">
        <f>IF($A821="","",IFERROR(INDEX(Map!$D$2:$D$400,MATCH($A821,Map!$A$2:$A$400,0)),"⚠ UNMAPPED"))</f>
        <v/>
      </c>
      <c r="I821" s="18" t="str">
        <f>IF($A821="","",IFERROR(INDEX(Map!$E$2:$E$400,MATCH($A821,Map!$A$2:$A$400,0)),"⚠ UNMAPPED"))</f>
        <v/>
      </c>
      <c r="J821" s="18" t="str">
        <f>IF($A821="","",IFERROR(INDEX(Map!$F$2:$F$400,MATCH($A821,Map!$A$2:$A$400,0)),"⚠ UNMAPPED"))</f>
        <v/>
      </c>
    </row>
    <row r="822" spans="7:10" x14ac:dyDescent="0.25">
      <c r="G822" s="158" t="str">
        <f>IF($A822="","",IFERROR(INDEX(Map!$C$2:$C$400,MATCH($A822,Map!$A$2:$A$400,0)),"⚠ UNMAPPED"))</f>
        <v/>
      </c>
      <c r="H822" s="18" t="str">
        <f>IF($A822="","",IFERROR(INDEX(Map!$D$2:$D$400,MATCH($A822,Map!$A$2:$A$400,0)),"⚠ UNMAPPED"))</f>
        <v/>
      </c>
      <c r="I822" s="18" t="str">
        <f>IF($A822="","",IFERROR(INDEX(Map!$E$2:$E$400,MATCH($A822,Map!$A$2:$A$400,0)),"⚠ UNMAPPED"))</f>
        <v/>
      </c>
      <c r="J822" s="18" t="str">
        <f>IF($A822="","",IFERROR(INDEX(Map!$F$2:$F$400,MATCH($A822,Map!$A$2:$A$400,0)),"⚠ UNMAPPED"))</f>
        <v/>
      </c>
    </row>
    <row r="823" spans="7:10" x14ac:dyDescent="0.25">
      <c r="G823" s="158" t="str">
        <f>IF($A823="","",IFERROR(INDEX(Map!$C$2:$C$400,MATCH($A823,Map!$A$2:$A$400,0)),"⚠ UNMAPPED"))</f>
        <v/>
      </c>
      <c r="H823" s="18" t="str">
        <f>IF($A823="","",IFERROR(INDEX(Map!$D$2:$D$400,MATCH($A823,Map!$A$2:$A$400,0)),"⚠ UNMAPPED"))</f>
        <v/>
      </c>
      <c r="I823" s="18" t="str">
        <f>IF($A823="","",IFERROR(INDEX(Map!$E$2:$E$400,MATCH($A823,Map!$A$2:$A$400,0)),"⚠ UNMAPPED"))</f>
        <v/>
      </c>
      <c r="J823" s="18" t="str">
        <f>IF($A823="","",IFERROR(INDEX(Map!$F$2:$F$400,MATCH($A823,Map!$A$2:$A$400,0)),"⚠ UNMAPPED"))</f>
        <v/>
      </c>
    </row>
    <row r="824" spans="7:10" x14ac:dyDescent="0.25">
      <c r="G824" s="158" t="str">
        <f>IF($A824="","",IFERROR(INDEX(Map!$C$2:$C$400,MATCH($A824,Map!$A$2:$A$400,0)),"⚠ UNMAPPED"))</f>
        <v/>
      </c>
      <c r="H824" s="18" t="str">
        <f>IF($A824="","",IFERROR(INDEX(Map!$D$2:$D$400,MATCH($A824,Map!$A$2:$A$400,0)),"⚠ UNMAPPED"))</f>
        <v/>
      </c>
      <c r="I824" s="18" t="str">
        <f>IF($A824="","",IFERROR(INDEX(Map!$E$2:$E$400,MATCH($A824,Map!$A$2:$A$400,0)),"⚠ UNMAPPED"))</f>
        <v/>
      </c>
      <c r="J824" s="18" t="str">
        <f>IF($A824="","",IFERROR(INDEX(Map!$F$2:$F$400,MATCH($A824,Map!$A$2:$A$400,0)),"⚠ UNMAPPED"))</f>
        <v/>
      </c>
    </row>
    <row r="825" spans="7:10" x14ac:dyDescent="0.25">
      <c r="G825" s="158" t="str">
        <f>IF($A825="","",IFERROR(INDEX(Map!$C$2:$C$400,MATCH($A825,Map!$A$2:$A$400,0)),"⚠ UNMAPPED"))</f>
        <v/>
      </c>
      <c r="H825" s="18" t="str">
        <f>IF($A825="","",IFERROR(INDEX(Map!$D$2:$D$400,MATCH($A825,Map!$A$2:$A$400,0)),"⚠ UNMAPPED"))</f>
        <v/>
      </c>
      <c r="I825" s="18" t="str">
        <f>IF($A825="","",IFERROR(INDEX(Map!$E$2:$E$400,MATCH($A825,Map!$A$2:$A$400,0)),"⚠ UNMAPPED"))</f>
        <v/>
      </c>
      <c r="J825" s="18" t="str">
        <f>IF($A825="","",IFERROR(INDEX(Map!$F$2:$F$400,MATCH($A825,Map!$A$2:$A$400,0)),"⚠ UNMAPPED"))</f>
        <v/>
      </c>
    </row>
    <row r="826" spans="7:10" x14ac:dyDescent="0.25">
      <c r="G826" s="158" t="str">
        <f>IF($A826="","",IFERROR(INDEX(Map!$C$2:$C$400,MATCH($A826,Map!$A$2:$A$400,0)),"⚠ UNMAPPED"))</f>
        <v/>
      </c>
      <c r="H826" s="18" t="str">
        <f>IF($A826="","",IFERROR(INDEX(Map!$D$2:$D$400,MATCH($A826,Map!$A$2:$A$400,0)),"⚠ UNMAPPED"))</f>
        <v/>
      </c>
      <c r="I826" s="18" t="str">
        <f>IF($A826="","",IFERROR(INDEX(Map!$E$2:$E$400,MATCH($A826,Map!$A$2:$A$400,0)),"⚠ UNMAPPED"))</f>
        <v/>
      </c>
      <c r="J826" s="18" t="str">
        <f>IF($A826="","",IFERROR(INDEX(Map!$F$2:$F$400,MATCH($A826,Map!$A$2:$A$400,0)),"⚠ UNMAPPED"))</f>
        <v/>
      </c>
    </row>
    <row r="827" spans="7:10" x14ac:dyDescent="0.25">
      <c r="G827" s="158" t="str">
        <f>IF($A827="","",IFERROR(INDEX(Map!$C$2:$C$400,MATCH($A827,Map!$A$2:$A$400,0)),"⚠ UNMAPPED"))</f>
        <v/>
      </c>
      <c r="H827" s="18" t="str">
        <f>IF($A827="","",IFERROR(INDEX(Map!$D$2:$D$400,MATCH($A827,Map!$A$2:$A$400,0)),"⚠ UNMAPPED"))</f>
        <v/>
      </c>
      <c r="I827" s="18" t="str">
        <f>IF($A827="","",IFERROR(INDEX(Map!$E$2:$E$400,MATCH($A827,Map!$A$2:$A$400,0)),"⚠ UNMAPPED"))</f>
        <v/>
      </c>
      <c r="J827" s="18" t="str">
        <f>IF($A827="","",IFERROR(INDEX(Map!$F$2:$F$400,MATCH($A827,Map!$A$2:$A$400,0)),"⚠ UNMAPPED"))</f>
        <v/>
      </c>
    </row>
    <row r="828" spans="7:10" x14ac:dyDescent="0.25">
      <c r="G828" s="158" t="str">
        <f>IF($A828="","",IFERROR(INDEX(Map!$C$2:$C$400,MATCH($A828,Map!$A$2:$A$400,0)),"⚠ UNMAPPED"))</f>
        <v/>
      </c>
      <c r="H828" s="18" t="str">
        <f>IF($A828="","",IFERROR(INDEX(Map!$D$2:$D$400,MATCH($A828,Map!$A$2:$A$400,0)),"⚠ UNMAPPED"))</f>
        <v/>
      </c>
      <c r="I828" s="18" t="str">
        <f>IF($A828="","",IFERROR(INDEX(Map!$E$2:$E$400,MATCH($A828,Map!$A$2:$A$400,0)),"⚠ UNMAPPED"))</f>
        <v/>
      </c>
      <c r="J828" s="18" t="str">
        <f>IF($A828="","",IFERROR(INDEX(Map!$F$2:$F$400,MATCH($A828,Map!$A$2:$A$400,0)),"⚠ UNMAPPED"))</f>
        <v/>
      </c>
    </row>
    <row r="829" spans="7:10" x14ac:dyDescent="0.25">
      <c r="G829" s="158" t="str">
        <f>IF($A829="","",IFERROR(INDEX(Map!$C$2:$C$400,MATCH($A829,Map!$A$2:$A$400,0)),"⚠ UNMAPPED"))</f>
        <v/>
      </c>
      <c r="H829" s="18" t="str">
        <f>IF($A829="","",IFERROR(INDEX(Map!$D$2:$D$400,MATCH($A829,Map!$A$2:$A$400,0)),"⚠ UNMAPPED"))</f>
        <v/>
      </c>
      <c r="I829" s="18" t="str">
        <f>IF($A829="","",IFERROR(INDEX(Map!$E$2:$E$400,MATCH($A829,Map!$A$2:$A$400,0)),"⚠ UNMAPPED"))</f>
        <v/>
      </c>
      <c r="J829" s="18" t="str">
        <f>IF($A829="","",IFERROR(INDEX(Map!$F$2:$F$400,MATCH($A829,Map!$A$2:$A$400,0)),"⚠ UNMAPPED"))</f>
        <v/>
      </c>
    </row>
    <row r="830" spans="7:10" x14ac:dyDescent="0.25">
      <c r="G830" s="158" t="str">
        <f>IF($A830="","",IFERROR(INDEX(Map!$C$2:$C$400,MATCH($A830,Map!$A$2:$A$400,0)),"⚠ UNMAPPED"))</f>
        <v/>
      </c>
      <c r="H830" s="18" t="str">
        <f>IF($A830="","",IFERROR(INDEX(Map!$D$2:$D$400,MATCH($A830,Map!$A$2:$A$400,0)),"⚠ UNMAPPED"))</f>
        <v/>
      </c>
      <c r="I830" s="18" t="str">
        <f>IF($A830="","",IFERROR(INDEX(Map!$E$2:$E$400,MATCH($A830,Map!$A$2:$A$400,0)),"⚠ UNMAPPED"))</f>
        <v/>
      </c>
      <c r="J830" s="18" t="str">
        <f>IF($A830="","",IFERROR(INDEX(Map!$F$2:$F$400,MATCH($A830,Map!$A$2:$A$400,0)),"⚠ UNMAPPED"))</f>
        <v/>
      </c>
    </row>
    <row r="831" spans="7:10" x14ac:dyDescent="0.25">
      <c r="G831" s="158" t="str">
        <f>IF($A831="","",IFERROR(INDEX(Map!$C$2:$C$400,MATCH($A831,Map!$A$2:$A$400,0)),"⚠ UNMAPPED"))</f>
        <v/>
      </c>
      <c r="H831" s="18" t="str">
        <f>IF($A831="","",IFERROR(INDEX(Map!$D$2:$D$400,MATCH($A831,Map!$A$2:$A$400,0)),"⚠ UNMAPPED"))</f>
        <v/>
      </c>
      <c r="I831" s="18" t="str">
        <f>IF($A831="","",IFERROR(INDEX(Map!$E$2:$E$400,MATCH($A831,Map!$A$2:$A$400,0)),"⚠ UNMAPPED"))</f>
        <v/>
      </c>
      <c r="J831" s="18" t="str">
        <f>IF($A831="","",IFERROR(INDEX(Map!$F$2:$F$400,MATCH($A831,Map!$A$2:$A$400,0)),"⚠ UNMAPPED"))</f>
        <v/>
      </c>
    </row>
    <row r="832" spans="7:10" x14ac:dyDescent="0.25">
      <c r="G832" s="158" t="str">
        <f>IF($A832="","",IFERROR(INDEX(Map!$C$2:$C$400,MATCH($A832,Map!$A$2:$A$400,0)),"⚠ UNMAPPED"))</f>
        <v/>
      </c>
      <c r="H832" s="18" t="str">
        <f>IF($A832="","",IFERROR(INDEX(Map!$D$2:$D$400,MATCH($A832,Map!$A$2:$A$400,0)),"⚠ UNMAPPED"))</f>
        <v/>
      </c>
      <c r="I832" s="18" t="str">
        <f>IF($A832="","",IFERROR(INDEX(Map!$E$2:$E$400,MATCH($A832,Map!$A$2:$A$400,0)),"⚠ UNMAPPED"))</f>
        <v/>
      </c>
      <c r="J832" s="18" t="str">
        <f>IF($A832="","",IFERROR(INDEX(Map!$F$2:$F$400,MATCH($A832,Map!$A$2:$A$400,0)),"⚠ UNMAPPED"))</f>
        <v/>
      </c>
    </row>
    <row r="833" spans="7:10" x14ac:dyDescent="0.25">
      <c r="G833" s="158" t="str">
        <f>IF($A833="","",IFERROR(INDEX(Map!$C$2:$C$400,MATCH($A833,Map!$A$2:$A$400,0)),"⚠ UNMAPPED"))</f>
        <v/>
      </c>
      <c r="H833" s="18" t="str">
        <f>IF($A833="","",IFERROR(INDEX(Map!$D$2:$D$400,MATCH($A833,Map!$A$2:$A$400,0)),"⚠ UNMAPPED"))</f>
        <v/>
      </c>
      <c r="I833" s="18" t="str">
        <f>IF($A833="","",IFERROR(INDEX(Map!$E$2:$E$400,MATCH($A833,Map!$A$2:$A$400,0)),"⚠ UNMAPPED"))</f>
        <v/>
      </c>
      <c r="J833" s="18" t="str">
        <f>IF($A833="","",IFERROR(INDEX(Map!$F$2:$F$400,MATCH($A833,Map!$A$2:$A$400,0)),"⚠ UNMAPPED"))</f>
        <v/>
      </c>
    </row>
    <row r="834" spans="7:10" x14ac:dyDescent="0.25">
      <c r="G834" s="158" t="str">
        <f>IF($A834="","",IFERROR(INDEX(Map!$C$2:$C$400,MATCH($A834,Map!$A$2:$A$400,0)),"⚠ UNMAPPED"))</f>
        <v/>
      </c>
      <c r="H834" s="18" t="str">
        <f>IF($A834="","",IFERROR(INDEX(Map!$D$2:$D$400,MATCH($A834,Map!$A$2:$A$400,0)),"⚠ UNMAPPED"))</f>
        <v/>
      </c>
      <c r="I834" s="18" t="str">
        <f>IF($A834="","",IFERROR(INDEX(Map!$E$2:$E$400,MATCH($A834,Map!$A$2:$A$400,0)),"⚠ UNMAPPED"))</f>
        <v/>
      </c>
      <c r="J834" s="18" t="str">
        <f>IF($A834="","",IFERROR(INDEX(Map!$F$2:$F$400,MATCH($A834,Map!$A$2:$A$400,0)),"⚠ UNMAPPED"))</f>
        <v/>
      </c>
    </row>
    <row r="835" spans="7:10" x14ac:dyDescent="0.25">
      <c r="G835" s="158" t="str">
        <f>IF($A835="","",IFERROR(INDEX(Map!$C$2:$C$400,MATCH($A835,Map!$A$2:$A$400,0)),"⚠ UNMAPPED"))</f>
        <v/>
      </c>
      <c r="H835" s="18" t="str">
        <f>IF($A835="","",IFERROR(INDEX(Map!$D$2:$D$400,MATCH($A835,Map!$A$2:$A$400,0)),"⚠ UNMAPPED"))</f>
        <v/>
      </c>
      <c r="I835" s="18" t="str">
        <f>IF($A835="","",IFERROR(INDEX(Map!$E$2:$E$400,MATCH($A835,Map!$A$2:$A$400,0)),"⚠ UNMAPPED"))</f>
        <v/>
      </c>
      <c r="J835" s="18" t="str">
        <f>IF($A835="","",IFERROR(INDEX(Map!$F$2:$F$400,MATCH($A835,Map!$A$2:$A$400,0)),"⚠ UNMAPPED"))</f>
        <v/>
      </c>
    </row>
    <row r="836" spans="7:10" x14ac:dyDescent="0.25">
      <c r="G836" s="158" t="str">
        <f>IF($A836="","",IFERROR(INDEX(Map!$C$2:$C$400,MATCH($A836,Map!$A$2:$A$400,0)),"⚠ UNMAPPED"))</f>
        <v/>
      </c>
      <c r="H836" s="18" t="str">
        <f>IF($A836="","",IFERROR(INDEX(Map!$D$2:$D$400,MATCH($A836,Map!$A$2:$A$400,0)),"⚠ UNMAPPED"))</f>
        <v/>
      </c>
      <c r="I836" s="18" t="str">
        <f>IF($A836="","",IFERROR(INDEX(Map!$E$2:$E$400,MATCH($A836,Map!$A$2:$A$400,0)),"⚠ UNMAPPED"))</f>
        <v/>
      </c>
      <c r="J836" s="18" t="str">
        <f>IF($A836="","",IFERROR(INDEX(Map!$F$2:$F$400,MATCH($A836,Map!$A$2:$A$400,0)),"⚠ UNMAPPED"))</f>
        <v/>
      </c>
    </row>
    <row r="837" spans="7:10" x14ac:dyDescent="0.25">
      <c r="G837" s="158" t="str">
        <f>IF($A837="","",IFERROR(INDEX(Map!$C$2:$C$400,MATCH($A837,Map!$A$2:$A$400,0)),"⚠ UNMAPPED"))</f>
        <v/>
      </c>
      <c r="H837" s="18" t="str">
        <f>IF($A837="","",IFERROR(INDEX(Map!$D$2:$D$400,MATCH($A837,Map!$A$2:$A$400,0)),"⚠ UNMAPPED"))</f>
        <v/>
      </c>
      <c r="I837" s="18" t="str">
        <f>IF($A837="","",IFERROR(INDEX(Map!$E$2:$E$400,MATCH($A837,Map!$A$2:$A$400,0)),"⚠ UNMAPPED"))</f>
        <v/>
      </c>
      <c r="J837" s="18" t="str">
        <f>IF($A837="","",IFERROR(INDEX(Map!$F$2:$F$400,MATCH($A837,Map!$A$2:$A$400,0)),"⚠ UNMAPPED"))</f>
        <v/>
      </c>
    </row>
    <row r="838" spans="7:10" x14ac:dyDescent="0.25">
      <c r="G838" s="158" t="str">
        <f>IF($A838="","",IFERROR(INDEX(Map!$C$2:$C$400,MATCH($A838,Map!$A$2:$A$400,0)),"⚠ UNMAPPED"))</f>
        <v/>
      </c>
      <c r="H838" s="18" t="str">
        <f>IF($A838="","",IFERROR(INDEX(Map!$D$2:$D$400,MATCH($A838,Map!$A$2:$A$400,0)),"⚠ UNMAPPED"))</f>
        <v/>
      </c>
      <c r="I838" s="18" t="str">
        <f>IF($A838="","",IFERROR(INDEX(Map!$E$2:$E$400,MATCH($A838,Map!$A$2:$A$400,0)),"⚠ UNMAPPED"))</f>
        <v/>
      </c>
      <c r="J838" s="18" t="str">
        <f>IF($A838="","",IFERROR(INDEX(Map!$F$2:$F$400,MATCH($A838,Map!$A$2:$A$400,0)),"⚠ UNMAPPED"))</f>
        <v/>
      </c>
    </row>
    <row r="839" spans="7:10" x14ac:dyDescent="0.25">
      <c r="G839" s="158" t="str">
        <f>IF($A839="","",IFERROR(INDEX(Map!$C$2:$C$400,MATCH($A839,Map!$A$2:$A$400,0)),"⚠ UNMAPPED"))</f>
        <v/>
      </c>
      <c r="H839" s="18" t="str">
        <f>IF($A839="","",IFERROR(INDEX(Map!$D$2:$D$400,MATCH($A839,Map!$A$2:$A$400,0)),"⚠ UNMAPPED"))</f>
        <v/>
      </c>
      <c r="I839" s="18" t="str">
        <f>IF($A839="","",IFERROR(INDEX(Map!$E$2:$E$400,MATCH($A839,Map!$A$2:$A$400,0)),"⚠ UNMAPPED"))</f>
        <v/>
      </c>
      <c r="J839" s="18" t="str">
        <f>IF($A839="","",IFERROR(INDEX(Map!$F$2:$F$400,MATCH($A839,Map!$A$2:$A$400,0)),"⚠ UNMAPPED"))</f>
        <v/>
      </c>
    </row>
    <row r="840" spans="7:10" x14ac:dyDescent="0.25">
      <c r="G840" s="158" t="str">
        <f>IF($A840="","",IFERROR(INDEX(Map!$C$2:$C$400,MATCH($A840,Map!$A$2:$A$400,0)),"⚠ UNMAPPED"))</f>
        <v/>
      </c>
      <c r="H840" s="18" t="str">
        <f>IF($A840="","",IFERROR(INDEX(Map!$D$2:$D$400,MATCH($A840,Map!$A$2:$A$400,0)),"⚠ UNMAPPED"))</f>
        <v/>
      </c>
      <c r="I840" s="18" t="str">
        <f>IF($A840="","",IFERROR(INDEX(Map!$E$2:$E$400,MATCH($A840,Map!$A$2:$A$400,0)),"⚠ UNMAPPED"))</f>
        <v/>
      </c>
      <c r="J840" s="18" t="str">
        <f>IF($A840="","",IFERROR(INDEX(Map!$F$2:$F$400,MATCH($A840,Map!$A$2:$A$400,0)),"⚠ UNMAPPED"))</f>
        <v/>
      </c>
    </row>
    <row r="841" spans="7:10" x14ac:dyDescent="0.25">
      <c r="G841" s="158" t="str">
        <f>IF($A841="","",IFERROR(INDEX(Map!$C$2:$C$400,MATCH($A841,Map!$A$2:$A$400,0)),"⚠ UNMAPPED"))</f>
        <v/>
      </c>
      <c r="H841" s="18" t="str">
        <f>IF($A841="","",IFERROR(INDEX(Map!$D$2:$D$400,MATCH($A841,Map!$A$2:$A$400,0)),"⚠ UNMAPPED"))</f>
        <v/>
      </c>
      <c r="I841" s="18" t="str">
        <f>IF($A841="","",IFERROR(INDEX(Map!$E$2:$E$400,MATCH($A841,Map!$A$2:$A$400,0)),"⚠ UNMAPPED"))</f>
        <v/>
      </c>
      <c r="J841" s="18" t="str">
        <f>IF($A841="","",IFERROR(INDEX(Map!$F$2:$F$400,MATCH($A841,Map!$A$2:$A$400,0)),"⚠ UNMAPPED"))</f>
        <v/>
      </c>
    </row>
    <row r="842" spans="7:10" x14ac:dyDescent="0.25">
      <c r="G842" s="158" t="str">
        <f>IF($A842="","",IFERROR(INDEX(Map!$C$2:$C$400,MATCH($A842,Map!$A$2:$A$400,0)),"⚠ UNMAPPED"))</f>
        <v/>
      </c>
      <c r="H842" s="18" t="str">
        <f>IF($A842="","",IFERROR(INDEX(Map!$D$2:$D$400,MATCH($A842,Map!$A$2:$A$400,0)),"⚠ UNMAPPED"))</f>
        <v/>
      </c>
      <c r="I842" s="18" t="str">
        <f>IF($A842="","",IFERROR(INDEX(Map!$E$2:$E$400,MATCH($A842,Map!$A$2:$A$400,0)),"⚠ UNMAPPED"))</f>
        <v/>
      </c>
      <c r="J842" s="18" t="str">
        <f>IF($A842="","",IFERROR(INDEX(Map!$F$2:$F$400,MATCH($A842,Map!$A$2:$A$400,0)),"⚠ UNMAPPED"))</f>
        <v/>
      </c>
    </row>
    <row r="843" spans="7:10" x14ac:dyDescent="0.25">
      <c r="G843" s="158" t="str">
        <f>IF($A843="","",IFERROR(INDEX(Map!$C$2:$C$400,MATCH($A843,Map!$A$2:$A$400,0)),"⚠ UNMAPPED"))</f>
        <v/>
      </c>
      <c r="H843" s="18" t="str">
        <f>IF($A843="","",IFERROR(INDEX(Map!$D$2:$D$400,MATCH($A843,Map!$A$2:$A$400,0)),"⚠ UNMAPPED"))</f>
        <v/>
      </c>
      <c r="I843" s="18" t="str">
        <f>IF($A843="","",IFERROR(INDEX(Map!$E$2:$E$400,MATCH($A843,Map!$A$2:$A$400,0)),"⚠ UNMAPPED"))</f>
        <v/>
      </c>
      <c r="J843" s="18" t="str">
        <f>IF($A843="","",IFERROR(INDEX(Map!$F$2:$F$400,MATCH($A843,Map!$A$2:$A$400,0)),"⚠ UNMAPPED"))</f>
        <v/>
      </c>
    </row>
    <row r="844" spans="7:10" x14ac:dyDescent="0.25">
      <c r="G844" s="158" t="str">
        <f>IF($A844="","",IFERROR(INDEX(Map!$C$2:$C$400,MATCH($A844,Map!$A$2:$A$400,0)),"⚠ UNMAPPED"))</f>
        <v/>
      </c>
      <c r="H844" s="18" t="str">
        <f>IF($A844="","",IFERROR(INDEX(Map!$D$2:$D$400,MATCH($A844,Map!$A$2:$A$400,0)),"⚠ UNMAPPED"))</f>
        <v/>
      </c>
      <c r="I844" s="18" t="str">
        <f>IF($A844="","",IFERROR(INDEX(Map!$E$2:$E$400,MATCH($A844,Map!$A$2:$A$400,0)),"⚠ UNMAPPED"))</f>
        <v/>
      </c>
      <c r="J844" s="18" t="str">
        <f>IF($A844="","",IFERROR(INDEX(Map!$F$2:$F$400,MATCH($A844,Map!$A$2:$A$400,0)),"⚠ UNMAPPED"))</f>
        <v/>
      </c>
    </row>
    <row r="845" spans="7:10" x14ac:dyDescent="0.25">
      <c r="G845" s="158" t="str">
        <f>IF($A845="","",IFERROR(INDEX(Map!$C$2:$C$400,MATCH($A845,Map!$A$2:$A$400,0)),"⚠ UNMAPPED"))</f>
        <v/>
      </c>
      <c r="H845" s="18" t="str">
        <f>IF($A845="","",IFERROR(INDEX(Map!$D$2:$D$400,MATCH($A845,Map!$A$2:$A$400,0)),"⚠ UNMAPPED"))</f>
        <v/>
      </c>
      <c r="I845" s="18" t="str">
        <f>IF($A845="","",IFERROR(INDEX(Map!$E$2:$E$400,MATCH($A845,Map!$A$2:$A$400,0)),"⚠ UNMAPPED"))</f>
        <v/>
      </c>
      <c r="J845" s="18" t="str">
        <f>IF($A845="","",IFERROR(INDEX(Map!$F$2:$F$400,MATCH($A845,Map!$A$2:$A$400,0)),"⚠ UNMAPPED"))</f>
        <v/>
      </c>
    </row>
    <row r="846" spans="7:10" x14ac:dyDescent="0.25">
      <c r="G846" s="158" t="str">
        <f>IF($A846="","",IFERROR(INDEX(Map!$C$2:$C$400,MATCH($A846,Map!$A$2:$A$400,0)),"⚠ UNMAPPED"))</f>
        <v/>
      </c>
      <c r="H846" s="18" t="str">
        <f>IF($A846="","",IFERROR(INDEX(Map!$D$2:$D$400,MATCH($A846,Map!$A$2:$A$400,0)),"⚠ UNMAPPED"))</f>
        <v/>
      </c>
      <c r="I846" s="18" t="str">
        <f>IF($A846="","",IFERROR(INDEX(Map!$E$2:$E$400,MATCH($A846,Map!$A$2:$A$400,0)),"⚠ UNMAPPED"))</f>
        <v/>
      </c>
      <c r="J846" s="18" t="str">
        <f>IF($A846="","",IFERROR(INDEX(Map!$F$2:$F$400,MATCH($A846,Map!$A$2:$A$400,0)),"⚠ UNMAPPED"))</f>
        <v/>
      </c>
    </row>
    <row r="847" spans="7:10" x14ac:dyDescent="0.25">
      <c r="G847" s="158" t="str">
        <f>IF($A847="","",IFERROR(INDEX(Map!$C$2:$C$400,MATCH($A847,Map!$A$2:$A$400,0)),"⚠ UNMAPPED"))</f>
        <v/>
      </c>
      <c r="H847" s="18" t="str">
        <f>IF($A847="","",IFERROR(INDEX(Map!$D$2:$D$400,MATCH($A847,Map!$A$2:$A$400,0)),"⚠ UNMAPPED"))</f>
        <v/>
      </c>
      <c r="I847" s="18" t="str">
        <f>IF($A847="","",IFERROR(INDEX(Map!$E$2:$E$400,MATCH($A847,Map!$A$2:$A$400,0)),"⚠ UNMAPPED"))</f>
        <v/>
      </c>
      <c r="J847" s="18" t="str">
        <f>IF($A847="","",IFERROR(INDEX(Map!$F$2:$F$400,MATCH($A847,Map!$A$2:$A$400,0)),"⚠ UNMAPPED"))</f>
        <v/>
      </c>
    </row>
    <row r="848" spans="7:10" x14ac:dyDescent="0.25">
      <c r="G848" s="158" t="str">
        <f>IF($A848="","",IFERROR(INDEX(Map!$C$2:$C$400,MATCH($A848,Map!$A$2:$A$400,0)),"⚠ UNMAPPED"))</f>
        <v/>
      </c>
      <c r="H848" s="18" t="str">
        <f>IF($A848="","",IFERROR(INDEX(Map!$D$2:$D$400,MATCH($A848,Map!$A$2:$A$400,0)),"⚠ UNMAPPED"))</f>
        <v/>
      </c>
      <c r="I848" s="18" t="str">
        <f>IF($A848="","",IFERROR(INDEX(Map!$E$2:$E$400,MATCH($A848,Map!$A$2:$A$400,0)),"⚠ UNMAPPED"))</f>
        <v/>
      </c>
      <c r="J848" s="18" t="str">
        <f>IF($A848="","",IFERROR(INDEX(Map!$F$2:$F$400,MATCH($A848,Map!$A$2:$A$400,0)),"⚠ UNMAPPED"))</f>
        <v/>
      </c>
    </row>
    <row r="849" spans="7:10" x14ac:dyDescent="0.25">
      <c r="G849" s="158" t="str">
        <f>IF($A849="","",IFERROR(INDEX(Map!$C$2:$C$400,MATCH($A849,Map!$A$2:$A$400,0)),"⚠ UNMAPPED"))</f>
        <v/>
      </c>
      <c r="H849" s="18" t="str">
        <f>IF($A849="","",IFERROR(INDEX(Map!$D$2:$D$400,MATCH($A849,Map!$A$2:$A$400,0)),"⚠ UNMAPPED"))</f>
        <v/>
      </c>
      <c r="I849" s="18" t="str">
        <f>IF($A849="","",IFERROR(INDEX(Map!$E$2:$E$400,MATCH($A849,Map!$A$2:$A$400,0)),"⚠ UNMAPPED"))</f>
        <v/>
      </c>
      <c r="J849" s="18" t="str">
        <f>IF($A849="","",IFERROR(INDEX(Map!$F$2:$F$400,MATCH($A849,Map!$A$2:$A$400,0)),"⚠ UNMAPPED"))</f>
        <v/>
      </c>
    </row>
    <row r="850" spans="7:10" x14ac:dyDescent="0.25">
      <c r="G850" s="158" t="str">
        <f>IF($A850="","",IFERROR(INDEX(Map!$C$2:$C$400,MATCH($A850,Map!$A$2:$A$400,0)),"⚠ UNMAPPED"))</f>
        <v/>
      </c>
      <c r="H850" s="18" t="str">
        <f>IF($A850="","",IFERROR(INDEX(Map!$D$2:$D$400,MATCH($A850,Map!$A$2:$A$400,0)),"⚠ UNMAPPED"))</f>
        <v/>
      </c>
      <c r="I850" s="18" t="str">
        <f>IF($A850="","",IFERROR(INDEX(Map!$E$2:$E$400,MATCH($A850,Map!$A$2:$A$400,0)),"⚠ UNMAPPED"))</f>
        <v/>
      </c>
      <c r="J850" s="18" t="str">
        <f>IF($A850="","",IFERROR(INDEX(Map!$F$2:$F$400,MATCH($A850,Map!$A$2:$A$400,0)),"⚠ UNMAPPED"))</f>
        <v/>
      </c>
    </row>
    <row r="851" spans="7:10" x14ac:dyDescent="0.25">
      <c r="G851" s="158" t="str">
        <f>IF($A851="","",IFERROR(INDEX(Map!$C$2:$C$400,MATCH($A851,Map!$A$2:$A$400,0)),"⚠ UNMAPPED"))</f>
        <v/>
      </c>
      <c r="H851" s="18" t="str">
        <f>IF($A851="","",IFERROR(INDEX(Map!$D$2:$D$400,MATCH($A851,Map!$A$2:$A$400,0)),"⚠ UNMAPPED"))</f>
        <v/>
      </c>
      <c r="I851" s="18" t="str">
        <f>IF($A851="","",IFERROR(INDEX(Map!$E$2:$E$400,MATCH($A851,Map!$A$2:$A$400,0)),"⚠ UNMAPPED"))</f>
        <v/>
      </c>
      <c r="J851" s="18" t="str">
        <f>IF($A851="","",IFERROR(INDEX(Map!$F$2:$F$400,MATCH($A851,Map!$A$2:$A$400,0)),"⚠ UNMAPPED"))</f>
        <v/>
      </c>
    </row>
    <row r="852" spans="7:10" x14ac:dyDescent="0.25">
      <c r="G852" s="158" t="str">
        <f>IF($A852="","",IFERROR(INDEX(Map!$C$2:$C$400,MATCH($A852,Map!$A$2:$A$400,0)),"⚠ UNMAPPED"))</f>
        <v/>
      </c>
      <c r="H852" s="18" t="str">
        <f>IF($A852="","",IFERROR(INDEX(Map!$D$2:$D$400,MATCH($A852,Map!$A$2:$A$400,0)),"⚠ UNMAPPED"))</f>
        <v/>
      </c>
      <c r="I852" s="18" t="str">
        <f>IF($A852="","",IFERROR(INDEX(Map!$E$2:$E$400,MATCH($A852,Map!$A$2:$A$400,0)),"⚠ UNMAPPED"))</f>
        <v/>
      </c>
      <c r="J852" s="18" t="str">
        <f>IF($A852="","",IFERROR(INDEX(Map!$F$2:$F$400,MATCH($A852,Map!$A$2:$A$400,0)),"⚠ UNMAPPED"))</f>
        <v/>
      </c>
    </row>
    <row r="853" spans="7:10" x14ac:dyDescent="0.25">
      <c r="G853" s="158" t="str">
        <f>IF($A853="","",IFERROR(INDEX(Map!$C$2:$C$400,MATCH($A853,Map!$A$2:$A$400,0)),"⚠ UNMAPPED"))</f>
        <v/>
      </c>
      <c r="H853" s="18" t="str">
        <f>IF($A853="","",IFERROR(INDEX(Map!$D$2:$D$400,MATCH($A853,Map!$A$2:$A$400,0)),"⚠ UNMAPPED"))</f>
        <v/>
      </c>
      <c r="I853" s="18" t="str">
        <f>IF($A853="","",IFERROR(INDEX(Map!$E$2:$E$400,MATCH($A853,Map!$A$2:$A$400,0)),"⚠ UNMAPPED"))</f>
        <v/>
      </c>
      <c r="J853" s="18" t="str">
        <f>IF($A853="","",IFERROR(INDEX(Map!$F$2:$F$400,MATCH($A853,Map!$A$2:$A$400,0)),"⚠ UNMAPPED"))</f>
        <v/>
      </c>
    </row>
    <row r="854" spans="7:10" x14ac:dyDescent="0.25">
      <c r="G854" s="158" t="str">
        <f>IF($A854="","",IFERROR(INDEX(Map!$C$2:$C$400,MATCH($A854,Map!$A$2:$A$400,0)),"⚠ UNMAPPED"))</f>
        <v/>
      </c>
      <c r="H854" s="18" t="str">
        <f>IF($A854="","",IFERROR(INDEX(Map!$D$2:$D$400,MATCH($A854,Map!$A$2:$A$400,0)),"⚠ UNMAPPED"))</f>
        <v/>
      </c>
      <c r="I854" s="18" t="str">
        <f>IF($A854="","",IFERROR(INDEX(Map!$E$2:$E$400,MATCH($A854,Map!$A$2:$A$400,0)),"⚠ UNMAPPED"))</f>
        <v/>
      </c>
      <c r="J854" s="18" t="str">
        <f>IF($A854="","",IFERROR(INDEX(Map!$F$2:$F$400,MATCH($A854,Map!$A$2:$A$400,0)),"⚠ UNMAPPED"))</f>
        <v/>
      </c>
    </row>
    <row r="855" spans="7:10" x14ac:dyDescent="0.25">
      <c r="G855" s="158" t="str">
        <f>IF($A855="","",IFERROR(INDEX(Map!$C$2:$C$400,MATCH($A855,Map!$A$2:$A$400,0)),"⚠ UNMAPPED"))</f>
        <v/>
      </c>
      <c r="H855" s="18" t="str">
        <f>IF($A855="","",IFERROR(INDEX(Map!$D$2:$D$400,MATCH($A855,Map!$A$2:$A$400,0)),"⚠ UNMAPPED"))</f>
        <v/>
      </c>
      <c r="I855" s="18" t="str">
        <f>IF($A855="","",IFERROR(INDEX(Map!$E$2:$E$400,MATCH($A855,Map!$A$2:$A$400,0)),"⚠ UNMAPPED"))</f>
        <v/>
      </c>
      <c r="J855" s="18" t="str">
        <f>IF($A855="","",IFERROR(INDEX(Map!$F$2:$F$400,MATCH($A855,Map!$A$2:$A$400,0)),"⚠ UNMAPPED"))</f>
        <v/>
      </c>
    </row>
    <row r="856" spans="7:10" x14ac:dyDescent="0.25">
      <c r="G856" s="158" t="str">
        <f>IF($A856="","",IFERROR(INDEX(Map!$C$2:$C$400,MATCH($A856,Map!$A$2:$A$400,0)),"⚠ UNMAPPED"))</f>
        <v/>
      </c>
      <c r="H856" s="18" t="str">
        <f>IF($A856="","",IFERROR(INDEX(Map!$D$2:$D$400,MATCH($A856,Map!$A$2:$A$400,0)),"⚠ UNMAPPED"))</f>
        <v/>
      </c>
      <c r="I856" s="18" t="str">
        <f>IF($A856="","",IFERROR(INDEX(Map!$E$2:$E$400,MATCH($A856,Map!$A$2:$A$400,0)),"⚠ UNMAPPED"))</f>
        <v/>
      </c>
      <c r="J856" s="18" t="str">
        <f>IF($A856="","",IFERROR(INDEX(Map!$F$2:$F$400,MATCH($A856,Map!$A$2:$A$400,0)),"⚠ UNMAPPED"))</f>
        <v/>
      </c>
    </row>
    <row r="857" spans="7:10" x14ac:dyDescent="0.25">
      <c r="G857" s="158" t="str">
        <f>IF($A857="","",IFERROR(INDEX(Map!$C$2:$C$400,MATCH($A857,Map!$A$2:$A$400,0)),"⚠ UNMAPPED"))</f>
        <v/>
      </c>
      <c r="H857" s="18" t="str">
        <f>IF($A857="","",IFERROR(INDEX(Map!$D$2:$D$400,MATCH($A857,Map!$A$2:$A$400,0)),"⚠ UNMAPPED"))</f>
        <v/>
      </c>
      <c r="I857" s="18" t="str">
        <f>IF($A857="","",IFERROR(INDEX(Map!$E$2:$E$400,MATCH($A857,Map!$A$2:$A$400,0)),"⚠ UNMAPPED"))</f>
        <v/>
      </c>
      <c r="J857" s="18" t="str">
        <f>IF($A857="","",IFERROR(INDEX(Map!$F$2:$F$400,MATCH($A857,Map!$A$2:$A$400,0)),"⚠ UNMAPPED"))</f>
        <v/>
      </c>
    </row>
    <row r="858" spans="7:10" x14ac:dyDescent="0.25">
      <c r="G858" s="158" t="str">
        <f>IF($A858="","",IFERROR(INDEX(Map!$C$2:$C$400,MATCH($A858,Map!$A$2:$A$400,0)),"⚠ UNMAPPED"))</f>
        <v/>
      </c>
      <c r="H858" s="18" t="str">
        <f>IF($A858="","",IFERROR(INDEX(Map!$D$2:$D$400,MATCH($A858,Map!$A$2:$A$400,0)),"⚠ UNMAPPED"))</f>
        <v/>
      </c>
      <c r="I858" s="18" t="str">
        <f>IF($A858="","",IFERROR(INDEX(Map!$E$2:$E$400,MATCH($A858,Map!$A$2:$A$400,0)),"⚠ UNMAPPED"))</f>
        <v/>
      </c>
      <c r="J858" s="18" t="str">
        <f>IF($A858="","",IFERROR(INDEX(Map!$F$2:$F$400,MATCH($A858,Map!$A$2:$A$400,0)),"⚠ UNMAPPED"))</f>
        <v/>
      </c>
    </row>
    <row r="859" spans="7:10" x14ac:dyDescent="0.25">
      <c r="G859" s="158" t="str">
        <f>IF($A859="","",IFERROR(INDEX(Map!$C$2:$C$400,MATCH($A859,Map!$A$2:$A$400,0)),"⚠ UNMAPPED"))</f>
        <v/>
      </c>
      <c r="H859" s="18" t="str">
        <f>IF($A859="","",IFERROR(INDEX(Map!$D$2:$D$400,MATCH($A859,Map!$A$2:$A$400,0)),"⚠ UNMAPPED"))</f>
        <v/>
      </c>
      <c r="I859" s="18" t="str">
        <f>IF($A859="","",IFERROR(INDEX(Map!$E$2:$E$400,MATCH($A859,Map!$A$2:$A$400,0)),"⚠ UNMAPPED"))</f>
        <v/>
      </c>
      <c r="J859" s="18" t="str">
        <f>IF($A859="","",IFERROR(INDEX(Map!$F$2:$F$400,MATCH($A859,Map!$A$2:$A$400,0)),"⚠ UNMAPPED"))</f>
        <v/>
      </c>
    </row>
    <row r="860" spans="7:10" x14ac:dyDescent="0.25">
      <c r="G860" s="158" t="str">
        <f>IF($A860="","",IFERROR(INDEX(Map!$C$2:$C$400,MATCH($A860,Map!$A$2:$A$400,0)),"⚠ UNMAPPED"))</f>
        <v/>
      </c>
      <c r="H860" s="18" t="str">
        <f>IF($A860="","",IFERROR(INDEX(Map!$D$2:$D$400,MATCH($A860,Map!$A$2:$A$400,0)),"⚠ UNMAPPED"))</f>
        <v/>
      </c>
      <c r="I860" s="18" t="str">
        <f>IF($A860="","",IFERROR(INDEX(Map!$E$2:$E$400,MATCH($A860,Map!$A$2:$A$400,0)),"⚠ UNMAPPED"))</f>
        <v/>
      </c>
      <c r="J860" s="18" t="str">
        <f>IF($A860="","",IFERROR(INDEX(Map!$F$2:$F$400,MATCH($A860,Map!$A$2:$A$400,0)),"⚠ UNMAPPED"))</f>
        <v/>
      </c>
    </row>
    <row r="861" spans="7:10" x14ac:dyDescent="0.25">
      <c r="G861" s="158" t="str">
        <f>IF($A861="","",IFERROR(INDEX(Map!$C$2:$C$400,MATCH($A861,Map!$A$2:$A$400,0)),"⚠ UNMAPPED"))</f>
        <v/>
      </c>
      <c r="H861" s="18" t="str">
        <f>IF($A861="","",IFERROR(INDEX(Map!$D$2:$D$400,MATCH($A861,Map!$A$2:$A$400,0)),"⚠ UNMAPPED"))</f>
        <v/>
      </c>
      <c r="I861" s="18" t="str">
        <f>IF($A861="","",IFERROR(INDEX(Map!$E$2:$E$400,MATCH($A861,Map!$A$2:$A$400,0)),"⚠ UNMAPPED"))</f>
        <v/>
      </c>
      <c r="J861" s="18" t="str">
        <f>IF($A861="","",IFERROR(INDEX(Map!$F$2:$F$400,MATCH($A861,Map!$A$2:$A$400,0)),"⚠ UNMAPPED"))</f>
        <v/>
      </c>
    </row>
    <row r="862" spans="7:10" x14ac:dyDescent="0.25">
      <c r="G862" s="158" t="str">
        <f>IF($A862="","",IFERROR(INDEX(Map!$C$2:$C$400,MATCH($A862,Map!$A$2:$A$400,0)),"⚠ UNMAPPED"))</f>
        <v/>
      </c>
      <c r="H862" s="18" t="str">
        <f>IF($A862="","",IFERROR(INDEX(Map!$D$2:$D$400,MATCH($A862,Map!$A$2:$A$400,0)),"⚠ UNMAPPED"))</f>
        <v/>
      </c>
      <c r="I862" s="18" t="str">
        <f>IF($A862="","",IFERROR(INDEX(Map!$E$2:$E$400,MATCH($A862,Map!$A$2:$A$400,0)),"⚠ UNMAPPED"))</f>
        <v/>
      </c>
      <c r="J862" s="18" t="str">
        <f>IF($A862="","",IFERROR(INDEX(Map!$F$2:$F$400,MATCH($A862,Map!$A$2:$A$400,0)),"⚠ UNMAPPED"))</f>
        <v/>
      </c>
    </row>
    <row r="863" spans="7:10" x14ac:dyDescent="0.25">
      <c r="G863" s="158" t="str">
        <f>IF($A863="","",IFERROR(INDEX(Map!$C$2:$C$400,MATCH($A863,Map!$A$2:$A$400,0)),"⚠ UNMAPPED"))</f>
        <v/>
      </c>
      <c r="H863" s="18" t="str">
        <f>IF($A863="","",IFERROR(INDEX(Map!$D$2:$D$400,MATCH($A863,Map!$A$2:$A$400,0)),"⚠ UNMAPPED"))</f>
        <v/>
      </c>
      <c r="I863" s="18" t="str">
        <f>IF($A863="","",IFERROR(INDEX(Map!$E$2:$E$400,MATCH($A863,Map!$A$2:$A$400,0)),"⚠ UNMAPPED"))</f>
        <v/>
      </c>
      <c r="J863" s="18" t="str">
        <f>IF($A863="","",IFERROR(INDEX(Map!$F$2:$F$400,MATCH($A863,Map!$A$2:$A$400,0)),"⚠ UNMAPPED"))</f>
        <v/>
      </c>
    </row>
    <row r="864" spans="7:10" x14ac:dyDescent="0.25">
      <c r="G864" s="158" t="str">
        <f>IF($A864="","",IFERROR(INDEX(Map!$C$2:$C$400,MATCH($A864,Map!$A$2:$A$400,0)),"⚠ UNMAPPED"))</f>
        <v/>
      </c>
      <c r="H864" s="18" t="str">
        <f>IF($A864="","",IFERROR(INDEX(Map!$D$2:$D$400,MATCH($A864,Map!$A$2:$A$400,0)),"⚠ UNMAPPED"))</f>
        <v/>
      </c>
      <c r="I864" s="18" t="str">
        <f>IF($A864="","",IFERROR(INDEX(Map!$E$2:$E$400,MATCH($A864,Map!$A$2:$A$400,0)),"⚠ UNMAPPED"))</f>
        <v/>
      </c>
      <c r="J864" s="18" t="str">
        <f>IF($A864="","",IFERROR(INDEX(Map!$F$2:$F$400,MATCH($A864,Map!$A$2:$A$400,0)),"⚠ UNMAPPED"))</f>
        <v/>
      </c>
    </row>
    <row r="865" spans="7:10" x14ac:dyDescent="0.25">
      <c r="G865" s="158" t="str">
        <f>IF($A865="","",IFERROR(INDEX(Map!$C$2:$C$400,MATCH($A865,Map!$A$2:$A$400,0)),"⚠ UNMAPPED"))</f>
        <v/>
      </c>
      <c r="H865" s="18" t="str">
        <f>IF($A865="","",IFERROR(INDEX(Map!$D$2:$D$400,MATCH($A865,Map!$A$2:$A$400,0)),"⚠ UNMAPPED"))</f>
        <v/>
      </c>
      <c r="I865" s="18" t="str">
        <f>IF($A865="","",IFERROR(INDEX(Map!$E$2:$E$400,MATCH($A865,Map!$A$2:$A$400,0)),"⚠ UNMAPPED"))</f>
        <v/>
      </c>
      <c r="J865" s="18" t="str">
        <f>IF($A865="","",IFERROR(INDEX(Map!$F$2:$F$400,MATCH($A865,Map!$A$2:$A$400,0)),"⚠ UNMAPPED"))</f>
        <v/>
      </c>
    </row>
    <row r="866" spans="7:10" x14ac:dyDescent="0.25">
      <c r="G866" s="158" t="str">
        <f>IF($A866="","",IFERROR(INDEX(Map!$C$2:$C$400,MATCH($A866,Map!$A$2:$A$400,0)),"⚠ UNMAPPED"))</f>
        <v/>
      </c>
      <c r="H866" s="18" t="str">
        <f>IF($A866="","",IFERROR(INDEX(Map!$D$2:$D$400,MATCH($A866,Map!$A$2:$A$400,0)),"⚠ UNMAPPED"))</f>
        <v/>
      </c>
      <c r="I866" s="18" t="str">
        <f>IF($A866="","",IFERROR(INDEX(Map!$E$2:$E$400,MATCH($A866,Map!$A$2:$A$400,0)),"⚠ UNMAPPED"))</f>
        <v/>
      </c>
      <c r="J866" s="18" t="str">
        <f>IF($A866="","",IFERROR(INDEX(Map!$F$2:$F$400,MATCH($A866,Map!$A$2:$A$400,0)),"⚠ UNMAPPED"))</f>
        <v/>
      </c>
    </row>
    <row r="867" spans="7:10" x14ac:dyDescent="0.25">
      <c r="G867" s="158" t="str">
        <f>IF($A867="","",IFERROR(INDEX(Map!$C$2:$C$400,MATCH($A867,Map!$A$2:$A$400,0)),"⚠ UNMAPPED"))</f>
        <v/>
      </c>
      <c r="H867" s="18" t="str">
        <f>IF($A867="","",IFERROR(INDEX(Map!$D$2:$D$400,MATCH($A867,Map!$A$2:$A$400,0)),"⚠ UNMAPPED"))</f>
        <v/>
      </c>
      <c r="I867" s="18" t="str">
        <f>IF($A867="","",IFERROR(INDEX(Map!$E$2:$E$400,MATCH($A867,Map!$A$2:$A$400,0)),"⚠ UNMAPPED"))</f>
        <v/>
      </c>
      <c r="J867" s="18" t="str">
        <f>IF($A867="","",IFERROR(INDEX(Map!$F$2:$F$400,MATCH($A867,Map!$A$2:$A$400,0)),"⚠ UNMAPPED"))</f>
        <v/>
      </c>
    </row>
    <row r="868" spans="7:10" x14ac:dyDescent="0.25">
      <c r="G868" s="158" t="str">
        <f>IF($A868="","",IFERROR(INDEX(Map!$C$2:$C$400,MATCH($A868,Map!$A$2:$A$400,0)),"⚠ UNMAPPED"))</f>
        <v/>
      </c>
      <c r="H868" s="18" t="str">
        <f>IF($A868="","",IFERROR(INDEX(Map!$D$2:$D$400,MATCH($A868,Map!$A$2:$A$400,0)),"⚠ UNMAPPED"))</f>
        <v/>
      </c>
      <c r="I868" s="18" t="str">
        <f>IF($A868="","",IFERROR(INDEX(Map!$E$2:$E$400,MATCH($A868,Map!$A$2:$A$400,0)),"⚠ UNMAPPED"))</f>
        <v/>
      </c>
      <c r="J868" s="18" t="str">
        <f>IF($A868="","",IFERROR(INDEX(Map!$F$2:$F$400,MATCH($A868,Map!$A$2:$A$400,0)),"⚠ UNMAPPED"))</f>
        <v/>
      </c>
    </row>
    <row r="869" spans="7:10" x14ac:dyDescent="0.25">
      <c r="G869" s="158" t="str">
        <f>IF($A869="","",IFERROR(INDEX(Map!$C$2:$C$400,MATCH($A869,Map!$A$2:$A$400,0)),"⚠ UNMAPPED"))</f>
        <v/>
      </c>
      <c r="H869" s="18" t="str">
        <f>IF($A869="","",IFERROR(INDEX(Map!$D$2:$D$400,MATCH($A869,Map!$A$2:$A$400,0)),"⚠ UNMAPPED"))</f>
        <v/>
      </c>
      <c r="I869" s="18" t="str">
        <f>IF($A869="","",IFERROR(INDEX(Map!$E$2:$E$400,MATCH($A869,Map!$A$2:$A$400,0)),"⚠ UNMAPPED"))</f>
        <v/>
      </c>
      <c r="J869" s="18" t="str">
        <f>IF($A869="","",IFERROR(INDEX(Map!$F$2:$F$400,MATCH($A869,Map!$A$2:$A$400,0)),"⚠ UNMAPPED"))</f>
        <v/>
      </c>
    </row>
    <row r="870" spans="7:10" x14ac:dyDescent="0.25">
      <c r="G870" s="158" t="str">
        <f>IF($A870="","",IFERROR(INDEX(Map!$C$2:$C$400,MATCH($A870,Map!$A$2:$A$400,0)),"⚠ UNMAPPED"))</f>
        <v/>
      </c>
      <c r="H870" s="18" t="str">
        <f>IF($A870="","",IFERROR(INDEX(Map!$D$2:$D$400,MATCH($A870,Map!$A$2:$A$400,0)),"⚠ UNMAPPED"))</f>
        <v/>
      </c>
      <c r="I870" s="18" t="str">
        <f>IF($A870="","",IFERROR(INDEX(Map!$E$2:$E$400,MATCH($A870,Map!$A$2:$A$400,0)),"⚠ UNMAPPED"))</f>
        <v/>
      </c>
      <c r="J870" s="18" t="str">
        <f>IF($A870="","",IFERROR(INDEX(Map!$F$2:$F$400,MATCH($A870,Map!$A$2:$A$400,0)),"⚠ UNMAPPED"))</f>
        <v/>
      </c>
    </row>
    <row r="871" spans="7:10" x14ac:dyDescent="0.25">
      <c r="G871" s="158" t="str">
        <f>IF($A871="","",IFERROR(INDEX(Map!$C$2:$C$400,MATCH($A871,Map!$A$2:$A$400,0)),"⚠ UNMAPPED"))</f>
        <v/>
      </c>
      <c r="H871" s="18" t="str">
        <f>IF($A871="","",IFERROR(INDEX(Map!$D$2:$D$400,MATCH($A871,Map!$A$2:$A$400,0)),"⚠ UNMAPPED"))</f>
        <v/>
      </c>
      <c r="I871" s="18" t="str">
        <f>IF($A871="","",IFERROR(INDEX(Map!$E$2:$E$400,MATCH($A871,Map!$A$2:$A$400,0)),"⚠ UNMAPPED"))</f>
        <v/>
      </c>
      <c r="J871" s="18" t="str">
        <f>IF($A871="","",IFERROR(INDEX(Map!$F$2:$F$400,MATCH($A871,Map!$A$2:$A$400,0)),"⚠ UNMAPPED"))</f>
        <v/>
      </c>
    </row>
    <row r="872" spans="7:10" x14ac:dyDescent="0.25">
      <c r="G872" s="158" t="str">
        <f>IF($A872="","",IFERROR(INDEX(Map!$C$2:$C$400,MATCH($A872,Map!$A$2:$A$400,0)),"⚠ UNMAPPED"))</f>
        <v/>
      </c>
      <c r="H872" s="18" t="str">
        <f>IF($A872="","",IFERROR(INDEX(Map!$D$2:$D$400,MATCH($A872,Map!$A$2:$A$400,0)),"⚠ UNMAPPED"))</f>
        <v/>
      </c>
      <c r="I872" s="18" t="str">
        <f>IF($A872="","",IFERROR(INDEX(Map!$E$2:$E$400,MATCH($A872,Map!$A$2:$A$400,0)),"⚠ UNMAPPED"))</f>
        <v/>
      </c>
      <c r="J872" s="18" t="str">
        <f>IF($A872="","",IFERROR(INDEX(Map!$F$2:$F$400,MATCH($A872,Map!$A$2:$A$400,0)),"⚠ UNMAPPED"))</f>
        <v/>
      </c>
    </row>
    <row r="873" spans="7:10" x14ac:dyDescent="0.25">
      <c r="G873" s="158" t="str">
        <f>IF($A873="","",IFERROR(INDEX(Map!$C$2:$C$400,MATCH($A873,Map!$A$2:$A$400,0)),"⚠ UNMAPPED"))</f>
        <v/>
      </c>
      <c r="H873" s="18" t="str">
        <f>IF($A873="","",IFERROR(INDEX(Map!$D$2:$D$400,MATCH($A873,Map!$A$2:$A$400,0)),"⚠ UNMAPPED"))</f>
        <v/>
      </c>
      <c r="I873" s="18" t="str">
        <f>IF($A873="","",IFERROR(INDEX(Map!$E$2:$E$400,MATCH($A873,Map!$A$2:$A$400,0)),"⚠ UNMAPPED"))</f>
        <v/>
      </c>
      <c r="J873" s="18" t="str">
        <f>IF($A873="","",IFERROR(INDEX(Map!$F$2:$F$400,MATCH($A873,Map!$A$2:$A$400,0)),"⚠ UNMAPPED"))</f>
        <v/>
      </c>
    </row>
    <row r="874" spans="7:10" x14ac:dyDescent="0.25">
      <c r="G874" s="158" t="str">
        <f>IF($A874="","",IFERROR(INDEX(Map!$C$2:$C$400,MATCH($A874,Map!$A$2:$A$400,0)),"⚠ UNMAPPED"))</f>
        <v/>
      </c>
      <c r="H874" s="18" t="str">
        <f>IF($A874="","",IFERROR(INDEX(Map!$D$2:$D$400,MATCH($A874,Map!$A$2:$A$400,0)),"⚠ UNMAPPED"))</f>
        <v/>
      </c>
      <c r="I874" s="18" t="str">
        <f>IF($A874="","",IFERROR(INDEX(Map!$E$2:$E$400,MATCH($A874,Map!$A$2:$A$400,0)),"⚠ UNMAPPED"))</f>
        <v/>
      </c>
      <c r="J874" s="18" t="str">
        <f>IF($A874="","",IFERROR(INDEX(Map!$F$2:$F$400,MATCH($A874,Map!$A$2:$A$400,0)),"⚠ UNMAPPED"))</f>
        <v/>
      </c>
    </row>
    <row r="875" spans="7:10" x14ac:dyDescent="0.25">
      <c r="G875" s="158" t="str">
        <f>IF($A875="","",IFERROR(INDEX(Map!$C$2:$C$400,MATCH($A875,Map!$A$2:$A$400,0)),"⚠ UNMAPPED"))</f>
        <v/>
      </c>
      <c r="H875" s="18" t="str">
        <f>IF($A875="","",IFERROR(INDEX(Map!$D$2:$D$400,MATCH($A875,Map!$A$2:$A$400,0)),"⚠ UNMAPPED"))</f>
        <v/>
      </c>
      <c r="I875" s="18" t="str">
        <f>IF($A875="","",IFERROR(INDEX(Map!$E$2:$E$400,MATCH($A875,Map!$A$2:$A$400,0)),"⚠ UNMAPPED"))</f>
        <v/>
      </c>
      <c r="J875" s="18" t="str">
        <f>IF($A875="","",IFERROR(INDEX(Map!$F$2:$F$400,MATCH($A875,Map!$A$2:$A$400,0)),"⚠ UNMAPPED"))</f>
        <v/>
      </c>
    </row>
    <row r="876" spans="7:10" x14ac:dyDescent="0.25">
      <c r="G876" s="158" t="str">
        <f>IF($A876="","",IFERROR(INDEX(Map!$C$2:$C$400,MATCH($A876,Map!$A$2:$A$400,0)),"⚠ UNMAPPED"))</f>
        <v/>
      </c>
      <c r="H876" s="18" t="str">
        <f>IF($A876="","",IFERROR(INDEX(Map!$D$2:$D$400,MATCH($A876,Map!$A$2:$A$400,0)),"⚠ UNMAPPED"))</f>
        <v/>
      </c>
      <c r="I876" s="18" t="str">
        <f>IF($A876="","",IFERROR(INDEX(Map!$E$2:$E$400,MATCH($A876,Map!$A$2:$A$400,0)),"⚠ UNMAPPED"))</f>
        <v/>
      </c>
      <c r="J876" s="18" t="str">
        <f>IF($A876="","",IFERROR(INDEX(Map!$F$2:$F$400,MATCH($A876,Map!$A$2:$A$400,0)),"⚠ UNMAPPED"))</f>
        <v/>
      </c>
    </row>
    <row r="877" spans="7:10" x14ac:dyDescent="0.25">
      <c r="G877" s="158" t="str">
        <f>IF($A877="","",IFERROR(INDEX(Map!$C$2:$C$400,MATCH($A877,Map!$A$2:$A$400,0)),"⚠ UNMAPPED"))</f>
        <v/>
      </c>
      <c r="H877" s="18" t="str">
        <f>IF($A877="","",IFERROR(INDEX(Map!$D$2:$D$400,MATCH($A877,Map!$A$2:$A$400,0)),"⚠ UNMAPPED"))</f>
        <v/>
      </c>
      <c r="I877" s="18" t="str">
        <f>IF($A877="","",IFERROR(INDEX(Map!$E$2:$E$400,MATCH($A877,Map!$A$2:$A$400,0)),"⚠ UNMAPPED"))</f>
        <v/>
      </c>
      <c r="J877" s="18" t="str">
        <f>IF($A877="","",IFERROR(INDEX(Map!$F$2:$F$400,MATCH($A877,Map!$A$2:$A$400,0)),"⚠ UNMAPPED"))</f>
        <v/>
      </c>
    </row>
    <row r="878" spans="7:10" x14ac:dyDescent="0.25">
      <c r="G878" s="158" t="str">
        <f>IF($A878="","",IFERROR(INDEX(Map!$C$2:$C$400,MATCH($A878,Map!$A$2:$A$400,0)),"⚠ UNMAPPED"))</f>
        <v/>
      </c>
      <c r="H878" s="18" t="str">
        <f>IF($A878="","",IFERROR(INDEX(Map!$D$2:$D$400,MATCH($A878,Map!$A$2:$A$400,0)),"⚠ UNMAPPED"))</f>
        <v/>
      </c>
      <c r="I878" s="18" t="str">
        <f>IF($A878="","",IFERROR(INDEX(Map!$E$2:$E$400,MATCH($A878,Map!$A$2:$A$400,0)),"⚠ UNMAPPED"))</f>
        <v/>
      </c>
      <c r="J878" s="18" t="str">
        <f>IF($A878="","",IFERROR(INDEX(Map!$F$2:$F$400,MATCH($A878,Map!$A$2:$A$400,0)),"⚠ UNMAPPED"))</f>
        <v/>
      </c>
    </row>
    <row r="879" spans="7:10" x14ac:dyDescent="0.25">
      <c r="G879" s="158" t="str">
        <f>IF($A879="","",IFERROR(INDEX(Map!$C$2:$C$400,MATCH($A879,Map!$A$2:$A$400,0)),"⚠ UNMAPPED"))</f>
        <v/>
      </c>
      <c r="H879" s="18" t="str">
        <f>IF($A879="","",IFERROR(INDEX(Map!$D$2:$D$400,MATCH($A879,Map!$A$2:$A$400,0)),"⚠ UNMAPPED"))</f>
        <v/>
      </c>
      <c r="I879" s="18" t="str">
        <f>IF($A879="","",IFERROR(INDEX(Map!$E$2:$E$400,MATCH($A879,Map!$A$2:$A$400,0)),"⚠ UNMAPPED"))</f>
        <v/>
      </c>
      <c r="J879" s="18" t="str">
        <f>IF($A879="","",IFERROR(INDEX(Map!$F$2:$F$400,MATCH($A879,Map!$A$2:$A$400,0)),"⚠ UNMAPPED"))</f>
        <v/>
      </c>
    </row>
    <row r="880" spans="7:10" x14ac:dyDescent="0.25">
      <c r="G880" s="158" t="str">
        <f>IF($A880="","",IFERROR(INDEX(Map!$C$2:$C$400,MATCH($A880,Map!$A$2:$A$400,0)),"⚠ UNMAPPED"))</f>
        <v/>
      </c>
      <c r="H880" s="18" t="str">
        <f>IF($A880="","",IFERROR(INDEX(Map!$D$2:$D$400,MATCH($A880,Map!$A$2:$A$400,0)),"⚠ UNMAPPED"))</f>
        <v/>
      </c>
      <c r="I880" s="18" t="str">
        <f>IF($A880="","",IFERROR(INDEX(Map!$E$2:$E$400,MATCH($A880,Map!$A$2:$A$400,0)),"⚠ UNMAPPED"))</f>
        <v/>
      </c>
      <c r="J880" s="18" t="str">
        <f>IF($A880="","",IFERROR(INDEX(Map!$F$2:$F$400,MATCH($A880,Map!$A$2:$A$400,0)),"⚠ UNMAPPED"))</f>
        <v/>
      </c>
    </row>
    <row r="881" spans="7:10" x14ac:dyDescent="0.25">
      <c r="G881" s="158" t="str">
        <f>IF($A881="","",IFERROR(INDEX(Map!$C$2:$C$400,MATCH($A881,Map!$A$2:$A$400,0)),"⚠ UNMAPPED"))</f>
        <v/>
      </c>
      <c r="H881" s="18" t="str">
        <f>IF($A881="","",IFERROR(INDEX(Map!$D$2:$D$400,MATCH($A881,Map!$A$2:$A$400,0)),"⚠ UNMAPPED"))</f>
        <v/>
      </c>
      <c r="I881" s="18" t="str">
        <f>IF($A881="","",IFERROR(INDEX(Map!$E$2:$E$400,MATCH($A881,Map!$A$2:$A$400,0)),"⚠ UNMAPPED"))</f>
        <v/>
      </c>
      <c r="J881" s="18" t="str">
        <f>IF($A881="","",IFERROR(INDEX(Map!$F$2:$F$400,MATCH($A881,Map!$A$2:$A$400,0)),"⚠ UNMAPPED"))</f>
        <v/>
      </c>
    </row>
    <row r="882" spans="7:10" x14ac:dyDescent="0.25">
      <c r="G882" s="158" t="str">
        <f>IF($A882="","",IFERROR(INDEX(Map!$C$2:$C$400,MATCH($A882,Map!$A$2:$A$400,0)),"⚠ UNMAPPED"))</f>
        <v/>
      </c>
      <c r="H882" s="18" t="str">
        <f>IF($A882="","",IFERROR(INDEX(Map!$D$2:$D$400,MATCH($A882,Map!$A$2:$A$400,0)),"⚠ UNMAPPED"))</f>
        <v/>
      </c>
      <c r="I882" s="18" t="str">
        <f>IF($A882="","",IFERROR(INDEX(Map!$E$2:$E$400,MATCH($A882,Map!$A$2:$A$400,0)),"⚠ UNMAPPED"))</f>
        <v/>
      </c>
      <c r="J882" s="18" t="str">
        <f>IF($A882="","",IFERROR(INDEX(Map!$F$2:$F$400,MATCH($A882,Map!$A$2:$A$400,0)),"⚠ UNMAPPED"))</f>
        <v/>
      </c>
    </row>
    <row r="883" spans="7:10" x14ac:dyDescent="0.25">
      <c r="G883" s="158" t="str">
        <f>IF($A883="","",IFERROR(INDEX(Map!$C$2:$C$400,MATCH($A883,Map!$A$2:$A$400,0)),"⚠ UNMAPPED"))</f>
        <v/>
      </c>
      <c r="H883" s="18" t="str">
        <f>IF($A883="","",IFERROR(INDEX(Map!$D$2:$D$400,MATCH($A883,Map!$A$2:$A$400,0)),"⚠ UNMAPPED"))</f>
        <v/>
      </c>
      <c r="I883" s="18" t="str">
        <f>IF($A883="","",IFERROR(INDEX(Map!$E$2:$E$400,MATCH($A883,Map!$A$2:$A$400,0)),"⚠ UNMAPPED"))</f>
        <v/>
      </c>
      <c r="J883" s="18" t="str">
        <f>IF($A883="","",IFERROR(INDEX(Map!$F$2:$F$400,MATCH($A883,Map!$A$2:$A$400,0)),"⚠ UNMAPPED"))</f>
        <v/>
      </c>
    </row>
    <row r="884" spans="7:10" x14ac:dyDescent="0.25">
      <c r="G884" s="158" t="str">
        <f>IF($A884="","",IFERROR(INDEX(Map!$C$2:$C$400,MATCH($A884,Map!$A$2:$A$400,0)),"⚠ UNMAPPED"))</f>
        <v/>
      </c>
      <c r="H884" s="18" t="str">
        <f>IF($A884="","",IFERROR(INDEX(Map!$D$2:$D$400,MATCH($A884,Map!$A$2:$A$400,0)),"⚠ UNMAPPED"))</f>
        <v/>
      </c>
      <c r="I884" s="18" t="str">
        <f>IF($A884="","",IFERROR(INDEX(Map!$E$2:$E$400,MATCH($A884,Map!$A$2:$A$400,0)),"⚠ UNMAPPED"))</f>
        <v/>
      </c>
      <c r="J884" s="18" t="str">
        <f>IF($A884="","",IFERROR(INDEX(Map!$F$2:$F$400,MATCH($A884,Map!$A$2:$A$400,0)),"⚠ UNMAPPED"))</f>
        <v/>
      </c>
    </row>
    <row r="885" spans="7:10" x14ac:dyDescent="0.25">
      <c r="G885" s="158" t="str">
        <f>IF($A885="","",IFERROR(INDEX(Map!$C$2:$C$400,MATCH($A885,Map!$A$2:$A$400,0)),"⚠ UNMAPPED"))</f>
        <v/>
      </c>
      <c r="H885" s="18" t="str">
        <f>IF($A885="","",IFERROR(INDEX(Map!$D$2:$D$400,MATCH($A885,Map!$A$2:$A$400,0)),"⚠ UNMAPPED"))</f>
        <v/>
      </c>
      <c r="I885" s="18" t="str">
        <f>IF($A885="","",IFERROR(INDEX(Map!$E$2:$E$400,MATCH($A885,Map!$A$2:$A$400,0)),"⚠ UNMAPPED"))</f>
        <v/>
      </c>
      <c r="J885" s="18" t="str">
        <f>IF($A885="","",IFERROR(INDEX(Map!$F$2:$F$400,MATCH($A885,Map!$A$2:$A$400,0)),"⚠ UNMAPPED"))</f>
        <v/>
      </c>
    </row>
    <row r="886" spans="7:10" x14ac:dyDescent="0.25">
      <c r="G886" s="158" t="str">
        <f>IF($A886="","",IFERROR(INDEX(Map!$C$2:$C$400,MATCH($A886,Map!$A$2:$A$400,0)),"⚠ UNMAPPED"))</f>
        <v/>
      </c>
      <c r="H886" s="18" t="str">
        <f>IF($A886="","",IFERROR(INDEX(Map!$D$2:$D$400,MATCH($A886,Map!$A$2:$A$400,0)),"⚠ UNMAPPED"))</f>
        <v/>
      </c>
      <c r="I886" s="18" t="str">
        <f>IF($A886="","",IFERROR(INDEX(Map!$E$2:$E$400,MATCH($A886,Map!$A$2:$A$400,0)),"⚠ UNMAPPED"))</f>
        <v/>
      </c>
      <c r="J886" s="18" t="str">
        <f>IF($A886="","",IFERROR(INDEX(Map!$F$2:$F$400,MATCH($A886,Map!$A$2:$A$400,0)),"⚠ UNMAPPED"))</f>
        <v/>
      </c>
    </row>
    <row r="887" spans="7:10" x14ac:dyDescent="0.25">
      <c r="G887" s="158" t="str">
        <f>IF($A887="","",IFERROR(INDEX(Map!$C$2:$C$400,MATCH($A887,Map!$A$2:$A$400,0)),"⚠ UNMAPPED"))</f>
        <v/>
      </c>
      <c r="H887" s="18" t="str">
        <f>IF($A887="","",IFERROR(INDEX(Map!$D$2:$D$400,MATCH($A887,Map!$A$2:$A$400,0)),"⚠ UNMAPPED"))</f>
        <v/>
      </c>
      <c r="I887" s="18" t="str">
        <f>IF($A887="","",IFERROR(INDEX(Map!$E$2:$E$400,MATCH($A887,Map!$A$2:$A$400,0)),"⚠ UNMAPPED"))</f>
        <v/>
      </c>
      <c r="J887" s="18" t="str">
        <f>IF($A887="","",IFERROR(INDEX(Map!$F$2:$F$400,MATCH($A887,Map!$A$2:$A$400,0)),"⚠ UNMAPPED"))</f>
        <v/>
      </c>
    </row>
    <row r="888" spans="7:10" x14ac:dyDescent="0.25">
      <c r="G888" s="158" t="str">
        <f>IF($A888="","",IFERROR(INDEX(Map!$C$2:$C$400,MATCH($A888,Map!$A$2:$A$400,0)),"⚠ UNMAPPED"))</f>
        <v/>
      </c>
      <c r="H888" s="18" t="str">
        <f>IF($A888="","",IFERROR(INDEX(Map!$D$2:$D$400,MATCH($A888,Map!$A$2:$A$400,0)),"⚠ UNMAPPED"))</f>
        <v/>
      </c>
      <c r="I888" s="18" t="str">
        <f>IF($A888="","",IFERROR(INDEX(Map!$E$2:$E$400,MATCH($A888,Map!$A$2:$A$400,0)),"⚠ UNMAPPED"))</f>
        <v/>
      </c>
      <c r="J888" s="18" t="str">
        <f>IF($A888="","",IFERROR(INDEX(Map!$F$2:$F$400,MATCH($A888,Map!$A$2:$A$400,0)),"⚠ UNMAPPED"))</f>
        <v/>
      </c>
    </row>
    <row r="889" spans="7:10" x14ac:dyDescent="0.25">
      <c r="G889" s="158" t="str">
        <f>IF($A889="","",IFERROR(INDEX(Map!$C$2:$C$400,MATCH($A889,Map!$A$2:$A$400,0)),"⚠ UNMAPPED"))</f>
        <v/>
      </c>
      <c r="H889" s="18" t="str">
        <f>IF($A889="","",IFERROR(INDEX(Map!$D$2:$D$400,MATCH($A889,Map!$A$2:$A$400,0)),"⚠ UNMAPPED"))</f>
        <v/>
      </c>
      <c r="I889" s="18" t="str">
        <f>IF($A889="","",IFERROR(INDEX(Map!$E$2:$E$400,MATCH($A889,Map!$A$2:$A$400,0)),"⚠ UNMAPPED"))</f>
        <v/>
      </c>
      <c r="J889" s="18" t="str">
        <f>IF($A889="","",IFERROR(INDEX(Map!$F$2:$F$400,MATCH($A889,Map!$A$2:$A$400,0)),"⚠ UNMAPPED"))</f>
        <v/>
      </c>
    </row>
    <row r="890" spans="7:10" x14ac:dyDescent="0.25">
      <c r="G890" s="158" t="str">
        <f>IF($A890="","",IFERROR(INDEX(Map!$C$2:$C$400,MATCH($A890,Map!$A$2:$A$400,0)),"⚠ UNMAPPED"))</f>
        <v/>
      </c>
      <c r="H890" s="18" t="str">
        <f>IF($A890="","",IFERROR(INDEX(Map!$D$2:$D$400,MATCH($A890,Map!$A$2:$A$400,0)),"⚠ UNMAPPED"))</f>
        <v/>
      </c>
      <c r="I890" s="18" t="str">
        <f>IF($A890="","",IFERROR(INDEX(Map!$E$2:$E$400,MATCH($A890,Map!$A$2:$A$400,0)),"⚠ UNMAPPED"))</f>
        <v/>
      </c>
      <c r="J890" s="18" t="str">
        <f>IF($A890="","",IFERROR(INDEX(Map!$F$2:$F$400,MATCH($A890,Map!$A$2:$A$400,0)),"⚠ UNMAPPED"))</f>
        <v/>
      </c>
    </row>
    <row r="891" spans="7:10" x14ac:dyDescent="0.25">
      <c r="G891" s="158" t="str">
        <f>IF($A891="","",IFERROR(INDEX(Map!$C$2:$C$400,MATCH($A891,Map!$A$2:$A$400,0)),"⚠ UNMAPPED"))</f>
        <v/>
      </c>
      <c r="H891" s="18" t="str">
        <f>IF($A891="","",IFERROR(INDEX(Map!$D$2:$D$400,MATCH($A891,Map!$A$2:$A$400,0)),"⚠ UNMAPPED"))</f>
        <v/>
      </c>
      <c r="I891" s="18" t="str">
        <f>IF($A891="","",IFERROR(INDEX(Map!$E$2:$E$400,MATCH($A891,Map!$A$2:$A$400,0)),"⚠ UNMAPPED"))</f>
        <v/>
      </c>
      <c r="J891" s="18" t="str">
        <f>IF($A891="","",IFERROR(INDEX(Map!$F$2:$F$400,MATCH($A891,Map!$A$2:$A$400,0)),"⚠ UNMAPPED"))</f>
        <v/>
      </c>
    </row>
    <row r="892" spans="7:10" x14ac:dyDescent="0.25">
      <c r="G892" s="158" t="str">
        <f>IF($A892="","",IFERROR(INDEX(Map!$C$2:$C$400,MATCH($A892,Map!$A$2:$A$400,0)),"⚠ UNMAPPED"))</f>
        <v/>
      </c>
      <c r="H892" s="18" t="str">
        <f>IF($A892="","",IFERROR(INDEX(Map!$D$2:$D$400,MATCH($A892,Map!$A$2:$A$400,0)),"⚠ UNMAPPED"))</f>
        <v/>
      </c>
      <c r="I892" s="18" t="str">
        <f>IF($A892="","",IFERROR(INDEX(Map!$E$2:$E$400,MATCH($A892,Map!$A$2:$A$400,0)),"⚠ UNMAPPED"))</f>
        <v/>
      </c>
      <c r="J892" s="18" t="str">
        <f>IF($A892="","",IFERROR(INDEX(Map!$F$2:$F$400,MATCH($A892,Map!$A$2:$A$400,0)),"⚠ UNMAPPED"))</f>
        <v/>
      </c>
    </row>
    <row r="893" spans="7:10" x14ac:dyDescent="0.25">
      <c r="G893" s="158" t="str">
        <f>IF($A893="","",IFERROR(INDEX(Map!$C$2:$C$400,MATCH($A893,Map!$A$2:$A$400,0)),"⚠ UNMAPPED"))</f>
        <v/>
      </c>
      <c r="H893" s="18" t="str">
        <f>IF($A893="","",IFERROR(INDEX(Map!$D$2:$D$400,MATCH($A893,Map!$A$2:$A$400,0)),"⚠ UNMAPPED"))</f>
        <v/>
      </c>
      <c r="I893" s="18" t="str">
        <f>IF($A893="","",IFERROR(INDEX(Map!$E$2:$E$400,MATCH($A893,Map!$A$2:$A$400,0)),"⚠ UNMAPPED"))</f>
        <v/>
      </c>
      <c r="J893" s="18" t="str">
        <f>IF($A893="","",IFERROR(INDEX(Map!$F$2:$F$400,MATCH($A893,Map!$A$2:$A$400,0)),"⚠ UNMAPPED"))</f>
        <v/>
      </c>
    </row>
    <row r="894" spans="7:10" x14ac:dyDescent="0.25">
      <c r="G894" s="158" t="str">
        <f>IF($A894="","",IFERROR(INDEX(Map!$C$2:$C$400,MATCH($A894,Map!$A$2:$A$400,0)),"⚠ UNMAPPED"))</f>
        <v/>
      </c>
      <c r="H894" s="18" t="str">
        <f>IF($A894="","",IFERROR(INDEX(Map!$D$2:$D$400,MATCH($A894,Map!$A$2:$A$400,0)),"⚠ UNMAPPED"))</f>
        <v/>
      </c>
      <c r="I894" s="18" t="str">
        <f>IF($A894="","",IFERROR(INDEX(Map!$E$2:$E$400,MATCH($A894,Map!$A$2:$A$400,0)),"⚠ UNMAPPED"))</f>
        <v/>
      </c>
      <c r="J894" s="18" t="str">
        <f>IF($A894="","",IFERROR(INDEX(Map!$F$2:$F$400,MATCH($A894,Map!$A$2:$A$400,0)),"⚠ UNMAPPED"))</f>
        <v/>
      </c>
    </row>
    <row r="895" spans="7:10" x14ac:dyDescent="0.25">
      <c r="G895" s="158" t="str">
        <f>IF($A895="","",IFERROR(INDEX(Map!$C$2:$C$400,MATCH($A895,Map!$A$2:$A$400,0)),"⚠ UNMAPPED"))</f>
        <v/>
      </c>
      <c r="H895" s="18" t="str">
        <f>IF($A895="","",IFERROR(INDEX(Map!$D$2:$D$400,MATCH($A895,Map!$A$2:$A$400,0)),"⚠ UNMAPPED"))</f>
        <v/>
      </c>
      <c r="I895" s="18" t="str">
        <f>IF($A895="","",IFERROR(INDEX(Map!$E$2:$E$400,MATCH($A895,Map!$A$2:$A$400,0)),"⚠ UNMAPPED"))</f>
        <v/>
      </c>
      <c r="J895" s="18" t="str">
        <f>IF($A895="","",IFERROR(INDEX(Map!$F$2:$F$400,MATCH($A895,Map!$A$2:$A$400,0)),"⚠ UNMAPPED"))</f>
        <v/>
      </c>
    </row>
    <row r="896" spans="7:10" x14ac:dyDescent="0.25">
      <c r="G896" s="158" t="str">
        <f>IF($A896="","",IFERROR(INDEX(Map!$C$2:$C$400,MATCH($A896,Map!$A$2:$A$400,0)),"⚠ UNMAPPED"))</f>
        <v/>
      </c>
      <c r="H896" s="18" t="str">
        <f>IF($A896="","",IFERROR(INDEX(Map!$D$2:$D$400,MATCH($A896,Map!$A$2:$A$400,0)),"⚠ UNMAPPED"))</f>
        <v/>
      </c>
      <c r="I896" s="18" t="str">
        <f>IF($A896="","",IFERROR(INDEX(Map!$E$2:$E$400,MATCH($A896,Map!$A$2:$A$400,0)),"⚠ UNMAPPED"))</f>
        <v/>
      </c>
      <c r="J896" s="18" t="str">
        <f>IF($A896="","",IFERROR(INDEX(Map!$F$2:$F$400,MATCH($A896,Map!$A$2:$A$400,0)),"⚠ UNMAPPED"))</f>
        <v/>
      </c>
    </row>
    <row r="897" spans="7:10" x14ac:dyDescent="0.25">
      <c r="G897" s="158" t="str">
        <f>IF($A897="","",IFERROR(INDEX(Map!$C$2:$C$400,MATCH($A897,Map!$A$2:$A$400,0)),"⚠ UNMAPPED"))</f>
        <v/>
      </c>
      <c r="H897" s="18" t="str">
        <f>IF($A897="","",IFERROR(INDEX(Map!$D$2:$D$400,MATCH($A897,Map!$A$2:$A$400,0)),"⚠ UNMAPPED"))</f>
        <v/>
      </c>
      <c r="I897" s="18" t="str">
        <f>IF($A897="","",IFERROR(INDEX(Map!$E$2:$E$400,MATCH($A897,Map!$A$2:$A$400,0)),"⚠ UNMAPPED"))</f>
        <v/>
      </c>
      <c r="J897" s="18" t="str">
        <f>IF($A897="","",IFERROR(INDEX(Map!$F$2:$F$400,MATCH($A897,Map!$A$2:$A$400,0)),"⚠ UNMAPPED"))</f>
        <v/>
      </c>
    </row>
    <row r="898" spans="7:10" x14ac:dyDescent="0.25">
      <c r="G898" s="158" t="str">
        <f>IF($A898="","",IFERROR(INDEX(Map!$C$2:$C$400,MATCH($A898,Map!$A$2:$A$400,0)),"⚠ UNMAPPED"))</f>
        <v/>
      </c>
      <c r="H898" s="18" t="str">
        <f>IF($A898="","",IFERROR(INDEX(Map!$D$2:$D$400,MATCH($A898,Map!$A$2:$A$400,0)),"⚠ UNMAPPED"))</f>
        <v/>
      </c>
      <c r="I898" s="18" t="str">
        <f>IF($A898="","",IFERROR(INDEX(Map!$E$2:$E$400,MATCH($A898,Map!$A$2:$A$400,0)),"⚠ UNMAPPED"))</f>
        <v/>
      </c>
      <c r="J898" s="18" t="str">
        <f>IF($A898="","",IFERROR(INDEX(Map!$F$2:$F$400,MATCH($A898,Map!$A$2:$A$400,0)),"⚠ UNMAPPED"))</f>
        <v/>
      </c>
    </row>
    <row r="899" spans="7:10" x14ac:dyDescent="0.25">
      <c r="G899" s="158" t="str">
        <f>IF($A899="","",IFERROR(INDEX(Map!$C$2:$C$400,MATCH($A899,Map!$A$2:$A$400,0)),"⚠ UNMAPPED"))</f>
        <v/>
      </c>
      <c r="H899" s="18" t="str">
        <f>IF($A899="","",IFERROR(INDEX(Map!$D$2:$D$400,MATCH($A899,Map!$A$2:$A$400,0)),"⚠ UNMAPPED"))</f>
        <v/>
      </c>
      <c r="I899" s="18" t="str">
        <f>IF($A899="","",IFERROR(INDEX(Map!$E$2:$E$400,MATCH($A899,Map!$A$2:$A$400,0)),"⚠ UNMAPPED"))</f>
        <v/>
      </c>
      <c r="J899" s="18" t="str">
        <f>IF($A899="","",IFERROR(INDEX(Map!$F$2:$F$400,MATCH($A899,Map!$A$2:$A$400,0)),"⚠ UNMAPPED"))</f>
        <v/>
      </c>
    </row>
    <row r="900" spans="7:10" x14ac:dyDescent="0.25">
      <c r="G900" s="158" t="str">
        <f>IF($A900="","",IFERROR(INDEX(Map!$C$2:$C$400,MATCH($A900,Map!$A$2:$A$400,0)),"⚠ UNMAPPED"))</f>
        <v/>
      </c>
      <c r="H900" s="18" t="str">
        <f>IF($A900="","",IFERROR(INDEX(Map!$D$2:$D$400,MATCH($A900,Map!$A$2:$A$400,0)),"⚠ UNMAPPED"))</f>
        <v/>
      </c>
      <c r="I900" s="18" t="str">
        <f>IF($A900="","",IFERROR(INDEX(Map!$E$2:$E$400,MATCH($A900,Map!$A$2:$A$400,0)),"⚠ UNMAPPED"))</f>
        <v/>
      </c>
      <c r="J900" s="18" t="str">
        <f>IF($A900="","",IFERROR(INDEX(Map!$F$2:$F$400,MATCH($A900,Map!$A$2:$A$400,0)),"⚠ UNMAPPED"))</f>
        <v/>
      </c>
    </row>
    <row r="901" spans="7:10" x14ac:dyDescent="0.25">
      <c r="G901" s="158" t="str">
        <f>IF($A901="","",IFERROR(INDEX(Map!$C$2:$C$400,MATCH($A901,Map!$A$2:$A$400,0)),"⚠ UNMAPPED"))</f>
        <v/>
      </c>
      <c r="H901" s="18" t="str">
        <f>IF($A901="","",IFERROR(INDEX(Map!$D$2:$D$400,MATCH($A901,Map!$A$2:$A$400,0)),"⚠ UNMAPPED"))</f>
        <v/>
      </c>
      <c r="I901" s="18" t="str">
        <f>IF($A901="","",IFERROR(INDEX(Map!$E$2:$E$400,MATCH($A901,Map!$A$2:$A$400,0)),"⚠ UNMAPPED"))</f>
        <v/>
      </c>
      <c r="J901" s="18" t="str">
        <f>IF($A901="","",IFERROR(INDEX(Map!$F$2:$F$400,MATCH($A901,Map!$A$2:$A$400,0)),"⚠ UNMAPPED"))</f>
        <v/>
      </c>
    </row>
    <row r="902" spans="7:10" x14ac:dyDescent="0.25">
      <c r="G902" s="158" t="str">
        <f>IF($A902="","",IFERROR(INDEX(Map!$C$2:$C$400,MATCH($A902,Map!$A$2:$A$400,0)),"⚠ UNMAPPED"))</f>
        <v/>
      </c>
      <c r="H902" s="18" t="str">
        <f>IF($A902="","",IFERROR(INDEX(Map!$D$2:$D$400,MATCH($A902,Map!$A$2:$A$400,0)),"⚠ UNMAPPED"))</f>
        <v/>
      </c>
      <c r="I902" s="18" t="str">
        <f>IF($A902="","",IFERROR(INDEX(Map!$E$2:$E$400,MATCH($A902,Map!$A$2:$A$400,0)),"⚠ UNMAPPED"))</f>
        <v/>
      </c>
      <c r="J902" s="18" t="str">
        <f>IF($A902="","",IFERROR(INDEX(Map!$F$2:$F$400,MATCH($A902,Map!$A$2:$A$400,0)),"⚠ UNMAPPED"))</f>
        <v/>
      </c>
    </row>
    <row r="903" spans="7:10" x14ac:dyDescent="0.25">
      <c r="G903" s="158" t="str">
        <f>IF($A903="","",IFERROR(INDEX(Map!$C$2:$C$400,MATCH($A903,Map!$A$2:$A$400,0)),"⚠ UNMAPPED"))</f>
        <v/>
      </c>
      <c r="H903" s="18" t="str">
        <f>IF($A903="","",IFERROR(INDEX(Map!$D$2:$D$400,MATCH($A903,Map!$A$2:$A$400,0)),"⚠ UNMAPPED"))</f>
        <v/>
      </c>
      <c r="I903" s="18" t="str">
        <f>IF($A903="","",IFERROR(INDEX(Map!$E$2:$E$400,MATCH($A903,Map!$A$2:$A$400,0)),"⚠ UNMAPPED"))</f>
        <v/>
      </c>
      <c r="J903" s="18" t="str">
        <f>IF($A903="","",IFERROR(INDEX(Map!$F$2:$F$400,MATCH($A903,Map!$A$2:$A$400,0)),"⚠ UNMAPPED"))</f>
        <v/>
      </c>
    </row>
    <row r="904" spans="7:10" x14ac:dyDescent="0.25">
      <c r="G904" s="158" t="str">
        <f>IF($A904="","",IFERROR(INDEX(Map!$C$2:$C$400,MATCH($A904,Map!$A$2:$A$400,0)),"⚠ UNMAPPED"))</f>
        <v/>
      </c>
      <c r="H904" s="18" t="str">
        <f>IF($A904="","",IFERROR(INDEX(Map!$D$2:$D$400,MATCH($A904,Map!$A$2:$A$400,0)),"⚠ UNMAPPED"))</f>
        <v/>
      </c>
      <c r="I904" s="18" t="str">
        <f>IF($A904="","",IFERROR(INDEX(Map!$E$2:$E$400,MATCH($A904,Map!$A$2:$A$400,0)),"⚠ UNMAPPED"))</f>
        <v/>
      </c>
      <c r="J904" s="18" t="str">
        <f>IF($A904="","",IFERROR(INDEX(Map!$F$2:$F$400,MATCH($A904,Map!$A$2:$A$400,0)),"⚠ UNMAPPED"))</f>
        <v/>
      </c>
    </row>
    <row r="905" spans="7:10" x14ac:dyDescent="0.25">
      <c r="G905" s="158" t="str">
        <f>IF($A905="","",IFERROR(INDEX(Map!$C$2:$C$400,MATCH($A905,Map!$A$2:$A$400,0)),"⚠ UNMAPPED"))</f>
        <v/>
      </c>
      <c r="H905" s="18" t="str">
        <f>IF($A905="","",IFERROR(INDEX(Map!$D$2:$D$400,MATCH($A905,Map!$A$2:$A$400,0)),"⚠ UNMAPPED"))</f>
        <v/>
      </c>
      <c r="I905" s="18" t="str">
        <f>IF($A905="","",IFERROR(INDEX(Map!$E$2:$E$400,MATCH($A905,Map!$A$2:$A$400,0)),"⚠ UNMAPPED"))</f>
        <v/>
      </c>
      <c r="J905" s="18" t="str">
        <f>IF($A905="","",IFERROR(INDEX(Map!$F$2:$F$400,MATCH($A905,Map!$A$2:$A$400,0)),"⚠ UNMAPPED"))</f>
        <v/>
      </c>
    </row>
    <row r="906" spans="7:10" x14ac:dyDescent="0.25">
      <c r="G906" s="158" t="str">
        <f>IF($A906="","",IFERROR(INDEX(Map!$C$2:$C$400,MATCH($A906,Map!$A$2:$A$400,0)),"⚠ UNMAPPED"))</f>
        <v/>
      </c>
      <c r="H906" s="18" t="str">
        <f>IF($A906="","",IFERROR(INDEX(Map!$D$2:$D$400,MATCH($A906,Map!$A$2:$A$400,0)),"⚠ UNMAPPED"))</f>
        <v/>
      </c>
      <c r="I906" s="18" t="str">
        <f>IF($A906="","",IFERROR(INDEX(Map!$E$2:$E$400,MATCH($A906,Map!$A$2:$A$400,0)),"⚠ UNMAPPED"))</f>
        <v/>
      </c>
      <c r="J906" s="18" t="str">
        <f>IF($A906="","",IFERROR(INDEX(Map!$F$2:$F$400,MATCH($A906,Map!$A$2:$A$400,0)),"⚠ UNMAPPED"))</f>
        <v/>
      </c>
    </row>
    <row r="907" spans="7:10" x14ac:dyDescent="0.25">
      <c r="G907" s="158" t="str">
        <f>IF($A907="","",IFERROR(INDEX(Map!$C$2:$C$400,MATCH($A907,Map!$A$2:$A$400,0)),"⚠ UNMAPPED"))</f>
        <v/>
      </c>
      <c r="H907" s="18" t="str">
        <f>IF($A907="","",IFERROR(INDEX(Map!$D$2:$D$400,MATCH($A907,Map!$A$2:$A$400,0)),"⚠ UNMAPPED"))</f>
        <v/>
      </c>
      <c r="I907" s="18" t="str">
        <f>IF($A907="","",IFERROR(INDEX(Map!$E$2:$E$400,MATCH($A907,Map!$A$2:$A$400,0)),"⚠ UNMAPPED"))</f>
        <v/>
      </c>
      <c r="J907" s="18" t="str">
        <f>IF($A907="","",IFERROR(INDEX(Map!$F$2:$F$400,MATCH($A907,Map!$A$2:$A$400,0)),"⚠ UNMAPPED"))</f>
        <v/>
      </c>
    </row>
    <row r="908" spans="7:10" x14ac:dyDescent="0.25">
      <c r="G908" s="158" t="str">
        <f>IF($A908="","",IFERROR(INDEX(Map!$C$2:$C$400,MATCH($A908,Map!$A$2:$A$400,0)),"⚠ UNMAPPED"))</f>
        <v/>
      </c>
      <c r="H908" s="18" t="str">
        <f>IF($A908="","",IFERROR(INDEX(Map!$D$2:$D$400,MATCH($A908,Map!$A$2:$A$400,0)),"⚠ UNMAPPED"))</f>
        <v/>
      </c>
      <c r="I908" s="18" t="str">
        <f>IF($A908="","",IFERROR(INDEX(Map!$E$2:$E$400,MATCH($A908,Map!$A$2:$A$400,0)),"⚠ UNMAPPED"))</f>
        <v/>
      </c>
      <c r="J908" s="18" t="str">
        <f>IF($A908="","",IFERROR(INDEX(Map!$F$2:$F$400,MATCH($A908,Map!$A$2:$A$400,0)),"⚠ UNMAPPED"))</f>
        <v/>
      </c>
    </row>
    <row r="909" spans="7:10" x14ac:dyDescent="0.25">
      <c r="G909" s="158" t="str">
        <f>IF($A909="","",IFERROR(INDEX(Map!$C$2:$C$400,MATCH($A909,Map!$A$2:$A$400,0)),"⚠ UNMAPPED"))</f>
        <v/>
      </c>
      <c r="H909" s="18" t="str">
        <f>IF($A909="","",IFERROR(INDEX(Map!$D$2:$D$400,MATCH($A909,Map!$A$2:$A$400,0)),"⚠ UNMAPPED"))</f>
        <v/>
      </c>
      <c r="I909" s="18" t="str">
        <f>IF($A909="","",IFERROR(INDEX(Map!$E$2:$E$400,MATCH($A909,Map!$A$2:$A$400,0)),"⚠ UNMAPPED"))</f>
        <v/>
      </c>
      <c r="J909" s="18" t="str">
        <f>IF($A909="","",IFERROR(INDEX(Map!$F$2:$F$400,MATCH($A909,Map!$A$2:$A$400,0)),"⚠ UNMAPPED"))</f>
        <v/>
      </c>
    </row>
    <row r="910" spans="7:10" x14ac:dyDescent="0.25">
      <c r="G910" s="158" t="str">
        <f>IF($A910="","",IFERROR(INDEX(Map!$C$2:$C$400,MATCH($A910,Map!$A$2:$A$400,0)),"⚠ UNMAPPED"))</f>
        <v/>
      </c>
      <c r="H910" s="18" t="str">
        <f>IF($A910="","",IFERROR(INDEX(Map!$D$2:$D$400,MATCH($A910,Map!$A$2:$A$400,0)),"⚠ UNMAPPED"))</f>
        <v/>
      </c>
      <c r="I910" s="18" t="str">
        <f>IF($A910="","",IFERROR(INDEX(Map!$E$2:$E$400,MATCH($A910,Map!$A$2:$A$400,0)),"⚠ UNMAPPED"))</f>
        <v/>
      </c>
      <c r="J910" s="18" t="str">
        <f>IF($A910="","",IFERROR(INDEX(Map!$F$2:$F$400,MATCH($A910,Map!$A$2:$A$400,0)),"⚠ UNMAPPED"))</f>
        <v/>
      </c>
    </row>
    <row r="911" spans="7:10" x14ac:dyDescent="0.25">
      <c r="G911" s="158" t="str">
        <f>IF($A911="","",IFERROR(INDEX(Map!$C$2:$C$400,MATCH($A911,Map!$A$2:$A$400,0)),"⚠ UNMAPPED"))</f>
        <v/>
      </c>
      <c r="H911" s="18" t="str">
        <f>IF($A911="","",IFERROR(INDEX(Map!$D$2:$D$400,MATCH($A911,Map!$A$2:$A$400,0)),"⚠ UNMAPPED"))</f>
        <v/>
      </c>
      <c r="I911" s="18" t="str">
        <f>IF($A911="","",IFERROR(INDEX(Map!$E$2:$E$400,MATCH($A911,Map!$A$2:$A$400,0)),"⚠ UNMAPPED"))</f>
        <v/>
      </c>
      <c r="J911" s="18" t="str">
        <f>IF($A911="","",IFERROR(INDEX(Map!$F$2:$F$400,MATCH($A911,Map!$A$2:$A$400,0)),"⚠ UNMAPPED"))</f>
        <v/>
      </c>
    </row>
    <row r="912" spans="7:10" x14ac:dyDescent="0.25">
      <c r="G912" s="158" t="str">
        <f>IF($A912="","",IFERROR(INDEX(Map!$C$2:$C$400,MATCH($A912,Map!$A$2:$A$400,0)),"⚠ UNMAPPED"))</f>
        <v/>
      </c>
      <c r="H912" s="18" t="str">
        <f>IF($A912="","",IFERROR(INDEX(Map!$D$2:$D$400,MATCH($A912,Map!$A$2:$A$400,0)),"⚠ UNMAPPED"))</f>
        <v/>
      </c>
      <c r="I912" s="18" t="str">
        <f>IF($A912="","",IFERROR(INDEX(Map!$E$2:$E$400,MATCH($A912,Map!$A$2:$A$400,0)),"⚠ UNMAPPED"))</f>
        <v/>
      </c>
      <c r="J912" s="18" t="str">
        <f>IF($A912="","",IFERROR(INDEX(Map!$F$2:$F$400,MATCH($A912,Map!$A$2:$A$400,0)),"⚠ UNMAPPED"))</f>
        <v/>
      </c>
    </row>
    <row r="913" spans="7:10" x14ac:dyDescent="0.25">
      <c r="G913" s="158" t="str">
        <f>IF($A913="","",IFERROR(INDEX(Map!$C$2:$C$400,MATCH($A913,Map!$A$2:$A$400,0)),"⚠ UNMAPPED"))</f>
        <v/>
      </c>
      <c r="H913" s="18" t="str">
        <f>IF($A913="","",IFERROR(INDEX(Map!$D$2:$D$400,MATCH($A913,Map!$A$2:$A$400,0)),"⚠ UNMAPPED"))</f>
        <v/>
      </c>
      <c r="I913" s="18" t="str">
        <f>IF($A913="","",IFERROR(INDEX(Map!$E$2:$E$400,MATCH($A913,Map!$A$2:$A$400,0)),"⚠ UNMAPPED"))</f>
        <v/>
      </c>
      <c r="J913" s="18" t="str">
        <f>IF($A913="","",IFERROR(INDEX(Map!$F$2:$F$400,MATCH($A913,Map!$A$2:$A$400,0)),"⚠ UNMAPPED"))</f>
        <v/>
      </c>
    </row>
    <row r="914" spans="7:10" x14ac:dyDescent="0.25">
      <c r="G914" s="158" t="str">
        <f>IF($A914="","",IFERROR(INDEX(Map!$C$2:$C$400,MATCH($A914,Map!$A$2:$A$400,0)),"⚠ UNMAPPED"))</f>
        <v/>
      </c>
      <c r="H914" s="18" t="str">
        <f>IF($A914="","",IFERROR(INDEX(Map!$D$2:$D$400,MATCH($A914,Map!$A$2:$A$400,0)),"⚠ UNMAPPED"))</f>
        <v/>
      </c>
      <c r="I914" s="18" t="str">
        <f>IF($A914="","",IFERROR(INDEX(Map!$E$2:$E$400,MATCH($A914,Map!$A$2:$A$400,0)),"⚠ UNMAPPED"))</f>
        <v/>
      </c>
      <c r="J914" s="18" t="str">
        <f>IF($A914="","",IFERROR(INDEX(Map!$F$2:$F$400,MATCH($A914,Map!$A$2:$A$400,0)),"⚠ UNMAPPED"))</f>
        <v/>
      </c>
    </row>
    <row r="915" spans="7:10" x14ac:dyDescent="0.25">
      <c r="G915" s="158" t="str">
        <f>IF($A915="","",IFERROR(INDEX(Map!$C$2:$C$400,MATCH($A915,Map!$A$2:$A$400,0)),"⚠ UNMAPPED"))</f>
        <v/>
      </c>
      <c r="H915" s="18" t="str">
        <f>IF($A915="","",IFERROR(INDEX(Map!$D$2:$D$400,MATCH($A915,Map!$A$2:$A$400,0)),"⚠ UNMAPPED"))</f>
        <v/>
      </c>
      <c r="I915" s="18" t="str">
        <f>IF($A915="","",IFERROR(INDEX(Map!$E$2:$E$400,MATCH($A915,Map!$A$2:$A$400,0)),"⚠ UNMAPPED"))</f>
        <v/>
      </c>
      <c r="J915" s="18" t="str">
        <f>IF($A915="","",IFERROR(INDEX(Map!$F$2:$F$400,MATCH($A915,Map!$A$2:$A$400,0)),"⚠ UNMAPPED"))</f>
        <v/>
      </c>
    </row>
    <row r="916" spans="7:10" x14ac:dyDescent="0.25">
      <c r="G916" s="158" t="str">
        <f>IF($A916="","",IFERROR(INDEX(Map!$C$2:$C$400,MATCH($A916,Map!$A$2:$A$400,0)),"⚠ UNMAPPED"))</f>
        <v/>
      </c>
      <c r="H916" s="18" t="str">
        <f>IF($A916="","",IFERROR(INDEX(Map!$D$2:$D$400,MATCH($A916,Map!$A$2:$A$400,0)),"⚠ UNMAPPED"))</f>
        <v/>
      </c>
      <c r="I916" s="18" t="str">
        <f>IF($A916="","",IFERROR(INDEX(Map!$E$2:$E$400,MATCH($A916,Map!$A$2:$A$400,0)),"⚠ UNMAPPED"))</f>
        <v/>
      </c>
      <c r="J916" s="18" t="str">
        <f>IF($A916="","",IFERROR(INDEX(Map!$F$2:$F$400,MATCH($A916,Map!$A$2:$A$400,0)),"⚠ UNMAPPED"))</f>
        <v/>
      </c>
    </row>
    <row r="917" spans="7:10" x14ac:dyDescent="0.25">
      <c r="G917" s="158" t="str">
        <f>IF($A917="","",IFERROR(INDEX(Map!$C$2:$C$400,MATCH($A917,Map!$A$2:$A$400,0)),"⚠ UNMAPPED"))</f>
        <v/>
      </c>
      <c r="H917" s="18" t="str">
        <f>IF($A917="","",IFERROR(INDEX(Map!$D$2:$D$400,MATCH($A917,Map!$A$2:$A$400,0)),"⚠ UNMAPPED"))</f>
        <v/>
      </c>
      <c r="I917" s="18" t="str">
        <f>IF($A917="","",IFERROR(INDEX(Map!$E$2:$E$400,MATCH($A917,Map!$A$2:$A$400,0)),"⚠ UNMAPPED"))</f>
        <v/>
      </c>
      <c r="J917" s="18" t="str">
        <f>IF($A917="","",IFERROR(INDEX(Map!$F$2:$F$400,MATCH($A917,Map!$A$2:$A$400,0)),"⚠ UNMAPPED"))</f>
        <v/>
      </c>
    </row>
    <row r="918" spans="7:10" x14ac:dyDescent="0.25">
      <c r="G918" s="158" t="str">
        <f>IF($A918="","",IFERROR(INDEX(Map!$C$2:$C$400,MATCH($A918,Map!$A$2:$A$400,0)),"⚠ UNMAPPED"))</f>
        <v/>
      </c>
      <c r="H918" s="18" t="str">
        <f>IF($A918="","",IFERROR(INDEX(Map!$D$2:$D$400,MATCH($A918,Map!$A$2:$A$400,0)),"⚠ UNMAPPED"))</f>
        <v/>
      </c>
      <c r="I918" s="18" t="str">
        <f>IF($A918="","",IFERROR(INDEX(Map!$E$2:$E$400,MATCH($A918,Map!$A$2:$A$400,0)),"⚠ UNMAPPED"))</f>
        <v/>
      </c>
      <c r="J918" s="18" t="str">
        <f>IF($A918="","",IFERROR(INDEX(Map!$F$2:$F$400,MATCH($A918,Map!$A$2:$A$400,0)),"⚠ UNMAPPED"))</f>
        <v/>
      </c>
    </row>
    <row r="919" spans="7:10" x14ac:dyDescent="0.25">
      <c r="G919" s="158" t="str">
        <f>IF($A919="","",IFERROR(INDEX(Map!$C$2:$C$400,MATCH($A919,Map!$A$2:$A$400,0)),"⚠ UNMAPPED"))</f>
        <v/>
      </c>
      <c r="H919" s="18" t="str">
        <f>IF($A919="","",IFERROR(INDEX(Map!$D$2:$D$400,MATCH($A919,Map!$A$2:$A$400,0)),"⚠ UNMAPPED"))</f>
        <v/>
      </c>
      <c r="I919" s="18" t="str">
        <f>IF($A919="","",IFERROR(INDEX(Map!$E$2:$E$400,MATCH($A919,Map!$A$2:$A$400,0)),"⚠ UNMAPPED"))</f>
        <v/>
      </c>
      <c r="J919" s="18" t="str">
        <f>IF($A919="","",IFERROR(INDEX(Map!$F$2:$F$400,MATCH($A919,Map!$A$2:$A$400,0)),"⚠ UNMAPPED"))</f>
        <v/>
      </c>
    </row>
    <row r="920" spans="7:10" x14ac:dyDescent="0.25">
      <c r="G920" s="158" t="str">
        <f>IF($A920="","",IFERROR(INDEX(Map!$C$2:$C$400,MATCH($A920,Map!$A$2:$A$400,0)),"⚠ UNMAPPED"))</f>
        <v/>
      </c>
      <c r="H920" s="18" t="str">
        <f>IF($A920="","",IFERROR(INDEX(Map!$D$2:$D$400,MATCH($A920,Map!$A$2:$A$400,0)),"⚠ UNMAPPED"))</f>
        <v/>
      </c>
      <c r="I920" s="18" t="str">
        <f>IF($A920="","",IFERROR(INDEX(Map!$E$2:$E$400,MATCH($A920,Map!$A$2:$A$400,0)),"⚠ UNMAPPED"))</f>
        <v/>
      </c>
      <c r="J920" s="18" t="str">
        <f>IF($A920="","",IFERROR(INDEX(Map!$F$2:$F$400,MATCH($A920,Map!$A$2:$A$400,0)),"⚠ UNMAPPED"))</f>
        <v/>
      </c>
    </row>
    <row r="921" spans="7:10" x14ac:dyDescent="0.25">
      <c r="G921" s="158" t="str">
        <f>IF($A921="","",IFERROR(INDEX(Map!$C$2:$C$400,MATCH($A921,Map!$A$2:$A$400,0)),"⚠ UNMAPPED"))</f>
        <v/>
      </c>
      <c r="H921" s="18" t="str">
        <f>IF($A921="","",IFERROR(INDEX(Map!$D$2:$D$400,MATCH($A921,Map!$A$2:$A$400,0)),"⚠ UNMAPPED"))</f>
        <v/>
      </c>
      <c r="I921" s="18" t="str">
        <f>IF($A921="","",IFERROR(INDEX(Map!$E$2:$E$400,MATCH($A921,Map!$A$2:$A$400,0)),"⚠ UNMAPPED"))</f>
        <v/>
      </c>
      <c r="J921" s="18" t="str">
        <f>IF($A921="","",IFERROR(INDEX(Map!$F$2:$F$400,MATCH($A921,Map!$A$2:$A$400,0)),"⚠ UNMAPPED"))</f>
        <v/>
      </c>
    </row>
    <row r="922" spans="7:10" x14ac:dyDescent="0.25">
      <c r="G922" s="158" t="str">
        <f>IF($A922="","",IFERROR(INDEX(Map!$C$2:$C$400,MATCH($A922,Map!$A$2:$A$400,0)),"⚠ UNMAPPED"))</f>
        <v/>
      </c>
      <c r="H922" s="18" t="str">
        <f>IF($A922="","",IFERROR(INDEX(Map!$D$2:$D$400,MATCH($A922,Map!$A$2:$A$400,0)),"⚠ UNMAPPED"))</f>
        <v/>
      </c>
      <c r="I922" s="18" t="str">
        <f>IF($A922="","",IFERROR(INDEX(Map!$E$2:$E$400,MATCH($A922,Map!$A$2:$A$400,0)),"⚠ UNMAPPED"))</f>
        <v/>
      </c>
      <c r="J922" s="18" t="str">
        <f>IF($A922="","",IFERROR(INDEX(Map!$F$2:$F$400,MATCH($A922,Map!$A$2:$A$400,0)),"⚠ UNMAPPED"))</f>
        <v/>
      </c>
    </row>
    <row r="923" spans="7:10" x14ac:dyDescent="0.25">
      <c r="G923" s="158" t="str">
        <f>IF($A923="","",IFERROR(INDEX(Map!$C$2:$C$400,MATCH($A923,Map!$A$2:$A$400,0)),"⚠ UNMAPPED"))</f>
        <v/>
      </c>
      <c r="H923" s="18" t="str">
        <f>IF($A923="","",IFERROR(INDEX(Map!$D$2:$D$400,MATCH($A923,Map!$A$2:$A$400,0)),"⚠ UNMAPPED"))</f>
        <v/>
      </c>
      <c r="I923" s="18" t="str">
        <f>IF($A923="","",IFERROR(INDEX(Map!$E$2:$E$400,MATCH($A923,Map!$A$2:$A$400,0)),"⚠ UNMAPPED"))</f>
        <v/>
      </c>
      <c r="J923" s="18" t="str">
        <f>IF($A923="","",IFERROR(INDEX(Map!$F$2:$F$400,MATCH($A923,Map!$A$2:$A$400,0)),"⚠ UNMAPPED"))</f>
        <v/>
      </c>
    </row>
    <row r="924" spans="7:10" x14ac:dyDescent="0.25">
      <c r="G924" s="158" t="str">
        <f>IF($A924="","",IFERROR(INDEX(Map!$C$2:$C$400,MATCH($A924,Map!$A$2:$A$400,0)),"⚠ UNMAPPED"))</f>
        <v/>
      </c>
      <c r="H924" s="18" t="str">
        <f>IF($A924="","",IFERROR(INDEX(Map!$D$2:$D$400,MATCH($A924,Map!$A$2:$A$400,0)),"⚠ UNMAPPED"))</f>
        <v/>
      </c>
      <c r="I924" s="18" t="str">
        <f>IF($A924="","",IFERROR(INDEX(Map!$E$2:$E$400,MATCH($A924,Map!$A$2:$A$400,0)),"⚠ UNMAPPED"))</f>
        <v/>
      </c>
      <c r="J924" s="18" t="str">
        <f>IF($A924="","",IFERROR(INDEX(Map!$F$2:$F$400,MATCH($A924,Map!$A$2:$A$400,0)),"⚠ UNMAPPED"))</f>
        <v/>
      </c>
    </row>
    <row r="925" spans="7:10" x14ac:dyDescent="0.25">
      <c r="G925" s="158" t="str">
        <f>IF($A925="","",IFERROR(INDEX(Map!$C$2:$C$400,MATCH($A925,Map!$A$2:$A$400,0)),"⚠ UNMAPPED"))</f>
        <v/>
      </c>
      <c r="H925" s="18" t="str">
        <f>IF($A925="","",IFERROR(INDEX(Map!$D$2:$D$400,MATCH($A925,Map!$A$2:$A$400,0)),"⚠ UNMAPPED"))</f>
        <v/>
      </c>
      <c r="I925" s="18" t="str">
        <f>IF($A925="","",IFERROR(INDEX(Map!$E$2:$E$400,MATCH($A925,Map!$A$2:$A$400,0)),"⚠ UNMAPPED"))</f>
        <v/>
      </c>
      <c r="J925" s="18" t="str">
        <f>IF($A925="","",IFERROR(INDEX(Map!$F$2:$F$400,MATCH($A925,Map!$A$2:$A$400,0)),"⚠ UNMAPPED"))</f>
        <v/>
      </c>
    </row>
    <row r="926" spans="7:10" x14ac:dyDescent="0.25">
      <c r="G926" s="158" t="str">
        <f>IF($A926="","",IFERROR(INDEX(Map!$C$2:$C$400,MATCH($A926,Map!$A$2:$A$400,0)),"⚠ UNMAPPED"))</f>
        <v/>
      </c>
      <c r="H926" s="18" t="str">
        <f>IF($A926="","",IFERROR(INDEX(Map!$D$2:$D$400,MATCH($A926,Map!$A$2:$A$400,0)),"⚠ UNMAPPED"))</f>
        <v/>
      </c>
      <c r="I926" s="18" t="str">
        <f>IF($A926="","",IFERROR(INDEX(Map!$E$2:$E$400,MATCH($A926,Map!$A$2:$A$400,0)),"⚠ UNMAPPED"))</f>
        <v/>
      </c>
      <c r="J926" s="18" t="str">
        <f>IF($A926="","",IFERROR(INDEX(Map!$F$2:$F$400,MATCH($A926,Map!$A$2:$A$400,0)),"⚠ UNMAPPED"))</f>
        <v/>
      </c>
    </row>
    <row r="927" spans="7:10" x14ac:dyDescent="0.25">
      <c r="G927" s="158" t="str">
        <f>IF($A927="","",IFERROR(INDEX(Map!$C$2:$C$400,MATCH($A927,Map!$A$2:$A$400,0)),"⚠ UNMAPPED"))</f>
        <v/>
      </c>
      <c r="H927" s="18" t="str">
        <f>IF($A927="","",IFERROR(INDEX(Map!$D$2:$D$400,MATCH($A927,Map!$A$2:$A$400,0)),"⚠ UNMAPPED"))</f>
        <v/>
      </c>
      <c r="I927" s="18" t="str">
        <f>IF($A927="","",IFERROR(INDEX(Map!$E$2:$E$400,MATCH($A927,Map!$A$2:$A$400,0)),"⚠ UNMAPPED"))</f>
        <v/>
      </c>
      <c r="J927" s="18" t="str">
        <f>IF($A927="","",IFERROR(INDEX(Map!$F$2:$F$400,MATCH($A927,Map!$A$2:$A$400,0)),"⚠ UNMAPPED"))</f>
        <v/>
      </c>
    </row>
    <row r="928" spans="7:10" x14ac:dyDescent="0.25">
      <c r="G928" s="158" t="str">
        <f>IF($A928="","",IFERROR(INDEX(Map!$C$2:$C$400,MATCH($A928,Map!$A$2:$A$400,0)),"⚠ UNMAPPED"))</f>
        <v/>
      </c>
      <c r="H928" s="18" t="str">
        <f>IF($A928="","",IFERROR(INDEX(Map!$D$2:$D$400,MATCH($A928,Map!$A$2:$A$400,0)),"⚠ UNMAPPED"))</f>
        <v/>
      </c>
      <c r="I928" s="18" t="str">
        <f>IF($A928="","",IFERROR(INDEX(Map!$E$2:$E$400,MATCH($A928,Map!$A$2:$A$400,0)),"⚠ UNMAPPED"))</f>
        <v/>
      </c>
      <c r="J928" s="18" t="str">
        <f>IF($A928="","",IFERROR(INDEX(Map!$F$2:$F$400,MATCH($A928,Map!$A$2:$A$400,0)),"⚠ UNMAPPED"))</f>
        <v/>
      </c>
    </row>
    <row r="929" spans="7:10" x14ac:dyDescent="0.25">
      <c r="G929" s="158" t="str">
        <f>IF($A929="","",IFERROR(INDEX(Map!$C$2:$C$400,MATCH($A929,Map!$A$2:$A$400,0)),"⚠ UNMAPPED"))</f>
        <v/>
      </c>
      <c r="H929" s="18" t="str">
        <f>IF($A929="","",IFERROR(INDEX(Map!$D$2:$D$400,MATCH($A929,Map!$A$2:$A$400,0)),"⚠ UNMAPPED"))</f>
        <v/>
      </c>
      <c r="I929" s="18" t="str">
        <f>IF($A929="","",IFERROR(INDEX(Map!$E$2:$E$400,MATCH($A929,Map!$A$2:$A$400,0)),"⚠ UNMAPPED"))</f>
        <v/>
      </c>
      <c r="J929" s="18" t="str">
        <f>IF($A929="","",IFERROR(INDEX(Map!$F$2:$F$400,MATCH($A929,Map!$A$2:$A$400,0)),"⚠ UNMAPPED"))</f>
        <v/>
      </c>
    </row>
    <row r="930" spans="7:10" x14ac:dyDescent="0.25">
      <c r="G930" s="158" t="str">
        <f>IF($A930="","",IFERROR(INDEX(Map!$C$2:$C$400,MATCH($A930,Map!$A$2:$A$400,0)),"⚠ UNMAPPED"))</f>
        <v/>
      </c>
      <c r="H930" s="18" t="str">
        <f>IF($A930="","",IFERROR(INDEX(Map!$D$2:$D$400,MATCH($A930,Map!$A$2:$A$400,0)),"⚠ UNMAPPED"))</f>
        <v/>
      </c>
      <c r="I930" s="18" t="str">
        <f>IF($A930="","",IFERROR(INDEX(Map!$E$2:$E$400,MATCH($A930,Map!$A$2:$A$400,0)),"⚠ UNMAPPED"))</f>
        <v/>
      </c>
      <c r="J930" s="18" t="str">
        <f>IF($A930="","",IFERROR(INDEX(Map!$F$2:$F$400,MATCH($A930,Map!$A$2:$A$400,0)),"⚠ UNMAPPED"))</f>
        <v/>
      </c>
    </row>
    <row r="931" spans="7:10" x14ac:dyDescent="0.25">
      <c r="G931" s="158" t="str">
        <f>IF($A931="","",IFERROR(INDEX(Map!$C$2:$C$400,MATCH($A931,Map!$A$2:$A$400,0)),"⚠ UNMAPPED"))</f>
        <v/>
      </c>
      <c r="H931" s="18" t="str">
        <f>IF($A931="","",IFERROR(INDEX(Map!$D$2:$D$400,MATCH($A931,Map!$A$2:$A$400,0)),"⚠ UNMAPPED"))</f>
        <v/>
      </c>
      <c r="I931" s="18" t="str">
        <f>IF($A931="","",IFERROR(INDEX(Map!$E$2:$E$400,MATCH($A931,Map!$A$2:$A$400,0)),"⚠ UNMAPPED"))</f>
        <v/>
      </c>
      <c r="J931" s="18" t="str">
        <f>IF($A931="","",IFERROR(INDEX(Map!$F$2:$F$400,MATCH($A931,Map!$A$2:$A$400,0)),"⚠ UNMAPPED"))</f>
        <v/>
      </c>
    </row>
    <row r="932" spans="7:10" x14ac:dyDescent="0.25">
      <c r="G932" s="158" t="str">
        <f>IF($A932="","",IFERROR(INDEX(Map!$C$2:$C$400,MATCH($A932,Map!$A$2:$A$400,0)),"⚠ UNMAPPED"))</f>
        <v/>
      </c>
      <c r="H932" s="18" t="str">
        <f>IF($A932="","",IFERROR(INDEX(Map!$D$2:$D$400,MATCH($A932,Map!$A$2:$A$400,0)),"⚠ UNMAPPED"))</f>
        <v/>
      </c>
      <c r="I932" s="18" t="str">
        <f>IF($A932="","",IFERROR(INDEX(Map!$E$2:$E$400,MATCH($A932,Map!$A$2:$A$400,0)),"⚠ UNMAPPED"))</f>
        <v/>
      </c>
      <c r="J932" s="18" t="str">
        <f>IF($A932="","",IFERROR(INDEX(Map!$F$2:$F$400,MATCH($A932,Map!$A$2:$A$400,0)),"⚠ UNMAPPED"))</f>
        <v/>
      </c>
    </row>
    <row r="933" spans="7:10" x14ac:dyDescent="0.25">
      <c r="G933" s="158" t="str">
        <f>IF($A933="","",IFERROR(INDEX(Map!$C$2:$C$400,MATCH($A933,Map!$A$2:$A$400,0)),"⚠ UNMAPPED"))</f>
        <v/>
      </c>
      <c r="H933" s="18" t="str">
        <f>IF($A933="","",IFERROR(INDEX(Map!$D$2:$D$400,MATCH($A933,Map!$A$2:$A$400,0)),"⚠ UNMAPPED"))</f>
        <v/>
      </c>
      <c r="I933" s="18" t="str">
        <f>IF($A933="","",IFERROR(INDEX(Map!$E$2:$E$400,MATCH($A933,Map!$A$2:$A$400,0)),"⚠ UNMAPPED"))</f>
        <v/>
      </c>
      <c r="J933" s="18" t="str">
        <f>IF($A933="","",IFERROR(INDEX(Map!$F$2:$F$400,MATCH($A933,Map!$A$2:$A$400,0)),"⚠ UNMAPPED"))</f>
        <v/>
      </c>
    </row>
    <row r="934" spans="7:10" x14ac:dyDescent="0.25">
      <c r="G934" s="158" t="str">
        <f>IF($A934="","",IFERROR(INDEX(Map!$C$2:$C$400,MATCH($A934,Map!$A$2:$A$400,0)),"⚠ UNMAPPED"))</f>
        <v/>
      </c>
      <c r="H934" s="18" t="str">
        <f>IF($A934="","",IFERROR(INDEX(Map!$D$2:$D$400,MATCH($A934,Map!$A$2:$A$400,0)),"⚠ UNMAPPED"))</f>
        <v/>
      </c>
      <c r="I934" s="18" t="str">
        <f>IF($A934="","",IFERROR(INDEX(Map!$E$2:$E$400,MATCH($A934,Map!$A$2:$A$400,0)),"⚠ UNMAPPED"))</f>
        <v/>
      </c>
      <c r="J934" s="18" t="str">
        <f>IF($A934="","",IFERROR(INDEX(Map!$F$2:$F$400,MATCH($A934,Map!$A$2:$A$400,0)),"⚠ UNMAPPED"))</f>
        <v/>
      </c>
    </row>
    <row r="935" spans="7:10" x14ac:dyDescent="0.25">
      <c r="G935" s="158" t="str">
        <f>IF($A935="","",IFERROR(INDEX(Map!$C$2:$C$400,MATCH($A935,Map!$A$2:$A$400,0)),"⚠ UNMAPPED"))</f>
        <v/>
      </c>
      <c r="H935" s="18" t="str">
        <f>IF($A935="","",IFERROR(INDEX(Map!$D$2:$D$400,MATCH($A935,Map!$A$2:$A$400,0)),"⚠ UNMAPPED"))</f>
        <v/>
      </c>
      <c r="I935" s="18" t="str">
        <f>IF($A935="","",IFERROR(INDEX(Map!$E$2:$E$400,MATCH($A935,Map!$A$2:$A$400,0)),"⚠ UNMAPPED"))</f>
        <v/>
      </c>
      <c r="J935" s="18" t="str">
        <f>IF($A935="","",IFERROR(INDEX(Map!$F$2:$F$400,MATCH($A935,Map!$A$2:$A$400,0)),"⚠ UNMAPPED"))</f>
        <v/>
      </c>
    </row>
    <row r="936" spans="7:10" x14ac:dyDescent="0.25">
      <c r="G936" s="158" t="str">
        <f>IF($A936="","",IFERROR(INDEX(Map!$C$2:$C$400,MATCH($A936,Map!$A$2:$A$400,0)),"⚠ UNMAPPED"))</f>
        <v/>
      </c>
      <c r="H936" s="18" t="str">
        <f>IF($A936="","",IFERROR(INDEX(Map!$D$2:$D$400,MATCH($A936,Map!$A$2:$A$400,0)),"⚠ UNMAPPED"))</f>
        <v/>
      </c>
      <c r="I936" s="18" t="str">
        <f>IF($A936="","",IFERROR(INDEX(Map!$E$2:$E$400,MATCH($A936,Map!$A$2:$A$400,0)),"⚠ UNMAPPED"))</f>
        <v/>
      </c>
      <c r="J936" s="18" t="str">
        <f>IF($A936="","",IFERROR(INDEX(Map!$F$2:$F$400,MATCH($A936,Map!$A$2:$A$400,0)),"⚠ UNMAPPED"))</f>
        <v/>
      </c>
    </row>
    <row r="937" spans="7:10" x14ac:dyDescent="0.25">
      <c r="G937" s="158" t="str">
        <f>IF($A937="","",IFERROR(INDEX(Map!$C$2:$C$400,MATCH($A937,Map!$A$2:$A$400,0)),"⚠ UNMAPPED"))</f>
        <v/>
      </c>
      <c r="H937" s="18" t="str">
        <f>IF($A937="","",IFERROR(INDEX(Map!$D$2:$D$400,MATCH($A937,Map!$A$2:$A$400,0)),"⚠ UNMAPPED"))</f>
        <v/>
      </c>
      <c r="I937" s="18" t="str">
        <f>IF($A937="","",IFERROR(INDEX(Map!$E$2:$E$400,MATCH($A937,Map!$A$2:$A$400,0)),"⚠ UNMAPPED"))</f>
        <v/>
      </c>
      <c r="J937" s="18" t="str">
        <f>IF($A937="","",IFERROR(INDEX(Map!$F$2:$F$400,MATCH($A937,Map!$A$2:$A$400,0)),"⚠ UNMAPPED"))</f>
        <v/>
      </c>
    </row>
    <row r="938" spans="7:10" x14ac:dyDescent="0.25">
      <c r="G938" s="158" t="str">
        <f>IF($A938="","",IFERROR(INDEX(Map!$C$2:$C$400,MATCH($A938,Map!$A$2:$A$400,0)),"⚠ UNMAPPED"))</f>
        <v/>
      </c>
      <c r="H938" s="18" t="str">
        <f>IF($A938="","",IFERROR(INDEX(Map!$D$2:$D$400,MATCH($A938,Map!$A$2:$A$400,0)),"⚠ UNMAPPED"))</f>
        <v/>
      </c>
      <c r="I938" s="18" t="str">
        <f>IF($A938="","",IFERROR(INDEX(Map!$E$2:$E$400,MATCH($A938,Map!$A$2:$A$400,0)),"⚠ UNMAPPED"))</f>
        <v/>
      </c>
      <c r="J938" s="18" t="str">
        <f>IF($A938="","",IFERROR(INDEX(Map!$F$2:$F$400,MATCH($A938,Map!$A$2:$A$400,0)),"⚠ UNMAPPED"))</f>
        <v/>
      </c>
    </row>
    <row r="939" spans="7:10" x14ac:dyDescent="0.25">
      <c r="G939" s="158" t="str">
        <f>IF($A939="","",IFERROR(INDEX(Map!$C$2:$C$400,MATCH($A939,Map!$A$2:$A$400,0)),"⚠ UNMAPPED"))</f>
        <v/>
      </c>
      <c r="H939" s="18" t="str">
        <f>IF($A939="","",IFERROR(INDEX(Map!$D$2:$D$400,MATCH($A939,Map!$A$2:$A$400,0)),"⚠ UNMAPPED"))</f>
        <v/>
      </c>
      <c r="I939" s="18" t="str">
        <f>IF($A939="","",IFERROR(INDEX(Map!$E$2:$E$400,MATCH($A939,Map!$A$2:$A$400,0)),"⚠ UNMAPPED"))</f>
        <v/>
      </c>
      <c r="J939" s="18" t="str">
        <f>IF($A939="","",IFERROR(INDEX(Map!$F$2:$F$400,MATCH($A939,Map!$A$2:$A$400,0)),"⚠ UNMAPPED"))</f>
        <v/>
      </c>
    </row>
    <row r="940" spans="7:10" x14ac:dyDescent="0.25">
      <c r="G940" s="158" t="str">
        <f>IF($A940="","",IFERROR(INDEX(Map!$C$2:$C$400,MATCH($A940,Map!$A$2:$A$400,0)),"⚠ UNMAPPED"))</f>
        <v/>
      </c>
      <c r="H940" s="18" t="str">
        <f>IF($A940="","",IFERROR(INDEX(Map!$D$2:$D$400,MATCH($A940,Map!$A$2:$A$400,0)),"⚠ UNMAPPED"))</f>
        <v/>
      </c>
      <c r="I940" s="18" t="str">
        <f>IF($A940="","",IFERROR(INDEX(Map!$E$2:$E$400,MATCH($A940,Map!$A$2:$A$400,0)),"⚠ UNMAPPED"))</f>
        <v/>
      </c>
      <c r="J940" s="18" t="str">
        <f>IF($A940="","",IFERROR(INDEX(Map!$F$2:$F$400,MATCH($A940,Map!$A$2:$A$400,0)),"⚠ UNMAPPED"))</f>
        <v/>
      </c>
    </row>
    <row r="941" spans="7:10" x14ac:dyDescent="0.25">
      <c r="G941" s="158" t="str">
        <f>IF($A941="","",IFERROR(INDEX(Map!$C$2:$C$400,MATCH($A941,Map!$A$2:$A$400,0)),"⚠ UNMAPPED"))</f>
        <v/>
      </c>
      <c r="H941" s="18" t="str">
        <f>IF($A941="","",IFERROR(INDEX(Map!$D$2:$D$400,MATCH($A941,Map!$A$2:$A$400,0)),"⚠ UNMAPPED"))</f>
        <v/>
      </c>
      <c r="I941" s="18" t="str">
        <f>IF($A941="","",IFERROR(INDEX(Map!$E$2:$E$400,MATCH($A941,Map!$A$2:$A$400,0)),"⚠ UNMAPPED"))</f>
        <v/>
      </c>
      <c r="J941" s="18" t="str">
        <f>IF($A941="","",IFERROR(INDEX(Map!$F$2:$F$400,MATCH($A941,Map!$A$2:$A$400,0)),"⚠ UNMAPPED"))</f>
        <v/>
      </c>
    </row>
    <row r="942" spans="7:10" x14ac:dyDescent="0.25">
      <c r="G942" s="158" t="str">
        <f>IF($A942="","",IFERROR(INDEX(Map!$C$2:$C$400,MATCH($A942,Map!$A$2:$A$400,0)),"⚠ UNMAPPED"))</f>
        <v/>
      </c>
      <c r="H942" s="18" t="str">
        <f>IF($A942="","",IFERROR(INDEX(Map!$D$2:$D$400,MATCH($A942,Map!$A$2:$A$400,0)),"⚠ UNMAPPED"))</f>
        <v/>
      </c>
      <c r="I942" s="18" t="str">
        <f>IF($A942="","",IFERROR(INDEX(Map!$E$2:$E$400,MATCH($A942,Map!$A$2:$A$400,0)),"⚠ UNMAPPED"))</f>
        <v/>
      </c>
      <c r="J942" s="18" t="str">
        <f>IF($A942="","",IFERROR(INDEX(Map!$F$2:$F$400,MATCH($A942,Map!$A$2:$A$400,0)),"⚠ UNMAPPED"))</f>
        <v/>
      </c>
    </row>
    <row r="943" spans="7:10" x14ac:dyDescent="0.25">
      <c r="G943" s="158" t="str">
        <f>IF($A943="","",IFERROR(INDEX(Map!$C$2:$C$400,MATCH($A943,Map!$A$2:$A$400,0)),"⚠ UNMAPPED"))</f>
        <v/>
      </c>
      <c r="H943" s="18" t="str">
        <f>IF($A943="","",IFERROR(INDEX(Map!$D$2:$D$400,MATCH($A943,Map!$A$2:$A$400,0)),"⚠ UNMAPPED"))</f>
        <v/>
      </c>
      <c r="I943" s="18" t="str">
        <f>IF($A943="","",IFERROR(INDEX(Map!$E$2:$E$400,MATCH($A943,Map!$A$2:$A$400,0)),"⚠ UNMAPPED"))</f>
        <v/>
      </c>
      <c r="J943" s="18" t="str">
        <f>IF($A943="","",IFERROR(INDEX(Map!$F$2:$F$400,MATCH($A943,Map!$A$2:$A$400,0)),"⚠ UNMAPPED"))</f>
        <v/>
      </c>
    </row>
    <row r="944" spans="7:10" x14ac:dyDescent="0.25">
      <c r="G944" s="158" t="str">
        <f>IF($A944="","",IFERROR(INDEX(Map!$C$2:$C$400,MATCH($A944,Map!$A$2:$A$400,0)),"⚠ UNMAPPED"))</f>
        <v/>
      </c>
      <c r="H944" s="18" t="str">
        <f>IF($A944="","",IFERROR(INDEX(Map!$D$2:$D$400,MATCH($A944,Map!$A$2:$A$400,0)),"⚠ UNMAPPED"))</f>
        <v/>
      </c>
      <c r="I944" s="18" t="str">
        <f>IF($A944="","",IFERROR(INDEX(Map!$E$2:$E$400,MATCH($A944,Map!$A$2:$A$400,0)),"⚠ UNMAPPED"))</f>
        <v/>
      </c>
      <c r="J944" s="18" t="str">
        <f>IF($A944="","",IFERROR(INDEX(Map!$F$2:$F$400,MATCH($A944,Map!$A$2:$A$400,0)),"⚠ UNMAPPED"))</f>
        <v/>
      </c>
    </row>
    <row r="945" spans="7:10" x14ac:dyDescent="0.25">
      <c r="G945" s="158" t="str">
        <f>IF($A945="","",IFERROR(INDEX(Map!$C$2:$C$400,MATCH($A945,Map!$A$2:$A$400,0)),"⚠ UNMAPPED"))</f>
        <v/>
      </c>
      <c r="H945" s="18" t="str">
        <f>IF($A945="","",IFERROR(INDEX(Map!$D$2:$D$400,MATCH($A945,Map!$A$2:$A$400,0)),"⚠ UNMAPPED"))</f>
        <v/>
      </c>
      <c r="I945" s="18" t="str">
        <f>IF($A945="","",IFERROR(INDEX(Map!$E$2:$E$400,MATCH($A945,Map!$A$2:$A$400,0)),"⚠ UNMAPPED"))</f>
        <v/>
      </c>
      <c r="J945" s="18" t="str">
        <f>IF($A945="","",IFERROR(INDEX(Map!$F$2:$F$400,MATCH($A945,Map!$A$2:$A$400,0)),"⚠ UNMAPPED"))</f>
        <v/>
      </c>
    </row>
    <row r="946" spans="7:10" x14ac:dyDescent="0.25">
      <c r="G946" s="158" t="str">
        <f>IF($A946="","",IFERROR(INDEX(Map!$C$2:$C$400,MATCH($A946,Map!$A$2:$A$400,0)),"⚠ UNMAPPED"))</f>
        <v/>
      </c>
      <c r="H946" s="18" t="str">
        <f>IF($A946="","",IFERROR(INDEX(Map!$D$2:$D$400,MATCH($A946,Map!$A$2:$A$400,0)),"⚠ UNMAPPED"))</f>
        <v/>
      </c>
      <c r="I946" s="18" t="str">
        <f>IF($A946="","",IFERROR(INDEX(Map!$E$2:$E$400,MATCH($A946,Map!$A$2:$A$400,0)),"⚠ UNMAPPED"))</f>
        <v/>
      </c>
      <c r="J946" s="18" t="str">
        <f>IF($A946="","",IFERROR(INDEX(Map!$F$2:$F$400,MATCH($A946,Map!$A$2:$A$400,0)),"⚠ UNMAPPED"))</f>
        <v/>
      </c>
    </row>
    <row r="947" spans="7:10" x14ac:dyDescent="0.25">
      <c r="G947" s="158" t="str">
        <f>IF($A947="","",IFERROR(INDEX(Map!$C$2:$C$400,MATCH($A947,Map!$A$2:$A$400,0)),"⚠ UNMAPPED"))</f>
        <v/>
      </c>
      <c r="H947" s="18" t="str">
        <f>IF($A947="","",IFERROR(INDEX(Map!$D$2:$D$400,MATCH($A947,Map!$A$2:$A$400,0)),"⚠ UNMAPPED"))</f>
        <v/>
      </c>
      <c r="I947" s="18" t="str">
        <f>IF($A947="","",IFERROR(INDEX(Map!$E$2:$E$400,MATCH($A947,Map!$A$2:$A$400,0)),"⚠ UNMAPPED"))</f>
        <v/>
      </c>
      <c r="J947" s="18" t="str">
        <f>IF($A947="","",IFERROR(INDEX(Map!$F$2:$F$400,MATCH($A947,Map!$A$2:$A$400,0)),"⚠ UNMAPPED"))</f>
        <v/>
      </c>
    </row>
    <row r="948" spans="7:10" x14ac:dyDescent="0.25">
      <c r="G948" s="158" t="str">
        <f>IF($A948="","",IFERROR(INDEX(Map!$C$2:$C$400,MATCH($A948,Map!$A$2:$A$400,0)),"⚠ UNMAPPED"))</f>
        <v/>
      </c>
      <c r="H948" s="18" t="str">
        <f>IF($A948="","",IFERROR(INDEX(Map!$D$2:$D$400,MATCH($A948,Map!$A$2:$A$400,0)),"⚠ UNMAPPED"))</f>
        <v/>
      </c>
      <c r="I948" s="18" t="str">
        <f>IF($A948="","",IFERROR(INDEX(Map!$E$2:$E$400,MATCH($A948,Map!$A$2:$A$400,0)),"⚠ UNMAPPED"))</f>
        <v/>
      </c>
      <c r="J948" s="18" t="str">
        <f>IF($A948="","",IFERROR(INDEX(Map!$F$2:$F$400,MATCH($A948,Map!$A$2:$A$400,0)),"⚠ UNMAPPED"))</f>
        <v/>
      </c>
    </row>
    <row r="949" spans="7:10" x14ac:dyDescent="0.25">
      <c r="G949" s="158" t="str">
        <f>IF($A949="","",IFERROR(INDEX(Map!$C$2:$C$400,MATCH($A949,Map!$A$2:$A$400,0)),"⚠ UNMAPPED"))</f>
        <v/>
      </c>
      <c r="H949" s="18" t="str">
        <f>IF($A949="","",IFERROR(INDEX(Map!$D$2:$D$400,MATCH($A949,Map!$A$2:$A$400,0)),"⚠ UNMAPPED"))</f>
        <v/>
      </c>
      <c r="I949" s="18" t="str">
        <f>IF($A949="","",IFERROR(INDEX(Map!$E$2:$E$400,MATCH($A949,Map!$A$2:$A$400,0)),"⚠ UNMAPPED"))</f>
        <v/>
      </c>
      <c r="J949" s="18" t="str">
        <f>IF($A949="","",IFERROR(INDEX(Map!$F$2:$F$400,MATCH($A949,Map!$A$2:$A$400,0)),"⚠ UNMAPPED"))</f>
        <v/>
      </c>
    </row>
    <row r="950" spans="7:10" x14ac:dyDescent="0.25">
      <c r="G950" s="158" t="str">
        <f>IF($A950="","",IFERROR(INDEX(Map!$C$2:$C$400,MATCH($A950,Map!$A$2:$A$400,0)),"⚠ UNMAPPED"))</f>
        <v/>
      </c>
      <c r="H950" s="18" t="str">
        <f>IF($A950="","",IFERROR(INDEX(Map!$D$2:$D$400,MATCH($A950,Map!$A$2:$A$400,0)),"⚠ UNMAPPED"))</f>
        <v/>
      </c>
      <c r="I950" s="18" t="str">
        <f>IF($A950="","",IFERROR(INDEX(Map!$E$2:$E$400,MATCH($A950,Map!$A$2:$A$400,0)),"⚠ UNMAPPED"))</f>
        <v/>
      </c>
      <c r="J950" s="18" t="str">
        <f>IF($A950="","",IFERROR(INDEX(Map!$F$2:$F$400,MATCH($A950,Map!$A$2:$A$400,0)),"⚠ UNMAPPED"))</f>
        <v/>
      </c>
    </row>
    <row r="951" spans="7:10" x14ac:dyDescent="0.25">
      <c r="G951" s="158" t="str">
        <f>IF($A951="","",IFERROR(INDEX(Map!$C$2:$C$400,MATCH($A951,Map!$A$2:$A$400,0)),"⚠ UNMAPPED"))</f>
        <v/>
      </c>
      <c r="H951" s="18" t="str">
        <f>IF($A951="","",IFERROR(INDEX(Map!$D$2:$D$400,MATCH($A951,Map!$A$2:$A$400,0)),"⚠ UNMAPPED"))</f>
        <v/>
      </c>
      <c r="I951" s="18" t="str">
        <f>IF($A951="","",IFERROR(INDEX(Map!$E$2:$E$400,MATCH($A951,Map!$A$2:$A$400,0)),"⚠ UNMAPPED"))</f>
        <v/>
      </c>
      <c r="J951" s="18" t="str">
        <f>IF($A951="","",IFERROR(INDEX(Map!$F$2:$F$400,MATCH($A951,Map!$A$2:$A$400,0)),"⚠ UNMAPPED"))</f>
        <v/>
      </c>
    </row>
    <row r="952" spans="7:10" x14ac:dyDescent="0.25">
      <c r="G952" s="158" t="str">
        <f>IF($A952="","",IFERROR(INDEX(Map!$C$2:$C$400,MATCH($A952,Map!$A$2:$A$400,0)),"⚠ UNMAPPED"))</f>
        <v/>
      </c>
      <c r="H952" s="18" t="str">
        <f>IF($A952="","",IFERROR(INDEX(Map!$D$2:$D$400,MATCH($A952,Map!$A$2:$A$400,0)),"⚠ UNMAPPED"))</f>
        <v/>
      </c>
      <c r="I952" s="18" t="str">
        <f>IF($A952="","",IFERROR(INDEX(Map!$E$2:$E$400,MATCH($A952,Map!$A$2:$A$400,0)),"⚠ UNMAPPED"))</f>
        <v/>
      </c>
      <c r="J952" s="18" t="str">
        <f>IF($A952="","",IFERROR(INDEX(Map!$F$2:$F$400,MATCH($A952,Map!$A$2:$A$400,0)),"⚠ UNMAPPED"))</f>
        <v/>
      </c>
    </row>
    <row r="953" spans="7:10" x14ac:dyDescent="0.25">
      <c r="G953" s="158" t="str">
        <f>IF($A953="","",IFERROR(INDEX(Map!$C$2:$C$400,MATCH($A953,Map!$A$2:$A$400,0)),"⚠ UNMAPPED"))</f>
        <v/>
      </c>
      <c r="H953" s="18" t="str">
        <f>IF($A953="","",IFERROR(INDEX(Map!$D$2:$D$400,MATCH($A953,Map!$A$2:$A$400,0)),"⚠ UNMAPPED"))</f>
        <v/>
      </c>
      <c r="I953" s="18" t="str">
        <f>IF($A953="","",IFERROR(INDEX(Map!$E$2:$E$400,MATCH($A953,Map!$A$2:$A$400,0)),"⚠ UNMAPPED"))</f>
        <v/>
      </c>
      <c r="J953" s="18" t="str">
        <f>IF($A953="","",IFERROR(INDEX(Map!$F$2:$F$400,MATCH($A953,Map!$A$2:$A$400,0)),"⚠ UNMAPPED"))</f>
        <v/>
      </c>
    </row>
    <row r="954" spans="7:10" x14ac:dyDescent="0.25">
      <c r="G954" s="158" t="str">
        <f>IF($A954="","",IFERROR(INDEX(Map!$C$2:$C$400,MATCH($A954,Map!$A$2:$A$400,0)),"⚠ UNMAPPED"))</f>
        <v/>
      </c>
      <c r="H954" s="18" t="str">
        <f>IF($A954="","",IFERROR(INDEX(Map!$D$2:$D$400,MATCH($A954,Map!$A$2:$A$400,0)),"⚠ UNMAPPED"))</f>
        <v/>
      </c>
      <c r="I954" s="18" t="str">
        <f>IF($A954="","",IFERROR(INDEX(Map!$E$2:$E$400,MATCH($A954,Map!$A$2:$A$400,0)),"⚠ UNMAPPED"))</f>
        <v/>
      </c>
      <c r="J954" s="18" t="str">
        <f>IF($A954="","",IFERROR(INDEX(Map!$F$2:$F$400,MATCH($A954,Map!$A$2:$A$400,0)),"⚠ UNMAPPED"))</f>
        <v/>
      </c>
    </row>
    <row r="955" spans="7:10" x14ac:dyDescent="0.25">
      <c r="G955" s="158" t="str">
        <f>IF($A955="","",IFERROR(INDEX(Map!$C$2:$C$400,MATCH($A955,Map!$A$2:$A$400,0)),"⚠ UNMAPPED"))</f>
        <v/>
      </c>
      <c r="H955" s="18" t="str">
        <f>IF($A955="","",IFERROR(INDEX(Map!$D$2:$D$400,MATCH($A955,Map!$A$2:$A$400,0)),"⚠ UNMAPPED"))</f>
        <v/>
      </c>
      <c r="I955" s="18" t="str">
        <f>IF($A955="","",IFERROR(INDEX(Map!$E$2:$E$400,MATCH($A955,Map!$A$2:$A$400,0)),"⚠ UNMAPPED"))</f>
        <v/>
      </c>
      <c r="J955" s="18" t="str">
        <f>IF($A955="","",IFERROR(INDEX(Map!$F$2:$F$400,MATCH($A955,Map!$A$2:$A$400,0)),"⚠ UNMAPPED"))</f>
        <v/>
      </c>
    </row>
    <row r="956" spans="7:10" x14ac:dyDescent="0.25">
      <c r="G956" s="158" t="str">
        <f>IF($A956="","",IFERROR(INDEX(Map!$C$2:$C$400,MATCH($A956,Map!$A$2:$A$400,0)),"⚠ UNMAPPED"))</f>
        <v/>
      </c>
      <c r="H956" s="18" t="str">
        <f>IF($A956="","",IFERROR(INDEX(Map!$D$2:$D$400,MATCH($A956,Map!$A$2:$A$400,0)),"⚠ UNMAPPED"))</f>
        <v/>
      </c>
      <c r="I956" s="18" t="str">
        <f>IF($A956="","",IFERROR(INDEX(Map!$E$2:$E$400,MATCH($A956,Map!$A$2:$A$400,0)),"⚠ UNMAPPED"))</f>
        <v/>
      </c>
      <c r="J956" s="18" t="str">
        <f>IF($A956="","",IFERROR(INDEX(Map!$F$2:$F$400,MATCH($A956,Map!$A$2:$A$400,0)),"⚠ UNMAPPED"))</f>
        <v/>
      </c>
    </row>
    <row r="957" spans="7:10" x14ac:dyDescent="0.25">
      <c r="G957" s="158" t="str">
        <f>IF($A957="","",IFERROR(INDEX(Map!$C$2:$C$400,MATCH($A957,Map!$A$2:$A$400,0)),"⚠ UNMAPPED"))</f>
        <v/>
      </c>
      <c r="H957" s="18" t="str">
        <f>IF($A957="","",IFERROR(INDEX(Map!$D$2:$D$400,MATCH($A957,Map!$A$2:$A$400,0)),"⚠ UNMAPPED"))</f>
        <v/>
      </c>
      <c r="I957" s="18" t="str">
        <f>IF($A957="","",IFERROR(INDEX(Map!$E$2:$E$400,MATCH($A957,Map!$A$2:$A$400,0)),"⚠ UNMAPPED"))</f>
        <v/>
      </c>
      <c r="J957" s="18" t="str">
        <f>IF($A957="","",IFERROR(INDEX(Map!$F$2:$F$400,MATCH($A957,Map!$A$2:$A$400,0)),"⚠ UNMAPPED"))</f>
        <v/>
      </c>
    </row>
    <row r="958" spans="7:10" x14ac:dyDescent="0.25">
      <c r="G958" s="158" t="str">
        <f>IF($A958="","",IFERROR(INDEX(Map!$C$2:$C$400,MATCH($A958,Map!$A$2:$A$400,0)),"⚠ UNMAPPED"))</f>
        <v/>
      </c>
      <c r="H958" s="18" t="str">
        <f>IF($A958="","",IFERROR(INDEX(Map!$D$2:$D$400,MATCH($A958,Map!$A$2:$A$400,0)),"⚠ UNMAPPED"))</f>
        <v/>
      </c>
      <c r="I958" s="18" t="str">
        <f>IF($A958="","",IFERROR(INDEX(Map!$E$2:$E$400,MATCH($A958,Map!$A$2:$A$400,0)),"⚠ UNMAPPED"))</f>
        <v/>
      </c>
      <c r="J958" s="18" t="str">
        <f>IF($A958="","",IFERROR(INDEX(Map!$F$2:$F$400,MATCH($A958,Map!$A$2:$A$400,0)),"⚠ UNMAPPED"))</f>
        <v/>
      </c>
    </row>
    <row r="959" spans="7:10" x14ac:dyDescent="0.25">
      <c r="G959" s="158" t="str">
        <f>IF($A959="","",IFERROR(INDEX(Map!$C$2:$C$400,MATCH($A959,Map!$A$2:$A$400,0)),"⚠ UNMAPPED"))</f>
        <v/>
      </c>
      <c r="H959" s="18" t="str">
        <f>IF($A959="","",IFERROR(INDEX(Map!$D$2:$D$400,MATCH($A959,Map!$A$2:$A$400,0)),"⚠ UNMAPPED"))</f>
        <v/>
      </c>
      <c r="I959" s="18" t="str">
        <f>IF($A959="","",IFERROR(INDEX(Map!$E$2:$E$400,MATCH($A959,Map!$A$2:$A$400,0)),"⚠ UNMAPPED"))</f>
        <v/>
      </c>
      <c r="J959" s="18" t="str">
        <f>IF($A959="","",IFERROR(INDEX(Map!$F$2:$F$400,MATCH($A959,Map!$A$2:$A$400,0)),"⚠ UNMAPPED"))</f>
        <v/>
      </c>
    </row>
    <row r="960" spans="7:10" x14ac:dyDescent="0.25">
      <c r="G960" s="158" t="str">
        <f>IF($A960="","",IFERROR(INDEX(Map!$C$2:$C$400,MATCH($A960,Map!$A$2:$A$400,0)),"⚠ UNMAPPED"))</f>
        <v/>
      </c>
      <c r="H960" s="18" t="str">
        <f>IF($A960="","",IFERROR(INDEX(Map!$D$2:$D$400,MATCH($A960,Map!$A$2:$A$400,0)),"⚠ UNMAPPED"))</f>
        <v/>
      </c>
      <c r="I960" s="18" t="str">
        <f>IF($A960="","",IFERROR(INDEX(Map!$E$2:$E$400,MATCH($A960,Map!$A$2:$A$400,0)),"⚠ UNMAPPED"))</f>
        <v/>
      </c>
      <c r="J960" s="18" t="str">
        <f>IF($A960="","",IFERROR(INDEX(Map!$F$2:$F$400,MATCH($A960,Map!$A$2:$A$400,0)),"⚠ UNMAPPED"))</f>
        <v/>
      </c>
    </row>
    <row r="961" spans="7:10" x14ac:dyDescent="0.25">
      <c r="G961" s="158" t="str">
        <f>IF($A961="","",IFERROR(INDEX(Map!$C$2:$C$400,MATCH($A961,Map!$A$2:$A$400,0)),"⚠ UNMAPPED"))</f>
        <v/>
      </c>
      <c r="H961" s="18" t="str">
        <f>IF($A961="","",IFERROR(INDEX(Map!$D$2:$D$400,MATCH($A961,Map!$A$2:$A$400,0)),"⚠ UNMAPPED"))</f>
        <v/>
      </c>
      <c r="I961" s="18" t="str">
        <f>IF($A961="","",IFERROR(INDEX(Map!$E$2:$E$400,MATCH($A961,Map!$A$2:$A$400,0)),"⚠ UNMAPPED"))</f>
        <v/>
      </c>
      <c r="J961" s="18" t="str">
        <f>IF($A961="","",IFERROR(INDEX(Map!$F$2:$F$400,MATCH($A961,Map!$A$2:$A$400,0)),"⚠ UNMAPPED"))</f>
        <v/>
      </c>
    </row>
    <row r="962" spans="7:10" x14ac:dyDescent="0.25">
      <c r="G962" s="158" t="str">
        <f>IF($A962="","",IFERROR(INDEX(Map!$C$2:$C$400,MATCH($A962,Map!$A$2:$A$400,0)),"⚠ UNMAPPED"))</f>
        <v/>
      </c>
      <c r="H962" s="18" t="str">
        <f>IF($A962="","",IFERROR(INDEX(Map!$D$2:$D$400,MATCH($A962,Map!$A$2:$A$400,0)),"⚠ UNMAPPED"))</f>
        <v/>
      </c>
      <c r="I962" s="18" t="str">
        <f>IF($A962="","",IFERROR(INDEX(Map!$E$2:$E$400,MATCH($A962,Map!$A$2:$A$400,0)),"⚠ UNMAPPED"))</f>
        <v/>
      </c>
      <c r="J962" s="18" t="str">
        <f>IF($A962="","",IFERROR(INDEX(Map!$F$2:$F$400,MATCH($A962,Map!$A$2:$A$400,0)),"⚠ UNMAPPED"))</f>
        <v/>
      </c>
    </row>
    <row r="963" spans="7:10" x14ac:dyDescent="0.25">
      <c r="G963" s="158" t="str">
        <f>IF($A963="","",IFERROR(INDEX(Map!$C$2:$C$400,MATCH($A963,Map!$A$2:$A$400,0)),"⚠ UNMAPPED"))</f>
        <v/>
      </c>
      <c r="H963" s="18" t="str">
        <f>IF($A963="","",IFERROR(INDEX(Map!$D$2:$D$400,MATCH($A963,Map!$A$2:$A$400,0)),"⚠ UNMAPPED"))</f>
        <v/>
      </c>
      <c r="I963" s="18" t="str">
        <f>IF($A963="","",IFERROR(INDEX(Map!$E$2:$E$400,MATCH($A963,Map!$A$2:$A$400,0)),"⚠ UNMAPPED"))</f>
        <v/>
      </c>
      <c r="J963" s="18" t="str">
        <f>IF($A963="","",IFERROR(INDEX(Map!$F$2:$F$400,MATCH($A963,Map!$A$2:$A$400,0)),"⚠ UNMAPPED"))</f>
        <v/>
      </c>
    </row>
    <row r="964" spans="7:10" x14ac:dyDescent="0.25">
      <c r="G964" s="158" t="str">
        <f>IF($A964="","",IFERROR(INDEX(Map!$C$2:$C$400,MATCH($A964,Map!$A$2:$A$400,0)),"⚠ UNMAPPED"))</f>
        <v/>
      </c>
      <c r="H964" s="18" t="str">
        <f>IF($A964="","",IFERROR(INDEX(Map!$D$2:$D$400,MATCH($A964,Map!$A$2:$A$400,0)),"⚠ UNMAPPED"))</f>
        <v/>
      </c>
      <c r="I964" s="18" t="str">
        <f>IF($A964="","",IFERROR(INDEX(Map!$E$2:$E$400,MATCH($A964,Map!$A$2:$A$400,0)),"⚠ UNMAPPED"))</f>
        <v/>
      </c>
      <c r="J964" s="18" t="str">
        <f>IF($A964="","",IFERROR(INDEX(Map!$F$2:$F$400,MATCH($A964,Map!$A$2:$A$400,0)),"⚠ UNMAPPED"))</f>
        <v/>
      </c>
    </row>
    <row r="965" spans="7:10" x14ac:dyDescent="0.25">
      <c r="G965" s="158" t="str">
        <f>IF($A965="","",IFERROR(INDEX(Map!$C$2:$C$400,MATCH($A965,Map!$A$2:$A$400,0)),"⚠ UNMAPPED"))</f>
        <v/>
      </c>
      <c r="H965" s="18" t="str">
        <f>IF($A965="","",IFERROR(INDEX(Map!$D$2:$D$400,MATCH($A965,Map!$A$2:$A$400,0)),"⚠ UNMAPPED"))</f>
        <v/>
      </c>
      <c r="I965" s="18" t="str">
        <f>IF($A965="","",IFERROR(INDEX(Map!$E$2:$E$400,MATCH($A965,Map!$A$2:$A$400,0)),"⚠ UNMAPPED"))</f>
        <v/>
      </c>
      <c r="J965" s="18" t="str">
        <f>IF($A965="","",IFERROR(INDEX(Map!$F$2:$F$400,MATCH($A965,Map!$A$2:$A$400,0)),"⚠ UNMAPPED"))</f>
        <v/>
      </c>
    </row>
    <row r="966" spans="7:10" x14ac:dyDescent="0.25">
      <c r="G966" s="158" t="str">
        <f>IF($A966="","",IFERROR(INDEX(Map!$C$2:$C$400,MATCH($A966,Map!$A$2:$A$400,0)),"⚠ UNMAPPED"))</f>
        <v/>
      </c>
      <c r="H966" s="18" t="str">
        <f>IF($A966="","",IFERROR(INDEX(Map!$D$2:$D$400,MATCH($A966,Map!$A$2:$A$400,0)),"⚠ UNMAPPED"))</f>
        <v/>
      </c>
      <c r="I966" s="18" t="str">
        <f>IF($A966="","",IFERROR(INDEX(Map!$E$2:$E$400,MATCH($A966,Map!$A$2:$A$400,0)),"⚠ UNMAPPED"))</f>
        <v/>
      </c>
      <c r="J966" s="18" t="str">
        <f>IF($A966="","",IFERROR(INDEX(Map!$F$2:$F$400,MATCH($A966,Map!$A$2:$A$400,0)),"⚠ UNMAPPED"))</f>
        <v/>
      </c>
    </row>
    <row r="967" spans="7:10" x14ac:dyDescent="0.25">
      <c r="G967" s="158" t="str">
        <f>IF($A967="","",IFERROR(INDEX(Map!$C$2:$C$400,MATCH($A967,Map!$A$2:$A$400,0)),"⚠ UNMAPPED"))</f>
        <v/>
      </c>
      <c r="H967" s="18" t="str">
        <f>IF($A967="","",IFERROR(INDEX(Map!$D$2:$D$400,MATCH($A967,Map!$A$2:$A$400,0)),"⚠ UNMAPPED"))</f>
        <v/>
      </c>
      <c r="I967" s="18" t="str">
        <f>IF($A967="","",IFERROR(INDEX(Map!$E$2:$E$400,MATCH($A967,Map!$A$2:$A$400,0)),"⚠ UNMAPPED"))</f>
        <v/>
      </c>
      <c r="J967" s="18" t="str">
        <f>IF($A967="","",IFERROR(INDEX(Map!$F$2:$F$400,MATCH($A967,Map!$A$2:$A$400,0)),"⚠ UNMAPPED"))</f>
        <v/>
      </c>
    </row>
    <row r="968" spans="7:10" x14ac:dyDescent="0.25">
      <c r="G968" s="158" t="str">
        <f>IF($A968="","",IFERROR(INDEX(Map!$C$2:$C$400,MATCH($A968,Map!$A$2:$A$400,0)),"⚠ UNMAPPED"))</f>
        <v/>
      </c>
      <c r="H968" s="18" t="str">
        <f>IF($A968="","",IFERROR(INDEX(Map!$D$2:$D$400,MATCH($A968,Map!$A$2:$A$400,0)),"⚠ UNMAPPED"))</f>
        <v/>
      </c>
      <c r="I968" s="18" t="str">
        <f>IF($A968="","",IFERROR(INDEX(Map!$E$2:$E$400,MATCH($A968,Map!$A$2:$A$400,0)),"⚠ UNMAPPED"))</f>
        <v/>
      </c>
      <c r="J968" s="18" t="str">
        <f>IF($A968="","",IFERROR(INDEX(Map!$F$2:$F$400,MATCH($A968,Map!$A$2:$A$400,0)),"⚠ UNMAPPED"))</f>
        <v/>
      </c>
    </row>
    <row r="969" spans="7:10" x14ac:dyDescent="0.25">
      <c r="G969" s="158" t="str">
        <f>IF($A969="","",IFERROR(INDEX(Map!$C$2:$C$400,MATCH($A969,Map!$A$2:$A$400,0)),"⚠ UNMAPPED"))</f>
        <v/>
      </c>
      <c r="H969" s="18" t="str">
        <f>IF($A969="","",IFERROR(INDEX(Map!$D$2:$D$400,MATCH($A969,Map!$A$2:$A$400,0)),"⚠ UNMAPPED"))</f>
        <v/>
      </c>
      <c r="I969" s="18" t="str">
        <f>IF($A969="","",IFERROR(INDEX(Map!$E$2:$E$400,MATCH($A969,Map!$A$2:$A$400,0)),"⚠ UNMAPPED"))</f>
        <v/>
      </c>
      <c r="J969" s="18" t="str">
        <f>IF($A969="","",IFERROR(INDEX(Map!$F$2:$F$400,MATCH($A969,Map!$A$2:$A$400,0)),"⚠ UNMAPPED"))</f>
        <v/>
      </c>
    </row>
    <row r="970" spans="7:10" x14ac:dyDescent="0.25">
      <c r="G970" s="158" t="str">
        <f>IF($A970="","",IFERROR(INDEX(Map!$C$2:$C$400,MATCH($A970,Map!$A$2:$A$400,0)),"⚠ UNMAPPED"))</f>
        <v/>
      </c>
      <c r="H970" s="18" t="str">
        <f>IF($A970="","",IFERROR(INDEX(Map!$D$2:$D$400,MATCH($A970,Map!$A$2:$A$400,0)),"⚠ UNMAPPED"))</f>
        <v/>
      </c>
      <c r="I970" s="18" t="str">
        <f>IF($A970="","",IFERROR(INDEX(Map!$E$2:$E$400,MATCH($A970,Map!$A$2:$A$400,0)),"⚠ UNMAPPED"))</f>
        <v/>
      </c>
      <c r="J970" s="18" t="str">
        <f>IF($A970="","",IFERROR(INDEX(Map!$F$2:$F$400,MATCH($A970,Map!$A$2:$A$400,0)),"⚠ UNMAPPED"))</f>
        <v/>
      </c>
    </row>
    <row r="971" spans="7:10" x14ac:dyDescent="0.25">
      <c r="G971" s="158" t="str">
        <f>IF($A971="","",IFERROR(INDEX(Map!$C$2:$C$400,MATCH($A971,Map!$A$2:$A$400,0)),"⚠ UNMAPPED"))</f>
        <v/>
      </c>
      <c r="H971" s="18" t="str">
        <f>IF($A971="","",IFERROR(INDEX(Map!$D$2:$D$400,MATCH($A971,Map!$A$2:$A$400,0)),"⚠ UNMAPPED"))</f>
        <v/>
      </c>
      <c r="I971" s="18" t="str">
        <f>IF($A971="","",IFERROR(INDEX(Map!$E$2:$E$400,MATCH($A971,Map!$A$2:$A$400,0)),"⚠ UNMAPPED"))</f>
        <v/>
      </c>
      <c r="J971" s="18" t="str">
        <f>IF($A971="","",IFERROR(INDEX(Map!$F$2:$F$400,MATCH($A971,Map!$A$2:$A$400,0)),"⚠ UNMAPPED"))</f>
        <v/>
      </c>
    </row>
    <row r="972" spans="7:10" x14ac:dyDescent="0.25">
      <c r="G972" s="158" t="str">
        <f>IF($A972="","",IFERROR(INDEX(Map!$C$2:$C$400,MATCH($A972,Map!$A$2:$A$400,0)),"⚠ UNMAPPED"))</f>
        <v/>
      </c>
      <c r="H972" s="18" t="str">
        <f>IF($A972="","",IFERROR(INDEX(Map!$D$2:$D$400,MATCH($A972,Map!$A$2:$A$400,0)),"⚠ UNMAPPED"))</f>
        <v/>
      </c>
      <c r="I972" s="18" t="str">
        <f>IF($A972="","",IFERROR(INDEX(Map!$E$2:$E$400,MATCH($A972,Map!$A$2:$A$400,0)),"⚠ UNMAPPED"))</f>
        <v/>
      </c>
      <c r="J972" s="18" t="str">
        <f>IF($A972="","",IFERROR(INDEX(Map!$F$2:$F$400,MATCH($A972,Map!$A$2:$A$400,0)),"⚠ UNMAPPED"))</f>
        <v/>
      </c>
    </row>
    <row r="973" spans="7:10" x14ac:dyDescent="0.25">
      <c r="G973" s="158" t="str">
        <f>IF($A973="","",IFERROR(INDEX(Map!$C$2:$C$400,MATCH($A973,Map!$A$2:$A$400,0)),"⚠ UNMAPPED"))</f>
        <v/>
      </c>
      <c r="H973" s="18" t="str">
        <f>IF($A973="","",IFERROR(INDEX(Map!$D$2:$D$400,MATCH($A973,Map!$A$2:$A$400,0)),"⚠ UNMAPPED"))</f>
        <v/>
      </c>
      <c r="I973" s="18" t="str">
        <f>IF($A973="","",IFERROR(INDEX(Map!$E$2:$E$400,MATCH($A973,Map!$A$2:$A$400,0)),"⚠ UNMAPPED"))</f>
        <v/>
      </c>
      <c r="J973" s="18" t="str">
        <f>IF($A973="","",IFERROR(INDEX(Map!$F$2:$F$400,MATCH($A973,Map!$A$2:$A$400,0)),"⚠ UNMAPPED"))</f>
        <v/>
      </c>
    </row>
    <row r="974" spans="7:10" x14ac:dyDescent="0.25">
      <c r="G974" s="158" t="str">
        <f>IF($A974="","",IFERROR(INDEX(Map!$C$2:$C$400,MATCH($A974,Map!$A$2:$A$400,0)),"⚠ UNMAPPED"))</f>
        <v/>
      </c>
      <c r="H974" s="18" t="str">
        <f>IF($A974="","",IFERROR(INDEX(Map!$D$2:$D$400,MATCH($A974,Map!$A$2:$A$400,0)),"⚠ UNMAPPED"))</f>
        <v/>
      </c>
      <c r="I974" s="18" t="str">
        <f>IF($A974="","",IFERROR(INDEX(Map!$E$2:$E$400,MATCH($A974,Map!$A$2:$A$400,0)),"⚠ UNMAPPED"))</f>
        <v/>
      </c>
      <c r="J974" s="18" t="str">
        <f>IF($A974="","",IFERROR(INDEX(Map!$F$2:$F$400,MATCH($A974,Map!$A$2:$A$400,0)),"⚠ UNMAPPED"))</f>
        <v/>
      </c>
    </row>
    <row r="975" spans="7:10" x14ac:dyDescent="0.25">
      <c r="G975" s="158" t="str">
        <f>IF($A975="","",IFERROR(INDEX(Map!$C$2:$C$400,MATCH($A975,Map!$A$2:$A$400,0)),"⚠ UNMAPPED"))</f>
        <v/>
      </c>
      <c r="H975" s="18" t="str">
        <f>IF($A975="","",IFERROR(INDEX(Map!$D$2:$D$400,MATCH($A975,Map!$A$2:$A$400,0)),"⚠ UNMAPPED"))</f>
        <v/>
      </c>
      <c r="I975" s="18" t="str">
        <f>IF($A975="","",IFERROR(INDEX(Map!$E$2:$E$400,MATCH($A975,Map!$A$2:$A$400,0)),"⚠ UNMAPPED"))</f>
        <v/>
      </c>
      <c r="J975" s="18" t="str">
        <f>IF($A975="","",IFERROR(INDEX(Map!$F$2:$F$400,MATCH($A975,Map!$A$2:$A$400,0)),"⚠ UNMAPPED"))</f>
        <v/>
      </c>
    </row>
    <row r="976" spans="7:10" x14ac:dyDescent="0.25">
      <c r="G976" s="158" t="str">
        <f>IF($A976="","",IFERROR(INDEX(Map!$C$2:$C$400,MATCH($A976,Map!$A$2:$A$400,0)),"⚠ UNMAPPED"))</f>
        <v/>
      </c>
      <c r="H976" s="18" t="str">
        <f>IF($A976="","",IFERROR(INDEX(Map!$D$2:$D$400,MATCH($A976,Map!$A$2:$A$400,0)),"⚠ UNMAPPED"))</f>
        <v/>
      </c>
      <c r="I976" s="18" t="str">
        <f>IF($A976="","",IFERROR(INDEX(Map!$E$2:$E$400,MATCH($A976,Map!$A$2:$A$400,0)),"⚠ UNMAPPED"))</f>
        <v/>
      </c>
      <c r="J976" s="18" t="str">
        <f>IF($A976="","",IFERROR(INDEX(Map!$F$2:$F$400,MATCH($A976,Map!$A$2:$A$400,0)),"⚠ UNMAPPED"))</f>
        <v/>
      </c>
    </row>
    <row r="977" spans="7:10" x14ac:dyDescent="0.25">
      <c r="G977" s="158" t="str">
        <f>IF($A977="","",IFERROR(INDEX(Map!$C$2:$C$400,MATCH($A977,Map!$A$2:$A$400,0)),"⚠ UNMAPPED"))</f>
        <v/>
      </c>
      <c r="H977" s="18" t="str">
        <f>IF($A977="","",IFERROR(INDEX(Map!$D$2:$D$400,MATCH($A977,Map!$A$2:$A$400,0)),"⚠ UNMAPPED"))</f>
        <v/>
      </c>
      <c r="I977" s="18" t="str">
        <f>IF($A977="","",IFERROR(INDEX(Map!$E$2:$E$400,MATCH($A977,Map!$A$2:$A$400,0)),"⚠ UNMAPPED"))</f>
        <v/>
      </c>
      <c r="J977" s="18" t="str">
        <f>IF($A977="","",IFERROR(INDEX(Map!$F$2:$F$400,MATCH($A977,Map!$A$2:$A$400,0)),"⚠ UNMAPPED"))</f>
        <v/>
      </c>
    </row>
    <row r="978" spans="7:10" x14ac:dyDescent="0.25">
      <c r="G978" s="158" t="str">
        <f>IF($A978="","",IFERROR(INDEX(Map!$C$2:$C$400,MATCH($A978,Map!$A$2:$A$400,0)),"⚠ UNMAPPED"))</f>
        <v/>
      </c>
      <c r="H978" s="18" t="str">
        <f>IF($A978="","",IFERROR(INDEX(Map!$D$2:$D$400,MATCH($A978,Map!$A$2:$A$400,0)),"⚠ UNMAPPED"))</f>
        <v/>
      </c>
      <c r="I978" s="18" t="str">
        <f>IF($A978="","",IFERROR(INDEX(Map!$E$2:$E$400,MATCH($A978,Map!$A$2:$A$400,0)),"⚠ UNMAPPED"))</f>
        <v/>
      </c>
      <c r="J978" s="18" t="str">
        <f>IF($A978="","",IFERROR(INDEX(Map!$F$2:$F$400,MATCH($A978,Map!$A$2:$A$400,0)),"⚠ UNMAPPED"))</f>
        <v/>
      </c>
    </row>
    <row r="979" spans="7:10" x14ac:dyDescent="0.25">
      <c r="G979" s="158" t="str">
        <f>IF($A979="","",IFERROR(INDEX(Map!$C$2:$C$400,MATCH($A979,Map!$A$2:$A$400,0)),"⚠ UNMAPPED"))</f>
        <v/>
      </c>
      <c r="H979" s="18" t="str">
        <f>IF($A979="","",IFERROR(INDEX(Map!$D$2:$D$400,MATCH($A979,Map!$A$2:$A$400,0)),"⚠ UNMAPPED"))</f>
        <v/>
      </c>
      <c r="I979" s="18" t="str">
        <f>IF($A979="","",IFERROR(INDEX(Map!$E$2:$E$400,MATCH($A979,Map!$A$2:$A$400,0)),"⚠ UNMAPPED"))</f>
        <v/>
      </c>
      <c r="J979" s="18" t="str">
        <f>IF($A979="","",IFERROR(INDEX(Map!$F$2:$F$400,MATCH($A979,Map!$A$2:$A$400,0)),"⚠ UNMAPPED"))</f>
        <v/>
      </c>
    </row>
    <row r="980" spans="7:10" x14ac:dyDescent="0.25">
      <c r="G980" s="158" t="str">
        <f>IF($A980="","",IFERROR(INDEX(Map!$C$2:$C$400,MATCH($A980,Map!$A$2:$A$400,0)),"⚠ UNMAPPED"))</f>
        <v/>
      </c>
      <c r="H980" s="18" t="str">
        <f>IF($A980="","",IFERROR(INDEX(Map!$D$2:$D$400,MATCH($A980,Map!$A$2:$A$400,0)),"⚠ UNMAPPED"))</f>
        <v/>
      </c>
      <c r="I980" s="18" t="str">
        <f>IF($A980="","",IFERROR(INDEX(Map!$E$2:$E$400,MATCH($A980,Map!$A$2:$A$400,0)),"⚠ UNMAPPED"))</f>
        <v/>
      </c>
      <c r="J980" s="18" t="str">
        <f>IF($A980="","",IFERROR(INDEX(Map!$F$2:$F$400,MATCH($A980,Map!$A$2:$A$400,0)),"⚠ UNMAPPED"))</f>
        <v/>
      </c>
    </row>
    <row r="981" spans="7:10" x14ac:dyDescent="0.25">
      <c r="G981" s="158" t="str">
        <f>IF($A981="","",IFERROR(INDEX(Map!$C$2:$C$400,MATCH($A981,Map!$A$2:$A$400,0)),"⚠ UNMAPPED"))</f>
        <v/>
      </c>
      <c r="H981" s="18" t="str">
        <f>IF($A981="","",IFERROR(INDEX(Map!$D$2:$D$400,MATCH($A981,Map!$A$2:$A$400,0)),"⚠ UNMAPPED"))</f>
        <v/>
      </c>
      <c r="I981" s="18" t="str">
        <f>IF($A981="","",IFERROR(INDEX(Map!$E$2:$E$400,MATCH($A981,Map!$A$2:$A$400,0)),"⚠ UNMAPPED"))</f>
        <v/>
      </c>
      <c r="J981" s="18" t="str">
        <f>IF($A981="","",IFERROR(INDEX(Map!$F$2:$F$400,MATCH($A981,Map!$A$2:$A$400,0)),"⚠ UNMAPPED"))</f>
        <v/>
      </c>
    </row>
    <row r="982" spans="7:10" x14ac:dyDescent="0.25">
      <c r="G982" s="158" t="str">
        <f>IF($A982="","",IFERROR(INDEX(Map!$C$2:$C$400,MATCH($A982,Map!$A$2:$A$400,0)),"⚠ UNMAPPED"))</f>
        <v/>
      </c>
      <c r="H982" s="18" t="str">
        <f>IF($A982="","",IFERROR(INDEX(Map!$D$2:$D$400,MATCH($A982,Map!$A$2:$A$400,0)),"⚠ UNMAPPED"))</f>
        <v/>
      </c>
      <c r="I982" s="18" t="str">
        <f>IF($A982="","",IFERROR(INDEX(Map!$E$2:$E$400,MATCH($A982,Map!$A$2:$A$400,0)),"⚠ UNMAPPED"))</f>
        <v/>
      </c>
      <c r="J982" s="18" t="str">
        <f>IF($A982="","",IFERROR(INDEX(Map!$F$2:$F$400,MATCH($A982,Map!$A$2:$A$400,0)),"⚠ UNMAPPED"))</f>
        <v/>
      </c>
    </row>
    <row r="983" spans="7:10" x14ac:dyDescent="0.25">
      <c r="G983" s="158" t="str">
        <f>IF($A983="","",IFERROR(INDEX(Map!$C$2:$C$400,MATCH($A983,Map!$A$2:$A$400,0)),"⚠ UNMAPPED"))</f>
        <v/>
      </c>
      <c r="H983" s="18" t="str">
        <f>IF($A983="","",IFERROR(INDEX(Map!$D$2:$D$400,MATCH($A983,Map!$A$2:$A$400,0)),"⚠ UNMAPPED"))</f>
        <v/>
      </c>
      <c r="I983" s="18" t="str">
        <f>IF($A983="","",IFERROR(INDEX(Map!$E$2:$E$400,MATCH($A983,Map!$A$2:$A$400,0)),"⚠ UNMAPPED"))</f>
        <v/>
      </c>
      <c r="J983" s="18" t="str">
        <f>IF($A983="","",IFERROR(INDEX(Map!$F$2:$F$400,MATCH($A983,Map!$A$2:$A$400,0)),"⚠ UNMAPPED"))</f>
        <v/>
      </c>
    </row>
    <row r="984" spans="7:10" x14ac:dyDescent="0.25">
      <c r="G984" s="158" t="str">
        <f>IF($A984="","",IFERROR(INDEX(Map!$C$2:$C$400,MATCH($A984,Map!$A$2:$A$400,0)),"⚠ UNMAPPED"))</f>
        <v/>
      </c>
      <c r="H984" s="18" t="str">
        <f>IF($A984="","",IFERROR(INDEX(Map!$D$2:$D$400,MATCH($A984,Map!$A$2:$A$400,0)),"⚠ UNMAPPED"))</f>
        <v/>
      </c>
      <c r="I984" s="18" t="str">
        <f>IF($A984="","",IFERROR(INDEX(Map!$E$2:$E$400,MATCH($A984,Map!$A$2:$A$400,0)),"⚠ UNMAPPED"))</f>
        <v/>
      </c>
      <c r="J984" s="18" t="str">
        <f>IF($A984="","",IFERROR(INDEX(Map!$F$2:$F$400,MATCH($A984,Map!$A$2:$A$400,0)),"⚠ UNMAPPED"))</f>
        <v/>
      </c>
    </row>
    <row r="985" spans="7:10" x14ac:dyDescent="0.25">
      <c r="G985" s="158" t="str">
        <f>IF($A985="","",IFERROR(INDEX(Map!$C$2:$C$400,MATCH($A985,Map!$A$2:$A$400,0)),"⚠ UNMAPPED"))</f>
        <v/>
      </c>
      <c r="H985" s="18" t="str">
        <f>IF($A985="","",IFERROR(INDEX(Map!$D$2:$D$400,MATCH($A985,Map!$A$2:$A$400,0)),"⚠ UNMAPPED"))</f>
        <v/>
      </c>
      <c r="I985" s="18" t="str">
        <f>IF($A985="","",IFERROR(INDEX(Map!$E$2:$E$400,MATCH($A985,Map!$A$2:$A$400,0)),"⚠ UNMAPPED"))</f>
        <v/>
      </c>
      <c r="J985" s="18" t="str">
        <f>IF($A985="","",IFERROR(INDEX(Map!$F$2:$F$400,MATCH($A985,Map!$A$2:$A$400,0)),"⚠ UNMAPPED"))</f>
        <v/>
      </c>
    </row>
    <row r="986" spans="7:10" x14ac:dyDescent="0.25">
      <c r="G986" s="158" t="str">
        <f>IF($A986="","",IFERROR(INDEX(Map!$C$2:$C$400,MATCH($A986,Map!$A$2:$A$400,0)),"⚠ UNMAPPED"))</f>
        <v/>
      </c>
      <c r="H986" s="18" t="str">
        <f>IF($A986="","",IFERROR(INDEX(Map!$D$2:$D$400,MATCH($A986,Map!$A$2:$A$400,0)),"⚠ UNMAPPED"))</f>
        <v/>
      </c>
      <c r="I986" s="18" t="str">
        <f>IF($A986="","",IFERROR(INDEX(Map!$E$2:$E$400,MATCH($A986,Map!$A$2:$A$400,0)),"⚠ UNMAPPED"))</f>
        <v/>
      </c>
      <c r="J986" s="18" t="str">
        <f>IF($A986="","",IFERROR(INDEX(Map!$F$2:$F$400,MATCH($A986,Map!$A$2:$A$400,0)),"⚠ UNMAPPED"))</f>
        <v/>
      </c>
    </row>
    <row r="987" spans="7:10" x14ac:dyDescent="0.25">
      <c r="G987" s="158" t="str">
        <f>IF($A987="","",IFERROR(INDEX(Map!$C$2:$C$400,MATCH($A987,Map!$A$2:$A$400,0)),"⚠ UNMAPPED"))</f>
        <v/>
      </c>
      <c r="H987" s="18" t="str">
        <f>IF($A987="","",IFERROR(INDEX(Map!$D$2:$D$400,MATCH($A987,Map!$A$2:$A$400,0)),"⚠ UNMAPPED"))</f>
        <v/>
      </c>
      <c r="I987" s="18" t="str">
        <f>IF($A987="","",IFERROR(INDEX(Map!$E$2:$E$400,MATCH($A987,Map!$A$2:$A$400,0)),"⚠ UNMAPPED"))</f>
        <v/>
      </c>
      <c r="J987" s="18" t="str">
        <f>IF($A987="","",IFERROR(INDEX(Map!$F$2:$F$400,MATCH($A987,Map!$A$2:$A$400,0)),"⚠ UNMAPPED"))</f>
        <v/>
      </c>
    </row>
    <row r="988" spans="7:10" x14ac:dyDescent="0.25">
      <c r="G988" s="158" t="str">
        <f>IF($A988="","",IFERROR(INDEX(Map!$C$2:$C$400,MATCH($A988,Map!$A$2:$A$400,0)),"⚠ UNMAPPED"))</f>
        <v/>
      </c>
      <c r="H988" s="18" t="str">
        <f>IF($A988="","",IFERROR(INDEX(Map!$D$2:$D$400,MATCH($A988,Map!$A$2:$A$400,0)),"⚠ UNMAPPED"))</f>
        <v/>
      </c>
      <c r="I988" s="18" t="str">
        <f>IF($A988="","",IFERROR(INDEX(Map!$E$2:$E$400,MATCH($A988,Map!$A$2:$A$400,0)),"⚠ UNMAPPED"))</f>
        <v/>
      </c>
      <c r="J988" s="18" t="str">
        <f>IF($A988="","",IFERROR(INDEX(Map!$F$2:$F$400,MATCH($A988,Map!$A$2:$A$400,0)),"⚠ UNMAPPED"))</f>
        <v/>
      </c>
    </row>
    <row r="989" spans="7:10" x14ac:dyDescent="0.25">
      <c r="G989" s="158" t="str">
        <f>IF($A989="","",IFERROR(INDEX(Map!$C$2:$C$400,MATCH($A989,Map!$A$2:$A$400,0)),"⚠ UNMAPPED"))</f>
        <v/>
      </c>
      <c r="H989" s="18" t="str">
        <f>IF($A989="","",IFERROR(INDEX(Map!$D$2:$D$400,MATCH($A989,Map!$A$2:$A$400,0)),"⚠ UNMAPPED"))</f>
        <v/>
      </c>
      <c r="I989" s="18" t="str">
        <f>IF($A989="","",IFERROR(INDEX(Map!$E$2:$E$400,MATCH($A989,Map!$A$2:$A$400,0)),"⚠ UNMAPPED"))</f>
        <v/>
      </c>
      <c r="J989" s="18" t="str">
        <f>IF($A989="","",IFERROR(INDEX(Map!$F$2:$F$400,MATCH($A989,Map!$A$2:$A$400,0)),"⚠ UNMAPPED"))</f>
        <v/>
      </c>
    </row>
    <row r="990" spans="7:10" x14ac:dyDescent="0.25">
      <c r="G990" s="158" t="str">
        <f>IF($A990="","",IFERROR(INDEX(Map!$C$2:$C$400,MATCH($A990,Map!$A$2:$A$400,0)),"⚠ UNMAPPED"))</f>
        <v/>
      </c>
      <c r="H990" s="18" t="str">
        <f>IF($A990="","",IFERROR(INDEX(Map!$D$2:$D$400,MATCH($A990,Map!$A$2:$A$400,0)),"⚠ UNMAPPED"))</f>
        <v/>
      </c>
      <c r="I990" s="18" t="str">
        <f>IF($A990="","",IFERROR(INDEX(Map!$E$2:$E$400,MATCH($A990,Map!$A$2:$A$400,0)),"⚠ UNMAPPED"))</f>
        <v/>
      </c>
      <c r="J990" s="18" t="str">
        <f>IF($A990="","",IFERROR(INDEX(Map!$F$2:$F$400,MATCH($A990,Map!$A$2:$A$400,0)),"⚠ UNMAPPED"))</f>
        <v/>
      </c>
    </row>
    <row r="991" spans="7:10" x14ac:dyDescent="0.25">
      <c r="G991" s="158" t="str">
        <f>IF($A991="","",IFERROR(INDEX(Map!$C$2:$C$400,MATCH($A991,Map!$A$2:$A$400,0)),"⚠ UNMAPPED"))</f>
        <v/>
      </c>
      <c r="H991" s="18" t="str">
        <f>IF($A991="","",IFERROR(INDEX(Map!$D$2:$D$400,MATCH($A991,Map!$A$2:$A$400,0)),"⚠ UNMAPPED"))</f>
        <v/>
      </c>
      <c r="I991" s="18" t="str">
        <f>IF($A991="","",IFERROR(INDEX(Map!$E$2:$E$400,MATCH($A991,Map!$A$2:$A$400,0)),"⚠ UNMAPPED"))</f>
        <v/>
      </c>
      <c r="J991" s="18" t="str">
        <f>IF($A991="","",IFERROR(INDEX(Map!$F$2:$F$400,MATCH($A991,Map!$A$2:$A$400,0)),"⚠ UNMAPPED"))</f>
        <v/>
      </c>
    </row>
    <row r="992" spans="7:10" x14ac:dyDescent="0.25">
      <c r="G992" s="158" t="str">
        <f>IF($A992="","",IFERROR(INDEX(Map!$C$2:$C$400,MATCH($A992,Map!$A$2:$A$400,0)),"⚠ UNMAPPED"))</f>
        <v/>
      </c>
      <c r="H992" s="18" t="str">
        <f>IF($A992="","",IFERROR(INDEX(Map!$D$2:$D$400,MATCH($A992,Map!$A$2:$A$400,0)),"⚠ UNMAPPED"))</f>
        <v/>
      </c>
      <c r="I992" s="18" t="str">
        <f>IF($A992="","",IFERROR(INDEX(Map!$E$2:$E$400,MATCH($A992,Map!$A$2:$A$400,0)),"⚠ UNMAPPED"))</f>
        <v/>
      </c>
      <c r="J992" s="18" t="str">
        <f>IF($A992="","",IFERROR(INDEX(Map!$F$2:$F$400,MATCH($A992,Map!$A$2:$A$400,0)),"⚠ UNMAPPED"))</f>
        <v/>
      </c>
    </row>
    <row r="993" spans="7:10" x14ac:dyDescent="0.25">
      <c r="G993" s="158" t="str">
        <f>IF($A993="","",IFERROR(INDEX(Map!$C$2:$C$400,MATCH($A993,Map!$A$2:$A$400,0)),"⚠ UNMAPPED"))</f>
        <v/>
      </c>
      <c r="H993" s="18" t="str">
        <f>IF($A993="","",IFERROR(INDEX(Map!$D$2:$D$400,MATCH($A993,Map!$A$2:$A$400,0)),"⚠ UNMAPPED"))</f>
        <v/>
      </c>
      <c r="I993" s="18" t="str">
        <f>IF($A993="","",IFERROR(INDEX(Map!$E$2:$E$400,MATCH($A993,Map!$A$2:$A$400,0)),"⚠ UNMAPPED"))</f>
        <v/>
      </c>
      <c r="J993" s="18" t="str">
        <f>IF($A993="","",IFERROR(INDEX(Map!$F$2:$F$400,MATCH($A993,Map!$A$2:$A$400,0)),"⚠ UNMAPPED"))</f>
        <v/>
      </c>
    </row>
    <row r="994" spans="7:10" x14ac:dyDescent="0.25">
      <c r="G994" s="158" t="str">
        <f>IF($A994="","",IFERROR(INDEX(Map!$C$2:$C$400,MATCH($A994,Map!$A$2:$A$400,0)),"⚠ UNMAPPED"))</f>
        <v/>
      </c>
      <c r="H994" s="18" t="str">
        <f>IF($A994="","",IFERROR(INDEX(Map!$D$2:$D$400,MATCH($A994,Map!$A$2:$A$400,0)),"⚠ UNMAPPED"))</f>
        <v/>
      </c>
      <c r="I994" s="18" t="str">
        <f>IF($A994="","",IFERROR(INDEX(Map!$E$2:$E$400,MATCH($A994,Map!$A$2:$A$400,0)),"⚠ UNMAPPED"))</f>
        <v/>
      </c>
      <c r="J994" s="18" t="str">
        <f>IF($A994="","",IFERROR(INDEX(Map!$F$2:$F$400,MATCH($A994,Map!$A$2:$A$400,0)),"⚠ UNMAPPED"))</f>
        <v/>
      </c>
    </row>
    <row r="995" spans="7:10" x14ac:dyDescent="0.25">
      <c r="G995" s="158" t="str">
        <f>IF($A995="","",IFERROR(INDEX(Map!$C$2:$C$400,MATCH($A995,Map!$A$2:$A$400,0)),"⚠ UNMAPPED"))</f>
        <v/>
      </c>
      <c r="H995" s="18" t="str">
        <f>IF($A995="","",IFERROR(INDEX(Map!$D$2:$D$400,MATCH($A995,Map!$A$2:$A$400,0)),"⚠ UNMAPPED"))</f>
        <v/>
      </c>
      <c r="I995" s="18" t="str">
        <f>IF($A995="","",IFERROR(INDEX(Map!$E$2:$E$400,MATCH($A995,Map!$A$2:$A$400,0)),"⚠ UNMAPPED"))</f>
        <v/>
      </c>
      <c r="J995" s="18" t="str">
        <f>IF($A995="","",IFERROR(INDEX(Map!$F$2:$F$400,MATCH($A995,Map!$A$2:$A$400,0)),"⚠ UNMAPPED"))</f>
        <v/>
      </c>
    </row>
    <row r="996" spans="7:10" x14ac:dyDescent="0.25">
      <c r="G996" s="158" t="str">
        <f>IF($A996="","",IFERROR(INDEX(Map!$C$2:$C$400,MATCH($A996,Map!$A$2:$A$400,0)),"⚠ UNMAPPED"))</f>
        <v/>
      </c>
      <c r="H996" s="18" t="str">
        <f>IF($A996="","",IFERROR(INDEX(Map!$D$2:$D$400,MATCH($A996,Map!$A$2:$A$400,0)),"⚠ UNMAPPED"))</f>
        <v/>
      </c>
      <c r="I996" s="18" t="str">
        <f>IF($A996="","",IFERROR(INDEX(Map!$E$2:$E$400,MATCH($A996,Map!$A$2:$A$400,0)),"⚠ UNMAPPED"))</f>
        <v/>
      </c>
      <c r="J996" s="18" t="str">
        <f>IF($A996="","",IFERROR(INDEX(Map!$F$2:$F$400,MATCH($A996,Map!$A$2:$A$400,0)),"⚠ UNMAPPED"))</f>
        <v/>
      </c>
    </row>
    <row r="997" spans="7:10" x14ac:dyDescent="0.25">
      <c r="G997" s="158" t="str">
        <f>IF($A997="","",IFERROR(INDEX(Map!$C$2:$C$400,MATCH($A997,Map!$A$2:$A$400,0)),"⚠ UNMAPPED"))</f>
        <v/>
      </c>
      <c r="H997" s="18" t="str">
        <f>IF($A997="","",IFERROR(INDEX(Map!$D$2:$D$400,MATCH($A997,Map!$A$2:$A$400,0)),"⚠ UNMAPPED"))</f>
        <v/>
      </c>
      <c r="I997" s="18" t="str">
        <f>IF($A997="","",IFERROR(INDEX(Map!$E$2:$E$400,MATCH($A997,Map!$A$2:$A$400,0)),"⚠ UNMAPPED"))</f>
        <v/>
      </c>
      <c r="J997" s="18" t="str">
        <f>IF($A997="","",IFERROR(INDEX(Map!$F$2:$F$400,MATCH($A997,Map!$A$2:$A$400,0)),"⚠ UNMAPPED"))</f>
        <v/>
      </c>
    </row>
    <row r="998" spans="7:10" x14ac:dyDescent="0.25">
      <c r="G998" s="158" t="str">
        <f>IF($A998="","",IFERROR(INDEX(Map!$C$2:$C$400,MATCH($A998,Map!$A$2:$A$400,0)),"⚠ UNMAPPED"))</f>
        <v/>
      </c>
      <c r="H998" s="18" t="str">
        <f>IF($A998="","",IFERROR(INDEX(Map!$D$2:$D$400,MATCH($A998,Map!$A$2:$A$400,0)),"⚠ UNMAPPED"))</f>
        <v/>
      </c>
      <c r="I998" s="18" t="str">
        <f>IF($A998="","",IFERROR(INDEX(Map!$E$2:$E$400,MATCH($A998,Map!$A$2:$A$400,0)),"⚠ UNMAPPED"))</f>
        <v/>
      </c>
      <c r="J998" s="18" t="str">
        <f>IF($A998="","",IFERROR(INDEX(Map!$F$2:$F$400,MATCH($A998,Map!$A$2:$A$400,0)),"⚠ UNMAPPED"))</f>
        <v/>
      </c>
    </row>
    <row r="999" spans="7:10" x14ac:dyDescent="0.25">
      <c r="G999" s="158" t="str">
        <f>IF($A999="","",IFERROR(INDEX(Map!$C$2:$C$400,MATCH($A999,Map!$A$2:$A$400,0)),"⚠ UNMAPPED"))</f>
        <v/>
      </c>
      <c r="H999" s="18" t="str">
        <f>IF($A999="","",IFERROR(INDEX(Map!$D$2:$D$400,MATCH($A999,Map!$A$2:$A$400,0)),"⚠ UNMAPPED"))</f>
        <v/>
      </c>
      <c r="I999" s="18" t="str">
        <f>IF($A999="","",IFERROR(INDEX(Map!$E$2:$E$400,MATCH($A999,Map!$A$2:$A$400,0)),"⚠ UNMAPPED"))</f>
        <v/>
      </c>
      <c r="J999" s="18" t="str">
        <f>IF($A999="","",IFERROR(INDEX(Map!$F$2:$F$400,MATCH($A999,Map!$A$2:$A$400,0)),"⚠ UNMAPPED"))</f>
        <v/>
      </c>
    </row>
    <row r="1000" spans="7:10" x14ac:dyDescent="0.25">
      <c r="G1000" s="158" t="str">
        <f>IF($A1000="","",IFERROR(INDEX(Map!$C$2:$C$400,MATCH($A1000,Map!$A$2:$A$400,0)),"⚠ UNMAPPED"))</f>
        <v/>
      </c>
      <c r="H1000" s="18" t="str">
        <f>IF($A1000="","",IFERROR(INDEX(Map!$D$2:$D$400,MATCH($A1000,Map!$A$2:$A$400,0)),"⚠ UNMAPPED"))</f>
        <v/>
      </c>
      <c r="I1000" s="18" t="str">
        <f>IF($A1000="","",IFERROR(INDEX(Map!$E$2:$E$400,MATCH($A1000,Map!$A$2:$A$400,0)),"⚠ UNMAPPED"))</f>
        <v/>
      </c>
      <c r="J1000" s="18" t="str">
        <f>IF($A1000="","",IFERROR(INDEX(Map!$F$2:$F$400,MATCH($A1000,Map!$A$2:$A$400,0)),"⚠ UNMAPPED"))</f>
        <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4472C4"/>
  </sheetPr>
  <dimension ref="A1:M1000"/>
  <sheetViews>
    <sheetView zoomScale="90" workbookViewId="0">
      <pane xSplit="2" ySplit="2" topLeftCell="C182" activePane="bottomRight" state="frozen"/>
      <selection pane="topRight"/>
      <selection pane="bottomLeft"/>
      <selection pane="bottomRight" activeCell="I201" sqref="I201"/>
    </sheetView>
  </sheetViews>
  <sheetFormatPr defaultRowHeight="15" x14ac:dyDescent="0.25"/>
  <cols>
    <col min="1" max="1" width="12" customWidth="1"/>
    <col min="2" max="2" width="42" customWidth="1"/>
    <col min="3" max="3" width="16" style="159" customWidth="1"/>
    <col min="4" max="5" width="16.140625" style="159" bestFit="1" customWidth="1"/>
    <col min="6" max="6" width="16" style="159" customWidth="1"/>
    <col min="7" max="7" width="8" customWidth="1"/>
    <col min="8" max="8" width="22" customWidth="1"/>
    <col min="9" max="9" width="44" customWidth="1"/>
    <col min="10" max="10" width="30" customWidth="1"/>
    <col min="12" max="12" width="26" customWidth="1"/>
    <col min="13" max="13" width="12" customWidth="1"/>
  </cols>
  <sheetData>
    <row r="1" spans="1:13" x14ac:dyDescent="0.25">
      <c r="A1" s="19" t="s">
        <v>1103</v>
      </c>
      <c r="C1" s="158"/>
      <c r="H1" s="29" t="s">
        <v>807</v>
      </c>
    </row>
    <row r="2" spans="1:13" x14ac:dyDescent="0.25">
      <c r="A2" s="8" t="s">
        <v>808</v>
      </c>
      <c r="B2" s="8" t="s">
        <v>809</v>
      </c>
      <c r="C2" s="160" t="s">
        <v>810</v>
      </c>
      <c r="D2" s="160" t="s">
        <v>811</v>
      </c>
      <c r="E2" s="160" t="s">
        <v>812</v>
      </c>
      <c r="F2" s="160" t="s">
        <v>813</v>
      </c>
      <c r="G2" s="8" t="s">
        <v>814</v>
      </c>
      <c r="H2" s="8" t="s">
        <v>815</v>
      </c>
      <c r="I2" s="8" t="s">
        <v>722</v>
      </c>
      <c r="J2" s="8" t="s">
        <v>816</v>
      </c>
      <c r="L2" s="23" t="s">
        <v>817</v>
      </c>
      <c r="M2" s="37">
        <f>COUNTIFS($G:$G,"⚠ UNMAPPED",$F:$F,"&lt;&gt;0")</f>
        <v>0</v>
      </c>
    </row>
    <row r="3" spans="1:13" x14ac:dyDescent="0.25">
      <c r="A3" s="38">
        <v>110002</v>
      </c>
      <c r="B3" t="s">
        <v>819</v>
      </c>
      <c r="C3" s="158">
        <v>9200000</v>
      </c>
      <c r="D3" s="158">
        <v>0</v>
      </c>
      <c r="E3" s="158">
        <v>0</v>
      </c>
      <c r="F3" s="158">
        <v>9200000</v>
      </c>
      <c r="G3" s="18" t="str">
        <f>IF($A3="","",IFERROR(INDEX(Map!$C$2:$C$400,MATCH($A3,Map!$A$2:$A$400,0)),"⚠ UNMAPPED"))</f>
        <v>BS</v>
      </c>
      <c r="H3" s="18" t="str">
        <f>IF($A3="","",IFERROR(INDEX(Map!$D$2:$D$400,MATCH($A3,Map!$A$2:$A$400,0)),"⚠ UNMAPPED"))</f>
        <v>Non-Current Assets</v>
      </c>
      <c r="I3" s="18" t="str">
        <f>IF($A3="","",IFERROR(INDEX(Map!$E$2:$E$400,MATCH($A3,Map!$A$2:$A$400,0)),"⚠ UNMAPPED"))</f>
        <v>Property, plant and equipment</v>
      </c>
      <c r="J3" s="18" t="str">
        <f>IF($A3="","",IFERROR(INDEX(Map!$F$2:$F$400,MATCH($A3,Map!$A$2:$A$400,0)),"⚠ UNMAPPED"))</f>
        <v>Property, plant and equipment</v>
      </c>
    </row>
    <row r="4" spans="1:13" x14ac:dyDescent="0.25">
      <c r="A4" s="38">
        <v>110003</v>
      </c>
      <c r="B4" t="s">
        <v>820</v>
      </c>
      <c r="C4" s="158">
        <v>3574139.5839999998</v>
      </c>
      <c r="D4" s="158">
        <v>0</v>
      </c>
      <c r="E4" s="158">
        <v>0</v>
      </c>
      <c r="F4" s="158">
        <v>3574139.5839999998</v>
      </c>
      <c r="G4" s="18" t="str">
        <f>IF($A4="","",IFERROR(INDEX(Map!$C$2:$C$400,MATCH($A4,Map!$A$2:$A$400,0)),"⚠ UNMAPPED"))</f>
        <v>BS</v>
      </c>
      <c r="H4" s="18" t="str">
        <f>IF($A4="","",IFERROR(INDEX(Map!$D$2:$D$400,MATCH($A4,Map!$A$2:$A$400,0)),"⚠ UNMAPPED"))</f>
        <v>Non-Current Assets</v>
      </c>
      <c r="I4" s="18" t="str">
        <f>IF($A4="","",IFERROR(INDEX(Map!$E$2:$E$400,MATCH($A4,Map!$A$2:$A$400,0)),"⚠ UNMAPPED"))</f>
        <v>Property, plant and equipment</v>
      </c>
      <c r="J4" s="18" t="str">
        <f>IF($A4="","",IFERROR(INDEX(Map!$F$2:$F$400,MATCH($A4,Map!$A$2:$A$400,0)),"⚠ UNMAPPED"))</f>
        <v>Property, plant and equipment</v>
      </c>
    </row>
    <row r="5" spans="1:13" x14ac:dyDescent="0.25">
      <c r="A5" s="38">
        <v>110004</v>
      </c>
      <c r="B5" t="s">
        <v>821</v>
      </c>
      <c r="C5" s="158">
        <v>13138927.968</v>
      </c>
      <c r="D5" s="158">
        <v>0</v>
      </c>
      <c r="E5" s="158">
        <v>0</v>
      </c>
      <c r="F5" s="158">
        <v>13138927.968</v>
      </c>
      <c r="G5" s="18" t="str">
        <f>IF($A5="","",IFERROR(INDEX(Map!$C$2:$C$400,MATCH($A5,Map!$A$2:$A$400,0)),"⚠ UNMAPPED"))</f>
        <v>BS</v>
      </c>
      <c r="H5" s="18" t="str">
        <f>IF($A5="","",IFERROR(INDEX(Map!$D$2:$D$400,MATCH($A5,Map!$A$2:$A$400,0)),"⚠ UNMAPPED"))</f>
        <v>Non-Current Assets</v>
      </c>
      <c r="I5" s="18" t="str">
        <f>IF($A5="","",IFERROR(INDEX(Map!$E$2:$E$400,MATCH($A5,Map!$A$2:$A$400,0)),"⚠ UNMAPPED"))</f>
        <v>Property, plant and equipment</v>
      </c>
      <c r="J5" s="18" t="str">
        <f>IF($A5="","",IFERROR(INDEX(Map!$F$2:$F$400,MATCH($A5,Map!$A$2:$A$400,0)),"⚠ UNMAPPED"))</f>
        <v>Property, plant and equipment</v>
      </c>
    </row>
    <row r="6" spans="1:13" x14ac:dyDescent="0.25">
      <c r="A6" s="38">
        <v>110006</v>
      </c>
      <c r="B6" t="s">
        <v>822</v>
      </c>
      <c r="C6" s="158">
        <v>56200</v>
      </c>
      <c r="D6" s="158">
        <v>0</v>
      </c>
      <c r="E6" s="158">
        <v>0</v>
      </c>
      <c r="F6" s="158">
        <v>56200</v>
      </c>
      <c r="G6" s="18" t="str">
        <f>IF($A6="","",IFERROR(INDEX(Map!$C$2:$C$400,MATCH($A6,Map!$A$2:$A$400,0)),"⚠ UNMAPPED"))</f>
        <v>BS</v>
      </c>
      <c r="H6" s="18" t="str">
        <f>IF($A6="","",IFERROR(INDEX(Map!$D$2:$D$400,MATCH($A6,Map!$A$2:$A$400,0)),"⚠ UNMAPPED"))</f>
        <v>Non-Current Assets</v>
      </c>
      <c r="I6" s="18" t="str">
        <f>IF($A6="","",IFERROR(INDEX(Map!$E$2:$E$400,MATCH($A6,Map!$A$2:$A$400,0)),"⚠ UNMAPPED"))</f>
        <v>Property, plant and equipment</v>
      </c>
      <c r="J6" s="18" t="str">
        <f>IF($A6="","",IFERROR(INDEX(Map!$F$2:$F$400,MATCH($A6,Map!$A$2:$A$400,0)),"⚠ UNMAPPED"))</f>
        <v>Property, plant and equipment</v>
      </c>
    </row>
    <row r="7" spans="1:13" x14ac:dyDescent="0.25">
      <c r="A7" s="38">
        <v>110007</v>
      </c>
      <c r="B7" t="s">
        <v>823</v>
      </c>
      <c r="C7" s="158">
        <v>614624.53</v>
      </c>
      <c r="D7" s="158">
        <v>0</v>
      </c>
      <c r="E7" s="158">
        <v>0</v>
      </c>
      <c r="F7" s="158">
        <v>614624.53</v>
      </c>
      <c r="G7" s="18" t="str">
        <f>IF($A7="","",IFERROR(INDEX(Map!$C$2:$C$400,MATCH($A7,Map!$A$2:$A$400,0)),"⚠ UNMAPPED"))</f>
        <v>BS</v>
      </c>
      <c r="H7" s="18" t="str">
        <f>IF($A7="","",IFERROR(INDEX(Map!$D$2:$D$400,MATCH($A7,Map!$A$2:$A$400,0)),"⚠ UNMAPPED"))</f>
        <v>Non-Current Assets</v>
      </c>
      <c r="I7" s="18" t="str">
        <f>IF($A7="","",IFERROR(INDEX(Map!$E$2:$E$400,MATCH($A7,Map!$A$2:$A$400,0)),"⚠ UNMAPPED"))</f>
        <v>Property, plant and equipment</v>
      </c>
      <c r="J7" s="18" t="str">
        <f>IF($A7="","",IFERROR(INDEX(Map!$F$2:$F$400,MATCH($A7,Map!$A$2:$A$400,0)),"⚠ UNMAPPED"))</f>
        <v>Property, plant and equipment</v>
      </c>
    </row>
    <row r="8" spans="1:13" x14ac:dyDescent="0.25">
      <c r="A8" s="38">
        <v>110008</v>
      </c>
      <c r="B8" t="s">
        <v>824</v>
      </c>
      <c r="C8" s="158">
        <v>1098529.541</v>
      </c>
      <c r="D8" s="158">
        <v>13000</v>
      </c>
      <c r="E8" s="158">
        <v>0</v>
      </c>
      <c r="F8" s="158">
        <v>1111529.541</v>
      </c>
      <c r="G8" s="18" t="str">
        <f>IF($A8="","",IFERROR(INDEX(Map!$C$2:$C$400,MATCH($A8,Map!$A$2:$A$400,0)),"⚠ UNMAPPED"))</f>
        <v>BS</v>
      </c>
      <c r="H8" s="18" t="str">
        <f>IF($A8="","",IFERROR(INDEX(Map!$D$2:$D$400,MATCH($A8,Map!$A$2:$A$400,0)),"⚠ UNMAPPED"))</f>
        <v>Non-Current Assets</v>
      </c>
      <c r="I8" s="18" t="str">
        <f>IF($A8="","",IFERROR(INDEX(Map!$E$2:$E$400,MATCH($A8,Map!$A$2:$A$400,0)),"⚠ UNMAPPED"))</f>
        <v>Property, plant and equipment</v>
      </c>
      <c r="J8" s="18" t="str">
        <f>IF($A8="","",IFERROR(INDEX(Map!$F$2:$F$400,MATCH($A8,Map!$A$2:$A$400,0)),"⚠ UNMAPPED"))</f>
        <v>Property, plant and equipment</v>
      </c>
    </row>
    <row r="9" spans="1:13" x14ac:dyDescent="0.25">
      <c r="A9" s="38">
        <v>111009</v>
      </c>
      <c r="B9" t="s">
        <v>825</v>
      </c>
      <c r="C9" s="158">
        <v>278441.03600000002</v>
      </c>
      <c r="D9" s="158">
        <v>0</v>
      </c>
      <c r="E9" s="158">
        <v>0</v>
      </c>
      <c r="F9" s="158">
        <v>278441.03600000002</v>
      </c>
      <c r="G9" s="18" t="str">
        <f>IF($A9="","",IFERROR(INDEX(Map!$C$2:$C$400,MATCH($A9,Map!$A$2:$A$400,0)),"⚠ UNMAPPED"))</f>
        <v>BS</v>
      </c>
      <c r="H9" s="18" t="str">
        <f>IF($A9="","",IFERROR(INDEX(Map!$D$2:$D$400,MATCH($A9,Map!$A$2:$A$400,0)),"⚠ UNMAPPED"))</f>
        <v>Non-Current Assets</v>
      </c>
      <c r="I9" s="18" t="str">
        <f>IF($A9="","",IFERROR(INDEX(Map!$E$2:$E$400,MATCH($A9,Map!$A$2:$A$400,0)),"⚠ UNMAPPED"))</f>
        <v>Right of use</v>
      </c>
      <c r="J9" s="18" t="str">
        <f>IF($A9="","",IFERROR(INDEX(Map!$F$2:$F$400,MATCH($A9,Map!$A$2:$A$400,0)),"⚠ UNMAPPED"))</f>
        <v>Leases - right of use assets</v>
      </c>
    </row>
    <row r="10" spans="1:13" x14ac:dyDescent="0.25">
      <c r="A10" s="38">
        <v>111010</v>
      </c>
      <c r="B10" t="s">
        <v>826</v>
      </c>
      <c r="C10" s="158">
        <v>6946397.8490000004</v>
      </c>
      <c r="D10" s="158">
        <v>37400</v>
      </c>
      <c r="E10" s="158">
        <v>0</v>
      </c>
      <c r="F10" s="158">
        <v>6983797.8490000004</v>
      </c>
      <c r="G10" s="18" t="str">
        <f>IF($A10="","",IFERROR(INDEX(Map!$C$2:$C$400,MATCH($A10,Map!$A$2:$A$400,0)),"⚠ UNMAPPED"))</f>
        <v>BS</v>
      </c>
      <c r="H10" s="18" t="str">
        <f>IF($A10="","",IFERROR(INDEX(Map!$D$2:$D$400,MATCH($A10,Map!$A$2:$A$400,0)),"⚠ UNMAPPED"))</f>
        <v>Non-Current Assets</v>
      </c>
      <c r="I10" s="18" t="str">
        <f>IF($A10="","",IFERROR(INDEX(Map!$E$2:$E$400,MATCH($A10,Map!$A$2:$A$400,0)),"⚠ UNMAPPED"))</f>
        <v>Property, plant and equipment</v>
      </c>
      <c r="J10" s="18" t="str">
        <f>IF($A10="","",IFERROR(INDEX(Map!$F$2:$F$400,MATCH($A10,Map!$A$2:$A$400,0)),"⚠ UNMAPPED"))</f>
        <v>Property, plant and equipment - Accumulated depreciation</v>
      </c>
    </row>
    <row r="11" spans="1:13" x14ac:dyDescent="0.25">
      <c r="A11" s="38">
        <v>111013</v>
      </c>
      <c r="B11" t="s">
        <v>827</v>
      </c>
      <c r="C11" s="158">
        <v>3737890.0269999998</v>
      </c>
      <c r="D11" s="158">
        <v>0</v>
      </c>
      <c r="E11" s="158">
        <v>0</v>
      </c>
      <c r="F11" s="158">
        <v>3737890.0269999998</v>
      </c>
      <c r="G11" s="18" t="str">
        <f>IF($A11="","",IFERROR(INDEX(Map!$C$2:$C$400,MATCH($A11,Map!$A$2:$A$400,0)),"⚠ UNMAPPED"))</f>
        <v>BS</v>
      </c>
      <c r="H11" s="18" t="str">
        <f>IF($A11="","",IFERROR(INDEX(Map!$D$2:$D$400,MATCH($A11,Map!$A$2:$A$400,0)),"⚠ UNMAPPED"))</f>
        <v>Non-Current Assets</v>
      </c>
      <c r="I11" s="18" t="str">
        <f>IF($A11="","",IFERROR(INDEX(Map!$E$2:$E$400,MATCH($A11,Map!$A$2:$A$400,0)),"⚠ UNMAPPED"))</f>
        <v>Property, plant and equipment</v>
      </c>
      <c r="J11" s="18" t="str">
        <f>IF($A11="","",IFERROR(INDEX(Map!$F$2:$F$400,MATCH($A11,Map!$A$2:$A$400,0)),"⚠ UNMAPPED"))</f>
        <v>Property, plant and equipment - Accumulated depreciation</v>
      </c>
    </row>
    <row r="12" spans="1:13" x14ac:dyDescent="0.25">
      <c r="A12" s="38">
        <v>111099</v>
      </c>
      <c r="B12" t="s">
        <v>828</v>
      </c>
      <c r="C12" s="158">
        <v>-663205.34</v>
      </c>
      <c r="D12" s="158">
        <v>234485.82</v>
      </c>
      <c r="E12" s="158">
        <v>8933.4779999999992</v>
      </c>
      <c r="F12" s="158">
        <v>-437652.99800000002</v>
      </c>
      <c r="G12" s="18" t="str">
        <f>IF($A12="","",IFERROR(INDEX(Map!$C$2:$C$400,MATCH($A12,Map!$A$2:$A$400,0)),"⚠ UNMAPPED"))</f>
        <v>BS</v>
      </c>
      <c r="H12" s="18" t="str">
        <f>IF($A12="","",IFERROR(INDEX(Map!$D$2:$D$400,MATCH($A12,Map!$A$2:$A$400,0)),"⚠ UNMAPPED"))</f>
        <v>Non-Current Assets</v>
      </c>
      <c r="I12" s="18" t="str">
        <f>IF($A12="","",IFERROR(INDEX(Map!$E$2:$E$400,MATCH($A12,Map!$A$2:$A$400,0)),"⚠ UNMAPPED"))</f>
        <v>Property, plant and equipment</v>
      </c>
      <c r="J12" s="18" t="str">
        <f>IF($A12="","",IFERROR(INDEX(Map!$F$2:$F$400,MATCH($A12,Map!$A$2:$A$400,0)),"⚠ UNMAPPED"))</f>
        <v>Property, plant and equipment - Accumulated depreciation</v>
      </c>
    </row>
    <row r="13" spans="1:13" x14ac:dyDescent="0.25">
      <c r="A13" s="38">
        <v>120001</v>
      </c>
      <c r="B13" t="s">
        <v>829</v>
      </c>
      <c r="C13" s="158">
        <v>-575000.03700000001</v>
      </c>
      <c r="D13" s="158">
        <v>0</v>
      </c>
      <c r="E13" s="158">
        <v>19166.667000000001</v>
      </c>
      <c r="F13" s="158">
        <v>-594166.70400000003</v>
      </c>
      <c r="G13" s="18" t="str">
        <f>IF($A13="","",IFERROR(INDEX(Map!$C$2:$C$400,MATCH($A13,Map!$A$2:$A$400,0)),"⚠ UNMAPPED"))</f>
        <v>BS</v>
      </c>
      <c r="H13" s="18" t="str">
        <f>IF($A13="","",IFERROR(INDEX(Map!$D$2:$D$400,MATCH($A13,Map!$A$2:$A$400,0)),"⚠ UNMAPPED"))</f>
        <v>Non-Current Assets</v>
      </c>
      <c r="I13" s="18" t="str">
        <f>IF($A13="","",IFERROR(INDEX(Map!$E$2:$E$400,MATCH($A13,Map!$A$2:$A$400,0)),"⚠ UNMAPPED"))</f>
        <v>Property, plant and equipment</v>
      </c>
      <c r="J13" s="18" t="str">
        <f>IF($A13="","",IFERROR(INDEX(Map!$F$2:$F$400,MATCH($A13,Map!$A$2:$A$400,0)),"⚠ UNMAPPED"))</f>
        <v>Property, plant and equipment - Accumulated depreciation</v>
      </c>
    </row>
    <row r="14" spans="1:13" x14ac:dyDescent="0.25">
      <c r="A14" s="38">
        <v>120002</v>
      </c>
      <c r="B14" t="s">
        <v>830</v>
      </c>
      <c r="C14" s="158">
        <v>-800844.46699999995</v>
      </c>
      <c r="D14" s="158">
        <v>0</v>
      </c>
      <c r="E14" s="158">
        <v>29009.494999999999</v>
      </c>
      <c r="F14" s="158">
        <v>-829853.96200000006</v>
      </c>
      <c r="G14" s="18" t="str">
        <f>IF($A14="","",IFERROR(INDEX(Map!$C$2:$C$400,MATCH($A14,Map!$A$2:$A$400,0)),"⚠ UNMAPPED"))</f>
        <v>BS</v>
      </c>
      <c r="H14" s="18" t="str">
        <f>IF($A14="","",IFERROR(INDEX(Map!$D$2:$D$400,MATCH($A14,Map!$A$2:$A$400,0)),"⚠ UNMAPPED"))</f>
        <v>Non-Current Assets</v>
      </c>
      <c r="I14" s="18" t="str">
        <f>IF($A14="","",IFERROR(INDEX(Map!$E$2:$E$400,MATCH($A14,Map!$A$2:$A$400,0)),"⚠ UNMAPPED"))</f>
        <v>Property, plant and equipment</v>
      </c>
      <c r="J14" s="18" t="str">
        <f>IF($A14="","",IFERROR(INDEX(Map!$F$2:$F$400,MATCH($A14,Map!$A$2:$A$400,0)),"⚠ UNMAPPED"))</f>
        <v>Property, plant and equipment - Accumulated depreciation</v>
      </c>
    </row>
    <row r="15" spans="1:13" x14ac:dyDescent="0.25">
      <c r="A15" s="38">
        <v>120003</v>
      </c>
      <c r="B15" t="s">
        <v>831</v>
      </c>
      <c r="C15" s="158">
        <v>-7619752.6229999997</v>
      </c>
      <c r="D15" s="158">
        <v>0</v>
      </c>
      <c r="E15" s="158">
        <v>46041.756999999998</v>
      </c>
      <c r="F15" s="158">
        <v>-7665794.3799999999</v>
      </c>
      <c r="G15" s="18" t="str">
        <f>IF($A15="","",IFERROR(INDEX(Map!$C$2:$C$400,MATCH($A15,Map!$A$2:$A$400,0)),"⚠ UNMAPPED"))</f>
        <v>BS</v>
      </c>
      <c r="H15" s="18" t="str">
        <f>IF($A15="","",IFERROR(INDEX(Map!$D$2:$D$400,MATCH($A15,Map!$A$2:$A$400,0)),"⚠ UNMAPPED"))</f>
        <v>Non-Current Assets</v>
      </c>
      <c r="I15" s="18" t="str">
        <f>IF($A15="","",IFERROR(INDEX(Map!$E$2:$E$400,MATCH($A15,Map!$A$2:$A$400,0)),"⚠ UNMAPPED"))</f>
        <v>Property, plant and equipment</v>
      </c>
      <c r="J15" s="18" t="str">
        <f>IF($A15="","",IFERROR(INDEX(Map!$F$2:$F$400,MATCH($A15,Map!$A$2:$A$400,0)),"⚠ UNMAPPED"))</f>
        <v>Property, plant and equipment - Accumulated depreciation</v>
      </c>
    </row>
    <row r="16" spans="1:13" x14ac:dyDescent="0.25">
      <c r="A16" s="38">
        <v>120005</v>
      </c>
      <c r="B16" t="s">
        <v>832</v>
      </c>
      <c r="C16" s="158">
        <v>-35124.972999999998</v>
      </c>
      <c r="D16" s="158">
        <v>0</v>
      </c>
      <c r="E16" s="158">
        <v>1170.8330000000001</v>
      </c>
      <c r="F16" s="158">
        <v>-36295.805999999997</v>
      </c>
      <c r="G16" s="18" t="str">
        <f>IF($A16="","",IFERROR(INDEX(Map!$C$2:$C$400,MATCH($A16,Map!$A$2:$A$400,0)),"⚠ UNMAPPED"))</f>
        <v>BS</v>
      </c>
      <c r="H16" s="18" t="str">
        <f>IF($A16="","",IFERROR(INDEX(Map!$D$2:$D$400,MATCH($A16,Map!$A$2:$A$400,0)),"⚠ UNMAPPED"))</f>
        <v>Non-Current Assets</v>
      </c>
      <c r="I16" s="18" t="str">
        <f>IF($A16="","",IFERROR(INDEX(Map!$E$2:$E$400,MATCH($A16,Map!$A$2:$A$400,0)),"⚠ UNMAPPED"))</f>
        <v>Property, plant and equipment</v>
      </c>
      <c r="J16" s="18" t="str">
        <f>IF($A16="","",IFERROR(INDEX(Map!$F$2:$F$400,MATCH($A16,Map!$A$2:$A$400,0)),"⚠ UNMAPPED"))</f>
        <v>Property, plant and equipment - Accumulated depreciation</v>
      </c>
    </row>
    <row r="17" spans="1:10" x14ac:dyDescent="0.25">
      <c r="A17" s="38">
        <v>120006</v>
      </c>
      <c r="B17" t="s">
        <v>833</v>
      </c>
      <c r="C17" s="158">
        <v>-244128.63200000001</v>
      </c>
      <c r="D17" s="158">
        <v>0</v>
      </c>
      <c r="E17" s="158">
        <v>12804.675999999999</v>
      </c>
      <c r="F17" s="158">
        <v>-256933.30799999999</v>
      </c>
      <c r="G17" s="18" t="str">
        <f>IF($A17="","",IFERROR(INDEX(Map!$C$2:$C$400,MATCH($A17,Map!$A$2:$A$400,0)),"⚠ UNMAPPED"))</f>
        <v>BS</v>
      </c>
      <c r="H17" s="18" t="str">
        <f>IF($A17="","",IFERROR(INDEX(Map!$D$2:$D$400,MATCH($A17,Map!$A$2:$A$400,0)),"⚠ UNMAPPED"))</f>
        <v>Non-Current Assets</v>
      </c>
      <c r="I17" s="18" t="str">
        <f>IF($A17="","",IFERROR(INDEX(Map!$E$2:$E$400,MATCH($A17,Map!$A$2:$A$400,0)),"⚠ UNMAPPED"))</f>
        <v>Property, plant and equipment</v>
      </c>
      <c r="J17" s="18" t="str">
        <f>IF($A17="","",IFERROR(INDEX(Map!$F$2:$F$400,MATCH($A17,Map!$A$2:$A$400,0)),"⚠ UNMAPPED"))</f>
        <v>Property, plant and equipment - Accumulated depreciation</v>
      </c>
    </row>
    <row r="18" spans="1:10" x14ac:dyDescent="0.25">
      <c r="A18" s="38">
        <v>120007</v>
      </c>
      <c r="B18" t="s">
        <v>834</v>
      </c>
      <c r="C18" s="158">
        <v>-273848.50400000002</v>
      </c>
      <c r="D18" s="158">
        <v>0</v>
      </c>
      <c r="E18" s="158">
        <v>9154.4130000000005</v>
      </c>
      <c r="F18" s="158">
        <v>-283002.91700000002</v>
      </c>
      <c r="G18" s="18" t="str">
        <f>IF($A18="","",IFERROR(INDEX(Map!$C$2:$C$400,MATCH($A18,Map!$A$2:$A$400,0)),"⚠ UNMAPPED"))</f>
        <v>BS</v>
      </c>
      <c r="H18" s="18" t="str">
        <f>IF($A18="","",IFERROR(INDEX(Map!$D$2:$D$400,MATCH($A18,Map!$A$2:$A$400,0)),"⚠ UNMAPPED"))</f>
        <v>Non-Current Assets</v>
      </c>
      <c r="I18" s="18" t="str">
        <f>IF($A18="","",IFERROR(INDEX(Map!$E$2:$E$400,MATCH($A18,Map!$A$2:$A$400,0)),"⚠ UNMAPPED"))</f>
        <v>Property, plant and equipment</v>
      </c>
      <c r="J18" s="18" t="str">
        <f>IF($A18="","",IFERROR(INDEX(Map!$F$2:$F$400,MATCH($A18,Map!$A$2:$A$400,0)),"⚠ UNMAPPED"))</f>
        <v>Property, plant and equipment - Accumulated depreciation</v>
      </c>
    </row>
    <row r="19" spans="1:10" x14ac:dyDescent="0.25">
      <c r="A19" s="38">
        <v>120008</v>
      </c>
      <c r="B19" t="s">
        <v>835</v>
      </c>
      <c r="C19" s="158">
        <v>-106637.007</v>
      </c>
      <c r="D19" s="158">
        <v>0</v>
      </c>
      <c r="E19" s="158">
        <v>26659.251</v>
      </c>
      <c r="F19" s="158">
        <v>-133296.258</v>
      </c>
      <c r="G19" s="18" t="str">
        <f>IF($A19="","",IFERROR(INDEX(Map!$C$2:$C$400,MATCH($A19,Map!$A$2:$A$400,0)),"⚠ UNMAPPED"))</f>
        <v>BS</v>
      </c>
      <c r="H19" s="18" t="str">
        <f>IF($A19="","",IFERROR(INDEX(Map!$D$2:$D$400,MATCH($A19,Map!$A$2:$A$400,0)),"⚠ UNMAPPED"))</f>
        <v>Non-Current Assets</v>
      </c>
      <c r="I19" s="18" t="str">
        <f>IF($A19="","",IFERROR(INDEX(Map!$E$2:$E$400,MATCH($A19,Map!$A$2:$A$400,0)),"⚠ UNMAPPED"))</f>
        <v>Right of use</v>
      </c>
      <c r="J19" s="18" t="str">
        <f>IF($A19="","",IFERROR(INDEX(Map!$F$2:$F$400,MATCH($A19,Map!$A$2:$A$400,0)),"⚠ UNMAPPED"))</f>
        <v>Depreciation/amortization of rights of use assets</v>
      </c>
    </row>
    <row r="20" spans="1:10" x14ac:dyDescent="0.25">
      <c r="A20" s="38">
        <v>121003</v>
      </c>
      <c r="B20" t="s">
        <v>1104</v>
      </c>
      <c r="C20" s="158">
        <v>0</v>
      </c>
      <c r="D20" s="158">
        <v>0</v>
      </c>
      <c r="E20" s="158">
        <v>0</v>
      </c>
      <c r="F20" s="158">
        <v>0</v>
      </c>
      <c r="G20" s="18" t="str">
        <f>IF($A20="","",IFERROR(INDEX(Map!$C$2:$C$400,MATCH($A20,Map!$A$2:$A$400,0)),"⚠ UNMAPPED"))</f>
        <v>BS</v>
      </c>
      <c r="H20" s="18" t="str">
        <f>IF($A20="","",IFERROR(INDEX(Map!$D$2:$D$400,MATCH($A20,Map!$A$2:$A$400,0)),"⚠ UNMAPPED"))</f>
        <v>Current Assets</v>
      </c>
      <c r="I20" s="18" t="str">
        <f>IF($A20="","",IFERROR(INDEX(Map!$E$2:$E$400,MATCH($A20,Map!$A$2:$A$400,0)),"⚠ UNMAPPED"))</f>
        <v>Trade receivables</v>
      </c>
      <c r="J20" s="18" t="str">
        <f>IF($A20="","",IFERROR(INDEX(Map!$F$2:$F$400,MATCH($A20,Map!$A$2:$A$400,0)),"⚠ UNMAPPED"))</f>
        <v>Clearing account</v>
      </c>
    </row>
    <row r="21" spans="1:10" x14ac:dyDescent="0.25">
      <c r="A21" s="38">
        <v>130001</v>
      </c>
      <c r="B21" t="s">
        <v>838</v>
      </c>
      <c r="C21" s="158">
        <v>9119.36</v>
      </c>
      <c r="D21" s="158">
        <v>2808700.74</v>
      </c>
      <c r="E21" s="158">
        <v>2783557.22</v>
      </c>
      <c r="F21" s="158">
        <v>34262.879999999997</v>
      </c>
      <c r="G21" s="18" t="str">
        <f>IF($A21="","",IFERROR(INDEX(Map!$C$2:$C$400,MATCH($A21,Map!$A$2:$A$400,0)),"⚠ UNMAPPED"))</f>
        <v>BS</v>
      </c>
      <c r="H21" s="18" t="str">
        <f>IF($A21="","",IFERROR(INDEX(Map!$D$2:$D$400,MATCH($A21,Map!$A$2:$A$400,0)),"⚠ UNMAPPED"))</f>
        <v>Current Assets</v>
      </c>
      <c r="I21" s="18" t="str">
        <f>IF($A21="","",IFERROR(INDEX(Map!$E$2:$E$400,MATCH($A21,Map!$A$2:$A$400,0)),"⚠ UNMAPPED"))</f>
        <v>Cash and cash equivalents</v>
      </c>
      <c r="J21" s="18" t="str">
        <f>IF($A21="","",IFERROR(INDEX(Map!$F$2:$F$400,MATCH($A21,Map!$A$2:$A$400,0)),"⚠ UNMAPPED"))</f>
        <v>Bank balances</v>
      </c>
    </row>
    <row r="22" spans="1:10" x14ac:dyDescent="0.25">
      <c r="A22" s="38">
        <v>130011</v>
      </c>
      <c r="B22" t="s">
        <v>1105</v>
      </c>
      <c r="C22" s="158">
        <v>1542.13</v>
      </c>
      <c r="D22" s="158">
        <v>8672061.6710000001</v>
      </c>
      <c r="E22" s="158">
        <v>8391458.9020000007</v>
      </c>
      <c r="F22" s="158">
        <v>282144.89899999998</v>
      </c>
      <c r="G22" s="18" t="str">
        <f>IF($A22="","",IFERROR(INDEX(Map!$C$2:$C$400,MATCH($A22,Map!$A$2:$A$400,0)),"⚠ UNMAPPED"))</f>
        <v>BS</v>
      </c>
      <c r="H22" s="18" t="str">
        <f>IF($A22="","",IFERROR(INDEX(Map!$D$2:$D$400,MATCH($A22,Map!$A$2:$A$400,0)),"⚠ UNMAPPED"))</f>
        <v>Current Assets</v>
      </c>
      <c r="I22" s="18" t="str">
        <f>IF($A22="","",IFERROR(INDEX(Map!$E$2:$E$400,MATCH($A22,Map!$A$2:$A$400,0)),"⚠ UNMAPPED"))</f>
        <v>Cash and cash equivalents</v>
      </c>
      <c r="J22" s="18" t="str">
        <f>IF($A22="","",IFERROR(INDEX(Map!$F$2:$F$400,MATCH($A22,Map!$A$2:$A$400,0)),"⚠ UNMAPPED"))</f>
        <v>Bank balances</v>
      </c>
    </row>
    <row r="23" spans="1:10" x14ac:dyDescent="0.25">
      <c r="A23" s="38">
        <v>130012</v>
      </c>
      <c r="B23" t="s">
        <v>1106</v>
      </c>
      <c r="C23" s="158">
        <v>2292283.23</v>
      </c>
      <c r="D23" s="158">
        <v>46359128.794</v>
      </c>
      <c r="E23" s="158">
        <v>46208656.206</v>
      </c>
      <c r="F23" s="158">
        <v>2442755.818</v>
      </c>
      <c r="G23" s="18" t="str">
        <f>IF($A23="","",IFERROR(INDEX(Map!$C$2:$C$400,MATCH($A23,Map!$A$2:$A$400,0)),"⚠ UNMAPPED"))</f>
        <v>BS</v>
      </c>
      <c r="H23" s="18" t="str">
        <f>IF($A23="","",IFERROR(INDEX(Map!$D$2:$D$400,MATCH($A23,Map!$A$2:$A$400,0)),"⚠ UNMAPPED"))</f>
        <v>Current Assets</v>
      </c>
      <c r="I23" s="18" t="str">
        <f>IF($A23="","",IFERROR(INDEX(Map!$E$2:$E$400,MATCH($A23,Map!$A$2:$A$400,0)),"⚠ UNMAPPED"))</f>
        <v>Cash and cash equivalents</v>
      </c>
      <c r="J23" s="18" t="str">
        <f>IF($A23="","",IFERROR(INDEX(Map!$F$2:$F$400,MATCH($A23,Map!$A$2:$A$400,0)),"⚠ UNMAPPED"))</f>
        <v>Bank balances</v>
      </c>
    </row>
    <row r="24" spans="1:10" x14ac:dyDescent="0.25">
      <c r="A24" s="38">
        <v>140001</v>
      </c>
      <c r="B24" t="s">
        <v>1107</v>
      </c>
      <c r="C24" s="158">
        <v>1433473.5049999999</v>
      </c>
      <c r="D24" s="158">
        <v>63640893.005000003</v>
      </c>
      <c r="E24" s="158">
        <v>58302144.454000004</v>
      </c>
      <c r="F24" s="158">
        <v>6772222.0559999999</v>
      </c>
      <c r="G24" s="18" t="str">
        <f>IF($A24="","",IFERROR(INDEX(Map!$C$2:$C$400,MATCH($A24,Map!$A$2:$A$400,0)),"⚠ UNMAPPED"))</f>
        <v>BS</v>
      </c>
      <c r="H24" s="18" t="str">
        <f>IF($A24="","",IFERROR(INDEX(Map!$D$2:$D$400,MATCH($A24,Map!$A$2:$A$400,0)),"⚠ UNMAPPED"))</f>
        <v>Current Assets</v>
      </c>
      <c r="I24" s="18" t="str">
        <f>IF($A24="","",IFERROR(INDEX(Map!$E$2:$E$400,MATCH($A24,Map!$A$2:$A$400,0)),"⚠ UNMAPPED"))</f>
        <v>Trade receivables</v>
      </c>
      <c r="J24" s="18" t="str">
        <f>IF($A24="","",IFERROR(INDEX(Map!$F$2:$F$400,MATCH($A24,Map!$A$2:$A$400,0)),"⚠ UNMAPPED"))</f>
        <v>Trade receivables - current</v>
      </c>
    </row>
    <row r="25" spans="1:10" x14ac:dyDescent="0.25">
      <c r="A25" s="38">
        <v>150001</v>
      </c>
      <c r="B25" t="s">
        <v>1108</v>
      </c>
      <c r="C25" s="158">
        <v>33943</v>
      </c>
      <c r="D25" s="158">
        <v>89551.61</v>
      </c>
      <c r="E25" s="158">
        <v>52879</v>
      </c>
      <c r="F25" s="158">
        <v>70615.61</v>
      </c>
      <c r="G25" s="18" t="str">
        <f>IF($A25="","",IFERROR(INDEX(Map!$C$2:$C$400,MATCH($A25,Map!$A$2:$A$400,0)),"⚠ UNMAPPED"))</f>
        <v>BS</v>
      </c>
      <c r="H25" s="18" t="str">
        <f>IF($A25="","",IFERROR(INDEX(Map!$D$2:$D$400,MATCH($A25,Map!$A$2:$A$400,0)),"⚠ UNMAPPED"))</f>
        <v>Current Assets</v>
      </c>
      <c r="I25" s="18" t="str">
        <f>IF($A25="","",IFERROR(INDEX(Map!$E$2:$E$400,MATCH($A25,Map!$A$2:$A$400,0)),"⚠ UNMAPPED"))</f>
        <v>Prepaid expenses</v>
      </c>
      <c r="J25" s="18" t="str">
        <f>IF($A25="","",IFERROR(INDEX(Map!$F$2:$F$400,MATCH($A25,Map!$A$2:$A$400,0)),"⚠ UNMAPPED"))</f>
        <v>Advances - current</v>
      </c>
    </row>
    <row r="26" spans="1:10" x14ac:dyDescent="0.25">
      <c r="A26" s="38">
        <v>160001</v>
      </c>
      <c r="B26" t="s">
        <v>1109</v>
      </c>
      <c r="C26" s="158">
        <v>840.64</v>
      </c>
      <c r="D26" s="158">
        <v>134039.34</v>
      </c>
      <c r="E26" s="158">
        <v>130873.43700000001</v>
      </c>
      <c r="F26" s="158">
        <v>4006.5430000000001</v>
      </c>
      <c r="G26" s="18" t="str">
        <f>IF($A26="","",IFERROR(INDEX(Map!$C$2:$C$400,MATCH($A26,Map!$A$2:$A$400,0)),"⚠ UNMAPPED"))</f>
        <v>BS</v>
      </c>
      <c r="H26" s="18" t="str">
        <f>IF($A26="","",IFERROR(INDEX(Map!$D$2:$D$400,MATCH($A26,Map!$A$2:$A$400,0)),"⚠ UNMAPPED"))</f>
        <v>Current Assets</v>
      </c>
      <c r="I26" s="18" t="str">
        <f>IF($A26="","",IFERROR(INDEX(Map!$E$2:$E$400,MATCH($A26,Map!$A$2:$A$400,0)),"⚠ UNMAPPED"))</f>
        <v>Cash and cash equivalents</v>
      </c>
      <c r="J26" s="18" t="str">
        <f>IF($A26="","",IFERROR(INDEX(Map!$F$2:$F$400,MATCH($A26,Map!$A$2:$A$400,0)),"⚠ UNMAPPED"))</f>
        <v>Petty cash</v>
      </c>
    </row>
    <row r="27" spans="1:10" x14ac:dyDescent="0.25">
      <c r="A27" s="38">
        <v>170000</v>
      </c>
      <c r="B27" t="s">
        <v>1110</v>
      </c>
      <c r="C27" s="158">
        <v>2.8000000000000001E-2</v>
      </c>
      <c r="D27" s="158">
        <v>0</v>
      </c>
      <c r="E27" s="158">
        <v>0</v>
      </c>
      <c r="F27" s="158">
        <v>2.8000000000000001E-2</v>
      </c>
      <c r="G27" s="18" t="str">
        <f>IF($A27="","",IFERROR(INDEX(Map!$C$2:$C$400,MATCH($A27,Map!$A$2:$A$400,0)),"⚠ UNMAPPED"))</f>
        <v>BS</v>
      </c>
      <c r="H27" s="18" t="str">
        <f>IF($A27="","",IFERROR(INDEX(Map!$D$2:$D$400,MATCH($A27,Map!$A$2:$A$400,0)),"⚠ UNMAPPED"))</f>
        <v>Current Liabilities</v>
      </c>
      <c r="I27" s="18" t="str">
        <f>IF($A27="","",IFERROR(INDEX(Map!$E$2:$E$400,MATCH($A27,Map!$A$2:$A$400,0)),"⚠ UNMAPPED"))</f>
        <v>Short-term Murabaha loans</v>
      </c>
      <c r="J27" s="18" t="str">
        <f>IF($A27="","",IFERROR(INDEX(Map!$F$2:$F$400,MATCH($A27,Map!$A$2:$A$400,0)),"⚠ UNMAPPED"))</f>
        <v>Prepayments - current</v>
      </c>
    </row>
    <row r="28" spans="1:10" x14ac:dyDescent="0.25">
      <c r="A28" s="38">
        <v>170001</v>
      </c>
      <c r="B28" t="s">
        <v>863</v>
      </c>
      <c r="C28" s="158">
        <v>4.7E-2</v>
      </c>
      <c r="D28" s="158">
        <v>733944.179</v>
      </c>
      <c r="E28" s="158">
        <v>379622.37400000001</v>
      </c>
      <c r="F28" s="158">
        <v>354321.85200000001</v>
      </c>
      <c r="G28" s="18" t="str">
        <f>IF($A28="","",IFERROR(INDEX(Map!$C$2:$C$400,MATCH($A28,Map!$A$2:$A$400,0)),"⚠ UNMAPPED"))</f>
        <v>BS</v>
      </c>
      <c r="H28" s="18" t="str">
        <f>IF($A28="","",IFERROR(INDEX(Map!$D$2:$D$400,MATCH($A28,Map!$A$2:$A$400,0)),"⚠ UNMAPPED"))</f>
        <v>Current Liabilities</v>
      </c>
      <c r="I28" s="18" t="str">
        <f>IF($A28="","",IFERROR(INDEX(Map!$E$2:$E$400,MATCH($A28,Map!$A$2:$A$400,0)),"⚠ UNMAPPED"))</f>
        <v>Short-term Murabaha loans</v>
      </c>
      <c r="J28" s="18" t="str">
        <f>IF($A28="","",IFERROR(INDEX(Map!$F$2:$F$400,MATCH($A28,Map!$A$2:$A$400,0)),"⚠ UNMAPPED"))</f>
        <v>Prepayments - current</v>
      </c>
    </row>
    <row r="29" spans="1:10" x14ac:dyDescent="0.25">
      <c r="A29" s="38">
        <v>170002</v>
      </c>
      <c r="B29" t="s">
        <v>1111</v>
      </c>
      <c r="C29" s="158">
        <v>3.5999999999999997E-2</v>
      </c>
      <c r="D29" s="158">
        <v>0</v>
      </c>
      <c r="E29" s="158">
        <v>0</v>
      </c>
      <c r="F29" s="158">
        <v>3.5999999999999997E-2</v>
      </c>
      <c r="G29" s="18" t="str">
        <f>IF($A29="","",IFERROR(INDEX(Map!$C$2:$C$400,MATCH($A29,Map!$A$2:$A$400,0)),"⚠ UNMAPPED"))</f>
        <v>BS</v>
      </c>
      <c r="H29" s="18" t="str">
        <f>IF($A29="","",IFERROR(INDEX(Map!$D$2:$D$400,MATCH($A29,Map!$A$2:$A$400,0)),"⚠ UNMAPPED"))</f>
        <v>Current Liabilities</v>
      </c>
      <c r="I29" s="18" t="str">
        <f>IF($A29="","",IFERROR(INDEX(Map!$E$2:$E$400,MATCH($A29,Map!$A$2:$A$400,0)),"⚠ UNMAPPED"))</f>
        <v>Short-term Murabaha loans</v>
      </c>
      <c r="J29" s="18" t="str">
        <f>IF($A29="","",IFERROR(INDEX(Map!$F$2:$F$400,MATCH($A29,Map!$A$2:$A$400,0)),"⚠ UNMAPPED"))</f>
        <v>Prepayments - current</v>
      </c>
    </row>
    <row r="30" spans="1:10" x14ac:dyDescent="0.25">
      <c r="A30" s="38">
        <v>170003</v>
      </c>
      <c r="B30" t="s">
        <v>1112</v>
      </c>
      <c r="C30" s="158">
        <v>-3.7999999999999999E-2</v>
      </c>
      <c r="D30" s="158">
        <v>157144.99799999999</v>
      </c>
      <c r="E30" s="158">
        <v>157144.95999999999</v>
      </c>
      <c r="F30" s="158">
        <v>0</v>
      </c>
      <c r="G30" s="18" t="str">
        <f>IF($A30="","",IFERROR(INDEX(Map!$C$2:$C$400,MATCH($A30,Map!$A$2:$A$400,0)),"⚠ UNMAPPED"))</f>
        <v>BS</v>
      </c>
      <c r="H30" s="18" t="str">
        <f>IF($A30="","",IFERROR(INDEX(Map!$D$2:$D$400,MATCH($A30,Map!$A$2:$A$400,0)),"⚠ UNMAPPED"))</f>
        <v>Current Liabilities</v>
      </c>
      <c r="I30" s="18" t="str">
        <f>IF($A30="","",IFERROR(INDEX(Map!$E$2:$E$400,MATCH($A30,Map!$A$2:$A$400,0)),"⚠ UNMAPPED"))</f>
        <v>Short-term Murabaha loans</v>
      </c>
      <c r="J30" s="18" t="str">
        <f>IF($A30="","",IFERROR(INDEX(Map!$F$2:$F$400,MATCH($A30,Map!$A$2:$A$400,0)),"⚠ UNMAPPED"))</f>
        <v>Prepayments - current</v>
      </c>
    </row>
    <row r="31" spans="1:10" x14ac:dyDescent="0.25">
      <c r="A31" s="38">
        <v>170004</v>
      </c>
      <c r="B31" t="s">
        <v>866</v>
      </c>
      <c r="C31" s="158">
        <v>5.0000000000000001E-3</v>
      </c>
      <c r="D31" s="158">
        <v>0</v>
      </c>
      <c r="E31" s="158">
        <v>0</v>
      </c>
      <c r="F31" s="158">
        <v>5.0000000000000001E-3</v>
      </c>
      <c r="G31" s="18" t="str">
        <f>IF($A31="","",IFERROR(INDEX(Map!$C$2:$C$400,MATCH($A31,Map!$A$2:$A$400,0)),"⚠ UNMAPPED"))</f>
        <v>BS</v>
      </c>
      <c r="H31" s="18" t="str">
        <f>IF($A31="","",IFERROR(INDEX(Map!$D$2:$D$400,MATCH($A31,Map!$A$2:$A$400,0)),"⚠ UNMAPPED"))</f>
        <v>Current Liabilities</v>
      </c>
      <c r="I31" s="18" t="str">
        <f>IF($A31="","",IFERROR(INDEX(Map!$E$2:$E$400,MATCH($A31,Map!$A$2:$A$400,0)),"⚠ UNMAPPED"))</f>
        <v>Short-term Murabaha loans</v>
      </c>
      <c r="J31" s="18" t="str">
        <f>IF($A31="","",IFERROR(INDEX(Map!$F$2:$F$400,MATCH($A31,Map!$A$2:$A$400,0)),"⚠ UNMAPPED"))</f>
        <v>Prepayments - current</v>
      </c>
    </row>
    <row r="32" spans="1:10" x14ac:dyDescent="0.25">
      <c r="A32" s="38">
        <v>170006</v>
      </c>
      <c r="B32" t="s">
        <v>1113</v>
      </c>
      <c r="C32" s="158">
        <v>0</v>
      </c>
      <c r="D32" s="158">
        <v>0</v>
      </c>
      <c r="E32" s="158">
        <v>0</v>
      </c>
      <c r="F32" s="158">
        <v>0</v>
      </c>
      <c r="G32" s="18" t="str">
        <f>IF($A32="","",IFERROR(INDEX(Map!$C$2:$C$400,MATCH($A32,Map!$A$2:$A$400,0)),"⚠ UNMAPPED"))</f>
        <v>BS</v>
      </c>
      <c r="H32" s="18" t="str">
        <f>IF($A32="","",IFERROR(INDEX(Map!$D$2:$D$400,MATCH($A32,Map!$A$2:$A$400,0)),"⚠ UNMAPPED"))</f>
        <v>Current Assets</v>
      </c>
      <c r="I32" s="18" t="str">
        <f>IF($A32="","",IFERROR(INDEX(Map!$E$2:$E$400,MATCH($A32,Map!$A$2:$A$400,0)),"⚠ UNMAPPED"))</f>
        <v>Prepaid expenses</v>
      </c>
      <c r="J32" s="18" t="str">
        <f>IF($A32="","",IFERROR(INDEX(Map!$F$2:$F$400,MATCH($A32,Map!$A$2:$A$400,0)),"⚠ UNMAPPED"))</f>
        <v>Deposits - current</v>
      </c>
    </row>
    <row r="33" spans="1:10" x14ac:dyDescent="0.25">
      <c r="A33" s="38">
        <v>170008</v>
      </c>
      <c r="B33" t="s">
        <v>1114</v>
      </c>
      <c r="C33" s="158">
        <v>-4.0000000000000001E-3</v>
      </c>
      <c r="D33" s="158">
        <v>251203.48</v>
      </c>
      <c r="E33" s="158">
        <v>251181.13399999999</v>
      </c>
      <c r="F33" s="158">
        <v>22.341999999999999</v>
      </c>
      <c r="G33" s="18" t="str">
        <f>IF($A33="","",IFERROR(INDEX(Map!$C$2:$C$400,MATCH($A33,Map!$A$2:$A$400,0)),"⚠ UNMAPPED"))</f>
        <v>BS</v>
      </c>
      <c r="H33" s="18" t="str">
        <f>IF($A33="","",IFERROR(INDEX(Map!$D$2:$D$400,MATCH($A33,Map!$A$2:$A$400,0)),"⚠ UNMAPPED"))</f>
        <v>Current Assets</v>
      </c>
      <c r="I33" s="18" t="str">
        <f>IF($A33="","",IFERROR(INDEX(Map!$E$2:$E$400,MATCH($A33,Map!$A$2:$A$400,0)),"⚠ UNMAPPED"))</f>
        <v>Prepaid expenses</v>
      </c>
      <c r="J33" s="18" t="str">
        <f>IF($A33="","",IFERROR(INDEX(Map!$F$2:$F$400,MATCH($A33,Map!$A$2:$A$400,0)),"⚠ UNMAPPED"))</f>
        <v>Deposits - current</v>
      </c>
    </row>
    <row r="34" spans="1:10" x14ac:dyDescent="0.25">
      <c r="A34" s="38">
        <v>170009</v>
      </c>
      <c r="B34" t="s">
        <v>1115</v>
      </c>
      <c r="C34" s="158">
        <v>0</v>
      </c>
      <c r="D34" s="158">
        <v>0</v>
      </c>
      <c r="E34" s="158">
        <v>0</v>
      </c>
      <c r="F34" s="158">
        <v>0</v>
      </c>
      <c r="G34" s="18" t="str">
        <f>IF($A34="","",IFERROR(INDEX(Map!$C$2:$C$400,MATCH($A34,Map!$A$2:$A$400,0)),"⚠ UNMAPPED"))</f>
        <v>BS</v>
      </c>
      <c r="H34" s="18" t="str">
        <f>IF($A34="","",IFERROR(INDEX(Map!$D$2:$D$400,MATCH($A34,Map!$A$2:$A$400,0)),"⚠ UNMAPPED"))</f>
        <v>Current Assets</v>
      </c>
      <c r="I34" s="18" t="str">
        <f>IF($A34="","",IFERROR(INDEX(Map!$E$2:$E$400,MATCH($A34,Map!$A$2:$A$400,0)),"⚠ UNMAPPED"))</f>
        <v>Prepaid expenses</v>
      </c>
      <c r="J34" s="18" t="str">
        <f>IF($A34="","",IFERROR(INDEX(Map!$F$2:$F$400,MATCH($A34,Map!$A$2:$A$400,0)),"⚠ UNMAPPED"))</f>
        <v>Rent</v>
      </c>
    </row>
    <row r="35" spans="1:10" x14ac:dyDescent="0.25">
      <c r="A35" s="38">
        <v>170014</v>
      </c>
      <c r="B35" t="s">
        <v>1116</v>
      </c>
      <c r="C35" s="158">
        <v>44828.536999999997</v>
      </c>
      <c r="D35" s="158">
        <v>295255.696</v>
      </c>
      <c r="E35" s="158">
        <v>256777.62700000001</v>
      </c>
      <c r="F35" s="158">
        <v>83306.606</v>
      </c>
      <c r="G35" s="18" t="str">
        <f>IF($A35="","",IFERROR(INDEX(Map!$C$2:$C$400,MATCH($A35,Map!$A$2:$A$400,0)),"⚠ UNMAPPED"))</f>
        <v>BS</v>
      </c>
      <c r="H35" s="18" t="str">
        <f>IF($A35="","",IFERROR(INDEX(Map!$D$2:$D$400,MATCH($A35,Map!$A$2:$A$400,0)),"⚠ UNMAPPED"))</f>
        <v>Current Assets</v>
      </c>
      <c r="I35" s="18" t="str">
        <f>IF($A35="","",IFERROR(INDEX(Map!$E$2:$E$400,MATCH($A35,Map!$A$2:$A$400,0)),"⚠ UNMAPPED"))</f>
        <v>Prepaid expenses</v>
      </c>
      <c r="J35" s="18" t="str">
        <f>IF($A35="","",IFERROR(INDEX(Map!$F$2:$F$400,MATCH($A35,Map!$A$2:$A$400,0)),"⚠ UNMAPPED"))</f>
        <v>Insurance</v>
      </c>
    </row>
    <row r="36" spans="1:10" x14ac:dyDescent="0.25">
      <c r="A36" s="38">
        <v>170019</v>
      </c>
      <c r="B36" t="s">
        <v>1117</v>
      </c>
      <c r="C36" s="158">
        <v>7515</v>
      </c>
      <c r="D36" s="158">
        <v>15030</v>
      </c>
      <c r="E36" s="158">
        <v>0</v>
      </c>
      <c r="F36" s="158">
        <v>22545</v>
      </c>
      <c r="G36" s="18" t="str">
        <f>IF($A36="","",IFERROR(INDEX(Map!$C$2:$C$400,MATCH($A36,Map!$A$2:$A$400,0)),"⚠ UNMAPPED"))</f>
        <v>BS</v>
      </c>
      <c r="H36" s="18" t="str">
        <f>IF($A36="","",IFERROR(INDEX(Map!$D$2:$D$400,MATCH($A36,Map!$A$2:$A$400,0)),"⚠ UNMAPPED"))</f>
        <v>Current Assets</v>
      </c>
      <c r="I36" s="18" t="str">
        <f>IF($A36="","",IFERROR(INDEX(Map!$E$2:$E$400,MATCH($A36,Map!$A$2:$A$400,0)),"⚠ UNMAPPED"))</f>
        <v>Prepaid expenses</v>
      </c>
      <c r="J36" s="18" t="str">
        <f>IF($A36="","",IFERROR(INDEX(Map!$F$2:$F$400,MATCH($A36,Map!$A$2:$A$400,0)),"⚠ UNMAPPED"))</f>
        <v>Other receivables - current</v>
      </c>
    </row>
    <row r="37" spans="1:10" x14ac:dyDescent="0.25">
      <c r="A37" s="38">
        <v>170021</v>
      </c>
      <c r="B37" t="s">
        <v>1118</v>
      </c>
      <c r="C37" s="158">
        <v>3324.1930000000002</v>
      </c>
      <c r="D37" s="158">
        <v>190373.587</v>
      </c>
      <c r="E37" s="158">
        <v>189512.59</v>
      </c>
      <c r="F37" s="158">
        <v>4185.1899999999996</v>
      </c>
      <c r="G37" s="18" t="str">
        <f>IF($A37="","",IFERROR(INDEX(Map!$C$2:$C$400,MATCH($A37,Map!$A$2:$A$400,0)),"⚠ UNMAPPED"))</f>
        <v>BS</v>
      </c>
      <c r="H37" s="18" t="str">
        <f>IF($A37="","",IFERROR(INDEX(Map!$D$2:$D$400,MATCH($A37,Map!$A$2:$A$400,0)),"⚠ UNMAPPED"))</f>
        <v>Current Assets</v>
      </c>
      <c r="I37" s="18" t="str">
        <f>IF($A37="","",IFERROR(INDEX(Map!$E$2:$E$400,MATCH($A37,Map!$A$2:$A$400,0)),"⚠ UNMAPPED"))</f>
        <v>Prepaid expenses</v>
      </c>
      <c r="J37" s="18" t="str">
        <f>IF($A37="","",IFERROR(INDEX(Map!$F$2:$F$400,MATCH($A37,Map!$A$2:$A$400,0)),"⚠ UNMAPPED"))</f>
        <v>Prepaid expense</v>
      </c>
    </row>
    <row r="38" spans="1:10" x14ac:dyDescent="0.25">
      <c r="A38" s="38">
        <v>180001</v>
      </c>
      <c r="B38" t="s">
        <v>1119</v>
      </c>
      <c r="C38" s="158">
        <v>1184935.804</v>
      </c>
      <c r="D38" s="158">
        <v>459509.35600000003</v>
      </c>
      <c r="E38" s="158">
        <v>657040.10400000005</v>
      </c>
      <c r="F38" s="158">
        <v>987405.05599999998</v>
      </c>
      <c r="G38" s="18" t="str">
        <f>IF($A38="","",IFERROR(INDEX(Map!$C$2:$C$400,MATCH($A38,Map!$A$2:$A$400,0)),"⚠ UNMAPPED"))</f>
        <v>BS</v>
      </c>
      <c r="H38" s="18" t="str">
        <f>IF($A38="","",IFERROR(INDEX(Map!$D$2:$D$400,MATCH($A38,Map!$A$2:$A$400,0)),"⚠ UNMAPPED"))</f>
        <v>Current Assets</v>
      </c>
      <c r="I38" s="18" t="str">
        <f>IF($A38="","",IFERROR(INDEX(Map!$E$2:$E$400,MATCH($A38,Map!$A$2:$A$400,0)),"⚠ UNMAPPED"))</f>
        <v>Inventories</v>
      </c>
      <c r="J38" s="18" t="str">
        <f>IF($A38="","",IFERROR(INDEX(Map!$F$2:$F$400,MATCH($A38,Map!$A$2:$A$400,0)),"⚠ UNMAPPED"))</f>
        <v>Raw materials - Inventory</v>
      </c>
    </row>
    <row r="39" spans="1:10" x14ac:dyDescent="0.25">
      <c r="A39" s="38">
        <v>180003</v>
      </c>
      <c r="B39" t="s">
        <v>886</v>
      </c>
      <c r="C39" s="158">
        <v>122711.5</v>
      </c>
      <c r="D39" s="158">
        <v>331929.43699999998</v>
      </c>
      <c r="E39" s="158">
        <v>331828.40100000001</v>
      </c>
      <c r="F39" s="158">
        <v>122812.53599999999</v>
      </c>
      <c r="G39" s="18" t="str">
        <f>IF($A39="","",IFERROR(INDEX(Map!$C$2:$C$400,MATCH($A39,Map!$A$2:$A$400,0)),"⚠ UNMAPPED"))</f>
        <v>BS</v>
      </c>
      <c r="H39" s="18" t="str">
        <f>IF($A39="","",IFERROR(INDEX(Map!$D$2:$D$400,MATCH($A39,Map!$A$2:$A$400,0)),"⚠ UNMAPPED"))</f>
        <v>Current Assets</v>
      </c>
      <c r="I39" s="18" t="str">
        <f>IF($A39="","",IFERROR(INDEX(Map!$E$2:$E$400,MATCH($A39,Map!$A$2:$A$400,0)),"⚠ UNMAPPED"))</f>
        <v>Inventories</v>
      </c>
      <c r="J39" s="18" t="str">
        <f>IF($A39="","",IFERROR(INDEX(Map!$F$2:$F$400,MATCH($A39,Map!$A$2:$A$400,0)),"⚠ UNMAPPED"))</f>
        <v>Spare parts - Inventory</v>
      </c>
    </row>
    <row r="40" spans="1:10" x14ac:dyDescent="0.25">
      <c r="A40" s="38">
        <v>180005</v>
      </c>
      <c r="B40" t="s">
        <v>1120</v>
      </c>
      <c r="C40" s="158">
        <v>-2E-3</v>
      </c>
      <c r="D40" s="158">
        <v>1703.682</v>
      </c>
      <c r="E40" s="158">
        <v>1473592.8659999999</v>
      </c>
      <c r="F40" s="158">
        <v>-1471889.186</v>
      </c>
      <c r="G40" s="18" t="str">
        <f>IF($A40="","",IFERROR(INDEX(Map!$C$2:$C$400,MATCH($A40,Map!$A$2:$A$400,0)),"⚠ UNMAPPED"))</f>
        <v>BS</v>
      </c>
      <c r="H40" s="18" t="str">
        <f>IF($A40="","",IFERROR(INDEX(Map!$D$2:$D$400,MATCH($A40,Map!$A$2:$A$400,0)),"⚠ UNMAPPED"))</f>
        <v>Current Assets</v>
      </c>
      <c r="I40" s="18" t="str">
        <f>IF($A40="","",IFERROR(INDEX(Map!$E$2:$E$400,MATCH($A40,Map!$A$2:$A$400,0)),"⚠ UNMAPPED"))</f>
        <v>Inventories</v>
      </c>
      <c r="J40" s="18" t="str">
        <f>IF($A40="","",IFERROR(INDEX(Map!$F$2:$F$400,MATCH($A40,Map!$A$2:$A$400,0)),"⚠ UNMAPPED"))</f>
        <v>Raw materials - Inventory</v>
      </c>
    </row>
    <row r="41" spans="1:10" x14ac:dyDescent="0.25">
      <c r="A41" s="38">
        <v>180007</v>
      </c>
      <c r="B41" t="s">
        <v>1121</v>
      </c>
      <c r="C41" s="158">
        <v>1340158.8570000001</v>
      </c>
      <c r="D41" s="158">
        <v>109195888.273</v>
      </c>
      <c r="E41" s="158">
        <v>89516415.069999993</v>
      </c>
      <c r="F41" s="158">
        <v>21019632.059999999</v>
      </c>
      <c r="G41" s="18" t="str">
        <f>IF($A41="","",IFERROR(INDEX(Map!$C$2:$C$400,MATCH($A41,Map!$A$2:$A$400,0)),"⚠ UNMAPPED"))</f>
        <v>BS</v>
      </c>
      <c r="H41" s="18" t="str">
        <f>IF($A41="","",IFERROR(INDEX(Map!$D$2:$D$400,MATCH($A41,Map!$A$2:$A$400,0)),"⚠ UNMAPPED"))</f>
        <v>Current Assets</v>
      </c>
      <c r="I41" s="18" t="str">
        <f>IF($A41="","",IFERROR(INDEX(Map!$E$2:$E$400,MATCH($A41,Map!$A$2:$A$400,0)),"⚠ UNMAPPED"))</f>
        <v>Inventories</v>
      </c>
      <c r="J41" s="18" t="str">
        <f>IF($A41="","",IFERROR(INDEX(Map!$F$2:$F$400,MATCH($A41,Map!$A$2:$A$400,0)),"⚠ UNMAPPED"))</f>
        <v>Raw materials - Inventory</v>
      </c>
    </row>
    <row r="42" spans="1:10" x14ac:dyDescent="0.25">
      <c r="A42" s="38">
        <v>180009</v>
      </c>
      <c r="B42" t="s">
        <v>892</v>
      </c>
      <c r="C42" s="158">
        <v>2E-3</v>
      </c>
      <c r="D42" s="158">
        <v>0</v>
      </c>
      <c r="E42" s="158">
        <v>0</v>
      </c>
      <c r="F42" s="158">
        <v>2E-3</v>
      </c>
      <c r="G42" s="18" t="str">
        <f>IF($A42="","",IFERROR(INDEX(Map!$C$2:$C$400,MATCH($A42,Map!$A$2:$A$400,0)),"⚠ UNMAPPED"))</f>
        <v>BS</v>
      </c>
      <c r="H42" s="18" t="str">
        <f>IF($A42="","",IFERROR(INDEX(Map!$D$2:$D$400,MATCH($A42,Map!$A$2:$A$400,0)),"⚠ UNMAPPED"))</f>
        <v>Current Assets</v>
      </c>
      <c r="I42" s="18" t="str">
        <f>IF($A42="","",IFERROR(INDEX(Map!$E$2:$E$400,MATCH($A42,Map!$A$2:$A$400,0)),"⚠ UNMAPPED"))</f>
        <v>Inventories</v>
      </c>
      <c r="J42" s="18" t="str">
        <f>IF($A42="","",IFERROR(INDEX(Map!$F$2:$F$400,MATCH($A42,Map!$A$2:$A$400,0)),"⚠ UNMAPPED"))</f>
        <v>Raw materials - Inventory</v>
      </c>
    </row>
    <row r="43" spans="1:10" x14ac:dyDescent="0.25">
      <c r="A43" s="38">
        <v>180010</v>
      </c>
      <c r="B43" t="s">
        <v>893</v>
      </c>
      <c r="C43" s="158">
        <v>-1E-3</v>
      </c>
      <c r="D43" s="158">
        <v>18197.562000000002</v>
      </c>
      <c r="E43" s="158">
        <v>3715.194</v>
      </c>
      <c r="F43" s="158">
        <v>14482.367</v>
      </c>
      <c r="G43" s="18" t="str">
        <f>IF($A43="","",IFERROR(INDEX(Map!$C$2:$C$400,MATCH($A43,Map!$A$2:$A$400,0)),"⚠ UNMAPPED"))</f>
        <v>BS</v>
      </c>
      <c r="H43" s="18" t="str">
        <f>IF($A43="","",IFERROR(INDEX(Map!$D$2:$D$400,MATCH($A43,Map!$A$2:$A$400,0)),"⚠ UNMAPPED"))</f>
        <v>Current Assets</v>
      </c>
      <c r="I43" s="18" t="str">
        <f>IF($A43="","",IFERROR(INDEX(Map!$E$2:$E$400,MATCH($A43,Map!$A$2:$A$400,0)),"⚠ UNMAPPED"))</f>
        <v>Inventories</v>
      </c>
      <c r="J43" s="18" t="str">
        <f>IF($A43="","",IFERROR(INDEX(Map!$F$2:$F$400,MATCH($A43,Map!$A$2:$A$400,0)),"⚠ UNMAPPED"))</f>
        <v>Packaging materials - Inventory</v>
      </c>
    </row>
    <row r="44" spans="1:10" x14ac:dyDescent="0.25">
      <c r="A44" s="38">
        <v>180011</v>
      </c>
      <c r="B44" t="s">
        <v>894</v>
      </c>
      <c r="C44" s="158">
        <v>969335.80500000005</v>
      </c>
      <c r="D44" s="158">
        <v>47071071.489</v>
      </c>
      <c r="E44" s="158">
        <v>44958382.994000003</v>
      </c>
      <c r="F44" s="158">
        <v>3082024.3</v>
      </c>
      <c r="G44" s="18" t="str">
        <f>IF($A44="","",IFERROR(INDEX(Map!$C$2:$C$400,MATCH($A44,Map!$A$2:$A$400,0)),"⚠ UNMAPPED"))</f>
        <v>BS</v>
      </c>
      <c r="H44" s="18" t="str">
        <f>IF($A44="","",IFERROR(INDEX(Map!$D$2:$D$400,MATCH($A44,Map!$A$2:$A$400,0)),"⚠ UNMAPPED"))</f>
        <v>Current Assets</v>
      </c>
      <c r="I44" s="18" t="str">
        <f>IF($A44="","",IFERROR(INDEX(Map!$E$2:$E$400,MATCH($A44,Map!$A$2:$A$400,0)),"⚠ UNMAPPED"))</f>
        <v>Inventories</v>
      </c>
      <c r="J44" s="18" t="str">
        <f>IF($A44="","",IFERROR(INDEX(Map!$F$2:$F$400,MATCH($A44,Map!$A$2:$A$400,0)),"⚠ UNMAPPED"))</f>
        <v>Finished goods - Inventory</v>
      </c>
    </row>
    <row r="45" spans="1:10" x14ac:dyDescent="0.25">
      <c r="A45" s="38">
        <v>180012</v>
      </c>
      <c r="B45" t="s">
        <v>895</v>
      </c>
      <c r="C45" s="158">
        <v>4285303.5599999996</v>
      </c>
      <c r="D45" s="158">
        <v>75346056.797000006</v>
      </c>
      <c r="E45" s="158">
        <v>73853962.327999994</v>
      </c>
      <c r="F45" s="158">
        <v>5777398.0290000001</v>
      </c>
      <c r="G45" s="18" t="str">
        <f>IF($A45="","",IFERROR(INDEX(Map!$C$2:$C$400,MATCH($A45,Map!$A$2:$A$400,0)),"⚠ UNMAPPED"))</f>
        <v>BS</v>
      </c>
      <c r="H45" s="18" t="str">
        <f>IF($A45="","",IFERROR(INDEX(Map!$D$2:$D$400,MATCH($A45,Map!$A$2:$A$400,0)),"⚠ UNMAPPED"))</f>
        <v>Current Assets</v>
      </c>
      <c r="I45" s="18" t="str">
        <f>IF($A45="","",IFERROR(INDEX(Map!$E$2:$E$400,MATCH($A45,Map!$A$2:$A$400,0)),"⚠ UNMAPPED"))</f>
        <v>Inventories</v>
      </c>
      <c r="J45" s="18" t="str">
        <f>IF($A45="","",IFERROR(INDEX(Map!$F$2:$F$400,MATCH($A45,Map!$A$2:$A$400,0)),"⚠ UNMAPPED"))</f>
        <v>Work in progress - Inventory</v>
      </c>
    </row>
    <row r="46" spans="1:10" x14ac:dyDescent="0.25">
      <c r="A46" s="38">
        <v>180014</v>
      </c>
      <c r="B46" t="s">
        <v>897</v>
      </c>
      <c r="C46" s="158">
        <v>-2E-3</v>
      </c>
      <c r="D46" s="158">
        <v>117598135.433</v>
      </c>
      <c r="E46" s="158">
        <v>117653610.63699999</v>
      </c>
      <c r="F46" s="158">
        <v>-55475.205999999998</v>
      </c>
      <c r="G46" s="18" t="str">
        <f>IF($A46="","",IFERROR(INDEX(Map!$C$2:$C$400,MATCH($A46,Map!$A$2:$A$400,0)),"⚠ UNMAPPED"))</f>
        <v>BS</v>
      </c>
      <c r="H46" s="18" t="str">
        <f>IF($A46="","",IFERROR(INDEX(Map!$D$2:$D$400,MATCH($A46,Map!$A$2:$A$400,0)),"⚠ UNMAPPED"))</f>
        <v>Current Assets</v>
      </c>
      <c r="I46" s="18" t="str">
        <f>IF($A46="","",IFERROR(INDEX(Map!$E$2:$E$400,MATCH($A46,Map!$A$2:$A$400,0)),"⚠ UNMAPPED"))</f>
        <v>Inventories</v>
      </c>
      <c r="J46" s="18" t="str">
        <f>IF($A46="","",IFERROR(INDEX(Map!$F$2:$F$400,MATCH($A46,Map!$A$2:$A$400,0)),"⚠ UNMAPPED"))</f>
        <v>Work in progress - Inventory</v>
      </c>
    </row>
    <row r="47" spans="1:10" x14ac:dyDescent="0.25">
      <c r="A47" s="38">
        <v>180096</v>
      </c>
      <c r="B47" t="s">
        <v>898</v>
      </c>
      <c r="C47" s="158">
        <v>0</v>
      </c>
      <c r="D47" s="158">
        <v>93422439.894999996</v>
      </c>
      <c r="E47" s="158">
        <v>93422439.894999996</v>
      </c>
      <c r="F47" s="158">
        <v>0</v>
      </c>
      <c r="G47" s="18" t="str">
        <f>IF($A47="","",IFERROR(INDEX(Map!$C$2:$C$400,MATCH($A47,Map!$A$2:$A$400,0)),"⚠ UNMAPPED"))</f>
        <v>BS</v>
      </c>
      <c r="H47" s="18" t="str">
        <f>IF($A47="","",IFERROR(INDEX(Map!$D$2:$D$400,MATCH($A47,Map!$A$2:$A$400,0)),"⚠ UNMAPPED"))</f>
        <v>Current Assets</v>
      </c>
      <c r="I47" s="18" t="str">
        <f>IF($A47="","",IFERROR(INDEX(Map!$E$2:$E$400,MATCH($A47,Map!$A$2:$A$400,0)),"⚠ UNMAPPED"))</f>
        <v>Inventories</v>
      </c>
      <c r="J47" s="18" t="str">
        <f>IF($A47="","",IFERROR(INDEX(Map!$F$2:$F$400,MATCH($A47,Map!$A$2:$A$400,0)),"⚠ UNMAPPED"))</f>
        <v>Work in progress - Inventory</v>
      </c>
    </row>
    <row r="48" spans="1:10" x14ac:dyDescent="0.25">
      <c r="A48" s="38">
        <v>180098</v>
      </c>
      <c r="B48" t="s">
        <v>900</v>
      </c>
      <c r="C48" s="158">
        <v>1E-3</v>
      </c>
      <c r="D48" s="158">
        <v>0</v>
      </c>
      <c r="E48" s="158">
        <v>0</v>
      </c>
      <c r="F48" s="158">
        <v>1E-3</v>
      </c>
      <c r="G48" s="18" t="str">
        <f>IF($A48="","",IFERROR(INDEX(Map!$C$2:$C$400,MATCH($A48,Map!$A$2:$A$400,0)),"⚠ UNMAPPED"))</f>
        <v>BS</v>
      </c>
      <c r="H48" s="18" t="str">
        <f>IF($A48="","",IFERROR(INDEX(Map!$D$2:$D$400,MATCH($A48,Map!$A$2:$A$400,0)),"⚠ UNMAPPED"))</f>
        <v>Current Assets</v>
      </c>
      <c r="I48" s="18" t="str">
        <f>IF($A48="","",IFERROR(INDEX(Map!$E$2:$E$400,MATCH($A48,Map!$A$2:$A$400,0)),"⚠ UNMAPPED"))</f>
        <v>Inventories</v>
      </c>
      <c r="J48" s="18" t="str">
        <f>IF($A48="","",IFERROR(INDEX(Map!$F$2:$F$400,MATCH($A48,Map!$A$2:$A$400,0)),"⚠ UNMAPPED"))</f>
        <v>Work in progress - Inventory</v>
      </c>
    </row>
    <row r="49" spans="1:10" x14ac:dyDescent="0.25">
      <c r="A49" s="38">
        <v>180099</v>
      </c>
      <c r="B49" t="s">
        <v>1122</v>
      </c>
      <c r="C49" s="158">
        <v>0</v>
      </c>
      <c r="D49" s="158">
        <v>19930339.866999999</v>
      </c>
      <c r="E49" s="158">
        <v>19930339.866999999</v>
      </c>
      <c r="F49" s="158">
        <v>0</v>
      </c>
      <c r="G49" s="18" t="str">
        <f>IF($A49="","",IFERROR(INDEX(Map!$C$2:$C$400,MATCH($A49,Map!$A$2:$A$400,0)),"⚠ UNMAPPED"))</f>
        <v>BS</v>
      </c>
      <c r="H49" s="18" t="str">
        <f>IF($A49="","",IFERROR(INDEX(Map!$D$2:$D$400,MATCH($A49,Map!$A$2:$A$400,0)),"⚠ UNMAPPED"))</f>
        <v>Current Assets</v>
      </c>
      <c r="I49" s="18" t="str">
        <f>IF($A49="","",IFERROR(INDEX(Map!$E$2:$E$400,MATCH($A49,Map!$A$2:$A$400,0)),"⚠ UNMAPPED"))</f>
        <v>Inventories</v>
      </c>
      <c r="J49" s="18" t="str">
        <f>IF($A49="","",IFERROR(INDEX(Map!$F$2:$F$400,MATCH($A49,Map!$A$2:$A$400,0)),"⚠ UNMAPPED"))</f>
        <v>Goods in transit - Inventory</v>
      </c>
    </row>
    <row r="50" spans="1:10" x14ac:dyDescent="0.25">
      <c r="A50" s="38">
        <v>210001</v>
      </c>
      <c r="B50" t="s">
        <v>1123</v>
      </c>
      <c r="C50" s="158">
        <v>-83063.876999999993</v>
      </c>
      <c r="D50" s="158">
        <v>74681388.171000004</v>
      </c>
      <c r="E50" s="158">
        <v>74890924.324000001</v>
      </c>
      <c r="F50" s="158">
        <v>-292600.03000000003</v>
      </c>
      <c r="G50" s="18" t="str">
        <f>IF($A50="","",IFERROR(INDEX(Map!$C$2:$C$400,MATCH($A50,Map!$A$2:$A$400,0)),"⚠ UNMAPPED"))</f>
        <v>BS</v>
      </c>
      <c r="H50" s="18" t="str">
        <f>IF($A50="","",IFERROR(INDEX(Map!$D$2:$D$400,MATCH($A50,Map!$A$2:$A$400,0)),"⚠ UNMAPPED"))</f>
        <v>Current Liabilities</v>
      </c>
      <c r="I50" s="18" t="str">
        <f>IF($A50="","",IFERROR(INDEX(Map!$E$2:$E$400,MATCH($A50,Map!$A$2:$A$400,0)),"⚠ UNMAPPED"))</f>
        <v>Tade payables and Accuals &amp; other credit balances</v>
      </c>
      <c r="J50" s="18" t="str">
        <f>IF($A50="","",IFERROR(INDEX(Map!$F$2:$F$400,MATCH($A50,Map!$A$2:$A$400,0)),"⚠ UNMAPPED"))</f>
        <v>Trade payables - Foreign</v>
      </c>
    </row>
    <row r="51" spans="1:10" x14ac:dyDescent="0.25">
      <c r="A51" s="38">
        <v>210002</v>
      </c>
      <c r="B51" t="s">
        <v>1124</v>
      </c>
      <c r="C51" s="158">
        <v>-108689.246</v>
      </c>
      <c r="D51" s="158">
        <v>82642423.773000002</v>
      </c>
      <c r="E51" s="158">
        <v>83660760.878999993</v>
      </c>
      <c r="F51" s="158">
        <v>-1127026.352</v>
      </c>
      <c r="G51" s="18" t="str">
        <f>IF($A51="","",IFERROR(INDEX(Map!$C$2:$C$400,MATCH($A51,Map!$A$2:$A$400,0)),"⚠ UNMAPPED"))</f>
        <v>BS</v>
      </c>
      <c r="H51" s="18" t="str">
        <f>IF($A51="","",IFERROR(INDEX(Map!$D$2:$D$400,MATCH($A51,Map!$A$2:$A$400,0)),"⚠ UNMAPPED"))</f>
        <v>Current Liabilities</v>
      </c>
      <c r="I51" s="18" t="str">
        <f>IF($A51="","",IFERROR(INDEX(Map!$E$2:$E$400,MATCH($A51,Map!$A$2:$A$400,0)),"⚠ UNMAPPED"))</f>
        <v>Tade payables and Accuals &amp; other credit balances</v>
      </c>
      <c r="J51" s="18" t="str">
        <f>IF($A51="","",IFERROR(INDEX(Map!$F$2:$F$400,MATCH($A51,Map!$A$2:$A$400,0)),"⚠ UNMAPPED"))</f>
        <v>Trade payables - Local</v>
      </c>
    </row>
    <row r="52" spans="1:10" x14ac:dyDescent="0.25">
      <c r="A52" s="38">
        <v>220001</v>
      </c>
      <c r="B52" t="s">
        <v>1125</v>
      </c>
      <c r="C52" s="158">
        <v>0</v>
      </c>
      <c r="D52" s="158">
        <v>0</v>
      </c>
      <c r="E52" s="158">
        <v>0</v>
      </c>
      <c r="F52" s="158">
        <v>0</v>
      </c>
      <c r="G52" s="18" t="str">
        <f>IF($A52="","",IFERROR(INDEX(Map!$C$2:$C$400,MATCH($A52,Map!$A$2:$A$400,0)),"⚠ UNMAPPED"))</f>
        <v>BS</v>
      </c>
      <c r="H52" s="18" t="str">
        <f>IF($A52="","",IFERROR(INDEX(Map!$D$2:$D$400,MATCH($A52,Map!$A$2:$A$400,0)),"⚠ UNMAPPED"))</f>
        <v>Current Liabilities</v>
      </c>
      <c r="I52" s="18" t="str">
        <f>IF($A52="","",IFERROR(INDEX(Map!$E$2:$E$400,MATCH($A52,Map!$A$2:$A$400,0)),"⚠ UNMAPPED"))</f>
        <v>Short-term Murabaha loans</v>
      </c>
      <c r="J52" s="18" t="str">
        <f>IF($A52="","",IFERROR(INDEX(Map!$F$2:$F$400,MATCH($A52,Map!$A$2:$A$400,0)),"⚠ UNMAPPED"))</f>
        <v>Other loans - current</v>
      </c>
    </row>
    <row r="53" spans="1:10" x14ac:dyDescent="0.25">
      <c r="A53" s="38">
        <v>220004</v>
      </c>
      <c r="B53" t="s">
        <v>1126</v>
      </c>
      <c r="C53" s="158">
        <v>0</v>
      </c>
      <c r="D53" s="158">
        <v>0</v>
      </c>
      <c r="E53" s="158">
        <v>0</v>
      </c>
      <c r="F53" s="158">
        <v>0</v>
      </c>
      <c r="G53" s="18" t="str">
        <f>IF($A53="","",IFERROR(INDEX(Map!$C$2:$C$400,MATCH($A53,Map!$A$2:$A$400,0)),"⚠ UNMAPPED"))</f>
        <v>BS</v>
      </c>
      <c r="H53" s="18" t="str">
        <f>IF($A53="","",IFERROR(INDEX(Map!$D$2:$D$400,MATCH($A53,Map!$A$2:$A$400,0)),"⚠ UNMAPPED"))</f>
        <v>Current Liabilities</v>
      </c>
      <c r="I53" s="18" t="str">
        <f>IF($A53="","",IFERROR(INDEX(Map!$E$2:$E$400,MATCH($A53,Map!$A$2:$A$400,0)),"⚠ UNMAPPED"))</f>
        <v>Short-term Murabaha loans</v>
      </c>
      <c r="J53" s="18" t="str">
        <f>IF($A53="","",IFERROR(INDEX(Map!$F$2:$F$400,MATCH($A53,Map!$A$2:$A$400,0)),"⚠ UNMAPPED"))</f>
        <v>Other loans - current</v>
      </c>
    </row>
    <row r="54" spans="1:10" x14ac:dyDescent="0.25">
      <c r="A54" s="38">
        <v>220005</v>
      </c>
      <c r="B54" t="s">
        <v>908</v>
      </c>
      <c r="C54" s="158">
        <v>0</v>
      </c>
      <c r="D54" s="158">
        <v>0</v>
      </c>
      <c r="E54" s="158">
        <v>0</v>
      </c>
      <c r="F54" s="158">
        <v>0</v>
      </c>
      <c r="G54" s="18" t="str">
        <f>IF($A54="","",IFERROR(INDEX(Map!$C$2:$C$400,MATCH($A54,Map!$A$2:$A$400,0)),"⚠ UNMAPPED"))</f>
        <v>BS</v>
      </c>
      <c r="H54" s="18" t="str">
        <f>IF($A54="","",IFERROR(INDEX(Map!$D$2:$D$400,MATCH($A54,Map!$A$2:$A$400,0)),"⚠ UNMAPPED"))</f>
        <v>Current Liabilities</v>
      </c>
      <c r="I54" s="18" t="str">
        <f>IF($A54="","",IFERROR(INDEX(Map!$E$2:$E$400,MATCH($A54,Map!$A$2:$A$400,0)),"⚠ UNMAPPED"))</f>
        <v>Short-term Murabaha loans</v>
      </c>
      <c r="J54" s="18" t="str">
        <f>IF($A54="","",IFERROR(INDEX(Map!$F$2:$F$400,MATCH($A54,Map!$A$2:$A$400,0)),"⚠ UNMAPPED"))</f>
        <v>Other loans - current</v>
      </c>
    </row>
    <row r="55" spans="1:10" x14ac:dyDescent="0.25">
      <c r="A55" s="38">
        <v>220006</v>
      </c>
      <c r="B55" t="s">
        <v>909</v>
      </c>
      <c r="C55" s="158">
        <v>0</v>
      </c>
      <c r="D55" s="158">
        <v>0</v>
      </c>
      <c r="E55" s="158">
        <v>20127772.399999999</v>
      </c>
      <c r="F55" s="158">
        <v>-20127772.399999999</v>
      </c>
      <c r="G55" s="18" t="str">
        <f>IF($A55="","",IFERROR(INDEX(Map!$C$2:$C$400,MATCH($A55,Map!$A$2:$A$400,0)),"⚠ UNMAPPED"))</f>
        <v>BS</v>
      </c>
      <c r="H55" s="18" t="str">
        <f>IF($A55="","",IFERROR(INDEX(Map!$D$2:$D$400,MATCH($A55,Map!$A$2:$A$400,0)),"⚠ UNMAPPED"))</f>
        <v>Current Liabilities</v>
      </c>
      <c r="I55" s="18" t="str">
        <f>IF($A55="","",IFERROR(INDEX(Map!$E$2:$E$400,MATCH($A55,Map!$A$2:$A$400,0)),"⚠ UNMAPPED"))</f>
        <v>Short-term Murabaha loans</v>
      </c>
      <c r="J55" s="18" t="str">
        <f>IF($A55="","",IFERROR(INDEX(Map!$F$2:$F$400,MATCH($A55,Map!$A$2:$A$400,0)),"⚠ UNMAPPED"))</f>
        <v>Other loans - current</v>
      </c>
    </row>
    <row r="56" spans="1:10" x14ac:dyDescent="0.25">
      <c r="A56" s="38">
        <v>220007</v>
      </c>
      <c r="B56" t="s">
        <v>910</v>
      </c>
      <c r="C56" s="158">
        <v>-2E-3</v>
      </c>
      <c r="D56" s="158">
        <v>0</v>
      </c>
      <c r="E56" s="158">
        <v>0</v>
      </c>
      <c r="F56" s="158">
        <v>-2E-3</v>
      </c>
      <c r="G56" s="18" t="str">
        <f>IF($A56="","",IFERROR(INDEX(Map!$C$2:$C$400,MATCH($A56,Map!$A$2:$A$400,0)),"⚠ UNMAPPED"))</f>
        <v>BS</v>
      </c>
      <c r="H56" s="18" t="str">
        <f>IF($A56="","",IFERROR(INDEX(Map!$D$2:$D$400,MATCH($A56,Map!$A$2:$A$400,0)),"⚠ UNMAPPED"))</f>
        <v>Current Liabilities</v>
      </c>
      <c r="I56" s="18" t="str">
        <f>IF($A56="","",IFERROR(INDEX(Map!$E$2:$E$400,MATCH($A56,Map!$A$2:$A$400,0)),"⚠ UNMAPPED"))</f>
        <v>Short-term Murabaha loans</v>
      </c>
      <c r="J56" s="18" t="str">
        <f>IF($A56="","",IFERROR(INDEX(Map!$F$2:$F$400,MATCH($A56,Map!$A$2:$A$400,0)),"⚠ UNMAPPED"))</f>
        <v>Other loans - current</v>
      </c>
    </row>
    <row r="57" spans="1:10" x14ac:dyDescent="0.25">
      <c r="A57" s="38">
        <v>230001</v>
      </c>
      <c r="B57" t="s">
        <v>911</v>
      </c>
      <c r="C57" s="158">
        <v>-38051.356</v>
      </c>
      <c r="D57" s="158">
        <v>62244359.608999997</v>
      </c>
      <c r="E57" s="158">
        <v>62154675.309</v>
      </c>
      <c r="F57" s="158">
        <v>51632.944000000003</v>
      </c>
      <c r="G57" s="18" t="str">
        <f>IF($A57="","",IFERROR(INDEX(Map!$C$2:$C$400,MATCH($A57,Map!$A$2:$A$400,0)),"⚠ UNMAPPED"))</f>
        <v>BS</v>
      </c>
      <c r="H57" s="18" t="str">
        <f>IF($A57="","",IFERROR(INDEX(Map!$D$2:$D$400,MATCH($A57,Map!$A$2:$A$400,0)),"⚠ UNMAPPED"))</f>
        <v>Current Liabilities</v>
      </c>
      <c r="I57" s="18" t="str">
        <f>IF($A57="","",IFERROR(INDEX(Map!$E$2:$E$400,MATCH($A57,Map!$A$2:$A$400,0)),"⚠ UNMAPPED"))</f>
        <v>Tade payables and Accuals &amp; other credit balances</v>
      </c>
      <c r="J57" s="18" t="str">
        <f>IF($A57="","",IFERROR(INDEX(Map!$F$2:$F$400,MATCH($A57,Map!$A$2:$A$400,0)),"⚠ UNMAPPED"))</f>
        <v>Clearing account</v>
      </c>
    </row>
    <row r="58" spans="1:10" x14ac:dyDescent="0.25">
      <c r="A58" s="38">
        <v>240001</v>
      </c>
      <c r="B58" t="s">
        <v>1127</v>
      </c>
      <c r="C58" s="158">
        <v>0</v>
      </c>
      <c r="D58" s="158">
        <v>2450808.5</v>
      </c>
      <c r="E58" s="158">
        <v>2420370.8790000002</v>
      </c>
      <c r="F58" s="158">
        <v>30437.620999999999</v>
      </c>
      <c r="G58" s="18" t="str">
        <f>IF($A58="","",IFERROR(INDEX(Map!$C$2:$C$400,MATCH($A58,Map!$A$2:$A$400,0)),"⚠ UNMAPPED"))</f>
        <v>BS</v>
      </c>
      <c r="H58" s="18" t="str">
        <f>IF($A58="","",IFERROR(INDEX(Map!$D$2:$D$400,MATCH($A58,Map!$A$2:$A$400,0)),"⚠ UNMAPPED"))</f>
        <v>Current Liabilities</v>
      </c>
      <c r="I58" s="18" t="str">
        <f>IF($A58="","",IFERROR(INDEX(Map!$E$2:$E$400,MATCH($A58,Map!$A$2:$A$400,0)),"⚠ UNMAPPED"))</f>
        <v>Tade payables and Accuals &amp; other credit balances</v>
      </c>
      <c r="J58" s="18" t="str">
        <f>IF($A58="","",IFERROR(INDEX(Map!$F$2:$F$400,MATCH($A58,Map!$A$2:$A$400,0)),"⚠ UNMAPPED"))</f>
        <v>Overhead</v>
      </c>
    </row>
    <row r="59" spans="1:10" x14ac:dyDescent="0.25">
      <c r="A59" s="38">
        <v>240003</v>
      </c>
      <c r="B59" t="s">
        <v>1128</v>
      </c>
      <c r="C59" s="158">
        <v>-135787.96</v>
      </c>
      <c r="D59" s="158">
        <v>0</v>
      </c>
      <c r="E59" s="158">
        <v>7168.9979999999996</v>
      </c>
      <c r="F59" s="158">
        <v>-142956.95800000001</v>
      </c>
      <c r="G59" s="18" t="str">
        <f>IF($A59="","",IFERROR(INDEX(Map!$C$2:$C$400,MATCH($A59,Map!$A$2:$A$400,0)),"⚠ UNMAPPED"))</f>
        <v>BS</v>
      </c>
      <c r="H59" s="18" t="str">
        <f>IF($A59="","",IFERROR(INDEX(Map!$D$2:$D$400,MATCH($A59,Map!$A$2:$A$400,0)),"⚠ UNMAPPED"))</f>
        <v>Non-Current Liabilities</v>
      </c>
      <c r="I59" s="18" t="str">
        <f>IF($A59="","",IFERROR(INDEX(Map!$E$2:$E$400,MATCH($A59,Map!$A$2:$A$400,0)),"⚠ UNMAPPED"))</f>
        <v xml:space="preserve">Lease liabilities non-current </v>
      </c>
      <c r="J59" s="18" t="str">
        <f>IF($A59="","",IFERROR(INDEX(Map!$F$2:$F$400,MATCH($A59,Map!$A$2:$A$400,0)),"⚠ UNMAPPED"))</f>
        <v xml:space="preserve"> Lease Obligation</v>
      </c>
    </row>
    <row r="60" spans="1:10" x14ac:dyDescent="0.25">
      <c r="A60" s="38">
        <v>250001</v>
      </c>
      <c r="B60" t="s">
        <v>1129</v>
      </c>
      <c r="C60" s="158">
        <v>0</v>
      </c>
      <c r="D60" s="158">
        <v>2379349.5819999999</v>
      </c>
      <c r="E60" s="158">
        <v>2399420.0120000001</v>
      </c>
      <c r="F60" s="158">
        <v>-20070.43</v>
      </c>
      <c r="G60" s="18" t="str">
        <f>IF($A60="","",IFERROR(INDEX(Map!$C$2:$C$400,MATCH($A60,Map!$A$2:$A$400,0)),"⚠ UNMAPPED"))</f>
        <v>BS</v>
      </c>
      <c r="H60" s="18" t="str">
        <f>IF($A60="","",IFERROR(INDEX(Map!$D$2:$D$400,MATCH($A60,Map!$A$2:$A$400,0)),"⚠ UNMAPPED"))</f>
        <v>Current Liabilities</v>
      </c>
      <c r="I60" s="18" t="str">
        <f>IF($A60="","",IFERROR(INDEX(Map!$E$2:$E$400,MATCH($A60,Map!$A$2:$A$400,0)),"⚠ UNMAPPED"))</f>
        <v>Tade payables and Accuals &amp; other credit balances</v>
      </c>
      <c r="J60" s="18" t="str">
        <f>IF($A60="","",IFERROR(INDEX(Map!$F$2:$F$400,MATCH($A60,Map!$A$2:$A$400,0)),"⚠ UNMAPPED"))</f>
        <v>Accrued salaries and wages</v>
      </c>
    </row>
    <row r="61" spans="1:10" x14ac:dyDescent="0.25">
      <c r="A61" s="38">
        <v>250005</v>
      </c>
      <c r="B61" t="s">
        <v>1102</v>
      </c>
      <c r="C61" s="158">
        <v>-89890.054999999993</v>
      </c>
      <c r="D61" s="158">
        <v>607265.02099999995</v>
      </c>
      <c r="E61" s="158">
        <v>567900.96600000001</v>
      </c>
      <c r="F61" s="158">
        <v>-50526</v>
      </c>
      <c r="G61" s="18" t="str">
        <f>IF($A61="","",IFERROR(INDEX(Map!$C$2:$C$400,MATCH($A61,Map!$A$2:$A$400,0)),"⚠ UNMAPPED"))</f>
        <v>BS</v>
      </c>
      <c r="H61" s="18" t="str">
        <f>IF($A61="","",IFERROR(INDEX(Map!$D$2:$D$400,MATCH($A61,Map!$A$2:$A$400,0)),"⚠ UNMAPPED"))</f>
        <v>Current Liabilities</v>
      </c>
      <c r="I61" s="18" t="str">
        <f>IF($A61="","",IFERROR(INDEX(Map!$E$2:$E$400,MATCH($A61,Map!$A$2:$A$400,0)),"⚠ UNMAPPED"))</f>
        <v>Tade payables and Accuals &amp; other credit balances</v>
      </c>
      <c r="J61" s="18" t="str">
        <f>IF($A61="","",IFERROR(INDEX(Map!$F$2:$F$400,MATCH($A61,Map!$A$2:$A$400,0)),"⚠ UNMAPPED"))</f>
        <v>Accrued expenses</v>
      </c>
    </row>
    <row r="62" spans="1:10" x14ac:dyDescent="0.25">
      <c r="A62" s="38">
        <v>250006</v>
      </c>
      <c r="B62" t="s">
        <v>920</v>
      </c>
      <c r="C62" s="158">
        <v>0</v>
      </c>
      <c r="D62" s="158">
        <v>1999.5</v>
      </c>
      <c r="E62" s="158">
        <v>0</v>
      </c>
      <c r="F62" s="158">
        <v>1999.5</v>
      </c>
      <c r="G62" s="18" t="str">
        <f>IF($A62="","",IFERROR(INDEX(Map!$C$2:$C$400,MATCH($A62,Map!$A$2:$A$400,0)),"⚠ UNMAPPED"))</f>
        <v>BS</v>
      </c>
      <c r="H62" s="18" t="str">
        <f>IF($A62="","",IFERROR(INDEX(Map!$D$2:$D$400,MATCH($A62,Map!$A$2:$A$400,0)),"⚠ UNMAPPED"))</f>
        <v>Current Liabilities</v>
      </c>
      <c r="I62" s="18" t="str">
        <f>IF($A62="","",IFERROR(INDEX(Map!$E$2:$E$400,MATCH($A62,Map!$A$2:$A$400,0)),"⚠ UNMAPPED"))</f>
        <v>Tade payables and Accuals &amp; other credit balances</v>
      </c>
      <c r="J62" s="18" t="str">
        <f>IF($A62="","",IFERROR(INDEX(Map!$F$2:$F$400,MATCH($A62,Map!$A$2:$A$400,0)),"⚠ UNMAPPED"))</f>
        <v>Accrued leave</v>
      </c>
    </row>
    <row r="63" spans="1:10" x14ac:dyDescent="0.25">
      <c r="A63" s="38">
        <v>250007</v>
      </c>
      <c r="B63" t="s">
        <v>1130</v>
      </c>
      <c r="C63" s="158">
        <v>0</v>
      </c>
      <c r="D63" s="158">
        <v>0</v>
      </c>
      <c r="E63" s="158">
        <v>0</v>
      </c>
      <c r="F63" s="158">
        <v>0</v>
      </c>
      <c r="G63" s="18" t="str">
        <f>IF($A63="","",IFERROR(INDEX(Map!$C$2:$C$400,MATCH($A63,Map!$A$2:$A$400,0)),"⚠ UNMAPPED"))</f>
        <v>BS</v>
      </c>
      <c r="H63" s="18" t="str">
        <f>IF($A63="","",IFERROR(INDEX(Map!$D$2:$D$400,MATCH($A63,Map!$A$2:$A$400,0)),"⚠ UNMAPPED"))</f>
        <v>Current Liabilities</v>
      </c>
      <c r="I63" s="18" t="str">
        <f>IF($A63="","",IFERROR(INDEX(Map!$E$2:$E$400,MATCH($A63,Map!$A$2:$A$400,0)),"⚠ UNMAPPED"))</f>
        <v>Tade payables and Accuals &amp; other credit balances</v>
      </c>
      <c r="J63" s="18" t="str">
        <f>IF($A63="","",IFERROR(INDEX(Map!$F$2:$F$400,MATCH($A63,Map!$A$2:$A$400,0)),"⚠ UNMAPPED"))</f>
        <v>Advances from customers</v>
      </c>
    </row>
    <row r="64" spans="1:10" x14ac:dyDescent="0.25">
      <c r="A64" s="38">
        <v>250008</v>
      </c>
      <c r="B64" t="s">
        <v>921</v>
      </c>
      <c r="C64" s="158">
        <v>0</v>
      </c>
      <c r="D64" s="158">
        <v>24587.39</v>
      </c>
      <c r="E64" s="158">
        <v>34875.292000000001</v>
      </c>
      <c r="F64" s="158">
        <v>-10287.902</v>
      </c>
      <c r="G64" s="18" t="str">
        <f>IF($A64="","",IFERROR(INDEX(Map!$C$2:$C$400,MATCH($A64,Map!$A$2:$A$400,0)),"⚠ UNMAPPED"))</f>
        <v>BS</v>
      </c>
      <c r="H64" s="18" t="str">
        <f>IF($A64="","",IFERROR(INDEX(Map!$D$2:$D$400,MATCH($A64,Map!$A$2:$A$400,0)),"⚠ UNMAPPED"))</f>
        <v>Current Liabilities</v>
      </c>
      <c r="I64" s="18" t="str">
        <f>IF($A64="","",IFERROR(INDEX(Map!$E$2:$E$400,MATCH($A64,Map!$A$2:$A$400,0)),"⚠ UNMAPPED"))</f>
        <v>Tade payables and Accuals &amp; other credit balances</v>
      </c>
      <c r="J64" s="18" t="str">
        <f>IF($A64="","",IFERROR(INDEX(Map!$F$2:$F$400,MATCH($A64,Map!$A$2:$A$400,0)),"⚠ UNMAPPED"))</f>
        <v>Accrued tickets</v>
      </c>
    </row>
    <row r="65" spans="1:10" x14ac:dyDescent="0.25">
      <c r="A65" s="38">
        <v>260001</v>
      </c>
      <c r="B65" t="s">
        <v>1131</v>
      </c>
      <c r="C65" s="158">
        <v>0</v>
      </c>
      <c r="D65" s="158">
        <v>0</v>
      </c>
      <c r="E65" s="158">
        <v>0</v>
      </c>
      <c r="F65" s="158">
        <v>0</v>
      </c>
      <c r="G65" s="18" t="str">
        <f>IF($A65="","",IFERROR(INDEX(Map!$C$2:$C$400,MATCH($A65,Map!$A$2:$A$400,0)),"⚠ UNMAPPED"))</f>
        <v>BS</v>
      </c>
      <c r="H65" s="18" t="str">
        <f>IF($A65="","",IFERROR(INDEX(Map!$D$2:$D$400,MATCH($A65,Map!$A$2:$A$400,0)),"⚠ UNMAPPED"))</f>
        <v>Stockholder's equity</v>
      </c>
      <c r="I65" s="18" t="str">
        <f>IF($A65="","",IFERROR(INDEX(Map!$E$2:$E$400,MATCH($A65,Map!$A$2:$A$400,0)),"⚠ UNMAPPED"))</f>
        <v>Statutory reserve</v>
      </c>
      <c r="J65" s="18" t="str">
        <f>IF($A65="","",IFERROR(INDEX(Map!$F$2:$F$400,MATCH($A65,Map!$A$2:$A$400,0)),"⚠ UNMAPPED"))</f>
        <v>Statutory reserve</v>
      </c>
    </row>
    <row r="66" spans="1:10" x14ac:dyDescent="0.25">
      <c r="A66" s="38">
        <v>260002</v>
      </c>
      <c r="B66" t="s">
        <v>1132</v>
      </c>
      <c r="C66" s="158">
        <v>-699137</v>
      </c>
      <c r="D66" s="158">
        <v>5356</v>
      </c>
      <c r="E66" s="158">
        <v>118281.06600000001</v>
      </c>
      <c r="F66" s="158">
        <v>-812062.06599999999</v>
      </c>
      <c r="G66" s="18" t="str">
        <f>IF($A66="","",IFERROR(INDEX(Map!$C$2:$C$400,MATCH($A66,Map!$A$2:$A$400,0)),"⚠ UNMAPPED"))</f>
        <v>BS</v>
      </c>
      <c r="H66" s="18" t="str">
        <f>IF($A66="","",IFERROR(INDEX(Map!$D$2:$D$400,MATCH($A66,Map!$A$2:$A$400,0)),"⚠ UNMAPPED"))</f>
        <v>Non-Current Liabilities</v>
      </c>
      <c r="I66" s="18" t="str">
        <f>IF($A66="","",IFERROR(INDEX(Map!$E$2:$E$400,MATCH($A66,Map!$A$2:$A$400,0)),"⚠ UNMAPPED"))</f>
        <v xml:space="preserve">End-of-service indemnities </v>
      </c>
      <c r="J66" s="18" t="str">
        <f>IF($A66="","",IFERROR(INDEX(Map!$F$2:$F$400,MATCH($A66,Map!$A$2:$A$400,0)),"⚠ UNMAPPED"))</f>
        <v xml:space="preserve">End-of-service indemnities </v>
      </c>
    </row>
    <row r="67" spans="1:10" x14ac:dyDescent="0.25">
      <c r="A67" s="38">
        <v>260004</v>
      </c>
      <c r="B67" t="s">
        <v>925</v>
      </c>
      <c r="C67" s="158">
        <v>0</v>
      </c>
      <c r="D67" s="158">
        <v>0</v>
      </c>
      <c r="E67" s="158">
        <v>0</v>
      </c>
      <c r="F67" s="158">
        <v>0</v>
      </c>
      <c r="G67" s="18" t="str">
        <f>IF($A67="","",IFERROR(INDEX(Map!$C$2:$C$400,MATCH($A67,Map!$A$2:$A$400,0)),"⚠ UNMAPPED"))</f>
        <v>BS</v>
      </c>
      <c r="H67" s="18" t="str">
        <f>IF($A67="","",IFERROR(INDEX(Map!$D$2:$D$400,MATCH($A67,Map!$A$2:$A$400,0)),"⚠ UNMAPPED"))</f>
        <v>Current Assets</v>
      </c>
      <c r="I67" s="18" t="str">
        <f>IF($A67="","",IFERROR(INDEX(Map!$E$2:$E$400,MATCH($A67,Map!$A$2:$A$400,0)),"⚠ UNMAPPED"))</f>
        <v>Inventories</v>
      </c>
      <c r="J67" s="18" t="str">
        <f>IF($A67="","",IFERROR(INDEX(Map!$F$2:$F$400,MATCH($A67,Map!$A$2:$A$400,0)),"⚠ UNMAPPED"))</f>
        <v>Allowance for slow moving/obsolete inventories - Inventory</v>
      </c>
    </row>
    <row r="68" spans="1:10" x14ac:dyDescent="0.25">
      <c r="A68" s="38">
        <v>260005</v>
      </c>
      <c r="B68" t="s">
        <v>926</v>
      </c>
      <c r="C68" s="158">
        <v>-276000</v>
      </c>
      <c r="D68" s="158">
        <v>0</v>
      </c>
      <c r="E68" s="158">
        <v>0</v>
      </c>
      <c r="F68" s="158">
        <v>-276000</v>
      </c>
      <c r="G68" s="18" t="str">
        <f>IF($A68="","",IFERROR(INDEX(Map!$C$2:$C$400,MATCH($A68,Map!$A$2:$A$400,0)),"⚠ UNMAPPED"))</f>
        <v>BS</v>
      </c>
      <c r="H68" s="18" t="str">
        <f>IF($A68="","",IFERROR(INDEX(Map!$D$2:$D$400,MATCH($A68,Map!$A$2:$A$400,0)),"⚠ UNMAPPED"))</f>
        <v>Non-Current Liabilities</v>
      </c>
      <c r="I68" s="18" t="str">
        <f>IF($A68="","",IFERROR(INDEX(Map!$E$2:$E$400,MATCH($A68,Map!$A$2:$A$400,0)),"⚠ UNMAPPED"))</f>
        <v>Provision for evacuation</v>
      </c>
      <c r="J68" s="18" t="str">
        <f>IF($A68="","",IFERROR(INDEX(Map!$F$2:$F$400,MATCH($A68,Map!$A$2:$A$400,0)),"⚠ UNMAPPED"))</f>
        <v>Provision for evacuation</v>
      </c>
    </row>
    <row r="69" spans="1:10" x14ac:dyDescent="0.25">
      <c r="A69" s="38">
        <v>260006</v>
      </c>
      <c r="B69" t="s">
        <v>1133</v>
      </c>
      <c r="C69" s="158">
        <v>-163760.174</v>
      </c>
      <c r="D69" s="158">
        <v>74632</v>
      </c>
      <c r="E69" s="158">
        <v>166418.34</v>
      </c>
      <c r="F69" s="158">
        <v>-255546.514</v>
      </c>
      <c r="G69" s="18" t="str">
        <f>IF($A69="","",IFERROR(INDEX(Map!$C$2:$C$400,MATCH($A69,Map!$A$2:$A$400,0)),"⚠ UNMAPPED"))</f>
        <v>BS</v>
      </c>
      <c r="H69" s="18" t="str">
        <f>IF($A69="","",IFERROR(INDEX(Map!$D$2:$D$400,MATCH($A69,Map!$A$2:$A$400,0)),"⚠ UNMAPPED"))</f>
        <v>Current Liabilities</v>
      </c>
      <c r="I69" s="18" t="str">
        <f>IF($A69="","",IFERROR(INDEX(Map!$E$2:$E$400,MATCH($A69,Map!$A$2:$A$400,0)),"⚠ UNMAPPED"))</f>
        <v>Tade payables and Accuals &amp; other credit balances</v>
      </c>
      <c r="J69" s="18" t="str">
        <f>IF($A69="","",IFERROR(INDEX(Map!$F$2:$F$400,MATCH($A69,Map!$A$2:$A$400,0)),"⚠ UNMAPPED"))</f>
        <v>Accrued leave</v>
      </c>
    </row>
    <row r="70" spans="1:10" x14ac:dyDescent="0.25">
      <c r="A70" s="38">
        <v>270001</v>
      </c>
      <c r="B70" t="s">
        <v>929</v>
      </c>
      <c r="C70" s="158">
        <v>-31913491.811999999</v>
      </c>
      <c r="D70" s="158">
        <v>53117.26</v>
      </c>
      <c r="E70" s="158">
        <v>7756005.8820000002</v>
      </c>
      <c r="F70" s="158">
        <v>-39616380.434</v>
      </c>
      <c r="G70" s="18" t="str">
        <f>IF($A70="","",IFERROR(INDEX(Map!$C$2:$C$400,MATCH($A70,Map!$A$2:$A$400,0)),"⚠ UNMAPPED"))</f>
        <v>BS</v>
      </c>
      <c r="H70" s="18" t="str">
        <f>IF($A70="","",IFERROR(INDEX(Map!$D$2:$D$400,MATCH($A70,Map!$A$2:$A$400,0)),"⚠ UNMAPPED"))</f>
        <v>Non-Current Liabilities</v>
      </c>
      <c r="I70" s="18" t="str">
        <f>IF($A70="","",IFERROR(INDEX(Map!$E$2:$E$400,MATCH($A70,Map!$A$2:$A$400,0)),"⚠ UNMAPPED"))</f>
        <v xml:space="preserve">Due to related parties </v>
      </c>
      <c r="J70" s="18" t="str">
        <f>IF($A70="","",IFERROR(INDEX(Map!$F$2:$F$400,MATCH($A70,Map!$A$2:$A$400,0)),"⚠ UNMAPPED"))</f>
        <v>Aims Holding  Current Acc</v>
      </c>
    </row>
    <row r="71" spans="1:10" x14ac:dyDescent="0.25">
      <c r="A71" s="38">
        <v>270002</v>
      </c>
      <c r="B71" t="s">
        <v>930</v>
      </c>
      <c r="C71" s="158">
        <v>0</v>
      </c>
      <c r="D71" s="158">
        <v>122259.49</v>
      </c>
      <c r="E71" s="158">
        <v>6726849.9330000002</v>
      </c>
      <c r="F71" s="158">
        <v>-6604590.443</v>
      </c>
      <c r="G71" s="18" t="str">
        <f>IF($A71="","",IFERROR(INDEX(Map!$C$2:$C$400,MATCH($A71,Map!$A$2:$A$400,0)),"⚠ UNMAPPED"))</f>
        <v>BS</v>
      </c>
      <c r="H71" s="18" t="str">
        <f>IF($A71="","",IFERROR(INDEX(Map!$D$2:$D$400,MATCH($A71,Map!$A$2:$A$400,0)),"⚠ UNMAPPED"))</f>
        <v>Current Liabilities</v>
      </c>
      <c r="I71" s="18" t="str">
        <f>IF($A71="","",IFERROR(INDEX(Map!$E$2:$E$400,MATCH($A71,Map!$A$2:$A$400,0)),"⚠ UNMAPPED"))</f>
        <v>Tade payables and Accuals &amp; other credit balances</v>
      </c>
      <c r="J71" s="18" t="str">
        <f>IF($A71="","",IFERROR(INDEX(Map!$F$2:$F$400,MATCH($A71,Map!$A$2:$A$400,0)),"⚠ UNMAPPED"))</f>
        <v>VAT payables</v>
      </c>
    </row>
    <row r="72" spans="1:10" x14ac:dyDescent="0.25">
      <c r="A72" s="38">
        <v>270003</v>
      </c>
      <c r="B72" t="s">
        <v>931</v>
      </c>
      <c r="C72" s="158">
        <v>0</v>
      </c>
      <c r="D72" s="158">
        <v>5549862.9249999998</v>
      </c>
      <c r="E72" s="158">
        <v>1754.55</v>
      </c>
      <c r="F72" s="158">
        <v>5548108.375</v>
      </c>
      <c r="G72" s="18" t="str">
        <f>IF($A72="","",IFERROR(INDEX(Map!$C$2:$C$400,MATCH($A72,Map!$A$2:$A$400,0)),"⚠ UNMAPPED"))</f>
        <v>BS</v>
      </c>
      <c r="H72" s="18" t="str">
        <f>IF($A72="","",IFERROR(INDEX(Map!$D$2:$D$400,MATCH($A72,Map!$A$2:$A$400,0)),"⚠ UNMAPPED"))</f>
        <v>Current Liabilities</v>
      </c>
      <c r="I72" s="18" t="str">
        <f>IF($A72="","",IFERROR(INDEX(Map!$E$2:$E$400,MATCH($A72,Map!$A$2:$A$400,0)),"⚠ UNMAPPED"))</f>
        <v>Tade payables and Accuals &amp; other credit balances</v>
      </c>
      <c r="J72" s="18" t="str">
        <f>IF($A72="","",IFERROR(INDEX(Map!$F$2:$F$400,MATCH($A72,Map!$A$2:$A$400,0)),"⚠ UNMAPPED"))</f>
        <v>VAT payables</v>
      </c>
    </row>
    <row r="73" spans="1:10" x14ac:dyDescent="0.25">
      <c r="A73" s="38">
        <v>270004</v>
      </c>
      <c r="B73" t="s">
        <v>932</v>
      </c>
      <c r="C73" s="158">
        <v>1085715.3829999999</v>
      </c>
      <c r="D73" s="158">
        <v>0</v>
      </c>
      <c r="E73" s="158">
        <v>1081164.879</v>
      </c>
      <c r="F73" s="158">
        <v>4550.5039999999999</v>
      </c>
      <c r="G73" s="18" t="str">
        <f>IF($A73="","",IFERROR(INDEX(Map!$C$2:$C$400,MATCH($A73,Map!$A$2:$A$400,0)),"⚠ UNMAPPED"))</f>
        <v>BS</v>
      </c>
      <c r="H73" s="18" t="str">
        <f>IF($A73="","",IFERROR(INDEX(Map!$D$2:$D$400,MATCH($A73,Map!$A$2:$A$400,0)),"⚠ UNMAPPED"))</f>
        <v>Current Liabilities</v>
      </c>
      <c r="I73" s="18" t="str">
        <f>IF($A73="","",IFERROR(INDEX(Map!$E$2:$E$400,MATCH($A73,Map!$A$2:$A$400,0)),"⚠ UNMAPPED"))</f>
        <v>Tade payables and Accuals &amp; other credit balances</v>
      </c>
      <c r="J73" s="18" t="str">
        <f>IF($A73="","",IFERROR(INDEX(Map!$F$2:$F$400,MATCH($A73,Map!$A$2:$A$400,0)),"⚠ UNMAPPED"))</f>
        <v>VAT payables</v>
      </c>
    </row>
    <row r="74" spans="1:10" x14ac:dyDescent="0.25">
      <c r="A74" s="38">
        <v>270005</v>
      </c>
      <c r="B74" t="s">
        <v>1134</v>
      </c>
      <c r="C74" s="158">
        <v>-2394300</v>
      </c>
      <c r="D74" s="158">
        <v>0</v>
      </c>
      <c r="E74" s="158">
        <v>0</v>
      </c>
      <c r="F74" s="158">
        <v>-2394300</v>
      </c>
      <c r="G74" s="18" t="str">
        <f>IF($A74="","",IFERROR(INDEX(Map!$C$2:$C$400,MATCH($A74,Map!$A$2:$A$400,0)),"⚠ UNMAPPED"))</f>
        <v>BS</v>
      </c>
      <c r="H74" s="18" t="str">
        <f>IF($A74="","",IFERROR(INDEX(Map!$D$2:$D$400,MATCH($A74,Map!$A$2:$A$400,0)),"⚠ UNMAPPED"))</f>
        <v>Non-Current Liabilities</v>
      </c>
      <c r="I74" s="18" t="str">
        <f>IF($A74="","",IFERROR(INDEX(Map!$E$2:$E$400,MATCH($A74,Map!$A$2:$A$400,0)),"⚠ UNMAPPED"))</f>
        <v xml:space="preserve">Due to related parties </v>
      </c>
      <c r="J74" s="18" t="str">
        <f>IF($A74="","",IFERROR(INDEX(Map!$F$2:$F$400,MATCH($A74,Map!$A$2:$A$400,0)),"⚠ UNMAPPED"))</f>
        <v>Vision Horzon Indestrial Company</v>
      </c>
    </row>
    <row r="75" spans="1:10" x14ac:dyDescent="0.25">
      <c r="A75" s="38">
        <v>270006</v>
      </c>
      <c r="B75" t="s">
        <v>1135</v>
      </c>
      <c r="C75" s="158">
        <v>104625.32</v>
      </c>
      <c r="D75" s="158">
        <v>0</v>
      </c>
      <c r="E75" s="158">
        <v>0</v>
      </c>
      <c r="F75" s="158">
        <v>104625.32</v>
      </c>
      <c r="G75" s="18" t="str">
        <f>IF($A75="","",IFERROR(INDEX(Map!$C$2:$C$400,MATCH($A75,Map!$A$2:$A$400,0)),"⚠ UNMAPPED"))</f>
        <v>BS</v>
      </c>
      <c r="H75" s="18" t="str">
        <f>IF($A75="","",IFERROR(INDEX(Map!$D$2:$D$400,MATCH($A75,Map!$A$2:$A$400,0)),"⚠ UNMAPPED"))</f>
        <v>Non-Current Assets</v>
      </c>
      <c r="I75" s="18" t="str">
        <f>IF($A75="","",IFERROR(INDEX(Map!$E$2:$E$400,MATCH($A75,Map!$A$2:$A$400,0)),"⚠ UNMAPPED"))</f>
        <v>Due from RP</v>
      </c>
      <c r="J75" s="18" t="str">
        <f>IF($A75="","",IFERROR(INDEX(Map!$F$2:$F$400,MATCH($A75,Map!$A$2:$A$400,0)),"⚠ UNMAPPED"))</f>
        <v>Integrated Training Company</v>
      </c>
    </row>
    <row r="76" spans="1:10" x14ac:dyDescent="0.25">
      <c r="A76" s="38">
        <v>310001</v>
      </c>
      <c r="B76" t="s">
        <v>934</v>
      </c>
      <c r="C76" s="158">
        <v>15954372.825999999</v>
      </c>
      <c r="D76" s="158">
        <v>0</v>
      </c>
      <c r="E76" s="158">
        <v>0</v>
      </c>
      <c r="F76" s="158">
        <v>15954372.825999999</v>
      </c>
      <c r="G76" s="18" t="str">
        <f>IF($A76="","",IFERROR(INDEX(Map!$C$2:$C$400,MATCH($A76,Map!$A$2:$A$400,0)),"⚠ UNMAPPED"))</f>
        <v>BS</v>
      </c>
      <c r="H76" s="18" t="str">
        <f>IF($A76="","",IFERROR(INDEX(Map!$D$2:$D$400,MATCH($A76,Map!$A$2:$A$400,0)),"⚠ UNMAPPED"))</f>
        <v>Stockholder's equity</v>
      </c>
      <c r="I76" s="18" t="str">
        <f>IF($A76="","",IFERROR(INDEX(Map!$E$2:$E$400,MATCH($A76,Map!$A$2:$A$400,0)),"⚠ UNMAPPED"))</f>
        <v>Retained earnings</v>
      </c>
      <c r="J76" s="18" t="str">
        <f>IF($A76="","",IFERROR(INDEX(Map!$F$2:$F$400,MATCH($A76,Map!$A$2:$A$400,0)),"⚠ UNMAPPED"))</f>
        <v>Retained earnings</v>
      </c>
    </row>
    <row r="77" spans="1:10" x14ac:dyDescent="0.25">
      <c r="A77" s="38">
        <v>330001</v>
      </c>
      <c r="B77" t="s">
        <v>935</v>
      </c>
      <c r="C77" s="158">
        <v>0</v>
      </c>
      <c r="D77" s="158">
        <v>0</v>
      </c>
      <c r="E77" s="158">
        <v>0</v>
      </c>
      <c r="F77" s="158">
        <v>0</v>
      </c>
      <c r="G77" s="18" t="str">
        <f>IF($A77="","",IFERROR(INDEX(Map!$C$2:$C$400,MATCH($A77,Map!$A$2:$A$400,0)),"⚠ UNMAPPED"))</f>
        <v>BS</v>
      </c>
      <c r="H77" s="18" t="str">
        <f>IF($A77="","",IFERROR(INDEX(Map!$D$2:$D$400,MATCH($A77,Map!$A$2:$A$400,0)),"⚠ UNMAPPED"))</f>
        <v>Stockholder's equity</v>
      </c>
      <c r="I77" s="18" t="str">
        <f>IF($A77="","",IFERROR(INDEX(Map!$E$2:$E$400,MATCH($A77,Map!$A$2:$A$400,0)),"⚠ UNMAPPED"))</f>
        <v>Retained earnings</v>
      </c>
      <c r="J77" s="18" t="str">
        <f>IF($A77="","",IFERROR(INDEX(Map!$F$2:$F$400,MATCH($A77,Map!$A$2:$A$400,0)),"⚠ UNMAPPED"))</f>
        <v>Retained earnings</v>
      </c>
    </row>
    <row r="78" spans="1:10" x14ac:dyDescent="0.25">
      <c r="A78" s="38">
        <v>330002</v>
      </c>
      <c r="B78" t="s">
        <v>1136</v>
      </c>
      <c r="C78" s="158">
        <v>-500000</v>
      </c>
      <c r="D78" s="158">
        <v>0</v>
      </c>
      <c r="E78" s="158">
        <v>0</v>
      </c>
      <c r="F78" s="158">
        <v>-500000</v>
      </c>
      <c r="G78" s="18" t="str">
        <f>IF($A78="","",IFERROR(INDEX(Map!$C$2:$C$400,MATCH($A78,Map!$A$2:$A$400,0)),"⚠ UNMAPPED"))</f>
        <v>BS</v>
      </c>
      <c r="H78" s="18" t="str">
        <f>IF($A78="","",IFERROR(INDEX(Map!$D$2:$D$400,MATCH($A78,Map!$A$2:$A$400,0)),"⚠ UNMAPPED"))</f>
        <v>Stockholder's equity</v>
      </c>
      <c r="I78" s="18" t="str">
        <f>IF($A78="","",IFERROR(INDEX(Map!$E$2:$E$400,MATCH($A78,Map!$A$2:$A$400,0)),"⚠ UNMAPPED"))</f>
        <v>Share capital</v>
      </c>
      <c r="J78" s="18" t="str">
        <f>IF($A78="","",IFERROR(INDEX(Map!$F$2:$F$400,MATCH($A78,Map!$A$2:$A$400,0)),"⚠ UNMAPPED"))</f>
        <v>Share capital</v>
      </c>
    </row>
    <row r="79" spans="1:10" x14ac:dyDescent="0.25">
      <c r="A79" s="38">
        <v>330003</v>
      </c>
      <c r="B79" t="s">
        <v>937</v>
      </c>
      <c r="C79" s="158">
        <v>-22500000</v>
      </c>
      <c r="D79" s="158">
        <v>0</v>
      </c>
      <c r="E79" s="158">
        <v>0</v>
      </c>
      <c r="F79" s="158">
        <v>-22500000</v>
      </c>
      <c r="G79" s="18" t="str">
        <f>IF($A79="","",IFERROR(INDEX(Map!$C$2:$C$400,MATCH($A79,Map!$A$2:$A$400,0)),"⚠ UNMAPPED"))</f>
        <v>BS</v>
      </c>
      <c r="H79" s="18" t="str">
        <f>IF($A79="","",IFERROR(INDEX(Map!$D$2:$D$400,MATCH($A79,Map!$A$2:$A$400,0)),"⚠ UNMAPPED"))</f>
        <v>Stockholder's equity</v>
      </c>
      <c r="I79" s="18" t="str">
        <f>IF($A79="","",IFERROR(INDEX(Map!$E$2:$E$400,MATCH($A79,Map!$A$2:$A$400,0)),"⚠ UNMAPPED"))</f>
        <v>Additional contribution from shareholders</v>
      </c>
      <c r="J79" s="18" t="str">
        <f>IF($A79="","",IFERROR(INDEX(Map!$F$2:$F$400,MATCH($A79,Map!$A$2:$A$400,0)),"⚠ UNMAPPED"))</f>
        <v>Additional contribution from shareholders</v>
      </c>
    </row>
    <row r="80" spans="1:10" x14ac:dyDescent="0.25">
      <c r="A80" s="38">
        <v>330004</v>
      </c>
      <c r="B80" t="s">
        <v>1137</v>
      </c>
      <c r="C80" s="158">
        <v>1397107.912</v>
      </c>
      <c r="D80" s="158">
        <v>4596618.0219999999</v>
      </c>
      <c r="E80" s="158">
        <v>4387103.7810000004</v>
      </c>
      <c r="F80" s="158">
        <v>1606622.1529999999</v>
      </c>
      <c r="G80" s="18" t="str">
        <f>IF($A80="","",IFERROR(INDEX(Map!$C$2:$C$400,MATCH($A80,Map!$A$2:$A$400,0)),"⚠ UNMAPPED"))</f>
        <v>BS</v>
      </c>
      <c r="H80" s="18" t="str">
        <f>IF($A80="","",IFERROR(INDEX(Map!$D$2:$D$400,MATCH($A80,Map!$A$2:$A$400,0)),"⚠ UNMAPPED"))</f>
        <v>Non-Current Liabilities</v>
      </c>
      <c r="I80" s="18" t="str">
        <f>IF($A80="","",IFERROR(INDEX(Map!$E$2:$E$400,MATCH($A80,Map!$A$2:$A$400,0)),"⚠ UNMAPPED"))</f>
        <v xml:space="preserve">Due to related parties </v>
      </c>
      <c r="J80" s="18" t="str">
        <f>IF($A80="","",IFERROR(INDEX(Map!$F$2:$F$400,MATCH($A80,Map!$A$2:$A$400,0)),"⚠ UNMAPPED"))</f>
        <v>Alif Leading Industrial Factory</v>
      </c>
    </row>
    <row r="81" spans="1:10" x14ac:dyDescent="0.25">
      <c r="A81" s="38">
        <v>410001</v>
      </c>
      <c r="B81" t="s">
        <v>1138</v>
      </c>
      <c r="C81" s="158">
        <v>0</v>
      </c>
      <c r="D81" s="158">
        <v>0</v>
      </c>
      <c r="E81" s="158">
        <v>44627975.395999998</v>
      </c>
      <c r="F81" s="158">
        <v>-44627975.395999998</v>
      </c>
      <c r="G81" s="18" t="str">
        <f>IF($A81="","",IFERROR(INDEX(Map!$C$2:$C$400,MATCH($A81,Map!$A$2:$A$400,0)),"⚠ UNMAPPED"))</f>
        <v>IS</v>
      </c>
      <c r="H81" s="18" t="str">
        <f>IF($A81="","",IFERROR(INDEX(Map!$D$2:$D$400,MATCH($A81,Map!$A$2:$A$400,0)),"⚠ UNMAPPED"))</f>
        <v>Sales</v>
      </c>
      <c r="I81" s="18" t="str">
        <f>IF($A81="","",IFERROR(INDEX(Map!$E$2:$E$400,MATCH($A81,Map!$A$2:$A$400,0)),"⚠ UNMAPPED"))</f>
        <v>Sales</v>
      </c>
      <c r="J81" s="18" t="str">
        <f>IF($A81="","",IFERROR(INDEX(Map!$F$2:$F$400,MATCH($A81,Map!$A$2:$A$400,0)),"⚠ UNMAPPED"))</f>
        <v>Trading revenue</v>
      </c>
    </row>
    <row r="82" spans="1:10" x14ac:dyDescent="0.25">
      <c r="A82" s="38">
        <v>410002</v>
      </c>
      <c r="B82" t="s">
        <v>1139</v>
      </c>
      <c r="C82" s="158">
        <v>0</v>
      </c>
      <c r="D82" s="158">
        <v>812624.18299999996</v>
      </c>
      <c r="E82" s="158">
        <v>0</v>
      </c>
      <c r="F82" s="158">
        <v>812624.18299999996</v>
      </c>
      <c r="G82" s="18" t="str">
        <f>IF($A82="","",IFERROR(INDEX(Map!$C$2:$C$400,MATCH($A82,Map!$A$2:$A$400,0)),"⚠ UNMAPPED"))</f>
        <v>IS</v>
      </c>
      <c r="H82" s="18" t="str">
        <f>IF($A82="","",IFERROR(INDEX(Map!$D$2:$D$400,MATCH($A82,Map!$A$2:$A$400,0)),"⚠ UNMAPPED"))</f>
        <v>Sales</v>
      </c>
      <c r="I82" s="18" t="str">
        <f>IF($A82="","",IFERROR(INDEX(Map!$E$2:$E$400,MATCH($A82,Map!$A$2:$A$400,0)),"⚠ UNMAPPED"))</f>
        <v>Sales</v>
      </c>
      <c r="J82" s="18" t="str">
        <f>IF($A82="","",IFERROR(INDEX(Map!$F$2:$F$400,MATCH($A82,Map!$A$2:$A$400,0)),"⚠ UNMAPPED"))</f>
        <v>Trading revenue</v>
      </c>
    </row>
    <row r="83" spans="1:10" x14ac:dyDescent="0.25">
      <c r="A83" s="38">
        <v>410003</v>
      </c>
      <c r="B83" t="s">
        <v>1140</v>
      </c>
      <c r="C83" s="158">
        <v>0</v>
      </c>
      <c r="D83" s="158">
        <v>2439.0700000000002</v>
      </c>
      <c r="E83" s="158">
        <v>0</v>
      </c>
      <c r="F83" s="158">
        <v>2439.0700000000002</v>
      </c>
      <c r="G83" s="18" t="str">
        <f>IF($A83="","",IFERROR(INDEX(Map!$C$2:$C$400,MATCH($A83,Map!$A$2:$A$400,0)),"⚠ UNMAPPED"))</f>
        <v>IS</v>
      </c>
      <c r="H83" s="18" t="str">
        <f>IF($A83="","",IFERROR(INDEX(Map!$D$2:$D$400,MATCH($A83,Map!$A$2:$A$400,0)),"⚠ UNMAPPED"))</f>
        <v>Sales</v>
      </c>
      <c r="I83" s="18" t="str">
        <f>IF($A83="","",IFERROR(INDEX(Map!$E$2:$E$400,MATCH($A83,Map!$A$2:$A$400,0)),"⚠ UNMAPPED"))</f>
        <v>Sales</v>
      </c>
      <c r="J83" s="18" t="str">
        <f>IF($A83="","",IFERROR(INDEX(Map!$F$2:$F$400,MATCH($A83,Map!$A$2:$A$400,0)),"⚠ UNMAPPED"))</f>
        <v>Trading revenue</v>
      </c>
    </row>
    <row r="84" spans="1:10" x14ac:dyDescent="0.25">
      <c r="A84" s="38">
        <v>410004</v>
      </c>
      <c r="B84" t="s">
        <v>1141</v>
      </c>
      <c r="C84" s="158">
        <v>0</v>
      </c>
      <c r="D84" s="158">
        <v>0</v>
      </c>
      <c r="E84" s="158">
        <v>626316.93099999998</v>
      </c>
      <c r="F84" s="158">
        <v>-626316.93099999998</v>
      </c>
      <c r="G84" s="18" t="str">
        <f>IF($A84="","",IFERROR(INDEX(Map!$C$2:$C$400,MATCH($A84,Map!$A$2:$A$400,0)),"⚠ UNMAPPED"))</f>
        <v>IS</v>
      </c>
      <c r="H84" s="18" t="str">
        <f>IF($A84="","",IFERROR(INDEX(Map!$D$2:$D$400,MATCH($A84,Map!$A$2:$A$400,0)),"⚠ UNMAPPED"))</f>
        <v>Sales</v>
      </c>
      <c r="I84" s="18" t="str">
        <f>IF($A84="","",IFERROR(INDEX(Map!$E$2:$E$400,MATCH($A84,Map!$A$2:$A$400,0)),"⚠ UNMAPPED"))</f>
        <v>Sales</v>
      </c>
      <c r="J84" s="18" t="str">
        <f>IF($A84="","",IFERROR(INDEX(Map!$F$2:$F$400,MATCH($A84,Map!$A$2:$A$400,0)),"⚠ UNMAPPED"))</f>
        <v>Scrap sales</v>
      </c>
    </row>
    <row r="85" spans="1:10" x14ac:dyDescent="0.25">
      <c r="A85" s="38">
        <v>420002</v>
      </c>
      <c r="B85" t="s">
        <v>1142</v>
      </c>
      <c r="C85" s="158">
        <v>0</v>
      </c>
      <c r="D85" s="158">
        <v>0</v>
      </c>
      <c r="E85" s="158">
        <v>0</v>
      </c>
      <c r="F85" s="158">
        <v>0</v>
      </c>
      <c r="G85" s="18" t="str">
        <f>IF($A85="","",IFERROR(INDEX(Map!$C$2:$C$400,MATCH($A85,Map!$A$2:$A$400,0)),"⚠ UNMAPPED"))</f>
        <v>IS</v>
      </c>
      <c r="H85" s="18" t="str">
        <f>IF($A85="","",IFERROR(INDEX(Map!$D$2:$D$400,MATCH($A85,Map!$A$2:$A$400,0)),"⚠ UNMAPPED"))</f>
        <v>Other Income</v>
      </c>
      <c r="I85" s="18" t="str">
        <f>IF($A85="","",IFERROR(INDEX(Map!$E$2:$E$400,MATCH($A85,Map!$A$2:$A$400,0)),"⚠ UNMAPPED"))</f>
        <v>Other Income</v>
      </c>
      <c r="J85" s="18" t="str">
        <f>IF($A85="","",IFERROR(INDEX(Map!$F$2:$F$400,MATCH($A85,Map!$A$2:$A$400,0)),"⚠ UNMAPPED"))</f>
        <v>Gain/Loss on Sale of FA — other income</v>
      </c>
    </row>
    <row r="86" spans="1:10" x14ac:dyDescent="0.25">
      <c r="A86" s="38">
        <v>420003</v>
      </c>
      <c r="B86" t="s">
        <v>1143</v>
      </c>
      <c r="C86" s="158">
        <v>0</v>
      </c>
      <c r="D86" s="158">
        <v>0</v>
      </c>
      <c r="E86" s="158">
        <v>4522.6589999999997</v>
      </c>
      <c r="F86" s="158">
        <v>-4522.6589999999997</v>
      </c>
      <c r="G86" s="18" t="str">
        <f>IF($A86="","",IFERROR(INDEX(Map!$C$2:$C$400,MATCH($A86,Map!$A$2:$A$400,0)),"⚠ UNMAPPED"))</f>
        <v>IS</v>
      </c>
      <c r="H86" s="18" t="str">
        <f>IF($A86="","",IFERROR(INDEX(Map!$D$2:$D$400,MATCH($A86,Map!$A$2:$A$400,0)),"⚠ UNMAPPED"))</f>
        <v>Sales</v>
      </c>
      <c r="I86" s="18" t="str">
        <f>IF($A86="","",IFERROR(INDEX(Map!$E$2:$E$400,MATCH($A86,Map!$A$2:$A$400,0)),"⚠ UNMAPPED"))</f>
        <v>Sales</v>
      </c>
      <c r="J86" s="18" t="str">
        <f>IF($A86="","",IFERROR(INDEX(Map!$F$2:$F$400,MATCH($A86,Map!$A$2:$A$400,0)),"⚠ UNMAPPED"))</f>
        <v>Scrap sales</v>
      </c>
    </row>
    <row r="87" spans="1:10" x14ac:dyDescent="0.25">
      <c r="A87" s="38">
        <v>510001</v>
      </c>
      <c r="B87" t="s">
        <v>945</v>
      </c>
      <c r="C87" s="158">
        <v>0</v>
      </c>
      <c r="D87" s="158">
        <v>40300423.619999997</v>
      </c>
      <c r="E87" s="158">
        <v>703740.97600000002</v>
      </c>
      <c r="F87" s="158">
        <v>39596682.644000001</v>
      </c>
      <c r="G87" s="18" t="str">
        <f>IF($A87="","",IFERROR(INDEX(Map!$C$2:$C$400,MATCH($A87,Map!$A$2:$A$400,0)),"⚠ UNMAPPED"))</f>
        <v>IS</v>
      </c>
      <c r="H87" s="18" t="str">
        <f>IF($A87="","",IFERROR(INDEX(Map!$D$2:$D$400,MATCH($A87,Map!$A$2:$A$400,0)),"⚠ UNMAPPED"))</f>
        <v>Cost of sales</v>
      </c>
      <c r="I87" s="18" t="str">
        <f>IF($A87="","",IFERROR(INDEX(Map!$E$2:$E$400,MATCH($A87,Map!$A$2:$A$400,0)),"⚠ UNMAPPED"))</f>
        <v>Raw materials</v>
      </c>
      <c r="J87" s="18" t="str">
        <f>IF($A87="","",IFERROR(INDEX(Map!$F$2:$F$400,MATCH($A87,Map!$A$2:$A$400,0)),"⚠ UNMAPPED"))</f>
        <v>Raw materials</v>
      </c>
    </row>
    <row r="88" spans="1:10" x14ac:dyDescent="0.25">
      <c r="A88" s="38">
        <v>510002</v>
      </c>
      <c r="B88" t="s">
        <v>1144</v>
      </c>
      <c r="C88" s="158">
        <v>0</v>
      </c>
      <c r="D88" s="158">
        <v>0</v>
      </c>
      <c r="E88" s="158">
        <v>0</v>
      </c>
      <c r="F88" s="158">
        <v>0</v>
      </c>
      <c r="G88" s="18" t="str">
        <f>IF($A88="","",IFERROR(INDEX(Map!$C$2:$C$400,MATCH($A88,Map!$A$2:$A$400,0)),"⚠ UNMAPPED"))</f>
        <v>IS</v>
      </c>
      <c r="H88" s="18" t="str">
        <f>IF($A88="","",IFERROR(INDEX(Map!$D$2:$D$400,MATCH($A88,Map!$A$2:$A$400,0)),"⚠ UNMAPPED"))</f>
        <v>Cost of sales</v>
      </c>
      <c r="I88" s="18" t="str">
        <f>IF($A88="","",IFERROR(INDEX(Map!$E$2:$E$400,MATCH($A88,Map!$A$2:$A$400,0)),"⚠ UNMAPPED"))</f>
        <v>Direct Labor</v>
      </c>
      <c r="J88" s="18" t="str">
        <f>IF($A88="","",IFERROR(INDEX(Map!$F$2:$F$400,MATCH($A88,Map!$A$2:$A$400,0)),"⚠ UNMAPPED"))</f>
        <v>Direct Labor</v>
      </c>
    </row>
    <row r="89" spans="1:10" x14ac:dyDescent="0.25">
      <c r="A89" s="38">
        <v>510003</v>
      </c>
      <c r="B89" t="s">
        <v>1145</v>
      </c>
      <c r="C89" s="158">
        <v>0</v>
      </c>
      <c r="D89" s="158">
        <v>61348.500999999997</v>
      </c>
      <c r="E89" s="158">
        <v>0</v>
      </c>
      <c r="F89" s="158">
        <v>61348.500999999997</v>
      </c>
      <c r="G89" s="18" t="str">
        <f>IF($A89="","",IFERROR(INDEX(Map!$C$2:$C$400,MATCH($A89,Map!$A$2:$A$400,0)),"⚠ UNMAPPED"))</f>
        <v>IS</v>
      </c>
      <c r="H89" s="18" t="str">
        <f>IF($A89="","",IFERROR(INDEX(Map!$D$2:$D$400,MATCH($A89,Map!$A$2:$A$400,0)),"⚠ UNMAPPED"))</f>
        <v>Cost of sales</v>
      </c>
      <c r="I89" s="18" t="str">
        <f>IF($A89="","",IFERROR(INDEX(Map!$E$2:$E$400,MATCH($A89,Map!$A$2:$A$400,0)),"⚠ UNMAPPED"))</f>
        <v>Raw materials</v>
      </c>
      <c r="J89" s="18" t="str">
        <f>IF($A89="","",IFERROR(INDEX(Map!$F$2:$F$400,MATCH($A89,Map!$A$2:$A$400,0)),"⚠ UNMAPPED"))</f>
        <v>Raw materials</v>
      </c>
    </row>
    <row r="90" spans="1:10" x14ac:dyDescent="0.25">
      <c r="A90" s="38">
        <v>510004</v>
      </c>
      <c r="B90" t="s">
        <v>1146</v>
      </c>
      <c r="C90" s="158">
        <v>0</v>
      </c>
      <c r="D90" s="158">
        <v>272434.95899999997</v>
      </c>
      <c r="E90" s="158">
        <v>0</v>
      </c>
      <c r="F90" s="158">
        <v>272434.95899999997</v>
      </c>
      <c r="G90" s="18" t="str">
        <f>IF($A90="","",IFERROR(INDEX(Map!$C$2:$C$400,MATCH($A90,Map!$A$2:$A$400,0)),"⚠ UNMAPPED"))</f>
        <v>IS</v>
      </c>
      <c r="H90" s="18" t="str">
        <f>IF($A90="","",IFERROR(INDEX(Map!$D$2:$D$400,MATCH($A90,Map!$A$2:$A$400,0)),"⚠ UNMAPPED"))</f>
        <v>Cost of sales</v>
      </c>
      <c r="I90" s="18" t="str">
        <f>IF($A90="","",IFERROR(INDEX(Map!$E$2:$E$400,MATCH($A90,Map!$A$2:$A$400,0)),"⚠ UNMAPPED"))</f>
        <v>Raw materials</v>
      </c>
      <c r="J90" s="18" t="str">
        <f>IF($A90="","",IFERROR(INDEX(Map!$F$2:$F$400,MATCH($A90,Map!$A$2:$A$400,0)),"⚠ UNMAPPED"))</f>
        <v>Other expenses</v>
      </c>
    </row>
    <row r="91" spans="1:10" x14ac:dyDescent="0.25">
      <c r="A91" s="38">
        <v>510005</v>
      </c>
      <c r="B91" t="s">
        <v>1147</v>
      </c>
      <c r="C91" s="158">
        <v>0</v>
      </c>
      <c r="D91" s="158">
        <v>13691.22</v>
      </c>
      <c r="E91" s="158">
        <v>0</v>
      </c>
      <c r="F91" s="158">
        <v>13691.22</v>
      </c>
      <c r="G91" s="18" t="str">
        <f>IF($A91="","",IFERROR(INDEX(Map!$C$2:$C$400,MATCH($A91,Map!$A$2:$A$400,0)),"⚠ UNMAPPED"))</f>
        <v>IS</v>
      </c>
      <c r="H91" s="18" t="str">
        <f>IF($A91="","",IFERROR(INDEX(Map!$D$2:$D$400,MATCH($A91,Map!$A$2:$A$400,0)),"⚠ UNMAPPED"))</f>
        <v>Cost of sales</v>
      </c>
      <c r="I91" s="18" t="str">
        <f>IF($A91="","",IFERROR(INDEX(Map!$E$2:$E$400,MATCH($A91,Map!$A$2:$A$400,0)),"⚠ UNMAPPED"))</f>
        <v>Raw materials</v>
      </c>
      <c r="J91" s="18" t="str">
        <f>IF($A91="","",IFERROR(INDEX(Map!$F$2:$F$400,MATCH($A91,Map!$A$2:$A$400,0)),"⚠ UNMAPPED"))</f>
        <v>Other expenses</v>
      </c>
    </row>
    <row r="92" spans="1:10" x14ac:dyDescent="0.25">
      <c r="A92" s="38">
        <v>520001</v>
      </c>
      <c r="B92" t="s">
        <v>950</v>
      </c>
      <c r="C92" s="158">
        <v>0</v>
      </c>
      <c r="D92" s="158">
        <v>257802.15</v>
      </c>
      <c r="E92" s="158">
        <v>29459.439999999999</v>
      </c>
      <c r="F92" s="158">
        <v>228342.71</v>
      </c>
      <c r="G92" s="18" t="str">
        <f>IF($A92="","",IFERROR(INDEX(Map!$C$2:$C$400,MATCH($A92,Map!$A$2:$A$400,0)),"⚠ UNMAPPED"))</f>
        <v>IS</v>
      </c>
      <c r="H92" s="18" t="str">
        <f>IF($A92="","",IFERROR(INDEX(Map!$D$2:$D$400,MATCH($A92,Map!$A$2:$A$400,0)),"⚠ UNMAPPED"))</f>
        <v>Cost of sales</v>
      </c>
      <c r="I92" s="18" t="str">
        <f>IF($A92="","",IFERROR(INDEX(Map!$E$2:$E$400,MATCH($A92,Map!$A$2:$A$400,0)),"⚠ UNMAPPED"))</f>
        <v>Direct Labor</v>
      </c>
      <c r="J92" s="18" t="str">
        <f>IF($A92="","",IFERROR(INDEX(Map!$F$2:$F$400,MATCH($A92,Map!$A$2:$A$400,0)),"⚠ UNMAPPED"))</f>
        <v>Salaries and wages</v>
      </c>
    </row>
    <row r="93" spans="1:10" x14ac:dyDescent="0.25">
      <c r="A93" s="38">
        <v>520002</v>
      </c>
      <c r="B93" t="s">
        <v>951</v>
      </c>
      <c r="C93" s="158">
        <v>0</v>
      </c>
      <c r="D93" s="158">
        <v>178816.8</v>
      </c>
      <c r="E93" s="158">
        <v>38513.769999999997</v>
      </c>
      <c r="F93" s="158">
        <v>140303.03</v>
      </c>
      <c r="G93" s="18" t="str">
        <f>IF($A93="","",IFERROR(INDEX(Map!$C$2:$C$400,MATCH($A93,Map!$A$2:$A$400,0)),"⚠ UNMAPPED"))</f>
        <v>IS</v>
      </c>
      <c r="H93" s="18" t="str">
        <f>IF($A93="","",IFERROR(INDEX(Map!$D$2:$D$400,MATCH($A93,Map!$A$2:$A$400,0)),"⚠ UNMAPPED"))</f>
        <v>Cost of sales</v>
      </c>
      <c r="I93" s="18" t="str">
        <f>IF($A93="","",IFERROR(INDEX(Map!$E$2:$E$400,MATCH($A93,Map!$A$2:$A$400,0)),"⚠ UNMAPPED"))</f>
        <v>Direct Labor</v>
      </c>
      <c r="J93" s="18" t="str">
        <f>IF($A93="","",IFERROR(INDEX(Map!$F$2:$F$400,MATCH($A93,Map!$A$2:$A$400,0)),"⚠ UNMAPPED"))</f>
        <v>Overtime pay</v>
      </c>
    </row>
    <row r="94" spans="1:10" x14ac:dyDescent="0.25">
      <c r="A94" s="38">
        <v>520003</v>
      </c>
      <c r="B94" t="s">
        <v>952</v>
      </c>
      <c r="C94" s="158">
        <v>0</v>
      </c>
      <c r="D94" s="158">
        <v>6174</v>
      </c>
      <c r="E94" s="158">
        <v>96</v>
      </c>
      <c r="F94" s="158">
        <v>6078</v>
      </c>
      <c r="G94" s="18" t="str">
        <f>IF($A94="","",IFERROR(INDEX(Map!$C$2:$C$400,MATCH($A94,Map!$A$2:$A$400,0)),"⚠ UNMAPPED"))</f>
        <v>IS</v>
      </c>
      <c r="H94" s="18" t="str">
        <f>IF($A94="","",IFERROR(INDEX(Map!$D$2:$D$400,MATCH($A94,Map!$A$2:$A$400,0)),"⚠ UNMAPPED"))</f>
        <v>Cost of sales</v>
      </c>
      <c r="I94" s="18" t="str">
        <f>IF($A94="","",IFERROR(INDEX(Map!$E$2:$E$400,MATCH($A94,Map!$A$2:$A$400,0)),"⚠ UNMAPPED"))</f>
        <v>Direct Labor</v>
      </c>
      <c r="J94" s="18" t="str">
        <f>IF($A94="","",IFERROR(INDEX(Map!$F$2:$F$400,MATCH($A94,Map!$A$2:$A$400,0)),"⚠ UNMAPPED"))</f>
        <v>Transportation allowance</v>
      </c>
    </row>
    <row r="95" spans="1:10" x14ac:dyDescent="0.25">
      <c r="A95" s="38">
        <v>520004</v>
      </c>
      <c r="B95" t="s">
        <v>1148</v>
      </c>
      <c r="C95" s="158">
        <v>0</v>
      </c>
      <c r="D95" s="158">
        <v>0</v>
      </c>
      <c r="E95" s="158">
        <v>0</v>
      </c>
      <c r="F95" s="158">
        <v>0</v>
      </c>
      <c r="G95" s="18" t="str">
        <f>IF($A95="","",IFERROR(INDEX(Map!$C$2:$C$400,MATCH($A95,Map!$A$2:$A$400,0)),"⚠ UNMAPPED"))</f>
        <v>IS</v>
      </c>
      <c r="H95" s="18" t="str">
        <f>IF($A95="","",IFERROR(INDEX(Map!$D$2:$D$400,MATCH($A95,Map!$A$2:$A$400,0)),"⚠ UNMAPPED"))</f>
        <v>Cost of sales</v>
      </c>
      <c r="I95" s="18" t="str">
        <f>IF($A95="","",IFERROR(INDEX(Map!$E$2:$E$400,MATCH($A95,Map!$A$2:$A$400,0)),"⚠ UNMAPPED"))</f>
        <v>Direct Labor</v>
      </c>
      <c r="J95" s="18" t="str">
        <f>IF($A95="","",IFERROR(INDEX(Map!$F$2:$F$400,MATCH($A95,Map!$A$2:$A$400,0)),"⚠ UNMAPPED"))</f>
        <v>Food and housing</v>
      </c>
    </row>
    <row r="96" spans="1:10" x14ac:dyDescent="0.25">
      <c r="A96" s="38">
        <v>520005</v>
      </c>
      <c r="B96" t="s">
        <v>954</v>
      </c>
      <c r="C96" s="158">
        <v>0</v>
      </c>
      <c r="D96" s="158">
        <v>30823</v>
      </c>
      <c r="E96" s="158">
        <v>0</v>
      </c>
      <c r="F96" s="158">
        <v>30823</v>
      </c>
      <c r="G96" s="18" t="str">
        <f>IF($A96="","",IFERROR(INDEX(Map!$C$2:$C$400,MATCH($A96,Map!$A$2:$A$400,0)),"⚠ UNMAPPED"))</f>
        <v>IS</v>
      </c>
      <c r="H96" s="18" t="str">
        <f>IF($A96="","",IFERROR(INDEX(Map!$D$2:$D$400,MATCH($A96,Map!$A$2:$A$400,0)),"⚠ UNMAPPED"))</f>
        <v>Cost of sales</v>
      </c>
      <c r="I96" s="18" t="str">
        <f>IF($A96="","",IFERROR(INDEX(Map!$E$2:$E$400,MATCH($A96,Map!$A$2:$A$400,0)),"⚠ UNMAPPED"))</f>
        <v>Direct Labor</v>
      </c>
      <c r="J96" s="18" t="str">
        <f>IF($A96="","",IFERROR(INDEX(Map!$F$2:$F$400,MATCH($A96,Map!$A$2:$A$400,0)),"⚠ UNMAPPED"))</f>
        <v>Leave pay</v>
      </c>
    </row>
    <row r="97" spans="1:10" x14ac:dyDescent="0.25">
      <c r="A97" s="38">
        <v>520006</v>
      </c>
      <c r="B97" t="s">
        <v>955</v>
      </c>
      <c r="C97" s="158">
        <v>0</v>
      </c>
      <c r="D97" s="158">
        <v>14196.85</v>
      </c>
      <c r="E97" s="158">
        <v>1788.71</v>
      </c>
      <c r="F97" s="158">
        <v>12408.14</v>
      </c>
      <c r="G97" s="18" t="str">
        <f>IF($A97="","",IFERROR(INDEX(Map!$C$2:$C$400,MATCH($A97,Map!$A$2:$A$400,0)),"⚠ UNMAPPED"))</f>
        <v>IS</v>
      </c>
      <c r="H97" s="18" t="str">
        <f>IF($A97="","",IFERROR(INDEX(Map!$D$2:$D$400,MATCH($A97,Map!$A$2:$A$400,0)),"⚠ UNMAPPED"))</f>
        <v>Cost of sales</v>
      </c>
      <c r="I97" s="18" t="str">
        <f>IF($A97="","",IFERROR(INDEX(Map!$E$2:$E$400,MATCH($A97,Map!$A$2:$A$400,0)),"⚠ UNMAPPED"))</f>
        <v>Direct Labor</v>
      </c>
      <c r="J97" s="18" t="str">
        <f>IF($A97="","",IFERROR(INDEX(Map!$F$2:$F$400,MATCH($A97,Map!$A$2:$A$400,0)),"⚠ UNMAPPED"))</f>
        <v>Medical insurance</v>
      </c>
    </row>
    <row r="98" spans="1:10" x14ac:dyDescent="0.25">
      <c r="A98" s="38">
        <v>520015</v>
      </c>
      <c r="B98" t="s">
        <v>958</v>
      </c>
      <c r="C98" s="158">
        <v>0</v>
      </c>
      <c r="D98" s="158">
        <v>60078.423000000003</v>
      </c>
      <c r="E98" s="158">
        <v>3656.6750000000002</v>
      </c>
      <c r="F98" s="158">
        <v>56421.748</v>
      </c>
      <c r="G98" s="18" t="str">
        <f>IF($A98="","",IFERROR(INDEX(Map!$C$2:$C$400,MATCH($A98,Map!$A$2:$A$400,0)),"⚠ UNMAPPED"))</f>
        <v>IS</v>
      </c>
      <c r="H98" s="18" t="str">
        <f>IF($A98="","",IFERROR(INDEX(Map!$D$2:$D$400,MATCH($A98,Map!$A$2:$A$400,0)),"⚠ UNMAPPED"))</f>
        <v>Cost of sales</v>
      </c>
      <c r="I98" s="18" t="str">
        <f>IF($A98="","",IFERROR(INDEX(Map!$E$2:$E$400,MATCH($A98,Map!$A$2:$A$400,0)),"⚠ UNMAPPED"))</f>
        <v>Direct Labor</v>
      </c>
      <c r="J98" s="18" t="str">
        <f>IF($A98="","",IFERROR(INDEX(Map!$F$2:$F$400,MATCH($A98,Map!$A$2:$A$400,0)),"⚠ UNMAPPED"))</f>
        <v>Food and housing</v>
      </c>
    </row>
    <row r="99" spans="1:10" x14ac:dyDescent="0.25">
      <c r="A99" s="38">
        <v>520017</v>
      </c>
      <c r="B99" t="s">
        <v>959</v>
      </c>
      <c r="C99" s="158">
        <v>0</v>
      </c>
      <c r="D99" s="158">
        <v>14624.834000000001</v>
      </c>
      <c r="E99" s="158">
        <v>1412</v>
      </c>
      <c r="F99" s="158">
        <v>13212.834000000001</v>
      </c>
      <c r="G99" s="18" t="str">
        <f>IF($A99="","",IFERROR(INDEX(Map!$C$2:$C$400,MATCH($A99,Map!$A$2:$A$400,0)),"⚠ UNMAPPED"))</f>
        <v>IS</v>
      </c>
      <c r="H99" s="18" t="str">
        <f>IF($A99="","",IFERROR(INDEX(Map!$D$2:$D$400,MATCH($A99,Map!$A$2:$A$400,0)),"⚠ UNMAPPED"))</f>
        <v>Cost of sales</v>
      </c>
      <c r="I99" s="18" t="str">
        <f>IF($A99="","",IFERROR(INDEX(Map!$E$2:$E$400,MATCH($A99,Map!$A$2:$A$400,0)),"⚠ UNMAPPED"))</f>
        <v>Direct Labor</v>
      </c>
      <c r="J99" s="18" t="str">
        <f>IF($A99="","",IFERROR(INDEX(Map!$F$2:$F$400,MATCH($A99,Map!$A$2:$A$400,0)),"⚠ UNMAPPED"))</f>
        <v>Air tickets</v>
      </c>
    </row>
    <row r="100" spans="1:10" x14ac:dyDescent="0.25">
      <c r="A100" s="38">
        <v>520019</v>
      </c>
      <c r="B100" t="s">
        <v>960</v>
      </c>
      <c r="C100" s="158">
        <v>0</v>
      </c>
      <c r="D100" s="158">
        <v>85403.99</v>
      </c>
      <c r="E100" s="158">
        <v>0</v>
      </c>
      <c r="F100" s="158">
        <v>85403.99</v>
      </c>
      <c r="G100" s="18" t="str">
        <f>IF($A100="","",IFERROR(INDEX(Map!$C$2:$C$400,MATCH($A100,Map!$A$2:$A$400,0)),"⚠ UNMAPPED"))</f>
        <v>IS</v>
      </c>
      <c r="H100" s="18" t="str">
        <f>IF($A100="","",IFERROR(INDEX(Map!$D$2:$D$400,MATCH($A100,Map!$A$2:$A$400,0)),"⚠ UNMAPPED"))</f>
        <v>Cost of sales</v>
      </c>
      <c r="I100" s="18" t="str">
        <f>IF($A100="","",IFERROR(INDEX(Map!$E$2:$E$400,MATCH($A100,Map!$A$2:$A$400,0)),"⚠ UNMAPPED"))</f>
        <v>Direct Labor</v>
      </c>
      <c r="J100" s="18" t="str">
        <f>IF($A100="","",IFERROR(INDEX(Map!$F$2:$F$400,MATCH($A100,Map!$A$2:$A$400,0)),"⚠ UNMAPPED"))</f>
        <v>Food and housing</v>
      </c>
    </row>
    <row r="101" spans="1:10" x14ac:dyDescent="0.25">
      <c r="A101" s="38">
        <v>520020</v>
      </c>
      <c r="B101" t="s">
        <v>961</v>
      </c>
      <c r="C101" s="158">
        <v>0</v>
      </c>
      <c r="D101" s="158">
        <v>12437.710999999999</v>
      </c>
      <c r="E101" s="158">
        <v>0</v>
      </c>
      <c r="F101" s="158">
        <v>12437.710999999999</v>
      </c>
      <c r="G101" s="18" t="str">
        <f>IF($A101="","",IFERROR(INDEX(Map!$C$2:$C$400,MATCH($A101,Map!$A$2:$A$400,0)),"⚠ UNMAPPED"))</f>
        <v>IS</v>
      </c>
      <c r="H101" s="18" t="str">
        <f>IF($A101="","",IFERROR(INDEX(Map!$D$2:$D$400,MATCH($A101,Map!$A$2:$A$400,0)),"⚠ UNMAPPED"))</f>
        <v>Cost of sales</v>
      </c>
      <c r="I101" s="18" t="str">
        <f>IF($A101="","",IFERROR(INDEX(Map!$E$2:$E$400,MATCH($A101,Map!$A$2:$A$400,0)),"⚠ UNMAPPED"))</f>
        <v>Direct Labor</v>
      </c>
      <c r="J101" s="18" t="str">
        <f>IF($A101="","",IFERROR(INDEX(Map!$F$2:$F$400,MATCH($A101,Map!$A$2:$A$400,0)),"⚠ UNMAPPED"))</f>
        <v>Food and housing</v>
      </c>
    </row>
    <row r="102" spans="1:10" x14ac:dyDescent="0.25">
      <c r="A102" s="38">
        <v>520022</v>
      </c>
      <c r="B102" t="s">
        <v>963</v>
      </c>
      <c r="C102" s="158">
        <v>0</v>
      </c>
      <c r="D102" s="158">
        <v>13341.994000000001</v>
      </c>
      <c r="E102" s="158">
        <v>445.73200000000003</v>
      </c>
      <c r="F102" s="158">
        <v>12896.262000000001</v>
      </c>
      <c r="G102" s="18" t="str">
        <f>IF($A102="","",IFERROR(INDEX(Map!$C$2:$C$400,MATCH($A102,Map!$A$2:$A$400,0)),"⚠ UNMAPPED"))</f>
        <v>IS</v>
      </c>
      <c r="H102" s="18" t="str">
        <f>IF($A102="","",IFERROR(INDEX(Map!$D$2:$D$400,MATCH($A102,Map!$A$2:$A$400,0)),"⚠ UNMAPPED"))</f>
        <v>Cost of sales</v>
      </c>
      <c r="I102" s="18" t="str">
        <f>IF($A102="","",IFERROR(INDEX(Map!$E$2:$E$400,MATCH($A102,Map!$A$2:$A$400,0)),"⚠ UNMAPPED"))</f>
        <v>Direct Labor</v>
      </c>
      <c r="J102" s="18" t="str">
        <f>IF($A102="","",IFERROR(INDEX(Map!$F$2:$F$400,MATCH($A102,Map!$A$2:$A$400,0)),"⚠ UNMAPPED"))</f>
        <v>Iqama renewal</v>
      </c>
    </row>
    <row r="103" spans="1:10" x14ac:dyDescent="0.25">
      <c r="A103" s="38">
        <v>520024</v>
      </c>
      <c r="B103" t="s">
        <v>1149</v>
      </c>
      <c r="C103" s="158">
        <v>0</v>
      </c>
      <c r="D103" s="158">
        <v>0</v>
      </c>
      <c r="E103" s="158">
        <v>0</v>
      </c>
      <c r="F103" s="158">
        <v>0</v>
      </c>
      <c r="G103" s="18" t="str">
        <f>IF($A103="","",IFERROR(INDEX(Map!$C$2:$C$400,MATCH($A103,Map!$A$2:$A$400,0)),"⚠ UNMAPPED"))</f>
        <v>IS</v>
      </c>
      <c r="H103" s="18" t="str">
        <f>IF($A103="","",IFERROR(INDEX(Map!$D$2:$D$400,MATCH($A103,Map!$A$2:$A$400,0)),"⚠ UNMAPPED"))</f>
        <v>Cost of sales</v>
      </c>
      <c r="I103" s="18" t="str">
        <f>IF($A103="","",IFERROR(INDEX(Map!$E$2:$E$400,MATCH($A103,Map!$A$2:$A$400,0)),"⚠ UNMAPPED"))</f>
        <v>Overhead - Utility</v>
      </c>
      <c r="J103" s="18" t="str">
        <f>IF($A103="","",IFERROR(INDEX(Map!$F$2:$F$400,MATCH($A103,Map!$A$2:$A$400,0)),"⚠ UNMAPPED"))</f>
        <v>Electricity expenses</v>
      </c>
    </row>
    <row r="104" spans="1:10" x14ac:dyDescent="0.25">
      <c r="A104" s="38">
        <v>520036</v>
      </c>
      <c r="B104" t="s">
        <v>966</v>
      </c>
      <c r="C104" s="158">
        <v>0</v>
      </c>
      <c r="D104" s="158">
        <v>5.0000000000000001E-3</v>
      </c>
      <c r="E104" s="158">
        <v>5.0000000000000001E-3</v>
      </c>
      <c r="F104" s="158">
        <v>0</v>
      </c>
      <c r="G104" s="18" t="str">
        <f>IF($A104="","",IFERROR(INDEX(Map!$C$2:$C$400,MATCH($A104,Map!$A$2:$A$400,0)),"⚠ UNMAPPED"))</f>
        <v>IS</v>
      </c>
      <c r="H104" s="18" t="str">
        <f>IF($A104="","",IFERROR(INDEX(Map!$D$2:$D$400,MATCH($A104,Map!$A$2:$A$400,0)),"⚠ UNMAPPED"))</f>
        <v>Cost of sales</v>
      </c>
      <c r="I104" s="18" t="str">
        <f>IF($A104="","",IFERROR(INDEX(Map!$E$2:$E$400,MATCH($A104,Map!$A$2:$A$400,0)),"⚠ UNMAPPED"))</f>
        <v>Raw materials</v>
      </c>
      <c r="J104" s="18" t="str">
        <f>IF($A104="","",IFERROR(INDEX(Map!$F$2:$F$400,MATCH($A104,Map!$A$2:$A$400,0)),"⚠ UNMAPPED"))</f>
        <v>Raw materials</v>
      </c>
    </row>
    <row r="105" spans="1:10" x14ac:dyDescent="0.25">
      <c r="A105" s="38">
        <v>520037</v>
      </c>
      <c r="B105" t="s">
        <v>967</v>
      </c>
      <c r="C105" s="158">
        <v>0</v>
      </c>
      <c r="D105" s="158">
        <v>2432746.983</v>
      </c>
      <c r="E105" s="158">
        <v>2341104.0109999999</v>
      </c>
      <c r="F105" s="158">
        <v>91642.971999999994</v>
      </c>
      <c r="G105" s="18" t="str">
        <f>IF($A105="","",IFERROR(INDEX(Map!$C$2:$C$400,MATCH($A105,Map!$A$2:$A$400,0)),"⚠ UNMAPPED"))</f>
        <v>IS</v>
      </c>
      <c r="H105" s="18" t="str">
        <f>IF($A105="","",IFERROR(INDEX(Map!$D$2:$D$400,MATCH($A105,Map!$A$2:$A$400,0)),"⚠ UNMAPPED"))</f>
        <v>Cost of sales</v>
      </c>
      <c r="I105" s="18" t="str">
        <f>IF($A105="","",IFERROR(INDEX(Map!$E$2:$E$400,MATCH($A105,Map!$A$2:$A$400,0)),"⚠ UNMAPPED"))</f>
        <v>Raw materials</v>
      </c>
      <c r="J105" s="18" t="str">
        <f>IF($A105="","",IFERROR(INDEX(Map!$F$2:$F$400,MATCH($A105,Map!$A$2:$A$400,0)),"⚠ UNMAPPED"))</f>
        <v>Raw materials</v>
      </c>
    </row>
    <row r="106" spans="1:10" x14ac:dyDescent="0.25">
      <c r="A106" s="38">
        <v>520040</v>
      </c>
      <c r="B106" t="s">
        <v>969</v>
      </c>
      <c r="C106" s="158">
        <v>0</v>
      </c>
      <c r="D106" s="158">
        <v>19106.45</v>
      </c>
      <c r="E106" s="158">
        <v>19106.66</v>
      </c>
      <c r="F106" s="158">
        <v>-0.21</v>
      </c>
      <c r="G106" s="18" t="str">
        <f>IF($A106="","",IFERROR(INDEX(Map!$C$2:$C$400,MATCH($A106,Map!$A$2:$A$400,0)),"⚠ UNMAPPED"))</f>
        <v>IS</v>
      </c>
      <c r="H106" s="18" t="str">
        <f>IF($A106="","",IFERROR(INDEX(Map!$D$2:$D$400,MATCH($A106,Map!$A$2:$A$400,0)),"⚠ UNMAPPED"))</f>
        <v>Cost of sales</v>
      </c>
      <c r="I106" s="18" t="str">
        <f>IF($A106="","",IFERROR(INDEX(Map!$E$2:$E$400,MATCH($A106,Map!$A$2:$A$400,0)),"⚠ UNMAPPED"))</f>
        <v>Raw materials</v>
      </c>
      <c r="J106" s="18" t="str">
        <f>IF($A106="","",IFERROR(INDEX(Map!$F$2:$F$400,MATCH($A106,Map!$A$2:$A$400,0)),"⚠ UNMAPPED"))</f>
        <v>Other expenses</v>
      </c>
    </row>
    <row r="107" spans="1:10" x14ac:dyDescent="0.25">
      <c r="A107" s="38">
        <v>520041</v>
      </c>
      <c r="B107" t="s">
        <v>970</v>
      </c>
      <c r="C107" s="158">
        <v>0</v>
      </c>
      <c r="D107" s="158">
        <v>0</v>
      </c>
      <c r="E107" s="158">
        <v>1402069.7479999999</v>
      </c>
      <c r="F107" s="158">
        <v>-1402069.7479999999</v>
      </c>
      <c r="G107" s="18" t="str">
        <f>IF($A107="","",IFERROR(INDEX(Map!$C$2:$C$400,MATCH($A107,Map!$A$2:$A$400,0)),"⚠ UNMAPPED"))</f>
        <v>IS</v>
      </c>
      <c r="H107" s="18" t="str">
        <f>IF($A107="","",IFERROR(INDEX(Map!$D$2:$D$400,MATCH($A107,Map!$A$2:$A$400,0)),"⚠ UNMAPPED"))</f>
        <v>Cost of sales</v>
      </c>
      <c r="I107" s="18" t="str">
        <f>IF($A107="","",IFERROR(INDEX(Map!$E$2:$E$400,MATCH($A107,Map!$A$2:$A$400,0)),"⚠ UNMAPPED"))</f>
        <v>Raw materials</v>
      </c>
      <c r="J107" s="18" t="str">
        <f>IF($A107="","",IFERROR(INDEX(Map!$F$2:$F$400,MATCH($A107,Map!$A$2:$A$400,0)),"⚠ UNMAPPED"))</f>
        <v>Other expenses</v>
      </c>
    </row>
    <row r="108" spans="1:10" x14ac:dyDescent="0.25">
      <c r="A108" s="38">
        <v>520042</v>
      </c>
      <c r="B108" t="s">
        <v>971</v>
      </c>
      <c r="C108" s="158">
        <v>0</v>
      </c>
      <c r="D108" s="158">
        <v>3520226.3829999999</v>
      </c>
      <c r="E108" s="158">
        <v>518557.29700000002</v>
      </c>
      <c r="F108" s="158">
        <v>3001669.0860000001</v>
      </c>
      <c r="G108" s="18" t="str">
        <f>IF($A108="","",IFERROR(INDEX(Map!$C$2:$C$400,MATCH($A108,Map!$A$2:$A$400,0)),"⚠ UNMAPPED"))</f>
        <v>IS</v>
      </c>
      <c r="H108" s="18" t="str">
        <f>IF($A108="","",IFERROR(INDEX(Map!$D$2:$D$400,MATCH($A108,Map!$A$2:$A$400,0)),"⚠ UNMAPPED"))</f>
        <v>Cost of sales</v>
      </c>
      <c r="I108" s="18" t="str">
        <f>IF($A108="","",IFERROR(INDEX(Map!$E$2:$E$400,MATCH($A108,Map!$A$2:$A$400,0)),"⚠ UNMAPPED"))</f>
        <v>Raw materials</v>
      </c>
      <c r="J108" s="18" t="str">
        <f>IF($A108="","",IFERROR(INDEX(Map!$F$2:$F$400,MATCH($A108,Map!$A$2:$A$400,0)),"⚠ UNMAPPED"))</f>
        <v>Inventory Adjustment</v>
      </c>
    </row>
    <row r="109" spans="1:10" x14ac:dyDescent="0.25">
      <c r="A109" s="38">
        <v>520043</v>
      </c>
      <c r="B109" t="s">
        <v>972</v>
      </c>
      <c r="C109" s="158">
        <v>0</v>
      </c>
      <c r="D109" s="158">
        <v>1200</v>
      </c>
      <c r="E109" s="158">
        <v>0</v>
      </c>
      <c r="F109" s="158">
        <v>1200</v>
      </c>
      <c r="G109" s="18" t="str">
        <f>IF($A109="","",IFERROR(INDEX(Map!$C$2:$C$400,MATCH($A109,Map!$A$2:$A$400,0)),"⚠ UNMAPPED"))</f>
        <v>IS</v>
      </c>
      <c r="H109" s="18" t="str">
        <f>IF($A109="","",IFERROR(INDEX(Map!$D$2:$D$400,MATCH($A109,Map!$A$2:$A$400,0)),"⚠ UNMAPPED"))</f>
        <v>Cost of sales</v>
      </c>
      <c r="I109" s="18" t="str">
        <f>IF($A109="","",IFERROR(INDEX(Map!$E$2:$E$400,MATCH($A109,Map!$A$2:$A$400,0)),"⚠ UNMAPPED"))</f>
        <v>Direct Labor</v>
      </c>
      <c r="J109" s="18" t="str">
        <f>IF($A109="","",IFERROR(INDEX(Map!$F$2:$F$400,MATCH($A109,Map!$A$2:$A$400,0)),"⚠ UNMAPPED"))</f>
        <v>Salaries and wages</v>
      </c>
    </row>
    <row r="110" spans="1:10" x14ac:dyDescent="0.25">
      <c r="A110" s="38">
        <v>520044</v>
      </c>
      <c r="B110" t="s">
        <v>973</v>
      </c>
      <c r="C110" s="158">
        <v>0</v>
      </c>
      <c r="D110" s="158">
        <v>368875.59499999997</v>
      </c>
      <c r="E110" s="158">
        <v>9991.866</v>
      </c>
      <c r="F110" s="158">
        <v>358883.72899999999</v>
      </c>
      <c r="G110" s="18" t="str">
        <f>IF($A110="","",IFERROR(INDEX(Map!$C$2:$C$400,MATCH($A110,Map!$A$2:$A$400,0)),"⚠ UNMAPPED"))</f>
        <v>IS</v>
      </c>
      <c r="H110" s="18" t="str">
        <f>IF($A110="","",IFERROR(INDEX(Map!$D$2:$D$400,MATCH($A110,Map!$A$2:$A$400,0)),"⚠ UNMAPPED"))</f>
        <v>Cost of sales</v>
      </c>
      <c r="I110" s="18" t="str">
        <f>IF($A110="","",IFERROR(INDEX(Map!$E$2:$E$400,MATCH($A110,Map!$A$2:$A$400,0)),"⚠ UNMAPPED"))</f>
        <v>Direct Labor</v>
      </c>
      <c r="J110" s="18" t="str">
        <f>IF($A110="","",IFERROR(INDEX(Map!$F$2:$F$400,MATCH($A110,Map!$A$2:$A$400,0)),"⚠ UNMAPPED"))</f>
        <v>Salaries and wages</v>
      </c>
    </row>
    <row r="111" spans="1:10" x14ac:dyDescent="0.25">
      <c r="A111" s="38">
        <v>520045</v>
      </c>
      <c r="B111" t="s">
        <v>974</v>
      </c>
      <c r="C111" s="158">
        <v>0</v>
      </c>
      <c r="D111" s="158">
        <v>14263.09</v>
      </c>
      <c r="E111" s="158">
        <v>4660</v>
      </c>
      <c r="F111" s="158">
        <v>9603.09</v>
      </c>
      <c r="G111" s="18" t="str">
        <f>IF($A111="","",IFERROR(INDEX(Map!$C$2:$C$400,MATCH($A111,Map!$A$2:$A$400,0)),"⚠ UNMAPPED"))</f>
        <v>IS</v>
      </c>
      <c r="H111" s="18" t="str">
        <f>IF($A111="","",IFERROR(INDEX(Map!$D$2:$D$400,MATCH($A111,Map!$A$2:$A$400,0)),"⚠ UNMAPPED"))</f>
        <v>Cost of sales</v>
      </c>
      <c r="I111" s="18" t="str">
        <f>IF($A111="","",IFERROR(INDEX(Map!$E$2:$E$400,MATCH($A111,Map!$A$2:$A$400,0)),"⚠ UNMAPPED"))</f>
        <v>Direct Labor</v>
      </c>
      <c r="J111" s="18" t="str">
        <f>IF($A111="","",IFERROR(INDEX(Map!$F$2:$F$400,MATCH($A111,Map!$A$2:$A$400,0)),"⚠ UNMAPPED"))</f>
        <v>Direct Labor</v>
      </c>
    </row>
    <row r="112" spans="1:10" x14ac:dyDescent="0.25">
      <c r="A112" s="38">
        <v>520046</v>
      </c>
      <c r="B112" t="s">
        <v>975</v>
      </c>
      <c r="C112" s="158">
        <v>0</v>
      </c>
      <c r="D112" s="158">
        <v>4240.12</v>
      </c>
      <c r="E112" s="158">
        <v>0</v>
      </c>
      <c r="F112" s="158">
        <v>4240.12</v>
      </c>
      <c r="G112" s="18" t="str">
        <f>IF($A112="","",IFERROR(INDEX(Map!$C$2:$C$400,MATCH($A112,Map!$A$2:$A$400,0)),"⚠ UNMAPPED"))</f>
        <v>IS</v>
      </c>
      <c r="H112" s="18" t="str">
        <f>IF($A112="","",IFERROR(INDEX(Map!$D$2:$D$400,MATCH($A112,Map!$A$2:$A$400,0)),"⚠ UNMAPPED"))</f>
        <v>Cost of sales</v>
      </c>
      <c r="I112" s="18" t="str">
        <f>IF($A112="","",IFERROR(INDEX(Map!$E$2:$E$400,MATCH($A112,Map!$A$2:$A$400,0)),"⚠ UNMAPPED"))</f>
        <v>Direct Labor</v>
      </c>
      <c r="J112" s="18" t="str">
        <f>IF($A112="","",IFERROR(INDEX(Map!$F$2:$F$400,MATCH($A112,Map!$A$2:$A$400,0)),"⚠ UNMAPPED"))</f>
        <v>Direct Labor</v>
      </c>
    </row>
    <row r="113" spans="1:10" x14ac:dyDescent="0.25">
      <c r="A113" s="38">
        <v>520047</v>
      </c>
      <c r="B113" t="s">
        <v>976</v>
      </c>
      <c r="C113" s="158">
        <v>0</v>
      </c>
      <c r="D113" s="158">
        <v>21074.544000000002</v>
      </c>
      <c r="E113" s="158">
        <v>3.84</v>
      </c>
      <c r="F113" s="158">
        <v>21070.704000000002</v>
      </c>
      <c r="G113" s="18" t="str">
        <f>IF($A113="","",IFERROR(INDEX(Map!$C$2:$C$400,MATCH($A113,Map!$A$2:$A$400,0)),"⚠ UNMAPPED"))</f>
        <v>IS</v>
      </c>
      <c r="H113" s="18" t="str">
        <f>IF($A113="","",IFERROR(INDEX(Map!$D$2:$D$400,MATCH($A113,Map!$A$2:$A$400,0)),"⚠ UNMAPPED"))</f>
        <v>Cost of sales</v>
      </c>
      <c r="I113" s="18" t="str">
        <f>IF($A113="","",IFERROR(INDEX(Map!$E$2:$E$400,MATCH($A113,Map!$A$2:$A$400,0)),"⚠ UNMAPPED"))</f>
        <v>Direct Labor</v>
      </c>
      <c r="J113" s="18" t="str">
        <f>IF($A113="","",IFERROR(INDEX(Map!$F$2:$F$400,MATCH($A113,Map!$A$2:$A$400,0)),"⚠ UNMAPPED"))</f>
        <v>Direct Labor</v>
      </c>
    </row>
    <row r="114" spans="1:10" x14ac:dyDescent="0.25">
      <c r="A114" s="38">
        <v>600001</v>
      </c>
      <c r="B114" t="s">
        <v>1150</v>
      </c>
      <c r="C114" s="158">
        <v>0</v>
      </c>
      <c r="D114" s="158">
        <v>525979.76</v>
      </c>
      <c r="E114" s="158">
        <v>29968.41</v>
      </c>
      <c r="F114" s="158">
        <v>496011.35</v>
      </c>
      <c r="G114" s="18" t="str">
        <f>IF($A114="","",IFERROR(INDEX(Map!$C$2:$C$400,MATCH($A114,Map!$A$2:$A$400,0)),"⚠ UNMAPPED"))</f>
        <v>IS</v>
      </c>
      <c r="H114" s="18" t="str">
        <f>IF($A114="","",IFERROR(INDEX(Map!$D$2:$D$400,MATCH($A114,Map!$A$2:$A$400,0)),"⚠ UNMAPPED"))</f>
        <v>Cost of sales</v>
      </c>
      <c r="I114" s="18" t="str">
        <f>IF($A114="","",IFERROR(INDEX(Map!$E$2:$E$400,MATCH($A114,Map!$A$2:$A$400,0)),"⚠ UNMAPPED"))</f>
        <v>Overhead - Labor Cost</v>
      </c>
      <c r="J114" s="18" t="str">
        <f>IF($A114="","",IFERROR(INDEX(Map!$F$2:$F$400,MATCH($A114,Map!$A$2:$A$400,0)),"⚠ UNMAPPED"))</f>
        <v>Indirect Salaries — factory supervisory / indirect floor labour (COGS)</v>
      </c>
    </row>
    <row r="115" spans="1:10" x14ac:dyDescent="0.25">
      <c r="A115" s="38">
        <v>600002</v>
      </c>
      <c r="B115" t="s">
        <v>1151</v>
      </c>
      <c r="C115" s="158">
        <v>0</v>
      </c>
      <c r="D115" s="158">
        <v>80345.75</v>
      </c>
      <c r="E115" s="158">
        <v>9335.3799999999992</v>
      </c>
      <c r="F115" s="158">
        <v>71010.37</v>
      </c>
      <c r="G115" s="18" t="str">
        <f>IF($A115="","",IFERROR(INDEX(Map!$C$2:$C$400,MATCH($A115,Map!$A$2:$A$400,0)),"⚠ UNMAPPED"))</f>
        <v>IS</v>
      </c>
      <c r="H115" s="18" t="str">
        <f>IF($A115="","",IFERROR(INDEX(Map!$D$2:$D$400,MATCH($A115,Map!$A$2:$A$400,0)),"⚠ UNMAPPED"))</f>
        <v>Cost of sales</v>
      </c>
      <c r="I115" s="18" t="str">
        <f>IF($A115="","",IFERROR(INDEX(Map!$E$2:$E$400,MATCH($A115,Map!$A$2:$A$400,0)),"⚠ UNMAPPED"))</f>
        <v>Overhead - Labor Cost</v>
      </c>
      <c r="J115" s="18" t="str">
        <f>IF($A115="","",IFERROR(INDEX(Map!$F$2:$F$400,MATCH($A115,Map!$A$2:$A$400,0)),"⚠ UNMAPPED"))</f>
        <v>Overtime pay</v>
      </c>
    </row>
    <row r="116" spans="1:10" x14ac:dyDescent="0.25">
      <c r="A116" s="38">
        <v>600003</v>
      </c>
      <c r="B116" t="s">
        <v>1152</v>
      </c>
      <c r="C116" s="158">
        <v>0</v>
      </c>
      <c r="D116" s="158">
        <v>17743.260999999999</v>
      </c>
      <c r="E116" s="158">
        <v>364</v>
      </c>
      <c r="F116" s="158">
        <v>17379.260999999999</v>
      </c>
      <c r="G116" s="18" t="str">
        <f>IF($A116="","",IFERROR(INDEX(Map!$C$2:$C$400,MATCH($A116,Map!$A$2:$A$400,0)),"⚠ UNMAPPED"))</f>
        <v>IS</v>
      </c>
      <c r="H116" s="18" t="str">
        <f>IF($A116="","",IFERROR(INDEX(Map!$D$2:$D$400,MATCH($A116,Map!$A$2:$A$400,0)),"⚠ UNMAPPED"))</f>
        <v>Cost of sales</v>
      </c>
      <c r="I116" s="18" t="str">
        <f>IF($A116="","",IFERROR(INDEX(Map!$E$2:$E$400,MATCH($A116,Map!$A$2:$A$400,0)),"⚠ UNMAPPED"))</f>
        <v>Overhead - Labor Cost</v>
      </c>
      <c r="J116" s="18" t="str">
        <f>IF($A116="","",IFERROR(INDEX(Map!$F$2:$F$400,MATCH($A116,Map!$A$2:$A$400,0)),"⚠ UNMAPPED"))</f>
        <v xml:space="preserve">Food &amp; Housing </v>
      </c>
    </row>
    <row r="117" spans="1:10" x14ac:dyDescent="0.25">
      <c r="A117" s="38">
        <v>600004</v>
      </c>
      <c r="B117" t="s">
        <v>1153</v>
      </c>
      <c r="C117" s="158">
        <v>0</v>
      </c>
      <c r="D117" s="158">
        <v>43496.069000000003</v>
      </c>
      <c r="E117" s="158">
        <v>7038.14</v>
      </c>
      <c r="F117" s="158">
        <v>36457.928999999996</v>
      </c>
      <c r="G117" s="18" t="str">
        <f>IF($A117="","",IFERROR(INDEX(Map!$C$2:$C$400,MATCH($A117,Map!$A$2:$A$400,0)),"⚠ UNMAPPED"))</f>
        <v>IS</v>
      </c>
      <c r="H117" s="18" t="str">
        <f>IF($A117="","",IFERROR(INDEX(Map!$D$2:$D$400,MATCH($A117,Map!$A$2:$A$400,0)),"⚠ UNMAPPED"))</f>
        <v>Cost of sales</v>
      </c>
      <c r="I117" s="18" t="str">
        <f>IF($A117="","",IFERROR(INDEX(Map!$E$2:$E$400,MATCH($A117,Map!$A$2:$A$400,0)),"⚠ UNMAPPED"))</f>
        <v>Overhead - Labor Cost</v>
      </c>
      <c r="J117" s="18" t="str">
        <f>IF($A117="","",IFERROR(INDEX(Map!$F$2:$F$400,MATCH($A117,Map!$A$2:$A$400,0)),"⚠ UNMAPPED"))</f>
        <v>Medical insurance</v>
      </c>
    </row>
    <row r="118" spans="1:10" x14ac:dyDescent="0.25">
      <c r="A118" s="38">
        <v>600005</v>
      </c>
      <c r="B118" t="s">
        <v>1154</v>
      </c>
      <c r="C118" s="158">
        <v>0</v>
      </c>
      <c r="D118" s="158">
        <v>20533.774000000001</v>
      </c>
      <c r="E118" s="158">
        <v>75.242999999999995</v>
      </c>
      <c r="F118" s="158">
        <v>20458.530999999999</v>
      </c>
      <c r="G118" s="18" t="str">
        <f>IF($A118="","",IFERROR(INDEX(Map!$C$2:$C$400,MATCH($A118,Map!$A$2:$A$400,0)),"⚠ UNMAPPED"))</f>
        <v>IS</v>
      </c>
      <c r="H118" s="18" t="str">
        <f>IF($A118="","",IFERROR(INDEX(Map!$D$2:$D$400,MATCH($A118,Map!$A$2:$A$400,0)),"⚠ UNMAPPED"))</f>
        <v>General and Admin</v>
      </c>
      <c r="I118" s="18" t="str">
        <f>IF($A118="","",IFERROR(INDEX(Map!$E$2:$E$400,MATCH($A118,Map!$A$2:$A$400,0)),"⚠ UNMAPPED"))</f>
        <v>Govt license and fees (including modon)</v>
      </c>
      <c r="J118" s="18" t="str">
        <f>IF($A118="","",IFERROR(INDEX(Map!$F$2:$F$400,MATCH($A118,Map!$A$2:$A$400,0)),"⚠ UNMAPPED"))</f>
        <v>Government fees</v>
      </c>
    </row>
    <row r="119" spans="1:10" x14ac:dyDescent="0.25">
      <c r="A119" s="38">
        <v>600006</v>
      </c>
      <c r="B119" t="s">
        <v>1155</v>
      </c>
      <c r="C119" s="158">
        <v>0</v>
      </c>
      <c r="D119" s="158">
        <v>113279.533</v>
      </c>
      <c r="E119" s="158">
        <v>5223.3249999999998</v>
      </c>
      <c r="F119" s="158">
        <v>108056.208</v>
      </c>
      <c r="G119" s="18" t="str">
        <f>IF($A119="","",IFERROR(INDEX(Map!$C$2:$C$400,MATCH($A119,Map!$A$2:$A$400,0)),"⚠ UNMAPPED"))</f>
        <v>IS</v>
      </c>
      <c r="H119" s="18" t="str">
        <f>IF($A119="","",IFERROR(INDEX(Map!$D$2:$D$400,MATCH($A119,Map!$A$2:$A$400,0)),"⚠ UNMAPPED"))</f>
        <v>Cost of sales</v>
      </c>
      <c r="I119" s="18" t="str">
        <f>IF($A119="","",IFERROR(INDEX(Map!$E$2:$E$400,MATCH($A119,Map!$A$2:$A$400,0)),"⚠ UNMAPPED"))</f>
        <v>Overhead - Labor Cost</v>
      </c>
      <c r="J119" s="18" t="str">
        <f>IF($A119="","",IFERROR(INDEX(Map!$F$2:$F$400,MATCH($A119,Map!$A$2:$A$400,0)),"⚠ UNMAPPED"))</f>
        <v xml:space="preserve">Food &amp; Housing </v>
      </c>
    </row>
    <row r="120" spans="1:10" x14ac:dyDescent="0.25">
      <c r="A120" s="38">
        <v>600007</v>
      </c>
      <c r="B120" t="s">
        <v>1156</v>
      </c>
      <c r="C120" s="158">
        <v>0</v>
      </c>
      <c r="D120" s="158">
        <v>53895.08</v>
      </c>
      <c r="E120" s="158">
        <v>1250</v>
      </c>
      <c r="F120" s="158">
        <v>52645.08</v>
      </c>
      <c r="G120" s="18" t="str">
        <f>IF($A120="","",IFERROR(INDEX(Map!$C$2:$C$400,MATCH($A120,Map!$A$2:$A$400,0)),"⚠ UNMAPPED"))</f>
        <v>IS</v>
      </c>
      <c r="H120" s="18" t="str">
        <f>IF($A120="","",IFERROR(INDEX(Map!$D$2:$D$400,MATCH($A120,Map!$A$2:$A$400,0)),"⚠ UNMAPPED"))</f>
        <v>Cost of sales</v>
      </c>
      <c r="I120" s="18" t="str">
        <f>IF($A120="","",IFERROR(INDEX(Map!$E$2:$E$400,MATCH($A120,Map!$A$2:$A$400,0)),"⚠ UNMAPPED"))</f>
        <v>Overhead - Labor Cost</v>
      </c>
      <c r="J120" s="18" t="str">
        <f>IF($A120="","",IFERROR(INDEX(Map!$F$2:$F$400,MATCH($A120,Map!$A$2:$A$400,0)),"⚠ UNMAPPED"))</f>
        <v>Transportation allowance</v>
      </c>
    </row>
    <row r="121" spans="1:10" x14ac:dyDescent="0.25">
      <c r="A121" s="38">
        <v>600008</v>
      </c>
      <c r="B121" t="s">
        <v>1157</v>
      </c>
      <c r="C121" s="158">
        <v>0</v>
      </c>
      <c r="D121" s="158">
        <v>20361.207999999999</v>
      </c>
      <c r="E121" s="158">
        <v>1087</v>
      </c>
      <c r="F121" s="158">
        <v>19274.207999999999</v>
      </c>
      <c r="G121" s="18" t="str">
        <f>IF($A121="","",IFERROR(INDEX(Map!$C$2:$C$400,MATCH($A121,Map!$A$2:$A$400,0)),"⚠ UNMAPPED"))</f>
        <v>IS</v>
      </c>
      <c r="H121" s="18" t="str">
        <f>IF($A121="","",IFERROR(INDEX(Map!$D$2:$D$400,MATCH($A121,Map!$A$2:$A$400,0)),"⚠ UNMAPPED"))</f>
        <v>Cost of sales</v>
      </c>
      <c r="I121" s="18" t="str">
        <f>IF($A121="","",IFERROR(INDEX(Map!$E$2:$E$400,MATCH($A121,Map!$A$2:$A$400,0)),"⚠ UNMAPPED"))</f>
        <v>Overhead - Labor Cost</v>
      </c>
      <c r="J121" s="18" t="str">
        <f>IF($A121="","",IFERROR(INDEX(Map!$F$2:$F$400,MATCH($A121,Map!$A$2:$A$400,0)),"⚠ UNMAPPED"))</f>
        <v>Air tickets</v>
      </c>
    </row>
    <row r="122" spans="1:10" x14ac:dyDescent="0.25">
      <c r="A122" s="38">
        <v>600009</v>
      </c>
      <c r="B122" t="s">
        <v>1158</v>
      </c>
      <c r="C122" s="158">
        <v>0</v>
      </c>
      <c r="D122" s="158">
        <v>51939.839999999997</v>
      </c>
      <c r="E122" s="158">
        <v>0</v>
      </c>
      <c r="F122" s="158">
        <v>51939.839999999997</v>
      </c>
      <c r="G122" s="18" t="str">
        <f>IF($A122="","",IFERROR(INDEX(Map!$C$2:$C$400,MATCH($A122,Map!$A$2:$A$400,0)),"⚠ UNMAPPED"))</f>
        <v>IS</v>
      </c>
      <c r="H122" s="18" t="str">
        <f>IF($A122="","",IFERROR(INDEX(Map!$D$2:$D$400,MATCH($A122,Map!$A$2:$A$400,0)),"⚠ UNMAPPED"))</f>
        <v>Cost of sales</v>
      </c>
      <c r="I122" s="18" t="str">
        <f>IF($A122="","",IFERROR(INDEX(Map!$E$2:$E$400,MATCH($A122,Map!$A$2:$A$400,0)),"⚠ UNMAPPED"))</f>
        <v>Overhead - Labor Cost</v>
      </c>
      <c r="J122" s="18" t="str">
        <f>IF($A122="","",IFERROR(INDEX(Map!$F$2:$F$400,MATCH($A122,Map!$A$2:$A$400,0)),"⚠ UNMAPPED"))</f>
        <v>Vacation pay</v>
      </c>
    </row>
    <row r="123" spans="1:10" x14ac:dyDescent="0.25">
      <c r="A123" s="38">
        <v>600010</v>
      </c>
      <c r="B123" t="s">
        <v>1159</v>
      </c>
      <c r="C123" s="158">
        <v>0</v>
      </c>
      <c r="D123" s="158">
        <v>34764.9</v>
      </c>
      <c r="E123" s="158">
        <v>0</v>
      </c>
      <c r="F123" s="158">
        <v>34764.9</v>
      </c>
      <c r="G123" s="18" t="str">
        <f>IF($A123="","",IFERROR(INDEX(Map!$C$2:$C$400,MATCH($A123,Map!$A$2:$A$400,0)),"⚠ UNMAPPED"))</f>
        <v>IS</v>
      </c>
      <c r="H123" s="18" t="str">
        <f>IF($A123="","",IFERROR(INDEX(Map!$D$2:$D$400,MATCH($A123,Map!$A$2:$A$400,0)),"⚠ UNMAPPED"))</f>
        <v>Cost of sales</v>
      </c>
      <c r="I123" s="18" t="str">
        <f>IF($A123="","",IFERROR(INDEX(Map!$E$2:$E$400,MATCH($A123,Map!$A$2:$A$400,0)),"⚠ UNMAPPED"))</f>
        <v>Overhead - Labor Cost</v>
      </c>
      <c r="J123" s="18" t="str">
        <f>IF($A123="","",IFERROR(INDEX(Map!$F$2:$F$400,MATCH($A123,Map!$A$2:$A$400,0)),"⚠ UNMAPPED"))</f>
        <v>EOS expenses</v>
      </c>
    </row>
    <row r="124" spans="1:10" x14ac:dyDescent="0.25">
      <c r="A124" s="38">
        <v>600011</v>
      </c>
      <c r="B124" t="s">
        <v>1160</v>
      </c>
      <c r="C124" s="158">
        <v>0</v>
      </c>
      <c r="D124" s="158">
        <v>1676.499</v>
      </c>
      <c r="E124" s="158">
        <v>0</v>
      </c>
      <c r="F124" s="158">
        <v>1676.499</v>
      </c>
      <c r="G124" s="18" t="str">
        <f>IF($A124="","",IFERROR(INDEX(Map!$C$2:$C$400,MATCH($A124,Map!$A$2:$A$400,0)),"⚠ UNMAPPED"))</f>
        <v>IS</v>
      </c>
      <c r="H124" s="18" t="str">
        <f>IF($A124="","",IFERROR(INDEX(Map!$D$2:$D$400,MATCH($A124,Map!$A$2:$A$400,0)),"⚠ UNMAPPED"))</f>
        <v>Cost of sales</v>
      </c>
      <c r="I124" s="18" t="str">
        <f>IF($A124="","",IFERROR(INDEX(Map!$E$2:$E$400,MATCH($A124,Map!$A$2:$A$400,0)),"⚠ UNMAPPED"))</f>
        <v>Overhead - Labor Cost</v>
      </c>
      <c r="J124" s="18" t="str">
        <f>IF($A124="","",IFERROR(INDEX(Map!$F$2:$F$400,MATCH($A124,Map!$A$2:$A$400,0)),"⚠ UNMAPPED"))</f>
        <v>Air tickets</v>
      </c>
    </row>
    <row r="125" spans="1:10" x14ac:dyDescent="0.25">
      <c r="A125" s="38">
        <v>600012</v>
      </c>
      <c r="B125" t="s">
        <v>1034</v>
      </c>
      <c r="C125" s="158">
        <v>0</v>
      </c>
      <c r="D125" s="158">
        <v>13306</v>
      </c>
      <c r="E125" s="158">
        <v>0</v>
      </c>
      <c r="F125" s="158">
        <v>13306</v>
      </c>
      <c r="G125" s="18" t="str">
        <f>IF($A125="","",IFERROR(INDEX(Map!$C$2:$C$400,MATCH($A125,Map!$A$2:$A$400,0)),"⚠ UNMAPPED"))</f>
        <v>IS</v>
      </c>
      <c r="H125" s="18" t="str">
        <f>IF($A125="","",IFERROR(INDEX(Map!$D$2:$D$400,MATCH($A125,Map!$A$2:$A$400,0)),"⚠ UNMAPPED"))</f>
        <v>Cost of sales</v>
      </c>
      <c r="I125" s="18" t="str">
        <f>IF($A125="","",IFERROR(INDEX(Map!$E$2:$E$400,MATCH($A125,Map!$A$2:$A$400,0)),"⚠ UNMAPPED"))</f>
        <v>Overhead - Labor Cost</v>
      </c>
      <c r="J125" s="18" t="str">
        <f>IF($A125="","",IFERROR(INDEX(Map!$F$2:$F$400,MATCH($A125,Map!$A$2:$A$400,0)),"⚠ UNMAPPED"))</f>
        <v xml:space="preserve">Education &amp; Furniture Allowances </v>
      </c>
    </row>
    <row r="126" spans="1:10" x14ac:dyDescent="0.25">
      <c r="A126" s="38">
        <v>600013</v>
      </c>
      <c r="B126" t="s">
        <v>1035</v>
      </c>
      <c r="C126" s="158">
        <v>0</v>
      </c>
      <c r="D126" s="158">
        <v>11300</v>
      </c>
      <c r="E126" s="158">
        <v>127</v>
      </c>
      <c r="F126" s="158">
        <v>11173</v>
      </c>
      <c r="G126" s="18" t="str">
        <f>IF($A126="","",IFERROR(INDEX(Map!$C$2:$C$400,MATCH($A126,Map!$A$2:$A$400,0)),"⚠ UNMAPPED"))</f>
        <v>IS</v>
      </c>
      <c r="H126" s="18" t="str">
        <f>IF($A126="","",IFERROR(INDEX(Map!$D$2:$D$400,MATCH($A126,Map!$A$2:$A$400,0)),"⚠ UNMAPPED"))</f>
        <v>Cost of sales</v>
      </c>
      <c r="I126" s="18" t="str">
        <f>IF($A126="","",IFERROR(INDEX(Map!$E$2:$E$400,MATCH($A126,Map!$A$2:$A$400,0)),"⚠ UNMAPPED"))</f>
        <v>Overhead - Labor Cost</v>
      </c>
      <c r="J126" s="18" t="str">
        <f>IF($A126="","",IFERROR(INDEX(Map!$F$2:$F$400,MATCH($A126,Map!$A$2:$A$400,0)),"⚠ UNMAPPED"))</f>
        <v>Telephone allowance</v>
      </c>
    </row>
    <row r="127" spans="1:10" x14ac:dyDescent="0.25">
      <c r="A127" s="38">
        <v>600014</v>
      </c>
      <c r="B127" t="s">
        <v>1119</v>
      </c>
      <c r="C127" s="158">
        <v>0</v>
      </c>
      <c r="D127" s="158">
        <v>83467.566999999995</v>
      </c>
      <c r="E127" s="158">
        <v>4359.72</v>
      </c>
      <c r="F127" s="158">
        <v>79107.846999999994</v>
      </c>
      <c r="G127" s="18" t="str">
        <f>IF($A127="","",IFERROR(INDEX(Map!$C$2:$C$400,MATCH($A127,Map!$A$2:$A$400,0)),"⚠ UNMAPPED"))</f>
        <v>IS</v>
      </c>
      <c r="H127" s="18" t="str">
        <f>IF($A127="","",IFERROR(INDEX(Map!$D$2:$D$400,MATCH($A127,Map!$A$2:$A$400,0)),"⚠ UNMAPPED"))</f>
        <v>Cost of sales</v>
      </c>
      <c r="I127" s="18" t="str">
        <f>IF($A127="","",IFERROR(INDEX(Map!$E$2:$E$400,MATCH($A127,Map!$A$2:$A$400,0)),"⚠ UNMAPPED"))</f>
        <v>Overhead - Consumables &amp; SP</v>
      </c>
      <c r="J127" s="18" t="str">
        <f>IF($A127="","",IFERROR(INDEX(Map!$F$2:$F$400,MATCH($A127,Map!$A$2:$A$400,0)),"⚠ UNMAPPED"))</f>
        <v>Consumables</v>
      </c>
    </row>
    <row r="128" spans="1:10" x14ac:dyDescent="0.25">
      <c r="A128" s="38">
        <v>600015</v>
      </c>
      <c r="B128" t="s">
        <v>885</v>
      </c>
      <c r="C128" s="158">
        <v>0</v>
      </c>
      <c r="D128" s="158">
        <v>0</v>
      </c>
      <c r="E128" s="158">
        <v>0</v>
      </c>
      <c r="F128" s="158">
        <v>0</v>
      </c>
      <c r="G128" s="18" t="str">
        <f>IF($A128="","",IFERROR(INDEX(Map!$C$2:$C$400,MATCH($A128,Map!$A$2:$A$400,0)),"⚠ UNMAPPED"))</f>
        <v>IS</v>
      </c>
      <c r="H128" s="18" t="str">
        <f>IF($A128="","",IFERROR(INDEX(Map!$D$2:$D$400,MATCH($A128,Map!$A$2:$A$400,0)),"⚠ UNMAPPED"))</f>
        <v>Cost of sales</v>
      </c>
      <c r="I128" s="18" t="str">
        <f>IF($A128="","",IFERROR(INDEX(Map!$E$2:$E$400,MATCH($A128,Map!$A$2:$A$400,0)),"⚠ UNMAPPED"))</f>
        <v>Overhead - Consumables &amp; SP</v>
      </c>
      <c r="J128" s="18" t="str">
        <f>IF($A128="","",IFERROR(INDEX(Map!$F$2:$F$400,MATCH($A128,Map!$A$2:$A$400,0)),"⚠ UNMAPPED"))</f>
        <v>Consumables</v>
      </c>
    </row>
    <row r="129" spans="1:10" x14ac:dyDescent="0.25">
      <c r="A129" s="38">
        <v>600016</v>
      </c>
      <c r="B129" t="s">
        <v>1161</v>
      </c>
      <c r="C129" s="158">
        <v>0</v>
      </c>
      <c r="D129" s="158">
        <v>0</v>
      </c>
      <c r="E129" s="158">
        <v>0</v>
      </c>
      <c r="F129" s="158">
        <v>0</v>
      </c>
      <c r="G129" s="18" t="str">
        <f>IF($A129="","",IFERROR(INDEX(Map!$C$2:$C$400,MATCH($A129,Map!$A$2:$A$400,0)),"⚠ UNMAPPED"))</f>
        <v>IS</v>
      </c>
      <c r="H129" s="18" t="str">
        <f>IF($A129="","",IFERROR(INDEX(Map!$D$2:$D$400,MATCH($A129,Map!$A$2:$A$400,0)),"⚠ UNMAPPED"))</f>
        <v>Cost of sales</v>
      </c>
      <c r="I129" s="18" t="str">
        <f>IF($A129="","",IFERROR(INDEX(Map!$E$2:$E$400,MATCH($A129,Map!$A$2:$A$400,0)),"⚠ UNMAPPED"))</f>
        <v>Overhead - Consumables &amp; SP</v>
      </c>
      <c r="J129" s="18" t="str">
        <f>IF($A129="","",IFERROR(INDEX(Map!$F$2:$F$400,MATCH($A129,Map!$A$2:$A$400,0)),"⚠ UNMAPPED"))</f>
        <v>Tools</v>
      </c>
    </row>
    <row r="130" spans="1:10" x14ac:dyDescent="0.25">
      <c r="A130" s="38">
        <v>600017</v>
      </c>
      <c r="B130" t="s">
        <v>1162</v>
      </c>
      <c r="C130" s="158">
        <v>0</v>
      </c>
      <c r="D130" s="158">
        <v>714060.93400000001</v>
      </c>
      <c r="E130" s="158">
        <v>1E-3</v>
      </c>
      <c r="F130" s="158">
        <v>714060.93299999996</v>
      </c>
      <c r="G130" s="18" t="str">
        <f>IF($A130="","",IFERROR(INDEX(Map!$C$2:$C$400,MATCH($A130,Map!$A$2:$A$400,0)),"⚠ UNMAPPED"))</f>
        <v>IS</v>
      </c>
      <c r="H130" s="18" t="str">
        <f>IF($A130="","",IFERROR(INDEX(Map!$D$2:$D$400,MATCH($A130,Map!$A$2:$A$400,0)),"⚠ UNMAPPED"))</f>
        <v>Cost of sales</v>
      </c>
      <c r="I130" s="18" t="str">
        <f>IF($A130="","",IFERROR(INDEX(Map!$E$2:$E$400,MATCH($A130,Map!$A$2:$A$400,0)),"⚠ UNMAPPED"))</f>
        <v>Overhead - Utility</v>
      </c>
      <c r="J130" s="18" t="str">
        <f>IF($A130="","",IFERROR(INDEX(Map!$F$2:$F$400,MATCH($A130,Map!$A$2:$A$400,0)),"⚠ UNMAPPED"))</f>
        <v>Electricity expenses</v>
      </c>
    </row>
    <row r="131" spans="1:10" x14ac:dyDescent="0.25">
      <c r="A131" s="38">
        <v>600018</v>
      </c>
      <c r="B131" t="s">
        <v>1163</v>
      </c>
      <c r="C131" s="158">
        <v>0</v>
      </c>
      <c r="D131" s="158">
        <v>45970</v>
      </c>
      <c r="E131" s="158">
        <v>0</v>
      </c>
      <c r="F131" s="158">
        <v>45970</v>
      </c>
      <c r="G131" s="18" t="str">
        <f>IF($A131="","",IFERROR(INDEX(Map!$C$2:$C$400,MATCH($A131,Map!$A$2:$A$400,0)),"⚠ UNMAPPED"))</f>
        <v>IS</v>
      </c>
      <c r="H131" s="18" t="str">
        <f>IF($A131="","",IFERROR(INDEX(Map!$D$2:$D$400,MATCH($A131,Map!$A$2:$A$400,0)),"⚠ UNMAPPED"))</f>
        <v>Cost of sales</v>
      </c>
      <c r="I131" s="18" t="str">
        <f>IF($A131="","",IFERROR(INDEX(Map!$E$2:$E$400,MATCH($A131,Map!$A$2:$A$400,0)),"⚠ UNMAPPED"))</f>
        <v>Overhead - Utility</v>
      </c>
      <c r="J131" s="18" t="str">
        <f>IF($A131="","",IFERROR(INDEX(Map!$F$2:$F$400,MATCH($A131,Map!$A$2:$A$400,0)),"⚠ UNMAPPED"))</f>
        <v>Water expenses</v>
      </c>
    </row>
    <row r="132" spans="1:10" x14ac:dyDescent="0.25">
      <c r="A132" s="38">
        <v>600019</v>
      </c>
      <c r="B132" t="s">
        <v>1164</v>
      </c>
      <c r="C132" s="158">
        <v>0</v>
      </c>
      <c r="D132" s="158">
        <v>9592.19</v>
      </c>
      <c r="E132" s="158">
        <v>0</v>
      </c>
      <c r="F132" s="158">
        <v>9592.19</v>
      </c>
      <c r="G132" s="18" t="str">
        <f>IF($A132="","",IFERROR(INDEX(Map!$C$2:$C$400,MATCH($A132,Map!$A$2:$A$400,0)),"⚠ UNMAPPED"))</f>
        <v>IS</v>
      </c>
      <c r="H132" s="18" t="str">
        <f>IF($A132="","",IFERROR(INDEX(Map!$D$2:$D$400,MATCH($A132,Map!$A$2:$A$400,0)),"⚠ UNMAPPED"))</f>
        <v>Cost of sales</v>
      </c>
      <c r="I132" s="18" t="str">
        <f>IF($A132="","",IFERROR(INDEX(Map!$E$2:$E$400,MATCH($A132,Map!$A$2:$A$400,0)),"⚠ UNMAPPED"))</f>
        <v>Overhead - Utility</v>
      </c>
      <c r="J132" s="18" t="str">
        <f>IF($A132="","",IFERROR(INDEX(Map!$F$2:$F$400,MATCH($A132,Map!$A$2:$A$400,0)),"⚠ UNMAPPED"))</f>
        <v>Fuel and oil</v>
      </c>
    </row>
    <row r="133" spans="1:10" x14ac:dyDescent="0.25">
      <c r="A133" s="38">
        <v>600020</v>
      </c>
      <c r="B133" t="s">
        <v>1165</v>
      </c>
      <c r="C133" s="158">
        <v>0</v>
      </c>
      <c r="D133" s="158">
        <v>96112.5</v>
      </c>
      <c r="E133" s="158">
        <v>66388.88</v>
      </c>
      <c r="F133" s="158">
        <v>29723.62</v>
      </c>
      <c r="G133" s="18" t="str">
        <f>IF($A133="","",IFERROR(INDEX(Map!$C$2:$C$400,MATCH($A133,Map!$A$2:$A$400,0)),"⚠ UNMAPPED"))</f>
        <v>IS</v>
      </c>
      <c r="H133" s="18" t="str">
        <f>IF($A133="","",IFERROR(INDEX(Map!$D$2:$D$400,MATCH($A133,Map!$A$2:$A$400,0)),"⚠ UNMAPPED"))</f>
        <v>Cost of sales</v>
      </c>
      <c r="I133" s="18" t="str">
        <f>IF($A133="","",IFERROR(INDEX(Map!$E$2:$E$400,MATCH($A133,Map!$A$2:$A$400,0)),"⚠ UNMAPPED"))</f>
        <v>Overhead - R&amp;M</v>
      </c>
      <c r="J133" s="18" t="str">
        <f>IF($A133="","",IFERROR(INDEX(Map!$F$2:$F$400,MATCH($A133,Map!$A$2:$A$400,0)),"⚠ UNMAPPED"))</f>
        <v>Machine and equipment</v>
      </c>
    </row>
    <row r="134" spans="1:10" x14ac:dyDescent="0.25">
      <c r="A134" s="38">
        <v>600021</v>
      </c>
      <c r="B134" t="s">
        <v>1166</v>
      </c>
      <c r="C134" s="158">
        <v>0</v>
      </c>
      <c r="D134" s="158">
        <v>5916.01</v>
      </c>
      <c r="E134" s="158">
        <v>0</v>
      </c>
      <c r="F134" s="158">
        <v>5916.01</v>
      </c>
      <c r="G134" s="18" t="str">
        <f>IF($A134="","",IFERROR(INDEX(Map!$C$2:$C$400,MATCH($A134,Map!$A$2:$A$400,0)),"⚠ UNMAPPED"))</f>
        <v>IS</v>
      </c>
      <c r="H134" s="18" t="str">
        <f>IF($A134="","",IFERROR(INDEX(Map!$D$2:$D$400,MATCH($A134,Map!$A$2:$A$400,0)),"⚠ UNMAPPED"))</f>
        <v>Cost of sales</v>
      </c>
      <c r="I134" s="18" t="str">
        <f>IF($A134="","",IFERROR(INDEX(Map!$E$2:$E$400,MATCH($A134,Map!$A$2:$A$400,0)),"⚠ UNMAPPED"))</f>
        <v>Overhead - R&amp;M</v>
      </c>
      <c r="J134" s="18" t="str">
        <f>IF($A134="","",IFERROR(INDEX(Map!$F$2:$F$400,MATCH($A134,Map!$A$2:$A$400,0)),"⚠ UNMAPPED"))</f>
        <v>Vehicle maintenance</v>
      </c>
    </row>
    <row r="135" spans="1:10" x14ac:dyDescent="0.25">
      <c r="A135" s="38">
        <v>600022</v>
      </c>
      <c r="B135" t="s">
        <v>1167</v>
      </c>
      <c r="C135" s="158">
        <v>0</v>
      </c>
      <c r="D135" s="158">
        <v>141034.277</v>
      </c>
      <c r="E135" s="158">
        <v>98068.332999999999</v>
      </c>
      <c r="F135" s="158">
        <v>42965.944000000003</v>
      </c>
      <c r="G135" s="18" t="str">
        <f>IF($A135="","",IFERROR(INDEX(Map!$C$2:$C$400,MATCH($A135,Map!$A$2:$A$400,0)),"⚠ UNMAPPED"))</f>
        <v>IS</v>
      </c>
      <c r="H135" s="18" t="str">
        <f>IF($A135="","",IFERROR(INDEX(Map!$D$2:$D$400,MATCH($A135,Map!$A$2:$A$400,0)),"⚠ UNMAPPED"))</f>
        <v>Cost of sales</v>
      </c>
      <c r="I135" s="18" t="str">
        <f>IF($A135="","",IFERROR(INDEX(Map!$E$2:$E$400,MATCH($A135,Map!$A$2:$A$400,0)),"⚠ UNMAPPED"))</f>
        <v>Overhead - R&amp;M</v>
      </c>
      <c r="J135" s="18" t="str">
        <f>IF($A135="","",IFERROR(INDEX(Map!$F$2:$F$400,MATCH($A135,Map!$A$2:$A$400,0)),"⚠ UNMAPPED"))</f>
        <v>Building maintenance</v>
      </c>
    </row>
    <row r="136" spans="1:10" x14ac:dyDescent="0.25">
      <c r="A136" s="38">
        <v>600023</v>
      </c>
      <c r="B136" t="s">
        <v>1168</v>
      </c>
      <c r="C136" s="158">
        <v>0</v>
      </c>
      <c r="D136" s="158">
        <v>0</v>
      </c>
      <c r="E136" s="158">
        <v>0</v>
      </c>
      <c r="F136" s="158">
        <v>0</v>
      </c>
      <c r="G136" s="18" t="str">
        <f>IF($A136="","",IFERROR(INDEX(Map!$C$2:$C$400,MATCH($A136,Map!$A$2:$A$400,0)),"⚠ UNMAPPED"))</f>
        <v>IS</v>
      </c>
      <c r="H136" s="18" t="str">
        <f>IF($A136="","",IFERROR(INDEX(Map!$D$2:$D$400,MATCH($A136,Map!$A$2:$A$400,0)),"⚠ UNMAPPED"))</f>
        <v>Cost of sales</v>
      </c>
      <c r="I136" s="18" t="str">
        <f>IF($A136="","",IFERROR(INDEX(Map!$E$2:$E$400,MATCH($A136,Map!$A$2:$A$400,0)),"⚠ UNMAPPED"))</f>
        <v>Overhead - R&amp;M</v>
      </c>
      <c r="J136" s="18" t="str">
        <f>IF($A136="","",IFERROR(INDEX(Map!$F$2:$F$400,MATCH($A136,Map!$A$2:$A$400,0)),"⚠ UNMAPPED"))</f>
        <v>Office equipment maintenance</v>
      </c>
    </row>
    <row r="137" spans="1:10" x14ac:dyDescent="0.25">
      <c r="A137" s="38">
        <v>600024</v>
      </c>
      <c r="B137" t="s">
        <v>1169</v>
      </c>
      <c r="C137" s="158">
        <v>0</v>
      </c>
      <c r="D137" s="158">
        <v>0</v>
      </c>
      <c r="E137" s="158">
        <v>0</v>
      </c>
      <c r="F137" s="158">
        <v>0</v>
      </c>
      <c r="G137" s="18" t="str">
        <f>IF($A137="","",IFERROR(INDEX(Map!$C$2:$C$400,MATCH($A137,Map!$A$2:$A$400,0)),"⚠ UNMAPPED"))</f>
        <v>IS</v>
      </c>
      <c r="H137" s="18" t="str">
        <f>IF($A137="","",IFERROR(INDEX(Map!$D$2:$D$400,MATCH($A137,Map!$A$2:$A$400,0)),"⚠ UNMAPPED"))</f>
        <v>Cost of sales</v>
      </c>
      <c r="I137" s="18" t="str">
        <f>IF($A137="","",IFERROR(INDEX(Map!$E$2:$E$400,MATCH($A137,Map!$A$2:$A$400,0)),"⚠ UNMAPPED"))</f>
        <v>Overhead - Rent</v>
      </c>
      <c r="J137" s="18" t="str">
        <f>IF($A137="","",IFERROR(INDEX(Map!$F$2:$F$400,MATCH($A137,Map!$A$2:$A$400,0)),"⚠ UNMAPPED"))</f>
        <v>Pump rental expenses</v>
      </c>
    </row>
    <row r="138" spans="1:10" x14ac:dyDescent="0.25">
      <c r="A138" s="38">
        <v>600029</v>
      </c>
      <c r="B138" t="s">
        <v>1170</v>
      </c>
      <c r="C138" s="158">
        <v>0</v>
      </c>
      <c r="D138" s="158">
        <v>0</v>
      </c>
      <c r="E138" s="158">
        <v>0</v>
      </c>
      <c r="F138" s="158">
        <v>0</v>
      </c>
      <c r="G138" s="18" t="str">
        <f>IF($A138="","",IFERROR(INDEX(Map!$C$2:$C$400,MATCH($A138,Map!$A$2:$A$400,0)),"⚠ UNMAPPED"))</f>
        <v>IS</v>
      </c>
      <c r="H138" s="18" t="str">
        <f>IF($A138="","",IFERROR(INDEX(Map!$D$2:$D$400,MATCH($A138,Map!$A$2:$A$400,0)),"⚠ UNMAPPED"))</f>
        <v>Cost of sales</v>
      </c>
      <c r="I138" s="18" t="str">
        <f>IF($A138="","",IFERROR(INDEX(Map!$E$2:$E$400,MATCH($A138,Map!$A$2:$A$400,0)),"⚠ UNMAPPED"))</f>
        <v>Depreciation - Machines</v>
      </c>
      <c r="J138" s="18" t="str">
        <f>IF($A138="","",IFERROR(INDEX(Map!$F$2:$F$400,MATCH($A138,Map!$A$2:$A$400,0)),"⚠ UNMAPPED"))</f>
        <v>Depreciation of property, plant and equipment</v>
      </c>
    </row>
    <row r="139" spans="1:10" x14ac:dyDescent="0.25">
      <c r="A139" s="38">
        <v>600031</v>
      </c>
      <c r="B139" t="s">
        <v>1008</v>
      </c>
      <c r="C139" s="158">
        <v>304425.89600000001</v>
      </c>
      <c r="D139" s="158">
        <v>0</v>
      </c>
      <c r="E139" s="158">
        <v>0</v>
      </c>
      <c r="F139" s="158">
        <v>304425.89600000001</v>
      </c>
      <c r="G139" s="18" t="str">
        <f>IF($A139="","",IFERROR(INDEX(Map!$C$2:$C$400,MATCH($A139,Map!$A$2:$A$400,0)),"⚠ UNMAPPED"))</f>
        <v>IS</v>
      </c>
      <c r="H139" s="18" t="str">
        <f>IF($A139="","",IFERROR(INDEX(Map!$D$2:$D$400,MATCH($A139,Map!$A$2:$A$400,0)),"⚠ UNMAPPED"))</f>
        <v>Depreciation expenses</v>
      </c>
      <c r="I139" s="18" t="str">
        <f>IF($A139="","",IFERROR(INDEX(Map!$E$2:$E$400,MATCH($A139,Map!$A$2:$A$400,0)),"⚠ UNMAPPED"))</f>
        <v>Depreciation expenses</v>
      </c>
      <c r="J139" s="18" t="str">
        <f>IF($A139="","",IFERROR(INDEX(Map!$F$2:$F$400,MATCH($A139,Map!$A$2:$A$400,0)),"⚠ UNMAPPED"))</f>
        <v>Depreciation of property, plant and equipment</v>
      </c>
    </row>
    <row r="140" spans="1:10" x14ac:dyDescent="0.25">
      <c r="A140" s="38">
        <v>600032</v>
      </c>
      <c r="B140" t="s">
        <v>1009</v>
      </c>
      <c r="C140" s="158">
        <v>0</v>
      </c>
      <c r="D140" s="158">
        <v>0</v>
      </c>
      <c r="E140" s="158">
        <v>0</v>
      </c>
      <c r="F140" s="158">
        <v>0</v>
      </c>
      <c r="G140" s="18" t="str">
        <f>IF($A140="","",IFERROR(INDEX(Map!$C$2:$C$400,MATCH($A140,Map!$A$2:$A$400,0)),"⚠ UNMAPPED"))</f>
        <v>IS</v>
      </c>
      <c r="H140" s="18" t="str">
        <f>IF($A140="","",IFERROR(INDEX(Map!$D$2:$D$400,MATCH($A140,Map!$A$2:$A$400,0)),"⚠ UNMAPPED"))</f>
        <v>Depreciation expenses</v>
      </c>
      <c r="I140" s="18" t="str">
        <f>IF($A140="","",IFERROR(INDEX(Map!$E$2:$E$400,MATCH($A140,Map!$A$2:$A$400,0)),"⚠ UNMAPPED"))</f>
        <v>Depreciation expenses</v>
      </c>
      <c r="J140" s="18" t="str">
        <f>IF($A140="","",IFERROR(INDEX(Map!$F$2:$F$400,MATCH($A140,Map!$A$2:$A$400,0)),"⚠ UNMAPPED"))</f>
        <v>Depreciation of property, plant and equipment</v>
      </c>
    </row>
    <row r="141" spans="1:10" x14ac:dyDescent="0.25">
      <c r="A141" s="38">
        <v>600033</v>
      </c>
      <c r="B141" t="s">
        <v>1010</v>
      </c>
      <c r="C141" s="158">
        <v>0</v>
      </c>
      <c r="D141" s="158">
        <v>26659.251</v>
      </c>
      <c r="E141" s="158">
        <v>0</v>
      </c>
      <c r="F141" s="158">
        <v>26659.251</v>
      </c>
      <c r="G141" s="18" t="str">
        <f>IF($A141="","",IFERROR(INDEX(Map!$C$2:$C$400,MATCH($A141,Map!$A$2:$A$400,0)),"⚠ UNMAPPED"))</f>
        <v>IS</v>
      </c>
      <c r="H141" s="18" t="str">
        <f>IF($A141="","",IFERROR(INDEX(Map!$D$2:$D$400,MATCH($A141,Map!$A$2:$A$400,0)),"⚠ UNMAPPED"))</f>
        <v>Depreciation expenses</v>
      </c>
      <c r="I141" s="18" t="str">
        <f>IF($A141="","",IFERROR(INDEX(Map!$E$2:$E$400,MATCH($A141,Map!$A$2:$A$400,0)),"⚠ UNMAPPED"))</f>
        <v>Depreciation expenses</v>
      </c>
      <c r="J141" s="18" t="str">
        <f>IF($A141="","",IFERROR(INDEX(Map!$F$2:$F$400,MATCH($A141,Map!$A$2:$A$400,0)),"⚠ UNMAPPED"))</f>
        <v>Depreciation of property, plant and equipment</v>
      </c>
    </row>
    <row r="142" spans="1:10" x14ac:dyDescent="0.25">
      <c r="A142" s="38">
        <v>600034</v>
      </c>
      <c r="B142" t="s">
        <v>1171</v>
      </c>
      <c r="C142" s="158">
        <v>0</v>
      </c>
      <c r="D142" s="158">
        <v>39178.660000000003</v>
      </c>
      <c r="E142" s="158">
        <v>1354</v>
      </c>
      <c r="F142" s="158">
        <v>37824.660000000003</v>
      </c>
      <c r="G142" s="18" t="str">
        <f>IF($A142="","",IFERROR(INDEX(Map!$C$2:$C$400,MATCH($A142,Map!$A$2:$A$400,0)),"⚠ UNMAPPED"))</f>
        <v>IS</v>
      </c>
      <c r="H142" s="18" t="str">
        <f>IF($A142="","",IFERROR(INDEX(Map!$D$2:$D$400,MATCH($A142,Map!$A$2:$A$400,0)),"⚠ UNMAPPED"))</f>
        <v>Cost of sales</v>
      </c>
      <c r="I142" s="18" t="str">
        <f>IF($A142="","",IFERROR(INDEX(Map!$E$2:$E$400,MATCH($A142,Map!$A$2:$A$400,0)),"⚠ UNMAPPED"))</f>
        <v>Overhead - Rent Labor</v>
      </c>
      <c r="J142" s="18" t="str">
        <f>IF($A142="","",IFERROR(INDEX(Map!$F$2:$F$400,MATCH($A142,Map!$A$2:$A$400,0)),"⚠ UNMAPPED"))</f>
        <v>Rental labor</v>
      </c>
    </row>
    <row r="143" spans="1:10" x14ac:dyDescent="0.25">
      <c r="A143" s="38">
        <v>600035</v>
      </c>
      <c r="B143" t="s">
        <v>1012</v>
      </c>
      <c r="C143" s="158">
        <v>0</v>
      </c>
      <c r="D143" s="158">
        <v>131006.33</v>
      </c>
      <c r="E143" s="158">
        <v>52334.362000000001</v>
      </c>
      <c r="F143" s="158">
        <v>78671.967999999993</v>
      </c>
      <c r="G143" s="18" t="str">
        <f>IF($A143="","",IFERROR(INDEX(Map!$C$2:$C$400,MATCH($A143,Map!$A$2:$A$400,0)),"⚠ UNMAPPED"))</f>
        <v>IS</v>
      </c>
      <c r="H143" s="18" t="str">
        <f>IF($A143="","",IFERROR(INDEX(Map!$D$2:$D$400,MATCH($A143,Map!$A$2:$A$400,0)),"⚠ UNMAPPED"))</f>
        <v>Cost of sales</v>
      </c>
      <c r="I143" s="18" t="str">
        <f>IF($A143="","",IFERROR(INDEX(Map!$E$2:$E$400,MATCH($A143,Map!$A$2:$A$400,0)),"⚠ UNMAPPED"))</f>
        <v>Overhead - Labor Cost</v>
      </c>
      <c r="J143" s="18" t="str">
        <f>IF($A143="","",IFERROR(INDEX(Map!$F$2:$F$400,MATCH($A143,Map!$A$2:$A$400,0)),"⚠ UNMAPPED"))</f>
        <v>Indirect Salaries — factory supervisory / indirect floor labour (COGS)</v>
      </c>
    </row>
    <row r="144" spans="1:10" x14ac:dyDescent="0.25">
      <c r="A144" s="38">
        <v>600038</v>
      </c>
      <c r="B144" t="s">
        <v>1015</v>
      </c>
      <c r="C144" s="158">
        <v>0</v>
      </c>
      <c r="D144" s="158">
        <v>31032.32</v>
      </c>
      <c r="E144" s="158">
        <v>12731.92</v>
      </c>
      <c r="F144" s="158">
        <v>18300.400000000001</v>
      </c>
      <c r="G144" s="18" t="str">
        <f>IF($A144="","",IFERROR(INDEX(Map!$C$2:$C$400,MATCH($A144,Map!$A$2:$A$400,0)),"⚠ UNMAPPED"))</f>
        <v>IS</v>
      </c>
      <c r="H144" s="18" t="str">
        <f>IF($A144="","",IFERROR(INDEX(Map!$D$2:$D$400,MATCH($A144,Map!$A$2:$A$400,0)),"⚠ UNMAPPED"))</f>
        <v>Cost of sales</v>
      </c>
      <c r="I144" s="18" t="str">
        <f>IF($A144="","",IFERROR(INDEX(Map!$E$2:$E$400,MATCH($A144,Map!$A$2:$A$400,0)),"⚠ UNMAPPED"))</f>
        <v>Overhead - Labor Cost</v>
      </c>
      <c r="J144" s="18" t="str">
        <f>IF($A144="","",IFERROR(INDEX(Map!$F$2:$F$400,MATCH($A144,Map!$A$2:$A$400,0)),"⚠ UNMAPPED"))</f>
        <v>Overhead - Labor Cost</v>
      </c>
    </row>
    <row r="145" spans="1:10" x14ac:dyDescent="0.25">
      <c r="A145" s="38">
        <v>600039</v>
      </c>
      <c r="B145" t="s">
        <v>1016</v>
      </c>
      <c r="C145" s="158">
        <v>0</v>
      </c>
      <c r="D145" s="158">
        <v>16281.35</v>
      </c>
      <c r="E145" s="158">
        <v>0</v>
      </c>
      <c r="F145" s="158">
        <v>16281.35</v>
      </c>
      <c r="G145" s="18" t="str">
        <f>IF($A145="","",IFERROR(INDEX(Map!$C$2:$C$400,MATCH($A145,Map!$A$2:$A$400,0)),"⚠ UNMAPPED"))</f>
        <v>IS</v>
      </c>
      <c r="H145" s="18" t="str">
        <f>IF($A145="","",IFERROR(INDEX(Map!$D$2:$D$400,MATCH($A145,Map!$A$2:$A$400,0)),"⚠ UNMAPPED"))</f>
        <v>Cost of sales</v>
      </c>
      <c r="I145" s="18" t="str">
        <f>IF($A145="","",IFERROR(INDEX(Map!$E$2:$E$400,MATCH($A145,Map!$A$2:$A$400,0)),"⚠ UNMAPPED"))</f>
        <v>Overhead - Consumables &amp; SP</v>
      </c>
      <c r="J145" s="18" t="str">
        <f>IF($A145="","",IFERROR(INDEX(Map!$F$2:$F$400,MATCH($A145,Map!$A$2:$A$400,0)),"⚠ UNMAPPED"))</f>
        <v>Overhead - Consumables &amp; SP</v>
      </c>
    </row>
    <row r="146" spans="1:10" x14ac:dyDescent="0.25">
      <c r="A146" s="38">
        <v>600041</v>
      </c>
      <c r="B146" t="s">
        <v>1017</v>
      </c>
      <c r="C146" s="158">
        <v>0</v>
      </c>
      <c r="D146" s="158">
        <v>12635.073</v>
      </c>
      <c r="E146" s="158">
        <v>0</v>
      </c>
      <c r="F146" s="158">
        <v>12635.073</v>
      </c>
      <c r="G146" s="18" t="str">
        <f>IF($A146="","",IFERROR(INDEX(Map!$C$2:$C$400,MATCH($A146,Map!$A$2:$A$400,0)),"⚠ UNMAPPED"))</f>
        <v>IS</v>
      </c>
      <c r="H146" s="18" t="str">
        <f>IF($A146="","",IFERROR(INDEX(Map!$D$2:$D$400,MATCH($A146,Map!$A$2:$A$400,0)),"⚠ UNMAPPED"))</f>
        <v>Cost of sales</v>
      </c>
      <c r="I146" s="18" t="str">
        <f>IF($A146="","",IFERROR(INDEX(Map!$E$2:$E$400,MATCH($A146,Map!$A$2:$A$400,0)),"⚠ UNMAPPED"))</f>
        <v>Overhead - Labor Cost</v>
      </c>
      <c r="J146" s="18" t="str">
        <f>IF($A146="","",IFERROR(INDEX(Map!$F$2:$F$400,MATCH($A146,Map!$A$2:$A$400,0)),"⚠ UNMAPPED"))</f>
        <v>Indirect Salaries — factory supervisory / indirect floor labour (COGS)</v>
      </c>
    </row>
    <row r="147" spans="1:10" x14ac:dyDescent="0.25">
      <c r="A147" s="38">
        <v>600043</v>
      </c>
      <c r="B147" t="s">
        <v>1047</v>
      </c>
      <c r="C147" s="158">
        <v>0</v>
      </c>
      <c r="D147" s="158">
        <v>4600</v>
      </c>
      <c r="E147" s="158">
        <v>0</v>
      </c>
      <c r="F147" s="158">
        <v>4600</v>
      </c>
      <c r="G147" s="18" t="str">
        <f>IF($A147="","",IFERROR(INDEX(Map!$C$2:$C$400,MATCH($A147,Map!$A$2:$A$400,0)),"⚠ UNMAPPED"))</f>
        <v>IS</v>
      </c>
      <c r="H147" s="18" t="str">
        <f>IF($A147="","",IFERROR(INDEX(Map!$D$2:$D$400,MATCH($A147,Map!$A$2:$A$400,0)),"⚠ UNMAPPED"))</f>
        <v>Cost of sales</v>
      </c>
      <c r="I147" s="18" t="str">
        <f>IF($A147="","",IFERROR(INDEX(Map!$E$2:$E$400,MATCH($A147,Map!$A$2:$A$400,0)),"⚠ UNMAPPED"))</f>
        <v>Overhead - Labor Cost</v>
      </c>
      <c r="J147" s="18" t="str">
        <f>IF($A147="","",IFERROR(INDEX(Map!$F$2:$F$400,MATCH($A147,Map!$A$2:$A$400,0)),"⚠ UNMAPPED"))</f>
        <v>Overhead - Labor Cost</v>
      </c>
    </row>
    <row r="148" spans="1:10" x14ac:dyDescent="0.25">
      <c r="A148" s="38">
        <v>600044</v>
      </c>
      <c r="B148" t="s">
        <v>1019</v>
      </c>
      <c r="C148" s="158">
        <v>0</v>
      </c>
      <c r="D148" s="158">
        <v>8085</v>
      </c>
      <c r="E148" s="158">
        <v>0</v>
      </c>
      <c r="F148" s="158">
        <v>8085</v>
      </c>
      <c r="G148" s="18" t="str">
        <f>IF($A148="","",IFERROR(INDEX(Map!$C$2:$C$400,MATCH($A148,Map!$A$2:$A$400,0)),"⚠ UNMAPPED"))</f>
        <v>IS</v>
      </c>
      <c r="H148" s="18" t="str">
        <f>IF($A148="","",IFERROR(INDEX(Map!$D$2:$D$400,MATCH($A148,Map!$A$2:$A$400,0)),"⚠ UNMAPPED"))</f>
        <v>Cost of sales</v>
      </c>
      <c r="I148" s="18" t="str">
        <f>IF($A148="","",IFERROR(INDEX(Map!$E$2:$E$400,MATCH($A148,Map!$A$2:$A$400,0)),"⚠ UNMAPPED"))</f>
        <v>Overhead - Labor Cost</v>
      </c>
      <c r="J148" s="18" t="str">
        <f>IF($A148="","",IFERROR(INDEX(Map!$F$2:$F$400,MATCH($A148,Map!$A$2:$A$400,0)),"⚠ UNMAPPED"))</f>
        <v>Indirect Salaries — factory supervisory / indirect floor labour (COGS)</v>
      </c>
    </row>
    <row r="149" spans="1:10" x14ac:dyDescent="0.25">
      <c r="A149" s="38">
        <v>600045</v>
      </c>
      <c r="B149" t="s">
        <v>1020</v>
      </c>
      <c r="C149" s="158">
        <v>0</v>
      </c>
      <c r="D149" s="158">
        <v>7487.5630000000001</v>
      </c>
      <c r="E149" s="158">
        <v>3185</v>
      </c>
      <c r="F149" s="158">
        <v>4302.5630000000001</v>
      </c>
      <c r="G149" s="18" t="str">
        <f>IF($A149="","",IFERROR(INDEX(Map!$C$2:$C$400,MATCH($A149,Map!$A$2:$A$400,0)),"⚠ UNMAPPED"))</f>
        <v>IS</v>
      </c>
      <c r="H149" s="18" t="str">
        <f>IF($A149="","",IFERROR(INDEX(Map!$D$2:$D$400,MATCH($A149,Map!$A$2:$A$400,0)),"⚠ UNMAPPED"))</f>
        <v>Cost of sales</v>
      </c>
      <c r="I149" s="18" t="str">
        <f>IF($A149="","",IFERROR(INDEX(Map!$E$2:$E$400,MATCH($A149,Map!$A$2:$A$400,0)),"⚠ UNMAPPED"))</f>
        <v>Overhead - Labor Cost</v>
      </c>
      <c r="J149" s="18" t="str">
        <f>IF($A149="","",IFERROR(INDEX(Map!$F$2:$F$400,MATCH($A149,Map!$A$2:$A$400,0)),"⚠ UNMAPPED"))</f>
        <v>Overhead - Labor Cost</v>
      </c>
    </row>
    <row r="150" spans="1:10" x14ac:dyDescent="0.25">
      <c r="A150" s="38">
        <v>600056</v>
      </c>
      <c r="B150" t="s">
        <v>1172</v>
      </c>
      <c r="C150" s="158">
        <v>0</v>
      </c>
      <c r="D150" s="158">
        <v>187.39500000000001</v>
      </c>
      <c r="E150" s="158">
        <v>0</v>
      </c>
      <c r="F150" s="158">
        <v>187.39500000000001</v>
      </c>
      <c r="G150" s="18" t="str">
        <f>IF($A150="","",IFERROR(INDEX(Map!$C$2:$C$400,MATCH($A150,Map!$A$2:$A$400,0)),"⚠ UNMAPPED"))</f>
        <v>IS</v>
      </c>
      <c r="H150" s="18" t="str">
        <f>IF($A150="","",IFERROR(INDEX(Map!$D$2:$D$400,MATCH($A150,Map!$A$2:$A$400,0)),"⚠ UNMAPPED"))</f>
        <v>Cost of sales</v>
      </c>
      <c r="I150" s="18" t="str">
        <f>IF($A150="","",IFERROR(INDEX(Map!$E$2:$E$400,MATCH($A150,Map!$A$2:$A$400,0)),"⚠ UNMAPPED"))</f>
        <v>Overhead - Utility</v>
      </c>
      <c r="J150" s="18" t="str">
        <f>IF($A150="","",IFERROR(INDEX(Map!$F$2:$F$400,MATCH($A150,Map!$A$2:$A$400,0)),"⚠ UNMAPPED"))</f>
        <v>Overhead - Utility</v>
      </c>
    </row>
    <row r="151" spans="1:10" x14ac:dyDescent="0.25">
      <c r="A151" s="38">
        <v>600060</v>
      </c>
      <c r="B151" t="s">
        <v>1022</v>
      </c>
      <c r="C151" s="158">
        <v>0</v>
      </c>
      <c r="D151" s="158">
        <v>0</v>
      </c>
      <c r="E151" s="158">
        <v>2000</v>
      </c>
      <c r="F151" s="158">
        <v>-2000</v>
      </c>
      <c r="G151" s="18" t="str">
        <f>IF($A151="","",IFERROR(INDEX(Map!$C$2:$C$400,MATCH($A151,Map!$A$2:$A$400,0)),"⚠ UNMAPPED"))</f>
        <v>IS</v>
      </c>
      <c r="H151" s="18" t="str">
        <f>IF($A151="","",IFERROR(INDEX(Map!$D$2:$D$400,MATCH($A151,Map!$A$2:$A$400,0)),"⚠ UNMAPPED"))</f>
        <v>Other Income</v>
      </c>
      <c r="I151" s="18" t="str">
        <f>IF($A151="","",IFERROR(INDEX(Map!$E$2:$E$400,MATCH($A151,Map!$A$2:$A$400,0)),"⚠ UNMAPPED"))</f>
        <v>Other Income</v>
      </c>
      <c r="J151" s="18" t="str">
        <f>IF($A151="","",IFERROR(INDEX(Map!$F$2:$F$400,MATCH($A151,Map!$A$2:$A$400,0)),"⚠ UNMAPPED"))</f>
        <v>Hadaf program</v>
      </c>
    </row>
    <row r="152" spans="1:10" x14ac:dyDescent="0.25">
      <c r="A152" s="38">
        <v>700001</v>
      </c>
      <c r="B152" t="s">
        <v>1023</v>
      </c>
      <c r="C152" s="158">
        <v>0</v>
      </c>
      <c r="D152" s="158">
        <v>794629.31</v>
      </c>
      <c r="E152" s="158">
        <v>54210.75</v>
      </c>
      <c r="F152" s="158">
        <v>740418.56000000006</v>
      </c>
      <c r="G152" s="18" t="str">
        <f>IF($A152="","",IFERROR(INDEX(Map!$C$2:$C$400,MATCH($A152,Map!$A$2:$A$400,0)),"⚠ UNMAPPED"))</f>
        <v>IS</v>
      </c>
      <c r="H152" s="18" t="str">
        <f>IF($A152="","",IFERROR(INDEX(Map!$D$2:$D$400,MATCH($A152,Map!$A$2:$A$400,0)),"⚠ UNMAPPED"))</f>
        <v>General and Admin</v>
      </c>
      <c r="I152" s="18" t="str">
        <f>IF($A152="","",IFERROR(INDEX(Map!$E$2:$E$400,MATCH($A152,Map!$A$2:$A$400,0)),"⚠ UNMAPPED"))</f>
        <v>Salaries and wages</v>
      </c>
      <c r="J152" s="18" t="str">
        <f>IF($A152="","",IFERROR(INDEX(Map!$F$2:$F$400,MATCH($A152,Map!$A$2:$A$400,0)),"⚠ UNMAPPED"))</f>
        <v>Salaries and wages</v>
      </c>
    </row>
    <row r="153" spans="1:10" x14ac:dyDescent="0.25">
      <c r="A153" s="38">
        <v>700002</v>
      </c>
      <c r="B153" t="s">
        <v>1024</v>
      </c>
      <c r="C153" s="158">
        <v>0</v>
      </c>
      <c r="D153" s="158">
        <v>82367.960000000006</v>
      </c>
      <c r="E153" s="158">
        <v>13937.97</v>
      </c>
      <c r="F153" s="158">
        <v>68429.990000000005</v>
      </c>
      <c r="G153" s="18" t="str">
        <f>IF($A153="","",IFERROR(INDEX(Map!$C$2:$C$400,MATCH($A153,Map!$A$2:$A$400,0)),"⚠ UNMAPPED"))</f>
        <v>IS</v>
      </c>
      <c r="H153" s="18" t="str">
        <f>IF($A153="","",IFERROR(INDEX(Map!$D$2:$D$400,MATCH($A153,Map!$A$2:$A$400,0)),"⚠ UNMAPPED"))</f>
        <v>General and Admin</v>
      </c>
      <c r="I153" s="18" t="str">
        <f>IF($A153="","",IFERROR(INDEX(Map!$E$2:$E$400,MATCH($A153,Map!$A$2:$A$400,0)),"⚠ UNMAPPED"))</f>
        <v>Salaries and wages</v>
      </c>
      <c r="J153" s="18" t="str">
        <f>IF($A153="","",IFERROR(INDEX(Map!$F$2:$F$400,MATCH($A153,Map!$A$2:$A$400,0)),"⚠ UNMAPPED"))</f>
        <v>Overtime pay</v>
      </c>
    </row>
    <row r="154" spans="1:10" x14ac:dyDescent="0.25">
      <c r="A154" s="38">
        <v>700003</v>
      </c>
      <c r="B154" t="s">
        <v>1173</v>
      </c>
      <c r="C154" s="158">
        <v>0</v>
      </c>
      <c r="D154" s="158">
        <v>0</v>
      </c>
      <c r="E154" s="158">
        <v>0</v>
      </c>
      <c r="F154" s="158">
        <v>0</v>
      </c>
      <c r="G154" s="18" t="str">
        <f>IF($A154="","",IFERROR(INDEX(Map!$C$2:$C$400,MATCH($A154,Map!$A$2:$A$400,0)),"⚠ UNMAPPED"))</f>
        <v>IS</v>
      </c>
      <c r="H154" s="18" t="str">
        <f>IF($A154="","",IFERROR(INDEX(Map!$D$2:$D$400,MATCH($A154,Map!$A$2:$A$400,0)),"⚠ UNMAPPED"))</f>
        <v>General and Admin</v>
      </c>
      <c r="I154" s="18" t="str">
        <f>IF($A154="","",IFERROR(INDEX(Map!$E$2:$E$400,MATCH($A154,Map!$A$2:$A$400,0)),"⚠ UNMAPPED"))</f>
        <v>Salaries and wages</v>
      </c>
      <c r="J154" s="18" t="str">
        <f>IF($A154="","",IFERROR(INDEX(Map!$F$2:$F$400,MATCH($A154,Map!$A$2:$A$400,0)),"⚠ UNMAPPED"))</f>
        <v xml:space="preserve">Food &amp; Housing </v>
      </c>
    </row>
    <row r="155" spans="1:10" x14ac:dyDescent="0.25">
      <c r="A155" s="38">
        <v>700004</v>
      </c>
      <c r="B155" t="s">
        <v>1026</v>
      </c>
      <c r="C155" s="158">
        <v>0</v>
      </c>
      <c r="D155" s="158">
        <v>98490.438999999998</v>
      </c>
      <c r="E155" s="158">
        <v>16069.09</v>
      </c>
      <c r="F155" s="158">
        <v>82421.349000000002</v>
      </c>
      <c r="G155" s="18" t="str">
        <f>IF($A155="","",IFERROR(INDEX(Map!$C$2:$C$400,MATCH($A155,Map!$A$2:$A$400,0)),"⚠ UNMAPPED"))</f>
        <v>IS</v>
      </c>
      <c r="H155" s="18" t="str">
        <f>IF($A155="","",IFERROR(INDEX(Map!$D$2:$D$400,MATCH($A155,Map!$A$2:$A$400,0)),"⚠ UNMAPPED"))</f>
        <v>General and Admin</v>
      </c>
      <c r="I155" s="18" t="str">
        <f>IF($A155="","",IFERROR(INDEX(Map!$E$2:$E$400,MATCH($A155,Map!$A$2:$A$400,0)),"⚠ UNMAPPED"))</f>
        <v>Salaries and wages</v>
      </c>
      <c r="J155" s="18" t="str">
        <f>IF($A155="","",IFERROR(INDEX(Map!$F$2:$F$400,MATCH($A155,Map!$A$2:$A$400,0)),"⚠ UNMAPPED"))</f>
        <v>Medical insurance</v>
      </c>
    </row>
    <row r="156" spans="1:10" x14ac:dyDescent="0.25">
      <c r="A156" s="38">
        <v>700005</v>
      </c>
      <c r="B156" t="s">
        <v>1027</v>
      </c>
      <c r="C156" s="158">
        <v>0</v>
      </c>
      <c r="D156" s="158">
        <v>39137.784</v>
      </c>
      <c r="E156" s="158">
        <v>6628.2790000000005</v>
      </c>
      <c r="F156" s="158">
        <v>32509.505000000001</v>
      </c>
      <c r="G156" s="18" t="str">
        <f>IF($A156="","",IFERROR(INDEX(Map!$C$2:$C$400,MATCH($A156,Map!$A$2:$A$400,0)),"⚠ UNMAPPED"))</f>
        <v>IS</v>
      </c>
      <c r="H156" s="18" t="str">
        <f>IF($A156="","",IFERROR(INDEX(Map!$D$2:$D$400,MATCH($A156,Map!$A$2:$A$400,0)),"⚠ UNMAPPED"))</f>
        <v>General and Admin</v>
      </c>
      <c r="I156" s="18" t="str">
        <f>IF($A156="","",IFERROR(INDEX(Map!$E$2:$E$400,MATCH($A156,Map!$A$2:$A$400,0)),"⚠ UNMAPPED"))</f>
        <v>Govt license and fees (including modon)</v>
      </c>
      <c r="J156" s="18" t="str">
        <f>IF($A156="","",IFERROR(INDEX(Map!$F$2:$F$400,MATCH($A156,Map!$A$2:$A$400,0)),"⚠ UNMAPPED"))</f>
        <v>Government fees</v>
      </c>
    </row>
    <row r="157" spans="1:10" x14ac:dyDescent="0.25">
      <c r="A157" s="38">
        <v>700006</v>
      </c>
      <c r="B157" t="s">
        <v>1028</v>
      </c>
      <c r="C157" s="158">
        <v>0</v>
      </c>
      <c r="D157" s="158">
        <v>192110.55</v>
      </c>
      <c r="E157" s="158">
        <v>9143</v>
      </c>
      <c r="F157" s="158">
        <v>182967.55</v>
      </c>
      <c r="G157" s="18" t="str">
        <f>IF($A157="","",IFERROR(INDEX(Map!$C$2:$C$400,MATCH($A157,Map!$A$2:$A$400,0)),"⚠ UNMAPPED"))</f>
        <v>IS</v>
      </c>
      <c r="H157" s="18" t="str">
        <f>IF($A157="","",IFERROR(INDEX(Map!$D$2:$D$400,MATCH($A157,Map!$A$2:$A$400,0)),"⚠ UNMAPPED"))</f>
        <v>General and Admin</v>
      </c>
      <c r="I157" s="18" t="str">
        <f>IF($A157="","",IFERROR(INDEX(Map!$E$2:$E$400,MATCH($A157,Map!$A$2:$A$400,0)),"⚠ UNMAPPED"))</f>
        <v>Salaries and wages</v>
      </c>
      <c r="J157" s="18" t="str">
        <f>IF($A157="","",IFERROR(INDEX(Map!$F$2:$F$400,MATCH($A157,Map!$A$2:$A$400,0)),"⚠ UNMAPPED"))</f>
        <v xml:space="preserve">Food &amp; Housing </v>
      </c>
    </row>
    <row r="158" spans="1:10" x14ac:dyDescent="0.25">
      <c r="A158" s="38">
        <v>700007</v>
      </c>
      <c r="B158" t="s">
        <v>1029</v>
      </c>
      <c r="C158" s="158">
        <v>0</v>
      </c>
      <c r="D158" s="158">
        <v>79665</v>
      </c>
      <c r="E158" s="158">
        <v>3774</v>
      </c>
      <c r="F158" s="158">
        <v>75891</v>
      </c>
      <c r="G158" s="18" t="str">
        <f>IF($A158="","",IFERROR(INDEX(Map!$C$2:$C$400,MATCH($A158,Map!$A$2:$A$400,0)),"⚠ UNMAPPED"))</f>
        <v>IS</v>
      </c>
      <c r="H158" s="18" t="str">
        <f>IF($A158="","",IFERROR(INDEX(Map!$D$2:$D$400,MATCH($A158,Map!$A$2:$A$400,0)),"⚠ UNMAPPED"))</f>
        <v>General and Admin</v>
      </c>
      <c r="I158" s="18" t="str">
        <f>IF($A158="","",IFERROR(INDEX(Map!$E$2:$E$400,MATCH($A158,Map!$A$2:$A$400,0)),"⚠ UNMAPPED"))</f>
        <v>Salaries and wages</v>
      </c>
      <c r="J158" s="18" t="str">
        <f>IF($A158="","",IFERROR(INDEX(Map!$F$2:$F$400,MATCH($A158,Map!$A$2:$A$400,0)),"⚠ UNMAPPED"))</f>
        <v>Transportation allowance</v>
      </c>
    </row>
    <row r="159" spans="1:10" x14ac:dyDescent="0.25">
      <c r="A159" s="38">
        <v>700008</v>
      </c>
      <c r="B159" t="s">
        <v>1030</v>
      </c>
      <c r="C159" s="158">
        <v>0</v>
      </c>
      <c r="D159" s="158">
        <v>5785.25</v>
      </c>
      <c r="E159" s="158">
        <v>514.00199999999995</v>
      </c>
      <c r="F159" s="158">
        <v>5271.2479999999996</v>
      </c>
      <c r="G159" s="18" t="str">
        <f>IF($A159="","",IFERROR(INDEX(Map!$C$2:$C$400,MATCH($A159,Map!$A$2:$A$400,0)),"⚠ UNMAPPED"))</f>
        <v>IS</v>
      </c>
      <c r="H159" s="18" t="str">
        <f>IF($A159="","",IFERROR(INDEX(Map!$D$2:$D$400,MATCH($A159,Map!$A$2:$A$400,0)),"⚠ UNMAPPED"))</f>
        <v>General and Admin</v>
      </c>
      <c r="I159" s="18" t="str">
        <f>IF($A159="","",IFERROR(INDEX(Map!$E$2:$E$400,MATCH($A159,Map!$A$2:$A$400,0)),"⚠ UNMAPPED"))</f>
        <v>Salaries and wages</v>
      </c>
      <c r="J159" s="18" t="str">
        <f>IF($A159="","",IFERROR(INDEX(Map!$F$2:$F$400,MATCH($A159,Map!$A$2:$A$400,0)),"⚠ UNMAPPED"))</f>
        <v>Air tickets</v>
      </c>
    </row>
    <row r="160" spans="1:10" x14ac:dyDescent="0.25">
      <c r="A160" s="38">
        <v>700009</v>
      </c>
      <c r="B160" t="s">
        <v>1031</v>
      </c>
      <c r="C160" s="158">
        <v>0</v>
      </c>
      <c r="D160" s="158">
        <v>87641.5</v>
      </c>
      <c r="E160" s="158">
        <v>0</v>
      </c>
      <c r="F160" s="158">
        <v>87641.5</v>
      </c>
      <c r="G160" s="18" t="str">
        <f>IF($A160="","",IFERROR(INDEX(Map!$C$2:$C$400,MATCH($A160,Map!$A$2:$A$400,0)),"⚠ UNMAPPED"))</f>
        <v>IS</v>
      </c>
      <c r="H160" s="18" t="str">
        <f>IF($A160="","",IFERROR(INDEX(Map!$D$2:$D$400,MATCH($A160,Map!$A$2:$A$400,0)),"⚠ UNMAPPED"))</f>
        <v>General and Admin</v>
      </c>
      <c r="I160" s="18" t="str">
        <f>IF($A160="","",IFERROR(INDEX(Map!$E$2:$E$400,MATCH($A160,Map!$A$2:$A$400,0)),"⚠ UNMAPPED"))</f>
        <v>Salaries and wages</v>
      </c>
      <c r="J160" s="18" t="str">
        <f>IF($A160="","",IFERROR(INDEX(Map!$F$2:$F$400,MATCH($A160,Map!$A$2:$A$400,0)),"⚠ UNMAPPED"))</f>
        <v>Leave pay</v>
      </c>
    </row>
    <row r="161" spans="1:10" x14ac:dyDescent="0.25">
      <c r="A161" s="38">
        <v>700010</v>
      </c>
      <c r="B161" t="s">
        <v>1032</v>
      </c>
      <c r="C161" s="158">
        <v>0</v>
      </c>
      <c r="D161" s="158">
        <v>63361.366000000002</v>
      </c>
      <c r="E161" s="158">
        <v>0</v>
      </c>
      <c r="F161" s="158">
        <v>63361.366000000002</v>
      </c>
      <c r="G161" s="18" t="str">
        <f>IF($A161="","",IFERROR(INDEX(Map!$C$2:$C$400,MATCH($A161,Map!$A$2:$A$400,0)),"⚠ UNMAPPED"))</f>
        <v>IS</v>
      </c>
      <c r="H161" s="18" t="str">
        <f>IF($A161="","",IFERROR(INDEX(Map!$D$2:$D$400,MATCH($A161,Map!$A$2:$A$400,0)),"⚠ UNMAPPED"))</f>
        <v>General and Admin</v>
      </c>
      <c r="I161" s="18" t="str">
        <f>IF($A161="","",IFERROR(INDEX(Map!$E$2:$E$400,MATCH($A161,Map!$A$2:$A$400,0)),"⚠ UNMAPPED"))</f>
        <v>Salaries and wages</v>
      </c>
      <c r="J161" s="18" t="str">
        <f>IF($A161="","",IFERROR(INDEX(Map!$F$2:$F$400,MATCH($A161,Map!$A$2:$A$400,0)),"⚠ UNMAPPED"))</f>
        <v>Indemnities</v>
      </c>
    </row>
    <row r="162" spans="1:10" x14ac:dyDescent="0.25">
      <c r="A162" s="38">
        <v>700011</v>
      </c>
      <c r="B162" t="s">
        <v>1033</v>
      </c>
      <c r="C162" s="158">
        <v>0</v>
      </c>
      <c r="D162" s="158">
        <v>1333.336</v>
      </c>
      <c r="E162" s="158">
        <v>0</v>
      </c>
      <c r="F162" s="158">
        <v>1333.336</v>
      </c>
      <c r="G162" s="18" t="str">
        <f>IF($A162="","",IFERROR(INDEX(Map!$C$2:$C$400,MATCH($A162,Map!$A$2:$A$400,0)),"⚠ UNMAPPED"))</f>
        <v>IS</v>
      </c>
      <c r="H162" s="18" t="str">
        <f>IF($A162="","",IFERROR(INDEX(Map!$D$2:$D$400,MATCH($A162,Map!$A$2:$A$400,0)),"⚠ UNMAPPED"))</f>
        <v>General and Admin</v>
      </c>
      <c r="I162" s="18" t="str">
        <f>IF($A162="","",IFERROR(INDEX(Map!$E$2:$E$400,MATCH($A162,Map!$A$2:$A$400,0)),"⚠ UNMAPPED"))</f>
        <v>Salaries and wages</v>
      </c>
      <c r="J162" s="18" t="str">
        <f>IF($A162="","",IFERROR(INDEX(Map!$F$2:$F$400,MATCH($A162,Map!$A$2:$A$400,0)),"⚠ UNMAPPED"))</f>
        <v>Air tickets</v>
      </c>
    </row>
    <row r="163" spans="1:10" x14ac:dyDescent="0.25">
      <c r="A163" s="38">
        <v>700012</v>
      </c>
      <c r="B163" t="s">
        <v>1034</v>
      </c>
      <c r="C163" s="158">
        <v>0</v>
      </c>
      <c r="D163" s="158">
        <v>27239</v>
      </c>
      <c r="E163" s="158">
        <v>1364</v>
      </c>
      <c r="F163" s="158">
        <v>25875</v>
      </c>
      <c r="G163" s="18" t="str">
        <f>IF($A163="","",IFERROR(INDEX(Map!$C$2:$C$400,MATCH($A163,Map!$A$2:$A$400,0)),"⚠ UNMAPPED"))</f>
        <v>IS</v>
      </c>
      <c r="H163" s="18" t="str">
        <f>IF($A163="","",IFERROR(INDEX(Map!$D$2:$D$400,MATCH($A163,Map!$A$2:$A$400,0)),"⚠ UNMAPPED"))</f>
        <v>General and Admin</v>
      </c>
      <c r="I163" s="18" t="str">
        <f>IF($A163="","",IFERROR(INDEX(Map!$E$2:$E$400,MATCH($A163,Map!$A$2:$A$400,0)),"⚠ UNMAPPED"))</f>
        <v>Salaries and wages</v>
      </c>
      <c r="J163" s="18" t="str">
        <f>IF($A163="","",IFERROR(INDEX(Map!$F$2:$F$400,MATCH($A163,Map!$A$2:$A$400,0)),"⚠ UNMAPPED"))</f>
        <v xml:space="preserve">Education &amp; Furniture Allowances </v>
      </c>
    </row>
    <row r="164" spans="1:10" x14ac:dyDescent="0.25">
      <c r="A164" s="38">
        <v>700013</v>
      </c>
      <c r="B164" t="s">
        <v>1035</v>
      </c>
      <c r="C164" s="158">
        <v>0</v>
      </c>
      <c r="D164" s="158">
        <v>15850</v>
      </c>
      <c r="E164" s="158">
        <v>668</v>
      </c>
      <c r="F164" s="158">
        <v>15182</v>
      </c>
      <c r="G164" s="18" t="str">
        <f>IF($A164="","",IFERROR(INDEX(Map!$C$2:$C$400,MATCH($A164,Map!$A$2:$A$400,0)),"⚠ UNMAPPED"))</f>
        <v>IS</v>
      </c>
      <c r="H164" s="18" t="str">
        <f>IF($A164="","",IFERROR(INDEX(Map!$D$2:$D$400,MATCH($A164,Map!$A$2:$A$400,0)),"⚠ UNMAPPED"))</f>
        <v>General and Admin</v>
      </c>
      <c r="I164" s="18" t="str">
        <f>IF($A164="","",IFERROR(INDEX(Map!$E$2:$E$400,MATCH($A164,Map!$A$2:$A$400,0)),"⚠ UNMAPPED"))</f>
        <v>Utilities</v>
      </c>
      <c r="J164" s="18" t="str">
        <f>IF($A164="","",IFERROR(INDEX(Map!$F$2:$F$400,MATCH($A164,Map!$A$2:$A$400,0)),"⚠ UNMAPPED"))</f>
        <v>Other general and administrative expenses</v>
      </c>
    </row>
    <row r="165" spans="1:10" x14ac:dyDescent="0.25">
      <c r="A165" s="38">
        <v>700015</v>
      </c>
      <c r="B165" t="s">
        <v>1037</v>
      </c>
      <c r="C165" s="158">
        <v>0</v>
      </c>
      <c r="D165" s="158">
        <v>10903.33</v>
      </c>
      <c r="E165" s="158">
        <v>0</v>
      </c>
      <c r="F165" s="158">
        <v>10903.33</v>
      </c>
      <c r="G165" s="18" t="str">
        <f>IF($A165="","",IFERROR(INDEX(Map!$C$2:$C$400,MATCH($A165,Map!$A$2:$A$400,0)),"⚠ UNMAPPED"))</f>
        <v>IS</v>
      </c>
      <c r="H165" s="18" t="str">
        <f>IF($A165="","",IFERROR(INDEX(Map!$D$2:$D$400,MATCH($A165,Map!$A$2:$A$400,0)),"⚠ UNMAPPED"))</f>
        <v>General and Admin</v>
      </c>
      <c r="I165" s="18" t="str">
        <f>IF($A165="","",IFERROR(INDEX(Map!$E$2:$E$400,MATCH($A165,Map!$A$2:$A$400,0)),"⚠ UNMAPPED"))</f>
        <v>Business travel</v>
      </c>
      <c r="J165" s="18" t="str">
        <f>IF($A165="","",IFERROR(INDEX(Map!$F$2:$F$400,MATCH($A165,Map!$A$2:$A$400,0)),"⚠ UNMAPPED"))</f>
        <v>Transportation expenses</v>
      </c>
    </row>
    <row r="166" spans="1:10" x14ac:dyDescent="0.25">
      <c r="A166" s="38">
        <v>700016</v>
      </c>
      <c r="B166" t="s">
        <v>1038</v>
      </c>
      <c r="C166" s="158">
        <v>0</v>
      </c>
      <c r="D166" s="158">
        <v>18005.918000000001</v>
      </c>
      <c r="E166" s="158">
        <v>0</v>
      </c>
      <c r="F166" s="158">
        <v>18005.918000000001</v>
      </c>
      <c r="G166" s="18" t="str">
        <f>IF($A166="","",IFERROR(INDEX(Map!$C$2:$C$400,MATCH($A166,Map!$A$2:$A$400,0)),"⚠ UNMAPPED"))</f>
        <v>IS</v>
      </c>
      <c r="H166" s="18" t="str">
        <f>IF($A166="","",IFERROR(INDEX(Map!$D$2:$D$400,MATCH($A166,Map!$A$2:$A$400,0)),"⚠ UNMAPPED"))</f>
        <v>Selling and Marketing</v>
      </c>
      <c r="I166" s="18" t="str">
        <f>IF($A166="","",IFERROR(INDEX(Map!$E$2:$E$400,MATCH($A166,Map!$A$2:$A$400,0)),"⚠ UNMAPPED"))</f>
        <v>Buffet expenses</v>
      </c>
      <c r="J166" s="18" t="str">
        <f>IF($A166="","",IFERROR(INDEX(Map!$F$2:$F$400,MATCH($A166,Map!$A$2:$A$400,0)),"⚠ UNMAPPED"))</f>
        <v>Food expenses</v>
      </c>
    </row>
    <row r="167" spans="1:10" x14ac:dyDescent="0.25">
      <c r="A167" s="38">
        <v>700018</v>
      </c>
      <c r="B167" t="s">
        <v>1040</v>
      </c>
      <c r="C167" s="158">
        <v>0</v>
      </c>
      <c r="D167" s="158">
        <v>0</v>
      </c>
      <c r="E167" s="158">
        <v>0</v>
      </c>
      <c r="F167" s="158">
        <v>0</v>
      </c>
      <c r="G167" s="18" t="str">
        <f>IF($A167="","",IFERROR(INDEX(Map!$C$2:$C$400,MATCH($A167,Map!$A$2:$A$400,0)),"⚠ UNMAPPED"))</f>
        <v>IS</v>
      </c>
      <c r="H167" s="18" t="str">
        <f>IF($A167="","",IFERROR(INDEX(Map!$D$2:$D$400,MATCH($A167,Map!$A$2:$A$400,0)),"⚠ UNMAPPED"))</f>
        <v>General and Admin</v>
      </c>
      <c r="I167" s="18" t="str">
        <f>IF($A167="","",IFERROR(INDEX(Map!$E$2:$E$400,MATCH($A167,Map!$A$2:$A$400,0)),"⚠ UNMAPPED"))</f>
        <v>Salaries and wages</v>
      </c>
      <c r="J167" s="18" t="str">
        <f>IF($A167="","",IFERROR(INDEX(Map!$F$2:$F$400,MATCH($A167,Map!$A$2:$A$400,0)),"⚠ UNMAPPED"))</f>
        <v xml:space="preserve">Employee Medical Emergency Expenses </v>
      </c>
    </row>
    <row r="168" spans="1:10" x14ac:dyDescent="0.25">
      <c r="A168" s="38">
        <v>700019</v>
      </c>
      <c r="B168" t="s">
        <v>1041</v>
      </c>
      <c r="C168" s="158">
        <v>0</v>
      </c>
      <c r="D168" s="158">
        <v>0</v>
      </c>
      <c r="E168" s="158">
        <v>0</v>
      </c>
      <c r="F168" s="158">
        <v>0</v>
      </c>
      <c r="G168" s="18" t="str">
        <f>IF($A168="","",IFERROR(INDEX(Map!$C$2:$C$400,MATCH($A168,Map!$A$2:$A$400,0)),"⚠ UNMAPPED"))</f>
        <v>IS</v>
      </c>
      <c r="H168" s="18" t="str">
        <f>IF($A168="","",IFERROR(INDEX(Map!$D$2:$D$400,MATCH($A168,Map!$A$2:$A$400,0)),"⚠ UNMAPPED"))</f>
        <v>General and Admin</v>
      </c>
      <c r="I168" s="18" t="str">
        <f>IF($A168="","",IFERROR(INDEX(Map!$E$2:$E$400,MATCH($A168,Map!$A$2:$A$400,0)),"⚠ UNMAPPED"))</f>
        <v>Salaries and wages</v>
      </c>
      <c r="J168" s="18" t="str">
        <f>IF($A168="","",IFERROR(INDEX(Map!$F$2:$F$400,MATCH($A168,Map!$A$2:$A$400,0)),"⚠ UNMAPPED"))</f>
        <v xml:space="preserve">Incentives </v>
      </c>
    </row>
    <row r="169" spans="1:10" x14ac:dyDescent="0.25">
      <c r="A169" s="38">
        <v>700020</v>
      </c>
      <c r="B169" t="s">
        <v>1042</v>
      </c>
      <c r="C169" s="158">
        <v>0</v>
      </c>
      <c r="D169" s="158">
        <v>107.81699999999999</v>
      </c>
      <c r="E169" s="158">
        <v>0</v>
      </c>
      <c r="F169" s="158">
        <v>107.81699999999999</v>
      </c>
      <c r="G169" s="18" t="str">
        <f>IF($A169="","",IFERROR(INDEX(Map!$C$2:$C$400,MATCH($A169,Map!$A$2:$A$400,0)),"⚠ UNMAPPED"))</f>
        <v>IS</v>
      </c>
      <c r="H169" s="18" t="str">
        <f>IF($A169="","",IFERROR(INDEX(Map!$D$2:$D$400,MATCH($A169,Map!$A$2:$A$400,0)),"⚠ UNMAPPED"))</f>
        <v>General and Admin</v>
      </c>
      <c r="I169" s="18" t="str">
        <f>IF($A169="","",IFERROR(INDEX(Map!$E$2:$E$400,MATCH($A169,Map!$A$2:$A$400,0)),"⚠ UNMAPPED"))</f>
        <v>Utilities</v>
      </c>
      <c r="J169" s="18" t="str">
        <f>IF($A169="","",IFERROR(INDEX(Map!$F$2:$F$400,MATCH($A169,Map!$A$2:$A$400,0)),"⚠ UNMAPPED"))</f>
        <v>Electricity expenses</v>
      </c>
    </row>
    <row r="170" spans="1:10" x14ac:dyDescent="0.25">
      <c r="A170" s="38">
        <v>700021</v>
      </c>
      <c r="B170" t="s">
        <v>1043</v>
      </c>
      <c r="C170" s="158">
        <v>0</v>
      </c>
      <c r="D170" s="158">
        <v>1000</v>
      </c>
      <c r="E170" s="158">
        <v>0</v>
      </c>
      <c r="F170" s="158">
        <v>1000</v>
      </c>
      <c r="G170" s="18" t="str">
        <f>IF($A170="","",IFERROR(INDEX(Map!$C$2:$C$400,MATCH($A170,Map!$A$2:$A$400,0)),"⚠ UNMAPPED"))</f>
        <v>IS</v>
      </c>
      <c r="H170" s="18" t="str">
        <f>IF($A170="","",IFERROR(INDEX(Map!$D$2:$D$400,MATCH($A170,Map!$A$2:$A$400,0)),"⚠ UNMAPPED"))</f>
        <v>General and Admin</v>
      </c>
      <c r="I170" s="18" t="str">
        <f>IF($A170="","",IFERROR(INDEX(Map!$E$2:$E$400,MATCH($A170,Map!$A$2:$A$400,0)),"⚠ UNMAPPED"))</f>
        <v>Utilities</v>
      </c>
      <c r="J170" s="18" t="str">
        <f>IF($A170="","",IFERROR(INDEX(Map!$F$2:$F$400,MATCH($A170,Map!$A$2:$A$400,0)),"⚠ UNMAPPED"))</f>
        <v>Other general and administrative expenses</v>
      </c>
    </row>
    <row r="171" spans="1:10" x14ac:dyDescent="0.25">
      <c r="A171" s="38">
        <v>700022</v>
      </c>
      <c r="B171" t="s">
        <v>1044</v>
      </c>
      <c r="C171" s="158">
        <v>0</v>
      </c>
      <c r="D171" s="158">
        <v>3113.6849999999999</v>
      </c>
      <c r="E171" s="158">
        <v>0</v>
      </c>
      <c r="F171" s="158">
        <v>3113.6849999999999</v>
      </c>
      <c r="G171" s="18" t="str">
        <f>IF($A171="","",IFERROR(INDEX(Map!$C$2:$C$400,MATCH($A171,Map!$A$2:$A$400,0)),"⚠ UNMAPPED"))</f>
        <v>IS</v>
      </c>
      <c r="H171" s="18" t="str">
        <f>IF($A171="","",IFERROR(INDEX(Map!$D$2:$D$400,MATCH($A171,Map!$A$2:$A$400,0)),"⚠ UNMAPPED"))</f>
        <v>General and Admin</v>
      </c>
      <c r="I171" s="18" t="str">
        <f>IF($A171="","",IFERROR(INDEX(Map!$E$2:$E$400,MATCH($A171,Map!$A$2:$A$400,0)),"⚠ UNMAPPED"))</f>
        <v>Utilities</v>
      </c>
      <c r="J171" s="18" t="str">
        <f>IF($A171="","",IFERROR(INDEX(Map!$F$2:$F$400,MATCH($A171,Map!$A$2:$A$400,0)),"⚠ UNMAPPED"))</f>
        <v>Other general and administrative expenses</v>
      </c>
    </row>
    <row r="172" spans="1:10" x14ac:dyDescent="0.25">
      <c r="A172" s="38">
        <v>700023</v>
      </c>
      <c r="B172" t="s">
        <v>1045</v>
      </c>
      <c r="C172" s="158">
        <v>0</v>
      </c>
      <c r="D172" s="158">
        <v>1030.93</v>
      </c>
      <c r="E172" s="158">
        <v>0</v>
      </c>
      <c r="F172" s="158">
        <v>1030.93</v>
      </c>
      <c r="G172" s="18" t="str">
        <f>IF($A172="","",IFERROR(INDEX(Map!$C$2:$C$400,MATCH($A172,Map!$A$2:$A$400,0)),"⚠ UNMAPPED"))</f>
        <v>IS</v>
      </c>
      <c r="H172" s="18" t="str">
        <f>IF($A172="","",IFERROR(INDEX(Map!$D$2:$D$400,MATCH($A172,Map!$A$2:$A$400,0)),"⚠ UNMAPPED"))</f>
        <v>General and Admin</v>
      </c>
      <c r="I172" s="18" t="str">
        <f>IF($A172="","",IFERROR(INDEX(Map!$E$2:$E$400,MATCH($A172,Map!$A$2:$A$400,0)),"⚠ UNMAPPED"))</f>
        <v>Utilities</v>
      </c>
      <c r="J172" s="18" t="str">
        <f>IF($A172="","",IFERROR(INDEX(Map!$F$2:$F$400,MATCH($A172,Map!$A$2:$A$400,0)),"⚠ UNMAPPED"))</f>
        <v xml:space="preserve">Postage &amp; Printing </v>
      </c>
    </row>
    <row r="173" spans="1:10" x14ac:dyDescent="0.25">
      <c r="A173" s="38">
        <v>700024</v>
      </c>
      <c r="B173" t="s">
        <v>1046</v>
      </c>
      <c r="C173" s="158">
        <v>0</v>
      </c>
      <c r="D173" s="158">
        <v>1227.83</v>
      </c>
      <c r="E173" s="158">
        <v>8.0000000000000002E-3</v>
      </c>
      <c r="F173" s="158">
        <v>1227.8219999999999</v>
      </c>
      <c r="G173" s="18" t="str">
        <f>IF($A173="","",IFERROR(INDEX(Map!$C$2:$C$400,MATCH($A173,Map!$A$2:$A$400,0)),"⚠ UNMAPPED"))</f>
        <v>IS</v>
      </c>
      <c r="H173" s="18" t="str">
        <f>IF($A173="","",IFERROR(INDEX(Map!$D$2:$D$400,MATCH($A173,Map!$A$2:$A$400,0)),"⚠ UNMAPPED"))</f>
        <v>General and Admin</v>
      </c>
      <c r="I173" s="18" t="str">
        <f>IF($A173="","",IFERROR(INDEX(Map!$E$2:$E$400,MATCH($A173,Map!$A$2:$A$400,0)),"⚠ UNMAPPED"))</f>
        <v>IT expenses</v>
      </c>
      <c r="J173" s="18" t="str">
        <f>IF($A173="","",IFERROR(INDEX(Map!$F$2:$F$400,MATCH($A173,Map!$A$2:$A$400,0)),"⚠ UNMAPPED"))</f>
        <v>Other general and administrative expenses</v>
      </c>
    </row>
    <row r="174" spans="1:10" x14ac:dyDescent="0.25">
      <c r="A174" s="38">
        <v>700025</v>
      </c>
      <c r="B174" t="s">
        <v>1047</v>
      </c>
      <c r="C174" s="158">
        <v>0</v>
      </c>
      <c r="D174" s="158">
        <v>32762.611000000001</v>
      </c>
      <c r="E174" s="158">
        <v>130</v>
      </c>
      <c r="F174" s="158">
        <v>32632.611000000001</v>
      </c>
      <c r="G174" s="18" t="str">
        <f>IF($A174="","",IFERROR(INDEX(Map!$C$2:$C$400,MATCH($A174,Map!$A$2:$A$400,0)),"⚠ UNMAPPED"))</f>
        <v>IS</v>
      </c>
      <c r="H174" s="18" t="str">
        <f>IF($A174="","",IFERROR(INDEX(Map!$D$2:$D$400,MATCH($A174,Map!$A$2:$A$400,0)),"⚠ UNMAPPED"))</f>
        <v>General and Admin</v>
      </c>
      <c r="I174" s="18" t="str">
        <f>IF($A174="","",IFERROR(INDEX(Map!$E$2:$E$400,MATCH($A174,Map!$A$2:$A$400,0)),"⚠ UNMAPPED"))</f>
        <v>Salaries and wages</v>
      </c>
      <c r="J174" s="18" t="str">
        <f>IF($A174="","",IFERROR(INDEX(Map!$F$2:$F$400,MATCH($A174,Map!$A$2:$A$400,0)),"⚠ UNMAPPED"))</f>
        <v>Salaries and wages</v>
      </c>
    </row>
    <row r="175" spans="1:10" x14ac:dyDescent="0.25">
      <c r="A175" s="38">
        <v>700027</v>
      </c>
      <c r="B175" t="s">
        <v>1049</v>
      </c>
      <c r="C175" s="158">
        <v>0</v>
      </c>
      <c r="D175" s="158">
        <v>0</v>
      </c>
      <c r="E175" s="158">
        <v>0</v>
      </c>
      <c r="F175" s="158">
        <v>0</v>
      </c>
      <c r="G175" s="18" t="str">
        <f>IF($A175="","",IFERROR(INDEX(Map!$C$2:$C$400,MATCH($A175,Map!$A$2:$A$400,0)),"⚠ UNMAPPED"))</f>
        <v>IS</v>
      </c>
      <c r="H175" s="18" t="str">
        <f>IF($A175="","",IFERROR(INDEX(Map!$D$2:$D$400,MATCH($A175,Map!$A$2:$A$400,0)),"⚠ UNMAPPED"))</f>
        <v>General and Admin</v>
      </c>
      <c r="I175" s="18" t="str">
        <f>IF($A175="","",IFERROR(INDEX(Map!$E$2:$E$400,MATCH($A175,Map!$A$2:$A$400,0)),"⚠ UNMAPPED"))</f>
        <v>Training</v>
      </c>
      <c r="J175" s="18" t="str">
        <f>IF($A175="","",IFERROR(INDEX(Map!$F$2:$F$400,MATCH($A175,Map!$A$2:$A$400,0)),"⚠ UNMAPPED"))</f>
        <v>Training</v>
      </c>
    </row>
    <row r="176" spans="1:10" x14ac:dyDescent="0.25">
      <c r="A176" s="38">
        <v>700028</v>
      </c>
      <c r="B176" t="s">
        <v>1050</v>
      </c>
      <c r="C176" s="158">
        <v>0</v>
      </c>
      <c r="D176" s="158">
        <v>1385.65</v>
      </c>
      <c r="E176" s="158">
        <v>0</v>
      </c>
      <c r="F176" s="158">
        <v>1385.65</v>
      </c>
      <c r="G176" s="18" t="str">
        <f>IF($A176="","",IFERROR(INDEX(Map!$C$2:$C$400,MATCH($A176,Map!$A$2:$A$400,0)),"⚠ UNMAPPED"))</f>
        <v>IS</v>
      </c>
      <c r="H176" s="18" t="str">
        <f>IF($A176="","",IFERROR(INDEX(Map!$D$2:$D$400,MATCH($A176,Map!$A$2:$A$400,0)),"⚠ UNMAPPED"))</f>
        <v>General and Admin</v>
      </c>
      <c r="I176" s="18" t="str">
        <f>IF($A176="","",IFERROR(INDEX(Map!$E$2:$E$400,MATCH($A176,Map!$A$2:$A$400,0)),"⚠ UNMAPPED"))</f>
        <v xml:space="preserve">Back office Support </v>
      </c>
      <c r="J176" s="18" t="str">
        <f>IF($A176="","",IFERROR(INDEX(Map!$F$2:$F$400,MATCH($A176,Map!$A$2:$A$400,0)),"⚠ UNMAPPED"))</f>
        <v>Stationery expenses</v>
      </c>
    </row>
    <row r="177" spans="1:10" x14ac:dyDescent="0.25">
      <c r="A177" s="38">
        <v>700029</v>
      </c>
      <c r="B177" t="s">
        <v>1051</v>
      </c>
      <c r="C177" s="158">
        <v>0</v>
      </c>
      <c r="D177" s="158">
        <v>0</v>
      </c>
      <c r="E177" s="158">
        <v>0</v>
      </c>
      <c r="F177" s="158">
        <v>0</v>
      </c>
      <c r="G177" s="18" t="str">
        <f>IF($A177="","",IFERROR(INDEX(Map!$C$2:$C$400,MATCH($A177,Map!$A$2:$A$400,0)),"⚠ UNMAPPED"))</f>
        <v>IS</v>
      </c>
      <c r="H177" s="18" t="str">
        <f>IF($A177="","",IFERROR(INDEX(Map!$D$2:$D$400,MATCH($A177,Map!$A$2:$A$400,0)),"⚠ UNMAPPED"))</f>
        <v>General and Admin</v>
      </c>
      <c r="I177" s="18" t="str">
        <f>IF($A177="","",IFERROR(INDEX(Map!$E$2:$E$400,MATCH($A177,Map!$A$2:$A$400,0)),"⚠ UNMAPPED"))</f>
        <v>Utilities</v>
      </c>
      <c r="J177" s="18" t="str">
        <f>IF($A177="","",IFERROR(INDEX(Map!$F$2:$F$400,MATCH($A177,Map!$A$2:$A$400,0)),"⚠ UNMAPPED"))</f>
        <v xml:space="preserve">Postage &amp; Printing </v>
      </c>
    </row>
    <row r="178" spans="1:10" x14ac:dyDescent="0.25">
      <c r="A178" s="38">
        <v>700030</v>
      </c>
      <c r="B178" t="s">
        <v>1052</v>
      </c>
      <c r="C178" s="158">
        <v>0</v>
      </c>
      <c r="D178" s="158">
        <v>15537.965</v>
      </c>
      <c r="E178" s="158">
        <v>0</v>
      </c>
      <c r="F178" s="158">
        <v>15537.965</v>
      </c>
      <c r="G178" s="18" t="str">
        <f>IF($A178="","",IFERROR(INDEX(Map!$C$2:$C$400,MATCH($A178,Map!$A$2:$A$400,0)),"⚠ UNMAPPED"))</f>
        <v>IS</v>
      </c>
      <c r="H178" s="18" t="str">
        <f>IF($A178="","",IFERROR(INDEX(Map!$D$2:$D$400,MATCH($A178,Map!$A$2:$A$400,0)),"⚠ UNMAPPED"))</f>
        <v>General and Admin</v>
      </c>
      <c r="I178" s="18" t="str">
        <f>IF($A178="","",IFERROR(INDEX(Map!$E$2:$E$400,MATCH($A178,Map!$A$2:$A$400,0)),"⚠ UNMAPPED"))</f>
        <v>Utilities</v>
      </c>
      <c r="J178" s="18" t="str">
        <f>IF($A178="","",IFERROR(INDEX(Map!$F$2:$F$400,MATCH($A178,Map!$A$2:$A$400,0)),"⚠ UNMAPPED"))</f>
        <v>Building maintenance</v>
      </c>
    </row>
    <row r="179" spans="1:10" x14ac:dyDescent="0.25">
      <c r="A179" s="38">
        <v>700031</v>
      </c>
      <c r="B179" t="s">
        <v>1053</v>
      </c>
      <c r="C179" s="158">
        <v>0</v>
      </c>
      <c r="D179" s="158">
        <v>0</v>
      </c>
      <c r="E179" s="158">
        <v>0</v>
      </c>
      <c r="F179" s="158">
        <v>0</v>
      </c>
      <c r="G179" s="18" t="str">
        <f>IF($A179="","",IFERROR(INDEX(Map!$C$2:$C$400,MATCH($A179,Map!$A$2:$A$400,0)),"⚠ UNMAPPED"))</f>
        <v>IS</v>
      </c>
      <c r="H179" s="18" t="str">
        <f>IF($A179="","",IFERROR(INDEX(Map!$D$2:$D$400,MATCH($A179,Map!$A$2:$A$400,0)),"⚠ UNMAPPED"))</f>
        <v>General and Admin</v>
      </c>
      <c r="I179" s="18" t="str">
        <f>IF($A179="","",IFERROR(INDEX(Map!$E$2:$E$400,MATCH($A179,Map!$A$2:$A$400,0)),"⚠ UNMAPPED"))</f>
        <v>Utilities</v>
      </c>
      <c r="J179" s="18" t="str">
        <f>IF($A179="","",IFERROR(INDEX(Map!$F$2:$F$400,MATCH($A179,Map!$A$2:$A$400,0)),"⚠ UNMAPPED"))</f>
        <v>Office equipment maintenance</v>
      </c>
    </row>
    <row r="180" spans="1:10" x14ac:dyDescent="0.25">
      <c r="A180" s="38">
        <v>700032</v>
      </c>
      <c r="B180" t="s">
        <v>1054</v>
      </c>
      <c r="C180" s="158">
        <v>0</v>
      </c>
      <c r="D180" s="158">
        <v>300</v>
      </c>
      <c r="E180" s="158">
        <v>0</v>
      </c>
      <c r="F180" s="158">
        <v>300</v>
      </c>
      <c r="G180" s="18" t="str">
        <f>IF($A180="","",IFERROR(INDEX(Map!$C$2:$C$400,MATCH($A180,Map!$A$2:$A$400,0)),"⚠ UNMAPPED"))</f>
        <v>IS</v>
      </c>
      <c r="H180" s="18" t="str">
        <f>IF($A180="","",IFERROR(INDEX(Map!$D$2:$D$400,MATCH($A180,Map!$A$2:$A$400,0)),"⚠ UNMAPPED"))</f>
        <v>General and Admin</v>
      </c>
      <c r="I180" s="18" t="str">
        <f>IF($A180="","",IFERROR(INDEX(Map!$E$2:$E$400,MATCH($A180,Map!$A$2:$A$400,0)),"⚠ UNMAPPED"))</f>
        <v>Utilities</v>
      </c>
      <c r="J180" s="18" t="str">
        <f>IF($A180="","",IFERROR(INDEX(Map!$F$2:$F$400,MATCH($A180,Map!$A$2:$A$400,0)),"⚠ UNMAPPED"))</f>
        <v>Vehicle maintenance</v>
      </c>
    </row>
    <row r="181" spans="1:10" x14ac:dyDescent="0.25">
      <c r="A181" s="38">
        <v>700033</v>
      </c>
      <c r="B181" t="s">
        <v>1055</v>
      </c>
      <c r="C181" s="158">
        <v>0</v>
      </c>
      <c r="D181" s="158">
        <v>1487.01</v>
      </c>
      <c r="E181" s="158">
        <v>0</v>
      </c>
      <c r="F181" s="158">
        <v>1487.01</v>
      </c>
      <c r="G181" s="18" t="str">
        <f>IF($A181="","",IFERROR(INDEX(Map!$C$2:$C$400,MATCH($A181,Map!$A$2:$A$400,0)),"⚠ UNMAPPED"))</f>
        <v>IS</v>
      </c>
      <c r="H181" s="18" t="str">
        <f>IF($A181="","",IFERROR(INDEX(Map!$D$2:$D$400,MATCH($A181,Map!$A$2:$A$400,0)),"⚠ UNMAPPED"))</f>
        <v>General and Admin</v>
      </c>
      <c r="I181" s="18" t="str">
        <f>IF($A181="","",IFERROR(INDEX(Map!$E$2:$E$400,MATCH($A181,Map!$A$2:$A$400,0)),"⚠ UNMAPPED"))</f>
        <v>Utilities</v>
      </c>
      <c r="J181" s="18" t="str">
        <f>IF($A181="","",IFERROR(INDEX(Map!$F$2:$F$400,MATCH($A181,Map!$A$2:$A$400,0)),"⚠ UNMAPPED"))</f>
        <v>Fuel and oil</v>
      </c>
    </row>
    <row r="182" spans="1:10" x14ac:dyDescent="0.25">
      <c r="A182" s="38">
        <v>700034</v>
      </c>
      <c r="B182" t="s">
        <v>1056</v>
      </c>
      <c r="C182" s="158">
        <v>0</v>
      </c>
      <c r="D182" s="158">
        <v>16589.948</v>
      </c>
      <c r="E182" s="158">
        <v>5925.6980000000003</v>
      </c>
      <c r="F182" s="158">
        <v>10664.25</v>
      </c>
      <c r="G182" s="18" t="str">
        <f>IF($A182="","",IFERROR(INDEX(Map!$C$2:$C$400,MATCH($A182,Map!$A$2:$A$400,0)),"⚠ UNMAPPED"))</f>
        <v>IS</v>
      </c>
      <c r="H182" s="18" t="str">
        <f>IF($A182="","",IFERROR(INDEX(Map!$D$2:$D$400,MATCH($A182,Map!$A$2:$A$400,0)),"⚠ UNMAPPED"))</f>
        <v>General and Admin</v>
      </c>
      <c r="I182" s="18" t="str">
        <f>IF($A182="","",IFERROR(INDEX(Map!$E$2:$E$400,MATCH($A182,Map!$A$2:$A$400,0)),"⚠ UNMAPPED"))</f>
        <v xml:space="preserve">Back office Support </v>
      </c>
      <c r="J182" s="18" t="str">
        <f>IF($A182="","",IFERROR(INDEX(Map!$F$2:$F$400,MATCH($A182,Map!$A$2:$A$400,0)),"⚠ UNMAPPED"))</f>
        <v>Consumables</v>
      </c>
    </row>
    <row r="183" spans="1:10" x14ac:dyDescent="0.25">
      <c r="A183" s="38">
        <v>700035</v>
      </c>
      <c r="B183" t="s">
        <v>1057</v>
      </c>
      <c r="C183" s="158">
        <v>0</v>
      </c>
      <c r="D183" s="158">
        <v>0</v>
      </c>
      <c r="E183" s="158">
        <v>0</v>
      </c>
      <c r="F183" s="158">
        <v>0</v>
      </c>
      <c r="G183" s="18" t="str">
        <f>IF($A183="","",IFERROR(INDEX(Map!$C$2:$C$400,MATCH($A183,Map!$A$2:$A$400,0)),"⚠ UNMAPPED"))</f>
        <v>IS</v>
      </c>
      <c r="H183" s="18" t="str">
        <f>IF($A183="","",IFERROR(INDEX(Map!$D$2:$D$400,MATCH($A183,Map!$A$2:$A$400,0)),"⚠ UNMAPPED"))</f>
        <v>General and Admin</v>
      </c>
      <c r="I183" s="18" t="str">
        <f>IF($A183="","",IFERROR(INDEX(Map!$E$2:$E$400,MATCH($A183,Map!$A$2:$A$400,0)),"⚠ UNMAPPED"))</f>
        <v>Actuarial gains and losses</v>
      </c>
      <c r="J183" s="18" t="str">
        <f>IF($A183="","",IFERROR(INDEX(Map!$F$2:$F$400,MATCH($A183,Map!$A$2:$A$400,0)),"⚠ UNMAPPED"))</f>
        <v>Other general and administrative expenses</v>
      </c>
    </row>
    <row r="184" spans="1:10" x14ac:dyDescent="0.25">
      <c r="A184" s="38">
        <v>700036</v>
      </c>
      <c r="B184" t="s">
        <v>1058</v>
      </c>
      <c r="C184" s="158">
        <v>0</v>
      </c>
      <c r="D184" s="158">
        <v>10152.642</v>
      </c>
      <c r="E184" s="158">
        <v>0</v>
      </c>
      <c r="F184" s="158">
        <v>10152.642</v>
      </c>
      <c r="G184" s="18" t="str">
        <f>IF($A184="","",IFERROR(INDEX(Map!$C$2:$C$400,MATCH($A184,Map!$A$2:$A$400,0)),"⚠ UNMAPPED"))</f>
        <v>IS</v>
      </c>
      <c r="H184" s="18" t="str">
        <f>IF($A184="","",IFERROR(INDEX(Map!$D$2:$D$400,MATCH($A184,Map!$A$2:$A$400,0)),"⚠ UNMAPPED"))</f>
        <v>General and Admin</v>
      </c>
      <c r="I184" s="18" t="str">
        <f>IF($A184="","",IFERROR(INDEX(Map!$E$2:$E$400,MATCH($A184,Map!$A$2:$A$400,0)),"⚠ UNMAPPED"))</f>
        <v>Utilities</v>
      </c>
      <c r="J184" s="18" t="str">
        <f>IF($A184="","",IFERROR(INDEX(Map!$F$2:$F$400,MATCH($A184,Map!$A$2:$A$400,0)),"⚠ UNMAPPED"))</f>
        <v>Vehicle insurance</v>
      </c>
    </row>
    <row r="185" spans="1:10" x14ac:dyDescent="0.25">
      <c r="A185" s="38">
        <v>700038</v>
      </c>
      <c r="B185" t="s">
        <v>1060</v>
      </c>
      <c r="C185" s="158">
        <v>0</v>
      </c>
      <c r="D185" s="158">
        <v>20185.084999999999</v>
      </c>
      <c r="E185" s="158">
        <v>695.65200000000004</v>
      </c>
      <c r="F185" s="158">
        <v>19489.433000000001</v>
      </c>
      <c r="G185" s="18" t="str">
        <f>IF($A185="","",IFERROR(INDEX(Map!$C$2:$C$400,MATCH($A185,Map!$A$2:$A$400,0)),"⚠ UNMAPPED"))</f>
        <v>IS</v>
      </c>
      <c r="H185" s="18" t="str">
        <f>IF($A185="","",IFERROR(INDEX(Map!$D$2:$D$400,MATCH($A185,Map!$A$2:$A$400,0)),"⚠ UNMAPPED"))</f>
        <v>General and Admin</v>
      </c>
      <c r="I185" s="18" t="str">
        <f>IF($A185="","",IFERROR(INDEX(Map!$E$2:$E$400,MATCH($A185,Map!$A$2:$A$400,0)),"⚠ UNMAPPED"))</f>
        <v>Business travel</v>
      </c>
      <c r="J185" s="18" t="str">
        <f>IF($A185="","",IFERROR(INDEX(Map!$F$2:$F$400,MATCH($A185,Map!$A$2:$A$400,0)),"⚠ UNMAPPED"))</f>
        <v>Bussiness trip expenses</v>
      </c>
    </row>
    <row r="186" spans="1:10" x14ac:dyDescent="0.25">
      <c r="A186" s="38">
        <v>700039</v>
      </c>
      <c r="B186" t="s">
        <v>1061</v>
      </c>
      <c r="C186" s="158">
        <v>0</v>
      </c>
      <c r="D186" s="158">
        <v>1061.5</v>
      </c>
      <c r="E186" s="158">
        <v>0</v>
      </c>
      <c r="F186" s="158">
        <v>1061.5</v>
      </c>
      <c r="G186" s="18" t="str">
        <f>IF($A186="","",IFERROR(INDEX(Map!$C$2:$C$400,MATCH($A186,Map!$A$2:$A$400,0)),"⚠ UNMAPPED"))</f>
        <v>IS</v>
      </c>
      <c r="H186" s="18" t="str">
        <f>IF($A186="","",IFERROR(INDEX(Map!$D$2:$D$400,MATCH($A186,Map!$A$2:$A$400,0)),"⚠ UNMAPPED"))</f>
        <v>Selling and Marketing</v>
      </c>
      <c r="I186" s="18" t="str">
        <f>IF($A186="","",IFERROR(INDEX(Map!$E$2:$E$400,MATCH($A186,Map!$A$2:$A$400,0)),"⚠ UNMAPPED"))</f>
        <v>Buffet expenses</v>
      </c>
      <c r="J186" s="18" t="str">
        <f>IF($A186="","",IFERROR(INDEX(Map!$F$2:$F$400,MATCH($A186,Map!$A$2:$A$400,0)),"⚠ UNMAPPED"))</f>
        <v>Buffet expenses</v>
      </c>
    </row>
    <row r="187" spans="1:10" x14ac:dyDescent="0.25">
      <c r="A187" s="38">
        <v>700040</v>
      </c>
      <c r="B187" t="s">
        <v>1062</v>
      </c>
      <c r="C187" s="158">
        <v>0</v>
      </c>
      <c r="D187" s="158">
        <v>4221.2</v>
      </c>
      <c r="E187" s="158">
        <v>0</v>
      </c>
      <c r="F187" s="158">
        <v>4221.2</v>
      </c>
      <c r="G187" s="18" t="str">
        <f>IF($A187="","",IFERROR(INDEX(Map!$C$2:$C$400,MATCH($A187,Map!$A$2:$A$400,0)),"⚠ UNMAPPED"))</f>
        <v>IS</v>
      </c>
      <c r="H187" s="18" t="str">
        <f>IF($A187="","",IFERROR(INDEX(Map!$D$2:$D$400,MATCH($A187,Map!$A$2:$A$400,0)),"⚠ UNMAPPED"))</f>
        <v>General and Admin</v>
      </c>
      <c r="I187" s="18" t="str">
        <f>IF($A187="","",IFERROR(INDEX(Map!$E$2:$E$400,MATCH($A187,Map!$A$2:$A$400,0)),"⚠ UNMAPPED"))</f>
        <v>Utilities</v>
      </c>
      <c r="J187" s="18" t="str">
        <f>IF($A187="","",IFERROR(INDEX(Map!$F$2:$F$400,MATCH($A187,Map!$A$2:$A$400,0)),"⚠ UNMAPPED"))</f>
        <v xml:space="preserve">Cleaning Expenses </v>
      </c>
    </row>
    <row r="188" spans="1:10" x14ac:dyDescent="0.25">
      <c r="A188" s="38">
        <v>700041</v>
      </c>
      <c r="B188" t="s">
        <v>1063</v>
      </c>
      <c r="C188" s="158">
        <v>0</v>
      </c>
      <c r="D188" s="158">
        <v>0</v>
      </c>
      <c r="E188" s="158">
        <v>0</v>
      </c>
      <c r="F188" s="158">
        <v>0</v>
      </c>
      <c r="G188" s="18" t="str">
        <f>IF($A188="","",IFERROR(INDEX(Map!$C$2:$C$400,MATCH($A188,Map!$A$2:$A$400,0)),"⚠ UNMAPPED"))</f>
        <v>IS</v>
      </c>
      <c r="H188" s="18" t="str">
        <f>IF($A188="","",IFERROR(INDEX(Map!$D$2:$D$400,MATCH($A188,Map!$A$2:$A$400,0)),"⚠ UNMAPPED"))</f>
        <v>General and Admin</v>
      </c>
      <c r="I188" s="18" t="str">
        <f>IF($A188="","",IFERROR(INDEX(Map!$E$2:$E$400,MATCH($A188,Map!$A$2:$A$400,0)),"⚠ UNMAPPED"))</f>
        <v>Salaries and wages</v>
      </c>
      <c r="J188" s="18" t="str">
        <f>IF($A188="","",IFERROR(INDEX(Map!$F$2:$F$400,MATCH($A188,Map!$A$2:$A$400,0)),"⚠ UNMAPPED"))</f>
        <v>Recruitment</v>
      </c>
    </row>
    <row r="189" spans="1:10" x14ac:dyDescent="0.25">
      <c r="A189" s="38">
        <v>700042</v>
      </c>
      <c r="B189" t="s">
        <v>1064</v>
      </c>
      <c r="C189" s="158">
        <v>0</v>
      </c>
      <c r="D189" s="158">
        <v>0</v>
      </c>
      <c r="E189" s="158">
        <v>0</v>
      </c>
      <c r="F189" s="158">
        <v>0</v>
      </c>
      <c r="G189" s="18" t="str">
        <f>IF($A189="","",IFERROR(INDEX(Map!$C$2:$C$400,MATCH($A189,Map!$A$2:$A$400,0)),"⚠ UNMAPPED"))</f>
        <v>IS</v>
      </c>
      <c r="H189" s="18" t="str">
        <f>IF($A189="","",IFERROR(INDEX(Map!$D$2:$D$400,MATCH($A189,Map!$A$2:$A$400,0)),"⚠ UNMAPPED"))</f>
        <v>General and Admin</v>
      </c>
      <c r="I189" s="18" t="str">
        <f>IF($A189="","",IFERROR(INDEX(Map!$E$2:$E$400,MATCH($A189,Map!$A$2:$A$400,0)),"⚠ UNMAPPED"))</f>
        <v xml:space="preserve">Back office Support </v>
      </c>
      <c r="J189" s="18" t="str">
        <f>IF($A189="","",IFERROR(INDEX(Map!$F$2:$F$400,MATCH($A189,Map!$A$2:$A$400,0)),"⚠ UNMAPPED"))</f>
        <v>Other expenses</v>
      </c>
    </row>
    <row r="190" spans="1:10" x14ac:dyDescent="0.25">
      <c r="A190" s="38">
        <v>700043</v>
      </c>
      <c r="B190" t="s">
        <v>1065</v>
      </c>
      <c r="C190" s="158">
        <v>0</v>
      </c>
      <c r="D190" s="158">
        <v>0</v>
      </c>
      <c r="E190" s="158">
        <v>0</v>
      </c>
      <c r="F190" s="158">
        <v>0</v>
      </c>
      <c r="G190" s="18" t="str">
        <f>IF($A190="","",IFERROR(INDEX(Map!$C$2:$C$400,MATCH($A190,Map!$A$2:$A$400,0)),"⚠ UNMAPPED"))</f>
        <v>IS</v>
      </c>
      <c r="H190" s="18" t="str">
        <f>IF($A190="","",IFERROR(INDEX(Map!$D$2:$D$400,MATCH($A190,Map!$A$2:$A$400,0)),"⚠ UNMAPPED"))</f>
        <v>General and Admin</v>
      </c>
      <c r="I190" s="18" t="str">
        <f>IF($A190="","",IFERROR(INDEX(Map!$E$2:$E$400,MATCH($A190,Map!$A$2:$A$400,0)),"⚠ UNMAPPED"))</f>
        <v>Govt license and fees (including modon)</v>
      </c>
      <c r="J190" s="18" t="str">
        <f>IF($A190="","",IFERROR(INDEX(Map!$F$2:$F$400,MATCH($A190,Map!$A$2:$A$400,0)),"⚠ UNMAPPED"))</f>
        <v>Licenses and fees</v>
      </c>
    </row>
    <row r="191" spans="1:10" x14ac:dyDescent="0.25">
      <c r="A191" s="38">
        <v>700044</v>
      </c>
      <c r="B191" t="s">
        <v>1066</v>
      </c>
      <c r="C191" s="158">
        <v>0</v>
      </c>
      <c r="D191" s="158">
        <v>1150</v>
      </c>
      <c r="E191" s="158">
        <v>0</v>
      </c>
      <c r="F191" s="158">
        <v>1150</v>
      </c>
      <c r="G191" s="18" t="str">
        <f>IF($A191="","",IFERROR(INDEX(Map!$C$2:$C$400,MATCH($A191,Map!$A$2:$A$400,0)),"⚠ UNMAPPED"))</f>
        <v>IS</v>
      </c>
      <c r="H191" s="18" t="str">
        <f>IF($A191="","",IFERROR(INDEX(Map!$D$2:$D$400,MATCH($A191,Map!$A$2:$A$400,0)),"⚠ UNMAPPED"))</f>
        <v>General and Admin</v>
      </c>
      <c r="I191" s="18" t="str">
        <f>IF($A191="","",IFERROR(INDEX(Map!$E$2:$E$400,MATCH($A191,Map!$A$2:$A$400,0)),"⚠ UNMAPPED"))</f>
        <v>Govt license and fees (including modon)</v>
      </c>
      <c r="J191" s="18" t="str">
        <f>IF($A191="","",IFERROR(INDEX(Map!$F$2:$F$400,MATCH($A191,Map!$A$2:$A$400,0)),"⚠ UNMAPPED"))</f>
        <v>Government fees</v>
      </c>
    </row>
    <row r="192" spans="1:10" x14ac:dyDescent="0.25">
      <c r="A192" s="38">
        <v>700045</v>
      </c>
      <c r="B192" t="s">
        <v>1067</v>
      </c>
      <c r="C192" s="158">
        <v>0</v>
      </c>
      <c r="D192" s="158">
        <v>966721.11499999999</v>
      </c>
      <c r="E192" s="158">
        <v>110072.069</v>
      </c>
      <c r="F192" s="158">
        <v>856649.04599999997</v>
      </c>
      <c r="G192" s="18" t="str">
        <f>IF($A192="","",IFERROR(INDEX(Map!$C$2:$C$400,MATCH($A192,Map!$A$2:$A$400,0)),"⚠ UNMAPPED"))</f>
        <v>IS</v>
      </c>
      <c r="H192" s="18" t="str">
        <f>IF($A192="","",IFERROR(INDEX(Map!$D$2:$D$400,MATCH($A192,Map!$A$2:$A$400,0)),"⚠ UNMAPPED"))</f>
        <v>Finance cost</v>
      </c>
      <c r="I192" s="18" t="str">
        <f>IF($A192="","",IFERROR(INDEX(Map!$E$2:$E$400,MATCH($A192,Map!$A$2:$A$400,0)),"⚠ UNMAPPED"))</f>
        <v>Finance cost</v>
      </c>
      <c r="J192" s="18" t="str">
        <f>IF($A192="","",IFERROR(INDEX(Map!$F$2:$F$400,MATCH($A192,Map!$A$2:$A$400,0)),"⚠ UNMAPPED"))</f>
        <v>Bank charges</v>
      </c>
    </row>
    <row r="193" spans="1:10" x14ac:dyDescent="0.25">
      <c r="A193" s="38">
        <v>700050</v>
      </c>
      <c r="B193" t="s">
        <v>1071</v>
      </c>
      <c r="C193" s="158">
        <v>0</v>
      </c>
      <c r="D193" s="158">
        <v>19166.667000000001</v>
      </c>
      <c r="E193" s="158">
        <v>0</v>
      </c>
      <c r="F193" s="158">
        <v>19166.667000000001</v>
      </c>
      <c r="G193" s="18" t="str">
        <f>IF($A193="","",IFERROR(INDEX(Map!$C$2:$C$400,MATCH($A193,Map!$A$2:$A$400,0)),"⚠ UNMAPPED"))</f>
        <v>IS</v>
      </c>
      <c r="H193" s="18" t="str">
        <f>IF($A193="","",IFERROR(INDEX(Map!$D$2:$D$400,MATCH($A193,Map!$A$2:$A$400,0)),"⚠ UNMAPPED"))</f>
        <v>Depreciation expenses</v>
      </c>
      <c r="I193" s="18" t="str">
        <f>IF($A193="","",IFERROR(INDEX(Map!$E$2:$E$400,MATCH($A193,Map!$A$2:$A$400,0)),"⚠ UNMAPPED"))</f>
        <v>Depreciation expenses</v>
      </c>
      <c r="J193" s="18" t="str">
        <f>IF($A193="","",IFERROR(INDEX(Map!$F$2:$F$400,MATCH($A193,Map!$A$2:$A$400,0)),"⚠ UNMAPPED"))</f>
        <v>Depreciation of property, plant and equipment</v>
      </c>
    </row>
    <row r="194" spans="1:10" x14ac:dyDescent="0.25">
      <c r="A194" s="38">
        <v>700051</v>
      </c>
      <c r="B194" t="s">
        <v>1072</v>
      </c>
      <c r="C194" s="158">
        <v>0</v>
      </c>
      <c r="D194" s="158">
        <v>29009.494999999999</v>
      </c>
      <c r="E194" s="158">
        <v>0</v>
      </c>
      <c r="F194" s="158">
        <v>29009.494999999999</v>
      </c>
      <c r="G194" s="18" t="str">
        <f>IF($A194="","",IFERROR(INDEX(Map!$C$2:$C$400,MATCH($A194,Map!$A$2:$A$400,0)),"⚠ UNMAPPED"))</f>
        <v>IS</v>
      </c>
      <c r="H194" s="18" t="str">
        <f>IF($A194="","",IFERROR(INDEX(Map!$D$2:$D$400,MATCH($A194,Map!$A$2:$A$400,0)),"⚠ UNMAPPED"))</f>
        <v>Depreciation expenses</v>
      </c>
      <c r="I194" s="18" t="str">
        <f>IF($A194="","",IFERROR(INDEX(Map!$E$2:$E$400,MATCH($A194,Map!$A$2:$A$400,0)),"⚠ UNMAPPED"))</f>
        <v>Depreciation expenses</v>
      </c>
      <c r="J194" s="18" t="str">
        <f>IF($A194="","",IFERROR(INDEX(Map!$F$2:$F$400,MATCH($A194,Map!$A$2:$A$400,0)),"⚠ UNMAPPED"))</f>
        <v>Depreciation of property, plant and equipment</v>
      </c>
    </row>
    <row r="195" spans="1:10" x14ac:dyDescent="0.25">
      <c r="A195" s="38">
        <v>700052</v>
      </c>
      <c r="B195" t="s">
        <v>1073</v>
      </c>
      <c r="C195" s="158">
        <v>0</v>
      </c>
      <c r="D195" s="158">
        <v>46041.756999999998</v>
      </c>
      <c r="E195" s="158">
        <v>0</v>
      </c>
      <c r="F195" s="158">
        <v>46041.756999999998</v>
      </c>
      <c r="G195" s="18" t="str">
        <f>IF($A195="","",IFERROR(INDEX(Map!$C$2:$C$400,MATCH($A195,Map!$A$2:$A$400,0)),"⚠ UNMAPPED"))</f>
        <v>IS</v>
      </c>
      <c r="H195" s="18" t="str">
        <f>IF($A195="","",IFERROR(INDEX(Map!$D$2:$D$400,MATCH($A195,Map!$A$2:$A$400,0)),"⚠ UNMAPPED"))</f>
        <v>Depreciation expenses</v>
      </c>
      <c r="I195" s="18" t="str">
        <f>IF($A195="","",IFERROR(INDEX(Map!$E$2:$E$400,MATCH($A195,Map!$A$2:$A$400,0)),"⚠ UNMAPPED"))</f>
        <v>Depreciation expenses</v>
      </c>
      <c r="J195" s="18" t="str">
        <f>IF($A195="","",IFERROR(INDEX(Map!$F$2:$F$400,MATCH($A195,Map!$A$2:$A$400,0)),"⚠ UNMAPPED"))</f>
        <v>Depreciation of property, plant and equipment</v>
      </c>
    </row>
    <row r="196" spans="1:10" x14ac:dyDescent="0.25">
      <c r="A196" s="38">
        <v>700053</v>
      </c>
      <c r="B196" t="s">
        <v>1074</v>
      </c>
      <c r="C196" s="158">
        <v>0</v>
      </c>
      <c r="D196" s="158">
        <v>0</v>
      </c>
      <c r="E196" s="158">
        <v>0</v>
      </c>
      <c r="F196" s="158">
        <v>0</v>
      </c>
      <c r="G196" s="18" t="str">
        <f>IF($A196="","",IFERROR(INDEX(Map!$C$2:$C$400,MATCH($A196,Map!$A$2:$A$400,0)),"⚠ UNMAPPED"))</f>
        <v>IS</v>
      </c>
      <c r="H196" s="18" t="str">
        <f>IF($A196="","",IFERROR(INDEX(Map!$D$2:$D$400,MATCH($A196,Map!$A$2:$A$400,0)),"⚠ UNMAPPED"))</f>
        <v>Depreciation expenses</v>
      </c>
      <c r="I196" s="18" t="str">
        <f>IF($A196="","",IFERROR(INDEX(Map!$E$2:$E$400,MATCH($A196,Map!$A$2:$A$400,0)),"⚠ UNMAPPED"))</f>
        <v>Depreciation expenses</v>
      </c>
      <c r="J196" s="18" t="str">
        <f>IF($A196="","",IFERROR(INDEX(Map!$F$2:$F$400,MATCH($A196,Map!$A$2:$A$400,0)),"⚠ UNMAPPED"))</f>
        <v>Depreciation of property, plant and equipment</v>
      </c>
    </row>
    <row r="197" spans="1:10" x14ac:dyDescent="0.25">
      <c r="A197" s="38">
        <v>700054</v>
      </c>
      <c r="B197" t="s">
        <v>1075</v>
      </c>
      <c r="C197" s="158">
        <v>0</v>
      </c>
      <c r="D197" s="158">
        <v>1170.8330000000001</v>
      </c>
      <c r="E197" s="158">
        <v>0</v>
      </c>
      <c r="F197" s="158">
        <v>1170.8330000000001</v>
      </c>
      <c r="G197" s="18" t="str">
        <f>IF($A197="","",IFERROR(INDEX(Map!$C$2:$C$400,MATCH($A197,Map!$A$2:$A$400,0)),"⚠ UNMAPPED"))</f>
        <v>IS</v>
      </c>
      <c r="H197" s="18" t="str">
        <f>IF($A197="","",IFERROR(INDEX(Map!$D$2:$D$400,MATCH($A197,Map!$A$2:$A$400,0)),"⚠ UNMAPPED"))</f>
        <v>Depreciation expenses</v>
      </c>
      <c r="I197" s="18" t="str">
        <f>IF($A197="","",IFERROR(INDEX(Map!$E$2:$E$400,MATCH($A197,Map!$A$2:$A$400,0)),"⚠ UNMAPPED"))</f>
        <v>Depreciation expenses</v>
      </c>
      <c r="J197" s="18" t="str">
        <f>IF($A197="","",IFERROR(INDEX(Map!$F$2:$F$400,MATCH($A197,Map!$A$2:$A$400,0)),"⚠ UNMAPPED"))</f>
        <v>Depreciation of property, plant and equipment</v>
      </c>
    </row>
    <row r="198" spans="1:10" x14ac:dyDescent="0.25">
      <c r="A198" s="38">
        <v>700055</v>
      </c>
      <c r="B198" t="s">
        <v>1076</v>
      </c>
      <c r="C198" s="158">
        <v>0</v>
      </c>
      <c r="D198" s="158">
        <v>12804.675999999999</v>
      </c>
      <c r="E198" s="158">
        <v>0</v>
      </c>
      <c r="F198" s="158">
        <v>12804.675999999999</v>
      </c>
      <c r="G198" s="18" t="str">
        <f>IF($A198="","",IFERROR(INDEX(Map!$C$2:$C$400,MATCH($A198,Map!$A$2:$A$400,0)),"⚠ UNMAPPED"))</f>
        <v>IS</v>
      </c>
      <c r="H198" s="18" t="str">
        <f>IF($A198="","",IFERROR(INDEX(Map!$D$2:$D$400,MATCH($A198,Map!$A$2:$A$400,0)),"⚠ UNMAPPED"))</f>
        <v>Depreciation expenses</v>
      </c>
      <c r="I198" s="18" t="str">
        <f>IF($A198="","",IFERROR(INDEX(Map!$E$2:$E$400,MATCH($A198,Map!$A$2:$A$400,0)),"⚠ UNMAPPED"))</f>
        <v>Depreciation expenses</v>
      </c>
      <c r="J198" s="18" t="str">
        <f>IF($A198="","",IFERROR(INDEX(Map!$F$2:$F$400,MATCH($A198,Map!$A$2:$A$400,0)),"⚠ UNMAPPED"))</f>
        <v>Depreciation of property, plant and equipment</v>
      </c>
    </row>
    <row r="199" spans="1:10" x14ac:dyDescent="0.25">
      <c r="A199" s="38">
        <v>700056</v>
      </c>
      <c r="B199" t="s">
        <v>1077</v>
      </c>
      <c r="C199" s="158">
        <v>0</v>
      </c>
      <c r="D199" s="158">
        <v>9154.4130000000005</v>
      </c>
      <c r="E199" s="158">
        <v>0</v>
      </c>
      <c r="F199" s="158">
        <v>9154.4130000000005</v>
      </c>
      <c r="G199" s="18" t="str">
        <f>IF($A199="","",IFERROR(INDEX(Map!$C$2:$C$400,MATCH($A199,Map!$A$2:$A$400,0)),"⚠ UNMAPPED"))</f>
        <v>IS</v>
      </c>
      <c r="H199" s="18" t="str">
        <f>IF($A199="","",IFERROR(INDEX(Map!$D$2:$D$400,MATCH($A199,Map!$A$2:$A$400,0)),"⚠ UNMAPPED"))</f>
        <v>Depreciation expenses</v>
      </c>
      <c r="I199" s="18" t="str">
        <f>IF($A199="","",IFERROR(INDEX(Map!$E$2:$E$400,MATCH($A199,Map!$A$2:$A$400,0)),"⚠ UNMAPPED"))</f>
        <v>Depreciation expenses</v>
      </c>
      <c r="J199" s="18" t="str">
        <f>IF($A199="","",IFERROR(INDEX(Map!$F$2:$F$400,MATCH($A199,Map!$A$2:$A$400,0)),"⚠ UNMAPPED"))</f>
        <v>Depreciation of property, plant and equipment</v>
      </c>
    </row>
    <row r="200" spans="1:10" x14ac:dyDescent="0.25">
      <c r="A200" s="38">
        <v>700057</v>
      </c>
      <c r="B200" t="s">
        <v>1078</v>
      </c>
      <c r="C200" s="158">
        <v>0</v>
      </c>
      <c r="D200" s="158">
        <v>0</v>
      </c>
      <c r="E200" s="158">
        <v>0</v>
      </c>
      <c r="F200" s="158">
        <v>0</v>
      </c>
      <c r="G200" s="18" t="str">
        <f>IF($A200="","",IFERROR(INDEX(Map!$C$2:$C$400,MATCH($A200,Map!$A$2:$A$400,0)),"⚠ UNMAPPED"))</f>
        <v>IS</v>
      </c>
      <c r="H200" s="18" t="str">
        <f>IF($A200="","",IFERROR(INDEX(Map!$D$2:$D$400,MATCH($A200,Map!$A$2:$A$400,0)),"⚠ UNMAPPED"))</f>
        <v>Cost of sales</v>
      </c>
      <c r="I200" s="18" t="str">
        <f>IF($A200="","",IFERROR(INDEX(Map!$E$2:$E$400,MATCH($A200,Map!$A$2:$A$400,0)),"⚠ UNMAPPED"))</f>
        <v>Overhead - Rent</v>
      </c>
      <c r="J200" s="18" t="str">
        <f>IF($A200="","",IFERROR(INDEX(Map!$F$2:$F$400,MATCH($A200,Map!$A$2:$A$400,0)),"⚠ UNMAPPED"))</f>
        <v>Warehouse Rent ( Khamis, Rioyadh, Dammam)</v>
      </c>
    </row>
    <row r="201" spans="1:10" x14ac:dyDescent="0.25">
      <c r="A201" s="38">
        <v>700058</v>
      </c>
      <c r="B201" t="s">
        <v>1079</v>
      </c>
      <c r="C201" s="158">
        <v>0</v>
      </c>
      <c r="D201" s="158">
        <v>0</v>
      </c>
      <c r="E201" s="158">
        <v>0</v>
      </c>
      <c r="F201" s="158">
        <v>0</v>
      </c>
      <c r="G201" s="18" t="str">
        <f>IF($A201="","",IFERROR(INDEX(Map!$C$2:$C$400,MATCH($A201,Map!$A$2:$A$400,0)),"⚠ UNMAPPED"))</f>
        <v>IS</v>
      </c>
      <c r="H201" s="18" t="str">
        <f>IF($A201="","",IFERROR(INDEX(Map!$D$2:$D$400,MATCH($A201,Map!$A$2:$A$400,0)),"⚠ UNMAPPED"))</f>
        <v>Selling and Marketing</v>
      </c>
      <c r="I201" s="18" t="str">
        <f>IF($A201="","",IFERROR(INDEX(Map!$E$2:$E$400,MATCH($A201,Map!$A$2:$A$400,0)),"⚠ UNMAPPED"))</f>
        <v>Advertising and promotion expenses</v>
      </c>
      <c r="J201" s="18" t="str">
        <f>IF($A201="","",IFERROR(INDEX(Map!$F$2:$F$400,MATCH($A201,Map!$A$2:$A$400,0)),"⚠ UNMAPPED"))</f>
        <v>Advertising and promotion expenses</v>
      </c>
    </row>
    <row r="202" spans="1:10" x14ac:dyDescent="0.25">
      <c r="A202" s="38">
        <v>700060</v>
      </c>
      <c r="B202" t="s">
        <v>1081</v>
      </c>
      <c r="C202" s="158">
        <v>0</v>
      </c>
      <c r="D202" s="158">
        <v>190520</v>
      </c>
      <c r="E202" s="158">
        <v>0</v>
      </c>
      <c r="F202" s="158">
        <v>190520</v>
      </c>
      <c r="G202" s="18" t="str">
        <f>IF($A202="","",IFERROR(INDEX(Map!$C$2:$C$400,MATCH($A202,Map!$A$2:$A$400,0)),"⚠ UNMAPPED"))</f>
        <v>IS</v>
      </c>
      <c r="H202" s="18" t="str">
        <f>IF($A202="","",IFERROR(INDEX(Map!$D$2:$D$400,MATCH($A202,Map!$A$2:$A$400,0)),"⚠ UNMAPPED"))</f>
        <v>Selling and Marketing</v>
      </c>
      <c r="I202" s="18" t="str">
        <f>IF($A202="","",IFERROR(INDEX(Map!$E$2:$E$400,MATCH($A202,Map!$A$2:$A$400,0)),"⚠ UNMAPPED"))</f>
        <v>Freight and shipping expenses (S&amp;D)</v>
      </c>
      <c r="J202" s="18" t="str">
        <f>IF($A202="","",IFERROR(INDEX(Map!$F$2:$F$400,MATCH($A202,Map!$A$2:$A$400,0)),"⚠ UNMAPPED"))</f>
        <v>Outbound freight / shipping — reclassified below gross profit under IFRS</v>
      </c>
    </row>
    <row r="203" spans="1:10" x14ac:dyDescent="0.25">
      <c r="A203" s="38">
        <v>700063</v>
      </c>
      <c r="B203" t="s">
        <v>1084</v>
      </c>
      <c r="C203" s="158">
        <v>0</v>
      </c>
      <c r="D203" s="158">
        <v>137055.24</v>
      </c>
      <c r="E203" s="158">
        <v>84652.43</v>
      </c>
      <c r="F203" s="158">
        <v>52402.81</v>
      </c>
      <c r="G203" s="18" t="str">
        <f>IF($A203="","",IFERROR(INDEX(Map!$C$2:$C$400,MATCH($A203,Map!$A$2:$A$400,0)),"⚠ UNMAPPED"))</f>
        <v>IS</v>
      </c>
      <c r="H203" s="18" t="str">
        <f>IF($A203="","",IFERROR(INDEX(Map!$D$2:$D$400,MATCH($A203,Map!$A$2:$A$400,0)),"⚠ UNMAPPED"))</f>
        <v>General and Admin</v>
      </c>
      <c r="I203" s="18" t="str">
        <f>IF($A203="","",IFERROR(INDEX(Map!$E$2:$E$400,MATCH($A203,Map!$A$2:$A$400,0)),"⚠ UNMAPPED"))</f>
        <v>Salaries and wages</v>
      </c>
      <c r="J203" s="18" t="str">
        <f>IF($A203="","",IFERROR(INDEX(Map!$F$2:$F$400,MATCH($A203,Map!$A$2:$A$400,0)),"⚠ UNMAPPED"))</f>
        <v>GOSI</v>
      </c>
    </row>
    <row r="204" spans="1:10" x14ac:dyDescent="0.25">
      <c r="A204" s="38">
        <v>700065</v>
      </c>
      <c r="B204" t="s">
        <v>1174</v>
      </c>
      <c r="C204" s="158">
        <v>0</v>
      </c>
      <c r="D204" s="158">
        <v>7168.9979999999996</v>
      </c>
      <c r="E204" s="158">
        <v>0</v>
      </c>
      <c r="F204" s="158">
        <v>7168.9979999999996</v>
      </c>
      <c r="G204" s="18" t="str">
        <f>IF($A204="","",IFERROR(INDEX(Map!$C$2:$C$400,MATCH($A204,Map!$A$2:$A$400,0)),"⚠ UNMAPPED"))</f>
        <v>IS</v>
      </c>
      <c r="H204" s="18" t="str">
        <f>IF($A204="","",IFERROR(INDEX(Map!$D$2:$D$400,MATCH($A204,Map!$A$2:$A$400,0)),"⚠ UNMAPPED"))</f>
        <v>Finance cost</v>
      </c>
      <c r="I204" s="18" t="str">
        <f>IF($A204="","",IFERROR(INDEX(Map!$E$2:$E$400,MATCH($A204,Map!$A$2:$A$400,0)),"⚠ UNMAPPED"))</f>
        <v>Finance cost</v>
      </c>
      <c r="J204" s="18" t="str">
        <f>IF($A204="","",IFERROR(INDEX(Map!$F$2:$F$400,MATCH($A204,Map!$A$2:$A$400,0)),"⚠ UNMAPPED"))</f>
        <v>Lease interest</v>
      </c>
    </row>
    <row r="205" spans="1:10" x14ac:dyDescent="0.25">
      <c r="A205" s="38">
        <v>700066</v>
      </c>
      <c r="B205" t="s">
        <v>1087</v>
      </c>
      <c r="C205" s="158">
        <v>0</v>
      </c>
      <c r="D205" s="158">
        <v>0</v>
      </c>
      <c r="E205" s="158">
        <v>0</v>
      </c>
      <c r="F205" s="158">
        <v>0</v>
      </c>
      <c r="G205" s="18" t="str">
        <f>IF($A205="","",IFERROR(INDEX(Map!$C$2:$C$400,MATCH($A205,Map!$A$2:$A$400,0)),"⚠ UNMAPPED"))</f>
        <v>IS</v>
      </c>
      <c r="H205" s="18" t="str">
        <f>IF($A205="","",IFERROR(INDEX(Map!$D$2:$D$400,MATCH($A205,Map!$A$2:$A$400,0)),"⚠ UNMAPPED"))</f>
        <v>General and Admin</v>
      </c>
      <c r="I205" s="18" t="str">
        <f>IF($A205="","",IFERROR(INDEX(Map!$E$2:$E$400,MATCH($A205,Map!$A$2:$A$400,0)),"⚠ UNMAPPED"))</f>
        <v>Govt license and fees (including modon)</v>
      </c>
      <c r="J205" s="18" t="str">
        <f>IF($A205="","",IFERROR(INDEX(Map!$F$2:$F$400,MATCH($A205,Map!$A$2:$A$400,0)),"⚠ UNMAPPED"))</f>
        <v>3rd Industrial Area Lease Provision</v>
      </c>
    </row>
    <row r="206" spans="1:10" x14ac:dyDescent="0.25">
      <c r="A206" s="38">
        <v>700072</v>
      </c>
      <c r="B206" t="s">
        <v>1093</v>
      </c>
      <c r="C206" s="158">
        <v>0</v>
      </c>
      <c r="D206" s="158">
        <v>128939.36500000001</v>
      </c>
      <c r="E206" s="158">
        <v>1525</v>
      </c>
      <c r="F206" s="158">
        <v>127414.36500000001</v>
      </c>
      <c r="G206" s="18" t="str">
        <f>IF($A206="","",IFERROR(INDEX(Map!$C$2:$C$400,MATCH($A206,Map!$A$2:$A$400,0)),"⚠ UNMAPPED"))</f>
        <v>IS</v>
      </c>
      <c r="H206" s="18" t="str">
        <f>IF($A206="","",IFERROR(INDEX(Map!$D$2:$D$400,MATCH($A206,Map!$A$2:$A$400,0)),"⚠ UNMAPPED"))</f>
        <v>General and Admin</v>
      </c>
      <c r="I206" s="18" t="str">
        <f>IF($A206="","",IFERROR(INDEX(Map!$E$2:$E$400,MATCH($A206,Map!$A$2:$A$400,0)),"⚠ UNMAPPED"))</f>
        <v>Salaries and wages</v>
      </c>
      <c r="J206" s="18" t="str">
        <f>IF($A206="","",IFERROR(INDEX(Map!$F$2:$F$400,MATCH($A206,Map!$A$2:$A$400,0)),"⚠ UNMAPPED"))</f>
        <v>Rental labor</v>
      </c>
    </row>
    <row r="207" spans="1:10" x14ac:dyDescent="0.25">
      <c r="A207" s="38">
        <v>700074</v>
      </c>
      <c r="B207" t="s">
        <v>702</v>
      </c>
      <c r="C207" s="158">
        <v>0</v>
      </c>
      <c r="D207" s="158">
        <v>276</v>
      </c>
      <c r="E207" s="158">
        <v>552</v>
      </c>
      <c r="F207" s="158">
        <v>-276</v>
      </c>
      <c r="G207" s="18" t="str">
        <f>IF($A207="","",IFERROR(INDEX(Map!$C$2:$C$400,MATCH($A207,Map!$A$2:$A$400,0)),"⚠ UNMAPPED"))</f>
        <v>IS</v>
      </c>
      <c r="H207" s="18" t="str">
        <f>IF($A207="","",IFERROR(INDEX(Map!$D$2:$D$400,MATCH($A207,Map!$A$2:$A$400,0)),"⚠ UNMAPPED"))</f>
        <v>General and Admin</v>
      </c>
      <c r="I207" s="18" t="str">
        <f>IF($A207="","",IFERROR(INDEX(Map!$E$2:$E$400,MATCH($A207,Map!$A$2:$A$400,0)),"⚠ UNMAPPED"))</f>
        <v>Inventory Adjustment Expense</v>
      </c>
      <c r="J207" s="18" t="str">
        <f>IF($A207="","",IFERROR(INDEX(Map!$F$2:$F$400,MATCH($A207,Map!$A$2:$A$400,0)),"⚠ UNMAPPED"))</f>
        <v>Inventory Adjustment Expense</v>
      </c>
    </row>
    <row r="208" spans="1:10" x14ac:dyDescent="0.25">
      <c r="A208" s="38">
        <v>700075</v>
      </c>
      <c r="B208" t="s">
        <v>1094</v>
      </c>
      <c r="C208" s="158">
        <v>0</v>
      </c>
      <c r="D208" s="158">
        <v>0</v>
      </c>
      <c r="E208" s="158">
        <v>0</v>
      </c>
      <c r="F208" s="158">
        <v>0</v>
      </c>
      <c r="G208" s="18" t="str">
        <f>IF($A208="","",IFERROR(INDEX(Map!$C$2:$C$400,MATCH($A208,Map!$A$2:$A$400,0)),"⚠ UNMAPPED"))</f>
        <v>IS</v>
      </c>
      <c r="H208" s="18" t="str">
        <f>IF($A208="","",IFERROR(INDEX(Map!$D$2:$D$400,MATCH($A208,Map!$A$2:$A$400,0)),"⚠ UNMAPPED"))</f>
        <v>General and Admin</v>
      </c>
      <c r="I208" s="18" t="str">
        <f>IF($A208="","",IFERROR(INDEX(Map!$E$2:$E$400,MATCH($A208,Map!$A$2:$A$400,0)),"⚠ UNMAPPED"))</f>
        <v>Utilities</v>
      </c>
      <c r="J208" s="18" t="str">
        <f>IF($A208="","",IFERROR(INDEX(Map!$F$2:$F$400,MATCH($A208,Map!$A$2:$A$400,0)),"⚠ UNMAPPED"))</f>
        <v>Subscriptions &amp; Membership Fees</v>
      </c>
    </row>
    <row r="209" spans="1:10" x14ac:dyDescent="0.25">
      <c r="A209" s="38">
        <v>600031</v>
      </c>
      <c r="B209" t="s">
        <v>1008</v>
      </c>
      <c r="C209" s="158">
        <v>-304425.90000000002</v>
      </c>
      <c r="D209" s="158"/>
      <c r="E209" s="158"/>
      <c r="F209" s="158">
        <v>-304425.90000000002</v>
      </c>
      <c r="G209" s="18" t="str">
        <f>IF($A209="","",IFERROR(INDEX(Map!$C$2:$C$400,MATCH($A209,Map!$A$2:$A$400,0)),"⚠ UNMAPPED"))</f>
        <v>IS</v>
      </c>
      <c r="H209" s="18" t="str">
        <f>IF($A209="","",IFERROR(INDEX(Map!$D$2:$D$400,MATCH($A209,Map!$A$2:$A$400,0)),"⚠ UNMAPPED"))</f>
        <v>Depreciation expenses</v>
      </c>
      <c r="I209" s="18" t="str">
        <f>IF($A209="","",IFERROR(INDEX(Map!$E$2:$E$400,MATCH($A209,Map!$A$2:$A$400,0)),"⚠ UNMAPPED"))</f>
        <v>Depreciation expenses</v>
      </c>
      <c r="J209" s="18" t="str">
        <f>IF($A209="","",IFERROR(INDEX(Map!$F$2:$F$400,MATCH($A209,Map!$A$2:$A$400,0)),"⚠ UNMAPPED"))</f>
        <v>Depreciation of property, plant and equipment</v>
      </c>
    </row>
    <row r="210" spans="1:10" x14ac:dyDescent="0.25">
      <c r="A210" s="38">
        <v>310001</v>
      </c>
      <c r="B210" t="s">
        <v>934</v>
      </c>
      <c r="C210" s="158">
        <v>304425.90000000002</v>
      </c>
      <c r="D210" s="158"/>
      <c r="E210" s="158"/>
      <c r="F210" s="158">
        <v>304425.90000000002</v>
      </c>
      <c r="G210" s="158" t="str">
        <f>IF($A210="","",IFERROR(INDEX(Map!$C$2:$C$400,MATCH($A210,Map!$A$2:$A$400,0)),"⚠ UNMAPPED"))</f>
        <v>BS</v>
      </c>
      <c r="H210" s="18" t="str">
        <f>IF($A210="","",IFERROR(INDEX(Map!$D$2:$D$400,MATCH($A210,Map!$A$2:$A$400,0)),"⚠ UNMAPPED"))</f>
        <v>Stockholder's equity</v>
      </c>
      <c r="I210" s="18" t="str">
        <f>IF($A210="","",IFERROR(INDEX(Map!$E$2:$E$400,MATCH($A210,Map!$A$2:$A$400,0)),"⚠ UNMAPPED"))</f>
        <v>Retained earnings</v>
      </c>
      <c r="J210" s="18" t="str">
        <f>IF($A210="","",IFERROR(INDEX(Map!$F$2:$F$400,MATCH($A210,Map!$A$2:$A$400,0)),"⚠ UNMAPPED"))</f>
        <v>Retained earnings</v>
      </c>
    </row>
    <row r="211" spans="1:10" x14ac:dyDescent="0.25">
      <c r="A211" s="38">
        <v>170021</v>
      </c>
      <c r="B211" t="s">
        <v>883</v>
      </c>
      <c r="C211" s="158"/>
      <c r="D211" s="158">
        <v>530476.50100000005</v>
      </c>
      <c r="E211" s="158"/>
      <c r="F211" s="158">
        <v>530476.50100000005</v>
      </c>
      <c r="G211" s="18" t="str">
        <f>IF($A211="","",IFERROR(INDEX(Map!$C$2:$C$400,MATCH($A211,Map!$A$2:$A$400,0)),"⚠ UNMAPPED"))</f>
        <v>BS</v>
      </c>
      <c r="H211" s="18" t="str">
        <f>IF($A211="","",IFERROR(INDEX(Map!$D$2:$D$400,MATCH($A211,Map!$A$2:$A$400,0)),"⚠ UNMAPPED"))</f>
        <v>Current Assets</v>
      </c>
      <c r="I211" s="18" t="str">
        <f>IF($A211="","",IFERROR(INDEX(Map!$E$2:$E$400,MATCH($A211,Map!$A$2:$A$400,0)),"⚠ UNMAPPED"))</f>
        <v>Prepaid expenses</v>
      </c>
      <c r="J211" s="18" t="str">
        <f>IF($A211="","",IFERROR(INDEX(Map!$F$2:$F$400,MATCH($A211,Map!$A$2:$A$400,0)),"⚠ UNMAPPED"))</f>
        <v>Prepaid expense</v>
      </c>
    </row>
    <row r="212" spans="1:10" x14ac:dyDescent="0.25">
      <c r="A212" s="38">
        <v>210001</v>
      </c>
      <c r="B212" t="s">
        <v>902</v>
      </c>
      <c r="C212" s="158"/>
      <c r="D212" s="158"/>
      <c r="E212" s="158">
        <v>530476.50100000005</v>
      </c>
      <c r="F212" s="158">
        <v>-530476.50100000005</v>
      </c>
      <c r="G212" s="18" t="str">
        <f>IF($A212="","",IFERROR(INDEX(Map!$C$2:$C$400,MATCH($A212,Map!$A$2:$A$400,0)),"⚠ UNMAPPED"))</f>
        <v>BS</v>
      </c>
      <c r="H212" s="18" t="str">
        <f>IF($A212="","",IFERROR(INDEX(Map!$D$2:$D$400,MATCH($A212,Map!$A$2:$A$400,0)),"⚠ UNMAPPED"))</f>
        <v>Current Liabilities</v>
      </c>
      <c r="I212" s="18" t="str">
        <f>IF($A212="","",IFERROR(INDEX(Map!$E$2:$E$400,MATCH($A212,Map!$A$2:$A$400,0)),"⚠ UNMAPPED"))</f>
        <v>Tade payables and Accuals &amp; other credit balances</v>
      </c>
      <c r="J212" s="18" t="str">
        <f>IF($A212="","",IFERROR(INDEX(Map!$F$2:$F$400,MATCH($A212,Map!$A$2:$A$400,0)),"⚠ UNMAPPED"))</f>
        <v>Trade payables - Foreign</v>
      </c>
    </row>
    <row r="213" spans="1:10" x14ac:dyDescent="0.25">
      <c r="A213" s="38">
        <v>700052</v>
      </c>
      <c r="B213" t="s">
        <v>1073</v>
      </c>
      <c r="C213" s="158"/>
      <c r="D213" s="158">
        <v>414375.81300000002</v>
      </c>
      <c r="E213" s="158"/>
      <c r="F213" s="158">
        <v>414375.81300000002</v>
      </c>
      <c r="G213" s="18" t="str">
        <f>IF($A213="","",IFERROR(INDEX(Map!$C$2:$C$400,MATCH($A213,Map!$A$2:$A$400,0)),"⚠ UNMAPPED"))</f>
        <v>IS</v>
      </c>
      <c r="H213" s="18" t="str">
        <f>IF($A213="","",IFERROR(INDEX(Map!$D$2:$D$400,MATCH($A213,Map!$A$2:$A$400,0)),"⚠ UNMAPPED"))</f>
        <v>Depreciation expenses</v>
      </c>
      <c r="I213" s="18" t="str">
        <f>IF($A213="","",IFERROR(INDEX(Map!$E$2:$E$400,MATCH($A213,Map!$A$2:$A$400,0)),"⚠ UNMAPPED"))</f>
        <v>Depreciation expenses</v>
      </c>
      <c r="J213" s="18" t="str">
        <f>IF($A213="","",IFERROR(INDEX(Map!$F$2:$F$400,MATCH($A213,Map!$A$2:$A$400,0)),"⚠ UNMAPPED"))</f>
        <v>Depreciation of property, plant and equipment</v>
      </c>
    </row>
    <row r="214" spans="1:10" x14ac:dyDescent="0.25">
      <c r="A214" s="38">
        <v>700052</v>
      </c>
      <c r="B214" t="s">
        <v>1073</v>
      </c>
      <c r="C214" s="158"/>
      <c r="D214" s="158"/>
      <c r="E214" s="158">
        <v>414375.81300000002</v>
      </c>
      <c r="F214" s="158">
        <v>-414375.81300000002</v>
      </c>
      <c r="G214" s="18" t="str">
        <f>IF($A214="","",IFERROR(INDEX(Map!$C$2:$C$400,MATCH($A214,Map!$A$2:$A$400,0)),"⚠ UNMAPPED"))</f>
        <v>IS</v>
      </c>
      <c r="H214" s="18" t="str">
        <f>IF($A214="","",IFERROR(INDEX(Map!$D$2:$D$400,MATCH($A214,Map!$A$2:$A$400,0)),"⚠ UNMAPPED"))</f>
        <v>Depreciation expenses</v>
      </c>
      <c r="I214" s="18" t="str">
        <f>IF($A214="","",IFERROR(INDEX(Map!$E$2:$E$400,MATCH($A214,Map!$A$2:$A$400,0)),"⚠ UNMAPPED"))</f>
        <v>Depreciation expenses</v>
      </c>
      <c r="J214" s="18" t="str">
        <f>IF($A214="","",IFERROR(INDEX(Map!$F$2:$F$400,MATCH($A214,Map!$A$2:$A$400,0)),"⚠ UNMAPPED"))</f>
        <v>Depreciation of property, plant and equipment</v>
      </c>
    </row>
    <row r="215" spans="1:10" x14ac:dyDescent="0.25">
      <c r="A215" s="38">
        <v>120001</v>
      </c>
      <c r="B215" t="s">
        <v>829</v>
      </c>
      <c r="C215" s="158"/>
      <c r="D215" s="158"/>
      <c r="E215" s="158">
        <v>153333.33600000001</v>
      </c>
      <c r="F215" s="158">
        <v>-153333.33600000001</v>
      </c>
      <c r="G215" s="18" t="str">
        <f>IF($A215="","",IFERROR(INDEX(Map!$C$2:$C$400,MATCH($A215,Map!$A$2:$A$400,0)),"⚠ UNMAPPED"))</f>
        <v>BS</v>
      </c>
      <c r="H215" s="18" t="str">
        <f>IF($A215="","",IFERROR(INDEX(Map!$D$2:$D$400,MATCH($A215,Map!$A$2:$A$400,0)),"⚠ UNMAPPED"))</f>
        <v>Non-Current Assets</v>
      </c>
      <c r="I215" s="18" t="str">
        <f>IF($A215="","",IFERROR(INDEX(Map!$E$2:$E$400,MATCH($A215,Map!$A$2:$A$400,0)),"⚠ UNMAPPED"))</f>
        <v>Property, plant and equipment</v>
      </c>
      <c r="J215" s="18" t="str">
        <f>IF($A215="","",IFERROR(INDEX(Map!$F$2:$F$400,MATCH($A215,Map!$A$2:$A$400,0)),"⚠ UNMAPPED"))</f>
        <v>Property, plant and equipment - Accumulated depreciation</v>
      </c>
    </row>
    <row r="216" spans="1:10" x14ac:dyDescent="0.25">
      <c r="A216" s="38">
        <v>120002</v>
      </c>
      <c r="B216" t="s">
        <v>830</v>
      </c>
      <c r="C216" s="158"/>
      <c r="D216" s="158"/>
      <c r="E216" s="158">
        <v>232075.96</v>
      </c>
      <c r="F216" s="158">
        <v>-232075.96</v>
      </c>
      <c r="G216" s="18" t="str">
        <f>IF($A216="","",IFERROR(INDEX(Map!$C$2:$C$400,MATCH($A216,Map!$A$2:$A$400,0)),"⚠ UNMAPPED"))</f>
        <v>BS</v>
      </c>
      <c r="H216" s="18" t="str">
        <f>IF($A216="","",IFERROR(INDEX(Map!$D$2:$D$400,MATCH($A216,Map!$A$2:$A$400,0)),"⚠ UNMAPPED"))</f>
        <v>Non-Current Assets</v>
      </c>
      <c r="I216" s="18" t="str">
        <f>IF($A216="","",IFERROR(INDEX(Map!$E$2:$E$400,MATCH($A216,Map!$A$2:$A$400,0)),"⚠ UNMAPPED"))</f>
        <v>Property, plant and equipment</v>
      </c>
      <c r="J216" s="18" t="str">
        <f>IF($A216="","",IFERROR(INDEX(Map!$F$2:$F$400,MATCH($A216,Map!$A$2:$A$400,0)),"⚠ UNMAPPED"))</f>
        <v>Property, plant and equipment - Accumulated depreciation</v>
      </c>
    </row>
    <row r="217" spans="1:10" x14ac:dyDescent="0.25">
      <c r="A217" s="38">
        <v>120003</v>
      </c>
      <c r="B217" t="s">
        <v>831</v>
      </c>
      <c r="C217" s="158"/>
      <c r="D217" s="158"/>
      <c r="E217" s="158">
        <v>368334.05599999998</v>
      </c>
      <c r="F217" s="158">
        <v>-368334.05599999998</v>
      </c>
      <c r="G217" s="18" t="str">
        <f>IF($A217="","",IFERROR(INDEX(Map!$C$2:$C$400,MATCH($A217,Map!$A$2:$A$400,0)),"⚠ UNMAPPED"))</f>
        <v>BS</v>
      </c>
      <c r="H217" s="18" t="str">
        <f>IF($A217="","",IFERROR(INDEX(Map!$D$2:$D$400,MATCH($A217,Map!$A$2:$A$400,0)),"⚠ UNMAPPED"))</f>
        <v>Non-Current Assets</v>
      </c>
      <c r="I217" s="18" t="str">
        <f>IF($A217="","",IFERROR(INDEX(Map!$E$2:$E$400,MATCH($A217,Map!$A$2:$A$400,0)),"⚠ UNMAPPED"))</f>
        <v>Property, plant and equipment</v>
      </c>
      <c r="J217" s="18" t="str">
        <f>IF($A217="","",IFERROR(INDEX(Map!$F$2:$F$400,MATCH($A217,Map!$A$2:$A$400,0)),"⚠ UNMAPPED"))</f>
        <v>Property, plant and equipment - Accumulated depreciation</v>
      </c>
    </row>
    <row r="218" spans="1:10" x14ac:dyDescent="0.25">
      <c r="A218" s="38">
        <v>120005</v>
      </c>
      <c r="B218" t="s">
        <v>832</v>
      </c>
      <c r="C218" s="158"/>
      <c r="D218" s="158"/>
      <c r="E218" s="158">
        <v>9366.6640000000007</v>
      </c>
      <c r="F218" s="158">
        <v>-9366.6640000000007</v>
      </c>
      <c r="G218" s="18" t="str">
        <f>IF($A218="","",IFERROR(INDEX(Map!$C$2:$C$400,MATCH($A218,Map!$A$2:$A$400,0)),"⚠ UNMAPPED"))</f>
        <v>BS</v>
      </c>
      <c r="H218" s="18" t="str">
        <f>IF($A218="","",IFERROR(INDEX(Map!$D$2:$D$400,MATCH($A218,Map!$A$2:$A$400,0)),"⚠ UNMAPPED"))</f>
        <v>Non-Current Assets</v>
      </c>
      <c r="I218" s="18" t="str">
        <f>IF($A218="","",IFERROR(INDEX(Map!$E$2:$E$400,MATCH($A218,Map!$A$2:$A$400,0)),"⚠ UNMAPPED"))</f>
        <v>Property, plant and equipment</v>
      </c>
      <c r="J218" s="18" t="str">
        <f>IF($A218="","",IFERROR(INDEX(Map!$F$2:$F$400,MATCH($A218,Map!$A$2:$A$400,0)),"⚠ UNMAPPED"))</f>
        <v>Property, plant and equipment - Accumulated depreciation</v>
      </c>
    </row>
    <row r="219" spans="1:10" x14ac:dyDescent="0.25">
      <c r="A219" s="38">
        <v>120006</v>
      </c>
      <c r="B219" t="s">
        <v>833</v>
      </c>
      <c r="C219" s="158"/>
      <c r="D219" s="158"/>
      <c r="E219" s="158">
        <v>102437.408</v>
      </c>
      <c r="F219" s="158">
        <v>-102437.408</v>
      </c>
      <c r="G219" s="18" t="str">
        <f>IF($A219="","",IFERROR(INDEX(Map!$C$2:$C$400,MATCH($A219,Map!$A$2:$A$400,0)),"⚠ UNMAPPED"))</f>
        <v>BS</v>
      </c>
      <c r="H219" s="18" t="str">
        <f>IF($A219="","",IFERROR(INDEX(Map!$D$2:$D$400,MATCH($A219,Map!$A$2:$A$400,0)),"⚠ UNMAPPED"))</f>
        <v>Non-Current Assets</v>
      </c>
      <c r="I219" s="18" t="str">
        <f>IF($A219="","",IFERROR(INDEX(Map!$E$2:$E$400,MATCH($A219,Map!$A$2:$A$400,0)),"⚠ UNMAPPED"))</f>
        <v>Property, plant and equipment</v>
      </c>
      <c r="J219" s="18" t="str">
        <f>IF($A219="","",IFERROR(INDEX(Map!$F$2:$F$400,MATCH($A219,Map!$A$2:$A$400,0)),"⚠ UNMAPPED"))</f>
        <v>Property, plant and equipment - Accumulated depreciation</v>
      </c>
    </row>
    <row r="220" spans="1:10" x14ac:dyDescent="0.25">
      <c r="A220" s="38">
        <v>120007</v>
      </c>
      <c r="B220" t="s">
        <v>834</v>
      </c>
      <c r="C220" s="158"/>
      <c r="D220" s="158"/>
      <c r="E220" s="158">
        <v>73235.304000000004</v>
      </c>
      <c r="F220" s="158">
        <v>-73235.304000000004</v>
      </c>
      <c r="G220" s="18" t="str">
        <f>IF($A220="","",IFERROR(INDEX(Map!$C$2:$C$400,MATCH($A220,Map!$A$2:$A$400,0)),"⚠ UNMAPPED"))</f>
        <v>BS</v>
      </c>
      <c r="H220" s="18" t="str">
        <f>IF($A220="","",IFERROR(INDEX(Map!$D$2:$D$400,MATCH($A220,Map!$A$2:$A$400,0)),"⚠ UNMAPPED"))</f>
        <v>Non-Current Assets</v>
      </c>
      <c r="I220" s="18" t="str">
        <f>IF($A220="","",IFERROR(INDEX(Map!$E$2:$E$400,MATCH($A220,Map!$A$2:$A$400,0)),"⚠ UNMAPPED"))</f>
        <v>Property, plant and equipment</v>
      </c>
      <c r="J220" s="18" t="str">
        <f>IF($A220="","",IFERROR(INDEX(Map!$F$2:$F$400,MATCH($A220,Map!$A$2:$A$400,0)),"⚠ UNMAPPED"))</f>
        <v>Property, plant and equipment - Accumulated depreciation</v>
      </c>
    </row>
    <row r="221" spans="1:10" x14ac:dyDescent="0.25">
      <c r="A221" s="38">
        <v>120008</v>
      </c>
      <c r="B221" t="s">
        <v>835</v>
      </c>
      <c r="C221" s="158"/>
      <c r="D221" s="158"/>
      <c r="E221" s="158"/>
      <c r="F221" s="158">
        <v>0</v>
      </c>
      <c r="G221" s="18" t="str">
        <f>IF($A221="","",IFERROR(INDEX(Map!$C$2:$C$400,MATCH($A221,Map!$A$2:$A$400,0)),"⚠ UNMAPPED"))</f>
        <v>BS</v>
      </c>
      <c r="H221" s="18" t="str">
        <f>IF($A221="","",IFERROR(INDEX(Map!$D$2:$D$400,MATCH($A221,Map!$A$2:$A$400,0)),"⚠ UNMAPPED"))</f>
        <v>Non-Current Assets</v>
      </c>
      <c r="I221" s="18" t="str">
        <f>IF($A221="","",IFERROR(INDEX(Map!$E$2:$E$400,MATCH($A221,Map!$A$2:$A$400,0)),"⚠ UNMAPPED"))</f>
        <v>Right of use</v>
      </c>
      <c r="J221" s="18" t="str">
        <f>IF($A221="","",IFERROR(INDEX(Map!$F$2:$F$400,MATCH($A221,Map!$A$2:$A$400,0)),"⚠ UNMAPPED"))</f>
        <v>Depreciation/amortization of rights of use assets</v>
      </c>
    </row>
    <row r="222" spans="1:10" x14ac:dyDescent="0.25">
      <c r="A222" s="38">
        <v>600033</v>
      </c>
      <c r="B222" t="s">
        <v>1010</v>
      </c>
      <c r="C222" s="158"/>
      <c r="D222" s="158">
        <v>0</v>
      </c>
      <c r="E222" s="158"/>
      <c r="F222" s="158">
        <v>0</v>
      </c>
      <c r="G222" s="18" t="str">
        <f>IF($A222="","",IFERROR(INDEX(Map!$C$2:$C$400,MATCH($A222,Map!$A$2:$A$400,0)),"⚠ UNMAPPED"))</f>
        <v>IS</v>
      </c>
      <c r="H222" s="18" t="str">
        <f>IF($A222="","",IFERROR(INDEX(Map!$D$2:$D$400,MATCH($A222,Map!$A$2:$A$400,0)),"⚠ UNMAPPED"))</f>
        <v>Depreciation expenses</v>
      </c>
      <c r="I222" s="18" t="str">
        <f>IF($A222="","",IFERROR(INDEX(Map!$E$2:$E$400,MATCH($A222,Map!$A$2:$A$400,0)),"⚠ UNMAPPED"))</f>
        <v>Depreciation expenses</v>
      </c>
      <c r="J222" s="18" t="str">
        <f>IF($A222="","",IFERROR(INDEX(Map!$F$2:$F$400,MATCH($A222,Map!$A$2:$A$400,0)),"⚠ UNMAPPED"))</f>
        <v>Depreciation of property, plant and equipment</v>
      </c>
    </row>
    <row r="223" spans="1:10" x14ac:dyDescent="0.25">
      <c r="A223" s="38">
        <v>700050</v>
      </c>
      <c r="B223" t="s">
        <v>1071</v>
      </c>
      <c r="C223" s="158"/>
      <c r="D223" s="158">
        <v>153333.33600000001</v>
      </c>
      <c r="E223" s="158"/>
      <c r="F223" s="158">
        <v>153333.33600000001</v>
      </c>
      <c r="G223" s="18" t="str">
        <f>IF($A223="","",IFERROR(INDEX(Map!$C$2:$C$400,MATCH($A223,Map!$A$2:$A$400,0)),"⚠ UNMAPPED"))</f>
        <v>IS</v>
      </c>
      <c r="H223" s="18" t="str">
        <f>IF($A223="","",IFERROR(INDEX(Map!$D$2:$D$400,MATCH($A223,Map!$A$2:$A$400,0)),"⚠ UNMAPPED"))</f>
        <v>Depreciation expenses</v>
      </c>
      <c r="I223" s="18" t="str">
        <f>IF($A223="","",IFERROR(INDEX(Map!$E$2:$E$400,MATCH($A223,Map!$A$2:$A$400,0)),"⚠ UNMAPPED"))</f>
        <v>Depreciation expenses</v>
      </c>
      <c r="J223" s="18" t="str">
        <f>IF($A223="","",IFERROR(INDEX(Map!$F$2:$F$400,MATCH($A223,Map!$A$2:$A$400,0)),"⚠ UNMAPPED"))</f>
        <v>Depreciation of property, plant and equipment</v>
      </c>
    </row>
    <row r="224" spans="1:10" x14ac:dyDescent="0.25">
      <c r="A224" s="38">
        <v>700051</v>
      </c>
      <c r="B224" t="s">
        <v>1072</v>
      </c>
      <c r="C224" s="158"/>
      <c r="D224" s="158">
        <v>232075.96</v>
      </c>
      <c r="E224" s="158"/>
      <c r="F224" s="158">
        <v>232075.96</v>
      </c>
      <c r="G224" s="18" t="str">
        <f>IF($A224="","",IFERROR(INDEX(Map!$C$2:$C$400,MATCH($A224,Map!$A$2:$A$400,0)),"⚠ UNMAPPED"))</f>
        <v>IS</v>
      </c>
      <c r="H224" s="18" t="str">
        <f>IF($A224="","",IFERROR(INDEX(Map!$D$2:$D$400,MATCH($A224,Map!$A$2:$A$400,0)),"⚠ UNMAPPED"))</f>
        <v>Depreciation expenses</v>
      </c>
      <c r="I224" s="18" t="str">
        <f>IF($A224="","",IFERROR(INDEX(Map!$E$2:$E$400,MATCH($A224,Map!$A$2:$A$400,0)),"⚠ UNMAPPED"))</f>
        <v>Depreciation expenses</v>
      </c>
      <c r="J224" s="18" t="str">
        <f>IF($A224="","",IFERROR(INDEX(Map!$F$2:$F$400,MATCH($A224,Map!$A$2:$A$400,0)),"⚠ UNMAPPED"))</f>
        <v>Depreciation of property, plant and equipment</v>
      </c>
    </row>
    <row r="225" spans="1:10" x14ac:dyDescent="0.25">
      <c r="A225" s="38">
        <v>700052</v>
      </c>
      <c r="B225" t="s">
        <v>1073</v>
      </c>
      <c r="C225" s="158"/>
      <c r="D225" s="158">
        <v>368334.05599999998</v>
      </c>
      <c r="E225" s="158"/>
      <c r="F225" s="158">
        <v>368334.05599999998</v>
      </c>
      <c r="G225" s="18" t="str">
        <f>IF($A225="","",IFERROR(INDEX(Map!$C$2:$C$400,MATCH($A225,Map!$A$2:$A$400,0)),"⚠ UNMAPPED"))</f>
        <v>IS</v>
      </c>
      <c r="H225" s="18" t="str">
        <f>IF($A225="","",IFERROR(INDEX(Map!$D$2:$D$400,MATCH($A225,Map!$A$2:$A$400,0)),"⚠ UNMAPPED"))</f>
        <v>Depreciation expenses</v>
      </c>
      <c r="I225" s="18" t="str">
        <f>IF($A225="","",IFERROR(INDEX(Map!$E$2:$E$400,MATCH($A225,Map!$A$2:$A$400,0)),"⚠ UNMAPPED"))</f>
        <v>Depreciation expenses</v>
      </c>
      <c r="J225" s="18" t="str">
        <f>IF($A225="","",IFERROR(INDEX(Map!$F$2:$F$400,MATCH($A225,Map!$A$2:$A$400,0)),"⚠ UNMAPPED"))</f>
        <v>Depreciation of property, plant and equipment</v>
      </c>
    </row>
    <row r="226" spans="1:10" x14ac:dyDescent="0.25">
      <c r="A226" s="38">
        <v>700053</v>
      </c>
      <c r="B226" t="s">
        <v>1074</v>
      </c>
      <c r="C226" s="158"/>
      <c r="D226" s="158">
        <v>0</v>
      </c>
      <c r="E226" s="158"/>
      <c r="F226" s="158">
        <v>0</v>
      </c>
      <c r="G226" s="18" t="str">
        <f>IF($A226="","",IFERROR(INDEX(Map!$C$2:$C$400,MATCH($A226,Map!$A$2:$A$400,0)),"⚠ UNMAPPED"))</f>
        <v>IS</v>
      </c>
      <c r="H226" s="18" t="str">
        <f>IF($A226="","",IFERROR(INDEX(Map!$D$2:$D$400,MATCH($A226,Map!$A$2:$A$400,0)),"⚠ UNMAPPED"))</f>
        <v>Depreciation expenses</v>
      </c>
      <c r="I226" s="18" t="str">
        <f>IF($A226="","",IFERROR(INDEX(Map!$E$2:$E$400,MATCH($A226,Map!$A$2:$A$400,0)),"⚠ UNMAPPED"))</f>
        <v>Depreciation expenses</v>
      </c>
      <c r="J226" s="18" t="str">
        <f>IF($A226="","",IFERROR(INDEX(Map!$F$2:$F$400,MATCH($A226,Map!$A$2:$A$400,0)),"⚠ UNMAPPED"))</f>
        <v>Depreciation of property, plant and equipment</v>
      </c>
    </row>
    <row r="227" spans="1:10" x14ac:dyDescent="0.25">
      <c r="A227" s="38">
        <v>700054</v>
      </c>
      <c r="B227" t="s">
        <v>1075</v>
      </c>
      <c r="C227" s="158"/>
      <c r="D227" s="158">
        <v>9366.6640000000007</v>
      </c>
      <c r="E227" s="158"/>
      <c r="F227" s="158">
        <v>9366.6640000000007</v>
      </c>
      <c r="G227" s="18" t="str">
        <f>IF($A227="","",IFERROR(INDEX(Map!$C$2:$C$400,MATCH($A227,Map!$A$2:$A$400,0)),"⚠ UNMAPPED"))</f>
        <v>IS</v>
      </c>
      <c r="H227" s="18" t="str">
        <f>IF($A227="","",IFERROR(INDEX(Map!$D$2:$D$400,MATCH($A227,Map!$A$2:$A$400,0)),"⚠ UNMAPPED"))</f>
        <v>Depreciation expenses</v>
      </c>
      <c r="I227" s="18" t="str">
        <f>IF($A227="","",IFERROR(INDEX(Map!$E$2:$E$400,MATCH($A227,Map!$A$2:$A$400,0)),"⚠ UNMAPPED"))</f>
        <v>Depreciation expenses</v>
      </c>
      <c r="J227" s="18" t="str">
        <f>IF($A227="","",IFERROR(INDEX(Map!$F$2:$F$400,MATCH($A227,Map!$A$2:$A$400,0)),"⚠ UNMAPPED"))</f>
        <v>Depreciation of property, plant and equipment</v>
      </c>
    </row>
    <row r="228" spans="1:10" x14ac:dyDescent="0.25">
      <c r="A228" s="38">
        <v>700055</v>
      </c>
      <c r="B228" t="s">
        <v>1076</v>
      </c>
      <c r="C228" s="158"/>
      <c r="D228" s="158">
        <v>102437.408</v>
      </c>
      <c r="E228" s="158"/>
      <c r="F228" s="158">
        <v>102437.408</v>
      </c>
      <c r="G228" s="18" t="str">
        <f>IF($A228="","",IFERROR(INDEX(Map!$C$2:$C$400,MATCH($A228,Map!$A$2:$A$400,0)),"⚠ UNMAPPED"))</f>
        <v>IS</v>
      </c>
      <c r="H228" s="18" t="str">
        <f>IF($A228="","",IFERROR(INDEX(Map!$D$2:$D$400,MATCH($A228,Map!$A$2:$A$400,0)),"⚠ UNMAPPED"))</f>
        <v>Depreciation expenses</v>
      </c>
      <c r="I228" s="18" t="str">
        <f>IF($A228="","",IFERROR(INDEX(Map!$E$2:$E$400,MATCH($A228,Map!$A$2:$A$400,0)),"⚠ UNMAPPED"))</f>
        <v>Depreciation expenses</v>
      </c>
      <c r="J228" s="18" t="str">
        <f>IF($A228="","",IFERROR(INDEX(Map!$F$2:$F$400,MATCH($A228,Map!$A$2:$A$400,0)),"⚠ UNMAPPED"))</f>
        <v>Depreciation of property, plant and equipment</v>
      </c>
    </row>
    <row r="229" spans="1:10" x14ac:dyDescent="0.25">
      <c r="A229" s="38">
        <v>700056</v>
      </c>
      <c r="B229" t="s">
        <v>1077</v>
      </c>
      <c r="C229" s="158"/>
      <c r="D229" s="158">
        <v>73235.304000000004</v>
      </c>
      <c r="E229" s="158"/>
      <c r="F229" s="158">
        <v>73235.304000000004</v>
      </c>
      <c r="G229" s="18" t="str">
        <f>IF($A229="","",IFERROR(INDEX(Map!$C$2:$C$400,MATCH($A229,Map!$A$2:$A$400,0)),"⚠ UNMAPPED"))</f>
        <v>IS</v>
      </c>
      <c r="H229" s="18" t="str">
        <f>IF($A229="","",IFERROR(INDEX(Map!$D$2:$D$400,MATCH($A229,Map!$A$2:$A$400,0)),"⚠ UNMAPPED"))</f>
        <v>Depreciation expenses</v>
      </c>
      <c r="I229" s="18" t="str">
        <f>IF($A229="","",IFERROR(INDEX(Map!$E$2:$E$400,MATCH($A229,Map!$A$2:$A$400,0)),"⚠ UNMAPPED"))</f>
        <v>Depreciation expenses</v>
      </c>
      <c r="J229" s="18" t="str">
        <f>IF($A229="","",IFERROR(INDEX(Map!$F$2:$F$400,MATCH($A229,Map!$A$2:$A$400,0)),"⚠ UNMAPPED"))</f>
        <v>Depreciation of property, plant and equipment</v>
      </c>
    </row>
    <row r="230" spans="1:10" x14ac:dyDescent="0.25">
      <c r="A230" s="38">
        <v>600001</v>
      </c>
      <c r="B230" t="s">
        <v>1150</v>
      </c>
      <c r="C230" s="158"/>
      <c r="D230" s="158"/>
      <c r="E230" s="158">
        <v>496011.35</v>
      </c>
      <c r="F230" s="158">
        <v>-496011.35</v>
      </c>
      <c r="G230" s="18" t="str">
        <f>IF($A230="","",IFERROR(INDEX(Map!$C$2:$C$400,MATCH($A230,Map!$A$2:$A$400,0)),"⚠ UNMAPPED"))</f>
        <v>IS</v>
      </c>
      <c r="H230" s="18" t="str">
        <f>IF($A230="","",IFERROR(INDEX(Map!$D$2:$D$400,MATCH($A230,Map!$A$2:$A$400,0)),"⚠ UNMAPPED"))</f>
        <v>Cost of sales</v>
      </c>
      <c r="I230" s="18" t="str">
        <f>IF($A230="","",IFERROR(INDEX(Map!$E$2:$E$400,MATCH($A230,Map!$A$2:$A$400,0)),"⚠ UNMAPPED"))</f>
        <v>Overhead - Labor Cost</v>
      </c>
      <c r="J230" s="18" t="str">
        <f>IF($A230="","",IFERROR(INDEX(Map!$F$2:$F$400,MATCH($A230,Map!$A$2:$A$400,0)),"⚠ UNMAPPED"))</f>
        <v>Indirect Salaries — factory supervisory / indirect floor labour (COGS)</v>
      </c>
    </row>
    <row r="231" spans="1:10" x14ac:dyDescent="0.25">
      <c r="A231" s="38">
        <v>600002</v>
      </c>
      <c r="B231" t="s">
        <v>1151</v>
      </c>
      <c r="C231" s="158"/>
      <c r="D231" s="158"/>
      <c r="E231" s="158">
        <v>71010.37</v>
      </c>
      <c r="F231" s="158">
        <v>-71010.37</v>
      </c>
      <c r="G231" s="18" t="str">
        <f>IF($A231="","",IFERROR(INDEX(Map!$C$2:$C$400,MATCH($A231,Map!$A$2:$A$400,0)),"⚠ UNMAPPED"))</f>
        <v>IS</v>
      </c>
      <c r="H231" s="18" t="str">
        <f>IF($A231="","",IFERROR(INDEX(Map!$D$2:$D$400,MATCH($A231,Map!$A$2:$A$400,0)),"⚠ UNMAPPED"))</f>
        <v>Cost of sales</v>
      </c>
      <c r="I231" s="18" t="str">
        <f>IF($A231="","",IFERROR(INDEX(Map!$E$2:$E$400,MATCH($A231,Map!$A$2:$A$400,0)),"⚠ UNMAPPED"))</f>
        <v>Overhead - Labor Cost</v>
      </c>
      <c r="J231" s="18" t="str">
        <f>IF($A231="","",IFERROR(INDEX(Map!$F$2:$F$400,MATCH($A231,Map!$A$2:$A$400,0)),"⚠ UNMAPPED"))</f>
        <v>Overtime pay</v>
      </c>
    </row>
    <row r="232" spans="1:10" x14ac:dyDescent="0.25">
      <c r="A232" s="38">
        <v>600003</v>
      </c>
      <c r="B232" t="s">
        <v>1152</v>
      </c>
      <c r="C232" s="158"/>
      <c r="D232" s="158"/>
      <c r="E232" s="158">
        <v>17379.260999999999</v>
      </c>
      <c r="F232" s="158">
        <v>-17379.260999999999</v>
      </c>
      <c r="G232" s="18" t="str">
        <f>IF($A232="","",IFERROR(INDEX(Map!$C$2:$C$400,MATCH($A232,Map!$A$2:$A$400,0)),"⚠ UNMAPPED"))</f>
        <v>IS</v>
      </c>
      <c r="H232" s="18" t="str">
        <f>IF($A232="","",IFERROR(INDEX(Map!$D$2:$D$400,MATCH($A232,Map!$A$2:$A$400,0)),"⚠ UNMAPPED"))</f>
        <v>Cost of sales</v>
      </c>
      <c r="I232" s="18" t="str">
        <f>IF($A232="","",IFERROR(INDEX(Map!$E$2:$E$400,MATCH($A232,Map!$A$2:$A$400,0)),"⚠ UNMAPPED"))</f>
        <v>Overhead - Labor Cost</v>
      </c>
      <c r="J232" s="18" t="str">
        <f>IF($A232="","",IFERROR(INDEX(Map!$F$2:$F$400,MATCH($A232,Map!$A$2:$A$400,0)),"⚠ UNMAPPED"))</f>
        <v xml:space="preserve">Food &amp; Housing </v>
      </c>
    </row>
    <row r="233" spans="1:10" x14ac:dyDescent="0.25">
      <c r="A233" s="38">
        <v>600004</v>
      </c>
      <c r="B233" t="s">
        <v>1153</v>
      </c>
      <c r="C233" s="158"/>
      <c r="D233" s="158"/>
      <c r="E233" s="158">
        <v>36457.928999999996</v>
      </c>
      <c r="F233" s="158">
        <v>-36457.928999999996</v>
      </c>
      <c r="G233" s="18" t="str">
        <f>IF($A233="","",IFERROR(INDEX(Map!$C$2:$C$400,MATCH($A233,Map!$A$2:$A$400,0)),"⚠ UNMAPPED"))</f>
        <v>IS</v>
      </c>
      <c r="H233" s="18" t="str">
        <f>IF($A233="","",IFERROR(INDEX(Map!$D$2:$D$400,MATCH($A233,Map!$A$2:$A$400,0)),"⚠ UNMAPPED"))</f>
        <v>Cost of sales</v>
      </c>
      <c r="I233" s="18" t="str">
        <f>IF($A233="","",IFERROR(INDEX(Map!$E$2:$E$400,MATCH($A233,Map!$A$2:$A$400,0)),"⚠ UNMAPPED"))</f>
        <v>Overhead - Labor Cost</v>
      </c>
      <c r="J233" s="18" t="str">
        <f>IF($A233="","",IFERROR(INDEX(Map!$F$2:$F$400,MATCH($A233,Map!$A$2:$A$400,0)),"⚠ UNMAPPED"))</f>
        <v>Medical insurance</v>
      </c>
    </row>
    <row r="234" spans="1:10" x14ac:dyDescent="0.25">
      <c r="A234" s="38">
        <v>600006</v>
      </c>
      <c r="B234" t="s">
        <v>1155</v>
      </c>
      <c r="C234" s="158"/>
      <c r="D234" s="158"/>
      <c r="E234" s="158">
        <v>108056.208</v>
      </c>
      <c r="F234" s="158">
        <v>-108056.208</v>
      </c>
      <c r="G234" s="18" t="str">
        <f>IF($A234="","",IFERROR(INDEX(Map!$C$2:$C$400,MATCH($A234,Map!$A$2:$A$400,0)),"⚠ UNMAPPED"))</f>
        <v>IS</v>
      </c>
      <c r="H234" s="18" t="str">
        <f>IF($A234="","",IFERROR(INDEX(Map!$D$2:$D$400,MATCH($A234,Map!$A$2:$A$400,0)),"⚠ UNMAPPED"))</f>
        <v>Cost of sales</v>
      </c>
      <c r="I234" s="18" t="str">
        <f>IF($A234="","",IFERROR(INDEX(Map!$E$2:$E$400,MATCH($A234,Map!$A$2:$A$400,0)),"⚠ UNMAPPED"))</f>
        <v>Overhead - Labor Cost</v>
      </c>
      <c r="J234" s="18" t="str">
        <f>IF($A234="","",IFERROR(INDEX(Map!$F$2:$F$400,MATCH($A234,Map!$A$2:$A$400,0)),"⚠ UNMAPPED"))</f>
        <v xml:space="preserve">Food &amp; Housing </v>
      </c>
    </row>
    <row r="235" spans="1:10" x14ac:dyDescent="0.25">
      <c r="A235" s="38">
        <v>600007</v>
      </c>
      <c r="B235" t="s">
        <v>1156</v>
      </c>
      <c r="C235" s="158"/>
      <c r="D235" s="158"/>
      <c r="E235" s="158">
        <v>52645.08</v>
      </c>
      <c r="F235" s="158">
        <v>-52645.08</v>
      </c>
      <c r="G235" s="18" t="str">
        <f>IF($A235="","",IFERROR(INDEX(Map!$C$2:$C$400,MATCH($A235,Map!$A$2:$A$400,0)),"⚠ UNMAPPED"))</f>
        <v>IS</v>
      </c>
      <c r="H235" s="18" t="str">
        <f>IF($A235="","",IFERROR(INDEX(Map!$D$2:$D$400,MATCH($A235,Map!$A$2:$A$400,0)),"⚠ UNMAPPED"))</f>
        <v>Cost of sales</v>
      </c>
      <c r="I235" s="18" t="str">
        <f>IF($A235="","",IFERROR(INDEX(Map!$E$2:$E$400,MATCH($A235,Map!$A$2:$A$400,0)),"⚠ UNMAPPED"))</f>
        <v>Overhead - Labor Cost</v>
      </c>
      <c r="J235" s="18" t="str">
        <f>IF($A235="","",IFERROR(INDEX(Map!$F$2:$F$400,MATCH($A235,Map!$A$2:$A$400,0)),"⚠ UNMAPPED"))</f>
        <v>Transportation allowance</v>
      </c>
    </row>
    <row r="236" spans="1:10" x14ac:dyDescent="0.25">
      <c r="A236" s="38">
        <v>600008</v>
      </c>
      <c r="B236" t="s">
        <v>1157</v>
      </c>
      <c r="C236" s="158"/>
      <c r="D236" s="158"/>
      <c r="E236" s="158">
        <v>19274.207999999999</v>
      </c>
      <c r="F236" s="158">
        <v>-19274.207999999999</v>
      </c>
      <c r="G236" s="18" t="str">
        <f>IF($A236="","",IFERROR(INDEX(Map!$C$2:$C$400,MATCH($A236,Map!$A$2:$A$400,0)),"⚠ UNMAPPED"))</f>
        <v>IS</v>
      </c>
      <c r="H236" s="18" t="str">
        <f>IF($A236="","",IFERROR(INDEX(Map!$D$2:$D$400,MATCH($A236,Map!$A$2:$A$400,0)),"⚠ UNMAPPED"))</f>
        <v>Cost of sales</v>
      </c>
      <c r="I236" s="18" t="str">
        <f>IF($A236="","",IFERROR(INDEX(Map!$E$2:$E$400,MATCH($A236,Map!$A$2:$A$400,0)),"⚠ UNMAPPED"))</f>
        <v>Overhead - Labor Cost</v>
      </c>
      <c r="J236" s="18" t="str">
        <f>IF($A236="","",IFERROR(INDEX(Map!$F$2:$F$400,MATCH($A236,Map!$A$2:$A$400,0)),"⚠ UNMAPPED"))</f>
        <v>Air tickets</v>
      </c>
    </row>
    <row r="237" spans="1:10" x14ac:dyDescent="0.25">
      <c r="A237" s="38">
        <v>600009</v>
      </c>
      <c r="B237" t="s">
        <v>1158</v>
      </c>
      <c r="C237" s="158"/>
      <c r="D237" s="158"/>
      <c r="E237" s="158">
        <v>51939.839999999997</v>
      </c>
      <c r="F237" s="158">
        <v>-51939.839999999997</v>
      </c>
      <c r="G237" s="18" t="str">
        <f>IF($A237="","",IFERROR(INDEX(Map!$C$2:$C$400,MATCH($A237,Map!$A$2:$A$400,0)),"⚠ UNMAPPED"))</f>
        <v>IS</v>
      </c>
      <c r="H237" s="18" t="str">
        <f>IF($A237="","",IFERROR(INDEX(Map!$D$2:$D$400,MATCH($A237,Map!$A$2:$A$400,0)),"⚠ UNMAPPED"))</f>
        <v>Cost of sales</v>
      </c>
      <c r="I237" s="18" t="str">
        <f>IF($A237="","",IFERROR(INDEX(Map!$E$2:$E$400,MATCH($A237,Map!$A$2:$A$400,0)),"⚠ UNMAPPED"))</f>
        <v>Overhead - Labor Cost</v>
      </c>
      <c r="J237" s="18" t="str">
        <f>IF($A237="","",IFERROR(INDEX(Map!$F$2:$F$400,MATCH($A237,Map!$A$2:$A$400,0)),"⚠ UNMAPPED"))</f>
        <v>Vacation pay</v>
      </c>
    </row>
    <row r="238" spans="1:10" x14ac:dyDescent="0.25">
      <c r="A238" s="38">
        <v>600010</v>
      </c>
      <c r="B238" t="s">
        <v>1159</v>
      </c>
      <c r="C238" s="158"/>
      <c r="D238" s="158"/>
      <c r="E238" s="158">
        <v>34764.9</v>
      </c>
      <c r="F238" s="158">
        <v>-34764.9</v>
      </c>
      <c r="G238" s="18" t="str">
        <f>IF($A238="","",IFERROR(INDEX(Map!$C$2:$C$400,MATCH($A238,Map!$A$2:$A$400,0)),"⚠ UNMAPPED"))</f>
        <v>IS</v>
      </c>
      <c r="H238" s="18" t="str">
        <f>IF($A238="","",IFERROR(INDEX(Map!$D$2:$D$400,MATCH($A238,Map!$A$2:$A$400,0)),"⚠ UNMAPPED"))</f>
        <v>Cost of sales</v>
      </c>
      <c r="I238" s="18" t="str">
        <f>IF($A238="","",IFERROR(INDEX(Map!$E$2:$E$400,MATCH($A238,Map!$A$2:$A$400,0)),"⚠ UNMAPPED"))</f>
        <v>Overhead - Labor Cost</v>
      </c>
      <c r="J238" s="18" t="str">
        <f>IF($A238="","",IFERROR(INDEX(Map!$F$2:$F$400,MATCH($A238,Map!$A$2:$A$400,0)),"⚠ UNMAPPED"))</f>
        <v>EOS expenses</v>
      </c>
    </row>
    <row r="239" spans="1:10" x14ac:dyDescent="0.25">
      <c r="A239" s="38">
        <v>600011</v>
      </c>
      <c r="B239" t="s">
        <v>1160</v>
      </c>
      <c r="C239" s="158"/>
      <c r="D239" s="158"/>
      <c r="E239" s="158">
        <v>1676.499</v>
      </c>
      <c r="F239" s="158">
        <v>-1676.499</v>
      </c>
      <c r="G239" s="18" t="str">
        <f>IF($A239="","",IFERROR(INDEX(Map!$C$2:$C$400,MATCH($A239,Map!$A$2:$A$400,0)),"⚠ UNMAPPED"))</f>
        <v>IS</v>
      </c>
      <c r="H239" s="18" t="str">
        <f>IF($A239="","",IFERROR(INDEX(Map!$D$2:$D$400,MATCH($A239,Map!$A$2:$A$400,0)),"⚠ UNMAPPED"))</f>
        <v>Cost of sales</v>
      </c>
      <c r="I239" s="18" t="str">
        <f>IF($A239="","",IFERROR(INDEX(Map!$E$2:$E$400,MATCH($A239,Map!$A$2:$A$400,0)),"⚠ UNMAPPED"))</f>
        <v>Overhead - Labor Cost</v>
      </c>
      <c r="J239" s="18" t="str">
        <f>IF($A239="","",IFERROR(INDEX(Map!$F$2:$F$400,MATCH($A239,Map!$A$2:$A$400,0)),"⚠ UNMAPPED"))</f>
        <v>Air tickets</v>
      </c>
    </row>
    <row r="240" spans="1:10" x14ac:dyDescent="0.25">
      <c r="A240" s="38">
        <v>600012</v>
      </c>
      <c r="B240" t="s">
        <v>1034</v>
      </c>
      <c r="C240" s="158"/>
      <c r="D240" s="158"/>
      <c r="E240" s="158">
        <v>13306</v>
      </c>
      <c r="F240" s="158">
        <v>-13306</v>
      </c>
      <c r="G240" s="18" t="str">
        <f>IF($A240="","",IFERROR(INDEX(Map!$C$2:$C$400,MATCH($A240,Map!$A$2:$A$400,0)),"⚠ UNMAPPED"))</f>
        <v>IS</v>
      </c>
      <c r="H240" s="18" t="str">
        <f>IF($A240="","",IFERROR(INDEX(Map!$D$2:$D$400,MATCH($A240,Map!$A$2:$A$400,0)),"⚠ UNMAPPED"))</f>
        <v>Cost of sales</v>
      </c>
      <c r="I240" s="18" t="str">
        <f>IF($A240="","",IFERROR(INDEX(Map!$E$2:$E$400,MATCH($A240,Map!$A$2:$A$400,0)),"⚠ UNMAPPED"))</f>
        <v>Overhead - Labor Cost</v>
      </c>
      <c r="J240" s="18" t="str">
        <f>IF($A240="","",IFERROR(INDEX(Map!$F$2:$F$400,MATCH($A240,Map!$A$2:$A$400,0)),"⚠ UNMAPPED"))</f>
        <v xml:space="preserve">Education &amp; Furniture Allowances </v>
      </c>
    </row>
    <row r="241" spans="1:10" x14ac:dyDescent="0.25">
      <c r="A241" s="38">
        <v>600013</v>
      </c>
      <c r="B241" t="s">
        <v>1035</v>
      </c>
      <c r="C241" s="158"/>
      <c r="D241" s="158"/>
      <c r="E241" s="158">
        <v>11173</v>
      </c>
      <c r="F241" s="158">
        <v>-11173</v>
      </c>
      <c r="G241" s="18" t="str">
        <f>IF($A241="","",IFERROR(INDEX(Map!$C$2:$C$400,MATCH($A241,Map!$A$2:$A$400,0)),"⚠ UNMAPPED"))</f>
        <v>IS</v>
      </c>
      <c r="H241" s="18" t="str">
        <f>IF($A241="","",IFERROR(INDEX(Map!$D$2:$D$400,MATCH($A241,Map!$A$2:$A$400,0)),"⚠ UNMAPPED"))</f>
        <v>Cost of sales</v>
      </c>
      <c r="I241" s="18" t="str">
        <f>IF($A241="","",IFERROR(INDEX(Map!$E$2:$E$400,MATCH($A241,Map!$A$2:$A$400,0)),"⚠ UNMAPPED"))</f>
        <v>Overhead - Labor Cost</v>
      </c>
      <c r="J241" s="18" t="str">
        <f>IF($A241="","",IFERROR(INDEX(Map!$F$2:$F$400,MATCH($A241,Map!$A$2:$A$400,0)),"⚠ UNMAPPED"))</f>
        <v>Telephone allowance</v>
      </c>
    </row>
    <row r="242" spans="1:10" x14ac:dyDescent="0.25">
      <c r="A242" s="38">
        <v>600034</v>
      </c>
      <c r="B242" t="s">
        <v>1171</v>
      </c>
      <c r="C242" s="158"/>
      <c r="D242" s="158"/>
      <c r="E242" s="158">
        <v>37824.660000000003</v>
      </c>
      <c r="F242" s="158">
        <v>-37824.660000000003</v>
      </c>
      <c r="G242" s="18" t="str">
        <f>IF($A242="","",IFERROR(INDEX(Map!$C$2:$C$400,MATCH($A242,Map!$A$2:$A$400,0)),"⚠ UNMAPPED"))</f>
        <v>IS</v>
      </c>
      <c r="H242" s="18" t="str">
        <f>IF($A242="","",IFERROR(INDEX(Map!$D$2:$D$400,MATCH($A242,Map!$A$2:$A$400,0)),"⚠ UNMAPPED"))</f>
        <v>Cost of sales</v>
      </c>
      <c r="I242" s="18" t="str">
        <f>IF($A242="","",IFERROR(INDEX(Map!$E$2:$E$400,MATCH($A242,Map!$A$2:$A$400,0)),"⚠ UNMAPPED"))</f>
        <v>Overhead - Rent Labor</v>
      </c>
      <c r="J242" s="18" t="str">
        <f>IF($A242="","",IFERROR(INDEX(Map!$F$2:$F$400,MATCH($A242,Map!$A$2:$A$400,0)),"⚠ UNMAPPED"))</f>
        <v>Rental labor</v>
      </c>
    </row>
    <row r="243" spans="1:10" x14ac:dyDescent="0.25">
      <c r="A243" s="38">
        <v>600035</v>
      </c>
      <c r="B243" t="s">
        <v>1012</v>
      </c>
      <c r="C243" s="158"/>
      <c r="D243" s="158"/>
      <c r="E243" s="158">
        <v>78671.967999999993</v>
      </c>
      <c r="F243" s="158">
        <v>-78671.967999999993</v>
      </c>
      <c r="G243" s="18" t="str">
        <f>IF($A243="","",IFERROR(INDEX(Map!$C$2:$C$400,MATCH($A243,Map!$A$2:$A$400,0)),"⚠ UNMAPPED"))</f>
        <v>IS</v>
      </c>
      <c r="H243" s="18" t="str">
        <f>IF($A243="","",IFERROR(INDEX(Map!$D$2:$D$400,MATCH($A243,Map!$A$2:$A$400,0)),"⚠ UNMAPPED"))</f>
        <v>Cost of sales</v>
      </c>
      <c r="I243" s="18" t="str">
        <f>IF($A243="","",IFERROR(INDEX(Map!$E$2:$E$400,MATCH($A243,Map!$A$2:$A$400,0)),"⚠ UNMAPPED"))</f>
        <v>Overhead - Labor Cost</v>
      </c>
      <c r="J243" s="18" t="str">
        <f>IF($A243="","",IFERROR(INDEX(Map!$F$2:$F$400,MATCH($A243,Map!$A$2:$A$400,0)),"⚠ UNMAPPED"))</f>
        <v>Indirect Salaries — factory supervisory / indirect floor labour (COGS)</v>
      </c>
    </row>
    <row r="244" spans="1:10" x14ac:dyDescent="0.25">
      <c r="A244" s="38">
        <v>600038</v>
      </c>
      <c r="B244" t="s">
        <v>1015</v>
      </c>
      <c r="C244" s="158"/>
      <c r="D244" s="158"/>
      <c r="E244" s="158">
        <v>18300.400000000001</v>
      </c>
      <c r="F244" s="158">
        <v>-18300.400000000001</v>
      </c>
      <c r="G244" s="18" t="str">
        <f>IF($A244="","",IFERROR(INDEX(Map!$C$2:$C$400,MATCH($A244,Map!$A$2:$A$400,0)),"⚠ UNMAPPED"))</f>
        <v>IS</v>
      </c>
      <c r="H244" s="18" t="str">
        <f>IF($A244="","",IFERROR(INDEX(Map!$D$2:$D$400,MATCH($A244,Map!$A$2:$A$400,0)),"⚠ UNMAPPED"))</f>
        <v>Cost of sales</v>
      </c>
      <c r="I244" s="18" t="str">
        <f>IF($A244="","",IFERROR(INDEX(Map!$E$2:$E$400,MATCH($A244,Map!$A$2:$A$400,0)),"⚠ UNMAPPED"))</f>
        <v>Overhead - Labor Cost</v>
      </c>
      <c r="J244" s="18" t="str">
        <f>IF($A244="","",IFERROR(INDEX(Map!$F$2:$F$400,MATCH($A244,Map!$A$2:$A$400,0)),"⚠ UNMAPPED"))</f>
        <v>Overhead - Labor Cost</v>
      </c>
    </row>
    <row r="245" spans="1:10" x14ac:dyDescent="0.25">
      <c r="A245" s="38">
        <v>600041</v>
      </c>
      <c r="B245" t="s">
        <v>1017</v>
      </c>
      <c r="C245" s="158"/>
      <c r="D245" s="158"/>
      <c r="E245" s="158">
        <v>12635.073</v>
      </c>
      <c r="F245" s="158">
        <v>-12635.073</v>
      </c>
      <c r="G245" s="18" t="str">
        <f>IF($A245="","",IFERROR(INDEX(Map!$C$2:$C$400,MATCH($A245,Map!$A$2:$A$400,0)),"⚠ UNMAPPED"))</f>
        <v>IS</v>
      </c>
      <c r="H245" s="18" t="str">
        <f>IF($A245="","",IFERROR(INDEX(Map!$D$2:$D$400,MATCH($A245,Map!$A$2:$A$400,0)),"⚠ UNMAPPED"))</f>
        <v>Cost of sales</v>
      </c>
      <c r="I245" s="18" t="str">
        <f>IF($A245="","",IFERROR(INDEX(Map!$E$2:$E$400,MATCH($A245,Map!$A$2:$A$400,0)),"⚠ UNMAPPED"))</f>
        <v>Overhead - Labor Cost</v>
      </c>
      <c r="J245" s="18" t="str">
        <f>IF($A245="","",IFERROR(INDEX(Map!$F$2:$F$400,MATCH($A245,Map!$A$2:$A$400,0)),"⚠ UNMAPPED"))</f>
        <v>Indirect Salaries — factory supervisory / indirect floor labour (COGS)</v>
      </c>
    </row>
    <row r="246" spans="1:10" x14ac:dyDescent="0.25">
      <c r="A246" s="38">
        <v>600045</v>
      </c>
      <c r="B246" t="s">
        <v>1020</v>
      </c>
      <c r="C246" s="158"/>
      <c r="D246" s="158"/>
      <c r="E246" s="158">
        <v>4302.5630000000001</v>
      </c>
      <c r="F246" s="158">
        <v>-4302.5630000000001</v>
      </c>
      <c r="G246" s="18" t="str">
        <f>IF($A246="","",IFERROR(INDEX(Map!$C$2:$C$400,MATCH($A246,Map!$A$2:$A$400,0)),"⚠ UNMAPPED"))</f>
        <v>IS</v>
      </c>
      <c r="H246" s="18" t="str">
        <f>IF($A246="","",IFERROR(INDEX(Map!$D$2:$D$400,MATCH($A246,Map!$A$2:$A$400,0)),"⚠ UNMAPPED"))</f>
        <v>Cost of sales</v>
      </c>
      <c r="I246" s="18" t="str">
        <f>IF($A246="","",IFERROR(INDEX(Map!$E$2:$E$400,MATCH($A246,Map!$A$2:$A$400,0)),"⚠ UNMAPPED"))</f>
        <v>Overhead - Labor Cost</v>
      </c>
      <c r="J246" s="18" t="str">
        <f>IF($A246="","",IFERROR(INDEX(Map!$F$2:$F$400,MATCH($A246,Map!$A$2:$A$400,0)),"⚠ UNMAPPED"))</f>
        <v>Overhead - Labor Cost</v>
      </c>
    </row>
    <row r="247" spans="1:10" x14ac:dyDescent="0.25">
      <c r="A247" s="38">
        <v>600001</v>
      </c>
      <c r="B247" t="s">
        <v>1101</v>
      </c>
      <c r="C247" s="158"/>
      <c r="D247" s="158">
        <v>1065429.3089999999</v>
      </c>
      <c r="E247" s="158"/>
      <c r="F247" s="158">
        <v>1065429.3089999999</v>
      </c>
      <c r="G247" s="18" t="str">
        <f>IF($A247="","",IFERROR(INDEX(Map!$C$2:$C$400,MATCH($A247,Map!$A$2:$A$400,0)),"⚠ UNMAPPED"))</f>
        <v>IS</v>
      </c>
      <c r="H247" s="18" t="str">
        <f>IF($A247="","",IFERROR(INDEX(Map!$D$2:$D$400,MATCH($A247,Map!$A$2:$A$400,0)),"⚠ UNMAPPED"))</f>
        <v>Cost of sales</v>
      </c>
      <c r="I247" s="18" t="str">
        <f>IF($A247="","",IFERROR(INDEX(Map!$E$2:$E$400,MATCH($A247,Map!$A$2:$A$400,0)),"⚠ UNMAPPED"))</f>
        <v>Overhead - Labor Cost</v>
      </c>
      <c r="J247" s="18" t="str">
        <f>IF($A247="","",IFERROR(INDEX(Map!$F$2:$F$400,MATCH($A247,Map!$A$2:$A$400,0)),"⚠ UNMAPPED"))</f>
        <v>Indirect Salaries — factory supervisory / indirect floor labour (COGS)</v>
      </c>
    </row>
    <row r="248" spans="1:10" x14ac:dyDescent="0.25">
      <c r="A248" s="38">
        <v>700060</v>
      </c>
      <c r="B248" t="s">
        <v>1081</v>
      </c>
      <c r="C248" s="158"/>
      <c r="D248" s="158"/>
      <c r="E248" s="158"/>
      <c r="F248" s="158">
        <v>0</v>
      </c>
      <c r="G248" s="18" t="str">
        <f>IF($A248="","",IFERROR(INDEX(Map!$C$2:$C$400,MATCH($A248,Map!$A$2:$A$400,0)),"⚠ UNMAPPED"))</f>
        <v>IS</v>
      </c>
      <c r="H248" s="18" t="str">
        <f>IF($A248="","",IFERROR(INDEX(Map!$D$2:$D$400,MATCH($A248,Map!$A$2:$A$400,0)),"⚠ UNMAPPED"))</f>
        <v>Selling and Marketing</v>
      </c>
      <c r="I248" s="18" t="str">
        <f>IF($A248="","",IFERROR(INDEX(Map!$E$2:$E$400,MATCH($A248,Map!$A$2:$A$400,0)),"⚠ UNMAPPED"))</f>
        <v>Freight and shipping expenses (S&amp;D)</v>
      </c>
      <c r="J248" s="18" t="str">
        <f>IF($A248="","",IFERROR(INDEX(Map!$F$2:$F$400,MATCH($A248,Map!$A$2:$A$400,0)),"⚠ UNMAPPED"))</f>
        <v>Outbound freight / shipping — reclassified below gross profit under IFRS</v>
      </c>
    </row>
    <row r="249" spans="1:10" x14ac:dyDescent="0.25">
      <c r="A249" s="38">
        <v>250005</v>
      </c>
      <c r="B249" t="s">
        <v>1102</v>
      </c>
      <c r="C249" s="158"/>
      <c r="D249" s="158"/>
      <c r="E249" s="158">
        <v>0</v>
      </c>
      <c r="F249" s="158">
        <v>0</v>
      </c>
      <c r="G249" s="18" t="str">
        <f>IF($A249="","",IFERROR(INDEX(Map!$C$2:$C$400,MATCH($A249,Map!$A$2:$A$400,0)),"⚠ UNMAPPED"))</f>
        <v>BS</v>
      </c>
      <c r="H249" s="18" t="str">
        <f>IF($A249="","",IFERROR(INDEX(Map!$D$2:$D$400,MATCH($A249,Map!$A$2:$A$400,0)),"⚠ UNMAPPED"))</f>
        <v>Current Liabilities</v>
      </c>
      <c r="I249" s="18" t="str">
        <f>IF($A249="","",IFERROR(INDEX(Map!$E$2:$E$400,MATCH($A249,Map!$A$2:$A$400,0)),"⚠ UNMAPPED"))</f>
        <v>Tade payables and Accuals &amp; other credit balances</v>
      </c>
      <c r="J249" s="18" t="str">
        <f>IF($A249="","",IFERROR(INDEX(Map!$F$2:$F$400,MATCH($A249,Map!$A$2:$A$400,0)),"⚠ UNMAPPED"))</f>
        <v>Accrued expenses</v>
      </c>
    </row>
    <row r="250" spans="1:10" x14ac:dyDescent="0.25">
      <c r="A250" s="38">
        <v>520006</v>
      </c>
      <c r="B250" t="s">
        <v>955</v>
      </c>
      <c r="C250" s="158"/>
      <c r="D250" s="158"/>
      <c r="E250" s="158"/>
      <c r="F250" s="158">
        <v>0</v>
      </c>
      <c r="G250" s="18" t="str">
        <f>IF($A250="","",IFERROR(INDEX(Map!$C$2:$C$400,MATCH($A250,Map!$A$2:$A$400,0)),"⚠ UNMAPPED"))</f>
        <v>IS</v>
      </c>
      <c r="H250" s="18" t="str">
        <f>IF($A250="","",IFERROR(INDEX(Map!$D$2:$D$400,MATCH($A250,Map!$A$2:$A$400,0)),"⚠ UNMAPPED"))</f>
        <v>Cost of sales</v>
      </c>
      <c r="I250" s="18" t="str">
        <f>IF($A250="","",IFERROR(INDEX(Map!$E$2:$E$400,MATCH($A250,Map!$A$2:$A$400,0)),"⚠ UNMAPPED"))</f>
        <v>Direct Labor</v>
      </c>
      <c r="J250" s="18" t="str">
        <f>IF($A250="","",IFERROR(INDEX(Map!$F$2:$F$400,MATCH($A250,Map!$A$2:$A$400,0)),"⚠ UNMAPPED"))</f>
        <v>Medical insurance</v>
      </c>
    </row>
    <row r="251" spans="1:10" x14ac:dyDescent="0.25">
      <c r="A251" s="38">
        <v>170014</v>
      </c>
      <c r="B251" t="s">
        <v>1116</v>
      </c>
      <c r="C251" s="158"/>
      <c r="D251" s="158"/>
      <c r="E251" s="158">
        <v>0</v>
      </c>
      <c r="F251" s="158">
        <v>0</v>
      </c>
      <c r="G251" s="18" t="str">
        <f>IF($A251="","",IFERROR(INDEX(Map!$C$2:$C$400,MATCH($A251,Map!$A$2:$A$400,0)),"⚠ UNMAPPED"))</f>
        <v>BS</v>
      </c>
      <c r="H251" s="18" t="str">
        <f>IF($A251="","",IFERROR(INDEX(Map!$D$2:$D$400,MATCH($A251,Map!$A$2:$A$400,0)),"⚠ UNMAPPED"))</f>
        <v>Current Assets</v>
      </c>
      <c r="I251" s="18" t="str">
        <f>IF($A251="","",IFERROR(INDEX(Map!$E$2:$E$400,MATCH($A251,Map!$A$2:$A$400,0)),"⚠ UNMAPPED"))</f>
        <v>Prepaid expenses</v>
      </c>
      <c r="J251" s="18" t="str">
        <f>IF($A251="","",IFERROR(INDEX(Map!$F$2:$F$400,MATCH($A251,Map!$A$2:$A$400,0)),"⚠ UNMAPPED"))</f>
        <v>Insurance</v>
      </c>
    </row>
    <row r="252" spans="1:10" x14ac:dyDescent="0.25">
      <c r="A252" s="38">
        <v>700004</v>
      </c>
      <c r="B252" t="s">
        <v>1026</v>
      </c>
      <c r="C252" s="158"/>
      <c r="D252" s="158"/>
      <c r="E252" s="158"/>
      <c r="F252" s="158">
        <v>0</v>
      </c>
      <c r="G252" s="18" t="str">
        <f>IF($A252="","",IFERROR(INDEX(Map!$C$2:$C$400,MATCH($A252,Map!$A$2:$A$400,0)),"⚠ UNMAPPED"))</f>
        <v>IS</v>
      </c>
      <c r="H252" s="18" t="str">
        <f>IF($A252="","",IFERROR(INDEX(Map!$D$2:$D$400,MATCH($A252,Map!$A$2:$A$400,0)),"⚠ UNMAPPED"))</f>
        <v>General and Admin</v>
      </c>
      <c r="I252" s="18" t="str">
        <f>IF($A252="","",IFERROR(INDEX(Map!$E$2:$E$400,MATCH($A252,Map!$A$2:$A$400,0)),"⚠ UNMAPPED"))</f>
        <v>Salaries and wages</v>
      </c>
      <c r="J252" s="18" t="str">
        <f>IF($A252="","",IFERROR(INDEX(Map!$F$2:$F$400,MATCH($A252,Map!$A$2:$A$400,0)),"⚠ UNMAPPED"))</f>
        <v>Medical insurance</v>
      </c>
    </row>
    <row r="253" spans="1:10" x14ac:dyDescent="0.25">
      <c r="A253" s="38">
        <v>170014</v>
      </c>
      <c r="B253" t="s">
        <v>1116</v>
      </c>
      <c r="C253" s="158"/>
      <c r="D253" s="158"/>
      <c r="E253" s="158">
        <v>0</v>
      </c>
      <c r="F253" s="158">
        <v>0</v>
      </c>
      <c r="G253" s="18" t="str">
        <f>IF($A253="","",IFERROR(INDEX(Map!$C$2:$C$400,MATCH($A253,Map!$A$2:$A$400,0)),"⚠ UNMAPPED"))</f>
        <v>BS</v>
      </c>
      <c r="H253" s="18" t="str">
        <f>IF($A253="","",IFERROR(INDEX(Map!$D$2:$D$400,MATCH($A253,Map!$A$2:$A$400,0)),"⚠ UNMAPPED"))</f>
        <v>Current Assets</v>
      </c>
      <c r="I253" s="18" t="str">
        <f>IF($A253="","",IFERROR(INDEX(Map!$E$2:$E$400,MATCH($A253,Map!$A$2:$A$400,0)),"⚠ UNMAPPED"))</f>
        <v>Prepaid expenses</v>
      </c>
      <c r="J253" s="18" t="str">
        <f>IF($A253="","",IFERROR(INDEX(Map!$F$2:$F$400,MATCH($A253,Map!$A$2:$A$400,0)),"⚠ UNMAPPED"))</f>
        <v>Insurance</v>
      </c>
    </row>
    <row r="254" spans="1:10" x14ac:dyDescent="0.25">
      <c r="A254" s="38">
        <v>700008</v>
      </c>
      <c r="B254" t="s">
        <v>1030</v>
      </c>
      <c r="C254" s="158"/>
      <c r="D254" s="158"/>
      <c r="E254" s="158"/>
      <c r="F254" s="158">
        <v>0</v>
      </c>
      <c r="G254" s="18" t="str">
        <f>IF($A254="","",IFERROR(INDEX(Map!$C$2:$C$400,MATCH($A254,Map!$A$2:$A$400,0)),"⚠ UNMAPPED"))</f>
        <v>IS</v>
      </c>
      <c r="H254" s="18" t="str">
        <f>IF($A254="","",IFERROR(INDEX(Map!$D$2:$D$400,MATCH($A254,Map!$A$2:$A$400,0)),"⚠ UNMAPPED"))</f>
        <v>General and Admin</v>
      </c>
      <c r="I254" s="18" t="str">
        <f>IF($A254="","",IFERROR(INDEX(Map!$E$2:$E$400,MATCH($A254,Map!$A$2:$A$400,0)),"⚠ UNMAPPED"))</f>
        <v>Salaries and wages</v>
      </c>
      <c r="J254" s="18" t="str">
        <f>IF($A254="","",IFERROR(INDEX(Map!$F$2:$F$400,MATCH($A254,Map!$A$2:$A$400,0)),"⚠ UNMAPPED"))</f>
        <v>Air tickets</v>
      </c>
    </row>
    <row r="255" spans="1:10" x14ac:dyDescent="0.25">
      <c r="A255" s="38">
        <v>250008</v>
      </c>
      <c r="B255" t="s">
        <v>921</v>
      </c>
      <c r="C255" s="158"/>
      <c r="D255" s="158"/>
      <c r="E255" s="158">
        <v>0</v>
      </c>
      <c r="F255" s="158">
        <v>0</v>
      </c>
      <c r="G255" s="18" t="str">
        <f>IF($A255="","",IFERROR(INDEX(Map!$C$2:$C$400,MATCH($A255,Map!$A$2:$A$400,0)),"⚠ UNMAPPED"))</f>
        <v>BS</v>
      </c>
      <c r="H255" s="18" t="str">
        <f>IF($A255="","",IFERROR(INDEX(Map!$D$2:$D$400,MATCH($A255,Map!$A$2:$A$400,0)),"⚠ UNMAPPED"))</f>
        <v>Current Liabilities</v>
      </c>
      <c r="I255" s="18" t="str">
        <f>IF($A255="","",IFERROR(INDEX(Map!$E$2:$E$400,MATCH($A255,Map!$A$2:$A$400,0)),"⚠ UNMAPPED"))</f>
        <v>Tade payables and Accuals &amp; other credit balances</v>
      </c>
      <c r="J255" s="18" t="str">
        <f>IF($A255="","",IFERROR(INDEX(Map!$F$2:$F$400,MATCH($A255,Map!$A$2:$A$400,0)),"⚠ UNMAPPED"))</f>
        <v>Accrued tickets</v>
      </c>
    </row>
    <row r="256" spans="1:10" x14ac:dyDescent="0.25">
      <c r="A256" s="38">
        <v>111099</v>
      </c>
      <c r="B256" t="s">
        <v>828</v>
      </c>
      <c r="C256" s="158"/>
      <c r="D256" s="158">
        <v>43.478000000000002</v>
      </c>
      <c r="E256" s="158"/>
      <c r="F256" s="158">
        <v>43.478000000000002</v>
      </c>
      <c r="G256" s="18" t="str">
        <f>IF($A256="","",IFERROR(INDEX(Map!$C$2:$C$400,MATCH($A256,Map!$A$2:$A$400,0)),"⚠ UNMAPPED"))</f>
        <v>BS</v>
      </c>
      <c r="H256" s="18" t="str">
        <f>IF($A256="","",IFERROR(INDEX(Map!$D$2:$D$400,MATCH($A256,Map!$A$2:$A$400,0)),"⚠ UNMAPPED"))</f>
        <v>Non-Current Assets</v>
      </c>
      <c r="I256" s="18" t="str">
        <f>IF($A256="","",IFERROR(INDEX(Map!$E$2:$E$400,MATCH($A256,Map!$A$2:$A$400,0)),"⚠ UNMAPPED"))</f>
        <v>Property, plant and equipment</v>
      </c>
      <c r="J256" s="18" t="str">
        <f>IF($A256="","",IFERROR(INDEX(Map!$F$2:$F$400,MATCH($A256,Map!$A$2:$A$400,0)),"⚠ UNMAPPED"))</f>
        <v>Property, plant and equipment - Accumulated depreciation</v>
      </c>
    </row>
    <row r="257" spans="1:10" x14ac:dyDescent="0.25">
      <c r="A257" s="38">
        <v>180001</v>
      </c>
      <c r="B257" t="s">
        <v>884</v>
      </c>
      <c r="C257" s="158"/>
      <c r="D257" s="158">
        <v>378439.01400000002</v>
      </c>
      <c r="E257" s="158"/>
      <c r="F257" s="158">
        <v>378439.01400000002</v>
      </c>
      <c r="G257" s="18" t="str">
        <f>IF($A257="","",IFERROR(INDEX(Map!$C$2:$C$400,MATCH($A257,Map!$A$2:$A$400,0)),"⚠ UNMAPPED"))</f>
        <v>BS</v>
      </c>
      <c r="H257" s="18" t="str">
        <f>IF($A257="","",IFERROR(INDEX(Map!$D$2:$D$400,MATCH($A257,Map!$A$2:$A$400,0)),"⚠ UNMAPPED"))</f>
        <v>Current Assets</v>
      </c>
      <c r="I257" s="18" t="str">
        <f>IF($A257="","",IFERROR(INDEX(Map!$E$2:$E$400,MATCH($A257,Map!$A$2:$A$400,0)),"⚠ UNMAPPED"))</f>
        <v>Inventories</v>
      </c>
      <c r="J257" s="18" t="str">
        <f>IF($A257="","",IFERROR(INDEX(Map!$F$2:$F$400,MATCH($A257,Map!$A$2:$A$400,0)),"⚠ UNMAPPED"))</f>
        <v>Raw materials - Inventory</v>
      </c>
    </row>
    <row r="258" spans="1:10" x14ac:dyDescent="0.25">
      <c r="A258" s="38">
        <v>180003</v>
      </c>
      <c r="B258" t="s">
        <v>886</v>
      </c>
      <c r="C258" s="158"/>
      <c r="D258" s="158">
        <v>264625.40299999999</v>
      </c>
      <c r="E258" s="158"/>
      <c r="F258" s="158">
        <v>264625.40299999999</v>
      </c>
      <c r="G258" s="18" t="str">
        <f>IF($A258="","",IFERROR(INDEX(Map!$C$2:$C$400,MATCH($A258,Map!$A$2:$A$400,0)),"⚠ UNMAPPED"))</f>
        <v>BS</v>
      </c>
      <c r="H258" s="18" t="str">
        <f>IF($A258="","",IFERROR(INDEX(Map!$D$2:$D$400,MATCH($A258,Map!$A$2:$A$400,0)),"⚠ UNMAPPED"))</f>
        <v>Current Assets</v>
      </c>
      <c r="I258" s="18" t="str">
        <f>IF($A258="","",IFERROR(INDEX(Map!$E$2:$E$400,MATCH($A258,Map!$A$2:$A$400,0)),"⚠ UNMAPPED"))</f>
        <v>Inventories</v>
      </c>
      <c r="J258" s="18" t="str">
        <f>IF($A258="","",IFERROR(INDEX(Map!$F$2:$F$400,MATCH($A258,Map!$A$2:$A$400,0)),"⚠ UNMAPPED"))</f>
        <v>Spare parts - Inventory</v>
      </c>
    </row>
    <row r="259" spans="1:10" x14ac:dyDescent="0.25">
      <c r="A259" s="38">
        <v>180005</v>
      </c>
      <c r="B259" t="s">
        <v>888</v>
      </c>
      <c r="C259" s="158"/>
      <c r="D259" s="158">
        <v>1468291.9010000001</v>
      </c>
      <c r="E259" s="158"/>
      <c r="F259" s="158">
        <v>1468291.9010000001</v>
      </c>
      <c r="G259" s="18" t="str">
        <f>IF($A259="","",IFERROR(INDEX(Map!$C$2:$C$400,MATCH($A259,Map!$A$2:$A$400,0)),"⚠ UNMAPPED"))</f>
        <v>BS</v>
      </c>
      <c r="H259" s="18" t="str">
        <f>IF($A259="","",IFERROR(INDEX(Map!$D$2:$D$400,MATCH($A259,Map!$A$2:$A$400,0)),"⚠ UNMAPPED"))</f>
        <v>Current Assets</v>
      </c>
      <c r="I259" s="18" t="str">
        <f>IF($A259="","",IFERROR(INDEX(Map!$E$2:$E$400,MATCH($A259,Map!$A$2:$A$400,0)),"⚠ UNMAPPED"))</f>
        <v>Inventories</v>
      </c>
      <c r="J259" s="18" t="str">
        <f>IF($A259="","",IFERROR(INDEX(Map!$F$2:$F$400,MATCH($A259,Map!$A$2:$A$400,0)),"⚠ UNMAPPED"))</f>
        <v>Raw materials - Inventory</v>
      </c>
    </row>
    <row r="260" spans="1:10" x14ac:dyDescent="0.25">
      <c r="A260" s="38">
        <v>180011</v>
      </c>
      <c r="B260" t="s">
        <v>894</v>
      </c>
      <c r="C260" s="158"/>
      <c r="D260" s="158">
        <v>465010.76500000001</v>
      </c>
      <c r="E260" s="158"/>
      <c r="F260" s="158">
        <v>465010.76500000001</v>
      </c>
      <c r="G260" s="18" t="str">
        <f>IF($A260="","",IFERROR(INDEX(Map!$C$2:$C$400,MATCH($A260,Map!$A$2:$A$400,0)),"⚠ UNMAPPED"))</f>
        <v>BS</v>
      </c>
      <c r="H260" s="18" t="str">
        <f>IF($A260="","",IFERROR(INDEX(Map!$D$2:$D$400,MATCH($A260,Map!$A$2:$A$400,0)),"⚠ UNMAPPED"))</f>
        <v>Current Assets</v>
      </c>
      <c r="I260" s="18" t="str">
        <f>IF($A260="","",IFERROR(INDEX(Map!$E$2:$E$400,MATCH($A260,Map!$A$2:$A$400,0)),"⚠ UNMAPPED"))</f>
        <v>Inventories</v>
      </c>
      <c r="J260" s="18" t="str">
        <f>IF($A260="","",IFERROR(INDEX(Map!$F$2:$F$400,MATCH($A260,Map!$A$2:$A$400,0)),"⚠ UNMAPPED"))</f>
        <v>Finished goods - Inventory</v>
      </c>
    </row>
    <row r="261" spans="1:10" x14ac:dyDescent="0.25">
      <c r="A261" s="38">
        <v>180012</v>
      </c>
      <c r="B261" t="s">
        <v>895</v>
      </c>
      <c r="C261" s="158"/>
      <c r="D261" s="158">
        <v>123817.883</v>
      </c>
      <c r="E261" s="158"/>
      <c r="F261" s="158">
        <v>123817.883</v>
      </c>
      <c r="G261" s="18" t="str">
        <f>IF($A261="","",IFERROR(INDEX(Map!$C$2:$C$400,MATCH($A261,Map!$A$2:$A$400,0)),"⚠ UNMAPPED"))</f>
        <v>BS</v>
      </c>
      <c r="H261" s="18" t="str">
        <f>IF($A261="","",IFERROR(INDEX(Map!$D$2:$D$400,MATCH($A261,Map!$A$2:$A$400,0)),"⚠ UNMAPPED"))</f>
        <v>Current Assets</v>
      </c>
      <c r="I261" s="18" t="str">
        <f>IF($A261="","",IFERROR(INDEX(Map!$E$2:$E$400,MATCH($A261,Map!$A$2:$A$400,0)),"⚠ UNMAPPED"))</f>
        <v>Inventories</v>
      </c>
      <c r="J261" s="18" t="str">
        <f>IF($A261="","",IFERROR(INDEX(Map!$F$2:$F$400,MATCH($A261,Map!$A$2:$A$400,0)),"⚠ UNMAPPED"))</f>
        <v>Work in progress - Inventory</v>
      </c>
    </row>
    <row r="262" spans="1:10" x14ac:dyDescent="0.25">
      <c r="A262" s="38">
        <v>520042</v>
      </c>
      <c r="B262" t="s">
        <v>971</v>
      </c>
      <c r="C262" s="158"/>
      <c r="D262" s="158"/>
      <c r="E262" s="158">
        <v>2757664.8139999988</v>
      </c>
      <c r="F262" s="158">
        <v>-2757664.8139999988</v>
      </c>
      <c r="G262" s="18" t="str">
        <f>IF($A262="","",IFERROR(INDEX(Map!$C$2:$C$400,MATCH($A262,Map!$A$2:$A$400,0)),"⚠ UNMAPPED"))</f>
        <v>IS</v>
      </c>
      <c r="H262" s="18" t="str">
        <f>IF($A262="","",IFERROR(INDEX(Map!$D$2:$D$400,MATCH($A262,Map!$A$2:$A$400,0)),"⚠ UNMAPPED"))</f>
        <v>Cost of sales</v>
      </c>
      <c r="I262" s="18" t="str">
        <f>IF($A262="","",IFERROR(INDEX(Map!$E$2:$E$400,MATCH($A262,Map!$A$2:$A$400,0)),"⚠ UNMAPPED"))</f>
        <v>Raw materials</v>
      </c>
      <c r="J262" s="18" t="str">
        <f>IF($A262="","",IFERROR(INDEX(Map!$F$2:$F$400,MATCH($A262,Map!$A$2:$A$400,0)),"⚠ UNMAPPED"))</f>
        <v>Inventory Adjustment</v>
      </c>
    </row>
    <row r="263" spans="1:10" x14ac:dyDescent="0.25">
      <c r="A263" s="38">
        <v>600020</v>
      </c>
      <c r="B263" t="s">
        <v>997</v>
      </c>
      <c r="C263" s="158"/>
      <c r="D263" s="158">
        <v>16751.37</v>
      </c>
      <c r="E263" s="158"/>
      <c r="F263" s="158">
        <v>16751.37</v>
      </c>
      <c r="G263" s="18" t="str">
        <f>IF($A263="","",IFERROR(INDEX(Map!$C$2:$C$400,MATCH($A263,Map!$A$2:$A$400,0)),"⚠ UNMAPPED"))</f>
        <v>IS</v>
      </c>
      <c r="H263" s="18" t="str">
        <f>IF($A263="","",IFERROR(INDEX(Map!$D$2:$D$400,MATCH($A263,Map!$A$2:$A$400,0)),"⚠ UNMAPPED"))</f>
        <v>Cost of sales</v>
      </c>
      <c r="I263" s="18" t="str">
        <f>IF($A263="","",IFERROR(INDEX(Map!$E$2:$E$400,MATCH($A263,Map!$A$2:$A$400,0)),"⚠ UNMAPPED"))</f>
        <v>Overhead - R&amp;M</v>
      </c>
      <c r="J263" s="18" t="str">
        <f>IF($A263="","",IFERROR(INDEX(Map!$F$2:$F$400,MATCH($A263,Map!$A$2:$A$400,0)),"⚠ UNMAPPED"))</f>
        <v>Machine and equipment</v>
      </c>
    </row>
    <row r="264" spans="1:10" x14ac:dyDescent="0.25">
      <c r="A264" s="38">
        <v>600022</v>
      </c>
      <c r="B264" t="s">
        <v>999</v>
      </c>
      <c r="C264" s="158"/>
      <c r="D264" s="158">
        <v>40685</v>
      </c>
      <c r="E264" s="158"/>
      <c r="F264" s="158">
        <v>40685</v>
      </c>
      <c r="G264" s="18" t="str">
        <f>IF($A264="","",IFERROR(INDEX(Map!$C$2:$C$400,MATCH($A264,Map!$A$2:$A$400,0)),"⚠ UNMAPPED"))</f>
        <v>IS</v>
      </c>
      <c r="H264" s="18" t="str">
        <f>IF($A264="","",IFERROR(INDEX(Map!$D$2:$D$400,MATCH($A264,Map!$A$2:$A$400,0)),"⚠ UNMAPPED"))</f>
        <v>Cost of sales</v>
      </c>
      <c r="I264" s="18" t="str">
        <f>IF($A264="","",IFERROR(INDEX(Map!$E$2:$E$400,MATCH($A264,Map!$A$2:$A$400,0)),"⚠ UNMAPPED"))</f>
        <v>Overhead - R&amp;M</v>
      </c>
      <c r="J264" s="18" t="str">
        <f>IF($A264="","",IFERROR(INDEX(Map!$F$2:$F$400,MATCH($A264,Map!$A$2:$A$400,0)),"⚠ UNMAPPED"))</f>
        <v>Building maintenance</v>
      </c>
    </row>
    <row r="265" spans="1:10" x14ac:dyDescent="0.25">
      <c r="A265" s="38">
        <v>520002</v>
      </c>
      <c r="B265" t="s">
        <v>951</v>
      </c>
      <c r="C265" s="158"/>
      <c r="D265" s="158"/>
      <c r="E265" s="158"/>
      <c r="F265" s="158">
        <v>0</v>
      </c>
      <c r="G265" s="18" t="str">
        <f>IF($A265="","",IFERROR(INDEX(Map!$C$2:$C$400,MATCH($A265,Map!$A$2:$A$400,0)),"⚠ UNMAPPED"))</f>
        <v>IS</v>
      </c>
      <c r="H265" s="18" t="str">
        <f>IF($A265="","",IFERROR(INDEX(Map!$D$2:$D$400,MATCH($A265,Map!$A$2:$A$400,0)),"⚠ UNMAPPED"))</f>
        <v>Cost of sales</v>
      </c>
      <c r="I265" s="18" t="str">
        <f>IF($A265="","",IFERROR(INDEX(Map!$E$2:$E$400,MATCH($A265,Map!$A$2:$A$400,0)),"⚠ UNMAPPED"))</f>
        <v>Direct Labor</v>
      </c>
      <c r="J265" s="18" t="str">
        <f>IF($A265="","",IFERROR(INDEX(Map!$F$2:$F$400,MATCH($A265,Map!$A$2:$A$400,0)),"⚠ UNMAPPED"))</f>
        <v>Overtime pay</v>
      </c>
    </row>
    <row r="266" spans="1:10" x14ac:dyDescent="0.25">
      <c r="A266" s="38">
        <v>600002</v>
      </c>
      <c r="B266" t="s">
        <v>980</v>
      </c>
      <c r="C266" s="158"/>
      <c r="D266" s="158"/>
      <c r="E266" s="158"/>
      <c r="F266" s="158">
        <v>0</v>
      </c>
      <c r="G266" s="18" t="str">
        <f>IF($A266="","",IFERROR(INDEX(Map!$C$2:$C$400,MATCH($A266,Map!$A$2:$A$400,0)),"⚠ UNMAPPED"))</f>
        <v>IS</v>
      </c>
      <c r="H266" s="18" t="str">
        <f>IF($A266="","",IFERROR(INDEX(Map!$D$2:$D$400,MATCH($A266,Map!$A$2:$A$400,0)),"⚠ UNMAPPED"))</f>
        <v>Cost of sales</v>
      </c>
      <c r="I266" s="18" t="str">
        <f>IF($A266="","",IFERROR(INDEX(Map!$E$2:$E$400,MATCH($A266,Map!$A$2:$A$400,0)),"⚠ UNMAPPED"))</f>
        <v>Overhead - Labor Cost</v>
      </c>
      <c r="J266" s="18" t="str">
        <f>IF($A266="","",IFERROR(INDEX(Map!$F$2:$F$400,MATCH($A266,Map!$A$2:$A$400,0)),"⚠ UNMAPPED"))</f>
        <v>Overtime pay</v>
      </c>
    </row>
    <row r="267" spans="1:10" x14ac:dyDescent="0.25">
      <c r="A267" s="38">
        <v>250001</v>
      </c>
      <c r="B267" t="s">
        <v>915</v>
      </c>
      <c r="C267" s="158"/>
      <c r="D267" s="158"/>
      <c r="E267" s="158">
        <v>0</v>
      </c>
      <c r="F267" s="158">
        <v>0</v>
      </c>
      <c r="G267" s="18" t="str">
        <f>IF($A267="","",IFERROR(INDEX(Map!$C$2:$C$400,MATCH($A267,Map!$A$2:$A$400,0)),"⚠ UNMAPPED"))</f>
        <v>BS</v>
      </c>
      <c r="H267" s="18" t="str">
        <f>IF($A267="","",IFERROR(INDEX(Map!$D$2:$D$400,MATCH($A267,Map!$A$2:$A$400,0)),"⚠ UNMAPPED"))</f>
        <v>Current Liabilities</v>
      </c>
      <c r="I267" s="18" t="str">
        <f>IF($A267="","",IFERROR(INDEX(Map!$E$2:$E$400,MATCH($A267,Map!$A$2:$A$400,0)),"⚠ UNMAPPED"))</f>
        <v>Tade payables and Accuals &amp; other credit balances</v>
      </c>
      <c r="J267" s="18" t="str">
        <f>IF($A267="","",IFERROR(INDEX(Map!$F$2:$F$400,MATCH($A267,Map!$A$2:$A$400,0)),"⚠ UNMAPPED"))</f>
        <v>Accrued salaries and wages</v>
      </c>
    </row>
    <row r="268" spans="1:10" x14ac:dyDescent="0.25">
      <c r="G268" s="18" t="str">
        <f>IF($A268="","",IFERROR(INDEX(Map!$C$2:$C$400,MATCH($A268,Map!$A$2:$A$400,0)),"⚠ UNMAPPED"))</f>
        <v/>
      </c>
      <c r="H268" s="18" t="str">
        <f>IF($A268="","",IFERROR(INDEX(Map!$D$2:$D$400,MATCH($A268,Map!$A$2:$A$400,0)),"⚠ UNMAPPED"))</f>
        <v/>
      </c>
      <c r="I268" s="18" t="str">
        <f>IF($A268="","",IFERROR(INDEX(Map!$E$2:$E$400,MATCH($A268,Map!$A$2:$A$400,0)),"⚠ UNMAPPED"))</f>
        <v/>
      </c>
      <c r="J268" s="18" t="str">
        <f>IF($A268="","",IFERROR(INDEX(Map!$F$2:$F$400,MATCH($A268,Map!$A$2:$A$400,0)),"⚠ UNMAPPED"))</f>
        <v/>
      </c>
    </row>
    <row r="269" spans="1:10" x14ac:dyDescent="0.25">
      <c r="G269" s="18" t="str">
        <f>IF($A269="","",IFERROR(INDEX(Map!$C$2:$C$400,MATCH($A269,Map!$A$2:$A$400,0)),"⚠ UNMAPPED"))</f>
        <v/>
      </c>
      <c r="H269" s="18" t="str">
        <f>IF($A269="","",IFERROR(INDEX(Map!$D$2:$D$400,MATCH($A269,Map!$A$2:$A$400,0)),"⚠ UNMAPPED"))</f>
        <v/>
      </c>
      <c r="I269" s="18" t="str">
        <f>IF($A269="","",IFERROR(INDEX(Map!$E$2:$E$400,MATCH($A269,Map!$A$2:$A$400,0)),"⚠ UNMAPPED"))</f>
        <v/>
      </c>
      <c r="J269" s="18" t="str">
        <f>IF($A269="","",IFERROR(INDEX(Map!$F$2:$F$400,MATCH($A269,Map!$A$2:$A$400,0)),"⚠ UNMAPPED"))</f>
        <v/>
      </c>
    </row>
    <row r="270" spans="1:10" x14ac:dyDescent="0.25">
      <c r="G270" s="18" t="str">
        <f>IF($A270="","",IFERROR(INDEX(Map!$C$2:$C$400,MATCH($A270,Map!$A$2:$A$400,0)),"⚠ UNMAPPED"))</f>
        <v/>
      </c>
      <c r="H270" s="18" t="str">
        <f>IF($A270="","",IFERROR(INDEX(Map!$D$2:$D$400,MATCH($A270,Map!$A$2:$A$400,0)),"⚠ UNMAPPED"))</f>
        <v/>
      </c>
      <c r="I270" s="18" t="str">
        <f>IF($A270="","",IFERROR(INDEX(Map!$E$2:$E$400,MATCH($A270,Map!$A$2:$A$400,0)),"⚠ UNMAPPED"))</f>
        <v/>
      </c>
      <c r="J270" s="18" t="str">
        <f>IF($A270="","",IFERROR(INDEX(Map!$F$2:$F$400,MATCH($A270,Map!$A$2:$A$400,0)),"⚠ UNMAPPED"))</f>
        <v/>
      </c>
    </row>
    <row r="271" spans="1:10" x14ac:dyDescent="0.25">
      <c r="G271" s="18" t="str">
        <f>IF($A271="","",IFERROR(INDEX(Map!$C$2:$C$400,MATCH($A271,Map!$A$2:$A$400,0)),"⚠ UNMAPPED"))</f>
        <v/>
      </c>
      <c r="H271" s="18" t="str">
        <f>IF($A271="","",IFERROR(INDEX(Map!$D$2:$D$400,MATCH($A271,Map!$A$2:$A$400,0)),"⚠ UNMAPPED"))</f>
        <v/>
      </c>
      <c r="I271" s="18" t="str">
        <f>IF($A271="","",IFERROR(INDEX(Map!$E$2:$E$400,MATCH($A271,Map!$A$2:$A$400,0)),"⚠ UNMAPPED"))</f>
        <v/>
      </c>
      <c r="J271" s="18" t="str">
        <f>IF($A271="","",IFERROR(INDEX(Map!$F$2:$F$400,MATCH($A271,Map!$A$2:$A$400,0)),"⚠ UNMAPPED"))</f>
        <v/>
      </c>
    </row>
    <row r="272" spans="1:10" x14ac:dyDescent="0.25">
      <c r="G272" s="18" t="str">
        <f>IF($A272="","",IFERROR(INDEX(Map!$C$2:$C$400,MATCH($A272,Map!$A$2:$A$400,0)),"⚠ UNMAPPED"))</f>
        <v/>
      </c>
      <c r="H272" s="18" t="str">
        <f>IF($A272="","",IFERROR(INDEX(Map!$D$2:$D$400,MATCH($A272,Map!$A$2:$A$400,0)),"⚠ UNMAPPED"))</f>
        <v/>
      </c>
      <c r="I272" s="18" t="str">
        <f>IF($A272="","",IFERROR(INDEX(Map!$E$2:$E$400,MATCH($A272,Map!$A$2:$A$400,0)),"⚠ UNMAPPED"))</f>
        <v/>
      </c>
      <c r="J272" s="18" t="str">
        <f>IF($A272="","",IFERROR(INDEX(Map!$F$2:$F$400,MATCH($A272,Map!$A$2:$A$400,0)),"⚠ UNMAPPED"))</f>
        <v/>
      </c>
    </row>
    <row r="273" spans="7:10" x14ac:dyDescent="0.25">
      <c r="G273" s="18" t="str">
        <f>IF($A273="","",IFERROR(INDEX(Map!$C$2:$C$400,MATCH($A273,Map!$A$2:$A$400,0)),"⚠ UNMAPPED"))</f>
        <v/>
      </c>
      <c r="H273" s="18" t="str">
        <f>IF($A273="","",IFERROR(INDEX(Map!$D$2:$D$400,MATCH($A273,Map!$A$2:$A$400,0)),"⚠ UNMAPPED"))</f>
        <v/>
      </c>
      <c r="I273" s="18" t="str">
        <f>IF($A273="","",IFERROR(INDEX(Map!$E$2:$E$400,MATCH($A273,Map!$A$2:$A$400,0)),"⚠ UNMAPPED"))</f>
        <v/>
      </c>
      <c r="J273" s="18" t="str">
        <f>IF($A273="","",IFERROR(INDEX(Map!$F$2:$F$400,MATCH($A273,Map!$A$2:$A$400,0)),"⚠ UNMAPPED"))</f>
        <v/>
      </c>
    </row>
    <row r="274" spans="7:10" x14ac:dyDescent="0.25">
      <c r="G274" s="18" t="str">
        <f>IF($A274="","",IFERROR(INDEX(Map!$C$2:$C$400,MATCH($A274,Map!$A$2:$A$400,0)),"⚠ UNMAPPED"))</f>
        <v/>
      </c>
      <c r="H274" s="18" t="str">
        <f>IF($A274="","",IFERROR(INDEX(Map!$D$2:$D$400,MATCH($A274,Map!$A$2:$A$400,0)),"⚠ UNMAPPED"))</f>
        <v/>
      </c>
      <c r="I274" s="18" t="str">
        <f>IF($A274="","",IFERROR(INDEX(Map!$E$2:$E$400,MATCH($A274,Map!$A$2:$A$400,0)),"⚠ UNMAPPED"))</f>
        <v/>
      </c>
      <c r="J274" s="18" t="str">
        <f>IF($A274="","",IFERROR(INDEX(Map!$F$2:$F$400,MATCH($A274,Map!$A$2:$A$400,0)),"⚠ UNMAPPED"))</f>
        <v/>
      </c>
    </row>
    <row r="275" spans="7:10" x14ac:dyDescent="0.25">
      <c r="G275" s="18" t="str">
        <f>IF($A275="","",IFERROR(INDEX(Map!$C$2:$C$400,MATCH($A275,Map!$A$2:$A$400,0)),"⚠ UNMAPPED"))</f>
        <v/>
      </c>
      <c r="H275" s="18" t="str">
        <f>IF($A275="","",IFERROR(INDEX(Map!$D$2:$D$400,MATCH($A275,Map!$A$2:$A$400,0)),"⚠ UNMAPPED"))</f>
        <v/>
      </c>
      <c r="I275" s="18" t="str">
        <f>IF($A275="","",IFERROR(INDEX(Map!$E$2:$E$400,MATCH($A275,Map!$A$2:$A$400,0)),"⚠ UNMAPPED"))</f>
        <v/>
      </c>
      <c r="J275" s="18" t="str">
        <f>IF($A275="","",IFERROR(INDEX(Map!$F$2:$F$400,MATCH($A275,Map!$A$2:$A$400,0)),"⚠ UNMAPPED"))</f>
        <v/>
      </c>
    </row>
    <row r="276" spans="7:10" x14ac:dyDescent="0.25">
      <c r="G276" s="18" t="str">
        <f>IF($A276="","",IFERROR(INDEX(Map!$C$2:$C$400,MATCH($A276,Map!$A$2:$A$400,0)),"⚠ UNMAPPED"))</f>
        <v/>
      </c>
      <c r="H276" s="18" t="str">
        <f>IF($A276="","",IFERROR(INDEX(Map!$D$2:$D$400,MATCH($A276,Map!$A$2:$A$400,0)),"⚠ UNMAPPED"))</f>
        <v/>
      </c>
      <c r="I276" s="18" t="str">
        <f>IF($A276="","",IFERROR(INDEX(Map!$E$2:$E$400,MATCH($A276,Map!$A$2:$A$400,0)),"⚠ UNMAPPED"))</f>
        <v/>
      </c>
      <c r="J276" s="18" t="str">
        <f>IF($A276="","",IFERROR(INDEX(Map!$F$2:$F$400,MATCH($A276,Map!$A$2:$A$400,0)),"⚠ UNMAPPED"))</f>
        <v/>
      </c>
    </row>
    <row r="277" spans="7:10" x14ac:dyDescent="0.25">
      <c r="G277" s="18" t="str">
        <f>IF($A277="","",IFERROR(INDEX(Map!$C$2:$C$400,MATCH($A277,Map!$A$2:$A$400,0)),"⚠ UNMAPPED"))</f>
        <v/>
      </c>
      <c r="H277" s="18" t="str">
        <f>IF($A277="","",IFERROR(INDEX(Map!$D$2:$D$400,MATCH($A277,Map!$A$2:$A$400,0)),"⚠ UNMAPPED"))</f>
        <v/>
      </c>
      <c r="I277" s="18" t="str">
        <f>IF($A277="","",IFERROR(INDEX(Map!$E$2:$E$400,MATCH($A277,Map!$A$2:$A$400,0)),"⚠ UNMAPPED"))</f>
        <v/>
      </c>
      <c r="J277" s="18" t="str">
        <f>IF($A277="","",IFERROR(INDEX(Map!$F$2:$F$400,MATCH($A277,Map!$A$2:$A$400,0)),"⚠ UNMAPPED"))</f>
        <v/>
      </c>
    </row>
    <row r="278" spans="7:10" x14ac:dyDescent="0.25">
      <c r="G278" s="18" t="str">
        <f>IF($A278="","",IFERROR(INDEX(Map!$C$2:$C$400,MATCH($A278,Map!$A$2:$A$400,0)),"⚠ UNMAPPED"))</f>
        <v/>
      </c>
      <c r="H278" s="18" t="str">
        <f>IF($A278="","",IFERROR(INDEX(Map!$D$2:$D$400,MATCH($A278,Map!$A$2:$A$400,0)),"⚠ UNMAPPED"))</f>
        <v/>
      </c>
      <c r="I278" s="18" t="str">
        <f>IF($A278="","",IFERROR(INDEX(Map!$E$2:$E$400,MATCH($A278,Map!$A$2:$A$400,0)),"⚠ UNMAPPED"))</f>
        <v/>
      </c>
      <c r="J278" s="18" t="str">
        <f>IF($A278="","",IFERROR(INDEX(Map!$F$2:$F$400,MATCH($A278,Map!$A$2:$A$400,0)),"⚠ UNMAPPED"))</f>
        <v/>
      </c>
    </row>
    <row r="279" spans="7:10" x14ac:dyDescent="0.25">
      <c r="G279" s="18" t="str">
        <f>IF($A279="","",IFERROR(INDEX(Map!$C$2:$C$400,MATCH($A279,Map!$A$2:$A$400,0)),"⚠ UNMAPPED"))</f>
        <v/>
      </c>
      <c r="H279" s="18" t="str">
        <f>IF($A279="","",IFERROR(INDEX(Map!$D$2:$D$400,MATCH($A279,Map!$A$2:$A$400,0)),"⚠ UNMAPPED"))</f>
        <v/>
      </c>
      <c r="I279" s="18" t="str">
        <f>IF($A279="","",IFERROR(INDEX(Map!$E$2:$E$400,MATCH($A279,Map!$A$2:$A$400,0)),"⚠ UNMAPPED"))</f>
        <v/>
      </c>
      <c r="J279" s="18" t="str">
        <f>IF($A279="","",IFERROR(INDEX(Map!$F$2:$F$400,MATCH($A279,Map!$A$2:$A$400,0)),"⚠ UNMAPPED"))</f>
        <v/>
      </c>
    </row>
    <row r="280" spans="7:10" x14ac:dyDescent="0.25">
      <c r="G280" s="18" t="str">
        <f>IF($A280="","",IFERROR(INDEX(Map!$C$2:$C$400,MATCH($A280,Map!$A$2:$A$400,0)),"⚠ UNMAPPED"))</f>
        <v/>
      </c>
      <c r="H280" s="18" t="str">
        <f>IF($A280="","",IFERROR(INDEX(Map!$D$2:$D$400,MATCH($A280,Map!$A$2:$A$400,0)),"⚠ UNMAPPED"))</f>
        <v/>
      </c>
      <c r="I280" s="18" t="str">
        <f>IF($A280="","",IFERROR(INDEX(Map!$E$2:$E$400,MATCH($A280,Map!$A$2:$A$400,0)),"⚠ UNMAPPED"))</f>
        <v/>
      </c>
      <c r="J280" s="18" t="str">
        <f>IF($A280="","",IFERROR(INDEX(Map!$F$2:$F$400,MATCH($A280,Map!$A$2:$A$400,0)),"⚠ UNMAPPED"))</f>
        <v/>
      </c>
    </row>
    <row r="281" spans="7:10" x14ac:dyDescent="0.25">
      <c r="G281" s="18" t="str">
        <f>IF($A281="","",IFERROR(INDEX(Map!$C$2:$C$400,MATCH($A281,Map!$A$2:$A$400,0)),"⚠ UNMAPPED"))</f>
        <v/>
      </c>
      <c r="H281" s="18" t="str">
        <f>IF($A281="","",IFERROR(INDEX(Map!$D$2:$D$400,MATCH($A281,Map!$A$2:$A$400,0)),"⚠ UNMAPPED"))</f>
        <v/>
      </c>
      <c r="I281" s="18" t="str">
        <f>IF($A281="","",IFERROR(INDEX(Map!$E$2:$E$400,MATCH($A281,Map!$A$2:$A$400,0)),"⚠ UNMAPPED"))</f>
        <v/>
      </c>
      <c r="J281" s="18" t="str">
        <f>IF($A281="","",IFERROR(INDEX(Map!$F$2:$F$400,MATCH($A281,Map!$A$2:$A$400,0)),"⚠ UNMAPPED"))</f>
        <v/>
      </c>
    </row>
    <row r="282" spans="7:10" x14ac:dyDescent="0.25">
      <c r="G282" s="18" t="str">
        <f>IF($A282="","",IFERROR(INDEX(Map!$C$2:$C$400,MATCH($A282,Map!$A$2:$A$400,0)),"⚠ UNMAPPED"))</f>
        <v/>
      </c>
      <c r="H282" s="18" t="str">
        <f>IF($A282="","",IFERROR(INDEX(Map!$D$2:$D$400,MATCH($A282,Map!$A$2:$A$400,0)),"⚠ UNMAPPED"))</f>
        <v/>
      </c>
      <c r="I282" s="18" t="str">
        <f>IF($A282="","",IFERROR(INDEX(Map!$E$2:$E$400,MATCH($A282,Map!$A$2:$A$400,0)),"⚠ UNMAPPED"))</f>
        <v/>
      </c>
      <c r="J282" s="18" t="str">
        <f>IF($A282="","",IFERROR(INDEX(Map!$F$2:$F$400,MATCH($A282,Map!$A$2:$A$400,0)),"⚠ UNMAPPED"))</f>
        <v/>
      </c>
    </row>
    <row r="283" spans="7:10" x14ac:dyDescent="0.25">
      <c r="G283" s="18" t="str">
        <f>IF($A283="","",IFERROR(INDEX(Map!$C$2:$C$400,MATCH($A283,Map!$A$2:$A$400,0)),"⚠ UNMAPPED"))</f>
        <v/>
      </c>
      <c r="H283" s="18" t="str">
        <f>IF($A283="","",IFERROR(INDEX(Map!$D$2:$D$400,MATCH($A283,Map!$A$2:$A$400,0)),"⚠ UNMAPPED"))</f>
        <v/>
      </c>
      <c r="I283" s="18" t="str">
        <f>IF($A283="","",IFERROR(INDEX(Map!$E$2:$E$400,MATCH($A283,Map!$A$2:$A$400,0)),"⚠ UNMAPPED"))</f>
        <v/>
      </c>
      <c r="J283" s="18" t="str">
        <f>IF($A283="","",IFERROR(INDEX(Map!$F$2:$F$400,MATCH($A283,Map!$A$2:$A$400,0)),"⚠ UNMAPPED"))</f>
        <v/>
      </c>
    </row>
    <row r="284" spans="7:10" x14ac:dyDescent="0.25">
      <c r="G284" s="18" t="str">
        <f>IF($A284="","",IFERROR(INDEX(Map!$C$2:$C$400,MATCH($A284,Map!$A$2:$A$400,0)),"⚠ UNMAPPED"))</f>
        <v/>
      </c>
      <c r="H284" s="18" t="str">
        <f>IF($A284="","",IFERROR(INDEX(Map!$D$2:$D$400,MATCH($A284,Map!$A$2:$A$400,0)),"⚠ UNMAPPED"))</f>
        <v/>
      </c>
      <c r="I284" s="18" t="str">
        <f>IF($A284="","",IFERROR(INDEX(Map!$E$2:$E$400,MATCH($A284,Map!$A$2:$A$400,0)),"⚠ UNMAPPED"))</f>
        <v/>
      </c>
      <c r="J284" s="18" t="str">
        <f>IF($A284="","",IFERROR(INDEX(Map!$F$2:$F$400,MATCH($A284,Map!$A$2:$A$400,0)),"⚠ UNMAPPED"))</f>
        <v/>
      </c>
    </row>
    <row r="285" spans="7:10" x14ac:dyDescent="0.25">
      <c r="G285" s="18" t="str">
        <f>IF($A285="","",IFERROR(INDEX(Map!$C$2:$C$400,MATCH($A285,Map!$A$2:$A$400,0)),"⚠ UNMAPPED"))</f>
        <v/>
      </c>
      <c r="H285" s="18" t="str">
        <f>IF($A285="","",IFERROR(INDEX(Map!$D$2:$D$400,MATCH($A285,Map!$A$2:$A$400,0)),"⚠ UNMAPPED"))</f>
        <v/>
      </c>
      <c r="I285" s="18" t="str">
        <f>IF($A285="","",IFERROR(INDEX(Map!$E$2:$E$400,MATCH($A285,Map!$A$2:$A$400,0)),"⚠ UNMAPPED"))</f>
        <v/>
      </c>
      <c r="J285" s="18" t="str">
        <f>IF($A285="","",IFERROR(INDEX(Map!$F$2:$F$400,MATCH($A285,Map!$A$2:$A$400,0)),"⚠ UNMAPPED"))</f>
        <v/>
      </c>
    </row>
    <row r="286" spans="7:10" x14ac:dyDescent="0.25">
      <c r="G286" s="18" t="str">
        <f>IF($A286="","",IFERROR(INDEX(Map!$C$2:$C$400,MATCH($A286,Map!$A$2:$A$400,0)),"⚠ UNMAPPED"))</f>
        <v/>
      </c>
      <c r="H286" s="18" t="str">
        <f>IF($A286="","",IFERROR(INDEX(Map!$D$2:$D$400,MATCH($A286,Map!$A$2:$A$400,0)),"⚠ UNMAPPED"))</f>
        <v/>
      </c>
      <c r="I286" s="18" t="str">
        <f>IF($A286="","",IFERROR(INDEX(Map!$E$2:$E$400,MATCH($A286,Map!$A$2:$A$400,0)),"⚠ UNMAPPED"))</f>
        <v/>
      </c>
      <c r="J286" s="18" t="str">
        <f>IF($A286="","",IFERROR(INDEX(Map!$F$2:$F$400,MATCH($A286,Map!$A$2:$A$400,0)),"⚠ UNMAPPED"))</f>
        <v/>
      </c>
    </row>
    <row r="287" spans="7:10" x14ac:dyDescent="0.25">
      <c r="G287" s="18" t="str">
        <f>IF($A287="","",IFERROR(INDEX(Map!$C$2:$C$400,MATCH($A287,Map!$A$2:$A$400,0)),"⚠ UNMAPPED"))</f>
        <v/>
      </c>
      <c r="H287" s="18" t="str">
        <f>IF($A287="","",IFERROR(INDEX(Map!$D$2:$D$400,MATCH($A287,Map!$A$2:$A$400,0)),"⚠ UNMAPPED"))</f>
        <v/>
      </c>
      <c r="I287" s="18" t="str">
        <f>IF($A287="","",IFERROR(INDEX(Map!$E$2:$E$400,MATCH($A287,Map!$A$2:$A$400,0)),"⚠ UNMAPPED"))</f>
        <v/>
      </c>
      <c r="J287" s="18" t="str">
        <f>IF($A287="","",IFERROR(INDEX(Map!$F$2:$F$400,MATCH($A287,Map!$A$2:$A$400,0)),"⚠ UNMAPPED"))</f>
        <v/>
      </c>
    </row>
    <row r="288" spans="7:10" x14ac:dyDescent="0.25">
      <c r="G288" s="18" t="str">
        <f>IF($A288="","",IFERROR(INDEX(Map!$C$2:$C$400,MATCH($A288,Map!$A$2:$A$400,0)),"⚠ UNMAPPED"))</f>
        <v/>
      </c>
      <c r="H288" s="18" t="str">
        <f>IF($A288="","",IFERROR(INDEX(Map!$D$2:$D$400,MATCH($A288,Map!$A$2:$A$400,0)),"⚠ UNMAPPED"))</f>
        <v/>
      </c>
      <c r="I288" s="18" t="str">
        <f>IF($A288="","",IFERROR(INDEX(Map!$E$2:$E$400,MATCH($A288,Map!$A$2:$A$400,0)),"⚠ UNMAPPED"))</f>
        <v/>
      </c>
      <c r="J288" s="18" t="str">
        <f>IF($A288="","",IFERROR(INDEX(Map!$F$2:$F$400,MATCH($A288,Map!$A$2:$A$400,0)),"⚠ UNMAPPED"))</f>
        <v/>
      </c>
    </row>
    <row r="289" spans="7:10" x14ac:dyDescent="0.25">
      <c r="G289" s="18" t="str">
        <f>IF($A289="","",IFERROR(INDEX(Map!$C$2:$C$400,MATCH($A289,Map!$A$2:$A$400,0)),"⚠ UNMAPPED"))</f>
        <v/>
      </c>
      <c r="H289" s="18" t="str">
        <f>IF($A289="","",IFERROR(INDEX(Map!$D$2:$D$400,MATCH($A289,Map!$A$2:$A$400,0)),"⚠ UNMAPPED"))</f>
        <v/>
      </c>
      <c r="I289" s="18" t="str">
        <f>IF($A289="","",IFERROR(INDEX(Map!$E$2:$E$400,MATCH($A289,Map!$A$2:$A$400,0)),"⚠ UNMAPPED"))</f>
        <v/>
      </c>
      <c r="J289" s="18" t="str">
        <f>IF($A289="","",IFERROR(INDEX(Map!$F$2:$F$400,MATCH($A289,Map!$A$2:$A$400,0)),"⚠ UNMAPPED"))</f>
        <v/>
      </c>
    </row>
    <row r="290" spans="7:10" x14ac:dyDescent="0.25">
      <c r="G290" s="18" t="str">
        <f>IF($A290="","",IFERROR(INDEX(Map!$C$2:$C$400,MATCH($A290,Map!$A$2:$A$400,0)),"⚠ UNMAPPED"))</f>
        <v/>
      </c>
      <c r="H290" s="18" t="str">
        <f>IF($A290="","",IFERROR(INDEX(Map!$D$2:$D$400,MATCH($A290,Map!$A$2:$A$400,0)),"⚠ UNMAPPED"))</f>
        <v/>
      </c>
      <c r="I290" s="18" t="str">
        <f>IF($A290="","",IFERROR(INDEX(Map!$E$2:$E$400,MATCH($A290,Map!$A$2:$A$400,0)),"⚠ UNMAPPED"))</f>
        <v/>
      </c>
      <c r="J290" s="18" t="str">
        <f>IF($A290="","",IFERROR(INDEX(Map!$F$2:$F$400,MATCH($A290,Map!$A$2:$A$400,0)),"⚠ UNMAPPED"))</f>
        <v/>
      </c>
    </row>
    <row r="291" spans="7:10" x14ac:dyDescent="0.25">
      <c r="G291" s="18" t="str">
        <f>IF($A291="","",IFERROR(INDEX(Map!$C$2:$C$400,MATCH($A291,Map!$A$2:$A$400,0)),"⚠ UNMAPPED"))</f>
        <v/>
      </c>
      <c r="H291" s="18" t="str">
        <f>IF($A291="","",IFERROR(INDEX(Map!$D$2:$D$400,MATCH($A291,Map!$A$2:$A$400,0)),"⚠ UNMAPPED"))</f>
        <v/>
      </c>
      <c r="I291" s="18" t="str">
        <f>IF($A291="","",IFERROR(INDEX(Map!$E$2:$E$400,MATCH($A291,Map!$A$2:$A$400,0)),"⚠ UNMAPPED"))</f>
        <v/>
      </c>
      <c r="J291" s="18" t="str">
        <f>IF($A291="","",IFERROR(INDEX(Map!$F$2:$F$400,MATCH($A291,Map!$A$2:$A$400,0)),"⚠ UNMAPPED"))</f>
        <v/>
      </c>
    </row>
    <row r="292" spans="7:10" x14ac:dyDescent="0.25">
      <c r="G292" s="18" t="str">
        <f>IF($A292="","",IFERROR(INDEX(Map!$C$2:$C$400,MATCH($A292,Map!$A$2:$A$400,0)),"⚠ UNMAPPED"))</f>
        <v/>
      </c>
      <c r="H292" s="18" t="str">
        <f>IF($A292="","",IFERROR(INDEX(Map!$D$2:$D$400,MATCH($A292,Map!$A$2:$A$400,0)),"⚠ UNMAPPED"))</f>
        <v/>
      </c>
      <c r="I292" s="18" t="str">
        <f>IF($A292="","",IFERROR(INDEX(Map!$E$2:$E$400,MATCH($A292,Map!$A$2:$A$400,0)),"⚠ UNMAPPED"))</f>
        <v/>
      </c>
      <c r="J292" s="18" t="str">
        <f>IF($A292="","",IFERROR(INDEX(Map!$F$2:$F$400,MATCH($A292,Map!$A$2:$A$400,0)),"⚠ UNMAPPED"))</f>
        <v/>
      </c>
    </row>
    <row r="293" spans="7:10" x14ac:dyDescent="0.25">
      <c r="G293" s="18" t="str">
        <f>IF($A293="","",IFERROR(INDEX(Map!$C$2:$C$400,MATCH($A293,Map!$A$2:$A$400,0)),"⚠ UNMAPPED"))</f>
        <v/>
      </c>
      <c r="H293" s="18" t="str">
        <f>IF($A293="","",IFERROR(INDEX(Map!$D$2:$D$400,MATCH($A293,Map!$A$2:$A$400,0)),"⚠ UNMAPPED"))</f>
        <v/>
      </c>
      <c r="I293" s="18" t="str">
        <f>IF($A293="","",IFERROR(INDEX(Map!$E$2:$E$400,MATCH($A293,Map!$A$2:$A$400,0)),"⚠ UNMAPPED"))</f>
        <v/>
      </c>
      <c r="J293" s="18" t="str">
        <f>IF($A293="","",IFERROR(INDEX(Map!$F$2:$F$400,MATCH($A293,Map!$A$2:$A$400,0)),"⚠ UNMAPPED"))</f>
        <v/>
      </c>
    </row>
    <row r="294" spans="7:10" x14ac:dyDescent="0.25">
      <c r="G294" s="18" t="str">
        <f>IF($A294="","",IFERROR(INDEX(Map!$C$2:$C$400,MATCH($A294,Map!$A$2:$A$400,0)),"⚠ UNMAPPED"))</f>
        <v/>
      </c>
      <c r="H294" s="18" t="str">
        <f>IF($A294="","",IFERROR(INDEX(Map!$D$2:$D$400,MATCH($A294,Map!$A$2:$A$400,0)),"⚠ UNMAPPED"))</f>
        <v/>
      </c>
      <c r="I294" s="18" t="str">
        <f>IF($A294="","",IFERROR(INDEX(Map!$E$2:$E$400,MATCH($A294,Map!$A$2:$A$400,0)),"⚠ UNMAPPED"))</f>
        <v/>
      </c>
      <c r="J294" s="18" t="str">
        <f>IF($A294="","",IFERROR(INDEX(Map!$F$2:$F$400,MATCH($A294,Map!$A$2:$A$400,0)),"⚠ UNMAPPED"))</f>
        <v/>
      </c>
    </row>
    <row r="295" spans="7:10" x14ac:dyDescent="0.25">
      <c r="G295" s="18" t="str">
        <f>IF($A295="","",IFERROR(INDEX(Map!$C$2:$C$400,MATCH($A295,Map!$A$2:$A$400,0)),"⚠ UNMAPPED"))</f>
        <v/>
      </c>
      <c r="H295" s="18" t="str">
        <f>IF($A295="","",IFERROR(INDEX(Map!$D$2:$D$400,MATCH($A295,Map!$A$2:$A$400,0)),"⚠ UNMAPPED"))</f>
        <v/>
      </c>
      <c r="I295" s="18" t="str">
        <f>IF($A295="","",IFERROR(INDEX(Map!$E$2:$E$400,MATCH($A295,Map!$A$2:$A$400,0)),"⚠ UNMAPPED"))</f>
        <v/>
      </c>
      <c r="J295" s="18" t="str">
        <f>IF($A295="","",IFERROR(INDEX(Map!$F$2:$F$400,MATCH($A295,Map!$A$2:$A$400,0)),"⚠ UNMAPPED"))</f>
        <v/>
      </c>
    </row>
    <row r="296" spans="7:10" x14ac:dyDescent="0.25">
      <c r="G296" s="18" t="str">
        <f>IF($A296="","",IFERROR(INDEX(Map!$C$2:$C$400,MATCH($A296,Map!$A$2:$A$400,0)),"⚠ UNMAPPED"))</f>
        <v/>
      </c>
      <c r="H296" s="18" t="str">
        <f>IF($A296="","",IFERROR(INDEX(Map!$D$2:$D$400,MATCH($A296,Map!$A$2:$A$400,0)),"⚠ UNMAPPED"))</f>
        <v/>
      </c>
      <c r="I296" s="18" t="str">
        <f>IF($A296="","",IFERROR(INDEX(Map!$E$2:$E$400,MATCH($A296,Map!$A$2:$A$400,0)),"⚠ UNMAPPED"))</f>
        <v/>
      </c>
      <c r="J296" s="18" t="str">
        <f>IF($A296="","",IFERROR(INDEX(Map!$F$2:$F$400,MATCH($A296,Map!$A$2:$A$400,0)),"⚠ UNMAPPED"))</f>
        <v/>
      </c>
    </row>
    <row r="297" spans="7:10" x14ac:dyDescent="0.25">
      <c r="G297" s="18" t="str">
        <f>IF($A297="","",IFERROR(INDEX(Map!$C$2:$C$400,MATCH($A297,Map!$A$2:$A$400,0)),"⚠ UNMAPPED"))</f>
        <v/>
      </c>
      <c r="H297" s="18" t="str">
        <f>IF($A297="","",IFERROR(INDEX(Map!$D$2:$D$400,MATCH($A297,Map!$A$2:$A$400,0)),"⚠ UNMAPPED"))</f>
        <v/>
      </c>
      <c r="I297" s="18" t="str">
        <f>IF($A297="","",IFERROR(INDEX(Map!$E$2:$E$400,MATCH($A297,Map!$A$2:$A$400,0)),"⚠ UNMAPPED"))</f>
        <v/>
      </c>
      <c r="J297" s="18" t="str">
        <f>IF($A297="","",IFERROR(INDEX(Map!$F$2:$F$400,MATCH($A297,Map!$A$2:$A$400,0)),"⚠ UNMAPPED"))</f>
        <v/>
      </c>
    </row>
    <row r="298" spans="7:10" x14ac:dyDescent="0.25">
      <c r="G298" s="18" t="str">
        <f>IF($A298="","",IFERROR(INDEX(Map!$C$2:$C$400,MATCH($A298,Map!$A$2:$A$400,0)),"⚠ UNMAPPED"))</f>
        <v/>
      </c>
      <c r="H298" s="18" t="str">
        <f>IF($A298="","",IFERROR(INDEX(Map!$D$2:$D$400,MATCH($A298,Map!$A$2:$A$400,0)),"⚠ UNMAPPED"))</f>
        <v/>
      </c>
      <c r="I298" s="18" t="str">
        <f>IF($A298="","",IFERROR(INDEX(Map!$E$2:$E$400,MATCH($A298,Map!$A$2:$A$400,0)),"⚠ UNMAPPED"))</f>
        <v/>
      </c>
      <c r="J298" s="18" t="str">
        <f>IF($A298="","",IFERROR(INDEX(Map!$F$2:$F$400,MATCH($A298,Map!$A$2:$A$400,0)),"⚠ UNMAPPED"))</f>
        <v/>
      </c>
    </row>
    <row r="299" spans="7:10" x14ac:dyDescent="0.25">
      <c r="G299" s="18" t="str">
        <f>IF($A299="","",IFERROR(INDEX(Map!$C$2:$C$400,MATCH($A299,Map!$A$2:$A$400,0)),"⚠ UNMAPPED"))</f>
        <v/>
      </c>
      <c r="H299" s="18" t="str">
        <f>IF($A299="","",IFERROR(INDEX(Map!$D$2:$D$400,MATCH($A299,Map!$A$2:$A$400,0)),"⚠ UNMAPPED"))</f>
        <v/>
      </c>
      <c r="I299" s="18" t="str">
        <f>IF($A299="","",IFERROR(INDEX(Map!$E$2:$E$400,MATCH($A299,Map!$A$2:$A$400,0)),"⚠ UNMAPPED"))</f>
        <v/>
      </c>
      <c r="J299" s="18" t="str">
        <f>IF($A299="","",IFERROR(INDEX(Map!$F$2:$F$400,MATCH($A299,Map!$A$2:$A$400,0)),"⚠ UNMAPPED"))</f>
        <v/>
      </c>
    </row>
    <row r="300" spans="7:10" x14ac:dyDescent="0.25">
      <c r="G300" s="18" t="str">
        <f>IF($A300="","",IFERROR(INDEX(Map!$C$2:$C$400,MATCH($A300,Map!$A$2:$A$400,0)),"⚠ UNMAPPED"))</f>
        <v/>
      </c>
      <c r="H300" s="18" t="str">
        <f>IF($A300="","",IFERROR(INDEX(Map!$D$2:$D$400,MATCH($A300,Map!$A$2:$A$400,0)),"⚠ UNMAPPED"))</f>
        <v/>
      </c>
      <c r="I300" s="18" t="str">
        <f>IF($A300="","",IFERROR(INDEX(Map!$E$2:$E$400,MATCH($A300,Map!$A$2:$A$400,0)),"⚠ UNMAPPED"))</f>
        <v/>
      </c>
      <c r="J300" s="18" t="str">
        <f>IF($A300="","",IFERROR(INDEX(Map!$F$2:$F$400,MATCH($A300,Map!$A$2:$A$400,0)),"⚠ UNMAPPED"))</f>
        <v/>
      </c>
    </row>
    <row r="301" spans="7:10" x14ac:dyDescent="0.25">
      <c r="G301" s="18" t="str">
        <f>IF($A301="","",IFERROR(INDEX(Map!$C$2:$C$400,MATCH($A301,Map!$A$2:$A$400,0)),"⚠ UNMAPPED"))</f>
        <v/>
      </c>
      <c r="H301" s="18" t="str">
        <f>IF($A301="","",IFERROR(INDEX(Map!$D$2:$D$400,MATCH($A301,Map!$A$2:$A$400,0)),"⚠ UNMAPPED"))</f>
        <v/>
      </c>
      <c r="I301" s="18" t="str">
        <f>IF($A301="","",IFERROR(INDEX(Map!$E$2:$E$400,MATCH($A301,Map!$A$2:$A$400,0)),"⚠ UNMAPPED"))</f>
        <v/>
      </c>
      <c r="J301" s="18" t="str">
        <f>IF($A301="","",IFERROR(INDEX(Map!$F$2:$F$400,MATCH($A301,Map!$A$2:$A$400,0)),"⚠ UNMAPPED"))</f>
        <v/>
      </c>
    </row>
    <row r="302" spans="7:10" x14ac:dyDescent="0.25">
      <c r="G302" s="18" t="str">
        <f>IF($A302="","",IFERROR(INDEX(Map!$C$2:$C$400,MATCH($A302,Map!$A$2:$A$400,0)),"⚠ UNMAPPED"))</f>
        <v/>
      </c>
      <c r="H302" s="18" t="str">
        <f>IF($A302="","",IFERROR(INDEX(Map!$D$2:$D$400,MATCH($A302,Map!$A$2:$A$400,0)),"⚠ UNMAPPED"))</f>
        <v/>
      </c>
      <c r="I302" s="18" t="str">
        <f>IF($A302="","",IFERROR(INDEX(Map!$E$2:$E$400,MATCH($A302,Map!$A$2:$A$400,0)),"⚠ UNMAPPED"))</f>
        <v/>
      </c>
      <c r="J302" s="18" t="str">
        <f>IF($A302="","",IFERROR(INDEX(Map!$F$2:$F$400,MATCH($A302,Map!$A$2:$A$400,0)),"⚠ UNMAPPED"))</f>
        <v/>
      </c>
    </row>
    <row r="303" spans="7:10" x14ac:dyDescent="0.25">
      <c r="G303" s="18" t="str">
        <f>IF($A303="","",IFERROR(INDEX(Map!$C$2:$C$400,MATCH($A303,Map!$A$2:$A$400,0)),"⚠ UNMAPPED"))</f>
        <v/>
      </c>
      <c r="H303" s="18" t="str">
        <f>IF($A303="","",IFERROR(INDEX(Map!$D$2:$D$400,MATCH($A303,Map!$A$2:$A$400,0)),"⚠ UNMAPPED"))</f>
        <v/>
      </c>
      <c r="I303" s="18" t="str">
        <f>IF($A303="","",IFERROR(INDEX(Map!$E$2:$E$400,MATCH($A303,Map!$A$2:$A$400,0)),"⚠ UNMAPPED"))</f>
        <v/>
      </c>
      <c r="J303" s="18" t="str">
        <f>IF($A303="","",IFERROR(INDEX(Map!$F$2:$F$400,MATCH($A303,Map!$A$2:$A$400,0)),"⚠ UNMAPPED"))</f>
        <v/>
      </c>
    </row>
    <row r="304" spans="7:10" x14ac:dyDescent="0.25">
      <c r="G304" s="18" t="str">
        <f>IF($A304="","",IFERROR(INDEX(Map!$C$2:$C$400,MATCH($A304,Map!$A$2:$A$400,0)),"⚠ UNMAPPED"))</f>
        <v/>
      </c>
      <c r="H304" s="18" t="str">
        <f>IF($A304="","",IFERROR(INDEX(Map!$D$2:$D$400,MATCH($A304,Map!$A$2:$A$400,0)),"⚠ UNMAPPED"))</f>
        <v/>
      </c>
      <c r="I304" s="18" t="str">
        <f>IF($A304="","",IFERROR(INDEX(Map!$E$2:$E$400,MATCH($A304,Map!$A$2:$A$400,0)),"⚠ UNMAPPED"))</f>
        <v/>
      </c>
      <c r="J304" s="18" t="str">
        <f>IF($A304="","",IFERROR(INDEX(Map!$F$2:$F$400,MATCH($A304,Map!$A$2:$A$400,0)),"⚠ UNMAPPED"))</f>
        <v/>
      </c>
    </row>
    <row r="305" spans="7:10" x14ac:dyDescent="0.25">
      <c r="G305" s="18" t="str">
        <f>IF($A305="","",IFERROR(INDEX(Map!$C$2:$C$400,MATCH($A305,Map!$A$2:$A$400,0)),"⚠ UNMAPPED"))</f>
        <v/>
      </c>
      <c r="H305" s="18" t="str">
        <f>IF($A305="","",IFERROR(INDEX(Map!$D$2:$D$400,MATCH($A305,Map!$A$2:$A$400,0)),"⚠ UNMAPPED"))</f>
        <v/>
      </c>
      <c r="I305" s="18" t="str">
        <f>IF($A305="","",IFERROR(INDEX(Map!$E$2:$E$400,MATCH($A305,Map!$A$2:$A$400,0)),"⚠ UNMAPPED"))</f>
        <v/>
      </c>
      <c r="J305" s="18" t="str">
        <f>IF($A305="","",IFERROR(INDEX(Map!$F$2:$F$400,MATCH($A305,Map!$A$2:$A$400,0)),"⚠ UNMAPPED"))</f>
        <v/>
      </c>
    </row>
    <row r="306" spans="7:10" x14ac:dyDescent="0.25">
      <c r="G306" s="18" t="str">
        <f>IF($A306="","",IFERROR(INDEX(Map!$C$2:$C$400,MATCH($A306,Map!$A$2:$A$400,0)),"⚠ UNMAPPED"))</f>
        <v/>
      </c>
      <c r="H306" s="18" t="str">
        <f>IF($A306="","",IFERROR(INDEX(Map!$D$2:$D$400,MATCH($A306,Map!$A$2:$A$400,0)),"⚠ UNMAPPED"))</f>
        <v/>
      </c>
      <c r="I306" s="18" t="str">
        <f>IF($A306="","",IFERROR(INDEX(Map!$E$2:$E$400,MATCH($A306,Map!$A$2:$A$400,0)),"⚠ UNMAPPED"))</f>
        <v/>
      </c>
      <c r="J306" s="18" t="str">
        <f>IF($A306="","",IFERROR(INDEX(Map!$F$2:$F$400,MATCH($A306,Map!$A$2:$A$400,0)),"⚠ UNMAPPED"))</f>
        <v/>
      </c>
    </row>
    <row r="307" spans="7:10" x14ac:dyDescent="0.25">
      <c r="G307" s="18" t="str">
        <f>IF($A307="","",IFERROR(INDEX(Map!$C$2:$C$400,MATCH($A307,Map!$A$2:$A$400,0)),"⚠ UNMAPPED"))</f>
        <v/>
      </c>
      <c r="H307" s="18" t="str">
        <f>IF($A307="","",IFERROR(INDEX(Map!$D$2:$D$400,MATCH($A307,Map!$A$2:$A$400,0)),"⚠ UNMAPPED"))</f>
        <v/>
      </c>
      <c r="I307" s="18" t="str">
        <f>IF($A307="","",IFERROR(INDEX(Map!$E$2:$E$400,MATCH($A307,Map!$A$2:$A$400,0)),"⚠ UNMAPPED"))</f>
        <v/>
      </c>
      <c r="J307" s="18" t="str">
        <f>IF($A307="","",IFERROR(INDEX(Map!$F$2:$F$400,MATCH($A307,Map!$A$2:$A$400,0)),"⚠ UNMAPPED"))</f>
        <v/>
      </c>
    </row>
    <row r="308" spans="7:10" x14ac:dyDescent="0.25">
      <c r="G308" s="18" t="str">
        <f>IF($A308="","",IFERROR(INDEX(Map!$C$2:$C$400,MATCH($A308,Map!$A$2:$A$400,0)),"⚠ UNMAPPED"))</f>
        <v/>
      </c>
      <c r="H308" s="18" t="str">
        <f>IF($A308="","",IFERROR(INDEX(Map!$D$2:$D$400,MATCH($A308,Map!$A$2:$A$400,0)),"⚠ UNMAPPED"))</f>
        <v/>
      </c>
      <c r="I308" s="18" t="str">
        <f>IF($A308="","",IFERROR(INDEX(Map!$E$2:$E$400,MATCH($A308,Map!$A$2:$A$400,0)),"⚠ UNMAPPED"))</f>
        <v/>
      </c>
      <c r="J308" s="18" t="str">
        <f>IF($A308="","",IFERROR(INDEX(Map!$F$2:$F$400,MATCH($A308,Map!$A$2:$A$400,0)),"⚠ UNMAPPED"))</f>
        <v/>
      </c>
    </row>
    <row r="309" spans="7:10" x14ac:dyDescent="0.25">
      <c r="G309" s="18" t="str">
        <f>IF($A309="","",IFERROR(INDEX(Map!$C$2:$C$400,MATCH($A309,Map!$A$2:$A$400,0)),"⚠ UNMAPPED"))</f>
        <v/>
      </c>
      <c r="H309" s="18" t="str">
        <f>IF($A309="","",IFERROR(INDEX(Map!$D$2:$D$400,MATCH($A309,Map!$A$2:$A$400,0)),"⚠ UNMAPPED"))</f>
        <v/>
      </c>
      <c r="I309" s="18" t="str">
        <f>IF($A309="","",IFERROR(INDEX(Map!$E$2:$E$400,MATCH($A309,Map!$A$2:$A$400,0)),"⚠ UNMAPPED"))</f>
        <v/>
      </c>
      <c r="J309" s="18" t="str">
        <f>IF($A309="","",IFERROR(INDEX(Map!$F$2:$F$400,MATCH($A309,Map!$A$2:$A$400,0)),"⚠ UNMAPPED"))</f>
        <v/>
      </c>
    </row>
    <row r="310" spans="7:10" x14ac:dyDescent="0.25">
      <c r="G310" s="18" t="str">
        <f>IF($A310="","",IFERROR(INDEX(Map!$C$2:$C$400,MATCH($A310,Map!$A$2:$A$400,0)),"⚠ UNMAPPED"))</f>
        <v/>
      </c>
      <c r="H310" s="18" t="str">
        <f>IF($A310="","",IFERROR(INDEX(Map!$D$2:$D$400,MATCH($A310,Map!$A$2:$A$400,0)),"⚠ UNMAPPED"))</f>
        <v/>
      </c>
      <c r="I310" s="18" t="str">
        <f>IF($A310="","",IFERROR(INDEX(Map!$E$2:$E$400,MATCH($A310,Map!$A$2:$A$400,0)),"⚠ UNMAPPED"))</f>
        <v/>
      </c>
      <c r="J310" s="18" t="str">
        <f>IF($A310="","",IFERROR(INDEX(Map!$F$2:$F$400,MATCH($A310,Map!$A$2:$A$400,0)),"⚠ UNMAPPED"))</f>
        <v/>
      </c>
    </row>
    <row r="311" spans="7:10" x14ac:dyDescent="0.25">
      <c r="G311" s="18" t="str">
        <f>IF($A311="","",IFERROR(INDEX(Map!$C$2:$C$400,MATCH($A311,Map!$A$2:$A$400,0)),"⚠ UNMAPPED"))</f>
        <v/>
      </c>
      <c r="H311" s="18" t="str">
        <f>IF($A311="","",IFERROR(INDEX(Map!$D$2:$D$400,MATCH($A311,Map!$A$2:$A$400,0)),"⚠ UNMAPPED"))</f>
        <v/>
      </c>
      <c r="I311" s="18" t="str">
        <f>IF($A311="","",IFERROR(INDEX(Map!$E$2:$E$400,MATCH($A311,Map!$A$2:$A$400,0)),"⚠ UNMAPPED"))</f>
        <v/>
      </c>
      <c r="J311" s="18" t="str">
        <f>IF($A311="","",IFERROR(INDEX(Map!$F$2:$F$400,MATCH($A311,Map!$A$2:$A$400,0)),"⚠ UNMAPPED"))</f>
        <v/>
      </c>
    </row>
    <row r="312" spans="7:10" x14ac:dyDescent="0.25">
      <c r="G312" s="18" t="str">
        <f>IF($A312="","",IFERROR(INDEX(Map!$C$2:$C$400,MATCH($A312,Map!$A$2:$A$400,0)),"⚠ UNMAPPED"))</f>
        <v/>
      </c>
      <c r="H312" s="18" t="str">
        <f>IF($A312="","",IFERROR(INDEX(Map!$D$2:$D$400,MATCH($A312,Map!$A$2:$A$400,0)),"⚠ UNMAPPED"))</f>
        <v/>
      </c>
      <c r="I312" s="18" t="str">
        <f>IF($A312="","",IFERROR(INDEX(Map!$E$2:$E$400,MATCH($A312,Map!$A$2:$A$400,0)),"⚠ UNMAPPED"))</f>
        <v/>
      </c>
      <c r="J312" s="18" t="str">
        <f>IF($A312="","",IFERROR(INDEX(Map!$F$2:$F$400,MATCH($A312,Map!$A$2:$A$400,0)),"⚠ UNMAPPED"))</f>
        <v/>
      </c>
    </row>
    <row r="313" spans="7:10" x14ac:dyDescent="0.25">
      <c r="G313" s="18" t="str">
        <f>IF($A313="","",IFERROR(INDEX(Map!$C$2:$C$400,MATCH($A313,Map!$A$2:$A$400,0)),"⚠ UNMAPPED"))</f>
        <v/>
      </c>
      <c r="H313" s="18" t="str">
        <f>IF($A313="","",IFERROR(INDEX(Map!$D$2:$D$400,MATCH($A313,Map!$A$2:$A$400,0)),"⚠ UNMAPPED"))</f>
        <v/>
      </c>
      <c r="I313" s="18" t="str">
        <f>IF($A313="","",IFERROR(INDEX(Map!$E$2:$E$400,MATCH($A313,Map!$A$2:$A$400,0)),"⚠ UNMAPPED"))</f>
        <v/>
      </c>
      <c r="J313" s="18" t="str">
        <f>IF($A313="","",IFERROR(INDEX(Map!$F$2:$F$400,MATCH($A313,Map!$A$2:$A$400,0)),"⚠ UNMAPPED"))</f>
        <v/>
      </c>
    </row>
    <row r="314" spans="7:10" x14ac:dyDescent="0.25">
      <c r="G314" s="18" t="str">
        <f>IF($A314="","",IFERROR(INDEX(Map!$C$2:$C$400,MATCH($A314,Map!$A$2:$A$400,0)),"⚠ UNMAPPED"))</f>
        <v/>
      </c>
      <c r="H314" s="18" t="str">
        <f>IF($A314="","",IFERROR(INDEX(Map!$D$2:$D$400,MATCH($A314,Map!$A$2:$A$400,0)),"⚠ UNMAPPED"))</f>
        <v/>
      </c>
      <c r="I314" s="18" t="str">
        <f>IF($A314="","",IFERROR(INDEX(Map!$E$2:$E$400,MATCH($A314,Map!$A$2:$A$400,0)),"⚠ UNMAPPED"))</f>
        <v/>
      </c>
      <c r="J314" s="18" t="str">
        <f>IF($A314="","",IFERROR(INDEX(Map!$F$2:$F$400,MATCH($A314,Map!$A$2:$A$400,0)),"⚠ UNMAPPED"))</f>
        <v/>
      </c>
    </row>
    <row r="315" spans="7:10" x14ac:dyDescent="0.25">
      <c r="G315" s="18" t="str">
        <f>IF($A315="","",IFERROR(INDEX(Map!$C$2:$C$400,MATCH($A315,Map!$A$2:$A$400,0)),"⚠ UNMAPPED"))</f>
        <v/>
      </c>
      <c r="H315" s="18" t="str">
        <f>IF($A315="","",IFERROR(INDEX(Map!$D$2:$D$400,MATCH($A315,Map!$A$2:$A$400,0)),"⚠ UNMAPPED"))</f>
        <v/>
      </c>
      <c r="I315" s="18" t="str">
        <f>IF($A315="","",IFERROR(INDEX(Map!$E$2:$E$400,MATCH($A315,Map!$A$2:$A$400,0)),"⚠ UNMAPPED"))</f>
        <v/>
      </c>
      <c r="J315" s="18" t="str">
        <f>IF($A315="","",IFERROR(INDEX(Map!$F$2:$F$400,MATCH($A315,Map!$A$2:$A$400,0)),"⚠ UNMAPPED"))</f>
        <v/>
      </c>
    </row>
    <row r="316" spans="7:10" x14ac:dyDescent="0.25">
      <c r="G316" s="18" t="str">
        <f>IF($A316="","",IFERROR(INDEX(Map!$C$2:$C$400,MATCH($A316,Map!$A$2:$A$400,0)),"⚠ UNMAPPED"))</f>
        <v/>
      </c>
      <c r="H316" s="18" t="str">
        <f>IF($A316="","",IFERROR(INDEX(Map!$D$2:$D$400,MATCH($A316,Map!$A$2:$A$400,0)),"⚠ UNMAPPED"))</f>
        <v/>
      </c>
      <c r="I316" s="18" t="str">
        <f>IF($A316="","",IFERROR(INDEX(Map!$E$2:$E$400,MATCH($A316,Map!$A$2:$A$400,0)),"⚠ UNMAPPED"))</f>
        <v/>
      </c>
      <c r="J316" s="18" t="str">
        <f>IF($A316="","",IFERROR(INDEX(Map!$F$2:$F$400,MATCH($A316,Map!$A$2:$A$400,0)),"⚠ UNMAPPED"))</f>
        <v/>
      </c>
    </row>
    <row r="317" spans="7:10" x14ac:dyDescent="0.25">
      <c r="G317" s="18" t="str">
        <f>IF($A317="","",IFERROR(INDEX(Map!$C$2:$C$400,MATCH($A317,Map!$A$2:$A$400,0)),"⚠ UNMAPPED"))</f>
        <v/>
      </c>
      <c r="H317" s="18" t="str">
        <f>IF($A317="","",IFERROR(INDEX(Map!$D$2:$D$400,MATCH($A317,Map!$A$2:$A$400,0)),"⚠ UNMAPPED"))</f>
        <v/>
      </c>
      <c r="I317" s="18" t="str">
        <f>IF($A317="","",IFERROR(INDEX(Map!$E$2:$E$400,MATCH($A317,Map!$A$2:$A$400,0)),"⚠ UNMAPPED"))</f>
        <v/>
      </c>
      <c r="J317" s="18" t="str">
        <f>IF($A317="","",IFERROR(INDEX(Map!$F$2:$F$400,MATCH($A317,Map!$A$2:$A$400,0)),"⚠ UNMAPPED"))</f>
        <v/>
      </c>
    </row>
    <row r="318" spans="7:10" x14ac:dyDescent="0.25">
      <c r="G318" s="18" t="str">
        <f>IF($A318="","",IFERROR(INDEX(Map!$C$2:$C$400,MATCH($A318,Map!$A$2:$A$400,0)),"⚠ UNMAPPED"))</f>
        <v/>
      </c>
      <c r="H318" s="18" t="str">
        <f>IF($A318="","",IFERROR(INDEX(Map!$D$2:$D$400,MATCH($A318,Map!$A$2:$A$400,0)),"⚠ UNMAPPED"))</f>
        <v/>
      </c>
      <c r="I318" s="18" t="str">
        <f>IF($A318="","",IFERROR(INDEX(Map!$E$2:$E$400,MATCH($A318,Map!$A$2:$A$400,0)),"⚠ UNMAPPED"))</f>
        <v/>
      </c>
      <c r="J318" s="18" t="str">
        <f>IF($A318="","",IFERROR(INDEX(Map!$F$2:$F$400,MATCH($A318,Map!$A$2:$A$400,0)),"⚠ UNMAPPED"))</f>
        <v/>
      </c>
    </row>
    <row r="319" spans="7:10" x14ac:dyDescent="0.25">
      <c r="G319" s="18" t="str">
        <f>IF($A319="","",IFERROR(INDEX(Map!$C$2:$C$400,MATCH($A319,Map!$A$2:$A$400,0)),"⚠ UNMAPPED"))</f>
        <v/>
      </c>
      <c r="H319" s="18" t="str">
        <f>IF($A319="","",IFERROR(INDEX(Map!$D$2:$D$400,MATCH($A319,Map!$A$2:$A$400,0)),"⚠ UNMAPPED"))</f>
        <v/>
      </c>
      <c r="I319" s="18" t="str">
        <f>IF($A319="","",IFERROR(INDEX(Map!$E$2:$E$400,MATCH($A319,Map!$A$2:$A$400,0)),"⚠ UNMAPPED"))</f>
        <v/>
      </c>
      <c r="J319" s="18" t="str">
        <f>IF($A319="","",IFERROR(INDEX(Map!$F$2:$F$400,MATCH($A319,Map!$A$2:$A$400,0)),"⚠ UNMAPPED"))</f>
        <v/>
      </c>
    </row>
    <row r="320" spans="7:10" x14ac:dyDescent="0.25">
      <c r="G320" s="18" t="str">
        <f>IF($A320="","",IFERROR(INDEX(Map!$C$2:$C$400,MATCH($A320,Map!$A$2:$A$400,0)),"⚠ UNMAPPED"))</f>
        <v/>
      </c>
      <c r="H320" s="18" t="str">
        <f>IF($A320="","",IFERROR(INDEX(Map!$D$2:$D$400,MATCH($A320,Map!$A$2:$A$400,0)),"⚠ UNMAPPED"))</f>
        <v/>
      </c>
      <c r="I320" s="18" t="str">
        <f>IF($A320="","",IFERROR(INDEX(Map!$E$2:$E$400,MATCH($A320,Map!$A$2:$A$400,0)),"⚠ UNMAPPED"))</f>
        <v/>
      </c>
      <c r="J320" s="18" t="str">
        <f>IF($A320="","",IFERROR(INDEX(Map!$F$2:$F$400,MATCH($A320,Map!$A$2:$A$400,0)),"⚠ UNMAPPED"))</f>
        <v/>
      </c>
    </row>
    <row r="321" spans="7:10" x14ac:dyDescent="0.25">
      <c r="G321" s="18" t="str">
        <f>IF($A321="","",IFERROR(INDEX(Map!$C$2:$C$400,MATCH($A321,Map!$A$2:$A$400,0)),"⚠ UNMAPPED"))</f>
        <v/>
      </c>
      <c r="H321" s="18" t="str">
        <f>IF($A321="","",IFERROR(INDEX(Map!$D$2:$D$400,MATCH($A321,Map!$A$2:$A$400,0)),"⚠ UNMAPPED"))</f>
        <v/>
      </c>
      <c r="I321" s="18" t="str">
        <f>IF($A321="","",IFERROR(INDEX(Map!$E$2:$E$400,MATCH($A321,Map!$A$2:$A$400,0)),"⚠ UNMAPPED"))</f>
        <v/>
      </c>
      <c r="J321" s="18" t="str">
        <f>IF($A321="","",IFERROR(INDEX(Map!$F$2:$F$400,MATCH($A321,Map!$A$2:$A$400,0)),"⚠ UNMAPPED"))</f>
        <v/>
      </c>
    </row>
    <row r="322" spans="7:10" x14ac:dyDescent="0.25">
      <c r="G322" s="18" t="str">
        <f>IF($A322="","",IFERROR(INDEX(Map!$C$2:$C$400,MATCH($A322,Map!$A$2:$A$400,0)),"⚠ UNMAPPED"))</f>
        <v/>
      </c>
      <c r="H322" s="18" t="str">
        <f>IF($A322="","",IFERROR(INDEX(Map!$D$2:$D$400,MATCH($A322,Map!$A$2:$A$400,0)),"⚠ UNMAPPED"))</f>
        <v/>
      </c>
      <c r="I322" s="18" t="str">
        <f>IF($A322="","",IFERROR(INDEX(Map!$E$2:$E$400,MATCH($A322,Map!$A$2:$A$400,0)),"⚠ UNMAPPED"))</f>
        <v/>
      </c>
      <c r="J322" s="18" t="str">
        <f>IF($A322="","",IFERROR(INDEX(Map!$F$2:$F$400,MATCH($A322,Map!$A$2:$A$400,0)),"⚠ UNMAPPED"))</f>
        <v/>
      </c>
    </row>
    <row r="323" spans="7:10" x14ac:dyDescent="0.25">
      <c r="G323" s="18" t="str">
        <f>IF($A323="","",IFERROR(INDEX(Map!$C$2:$C$400,MATCH($A323,Map!$A$2:$A$400,0)),"⚠ UNMAPPED"))</f>
        <v/>
      </c>
      <c r="H323" s="18" t="str">
        <f>IF($A323="","",IFERROR(INDEX(Map!$D$2:$D$400,MATCH($A323,Map!$A$2:$A$400,0)),"⚠ UNMAPPED"))</f>
        <v/>
      </c>
      <c r="I323" s="18" t="str">
        <f>IF($A323="","",IFERROR(INDEX(Map!$E$2:$E$400,MATCH($A323,Map!$A$2:$A$400,0)),"⚠ UNMAPPED"))</f>
        <v/>
      </c>
      <c r="J323" s="18" t="str">
        <f>IF($A323="","",IFERROR(INDEX(Map!$F$2:$F$400,MATCH($A323,Map!$A$2:$A$400,0)),"⚠ UNMAPPED"))</f>
        <v/>
      </c>
    </row>
    <row r="324" spans="7:10" x14ac:dyDescent="0.25">
      <c r="G324" s="18" t="str">
        <f>IF($A324="","",IFERROR(INDEX(Map!$C$2:$C$400,MATCH($A324,Map!$A$2:$A$400,0)),"⚠ UNMAPPED"))</f>
        <v/>
      </c>
      <c r="H324" s="18" t="str">
        <f>IF($A324="","",IFERROR(INDEX(Map!$D$2:$D$400,MATCH($A324,Map!$A$2:$A$400,0)),"⚠ UNMAPPED"))</f>
        <v/>
      </c>
      <c r="I324" s="18" t="str">
        <f>IF($A324="","",IFERROR(INDEX(Map!$E$2:$E$400,MATCH($A324,Map!$A$2:$A$400,0)),"⚠ UNMAPPED"))</f>
        <v/>
      </c>
      <c r="J324" s="18" t="str">
        <f>IF($A324="","",IFERROR(INDEX(Map!$F$2:$F$400,MATCH($A324,Map!$A$2:$A$400,0)),"⚠ UNMAPPED"))</f>
        <v/>
      </c>
    </row>
    <row r="325" spans="7:10" x14ac:dyDescent="0.25">
      <c r="G325" s="18" t="str">
        <f>IF($A325="","",IFERROR(INDEX(Map!$C$2:$C$400,MATCH($A325,Map!$A$2:$A$400,0)),"⚠ UNMAPPED"))</f>
        <v/>
      </c>
      <c r="H325" s="18" t="str">
        <f>IF($A325="","",IFERROR(INDEX(Map!$D$2:$D$400,MATCH($A325,Map!$A$2:$A$400,0)),"⚠ UNMAPPED"))</f>
        <v/>
      </c>
      <c r="I325" s="18" t="str">
        <f>IF($A325="","",IFERROR(INDEX(Map!$E$2:$E$400,MATCH($A325,Map!$A$2:$A$400,0)),"⚠ UNMAPPED"))</f>
        <v/>
      </c>
      <c r="J325" s="18" t="str">
        <f>IF($A325="","",IFERROR(INDEX(Map!$F$2:$F$400,MATCH($A325,Map!$A$2:$A$400,0)),"⚠ UNMAPPED"))</f>
        <v/>
      </c>
    </row>
    <row r="326" spans="7:10" x14ac:dyDescent="0.25">
      <c r="G326" s="18" t="str">
        <f>IF($A326="","",IFERROR(INDEX(Map!$C$2:$C$400,MATCH($A326,Map!$A$2:$A$400,0)),"⚠ UNMAPPED"))</f>
        <v/>
      </c>
      <c r="H326" s="18" t="str">
        <f>IF($A326="","",IFERROR(INDEX(Map!$D$2:$D$400,MATCH($A326,Map!$A$2:$A$400,0)),"⚠ UNMAPPED"))</f>
        <v/>
      </c>
      <c r="I326" s="18" t="str">
        <f>IF($A326="","",IFERROR(INDEX(Map!$E$2:$E$400,MATCH($A326,Map!$A$2:$A$400,0)),"⚠ UNMAPPED"))</f>
        <v/>
      </c>
      <c r="J326" s="18" t="str">
        <f>IF($A326="","",IFERROR(INDEX(Map!$F$2:$F$400,MATCH($A326,Map!$A$2:$A$400,0)),"⚠ UNMAPPED"))</f>
        <v/>
      </c>
    </row>
    <row r="327" spans="7:10" x14ac:dyDescent="0.25">
      <c r="G327" s="18" t="str">
        <f>IF($A327="","",IFERROR(INDEX(Map!$C$2:$C$400,MATCH($A327,Map!$A$2:$A$400,0)),"⚠ UNMAPPED"))</f>
        <v/>
      </c>
      <c r="H327" s="18" t="str">
        <f>IF($A327="","",IFERROR(INDEX(Map!$D$2:$D$400,MATCH($A327,Map!$A$2:$A$400,0)),"⚠ UNMAPPED"))</f>
        <v/>
      </c>
      <c r="I327" s="18" t="str">
        <f>IF($A327="","",IFERROR(INDEX(Map!$E$2:$E$400,MATCH($A327,Map!$A$2:$A$400,0)),"⚠ UNMAPPED"))</f>
        <v/>
      </c>
      <c r="J327" s="18" t="str">
        <f>IF($A327="","",IFERROR(INDEX(Map!$F$2:$F$400,MATCH($A327,Map!$A$2:$A$400,0)),"⚠ UNMAPPED"))</f>
        <v/>
      </c>
    </row>
    <row r="328" spans="7:10" x14ac:dyDescent="0.25">
      <c r="G328" s="18" t="str">
        <f>IF($A328="","",IFERROR(INDEX(Map!$C$2:$C$400,MATCH($A328,Map!$A$2:$A$400,0)),"⚠ UNMAPPED"))</f>
        <v/>
      </c>
      <c r="H328" s="18" t="str">
        <f>IF($A328="","",IFERROR(INDEX(Map!$D$2:$D$400,MATCH($A328,Map!$A$2:$A$400,0)),"⚠ UNMAPPED"))</f>
        <v/>
      </c>
      <c r="I328" s="18" t="str">
        <f>IF($A328="","",IFERROR(INDEX(Map!$E$2:$E$400,MATCH($A328,Map!$A$2:$A$400,0)),"⚠ UNMAPPED"))</f>
        <v/>
      </c>
      <c r="J328" s="18" t="str">
        <f>IF($A328="","",IFERROR(INDEX(Map!$F$2:$F$400,MATCH($A328,Map!$A$2:$A$400,0)),"⚠ UNMAPPED"))</f>
        <v/>
      </c>
    </row>
    <row r="329" spans="7:10" x14ac:dyDescent="0.25">
      <c r="G329" s="18" t="str">
        <f>IF($A329="","",IFERROR(INDEX(Map!$C$2:$C$400,MATCH($A329,Map!$A$2:$A$400,0)),"⚠ UNMAPPED"))</f>
        <v/>
      </c>
      <c r="H329" s="18" t="str">
        <f>IF($A329="","",IFERROR(INDEX(Map!$D$2:$D$400,MATCH($A329,Map!$A$2:$A$400,0)),"⚠ UNMAPPED"))</f>
        <v/>
      </c>
      <c r="I329" s="18" t="str">
        <f>IF($A329="","",IFERROR(INDEX(Map!$E$2:$E$400,MATCH($A329,Map!$A$2:$A$400,0)),"⚠ UNMAPPED"))</f>
        <v/>
      </c>
      <c r="J329" s="18" t="str">
        <f>IF($A329="","",IFERROR(INDEX(Map!$F$2:$F$400,MATCH($A329,Map!$A$2:$A$400,0)),"⚠ UNMAPPED"))</f>
        <v/>
      </c>
    </row>
    <row r="330" spans="7:10" x14ac:dyDescent="0.25">
      <c r="G330" s="18" t="str">
        <f>IF($A330="","",IFERROR(INDEX(Map!$C$2:$C$400,MATCH($A330,Map!$A$2:$A$400,0)),"⚠ UNMAPPED"))</f>
        <v/>
      </c>
      <c r="H330" s="18" t="str">
        <f>IF($A330="","",IFERROR(INDEX(Map!$D$2:$D$400,MATCH($A330,Map!$A$2:$A$400,0)),"⚠ UNMAPPED"))</f>
        <v/>
      </c>
      <c r="I330" s="18" t="str">
        <f>IF($A330="","",IFERROR(INDEX(Map!$E$2:$E$400,MATCH($A330,Map!$A$2:$A$400,0)),"⚠ UNMAPPED"))</f>
        <v/>
      </c>
      <c r="J330" s="18" t="str">
        <f>IF($A330="","",IFERROR(INDEX(Map!$F$2:$F$400,MATCH($A330,Map!$A$2:$A$400,0)),"⚠ UNMAPPED"))</f>
        <v/>
      </c>
    </row>
    <row r="331" spans="7:10" x14ac:dyDescent="0.25">
      <c r="G331" s="18" t="str">
        <f>IF($A331="","",IFERROR(INDEX(Map!$C$2:$C$400,MATCH($A331,Map!$A$2:$A$400,0)),"⚠ UNMAPPED"))</f>
        <v/>
      </c>
      <c r="H331" s="18" t="str">
        <f>IF($A331="","",IFERROR(INDEX(Map!$D$2:$D$400,MATCH($A331,Map!$A$2:$A$400,0)),"⚠ UNMAPPED"))</f>
        <v/>
      </c>
      <c r="I331" s="18" t="str">
        <f>IF($A331="","",IFERROR(INDEX(Map!$E$2:$E$400,MATCH($A331,Map!$A$2:$A$400,0)),"⚠ UNMAPPED"))</f>
        <v/>
      </c>
      <c r="J331" s="18" t="str">
        <f>IF($A331="","",IFERROR(INDEX(Map!$F$2:$F$400,MATCH($A331,Map!$A$2:$A$400,0)),"⚠ UNMAPPED"))</f>
        <v/>
      </c>
    </row>
    <row r="332" spans="7:10" x14ac:dyDescent="0.25">
      <c r="G332" s="18" t="str">
        <f>IF($A332="","",IFERROR(INDEX(Map!$C$2:$C$400,MATCH($A332,Map!$A$2:$A$400,0)),"⚠ UNMAPPED"))</f>
        <v/>
      </c>
      <c r="H332" s="18" t="str">
        <f>IF($A332="","",IFERROR(INDEX(Map!$D$2:$D$400,MATCH($A332,Map!$A$2:$A$400,0)),"⚠ UNMAPPED"))</f>
        <v/>
      </c>
      <c r="I332" s="18" t="str">
        <f>IF($A332="","",IFERROR(INDEX(Map!$E$2:$E$400,MATCH($A332,Map!$A$2:$A$400,0)),"⚠ UNMAPPED"))</f>
        <v/>
      </c>
      <c r="J332" s="18" t="str">
        <f>IF($A332="","",IFERROR(INDEX(Map!$F$2:$F$400,MATCH($A332,Map!$A$2:$A$400,0)),"⚠ UNMAPPED"))</f>
        <v/>
      </c>
    </row>
    <row r="333" spans="7:10" x14ac:dyDescent="0.25">
      <c r="G333" s="18" t="str">
        <f>IF($A333="","",IFERROR(INDEX(Map!$C$2:$C$400,MATCH($A333,Map!$A$2:$A$400,0)),"⚠ UNMAPPED"))</f>
        <v/>
      </c>
      <c r="H333" s="18" t="str">
        <f>IF($A333="","",IFERROR(INDEX(Map!$D$2:$D$400,MATCH($A333,Map!$A$2:$A$400,0)),"⚠ UNMAPPED"))</f>
        <v/>
      </c>
      <c r="I333" s="18" t="str">
        <f>IF($A333="","",IFERROR(INDEX(Map!$E$2:$E$400,MATCH($A333,Map!$A$2:$A$400,0)),"⚠ UNMAPPED"))</f>
        <v/>
      </c>
      <c r="J333" s="18" t="str">
        <f>IF($A333="","",IFERROR(INDEX(Map!$F$2:$F$400,MATCH($A333,Map!$A$2:$A$400,0)),"⚠ UNMAPPED"))</f>
        <v/>
      </c>
    </row>
    <row r="334" spans="7:10" x14ac:dyDescent="0.25">
      <c r="G334" s="18" t="str">
        <f>IF($A334="","",IFERROR(INDEX(Map!$C$2:$C$400,MATCH($A334,Map!$A$2:$A$400,0)),"⚠ UNMAPPED"))</f>
        <v/>
      </c>
      <c r="H334" s="18" t="str">
        <f>IF($A334="","",IFERROR(INDEX(Map!$D$2:$D$400,MATCH($A334,Map!$A$2:$A$400,0)),"⚠ UNMAPPED"))</f>
        <v/>
      </c>
      <c r="I334" s="18" t="str">
        <f>IF($A334="","",IFERROR(INDEX(Map!$E$2:$E$400,MATCH($A334,Map!$A$2:$A$400,0)),"⚠ UNMAPPED"))</f>
        <v/>
      </c>
      <c r="J334" s="18" t="str">
        <f>IF($A334="","",IFERROR(INDEX(Map!$F$2:$F$400,MATCH($A334,Map!$A$2:$A$400,0)),"⚠ UNMAPPED"))</f>
        <v/>
      </c>
    </row>
    <row r="335" spans="7:10" x14ac:dyDescent="0.25">
      <c r="G335" s="18" t="str">
        <f>IF($A335="","",IFERROR(INDEX(Map!$C$2:$C$400,MATCH($A335,Map!$A$2:$A$400,0)),"⚠ UNMAPPED"))</f>
        <v/>
      </c>
      <c r="H335" s="18" t="str">
        <f>IF($A335="","",IFERROR(INDEX(Map!$D$2:$D$400,MATCH($A335,Map!$A$2:$A$400,0)),"⚠ UNMAPPED"))</f>
        <v/>
      </c>
      <c r="I335" s="18" t="str">
        <f>IF($A335="","",IFERROR(INDEX(Map!$E$2:$E$400,MATCH($A335,Map!$A$2:$A$400,0)),"⚠ UNMAPPED"))</f>
        <v/>
      </c>
      <c r="J335" s="18" t="str">
        <f>IF($A335="","",IFERROR(INDEX(Map!$F$2:$F$400,MATCH($A335,Map!$A$2:$A$400,0)),"⚠ UNMAPPED"))</f>
        <v/>
      </c>
    </row>
    <row r="336" spans="7:10" x14ac:dyDescent="0.25">
      <c r="G336" s="18" t="str">
        <f>IF($A336="","",IFERROR(INDEX(Map!$C$2:$C$400,MATCH($A336,Map!$A$2:$A$400,0)),"⚠ UNMAPPED"))</f>
        <v/>
      </c>
      <c r="H336" s="18" t="str">
        <f>IF($A336="","",IFERROR(INDEX(Map!$D$2:$D$400,MATCH($A336,Map!$A$2:$A$400,0)),"⚠ UNMAPPED"))</f>
        <v/>
      </c>
      <c r="I336" s="18" t="str">
        <f>IF($A336="","",IFERROR(INDEX(Map!$E$2:$E$400,MATCH($A336,Map!$A$2:$A$400,0)),"⚠ UNMAPPED"))</f>
        <v/>
      </c>
      <c r="J336" s="18" t="str">
        <f>IF($A336="","",IFERROR(INDEX(Map!$F$2:$F$400,MATCH($A336,Map!$A$2:$A$400,0)),"⚠ UNMAPPED"))</f>
        <v/>
      </c>
    </row>
    <row r="337" spans="7:10" x14ac:dyDescent="0.25">
      <c r="G337" s="18" t="str">
        <f>IF($A337="","",IFERROR(INDEX(Map!$C$2:$C$400,MATCH($A337,Map!$A$2:$A$400,0)),"⚠ UNMAPPED"))</f>
        <v/>
      </c>
      <c r="H337" s="18" t="str">
        <f>IF($A337="","",IFERROR(INDEX(Map!$D$2:$D$400,MATCH($A337,Map!$A$2:$A$400,0)),"⚠ UNMAPPED"))</f>
        <v/>
      </c>
      <c r="I337" s="18" t="str">
        <f>IF($A337="","",IFERROR(INDEX(Map!$E$2:$E$400,MATCH($A337,Map!$A$2:$A$400,0)),"⚠ UNMAPPED"))</f>
        <v/>
      </c>
      <c r="J337" s="18" t="str">
        <f>IF($A337="","",IFERROR(INDEX(Map!$F$2:$F$400,MATCH($A337,Map!$A$2:$A$400,0)),"⚠ UNMAPPED"))</f>
        <v/>
      </c>
    </row>
    <row r="338" spans="7:10" x14ac:dyDescent="0.25">
      <c r="G338" s="18" t="str">
        <f>IF($A338="","",IFERROR(INDEX(Map!$C$2:$C$400,MATCH($A338,Map!$A$2:$A$400,0)),"⚠ UNMAPPED"))</f>
        <v/>
      </c>
      <c r="H338" s="18" t="str">
        <f>IF($A338="","",IFERROR(INDEX(Map!$D$2:$D$400,MATCH($A338,Map!$A$2:$A$400,0)),"⚠ UNMAPPED"))</f>
        <v/>
      </c>
      <c r="I338" s="18" t="str">
        <f>IF($A338="","",IFERROR(INDEX(Map!$E$2:$E$400,MATCH($A338,Map!$A$2:$A$400,0)),"⚠ UNMAPPED"))</f>
        <v/>
      </c>
      <c r="J338" s="18" t="str">
        <f>IF($A338="","",IFERROR(INDEX(Map!$F$2:$F$400,MATCH($A338,Map!$A$2:$A$400,0)),"⚠ UNMAPPED"))</f>
        <v/>
      </c>
    </row>
    <row r="339" spans="7:10" x14ac:dyDescent="0.25">
      <c r="G339" s="18" t="str">
        <f>IF($A339="","",IFERROR(INDEX(Map!$C$2:$C$400,MATCH($A339,Map!$A$2:$A$400,0)),"⚠ UNMAPPED"))</f>
        <v/>
      </c>
      <c r="H339" s="18" t="str">
        <f>IF($A339="","",IFERROR(INDEX(Map!$D$2:$D$400,MATCH($A339,Map!$A$2:$A$400,0)),"⚠ UNMAPPED"))</f>
        <v/>
      </c>
      <c r="I339" s="18" t="str">
        <f>IF($A339="","",IFERROR(INDEX(Map!$E$2:$E$400,MATCH($A339,Map!$A$2:$A$400,0)),"⚠ UNMAPPED"))</f>
        <v/>
      </c>
      <c r="J339" s="18" t="str">
        <f>IF($A339="","",IFERROR(INDEX(Map!$F$2:$F$400,MATCH($A339,Map!$A$2:$A$400,0)),"⚠ UNMAPPED"))</f>
        <v/>
      </c>
    </row>
    <row r="340" spans="7:10" x14ac:dyDescent="0.25">
      <c r="G340" s="18" t="str">
        <f>IF($A340="","",IFERROR(INDEX(Map!$C$2:$C$400,MATCH($A340,Map!$A$2:$A$400,0)),"⚠ UNMAPPED"))</f>
        <v/>
      </c>
      <c r="H340" s="18" t="str">
        <f>IF($A340="","",IFERROR(INDEX(Map!$D$2:$D$400,MATCH($A340,Map!$A$2:$A$400,0)),"⚠ UNMAPPED"))</f>
        <v/>
      </c>
      <c r="I340" s="18" t="str">
        <f>IF($A340="","",IFERROR(INDEX(Map!$E$2:$E$400,MATCH($A340,Map!$A$2:$A$400,0)),"⚠ UNMAPPED"))</f>
        <v/>
      </c>
      <c r="J340" s="18" t="str">
        <f>IF($A340="","",IFERROR(INDEX(Map!$F$2:$F$400,MATCH($A340,Map!$A$2:$A$400,0)),"⚠ UNMAPPED"))</f>
        <v/>
      </c>
    </row>
    <row r="341" spans="7:10" x14ac:dyDescent="0.25">
      <c r="G341" s="18" t="str">
        <f>IF($A341="","",IFERROR(INDEX(Map!$C$2:$C$400,MATCH($A341,Map!$A$2:$A$400,0)),"⚠ UNMAPPED"))</f>
        <v/>
      </c>
      <c r="H341" s="18" t="str">
        <f>IF($A341="","",IFERROR(INDEX(Map!$D$2:$D$400,MATCH($A341,Map!$A$2:$A$400,0)),"⚠ UNMAPPED"))</f>
        <v/>
      </c>
      <c r="I341" s="18" t="str">
        <f>IF($A341="","",IFERROR(INDEX(Map!$E$2:$E$400,MATCH($A341,Map!$A$2:$A$400,0)),"⚠ UNMAPPED"))</f>
        <v/>
      </c>
      <c r="J341" s="18" t="str">
        <f>IF($A341="","",IFERROR(INDEX(Map!$F$2:$F$400,MATCH($A341,Map!$A$2:$A$400,0)),"⚠ UNMAPPED"))</f>
        <v/>
      </c>
    </row>
    <row r="342" spans="7:10" x14ac:dyDescent="0.25">
      <c r="G342" s="18" t="str">
        <f>IF($A342="","",IFERROR(INDEX(Map!$C$2:$C$400,MATCH($A342,Map!$A$2:$A$400,0)),"⚠ UNMAPPED"))</f>
        <v/>
      </c>
      <c r="H342" s="18" t="str">
        <f>IF($A342="","",IFERROR(INDEX(Map!$D$2:$D$400,MATCH($A342,Map!$A$2:$A$400,0)),"⚠ UNMAPPED"))</f>
        <v/>
      </c>
      <c r="I342" s="18" t="str">
        <f>IF($A342="","",IFERROR(INDEX(Map!$E$2:$E$400,MATCH($A342,Map!$A$2:$A$400,0)),"⚠ UNMAPPED"))</f>
        <v/>
      </c>
      <c r="J342" s="18" t="str">
        <f>IF($A342="","",IFERROR(INDEX(Map!$F$2:$F$400,MATCH($A342,Map!$A$2:$A$400,0)),"⚠ UNMAPPED"))</f>
        <v/>
      </c>
    </row>
    <row r="343" spans="7:10" x14ac:dyDescent="0.25">
      <c r="G343" s="18" t="str">
        <f>IF($A343="","",IFERROR(INDEX(Map!$C$2:$C$400,MATCH($A343,Map!$A$2:$A$400,0)),"⚠ UNMAPPED"))</f>
        <v/>
      </c>
      <c r="H343" s="18" t="str">
        <f>IF($A343="","",IFERROR(INDEX(Map!$D$2:$D$400,MATCH($A343,Map!$A$2:$A$400,0)),"⚠ UNMAPPED"))</f>
        <v/>
      </c>
      <c r="I343" s="18" t="str">
        <f>IF($A343="","",IFERROR(INDEX(Map!$E$2:$E$400,MATCH($A343,Map!$A$2:$A$400,0)),"⚠ UNMAPPED"))</f>
        <v/>
      </c>
      <c r="J343" s="18" t="str">
        <f>IF($A343="","",IFERROR(INDEX(Map!$F$2:$F$400,MATCH($A343,Map!$A$2:$A$400,0)),"⚠ UNMAPPED"))</f>
        <v/>
      </c>
    </row>
    <row r="344" spans="7:10" x14ac:dyDescent="0.25">
      <c r="G344" s="18" t="str">
        <f>IF($A344="","",IFERROR(INDEX(Map!$C$2:$C$400,MATCH($A344,Map!$A$2:$A$400,0)),"⚠ UNMAPPED"))</f>
        <v/>
      </c>
      <c r="H344" s="18" t="str">
        <f>IF($A344="","",IFERROR(INDEX(Map!$D$2:$D$400,MATCH($A344,Map!$A$2:$A$400,0)),"⚠ UNMAPPED"))</f>
        <v/>
      </c>
      <c r="I344" s="18" t="str">
        <f>IF($A344="","",IFERROR(INDEX(Map!$E$2:$E$400,MATCH($A344,Map!$A$2:$A$400,0)),"⚠ UNMAPPED"))</f>
        <v/>
      </c>
      <c r="J344" s="18" t="str">
        <f>IF($A344="","",IFERROR(INDEX(Map!$F$2:$F$400,MATCH($A344,Map!$A$2:$A$400,0)),"⚠ UNMAPPED"))</f>
        <v/>
      </c>
    </row>
    <row r="345" spans="7:10" x14ac:dyDescent="0.25">
      <c r="G345" s="18" t="str">
        <f>IF($A345="","",IFERROR(INDEX(Map!$C$2:$C$400,MATCH($A345,Map!$A$2:$A$400,0)),"⚠ UNMAPPED"))</f>
        <v/>
      </c>
      <c r="H345" s="18" t="str">
        <f>IF($A345="","",IFERROR(INDEX(Map!$D$2:$D$400,MATCH($A345,Map!$A$2:$A$400,0)),"⚠ UNMAPPED"))</f>
        <v/>
      </c>
      <c r="I345" s="18" t="str">
        <f>IF($A345="","",IFERROR(INDEX(Map!$E$2:$E$400,MATCH($A345,Map!$A$2:$A$400,0)),"⚠ UNMAPPED"))</f>
        <v/>
      </c>
      <c r="J345" s="18" t="str">
        <f>IF($A345="","",IFERROR(INDEX(Map!$F$2:$F$400,MATCH($A345,Map!$A$2:$A$400,0)),"⚠ UNMAPPED"))</f>
        <v/>
      </c>
    </row>
    <row r="346" spans="7:10" x14ac:dyDescent="0.25">
      <c r="G346" s="18" t="str">
        <f>IF($A346="","",IFERROR(INDEX(Map!$C$2:$C$400,MATCH($A346,Map!$A$2:$A$400,0)),"⚠ UNMAPPED"))</f>
        <v/>
      </c>
      <c r="H346" s="18" t="str">
        <f>IF($A346="","",IFERROR(INDEX(Map!$D$2:$D$400,MATCH($A346,Map!$A$2:$A$400,0)),"⚠ UNMAPPED"))</f>
        <v/>
      </c>
      <c r="I346" s="18" t="str">
        <f>IF($A346="","",IFERROR(INDEX(Map!$E$2:$E$400,MATCH($A346,Map!$A$2:$A$400,0)),"⚠ UNMAPPED"))</f>
        <v/>
      </c>
      <c r="J346" s="18" t="str">
        <f>IF($A346="","",IFERROR(INDEX(Map!$F$2:$F$400,MATCH($A346,Map!$A$2:$A$400,0)),"⚠ UNMAPPED"))</f>
        <v/>
      </c>
    </row>
    <row r="347" spans="7:10" x14ac:dyDescent="0.25">
      <c r="G347" s="18" t="str">
        <f>IF($A347="","",IFERROR(INDEX(Map!$C$2:$C$400,MATCH($A347,Map!$A$2:$A$400,0)),"⚠ UNMAPPED"))</f>
        <v/>
      </c>
      <c r="H347" s="18" t="str">
        <f>IF($A347="","",IFERROR(INDEX(Map!$D$2:$D$400,MATCH($A347,Map!$A$2:$A$400,0)),"⚠ UNMAPPED"))</f>
        <v/>
      </c>
      <c r="I347" s="18" t="str">
        <f>IF($A347="","",IFERROR(INDEX(Map!$E$2:$E$400,MATCH($A347,Map!$A$2:$A$400,0)),"⚠ UNMAPPED"))</f>
        <v/>
      </c>
      <c r="J347" s="18" t="str">
        <f>IF($A347="","",IFERROR(INDEX(Map!$F$2:$F$400,MATCH($A347,Map!$A$2:$A$400,0)),"⚠ UNMAPPED"))</f>
        <v/>
      </c>
    </row>
    <row r="348" spans="7:10" x14ac:dyDescent="0.25">
      <c r="G348" s="18" t="str">
        <f>IF($A348="","",IFERROR(INDEX(Map!$C$2:$C$400,MATCH($A348,Map!$A$2:$A$400,0)),"⚠ UNMAPPED"))</f>
        <v/>
      </c>
      <c r="H348" s="18" t="str">
        <f>IF($A348="","",IFERROR(INDEX(Map!$D$2:$D$400,MATCH($A348,Map!$A$2:$A$400,0)),"⚠ UNMAPPED"))</f>
        <v/>
      </c>
      <c r="I348" s="18" t="str">
        <f>IF($A348="","",IFERROR(INDEX(Map!$E$2:$E$400,MATCH($A348,Map!$A$2:$A$400,0)),"⚠ UNMAPPED"))</f>
        <v/>
      </c>
      <c r="J348" s="18" t="str">
        <f>IF($A348="","",IFERROR(INDEX(Map!$F$2:$F$400,MATCH($A348,Map!$A$2:$A$400,0)),"⚠ UNMAPPED"))</f>
        <v/>
      </c>
    </row>
    <row r="349" spans="7:10" x14ac:dyDescent="0.25">
      <c r="G349" s="18" t="str">
        <f>IF($A349="","",IFERROR(INDEX(Map!$C$2:$C$400,MATCH($A349,Map!$A$2:$A$400,0)),"⚠ UNMAPPED"))</f>
        <v/>
      </c>
      <c r="H349" s="18" t="str">
        <f>IF($A349="","",IFERROR(INDEX(Map!$D$2:$D$400,MATCH($A349,Map!$A$2:$A$400,0)),"⚠ UNMAPPED"))</f>
        <v/>
      </c>
      <c r="I349" s="18" t="str">
        <f>IF($A349="","",IFERROR(INDEX(Map!$E$2:$E$400,MATCH($A349,Map!$A$2:$A$400,0)),"⚠ UNMAPPED"))</f>
        <v/>
      </c>
      <c r="J349" s="18" t="str">
        <f>IF($A349="","",IFERROR(INDEX(Map!$F$2:$F$400,MATCH($A349,Map!$A$2:$A$400,0)),"⚠ UNMAPPED"))</f>
        <v/>
      </c>
    </row>
    <row r="350" spans="7:10" x14ac:dyDescent="0.25">
      <c r="G350" s="18" t="str">
        <f>IF($A350="","",IFERROR(INDEX(Map!$C$2:$C$400,MATCH($A350,Map!$A$2:$A$400,0)),"⚠ UNMAPPED"))</f>
        <v/>
      </c>
      <c r="H350" s="18" t="str">
        <f>IF($A350="","",IFERROR(INDEX(Map!$D$2:$D$400,MATCH($A350,Map!$A$2:$A$400,0)),"⚠ UNMAPPED"))</f>
        <v/>
      </c>
      <c r="I350" s="18" t="str">
        <f>IF($A350="","",IFERROR(INDEX(Map!$E$2:$E$400,MATCH($A350,Map!$A$2:$A$400,0)),"⚠ UNMAPPED"))</f>
        <v/>
      </c>
      <c r="J350" s="18" t="str">
        <f>IF($A350="","",IFERROR(INDEX(Map!$F$2:$F$400,MATCH($A350,Map!$A$2:$A$400,0)),"⚠ UNMAPPED"))</f>
        <v/>
      </c>
    </row>
    <row r="351" spans="7:10" x14ac:dyDescent="0.25">
      <c r="G351" s="18" t="str">
        <f>IF($A351="","",IFERROR(INDEX(Map!$C$2:$C$400,MATCH($A351,Map!$A$2:$A$400,0)),"⚠ UNMAPPED"))</f>
        <v/>
      </c>
      <c r="H351" s="18" t="str">
        <f>IF($A351="","",IFERROR(INDEX(Map!$D$2:$D$400,MATCH($A351,Map!$A$2:$A$400,0)),"⚠ UNMAPPED"))</f>
        <v/>
      </c>
      <c r="I351" s="18" t="str">
        <f>IF($A351="","",IFERROR(INDEX(Map!$E$2:$E$400,MATCH($A351,Map!$A$2:$A$400,0)),"⚠ UNMAPPED"))</f>
        <v/>
      </c>
      <c r="J351" s="18" t="str">
        <f>IF($A351="","",IFERROR(INDEX(Map!$F$2:$F$400,MATCH($A351,Map!$A$2:$A$400,0)),"⚠ UNMAPPED"))</f>
        <v/>
      </c>
    </row>
    <row r="352" spans="7:10" x14ac:dyDescent="0.25">
      <c r="G352" s="18" t="str">
        <f>IF($A352="","",IFERROR(INDEX(Map!$C$2:$C$400,MATCH($A352,Map!$A$2:$A$400,0)),"⚠ UNMAPPED"))</f>
        <v/>
      </c>
      <c r="H352" s="18" t="str">
        <f>IF($A352="","",IFERROR(INDEX(Map!$D$2:$D$400,MATCH($A352,Map!$A$2:$A$400,0)),"⚠ UNMAPPED"))</f>
        <v/>
      </c>
      <c r="I352" s="18" t="str">
        <f>IF($A352="","",IFERROR(INDEX(Map!$E$2:$E$400,MATCH($A352,Map!$A$2:$A$400,0)),"⚠ UNMAPPED"))</f>
        <v/>
      </c>
      <c r="J352" s="18" t="str">
        <f>IF($A352="","",IFERROR(INDEX(Map!$F$2:$F$400,MATCH($A352,Map!$A$2:$A$400,0)),"⚠ UNMAPPED"))</f>
        <v/>
      </c>
    </row>
    <row r="353" spans="7:10" x14ac:dyDescent="0.25">
      <c r="G353" s="18" t="str">
        <f>IF($A353="","",IFERROR(INDEX(Map!$C$2:$C$400,MATCH($A353,Map!$A$2:$A$400,0)),"⚠ UNMAPPED"))</f>
        <v/>
      </c>
      <c r="H353" s="18" t="str">
        <f>IF($A353="","",IFERROR(INDEX(Map!$D$2:$D$400,MATCH($A353,Map!$A$2:$A$400,0)),"⚠ UNMAPPED"))</f>
        <v/>
      </c>
      <c r="I353" s="18" t="str">
        <f>IF($A353="","",IFERROR(INDEX(Map!$E$2:$E$400,MATCH($A353,Map!$A$2:$A$400,0)),"⚠ UNMAPPED"))</f>
        <v/>
      </c>
      <c r="J353" s="18" t="str">
        <f>IF($A353="","",IFERROR(INDEX(Map!$F$2:$F$400,MATCH($A353,Map!$A$2:$A$400,0)),"⚠ UNMAPPED"))</f>
        <v/>
      </c>
    </row>
    <row r="354" spans="7:10" x14ac:dyDescent="0.25">
      <c r="G354" s="18" t="str">
        <f>IF($A354="","",IFERROR(INDEX(Map!$C$2:$C$400,MATCH($A354,Map!$A$2:$A$400,0)),"⚠ UNMAPPED"))</f>
        <v/>
      </c>
      <c r="H354" s="18" t="str">
        <f>IF($A354="","",IFERROR(INDEX(Map!$D$2:$D$400,MATCH($A354,Map!$A$2:$A$400,0)),"⚠ UNMAPPED"))</f>
        <v/>
      </c>
      <c r="I354" s="18" t="str">
        <f>IF($A354="","",IFERROR(INDEX(Map!$E$2:$E$400,MATCH($A354,Map!$A$2:$A$400,0)),"⚠ UNMAPPED"))</f>
        <v/>
      </c>
      <c r="J354" s="18" t="str">
        <f>IF($A354="","",IFERROR(INDEX(Map!$F$2:$F$400,MATCH($A354,Map!$A$2:$A$400,0)),"⚠ UNMAPPED"))</f>
        <v/>
      </c>
    </row>
    <row r="355" spans="7:10" x14ac:dyDescent="0.25">
      <c r="G355" s="18" t="str">
        <f>IF($A355="","",IFERROR(INDEX(Map!$C$2:$C$400,MATCH($A355,Map!$A$2:$A$400,0)),"⚠ UNMAPPED"))</f>
        <v/>
      </c>
      <c r="H355" s="18" t="str">
        <f>IF($A355="","",IFERROR(INDEX(Map!$D$2:$D$400,MATCH($A355,Map!$A$2:$A$400,0)),"⚠ UNMAPPED"))</f>
        <v/>
      </c>
      <c r="I355" s="18" t="str">
        <f>IF($A355="","",IFERROR(INDEX(Map!$E$2:$E$400,MATCH($A355,Map!$A$2:$A$400,0)),"⚠ UNMAPPED"))</f>
        <v/>
      </c>
      <c r="J355" s="18" t="str">
        <f>IF($A355="","",IFERROR(INDEX(Map!$F$2:$F$400,MATCH($A355,Map!$A$2:$A$400,0)),"⚠ UNMAPPED"))</f>
        <v/>
      </c>
    </row>
    <row r="356" spans="7:10" x14ac:dyDescent="0.25">
      <c r="G356" s="18" t="str">
        <f>IF($A356="","",IFERROR(INDEX(Map!$C$2:$C$400,MATCH($A356,Map!$A$2:$A$400,0)),"⚠ UNMAPPED"))</f>
        <v/>
      </c>
      <c r="H356" s="18" t="str">
        <f>IF($A356="","",IFERROR(INDEX(Map!$D$2:$D$400,MATCH($A356,Map!$A$2:$A$400,0)),"⚠ UNMAPPED"))</f>
        <v/>
      </c>
      <c r="I356" s="18" t="str">
        <f>IF($A356="","",IFERROR(INDEX(Map!$E$2:$E$400,MATCH($A356,Map!$A$2:$A$400,0)),"⚠ UNMAPPED"))</f>
        <v/>
      </c>
      <c r="J356" s="18" t="str">
        <f>IF($A356="","",IFERROR(INDEX(Map!$F$2:$F$400,MATCH($A356,Map!$A$2:$A$400,0)),"⚠ UNMAPPED"))</f>
        <v/>
      </c>
    </row>
    <row r="357" spans="7:10" x14ac:dyDescent="0.25">
      <c r="G357" s="18" t="str">
        <f>IF($A357="","",IFERROR(INDEX(Map!$C$2:$C$400,MATCH($A357,Map!$A$2:$A$400,0)),"⚠ UNMAPPED"))</f>
        <v/>
      </c>
      <c r="H357" s="18" t="str">
        <f>IF($A357="","",IFERROR(INDEX(Map!$D$2:$D$400,MATCH($A357,Map!$A$2:$A$400,0)),"⚠ UNMAPPED"))</f>
        <v/>
      </c>
      <c r="I357" s="18" t="str">
        <f>IF($A357="","",IFERROR(INDEX(Map!$E$2:$E$400,MATCH($A357,Map!$A$2:$A$400,0)),"⚠ UNMAPPED"))</f>
        <v/>
      </c>
      <c r="J357" s="18" t="str">
        <f>IF($A357="","",IFERROR(INDEX(Map!$F$2:$F$400,MATCH($A357,Map!$A$2:$A$400,0)),"⚠ UNMAPPED"))</f>
        <v/>
      </c>
    </row>
    <row r="358" spans="7:10" x14ac:dyDescent="0.25">
      <c r="G358" s="18" t="str">
        <f>IF($A358="","",IFERROR(INDEX(Map!$C$2:$C$400,MATCH($A358,Map!$A$2:$A$400,0)),"⚠ UNMAPPED"))</f>
        <v/>
      </c>
      <c r="H358" s="18" t="str">
        <f>IF($A358="","",IFERROR(INDEX(Map!$D$2:$D$400,MATCH($A358,Map!$A$2:$A$400,0)),"⚠ UNMAPPED"))</f>
        <v/>
      </c>
      <c r="I358" s="18" t="str">
        <f>IF($A358="","",IFERROR(INDEX(Map!$E$2:$E$400,MATCH($A358,Map!$A$2:$A$400,0)),"⚠ UNMAPPED"))</f>
        <v/>
      </c>
      <c r="J358" s="18" t="str">
        <f>IF($A358="","",IFERROR(INDEX(Map!$F$2:$F$400,MATCH($A358,Map!$A$2:$A$400,0)),"⚠ UNMAPPED"))</f>
        <v/>
      </c>
    </row>
    <row r="359" spans="7:10" x14ac:dyDescent="0.25">
      <c r="G359" s="18" t="str">
        <f>IF($A359="","",IFERROR(INDEX(Map!$C$2:$C$400,MATCH($A359,Map!$A$2:$A$400,0)),"⚠ UNMAPPED"))</f>
        <v/>
      </c>
      <c r="H359" s="18" t="str">
        <f>IF($A359="","",IFERROR(INDEX(Map!$D$2:$D$400,MATCH($A359,Map!$A$2:$A$400,0)),"⚠ UNMAPPED"))</f>
        <v/>
      </c>
      <c r="I359" s="18" t="str">
        <f>IF($A359="","",IFERROR(INDEX(Map!$E$2:$E$400,MATCH($A359,Map!$A$2:$A$400,0)),"⚠ UNMAPPED"))</f>
        <v/>
      </c>
      <c r="J359" s="18" t="str">
        <f>IF($A359="","",IFERROR(INDEX(Map!$F$2:$F$400,MATCH($A359,Map!$A$2:$A$400,0)),"⚠ UNMAPPED"))</f>
        <v/>
      </c>
    </row>
    <row r="360" spans="7:10" x14ac:dyDescent="0.25">
      <c r="G360" s="18" t="str">
        <f>IF($A360="","",IFERROR(INDEX(Map!$C$2:$C$400,MATCH($A360,Map!$A$2:$A$400,0)),"⚠ UNMAPPED"))</f>
        <v/>
      </c>
      <c r="H360" s="18" t="str">
        <f>IF($A360="","",IFERROR(INDEX(Map!$D$2:$D$400,MATCH($A360,Map!$A$2:$A$400,0)),"⚠ UNMAPPED"))</f>
        <v/>
      </c>
      <c r="I360" s="18" t="str">
        <f>IF($A360="","",IFERROR(INDEX(Map!$E$2:$E$400,MATCH($A360,Map!$A$2:$A$400,0)),"⚠ UNMAPPED"))</f>
        <v/>
      </c>
      <c r="J360" s="18" t="str">
        <f>IF($A360="","",IFERROR(INDEX(Map!$F$2:$F$400,MATCH($A360,Map!$A$2:$A$400,0)),"⚠ UNMAPPED"))</f>
        <v/>
      </c>
    </row>
    <row r="361" spans="7:10" x14ac:dyDescent="0.25">
      <c r="G361" s="18" t="str">
        <f>IF($A361="","",IFERROR(INDEX(Map!$C$2:$C$400,MATCH($A361,Map!$A$2:$A$400,0)),"⚠ UNMAPPED"))</f>
        <v/>
      </c>
      <c r="H361" s="18" t="str">
        <f>IF($A361="","",IFERROR(INDEX(Map!$D$2:$D$400,MATCH($A361,Map!$A$2:$A$400,0)),"⚠ UNMAPPED"))</f>
        <v/>
      </c>
      <c r="I361" s="18" t="str">
        <f>IF($A361="","",IFERROR(INDEX(Map!$E$2:$E$400,MATCH($A361,Map!$A$2:$A$400,0)),"⚠ UNMAPPED"))</f>
        <v/>
      </c>
      <c r="J361" s="18" t="str">
        <f>IF($A361="","",IFERROR(INDEX(Map!$F$2:$F$400,MATCH($A361,Map!$A$2:$A$400,0)),"⚠ UNMAPPED"))</f>
        <v/>
      </c>
    </row>
    <row r="362" spans="7:10" x14ac:dyDescent="0.25">
      <c r="G362" s="18" t="str">
        <f>IF($A362="","",IFERROR(INDEX(Map!$C$2:$C$400,MATCH($A362,Map!$A$2:$A$400,0)),"⚠ UNMAPPED"))</f>
        <v/>
      </c>
      <c r="H362" s="18" t="str">
        <f>IF($A362="","",IFERROR(INDEX(Map!$D$2:$D$400,MATCH($A362,Map!$A$2:$A$400,0)),"⚠ UNMAPPED"))</f>
        <v/>
      </c>
      <c r="I362" s="18" t="str">
        <f>IF($A362="","",IFERROR(INDEX(Map!$E$2:$E$400,MATCH($A362,Map!$A$2:$A$400,0)),"⚠ UNMAPPED"))</f>
        <v/>
      </c>
      <c r="J362" s="18" t="str">
        <f>IF($A362="","",IFERROR(INDEX(Map!$F$2:$F$400,MATCH($A362,Map!$A$2:$A$400,0)),"⚠ UNMAPPED"))</f>
        <v/>
      </c>
    </row>
    <row r="363" spans="7:10" x14ac:dyDescent="0.25">
      <c r="G363" s="18" t="str">
        <f>IF($A363="","",IFERROR(INDEX(Map!$C$2:$C$400,MATCH($A363,Map!$A$2:$A$400,0)),"⚠ UNMAPPED"))</f>
        <v/>
      </c>
      <c r="H363" s="18" t="str">
        <f>IF($A363="","",IFERROR(INDEX(Map!$D$2:$D$400,MATCH($A363,Map!$A$2:$A$400,0)),"⚠ UNMAPPED"))</f>
        <v/>
      </c>
      <c r="I363" s="18" t="str">
        <f>IF($A363="","",IFERROR(INDEX(Map!$E$2:$E$400,MATCH($A363,Map!$A$2:$A$400,0)),"⚠ UNMAPPED"))</f>
        <v/>
      </c>
      <c r="J363" s="18" t="str">
        <f>IF($A363="","",IFERROR(INDEX(Map!$F$2:$F$400,MATCH($A363,Map!$A$2:$A$400,0)),"⚠ UNMAPPED"))</f>
        <v/>
      </c>
    </row>
    <row r="364" spans="7:10" x14ac:dyDescent="0.25">
      <c r="G364" s="18" t="str">
        <f>IF($A364="","",IFERROR(INDEX(Map!$C$2:$C$400,MATCH($A364,Map!$A$2:$A$400,0)),"⚠ UNMAPPED"))</f>
        <v/>
      </c>
      <c r="H364" s="18" t="str">
        <f>IF($A364="","",IFERROR(INDEX(Map!$D$2:$D$400,MATCH($A364,Map!$A$2:$A$400,0)),"⚠ UNMAPPED"))</f>
        <v/>
      </c>
      <c r="I364" s="18" t="str">
        <f>IF($A364="","",IFERROR(INDEX(Map!$E$2:$E$400,MATCH($A364,Map!$A$2:$A$400,0)),"⚠ UNMAPPED"))</f>
        <v/>
      </c>
      <c r="J364" s="18" t="str">
        <f>IF($A364="","",IFERROR(INDEX(Map!$F$2:$F$400,MATCH($A364,Map!$A$2:$A$400,0)),"⚠ UNMAPPED"))</f>
        <v/>
      </c>
    </row>
    <row r="365" spans="7:10" x14ac:dyDescent="0.25">
      <c r="G365" s="18" t="str">
        <f>IF($A365="","",IFERROR(INDEX(Map!$C$2:$C$400,MATCH($A365,Map!$A$2:$A$400,0)),"⚠ UNMAPPED"))</f>
        <v/>
      </c>
      <c r="H365" s="18" t="str">
        <f>IF($A365="","",IFERROR(INDEX(Map!$D$2:$D$400,MATCH($A365,Map!$A$2:$A$400,0)),"⚠ UNMAPPED"))</f>
        <v/>
      </c>
      <c r="I365" s="18" t="str">
        <f>IF($A365="","",IFERROR(INDEX(Map!$E$2:$E$400,MATCH($A365,Map!$A$2:$A$400,0)),"⚠ UNMAPPED"))</f>
        <v/>
      </c>
      <c r="J365" s="18" t="str">
        <f>IF($A365="","",IFERROR(INDEX(Map!$F$2:$F$400,MATCH($A365,Map!$A$2:$A$400,0)),"⚠ UNMAPPED"))</f>
        <v/>
      </c>
    </row>
    <row r="366" spans="7:10" x14ac:dyDescent="0.25">
      <c r="G366" s="18" t="str">
        <f>IF($A366="","",IFERROR(INDEX(Map!$C$2:$C$400,MATCH($A366,Map!$A$2:$A$400,0)),"⚠ UNMAPPED"))</f>
        <v/>
      </c>
      <c r="H366" s="18" t="str">
        <f>IF($A366="","",IFERROR(INDEX(Map!$D$2:$D$400,MATCH($A366,Map!$A$2:$A$400,0)),"⚠ UNMAPPED"))</f>
        <v/>
      </c>
      <c r="I366" s="18" t="str">
        <f>IF($A366="","",IFERROR(INDEX(Map!$E$2:$E$400,MATCH($A366,Map!$A$2:$A$400,0)),"⚠ UNMAPPED"))</f>
        <v/>
      </c>
      <c r="J366" s="18" t="str">
        <f>IF($A366="","",IFERROR(INDEX(Map!$F$2:$F$400,MATCH($A366,Map!$A$2:$A$400,0)),"⚠ UNMAPPED"))</f>
        <v/>
      </c>
    </row>
    <row r="367" spans="7:10" x14ac:dyDescent="0.25">
      <c r="G367" s="18" t="str">
        <f>IF($A367="","",IFERROR(INDEX(Map!$C$2:$C$400,MATCH($A367,Map!$A$2:$A$400,0)),"⚠ UNMAPPED"))</f>
        <v/>
      </c>
      <c r="H367" s="18" t="str">
        <f>IF($A367="","",IFERROR(INDEX(Map!$D$2:$D$400,MATCH($A367,Map!$A$2:$A$400,0)),"⚠ UNMAPPED"))</f>
        <v/>
      </c>
      <c r="I367" s="18" t="str">
        <f>IF($A367="","",IFERROR(INDEX(Map!$E$2:$E$400,MATCH($A367,Map!$A$2:$A$400,0)),"⚠ UNMAPPED"))</f>
        <v/>
      </c>
      <c r="J367" s="18" t="str">
        <f>IF($A367="","",IFERROR(INDEX(Map!$F$2:$F$400,MATCH($A367,Map!$A$2:$A$400,0)),"⚠ UNMAPPED"))</f>
        <v/>
      </c>
    </row>
    <row r="368" spans="7:10" x14ac:dyDescent="0.25">
      <c r="G368" s="18" t="str">
        <f>IF($A368="","",IFERROR(INDEX(Map!$C$2:$C$400,MATCH($A368,Map!$A$2:$A$400,0)),"⚠ UNMAPPED"))</f>
        <v/>
      </c>
      <c r="H368" s="18" t="str">
        <f>IF($A368="","",IFERROR(INDEX(Map!$D$2:$D$400,MATCH($A368,Map!$A$2:$A$400,0)),"⚠ UNMAPPED"))</f>
        <v/>
      </c>
      <c r="I368" s="18" t="str">
        <f>IF($A368="","",IFERROR(INDEX(Map!$E$2:$E$400,MATCH($A368,Map!$A$2:$A$400,0)),"⚠ UNMAPPED"))</f>
        <v/>
      </c>
      <c r="J368" s="18" t="str">
        <f>IF($A368="","",IFERROR(INDEX(Map!$F$2:$F$400,MATCH($A368,Map!$A$2:$A$400,0)),"⚠ UNMAPPED"))</f>
        <v/>
      </c>
    </row>
    <row r="369" spans="7:10" x14ac:dyDescent="0.25">
      <c r="G369" s="18" t="str">
        <f>IF($A369="","",IFERROR(INDEX(Map!$C$2:$C$400,MATCH($A369,Map!$A$2:$A$400,0)),"⚠ UNMAPPED"))</f>
        <v/>
      </c>
      <c r="H369" s="18" t="str">
        <f>IF($A369="","",IFERROR(INDEX(Map!$D$2:$D$400,MATCH($A369,Map!$A$2:$A$400,0)),"⚠ UNMAPPED"))</f>
        <v/>
      </c>
      <c r="I369" s="18" t="str">
        <f>IF($A369="","",IFERROR(INDEX(Map!$E$2:$E$400,MATCH($A369,Map!$A$2:$A$400,0)),"⚠ UNMAPPED"))</f>
        <v/>
      </c>
      <c r="J369" s="18" t="str">
        <f>IF($A369="","",IFERROR(INDEX(Map!$F$2:$F$400,MATCH($A369,Map!$A$2:$A$400,0)),"⚠ UNMAPPED"))</f>
        <v/>
      </c>
    </row>
    <row r="370" spans="7:10" x14ac:dyDescent="0.25">
      <c r="G370" s="18" t="str">
        <f>IF($A370="","",IFERROR(INDEX(Map!$C$2:$C$400,MATCH($A370,Map!$A$2:$A$400,0)),"⚠ UNMAPPED"))</f>
        <v/>
      </c>
      <c r="H370" s="18" t="str">
        <f>IF($A370="","",IFERROR(INDEX(Map!$D$2:$D$400,MATCH($A370,Map!$A$2:$A$400,0)),"⚠ UNMAPPED"))</f>
        <v/>
      </c>
      <c r="I370" s="18" t="str">
        <f>IF($A370="","",IFERROR(INDEX(Map!$E$2:$E$400,MATCH($A370,Map!$A$2:$A$400,0)),"⚠ UNMAPPED"))</f>
        <v/>
      </c>
      <c r="J370" s="18" t="str">
        <f>IF($A370="","",IFERROR(INDEX(Map!$F$2:$F$400,MATCH($A370,Map!$A$2:$A$400,0)),"⚠ UNMAPPED"))</f>
        <v/>
      </c>
    </row>
    <row r="371" spans="7:10" x14ac:dyDescent="0.25">
      <c r="G371" s="18" t="str">
        <f>IF($A371="","",IFERROR(INDEX(Map!$C$2:$C$400,MATCH($A371,Map!$A$2:$A$400,0)),"⚠ UNMAPPED"))</f>
        <v/>
      </c>
      <c r="H371" s="18" t="str">
        <f>IF($A371="","",IFERROR(INDEX(Map!$D$2:$D$400,MATCH($A371,Map!$A$2:$A$400,0)),"⚠ UNMAPPED"))</f>
        <v/>
      </c>
      <c r="I371" s="18" t="str">
        <f>IF($A371="","",IFERROR(INDEX(Map!$E$2:$E$400,MATCH($A371,Map!$A$2:$A$400,0)),"⚠ UNMAPPED"))</f>
        <v/>
      </c>
      <c r="J371" s="18" t="str">
        <f>IF($A371="","",IFERROR(INDEX(Map!$F$2:$F$400,MATCH($A371,Map!$A$2:$A$400,0)),"⚠ UNMAPPED"))</f>
        <v/>
      </c>
    </row>
    <row r="372" spans="7:10" x14ac:dyDescent="0.25">
      <c r="G372" s="18" t="str">
        <f>IF($A372="","",IFERROR(INDEX(Map!$C$2:$C$400,MATCH($A372,Map!$A$2:$A$400,0)),"⚠ UNMAPPED"))</f>
        <v/>
      </c>
      <c r="H372" s="18" t="str">
        <f>IF($A372="","",IFERROR(INDEX(Map!$D$2:$D$400,MATCH($A372,Map!$A$2:$A$400,0)),"⚠ UNMAPPED"))</f>
        <v/>
      </c>
      <c r="I372" s="18" t="str">
        <f>IF($A372="","",IFERROR(INDEX(Map!$E$2:$E$400,MATCH($A372,Map!$A$2:$A$400,0)),"⚠ UNMAPPED"))</f>
        <v/>
      </c>
      <c r="J372" s="18" t="str">
        <f>IF($A372="","",IFERROR(INDEX(Map!$F$2:$F$400,MATCH($A372,Map!$A$2:$A$400,0)),"⚠ UNMAPPED"))</f>
        <v/>
      </c>
    </row>
    <row r="373" spans="7:10" x14ac:dyDescent="0.25">
      <c r="G373" s="18" t="str">
        <f>IF($A373="","",IFERROR(INDEX(Map!$C$2:$C$400,MATCH($A373,Map!$A$2:$A$400,0)),"⚠ UNMAPPED"))</f>
        <v/>
      </c>
      <c r="H373" s="18" t="str">
        <f>IF($A373="","",IFERROR(INDEX(Map!$D$2:$D$400,MATCH($A373,Map!$A$2:$A$400,0)),"⚠ UNMAPPED"))</f>
        <v/>
      </c>
      <c r="I373" s="18" t="str">
        <f>IF($A373="","",IFERROR(INDEX(Map!$E$2:$E$400,MATCH($A373,Map!$A$2:$A$400,0)),"⚠ UNMAPPED"))</f>
        <v/>
      </c>
      <c r="J373" s="18" t="str">
        <f>IF($A373="","",IFERROR(INDEX(Map!$F$2:$F$400,MATCH($A373,Map!$A$2:$A$400,0)),"⚠ UNMAPPED"))</f>
        <v/>
      </c>
    </row>
    <row r="374" spans="7:10" x14ac:dyDescent="0.25">
      <c r="G374" s="18" t="str">
        <f>IF($A374="","",IFERROR(INDEX(Map!$C$2:$C$400,MATCH($A374,Map!$A$2:$A$400,0)),"⚠ UNMAPPED"))</f>
        <v/>
      </c>
      <c r="H374" s="18" t="str">
        <f>IF($A374="","",IFERROR(INDEX(Map!$D$2:$D$400,MATCH($A374,Map!$A$2:$A$400,0)),"⚠ UNMAPPED"))</f>
        <v/>
      </c>
      <c r="I374" s="18" t="str">
        <f>IF($A374="","",IFERROR(INDEX(Map!$E$2:$E$400,MATCH($A374,Map!$A$2:$A$400,0)),"⚠ UNMAPPED"))</f>
        <v/>
      </c>
      <c r="J374" s="18" t="str">
        <f>IF($A374="","",IFERROR(INDEX(Map!$F$2:$F$400,MATCH($A374,Map!$A$2:$A$400,0)),"⚠ UNMAPPED"))</f>
        <v/>
      </c>
    </row>
    <row r="375" spans="7:10" x14ac:dyDescent="0.25">
      <c r="G375" s="18" t="str">
        <f>IF($A375="","",IFERROR(INDEX(Map!$C$2:$C$400,MATCH($A375,Map!$A$2:$A$400,0)),"⚠ UNMAPPED"))</f>
        <v/>
      </c>
      <c r="H375" s="18" t="str">
        <f>IF($A375="","",IFERROR(INDEX(Map!$D$2:$D$400,MATCH($A375,Map!$A$2:$A$400,0)),"⚠ UNMAPPED"))</f>
        <v/>
      </c>
      <c r="I375" s="18" t="str">
        <f>IF($A375="","",IFERROR(INDEX(Map!$E$2:$E$400,MATCH($A375,Map!$A$2:$A$400,0)),"⚠ UNMAPPED"))</f>
        <v/>
      </c>
      <c r="J375" s="18" t="str">
        <f>IF($A375="","",IFERROR(INDEX(Map!$F$2:$F$400,MATCH($A375,Map!$A$2:$A$400,0)),"⚠ UNMAPPED"))</f>
        <v/>
      </c>
    </row>
    <row r="376" spans="7:10" x14ac:dyDescent="0.25">
      <c r="G376" s="18" t="str">
        <f>IF($A376="","",IFERROR(INDEX(Map!$C$2:$C$400,MATCH($A376,Map!$A$2:$A$400,0)),"⚠ UNMAPPED"))</f>
        <v/>
      </c>
      <c r="H376" s="18" t="str">
        <f>IF($A376="","",IFERROR(INDEX(Map!$D$2:$D$400,MATCH($A376,Map!$A$2:$A$400,0)),"⚠ UNMAPPED"))</f>
        <v/>
      </c>
      <c r="I376" s="18" t="str">
        <f>IF($A376="","",IFERROR(INDEX(Map!$E$2:$E$400,MATCH($A376,Map!$A$2:$A$400,0)),"⚠ UNMAPPED"))</f>
        <v/>
      </c>
      <c r="J376" s="18" t="str">
        <f>IF($A376="","",IFERROR(INDEX(Map!$F$2:$F$400,MATCH($A376,Map!$A$2:$A$400,0)),"⚠ UNMAPPED"))</f>
        <v/>
      </c>
    </row>
    <row r="377" spans="7:10" x14ac:dyDescent="0.25">
      <c r="G377" s="18" t="str">
        <f>IF($A377="","",IFERROR(INDEX(Map!$C$2:$C$400,MATCH($A377,Map!$A$2:$A$400,0)),"⚠ UNMAPPED"))</f>
        <v/>
      </c>
      <c r="H377" s="18" t="str">
        <f>IF($A377="","",IFERROR(INDEX(Map!$D$2:$D$400,MATCH($A377,Map!$A$2:$A$400,0)),"⚠ UNMAPPED"))</f>
        <v/>
      </c>
      <c r="I377" s="18" t="str">
        <f>IF($A377="","",IFERROR(INDEX(Map!$E$2:$E$400,MATCH($A377,Map!$A$2:$A$400,0)),"⚠ UNMAPPED"))</f>
        <v/>
      </c>
      <c r="J377" s="18" t="str">
        <f>IF($A377="","",IFERROR(INDEX(Map!$F$2:$F$400,MATCH($A377,Map!$A$2:$A$400,0)),"⚠ UNMAPPED"))</f>
        <v/>
      </c>
    </row>
    <row r="378" spans="7:10" x14ac:dyDescent="0.25">
      <c r="G378" s="18" t="str">
        <f>IF($A378="","",IFERROR(INDEX(Map!$C$2:$C$400,MATCH($A378,Map!$A$2:$A$400,0)),"⚠ UNMAPPED"))</f>
        <v/>
      </c>
      <c r="H378" s="18" t="str">
        <f>IF($A378="","",IFERROR(INDEX(Map!$D$2:$D$400,MATCH($A378,Map!$A$2:$A$400,0)),"⚠ UNMAPPED"))</f>
        <v/>
      </c>
      <c r="I378" s="18" t="str">
        <f>IF($A378="","",IFERROR(INDEX(Map!$E$2:$E$400,MATCH($A378,Map!$A$2:$A$400,0)),"⚠ UNMAPPED"))</f>
        <v/>
      </c>
      <c r="J378" s="18" t="str">
        <f>IF($A378="","",IFERROR(INDEX(Map!$F$2:$F$400,MATCH($A378,Map!$A$2:$A$400,0)),"⚠ UNMAPPED"))</f>
        <v/>
      </c>
    </row>
    <row r="379" spans="7:10" x14ac:dyDescent="0.25">
      <c r="G379" s="18" t="str">
        <f>IF($A379="","",IFERROR(INDEX(Map!$C$2:$C$400,MATCH($A379,Map!$A$2:$A$400,0)),"⚠ UNMAPPED"))</f>
        <v/>
      </c>
      <c r="H379" s="18" t="str">
        <f>IF($A379="","",IFERROR(INDEX(Map!$D$2:$D$400,MATCH($A379,Map!$A$2:$A$400,0)),"⚠ UNMAPPED"))</f>
        <v/>
      </c>
      <c r="I379" s="18" t="str">
        <f>IF($A379="","",IFERROR(INDEX(Map!$E$2:$E$400,MATCH($A379,Map!$A$2:$A$400,0)),"⚠ UNMAPPED"))</f>
        <v/>
      </c>
      <c r="J379" s="18" t="str">
        <f>IF($A379="","",IFERROR(INDEX(Map!$F$2:$F$400,MATCH($A379,Map!$A$2:$A$400,0)),"⚠ UNMAPPED"))</f>
        <v/>
      </c>
    </row>
    <row r="380" spans="7:10" x14ac:dyDescent="0.25">
      <c r="G380" s="18" t="str">
        <f>IF($A380="","",IFERROR(INDEX(Map!$C$2:$C$400,MATCH($A380,Map!$A$2:$A$400,0)),"⚠ UNMAPPED"))</f>
        <v/>
      </c>
      <c r="H380" s="18" t="str">
        <f>IF($A380="","",IFERROR(INDEX(Map!$D$2:$D$400,MATCH($A380,Map!$A$2:$A$400,0)),"⚠ UNMAPPED"))</f>
        <v/>
      </c>
      <c r="I380" s="18" t="str">
        <f>IF($A380="","",IFERROR(INDEX(Map!$E$2:$E$400,MATCH($A380,Map!$A$2:$A$400,0)),"⚠ UNMAPPED"))</f>
        <v/>
      </c>
      <c r="J380" s="18" t="str">
        <f>IF($A380="","",IFERROR(INDEX(Map!$F$2:$F$400,MATCH($A380,Map!$A$2:$A$400,0)),"⚠ UNMAPPED"))</f>
        <v/>
      </c>
    </row>
    <row r="381" spans="7:10" x14ac:dyDescent="0.25">
      <c r="G381" s="18" t="str">
        <f>IF($A381="","",IFERROR(INDEX(Map!$C$2:$C$400,MATCH($A381,Map!$A$2:$A$400,0)),"⚠ UNMAPPED"))</f>
        <v/>
      </c>
      <c r="H381" s="18" t="str">
        <f>IF($A381="","",IFERROR(INDEX(Map!$D$2:$D$400,MATCH($A381,Map!$A$2:$A$400,0)),"⚠ UNMAPPED"))</f>
        <v/>
      </c>
      <c r="I381" s="18" t="str">
        <f>IF($A381="","",IFERROR(INDEX(Map!$E$2:$E$400,MATCH($A381,Map!$A$2:$A$400,0)),"⚠ UNMAPPED"))</f>
        <v/>
      </c>
      <c r="J381" s="18" t="str">
        <f>IF($A381="","",IFERROR(INDEX(Map!$F$2:$F$400,MATCH($A381,Map!$A$2:$A$400,0)),"⚠ UNMAPPED"))</f>
        <v/>
      </c>
    </row>
    <row r="382" spans="7:10" x14ac:dyDescent="0.25">
      <c r="G382" s="18" t="str">
        <f>IF($A382="","",IFERROR(INDEX(Map!$C$2:$C$400,MATCH($A382,Map!$A$2:$A$400,0)),"⚠ UNMAPPED"))</f>
        <v/>
      </c>
      <c r="H382" s="18" t="str">
        <f>IF($A382="","",IFERROR(INDEX(Map!$D$2:$D$400,MATCH($A382,Map!$A$2:$A$400,0)),"⚠ UNMAPPED"))</f>
        <v/>
      </c>
      <c r="I382" s="18" t="str">
        <f>IF($A382="","",IFERROR(INDEX(Map!$E$2:$E$400,MATCH($A382,Map!$A$2:$A$400,0)),"⚠ UNMAPPED"))</f>
        <v/>
      </c>
      <c r="J382" s="18" t="str">
        <f>IF($A382="","",IFERROR(INDEX(Map!$F$2:$F$400,MATCH($A382,Map!$A$2:$A$400,0)),"⚠ UNMAPPED"))</f>
        <v/>
      </c>
    </row>
    <row r="383" spans="7:10" x14ac:dyDescent="0.25">
      <c r="G383" s="18" t="str">
        <f>IF($A383="","",IFERROR(INDEX(Map!$C$2:$C$400,MATCH($A383,Map!$A$2:$A$400,0)),"⚠ UNMAPPED"))</f>
        <v/>
      </c>
      <c r="H383" s="18" t="str">
        <f>IF($A383="","",IFERROR(INDEX(Map!$D$2:$D$400,MATCH($A383,Map!$A$2:$A$400,0)),"⚠ UNMAPPED"))</f>
        <v/>
      </c>
      <c r="I383" s="18" t="str">
        <f>IF($A383="","",IFERROR(INDEX(Map!$E$2:$E$400,MATCH($A383,Map!$A$2:$A$400,0)),"⚠ UNMAPPED"))</f>
        <v/>
      </c>
      <c r="J383" s="18" t="str">
        <f>IF($A383="","",IFERROR(INDEX(Map!$F$2:$F$400,MATCH($A383,Map!$A$2:$A$400,0)),"⚠ UNMAPPED"))</f>
        <v/>
      </c>
    </row>
    <row r="384" spans="7:10" x14ac:dyDescent="0.25">
      <c r="G384" s="18" t="str">
        <f>IF($A384="","",IFERROR(INDEX(Map!$C$2:$C$400,MATCH($A384,Map!$A$2:$A$400,0)),"⚠ UNMAPPED"))</f>
        <v/>
      </c>
      <c r="H384" s="18" t="str">
        <f>IF($A384="","",IFERROR(INDEX(Map!$D$2:$D$400,MATCH($A384,Map!$A$2:$A$400,0)),"⚠ UNMAPPED"))</f>
        <v/>
      </c>
      <c r="I384" s="18" t="str">
        <f>IF($A384="","",IFERROR(INDEX(Map!$E$2:$E$400,MATCH($A384,Map!$A$2:$A$400,0)),"⚠ UNMAPPED"))</f>
        <v/>
      </c>
      <c r="J384" s="18" t="str">
        <f>IF($A384="","",IFERROR(INDEX(Map!$F$2:$F$400,MATCH($A384,Map!$A$2:$A$400,0)),"⚠ UNMAPPED"))</f>
        <v/>
      </c>
    </row>
    <row r="385" spans="7:10" x14ac:dyDescent="0.25">
      <c r="G385" s="18" t="str">
        <f>IF($A385="","",IFERROR(INDEX(Map!$C$2:$C$400,MATCH($A385,Map!$A$2:$A$400,0)),"⚠ UNMAPPED"))</f>
        <v/>
      </c>
      <c r="H385" s="18" t="str">
        <f>IF($A385="","",IFERROR(INDEX(Map!$D$2:$D$400,MATCH($A385,Map!$A$2:$A$400,0)),"⚠ UNMAPPED"))</f>
        <v/>
      </c>
      <c r="I385" s="18" t="str">
        <f>IF($A385="","",IFERROR(INDEX(Map!$E$2:$E$400,MATCH($A385,Map!$A$2:$A$400,0)),"⚠ UNMAPPED"))</f>
        <v/>
      </c>
      <c r="J385" s="18" t="str">
        <f>IF($A385="","",IFERROR(INDEX(Map!$F$2:$F$400,MATCH($A385,Map!$A$2:$A$400,0)),"⚠ UNMAPPED"))</f>
        <v/>
      </c>
    </row>
    <row r="386" spans="7:10" x14ac:dyDescent="0.25">
      <c r="G386" s="18" t="str">
        <f>IF($A386="","",IFERROR(INDEX(Map!$C$2:$C$400,MATCH($A386,Map!$A$2:$A$400,0)),"⚠ UNMAPPED"))</f>
        <v/>
      </c>
      <c r="H386" s="18" t="str">
        <f>IF($A386="","",IFERROR(INDEX(Map!$D$2:$D$400,MATCH($A386,Map!$A$2:$A$400,0)),"⚠ UNMAPPED"))</f>
        <v/>
      </c>
      <c r="I386" s="18" t="str">
        <f>IF($A386="","",IFERROR(INDEX(Map!$E$2:$E$400,MATCH($A386,Map!$A$2:$A$400,0)),"⚠ UNMAPPED"))</f>
        <v/>
      </c>
      <c r="J386" s="18" t="str">
        <f>IF($A386="","",IFERROR(INDEX(Map!$F$2:$F$400,MATCH($A386,Map!$A$2:$A$400,0)),"⚠ UNMAPPED"))</f>
        <v/>
      </c>
    </row>
    <row r="387" spans="7:10" x14ac:dyDescent="0.25">
      <c r="G387" s="18" t="str">
        <f>IF($A387="","",IFERROR(INDEX(Map!$C$2:$C$400,MATCH($A387,Map!$A$2:$A$400,0)),"⚠ UNMAPPED"))</f>
        <v/>
      </c>
      <c r="H387" s="18" t="str">
        <f>IF($A387="","",IFERROR(INDEX(Map!$D$2:$D$400,MATCH($A387,Map!$A$2:$A$400,0)),"⚠ UNMAPPED"))</f>
        <v/>
      </c>
      <c r="I387" s="18" t="str">
        <f>IF($A387="","",IFERROR(INDEX(Map!$E$2:$E$400,MATCH($A387,Map!$A$2:$A$400,0)),"⚠ UNMAPPED"))</f>
        <v/>
      </c>
      <c r="J387" s="18" t="str">
        <f>IF($A387="","",IFERROR(INDEX(Map!$F$2:$F$400,MATCH($A387,Map!$A$2:$A$400,0)),"⚠ UNMAPPED"))</f>
        <v/>
      </c>
    </row>
    <row r="388" spans="7:10" x14ac:dyDescent="0.25">
      <c r="G388" s="18" t="str">
        <f>IF($A388="","",IFERROR(INDEX(Map!$C$2:$C$400,MATCH($A388,Map!$A$2:$A$400,0)),"⚠ UNMAPPED"))</f>
        <v/>
      </c>
      <c r="H388" s="18" t="str">
        <f>IF($A388="","",IFERROR(INDEX(Map!$D$2:$D$400,MATCH($A388,Map!$A$2:$A$400,0)),"⚠ UNMAPPED"))</f>
        <v/>
      </c>
      <c r="I388" s="18" t="str">
        <f>IF($A388="","",IFERROR(INDEX(Map!$E$2:$E$400,MATCH($A388,Map!$A$2:$A$400,0)),"⚠ UNMAPPED"))</f>
        <v/>
      </c>
      <c r="J388" s="18" t="str">
        <f>IF($A388="","",IFERROR(INDEX(Map!$F$2:$F$400,MATCH($A388,Map!$A$2:$A$400,0)),"⚠ UNMAPPED"))</f>
        <v/>
      </c>
    </row>
    <row r="389" spans="7:10" x14ac:dyDescent="0.25">
      <c r="G389" s="18" t="str">
        <f>IF($A389="","",IFERROR(INDEX(Map!$C$2:$C$400,MATCH($A389,Map!$A$2:$A$400,0)),"⚠ UNMAPPED"))</f>
        <v/>
      </c>
      <c r="H389" s="18" t="str">
        <f>IF($A389="","",IFERROR(INDEX(Map!$D$2:$D$400,MATCH($A389,Map!$A$2:$A$400,0)),"⚠ UNMAPPED"))</f>
        <v/>
      </c>
      <c r="I389" s="18" t="str">
        <f>IF($A389="","",IFERROR(INDEX(Map!$E$2:$E$400,MATCH($A389,Map!$A$2:$A$400,0)),"⚠ UNMAPPED"))</f>
        <v/>
      </c>
      <c r="J389" s="18" t="str">
        <f>IF($A389="","",IFERROR(INDEX(Map!$F$2:$F$400,MATCH($A389,Map!$A$2:$A$400,0)),"⚠ UNMAPPED"))</f>
        <v/>
      </c>
    </row>
    <row r="390" spans="7:10" x14ac:dyDescent="0.25">
      <c r="G390" s="18" t="str">
        <f>IF($A390="","",IFERROR(INDEX(Map!$C$2:$C$400,MATCH($A390,Map!$A$2:$A$400,0)),"⚠ UNMAPPED"))</f>
        <v/>
      </c>
      <c r="H390" s="18" t="str">
        <f>IF($A390="","",IFERROR(INDEX(Map!$D$2:$D$400,MATCH($A390,Map!$A$2:$A$400,0)),"⚠ UNMAPPED"))</f>
        <v/>
      </c>
      <c r="I390" s="18" t="str">
        <f>IF($A390="","",IFERROR(INDEX(Map!$E$2:$E$400,MATCH($A390,Map!$A$2:$A$400,0)),"⚠ UNMAPPED"))</f>
        <v/>
      </c>
      <c r="J390" s="18" t="str">
        <f>IF($A390="","",IFERROR(INDEX(Map!$F$2:$F$400,MATCH($A390,Map!$A$2:$A$400,0)),"⚠ UNMAPPED"))</f>
        <v/>
      </c>
    </row>
    <row r="391" spans="7:10" x14ac:dyDescent="0.25">
      <c r="G391" s="18" t="str">
        <f>IF($A391="","",IFERROR(INDEX(Map!$C$2:$C$400,MATCH($A391,Map!$A$2:$A$400,0)),"⚠ UNMAPPED"))</f>
        <v/>
      </c>
      <c r="H391" s="18" t="str">
        <f>IF($A391="","",IFERROR(INDEX(Map!$D$2:$D$400,MATCH($A391,Map!$A$2:$A$400,0)),"⚠ UNMAPPED"))</f>
        <v/>
      </c>
      <c r="I391" s="18" t="str">
        <f>IF($A391="","",IFERROR(INDEX(Map!$E$2:$E$400,MATCH($A391,Map!$A$2:$A$400,0)),"⚠ UNMAPPED"))</f>
        <v/>
      </c>
      <c r="J391" s="18" t="str">
        <f>IF($A391="","",IFERROR(INDEX(Map!$F$2:$F$400,MATCH($A391,Map!$A$2:$A$400,0)),"⚠ UNMAPPED"))</f>
        <v/>
      </c>
    </row>
    <row r="392" spans="7:10" x14ac:dyDescent="0.25">
      <c r="G392" s="18" t="str">
        <f>IF($A392="","",IFERROR(INDEX(Map!$C$2:$C$400,MATCH($A392,Map!$A$2:$A$400,0)),"⚠ UNMAPPED"))</f>
        <v/>
      </c>
      <c r="H392" s="18" t="str">
        <f>IF($A392="","",IFERROR(INDEX(Map!$D$2:$D$400,MATCH($A392,Map!$A$2:$A$400,0)),"⚠ UNMAPPED"))</f>
        <v/>
      </c>
      <c r="I392" s="18" t="str">
        <f>IF($A392="","",IFERROR(INDEX(Map!$E$2:$E$400,MATCH($A392,Map!$A$2:$A$400,0)),"⚠ UNMAPPED"))</f>
        <v/>
      </c>
      <c r="J392" s="18" t="str">
        <f>IF($A392="","",IFERROR(INDEX(Map!$F$2:$F$400,MATCH($A392,Map!$A$2:$A$400,0)),"⚠ UNMAPPED"))</f>
        <v/>
      </c>
    </row>
    <row r="393" spans="7:10" x14ac:dyDescent="0.25">
      <c r="G393" s="18" t="str">
        <f>IF($A393="","",IFERROR(INDEX(Map!$C$2:$C$400,MATCH($A393,Map!$A$2:$A$400,0)),"⚠ UNMAPPED"))</f>
        <v/>
      </c>
      <c r="H393" s="18" t="str">
        <f>IF($A393="","",IFERROR(INDEX(Map!$D$2:$D$400,MATCH($A393,Map!$A$2:$A$400,0)),"⚠ UNMAPPED"))</f>
        <v/>
      </c>
      <c r="I393" s="18" t="str">
        <f>IF($A393="","",IFERROR(INDEX(Map!$E$2:$E$400,MATCH($A393,Map!$A$2:$A$400,0)),"⚠ UNMAPPED"))</f>
        <v/>
      </c>
      <c r="J393" s="18" t="str">
        <f>IF($A393="","",IFERROR(INDEX(Map!$F$2:$F$400,MATCH($A393,Map!$A$2:$A$400,0)),"⚠ UNMAPPED"))</f>
        <v/>
      </c>
    </row>
    <row r="394" spans="7:10" x14ac:dyDescent="0.25">
      <c r="G394" s="18" t="str">
        <f>IF($A394="","",IFERROR(INDEX(Map!$C$2:$C$400,MATCH($A394,Map!$A$2:$A$400,0)),"⚠ UNMAPPED"))</f>
        <v/>
      </c>
      <c r="H394" s="18" t="str">
        <f>IF($A394="","",IFERROR(INDEX(Map!$D$2:$D$400,MATCH($A394,Map!$A$2:$A$400,0)),"⚠ UNMAPPED"))</f>
        <v/>
      </c>
      <c r="I394" s="18" t="str">
        <f>IF($A394="","",IFERROR(INDEX(Map!$E$2:$E$400,MATCH($A394,Map!$A$2:$A$400,0)),"⚠ UNMAPPED"))</f>
        <v/>
      </c>
      <c r="J394" s="18" t="str">
        <f>IF($A394="","",IFERROR(INDEX(Map!$F$2:$F$400,MATCH($A394,Map!$A$2:$A$400,0)),"⚠ UNMAPPED"))</f>
        <v/>
      </c>
    </row>
    <row r="395" spans="7:10" x14ac:dyDescent="0.25">
      <c r="G395" s="18" t="str">
        <f>IF($A395="","",IFERROR(INDEX(Map!$C$2:$C$400,MATCH($A395,Map!$A$2:$A$400,0)),"⚠ UNMAPPED"))</f>
        <v/>
      </c>
      <c r="H395" s="18" t="str">
        <f>IF($A395="","",IFERROR(INDEX(Map!$D$2:$D$400,MATCH($A395,Map!$A$2:$A$400,0)),"⚠ UNMAPPED"))</f>
        <v/>
      </c>
      <c r="I395" s="18" t="str">
        <f>IF($A395="","",IFERROR(INDEX(Map!$E$2:$E$400,MATCH($A395,Map!$A$2:$A$400,0)),"⚠ UNMAPPED"))</f>
        <v/>
      </c>
      <c r="J395" s="18" t="str">
        <f>IF($A395="","",IFERROR(INDEX(Map!$F$2:$F$400,MATCH($A395,Map!$A$2:$A$400,0)),"⚠ UNMAPPED"))</f>
        <v/>
      </c>
    </row>
    <row r="396" spans="7:10" x14ac:dyDescent="0.25">
      <c r="G396" s="18" t="str">
        <f>IF($A396="","",IFERROR(INDEX(Map!$C$2:$C$400,MATCH($A396,Map!$A$2:$A$400,0)),"⚠ UNMAPPED"))</f>
        <v/>
      </c>
      <c r="H396" s="18" t="str">
        <f>IF($A396="","",IFERROR(INDEX(Map!$D$2:$D$400,MATCH($A396,Map!$A$2:$A$400,0)),"⚠ UNMAPPED"))</f>
        <v/>
      </c>
      <c r="I396" s="18" t="str">
        <f>IF($A396="","",IFERROR(INDEX(Map!$E$2:$E$400,MATCH($A396,Map!$A$2:$A$400,0)),"⚠ UNMAPPED"))</f>
        <v/>
      </c>
      <c r="J396" s="18" t="str">
        <f>IF($A396="","",IFERROR(INDEX(Map!$F$2:$F$400,MATCH($A396,Map!$A$2:$A$400,0)),"⚠ UNMAPPED"))</f>
        <v/>
      </c>
    </row>
    <row r="397" spans="7:10" x14ac:dyDescent="0.25">
      <c r="G397" s="18" t="str">
        <f>IF($A397="","",IFERROR(INDEX(Map!$C$2:$C$400,MATCH($A397,Map!$A$2:$A$400,0)),"⚠ UNMAPPED"))</f>
        <v/>
      </c>
      <c r="H397" s="18" t="str">
        <f>IF($A397="","",IFERROR(INDEX(Map!$D$2:$D$400,MATCH($A397,Map!$A$2:$A$400,0)),"⚠ UNMAPPED"))</f>
        <v/>
      </c>
      <c r="I397" s="18" t="str">
        <f>IF($A397="","",IFERROR(INDEX(Map!$E$2:$E$400,MATCH($A397,Map!$A$2:$A$400,0)),"⚠ UNMAPPED"))</f>
        <v/>
      </c>
      <c r="J397" s="18" t="str">
        <f>IF($A397="","",IFERROR(INDEX(Map!$F$2:$F$400,MATCH($A397,Map!$A$2:$A$400,0)),"⚠ UNMAPPED"))</f>
        <v/>
      </c>
    </row>
    <row r="398" spans="7:10" x14ac:dyDescent="0.25">
      <c r="G398" s="18" t="str">
        <f>IF($A398="","",IFERROR(INDEX(Map!$C$2:$C$400,MATCH($A398,Map!$A$2:$A$400,0)),"⚠ UNMAPPED"))</f>
        <v/>
      </c>
      <c r="H398" s="18" t="str">
        <f>IF($A398="","",IFERROR(INDEX(Map!$D$2:$D$400,MATCH($A398,Map!$A$2:$A$400,0)),"⚠ UNMAPPED"))</f>
        <v/>
      </c>
      <c r="I398" s="18" t="str">
        <f>IF($A398="","",IFERROR(INDEX(Map!$E$2:$E$400,MATCH($A398,Map!$A$2:$A$400,0)),"⚠ UNMAPPED"))</f>
        <v/>
      </c>
      <c r="J398" s="18" t="str">
        <f>IF($A398="","",IFERROR(INDEX(Map!$F$2:$F$400,MATCH($A398,Map!$A$2:$A$400,0)),"⚠ UNMAPPED"))</f>
        <v/>
      </c>
    </row>
    <row r="399" spans="7:10" x14ac:dyDescent="0.25">
      <c r="G399" s="18" t="str">
        <f>IF($A399="","",IFERROR(INDEX(Map!$C$2:$C$400,MATCH($A399,Map!$A$2:$A$400,0)),"⚠ UNMAPPED"))</f>
        <v/>
      </c>
      <c r="H399" s="18" t="str">
        <f>IF($A399="","",IFERROR(INDEX(Map!$D$2:$D$400,MATCH($A399,Map!$A$2:$A$400,0)),"⚠ UNMAPPED"))</f>
        <v/>
      </c>
      <c r="I399" s="18" t="str">
        <f>IF($A399="","",IFERROR(INDEX(Map!$E$2:$E$400,MATCH($A399,Map!$A$2:$A$400,0)),"⚠ UNMAPPED"))</f>
        <v/>
      </c>
      <c r="J399" s="18" t="str">
        <f>IF($A399="","",IFERROR(INDEX(Map!$F$2:$F$400,MATCH($A399,Map!$A$2:$A$400,0)),"⚠ UNMAPPED"))</f>
        <v/>
      </c>
    </row>
    <row r="400" spans="7:10" x14ac:dyDescent="0.25">
      <c r="G400" s="18" t="str">
        <f>IF($A400="","",IFERROR(INDEX(Map!$C$2:$C$400,MATCH($A400,Map!$A$2:$A$400,0)),"⚠ UNMAPPED"))</f>
        <v/>
      </c>
      <c r="H400" s="18" t="str">
        <f>IF($A400="","",IFERROR(INDEX(Map!$D$2:$D$400,MATCH($A400,Map!$A$2:$A$400,0)),"⚠ UNMAPPED"))</f>
        <v/>
      </c>
      <c r="I400" s="18" t="str">
        <f>IF($A400="","",IFERROR(INDEX(Map!$E$2:$E$400,MATCH($A400,Map!$A$2:$A$400,0)),"⚠ UNMAPPED"))</f>
        <v/>
      </c>
      <c r="J400" s="18" t="str">
        <f>IF($A400="","",IFERROR(INDEX(Map!$F$2:$F$400,MATCH($A400,Map!$A$2:$A$400,0)),"⚠ UNMAPPED"))</f>
        <v/>
      </c>
    </row>
    <row r="401" spans="7:10" x14ac:dyDescent="0.25">
      <c r="G401" s="18" t="str">
        <f>IF($A401="","",IFERROR(INDEX(Map!$C$2:$C$400,MATCH($A401,Map!$A$2:$A$400,0)),"⚠ UNMAPPED"))</f>
        <v/>
      </c>
      <c r="H401" s="18" t="str">
        <f>IF($A401="","",IFERROR(INDEX(Map!$D$2:$D$400,MATCH($A401,Map!$A$2:$A$400,0)),"⚠ UNMAPPED"))</f>
        <v/>
      </c>
      <c r="I401" s="18" t="str">
        <f>IF($A401="","",IFERROR(INDEX(Map!$E$2:$E$400,MATCH($A401,Map!$A$2:$A$400,0)),"⚠ UNMAPPED"))</f>
        <v/>
      </c>
      <c r="J401" s="18" t="str">
        <f>IF($A401="","",IFERROR(INDEX(Map!$F$2:$F$400,MATCH($A401,Map!$A$2:$A$400,0)),"⚠ UNMAPPED"))</f>
        <v/>
      </c>
    </row>
    <row r="402" spans="7:10" x14ac:dyDescent="0.25">
      <c r="G402" s="18" t="str">
        <f>IF($A402="","",IFERROR(INDEX(Map!$C$2:$C$400,MATCH($A402,Map!$A$2:$A$400,0)),"⚠ UNMAPPED"))</f>
        <v/>
      </c>
      <c r="H402" s="18" t="str">
        <f>IF($A402="","",IFERROR(INDEX(Map!$D$2:$D$400,MATCH($A402,Map!$A$2:$A$400,0)),"⚠ UNMAPPED"))</f>
        <v/>
      </c>
      <c r="I402" s="18" t="str">
        <f>IF($A402="","",IFERROR(INDEX(Map!$E$2:$E$400,MATCH($A402,Map!$A$2:$A$400,0)),"⚠ UNMAPPED"))</f>
        <v/>
      </c>
      <c r="J402" s="18" t="str">
        <f>IF($A402="","",IFERROR(INDEX(Map!$F$2:$F$400,MATCH($A402,Map!$A$2:$A$400,0)),"⚠ UNMAPPED"))</f>
        <v/>
      </c>
    </row>
    <row r="403" spans="7:10" x14ac:dyDescent="0.25">
      <c r="G403" s="18" t="str">
        <f>IF($A403="","",IFERROR(INDEX(Map!$C$2:$C$400,MATCH($A403,Map!$A$2:$A$400,0)),"⚠ UNMAPPED"))</f>
        <v/>
      </c>
      <c r="H403" s="18" t="str">
        <f>IF($A403="","",IFERROR(INDEX(Map!$D$2:$D$400,MATCH($A403,Map!$A$2:$A$400,0)),"⚠ UNMAPPED"))</f>
        <v/>
      </c>
      <c r="I403" s="18" t="str">
        <f>IF($A403="","",IFERROR(INDEX(Map!$E$2:$E$400,MATCH($A403,Map!$A$2:$A$400,0)),"⚠ UNMAPPED"))</f>
        <v/>
      </c>
      <c r="J403" s="18" t="str">
        <f>IF($A403="","",IFERROR(INDEX(Map!$F$2:$F$400,MATCH($A403,Map!$A$2:$A$400,0)),"⚠ UNMAPPED"))</f>
        <v/>
      </c>
    </row>
    <row r="404" spans="7:10" x14ac:dyDescent="0.25">
      <c r="G404" s="18" t="str">
        <f>IF($A404="","",IFERROR(INDEX(Map!$C$2:$C$400,MATCH($A404,Map!$A$2:$A$400,0)),"⚠ UNMAPPED"))</f>
        <v/>
      </c>
      <c r="H404" s="18" t="str">
        <f>IF($A404="","",IFERROR(INDEX(Map!$D$2:$D$400,MATCH($A404,Map!$A$2:$A$400,0)),"⚠ UNMAPPED"))</f>
        <v/>
      </c>
      <c r="I404" s="18" t="str">
        <f>IF($A404="","",IFERROR(INDEX(Map!$E$2:$E$400,MATCH($A404,Map!$A$2:$A$400,0)),"⚠ UNMAPPED"))</f>
        <v/>
      </c>
      <c r="J404" s="18" t="str">
        <f>IF($A404="","",IFERROR(INDEX(Map!$F$2:$F$400,MATCH($A404,Map!$A$2:$A$400,0)),"⚠ UNMAPPED"))</f>
        <v/>
      </c>
    </row>
    <row r="405" spans="7:10" x14ac:dyDescent="0.25">
      <c r="G405" s="18" t="str">
        <f>IF($A405="","",IFERROR(INDEX(Map!$C$2:$C$400,MATCH($A405,Map!$A$2:$A$400,0)),"⚠ UNMAPPED"))</f>
        <v/>
      </c>
      <c r="H405" s="18" t="str">
        <f>IF($A405="","",IFERROR(INDEX(Map!$D$2:$D$400,MATCH($A405,Map!$A$2:$A$400,0)),"⚠ UNMAPPED"))</f>
        <v/>
      </c>
      <c r="I405" s="18" t="str">
        <f>IF($A405="","",IFERROR(INDEX(Map!$E$2:$E$400,MATCH($A405,Map!$A$2:$A$400,0)),"⚠ UNMAPPED"))</f>
        <v/>
      </c>
      <c r="J405" s="18" t="str">
        <f>IF($A405="","",IFERROR(INDEX(Map!$F$2:$F$400,MATCH($A405,Map!$A$2:$A$400,0)),"⚠ UNMAPPED"))</f>
        <v/>
      </c>
    </row>
    <row r="406" spans="7:10" x14ac:dyDescent="0.25">
      <c r="G406" s="18" t="str">
        <f>IF($A406="","",IFERROR(INDEX(Map!$C$2:$C$400,MATCH($A406,Map!$A$2:$A$400,0)),"⚠ UNMAPPED"))</f>
        <v/>
      </c>
      <c r="H406" s="18" t="str">
        <f>IF($A406="","",IFERROR(INDEX(Map!$D$2:$D$400,MATCH($A406,Map!$A$2:$A$400,0)),"⚠ UNMAPPED"))</f>
        <v/>
      </c>
      <c r="I406" s="18" t="str">
        <f>IF($A406="","",IFERROR(INDEX(Map!$E$2:$E$400,MATCH($A406,Map!$A$2:$A$400,0)),"⚠ UNMAPPED"))</f>
        <v/>
      </c>
      <c r="J406" s="18" t="str">
        <f>IF($A406="","",IFERROR(INDEX(Map!$F$2:$F$400,MATCH($A406,Map!$A$2:$A$400,0)),"⚠ UNMAPPED"))</f>
        <v/>
      </c>
    </row>
    <row r="407" spans="7:10" x14ac:dyDescent="0.25">
      <c r="G407" s="18" t="str">
        <f>IF($A407="","",IFERROR(INDEX(Map!$C$2:$C$400,MATCH($A407,Map!$A$2:$A$400,0)),"⚠ UNMAPPED"))</f>
        <v/>
      </c>
      <c r="H407" s="18" t="str">
        <f>IF($A407="","",IFERROR(INDEX(Map!$D$2:$D$400,MATCH($A407,Map!$A$2:$A$400,0)),"⚠ UNMAPPED"))</f>
        <v/>
      </c>
      <c r="I407" s="18" t="str">
        <f>IF($A407="","",IFERROR(INDEX(Map!$E$2:$E$400,MATCH($A407,Map!$A$2:$A$400,0)),"⚠ UNMAPPED"))</f>
        <v/>
      </c>
      <c r="J407" s="18" t="str">
        <f>IF($A407="","",IFERROR(INDEX(Map!$F$2:$F$400,MATCH($A407,Map!$A$2:$A$400,0)),"⚠ UNMAPPED"))</f>
        <v/>
      </c>
    </row>
    <row r="408" spans="7:10" x14ac:dyDescent="0.25">
      <c r="G408" s="18" t="str">
        <f>IF($A408="","",IFERROR(INDEX(Map!$C$2:$C$400,MATCH($A408,Map!$A$2:$A$400,0)),"⚠ UNMAPPED"))</f>
        <v/>
      </c>
      <c r="H408" s="18" t="str">
        <f>IF($A408="","",IFERROR(INDEX(Map!$D$2:$D$400,MATCH($A408,Map!$A$2:$A$400,0)),"⚠ UNMAPPED"))</f>
        <v/>
      </c>
      <c r="I408" s="18" t="str">
        <f>IF($A408="","",IFERROR(INDEX(Map!$E$2:$E$400,MATCH($A408,Map!$A$2:$A$400,0)),"⚠ UNMAPPED"))</f>
        <v/>
      </c>
      <c r="J408" s="18" t="str">
        <f>IF($A408="","",IFERROR(INDEX(Map!$F$2:$F$400,MATCH($A408,Map!$A$2:$A$400,0)),"⚠ UNMAPPED"))</f>
        <v/>
      </c>
    </row>
    <row r="409" spans="7:10" x14ac:dyDescent="0.25">
      <c r="G409" s="18" t="str">
        <f>IF($A409="","",IFERROR(INDEX(Map!$C$2:$C$400,MATCH($A409,Map!$A$2:$A$400,0)),"⚠ UNMAPPED"))</f>
        <v/>
      </c>
      <c r="H409" s="18" t="str">
        <f>IF($A409="","",IFERROR(INDEX(Map!$D$2:$D$400,MATCH($A409,Map!$A$2:$A$400,0)),"⚠ UNMAPPED"))</f>
        <v/>
      </c>
      <c r="I409" s="18" t="str">
        <f>IF($A409="","",IFERROR(INDEX(Map!$E$2:$E$400,MATCH($A409,Map!$A$2:$A$400,0)),"⚠ UNMAPPED"))</f>
        <v/>
      </c>
      <c r="J409" s="18" t="str">
        <f>IF($A409="","",IFERROR(INDEX(Map!$F$2:$F$400,MATCH($A409,Map!$A$2:$A$400,0)),"⚠ UNMAPPED"))</f>
        <v/>
      </c>
    </row>
    <row r="410" spans="7:10" x14ac:dyDescent="0.25">
      <c r="G410" s="18" t="str">
        <f>IF($A410="","",IFERROR(INDEX(Map!$C$2:$C$400,MATCH($A410,Map!$A$2:$A$400,0)),"⚠ UNMAPPED"))</f>
        <v/>
      </c>
      <c r="H410" s="18" t="str">
        <f>IF($A410="","",IFERROR(INDEX(Map!$D$2:$D$400,MATCH($A410,Map!$A$2:$A$400,0)),"⚠ UNMAPPED"))</f>
        <v/>
      </c>
      <c r="I410" s="18" t="str">
        <f>IF($A410="","",IFERROR(INDEX(Map!$E$2:$E$400,MATCH($A410,Map!$A$2:$A$400,0)),"⚠ UNMAPPED"))</f>
        <v/>
      </c>
      <c r="J410" s="18" t="str">
        <f>IF($A410="","",IFERROR(INDEX(Map!$F$2:$F$400,MATCH($A410,Map!$A$2:$A$400,0)),"⚠ UNMAPPED"))</f>
        <v/>
      </c>
    </row>
    <row r="411" spans="7:10" x14ac:dyDescent="0.25">
      <c r="G411" s="18" t="str">
        <f>IF($A411="","",IFERROR(INDEX(Map!$C$2:$C$400,MATCH($A411,Map!$A$2:$A$400,0)),"⚠ UNMAPPED"))</f>
        <v/>
      </c>
      <c r="H411" s="18" t="str">
        <f>IF($A411="","",IFERROR(INDEX(Map!$D$2:$D$400,MATCH($A411,Map!$A$2:$A$400,0)),"⚠ UNMAPPED"))</f>
        <v/>
      </c>
      <c r="I411" s="18" t="str">
        <f>IF($A411="","",IFERROR(INDEX(Map!$E$2:$E$400,MATCH($A411,Map!$A$2:$A$400,0)),"⚠ UNMAPPED"))</f>
        <v/>
      </c>
      <c r="J411" s="18" t="str">
        <f>IF($A411="","",IFERROR(INDEX(Map!$F$2:$F$400,MATCH($A411,Map!$A$2:$A$400,0)),"⚠ UNMAPPED"))</f>
        <v/>
      </c>
    </row>
    <row r="412" spans="7:10" x14ac:dyDescent="0.25">
      <c r="G412" s="18" t="str">
        <f>IF($A412="","",IFERROR(INDEX(Map!$C$2:$C$400,MATCH($A412,Map!$A$2:$A$400,0)),"⚠ UNMAPPED"))</f>
        <v/>
      </c>
      <c r="H412" s="18" t="str">
        <f>IF($A412="","",IFERROR(INDEX(Map!$D$2:$D$400,MATCH($A412,Map!$A$2:$A$400,0)),"⚠ UNMAPPED"))</f>
        <v/>
      </c>
      <c r="I412" s="18" t="str">
        <f>IF($A412="","",IFERROR(INDEX(Map!$E$2:$E$400,MATCH($A412,Map!$A$2:$A$400,0)),"⚠ UNMAPPED"))</f>
        <v/>
      </c>
      <c r="J412" s="18" t="str">
        <f>IF($A412="","",IFERROR(INDEX(Map!$F$2:$F$400,MATCH($A412,Map!$A$2:$A$400,0)),"⚠ UNMAPPED"))</f>
        <v/>
      </c>
    </row>
    <row r="413" spans="7:10" x14ac:dyDescent="0.25">
      <c r="G413" s="18" t="str">
        <f>IF($A413="","",IFERROR(INDEX(Map!$C$2:$C$400,MATCH($A413,Map!$A$2:$A$400,0)),"⚠ UNMAPPED"))</f>
        <v/>
      </c>
      <c r="H413" s="18" t="str">
        <f>IF($A413="","",IFERROR(INDEX(Map!$D$2:$D$400,MATCH($A413,Map!$A$2:$A$400,0)),"⚠ UNMAPPED"))</f>
        <v/>
      </c>
      <c r="I413" s="18" t="str">
        <f>IF($A413="","",IFERROR(INDEX(Map!$E$2:$E$400,MATCH($A413,Map!$A$2:$A$400,0)),"⚠ UNMAPPED"))</f>
        <v/>
      </c>
      <c r="J413" s="18" t="str">
        <f>IF($A413="","",IFERROR(INDEX(Map!$F$2:$F$400,MATCH($A413,Map!$A$2:$A$400,0)),"⚠ UNMAPPED"))</f>
        <v/>
      </c>
    </row>
    <row r="414" spans="7:10" x14ac:dyDescent="0.25">
      <c r="G414" s="18" t="str">
        <f>IF($A414="","",IFERROR(INDEX(Map!$C$2:$C$400,MATCH($A414,Map!$A$2:$A$400,0)),"⚠ UNMAPPED"))</f>
        <v/>
      </c>
      <c r="H414" s="18" t="str">
        <f>IF($A414="","",IFERROR(INDEX(Map!$D$2:$D$400,MATCH($A414,Map!$A$2:$A$400,0)),"⚠ UNMAPPED"))</f>
        <v/>
      </c>
      <c r="I414" s="18" t="str">
        <f>IF($A414="","",IFERROR(INDEX(Map!$E$2:$E$400,MATCH($A414,Map!$A$2:$A$400,0)),"⚠ UNMAPPED"))</f>
        <v/>
      </c>
      <c r="J414" s="18" t="str">
        <f>IF($A414="","",IFERROR(INDEX(Map!$F$2:$F$400,MATCH($A414,Map!$A$2:$A$400,0)),"⚠ UNMAPPED"))</f>
        <v/>
      </c>
    </row>
    <row r="415" spans="7:10" x14ac:dyDescent="0.25">
      <c r="G415" s="18" t="str">
        <f>IF($A415="","",IFERROR(INDEX(Map!$C$2:$C$400,MATCH($A415,Map!$A$2:$A$400,0)),"⚠ UNMAPPED"))</f>
        <v/>
      </c>
      <c r="H415" s="18" t="str">
        <f>IF($A415="","",IFERROR(INDEX(Map!$D$2:$D$400,MATCH($A415,Map!$A$2:$A$400,0)),"⚠ UNMAPPED"))</f>
        <v/>
      </c>
      <c r="I415" s="18" t="str">
        <f>IF($A415="","",IFERROR(INDEX(Map!$E$2:$E$400,MATCH($A415,Map!$A$2:$A$400,0)),"⚠ UNMAPPED"))</f>
        <v/>
      </c>
      <c r="J415" s="18" t="str">
        <f>IF($A415="","",IFERROR(INDEX(Map!$F$2:$F$400,MATCH($A415,Map!$A$2:$A$400,0)),"⚠ UNMAPPED"))</f>
        <v/>
      </c>
    </row>
    <row r="416" spans="7:10" x14ac:dyDescent="0.25">
      <c r="G416" s="18" t="str">
        <f>IF($A416="","",IFERROR(INDEX(Map!$C$2:$C$400,MATCH($A416,Map!$A$2:$A$400,0)),"⚠ UNMAPPED"))</f>
        <v/>
      </c>
      <c r="H416" s="18" t="str">
        <f>IF($A416="","",IFERROR(INDEX(Map!$D$2:$D$400,MATCH($A416,Map!$A$2:$A$400,0)),"⚠ UNMAPPED"))</f>
        <v/>
      </c>
      <c r="I416" s="18" t="str">
        <f>IF($A416="","",IFERROR(INDEX(Map!$E$2:$E$400,MATCH($A416,Map!$A$2:$A$400,0)),"⚠ UNMAPPED"))</f>
        <v/>
      </c>
      <c r="J416" s="18" t="str">
        <f>IF($A416="","",IFERROR(INDEX(Map!$F$2:$F$400,MATCH($A416,Map!$A$2:$A$400,0)),"⚠ UNMAPPED"))</f>
        <v/>
      </c>
    </row>
    <row r="417" spans="7:10" x14ac:dyDescent="0.25">
      <c r="G417" s="18" t="str">
        <f>IF($A417="","",IFERROR(INDEX(Map!$C$2:$C$400,MATCH($A417,Map!$A$2:$A$400,0)),"⚠ UNMAPPED"))</f>
        <v/>
      </c>
      <c r="H417" s="18" t="str">
        <f>IF($A417="","",IFERROR(INDEX(Map!$D$2:$D$400,MATCH($A417,Map!$A$2:$A$400,0)),"⚠ UNMAPPED"))</f>
        <v/>
      </c>
      <c r="I417" s="18" t="str">
        <f>IF($A417="","",IFERROR(INDEX(Map!$E$2:$E$400,MATCH($A417,Map!$A$2:$A$400,0)),"⚠ UNMAPPED"))</f>
        <v/>
      </c>
      <c r="J417" s="18" t="str">
        <f>IF($A417="","",IFERROR(INDEX(Map!$F$2:$F$400,MATCH($A417,Map!$A$2:$A$400,0)),"⚠ UNMAPPED"))</f>
        <v/>
      </c>
    </row>
    <row r="418" spans="7:10" x14ac:dyDescent="0.25">
      <c r="G418" s="18" t="str">
        <f>IF($A418="","",IFERROR(INDEX(Map!$C$2:$C$400,MATCH($A418,Map!$A$2:$A$400,0)),"⚠ UNMAPPED"))</f>
        <v/>
      </c>
      <c r="H418" s="18" t="str">
        <f>IF($A418="","",IFERROR(INDEX(Map!$D$2:$D$400,MATCH($A418,Map!$A$2:$A$400,0)),"⚠ UNMAPPED"))</f>
        <v/>
      </c>
      <c r="I418" s="18" t="str">
        <f>IF($A418="","",IFERROR(INDEX(Map!$E$2:$E$400,MATCH($A418,Map!$A$2:$A$400,0)),"⚠ UNMAPPED"))</f>
        <v/>
      </c>
      <c r="J418" s="18" t="str">
        <f>IF($A418="","",IFERROR(INDEX(Map!$F$2:$F$400,MATCH($A418,Map!$A$2:$A$400,0)),"⚠ UNMAPPED"))</f>
        <v/>
      </c>
    </row>
    <row r="419" spans="7:10" x14ac:dyDescent="0.25">
      <c r="G419" s="18" t="str">
        <f>IF($A419="","",IFERROR(INDEX(Map!$C$2:$C$400,MATCH($A419,Map!$A$2:$A$400,0)),"⚠ UNMAPPED"))</f>
        <v/>
      </c>
      <c r="H419" s="18" t="str">
        <f>IF($A419="","",IFERROR(INDEX(Map!$D$2:$D$400,MATCH($A419,Map!$A$2:$A$400,0)),"⚠ UNMAPPED"))</f>
        <v/>
      </c>
      <c r="I419" s="18" t="str">
        <f>IF($A419="","",IFERROR(INDEX(Map!$E$2:$E$400,MATCH($A419,Map!$A$2:$A$400,0)),"⚠ UNMAPPED"))</f>
        <v/>
      </c>
      <c r="J419" s="18" t="str">
        <f>IF($A419="","",IFERROR(INDEX(Map!$F$2:$F$400,MATCH($A419,Map!$A$2:$A$400,0)),"⚠ UNMAPPED"))</f>
        <v/>
      </c>
    </row>
    <row r="420" spans="7:10" x14ac:dyDescent="0.25">
      <c r="G420" s="18" t="str">
        <f>IF($A420="","",IFERROR(INDEX(Map!$C$2:$C$400,MATCH($A420,Map!$A$2:$A$400,0)),"⚠ UNMAPPED"))</f>
        <v/>
      </c>
      <c r="H420" s="18" t="str">
        <f>IF($A420="","",IFERROR(INDEX(Map!$D$2:$D$400,MATCH($A420,Map!$A$2:$A$400,0)),"⚠ UNMAPPED"))</f>
        <v/>
      </c>
      <c r="I420" s="18" t="str">
        <f>IF($A420="","",IFERROR(INDEX(Map!$E$2:$E$400,MATCH($A420,Map!$A$2:$A$400,0)),"⚠ UNMAPPED"))</f>
        <v/>
      </c>
      <c r="J420" s="18" t="str">
        <f>IF($A420="","",IFERROR(INDEX(Map!$F$2:$F$400,MATCH($A420,Map!$A$2:$A$400,0)),"⚠ UNMAPPED"))</f>
        <v/>
      </c>
    </row>
    <row r="421" spans="7:10" x14ac:dyDescent="0.25">
      <c r="G421" s="18" t="str">
        <f>IF($A421="","",IFERROR(INDEX(Map!$C$2:$C$400,MATCH($A421,Map!$A$2:$A$400,0)),"⚠ UNMAPPED"))</f>
        <v/>
      </c>
      <c r="H421" s="18" t="str">
        <f>IF($A421="","",IFERROR(INDEX(Map!$D$2:$D$400,MATCH($A421,Map!$A$2:$A$400,0)),"⚠ UNMAPPED"))</f>
        <v/>
      </c>
      <c r="I421" s="18" t="str">
        <f>IF($A421="","",IFERROR(INDEX(Map!$E$2:$E$400,MATCH($A421,Map!$A$2:$A$400,0)),"⚠ UNMAPPED"))</f>
        <v/>
      </c>
      <c r="J421" s="18" t="str">
        <f>IF($A421="","",IFERROR(INDEX(Map!$F$2:$F$400,MATCH($A421,Map!$A$2:$A$400,0)),"⚠ UNMAPPED"))</f>
        <v/>
      </c>
    </row>
    <row r="422" spans="7:10" x14ac:dyDescent="0.25">
      <c r="G422" s="18" t="str">
        <f>IF($A422="","",IFERROR(INDEX(Map!$C$2:$C$400,MATCH($A422,Map!$A$2:$A$400,0)),"⚠ UNMAPPED"))</f>
        <v/>
      </c>
      <c r="H422" s="18" t="str">
        <f>IF($A422="","",IFERROR(INDEX(Map!$D$2:$D$400,MATCH($A422,Map!$A$2:$A$400,0)),"⚠ UNMAPPED"))</f>
        <v/>
      </c>
      <c r="I422" s="18" t="str">
        <f>IF($A422="","",IFERROR(INDEX(Map!$E$2:$E$400,MATCH($A422,Map!$A$2:$A$400,0)),"⚠ UNMAPPED"))</f>
        <v/>
      </c>
      <c r="J422" s="18" t="str">
        <f>IF($A422="","",IFERROR(INDEX(Map!$F$2:$F$400,MATCH($A422,Map!$A$2:$A$400,0)),"⚠ UNMAPPED"))</f>
        <v/>
      </c>
    </row>
    <row r="423" spans="7:10" x14ac:dyDescent="0.25">
      <c r="G423" s="18" t="str">
        <f>IF($A423="","",IFERROR(INDEX(Map!$C$2:$C$400,MATCH($A423,Map!$A$2:$A$400,0)),"⚠ UNMAPPED"))</f>
        <v/>
      </c>
      <c r="H423" s="18" t="str">
        <f>IF($A423="","",IFERROR(INDEX(Map!$D$2:$D$400,MATCH($A423,Map!$A$2:$A$400,0)),"⚠ UNMAPPED"))</f>
        <v/>
      </c>
      <c r="I423" s="18" t="str">
        <f>IF($A423="","",IFERROR(INDEX(Map!$E$2:$E$400,MATCH($A423,Map!$A$2:$A$400,0)),"⚠ UNMAPPED"))</f>
        <v/>
      </c>
      <c r="J423" s="18" t="str">
        <f>IF($A423="","",IFERROR(INDEX(Map!$F$2:$F$400,MATCH($A423,Map!$A$2:$A$400,0)),"⚠ UNMAPPED"))</f>
        <v/>
      </c>
    </row>
    <row r="424" spans="7:10" x14ac:dyDescent="0.25">
      <c r="G424" s="18" t="str">
        <f>IF($A424="","",IFERROR(INDEX(Map!$C$2:$C$400,MATCH($A424,Map!$A$2:$A$400,0)),"⚠ UNMAPPED"))</f>
        <v/>
      </c>
      <c r="H424" s="18" t="str">
        <f>IF($A424="","",IFERROR(INDEX(Map!$D$2:$D$400,MATCH($A424,Map!$A$2:$A$400,0)),"⚠ UNMAPPED"))</f>
        <v/>
      </c>
      <c r="I424" s="18" t="str">
        <f>IF($A424="","",IFERROR(INDEX(Map!$E$2:$E$400,MATCH($A424,Map!$A$2:$A$400,0)),"⚠ UNMAPPED"))</f>
        <v/>
      </c>
      <c r="J424" s="18" t="str">
        <f>IF($A424="","",IFERROR(INDEX(Map!$F$2:$F$400,MATCH($A424,Map!$A$2:$A$400,0)),"⚠ UNMAPPED"))</f>
        <v/>
      </c>
    </row>
    <row r="425" spans="7:10" x14ac:dyDescent="0.25">
      <c r="G425" s="18" t="str">
        <f>IF($A425="","",IFERROR(INDEX(Map!$C$2:$C$400,MATCH($A425,Map!$A$2:$A$400,0)),"⚠ UNMAPPED"))</f>
        <v/>
      </c>
      <c r="H425" s="18" t="str">
        <f>IF($A425="","",IFERROR(INDEX(Map!$D$2:$D$400,MATCH($A425,Map!$A$2:$A$400,0)),"⚠ UNMAPPED"))</f>
        <v/>
      </c>
      <c r="I425" s="18" t="str">
        <f>IF($A425="","",IFERROR(INDEX(Map!$E$2:$E$400,MATCH($A425,Map!$A$2:$A$400,0)),"⚠ UNMAPPED"))</f>
        <v/>
      </c>
      <c r="J425" s="18" t="str">
        <f>IF($A425="","",IFERROR(INDEX(Map!$F$2:$F$400,MATCH($A425,Map!$A$2:$A$400,0)),"⚠ UNMAPPED"))</f>
        <v/>
      </c>
    </row>
    <row r="426" spans="7:10" x14ac:dyDescent="0.25">
      <c r="G426" s="18" t="str">
        <f>IF($A426="","",IFERROR(INDEX(Map!$C$2:$C$400,MATCH($A426,Map!$A$2:$A$400,0)),"⚠ UNMAPPED"))</f>
        <v/>
      </c>
      <c r="H426" s="18" t="str">
        <f>IF($A426="","",IFERROR(INDEX(Map!$D$2:$D$400,MATCH($A426,Map!$A$2:$A$400,0)),"⚠ UNMAPPED"))</f>
        <v/>
      </c>
      <c r="I426" s="18" t="str">
        <f>IF($A426="","",IFERROR(INDEX(Map!$E$2:$E$400,MATCH($A426,Map!$A$2:$A$400,0)),"⚠ UNMAPPED"))</f>
        <v/>
      </c>
      <c r="J426" s="18" t="str">
        <f>IF($A426="","",IFERROR(INDEX(Map!$F$2:$F$400,MATCH($A426,Map!$A$2:$A$400,0)),"⚠ UNMAPPED"))</f>
        <v/>
      </c>
    </row>
    <row r="427" spans="7:10" x14ac:dyDescent="0.25">
      <c r="G427" s="18" t="str">
        <f>IF($A427="","",IFERROR(INDEX(Map!$C$2:$C$400,MATCH($A427,Map!$A$2:$A$400,0)),"⚠ UNMAPPED"))</f>
        <v/>
      </c>
      <c r="H427" s="18" t="str">
        <f>IF($A427="","",IFERROR(INDEX(Map!$D$2:$D$400,MATCH($A427,Map!$A$2:$A$400,0)),"⚠ UNMAPPED"))</f>
        <v/>
      </c>
      <c r="I427" s="18" t="str">
        <f>IF($A427="","",IFERROR(INDEX(Map!$E$2:$E$400,MATCH($A427,Map!$A$2:$A$400,0)),"⚠ UNMAPPED"))</f>
        <v/>
      </c>
      <c r="J427" s="18" t="str">
        <f>IF($A427="","",IFERROR(INDEX(Map!$F$2:$F$400,MATCH($A427,Map!$A$2:$A$400,0)),"⚠ UNMAPPED"))</f>
        <v/>
      </c>
    </row>
    <row r="428" spans="7:10" x14ac:dyDescent="0.25">
      <c r="G428" s="18" t="str">
        <f>IF($A428="","",IFERROR(INDEX(Map!$C$2:$C$400,MATCH($A428,Map!$A$2:$A$400,0)),"⚠ UNMAPPED"))</f>
        <v/>
      </c>
      <c r="H428" s="18" t="str">
        <f>IF($A428="","",IFERROR(INDEX(Map!$D$2:$D$400,MATCH($A428,Map!$A$2:$A$400,0)),"⚠ UNMAPPED"))</f>
        <v/>
      </c>
      <c r="I428" s="18" t="str">
        <f>IF($A428="","",IFERROR(INDEX(Map!$E$2:$E$400,MATCH($A428,Map!$A$2:$A$400,0)),"⚠ UNMAPPED"))</f>
        <v/>
      </c>
      <c r="J428" s="18" t="str">
        <f>IF($A428="","",IFERROR(INDEX(Map!$F$2:$F$400,MATCH($A428,Map!$A$2:$A$400,0)),"⚠ UNMAPPED"))</f>
        <v/>
      </c>
    </row>
    <row r="429" spans="7:10" x14ac:dyDescent="0.25">
      <c r="G429" s="18" t="str">
        <f>IF($A429="","",IFERROR(INDEX(Map!$C$2:$C$400,MATCH($A429,Map!$A$2:$A$400,0)),"⚠ UNMAPPED"))</f>
        <v/>
      </c>
      <c r="H429" s="18" t="str">
        <f>IF($A429="","",IFERROR(INDEX(Map!$D$2:$D$400,MATCH($A429,Map!$A$2:$A$400,0)),"⚠ UNMAPPED"))</f>
        <v/>
      </c>
      <c r="I429" s="18" t="str">
        <f>IF($A429="","",IFERROR(INDEX(Map!$E$2:$E$400,MATCH($A429,Map!$A$2:$A$400,0)),"⚠ UNMAPPED"))</f>
        <v/>
      </c>
      <c r="J429" s="18" t="str">
        <f>IF($A429="","",IFERROR(INDEX(Map!$F$2:$F$400,MATCH($A429,Map!$A$2:$A$400,0)),"⚠ UNMAPPED"))</f>
        <v/>
      </c>
    </row>
    <row r="430" spans="7:10" x14ac:dyDescent="0.25">
      <c r="G430" s="18" t="str">
        <f>IF($A430="","",IFERROR(INDEX(Map!$C$2:$C$400,MATCH($A430,Map!$A$2:$A$400,0)),"⚠ UNMAPPED"))</f>
        <v/>
      </c>
      <c r="H430" s="18" t="str">
        <f>IF($A430="","",IFERROR(INDEX(Map!$D$2:$D$400,MATCH($A430,Map!$A$2:$A$400,0)),"⚠ UNMAPPED"))</f>
        <v/>
      </c>
      <c r="I430" s="18" t="str">
        <f>IF($A430="","",IFERROR(INDEX(Map!$E$2:$E$400,MATCH($A430,Map!$A$2:$A$400,0)),"⚠ UNMAPPED"))</f>
        <v/>
      </c>
      <c r="J430" s="18" t="str">
        <f>IF($A430="","",IFERROR(INDEX(Map!$F$2:$F$400,MATCH($A430,Map!$A$2:$A$400,0)),"⚠ UNMAPPED"))</f>
        <v/>
      </c>
    </row>
    <row r="431" spans="7:10" x14ac:dyDescent="0.25">
      <c r="G431" s="18" t="str">
        <f>IF($A431="","",IFERROR(INDEX(Map!$C$2:$C$400,MATCH($A431,Map!$A$2:$A$400,0)),"⚠ UNMAPPED"))</f>
        <v/>
      </c>
      <c r="H431" s="18" t="str">
        <f>IF($A431="","",IFERROR(INDEX(Map!$D$2:$D$400,MATCH($A431,Map!$A$2:$A$400,0)),"⚠ UNMAPPED"))</f>
        <v/>
      </c>
      <c r="I431" s="18" t="str">
        <f>IF($A431="","",IFERROR(INDEX(Map!$E$2:$E$400,MATCH($A431,Map!$A$2:$A$400,0)),"⚠ UNMAPPED"))</f>
        <v/>
      </c>
      <c r="J431" s="18" t="str">
        <f>IF($A431="","",IFERROR(INDEX(Map!$F$2:$F$400,MATCH($A431,Map!$A$2:$A$400,0)),"⚠ UNMAPPED"))</f>
        <v/>
      </c>
    </row>
    <row r="432" spans="7:10" x14ac:dyDescent="0.25">
      <c r="G432" s="18" t="str">
        <f>IF($A432="","",IFERROR(INDEX(Map!$C$2:$C$400,MATCH($A432,Map!$A$2:$A$400,0)),"⚠ UNMAPPED"))</f>
        <v/>
      </c>
      <c r="H432" s="18" t="str">
        <f>IF($A432="","",IFERROR(INDEX(Map!$D$2:$D$400,MATCH($A432,Map!$A$2:$A$400,0)),"⚠ UNMAPPED"))</f>
        <v/>
      </c>
      <c r="I432" s="18" t="str">
        <f>IF($A432="","",IFERROR(INDEX(Map!$E$2:$E$400,MATCH($A432,Map!$A$2:$A$400,0)),"⚠ UNMAPPED"))</f>
        <v/>
      </c>
      <c r="J432" s="18" t="str">
        <f>IF($A432="","",IFERROR(INDEX(Map!$F$2:$F$400,MATCH($A432,Map!$A$2:$A$400,0)),"⚠ UNMAPPED"))</f>
        <v/>
      </c>
    </row>
    <row r="433" spans="7:10" x14ac:dyDescent="0.25">
      <c r="G433" s="18" t="str">
        <f>IF($A433="","",IFERROR(INDEX(Map!$C$2:$C$400,MATCH($A433,Map!$A$2:$A$400,0)),"⚠ UNMAPPED"))</f>
        <v/>
      </c>
      <c r="H433" s="18" t="str">
        <f>IF($A433="","",IFERROR(INDEX(Map!$D$2:$D$400,MATCH($A433,Map!$A$2:$A$400,0)),"⚠ UNMAPPED"))</f>
        <v/>
      </c>
      <c r="I433" s="18" t="str">
        <f>IF($A433="","",IFERROR(INDEX(Map!$E$2:$E$400,MATCH($A433,Map!$A$2:$A$400,0)),"⚠ UNMAPPED"))</f>
        <v/>
      </c>
      <c r="J433" s="18" t="str">
        <f>IF($A433="","",IFERROR(INDEX(Map!$F$2:$F$400,MATCH($A433,Map!$A$2:$A$400,0)),"⚠ UNMAPPED"))</f>
        <v/>
      </c>
    </row>
    <row r="434" spans="7:10" x14ac:dyDescent="0.25">
      <c r="G434" s="18" t="str">
        <f>IF($A434="","",IFERROR(INDEX(Map!$C$2:$C$400,MATCH($A434,Map!$A$2:$A$400,0)),"⚠ UNMAPPED"))</f>
        <v/>
      </c>
      <c r="H434" s="18" t="str">
        <f>IF($A434="","",IFERROR(INDEX(Map!$D$2:$D$400,MATCH($A434,Map!$A$2:$A$400,0)),"⚠ UNMAPPED"))</f>
        <v/>
      </c>
      <c r="I434" s="18" t="str">
        <f>IF($A434="","",IFERROR(INDEX(Map!$E$2:$E$400,MATCH($A434,Map!$A$2:$A$400,0)),"⚠ UNMAPPED"))</f>
        <v/>
      </c>
      <c r="J434" s="18" t="str">
        <f>IF($A434="","",IFERROR(INDEX(Map!$F$2:$F$400,MATCH($A434,Map!$A$2:$A$400,0)),"⚠ UNMAPPED"))</f>
        <v/>
      </c>
    </row>
    <row r="435" spans="7:10" x14ac:dyDescent="0.25">
      <c r="G435" s="18" t="str">
        <f>IF($A435="","",IFERROR(INDEX(Map!$C$2:$C$400,MATCH($A435,Map!$A$2:$A$400,0)),"⚠ UNMAPPED"))</f>
        <v/>
      </c>
      <c r="H435" s="18" t="str">
        <f>IF($A435="","",IFERROR(INDEX(Map!$D$2:$D$400,MATCH($A435,Map!$A$2:$A$400,0)),"⚠ UNMAPPED"))</f>
        <v/>
      </c>
      <c r="I435" s="18" t="str">
        <f>IF($A435="","",IFERROR(INDEX(Map!$E$2:$E$400,MATCH($A435,Map!$A$2:$A$400,0)),"⚠ UNMAPPED"))</f>
        <v/>
      </c>
      <c r="J435" s="18" t="str">
        <f>IF($A435="","",IFERROR(INDEX(Map!$F$2:$F$400,MATCH($A435,Map!$A$2:$A$400,0)),"⚠ UNMAPPED"))</f>
        <v/>
      </c>
    </row>
    <row r="436" spans="7:10" x14ac:dyDescent="0.25">
      <c r="G436" s="18" t="str">
        <f>IF($A436="","",IFERROR(INDEX(Map!$C$2:$C$400,MATCH($A436,Map!$A$2:$A$400,0)),"⚠ UNMAPPED"))</f>
        <v/>
      </c>
      <c r="H436" s="18" t="str">
        <f>IF($A436="","",IFERROR(INDEX(Map!$D$2:$D$400,MATCH($A436,Map!$A$2:$A$400,0)),"⚠ UNMAPPED"))</f>
        <v/>
      </c>
      <c r="I436" s="18" t="str">
        <f>IF($A436="","",IFERROR(INDEX(Map!$E$2:$E$400,MATCH($A436,Map!$A$2:$A$400,0)),"⚠ UNMAPPED"))</f>
        <v/>
      </c>
      <c r="J436" s="18" t="str">
        <f>IF($A436="","",IFERROR(INDEX(Map!$F$2:$F$400,MATCH($A436,Map!$A$2:$A$400,0)),"⚠ UNMAPPED"))</f>
        <v/>
      </c>
    </row>
    <row r="437" spans="7:10" x14ac:dyDescent="0.25">
      <c r="G437" s="18" t="str">
        <f>IF($A437="","",IFERROR(INDEX(Map!$C$2:$C$400,MATCH($A437,Map!$A$2:$A$400,0)),"⚠ UNMAPPED"))</f>
        <v/>
      </c>
      <c r="H437" s="18" t="str">
        <f>IF($A437="","",IFERROR(INDEX(Map!$D$2:$D$400,MATCH($A437,Map!$A$2:$A$400,0)),"⚠ UNMAPPED"))</f>
        <v/>
      </c>
      <c r="I437" s="18" t="str">
        <f>IF($A437="","",IFERROR(INDEX(Map!$E$2:$E$400,MATCH($A437,Map!$A$2:$A$400,0)),"⚠ UNMAPPED"))</f>
        <v/>
      </c>
      <c r="J437" s="18" t="str">
        <f>IF($A437="","",IFERROR(INDEX(Map!$F$2:$F$400,MATCH($A437,Map!$A$2:$A$400,0)),"⚠ UNMAPPED"))</f>
        <v/>
      </c>
    </row>
    <row r="438" spans="7:10" x14ac:dyDescent="0.25">
      <c r="G438" s="18" t="str">
        <f>IF($A438="","",IFERROR(INDEX(Map!$C$2:$C$400,MATCH($A438,Map!$A$2:$A$400,0)),"⚠ UNMAPPED"))</f>
        <v/>
      </c>
      <c r="H438" s="18" t="str">
        <f>IF($A438="","",IFERROR(INDEX(Map!$D$2:$D$400,MATCH($A438,Map!$A$2:$A$400,0)),"⚠ UNMAPPED"))</f>
        <v/>
      </c>
      <c r="I438" s="18" t="str">
        <f>IF($A438="","",IFERROR(INDEX(Map!$E$2:$E$400,MATCH($A438,Map!$A$2:$A$400,0)),"⚠ UNMAPPED"))</f>
        <v/>
      </c>
      <c r="J438" s="18" t="str">
        <f>IF($A438="","",IFERROR(INDEX(Map!$F$2:$F$400,MATCH($A438,Map!$A$2:$A$400,0)),"⚠ UNMAPPED"))</f>
        <v/>
      </c>
    </row>
    <row r="439" spans="7:10" x14ac:dyDescent="0.25">
      <c r="G439" s="18" t="str">
        <f>IF($A439="","",IFERROR(INDEX(Map!$C$2:$C$400,MATCH($A439,Map!$A$2:$A$400,0)),"⚠ UNMAPPED"))</f>
        <v/>
      </c>
      <c r="H439" s="18" t="str">
        <f>IF($A439="","",IFERROR(INDEX(Map!$D$2:$D$400,MATCH($A439,Map!$A$2:$A$400,0)),"⚠ UNMAPPED"))</f>
        <v/>
      </c>
      <c r="I439" s="18" t="str">
        <f>IF($A439="","",IFERROR(INDEX(Map!$E$2:$E$400,MATCH($A439,Map!$A$2:$A$400,0)),"⚠ UNMAPPED"))</f>
        <v/>
      </c>
      <c r="J439" s="18" t="str">
        <f>IF($A439="","",IFERROR(INDEX(Map!$F$2:$F$400,MATCH($A439,Map!$A$2:$A$400,0)),"⚠ UNMAPPED"))</f>
        <v/>
      </c>
    </row>
    <row r="440" spans="7:10" x14ac:dyDescent="0.25">
      <c r="G440" s="18" t="str">
        <f>IF($A440="","",IFERROR(INDEX(Map!$C$2:$C$400,MATCH($A440,Map!$A$2:$A$400,0)),"⚠ UNMAPPED"))</f>
        <v/>
      </c>
      <c r="H440" s="18" t="str">
        <f>IF($A440="","",IFERROR(INDEX(Map!$D$2:$D$400,MATCH($A440,Map!$A$2:$A$400,0)),"⚠ UNMAPPED"))</f>
        <v/>
      </c>
      <c r="I440" s="18" t="str">
        <f>IF($A440="","",IFERROR(INDEX(Map!$E$2:$E$400,MATCH($A440,Map!$A$2:$A$400,0)),"⚠ UNMAPPED"))</f>
        <v/>
      </c>
      <c r="J440" s="18" t="str">
        <f>IF($A440="","",IFERROR(INDEX(Map!$F$2:$F$400,MATCH($A440,Map!$A$2:$A$400,0)),"⚠ UNMAPPED"))</f>
        <v/>
      </c>
    </row>
    <row r="441" spans="7:10" x14ac:dyDescent="0.25">
      <c r="G441" s="18" t="str">
        <f>IF($A441="","",IFERROR(INDEX(Map!$C$2:$C$400,MATCH($A441,Map!$A$2:$A$400,0)),"⚠ UNMAPPED"))</f>
        <v/>
      </c>
      <c r="H441" s="18" t="str">
        <f>IF($A441="","",IFERROR(INDEX(Map!$D$2:$D$400,MATCH($A441,Map!$A$2:$A$400,0)),"⚠ UNMAPPED"))</f>
        <v/>
      </c>
      <c r="I441" s="18" t="str">
        <f>IF($A441="","",IFERROR(INDEX(Map!$E$2:$E$400,MATCH($A441,Map!$A$2:$A$400,0)),"⚠ UNMAPPED"))</f>
        <v/>
      </c>
      <c r="J441" s="18" t="str">
        <f>IF($A441="","",IFERROR(INDEX(Map!$F$2:$F$400,MATCH($A441,Map!$A$2:$A$400,0)),"⚠ UNMAPPED"))</f>
        <v/>
      </c>
    </row>
    <row r="442" spans="7:10" x14ac:dyDescent="0.25">
      <c r="G442" s="18" t="str">
        <f>IF($A442="","",IFERROR(INDEX(Map!$C$2:$C$400,MATCH($A442,Map!$A$2:$A$400,0)),"⚠ UNMAPPED"))</f>
        <v/>
      </c>
      <c r="H442" s="18" t="str">
        <f>IF($A442="","",IFERROR(INDEX(Map!$D$2:$D$400,MATCH($A442,Map!$A$2:$A$400,0)),"⚠ UNMAPPED"))</f>
        <v/>
      </c>
      <c r="I442" s="18" t="str">
        <f>IF($A442="","",IFERROR(INDEX(Map!$E$2:$E$400,MATCH($A442,Map!$A$2:$A$400,0)),"⚠ UNMAPPED"))</f>
        <v/>
      </c>
      <c r="J442" s="18" t="str">
        <f>IF($A442="","",IFERROR(INDEX(Map!$F$2:$F$400,MATCH($A442,Map!$A$2:$A$400,0)),"⚠ UNMAPPED"))</f>
        <v/>
      </c>
    </row>
    <row r="443" spans="7:10" x14ac:dyDescent="0.25">
      <c r="G443" s="18" t="str">
        <f>IF($A443="","",IFERROR(INDEX(Map!$C$2:$C$400,MATCH($A443,Map!$A$2:$A$400,0)),"⚠ UNMAPPED"))</f>
        <v/>
      </c>
      <c r="H443" s="18" t="str">
        <f>IF($A443="","",IFERROR(INDEX(Map!$D$2:$D$400,MATCH($A443,Map!$A$2:$A$400,0)),"⚠ UNMAPPED"))</f>
        <v/>
      </c>
      <c r="I443" s="18" t="str">
        <f>IF($A443="","",IFERROR(INDEX(Map!$E$2:$E$400,MATCH($A443,Map!$A$2:$A$400,0)),"⚠ UNMAPPED"))</f>
        <v/>
      </c>
      <c r="J443" s="18" t="str">
        <f>IF($A443="","",IFERROR(INDEX(Map!$F$2:$F$400,MATCH($A443,Map!$A$2:$A$400,0)),"⚠ UNMAPPED"))</f>
        <v/>
      </c>
    </row>
    <row r="444" spans="7:10" x14ac:dyDescent="0.25">
      <c r="G444" s="18" t="str">
        <f>IF($A444="","",IFERROR(INDEX(Map!$C$2:$C$400,MATCH($A444,Map!$A$2:$A$400,0)),"⚠ UNMAPPED"))</f>
        <v/>
      </c>
      <c r="H444" s="18" t="str">
        <f>IF($A444="","",IFERROR(INDEX(Map!$D$2:$D$400,MATCH($A444,Map!$A$2:$A$400,0)),"⚠ UNMAPPED"))</f>
        <v/>
      </c>
      <c r="I444" s="18" t="str">
        <f>IF($A444="","",IFERROR(INDEX(Map!$E$2:$E$400,MATCH($A444,Map!$A$2:$A$400,0)),"⚠ UNMAPPED"))</f>
        <v/>
      </c>
      <c r="J444" s="18" t="str">
        <f>IF($A444="","",IFERROR(INDEX(Map!$F$2:$F$400,MATCH($A444,Map!$A$2:$A$400,0)),"⚠ UNMAPPED"))</f>
        <v/>
      </c>
    </row>
    <row r="445" spans="7:10" x14ac:dyDescent="0.25">
      <c r="G445" s="18" t="str">
        <f>IF($A445="","",IFERROR(INDEX(Map!$C$2:$C$400,MATCH($A445,Map!$A$2:$A$400,0)),"⚠ UNMAPPED"))</f>
        <v/>
      </c>
      <c r="H445" s="18" t="str">
        <f>IF($A445="","",IFERROR(INDEX(Map!$D$2:$D$400,MATCH($A445,Map!$A$2:$A$400,0)),"⚠ UNMAPPED"))</f>
        <v/>
      </c>
      <c r="I445" s="18" t="str">
        <f>IF($A445="","",IFERROR(INDEX(Map!$E$2:$E$400,MATCH($A445,Map!$A$2:$A$400,0)),"⚠ UNMAPPED"))</f>
        <v/>
      </c>
      <c r="J445" s="18" t="str">
        <f>IF($A445="","",IFERROR(INDEX(Map!$F$2:$F$400,MATCH($A445,Map!$A$2:$A$400,0)),"⚠ UNMAPPED"))</f>
        <v/>
      </c>
    </row>
    <row r="446" spans="7:10" x14ac:dyDescent="0.25">
      <c r="G446" s="18" t="str">
        <f>IF($A446="","",IFERROR(INDEX(Map!$C$2:$C$400,MATCH($A446,Map!$A$2:$A$400,0)),"⚠ UNMAPPED"))</f>
        <v/>
      </c>
      <c r="H446" s="18" t="str">
        <f>IF($A446="","",IFERROR(INDEX(Map!$D$2:$D$400,MATCH($A446,Map!$A$2:$A$400,0)),"⚠ UNMAPPED"))</f>
        <v/>
      </c>
      <c r="I446" s="18" t="str">
        <f>IF($A446="","",IFERROR(INDEX(Map!$E$2:$E$400,MATCH($A446,Map!$A$2:$A$400,0)),"⚠ UNMAPPED"))</f>
        <v/>
      </c>
      <c r="J446" s="18" t="str">
        <f>IF($A446="","",IFERROR(INDEX(Map!$F$2:$F$400,MATCH($A446,Map!$A$2:$A$400,0)),"⚠ UNMAPPED"))</f>
        <v/>
      </c>
    </row>
    <row r="447" spans="7:10" x14ac:dyDescent="0.25">
      <c r="G447" s="18" t="str">
        <f>IF($A447="","",IFERROR(INDEX(Map!$C$2:$C$400,MATCH($A447,Map!$A$2:$A$400,0)),"⚠ UNMAPPED"))</f>
        <v/>
      </c>
      <c r="H447" s="18" t="str">
        <f>IF($A447="","",IFERROR(INDEX(Map!$D$2:$D$400,MATCH($A447,Map!$A$2:$A$400,0)),"⚠ UNMAPPED"))</f>
        <v/>
      </c>
      <c r="I447" s="18" t="str">
        <f>IF($A447="","",IFERROR(INDEX(Map!$E$2:$E$400,MATCH($A447,Map!$A$2:$A$400,0)),"⚠ UNMAPPED"))</f>
        <v/>
      </c>
      <c r="J447" s="18" t="str">
        <f>IF($A447="","",IFERROR(INDEX(Map!$F$2:$F$400,MATCH($A447,Map!$A$2:$A$400,0)),"⚠ UNMAPPED"))</f>
        <v/>
      </c>
    </row>
    <row r="448" spans="7:10" x14ac:dyDescent="0.25">
      <c r="G448" s="18" t="str">
        <f>IF($A448="","",IFERROR(INDEX(Map!$C$2:$C$400,MATCH($A448,Map!$A$2:$A$400,0)),"⚠ UNMAPPED"))</f>
        <v/>
      </c>
      <c r="H448" s="18" t="str">
        <f>IF($A448="","",IFERROR(INDEX(Map!$D$2:$D$400,MATCH($A448,Map!$A$2:$A$400,0)),"⚠ UNMAPPED"))</f>
        <v/>
      </c>
      <c r="I448" s="18" t="str">
        <f>IF($A448="","",IFERROR(INDEX(Map!$E$2:$E$400,MATCH($A448,Map!$A$2:$A$400,0)),"⚠ UNMAPPED"))</f>
        <v/>
      </c>
      <c r="J448" s="18" t="str">
        <f>IF($A448="","",IFERROR(INDEX(Map!$F$2:$F$400,MATCH($A448,Map!$A$2:$A$400,0)),"⚠ UNMAPPED"))</f>
        <v/>
      </c>
    </row>
    <row r="449" spans="7:10" x14ac:dyDescent="0.25">
      <c r="G449" s="18" t="str">
        <f>IF($A449="","",IFERROR(INDEX(Map!$C$2:$C$400,MATCH($A449,Map!$A$2:$A$400,0)),"⚠ UNMAPPED"))</f>
        <v/>
      </c>
      <c r="H449" s="18" t="str">
        <f>IF($A449="","",IFERROR(INDEX(Map!$D$2:$D$400,MATCH($A449,Map!$A$2:$A$400,0)),"⚠ UNMAPPED"))</f>
        <v/>
      </c>
      <c r="I449" s="18" t="str">
        <f>IF($A449="","",IFERROR(INDEX(Map!$E$2:$E$400,MATCH($A449,Map!$A$2:$A$400,0)),"⚠ UNMAPPED"))</f>
        <v/>
      </c>
      <c r="J449" s="18" t="str">
        <f>IF($A449="","",IFERROR(INDEX(Map!$F$2:$F$400,MATCH($A449,Map!$A$2:$A$400,0)),"⚠ UNMAPPED"))</f>
        <v/>
      </c>
    </row>
    <row r="450" spans="7:10" x14ac:dyDescent="0.25">
      <c r="G450" s="18" t="str">
        <f>IF($A450="","",IFERROR(INDEX(Map!$C$2:$C$400,MATCH($A450,Map!$A$2:$A$400,0)),"⚠ UNMAPPED"))</f>
        <v/>
      </c>
      <c r="H450" s="18" t="str">
        <f>IF($A450="","",IFERROR(INDEX(Map!$D$2:$D$400,MATCH($A450,Map!$A$2:$A$400,0)),"⚠ UNMAPPED"))</f>
        <v/>
      </c>
      <c r="I450" s="18" t="str">
        <f>IF($A450="","",IFERROR(INDEX(Map!$E$2:$E$400,MATCH($A450,Map!$A$2:$A$400,0)),"⚠ UNMAPPED"))</f>
        <v/>
      </c>
      <c r="J450" s="18" t="str">
        <f>IF($A450="","",IFERROR(INDEX(Map!$F$2:$F$400,MATCH($A450,Map!$A$2:$A$400,0)),"⚠ UNMAPPED"))</f>
        <v/>
      </c>
    </row>
    <row r="451" spans="7:10" x14ac:dyDescent="0.25">
      <c r="G451" s="18" t="str">
        <f>IF($A451="","",IFERROR(INDEX(Map!$C$2:$C$400,MATCH($A451,Map!$A$2:$A$400,0)),"⚠ UNMAPPED"))</f>
        <v/>
      </c>
      <c r="H451" s="18" t="str">
        <f>IF($A451="","",IFERROR(INDEX(Map!$D$2:$D$400,MATCH($A451,Map!$A$2:$A$400,0)),"⚠ UNMAPPED"))</f>
        <v/>
      </c>
      <c r="I451" s="18" t="str">
        <f>IF($A451="","",IFERROR(INDEX(Map!$E$2:$E$400,MATCH($A451,Map!$A$2:$A$400,0)),"⚠ UNMAPPED"))</f>
        <v/>
      </c>
      <c r="J451" s="18" t="str">
        <f>IF($A451="","",IFERROR(INDEX(Map!$F$2:$F$400,MATCH($A451,Map!$A$2:$A$400,0)),"⚠ UNMAPPED"))</f>
        <v/>
      </c>
    </row>
    <row r="452" spans="7:10" x14ac:dyDescent="0.25">
      <c r="G452" s="18" t="str">
        <f>IF($A452="","",IFERROR(INDEX(Map!$C$2:$C$400,MATCH($A452,Map!$A$2:$A$400,0)),"⚠ UNMAPPED"))</f>
        <v/>
      </c>
      <c r="H452" s="18" t="str">
        <f>IF($A452="","",IFERROR(INDEX(Map!$D$2:$D$400,MATCH($A452,Map!$A$2:$A$400,0)),"⚠ UNMAPPED"))</f>
        <v/>
      </c>
      <c r="I452" s="18" t="str">
        <f>IF($A452="","",IFERROR(INDEX(Map!$E$2:$E$400,MATCH($A452,Map!$A$2:$A$400,0)),"⚠ UNMAPPED"))</f>
        <v/>
      </c>
      <c r="J452" s="18" t="str">
        <f>IF($A452="","",IFERROR(INDEX(Map!$F$2:$F$400,MATCH($A452,Map!$A$2:$A$400,0)),"⚠ UNMAPPED"))</f>
        <v/>
      </c>
    </row>
    <row r="453" spans="7:10" x14ac:dyDescent="0.25">
      <c r="G453" s="18" t="str">
        <f>IF($A453="","",IFERROR(INDEX(Map!$C$2:$C$400,MATCH($A453,Map!$A$2:$A$400,0)),"⚠ UNMAPPED"))</f>
        <v/>
      </c>
      <c r="H453" s="18" t="str">
        <f>IF($A453="","",IFERROR(INDEX(Map!$D$2:$D$400,MATCH($A453,Map!$A$2:$A$400,0)),"⚠ UNMAPPED"))</f>
        <v/>
      </c>
      <c r="I453" s="18" t="str">
        <f>IF($A453="","",IFERROR(INDEX(Map!$E$2:$E$400,MATCH($A453,Map!$A$2:$A$400,0)),"⚠ UNMAPPED"))</f>
        <v/>
      </c>
      <c r="J453" s="18" t="str">
        <f>IF($A453="","",IFERROR(INDEX(Map!$F$2:$F$400,MATCH($A453,Map!$A$2:$A$400,0)),"⚠ UNMAPPED"))</f>
        <v/>
      </c>
    </row>
    <row r="454" spans="7:10" x14ac:dyDescent="0.25">
      <c r="G454" s="18" t="str">
        <f>IF($A454="","",IFERROR(INDEX(Map!$C$2:$C$400,MATCH($A454,Map!$A$2:$A$400,0)),"⚠ UNMAPPED"))</f>
        <v/>
      </c>
      <c r="H454" s="18" t="str">
        <f>IF($A454="","",IFERROR(INDEX(Map!$D$2:$D$400,MATCH($A454,Map!$A$2:$A$400,0)),"⚠ UNMAPPED"))</f>
        <v/>
      </c>
      <c r="I454" s="18" t="str">
        <f>IF($A454="","",IFERROR(INDEX(Map!$E$2:$E$400,MATCH($A454,Map!$A$2:$A$400,0)),"⚠ UNMAPPED"))</f>
        <v/>
      </c>
      <c r="J454" s="18" t="str">
        <f>IF($A454="","",IFERROR(INDEX(Map!$F$2:$F$400,MATCH($A454,Map!$A$2:$A$400,0)),"⚠ UNMAPPED"))</f>
        <v/>
      </c>
    </row>
    <row r="455" spans="7:10" x14ac:dyDescent="0.25">
      <c r="G455" s="18" t="str">
        <f>IF($A455="","",IFERROR(INDEX(Map!$C$2:$C$400,MATCH($A455,Map!$A$2:$A$400,0)),"⚠ UNMAPPED"))</f>
        <v/>
      </c>
      <c r="H455" s="18" t="str">
        <f>IF($A455="","",IFERROR(INDEX(Map!$D$2:$D$400,MATCH($A455,Map!$A$2:$A$400,0)),"⚠ UNMAPPED"))</f>
        <v/>
      </c>
      <c r="I455" s="18" t="str">
        <f>IF($A455="","",IFERROR(INDEX(Map!$E$2:$E$400,MATCH($A455,Map!$A$2:$A$400,0)),"⚠ UNMAPPED"))</f>
        <v/>
      </c>
      <c r="J455" s="18" t="str">
        <f>IF($A455="","",IFERROR(INDEX(Map!$F$2:$F$400,MATCH($A455,Map!$A$2:$A$400,0)),"⚠ UNMAPPED"))</f>
        <v/>
      </c>
    </row>
    <row r="456" spans="7:10" x14ac:dyDescent="0.25">
      <c r="G456" s="18" t="str">
        <f>IF($A456="","",IFERROR(INDEX(Map!$C$2:$C$400,MATCH($A456,Map!$A$2:$A$400,0)),"⚠ UNMAPPED"))</f>
        <v/>
      </c>
      <c r="H456" s="18" t="str">
        <f>IF($A456="","",IFERROR(INDEX(Map!$D$2:$D$400,MATCH($A456,Map!$A$2:$A$400,0)),"⚠ UNMAPPED"))</f>
        <v/>
      </c>
      <c r="I456" s="18" t="str">
        <f>IF($A456="","",IFERROR(INDEX(Map!$E$2:$E$400,MATCH($A456,Map!$A$2:$A$400,0)),"⚠ UNMAPPED"))</f>
        <v/>
      </c>
      <c r="J456" s="18" t="str">
        <f>IF($A456="","",IFERROR(INDEX(Map!$F$2:$F$400,MATCH($A456,Map!$A$2:$A$400,0)),"⚠ UNMAPPED"))</f>
        <v/>
      </c>
    </row>
    <row r="457" spans="7:10" x14ac:dyDescent="0.25">
      <c r="G457" s="18" t="str">
        <f>IF($A457="","",IFERROR(INDEX(Map!$C$2:$C$400,MATCH($A457,Map!$A$2:$A$400,0)),"⚠ UNMAPPED"))</f>
        <v/>
      </c>
      <c r="H457" s="18" t="str">
        <f>IF($A457="","",IFERROR(INDEX(Map!$D$2:$D$400,MATCH($A457,Map!$A$2:$A$400,0)),"⚠ UNMAPPED"))</f>
        <v/>
      </c>
      <c r="I457" s="18" t="str">
        <f>IF($A457="","",IFERROR(INDEX(Map!$E$2:$E$400,MATCH($A457,Map!$A$2:$A$400,0)),"⚠ UNMAPPED"))</f>
        <v/>
      </c>
      <c r="J457" s="18" t="str">
        <f>IF($A457="","",IFERROR(INDEX(Map!$F$2:$F$400,MATCH($A457,Map!$A$2:$A$400,0)),"⚠ UNMAPPED"))</f>
        <v/>
      </c>
    </row>
    <row r="458" spans="7:10" x14ac:dyDescent="0.25">
      <c r="G458" s="18" t="str">
        <f>IF($A458="","",IFERROR(INDEX(Map!$C$2:$C$400,MATCH($A458,Map!$A$2:$A$400,0)),"⚠ UNMAPPED"))</f>
        <v/>
      </c>
      <c r="H458" s="18" t="str">
        <f>IF($A458="","",IFERROR(INDEX(Map!$D$2:$D$400,MATCH($A458,Map!$A$2:$A$400,0)),"⚠ UNMAPPED"))</f>
        <v/>
      </c>
      <c r="I458" s="18" t="str">
        <f>IF($A458="","",IFERROR(INDEX(Map!$E$2:$E$400,MATCH($A458,Map!$A$2:$A$400,0)),"⚠ UNMAPPED"))</f>
        <v/>
      </c>
      <c r="J458" s="18" t="str">
        <f>IF($A458="","",IFERROR(INDEX(Map!$F$2:$F$400,MATCH($A458,Map!$A$2:$A$400,0)),"⚠ UNMAPPED"))</f>
        <v/>
      </c>
    </row>
    <row r="459" spans="7:10" x14ac:dyDescent="0.25">
      <c r="G459" s="18" t="str">
        <f>IF($A459="","",IFERROR(INDEX(Map!$C$2:$C$400,MATCH($A459,Map!$A$2:$A$400,0)),"⚠ UNMAPPED"))</f>
        <v/>
      </c>
      <c r="H459" s="18" t="str">
        <f>IF($A459="","",IFERROR(INDEX(Map!$D$2:$D$400,MATCH($A459,Map!$A$2:$A$400,0)),"⚠ UNMAPPED"))</f>
        <v/>
      </c>
      <c r="I459" s="18" t="str">
        <f>IF($A459="","",IFERROR(INDEX(Map!$E$2:$E$400,MATCH($A459,Map!$A$2:$A$400,0)),"⚠ UNMAPPED"))</f>
        <v/>
      </c>
      <c r="J459" s="18" t="str">
        <f>IF($A459="","",IFERROR(INDEX(Map!$F$2:$F$400,MATCH($A459,Map!$A$2:$A$400,0)),"⚠ UNMAPPED"))</f>
        <v/>
      </c>
    </row>
    <row r="460" spans="7:10" x14ac:dyDescent="0.25">
      <c r="G460" s="18" t="str">
        <f>IF($A460="","",IFERROR(INDEX(Map!$C$2:$C$400,MATCH($A460,Map!$A$2:$A$400,0)),"⚠ UNMAPPED"))</f>
        <v/>
      </c>
      <c r="H460" s="18" t="str">
        <f>IF($A460="","",IFERROR(INDEX(Map!$D$2:$D$400,MATCH($A460,Map!$A$2:$A$400,0)),"⚠ UNMAPPED"))</f>
        <v/>
      </c>
      <c r="I460" s="18" t="str">
        <f>IF($A460="","",IFERROR(INDEX(Map!$E$2:$E$400,MATCH($A460,Map!$A$2:$A$400,0)),"⚠ UNMAPPED"))</f>
        <v/>
      </c>
      <c r="J460" s="18" t="str">
        <f>IF($A460="","",IFERROR(INDEX(Map!$F$2:$F$400,MATCH($A460,Map!$A$2:$A$400,0)),"⚠ UNMAPPED"))</f>
        <v/>
      </c>
    </row>
    <row r="461" spans="7:10" x14ac:dyDescent="0.25">
      <c r="G461" s="18" t="str">
        <f>IF($A461="","",IFERROR(INDEX(Map!$C$2:$C$400,MATCH($A461,Map!$A$2:$A$400,0)),"⚠ UNMAPPED"))</f>
        <v/>
      </c>
      <c r="H461" s="18" t="str">
        <f>IF($A461="","",IFERROR(INDEX(Map!$D$2:$D$400,MATCH($A461,Map!$A$2:$A$400,0)),"⚠ UNMAPPED"))</f>
        <v/>
      </c>
      <c r="I461" s="18" t="str">
        <f>IF($A461="","",IFERROR(INDEX(Map!$E$2:$E$400,MATCH($A461,Map!$A$2:$A$400,0)),"⚠ UNMAPPED"))</f>
        <v/>
      </c>
      <c r="J461" s="18" t="str">
        <f>IF($A461="","",IFERROR(INDEX(Map!$F$2:$F$400,MATCH($A461,Map!$A$2:$A$400,0)),"⚠ UNMAPPED"))</f>
        <v/>
      </c>
    </row>
    <row r="462" spans="7:10" x14ac:dyDescent="0.25">
      <c r="G462" s="18" t="str">
        <f>IF($A462="","",IFERROR(INDEX(Map!$C$2:$C$400,MATCH($A462,Map!$A$2:$A$400,0)),"⚠ UNMAPPED"))</f>
        <v/>
      </c>
      <c r="H462" s="18" t="str">
        <f>IF($A462="","",IFERROR(INDEX(Map!$D$2:$D$400,MATCH($A462,Map!$A$2:$A$400,0)),"⚠ UNMAPPED"))</f>
        <v/>
      </c>
      <c r="I462" s="18" t="str">
        <f>IF($A462="","",IFERROR(INDEX(Map!$E$2:$E$400,MATCH($A462,Map!$A$2:$A$400,0)),"⚠ UNMAPPED"))</f>
        <v/>
      </c>
      <c r="J462" s="18" t="str">
        <f>IF($A462="","",IFERROR(INDEX(Map!$F$2:$F$400,MATCH($A462,Map!$A$2:$A$400,0)),"⚠ UNMAPPED"))</f>
        <v/>
      </c>
    </row>
    <row r="463" spans="7:10" x14ac:dyDescent="0.25">
      <c r="G463" s="18" t="str">
        <f>IF($A463="","",IFERROR(INDEX(Map!$C$2:$C$400,MATCH($A463,Map!$A$2:$A$400,0)),"⚠ UNMAPPED"))</f>
        <v/>
      </c>
      <c r="H463" s="18" t="str">
        <f>IF($A463="","",IFERROR(INDEX(Map!$D$2:$D$400,MATCH($A463,Map!$A$2:$A$400,0)),"⚠ UNMAPPED"))</f>
        <v/>
      </c>
      <c r="I463" s="18" t="str">
        <f>IF($A463="","",IFERROR(INDEX(Map!$E$2:$E$400,MATCH($A463,Map!$A$2:$A$400,0)),"⚠ UNMAPPED"))</f>
        <v/>
      </c>
      <c r="J463" s="18" t="str">
        <f>IF($A463="","",IFERROR(INDEX(Map!$F$2:$F$400,MATCH($A463,Map!$A$2:$A$400,0)),"⚠ UNMAPPED"))</f>
        <v/>
      </c>
    </row>
    <row r="464" spans="7:10" x14ac:dyDescent="0.25">
      <c r="G464" s="18" t="str">
        <f>IF($A464="","",IFERROR(INDEX(Map!$C$2:$C$400,MATCH($A464,Map!$A$2:$A$400,0)),"⚠ UNMAPPED"))</f>
        <v/>
      </c>
      <c r="H464" s="18" t="str">
        <f>IF($A464="","",IFERROR(INDEX(Map!$D$2:$D$400,MATCH($A464,Map!$A$2:$A$400,0)),"⚠ UNMAPPED"))</f>
        <v/>
      </c>
      <c r="I464" s="18" t="str">
        <f>IF($A464="","",IFERROR(INDEX(Map!$E$2:$E$400,MATCH($A464,Map!$A$2:$A$400,0)),"⚠ UNMAPPED"))</f>
        <v/>
      </c>
      <c r="J464" s="18" t="str">
        <f>IF($A464="","",IFERROR(INDEX(Map!$F$2:$F$400,MATCH($A464,Map!$A$2:$A$400,0)),"⚠ UNMAPPED"))</f>
        <v/>
      </c>
    </row>
    <row r="465" spans="7:10" x14ac:dyDescent="0.25">
      <c r="G465" s="18" t="str">
        <f>IF($A465="","",IFERROR(INDEX(Map!$C$2:$C$400,MATCH($A465,Map!$A$2:$A$400,0)),"⚠ UNMAPPED"))</f>
        <v/>
      </c>
      <c r="H465" s="18" t="str">
        <f>IF($A465="","",IFERROR(INDEX(Map!$D$2:$D$400,MATCH($A465,Map!$A$2:$A$400,0)),"⚠ UNMAPPED"))</f>
        <v/>
      </c>
      <c r="I465" s="18" t="str">
        <f>IF($A465="","",IFERROR(INDEX(Map!$E$2:$E$400,MATCH($A465,Map!$A$2:$A$400,0)),"⚠ UNMAPPED"))</f>
        <v/>
      </c>
      <c r="J465" s="18" t="str">
        <f>IF($A465="","",IFERROR(INDEX(Map!$F$2:$F$400,MATCH($A465,Map!$A$2:$A$400,0)),"⚠ UNMAPPED"))</f>
        <v/>
      </c>
    </row>
    <row r="466" spans="7:10" x14ac:dyDescent="0.25">
      <c r="G466" s="18" t="str">
        <f>IF($A466="","",IFERROR(INDEX(Map!$C$2:$C$400,MATCH($A466,Map!$A$2:$A$400,0)),"⚠ UNMAPPED"))</f>
        <v/>
      </c>
      <c r="H466" s="18" t="str">
        <f>IF($A466="","",IFERROR(INDEX(Map!$D$2:$D$400,MATCH($A466,Map!$A$2:$A$400,0)),"⚠ UNMAPPED"))</f>
        <v/>
      </c>
      <c r="I466" s="18" t="str">
        <f>IF($A466="","",IFERROR(INDEX(Map!$E$2:$E$400,MATCH($A466,Map!$A$2:$A$400,0)),"⚠ UNMAPPED"))</f>
        <v/>
      </c>
      <c r="J466" s="18" t="str">
        <f>IF($A466="","",IFERROR(INDEX(Map!$F$2:$F$400,MATCH($A466,Map!$A$2:$A$400,0)),"⚠ UNMAPPED"))</f>
        <v/>
      </c>
    </row>
    <row r="467" spans="7:10" x14ac:dyDescent="0.25">
      <c r="G467" s="18" t="str">
        <f>IF($A467="","",IFERROR(INDEX(Map!$C$2:$C$400,MATCH($A467,Map!$A$2:$A$400,0)),"⚠ UNMAPPED"))</f>
        <v/>
      </c>
      <c r="H467" s="18" t="str">
        <f>IF($A467="","",IFERROR(INDEX(Map!$D$2:$D$400,MATCH($A467,Map!$A$2:$A$400,0)),"⚠ UNMAPPED"))</f>
        <v/>
      </c>
      <c r="I467" s="18" t="str">
        <f>IF($A467="","",IFERROR(INDEX(Map!$E$2:$E$400,MATCH($A467,Map!$A$2:$A$400,0)),"⚠ UNMAPPED"))</f>
        <v/>
      </c>
      <c r="J467" s="18" t="str">
        <f>IF($A467="","",IFERROR(INDEX(Map!$F$2:$F$400,MATCH($A467,Map!$A$2:$A$400,0)),"⚠ UNMAPPED"))</f>
        <v/>
      </c>
    </row>
    <row r="468" spans="7:10" x14ac:dyDescent="0.25">
      <c r="G468" s="18" t="str">
        <f>IF($A468="","",IFERROR(INDEX(Map!$C$2:$C$400,MATCH($A468,Map!$A$2:$A$400,0)),"⚠ UNMAPPED"))</f>
        <v/>
      </c>
      <c r="H468" s="18" t="str">
        <f>IF($A468="","",IFERROR(INDEX(Map!$D$2:$D$400,MATCH($A468,Map!$A$2:$A$400,0)),"⚠ UNMAPPED"))</f>
        <v/>
      </c>
      <c r="I468" s="18" t="str">
        <f>IF($A468="","",IFERROR(INDEX(Map!$E$2:$E$400,MATCH($A468,Map!$A$2:$A$400,0)),"⚠ UNMAPPED"))</f>
        <v/>
      </c>
      <c r="J468" s="18" t="str">
        <f>IF($A468="","",IFERROR(INDEX(Map!$F$2:$F$400,MATCH($A468,Map!$A$2:$A$400,0)),"⚠ UNMAPPED"))</f>
        <v/>
      </c>
    </row>
    <row r="469" spans="7:10" x14ac:dyDescent="0.25">
      <c r="G469" s="18" t="str">
        <f>IF($A469="","",IFERROR(INDEX(Map!$C$2:$C$400,MATCH($A469,Map!$A$2:$A$400,0)),"⚠ UNMAPPED"))</f>
        <v/>
      </c>
      <c r="H469" s="18" t="str">
        <f>IF($A469="","",IFERROR(INDEX(Map!$D$2:$D$400,MATCH($A469,Map!$A$2:$A$400,0)),"⚠ UNMAPPED"))</f>
        <v/>
      </c>
      <c r="I469" s="18" t="str">
        <f>IF($A469="","",IFERROR(INDEX(Map!$E$2:$E$400,MATCH($A469,Map!$A$2:$A$400,0)),"⚠ UNMAPPED"))</f>
        <v/>
      </c>
      <c r="J469" s="18" t="str">
        <f>IF($A469="","",IFERROR(INDEX(Map!$F$2:$F$400,MATCH($A469,Map!$A$2:$A$400,0)),"⚠ UNMAPPED"))</f>
        <v/>
      </c>
    </row>
    <row r="470" spans="7:10" x14ac:dyDescent="0.25">
      <c r="G470" s="18" t="str">
        <f>IF($A470="","",IFERROR(INDEX(Map!$C$2:$C$400,MATCH($A470,Map!$A$2:$A$400,0)),"⚠ UNMAPPED"))</f>
        <v/>
      </c>
      <c r="H470" s="18" t="str">
        <f>IF($A470="","",IFERROR(INDEX(Map!$D$2:$D$400,MATCH($A470,Map!$A$2:$A$400,0)),"⚠ UNMAPPED"))</f>
        <v/>
      </c>
      <c r="I470" s="18" t="str">
        <f>IF($A470="","",IFERROR(INDEX(Map!$E$2:$E$400,MATCH($A470,Map!$A$2:$A$400,0)),"⚠ UNMAPPED"))</f>
        <v/>
      </c>
      <c r="J470" s="18" t="str">
        <f>IF($A470="","",IFERROR(INDEX(Map!$F$2:$F$400,MATCH($A470,Map!$A$2:$A$400,0)),"⚠ UNMAPPED"))</f>
        <v/>
      </c>
    </row>
    <row r="471" spans="7:10" x14ac:dyDescent="0.25">
      <c r="G471" s="18" t="str">
        <f>IF($A471="","",IFERROR(INDEX(Map!$C$2:$C$400,MATCH($A471,Map!$A$2:$A$400,0)),"⚠ UNMAPPED"))</f>
        <v/>
      </c>
      <c r="H471" s="18" t="str">
        <f>IF($A471="","",IFERROR(INDEX(Map!$D$2:$D$400,MATCH($A471,Map!$A$2:$A$400,0)),"⚠ UNMAPPED"))</f>
        <v/>
      </c>
      <c r="I471" s="18" t="str">
        <f>IF($A471="","",IFERROR(INDEX(Map!$E$2:$E$400,MATCH($A471,Map!$A$2:$A$400,0)),"⚠ UNMAPPED"))</f>
        <v/>
      </c>
      <c r="J471" s="18" t="str">
        <f>IF($A471="","",IFERROR(INDEX(Map!$F$2:$F$400,MATCH($A471,Map!$A$2:$A$400,0)),"⚠ UNMAPPED"))</f>
        <v/>
      </c>
    </row>
    <row r="472" spans="7:10" x14ac:dyDescent="0.25">
      <c r="G472" s="18" t="str">
        <f>IF($A472="","",IFERROR(INDEX(Map!$C$2:$C$400,MATCH($A472,Map!$A$2:$A$400,0)),"⚠ UNMAPPED"))</f>
        <v/>
      </c>
      <c r="H472" s="18" t="str">
        <f>IF($A472="","",IFERROR(INDEX(Map!$D$2:$D$400,MATCH($A472,Map!$A$2:$A$400,0)),"⚠ UNMAPPED"))</f>
        <v/>
      </c>
      <c r="I472" s="18" t="str">
        <f>IF($A472="","",IFERROR(INDEX(Map!$E$2:$E$400,MATCH($A472,Map!$A$2:$A$400,0)),"⚠ UNMAPPED"))</f>
        <v/>
      </c>
      <c r="J472" s="18" t="str">
        <f>IF($A472="","",IFERROR(INDEX(Map!$F$2:$F$400,MATCH($A472,Map!$A$2:$A$400,0)),"⚠ UNMAPPED"))</f>
        <v/>
      </c>
    </row>
    <row r="473" spans="7:10" x14ac:dyDescent="0.25">
      <c r="G473" s="18" t="str">
        <f>IF($A473="","",IFERROR(INDEX(Map!$C$2:$C$400,MATCH($A473,Map!$A$2:$A$400,0)),"⚠ UNMAPPED"))</f>
        <v/>
      </c>
      <c r="H473" s="18" t="str">
        <f>IF($A473="","",IFERROR(INDEX(Map!$D$2:$D$400,MATCH($A473,Map!$A$2:$A$400,0)),"⚠ UNMAPPED"))</f>
        <v/>
      </c>
      <c r="I473" s="18" t="str">
        <f>IF($A473="","",IFERROR(INDEX(Map!$E$2:$E$400,MATCH($A473,Map!$A$2:$A$400,0)),"⚠ UNMAPPED"))</f>
        <v/>
      </c>
      <c r="J473" s="18" t="str">
        <f>IF($A473="","",IFERROR(INDEX(Map!$F$2:$F$400,MATCH($A473,Map!$A$2:$A$400,0)),"⚠ UNMAPPED"))</f>
        <v/>
      </c>
    </row>
    <row r="474" spans="7:10" x14ac:dyDescent="0.25">
      <c r="G474" s="18" t="str">
        <f>IF($A474="","",IFERROR(INDEX(Map!$C$2:$C$400,MATCH($A474,Map!$A$2:$A$400,0)),"⚠ UNMAPPED"))</f>
        <v/>
      </c>
      <c r="H474" s="18" t="str">
        <f>IF($A474="","",IFERROR(INDEX(Map!$D$2:$D$400,MATCH($A474,Map!$A$2:$A$400,0)),"⚠ UNMAPPED"))</f>
        <v/>
      </c>
      <c r="I474" s="18" t="str">
        <f>IF($A474="","",IFERROR(INDEX(Map!$E$2:$E$400,MATCH($A474,Map!$A$2:$A$400,0)),"⚠ UNMAPPED"))</f>
        <v/>
      </c>
      <c r="J474" s="18" t="str">
        <f>IF($A474="","",IFERROR(INDEX(Map!$F$2:$F$400,MATCH($A474,Map!$A$2:$A$400,0)),"⚠ UNMAPPED"))</f>
        <v/>
      </c>
    </row>
    <row r="475" spans="7:10" x14ac:dyDescent="0.25">
      <c r="G475" s="18" t="str">
        <f>IF($A475="","",IFERROR(INDEX(Map!$C$2:$C$400,MATCH($A475,Map!$A$2:$A$400,0)),"⚠ UNMAPPED"))</f>
        <v/>
      </c>
      <c r="H475" s="18" t="str">
        <f>IF($A475="","",IFERROR(INDEX(Map!$D$2:$D$400,MATCH($A475,Map!$A$2:$A$400,0)),"⚠ UNMAPPED"))</f>
        <v/>
      </c>
      <c r="I475" s="18" t="str">
        <f>IF($A475="","",IFERROR(INDEX(Map!$E$2:$E$400,MATCH($A475,Map!$A$2:$A$400,0)),"⚠ UNMAPPED"))</f>
        <v/>
      </c>
      <c r="J475" s="18" t="str">
        <f>IF($A475="","",IFERROR(INDEX(Map!$F$2:$F$400,MATCH($A475,Map!$A$2:$A$400,0)),"⚠ UNMAPPED"))</f>
        <v/>
      </c>
    </row>
    <row r="476" spans="7:10" x14ac:dyDescent="0.25">
      <c r="G476" s="18" t="str">
        <f>IF($A476="","",IFERROR(INDEX(Map!$C$2:$C$400,MATCH($A476,Map!$A$2:$A$400,0)),"⚠ UNMAPPED"))</f>
        <v/>
      </c>
      <c r="H476" s="18" t="str">
        <f>IF($A476="","",IFERROR(INDEX(Map!$D$2:$D$400,MATCH($A476,Map!$A$2:$A$400,0)),"⚠ UNMAPPED"))</f>
        <v/>
      </c>
      <c r="I476" s="18" t="str">
        <f>IF($A476="","",IFERROR(INDEX(Map!$E$2:$E$400,MATCH($A476,Map!$A$2:$A$400,0)),"⚠ UNMAPPED"))</f>
        <v/>
      </c>
      <c r="J476" s="18" t="str">
        <f>IF($A476="","",IFERROR(INDEX(Map!$F$2:$F$400,MATCH($A476,Map!$A$2:$A$400,0)),"⚠ UNMAPPED"))</f>
        <v/>
      </c>
    </row>
    <row r="477" spans="7:10" x14ac:dyDescent="0.25">
      <c r="G477" s="18" t="str">
        <f>IF($A477="","",IFERROR(INDEX(Map!$C$2:$C$400,MATCH($A477,Map!$A$2:$A$400,0)),"⚠ UNMAPPED"))</f>
        <v/>
      </c>
      <c r="H477" s="18" t="str">
        <f>IF($A477="","",IFERROR(INDEX(Map!$D$2:$D$400,MATCH($A477,Map!$A$2:$A$400,0)),"⚠ UNMAPPED"))</f>
        <v/>
      </c>
      <c r="I477" s="18" t="str">
        <f>IF($A477="","",IFERROR(INDEX(Map!$E$2:$E$400,MATCH($A477,Map!$A$2:$A$400,0)),"⚠ UNMAPPED"))</f>
        <v/>
      </c>
      <c r="J477" s="18" t="str">
        <f>IF($A477="","",IFERROR(INDEX(Map!$F$2:$F$400,MATCH($A477,Map!$A$2:$A$400,0)),"⚠ UNMAPPED"))</f>
        <v/>
      </c>
    </row>
    <row r="478" spans="7:10" x14ac:dyDescent="0.25">
      <c r="G478" s="18" t="str">
        <f>IF($A478="","",IFERROR(INDEX(Map!$C$2:$C$400,MATCH($A478,Map!$A$2:$A$400,0)),"⚠ UNMAPPED"))</f>
        <v/>
      </c>
      <c r="H478" s="18" t="str">
        <f>IF($A478="","",IFERROR(INDEX(Map!$D$2:$D$400,MATCH($A478,Map!$A$2:$A$400,0)),"⚠ UNMAPPED"))</f>
        <v/>
      </c>
      <c r="I478" s="18" t="str">
        <f>IF($A478="","",IFERROR(INDEX(Map!$E$2:$E$400,MATCH($A478,Map!$A$2:$A$400,0)),"⚠ UNMAPPED"))</f>
        <v/>
      </c>
      <c r="J478" s="18" t="str">
        <f>IF($A478="","",IFERROR(INDEX(Map!$F$2:$F$400,MATCH($A478,Map!$A$2:$A$400,0)),"⚠ UNMAPPED"))</f>
        <v/>
      </c>
    </row>
    <row r="479" spans="7:10" x14ac:dyDescent="0.25">
      <c r="G479" s="18" t="str">
        <f>IF($A479="","",IFERROR(INDEX(Map!$C$2:$C$400,MATCH($A479,Map!$A$2:$A$400,0)),"⚠ UNMAPPED"))</f>
        <v/>
      </c>
      <c r="H479" s="18" t="str">
        <f>IF($A479="","",IFERROR(INDEX(Map!$D$2:$D$400,MATCH($A479,Map!$A$2:$A$400,0)),"⚠ UNMAPPED"))</f>
        <v/>
      </c>
      <c r="I479" s="18" t="str">
        <f>IF($A479="","",IFERROR(INDEX(Map!$E$2:$E$400,MATCH($A479,Map!$A$2:$A$400,0)),"⚠ UNMAPPED"))</f>
        <v/>
      </c>
      <c r="J479" s="18" t="str">
        <f>IF($A479="","",IFERROR(INDEX(Map!$F$2:$F$400,MATCH($A479,Map!$A$2:$A$400,0)),"⚠ UNMAPPED"))</f>
        <v/>
      </c>
    </row>
    <row r="480" spans="7:10" x14ac:dyDescent="0.25">
      <c r="G480" s="18" t="str">
        <f>IF($A480="","",IFERROR(INDEX(Map!$C$2:$C$400,MATCH($A480,Map!$A$2:$A$400,0)),"⚠ UNMAPPED"))</f>
        <v/>
      </c>
      <c r="H480" s="18" t="str">
        <f>IF($A480="","",IFERROR(INDEX(Map!$D$2:$D$400,MATCH($A480,Map!$A$2:$A$400,0)),"⚠ UNMAPPED"))</f>
        <v/>
      </c>
      <c r="I480" s="18" t="str">
        <f>IF($A480="","",IFERROR(INDEX(Map!$E$2:$E$400,MATCH($A480,Map!$A$2:$A$400,0)),"⚠ UNMAPPED"))</f>
        <v/>
      </c>
      <c r="J480" s="18" t="str">
        <f>IF($A480="","",IFERROR(INDEX(Map!$F$2:$F$400,MATCH($A480,Map!$A$2:$A$400,0)),"⚠ UNMAPPED"))</f>
        <v/>
      </c>
    </row>
    <row r="481" spans="7:10" x14ac:dyDescent="0.25">
      <c r="G481" s="18" t="str">
        <f>IF($A481="","",IFERROR(INDEX(Map!$C$2:$C$400,MATCH($A481,Map!$A$2:$A$400,0)),"⚠ UNMAPPED"))</f>
        <v/>
      </c>
      <c r="H481" s="18" t="str">
        <f>IF($A481="","",IFERROR(INDEX(Map!$D$2:$D$400,MATCH($A481,Map!$A$2:$A$400,0)),"⚠ UNMAPPED"))</f>
        <v/>
      </c>
      <c r="I481" s="18" t="str">
        <f>IF($A481="","",IFERROR(INDEX(Map!$E$2:$E$400,MATCH($A481,Map!$A$2:$A$400,0)),"⚠ UNMAPPED"))</f>
        <v/>
      </c>
      <c r="J481" s="18" t="str">
        <f>IF($A481="","",IFERROR(INDEX(Map!$F$2:$F$400,MATCH($A481,Map!$A$2:$A$400,0)),"⚠ UNMAPPED"))</f>
        <v/>
      </c>
    </row>
    <row r="482" spans="7:10" x14ac:dyDescent="0.25">
      <c r="G482" s="18" t="str">
        <f>IF($A482="","",IFERROR(INDEX(Map!$C$2:$C$400,MATCH($A482,Map!$A$2:$A$400,0)),"⚠ UNMAPPED"))</f>
        <v/>
      </c>
      <c r="H482" s="18" t="str">
        <f>IF($A482="","",IFERROR(INDEX(Map!$D$2:$D$400,MATCH($A482,Map!$A$2:$A$400,0)),"⚠ UNMAPPED"))</f>
        <v/>
      </c>
      <c r="I482" s="18" t="str">
        <f>IF($A482="","",IFERROR(INDEX(Map!$E$2:$E$400,MATCH($A482,Map!$A$2:$A$400,0)),"⚠ UNMAPPED"))</f>
        <v/>
      </c>
      <c r="J482" s="18" t="str">
        <f>IF($A482="","",IFERROR(INDEX(Map!$F$2:$F$400,MATCH($A482,Map!$A$2:$A$400,0)),"⚠ UNMAPPED"))</f>
        <v/>
      </c>
    </row>
    <row r="483" spans="7:10" x14ac:dyDescent="0.25">
      <c r="G483" s="18" t="str">
        <f>IF($A483="","",IFERROR(INDEX(Map!$C$2:$C$400,MATCH($A483,Map!$A$2:$A$400,0)),"⚠ UNMAPPED"))</f>
        <v/>
      </c>
      <c r="H483" s="18" t="str">
        <f>IF($A483="","",IFERROR(INDEX(Map!$D$2:$D$400,MATCH($A483,Map!$A$2:$A$400,0)),"⚠ UNMAPPED"))</f>
        <v/>
      </c>
      <c r="I483" s="18" t="str">
        <f>IF($A483="","",IFERROR(INDEX(Map!$E$2:$E$400,MATCH($A483,Map!$A$2:$A$400,0)),"⚠ UNMAPPED"))</f>
        <v/>
      </c>
      <c r="J483" s="18" t="str">
        <f>IF($A483="","",IFERROR(INDEX(Map!$F$2:$F$400,MATCH($A483,Map!$A$2:$A$400,0)),"⚠ UNMAPPED"))</f>
        <v/>
      </c>
    </row>
    <row r="484" spans="7:10" x14ac:dyDescent="0.25">
      <c r="G484" s="18" t="str">
        <f>IF($A484="","",IFERROR(INDEX(Map!$C$2:$C$400,MATCH($A484,Map!$A$2:$A$400,0)),"⚠ UNMAPPED"))</f>
        <v/>
      </c>
      <c r="H484" s="18" t="str">
        <f>IF($A484="","",IFERROR(INDEX(Map!$D$2:$D$400,MATCH($A484,Map!$A$2:$A$400,0)),"⚠ UNMAPPED"))</f>
        <v/>
      </c>
      <c r="I484" s="18" t="str">
        <f>IF($A484="","",IFERROR(INDEX(Map!$E$2:$E$400,MATCH($A484,Map!$A$2:$A$400,0)),"⚠ UNMAPPED"))</f>
        <v/>
      </c>
      <c r="J484" s="18" t="str">
        <f>IF($A484="","",IFERROR(INDEX(Map!$F$2:$F$400,MATCH($A484,Map!$A$2:$A$400,0)),"⚠ UNMAPPED"))</f>
        <v/>
      </c>
    </row>
    <row r="485" spans="7:10" x14ac:dyDescent="0.25">
      <c r="G485" s="18" t="str">
        <f>IF($A485="","",IFERROR(INDEX(Map!$C$2:$C$400,MATCH($A485,Map!$A$2:$A$400,0)),"⚠ UNMAPPED"))</f>
        <v/>
      </c>
      <c r="H485" s="18" t="str">
        <f>IF($A485="","",IFERROR(INDEX(Map!$D$2:$D$400,MATCH($A485,Map!$A$2:$A$400,0)),"⚠ UNMAPPED"))</f>
        <v/>
      </c>
      <c r="I485" s="18" t="str">
        <f>IF($A485="","",IFERROR(INDEX(Map!$E$2:$E$400,MATCH($A485,Map!$A$2:$A$400,0)),"⚠ UNMAPPED"))</f>
        <v/>
      </c>
      <c r="J485" s="18" t="str">
        <f>IF($A485="","",IFERROR(INDEX(Map!$F$2:$F$400,MATCH($A485,Map!$A$2:$A$400,0)),"⚠ UNMAPPED"))</f>
        <v/>
      </c>
    </row>
    <row r="486" spans="7:10" x14ac:dyDescent="0.25">
      <c r="G486" s="18" t="str">
        <f>IF($A486="","",IFERROR(INDEX(Map!$C$2:$C$400,MATCH($A486,Map!$A$2:$A$400,0)),"⚠ UNMAPPED"))</f>
        <v/>
      </c>
      <c r="H486" s="18" t="str">
        <f>IF($A486="","",IFERROR(INDEX(Map!$D$2:$D$400,MATCH($A486,Map!$A$2:$A$400,0)),"⚠ UNMAPPED"))</f>
        <v/>
      </c>
      <c r="I486" s="18" t="str">
        <f>IF($A486="","",IFERROR(INDEX(Map!$E$2:$E$400,MATCH($A486,Map!$A$2:$A$400,0)),"⚠ UNMAPPED"))</f>
        <v/>
      </c>
      <c r="J486" s="18" t="str">
        <f>IF($A486="","",IFERROR(INDEX(Map!$F$2:$F$400,MATCH($A486,Map!$A$2:$A$400,0)),"⚠ UNMAPPED"))</f>
        <v/>
      </c>
    </row>
    <row r="487" spans="7:10" x14ac:dyDescent="0.25">
      <c r="G487" s="18" t="str">
        <f>IF($A487="","",IFERROR(INDEX(Map!$C$2:$C$400,MATCH($A487,Map!$A$2:$A$400,0)),"⚠ UNMAPPED"))</f>
        <v/>
      </c>
      <c r="H487" s="18" t="str">
        <f>IF($A487="","",IFERROR(INDEX(Map!$D$2:$D$400,MATCH($A487,Map!$A$2:$A$400,0)),"⚠ UNMAPPED"))</f>
        <v/>
      </c>
      <c r="I487" s="18" t="str">
        <f>IF($A487="","",IFERROR(INDEX(Map!$E$2:$E$400,MATCH($A487,Map!$A$2:$A$400,0)),"⚠ UNMAPPED"))</f>
        <v/>
      </c>
      <c r="J487" s="18" t="str">
        <f>IF($A487="","",IFERROR(INDEX(Map!$F$2:$F$400,MATCH($A487,Map!$A$2:$A$400,0)),"⚠ UNMAPPED"))</f>
        <v/>
      </c>
    </row>
    <row r="488" spans="7:10" x14ac:dyDescent="0.25">
      <c r="G488" s="18" t="str">
        <f>IF($A488="","",IFERROR(INDEX(Map!$C$2:$C$400,MATCH($A488,Map!$A$2:$A$400,0)),"⚠ UNMAPPED"))</f>
        <v/>
      </c>
      <c r="H488" s="18" t="str">
        <f>IF($A488="","",IFERROR(INDEX(Map!$D$2:$D$400,MATCH($A488,Map!$A$2:$A$400,0)),"⚠ UNMAPPED"))</f>
        <v/>
      </c>
      <c r="I488" s="18" t="str">
        <f>IF($A488="","",IFERROR(INDEX(Map!$E$2:$E$400,MATCH($A488,Map!$A$2:$A$400,0)),"⚠ UNMAPPED"))</f>
        <v/>
      </c>
      <c r="J488" s="18" t="str">
        <f>IF($A488="","",IFERROR(INDEX(Map!$F$2:$F$400,MATCH($A488,Map!$A$2:$A$400,0)),"⚠ UNMAPPED"))</f>
        <v/>
      </c>
    </row>
    <row r="489" spans="7:10" x14ac:dyDescent="0.25">
      <c r="G489" s="18" t="str">
        <f>IF($A489="","",IFERROR(INDEX(Map!$C$2:$C$400,MATCH($A489,Map!$A$2:$A$400,0)),"⚠ UNMAPPED"))</f>
        <v/>
      </c>
      <c r="H489" s="18" t="str">
        <f>IF($A489="","",IFERROR(INDEX(Map!$D$2:$D$400,MATCH($A489,Map!$A$2:$A$400,0)),"⚠ UNMAPPED"))</f>
        <v/>
      </c>
      <c r="I489" s="18" t="str">
        <f>IF($A489="","",IFERROR(INDEX(Map!$E$2:$E$400,MATCH($A489,Map!$A$2:$A$400,0)),"⚠ UNMAPPED"))</f>
        <v/>
      </c>
      <c r="J489" s="18" t="str">
        <f>IF($A489="","",IFERROR(INDEX(Map!$F$2:$F$400,MATCH($A489,Map!$A$2:$A$400,0)),"⚠ UNMAPPED"))</f>
        <v/>
      </c>
    </row>
    <row r="490" spans="7:10" x14ac:dyDescent="0.25">
      <c r="G490" s="18" t="str">
        <f>IF($A490="","",IFERROR(INDEX(Map!$C$2:$C$400,MATCH($A490,Map!$A$2:$A$400,0)),"⚠ UNMAPPED"))</f>
        <v/>
      </c>
      <c r="H490" s="18" t="str">
        <f>IF($A490="","",IFERROR(INDEX(Map!$D$2:$D$400,MATCH($A490,Map!$A$2:$A$400,0)),"⚠ UNMAPPED"))</f>
        <v/>
      </c>
      <c r="I490" s="18" t="str">
        <f>IF($A490="","",IFERROR(INDEX(Map!$E$2:$E$400,MATCH($A490,Map!$A$2:$A$400,0)),"⚠ UNMAPPED"))</f>
        <v/>
      </c>
      <c r="J490" s="18" t="str">
        <f>IF($A490="","",IFERROR(INDEX(Map!$F$2:$F$400,MATCH($A490,Map!$A$2:$A$400,0)),"⚠ UNMAPPED"))</f>
        <v/>
      </c>
    </row>
    <row r="491" spans="7:10" x14ac:dyDescent="0.25">
      <c r="G491" s="18" t="str">
        <f>IF($A491="","",IFERROR(INDEX(Map!$C$2:$C$400,MATCH($A491,Map!$A$2:$A$400,0)),"⚠ UNMAPPED"))</f>
        <v/>
      </c>
      <c r="H491" s="18" t="str">
        <f>IF($A491="","",IFERROR(INDEX(Map!$D$2:$D$400,MATCH($A491,Map!$A$2:$A$400,0)),"⚠ UNMAPPED"))</f>
        <v/>
      </c>
      <c r="I491" s="18" t="str">
        <f>IF($A491="","",IFERROR(INDEX(Map!$E$2:$E$400,MATCH($A491,Map!$A$2:$A$400,0)),"⚠ UNMAPPED"))</f>
        <v/>
      </c>
      <c r="J491" s="18" t="str">
        <f>IF($A491="","",IFERROR(INDEX(Map!$F$2:$F$400,MATCH($A491,Map!$A$2:$A$400,0)),"⚠ UNMAPPED"))</f>
        <v/>
      </c>
    </row>
    <row r="492" spans="7:10" x14ac:dyDescent="0.25">
      <c r="G492" s="18" t="str">
        <f>IF($A492="","",IFERROR(INDEX(Map!$C$2:$C$400,MATCH($A492,Map!$A$2:$A$400,0)),"⚠ UNMAPPED"))</f>
        <v/>
      </c>
      <c r="H492" s="18" t="str">
        <f>IF($A492="","",IFERROR(INDEX(Map!$D$2:$D$400,MATCH($A492,Map!$A$2:$A$400,0)),"⚠ UNMAPPED"))</f>
        <v/>
      </c>
      <c r="I492" s="18" t="str">
        <f>IF($A492="","",IFERROR(INDEX(Map!$E$2:$E$400,MATCH($A492,Map!$A$2:$A$400,0)),"⚠ UNMAPPED"))</f>
        <v/>
      </c>
      <c r="J492" s="18" t="str">
        <f>IF($A492="","",IFERROR(INDEX(Map!$F$2:$F$400,MATCH($A492,Map!$A$2:$A$400,0)),"⚠ UNMAPPED"))</f>
        <v/>
      </c>
    </row>
    <row r="493" spans="7:10" x14ac:dyDescent="0.25">
      <c r="G493" s="18" t="str">
        <f>IF($A493="","",IFERROR(INDEX(Map!$C$2:$C$400,MATCH($A493,Map!$A$2:$A$400,0)),"⚠ UNMAPPED"))</f>
        <v/>
      </c>
      <c r="H493" s="18" t="str">
        <f>IF($A493="","",IFERROR(INDEX(Map!$D$2:$D$400,MATCH($A493,Map!$A$2:$A$400,0)),"⚠ UNMAPPED"))</f>
        <v/>
      </c>
      <c r="I493" s="18" t="str">
        <f>IF($A493="","",IFERROR(INDEX(Map!$E$2:$E$400,MATCH($A493,Map!$A$2:$A$400,0)),"⚠ UNMAPPED"))</f>
        <v/>
      </c>
      <c r="J493" s="18" t="str">
        <f>IF($A493="","",IFERROR(INDEX(Map!$F$2:$F$400,MATCH($A493,Map!$A$2:$A$400,0)),"⚠ UNMAPPED"))</f>
        <v/>
      </c>
    </row>
    <row r="494" spans="7:10" x14ac:dyDescent="0.25">
      <c r="G494" s="18" t="str">
        <f>IF($A494="","",IFERROR(INDEX(Map!$C$2:$C$400,MATCH($A494,Map!$A$2:$A$400,0)),"⚠ UNMAPPED"))</f>
        <v/>
      </c>
      <c r="H494" s="18" t="str">
        <f>IF($A494="","",IFERROR(INDEX(Map!$D$2:$D$400,MATCH($A494,Map!$A$2:$A$400,0)),"⚠ UNMAPPED"))</f>
        <v/>
      </c>
      <c r="I494" s="18" t="str">
        <f>IF($A494="","",IFERROR(INDEX(Map!$E$2:$E$400,MATCH($A494,Map!$A$2:$A$400,0)),"⚠ UNMAPPED"))</f>
        <v/>
      </c>
      <c r="J494" s="18" t="str">
        <f>IF($A494="","",IFERROR(INDEX(Map!$F$2:$F$400,MATCH($A494,Map!$A$2:$A$400,0)),"⚠ UNMAPPED"))</f>
        <v/>
      </c>
    </row>
    <row r="495" spans="7:10" x14ac:dyDescent="0.25">
      <c r="G495" s="18" t="str">
        <f>IF($A495="","",IFERROR(INDEX(Map!$C$2:$C$400,MATCH($A495,Map!$A$2:$A$400,0)),"⚠ UNMAPPED"))</f>
        <v/>
      </c>
      <c r="H495" s="18" t="str">
        <f>IF($A495="","",IFERROR(INDEX(Map!$D$2:$D$400,MATCH($A495,Map!$A$2:$A$400,0)),"⚠ UNMAPPED"))</f>
        <v/>
      </c>
      <c r="I495" s="18" t="str">
        <f>IF($A495="","",IFERROR(INDEX(Map!$E$2:$E$400,MATCH($A495,Map!$A$2:$A$400,0)),"⚠ UNMAPPED"))</f>
        <v/>
      </c>
      <c r="J495" s="18" t="str">
        <f>IF($A495="","",IFERROR(INDEX(Map!$F$2:$F$400,MATCH($A495,Map!$A$2:$A$400,0)),"⚠ UNMAPPED"))</f>
        <v/>
      </c>
    </row>
    <row r="496" spans="7:10" x14ac:dyDescent="0.25">
      <c r="G496" s="18" t="str">
        <f>IF($A496="","",IFERROR(INDEX(Map!$C$2:$C$400,MATCH($A496,Map!$A$2:$A$400,0)),"⚠ UNMAPPED"))</f>
        <v/>
      </c>
      <c r="H496" s="18" t="str">
        <f>IF($A496="","",IFERROR(INDEX(Map!$D$2:$D$400,MATCH($A496,Map!$A$2:$A$400,0)),"⚠ UNMAPPED"))</f>
        <v/>
      </c>
      <c r="I496" s="18" t="str">
        <f>IF($A496="","",IFERROR(INDEX(Map!$E$2:$E$400,MATCH($A496,Map!$A$2:$A$400,0)),"⚠ UNMAPPED"))</f>
        <v/>
      </c>
      <c r="J496" s="18" t="str">
        <f>IF($A496="","",IFERROR(INDEX(Map!$F$2:$F$400,MATCH($A496,Map!$A$2:$A$400,0)),"⚠ UNMAPPED"))</f>
        <v/>
      </c>
    </row>
    <row r="497" spans="7:10" x14ac:dyDescent="0.25">
      <c r="G497" s="18" t="str">
        <f>IF($A497="","",IFERROR(INDEX(Map!$C$2:$C$400,MATCH($A497,Map!$A$2:$A$400,0)),"⚠ UNMAPPED"))</f>
        <v/>
      </c>
      <c r="H497" s="18" t="str">
        <f>IF($A497="","",IFERROR(INDEX(Map!$D$2:$D$400,MATCH($A497,Map!$A$2:$A$400,0)),"⚠ UNMAPPED"))</f>
        <v/>
      </c>
      <c r="I497" s="18" t="str">
        <f>IF($A497="","",IFERROR(INDEX(Map!$E$2:$E$400,MATCH($A497,Map!$A$2:$A$400,0)),"⚠ UNMAPPED"))</f>
        <v/>
      </c>
      <c r="J497" s="18" t="str">
        <f>IF($A497="","",IFERROR(INDEX(Map!$F$2:$F$400,MATCH($A497,Map!$A$2:$A$400,0)),"⚠ UNMAPPED"))</f>
        <v/>
      </c>
    </row>
    <row r="498" spans="7:10" x14ac:dyDescent="0.25">
      <c r="G498" s="18" t="str">
        <f>IF($A498="","",IFERROR(INDEX(Map!$C$2:$C$400,MATCH($A498,Map!$A$2:$A$400,0)),"⚠ UNMAPPED"))</f>
        <v/>
      </c>
      <c r="H498" s="18" t="str">
        <f>IF($A498="","",IFERROR(INDEX(Map!$D$2:$D$400,MATCH($A498,Map!$A$2:$A$400,0)),"⚠ UNMAPPED"))</f>
        <v/>
      </c>
      <c r="I498" s="18" t="str">
        <f>IF($A498="","",IFERROR(INDEX(Map!$E$2:$E$400,MATCH($A498,Map!$A$2:$A$400,0)),"⚠ UNMAPPED"))</f>
        <v/>
      </c>
      <c r="J498" s="18" t="str">
        <f>IF($A498="","",IFERROR(INDEX(Map!$F$2:$F$400,MATCH($A498,Map!$A$2:$A$400,0)),"⚠ UNMAPPED"))</f>
        <v/>
      </c>
    </row>
    <row r="499" spans="7:10" x14ac:dyDescent="0.25">
      <c r="G499" s="18" t="str">
        <f>IF($A499="","",IFERROR(INDEX(Map!$C$2:$C$400,MATCH($A499,Map!$A$2:$A$400,0)),"⚠ UNMAPPED"))</f>
        <v/>
      </c>
      <c r="H499" s="18" t="str">
        <f>IF($A499="","",IFERROR(INDEX(Map!$D$2:$D$400,MATCH($A499,Map!$A$2:$A$400,0)),"⚠ UNMAPPED"))</f>
        <v/>
      </c>
      <c r="I499" s="18" t="str">
        <f>IF($A499="","",IFERROR(INDEX(Map!$E$2:$E$400,MATCH($A499,Map!$A$2:$A$400,0)),"⚠ UNMAPPED"))</f>
        <v/>
      </c>
      <c r="J499" s="18" t="str">
        <f>IF($A499="","",IFERROR(INDEX(Map!$F$2:$F$400,MATCH($A499,Map!$A$2:$A$400,0)),"⚠ UNMAPPED"))</f>
        <v/>
      </c>
    </row>
    <row r="500" spans="7:10" x14ac:dyDescent="0.25">
      <c r="G500" s="18" t="str">
        <f>IF($A500="","",IFERROR(INDEX(Map!$C$2:$C$400,MATCH($A500,Map!$A$2:$A$400,0)),"⚠ UNMAPPED"))</f>
        <v/>
      </c>
      <c r="H500" s="18" t="str">
        <f>IF($A500="","",IFERROR(INDEX(Map!$D$2:$D$400,MATCH($A500,Map!$A$2:$A$400,0)),"⚠ UNMAPPED"))</f>
        <v/>
      </c>
      <c r="I500" s="18" t="str">
        <f>IF($A500="","",IFERROR(INDEX(Map!$E$2:$E$400,MATCH($A500,Map!$A$2:$A$400,0)),"⚠ UNMAPPED"))</f>
        <v/>
      </c>
      <c r="J500" s="18" t="str">
        <f>IF($A500="","",IFERROR(INDEX(Map!$F$2:$F$400,MATCH($A500,Map!$A$2:$A$400,0)),"⚠ UNMAPPED"))</f>
        <v/>
      </c>
    </row>
    <row r="501" spans="7:10" x14ac:dyDescent="0.25">
      <c r="G501" s="18" t="str">
        <f>IF($A501="","",IFERROR(INDEX(Map!$C$2:$C$400,MATCH($A501,Map!$A$2:$A$400,0)),"⚠ UNMAPPED"))</f>
        <v/>
      </c>
      <c r="H501" s="18" t="str">
        <f>IF($A501="","",IFERROR(INDEX(Map!$D$2:$D$400,MATCH($A501,Map!$A$2:$A$400,0)),"⚠ UNMAPPED"))</f>
        <v/>
      </c>
      <c r="I501" s="18" t="str">
        <f>IF($A501="","",IFERROR(INDEX(Map!$E$2:$E$400,MATCH($A501,Map!$A$2:$A$400,0)),"⚠ UNMAPPED"))</f>
        <v/>
      </c>
      <c r="J501" s="18" t="str">
        <f>IF($A501="","",IFERROR(INDEX(Map!$F$2:$F$400,MATCH($A501,Map!$A$2:$A$400,0)),"⚠ UNMAPPED"))</f>
        <v/>
      </c>
    </row>
    <row r="502" spans="7:10" x14ac:dyDescent="0.25">
      <c r="G502" s="18" t="str">
        <f>IF($A502="","",IFERROR(INDEX(Map!$C$2:$C$400,MATCH($A502,Map!$A$2:$A$400,0)),"⚠ UNMAPPED"))</f>
        <v/>
      </c>
      <c r="H502" s="18" t="str">
        <f>IF($A502="","",IFERROR(INDEX(Map!$D$2:$D$400,MATCH($A502,Map!$A$2:$A$400,0)),"⚠ UNMAPPED"))</f>
        <v/>
      </c>
      <c r="I502" s="18" t="str">
        <f>IF($A502="","",IFERROR(INDEX(Map!$E$2:$E$400,MATCH($A502,Map!$A$2:$A$400,0)),"⚠ UNMAPPED"))</f>
        <v/>
      </c>
      <c r="J502" s="18" t="str">
        <f>IF($A502="","",IFERROR(INDEX(Map!$F$2:$F$400,MATCH($A502,Map!$A$2:$A$400,0)),"⚠ UNMAPPED"))</f>
        <v/>
      </c>
    </row>
    <row r="503" spans="7:10" x14ac:dyDescent="0.25">
      <c r="G503" s="18" t="str">
        <f>IF($A503="","",IFERROR(INDEX(Map!$C$2:$C$400,MATCH($A503,Map!$A$2:$A$400,0)),"⚠ UNMAPPED"))</f>
        <v/>
      </c>
      <c r="H503" s="18" t="str">
        <f>IF($A503="","",IFERROR(INDEX(Map!$D$2:$D$400,MATCH($A503,Map!$A$2:$A$400,0)),"⚠ UNMAPPED"))</f>
        <v/>
      </c>
      <c r="I503" s="18" t="str">
        <f>IF($A503="","",IFERROR(INDEX(Map!$E$2:$E$400,MATCH($A503,Map!$A$2:$A$400,0)),"⚠ UNMAPPED"))</f>
        <v/>
      </c>
      <c r="J503" s="18" t="str">
        <f>IF($A503="","",IFERROR(INDEX(Map!$F$2:$F$400,MATCH($A503,Map!$A$2:$A$400,0)),"⚠ UNMAPPED"))</f>
        <v/>
      </c>
    </row>
    <row r="504" spans="7:10" x14ac:dyDescent="0.25">
      <c r="G504" s="18" t="str">
        <f>IF($A504="","",IFERROR(INDEX(Map!$C$2:$C$400,MATCH($A504,Map!$A$2:$A$400,0)),"⚠ UNMAPPED"))</f>
        <v/>
      </c>
      <c r="H504" s="18" t="str">
        <f>IF($A504="","",IFERROR(INDEX(Map!$D$2:$D$400,MATCH($A504,Map!$A$2:$A$400,0)),"⚠ UNMAPPED"))</f>
        <v/>
      </c>
      <c r="I504" s="18" t="str">
        <f>IF($A504="","",IFERROR(INDEX(Map!$E$2:$E$400,MATCH($A504,Map!$A$2:$A$400,0)),"⚠ UNMAPPED"))</f>
        <v/>
      </c>
      <c r="J504" s="18" t="str">
        <f>IF($A504="","",IFERROR(INDEX(Map!$F$2:$F$400,MATCH($A504,Map!$A$2:$A$400,0)),"⚠ UNMAPPED"))</f>
        <v/>
      </c>
    </row>
    <row r="505" spans="7:10" x14ac:dyDescent="0.25">
      <c r="G505" s="18" t="str">
        <f>IF($A505="","",IFERROR(INDEX(Map!$C$2:$C$400,MATCH($A505,Map!$A$2:$A$400,0)),"⚠ UNMAPPED"))</f>
        <v/>
      </c>
      <c r="H505" s="18" t="str">
        <f>IF($A505="","",IFERROR(INDEX(Map!$D$2:$D$400,MATCH($A505,Map!$A$2:$A$400,0)),"⚠ UNMAPPED"))</f>
        <v/>
      </c>
      <c r="I505" s="18" t="str">
        <f>IF($A505="","",IFERROR(INDEX(Map!$E$2:$E$400,MATCH($A505,Map!$A$2:$A$400,0)),"⚠ UNMAPPED"))</f>
        <v/>
      </c>
      <c r="J505" s="18" t="str">
        <f>IF($A505="","",IFERROR(INDEX(Map!$F$2:$F$400,MATCH($A505,Map!$A$2:$A$400,0)),"⚠ UNMAPPED"))</f>
        <v/>
      </c>
    </row>
    <row r="506" spans="7:10" x14ac:dyDescent="0.25">
      <c r="G506" s="18" t="str">
        <f>IF($A506="","",IFERROR(INDEX(Map!$C$2:$C$400,MATCH($A506,Map!$A$2:$A$400,0)),"⚠ UNMAPPED"))</f>
        <v/>
      </c>
      <c r="H506" s="18" t="str">
        <f>IF($A506="","",IFERROR(INDEX(Map!$D$2:$D$400,MATCH($A506,Map!$A$2:$A$400,0)),"⚠ UNMAPPED"))</f>
        <v/>
      </c>
      <c r="I506" s="18" t="str">
        <f>IF($A506="","",IFERROR(INDEX(Map!$E$2:$E$400,MATCH($A506,Map!$A$2:$A$400,0)),"⚠ UNMAPPED"))</f>
        <v/>
      </c>
      <c r="J506" s="18" t="str">
        <f>IF($A506="","",IFERROR(INDEX(Map!$F$2:$F$400,MATCH($A506,Map!$A$2:$A$400,0)),"⚠ UNMAPPED"))</f>
        <v/>
      </c>
    </row>
    <row r="507" spans="7:10" x14ac:dyDescent="0.25">
      <c r="G507" s="18" t="str">
        <f>IF($A507="","",IFERROR(INDEX(Map!$C$2:$C$400,MATCH($A507,Map!$A$2:$A$400,0)),"⚠ UNMAPPED"))</f>
        <v/>
      </c>
      <c r="H507" s="18" t="str">
        <f>IF($A507="","",IFERROR(INDEX(Map!$D$2:$D$400,MATCH($A507,Map!$A$2:$A$400,0)),"⚠ UNMAPPED"))</f>
        <v/>
      </c>
      <c r="I507" s="18" t="str">
        <f>IF($A507="","",IFERROR(INDEX(Map!$E$2:$E$400,MATCH($A507,Map!$A$2:$A$400,0)),"⚠ UNMAPPED"))</f>
        <v/>
      </c>
      <c r="J507" s="18" t="str">
        <f>IF($A507="","",IFERROR(INDEX(Map!$F$2:$F$400,MATCH($A507,Map!$A$2:$A$400,0)),"⚠ UNMAPPED"))</f>
        <v/>
      </c>
    </row>
    <row r="508" spans="7:10" x14ac:dyDescent="0.25">
      <c r="G508" s="18" t="str">
        <f>IF($A508="","",IFERROR(INDEX(Map!$C$2:$C$400,MATCH($A508,Map!$A$2:$A$400,0)),"⚠ UNMAPPED"))</f>
        <v/>
      </c>
      <c r="H508" s="18" t="str">
        <f>IF($A508="","",IFERROR(INDEX(Map!$D$2:$D$400,MATCH($A508,Map!$A$2:$A$400,0)),"⚠ UNMAPPED"))</f>
        <v/>
      </c>
      <c r="I508" s="18" t="str">
        <f>IF($A508="","",IFERROR(INDEX(Map!$E$2:$E$400,MATCH($A508,Map!$A$2:$A$400,0)),"⚠ UNMAPPED"))</f>
        <v/>
      </c>
      <c r="J508" s="18" t="str">
        <f>IF($A508="","",IFERROR(INDEX(Map!$F$2:$F$400,MATCH($A508,Map!$A$2:$A$400,0)),"⚠ UNMAPPED"))</f>
        <v/>
      </c>
    </row>
    <row r="509" spans="7:10" x14ac:dyDescent="0.25">
      <c r="G509" s="18" t="str">
        <f>IF($A509="","",IFERROR(INDEX(Map!$C$2:$C$400,MATCH($A509,Map!$A$2:$A$400,0)),"⚠ UNMAPPED"))</f>
        <v/>
      </c>
      <c r="H509" s="18" t="str">
        <f>IF($A509="","",IFERROR(INDEX(Map!$D$2:$D$400,MATCH($A509,Map!$A$2:$A$400,0)),"⚠ UNMAPPED"))</f>
        <v/>
      </c>
      <c r="I509" s="18" t="str">
        <f>IF($A509="","",IFERROR(INDEX(Map!$E$2:$E$400,MATCH($A509,Map!$A$2:$A$400,0)),"⚠ UNMAPPED"))</f>
        <v/>
      </c>
      <c r="J509" s="18" t="str">
        <f>IF($A509="","",IFERROR(INDEX(Map!$F$2:$F$400,MATCH($A509,Map!$A$2:$A$400,0)),"⚠ UNMAPPED"))</f>
        <v/>
      </c>
    </row>
    <row r="510" spans="7:10" x14ac:dyDescent="0.25">
      <c r="G510" s="18" t="str">
        <f>IF($A510="","",IFERROR(INDEX(Map!$C$2:$C$400,MATCH($A510,Map!$A$2:$A$400,0)),"⚠ UNMAPPED"))</f>
        <v/>
      </c>
      <c r="H510" s="18" t="str">
        <f>IF($A510="","",IFERROR(INDEX(Map!$D$2:$D$400,MATCH($A510,Map!$A$2:$A$400,0)),"⚠ UNMAPPED"))</f>
        <v/>
      </c>
      <c r="I510" s="18" t="str">
        <f>IF($A510="","",IFERROR(INDEX(Map!$E$2:$E$400,MATCH($A510,Map!$A$2:$A$400,0)),"⚠ UNMAPPED"))</f>
        <v/>
      </c>
      <c r="J510" s="18" t="str">
        <f>IF($A510="","",IFERROR(INDEX(Map!$F$2:$F$400,MATCH($A510,Map!$A$2:$A$400,0)),"⚠ UNMAPPED"))</f>
        <v/>
      </c>
    </row>
    <row r="511" spans="7:10" x14ac:dyDescent="0.25">
      <c r="G511" s="18" t="str">
        <f>IF($A511="","",IFERROR(INDEX(Map!$C$2:$C$400,MATCH($A511,Map!$A$2:$A$400,0)),"⚠ UNMAPPED"))</f>
        <v/>
      </c>
      <c r="H511" s="18" t="str">
        <f>IF($A511="","",IFERROR(INDEX(Map!$D$2:$D$400,MATCH($A511,Map!$A$2:$A$400,0)),"⚠ UNMAPPED"))</f>
        <v/>
      </c>
      <c r="I511" s="18" t="str">
        <f>IF($A511="","",IFERROR(INDEX(Map!$E$2:$E$400,MATCH($A511,Map!$A$2:$A$400,0)),"⚠ UNMAPPED"))</f>
        <v/>
      </c>
      <c r="J511" s="18" t="str">
        <f>IF($A511="","",IFERROR(INDEX(Map!$F$2:$F$400,MATCH($A511,Map!$A$2:$A$400,0)),"⚠ UNMAPPED"))</f>
        <v/>
      </c>
    </row>
    <row r="512" spans="7:10" x14ac:dyDescent="0.25">
      <c r="G512" s="18" t="str">
        <f>IF($A512="","",IFERROR(INDEX(Map!$C$2:$C$400,MATCH($A512,Map!$A$2:$A$400,0)),"⚠ UNMAPPED"))</f>
        <v/>
      </c>
      <c r="H512" s="18" t="str">
        <f>IF($A512="","",IFERROR(INDEX(Map!$D$2:$D$400,MATCH($A512,Map!$A$2:$A$400,0)),"⚠ UNMAPPED"))</f>
        <v/>
      </c>
      <c r="I512" s="18" t="str">
        <f>IF($A512="","",IFERROR(INDEX(Map!$E$2:$E$400,MATCH($A512,Map!$A$2:$A$400,0)),"⚠ UNMAPPED"))</f>
        <v/>
      </c>
      <c r="J512" s="18" t="str">
        <f>IF($A512="","",IFERROR(INDEX(Map!$F$2:$F$400,MATCH($A512,Map!$A$2:$A$400,0)),"⚠ UNMAPPED"))</f>
        <v/>
      </c>
    </row>
    <row r="513" spans="7:10" x14ac:dyDescent="0.25">
      <c r="G513" s="18" t="str">
        <f>IF($A513="","",IFERROR(INDEX(Map!$C$2:$C$400,MATCH($A513,Map!$A$2:$A$400,0)),"⚠ UNMAPPED"))</f>
        <v/>
      </c>
      <c r="H513" s="18" t="str">
        <f>IF($A513="","",IFERROR(INDEX(Map!$D$2:$D$400,MATCH($A513,Map!$A$2:$A$400,0)),"⚠ UNMAPPED"))</f>
        <v/>
      </c>
      <c r="I513" s="18" t="str">
        <f>IF($A513="","",IFERROR(INDEX(Map!$E$2:$E$400,MATCH($A513,Map!$A$2:$A$400,0)),"⚠ UNMAPPED"))</f>
        <v/>
      </c>
      <c r="J513" s="18" t="str">
        <f>IF($A513="","",IFERROR(INDEX(Map!$F$2:$F$400,MATCH($A513,Map!$A$2:$A$400,0)),"⚠ UNMAPPED"))</f>
        <v/>
      </c>
    </row>
    <row r="514" spans="7:10" x14ac:dyDescent="0.25">
      <c r="G514" s="18" t="str">
        <f>IF($A514="","",IFERROR(INDEX(Map!$C$2:$C$400,MATCH($A514,Map!$A$2:$A$400,0)),"⚠ UNMAPPED"))</f>
        <v/>
      </c>
      <c r="H514" s="18" t="str">
        <f>IF($A514="","",IFERROR(INDEX(Map!$D$2:$D$400,MATCH($A514,Map!$A$2:$A$400,0)),"⚠ UNMAPPED"))</f>
        <v/>
      </c>
      <c r="I514" s="18" t="str">
        <f>IF($A514="","",IFERROR(INDEX(Map!$E$2:$E$400,MATCH($A514,Map!$A$2:$A$400,0)),"⚠ UNMAPPED"))</f>
        <v/>
      </c>
      <c r="J514" s="18" t="str">
        <f>IF($A514="","",IFERROR(INDEX(Map!$F$2:$F$400,MATCH($A514,Map!$A$2:$A$400,0)),"⚠ UNMAPPED"))</f>
        <v/>
      </c>
    </row>
    <row r="515" spans="7:10" x14ac:dyDescent="0.25">
      <c r="G515" s="18" t="str">
        <f>IF($A515="","",IFERROR(INDEX(Map!$C$2:$C$400,MATCH($A515,Map!$A$2:$A$400,0)),"⚠ UNMAPPED"))</f>
        <v/>
      </c>
      <c r="H515" s="18" t="str">
        <f>IF($A515="","",IFERROR(INDEX(Map!$D$2:$D$400,MATCH($A515,Map!$A$2:$A$400,0)),"⚠ UNMAPPED"))</f>
        <v/>
      </c>
      <c r="I515" s="18" t="str">
        <f>IF($A515="","",IFERROR(INDEX(Map!$E$2:$E$400,MATCH($A515,Map!$A$2:$A$400,0)),"⚠ UNMAPPED"))</f>
        <v/>
      </c>
      <c r="J515" s="18" t="str">
        <f>IF($A515="","",IFERROR(INDEX(Map!$F$2:$F$400,MATCH($A515,Map!$A$2:$A$400,0)),"⚠ UNMAPPED"))</f>
        <v/>
      </c>
    </row>
    <row r="516" spans="7:10" x14ac:dyDescent="0.25">
      <c r="G516" s="18" t="str">
        <f>IF($A516="","",IFERROR(INDEX(Map!$C$2:$C$400,MATCH($A516,Map!$A$2:$A$400,0)),"⚠ UNMAPPED"))</f>
        <v/>
      </c>
      <c r="H516" s="18" t="str">
        <f>IF($A516="","",IFERROR(INDEX(Map!$D$2:$D$400,MATCH($A516,Map!$A$2:$A$400,0)),"⚠ UNMAPPED"))</f>
        <v/>
      </c>
      <c r="I516" s="18" t="str">
        <f>IF($A516="","",IFERROR(INDEX(Map!$E$2:$E$400,MATCH($A516,Map!$A$2:$A$400,0)),"⚠ UNMAPPED"))</f>
        <v/>
      </c>
      <c r="J516" s="18" t="str">
        <f>IF($A516="","",IFERROR(INDEX(Map!$F$2:$F$400,MATCH($A516,Map!$A$2:$A$400,0)),"⚠ UNMAPPED"))</f>
        <v/>
      </c>
    </row>
    <row r="517" spans="7:10" x14ac:dyDescent="0.25">
      <c r="G517" s="18" t="str">
        <f>IF($A517="","",IFERROR(INDEX(Map!$C$2:$C$400,MATCH($A517,Map!$A$2:$A$400,0)),"⚠ UNMAPPED"))</f>
        <v/>
      </c>
      <c r="H517" s="18" t="str">
        <f>IF($A517="","",IFERROR(INDEX(Map!$D$2:$D$400,MATCH($A517,Map!$A$2:$A$400,0)),"⚠ UNMAPPED"))</f>
        <v/>
      </c>
      <c r="I517" s="18" t="str">
        <f>IF($A517="","",IFERROR(INDEX(Map!$E$2:$E$400,MATCH($A517,Map!$A$2:$A$400,0)),"⚠ UNMAPPED"))</f>
        <v/>
      </c>
      <c r="J517" s="18" t="str">
        <f>IF($A517="","",IFERROR(INDEX(Map!$F$2:$F$400,MATCH($A517,Map!$A$2:$A$400,0)),"⚠ UNMAPPED"))</f>
        <v/>
      </c>
    </row>
    <row r="518" spans="7:10" x14ac:dyDescent="0.25">
      <c r="G518" s="18" t="str">
        <f>IF($A518="","",IFERROR(INDEX(Map!$C$2:$C$400,MATCH($A518,Map!$A$2:$A$400,0)),"⚠ UNMAPPED"))</f>
        <v/>
      </c>
      <c r="H518" s="18" t="str">
        <f>IF($A518="","",IFERROR(INDEX(Map!$D$2:$D$400,MATCH($A518,Map!$A$2:$A$400,0)),"⚠ UNMAPPED"))</f>
        <v/>
      </c>
      <c r="I518" s="18" t="str">
        <f>IF($A518="","",IFERROR(INDEX(Map!$E$2:$E$400,MATCH($A518,Map!$A$2:$A$400,0)),"⚠ UNMAPPED"))</f>
        <v/>
      </c>
      <c r="J518" s="18" t="str">
        <f>IF($A518="","",IFERROR(INDEX(Map!$F$2:$F$400,MATCH($A518,Map!$A$2:$A$400,0)),"⚠ UNMAPPED"))</f>
        <v/>
      </c>
    </row>
    <row r="519" spans="7:10" x14ac:dyDescent="0.25">
      <c r="G519" s="18" t="str">
        <f>IF($A519="","",IFERROR(INDEX(Map!$C$2:$C$400,MATCH($A519,Map!$A$2:$A$400,0)),"⚠ UNMAPPED"))</f>
        <v/>
      </c>
      <c r="H519" s="18" t="str">
        <f>IF($A519="","",IFERROR(INDEX(Map!$D$2:$D$400,MATCH($A519,Map!$A$2:$A$400,0)),"⚠ UNMAPPED"))</f>
        <v/>
      </c>
      <c r="I519" s="18" t="str">
        <f>IF($A519="","",IFERROR(INDEX(Map!$E$2:$E$400,MATCH($A519,Map!$A$2:$A$400,0)),"⚠ UNMAPPED"))</f>
        <v/>
      </c>
      <c r="J519" s="18" t="str">
        <f>IF($A519="","",IFERROR(INDEX(Map!$F$2:$F$400,MATCH($A519,Map!$A$2:$A$400,0)),"⚠ UNMAPPED"))</f>
        <v/>
      </c>
    </row>
    <row r="520" spans="7:10" x14ac:dyDescent="0.25">
      <c r="G520" s="18" t="str">
        <f>IF($A520="","",IFERROR(INDEX(Map!$C$2:$C$400,MATCH($A520,Map!$A$2:$A$400,0)),"⚠ UNMAPPED"))</f>
        <v/>
      </c>
      <c r="H520" s="18" t="str">
        <f>IF($A520="","",IFERROR(INDEX(Map!$D$2:$D$400,MATCH($A520,Map!$A$2:$A$400,0)),"⚠ UNMAPPED"))</f>
        <v/>
      </c>
      <c r="I520" s="18" t="str">
        <f>IF($A520="","",IFERROR(INDEX(Map!$E$2:$E$400,MATCH($A520,Map!$A$2:$A$400,0)),"⚠ UNMAPPED"))</f>
        <v/>
      </c>
      <c r="J520" s="18" t="str">
        <f>IF($A520="","",IFERROR(INDEX(Map!$F$2:$F$400,MATCH($A520,Map!$A$2:$A$400,0)),"⚠ UNMAPPED"))</f>
        <v/>
      </c>
    </row>
    <row r="521" spans="7:10" x14ac:dyDescent="0.25">
      <c r="G521" s="18" t="str">
        <f>IF($A521="","",IFERROR(INDEX(Map!$C$2:$C$400,MATCH($A521,Map!$A$2:$A$400,0)),"⚠ UNMAPPED"))</f>
        <v/>
      </c>
      <c r="H521" s="18" t="str">
        <f>IF($A521="","",IFERROR(INDEX(Map!$D$2:$D$400,MATCH($A521,Map!$A$2:$A$400,0)),"⚠ UNMAPPED"))</f>
        <v/>
      </c>
      <c r="I521" s="18" t="str">
        <f>IF($A521="","",IFERROR(INDEX(Map!$E$2:$E$400,MATCH($A521,Map!$A$2:$A$400,0)),"⚠ UNMAPPED"))</f>
        <v/>
      </c>
      <c r="J521" s="18" t="str">
        <f>IF($A521="","",IFERROR(INDEX(Map!$F$2:$F$400,MATCH($A521,Map!$A$2:$A$400,0)),"⚠ UNMAPPED"))</f>
        <v/>
      </c>
    </row>
    <row r="522" spans="7:10" x14ac:dyDescent="0.25">
      <c r="G522" s="18" t="str">
        <f>IF($A522="","",IFERROR(INDEX(Map!$C$2:$C$400,MATCH($A522,Map!$A$2:$A$400,0)),"⚠ UNMAPPED"))</f>
        <v/>
      </c>
      <c r="H522" s="18" t="str">
        <f>IF($A522="","",IFERROR(INDEX(Map!$D$2:$D$400,MATCH($A522,Map!$A$2:$A$400,0)),"⚠ UNMAPPED"))</f>
        <v/>
      </c>
      <c r="I522" s="18" t="str">
        <f>IF($A522="","",IFERROR(INDEX(Map!$E$2:$E$400,MATCH($A522,Map!$A$2:$A$400,0)),"⚠ UNMAPPED"))</f>
        <v/>
      </c>
      <c r="J522" s="18" t="str">
        <f>IF($A522="","",IFERROR(INDEX(Map!$F$2:$F$400,MATCH($A522,Map!$A$2:$A$400,0)),"⚠ UNMAPPED"))</f>
        <v/>
      </c>
    </row>
    <row r="523" spans="7:10" x14ac:dyDescent="0.25">
      <c r="G523" s="18" t="str">
        <f>IF($A523="","",IFERROR(INDEX(Map!$C$2:$C$400,MATCH($A523,Map!$A$2:$A$400,0)),"⚠ UNMAPPED"))</f>
        <v/>
      </c>
      <c r="H523" s="18" t="str">
        <f>IF($A523="","",IFERROR(INDEX(Map!$D$2:$D$400,MATCH($A523,Map!$A$2:$A$400,0)),"⚠ UNMAPPED"))</f>
        <v/>
      </c>
      <c r="I523" s="18" t="str">
        <f>IF($A523="","",IFERROR(INDEX(Map!$E$2:$E$400,MATCH($A523,Map!$A$2:$A$400,0)),"⚠ UNMAPPED"))</f>
        <v/>
      </c>
      <c r="J523" s="18" t="str">
        <f>IF($A523="","",IFERROR(INDEX(Map!$F$2:$F$400,MATCH($A523,Map!$A$2:$A$400,0)),"⚠ UNMAPPED"))</f>
        <v/>
      </c>
    </row>
    <row r="524" spans="7:10" x14ac:dyDescent="0.25">
      <c r="G524" s="18" t="str">
        <f>IF($A524="","",IFERROR(INDEX(Map!$C$2:$C$400,MATCH($A524,Map!$A$2:$A$400,0)),"⚠ UNMAPPED"))</f>
        <v/>
      </c>
      <c r="H524" s="18" t="str">
        <f>IF($A524="","",IFERROR(INDEX(Map!$D$2:$D$400,MATCH($A524,Map!$A$2:$A$400,0)),"⚠ UNMAPPED"))</f>
        <v/>
      </c>
      <c r="I524" s="18" t="str">
        <f>IF($A524="","",IFERROR(INDEX(Map!$E$2:$E$400,MATCH($A524,Map!$A$2:$A$400,0)),"⚠ UNMAPPED"))</f>
        <v/>
      </c>
      <c r="J524" s="18" t="str">
        <f>IF($A524="","",IFERROR(INDEX(Map!$F$2:$F$400,MATCH($A524,Map!$A$2:$A$400,0)),"⚠ UNMAPPED"))</f>
        <v/>
      </c>
    </row>
    <row r="525" spans="7:10" x14ac:dyDescent="0.25">
      <c r="G525" s="18" t="str">
        <f>IF($A525="","",IFERROR(INDEX(Map!$C$2:$C$400,MATCH($A525,Map!$A$2:$A$400,0)),"⚠ UNMAPPED"))</f>
        <v/>
      </c>
      <c r="H525" s="18" t="str">
        <f>IF($A525="","",IFERROR(INDEX(Map!$D$2:$D$400,MATCH($A525,Map!$A$2:$A$400,0)),"⚠ UNMAPPED"))</f>
        <v/>
      </c>
      <c r="I525" s="18" t="str">
        <f>IF($A525="","",IFERROR(INDEX(Map!$E$2:$E$400,MATCH($A525,Map!$A$2:$A$400,0)),"⚠ UNMAPPED"))</f>
        <v/>
      </c>
      <c r="J525" s="18" t="str">
        <f>IF($A525="","",IFERROR(INDEX(Map!$F$2:$F$400,MATCH($A525,Map!$A$2:$A$400,0)),"⚠ UNMAPPED"))</f>
        <v/>
      </c>
    </row>
    <row r="526" spans="7:10" x14ac:dyDescent="0.25">
      <c r="G526" s="18" t="str">
        <f>IF($A526="","",IFERROR(INDEX(Map!$C$2:$C$400,MATCH($A526,Map!$A$2:$A$400,0)),"⚠ UNMAPPED"))</f>
        <v/>
      </c>
      <c r="H526" s="18" t="str">
        <f>IF($A526="","",IFERROR(INDEX(Map!$D$2:$D$400,MATCH($A526,Map!$A$2:$A$400,0)),"⚠ UNMAPPED"))</f>
        <v/>
      </c>
      <c r="I526" s="18" t="str">
        <f>IF($A526="","",IFERROR(INDEX(Map!$E$2:$E$400,MATCH($A526,Map!$A$2:$A$400,0)),"⚠ UNMAPPED"))</f>
        <v/>
      </c>
      <c r="J526" s="18" t="str">
        <f>IF($A526="","",IFERROR(INDEX(Map!$F$2:$F$400,MATCH($A526,Map!$A$2:$A$400,0)),"⚠ UNMAPPED"))</f>
        <v/>
      </c>
    </row>
    <row r="527" spans="7:10" x14ac:dyDescent="0.25">
      <c r="G527" s="18" t="str">
        <f>IF($A527="","",IFERROR(INDEX(Map!$C$2:$C$400,MATCH($A527,Map!$A$2:$A$400,0)),"⚠ UNMAPPED"))</f>
        <v/>
      </c>
      <c r="H527" s="18" t="str">
        <f>IF($A527="","",IFERROR(INDEX(Map!$D$2:$D$400,MATCH($A527,Map!$A$2:$A$400,0)),"⚠ UNMAPPED"))</f>
        <v/>
      </c>
      <c r="I527" s="18" t="str">
        <f>IF($A527="","",IFERROR(INDEX(Map!$E$2:$E$400,MATCH($A527,Map!$A$2:$A$400,0)),"⚠ UNMAPPED"))</f>
        <v/>
      </c>
      <c r="J527" s="18" t="str">
        <f>IF($A527="","",IFERROR(INDEX(Map!$F$2:$F$400,MATCH($A527,Map!$A$2:$A$400,0)),"⚠ UNMAPPED"))</f>
        <v/>
      </c>
    </row>
    <row r="528" spans="7:10" x14ac:dyDescent="0.25">
      <c r="G528" s="18" t="str">
        <f>IF($A528="","",IFERROR(INDEX(Map!$C$2:$C$400,MATCH($A528,Map!$A$2:$A$400,0)),"⚠ UNMAPPED"))</f>
        <v/>
      </c>
      <c r="H528" s="18" t="str">
        <f>IF($A528="","",IFERROR(INDEX(Map!$D$2:$D$400,MATCH($A528,Map!$A$2:$A$400,0)),"⚠ UNMAPPED"))</f>
        <v/>
      </c>
      <c r="I528" s="18" t="str">
        <f>IF($A528="","",IFERROR(INDEX(Map!$E$2:$E$400,MATCH($A528,Map!$A$2:$A$400,0)),"⚠ UNMAPPED"))</f>
        <v/>
      </c>
      <c r="J528" s="18" t="str">
        <f>IF($A528="","",IFERROR(INDEX(Map!$F$2:$F$400,MATCH($A528,Map!$A$2:$A$400,0)),"⚠ UNMAPPED"))</f>
        <v/>
      </c>
    </row>
    <row r="529" spans="7:10" x14ac:dyDescent="0.25">
      <c r="G529" s="18" t="str">
        <f>IF($A529="","",IFERROR(INDEX(Map!$C$2:$C$400,MATCH($A529,Map!$A$2:$A$400,0)),"⚠ UNMAPPED"))</f>
        <v/>
      </c>
      <c r="H529" s="18" t="str">
        <f>IF($A529="","",IFERROR(INDEX(Map!$D$2:$D$400,MATCH($A529,Map!$A$2:$A$400,0)),"⚠ UNMAPPED"))</f>
        <v/>
      </c>
      <c r="I529" s="18" t="str">
        <f>IF($A529="","",IFERROR(INDEX(Map!$E$2:$E$400,MATCH($A529,Map!$A$2:$A$400,0)),"⚠ UNMAPPED"))</f>
        <v/>
      </c>
      <c r="J529" s="18" t="str">
        <f>IF($A529="","",IFERROR(INDEX(Map!$F$2:$F$400,MATCH($A529,Map!$A$2:$A$400,0)),"⚠ UNMAPPED"))</f>
        <v/>
      </c>
    </row>
    <row r="530" spans="7:10" x14ac:dyDescent="0.25">
      <c r="G530" s="18" t="str">
        <f>IF($A530="","",IFERROR(INDEX(Map!$C$2:$C$400,MATCH($A530,Map!$A$2:$A$400,0)),"⚠ UNMAPPED"))</f>
        <v/>
      </c>
      <c r="H530" s="18" t="str">
        <f>IF($A530="","",IFERROR(INDEX(Map!$D$2:$D$400,MATCH($A530,Map!$A$2:$A$400,0)),"⚠ UNMAPPED"))</f>
        <v/>
      </c>
      <c r="I530" s="18" t="str">
        <f>IF($A530="","",IFERROR(INDEX(Map!$E$2:$E$400,MATCH($A530,Map!$A$2:$A$400,0)),"⚠ UNMAPPED"))</f>
        <v/>
      </c>
      <c r="J530" s="18" t="str">
        <f>IF($A530="","",IFERROR(INDEX(Map!$F$2:$F$400,MATCH($A530,Map!$A$2:$A$400,0)),"⚠ UNMAPPED"))</f>
        <v/>
      </c>
    </row>
    <row r="531" spans="7:10" x14ac:dyDescent="0.25">
      <c r="G531" s="18" t="str">
        <f>IF($A531="","",IFERROR(INDEX(Map!$C$2:$C$400,MATCH($A531,Map!$A$2:$A$400,0)),"⚠ UNMAPPED"))</f>
        <v/>
      </c>
      <c r="H531" s="18" t="str">
        <f>IF($A531="","",IFERROR(INDEX(Map!$D$2:$D$400,MATCH($A531,Map!$A$2:$A$400,0)),"⚠ UNMAPPED"))</f>
        <v/>
      </c>
      <c r="I531" s="18" t="str">
        <f>IF($A531="","",IFERROR(INDEX(Map!$E$2:$E$400,MATCH($A531,Map!$A$2:$A$400,0)),"⚠ UNMAPPED"))</f>
        <v/>
      </c>
      <c r="J531" s="18" t="str">
        <f>IF($A531="","",IFERROR(INDEX(Map!$F$2:$F$400,MATCH($A531,Map!$A$2:$A$400,0)),"⚠ UNMAPPED"))</f>
        <v/>
      </c>
    </row>
    <row r="532" spans="7:10" x14ac:dyDescent="0.25">
      <c r="G532" s="18" t="str">
        <f>IF($A532="","",IFERROR(INDEX(Map!$C$2:$C$400,MATCH($A532,Map!$A$2:$A$400,0)),"⚠ UNMAPPED"))</f>
        <v/>
      </c>
      <c r="H532" s="18" t="str">
        <f>IF($A532="","",IFERROR(INDEX(Map!$D$2:$D$400,MATCH($A532,Map!$A$2:$A$400,0)),"⚠ UNMAPPED"))</f>
        <v/>
      </c>
      <c r="I532" s="18" t="str">
        <f>IF($A532="","",IFERROR(INDEX(Map!$E$2:$E$400,MATCH($A532,Map!$A$2:$A$400,0)),"⚠ UNMAPPED"))</f>
        <v/>
      </c>
      <c r="J532" s="18" t="str">
        <f>IF($A532="","",IFERROR(INDEX(Map!$F$2:$F$400,MATCH($A532,Map!$A$2:$A$400,0)),"⚠ UNMAPPED"))</f>
        <v/>
      </c>
    </row>
    <row r="533" spans="7:10" x14ac:dyDescent="0.25">
      <c r="G533" s="18" t="str">
        <f>IF($A533="","",IFERROR(INDEX(Map!$C$2:$C$400,MATCH($A533,Map!$A$2:$A$400,0)),"⚠ UNMAPPED"))</f>
        <v/>
      </c>
      <c r="H533" s="18" t="str">
        <f>IF($A533="","",IFERROR(INDEX(Map!$D$2:$D$400,MATCH($A533,Map!$A$2:$A$400,0)),"⚠ UNMAPPED"))</f>
        <v/>
      </c>
      <c r="I533" s="18" t="str">
        <f>IF($A533="","",IFERROR(INDEX(Map!$E$2:$E$400,MATCH($A533,Map!$A$2:$A$400,0)),"⚠ UNMAPPED"))</f>
        <v/>
      </c>
      <c r="J533" s="18" t="str">
        <f>IF($A533="","",IFERROR(INDEX(Map!$F$2:$F$400,MATCH($A533,Map!$A$2:$A$400,0)),"⚠ UNMAPPED"))</f>
        <v/>
      </c>
    </row>
    <row r="534" spans="7:10" x14ac:dyDescent="0.25">
      <c r="G534" s="18" t="str">
        <f>IF($A534="","",IFERROR(INDEX(Map!$C$2:$C$400,MATCH($A534,Map!$A$2:$A$400,0)),"⚠ UNMAPPED"))</f>
        <v/>
      </c>
      <c r="H534" s="18" t="str">
        <f>IF($A534="","",IFERROR(INDEX(Map!$D$2:$D$400,MATCH($A534,Map!$A$2:$A$400,0)),"⚠ UNMAPPED"))</f>
        <v/>
      </c>
      <c r="I534" s="18" t="str">
        <f>IF($A534="","",IFERROR(INDEX(Map!$E$2:$E$400,MATCH($A534,Map!$A$2:$A$400,0)),"⚠ UNMAPPED"))</f>
        <v/>
      </c>
      <c r="J534" s="18" t="str">
        <f>IF($A534="","",IFERROR(INDEX(Map!$F$2:$F$400,MATCH($A534,Map!$A$2:$A$400,0)),"⚠ UNMAPPED"))</f>
        <v/>
      </c>
    </row>
    <row r="535" spans="7:10" x14ac:dyDescent="0.25">
      <c r="G535" s="18" t="str">
        <f>IF($A535="","",IFERROR(INDEX(Map!$C$2:$C$400,MATCH($A535,Map!$A$2:$A$400,0)),"⚠ UNMAPPED"))</f>
        <v/>
      </c>
      <c r="H535" s="18" t="str">
        <f>IF($A535="","",IFERROR(INDEX(Map!$D$2:$D$400,MATCH($A535,Map!$A$2:$A$400,0)),"⚠ UNMAPPED"))</f>
        <v/>
      </c>
      <c r="I535" s="18" t="str">
        <f>IF($A535="","",IFERROR(INDEX(Map!$E$2:$E$400,MATCH($A535,Map!$A$2:$A$400,0)),"⚠ UNMAPPED"))</f>
        <v/>
      </c>
      <c r="J535" s="18" t="str">
        <f>IF($A535="","",IFERROR(INDEX(Map!$F$2:$F$400,MATCH($A535,Map!$A$2:$A$400,0)),"⚠ UNMAPPED"))</f>
        <v/>
      </c>
    </row>
    <row r="536" spans="7:10" x14ac:dyDescent="0.25">
      <c r="G536" s="18" t="str">
        <f>IF($A536="","",IFERROR(INDEX(Map!$C$2:$C$400,MATCH($A536,Map!$A$2:$A$400,0)),"⚠ UNMAPPED"))</f>
        <v/>
      </c>
      <c r="H536" s="18" t="str">
        <f>IF($A536="","",IFERROR(INDEX(Map!$D$2:$D$400,MATCH($A536,Map!$A$2:$A$400,0)),"⚠ UNMAPPED"))</f>
        <v/>
      </c>
      <c r="I536" s="18" t="str">
        <f>IF($A536="","",IFERROR(INDEX(Map!$E$2:$E$400,MATCH($A536,Map!$A$2:$A$400,0)),"⚠ UNMAPPED"))</f>
        <v/>
      </c>
      <c r="J536" s="18" t="str">
        <f>IF($A536="","",IFERROR(INDEX(Map!$F$2:$F$400,MATCH($A536,Map!$A$2:$A$400,0)),"⚠ UNMAPPED"))</f>
        <v/>
      </c>
    </row>
    <row r="537" spans="7:10" x14ac:dyDescent="0.25">
      <c r="G537" s="18" t="str">
        <f>IF($A537="","",IFERROR(INDEX(Map!$C$2:$C$400,MATCH($A537,Map!$A$2:$A$400,0)),"⚠ UNMAPPED"))</f>
        <v/>
      </c>
      <c r="H537" s="18" t="str">
        <f>IF($A537="","",IFERROR(INDEX(Map!$D$2:$D$400,MATCH($A537,Map!$A$2:$A$400,0)),"⚠ UNMAPPED"))</f>
        <v/>
      </c>
      <c r="I537" s="18" t="str">
        <f>IF($A537="","",IFERROR(INDEX(Map!$E$2:$E$400,MATCH($A537,Map!$A$2:$A$400,0)),"⚠ UNMAPPED"))</f>
        <v/>
      </c>
      <c r="J537" s="18" t="str">
        <f>IF($A537="","",IFERROR(INDEX(Map!$F$2:$F$400,MATCH($A537,Map!$A$2:$A$400,0)),"⚠ UNMAPPED"))</f>
        <v/>
      </c>
    </row>
    <row r="538" spans="7:10" x14ac:dyDescent="0.25">
      <c r="G538" s="18" t="str">
        <f>IF($A538="","",IFERROR(INDEX(Map!$C$2:$C$400,MATCH($A538,Map!$A$2:$A$400,0)),"⚠ UNMAPPED"))</f>
        <v/>
      </c>
      <c r="H538" s="18" t="str">
        <f>IF($A538="","",IFERROR(INDEX(Map!$D$2:$D$400,MATCH($A538,Map!$A$2:$A$400,0)),"⚠ UNMAPPED"))</f>
        <v/>
      </c>
      <c r="I538" s="18" t="str">
        <f>IF($A538="","",IFERROR(INDEX(Map!$E$2:$E$400,MATCH($A538,Map!$A$2:$A$400,0)),"⚠ UNMAPPED"))</f>
        <v/>
      </c>
      <c r="J538" s="18" t="str">
        <f>IF($A538="","",IFERROR(INDEX(Map!$F$2:$F$400,MATCH($A538,Map!$A$2:$A$400,0)),"⚠ UNMAPPED"))</f>
        <v/>
      </c>
    </row>
    <row r="539" spans="7:10" x14ac:dyDescent="0.25">
      <c r="G539" s="18" t="str">
        <f>IF($A539="","",IFERROR(INDEX(Map!$C$2:$C$400,MATCH($A539,Map!$A$2:$A$400,0)),"⚠ UNMAPPED"))</f>
        <v/>
      </c>
      <c r="H539" s="18" t="str">
        <f>IF($A539="","",IFERROR(INDEX(Map!$D$2:$D$400,MATCH($A539,Map!$A$2:$A$400,0)),"⚠ UNMAPPED"))</f>
        <v/>
      </c>
      <c r="I539" s="18" t="str">
        <f>IF($A539="","",IFERROR(INDEX(Map!$E$2:$E$400,MATCH($A539,Map!$A$2:$A$400,0)),"⚠ UNMAPPED"))</f>
        <v/>
      </c>
      <c r="J539" s="18" t="str">
        <f>IF($A539="","",IFERROR(INDEX(Map!$F$2:$F$400,MATCH($A539,Map!$A$2:$A$400,0)),"⚠ UNMAPPED"))</f>
        <v/>
      </c>
    </row>
    <row r="540" spans="7:10" x14ac:dyDescent="0.25">
      <c r="G540" s="18" t="str">
        <f>IF($A540="","",IFERROR(INDEX(Map!$C$2:$C$400,MATCH($A540,Map!$A$2:$A$400,0)),"⚠ UNMAPPED"))</f>
        <v/>
      </c>
      <c r="H540" s="18" t="str">
        <f>IF($A540="","",IFERROR(INDEX(Map!$D$2:$D$400,MATCH($A540,Map!$A$2:$A$400,0)),"⚠ UNMAPPED"))</f>
        <v/>
      </c>
      <c r="I540" s="18" t="str">
        <f>IF($A540="","",IFERROR(INDEX(Map!$E$2:$E$400,MATCH($A540,Map!$A$2:$A$400,0)),"⚠ UNMAPPED"))</f>
        <v/>
      </c>
      <c r="J540" s="18" t="str">
        <f>IF($A540="","",IFERROR(INDEX(Map!$F$2:$F$400,MATCH($A540,Map!$A$2:$A$400,0)),"⚠ UNMAPPED"))</f>
        <v/>
      </c>
    </row>
    <row r="541" spans="7:10" x14ac:dyDescent="0.25">
      <c r="G541" s="18" t="str">
        <f>IF($A541="","",IFERROR(INDEX(Map!$C$2:$C$400,MATCH($A541,Map!$A$2:$A$400,0)),"⚠ UNMAPPED"))</f>
        <v/>
      </c>
      <c r="H541" s="18" t="str">
        <f>IF($A541="","",IFERROR(INDEX(Map!$D$2:$D$400,MATCH($A541,Map!$A$2:$A$400,0)),"⚠ UNMAPPED"))</f>
        <v/>
      </c>
      <c r="I541" s="18" t="str">
        <f>IF($A541="","",IFERROR(INDEX(Map!$E$2:$E$400,MATCH($A541,Map!$A$2:$A$400,0)),"⚠ UNMAPPED"))</f>
        <v/>
      </c>
      <c r="J541" s="18" t="str">
        <f>IF($A541="","",IFERROR(INDEX(Map!$F$2:$F$400,MATCH($A541,Map!$A$2:$A$400,0)),"⚠ UNMAPPED"))</f>
        <v/>
      </c>
    </row>
    <row r="542" spans="7:10" x14ac:dyDescent="0.25">
      <c r="G542" s="18" t="str">
        <f>IF($A542="","",IFERROR(INDEX(Map!$C$2:$C$400,MATCH($A542,Map!$A$2:$A$400,0)),"⚠ UNMAPPED"))</f>
        <v/>
      </c>
      <c r="H542" s="18" t="str">
        <f>IF($A542="","",IFERROR(INDEX(Map!$D$2:$D$400,MATCH($A542,Map!$A$2:$A$400,0)),"⚠ UNMAPPED"))</f>
        <v/>
      </c>
      <c r="I542" s="18" t="str">
        <f>IF($A542="","",IFERROR(INDEX(Map!$E$2:$E$400,MATCH($A542,Map!$A$2:$A$400,0)),"⚠ UNMAPPED"))</f>
        <v/>
      </c>
      <c r="J542" s="18" t="str">
        <f>IF($A542="","",IFERROR(INDEX(Map!$F$2:$F$400,MATCH($A542,Map!$A$2:$A$400,0)),"⚠ UNMAPPED"))</f>
        <v/>
      </c>
    </row>
    <row r="543" spans="7:10" x14ac:dyDescent="0.25">
      <c r="G543" s="18" t="str">
        <f>IF($A543="","",IFERROR(INDEX(Map!$C$2:$C$400,MATCH($A543,Map!$A$2:$A$400,0)),"⚠ UNMAPPED"))</f>
        <v/>
      </c>
      <c r="H543" s="18" t="str">
        <f>IF($A543="","",IFERROR(INDEX(Map!$D$2:$D$400,MATCH($A543,Map!$A$2:$A$400,0)),"⚠ UNMAPPED"))</f>
        <v/>
      </c>
      <c r="I543" s="18" t="str">
        <f>IF($A543="","",IFERROR(INDEX(Map!$E$2:$E$400,MATCH($A543,Map!$A$2:$A$400,0)),"⚠ UNMAPPED"))</f>
        <v/>
      </c>
      <c r="J543" s="18" t="str">
        <f>IF($A543="","",IFERROR(INDEX(Map!$F$2:$F$400,MATCH($A543,Map!$A$2:$A$400,0)),"⚠ UNMAPPED"))</f>
        <v/>
      </c>
    </row>
    <row r="544" spans="7:10" x14ac:dyDescent="0.25">
      <c r="G544" s="18" t="str">
        <f>IF($A544="","",IFERROR(INDEX(Map!$C$2:$C$400,MATCH($A544,Map!$A$2:$A$400,0)),"⚠ UNMAPPED"))</f>
        <v/>
      </c>
      <c r="H544" s="18" t="str">
        <f>IF($A544="","",IFERROR(INDEX(Map!$D$2:$D$400,MATCH($A544,Map!$A$2:$A$400,0)),"⚠ UNMAPPED"))</f>
        <v/>
      </c>
      <c r="I544" s="18" t="str">
        <f>IF($A544="","",IFERROR(INDEX(Map!$E$2:$E$400,MATCH($A544,Map!$A$2:$A$400,0)),"⚠ UNMAPPED"))</f>
        <v/>
      </c>
      <c r="J544" s="18" t="str">
        <f>IF($A544="","",IFERROR(INDEX(Map!$F$2:$F$400,MATCH($A544,Map!$A$2:$A$400,0)),"⚠ UNMAPPED"))</f>
        <v/>
      </c>
    </row>
    <row r="545" spans="7:10" x14ac:dyDescent="0.25">
      <c r="G545" s="18" t="str">
        <f>IF($A545="","",IFERROR(INDEX(Map!$C$2:$C$400,MATCH($A545,Map!$A$2:$A$400,0)),"⚠ UNMAPPED"))</f>
        <v/>
      </c>
      <c r="H545" s="18" t="str">
        <f>IF($A545="","",IFERROR(INDEX(Map!$D$2:$D$400,MATCH($A545,Map!$A$2:$A$400,0)),"⚠ UNMAPPED"))</f>
        <v/>
      </c>
      <c r="I545" s="18" t="str">
        <f>IF($A545="","",IFERROR(INDEX(Map!$E$2:$E$400,MATCH($A545,Map!$A$2:$A$400,0)),"⚠ UNMAPPED"))</f>
        <v/>
      </c>
      <c r="J545" s="18" t="str">
        <f>IF($A545="","",IFERROR(INDEX(Map!$F$2:$F$400,MATCH($A545,Map!$A$2:$A$400,0)),"⚠ UNMAPPED"))</f>
        <v/>
      </c>
    </row>
    <row r="546" spans="7:10" x14ac:dyDescent="0.25">
      <c r="G546" s="18" t="str">
        <f>IF($A546="","",IFERROR(INDEX(Map!$C$2:$C$400,MATCH($A546,Map!$A$2:$A$400,0)),"⚠ UNMAPPED"))</f>
        <v/>
      </c>
      <c r="H546" s="18" t="str">
        <f>IF($A546="","",IFERROR(INDEX(Map!$D$2:$D$400,MATCH($A546,Map!$A$2:$A$400,0)),"⚠ UNMAPPED"))</f>
        <v/>
      </c>
      <c r="I546" s="18" t="str">
        <f>IF($A546="","",IFERROR(INDEX(Map!$E$2:$E$400,MATCH($A546,Map!$A$2:$A$400,0)),"⚠ UNMAPPED"))</f>
        <v/>
      </c>
      <c r="J546" s="18" t="str">
        <f>IF($A546="","",IFERROR(INDEX(Map!$F$2:$F$400,MATCH($A546,Map!$A$2:$A$400,0)),"⚠ UNMAPPED"))</f>
        <v/>
      </c>
    </row>
    <row r="547" spans="7:10" x14ac:dyDescent="0.25">
      <c r="G547" s="18" t="str">
        <f>IF($A547="","",IFERROR(INDEX(Map!$C$2:$C$400,MATCH($A547,Map!$A$2:$A$400,0)),"⚠ UNMAPPED"))</f>
        <v/>
      </c>
      <c r="H547" s="18" t="str">
        <f>IF($A547="","",IFERROR(INDEX(Map!$D$2:$D$400,MATCH($A547,Map!$A$2:$A$400,0)),"⚠ UNMAPPED"))</f>
        <v/>
      </c>
      <c r="I547" s="18" t="str">
        <f>IF($A547="","",IFERROR(INDEX(Map!$E$2:$E$400,MATCH($A547,Map!$A$2:$A$400,0)),"⚠ UNMAPPED"))</f>
        <v/>
      </c>
      <c r="J547" s="18" t="str">
        <f>IF($A547="","",IFERROR(INDEX(Map!$F$2:$F$400,MATCH($A547,Map!$A$2:$A$400,0)),"⚠ UNMAPPED"))</f>
        <v/>
      </c>
    </row>
    <row r="548" spans="7:10" x14ac:dyDescent="0.25">
      <c r="G548" s="18" t="str">
        <f>IF($A548="","",IFERROR(INDEX(Map!$C$2:$C$400,MATCH($A548,Map!$A$2:$A$400,0)),"⚠ UNMAPPED"))</f>
        <v/>
      </c>
      <c r="H548" s="18" t="str">
        <f>IF($A548="","",IFERROR(INDEX(Map!$D$2:$D$400,MATCH($A548,Map!$A$2:$A$400,0)),"⚠ UNMAPPED"))</f>
        <v/>
      </c>
      <c r="I548" s="18" t="str">
        <f>IF($A548="","",IFERROR(INDEX(Map!$E$2:$E$400,MATCH($A548,Map!$A$2:$A$400,0)),"⚠ UNMAPPED"))</f>
        <v/>
      </c>
      <c r="J548" s="18" t="str">
        <f>IF($A548="","",IFERROR(INDEX(Map!$F$2:$F$400,MATCH($A548,Map!$A$2:$A$400,0)),"⚠ UNMAPPED"))</f>
        <v/>
      </c>
    </row>
    <row r="549" spans="7:10" x14ac:dyDescent="0.25">
      <c r="G549" s="18" t="str">
        <f>IF($A549="","",IFERROR(INDEX(Map!$C$2:$C$400,MATCH($A549,Map!$A$2:$A$400,0)),"⚠ UNMAPPED"))</f>
        <v/>
      </c>
      <c r="H549" s="18" t="str">
        <f>IF($A549="","",IFERROR(INDEX(Map!$D$2:$D$400,MATCH($A549,Map!$A$2:$A$400,0)),"⚠ UNMAPPED"))</f>
        <v/>
      </c>
      <c r="I549" s="18" t="str">
        <f>IF($A549="","",IFERROR(INDEX(Map!$E$2:$E$400,MATCH($A549,Map!$A$2:$A$400,0)),"⚠ UNMAPPED"))</f>
        <v/>
      </c>
      <c r="J549" s="18" t="str">
        <f>IF($A549="","",IFERROR(INDEX(Map!$F$2:$F$400,MATCH($A549,Map!$A$2:$A$400,0)),"⚠ UNMAPPED"))</f>
        <v/>
      </c>
    </row>
    <row r="550" spans="7:10" x14ac:dyDescent="0.25">
      <c r="G550" s="18" t="str">
        <f>IF($A550="","",IFERROR(INDEX(Map!$C$2:$C$400,MATCH($A550,Map!$A$2:$A$400,0)),"⚠ UNMAPPED"))</f>
        <v/>
      </c>
      <c r="H550" s="18" t="str">
        <f>IF($A550="","",IFERROR(INDEX(Map!$D$2:$D$400,MATCH($A550,Map!$A$2:$A$400,0)),"⚠ UNMAPPED"))</f>
        <v/>
      </c>
      <c r="I550" s="18" t="str">
        <f>IF($A550="","",IFERROR(INDEX(Map!$E$2:$E$400,MATCH($A550,Map!$A$2:$A$400,0)),"⚠ UNMAPPED"))</f>
        <v/>
      </c>
      <c r="J550" s="18" t="str">
        <f>IF($A550="","",IFERROR(INDEX(Map!$F$2:$F$400,MATCH($A550,Map!$A$2:$A$400,0)),"⚠ UNMAPPED"))</f>
        <v/>
      </c>
    </row>
    <row r="551" spans="7:10" x14ac:dyDescent="0.25">
      <c r="G551" s="18" t="str">
        <f>IF($A551="","",IFERROR(INDEX(Map!$C$2:$C$400,MATCH($A551,Map!$A$2:$A$400,0)),"⚠ UNMAPPED"))</f>
        <v/>
      </c>
      <c r="H551" s="18" t="str">
        <f>IF($A551="","",IFERROR(INDEX(Map!$D$2:$D$400,MATCH($A551,Map!$A$2:$A$400,0)),"⚠ UNMAPPED"))</f>
        <v/>
      </c>
      <c r="I551" s="18" t="str">
        <f>IF($A551="","",IFERROR(INDEX(Map!$E$2:$E$400,MATCH($A551,Map!$A$2:$A$400,0)),"⚠ UNMAPPED"))</f>
        <v/>
      </c>
      <c r="J551" s="18" t="str">
        <f>IF($A551="","",IFERROR(INDEX(Map!$F$2:$F$400,MATCH($A551,Map!$A$2:$A$400,0)),"⚠ UNMAPPED"))</f>
        <v/>
      </c>
    </row>
    <row r="552" spans="7:10" x14ac:dyDescent="0.25">
      <c r="G552" s="18" t="str">
        <f>IF($A552="","",IFERROR(INDEX(Map!$C$2:$C$400,MATCH($A552,Map!$A$2:$A$400,0)),"⚠ UNMAPPED"))</f>
        <v/>
      </c>
      <c r="H552" s="18" t="str">
        <f>IF($A552="","",IFERROR(INDEX(Map!$D$2:$D$400,MATCH($A552,Map!$A$2:$A$400,0)),"⚠ UNMAPPED"))</f>
        <v/>
      </c>
      <c r="I552" s="18" t="str">
        <f>IF($A552="","",IFERROR(INDEX(Map!$E$2:$E$400,MATCH($A552,Map!$A$2:$A$400,0)),"⚠ UNMAPPED"))</f>
        <v/>
      </c>
      <c r="J552" s="18" t="str">
        <f>IF($A552="","",IFERROR(INDEX(Map!$F$2:$F$400,MATCH($A552,Map!$A$2:$A$400,0)),"⚠ UNMAPPED"))</f>
        <v/>
      </c>
    </row>
    <row r="553" spans="7:10" x14ac:dyDescent="0.25">
      <c r="G553" s="18" t="str">
        <f>IF($A553="","",IFERROR(INDEX(Map!$C$2:$C$400,MATCH($A553,Map!$A$2:$A$400,0)),"⚠ UNMAPPED"))</f>
        <v/>
      </c>
      <c r="H553" s="18" t="str">
        <f>IF($A553="","",IFERROR(INDEX(Map!$D$2:$D$400,MATCH($A553,Map!$A$2:$A$400,0)),"⚠ UNMAPPED"))</f>
        <v/>
      </c>
      <c r="I553" s="18" t="str">
        <f>IF($A553="","",IFERROR(INDEX(Map!$E$2:$E$400,MATCH($A553,Map!$A$2:$A$400,0)),"⚠ UNMAPPED"))</f>
        <v/>
      </c>
      <c r="J553" s="18" t="str">
        <f>IF($A553="","",IFERROR(INDEX(Map!$F$2:$F$400,MATCH($A553,Map!$A$2:$A$400,0)),"⚠ UNMAPPED"))</f>
        <v/>
      </c>
    </row>
    <row r="554" spans="7:10" x14ac:dyDescent="0.25">
      <c r="G554" s="18" t="str">
        <f>IF($A554="","",IFERROR(INDEX(Map!$C$2:$C$400,MATCH($A554,Map!$A$2:$A$400,0)),"⚠ UNMAPPED"))</f>
        <v/>
      </c>
      <c r="H554" s="18" t="str">
        <f>IF($A554="","",IFERROR(INDEX(Map!$D$2:$D$400,MATCH($A554,Map!$A$2:$A$400,0)),"⚠ UNMAPPED"))</f>
        <v/>
      </c>
      <c r="I554" s="18" t="str">
        <f>IF($A554="","",IFERROR(INDEX(Map!$E$2:$E$400,MATCH($A554,Map!$A$2:$A$400,0)),"⚠ UNMAPPED"))</f>
        <v/>
      </c>
      <c r="J554" s="18" t="str">
        <f>IF($A554="","",IFERROR(INDEX(Map!$F$2:$F$400,MATCH($A554,Map!$A$2:$A$400,0)),"⚠ UNMAPPED"))</f>
        <v/>
      </c>
    </row>
    <row r="555" spans="7:10" x14ac:dyDescent="0.25">
      <c r="G555" s="18" t="str">
        <f>IF($A555="","",IFERROR(INDEX(Map!$C$2:$C$400,MATCH($A555,Map!$A$2:$A$400,0)),"⚠ UNMAPPED"))</f>
        <v/>
      </c>
      <c r="H555" s="18" t="str">
        <f>IF($A555="","",IFERROR(INDEX(Map!$D$2:$D$400,MATCH($A555,Map!$A$2:$A$400,0)),"⚠ UNMAPPED"))</f>
        <v/>
      </c>
      <c r="I555" s="18" t="str">
        <f>IF($A555="","",IFERROR(INDEX(Map!$E$2:$E$400,MATCH($A555,Map!$A$2:$A$400,0)),"⚠ UNMAPPED"))</f>
        <v/>
      </c>
      <c r="J555" s="18" t="str">
        <f>IF($A555="","",IFERROR(INDEX(Map!$F$2:$F$400,MATCH($A555,Map!$A$2:$A$400,0)),"⚠ UNMAPPED"))</f>
        <v/>
      </c>
    </row>
    <row r="556" spans="7:10" x14ac:dyDescent="0.25">
      <c r="G556" s="18" t="str">
        <f>IF($A556="","",IFERROR(INDEX(Map!$C$2:$C$400,MATCH($A556,Map!$A$2:$A$400,0)),"⚠ UNMAPPED"))</f>
        <v/>
      </c>
      <c r="H556" s="18" t="str">
        <f>IF($A556="","",IFERROR(INDEX(Map!$D$2:$D$400,MATCH($A556,Map!$A$2:$A$400,0)),"⚠ UNMAPPED"))</f>
        <v/>
      </c>
      <c r="I556" s="18" t="str">
        <f>IF($A556="","",IFERROR(INDEX(Map!$E$2:$E$400,MATCH($A556,Map!$A$2:$A$400,0)),"⚠ UNMAPPED"))</f>
        <v/>
      </c>
      <c r="J556" s="18" t="str">
        <f>IF($A556="","",IFERROR(INDEX(Map!$F$2:$F$400,MATCH($A556,Map!$A$2:$A$400,0)),"⚠ UNMAPPED"))</f>
        <v/>
      </c>
    </row>
    <row r="557" spans="7:10" x14ac:dyDescent="0.25">
      <c r="G557" s="18" t="str">
        <f>IF($A557="","",IFERROR(INDEX(Map!$C$2:$C$400,MATCH($A557,Map!$A$2:$A$400,0)),"⚠ UNMAPPED"))</f>
        <v/>
      </c>
      <c r="H557" s="18" t="str">
        <f>IF($A557="","",IFERROR(INDEX(Map!$D$2:$D$400,MATCH($A557,Map!$A$2:$A$400,0)),"⚠ UNMAPPED"))</f>
        <v/>
      </c>
      <c r="I557" s="18" t="str">
        <f>IF($A557="","",IFERROR(INDEX(Map!$E$2:$E$400,MATCH($A557,Map!$A$2:$A$400,0)),"⚠ UNMAPPED"))</f>
        <v/>
      </c>
      <c r="J557" s="18" t="str">
        <f>IF($A557="","",IFERROR(INDEX(Map!$F$2:$F$400,MATCH($A557,Map!$A$2:$A$400,0)),"⚠ UNMAPPED"))</f>
        <v/>
      </c>
    </row>
    <row r="558" spans="7:10" x14ac:dyDescent="0.25">
      <c r="G558" s="18" t="str">
        <f>IF($A558="","",IFERROR(INDEX(Map!$C$2:$C$400,MATCH($A558,Map!$A$2:$A$400,0)),"⚠ UNMAPPED"))</f>
        <v/>
      </c>
      <c r="H558" s="18" t="str">
        <f>IF($A558="","",IFERROR(INDEX(Map!$D$2:$D$400,MATCH($A558,Map!$A$2:$A$400,0)),"⚠ UNMAPPED"))</f>
        <v/>
      </c>
      <c r="I558" s="18" t="str">
        <f>IF($A558="","",IFERROR(INDEX(Map!$E$2:$E$400,MATCH($A558,Map!$A$2:$A$400,0)),"⚠ UNMAPPED"))</f>
        <v/>
      </c>
      <c r="J558" s="18" t="str">
        <f>IF($A558="","",IFERROR(INDEX(Map!$F$2:$F$400,MATCH($A558,Map!$A$2:$A$400,0)),"⚠ UNMAPPED"))</f>
        <v/>
      </c>
    </row>
    <row r="559" spans="7:10" x14ac:dyDescent="0.25">
      <c r="G559" s="18" t="str">
        <f>IF($A559="","",IFERROR(INDEX(Map!$C$2:$C$400,MATCH($A559,Map!$A$2:$A$400,0)),"⚠ UNMAPPED"))</f>
        <v/>
      </c>
      <c r="H559" s="18" t="str">
        <f>IF($A559="","",IFERROR(INDEX(Map!$D$2:$D$400,MATCH($A559,Map!$A$2:$A$400,0)),"⚠ UNMAPPED"))</f>
        <v/>
      </c>
      <c r="I559" s="18" t="str">
        <f>IF($A559="","",IFERROR(INDEX(Map!$E$2:$E$400,MATCH($A559,Map!$A$2:$A$400,0)),"⚠ UNMAPPED"))</f>
        <v/>
      </c>
      <c r="J559" s="18" t="str">
        <f>IF($A559="","",IFERROR(INDEX(Map!$F$2:$F$400,MATCH($A559,Map!$A$2:$A$400,0)),"⚠ UNMAPPED"))</f>
        <v/>
      </c>
    </row>
    <row r="560" spans="7:10" x14ac:dyDescent="0.25">
      <c r="G560" s="18" t="str">
        <f>IF($A560="","",IFERROR(INDEX(Map!$C$2:$C$400,MATCH($A560,Map!$A$2:$A$400,0)),"⚠ UNMAPPED"))</f>
        <v/>
      </c>
      <c r="H560" s="18" t="str">
        <f>IF($A560="","",IFERROR(INDEX(Map!$D$2:$D$400,MATCH($A560,Map!$A$2:$A$400,0)),"⚠ UNMAPPED"))</f>
        <v/>
      </c>
      <c r="I560" s="18" t="str">
        <f>IF($A560="","",IFERROR(INDEX(Map!$E$2:$E$400,MATCH($A560,Map!$A$2:$A$400,0)),"⚠ UNMAPPED"))</f>
        <v/>
      </c>
      <c r="J560" s="18" t="str">
        <f>IF($A560="","",IFERROR(INDEX(Map!$F$2:$F$400,MATCH($A560,Map!$A$2:$A$400,0)),"⚠ UNMAPPED"))</f>
        <v/>
      </c>
    </row>
    <row r="561" spans="7:10" x14ac:dyDescent="0.25">
      <c r="G561" s="18" t="str">
        <f>IF($A561="","",IFERROR(INDEX(Map!$C$2:$C$400,MATCH($A561,Map!$A$2:$A$400,0)),"⚠ UNMAPPED"))</f>
        <v/>
      </c>
      <c r="H561" s="18" t="str">
        <f>IF($A561="","",IFERROR(INDEX(Map!$D$2:$D$400,MATCH($A561,Map!$A$2:$A$400,0)),"⚠ UNMAPPED"))</f>
        <v/>
      </c>
      <c r="I561" s="18" t="str">
        <f>IF($A561="","",IFERROR(INDEX(Map!$E$2:$E$400,MATCH($A561,Map!$A$2:$A$400,0)),"⚠ UNMAPPED"))</f>
        <v/>
      </c>
      <c r="J561" s="18" t="str">
        <f>IF($A561="","",IFERROR(INDEX(Map!$F$2:$F$400,MATCH($A561,Map!$A$2:$A$400,0)),"⚠ UNMAPPED"))</f>
        <v/>
      </c>
    </row>
    <row r="562" spans="7:10" x14ac:dyDescent="0.25">
      <c r="G562" s="18" t="str">
        <f>IF($A562="","",IFERROR(INDEX(Map!$C$2:$C$400,MATCH($A562,Map!$A$2:$A$400,0)),"⚠ UNMAPPED"))</f>
        <v/>
      </c>
      <c r="H562" s="18" t="str">
        <f>IF($A562="","",IFERROR(INDEX(Map!$D$2:$D$400,MATCH($A562,Map!$A$2:$A$400,0)),"⚠ UNMAPPED"))</f>
        <v/>
      </c>
      <c r="I562" s="18" t="str">
        <f>IF($A562="","",IFERROR(INDEX(Map!$E$2:$E$400,MATCH($A562,Map!$A$2:$A$400,0)),"⚠ UNMAPPED"))</f>
        <v/>
      </c>
      <c r="J562" s="18" t="str">
        <f>IF($A562="","",IFERROR(INDEX(Map!$F$2:$F$400,MATCH($A562,Map!$A$2:$A$400,0)),"⚠ UNMAPPED"))</f>
        <v/>
      </c>
    </row>
    <row r="563" spans="7:10" x14ac:dyDescent="0.25">
      <c r="G563" s="18" t="str">
        <f>IF($A563="","",IFERROR(INDEX(Map!$C$2:$C$400,MATCH($A563,Map!$A$2:$A$400,0)),"⚠ UNMAPPED"))</f>
        <v/>
      </c>
      <c r="H563" s="18" t="str">
        <f>IF($A563="","",IFERROR(INDEX(Map!$D$2:$D$400,MATCH($A563,Map!$A$2:$A$400,0)),"⚠ UNMAPPED"))</f>
        <v/>
      </c>
      <c r="I563" s="18" t="str">
        <f>IF($A563="","",IFERROR(INDEX(Map!$E$2:$E$400,MATCH($A563,Map!$A$2:$A$400,0)),"⚠ UNMAPPED"))</f>
        <v/>
      </c>
      <c r="J563" s="18" t="str">
        <f>IF($A563="","",IFERROR(INDEX(Map!$F$2:$F$400,MATCH($A563,Map!$A$2:$A$400,0)),"⚠ UNMAPPED"))</f>
        <v/>
      </c>
    </row>
    <row r="564" spans="7:10" x14ac:dyDescent="0.25">
      <c r="G564" s="18" t="str">
        <f>IF($A564="","",IFERROR(INDEX(Map!$C$2:$C$400,MATCH($A564,Map!$A$2:$A$400,0)),"⚠ UNMAPPED"))</f>
        <v/>
      </c>
      <c r="H564" s="18" t="str">
        <f>IF($A564="","",IFERROR(INDEX(Map!$D$2:$D$400,MATCH($A564,Map!$A$2:$A$400,0)),"⚠ UNMAPPED"))</f>
        <v/>
      </c>
      <c r="I564" s="18" t="str">
        <f>IF($A564="","",IFERROR(INDEX(Map!$E$2:$E$400,MATCH($A564,Map!$A$2:$A$400,0)),"⚠ UNMAPPED"))</f>
        <v/>
      </c>
      <c r="J564" s="18" t="str">
        <f>IF($A564="","",IFERROR(INDEX(Map!$F$2:$F$400,MATCH($A564,Map!$A$2:$A$400,0)),"⚠ UNMAPPED"))</f>
        <v/>
      </c>
    </row>
    <row r="565" spans="7:10" x14ac:dyDescent="0.25">
      <c r="G565" s="18" t="str">
        <f>IF($A565="","",IFERROR(INDEX(Map!$C$2:$C$400,MATCH($A565,Map!$A$2:$A$400,0)),"⚠ UNMAPPED"))</f>
        <v/>
      </c>
      <c r="H565" s="18" t="str">
        <f>IF($A565="","",IFERROR(INDEX(Map!$D$2:$D$400,MATCH($A565,Map!$A$2:$A$400,0)),"⚠ UNMAPPED"))</f>
        <v/>
      </c>
      <c r="I565" s="18" t="str">
        <f>IF($A565="","",IFERROR(INDEX(Map!$E$2:$E$400,MATCH($A565,Map!$A$2:$A$400,0)),"⚠ UNMAPPED"))</f>
        <v/>
      </c>
      <c r="J565" s="18" t="str">
        <f>IF($A565="","",IFERROR(INDEX(Map!$F$2:$F$400,MATCH($A565,Map!$A$2:$A$400,0)),"⚠ UNMAPPED"))</f>
        <v/>
      </c>
    </row>
    <row r="566" spans="7:10" x14ac:dyDescent="0.25">
      <c r="G566" s="18" t="str">
        <f>IF($A566="","",IFERROR(INDEX(Map!$C$2:$C$400,MATCH($A566,Map!$A$2:$A$400,0)),"⚠ UNMAPPED"))</f>
        <v/>
      </c>
      <c r="H566" s="18" t="str">
        <f>IF($A566="","",IFERROR(INDEX(Map!$D$2:$D$400,MATCH($A566,Map!$A$2:$A$400,0)),"⚠ UNMAPPED"))</f>
        <v/>
      </c>
      <c r="I566" s="18" t="str">
        <f>IF($A566="","",IFERROR(INDEX(Map!$E$2:$E$400,MATCH($A566,Map!$A$2:$A$400,0)),"⚠ UNMAPPED"))</f>
        <v/>
      </c>
      <c r="J566" s="18" t="str">
        <f>IF($A566="","",IFERROR(INDEX(Map!$F$2:$F$400,MATCH($A566,Map!$A$2:$A$400,0)),"⚠ UNMAPPED"))</f>
        <v/>
      </c>
    </row>
    <row r="567" spans="7:10" x14ac:dyDescent="0.25">
      <c r="G567" s="18" t="str">
        <f>IF($A567="","",IFERROR(INDEX(Map!$C$2:$C$400,MATCH($A567,Map!$A$2:$A$400,0)),"⚠ UNMAPPED"))</f>
        <v/>
      </c>
      <c r="H567" s="18" t="str">
        <f>IF($A567="","",IFERROR(INDEX(Map!$D$2:$D$400,MATCH($A567,Map!$A$2:$A$400,0)),"⚠ UNMAPPED"))</f>
        <v/>
      </c>
      <c r="I567" s="18" t="str">
        <f>IF($A567="","",IFERROR(INDEX(Map!$E$2:$E$400,MATCH($A567,Map!$A$2:$A$400,0)),"⚠ UNMAPPED"))</f>
        <v/>
      </c>
      <c r="J567" s="18" t="str">
        <f>IF($A567="","",IFERROR(INDEX(Map!$F$2:$F$400,MATCH($A567,Map!$A$2:$A$400,0)),"⚠ UNMAPPED"))</f>
        <v/>
      </c>
    </row>
    <row r="568" spans="7:10" x14ac:dyDescent="0.25">
      <c r="G568" s="18" t="str">
        <f>IF($A568="","",IFERROR(INDEX(Map!$C$2:$C$400,MATCH($A568,Map!$A$2:$A$400,0)),"⚠ UNMAPPED"))</f>
        <v/>
      </c>
      <c r="H568" s="18" t="str">
        <f>IF($A568="","",IFERROR(INDEX(Map!$D$2:$D$400,MATCH($A568,Map!$A$2:$A$400,0)),"⚠ UNMAPPED"))</f>
        <v/>
      </c>
      <c r="I568" s="18" t="str">
        <f>IF($A568="","",IFERROR(INDEX(Map!$E$2:$E$400,MATCH($A568,Map!$A$2:$A$400,0)),"⚠ UNMAPPED"))</f>
        <v/>
      </c>
      <c r="J568" s="18" t="str">
        <f>IF($A568="","",IFERROR(INDEX(Map!$F$2:$F$400,MATCH($A568,Map!$A$2:$A$400,0)),"⚠ UNMAPPED"))</f>
        <v/>
      </c>
    </row>
    <row r="569" spans="7:10" x14ac:dyDescent="0.25">
      <c r="G569" s="18" t="str">
        <f>IF($A569="","",IFERROR(INDEX(Map!$C$2:$C$400,MATCH($A569,Map!$A$2:$A$400,0)),"⚠ UNMAPPED"))</f>
        <v/>
      </c>
      <c r="H569" s="18" t="str">
        <f>IF($A569="","",IFERROR(INDEX(Map!$D$2:$D$400,MATCH($A569,Map!$A$2:$A$400,0)),"⚠ UNMAPPED"))</f>
        <v/>
      </c>
      <c r="I569" s="18" t="str">
        <f>IF($A569="","",IFERROR(INDEX(Map!$E$2:$E$400,MATCH($A569,Map!$A$2:$A$400,0)),"⚠ UNMAPPED"))</f>
        <v/>
      </c>
      <c r="J569" s="18" t="str">
        <f>IF($A569="","",IFERROR(INDEX(Map!$F$2:$F$400,MATCH($A569,Map!$A$2:$A$400,0)),"⚠ UNMAPPED"))</f>
        <v/>
      </c>
    </row>
    <row r="570" spans="7:10" x14ac:dyDescent="0.25">
      <c r="G570" s="18" t="str">
        <f>IF($A570="","",IFERROR(INDEX(Map!$C$2:$C$400,MATCH($A570,Map!$A$2:$A$400,0)),"⚠ UNMAPPED"))</f>
        <v/>
      </c>
      <c r="H570" s="18" t="str">
        <f>IF($A570="","",IFERROR(INDEX(Map!$D$2:$D$400,MATCH($A570,Map!$A$2:$A$400,0)),"⚠ UNMAPPED"))</f>
        <v/>
      </c>
      <c r="I570" s="18" t="str">
        <f>IF($A570="","",IFERROR(INDEX(Map!$E$2:$E$400,MATCH($A570,Map!$A$2:$A$400,0)),"⚠ UNMAPPED"))</f>
        <v/>
      </c>
      <c r="J570" s="18" t="str">
        <f>IF($A570="","",IFERROR(INDEX(Map!$F$2:$F$400,MATCH($A570,Map!$A$2:$A$400,0)),"⚠ UNMAPPED"))</f>
        <v/>
      </c>
    </row>
    <row r="571" spans="7:10" x14ac:dyDescent="0.25">
      <c r="G571" s="18" t="str">
        <f>IF($A571="","",IFERROR(INDEX(Map!$C$2:$C$400,MATCH($A571,Map!$A$2:$A$400,0)),"⚠ UNMAPPED"))</f>
        <v/>
      </c>
      <c r="H571" s="18" t="str">
        <f>IF($A571="","",IFERROR(INDEX(Map!$D$2:$D$400,MATCH($A571,Map!$A$2:$A$400,0)),"⚠ UNMAPPED"))</f>
        <v/>
      </c>
      <c r="I571" s="18" t="str">
        <f>IF($A571="","",IFERROR(INDEX(Map!$E$2:$E$400,MATCH($A571,Map!$A$2:$A$400,0)),"⚠ UNMAPPED"))</f>
        <v/>
      </c>
      <c r="J571" s="18" t="str">
        <f>IF($A571="","",IFERROR(INDEX(Map!$F$2:$F$400,MATCH($A571,Map!$A$2:$A$400,0)),"⚠ UNMAPPED"))</f>
        <v/>
      </c>
    </row>
    <row r="572" spans="7:10" x14ac:dyDescent="0.25">
      <c r="G572" s="18" t="str">
        <f>IF($A572="","",IFERROR(INDEX(Map!$C$2:$C$400,MATCH($A572,Map!$A$2:$A$400,0)),"⚠ UNMAPPED"))</f>
        <v/>
      </c>
      <c r="H572" s="18" t="str">
        <f>IF($A572="","",IFERROR(INDEX(Map!$D$2:$D$400,MATCH($A572,Map!$A$2:$A$400,0)),"⚠ UNMAPPED"))</f>
        <v/>
      </c>
      <c r="I572" s="18" t="str">
        <f>IF($A572="","",IFERROR(INDEX(Map!$E$2:$E$400,MATCH($A572,Map!$A$2:$A$400,0)),"⚠ UNMAPPED"))</f>
        <v/>
      </c>
      <c r="J572" s="18" t="str">
        <f>IF($A572="","",IFERROR(INDEX(Map!$F$2:$F$400,MATCH($A572,Map!$A$2:$A$400,0)),"⚠ UNMAPPED"))</f>
        <v/>
      </c>
    </row>
    <row r="573" spans="7:10" x14ac:dyDescent="0.25">
      <c r="G573" s="18" t="str">
        <f>IF($A573="","",IFERROR(INDEX(Map!$C$2:$C$400,MATCH($A573,Map!$A$2:$A$400,0)),"⚠ UNMAPPED"))</f>
        <v/>
      </c>
      <c r="H573" s="18" t="str">
        <f>IF($A573="","",IFERROR(INDEX(Map!$D$2:$D$400,MATCH($A573,Map!$A$2:$A$400,0)),"⚠ UNMAPPED"))</f>
        <v/>
      </c>
      <c r="I573" s="18" t="str">
        <f>IF($A573="","",IFERROR(INDEX(Map!$E$2:$E$400,MATCH($A573,Map!$A$2:$A$400,0)),"⚠ UNMAPPED"))</f>
        <v/>
      </c>
      <c r="J573" s="18" t="str">
        <f>IF($A573="","",IFERROR(INDEX(Map!$F$2:$F$400,MATCH($A573,Map!$A$2:$A$400,0)),"⚠ UNMAPPED"))</f>
        <v/>
      </c>
    </row>
    <row r="574" spans="7:10" x14ac:dyDescent="0.25">
      <c r="G574" s="18" t="str">
        <f>IF($A574="","",IFERROR(INDEX(Map!$C$2:$C$400,MATCH($A574,Map!$A$2:$A$400,0)),"⚠ UNMAPPED"))</f>
        <v/>
      </c>
      <c r="H574" s="18" t="str">
        <f>IF($A574="","",IFERROR(INDEX(Map!$D$2:$D$400,MATCH($A574,Map!$A$2:$A$400,0)),"⚠ UNMAPPED"))</f>
        <v/>
      </c>
      <c r="I574" s="18" t="str">
        <f>IF($A574="","",IFERROR(INDEX(Map!$E$2:$E$400,MATCH($A574,Map!$A$2:$A$400,0)),"⚠ UNMAPPED"))</f>
        <v/>
      </c>
      <c r="J574" s="18" t="str">
        <f>IF($A574="","",IFERROR(INDEX(Map!$F$2:$F$400,MATCH($A574,Map!$A$2:$A$400,0)),"⚠ UNMAPPED"))</f>
        <v/>
      </c>
    </row>
    <row r="575" spans="7:10" x14ac:dyDescent="0.25">
      <c r="G575" s="18" t="str">
        <f>IF($A575="","",IFERROR(INDEX(Map!$C$2:$C$400,MATCH($A575,Map!$A$2:$A$400,0)),"⚠ UNMAPPED"))</f>
        <v/>
      </c>
      <c r="H575" s="18" t="str">
        <f>IF($A575="","",IFERROR(INDEX(Map!$D$2:$D$400,MATCH($A575,Map!$A$2:$A$400,0)),"⚠ UNMAPPED"))</f>
        <v/>
      </c>
      <c r="I575" s="18" t="str">
        <f>IF($A575="","",IFERROR(INDEX(Map!$E$2:$E$400,MATCH($A575,Map!$A$2:$A$400,0)),"⚠ UNMAPPED"))</f>
        <v/>
      </c>
      <c r="J575" s="18" t="str">
        <f>IF($A575="","",IFERROR(INDEX(Map!$F$2:$F$400,MATCH($A575,Map!$A$2:$A$400,0)),"⚠ UNMAPPED"))</f>
        <v/>
      </c>
    </row>
    <row r="576" spans="7:10" x14ac:dyDescent="0.25">
      <c r="G576" s="18" t="str">
        <f>IF($A576="","",IFERROR(INDEX(Map!$C$2:$C$400,MATCH($A576,Map!$A$2:$A$400,0)),"⚠ UNMAPPED"))</f>
        <v/>
      </c>
      <c r="H576" s="18" t="str">
        <f>IF($A576="","",IFERROR(INDEX(Map!$D$2:$D$400,MATCH($A576,Map!$A$2:$A$400,0)),"⚠ UNMAPPED"))</f>
        <v/>
      </c>
      <c r="I576" s="18" t="str">
        <f>IF($A576="","",IFERROR(INDEX(Map!$E$2:$E$400,MATCH($A576,Map!$A$2:$A$400,0)),"⚠ UNMAPPED"))</f>
        <v/>
      </c>
      <c r="J576" s="18" t="str">
        <f>IF($A576="","",IFERROR(INDEX(Map!$F$2:$F$400,MATCH($A576,Map!$A$2:$A$400,0)),"⚠ UNMAPPED"))</f>
        <v/>
      </c>
    </row>
    <row r="577" spans="7:10" x14ac:dyDescent="0.25">
      <c r="G577" s="18" t="str">
        <f>IF($A577="","",IFERROR(INDEX(Map!$C$2:$C$400,MATCH($A577,Map!$A$2:$A$400,0)),"⚠ UNMAPPED"))</f>
        <v/>
      </c>
      <c r="H577" s="18" t="str">
        <f>IF($A577="","",IFERROR(INDEX(Map!$D$2:$D$400,MATCH($A577,Map!$A$2:$A$400,0)),"⚠ UNMAPPED"))</f>
        <v/>
      </c>
      <c r="I577" s="18" t="str">
        <f>IF($A577="","",IFERROR(INDEX(Map!$E$2:$E$400,MATCH($A577,Map!$A$2:$A$400,0)),"⚠ UNMAPPED"))</f>
        <v/>
      </c>
      <c r="J577" s="18" t="str">
        <f>IF($A577="","",IFERROR(INDEX(Map!$F$2:$F$400,MATCH($A577,Map!$A$2:$A$400,0)),"⚠ UNMAPPED"))</f>
        <v/>
      </c>
    </row>
    <row r="578" spans="7:10" x14ac:dyDescent="0.25">
      <c r="G578" s="18" t="str">
        <f>IF($A578="","",IFERROR(INDEX(Map!$C$2:$C$400,MATCH($A578,Map!$A$2:$A$400,0)),"⚠ UNMAPPED"))</f>
        <v/>
      </c>
      <c r="H578" s="18" t="str">
        <f>IF($A578="","",IFERROR(INDEX(Map!$D$2:$D$400,MATCH($A578,Map!$A$2:$A$400,0)),"⚠ UNMAPPED"))</f>
        <v/>
      </c>
      <c r="I578" s="18" t="str">
        <f>IF($A578="","",IFERROR(INDEX(Map!$E$2:$E$400,MATCH($A578,Map!$A$2:$A$400,0)),"⚠ UNMAPPED"))</f>
        <v/>
      </c>
      <c r="J578" s="18" t="str">
        <f>IF($A578="","",IFERROR(INDEX(Map!$F$2:$F$400,MATCH($A578,Map!$A$2:$A$400,0)),"⚠ UNMAPPED"))</f>
        <v/>
      </c>
    </row>
    <row r="579" spans="7:10" x14ac:dyDescent="0.25">
      <c r="G579" s="18" t="str">
        <f>IF($A579="","",IFERROR(INDEX(Map!$C$2:$C$400,MATCH($A579,Map!$A$2:$A$400,0)),"⚠ UNMAPPED"))</f>
        <v/>
      </c>
      <c r="H579" s="18" t="str">
        <f>IF($A579="","",IFERROR(INDEX(Map!$D$2:$D$400,MATCH($A579,Map!$A$2:$A$400,0)),"⚠ UNMAPPED"))</f>
        <v/>
      </c>
      <c r="I579" s="18" t="str">
        <f>IF($A579="","",IFERROR(INDEX(Map!$E$2:$E$400,MATCH($A579,Map!$A$2:$A$400,0)),"⚠ UNMAPPED"))</f>
        <v/>
      </c>
      <c r="J579" s="18" t="str">
        <f>IF($A579="","",IFERROR(INDEX(Map!$F$2:$F$400,MATCH($A579,Map!$A$2:$A$400,0)),"⚠ UNMAPPED"))</f>
        <v/>
      </c>
    </row>
    <row r="580" spans="7:10" x14ac:dyDescent="0.25">
      <c r="G580" s="18" t="str">
        <f>IF($A580="","",IFERROR(INDEX(Map!$C$2:$C$400,MATCH($A580,Map!$A$2:$A$400,0)),"⚠ UNMAPPED"))</f>
        <v/>
      </c>
      <c r="H580" s="18" t="str">
        <f>IF($A580="","",IFERROR(INDEX(Map!$D$2:$D$400,MATCH($A580,Map!$A$2:$A$400,0)),"⚠ UNMAPPED"))</f>
        <v/>
      </c>
      <c r="I580" s="18" t="str">
        <f>IF($A580="","",IFERROR(INDEX(Map!$E$2:$E$400,MATCH($A580,Map!$A$2:$A$400,0)),"⚠ UNMAPPED"))</f>
        <v/>
      </c>
      <c r="J580" s="18" t="str">
        <f>IF($A580="","",IFERROR(INDEX(Map!$F$2:$F$400,MATCH($A580,Map!$A$2:$A$400,0)),"⚠ UNMAPPED"))</f>
        <v/>
      </c>
    </row>
    <row r="581" spans="7:10" x14ac:dyDescent="0.25">
      <c r="G581" s="18" t="str">
        <f>IF($A581="","",IFERROR(INDEX(Map!$C$2:$C$400,MATCH($A581,Map!$A$2:$A$400,0)),"⚠ UNMAPPED"))</f>
        <v/>
      </c>
      <c r="H581" s="18" t="str">
        <f>IF($A581="","",IFERROR(INDEX(Map!$D$2:$D$400,MATCH($A581,Map!$A$2:$A$400,0)),"⚠ UNMAPPED"))</f>
        <v/>
      </c>
      <c r="I581" s="18" t="str">
        <f>IF($A581="","",IFERROR(INDEX(Map!$E$2:$E$400,MATCH($A581,Map!$A$2:$A$400,0)),"⚠ UNMAPPED"))</f>
        <v/>
      </c>
      <c r="J581" s="18" t="str">
        <f>IF($A581="","",IFERROR(INDEX(Map!$F$2:$F$400,MATCH($A581,Map!$A$2:$A$400,0)),"⚠ UNMAPPED"))</f>
        <v/>
      </c>
    </row>
    <row r="582" spans="7:10" x14ac:dyDescent="0.25">
      <c r="G582" s="18" t="str">
        <f>IF($A582="","",IFERROR(INDEX(Map!$C$2:$C$400,MATCH($A582,Map!$A$2:$A$400,0)),"⚠ UNMAPPED"))</f>
        <v/>
      </c>
      <c r="H582" s="18" t="str">
        <f>IF($A582="","",IFERROR(INDEX(Map!$D$2:$D$400,MATCH($A582,Map!$A$2:$A$400,0)),"⚠ UNMAPPED"))</f>
        <v/>
      </c>
      <c r="I582" s="18" t="str">
        <f>IF($A582="","",IFERROR(INDEX(Map!$E$2:$E$400,MATCH($A582,Map!$A$2:$A$400,0)),"⚠ UNMAPPED"))</f>
        <v/>
      </c>
      <c r="J582" s="18" t="str">
        <f>IF($A582="","",IFERROR(INDEX(Map!$F$2:$F$400,MATCH($A582,Map!$A$2:$A$400,0)),"⚠ UNMAPPED"))</f>
        <v/>
      </c>
    </row>
    <row r="583" spans="7:10" x14ac:dyDescent="0.25">
      <c r="G583" s="18" t="str">
        <f>IF($A583="","",IFERROR(INDEX(Map!$C$2:$C$400,MATCH($A583,Map!$A$2:$A$400,0)),"⚠ UNMAPPED"))</f>
        <v/>
      </c>
      <c r="H583" s="18" t="str">
        <f>IF($A583="","",IFERROR(INDEX(Map!$D$2:$D$400,MATCH($A583,Map!$A$2:$A$400,0)),"⚠ UNMAPPED"))</f>
        <v/>
      </c>
      <c r="I583" s="18" t="str">
        <f>IF($A583="","",IFERROR(INDEX(Map!$E$2:$E$400,MATCH($A583,Map!$A$2:$A$400,0)),"⚠ UNMAPPED"))</f>
        <v/>
      </c>
      <c r="J583" s="18" t="str">
        <f>IF($A583="","",IFERROR(INDEX(Map!$F$2:$F$400,MATCH($A583,Map!$A$2:$A$400,0)),"⚠ UNMAPPED"))</f>
        <v/>
      </c>
    </row>
    <row r="584" spans="7:10" x14ac:dyDescent="0.25">
      <c r="G584" s="18" t="str">
        <f>IF($A584="","",IFERROR(INDEX(Map!$C$2:$C$400,MATCH($A584,Map!$A$2:$A$400,0)),"⚠ UNMAPPED"))</f>
        <v/>
      </c>
      <c r="H584" s="18" t="str">
        <f>IF($A584="","",IFERROR(INDEX(Map!$D$2:$D$400,MATCH($A584,Map!$A$2:$A$400,0)),"⚠ UNMAPPED"))</f>
        <v/>
      </c>
      <c r="I584" s="18" t="str">
        <f>IF($A584="","",IFERROR(INDEX(Map!$E$2:$E$400,MATCH($A584,Map!$A$2:$A$400,0)),"⚠ UNMAPPED"))</f>
        <v/>
      </c>
      <c r="J584" s="18" t="str">
        <f>IF($A584="","",IFERROR(INDEX(Map!$F$2:$F$400,MATCH($A584,Map!$A$2:$A$400,0)),"⚠ UNMAPPED"))</f>
        <v/>
      </c>
    </row>
    <row r="585" spans="7:10" x14ac:dyDescent="0.25">
      <c r="G585" s="18" t="str">
        <f>IF($A585="","",IFERROR(INDEX(Map!$C$2:$C$400,MATCH($A585,Map!$A$2:$A$400,0)),"⚠ UNMAPPED"))</f>
        <v/>
      </c>
      <c r="H585" s="18" t="str">
        <f>IF($A585="","",IFERROR(INDEX(Map!$D$2:$D$400,MATCH($A585,Map!$A$2:$A$400,0)),"⚠ UNMAPPED"))</f>
        <v/>
      </c>
      <c r="I585" s="18" t="str">
        <f>IF($A585="","",IFERROR(INDEX(Map!$E$2:$E$400,MATCH($A585,Map!$A$2:$A$400,0)),"⚠ UNMAPPED"))</f>
        <v/>
      </c>
      <c r="J585" s="18" t="str">
        <f>IF($A585="","",IFERROR(INDEX(Map!$F$2:$F$400,MATCH($A585,Map!$A$2:$A$400,0)),"⚠ UNMAPPED"))</f>
        <v/>
      </c>
    </row>
    <row r="586" spans="7:10" x14ac:dyDescent="0.25">
      <c r="G586" s="18" t="str">
        <f>IF($A586="","",IFERROR(INDEX(Map!$C$2:$C$400,MATCH($A586,Map!$A$2:$A$400,0)),"⚠ UNMAPPED"))</f>
        <v/>
      </c>
      <c r="H586" s="18" t="str">
        <f>IF($A586="","",IFERROR(INDEX(Map!$D$2:$D$400,MATCH($A586,Map!$A$2:$A$400,0)),"⚠ UNMAPPED"))</f>
        <v/>
      </c>
      <c r="I586" s="18" t="str">
        <f>IF($A586="","",IFERROR(INDEX(Map!$E$2:$E$400,MATCH($A586,Map!$A$2:$A$400,0)),"⚠ UNMAPPED"))</f>
        <v/>
      </c>
      <c r="J586" s="18" t="str">
        <f>IF($A586="","",IFERROR(INDEX(Map!$F$2:$F$400,MATCH($A586,Map!$A$2:$A$400,0)),"⚠ UNMAPPED"))</f>
        <v/>
      </c>
    </row>
    <row r="587" spans="7:10" x14ac:dyDescent="0.25">
      <c r="G587" s="18" t="str">
        <f>IF($A587="","",IFERROR(INDEX(Map!$C$2:$C$400,MATCH($A587,Map!$A$2:$A$400,0)),"⚠ UNMAPPED"))</f>
        <v/>
      </c>
      <c r="H587" s="18" t="str">
        <f>IF($A587="","",IFERROR(INDEX(Map!$D$2:$D$400,MATCH($A587,Map!$A$2:$A$400,0)),"⚠ UNMAPPED"))</f>
        <v/>
      </c>
      <c r="I587" s="18" t="str">
        <f>IF($A587="","",IFERROR(INDEX(Map!$E$2:$E$400,MATCH($A587,Map!$A$2:$A$400,0)),"⚠ UNMAPPED"))</f>
        <v/>
      </c>
      <c r="J587" s="18" t="str">
        <f>IF($A587="","",IFERROR(INDEX(Map!$F$2:$F$400,MATCH($A587,Map!$A$2:$A$400,0)),"⚠ UNMAPPED"))</f>
        <v/>
      </c>
    </row>
    <row r="588" spans="7:10" x14ac:dyDescent="0.25">
      <c r="G588" s="18" t="str">
        <f>IF($A588="","",IFERROR(INDEX(Map!$C$2:$C$400,MATCH($A588,Map!$A$2:$A$400,0)),"⚠ UNMAPPED"))</f>
        <v/>
      </c>
      <c r="H588" s="18" t="str">
        <f>IF($A588="","",IFERROR(INDEX(Map!$D$2:$D$400,MATCH($A588,Map!$A$2:$A$400,0)),"⚠ UNMAPPED"))</f>
        <v/>
      </c>
      <c r="I588" s="18" t="str">
        <f>IF($A588="","",IFERROR(INDEX(Map!$E$2:$E$400,MATCH($A588,Map!$A$2:$A$400,0)),"⚠ UNMAPPED"))</f>
        <v/>
      </c>
      <c r="J588" s="18" t="str">
        <f>IF($A588="","",IFERROR(INDEX(Map!$F$2:$F$400,MATCH($A588,Map!$A$2:$A$400,0)),"⚠ UNMAPPED"))</f>
        <v/>
      </c>
    </row>
    <row r="589" spans="7:10" x14ac:dyDescent="0.25">
      <c r="G589" s="18" t="str">
        <f>IF($A589="","",IFERROR(INDEX(Map!$C$2:$C$400,MATCH($A589,Map!$A$2:$A$400,0)),"⚠ UNMAPPED"))</f>
        <v/>
      </c>
      <c r="H589" s="18" t="str">
        <f>IF($A589="","",IFERROR(INDEX(Map!$D$2:$D$400,MATCH($A589,Map!$A$2:$A$400,0)),"⚠ UNMAPPED"))</f>
        <v/>
      </c>
      <c r="I589" s="18" t="str">
        <f>IF($A589="","",IFERROR(INDEX(Map!$E$2:$E$400,MATCH($A589,Map!$A$2:$A$400,0)),"⚠ UNMAPPED"))</f>
        <v/>
      </c>
      <c r="J589" s="18" t="str">
        <f>IF($A589="","",IFERROR(INDEX(Map!$F$2:$F$400,MATCH($A589,Map!$A$2:$A$400,0)),"⚠ UNMAPPED"))</f>
        <v/>
      </c>
    </row>
    <row r="590" spans="7:10" x14ac:dyDescent="0.25">
      <c r="G590" s="18" t="str">
        <f>IF($A590="","",IFERROR(INDEX(Map!$C$2:$C$400,MATCH($A590,Map!$A$2:$A$400,0)),"⚠ UNMAPPED"))</f>
        <v/>
      </c>
      <c r="H590" s="18" t="str">
        <f>IF($A590="","",IFERROR(INDEX(Map!$D$2:$D$400,MATCH($A590,Map!$A$2:$A$400,0)),"⚠ UNMAPPED"))</f>
        <v/>
      </c>
      <c r="I590" s="18" t="str">
        <f>IF($A590="","",IFERROR(INDEX(Map!$E$2:$E$400,MATCH($A590,Map!$A$2:$A$400,0)),"⚠ UNMAPPED"))</f>
        <v/>
      </c>
      <c r="J590" s="18" t="str">
        <f>IF($A590="","",IFERROR(INDEX(Map!$F$2:$F$400,MATCH($A590,Map!$A$2:$A$400,0)),"⚠ UNMAPPED"))</f>
        <v/>
      </c>
    </row>
    <row r="591" spans="7:10" x14ac:dyDescent="0.25">
      <c r="G591" s="18" t="str">
        <f>IF($A591="","",IFERROR(INDEX(Map!$C$2:$C$400,MATCH($A591,Map!$A$2:$A$400,0)),"⚠ UNMAPPED"))</f>
        <v/>
      </c>
      <c r="H591" s="18" t="str">
        <f>IF($A591="","",IFERROR(INDEX(Map!$D$2:$D$400,MATCH($A591,Map!$A$2:$A$400,0)),"⚠ UNMAPPED"))</f>
        <v/>
      </c>
      <c r="I591" s="18" t="str">
        <f>IF($A591="","",IFERROR(INDEX(Map!$E$2:$E$400,MATCH($A591,Map!$A$2:$A$400,0)),"⚠ UNMAPPED"))</f>
        <v/>
      </c>
      <c r="J591" s="18" t="str">
        <f>IF($A591="","",IFERROR(INDEX(Map!$F$2:$F$400,MATCH($A591,Map!$A$2:$A$400,0)),"⚠ UNMAPPED"))</f>
        <v/>
      </c>
    </row>
    <row r="592" spans="7:10" x14ac:dyDescent="0.25">
      <c r="G592" s="18" t="str">
        <f>IF($A592="","",IFERROR(INDEX(Map!$C$2:$C$400,MATCH($A592,Map!$A$2:$A$400,0)),"⚠ UNMAPPED"))</f>
        <v/>
      </c>
      <c r="H592" s="18" t="str">
        <f>IF($A592="","",IFERROR(INDEX(Map!$D$2:$D$400,MATCH($A592,Map!$A$2:$A$400,0)),"⚠ UNMAPPED"))</f>
        <v/>
      </c>
      <c r="I592" s="18" t="str">
        <f>IF($A592="","",IFERROR(INDEX(Map!$E$2:$E$400,MATCH($A592,Map!$A$2:$A$400,0)),"⚠ UNMAPPED"))</f>
        <v/>
      </c>
      <c r="J592" s="18" t="str">
        <f>IF($A592="","",IFERROR(INDEX(Map!$F$2:$F$400,MATCH($A592,Map!$A$2:$A$400,0)),"⚠ UNMAPPED"))</f>
        <v/>
      </c>
    </row>
    <row r="593" spans="7:10" x14ac:dyDescent="0.25">
      <c r="G593" s="18" t="str">
        <f>IF($A593="","",IFERROR(INDEX(Map!$C$2:$C$400,MATCH($A593,Map!$A$2:$A$400,0)),"⚠ UNMAPPED"))</f>
        <v/>
      </c>
      <c r="H593" s="18" t="str">
        <f>IF($A593="","",IFERROR(INDEX(Map!$D$2:$D$400,MATCH($A593,Map!$A$2:$A$400,0)),"⚠ UNMAPPED"))</f>
        <v/>
      </c>
      <c r="I593" s="18" t="str">
        <f>IF($A593="","",IFERROR(INDEX(Map!$E$2:$E$400,MATCH($A593,Map!$A$2:$A$400,0)),"⚠ UNMAPPED"))</f>
        <v/>
      </c>
      <c r="J593" s="18" t="str">
        <f>IF($A593="","",IFERROR(INDEX(Map!$F$2:$F$400,MATCH($A593,Map!$A$2:$A$400,0)),"⚠ UNMAPPED"))</f>
        <v/>
      </c>
    </row>
    <row r="594" spans="7:10" x14ac:dyDescent="0.25">
      <c r="G594" s="18" t="str">
        <f>IF($A594="","",IFERROR(INDEX(Map!$C$2:$C$400,MATCH($A594,Map!$A$2:$A$400,0)),"⚠ UNMAPPED"))</f>
        <v/>
      </c>
      <c r="H594" s="18" t="str">
        <f>IF($A594="","",IFERROR(INDEX(Map!$D$2:$D$400,MATCH($A594,Map!$A$2:$A$400,0)),"⚠ UNMAPPED"))</f>
        <v/>
      </c>
      <c r="I594" s="18" t="str">
        <f>IF($A594="","",IFERROR(INDEX(Map!$E$2:$E$400,MATCH($A594,Map!$A$2:$A$400,0)),"⚠ UNMAPPED"))</f>
        <v/>
      </c>
      <c r="J594" s="18" t="str">
        <f>IF($A594="","",IFERROR(INDEX(Map!$F$2:$F$400,MATCH($A594,Map!$A$2:$A$400,0)),"⚠ UNMAPPED"))</f>
        <v/>
      </c>
    </row>
    <row r="595" spans="7:10" x14ac:dyDescent="0.25">
      <c r="G595" s="18" t="str">
        <f>IF($A595="","",IFERROR(INDEX(Map!$C$2:$C$400,MATCH($A595,Map!$A$2:$A$400,0)),"⚠ UNMAPPED"))</f>
        <v/>
      </c>
      <c r="H595" s="18" t="str">
        <f>IF($A595="","",IFERROR(INDEX(Map!$D$2:$D$400,MATCH($A595,Map!$A$2:$A$400,0)),"⚠ UNMAPPED"))</f>
        <v/>
      </c>
      <c r="I595" s="18" t="str">
        <f>IF($A595="","",IFERROR(INDEX(Map!$E$2:$E$400,MATCH($A595,Map!$A$2:$A$400,0)),"⚠ UNMAPPED"))</f>
        <v/>
      </c>
      <c r="J595" s="18" t="str">
        <f>IF($A595="","",IFERROR(INDEX(Map!$F$2:$F$400,MATCH($A595,Map!$A$2:$A$400,0)),"⚠ UNMAPPED"))</f>
        <v/>
      </c>
    </row>
    <row r="596" spans="7:10" x14ac:dyDescent="0.25">
      <c r="G596" s="18" t="str">
        <f>IF($A596="","",IFERROR(INDEX(Map!$C$2:$C$400,MATCH($A596,Map!$A$2:$A$400,0)),"⚠ UNMAPPED"))</f>
        <v/>
      </c>
      <c r="H596" s="18" t="str">
        <f>IF($A596="","",IFERROR(INDEX(Map!$D$2:$D$400,MATCH($A596,Map!$A$2:$A$400,0)),"⚠ UNMAPPED"))</f>
        <v/>
      </c>
      <c r="I596" s="18" t="str">
        <f>IF($A596="","",IFERROR(INDEX(Map!$E$2:$E$400,MATCH($A596,Map!$A$2:$A$400,0)),"⚠ UNMAPPED"))</f>
        <v/>
      </c>
      <c r="J596" s="18" t="str">
        <f>IF($A596="","",IFERROR(INDEX(Map!$F$2:$F$400,MATCH($A596,Map!$A$2:$A$400,0)),"⚠ UNMAPPED"))</f>
        <v/>
      </c>
    </row>
    <row r="597" spans="7:10" x14ac:dyDescent="0.25">
      <c r="G597" s="18" t="str">
        <f>IF($A597="","",IFERROR(INDEX(Map!$C$2:$C$400,MATCH($A597,Map!$A$2:$A$400,0)),"⚠ UNMAPPED"))</f>
        <v/>
      </c>
      <c r="H597" s="18" t="str">
        <f>IF($A597="","",IFERROR(INDEX(Map!$D$2:$D$400,MATCH($A597,Map!$A$2:$A$400,0)),"⚠ UNMAPPED"))</f>
        <v/>
      </c>
      <c r="I597" s="18" t="str">
        <f>IF($A597="","",IFERROR(INDEX(Map!$E$2:$E$400,MATCH($A597,Map!$A$2:$A$400,0)),"⚠ UNMAPPED"))</f>
        <v/>
      </c>
      <c r="J597" s="18" t="str">
        <f>IF($A597="","",IFERROR(INDEX(Map!$F$2:$F$400,MATCH($A597,Map!$A$2:$A$400,0)),"⚠ UNMAPPED"))</f>
        <v/>
      </c>
    </row>
    <row r="598" spans="7:10" x14ac:dyDescent="0.25">
      <c r="G598" s="18" t="str">
        <f>IF($A598="","",IFERROR(INDEX(Map!$C$2:$C$400,MATCH($A598,Map!$A$2:$A$400,0)),"⚠ UNMAPPED"))</f>
        <v/>
      </c>
      <c r="H598" s="18" t="str">
        <f>IF($A598="","",IFERROR(INDEX(Map!$D$2:$D$400,MATCH($A598,Map!$A$2:$A$400,0)),"⚠ UNMAPPED"))</f>
        <v/>
      </c>
      <c r="I598" s="18" t="str">
        <f>IF($A598="","",IFERROR(INDEX(Map!$E$2:$E$400,MATCH($A598,Map!$A$2:$A$400,0)),"⚠ UNMAPPED"))</f>
        <v/>
      </c>
      <c r="J598" s="18" t="str">
        <f>IF($A598="","",IFERROR(INDEX(Map!$F$2:$F$400,MATCH($A598,Map!$A$2:$A$400,0)),"⚠ UNMAPPED"))</f>
        <v/>
      </c>
    </row>
    <row r="599" spans="7:10" x14ac:dyDescent="0.25">
      <c r="G599" s="18" t="str">
        <f>IF($A599="","",IFERROR(INDEX(Map!$C$2:$C$400,MATCH($A599,Map!$A$2:$A$400,0)),"⚠ UNMAPPED"))</f>
        <v/>
      </c>
      <c r="H599" s="18" t="str">
        <f>IF($A599="","",IFERROR(INDEX(Map!$D$2:$D$400,MATCH($A599,Map!$A$2:$A$400,0)),"⚠ UNMAPPED"))</f>
        <v/>
      </c>
      <c r="I599" s="18" t="str">
        <f>IF($A599="","",IFERROR(INDEX(Map!$E$2:$E$400,MATCH($A599,Map!$A$2:$A$400,0)),"⚠ UNMAPPED"))</f>
        <v/>
      </c>
      <c r="J599" s="18" t="str">
        <f>IF($A599="","",IFERROR(INDEX(Map!$F$2:$F$400,MATCH($A599,Map!$A$2:$A$400,0)),"⚠ UNMAPPED"))</f>
        <v/>
      </c>
    </row>
    <row r="600" spans="7:10" x14ac:dyDescent="0.25">
      <c r="G600" s="18" t="str">
        <f>IF($A600="","",IFERROR(INDEX(Map!$C$2:$C$400,MATCH($A600,Map!$A$2:$A$400,0)),"⚠ UNMAPPED"))</f>
        <v/>
      </c>
      <c r="H600" s="18" t="str">
        <f>IF($A600="","",IFERROR(INDEX(Map!$D$2:$D$400,MATCH($A600,Map!$A$2:$A$400,0)),"⚠ UNMAPPED"))</f>
        <v/>
      </c>
      <c r="I600" s="18" t="str">
        <f>IF($A600="","",IFERROR(INDEX(Map!$E$2:$E$400,MATCH($A600,Map!$A$2:$A$400,0)),"⚠ UNMAPPED"))</f>
        <v/>
      </c>
      <c r="J600" s="18" t="str">
        <f>IF($A600="","",IFERROR(INDEX(Map!$F$2:$F$400,MATCH($A600,Map!$A$2:$A$400,0)),"⚠ UNMAPPED"))</f>
        <v/>
      </c>
    </row>
    <row r="601" spans="7:10" x14ac:dyDescent="0.25">
      <c r="G601" s="18" t="str">
        <f>IF($A601="","",IFERROR(INDEX(Map!$C$2:$C$400,MATCH($A601,Map!$A$2:$A$400,0)),"⚠ UNMAPPED"))</f>
        <v/>
      </c>
      <c r="H601" s="18" t="str">
        <f>IF($A601="","",IFERROR(INDEX(Map!$D$2:$D$400,MATCH($A601,Map!$A$2:$A$400,0)),"⚠ UNMAPPED"))</f>
        <v/>
      </c>
      <c r="I601" s="18" t="str">
        <f>IF($A601="","",IFERROR(INDEX(Map!$E$2:$E$400,MATCH($A601,Map!$A$2:$A$400,0)),"⚠ UNMAPPED"))</f>
        <v/>
      </c>
      <c r="J601" s="18" t="str">
        <f>IF($A601="","",IFERROR(INDEX(Map!$F$2:$F$400,MATCH($A601,Map!$A$2:$A$400,0)),"⚠ UNMAPPED"))</f>
        <v/>
      </c>
    </row>
    <row r="602" spans="7:10" x14ac:dyDescent="0.25">
      <c r="G602" s="18" t="str">
        <f>IF($A602="","",IFERROR(INDEX(Map!$C$2:$C$400,MATCH($A602,Map!$A$2:$A$400,0)),"⚠ UNMAPPED"))</f>
        <v/>
      </c>
      <c r="H602" s="18" t="str">
        <f>IF($A602="","",IFERROR(INDEX(Map!$D$2:$D$400,MATCH($A602,Map!$A$2:$A$400,0)),"⚠ UNMAPPED"))</f>
        <v/>
      </c>
      <c r="I602" s="18" t="str">
        <f>IF($A602="","",IFERROR(INDEX(Map!$E$2:$E$400,MATCH($A602,Map!$A$2:$A$400,0)),"⚠ UNMAPPED"))</f>
        <v/>
      </c>
      <c r="J602" s="18" t="str">
        <f>IF($A602="","",IFERROR(INDEX(Map!$F$2:$F$400,MATCH($A602,Map!$A$2:$A$400,0)),"⚠ UNMAPPED"))</f>
        <v/>
      </c>
    </row>
    <row r="603" spans="7:10" x14ac:dyDescent="0.25">
      <c r="G603" s="18" t="str">
        <f>IF($A603="","",IFERROR(INDEX(Map!$C$2:$C$400,MATCH($A603,Map!$A$2:$A$400,0)),"⚠ UNMAPPED"))</f>
        <v/>
      </c>
      <c r="H603" s="18" t="str">
        <f>IF($A603="","",IFERROR(INDEX(Map!$D$2:$D$400,MATCH($A603,Map!$A$2:$A$400,0)),"⚠ UNMAPPED"))</f>
        <v/>
      </c>
      <c r="I603" s="18" t="str">
        <f>IF($A603="","",IFERROR(INDEX(Map!$E$2:$E$400,MATCH($A603,Map!$A$2:$A$400,0)),"⚠ UNMAPPED"))</f>
        <v/>
      </c>
      <c r="J603" s="18" t="str">
        <f>IF($A603="","",IFERROR(INDEX(Map!$F$2:$F$400,MATCH($A603,Map!$A$2:$A$400,0)),"⚠ UNMAPPED"))</f>
        <v/>
      </c>
    </row>
    <row r="604" spans="7:10" x14ac:dyDescent="0.25">
      <c r="G604" s="18" t="str">
        <f>IF($A604="","",IFERROR(INDEX(Map!$C$2:$C$400,MATCH($A604,Map!$A$2:$A$400,0)),"⚠ UNMAPPED"))</f>
        <v/>
      </c>
      <c r="H604" s="18" t="str">
        <f>IF($A604="","",IFERROR(INDEX(Map!$D$2:$D$400,MATCH($A604,Map!$A$2:$A$400,0)),"⚠ UNMAPPED"))</f>
        <v/>
      </c>
      <c r="I604" s="18" t="str">
        <f>IF($A604="","",IFERROR(INDEX(Map!$E$2:$E$400,MATCH($A604,Map!$A$2:$A$400,0)),"⚠ UNMAPPED"))</f>
        <v/>
      </c>
      <c r="J604" s="18" t="str">
        <f>IF($A604="","",IFERROR(INDEX(Map!$F$2:$F$400,MATCH($A604,Map!$A$2:$A$400,0)),"⚠ UNMAPPED"))</f>
        <v/>
      </c>
    </row>
    <row r="605" spans="7:10" x14ac:dyDescent="0.25">
      <c r="G605" s="18" t="str">
        <f>IF($A605="","",IFERROR(INDEX(Map!$C$2:$C$400,MATCH($A605,Map!$A$2:$A$400,0)),"⚠ UNMAPPED"))</f>
        <v/>
      </c>
      <c r="H605" s="18" t="str">
        <f>IF($A605="","",IFERROR(INDEX(Map!$D$2:$D$400,MATCH($A605,Map!$A$2:$A$400,0)),"⚠ UNMAPPED"))</f>
        <v/>
      </c>
      <c r="I605" s="18" t="str">
        <f>IF($A605="","",IFERROR(INDEX(Map!$E$2:$E$400,MATCH($A605,Map!$A$2:$A$400,0)),"⚠ UNMAPPED"))</f>
        <v/>
      </c>
      <c r="J605" s="18" t="str">
        <f>IF($A605="","",IFERROR(INDEX(Map!$F$2:$F$400,MATCH($A605,Map!$A$2:$A$400,0)),"⚠ UNMAPPED"))</f>
        <v/>
      </c>
    </row>
    <row r="606" spans="7:10" x14ac:dyDescent="0.25">
      <c r="G606" s="18" t="str">
        <f>IF($A606="","",IFERROR(INDEX(Map!$C$2:$C$400,MATCH($A606,Map!$A$2:$A$400,0)),"⚠ UNMAPPED"))</f>
        <v/>
      </c>
      <c r="H606" s="18" t="str">
        <f>IF($A606="","",IFERROR(INDEX(Map!$D$2:$D$400,MATCH($A606,Map!$A$2:$A$400,0)),"⚠ UNMAPPED"))</f>
        <v/>
      </c>
      <c r="I606" s="18" t="str">
        <f>IF($A606="","",IFERROR(INDEX(Map!$E$2:$E$400,MATCH($A606,Map!$A$2:$A$400,0)),"⚠ UNMAPPED"))</f>
        <v/>
      </c>
      <c r="J606" s="18" t="str">
        <f>IF($A606="","",IFERROR(INDEX(Map!$F$2:$F$400,MATCH($A606,Map!$A$2:$A$400,0)),"⚠ UNMAPPED"))</f>
        <v/>
      </c>
    </row>
    <row r="607" spans="7:10" x14ac:dyDescent="0.25">
      <c r="G607" s="18" t="str">
        <f>IF($A607="","",IFERROR(INDEX(Map!$C$2:$C$400,MATCH($A607,Map!$A$2:$A$400,0)),"⚠ UNMAPPED"))</f>
        <v/>
      </c>
      <c r="H607" s="18" t="str">
        <f>IF($A607="","",IFERROR(INDEX(Map!$D$2:$D$400,MATCH($A607,Map!$A$2:$A$400,0)),"⚠ UNMAPPED"))</f>
        <v/>
      </c>
      <c r="I607" s="18" t="str">
        <f>IF($A607="","",IFERROR(INDEX(Map!$E$2:$E$400,MATCH($A607,Map!$A$2:$A$400,0)),"⚠ UNMAPPED"))</f>
        <v/>
      </c>
      <c r="J607" s="18" t="str">
        <f>IF($A607="","",IFERROR(INDEX(Map!$F$2:$F$400,MATCH($A607,Map!$A$2:$A$400,0)),"⚠ UNMAPPED"))</f>
        <v/>
      </c>
    </row>
    <row r="608" spans="7:10" x14ac:dyDescent="0.25">
      <c r="G608" s="18" t="str">
        <f>IF($A608="","",IFERROR(INDEX(Map!$C$2:$C$400,MATCH($A608,Map!$A$2:$A$400,0)),"⚠ UNMAPPED"))</f>
        <v/>
      </c>
      <c r="H608" s="18" t="str">
        <f>IF($A608="","",IFERROR(INDEX(Map!$D$2:$D$400,MATCH($A608,Map!$A$2:$A$400,0)),"⚠ UNMAPPED"))</f>
        <v/>
      </c>
      <c r="I608" s="18" t="str">
        <f>IF($A608="","",IFERROR(INDEX(Map!$E$2:$E$400,MATCH($A608,Map!$A$2:$A$400,0)),"⚠ UNMAPPED"))</f>
        <v/>
      </c>
      <c r="J608" s="18" t="str">
        <f>IF($A608="","",IFERROR(INDEX(Map!$F$2:$F$400,MATCH($A608,Map!$A$2:$A$400,0)),"⚠ UNMAPPED"))</f>
        <v/>
      </c>
    </row>
    <row r="609" spans="7:10" x14ac:dyDescent="0.25">
      <c r="G609" s="18" t="str">
        <f>IF($A609="","",IFERROR(INDEX(Map!$C$2:$C$400,MATCH($A609,Map!$A$2:$A$400,0)),"⚠ UNMAPPED"))</f>
        <v/>
      </c>
      <c r="H609" s="18" t="str">
        <f>IF($A609="","",IFERROR(INDEX(Map!$D$2:$D$400,MATCH($A609,Map!$A$2:$A$400,0)),"⚠ UNMAPPED"))</f>
        <v/>
      </c>
      <c r="I609" s="18" t="str">
        <f>IF($A609="","",IFERROR(INDEX(Map!$E$2:$E$400,MATCH($A609,Map!$A$2:$A$400,0)),"⚠ UNMAPPED"))</f>
        <v/>
      </c>
      <c r="J609" s="18" t="str">
        <f>IF($A609="","",IFERROR(INDEX(Map!$F$2:$F$400,MATCH($A609,Map!$A$2:$A$400,0)),"⚠ UNMAPPED"))</f>
        <v/>
      </c>
    </row>
    <row r="610" spans="7:10" x14ac:dyDescent="0.25">
      <c r="G610" s="18" t="str">
        <f>IF($A610="","",IFERROR(INDEX(Map!$C$2:$C$400,MATCH($A610,Map!$A$2:$A$400,0)),"⚠ UNMAPPED"))</f>
        <v/>
      </c>
      <c r="H610" s="18" t="str">
        <f>IF($A610="","",IFERROR(INDEX(Map!$D$2:$D$400,MATCH($A610,Map!$A$2:$A$400,0)),"⚠ UNMAPPED"))</f>
        <v/>
      </c>
      <c r="I610" s="18" t="str">
        <f>IF($A610="","",IFERROR(INDEX(Map!$E$2:$E$400,MATCH($A610,Map!$A$2:$A$400,0)),"⚠ UNMAPPED"))</f>
        <v/>
      </c>
      <c r="J610" s="18" t="str">
        <f>IF($A610="","",IFERROR(INDEX(Map!$F$2:$F$400,MATCH($A610,Map!$A$2:$A$400,0)),"⚠ UNMAPPED"))</f>
        <v/>
      </c>
    </row>
    <row r="611" spans="7:10" x14ac:dyDescent="0.25">
      <c r="G611" s="18" t="str">
        <f>IF($A611="","",IFERROR(INDEX(Map!$C$2:$C$400,MATCH($A611,Map!$A$2:$A$400,0)),"⚠ UNMAPPED"))</f>
        <v/>
      </c>
      <c r="H611" s="18" t="str">
        <f>IF($A611="","",IFERROR(INDEX(Map!$D$2:$D$400,MATCH($A611,Map!$A$2:$A$400,0)),"⚠ UNMAPPED"))</f>
        <v/>
      </c>
      <c r="I611" s="18" t="str">
        <f>IF($A611="","",IFERROR(INDEX(Map!$E$2:$E$400,MATCH($A611,Map!$A$2:$A$400,0)),"⚠ UNMAPPED"))</f>
        <v/>
      </c>
      <c r="J611" s="18" t="str">
        <f>IF($A611="","",IFERROR(INDEX(Map!$F$2:$F$400,MATCH($A611,Map!$A$2:$A$400,0)),"⚠ UNMAPPED"))</f>
        <v/>
      </c>
    </row>
    <row r="612" spans="7:10" x14ac:dyDescent="0.25">
      <c r="G612" s="18" t="str">
        <f>IF($A612="","",IFERROR(INDEX(Map!$C$2:$C$400,MATCH($A612,Map!$A$2:$A$400,0)),"⚠ UNMAPPED"))</f>
        <v/>
      </c>
      <c r="H612" s="18" t="str">
        <f>IF($A612="","",IFERROR(INDEX(Map!$D$2:$D$400,MATCH($A612,Map!$A$2:$A$400,0)),"⚠ UNMAPPED"))</f>
        <v/>
      </c>
      <c r="I612" s="18" t="str">
        <f>IF($A612="","",IFERROR(INDEX(Map!$E$2:$E$400,MATCH($A612,Map!$A$2:$A$400,0)),"⚠ UNMAPPED"))</f>
        <v/>
      </c>
      <c r="J612" s="18" t="str">
        <f>IF($A612="","",IFERROR(INDEX(Map!$F$2:$F$400,MATCH($A612,Map!$A$2:$A$400,0)),"⚠ UNMAPPED"))</f>
        <v/>
      </c>
    </row>
    <row r="613" spans="7:10" x14ac:dyDescent="0.25">
      <c r="G613" s="18" t="str">
        <f>IF($A613="","",IFERROR(INDEX(Map!$C$2:$C$400,MATCH($A613,Map!$A$2:$A$400,0)),"⚠ UNMAPPED"))</f>
        <v/>
      </c>
      <c r="H613" s="18" t="str">
        <f>IF($A613="","",IFERROR(INDEX(Map!$D$2:$D$400,MATCH($A613,Map!$A$2:$A$400,0)),"⚠ UNMAPPED"))</f>
        <v/>
      </c>
      <c r="I613" s="18" t="str">
        <f>IF($A613="","",IFERROR(INDEX(Map!$E$2:$E$400,MATCH($A613,Map!$A$2:$A$400,0)),"⚠ UNMAPPED"))</f>
        <v/>
      </c>
      <c r="J613" s="18" t="str">
        <f>IF($A613="","",IFERROR(INDEX(Map!$F$2:$F$400,MATCH($A613,Map!$A$2:$A$400,0)),"⚠ UNMAPPED"))</f>
        <v/>
      </c>
    </row>
    <row r="614" spans="7:10" x14ac:dyDescent="0.25">
      <c r="G614" s="18" t="str">
        <f>IF($A614="","",IFERROR(INDEX(Map!$C$2:$C$400,MATCH($A614,Map!$A$2:$A$400,0)),"⚠ UNMAPPED"))</f>
        <v/>
      </c>
      <c r="H614" s="18" t="str">
        <f>IF($A614="","",IFERROR(INDEX(Map!$D$2:$D$400,MATCH($A614,Map!$A$2:$A$400,0)),"⚠ UNMAPPED"))</f>
        <v/>
      </c>
      <c r="I614" s="18" t="str">
        <f>IF($A614="","",IFERROR(INDEX(Map!$E$2:$E$400,MATCH($A614,Map!$A$2:$A$400,0)),"⚠ UNMAPPED"))</f>
        <v/>
      </c>
      <c r="J614" s="18" t="str">
        <f>IF($A614="","",IFERROR(INDEX(Map!$F$2:$F$400,MATCH($A614,Map!$A$2:$A$400,0)),"⚠ UNMAPPED"))</f>
        <v/>
      </c>
    </row>
    <row r="615" spans="7:10" x14ac:dyDescent="0.25">
      <c r="G615" s="18" t="str">
        <f>IF($A615="","",IFERROR(INDEX(Map!$C$2:$C$400,MATCH($A615,Map!$A$2:$A$400,0)),"⚠ UNMAPPED"))</f>
        <v/>
      </c>
      <c r="H615" s="18" t="str">
        <f>IF($A615="","",IFERROR(INDEX(Map!$D$2:$D$400,MATCH($A615,Map!$A$2:$A$400,0)),"⚠ UNMAPPED"))</f>
        <v/>
      </c>
      <c r="I615" s="18" t="str">
        <f>IF($A615="","",IFERROR(INDEX(Map!$E$2:$E$400,MATCH($A615,Map!$A$2:$A$400,0)),"⚠ UNMAPPED"))</f>
        <v/>
      </c>
      <c r="J615" s="18" t="str">
        <f>IF($A615="","",IFERROR(INDEX(Map!$F$2:$F$400,MATCH($A615,Map!$A$2:$A$400,0)),"⚠ UNMAPPED"))</f>
        <v/>
      </c>
    </row>
    <row r="616" spans="7:10" x14ac:dyDescent="0.25">
      <c r="G616" s="18" t="str">
        <f>IF($A616="","",IFERROR(INDEX(Map!$C$2:$C$400,MATCH($A616,Map!$A$2:$A$400,0)),"⚠ UNMAPPED"))</f>
        <v/>
      </c>
      <c r="H616" s="18" t="str">
        <f>IF($A616="","",IFERROR(INDEX(Map!$D$2:$D$400,MATCH($A616,Map!$A$2:$A$400,0)),"⚠ UNMAPPED"))</f>
        <v/>
      </c>
      <c r="I616" s="18" t="str">
        <f>IF($A616="","",IFERROR(INDEX(Map!$E$2:$E$400,MATCH($A616,Map!$A$2:$A$400,0)),"⚠ UNMAPPED"))</f>
        <v/>
      </c>
      <c r="J616" s="18" t="str">
        <f>IF($A616="","",IFERROR(INDEX(Map!$F$2:$F$400,MATCH($A616,Map!$A$2:$A$400,0)),"⚠ UNMAPPED"))</f>
        <v/>
      </c>
    </row>
    <row r="617" spans="7:10" x14ac:dyDescent="0.25">
      <c r="G617" s="18" t="str">
        <f>IF($A617="","",IFERROR(INDEX(Map!$C$2:$C$400,MATCH($A617,Map!$A$2:$A$400,0)),"⚠ UNMAPPED"))</f>
        <v/>
      </c>
      <c r="H617" s="18" t="str">
        <f>IF($A617="","",IFERROR(INDEX(Map!$D$2:$D$400,MATCH($A617,Map!$A$2:$A$400,0)),"⚠ UNMAPPED"))</f>
        <v/>
      </c>
      <c r="I617" s="18" t="str">
        <f>IF($A617="","",IFERROR(INDEX(Map!$E$2:$E$400,MATCH($A617,Map!$A$2:$A$400,0)),"⚠ UNMAPPED"))</f>
        <v/>
      </c>
      <c r="J617" s="18" t="str">
        <f>IF($A617="","",IFERROR(INDEX(Map!$F$2:$F$400,MATCH($A617,Map!$A$2:$A$400,0)),"⚠ UNMAPPED"))</f>
        <v/>
      </c>
    </row>
    <row r="618" spans="7:10" x14ac:dyDescent="0.25">
      <c r="G618" s="18" t="str">
        <f>IF($A618="","",IFERROR(INDEX(Map!$C$2:$C$400,MATCH($A618,Map!$A$2:$A$400,0)),"⚠ UNMAPPED"))</f>
        <v/>
      </c>
      <c r="H618" s="18" t="str">
        <f>IF($A618="","",IFERROR(INDEX(Map!$D$2:$D$400,MATCH($A618,Map!$A$2:$A$400,0)),"⚠ UNMAPPED"))</f>
        <v/>
      </c>
      <c r="I618" s="18" t="str">
        <f>IF($A618="","",IFERROR(INDEX(Map!$E$2:$E$400,MATCH($A618,Map!$A$2:$A$400,0)),"⚠ UNMAPPED"))</f>
        <v/>
      </c>
      <c r="J618" s="18" t="str">
        <f>IF($A618="","",IFERROR(INDEX(Map!$F$2:$F$400,MATCH($A618,Map!$A$2:$A$400,0)),"⚠ UNMAPPED"))</f>
        <v/>
      </c>
    </row>
    <row r="619" spans="7:10" x14ac:dyDescent="0.25">
      <c r="G619" s="18" t="str">
        <f>IF($A619="","",IFERROR(INDEX(Map!$C$2:$C$400,MATCH($A619,Map!$A$2:$A$400,0)),"⚠ UNMAPPED"))</f>
        <v/>
      </c>
      <c r="H619" s="18" t="str">
        <f>IF($A619="","",IFERROR(INDEX(Map!$D$2:$D$400,MATCH($A619,Map!$A$2:$A$400,0)),"⚠ UNMAPPED"))</f>
        <v/>
      </c>
      <c r="I619" s="18" t="str">
        <f>IF($A619="","",IFERROR(INDEX(Map!$E$2:$E$400,MATCH($A619,Map!$A$2:$A$400,0)),"⚠ UNMAPPED"))</f>
        <v/>
      </c>
      <c r="J619" s="18" t="str">
        <f>IF($A619="","",IFERROR(INDEX(Map!$F$2:$F$400,MATCH($A619,Map!$A$2:$A$400,0)),"⚠ UNMAPPED"))</f>
        <v/>
      </c>
    </row>
    <row r="620" spans="7:10" x14ac:dyDescent="0.25">
      <c r="G620" s="18" t="str">
        <f>IF($A620="","",IFERROR(INDEX(Map!$C$2:$C$400,MATCH($A620,Map!$A$2:$A$400,0)),"⚠ UNMAPPED"))</f>
        <v/>
      </c>
      <c r="H620" s="18" t="str">
        <f>IF($A620="","",IFERROR(INDEX(Map!$D$2:$D$400,MATCH($A620,Map!$A$2:$A$400,0)),"⚠ UNMAPPED"))</f>
        <v/>
      </c>
      <c r="I620" s="18" t="str">
        <f>IF($A620="","",IFERROR(INDEX(Map!$E$2:$E$400,MATCH($A620,Map!$A$2:$A$400,0)),"⚠ UNMAPPED"))</f>
        <v/>
      </c>
      <c r="J620" s="18" t="str">
        <f>IF($A620="","",IFERROR(INDEX(Map!$F$2:$F$400,MATCH($A620,Map!$A$2:$A$400,0)),"⚠ UNMAPPED"))</f>
        <v/>
      </c>
    </row>
    <row r="621" spans="7:10" x14ac:dyDescent="0.25">
      <c r="G621" s="18" t="str">
        <f>IF($A621="","",IFERROR(INDEX(Map!$C$2:$C$400,MATCH($A621,Map!$A$2:$A$400,0)),"⚠ UNMAPPED"))</f>
        <v/>
      </c>
      <c r="H621" s="18" t="str">
        <f>IF($A621="","",IFERROR(INDEX(Map!$D$2:$D$400,MATCH($A621,Map!$A$2:$A$400,0)),"⚠ UNMAPPED"))</f>
        <v/>
      </c>
      <c r="I621" s="18" t="str">
        <f>IF($A621="","",IFERROR(INDEX(Map!$E$2:$E$400,MATCH($A621,Map!$A$2:$A$400,0)),"⚠ UNMAPPED"))</f>
        <v/>
      </c>
      <c r="J621" s="18" t="str">
        <f>IF($A621="","",IFERROR(INDEX(Map!$F$2:$F$400,MATCH($A621,Map!$A$2:$A$400,0)),"⚠ UNMAPPED"))</f>
        <v/>
      </c>
    </row>
    <row r="622" spans="7:10" x14ac:dyDescent="0.25">
      <c r="G622" s="18" t="str">
        <f>IF($A622="","",IFERROR(INDEX(Map!$C$2:$C$400,MATCH($A622,Map!$A$2:$A$400,0)),"⚠ UNMAPPED"))</f>
        <v/>
      </c>
      <c r="H622" s="18" t="str">
        <f>IF($A622="","",IFERROR(INDEX(Map!$D$2:$D$400,MATCH($A622,Map!$A$2:$A$400,0)),"⚠ UNMAPPED"))</f>
        <v/>
      </c>
      <c r="I622" s="18" t="str">
        <f>IF($A622="","",IFERROR(INDEX(Map!$E$2:$E$400,MATCH($A622,Map!$A$2:$A$400,0)),"⚠ UNMAPPED"))</f>
        <v/>
      </c>
      <c r="J622" s="18" t="str">
        <f>IF($A622="","",IFERROR(INDEX(Map!$F$2:$F$400,MATCH($A622,Map!$A$2:$A$400,0)),"⚠ UNMAPPED"))</f>
        <v/>
      </c>
    </row>
    <row r="623" spans="7:10" x14ac:dyDescent="0.25">
      <c r="G623" s="18" t="str">
        <f>IF($A623="","",IFERROR(INDEX(Map!$C$2:$C$400,MATCH($A623,Map!$A$2:$A$400,0)),"⚠ UNMAPPED"))</f>
        <v/>
      </c>
      <c r="H623" s="18" t="str">
        <f>IF($A623="","",IFERROR(INDEX(Map!$D$2:$D$400,MATCH($A623,Map!$A$2:$A$400,0)),"⚠ UNMAPPED"))</f>
        <v/>
      </c>
      <c r="I623" s="18" t="str">
        <f>IF($A623="","",IFERROR(INDEX(Map!$E$2:$E$400,MATCH($A623,Map!$A$2:$A$400,0)),"⚠ UNMAPPED"))</f>
        <v/>
      </c>
      <c r="J623" s="18" t="str">
        <f>IF($A623="","",IFERROR(INDEX(Map!$F$2:$F$400,MATCH($A623,Map!$A$2:$A$400,0)),"⚠ UNMAPPED"))</f>
        <v/>
      </c>
    </row>
    <row r="624" spans="7:10" x14ac:dyDescent="0.25">
      <c r="G624" s="18" t="str">
        <f>IF($A624="","",IFERROR(INDEX(Map!$C$2:$C$400,MATCH($A624,Map!$A$2:$A$400,0)),"⚠ UNMAPPED"))</f>
        <v/>
      </c>
      <c r="H624" s="18" t="str">
        <f>IF($A624="","",IFERROR(INDEX(Map!$D$2:$D$400,MATCH($A624,Map!$A$2:$A$400,0)),"⚠ UNMAPPED"))</f>
        <v/>
      </c>
      <c r="I624" s="18" t="str">
        <f>IF($A624="","",IFERROR(INDEX(Map!$E$2:$E$400,MATCH($A624,Map!$A$2:$A$400,0)),"⚠ UNMAPPED"))</f>
        <v/>
      </c>
      <c r="J624" s="18" t="str">
        <f>IF($A624="","",IFERROR(INDEX(Map!$F$2:$F$400,MATCH($A624,Map!$A$2:$A$400,0)),"⚠ UNMAPPED"))</f>
        <v/>
      </c>
    </row>
    <row r="625" spans="7:10" x14ac:dyDescent="0.25">
      <c r="G625" s="18" t="str">
        <f>IF($A625="","",IFERROR(INDEX(Map!$C$2:$C$400,MATCH($A625,Map!$A$2:$A$400,0)),"⚠ UNMAPPED"))</f>
        <v/>
      </c>
      <c r="H625" s="18" t="str">
        <f>IF($A625="","",IFERROR(INDEX(Map!$D$2:$D$400,MATCH($A625,Map!$A$2:$A$400,0)),"⚠ UNMAPPED"))</f>
        <v/>
      </c>
      <c r="I625" s="18" t="str">
        <f>IF($A625="","",IFERROR(INDEX(Map!$E$2:$E$400,MATCH($A625,Map!$A$2:$A$400,0)),"⚠ UNMAPPED"))</f>
        <v/>
      </c>
      <c r="J625" s="18" t="str">
        <f>IF($A625="","",IFERROR(INDEX(Map!$F$2:$F$400,MATCH($A625,Map!$A$2:$A$400,0)),"⚠ UNMAPPED"))</f>
        <v/>
      </c>
    </row>
    <row r="626" spans="7:10" x14ac:dyDescent="0.25">
      <c r="G626" s="18" t="str">
        <f>IF($A626="","",IFERROR(INDEX(Map!$C$2:$C$400,MATCH($A626,Map!$A$2:$A$400,0)),"⚠ UNMAPPED"))</f>
        <v/>
      </c>
      <c r="H626" s="18" t="str">
        <f>IF($A626="","",IFERROR(INDEX(Map!$D$2:$D$400,MATCH($A626,Map!$A$2:$A$400,0)),"⚠ UNMAPPED"))</f>
        <v/>
      </c>
      <c r="I626" s="18" t="str">
        <f>IF($A626="","",IFERROR(INDEX(Map!$E$2:$E$400,MATCH($A626,Map!$A$2:$A$400,0)),"⚠ UNMAPPED"))</f>
        <v/>
      </c>
      <c r="J626" s="18" t="str">
        <f>IF($A626="","",IFERROR(INDEX(Map!$F$2:$F$400,MATCH($A626,Map!$A$2:$A$400,0)),"⚠ UNMAPPED"))</f>
        <v/>
      </c>
    </row>
    <row r="627" spans="7:10" x14ac:dyDescent="0.25">
      <c r="G627" s="18" t="str">
        <f>IF($A627="","",IFERROR(INDEX(Map!$C$2:$C$400,MATCH($A627,Map!$A$2:$A$400,0)),"⚠ UNMAPPED"))</f>
        <v/>
      </c>
      <c r="H627" s="18" t="str">
        <f>IF($A627="","",IFERROR(INDEX(Map!$D$2:$D$400,MATCH($A627,Map!$A$2:$A$400,0)),"⚠ UNMAPPED"))</f>
        <v/>
      </c>
      <c r="I627" s="18" t="str">
        <f>IF($A627="","",IFERROR(INDEX(Map!$E$2:$E$400,MATCH($A627,Map!$A$2:$A$400,0)),"⚠ UNMAPPED"))</f>
        <v/>
      </c>
      <c r="J627" s="18" t="str">
        <f>IF($A627="","",IFERROR(INDEX(Map!$F$2:$F$400,MATCH($A627,Map!$A$2:$A$400,0)),"⚠ UNMAPPED"))</f>
        <v/>
      </c>
    </row>
    <row r="628" spans="7:10" x14ac:dyDescent="0.25">
      <c r="G628" s="18" t="str">
        <f>IF($A628="","",IFERROR(INDEX(Map!$C$2:$C$400,MATCH($A628,Map!$A$2:$A$400,0)),"⚠ UNMAPPED"))</f>
        <v/>
      </c>
      <c r="H628" s="18" t="str">
        <f>IF($A628="","",IFERROR(INDEX(Map!$D$2:$D$400,MATCH($A628,Map!$A$2:$A$400,0)),"⚠ UNMAPPED"))</f>
        <v/>
      </c>
      <c r="I628" s="18" t="str">
        <f>IF($A628="","",IFERROR(INDEX(Map!$E$2:$E$400,MATCH($A628,Map!$A$2:$A$400,0)),"⚠ UNMAPPED"))</f>
        <v/>
      </c>
      <c r="J628" s="18" t="str">
        <f>IF($A628="","",IFERROR(INDEX(Map!$F$2:$F$400,MATCH($A628,Map!$A$2:$A$400,0)),"⚠ UNMAPPED"))</f>
        <v/>
      </c>
    </row>
    <row r="629" spans="7:10" x14ac:dyDescent="0.25">
      <c r="G629" s="18" t="str">
        <f>IF($A629="","",IFERROR(INDEX(Map!$C$2:$C$400,MATCH($A629,Map!$A$2:$A$400,0)),"⚠ UNMAPPED"))</f>
        <v/>
      </c>
      <c r="H629" s="18" t="str">
        <f>IF($A629="","",IFERROR(INDEX(Map!$D$2:$D$400,MATCH($A629,Map!$A$2:$A$400,0)),"⚠ UNMAPPED"))</f>
        <v/>
      </c>
      <c r="I629" s="18" t="str">
        <f>IF($A629="","",IFERROR(INDEX(Map!$E$2:$E$400,MATCH($A629,Map!$A$2:$A$400,0)),"⚠ UNMAPPED"))</f>
        <v/>
      </c>
      <c r="J629" s="18" t="str">
        <f>IF($A629="","",IFERROR(INDEX(Map!$F$2:$F$400,MATCH($A629,Map!$A$2:$A$400,0)),"⚠ UNMAPPED"))</f>
        <v/>
      </c>
    </row>
    <row r="630" spans="7:10" x14ac:dyDescent="0.25">
      <c r="G630" s="18" t="str">
        <f>IF($A630="","",IFERROR(INDEX(Map!$C$2:$C$400,MATCH($A630,Map!$A$2:$A$400,0)),"⚠ UNMAPPED"))</f>
        <v/>
      </c>
      <c r="H630" s="18" t="str">
        <f>IF($A630="","",IFERROR(INDEX(Map!$D$2:$D$400,MATCH($A630,Map!$A$2:$A$400,0)),"⚠ UNMAPPED"))</f>
        <v/>
      </c>
      <c r="I630" s="18" t="str">
        <f>IF($A630="","",IFERROR(INDEX(Map!$E$2:$E$400,MATCH($A630,Map!$A$2:$A$400,0)),"⚠ UNMAPPED"))</f>
        <v/>
      </c>
      <c r="J630" s="18" t="str">
        <f>IF($A630="","",IFERROR(INDEX(Map!$F$2:$F$400,MATCH($A630,Map!$A$2:$A$400,0)),"⚠ UNMAPPED"))</f>
        <v/>
      </c>
    </row>
    <row r="631" spans="7:10" x14ac:dyDescent="0.25">
      <c r="G631" s="18" t="str">
        <f>IF($A631="","",IFERROR(INDEX(Map!$C$2:$C$400,MATCH($A631,Map!$A$2:$A$400,0)),"⚠ UNMAPPED"))</f>
        <v/>
      </c>
      <c r="H631" s="18" t="str">
        <f>IF($A631="","",IFERROR(INDEX(Map!$D$2:$D$400,MATCH($A631,Map!$A$2:$A$400,0)),"⚠ UNMAPPED"))</f>
        <v/>
      </c>
      <c r="I631" s="18" t="str">
        <f>IF($A631="","",IFERROR(INDEX(Map!$E$2:$E$400,MATCH($A631,Map!$A$2:$A$400,0)),"⚠ UNMAPPED"))</f>
        <v/>
      </c>
      <c r="J631" s="18" t="str">
        <f>IF($A631="","",IFERROR(INDEX(Map!$F$2:$F$400,MATCH($A631,Map!$A$2:$A$400,0)),"⚠ UNMAPPED"))</f>
        <v/>
      </c>
    </row>
    <row r="632" spans="7:10" x14ac:dyDescent="0.25">
      <c r="G632" s="18" t="str">
        <f>IF($A632="","",IFERROR(INDEX(Map!$C$2:$C$400,MATCH($A632,Map!$A$2:$A$400,0)),"⚠ UNMAPPED"))</f>
        <v/>
      </c>
      <c r="H632" s="18" t="str">
        <f>IF($A632="","",IFERROR(INDEX(Map!$D$2:$D$400,MATCH($A632,Map!$A$2:$A$400,0)),"⚠ UNMAPPED"))</f>
        <v/>
      </c>
      <c r="I632" s="18" t="str">
        <f>IF($A632="","",IFERROR(INDEX(Map!$E$2:$E$400,MATCH($A632,Map!$A$2:$A$400,0)),"⚠ UNMAPPED"))</f>
        <v/>
      </c>
      <c r="J632" s="18" t="str">
        <f>IF($A632="","",IFERROR(INDEX(Map!$F$2:$F$400,MATCH($A632,Map!$A$2:$A$400,0)),"⚠ UNMAPPED"))</f>
        <v/>
      </c>
    </row>
    <row r="633" spans="7:10" x14ac:dyDescent="0.25">
      <c r="G633" s="18" t="str">
        <f>IF($A633="","",IFERROR(INDEX(Map!$C$2:$C$400,MATCH($A633,Map!$A$2:$A$400,0)),"⚠ UNMAPPED"))</f>
        <v/>
      </c>
      <c r="H633" s="18" t="str">
        <f>IF($A633="","",IFERROR(INDEX(Map!$D$2:$D$400,MATCH($A633,Map!$A$2:$A$400,0)),"⚠ UNMAPPED"))</f>
        <v/>
      </c>
      <c r="I633" s="18" t="str">
        <f>IF($A633="","",IFERROR(INDEX(Map!$E$2:$E$400,MATCH($A633,Map!$A$2:$A$400,0)),"⚠ UNMAPPED"))</f>
        <v/>
      </c>
      <c r="J633" s="18" t="str">
        <f>IF($A633="","",IFERROR(INDEX(Map!$F$2:$F$400,MATCH($A633,Map!$A$2:$A$400,0)),"⚠ UNMAPPED"))</f>
        <v/>
      </c>
    </row>
    <row r="634" spans="7:10" x14ac:dyDescent="0.25">
      <c r="G634" s="18" t="str">
        <f>IF($A634="","",IFERROR(INDEX(Map!$C$2:$C$400,MATCH($A634,Map!$A$2:$A$400,0)),"⚠ UNMAPPED"))</f>
        <v/>
      </c>
      <c r="H634" s="18" t="str">
        <f>IF($A634="","",IFERROR(INDEX(Map!$D$2:$D$400,MATCH($A634,Map!$A$2:$A$400,0)),"⚠ UNMAPPED"))</f>
        <v/>
      </c>
      <c r="I634" s="18" t="str">
        <f>IF($A634="","",IFERROR(INDEX(Map!$E$2:$E$400,MATCH($A634,Map!$A$2:$A$400,0)),"⚠ UNMAPPED"))</f>
        <v/>
      </c>
      <c r="J634" s="18" t="str">
        <f>IF($A634="","",IFERROR(INDEX(Map!$F$2:$F$400,MATCH($A634,Map!$A$2:$A$400,0)),"⚠ UNMAPPED"))</f>
        <v/>
      </c>
    </row>
    <row r="635" spans="7:10" x14ac:dyDescent="0.25">
      <c r="G635" s="18" t="str">
        <f>IF($A635="","",IFERROR(INDEX(Map!$C$2:$C$400,MATCH($A635,Map!$A$2:$A$400,0)),"⚠ UNMAPPED"))</f>
        <v/>
      </c>
      <c r="H635" s="18" t="str">
        <f>IF($A635="","",IFERROR(INDEX(Map!$D$2:$D$400,MATCH($A635,Map!$A$2:$A$400,0)),"⚠ UNMAPPED"))</f>
        <v/>
      </c>
      <c r="I635" s="18" t="str">
        <f>IF($A635="","",IFERROR(INDEX(Map!$E$2:$E$400,MATCH($A635,Map!$A$2:$A$400,0)),"⚠ UNMAPPED"))</f>
        <v/>
      </c>
      <c r="J635" s="18" t="str">
        <f>IF($A635="","",IFERROR(INDEX(Map!$F$2:$F$400,MATCH($A635,Map!$A$2:$A$400,0)),"⚠ UNMAPPED"))</f>
        <v/>
      </c>
    </row>
    <row r="636" spans="7:10" x14ac:dyDescent="0.25">
      <c r="G636" s="18" t="str">
        <f>IF($A636="","",IFERROR(INDEX(Map!$C$2:$C$400,MATCH($A636,Map!$A$2:$A$400,0)),"⚠ UNMAPPED"))</f>
        <v/>
      </c>
      <c r="H636" s="18" t="str">
        <f>IF($A636="","",IFERROR(INDEX(Map!$D$2:$D$400,MATCH($A636,Map!$A$2:$A$400,0)),"⚠ UNMAPPED"))</f>
        <v/>
      </c>
      <c r="I636" s="18" t="str">
        <f>IF($A636="","",IFERROR(INDEX(Map!$E$2:$E$400,MATCH($A636,Map!$A$2:$A$400,0)),"⚠ UNMAPPED"))</f>
        <v/>
      </c>
      <c r="J636" s="18" t="str">
        <f>IF($A636="","",IFERROR(INDEX(Map!$F$2:$F$400,MATCH($A636,Map!$A$2:$A$400,0)),"⚠ UNMAPPED"))</f>
        <v/>
      </c>
    </row>
    <row r="637" spans="7:10" x14ac:dyDescent="0.25">
      <c r="G637" s="18" t="str">
        <f>IF($A637="","",IFERROR(INDEX(Map!$C$2:$C$400,MATCH($A637,Map!$A$2:$A$400,0)),"⚠ UNMAPPED"))</f>
        <v/>
      </c>
      <c r="H637" s="18" t="str">
        <f>IF($A637="","",IFERROR(INDEX(Map!$D$2:$D$400,MATCH($A637,Map!$A$2:$A$400,0)),"⚠ UNMAPPED"))</f>
        <v/>
      </c>
      <c r="I637" s="18" t="str">
        <f>IF($A637="","",IFERROR(INDEX(Map!$E$2:$E$400,MATCH($A637,Map!$A$2:$A$400,0)),"⚠ UNMAPPED"))</f>
        <v/>
      </c>
      <c r="J637" s="18" t="str">
        <f>IF($A637="","",IFERROR(INDEX(Map!$F$2:$F$400,MATCH($A637,Map!$A$2:$A$400,0)),"⚠ UNMAPPED"))</f>
        <v/>
      </c>
    </row>
    <row r="638" spans="7:10" x14ac:dyDescent="0.25">
      <c r="G638" s="18" t="str">
        <f>IF($A638="","",IFERROR(INDEX(Map!$C$2:$C$400,MATCH($A638,Map!$A$2:$A$400,0)),"⚠ UNMAPPED"))</f>
        <v/>
      </c>
      <c r="H638" s="18" t="str">
        <f>IF($A638="","",IFERROR(INDEX(Map!$D$2:$D$400,MATCH($A638,Map!$A$2:$A$400,0)),"⚠ UNMAPPED"))</f>
        <v/>
      </c>
      <c r="I638" s="18" t="str">
        <f>IF($A638="","",IFERROR(INDEX(Map!$E$2:$E$400,MATCH($A638,Map!$A$2:$A$400,0)),"⚠ UNMAPPED"))</f>
        <v/>
      </c>
      <c r="J638" s="18" t="str">
        <f>IF($A638="","",IFERROR(INDEX(Map!$F$2:$F$400,MATCH($A638,Map!$A$2:$A$400,0)),"⚠ UNMAPPED"))</f>
        <v/>
      </c>
    </row>
    <row r="639" spans="7:10" x14ac:dyDescent="0.25">
      <c r="G639" s="18" t="str">
        <f>IF($A639="","",IFERROR(INDEX(Map!$C$2:$C$400,MATCH($A639,Map!$A$2:$A$400,0)),"⚠ UNMAPPED"))</f>
        <v/>
      </c>
      <c r="H639" s="18" t="str">
        <f>IF($A639="","",IFERROR(INDEX(Map!$D$2:$D$400,MATCH($A639,Map!$A$2:$A$400,0)),"⚠ UNMAPPED"))</f>
        <v/>
      </c>
      <c r="I639" s="18" t="str">
        <f>IF($A639="","",IFERROR(INDEX(Map!$E$2:$E$400,MATCH($A639,Map!$A$2:$A$400,0)),"⚠ UNMAPPED"))</f>
        <v/>
      </c>
      <c r="J639" s="18" t="str">
        <f>IF($A639="","",IFERROR(INDEX(Map!$F$2:$F$400,MATCH($A639,Map!$A$2:$A$400,0)),"⚠ UNMAPPED"))</f>
        <v/>
      </c>
    </row>
    <row r="640" spans="7:10" x14ac:dyDescent="0.25">
      <c r="G640" s="18" t="str">
        <f>IF($A640="","",IFERROR(INDEX(Map!$C$2:$C$400,MATCH($A640,Map!$A$2:$A$400,0)),"⚠ UNMAPPED"))</f>
        <v/>
      </c>
      <c r="H640" s="18" t="str">
        <f>IF($A640="","",IFERROR(INDEX(Map!$D$2:$D$400,MATCH($A640,Map!$A$2:$A$400,0)),"⚠ UNMAPPED"))</f>
        <v/>
      </c>
      <c r="I640" s="18" t="str">
        <f>IF($A640="","",IFERROR(INDEX(Map!$E$2:$E$400,MATCH($A640,Map!$A$2:$A$400,0)),"⚠ UNMAPPED"))</f>
        <v/>
      </c>
      <c r="J640" s="18" t="str">
        <f>IF($A640="","",IFERROR(INDEX(Map!$F$2:$F$400,MATCH($A640,Map!$A$2:$A$400,0)),"⚠ UNMAPPED"))</f>
        <v/>
      </c>
    </row>
    <row r="641" spans="7:10" x14ac:dyDescent="0.25">
      <c r="G641" s="18" t="str">
        <f>IF($A641="","",IFERROR(INDEX(Map!$C$2:$C$400,MATCH($A641,Map!$A$2:$A$400,0)),"⚠ UNMAPPED"))</f>
        <v/>
      </c>
      <c r="H641" s="18" t="str">
        <f>IF($A641="","",IFERROR(INDEX(Map!$D$2:$D$400,MATCH($A641,Map!$A$2:$A$400,0)),"⚠ UNMAPPED"))</f>
        <v/>
      </c>
      <c r="I641" s="18" t="str">
        <f>IF($A641="","",IFERROR(INDEX(Map!$E$2:$E$400,MATCH($A641,Map!$A$2:$A$400,0)),"⚠ UNMAPPED"))</f>
        <v/>
      </c>
      <c r="J641" s="18" t="str">
        <f>IF($A641="","",IFERROR(INDEX(Map!$F$2:$F$400,MATCH($A641,Map!$A$2:$A$400,0)),"⚠ UNMAPPED"))</f>
        <v/>
      </c>
    </row>
    <row r="642" spans="7:10" x14ac:dyDescent="0.25">
      <c r="G642" s="18" t="str">
        <f>IF($A642="","",IFERROR(INDEX(Map!$C$2:$C$400,MATCH($A642,Map!$A$2:$A$400,0)),"⚠ UNMAPPED"))</f>
        <v/>
      </c>
      <c r="H642" s="18" t="str">
        <f>IF($A642="","",IFERROR(INDEX(Map!$D$2:$D$400,MATCH($A642,Map!$A$2:$A$400,0)),"⚠ UNMAPPED"))</f>
        <v/>
      </c>
      <c r="I642" s="18" t="str">
        <f>IF($A642="","",IFERROR(INDEX(Map!$E$2:$E$400,MATCH($A642,Map!$A$2:$A$400,0)),"⚠ UNMAPPED"))</f>
        <v/>
      </c>
      <c r="J642" s="18" t="str">
        <f>IF($A642="","",IFERROR(INDEX(Map!$F$2:$F$400,MATCH($A642,Map!$A$2:$A$400,0)),"⚠ UNMAPPED"))</f>
        <v/>
      </c>
    </row>
    <row r="643" spans="7:10" x14ac:dyDescent="0.25">
      <c r="G643" s="18" t="str">
        <f>IF($A643="","",IFERROR(INDEX(Map!$C$2:$C$400,MATCH($A643,Map!$A$2:$A$400,0)),"⚠ UNMAPPED"))</f>
        <v/>
      </c>
      <c r="H643" s="18" t="str">
        <f>IF($A643="","",IFERROR(INDEX(Map!$D$2:$D$400,MATCH($A643,Map!$A$2:$A$400,0)),"⚠ UNMAPPED"))</f>
        <v/>
      </c>
      <c r="I643" s="18" t="str">
        <f>IF($A643="","",IFERROR(INDEX(Map!$E$2:$E$400,MATCH($A643,Map!$A$2:$A$400,0)),"⚠ UNMAPPED"))</f>
        <v/>
      </c>
      <c r="J643" s="18" t="str">
        <f>IF($A643="","",IFERROR(INDEX(Map!$F$2:$F$400,MATCH($A643,Map!$A$2:$A$400,0)),"⚠ UNMAPPED"))</f>
        <v/>
      </c>
    </row>
    <row r="644" spans="7:10" x14ac:dyDescent="0.25">
      <c r="G644" s="18" t="str">
        <f>IF($A644="","",IFERROR(INDEX(Map!$C$2:$C$400,MATCH($A644,Map!$A$2:$A$400,0)),"⚠ UNMAPPED"))</f>
        <v/>
      </c>
      <c r="H644" s="18" t="str">
        <f>IF($A644="","",IFERROR(INDEX(Map!$D$2:$D$400,MATCH($A644,Map!$A$2:$A$400,0)),"⚠ UNMAPPED"))</f>
        <v/>
      </c>
      <c r="I644" s="18" t="str">
        <f>IF($A644="","",IFERROR(INDEX(Map!$E$2:$E$400,MATCH($A644,Map!$A$2:$A$400,0)),"⚠ UNMAPPED"))</f>
        <v/>
      </c>
      <c r="J644" s="18" t="str">
        <f>IF($A644="","",IFERROR(INDEX(Map!$F$2:$F$400,MATCH($A644,Map!$A$2:$A$400,0)),"⚠ UNMAPPED"))</f>
        <v/>
      </c>
    </row>
    <row r="645" spans="7:10" x14ac:dyDescent="0.25">
      <c r="G645" s="18" t="str">
        <f>IF($A645="","",IFERROR(INDEX(Map!$C$2:$C$400,MATCH($A645,Map!$A$2:$A$400,0)),"⚠ UNMAPPED"))</f>
        <v/>
      </c>
      <c r="H645" s="18" t="str">
        <f>IF($A645="","",IFERROR(INDEX(Map!$D$2:$D$400,MATCH($A645,Map!$A$2:$A$400,0)),"⚠ UNMAPPED"))</f>
        <v/>
      </c>
      <c r="I645" s="18" t="str">
        <f>IF($A645="","",IFERROR(INDEX(Map!$E$2:$E$400,MATCH($A645,Map!$A$2:$A$400,0)),"⚠ UNMAPPED"))</f>
        <v/>
      </c>
      <c r="J645" s="18" t="str">
        <f>IF($A645="","",IFERROR(INDEX(Map!$F$2:$F$400,MATCH($A645,Map!$A$2:$A$400,0)),"⚠ UNMAPPED"))</f>
        <v/>
      </c>
    </row>
    <row r="646" spans="7:10" x14ac:dyDescent="0.25">
      <c r="G646" s="18" t="str">
        <f>IF($A646="","",IFERROR(INDEX(Map!$C$2:$C$400,MATCH($A646,Map!$A$2:$A$400,0)),"⚠ UNMAPPED"))</f>
        <v/>
      </c>
      <c r="H646" s="18" t="str">
        <f>IF($A646="","",IFERROR(INDEX(Map!$D$2:$D$400,MATCH($A646,Map!$A$2:$A$400,0)),"⚠ UNMAPPED"))</f>
        <v/>
      </c>
      <c r="I646" s="18" t="str">
        <f>IF($A646="","",IFERROR(INDEX(Map!$E$2:$E$400,MATCH($A646,Map!$A$2:$A$400,0)),"⚠ UNMAPPED"))</f>
        <v/>
      </c>
      <c r="J646" s="18" t="str">
        <f>IF($A646="","",IFERROR(INDEX(Map!$F$2:$F$400,MATCH($A646,Map!$A$2:$A$400,0)),"⚠ UNMAPPED"))</f>
        <v/>
      </c>
    </row>
    <row r="647" spans="7:10" x14ac:dyDescent="0.25">
      <c r="G647" s="18" t="str">
        <f>IF($A647="","",IFERROR(INDEX(Map!$C$2:$C$400,MATCH($A647,Map!$A$2:$A$400,0)),"⚠ UNMAPPED"))</f>
        <v/>
      </c>
      <c r="H647" s="18" t="str">
        <f>IF($A647="","",IFERROR(INDEX(Map!$D$2:$D$400,MATCH($A647,Map!$A$2:$A$400,0)),"⚠ UNMAPPED"))</f>
        <v/>
      </c>
      <c r="I647" s="18" t="str">
        <f>IF($A647="","",IFERROR(INDEX(Map!$E$2:$E$400,MATCH($A647,Map!$A$2:$A$400,0)),"⚠ UNMAPPED"))</f>
        <v/>
      </c>
      <c r="J647" s="18" t="str">
        <f>IF($A647="","",IFERROR(INDEX(Map!$F$2:$F$400,MATCH($A647,Map!$A$2:$A$400,0)),"⚠ UNMAPPED"))</f>
        <v/>
      </c>
    </row>
    <row r="648" spans="7:10" x14ac:dyDescent="0.25">
      <c r="G648" s="18" t="str">
        <f>IF($A648="","",IFERROR(INDEX(Map!$C$2:$C$400,MATCH($A648,Map!$A$2:$A$400,0)),"⚠ UNMAPPED"))</f>
        <v/>
      </c>
      <c r="H648" s="18" t="str">
        <f>IF($A648="","",IFERROR(INDEX(Map!$D$2:$D$400,MATCH($A648,Map!$A$2:$A$400,0)),"⚠ UNMAPPED"))</f>
        <v/>
      </c>
      <c r="I648" s="18" t="str">
        <f>IF($A648="","",IFERROR(INDEX(Map!$E$2:$E$400,MATCH($A648,Map!$A$2:$A$400,0)),"⚠ UNMAPPED"))</f>
        <v/>
      </c>
      <c r="J648" s="18" t="str">
        <f>IF($A648="","",IFERROR(INDEX(Map!$F$2:$F$400,MATCH($A648,Map!$A$2:$A$400,0)),"⚠ UNMAPPED"))</f>
        <v/>
      </c>
    </row>
    <row r="649" spans="7:10" x14ac:dyDescent="0.25">
      <c r="G649" s="18" t="str">
        <f>IF($A649="","",IFERROR(INDEX(Map!$C$2:$C$400,MATCH($A649,Map!$A$2:$A$400,0)),"⚠ UNMAPPED"))</f>
        <v/>
      </c>
      <c r="H649" s="18" t="str">
        <f>IF($A649="","",IFERROR(INDEX(Map!$D$2:$D$400,MATCH($A649,Map!$A$2:$A$400,0)),"⚠ UNMAPPED"))</f>
        <v/>
      </c>
      <c r="I649" s="18" t="str">
        <f>IF($A649="","",IFERROR(INDEX(Map!$E$2:$E$400,MATCH($A649,Map!$A$2:$A$400,0)),"⚠ UNMAPPED"))</f>
        <v/>
      </c>
      <c r="J649" s="18" t="str">
        <f>IF($A649="","",IFERROR(INDEX(Map!$F$2:$F$400,MATCH($A649,Map!$A$2:$A$400,0)),"⚠ UNMAPPED"))</f>
        <v/>
      </c>
    </row>
    <row r="650" spans="7:10" x14ac:dyDescent="0.25">
      <c r="G650" s="18" t="str">
        <f>IF($A650="","",IFERROR(INDEX(Map!$C$2:$C$400,MATCH($A650,Map!$A$2:$A$400,0)),"⚠ UNMAPPED"))</f>
        <v/>
      </c>
      <c r="H650" s="18" t="str">
        <f>IF($A650="","",IFERROR(INDEX(Map!$D$2:$D$400,MATCH($A650,Map!$A$2:$A$400,0)),"⚠ UNMAPPED"))</f>
        <v/>
      </c>
      <c r="I650" s="18" t="str">
        <f>IF($A650="","",IFERROR(INDEX(Map!$E$2:$E$400,MATCH($A650,Map!$A$2:$A$400,0)),"⚠ UNMAPPED"))</f>
        <v/>
      </c>
      <c r="J650" s="18" t="str">
        <f>IF($A650="","",IFERROR(INDEX(Map!$F$2:$F$400,MATCH($A650,Map!$A$2:$A$400,0)),"⚠ UNMAPPED"))</f>
        <v/>
      </c>
    </row>
    <row r="651" spans="7:10" x14ac:dyDescent="0.25">
      <c r="G651" s="18" t="str">
        <f>IF($A651="","",IFERROR(INDEX(Map!$C$2:$C$400,MATCH($A651,Map!$A$2:$A$400,0)),"⚠ UNMAPPED"))</f>
        <v/>
      </c>
      <c r="H651" s="18" t="str">
        <f>IF($A651="","",IFERROR(INDEX(Map!$D$2:$D$400,MATCH($A651,Map!$A$2:$A$400,0)),"⚠ UNMAPPED"))</f>
        <v/>
      </c>
      <c r="I651" s="18" t="str">
        <f>IF($A651="","",IFERROR(INDEX(Map!$E$2:$E$400,MATCH($A651,Map!$A$2:$A$400,0)),"⚠ UNMAPPED"))</f>
        <v/>
      </c>
      <c r="J651" s="18" t="str">
        <f>IF($A651="","",IFERROR(INDEX(Map!$F$2:$F$400,MATCH($A651,Map!$A$2:$A$400,0)),"⚠ UNMAPPED"))</f>
        <v/>
      </c>
    </row>
    <row r="652" spans="7:10" x14ac:dyDescent="0.25">
      <c r="G652" s="18" t="str">
        <f>IF($A652="","",IFERROR(INDEX(Map!$C$2:$C$400,MATCH($A652,Map!$A$2:$A$400,0)),"⚠ UNMAPPED"))</f>
        <v/>
      </c>
      <c r="H652" s="18" t="str">
        <f>IF($A652="","",IFERROR(INDEX(Map!$D$2:$D$400,MATCH($A652,Map!$A$2:$A$400,0)),"⚠ UNMAPPED"))</f>
        <v/>
      </c>
      <c r="I652" s="18" t="str">
        <f>IF($A652="","",IFERROR(INDEX(Map!$E$2:$E$400,MATCH($A652,Map!$A$2:$A$400,0)),"⚠ UNMAPPED"))</f>
        <v/>
      </c>
      <c r="J652" s="18" t="str">
        <f>IF($A652="","",IFERROR(INDEX(Map!$F$2:$F$400,MATCH($A652,Map!$A$2:$A$400,0)),"⚠ UNMAPPED"))</f>
        <v/>
      </c>
    </row>
    <row r="653" spans="7:10" x14ac:dyDescent="0.25">
      <c r="G653" s="18" t="str">
        <f>IF($A653="","",IFERROR(INDEX(Map!$C$2:$C$400,MATCH($A653,Map!$A$2:$A$400,0)),"⚠ UNMAPPED"))</f>
        <v/>
      </c>
      <c r="H653" s="18" t="str">
        <f>IF($A653="","",IFERROR(INDEX(Map!$D$2:$D$400,MATCH($A653,Map!$A$2:$A$400,0)),"⚠ UNMAPPED"))</f>
        <v/>
      </c>
      <c r="I653" s="18" t="str">
        <f>IF($A653="","",IFERROR(INDEX(Map!$E$2:$E$400,MATCH($A653,Map!$A$2:$A$400,0)),"⚠ UNMAPPED"))</f>
        <v/>
      </c>
      <c r="J653" s="18" t="str">
        <f>IF($A653="","",IFERROR(INDEX(Map!$F$2:$F$400,MATCH($A653,Map!$A$2:$A$400,0)),"⚠ UNMAPPED"))</f>
        <v/>
      </c>
    </row>
    <row r="654" spans="7:10" x14ac:dyDescent="0.25">
      <c r="G654" s="18" t="str">
        <f>IF($A654="","",IFERROR(INDEX(Map!$C$2:$C$400,MATCH($A654,Map!$A$2:$A$400,0)),"⚠ UNMAPPED"))</f>
        <v/>
      </c>
      <c r="H654" s="18" t="str">
        <f>IF($A654="","",IFERROR(INDEX(Map!$D$2:$D$400,MATCH($A654,Map!$A$2:$A$400,0)),"⚠ UNMAPPED"))</f>
        <v/>
      </c>
      <c r="I654" s="18" t="str">
        <f>IF($A654="","",IFERROR(INDEX(Map!$E$2:$E$400,MATCH($A654,Map!$A$2:$A$400,0)),"⚠ UNMAPPED"))</f>
        <v/>
      </c>
      <c r="J654" s="18" t="str">
        <f>IF($A654="","",IFERROR(INDEX(Map!$F$2:$F$400,MATCH($A654,Map!$A$2:$A$400,0)),"⚠ UNMAPPED"))</f>
        <v/>
      </c>
    </row>
    <row r="655" spans="7:10" x14ac:dyDescent="0.25">
      <c r="G655" s="18" t="str">
        <f>IF($A655="","",IFERROR(INDEX(Map!$C$2:$C$400,MATCH($A655,Map!$A$2:$A$400,0)),"⚠ UNMAPPED"))</f>
        <v/>
      </c>
      <c r="H655" s="18" t="str">
        <f>IF($A655="","",IFERROR(INDEX(Map!$D$2:$D$400,MATCH($A655,Map!$A$2:$A$400,0)),"⚠ UNMAPPED"))</f>
        <v/>
      </c>
      <c r="I655" s="18" t="str">
        <f>IF($A655="","",IFERROR(INDEX(Map!$E$2:$E$400,MATCH($A655,Map!$A$2:$A$400,0)),"⚠ UNMAPPED"))</f>
        <v/>
      </c>
      <c r="J655" s="18" t="str">
        <f>IF($A655="","",IFERROR(INDEX(Map!$F$2:$F$400,MATCH($A655,Map!$A$2:$A$400,0)),"⚠ UNMAPPED"))</f>
        <v/>
      </c>
    </row>
    <row r="656" spans="7:10" x14ac:dyDescent="0.25">
      <c r="G656" s="18" t="str">
        <f>IF($A656="","",IFERROR(INDEX(Map!$C$2:$C$400,MATCH($A656,Map!$A$2:$A$400,0)),"⚠ UNMAPPED"))</f>
        <v/>
      </c>
      <c r="H656" s="18" t="str">
        <f>IF($A656="","",IFERROR(INDEX(Map!$D$2:$D$400,MATCH($A656,Map!$A$2:$A$400,0)),"⚠ UNMAPPED"))</f>
        <v/>
      </c>
      <c r="I656" s="18" t="str">
        <f>IF($A656="","",IFERROR(INDEX(Map!$E$2:$E$400,MATCH($A656,Map!$A$2:$A$400,0)),"⚠ UNMAPPED"))</f>
        <v/>
      </c>
      <c r="J656" s="18" t="str">
        <f>IF($A656="","",IFERROR(INDEX(Map!$F$2:$F$400,MATCH($A656,Map!$A$2:$A$400,0)),"⚠ UNMAPPED"))</f>
        <v/>
      </c>
    </row>
    <row r="657" spans="7:10" x14ac:dyDescent="0.25">
      <c r="G657" s="18" t="str">
        <f>IF($A657="","",IFERROR(INDEX(Map!$C$2:$C$400,MATCH($A657,Map!$A$2:$A$400,0)),"⚠ UNMAPPED"))</f>
        <v/>
      </c>
      <c r="H657" s="18" t="str">
        <f>IF($A657="","",IFERROR(INDEX(Map!$D$2:$D$400,MATCH($A657,Map!$A$2:$A$400,0)),"⚠ UNMAPPED"))</f>
        <v/>
      </c>
      <c r="I657" s="18" t="str">
        <f>IF($A657="","",IFERROR(INDEX(Map!$E$2:$E$400,MATCH($A657,Map!$A$2:$A$400,0)),"⚠ UNMAPPED"))</f>
        <v/>
      </c>
      <c r="J657" s="18" t="str">
        <f>IF($A657="","",IFERROR(INDEX(Map!$F$2:$F$400,MATCH($A657,Map!$A$2:$A$400,0)),"⚠ UNMAPPED"))</f>
        <v/>
      </c>
    </row>
    <row r="658" spans="7:10" x14ac:dyDescent="0.25">
      <c r="G658" s="18" t="str">
        <f>IF($A658="","",IFERROR(INDEX(Map!$C$2:$C$400,MATCH($A658,Map!$A$2:$A$400,0)),"⚠ UNMAPPED"))</f>
        <v/>
      </c>
      <c r="H658" s="18" t="str">
        <f>IF($A658="","",IFERROR(INDEX(Map!$D$2:$D$400,MATCH($A658,Map!$A$2:$A$400,0)),"⚠ UNMAPPED"))</f>
        <v/>
      </c>
      <c r="I658" s="18" t="str">
        <f>IF($A658="","",IFERROR(INDEX(Map!$E$2:$E$400,MATCH($A658,Map!$A$2:$A$400,0)),"⚠ UNMAPPED"))</f>
        <v/>
      </c>
      <c r="J658" s="18" t="str">
        <f>IF($A658="","",IFERROR(INDEX(Map!$F$2:$F$400,MATCH($A658,Map!$A$2:$A$400,0)),"⚠ UNMAPPED"))</f>
        <v/>
      </c>
    </row>
    <row r="659" spans="7:10" x14ac:dyDescent="0.25">
      <c r="G659" s="18" t="str">
        <f>IF($A659="","",IFERROR(INDEX(Map!$C$2:$C$400,MATCH($A659,Map!$A$2:$A$400,0)),"⚠ UNMAPPED"))</f>
        <v/>
      </c>
      <c r="H659" s="18" t="str">
        <f>IF($A659="","",IFERROR(INDEX(Map!$D$2:$D$400,MATCH($A659,Map!$A$2:$A$400,0)),"⚠ UNMAPPED"))</f>
        <v/>
      </c>
      <c r="I659" s="18" t="str">
        <f>IF($A659="","",IFERROR(INDEX(Map!$E$2:$E$400,MATCH($A659,Map!$A$2:$A$400,0)),"⚠ UNMAPPED"))</f>
        <v/>
      </c>
      <c r="J659" s="18" t="str">
        <f>IF($A659="","",IFERROR(INDEX(Map!$F$2:$F$400,MATCH($A659,Map!$A$2:$A$400,0)),"⚠ UNMAPPED"))</f>
        <v/>
      </c>
    </row>
    <row r="660" spans="7:10" x14ac:dyDescent="0.25">
      <c r="G660" s="18" t="str">
        <f>IF($A660="","",IFERROR(INDEX(Map!$C$2:$C$400,MATCH($A660,Map!$A$2:$A$400,0)),"⚠ UNMAPPED"))</f>
        <v/>
      </c>
      <c r="H660" s="18" t="str">
        <f>IF($A660="","",IFERROR(INDEX(Map!$D$2:$D$400,MATCH($A660,Map!$A$2:$A$400,0)),"⚠ UNMAPPED"))</f>
        <v/>
      </c>
      <c r="I660" s="18" t="str">
        <f>IF($A660="","",IFERROR(INDEX(Map!$E$2:$E$400,MATCH($A660,Map!$A$2:$A$400,0)),"⚠ UNMAPPED"))</f>
        <v/>
      </c>
      <c r="J660" s="18" t="str">
        <f>IF($A660="","",IFERROR(INDEX(Map!$F$2:$F$400,MATCH($A660,Map!$A$2:$A$400,0)),"⚠ UNMAPPED"))</f>
        <v/>
      </c>
    </row>
    <row r="661" spans="7:10" x14ac:dyDescent="0.25">
      <c r="G661" s="18" t="str">
        <f>IF($A661="","",IFERROR(INDEX(Map!$C$2:$C$400,MATCH($A661,Map!$A$2:$A$400,0)),"⚠ UNMAPPED"))</f>
        <v/>
      </c>
      <c r="H661" s="18" t="str">
        <f>IF($A661="","",IFERROR(INDEX(Map!$D$2:$D$400,MATCH($A661,Map!$A$2:$A$400,0)),"⚠ UNMAPPED"))</f>
        <v/>
      </c>
      <c r="I661" s="18" t="str">
        <f>IF($A661="","",IFERROR(INDEX(Map!$E$2:$E$400,MATCH($A661,Map!$A$2:$A$400,0)),"⚠ UNMAPPED"))</f>
        <v/>
      </c>
      <c r="J661" s="18" t="str">
        <f>IF($A661="","",IFERROR(INDEX(Map!$F$2:$F$400,MATCH($A661,Map!$A$2:$A$400,0)),"⚠ UNMAPPED"))</f>
        <v/>
      </c>
    </row>
    <row r="662" spans="7:10" x14ac:dyDescent="0.25">
      <c r="G662" s="18" t="str">
        <f>IF($A662="","",IFERROR(INDEX(Map!$C$2:$C$400,MATCH($A662,Map!$A$2:$A$400,0)),"⚠ UNMAPPED"))</f>
        <v/>
      </c>
      <c r="H662" s="18" t="str">
        <f>IF($A662="","",IFERROR(INDEX(Map!$D$2:$D$400,MATCH($A662,Map!$A$2:$A$400,0)),"⚠ UNMAPPED"))</f>
        <v/>
      </c>
      <c r="I662" s="18" t="str">
        <f>IF($A662="","",IFERROR(INDEX(Map!$E$2:$E$400,MATCH($A662,Map!$A$2:$A$400,0)),"⚠ UNMAPPED"))</f>
        <v/>
      </c>
      <c r="J662" s="18" t="str">
        <f>IF($A662="","",IFERROR(INDEX(Map!$F$2:$F$400,MATCH($A662,Map!$A$2:$A$400,0)),"⚠ UNMAPPED"))</f>
        <v/>
      </c>
    </row>
    <row r="663" spans="7:10" x14ac:dyDescent="0.25">
      <c r="G663" s="18" t="str">
        <f>IF($A663="","",IFERROR(INDEX(Map!$C$2:$C$400,MATCH($A663,Map!$A$2:$A$400,0)),"⚠ UNMAPPED"))</f>
        <v/>
      </c>
      <c r="H663" s="18" t="str">
        <f>IF($A663="","",IFERROR(INDEX(Map!$D$2:$D$400,MATCH($A663,Map!$A$2:$A$400,0)),"⚠ UNMAPPED"))</f>
        <v/>
      </c>
      <c r="I663" s="18" t="str">
        <f>IF($A663="","",IFERROR(INDEX(Map!$E$2:$E$400,MATCH($A663,Map!$A$2:$A$400,0)),"⚠ UNMAPPED"))</f>
        <v/>
      </c>
      <c r="J663" s="18" t="str">
        <f>IF($A663="","",IFERROR(INDEX(Map!$F$2:$F$400,MATCH($A663,Map!$A$2:$A$400,0)),"⚠ UNMAPPED"))</f>
        <v/>
      </c>
    </row>
    <row r="664" spans="7:10" x14ac:dyDescent="0.25">
      <c r="G664" s="18" t="str">
        <f>IF($A664="","",IFERROR(INDEX(Map!$C$2:$C$400,MATCH($A664,Map!$A$2:$A$400,0)),"⚠ UNMAPPED"))</f>
        <v/>
      </c>
      <c r="H664" s="18" t="str">
        <f>IF($A664="","",IFERROR(INDEX(Map!$D$2:$D$400,MATCH($A664,Map!$A$2:$A$400,0)),"⚠ UNMAPPED"))</f>
        <v/>
      </c>
      <c r="I664" s="18" t="str">
        <f>IF($A664="","",IFERROR(INDEX(Map!$E$2:$E$400,MATCH($A664,Map!$A$2:$A$400,0)),"⚠ UNMAPPED"))</f>
        <v/>
      </c>
      <c r="J664" s="18" t="str">
        <f>IF($A664="","",IFERROR(INDEX(Map!$F$2:$F$400,MATCH($A664,Map!$A$2:$A$400,0)),"⚠ UNMAPPED"))</f>
        <v/>
      </c>
    </row>
    <row r="665" spans="7:10" x14ac:dyDescent="0.25">
      <c r="G665" s="18" t="str">
        <f>IF($A665="","",IFERROR(INDEX(Map!$C$2:$C$400,MATCH($A665,Map!$A$2:$A$400,0)),"⚠ UNMAPPED"))</f>
        <v/>
      </c>
      <c r="H665" s="18" t="str">
        <f>IF($A665="","",IFERROR(INDEX(Map!$D$2:$D$400,MATCH($A665,Map!$A$2:$A$400,0)),"⚠ UNMAPPED"))</f>
        <v/>
      </c>
      <c r="I665" s="18" t="str">
        <f>IF($A665="","",IFERROR(INDEX(Map!$E$2:$E$400,MATCH($A665,Map!$A$2:$A$400,0)),"⚠ UNMAPPED"))</f>
        <v/>
      </c>
      <c r="J665" s="18" t="str">
        <f>IF($A665="","",IFERROR(INDEX(Map!$F$2:$F$400,MATCH($A665,Map!$A$2:$A$400,0)),"⚠ UNMAPPED"))</f>
        <v/>
      </c>
    </row>
    <row r="666" spans="7:10" x14ac:dyDescent="0.25">
      <c r="G666" s="18" t="str">
        <f>IF($A666="","",IFERROR(INDEX(Map!$C$2:$C$400,MATCH($A666,Map!$A$2:$A$400,0)),"⚠ UNMAPPED"))</f>
        <v/>
      </c>
      <c r="H666" s="18" t="str">
        <f>IF($A666="","",IFERROR(INDEX(Map!$D$2:$D$400,MATCH($A666,Map!$A$2:$A$400,0)),"⚠ UNMAPPED"))</f>
        <v/>
      </c>
      <c r="I666" s="18" t="str">
        <f>IF($A666="","",IFERROR(INDEX(Map!$E$2:$E$400,MATCH($A666,Map!$A$2:$A$400,0)),"⚠ UNMAPPED"))</f>
        <v/>
      </c>
      <c r="J666" s="18" t="str">
        <f>IF($A666="","",IFERROR(INDEX(Map!$F$2:$F$400,MATCH($A666,Map!$A$2:$A$400,0)),"⚠ UNMAPPED"))</f>
        <v/>
      </c>
    </row>
    <row r="667" spans="7:10" x14ac:dyDescent="0.25">
      <c r="G667" s="18" t="str">
        <f>IF($A667="","",IFERROR(INDEX(Map!$C$2:$C$400,MATCH($A667,Map!$A$2:$A$400,0)),"⚠ UNMAPPED"))</f>
        <v/>
      </c>
      <c r="H667" s="18" t="str">
        <f>IF($A667="","",IFERROR(INDEX(Map!$D$2:$D$400,MATCH($A667,Map!$A$2:$A$400,0)),"⚠ UNMAPPED"))</f>
        <v/>
      </c>
      <c r="I667" s="18" t="str">
        <f>IF($A667="","",IFERROR(INDEX(Map!$E$2:$E$400,MATCH($A667,Map!$A$2:$A$400,0)),"⚠ UNMAPPED"))</f>
        <v/>
      </c>
      <c r="J667" s="18" t="str">
        <f>IF($A667="","",IFERROR(INDEX(Map!$F$2:$F$400,MATCH($A667,Map!$A$2:$A$400,0)),"⚠ UNMAPPED"))</f>
        <v/>
      </c>
    </row>
    <row r="668" spans="7:10" x14ac:dyDescent="0.25">
      <c r="G668" s="18" t="str">
        <f>IF($A668="","",IFERROR(INDEX(Map!$C$2:$C$400,MATCH($A668,Map!$A$2:$A$400,0)),"⚠ UNMAPPED"))</f>
        <v/>
      </c>
      <c r="H668" s="18" t="str">
        <f>IF($A668="","",IFERROR(INDEX(Map!$D$2:$D$400,MATCH($A668,Map!$A$2:$A$400,0)),"⚠ UNMAPPED"))</f>
        <v/>
      </c>
      <c r="I668" s="18" t="str">
        <f>IF($A668="","",IFERROR(INDEX(Map!$E$2:$E$400,MATCH($A668,Map!$A$2:$A$400,0)),"⚠ UNMAPPED"))</f>
        <v/>
      </c>
      <c r="J668" s="18" t="str">
        <f>IF($A668="","",IFERROR(INDEX(Map!$F$2:$F$400,MATCH($A668,Map!$A$2:$A$400,0)),"⚠ UNMAPPED"))</f>
        <v/>
      </c>
    </row>
    <row r="669" spans="7:10" x14ac:dyDescent="0.25">
      <c r="G669" s="18" t="str">
        <f>IF($A669="","",IFERROR(INDEX(Map!$C$2:$C$400,MATCH($A669,Map!$A$2:$A$400,0)),"⚠ UNMAPPED"))</f>
        <v/>
      </c>
      <c r="H669" s="18" t="str">
        <f>IF($A669="","",IFERROR(INDEX(Map!$D$2:$D$400,MATCH($A669,Map!$A$2:$A$400,0)),"⚠ UNMAPPED"))</f>
        <v/>
      </c>
      <c r="I669" s="18" t="str">
        <f>IF($A669="","",IFERROR(INDEX(Map!$E$2:$E$400,MATCH($A669,Map!$A$2:$A$400,0)),"⚠ UNMAPPED"))</f>
        <v/>
      </c>
      <c r="J669" s="18" t="str">
        <f>IF($A669="","",IFERROR(INDEX(Map!$F$2:$F$400,MATCH($A669,Map!$A$2:$A$400,0)),"⚠ UNMAPPED"))</f>
        <v/>
      </c>
    </row>
    <row r="670" spans="7:10" x14ac:dyDescent="0.25">
      <c r="G670" s="18" t="str">
        <f>IF($A670="","",IFERROR(INDEX(Map!$C$2:$C$400,MATCH($A670,Map!$A$2:$A$400,0)),"⚠ UNMAPPED"))</f>
        <v/>
      </c>
      <c r="H670" s="18" t="str">
        <f>IF($A670="","",IFERROR(INDEX(Map!$D$2:$D$400,MATCH($A670,Map!$A$2:$A$400,0)),"⚠ UNMAPPED"))</f>
        <v/>
      </c>
      <c r="I670" s="18" t="str">
        <f>IF($A670="","",IFERROR(INDEX(Map!$E$2:$E$400,MATCH($A670,Map!$A$2:$A$400,0)),"⚠ UNMAPPED"))</f>
        <v/>
      </c>
      <c r="J670" s="18" t="str">
        <f>IF($A670="","",IFERROR(INDEX(Map!$F$2:$F$400,MATCH($A670,Map!$A$2:$A$400,0)),"⚠ UNMAPPED"))</f>
        <v/>
      </c>
    </row>
    <row r="671" spans="7:10" x14ac:dyDescent="0.25">
      <c r="G671" s="18" t="str">
        <f>IF($A671="","",IFERROR(INDEX(Map!$C$2:$C$400,MATCH($A671,Map!$A$2:$A$400,0)),"⚠ UNMAPPED"))</f>
        <v/>
      </c>
      <c r="H671" s="18" t="str">
        <f>IF($A671="","",IFERROR(INDEX(Map!$D$2:$D$400,MATCH($A671,Map!$A$2:$A$400,0)),"⚠ UNMAPPED"))</f>
        <v/>
      </c>
      <c r="I671" s="18" t="str">
        <f>IF($A671="","",IFERROR(INDEX(Map!$E$2:$E$400,MATCH($A671,Map!$A$2:$A$400,0)),"⚠ UNMAPPED"))</f>
        <v/>
      </c>
      <c r="J671" s="18" t="str">
        <f>IF($A671="","",IFERROR(INDEX(Map!$F$2:$F$400,MATCH($A671,Map!$A$2:$A$400,0)),"⚠ UNMAPPED"))</f>
        <v/>
      </c>
    </row>
    <row r="672" spans="7:10" x14ac:dyDescent="0.25">
      <c r="G672" s="18" t="str">
        <f>IF($A672="","",IFERROR(INDEX(Map!$C$2:$C$400,MATCH($A672,Map!$A$2:$A$400,0)),"⚠ UNMAPPED"))</f>
        <v/>
      </c>
      <c r="H672" s="18" t="str">
        <f>IF($A672="","",IFERROR(INDEX(Map!$D$2:$D$400,MATCH($A672,Map!$A$2:$A$400,0)),"⚠ UNMAPPED"))</f>
        <v/>
      </c>
      <c r="I672" s="18" t="str">
        <f>IF($A672="","",IFERROR(INDEX(Map!$E$2:$E$400,MATCH($A672,Map!$A$2:$A$400,0)),"⚠ UNMAPPED"))</f>
        <v/>
      </c>
      <c r="J672" s="18" t="str">
        <f>IF($A672="","",IFERROR(INDEX(Map!$F$2:$F$400,MATCH($A672,Map!$A$2:$A$400,0)),"⚠ UNMAPPED"))</f>
        <v/>
      </c>
    </row>
    <row r="673" spans="7:10" x14ac:dyDescent="0.25">
      <c r="G673" s="18" t="str">
        <f>IF($A673="","",IFERROR(INDEX(Map!$C$2:$C$400,MATCH($A673,Map!$A$2:$A$400,0)),"⚠ UNMAPPED"))</f>
        <v/>
      </c>
      <c r="H673" s="18" t="str">
        <f>IF($A673="","",IFERROR(INDEX(Map!$D$2:$D$400,MATCH($A673,Map!$A$2:$A$400,0)),"⚠ UNMAPPED"))</f>
        <v/>
      </c>
      <c r="I673" s="18" t="str">
        <f>IF($A673="","",IFERROR(INDEX(Map!$E$2:$E$400,MATCH($A673,Map!$A$2:$A$400,0)),"⚠ UNMAPPED"))</f>
        <v/>
      </c>
      <c r="J673" s="18" t="str">
        <f>IF($A673="","",IFERROR(INDEX(Map!$F$2:$F$400,MATCH($A673,Map!$A$2:$A$400,0)),"⚠ UNMAPPED"))</f>
        <v/>
      </c>
    </row>
    <row r="674" spans="7:10" x14ac:dyDescent="0.25">
      <c r="G674" s="18" t="str">
        <f>IF($A674="","",IFERROR(INDEX(Map!$C$2:$C$400,MATCH($A674,Map!$A$2:$A$400,0)),"⚠ UNMAPPED"))</f>
        <v/>
      </c>
      <c r="H674" s="18" t="str">
        <f>IF($A674="","",IFERROR(INDEX(Map!$D$2:$D$400,MATCH($A674,Map!$A$2:$A$400,0)),"⚠ UNMAPPED"))</f>
        <v/>
      </c>
      <c r="I674" s="18" t="str">
        <f>IF($A674="","",IFERROR(INDEX(Map!$E$2:$E$400,MATCH($A674,Map!$A$2:$A$400,0)),"⚠ UNMAPPED"))</f>
        <v/>
      </c>
      <c r="J674" s="18" t="str">
        <f>IF($A674="","",IFERROR(INDEX(Map!$F$2:$F$400,MATCH($A674,Map!$A$2:$A$400,0)),"⚠ UNMAPPED"))</f>
        <v/>
      </c>
    </row>
    <row r="675" spans="7:10" x14ac:dyDescent="0.25">
      <c r="G675" s="18" t="str">
        <f>IF($A675="","",IFERROR(INDEX(Map!$C$2:$C$400,MATCH($A675,Map!$A$2:$A$400,0)),"⚠ UNMAPPED"))</f>
        <v/>
      </c>
      <c r="H675" s="18" t="str">
        <f>IF($A675="","",IFERROR(INDEX(Map!$D$2:$D$400,MATCH($A675,Map!$A$2:$A$400,0)),"⚠ UNMAPPED"))</f>
        <v/>
      </c>
      <c r="I675" s="18" t="str">
        <f>IF($A675="","",IFERROR(INDEX(Map!$E$2:$E$400,MATCH($A675,Map!$A$2:$A$400,0)),"⚠ UNMAPPED"))</f>
        <v/>
      </c>
      <c r="J675" s="18" t="str">
        <f>IF($A675="","",IFERROR(INDEX(Map!$F$2:$F$400,MATCH($A675,Map!$A$2:$A$400,0)),"⚠ UNMAPPED"))</f>
        <v/>
      </c>
    </row>
    <row r="676" spans="7:10" x14ac:dyDescent="0.25">
      <c r="G676" s="18" t="str">
        <f>IF($A676="","",IFERROR(INDEX(Map!$C$2:$C$400,MATCH($A676,Map!$A$2:$A$400,0)),"⚠ UNMAPPED"))</f>
        <v/>
      </c>
      <c r="H676" s="18" t="str">
        <f>IF($A676="","",IFERROR(INDEX(Map!$D$2:$D$400,MATCH($A676,Map!$A$2:$A$400,0)),"⚠ UNMAPPED"))</f>
        <v/>
      </c>
      <c r="I676" s="18" t="str">
        <f>IF($A676="","",IFERROR(INDEX(Map!$E$2:$E$400,MATCH($A676,Map!$A$2:$A$400,0)),"⚠ UNMAPPED"))</f>
        <v/>
      </c>
      <c r="J676" s="18" t="str">
        <f>IF($A676="","",IFERROR(INDEX(Map!$F$2:$F$400,MATCH($A676,Map!$A$2:$A$400,0)),"⚠ UNMAPPED"))</f>
        <v/>
      </c>
    </row>
    <row r="677" spans="7:10" x14ac:dyDescent="0.25">
      <c r="G677" s="18" t="str">
        <f>IF($A677="","",IFERROR(INDEX(Map!$C$2:$C$400,MATCH($A677,Map!$A$2:$A$400,0)),"⚠ UNMAPPED"))</f>
        <v/>
      </c>
      <c r="H677" s="18" t="str">
        <f>IF($A677="","",IFERROR(INDEX(Map!$D$2:$D$400,MATCH($A677,Map!$A$2:$A$400,0)),"⚠ UNMAPPED"))</f>
        <v/>
      </c>
      <c r="I677" s="18" t="str">
        <f>IF($A677="","",IFERROR(INDEX(Map!$E$2:$E$400,MATCH($A677,Map!$A$2:$A$400,0)),"⚠ UNMAPPED"))</f>
        <v/>
      </c>
      <c r="J677" s="18" t="str">
        <f>IF($A677="","",IFERROR(INDEX(Map!$F$2:$F$400,MATCH($A677,Map!$A$2:$A$400,0)),"⚠ UNMAPPED"))</f>
        <v/>
      </c>
    </row>
    <row r="678" spans="7:10" x14ac:dyDescent="0.25">
      <c r="G678" s="18" t="str">
        <f>IF($A678="","",IFERROR(INDEX(Map!$C$2:$C$400,MATCH($A678,Map!$A$2:$A$400,0)),"⚠ UNMAPPED"))</f>
        <v/>
      </c>
      <c r="H678" s="18" t="str">
        <f>IF($A678="","",IFERROR(INDEX(Map!$D$2:$D$400,MATCH($A678,Map!$A$2:$A$400,0)),"⚠ UNMAPPED"))</f>
        <v/>
      </c>
      <c r="I678" s="18" t="str">
        <f>IF($A678="","",IFERROR(INDEX(Map!$E$2:$E$400,MATCH($A678,Map!$A$2:$A$400,0)),"⚠ UNMAPPED"))</f>
        <v/>
      </c>
      <c r="J678" s="18" t="str">
        <f>IF($A678="","",IFERROR(INDEX(Map!$F$2:$F$400,MATCH($A678,Map!$A$2:$A$400,0)),"⚠ UNMAPPED"))</f>
        <v/>
      </c>
    </row>
    <row r="679" spans="7:10" x14ac:dyDescent="0.25">
      <c r="G679" s="18" t="str">
        <f>IF($A679="","",IFERROR(INDEX(Map!$C$2:$C$400,MATCH($A679,Map!$A$2:$A$400,0)),"⚠ UNMAPPED"))</f>
        <v/>
      </c>
      <c r="H679" s="18" t="str">
        <f>IF($A679="","",IFERROR(INDEX(Map!$D$2:$D$400,MATCH($A679,Map!$A$2:$A$400,0)),"⚠ UNMAPPED"))</f>
        <v/>
      </c>
      <c r="I679" s="18" t="str">
        <f>IF($A679="","",IFERROR(INDEX(Map!$E$2:$E$400,MATCH($A679,Map!$A$2:$A$400,0)),"⚠ UNMAPPED"))</f>
        <v/>
      </c>
      <c r="J679" s="18" t="str">
        <f>IF($A679="","",IFERROR(INDEX(Map!$F$2:$F$400,MATCH($A679,Map!$A$2:$A$400,0)),"⚠ UNMAPPED"))</f>
        <v/>
      </c>
    </row>
    <row r="680" spans="7:10" x14ac:dyDescent="0.25">
      <c r="G680" s="18" t="str">
        <f>IF($A680="","",IFERROR(INDEX(Map!$C$2:$C$400,MATCH($A680,Map!$A$2:$A$400,0)),"⚠ UNMAPPED"))</f>
        <v/>
      </c>
      <c r="H680" s="18" t="str">
        <f>IF($A680="","",IFERROR(INDEX(Map!$D$2:$D$400,MATCH($A680,Map!$A$2:$A$400,0)),"⚠ UNMAPPED"))</f>
        <v/>
      </c>
      <c r="I680" s="18" t="str">
        <f>IF($A680="","",IFERROR(INDEX(Map!$E$2:$E$400,MATCH($A680,Map!$A$2:$A$400,0)),"⚠ UNMAPPED"))</f>
        <v/>
      </c>
      <c r="J680" s="18" t="str">
        <f>IF($A680="","",IFERROR(INDEX(Map!$F$2:$F$400,MATCH($A680,Map!$A$2:$A$400,0)),"⚠ UNMAPPED"))</f>
        <v/>
      </c>
    </row>
    <row r="681" spans="7:10" x14ac:dyDescent="0.25">
      <c r="G681" s="18" t="str">
        <f>IF($A681="","",IFERROR(INDEX(Map!$C$2:$C$400,MATCH($A681,Map!$A$2:$A$400,0)),"⚠ UNMAPPED"))</f>
        <v/>
      </c>
      <c r="H681" s="18" t="str">
        <f>IF($A681="","",IFERROR(INDEX(Map!$D$2:$D$400,MATCH($A681,Map!$A$2:$A$400,0)),"⚠ UNMAPPED"))</f>
        <v/>
      </c>
      <c r="I681" s="18" t="str">
        <f>IF($A681="","",IFERROR(INDEX(Map!$E$2:$E$400,MATCH($A681,Map!$A$2:$A$400,0)),"⚠ UNMAPPED"))</f>
        <v/>
      </c>
      <c r="J681" s="18" t="str">
        <f>IF($A681="","",IFERROR(INDEX(Map!$F$2:$F$400,MATCH($A681,Map!$A$2:$A$400,0)),"⚠ UNMAPPED"))</f>
        <v/>
      </c>
    </row>
    <row r="682" spans="7:10" x14ac:dyDescent="0.25">
      <c r="G682" s="18" t="str">
        <f>IF($A682="","",IFERROR(INDEX(Map!$C$2:$C$400,MATCH($A682,Map!$A$2:$A$400,0)),"⚠ UNMAPPED"))</f>
        <v/>
      </c>
      <c r="H682" s="18" t="str">
        <f>IF($A682="","",IFERROR(INDEX(Map!$D$2:$D$400,MATCH($A682,Map!$A$2:$A$400,0)),"⚠ UNMAPPED"))</f>
        <v/>
      </c>
      <c r="I682" s="18" t="str">
        <f>IF($A682="","",IFERROR(INDEX(Map!$E$2:$E$400,MATCH($A682,Map!$A$2:$A$400,0)),"⚠ UNMAPPED"))</f>
        <v/>
      </c>
      <c r="J682" s="18" t="str">
        <f>IF($A682="","",IFERROR(INDEX(Map!$F$2:$F$400,MATCH($A682,Map!$A$2:$A$400,0)),"⚠ UNMAPPED"))</f>
        <v/>
      </c>
    </row>
    <row r="683" spans="7:10" x14ac:dyDescent="0.25">
      <c r="G683" s="18" t="str">
        <f>IF($A683="","",IFERROR(INDEX(Map!$C$2:$C$400,MATCH($A683,Map!$A$2:$A$400,0)),"⚠ UNMAPPED"))</f>
        <v/>
      </c>
      <c r="H683" s="18" t="str">
        <f>IF($A683="","",IFERROR(INDEX(Map!$D$2:$D$400,MATCH($A683,Map!$A$2:$A$400,0)),"⚠ UNMAPPED"))</f>
        <v/>
      </c>
      <c r="I683" s="18" t="str">
        <f>IF($A683="","",IFERROR(INDEX(Map!$E$2:$E$400,MATCH($A683,Map!$A$2:$A$400,0)),"⚠ UNMAPPED"))</f>
        <v/>
      </c>
      <c r="J683" s="18" t="str">
        <f>IF($A683="","",IFERROR(INDEX(Map!$F$2:$F$400,MATCH($A683,Map!$A$2:$A$400,0)),"⚠ UNMAPPED"))</f>
        <v/>
      </c>
    </row>
    <row r="684" spans="7:10" x14ac:dyDescent="0.25">
      <c r="G684" s="18" t="str">
        <f>IF($A684="","",IFERROR(INDEX(Map!$C$2:$C$400,MATCH($A684,Map!$A$2:$A$400,0)),"⚠ UNMAPPED"))</f>
        <v/>
      </c>
      <c r="H684" s="18" t="str">
        <f>IF($A684="","",IFERROR(INDEX(Map!$D$2:$D$400,MATCH($A684,Map!$A$2:$A$400,0)),"⚠ UNMAPPED"))</f>
        <v/>
      </c>
      <c r="I684" s="18" t="str">
        <f>IF($A684="","",IFERROR(INDEX(Map!$E$2:$E$400,MATCH($A684,Map!$A$2:$A$400,0)),"⚠ UNMAPPED"))</f>
        <v/>
      </c>
      <c r="J684" s="18" t="str">
        <f>IF($A684="","",IFERROR(INDEX(Map!$F$2:$F$400,MATCH($A684,Map!$A$2:$A$400,0)),"⚠ UNMAPPED"))</f>
        <v/>
      </c>
    </row>
    <row r="685" spans="7:10" x14ac:dyDescent="0.25">
      <c r="G685" s="18" t="str">
        <f>IF($A685="","",IFERROR(INDEX(Map!$C$2:$C$400,MATCH($A685,Map!$A$2:$A$400,0)),"⚠ UNMAPPED"))</f>
        <v/>
      </c>
      <c r="H685" s="18" t="str">
        <f>IF($A685="","",IFERROR(INDEX(Map!$D$2:$D$400,MATCH($A685,Map!$A$2:$A$400,0)),"⚠ UNMAPPED"))</f>
        <v/>
      </c>
      <c r="I685" s="18" t="str">
        <f>IF($A685="","",IFERROR(INDEX(Map!$E$2:$E$400,MATCH($A685,Map!$A$2:$A$400,0)),"⚠ UNMAPPED"))</f>
        <v/>
      </c>
      <c r="J685" s="18" t="str">
        <f>IF($A685="","",IFERROR(INDEX(Map!$F$2:$F$400,MATCH($A685,Map!$A$2:$A$400,0)),"⚠ UNMAPPED"))</f>
        <v/>
      </c>
    </row>
    <row r="686" spans="7:10" x14ac:dyDescent="0.25">
      <c r="G686" s="18" t="str">
        <f>IF($A686="","",IFERROR(INDEX(Map!$C$2:$C$400,MATCH($A686,Map!$A$2:$A$400,0)),"⚠ UNMAPPED"))</f>
        <v/>
      </c>
      <c r="H686" s="18" t="str">
        <f>IF($A686="","",IFERROR(INDEX(Map!$D$2:$D$400,MATCH($A686,Map!$A$2:$A$400,0)),"⚠ UNMAPPED"))</f>
        <v/>
      </c>
      <c r="I686" s="18" t="str">
        <f>IF($A686="","",IFERROR(INDEX(Map!$E$2:$E$400,MATCH($A686,Map!$A$2:$A$400,0)),"⚠ UNMAPPED"))</f>
        <v/>
      </c>
      <c r="J686" s="18" t="str">
        <f>IF($A686="","",IFERROR(INDEX(Map!$F$2:$F$400,MATCH($A686,Map!$A$2:$A$400,0)),"⚠ UNMAPPED"))</f>
        <v/>
      </c>
    </row>
    <row r="687" spans="7:10" x14ac:dyDescent="0.25">
      <c r="G687" s="18" t="str">
        <f>IF($A687="","",IFERROR(INDEX(Map!$C$2:$C$400,MATCH($A687,Map!$A$2:$A$400,0)),"⚠ UNMAPPED"))</f>
        <v/>
      </c>
      <c r="H687" s="18" t="str">
        <f>IF($A687="","",IFERROR(INDEX(Map!$D$2:$D$400,MATCH($A687,Map!$A$2:$A$400,0)),"⚠ UNMAPPED"))</f>
        <v/>
      </c>
      <c r="I687" s="18" t="str">
        <f>IF($A687="","",IFERROR(INDEX(Map!$E$2:$E$400,MATCH($A687,Map!$A$2:$A$400,0)),"⚠ UNMAPPED"))</f>
        <v/>
      </c>
      <c r="J687" s="18" t="str">
        <f>IF($A687="","",IFERROR(INDEX(Map!$F$2:$F$400,MATCH($A687,Map!$A$2:$A$400,0)),"⚠ UNMAPPED"))</f>
        <v/>
      </c>
    </row>
    <row r="688" spans="7:10" x14ac:dyDescent="0.25">
      <c r="G688" s="18" t="str">
        <f>IF($A688="","",IFERROR(INDEX(Map!$C$2:$C$400,MATCH($A688,Map!$A$2:$A$400,0)),"⚠ UNMAPPED"))</f>
        <v/>
      </c>
      <c r="H688" s="18" t="str">
        <f>IF($A688="","",IFERROR(INDEX(Map!$D$2:$D$400,MATCH($A688,Map!$A$2:$A$400,0)),"⚠ UNMAPPED"))</f>
        <v/>
      </c>
      <c r="I688" s="18" t="str">
        <f>IF($A688="","",IFERROR(INDEX(Map!$E$2:$E$400,MATCH($A688,Map!$A$2:$A$400,0)),"⚠ UNMAPPED"))</f>
        <v/>
      </c>
      <c r="J688" s="18" t="str">
        <f>IF($A688="","",IFERROR(INDEX(Map!$F$2:$F$400,MATCH($A688,Map!$A$2:$A$400,0)),"⚠ UNMAPPED"))</f>
        <v/>
      </c>
    </row>
    <row r="689" spans="7:10" x14ac:dyDescent="0.25">
      <c r="G689" s="18" t="str">
        <f>IF($A689="","",IFERROR(INDEX(Map!$C$2:$C$400,MATCH($A689,Map!$A$2:$A$400,0)),"⚠ UNMAPPED"))</f>
        <v/>
      </c>
      <c r="H689" s="18" t="str">
        <f>IF($A689="","",IFERROR(INDEX(Map!$D$2:$D$400,MATCH($A689,Map!$A$2:$A$400,0)),"⚠ UNMAPPED"))</f>
        <v/>
      </c>
      <c r="I689" s="18" t="str">
        <f>IF($A689="","",IFERROR(INDEX(Map!$E$2:$E$400,MATCH($A689,Map!$A$2:$A$400,0)),"⚠ UNMAPPED"))</f>
        <v/>
      </c>
      <c r="J689" s="18" t="str">
        <f>IF($A689="","",IFERROR(INDEX(Map!$F$2:$F$400,MATCH($A689,Map!$A$2:$A$400,0)),"⚠ UNMAPPED"))</f>
        <v/>
      </c>
    </row>
    <row r="690" spans="7:10" x14ac:dyDescent="0.25">
      <c r="G690" s="18" t="str">
        <f>IF($A690="","",IFERROR(INDEX(Map!$C$2:$C$400,MATCH($A690,Map!$A$2:$A$400,0)),"⚠ UNMAPPED"))</f>
        <v/>
      </c>
      <c r="H690" s="18" t="str">
        <f>IF($A690="","",IFERROR(INDEX(Map!$D$2:$D$400,MATCH($A690,Map!$A$2:$A$400,0)),"⚠ UNMAPPED"))</f>
        <v/>
      </c>
      <c r="I690" s="18" t="str">
        <f>IF($A690="","",IFERROR(INDEX(Map!$E$2:$E$400,MATCH($A690,Map!$A$2:$A$400,0)),"⚠ UNMAPPED"))</f>
        <v/>
      </c>
      <c r="J690" s="18" t="str">
        <f>IF($A690="","",IFERROR(INDEX(Map!$F$2:$F$400,MATCH($A690,Map!$A$2:$A$400,0)),"⚠ UNMAPPED"))</f>
        <v/>
      </c>
    </row>
    <row r="691" spans="7:10" x14ac:dyDescent="0.25">
      <c r="G691" s="18" t="str">
        <f>IF($A691="","",IFERROR(INDEX(Map!$C$2:$C$400,MATCH($A691,Map!$A$2:$A$400,0)),"⚠ UNMAPPED"))</f>
        <v/>
      </c>
      <c r="H691" s="18" t="str">
        <f>IF($A691="","",IFERROR(INDEX(Map!$D$2:$D$400,MATCH($A691,Map!$A$2:$A$400,0)),"⚠ UNMAPPED"))</f>
        <v/>
      </c>
      <c r="I691" s="18" t="str">
        <f>IF($A691="","",IFERROR(INDEX(Map!$E$2:$E$400,MATCH($A691,Map!$A$2:$A$400,0)),"⚠ UNMAPPED"))</f>
        <v/>
      </c>
      <c r="J691" s="18" t="str">
        <f>IF($A691="","",IFERROR(INDEX(Map!$F$2:$F$400,MATCH($A691,Map!$A$2:$A$400,0)),"⚠ UNMAPPED"))</f>
        <v/>
      </c>
    </row>
    <row r="692" spans="7:10" x14ac:dyDescent="0.25">
      <c r="G692" s="18" t="str">
        <f>IF($A692="","",IFERROR(INDEX(Map!$C$2:$C$400,MATCH($A692,Map!$A$2:$A$400,0)),"⚠ UNMAPPED"))</f>
        <v/>
      </c>
      <c r="H692" s="18" t="str">
        <f>IF($A692="","",IFERROR(INDEX(Map!$D$2:$D$400,MATCH($A692,Map!$A$2:$A$400,0)),"⚠ UNMAPPED"))</f>
        <v/>
      </c>
      <c r="I692" s="18" t="str">
        <f>IF($A692="","",IFERROR(INDEX(Map!$E$2:$E$400,MATCH($A692,Map!$A$2:$A$400,0)),"⚠ UNMAPPED"))</f>
        <v/>
      </c>
      <c r="J692" s="18" t="str">
        <f>IF($A692="","",IFERROR(INDEX(Map!$F$2:$F$400,MATCH($A692,Map!$A$2:$A$400,0)),"⚠ UNMAPPED"))</f>
        <v/>
      </c>
    </row>
    <row r="693" spans="7:10" x14ac:dyDescent="0.25">
      <c r="G693" s="18" t="str">
        <f>IF($A693="","",IFERROR(INDEX(Map!$C$2:$C$400,MATCH($A693,Map!$A$2:$A$400,0)),"⚠ UNMAPPED"))</f>
        <v/>
      </c>
      <c r="H693" s="18" t="str">
        <f>IF($A693="","",IFERROR(INDEX(Map!$D$2:$D$400,MATCH($A693,Map!$A$2:$A$400,0)),"⚠ UNMAPPED"))</f>
        <v/>
      </c>
      <c r="I693" s="18" t="str">
        <f>IF($A693="","",IFERROR(INDEX(Map!$E$2:$E$400,MATCH($A693,Map!$A$2:$A$400,0)),"⚠ UNMAPPED"))</f>
        <v/>
      </c>
      <c r="J693" s="18" t="str">
        <f>IF($A693="","",IFERROR(INDEX(Map!$F$2:$F$400,MATCH($A693,Map!$A$2:$A$400,0)),"⚠ UNMAPPED"))</f>
        <v/>
      </c>
    </row>
    <row r="694" spans="7:10" x14ac:dyDescent="0.25">
      <c r="G694" s="18" t="str">
        <f>IF($A694="","",IFERROR(INDEX(Map!$C$2:$C$400,MATCH($A694,Map!$A$2:$A$400,0)),"⚠ UNMAPPED"))</f>
        <v/>
      </c>
      <c r="H694" s="18" t="str">
        <f>IF($A694="","",IFERROR(INDEX(Map!$D$2:$D$400,MATCH($A694,Map!$A$2:$A$400,0)),"⚠ UNMAPPED"))</f>
        <v/>
      </c>
      <c r="I694" s="18" t="str">
        <f>IF($A694="","",IFERROR(INDEX(Map!$E$2:$E$400,MATCH($A694,Map!$A$2:$A$400,0)),"⚠ UNMAPPED"))</f>
        <v/>
      </c>
      <c r="J694" s="18" t="str">
        <f>IF($A694="","",IFERROR(INDEX(Map!$F$2:$F$400,MATCH($A694,Map!$A$2:$A$400,0)),"⚠ UNMAPPED"))</f>
        <v/>
      </c>
    </row>
    <row r="695" spans="7:10" x14ac:dyDescent="0.25">
      <c r="G695" s="18" t="str">
        <f>IF($A695="","",IFERROR(INDEX(Map!$C$2:$C$400,MATCH($A695,Map!$A$2:$A$400,0)),"⚠ UNMAPPED"))</f>
        <v/>
      </c>
      <c r="H695" s="18" t="str">
        <f>IF($A695="","",IFERROR(INDEX(Map!$D$2:$D$400,MATCH($A695,Map!$A$2:$A$400,0)),"⚠ UNMAPPED"))</f>
        <v/>
      </c>
      <c r="I695" s="18" t="str">
        <f>IF($A695="","",IFERROR(INDEX(Map!$E$2:$E$400,MATCH($A695,Map!$A$2:$A$400,0)),"⚠ UNMAPPED"))</f>
        <v/>
      </c>
      <c r="J695" s="18" t="str">
        <f>IF($A695="","",IFERROR(INDEX(Map!$F$2:$F$400,MATCH($A695,Map!$A$2:$A$400,0)),"⚠ UNMAPPED"))</f>
        <v/>
      </c>
    </row>
    <row r="696" spans="7:10" x14ac:dyDescent="0.25">
      <c r="G696" s="18" t="str">
        <f>IF($A696="","",IFERROR(INDEX(Map!$C$2:$C$400,MATCH($A696,Map!$A$2:$A$400,0)),"⚠ UNMAPPED"))</f>
        <v/>
      </c>
      <c r="H696" s="18" t="str">
        <f>IF($A696="","",IFERROR(INDEX(Map!$D$2:$D$400,MATCH($A696,Map!$A$2:$A$400,0)),"⚠ UNMAPPED"))</f>
        <v/>
      </c>
      <c r="I696" s="18" t="str">
        <f>IF($A696="","",IFERROR(INDEX(Map!$E$2:$E$400,MATCH($A696,Map!$A$2:$A$400,0)),"⚠ UNMAPPED"))</f>
        <v/>
      </c>
      <c r="J696" s="18" t="str">
        <f>IF($A696="","",IFERROR(INDEX(Map!$F$2:$F$400,MATCH($A696,Map!$A$2:$A$400,0)),"⚠ UNMAPPED"))</f>
        <v/>
      </c>
    </row>
    <row r="697" spans="7:10" x14ac:dyDescent="0.25">
      <c r="G697" s="18" t="str">
        <f>IF($A697="","",IFERROR(INDEX(Map!$C$2:$C$400,MATCH($A697,Map!$A$2:$A$400,0)),"⚠ UNMAPPED"))</f>
        <v/>
      </c>
      <c r="H697" s="18" t="str">
        <f>IF($A697="","",IFERROR(INDEX(Map!$D$2:$D$400,MATCH($A697,Map!$A$2:$A$400,0)),"⚠ UNMAPPED"))</f>
        <v/>
      </c>
      <c r="I697" s="18" t="str">
        <f>IF($A697="","",IFERROR(INDEX(Map!$E$2:$E$400,MATCH($A697,Map!$A$2:$A$400,0)),"⚠ UNMAPPED"))</f>
        <v/>
      </c>
      <c r="J697" s="18" t="str">
        <f>IF($A697="","",IFERROR(INDEX(Map!$F$2:$F$400,MATCH($A697,Map!$A$2:$A$400,0)),"⚠ UNMAPPED"))</f>
        <v/>
      </c>
    </row>
    <row r="698" spans="7:10" x14ac:dyDescent="0.25">
      <c r="G698" s="18" t="str">
        <f>IF($A698="","",IFERROR(INDEX(Map!$C$2:$C$400,MATCH($A698,Map!$A$2:$A$400,0)),"⚠ UNMAPPED"))</f>
        <v/>
      </c>
      <c r="H698" s="18" t="str">
        <f>IF($A698="","",IFERROR(INDEX(Map!$D$2:$D$400,MATCH($A698,Map!$A$2:$A$400,0)),"⚠ UNMAPPED"))</f>
        <v/>
      </c>
      <c r="I698" s="18" t="str">
        <f>IF($A698="","",IFERROR(INDEX(Map!$E$2:$E$400,MATCH($A698,Map!$A$2:$A$400,0)),"⚠ UNMAPPED"))</f>
        <v/>
      </c>
      <c r="J698" s="18" t="str">
        <f>IF($A698="","",IFERROR(INDEX(Map!$F$2:$F$400,MATCH($A698,Map!$A$2:$A$400,0)),"⚠ UNMAPPED"))</f>
        <v/>
      </c>
    </row>
    <row r="699" spans="7:10" x14ac:dyDescent="0.25">
      <c r="G699" s="18" t="str">
        <f>IF($A699="","",IFERROR(INDEX(Map!$C$2:$C$400,MATCH($A699,Map!$A$2:$A$400,0)),"⚠ UNMAPPED"))</f>
        <v/>
      </c>
      <c r="H699" s="18" t="str">
        <f>IF($A699="","",IFERROR(INDEX(Map!$D$2:$D$400,MATCH($A699,Map!$A$2:$A$400,0)),"⚠ UNMAPPED"))</f>
        <v/>
      </c>
      <c r="I699" s="18" t="str">
        <f>IF($A699="","",IFERROR(INDEX(Map!$E$2:$E$400,MATCH($A699,Map!$A$2:$A$400,0)),"⚠ UNMAPPED"))</f>
        <v/>
      </c>
      <c r="J699" s="18" t="str">
        <f>IF($A699="","",IFERROR(INDEX(Map!$F$2:$F$400,MATCH($A699,Map!$A$2:$A$400,0)),"⚠ UNMAPPED"))</f>
        <v/>
      </c>
    </row>
    <row r="700" spans="7:10" x14ac:dyDescent="0.25">
      <c r="G700" s="18" t="str">
        <f>IF($A700="","",IFERROR(INDEX(Map!$C$2:$C$400,MATCH($A700,Map!$A$2:$A$400,0)),"⚠ UNMAPPED"))</f>
        <v/>
      </c>
      <c r="H700" s="18" t="str">
        <f>IF($A700="","",IFERROR(INDEX(Map!$D$2:$D$400,MATCH($A700,Map!$A$2:$A$400,0)),"⚠ UNMAPPED"))</f>
        <v/>
      </c>
      <c r="I700" s="18" t="str">
        <f>IF($A700="","",IFERROR(INDEX(Map!$E$2:$E$400,MATCH($A700,Map!$A$2:$A$400,0)),"⚠ UNMAPPED"))</f>
        <v/>
      </c>
      <c r="J700" s="18" t="str">
        <f>IF($A700="","",IFERROR(INDEX(Map!$F$2:$F$400,MATCH($A700,Map!$A$2:$A$400,0)),"⚠ UNMAPPED"))</f>
        <v/>
      </c>
    </row>
    <row r="701" spans="7:10" x14ac:dyDescent="0.25">
      <c r="G701" s="18" t="str">
        <f>IF($A701="","",IFERROR(INDEX(Map!$C$2:$C$400,MATCH($A701,Map!$A$2:$A$400,0)),"⚠ UNMAPPED"))</f>
        <v/>
      </c>
      <c r="H701" s="18" t="str">
        <f>IF($A701="","",IFERROR(INDEX(Map!$D$2:$D$400,MATCH($A701,Map!$A$2:$A$400,0)),"⚠ UNMAPPED"))</f>
        <v/>
      </c>
      <c r="I701" s="18" t="str">
        <f>IF($A701="","",IFERROR(INDEX(Map!$E$2:$E$400,MATCH($A701,Map!$A$2:$A$400,0)),"⚠ UNMAPPED"))</f>
        <v/>
      </c>
      <c r="J701" s="18" t="str">
        <f>IF($A701="","",IFERROR(INDEX(Map!$F$2:$F$400,MATCH($A701,Map!$A$2:$A$400,0)),"⚠ UNMAPPED"))</f>
        <v/>
      </c>
    </row>
    <row r="702" spans="7:10" x14ac:dyDescent="0.25">
      <c r="G702" s="18" t="str">
        <f>IF($A702="","",IFERROR(INDEX(Map!$C$2:$C$400,MATCH($A702,Map!$A$2:$A$400,0)),"⚠ UNMAPPED"))</f>
        <v/>
      </c>
      <c r="H702" s="18" t="str">
        <f>IF($A702="","",IFERROR(INDEX(Map!$D$2:$D$400,MATCH($A702,Map!$A$2:$A$400,0)),"⚠ UNMAPPED"))</f>
        <v/>
      </c>
      <c r="I702" s="18" t="str">
        <f>IF($A702="","",IFERROR(INDEX(Map!$E$2:$E$400,MATCH($A702,Map!$A$2:$A$400,0)),"⚠ UNMAPPED"))</f>
        <v/>
      </c>
      <c r="J702" s="18" t="str">
        <f>IF($A702="","",IFERROR(INDEX(Map!$F$2:$F$400,MATCH($A702,Map!$A$2:$A$400,0)),"⚠ UNMAPPED"))</f>
        <v/>
      </c>
    </row>
    <row r="703" spans="7:10" x14ac:dyDescent="0.25">
      <c r="G703" s="18" t="str">
        <f>IF($A703="","",IFERROR(INDEX(Map!$C$2:$C$400,MATCH($A703,Map!$A$2:$A$400,0)),"⚠ UNMAPPED"))</f>
        <v/>
      </c>
      <c r="H703" s="18" t="str">
        <f>IF($A703="","",IFERROR(INDEX(Map!$D$2:$D$400,MATCH($A703,Map!$A$2:$A$400,0)),"⚠ UNMAPPED"))</f>
        <v/>
      </c>
      <c r="I703" s="18" t="str">
        <f>IF($A703="","",IFERROR(INDEX(Map!$E$2:$E$400,MATCH($A703,Map!$A$2:$A$400,0)),"⚠ UNMAPPED"))</f>
        <v/>
      </c>
      <c r="J703" s="18" t="str">
        <f>IF($A703="","",IFERROR(INDEX(Map!$F$2:$F$400,MATCH($A703,Map!$A$2:$A$400,0)),"⚠ UNMAPPED"))</f>
        <v/>
      </c>
    </row>
    <row r="704" spans="7:10" x14ac:dyDescent="0.25">
      <c r="G704" s="18" t="str">
        <f>IF($A704="","",IFERROR(INDEX(Map!$C$2:$C$400,MATCH($A704,Map!$A$2:$A$400,0)),"⚠ UNMAPPED"))</f>
        <v/>
      </c>
      <c r="H704" s="18" t="str">
        <f>IF($A704="","",IFERROR(INDEX(Map!$D$2:$D$400,MATCH($A704,Map!$A$2:$A$400,0)),"⚠ UNMAPPED"))</f>
        <v/>
      </c>
      <c r="I704" s="18" t="str">
        <f>IF($A704="","",IFERROR(INDEX(Map!$E$2:$E$400,MATCH($A704,Map!$A$2:$A$400,0)),"⚠ UNMAPPED"))</f>
        <v/>
      </c>
      <c r="J704" s="18" t="str">
        <f>IF($A704="","",IFERROR(INDEX(Map!$F$2:$F$400,MATCH($A704,Map!$A$2:$A$400,0)),"⚠ UNMAPPED"))</f>
        <v/>
      </c>
    </row>
    <row r="705" spans="7:10" x14ac:dyDescent="0.25">
      <c r="G705" s="18" t="str">
        <f>IF($A705="","",IFERROR(INDEX(Map!$C$2:$C$400,MATCH($A705,Map!$A$2:$A$400,0)),"⚠ UNMAPPED"))</f>
        <v/>
      </c>
      <c r="H705" s="18" t="str">
        <f>IF($A705="","",IFERROR(INDEX(Map!$D$2:$D$400,MATCH($A705,Map!$A$2:$A$400,0)),"⚠ UNMAPPED"))</f>
        <v/>
      </c>
      <c r="I705" s="18" t="str">
        <f>IF($A705="","",IFERROR(INDEX(Map!$E$2:$E$400,MATCH($A705,Map!$A$2:$A$400,0)),"⚠ UNMAPPED"))</f>
        <v/>
      </c>
      <c r="J705" s="18" t="str">
        <f>IF($A705="","",IFERROR(INDEX(Map!$F$2:$F$400,MATCH($A705,Map!$A$2:$A$400,0)),"⚠ UNMAPPED"))</f>
        <v/>
      </c>
    </row>
    <row r="706" spans="7:10" x14ac:dyDescent="0.25">
      <c r="G706" s="18" t="str">
        <f>IF($A706="","",IFERROR(INDEX(Map!$C$2:$C$400,MATCH($A706,Map!$A$2:$A$400,0)),"⚠ UNMAPPED"))</f>
        <v/>
      </c>
      <c r="H706" s="18" t="str">
        <f>IF($A706="","",IFERROR(INDEX(Map!$D$2:$D$400,MATCH($A706,Map!$A$2:$A$400,0)),"⚠ UNMAPPED"))</f>
        <v/>
      </c>
      <c r="I706" s="18" t="str">
        <f>IF($A706="","",IFERROR(INDEX(Map!$E$2:$E$400,MATCH($A706,Map!$A$2:$A$400,0)),"⚠ UNMAPPED"))</f>
        <v/>
      </c>
      <c r="J706" s="18" t="str">
        <f>IF($A706="","",IFERROR(INDEX(Map!$F$2:$F$400,MATCH($A706,Map!$A$2:$A$400,0)),"⚠ UNMAPPED"))</f>
        <v/>
      </c>
    </row>
    <row r="707" spans="7:10" x14ac:dyDescent="0.25">
      <c r="G707" s="18" t="str">
        <f>IF($A707="","",IFERROR(INDEX(Map!$C$2:$C$400,MATCH($A707,Map!$A$2:$A$400,0)),"⚠ UNMAPPED"))</f>
        <v/>
      </c>
      <c r="H707" s="18" t="str">
        <f>IF($A707="","",IFERROR(INDEX(Map!$D$2:$D$400,MATCH($A707,Map!$A$2:$A$400,0)),"⚠ UNMAPPED"))</f>
        <v/>
      </c>
      <c r="I707" s="18" t="str">
        <f>IF($A707="","",IFERROR(INDEX(Map!$E$2:$E$400,MATCH($A707,Map!$A$2:$A$400,0)),"⚠ UNMAPPED"))</f>
        <v/>
      </c>
      <c r="J707" s="18" t="str">
        <f>IF($A707="","",IFERROR(INDEX(Map!$F$2:$F$400,MATCH($A707,Map!$A$2:$A$400,0)),"⚠ UNMAPPED"))</f>
        <v/>
      </c>
    </row>
    <row r="708" spans="7:10" x14ac:dyDescent="0.25">
      <c r="G708" s="18" t="str">
        <f>IF($A708="","",IFERROR(INDEX(Map!$C$2:$C$400,MATCH($A708,Map!$A$2:$A$400,0)),"⚠ UNMAPPED"))</f>
        <v/>
      </c>
      <c r="H708" s="18" t="str">
        <f>IF($A708="","",IFERROR(INDEX(Map!$D$2:$D$400,MATCH($A708,Map!$A$2:$A$400,0)),"⚠ UNMAPPED"))</f>
        <v/>
      </c>
      <c r="I708" s="18" t="str">
        <f>IF($A708="","",IFERROR(INDEX(Map!$E$2:$E$400,MATCH($A708,Map!$A$2:$A$400,0)),"⚠ UNMAPPED"))</f>
        <v/>
      </c>
      <c r="J708" s="18" t="str">
        <f>IF($A708="","",IFERROR(INDEX(Map!$F$2:$F$400,MATCH($A708,Map!$A$2:$A$400,0)),"⚠ UNMAPPED"))</f>
        <v/>
      </c>
    </row>
    <row r="709" spans="7:10" x14ac:dyDescent="0.25">
      <c r="G709" s="18" t="str">
        <f>IF($A709="","",IFERROR(INDEX(Map!$C$2:$C$400,MATCH($A709,Map!$A$2:$A$400,0)),"⚠ UNMAPPED"))</f>
        <v/>
      </c>
      <c r="H709" s="18" t="str">
        <f>IF($A709="","",IFERROR(INDEX(Map!$D$2:$D$400,MATCH($A709,Map!$A$2:$A$400,0)),"⚠ UNMAPPED"))</f>
        <v/>
      </c>
      <c r="I709" s="18" t="str">
        <f>IF($A709="","",IFERROR(INDEX(Map!$E$2:$E$400,MATCH($A709,Map!$A$2:$A$400,0)),"⚠ UNMAPPED"))</f>
        <v/>
      </c>
      <c r="J709" s="18" t="str">
        <f>IF($A709="","",IFERROR(INDEX(Map!$F$2:$F$400,MATCH($A709,Map!$A$2:$A$400,0)),"⚠ UNMAPPED"))</f>
        <v/>
      </c>
    </row>
    <row r="710" spans="7:10" x14ac:dyDescent="0.25">
      <c r="G710" s="18" t="str">
        <f>IF($A710="","",IFERROR(INDEX(Map!$C$2:$C$400,MATCH($A710,Map!$A$2:$A$400,0)),"⚠ UNMAPPED"))</f>
        <v/>
      </c>
      <c r="H710" s="18" t="str">
        <f>IF($A710="","",IFERROR(INDEX(Map!$D$2:$D$400,MATCH($A710,Map!$A$2:$A$400,0)),"⚠ UNMAPPED"))</f>
        <v/>
      </c>
      <c r="I710" s="18" t="str">
        <f>IF($A710="","",IFERROR(INDEX(Map!$E$2:$E$400,MATCH($A710,Map!$A$2:$A$400,0)),"⚠ UNMAPPED"))</f>
        <v/>
      </c>
      <c r="J710" s="18" t="str">
        <f>IF($A710="","",IFERROR(INDEX(Map!$F$2:$F$400,MATCH($A710,Map!$A$2:$A$400,0)),"⚠ UNMAPPED"))</f>
        <v/>
      </c>
    </row>
    <row r="711" spans="7:10" x14ac:dyDescent="0.25">
      <c r="G711" s="18" t="str">
        <f>IF($A711="","",IFERROR(INDEX(Map!$C$2:$C$400,MATCH($A711,Map!$A$2:$A$400,0)),"⚠ UNMAPPED"))</f>
        <v/>
      </c>
      <c r="H711" s="18" t="str">
        <f>IF($A711="","",IFERROR(INDEX(Map!$D$2:$D$400,MATCH($A711,Map!$A$2:$A$400,0)),"⚠ UNMAPPED"))</f>
        <v/>
      </c>
      <c r="I711" s="18" t="str">
        <f>IF($A711="","",IFERROR(INDEX(Map!$E$2:$E$400,MATCH($A711,Map!$A$2:$A$400,0)),"⚠ UNMAPPED"))</f>
        <v/>
      </c>
      <c r="J711" s="18" t="str">
        <f>IF($A711="","",IFERROR(INDEX(Map!$F$2:$F$400,MATCH($A711,Map!$A$2:$A$400,0)),"⚠ UNMAPPED"))</f>
        <v/>
      </c>
    </row>
    <row r="712" spans="7:10" x14ac:dyDescent="0.25">
      <c r="G712" s="18" t="str">
        <f>IF($A712="","",IFERROR(INDEX(Map!$C$2:$C$400,MATCH($A712,Map!$A$2:$A$400,0)),"⚠ UNMAPPED"))</f>
        <v/>
      </c>
      <c r="H712" s="18" t="str">
        <f>IF($A712="","",IFERROR(INDEX(Map!$D$2:$D$400,MATCH($A712,Map!$A$2:$A$400,0)),"⚠ UNMAPPED"))</f>
        <v/>
      </c>
      <c r="I712" s="18" t="str">
        <f>IF($A712="","",IFERROR(INDEX(Map!$E$2:$E$400,MATCH($A712,Map!$A$2:$A$400,0)),"⚠ UNMAPPED"))</f>
        <v/>
      </c>
      <c r="J712" s="18" t="str">
        <f>IF($A712="","",IFERROR(INDEX(Map!$F$2:$F$400,MATCH($A712,Map!$A$2:$A$400,0)),"⚠ UNMAPPED"))</f>
        <v/>
      </c>
    </row>
    <row r="713" spans="7:10" x14ac:dyDescent="0.25">
      <c r="G713" s="18" t="str">
        <f>IF($A713="","",IFERROR(INDEX(Map!$C$2:$C$400,MATCH($A713,Map!$A$2:$A$400,0)),"⚠ UNMAPPED"))</f>
        <v/>
      </c>
      <c r="H713" s="18" t="str">
        <f>IF($A713="","",IFERROR(INDEX(Map!$D$2:$D$400,MATCH($A713,Map!$A$2:$A$400,0)),"⚠ UNMAPPED"))</f>
        <v/>
      </c>
      <c r="I713" s="18" t="str">
        <f>IF($A713="","",IFERROR(INDEX(Map!$E$2:$E$400,MATCH($A713,Map!$A$2:$A$400,0)),"⚠ UNMAPPED"))</f>
        <v/>
      </c>
      <c r="J713" s="18" t="str">
        <f>IF($A713="","",IFERROR(INDEX(Map!$F$2:$F$400,MATCH($A713,Map!$A$2:$A$400,0)),"⚠ UNMAPPED"))</f>
        <v/>
      </c>
    </row>
    <row r="714" spans="7:10" x14ac:dyDescent="0.25">
      <c r="G714" s="18" t="str">
        <f>IF($A714="","",IFERROR(INDEX(Map!$C$2:$C$400,MATCH($A714,Map!$A$2:$A$400,0)),"⚠ UNMAPPED"))</f>
        <v/>
      </c>
      <c r="H714" s="18" t="str">
        <f>IF($A714="","",IFERROR(INDEX(Map!$D$2:$D$400,MATCH($A714,Map!$A$2:$A$400,0)),"⚠ UNMAPPED"))</f>
        <v/>
      </c>
      <c r="I714" s="18" t="str">
        <f>IF($A714="","",IFERROR(INDEX(Map!$E$2:$E$400,MATCH($A714,Map!$A$2:$A$400,0)),"⚠ UNMAPPED"))</f>
        <v/>
      </c>
      <c r="J714" s="18" t="str">
        <f>IF($A714="","",IFERROR(INDEX(Map!$F$2:$F$400,MATCH($A714,Map!$A$2:$A$400,0)),"⚠ UNMAPPED"))</f>
        <v/>
      </c>
    </row>
    <row r="715" spans="7:10" x14ac:dyDescent="0.25">
      <c r="G715" s="18" t="str">
        <f>IF($A715="","",IFERROR(INDEX(Map!$C$2:$C$400,MATCH($A715,Map!$A$2:$A$400,0)),"⚠ UNMAPPED"))</f>
        <v/>
      </c>
      <c r="H715" s="18" t="str">
        <f>IF($A715="","",IFERROR(INDEX(Map!$D$2:$D$400,MATCH($A715,Map!$A$2:$A$400,0)),"⚠ UNMAPPED"))</f>
        <v/>
      </c>
      <c r="I715" s="18" t="str">
        <f>IF($A715="","",IFERROR(INDEX(Map!$E$2:$E$400,MATCH($A715,Map!$A$2:$A$400,0)),"⚠ UNMAPPED"))</f>
        <v/>
      </c>
      <c r="J715" s="18" t="str">
        <f>IF($A715="","",IFERROR(INDEX(Map!$F$2:$F$400,MATCH($A715,Map!$A$2:$A$400,0)),"⚠ UNMAPPED"))</f>
        <v/>
      </c>
    </row>
    <row r="716" spans="7:10" x14ac:dyDescent="0.25">
      <c r="G716" s="18" t="str">
        <f>IF($A716="","",IFERROR(INDEX(Map!$C$2:$C$400,MATCH($A716,Map!$A$2:$A$400,0)),"⚠ UNMAPPED"))</f>
        <v/>
      </c>
      <c r="H716" s="18" t="str">
        <f>IF($A716="","",IFERROR(INDEX(Map!$D$2:$D$400,MATCH($A716,Map!$A$2:$A$400,0)),"⚠ UNMAPPED"))</f>
        <v/>
      </c>
      <c r="I716" s="18" t="str">
        <f>IF($A716="","",IFERROR(INDEX(Map!$E$2:$E$400,MATCH($A716,Map!$A$2:$A$400,0)),"⚠ UNMAPPED"))</f>
        <v/>
      </c>
      <c r="J716" s="18" t="str">
        <f>IF($A716="","",IFERROR(INDEX(Map!$F$2:$F$400,MATCH($A716,Map!$A$2:$A$400,0)),"⚠ UNMAPPED"))</f>
        <v/>
      </c>
    </row>
    <row r="717" spans="7:10" x14ac:dyDescent="0.25">
      <c r="G717" s="18" t="str">
        <f>IF($A717="","",IFERROR(INDEX(Map!$C$2:$C$400,MATCH($A717,Map!$A$2:$A$400,0)),"⚠ UNMAPPED"))</f>
        <v/>
      </c>
      <c r="H717" s="18" t="str">
        <f>IF($A717="","",IFERROR(INDEX(Map!$D$2:$D$400,MATCH($A717,Map!$A$2:$A$400,0)),"⚠ UNMAPPED"))</f>
        <v/>
      </c>
      <c r="I717" s="18" t="str">
        <f>IF($A717="","",IFERROR(INDEX(Map!$E$2:$E$400,MATCH($A717,Map!$A$2:$A$400,0)),"⚠ UNMAPPED"))</f>
        <v/>
      </c>
      <c r="J717" s="18" t="str">
        <f>IF($A717="","",IFERROR(INDEX(Map!$F$2:$F$400,MATCH($A717,Map!$A$2:$A$400,0)),"⚠ UNMAPPED"))</f>
        <v/>
      </c>
    </row>
    <row r="718" spans="7:10" x14ac:dyDescent="0.25">
      <c r="G718" s="18" t="str">
        <f>IF($A718="","",IFERROR(INDEX(Map!$C$2:$C$400,MATCH($A718,Map!$A$2:$A$400,0)),"⚠ UNMAPPED"))</f>
        <v/>
      </c>
      <c r="H718" s="18" t="str">
        <f>IF($A718="","",IFERROR(INDEX(Map!$D$2:$D$400,MATCH($A718,Map!$A$2:$A$400,0)),"⚠ UNMAPPED"))</f>
        <v/>
      </c>
      <c r="I718" s="18" t="str">
        <f>IF($A718="","",IFERROR(INDEX(Map!$E$2:$E$400,MATCH($A718,Map!$A$2:$A$400,0)),"⚠ UNMAPPED"))</f>
        <v/>
      </c>
      <c r="J718" s="18" t="str">
        <f>IF($A718="","",IFERROR(INDEX(Map!$F$2:$F$400,MATCH($A718,Map!$A$2:$A$400,0)),"⚠ UNMAPPED"))</f>
        <v/>
      </c>
    </row>
    <row r="719" spans="7:10" x14ac:dyDescent="0.25">
      <c r="G719" s="18" t="str">
        <f>IF($A719="","",IFERROR(INDEX(Map!$C$2:$C$400,MATCH($A719,Map!$A$2:$A$400,0)),"⚠ UNMAPPED"))</f>
        <v/>
      </c>
      <c r="H719" s="18" t="str">
        <f>IF($A719="","",IFERROR(INDEX(Map!$D$2:$D$400,MATCH($A719,Map!$A$2:$A$400,0)),"⚠ UNMAPPED"))</f>
        <v/>
      </c>
      <c r="I719" s="18" t="str">
        <f>IF($A719="","",IFERROR(INDEX(Map!$E$2:$E$400,MATCH($A719,Map!$A$2:$A$400,0)),"⚠ UNMAPPED"))</f>
        <v/>
      </c>
      <c r="J719" s="18" t="str">
        <f>IF($A719="","",IFERROR(INDEX(Map!$F$2:$F$400,MATCH($A719,Map!$A$2:$A$400,0)),"⚠ UNMAPPED"))</f>
        <v/>
      </c>
    </row>
    <row r="720" spans="7:10" x14ac:dyDescent="0.25">
      <c r="G720" s="18" t="str">
        <f>IF($A720="","",IFERROR(INDEX(Map!$C$2:$C$400,MATCH($A720,Map!$A$2:$A$400,0)),"⚠ UNMAPPED"))</f>
        <v/>
      </c>
      <c r="H720" s="18" t="str">
        <f>IF($A720="","",IFERROR(INDEX(Map!$D$2:$D$400,MATCH($A720,Map!$A$2:$A$400,0)),"⚠ UNMAPPED"))</f>
        <v/>
      </c>
      <c r="I720" s="18" t="str">
        <f>IF($A720="","",IFERROR(INDEX(Map!$E$2:$E$400,MATCH($A720,Map!$A$2:$A$400,0)),"⚠ UNMAPPED"))</f>
        <v/>
      </c>
      <c r="J720" s="18" t="str">
        <f>IF($A720="","",IFERROR(INDEX(Map!$F$2:$F$400,MATCH($A720,Map!$A$2:$A$400,0)),"⚠ UNMAPPED"))</f>
        <v/>
      </c>
    </row>
    <row r="721" spans="7:10" x14ac:dyDescent="0.25">
      <c r="G721" s="18" t="str">
        <f>IF($A721="","",IFERROR(INDEX(Map!$C$2:$C$400,MATCH($A721,Map!$A$2:$A$400,0)),"⚠ UNMAPPED"))</f>
        <v/>
      </c>
      <c r="H721" s="18" t="str">
        <f>IF($A721="","",IFERROR(INDEX(Map!$D$2:$D$400,MATCH($A721,Map!$A$2:$A$400,0)),"⚠ UNMAPPED"))</f>
        <v/>
      </c>
      <c r="I721" s="18" t="str">
        <f>IF($A721="","",IFERROR(INDEX(Map!$E$2:$E$400,MATCH($A721,Map!$A$2:$A$400,0)),"⚠ UNMAPPED"))</f>
        <v/>
      </c>
      <c r="J721" s="18" t="str">
        <f>IF($A721="","",IFERROR(INDEX(Map!$F$2:$F$400,MATCH($A721,Map!$A$2:$A$400,0)),"⚠ UNMAPPED"))</f>
        <v/>
      </c>
    </row>
    <row r="722" spans="7:10" x14ac:dyDescent="0.25">
      <c r="G722" s="18" t="str">
        <f>IF($A722="","",IFERROR(INDEX(Map!$C$2:$C$400,MATCH($A722,Map!$A$2:$A$400,0)),"⚠ UNMAPPED"))</f>
        <v/>
      </c>
      <c r="H722" s="18" t="str">
        <f>IF($A722="","",IFERROR(INDEX(Map!$D$2:$D$400,MATCH($A722,Map!$A$2:$A$400,0)),"⚠ UNMAPPED"))</f>
        <v/>
      </c>
      <c r="I722" s="18" t="str">
        <f>IF($A722="","",IFERROR(INDEX(Map!$E$2:$E$400,MATCH($A722,Map!$A$2:$A$400,0)),"⚠ UNMAPPED"))</f>
        <v/>
      </c>
      <c r="J722" s="18" t="str">
        <f>IF($A722="","",IFERROR(INDEX(Map!$F$2:$F$400,MATCH($A722,Map!$A$2:$A$400,0)),"⚠ UNMAPPED"))</f>
        <v/>
      </c>
    </row>
    <row r="723" spans="7:10" x14ac:dyDescent="0.25">
      <c r="G723" s="18" t="str">
        <f>IF($A723="","",IFERROR(INDEX(Map!$C$2:$C$400,MATCH($A723,Map!$A$2:$A$400,0)),"⚠ UNMAPPED"))</f>
        <v/>
      </c>
      <c r="H723" s="18" t="str">
        <f>IF($A723="","",IFERROR(INDEX(Map!$D$2:$D$400,MATCH($A723,Map!$A$2:$A$400,0)),"⚠ UNMAPPED"))</f>
        <v/>
      </c>
      <c r="I723" s="18" t="str">
        <f>IF($A723="","",IFERROR(INDEX(Map!$E$2:$E$400,MATCH($A723,Map!$A$2:$A$400,0)),"⚠ UNMAPPED"))</f>
        <v/>
      </c>
      <c r="J723" s="18" t="str">
        <f>IF($A723="","",IFERROR(INDEX(Map!$F$2:$F$400,MATCH($A723,Map!$A$2:$A$400,0)),"⚠ UNMAPPED"))</f>
        <v/>
      </c>
    </row>
    <row r="724" spans="7:10" x14ac:dyDescent="0.25">
      <c r="G724" s="18" t="str">
        <f>IF($A724="","",IFERROR(INDEX(Map!$C$2:$C$400,MATCH($A724,Map!$A$2:$A$400,0)),"⚠ UNMAPPED"))</f>
        <v/>
      </c>
      <c r="H724" s="18" t="str">
        <f>IF($A724="","",IFERROR(INDEX(Map!$D$2:$D$400,MATCH($A724,Map!$A$2:$A$400,0)),"⚠ UNMAPPED"))</f>
        <v/>
      </c>
      <c r="I724" s="18" t="str">
        <f>IF($A724="","",IFERROR(INDEX(Map!$E$2:$E$400,MATCH($A724,Map!$A$2:$A$400,0)),"⚠ UNMAPPED"))</f>
        <v/>
      </c>
      <c r="J724" s="18" t="str">
        <f>IF($A724="","",IFERROR(INDEX(Map!$F$2:$F$400,MATCH($A724,Map!$A$2:$A$400,0)),"⚠ UNMAPPED"))</f>
        <v/>
      </c>
    </row>
    <row r="725" spans="7:10" x14ac:dyDescent="0.25">
      <c r="G725" s="18" t="str">
        <f>IF($A725="","",IFERROR(INDEX(Map!$C$2:$C$400,MATCH($A725,Map!$A$2:$A$400,0)),"⚠ UNMAPPED"))</f>
        <v/>
      </c>
      <c r="H725" s="18" t="str">
        <f>IF($A725="","",IFERROR(INDEX(Map!$D$2:$D$400,MATCH($A725,Map!$A$2:$A$400,0)),"⚠ UNMAPPED"))</f>
        <v/>
      </c>
      <c r="I725" s="18" t="str">
        <f>IF($A725="","",IFERROR(INDEX(Map!$E$2:$E$400,MATCH($A725,Map!$A$2:$A$400,0)),"⚠ UNMAPPED"))</f>
        <v/>
      </c>
      <c r="J725" s="18" t="str">
        <f>IF($A725="","",IFERROR(INDEX(Map!$F$2:$F$400,MATCH($A725,Map!$A$2:$A$400,0)),"⚠ UNMAPPED"))</f>
        <v/>
      </c>
    </row>
    <row r="726" spans="7:10" x14ac:dyDescent="0.25">
      <c r="G726" s="18" t="str">
        <f>IF($A726="","",IFERROR(INDEX(Map!$C$2:$C$400,MATCH($A726,Map!$A$2:$A$400,0)),"⚠ UNMAPPED"))</f>
        <v/>
      </c>
      <c r="H726" s="18" t="str">
        <f>IF($A726="","",IFERROR(INDEX(Map!$D$2:$D$400,MATCH($A726,Map!$A$2:$A$400,0)),"⚠ UNMAPPED"))</f>
        <v/>
      </c>
      <c r="I726" s="18" t="str">
        <f>IF($A726="","",IFERROR(INDEX(Map!$E$2:$E$400,MATCH($A726,Map!$A$2:$A$400,0)),"⚠ UNMAPPED"))</f>
        <v/>
      </c>
      <c r="J726" s="18" t="str">
        <f>IF($A726="","",IFERROR(INDEX(Map!$F$2:$F$400,MATCH($A726,Map!$A$2:$A$400,0)),"⚠ UNMAPPED"))</f>
        <v/>
      </c>
    </row>
    <row r="727" spans="7:10" x14ac:dyDescent="0.25">
      <c r="G727" s="18" t="str">
        <f>IF($A727="","",IFERROR(INDEX(Map!$C$2:$C$400,MATCH($A727,Map!$A$2:$A$400,0)),"⚠ UNMAPPED"))</f>
        <v/>
      </c>
      <c r="H727" s="18" t="str">
        <f>IF($A727="","",IFERROR(INDEX(Map!$D$2:$D$400,MATCH($A727,Map!$A$2:$A$400,0)),"⚠ UNMAPPED"))</f>
        <v/>
      </c>
      <c r="I727" s="18" t="str">
        <f>IF($A727="","",IFERROR(INDEX(Map!$E$2:$E$400,MATCH($A727,Map!$A$2:$A$400,0)),"⚠ UNMAPPED"))</f>
        <v/>
      </c>
      <c r="J727" s="18" t="str">
        <f>IF($A727="","",IFERROR(INDEX(Map!$F$2:$F$400,MATCH($A727,Map!$A$2:$A$400,0)),"⚠ UNMAPPED"))</f>
        <v/>
      </c>
    </row>
    <row r="728" spans="7:10" x14ac:dyDescent="0.25">
      <c r="G728" s="18" t="str">
        <f>IF($A728="","",IFERROR(INDEX(Map!$C$2:$C$400,MATCH($A728,Map!$A$2:$A$400,0)),"⚠ UNMAPPED"))</f>
        <v/>
      </c>
      <c r="H728" s="18" t="str">
        <f>IF($A728="","",IFERROR(INDEX(Map!$D$2:$D$400,MATCH($A728,Map!$A$2:$A$400,0)),"⚠ UNMAPPED"))</f>
        <v/>
      </c>
      <c r="I728" s="18" t="str">
        <f>IF($A728="","",IFERROR(INDEX(Map!$E$2:$E$400,MATCH($A728,Map!$A$2:$A$400,0)),"⚠ UNMAPPED"))</f>
        <v/>
      </c>
      <c r="J728" s="18" t="str">
        <f>IF($A728="","",IFERROR(INDEX(Map!$F$2:$F$400,MATCH($A728,Map!$A$2:$A$400,0)),"⚠ UNMAPPED"))</f>
        <v/>
      </c>
    </row>
    <row r="729" spans="7:10" x14ac:dyDescent="0.25">
      <c r="G729" s="18" t="str">
        <f>IF($A729="","",IFERROR(INDEX(Map!$C$2:$C$400,MATCH($A729,Map!$A$2:$A$400,0)),"⚠ UNMAPPED"))</f>
        <v/>
      </c>
      <c r="H729" s="18" t="str">
        <f>IF($A729="","",IFERROR(INDEX(Map!$D$2:$D$400,MATCH($A729,Map!$A$2:$A$400,0)),"⚠ UNMAPPED"))</f>
        <v/>
      </c>
      <c r="I729" s="18" t="str">
        <f>IF($A729="","",IFERROR(INDEX(Map!$E$2:$E$400,MATCH($A729,Map!$A$2:$A$400,0)),"⚠ UNMAPPED"))</f>
        <v/>
      </c>
      <c r="J729" s="18" t="str">
        <f>IF($A729="","",IFERROR(INDEX(Map!$F$2:$F$400,MATCH($A729,Map!$A$2:$A$400,0)),"⚠ UNMAPPED"))</f>
        <v/>
      </c>
    </row>
    <row r="730" spans="7:10" x14ac:dyDescent="0.25">
      <c r="G730" s="18" t="str">
        <f>IF($A730="","",IFERROR(INDEX(Map!$C$2:$C$400,MATCH($A730,Map!$A$2:$A$400,0)),"⚠ UNMAPPED"))</f>
        <v/>
      </c>
      <c r="H730" s="18" t="str">
        <f>IF($A730="","",IFERROR(INDEX(Map!$D$2:$D$400,MATCH($A730,Map!$A$2:$A$400,0)),"⚠ UNMAPPED"))</f>
        <v/>
      </c>
      <c r="I730" s="18" t="str">
        <f>IF($A730="","",IFERROR(INDEX(Map!$E$2:$E$400,MATCH($A730,Map!$A$2:$A$400,0)),"⚠ UNMAPPED"))</f>
        <v/>
      </c>
      <c r="J730" s="18" t="str">
        <f>IF($A730="","",IFERROR(INDEX(Map!$F$2:$F$400,MATCH($A730,Map!$A$2:$A$400,0)),"⚠ UNMAPPED"))</f>
        <v/>
      </c>
    </row>
    <row r="731" spans="7:10" x14ac:dyDescent="0.25">
      <c r="G731" s="18" t="str">
        <f>IF($A731="","",IFERROR(INDEX(Map!$C$2:$C$400,MATCH($A731,Map!$A$2:$A$400,0)),"⚠ UNMAPPED"))</f>
        <v/>
      </c>
      <c r="H731" s="18" t="str">
        <f>IF($A731="","",IFERROR(INDEX(Map!$D$2:$D$400,MATCH($A731,Map!$A$2:$A$400,0)),"⚠ UNMAPPED"))</f>
        <v/>
      </c>
      <c r="I731" s="18" t="str">
        <f>IF($A731="","",IFERROR(INDEX(Map!$E$2:$E$400,MATCH($A731,Map!$A$2:$A$400,0)),"⚠ UNMAPPED"))</f>
        <v/>
      </c>
      <c r="J731" s="18" t="str">
        <f>IF($A731="","",IFERROR(INDEX(Map!$F$2:$F$400,MATCH($A731,Map!$A$2:$A$400,0)),"⚠ UNMAPPED"))</f>
        <v/>
      </c>
    </row>
    <row r="732" spans="7:10" x14ac:dyDescent="0.25">
      <c r="G732" s="18" t="str">
        <f>IF($A732="","",IFERROR(INDEX(Map!$C$2:$C$400,MATCH($A732,Map!$A$2:$A$400,0)),"⚠ UNMAPPED"))</f>
        <v/>
      </c>
      <c r="H732" s="18" t="str">
        <f>IF($A732="","",IFERROR(INDEX(Map!$D$2:$D$400,MATCH($A732,Map!$A$2:$A$400,0)),"⚠ UNMAPPED"))</f>
        <v/>
      </c>
      <c r="I732" s="18" t="str">
        <f>IF($A732="","",IFERROR(INDEX(Map!$E$2:$E$400,MATCH($A732,Map!$A$2:$A$400,0)),"⚠ UNMAPPED"))</f>
        <v/>
      </c>
      <c r="J732" s="18" t="str">
        <f>IF($A732="","",IFERROR(INDEX(Map!$F$2:$F$400,MATCH($A732,Map!$A$2:$A$400,0)),"⚠ UNMAPPED"))</f>
        <v/>
      </c>
    </row>
    <row r="733" spans="7:10" x14ac:dyDescent="0.25">
      <c r="G733" s="18" t="str">
        <f>IF($A733="","",IFERROR(INDEX(Map!$C$2:$C$400,MATCH($A733,Map!$A$2:$A$400,0)),"⚠ UNMAPPED"))</f>
        <v/>
      </c>
      <c r="H733" s="18" t="str">
        <f>IF($A733="","",IFERROR(INDEX(Map!$D$2:$D$400,MATCH($A733,Map!$A$2:$A$400,0)),"⚠ UNMAPPED"))</f>
        <v/>
      </c>
      <c r="I733" s="18" t="str">
        <f>IF($A733="","",IFERROR(INDEX(Map!$E$2:$E$400,MATCH($A733,Map!$A$2:$A$400,0)),"⚠ UNMAPPED"))</f>
        <v/>
      </c>
      <c r="J733" s="18" t="str">
        <f>IF($A733="","",IFERROR(INDEX(Map!$F$2:$F$400,MATCH($A733,Map!$A$2:$A$400,0)),"⚠ UNMAPPED"))</f>
        <v/>
      </c>
    </row>
    <row r="734" spans="7:10" x14ac:dyDescent="0.25">
      <c r="G734" s="18" t="str">
        <f>IF($A734="","",IFERROR(INDEX(Map!$C$2:$C$400,MATCH($A734,Map!$A$2:$A$400,0)),"⚠ UNMAPPED"))</f>
        <v/>
      </c>
      <c r="H734" s="18" t="str">
        <f>IF($A734="","",IFERROR(INDEX(Map!$D$2:$D$400,MATCH($A734,Map!$A$2:$A$400,0)),"⚠ UNMAPPED"))</f>
        <v/>
      </c>
      <c r="I734" s="18" t="str">
        <f>IF($A734="","",IFERROR(INDEX(Map!$E$2:$E$400,MATCH($A734,Map!$A$2:$A$400,0)),"⚠ UNMAPPED"))</f>
        <v/>
      </c>
      <c r="J734" s="18" t="str">
        <f>IF($A734="","",IFERROR(INDEX(Map!$F$2:$F$400,MATCH($A734,Map!$A$2:$A$400,0)),"⚠ UNMAPPED"))</f>
        <v/>
      </c>
    </row>
    <row r="735" spans="7:10" x14ac:dyDescent="0.25">
      <c r="G735" s="18" t="str">
        <f>IF($A735="","",IFERROR(INDEX(Map!$C$2:$C$400,MATCH($A735,Map!$A$2:$A$400,0)),"⚠ UNMAPPED"))</f>
        <v/>
      </c>
      <c r="H735" s="18" t="str">
        <f>IF($A735="","",IFERROR(INDEX(Map!$D$2:$D$400,MATCH($A735,Map!$A$2:$A$400,0)),"⚠ UNMAPPED"))</f>
        <v/>
      </c>
      <c r="I735" s="18" t="str">
        <f>IF($A735="","",IFERROR(INDEX(Map!$E$2:$E$400,MATCH($A735,Map!$A$2:$A$400,0)),"⚠ UNMAPPED"))</f>
        <v/>
      </c>
      <c r="J735" s="18" t="str">
        <f>IF($A735="","",IFERROR(INDEX(Map!$F$2:$F$400,MATCH($A735,Map!$A$2:$A$400,0)),"⚠ UNMAPPED"))</f>
        <v/>
      </c>
    </row>
    <row r="736" spans="7:10" x14ac:dyDescent="0.25">
      <c r="G736" s="18" t="str">
        <f>IF($A736="","",IFERROR(INDEX(Map!$C$2:$C$400,MATCH($A736,Map!$A$2:$A$400,0)),"⚠ UNMAPPED"))</f>
        <v/>
      </c>
      <c r="H736" s="18" t="str">
        <f>IF($A736="","",IFERROR(INDEX(Map!$D$2:$D$400,MATCH($A736,Map!$A$2:$A$400,0)),"⚠ UNMAPPED"))</f>
        <v/>
      </c>
      <c r="I736" s="18" t="str">
        <f>IF($A736="","",IFERROR(INDEX(Map!$E$2:$E$400,MATCH($A736,Map!$A$2:$A$400,0)),"⚠ UNMAPPED"))</f>
        <v/>
      </c>
      <c r="J736" s="18" t="str">
        <f>IF($A736="","",IFERROR(INDEX(Map!$F$2:$F$400,MATCH($A736,Map!$A$2:$A$400,0)),"⚠ UNMAPPED"))</f>
        <v/>
      </c>
    </row>
    <row r="737" spans="7:10" x14ac:dyDescent="0.25">
      <c r="G737" s="18" t="str">
        <f>IF($A737="","",IFERROR(INDEX(Map!$C$2:$C$400,MATCH($A737,Map!$A$2:$A$400,0)),"⚠ UNMAPPED"))</f>
        <v/>
      </c>
      <c r="H737" s="18" t="str">
        <f>IF($A737="","",IFERROR(INDEX(Map!$D$2:$D$400,MATCH($A737,Map!$A$2:$A$400,0)),"⚠ UNMAPPED"))</f>
        <v/>
      </c>
      <c r="I737" s="18" t="str">
        <f>IF($A737="","",IFERROR(INDEX(Map!$E$2:$E$400,MATCH($A737,Map!$A$2:$A$400,0)),"⚠ UNMAPPED"))</f>
        <v/>
      </c>
      <c r="J737" s="18" t="str">
        <f>IF($A737="","",IFERROR(INDEX(Map!$F$2:$F$400,MATCH($A737,Map!$A$2:$A$400,0)),"⚠ UNMAPPED"))</f>
        <v/>
      </c>
    </row>
    <row r="738" spans="7:10" x14ac:dyDescent="0.25">
      <c r="G738" s="18" t="str">
        <f>IF($A738="","",IFERROR(INDEX(Map!$C$2:$C$400,MATCH($A738,Map!$A$2:$A$400,0)),"⚠ UNMAPPED"))</f>
        <v/>
      </c>
      <c r="H738" s="18" t="str">
        <f>IF($A738="","",IFERROR(INDEX(Map!$D$2:$D$400,MATCH($A738,Map!$A$2:$A$400,0)),"⚠ UNMAPPED"))</f>
        <v/>
      </c>
      <c r="I738" s="18" t="str">
        <f>IF($A738="","",IFERROR(INDEX(Map!$E$2:$E$400,MATCH($A738,Map!$A$2:$A$400,0)),"⚠ UNMAPPED"))</f>
        <v/>
      </c>
      <c r="J738" s="18" t="str">
        <f>IF($A738="","",IFERROR(INDEX(Map!$F$2:$F$400,MATCH($A738,Map!$A$2:$A$400,0)),"⚠ UNMAPPED"))</f>
        <v/>
      </c>
    </row>
    <row r="739" spans="7:10" x14ac:dyDescent="0.25">
      <c r="G739" s="18" t="str">
        <f>IF($A739="","",IFERROR(INDEX(Map!$C$2:$C$400,MATCH($A739,Map!$A$2:$A$400,0)),"⚠ UNMAPPED"))</f>
        <v/>
      </c>
      <c r="H739" s="18" t="str">
        <f>IF($A739="","",IFERROR(INDEX(Map!$D$2:$D$400,MATCH($A739,Map!$A$2:$A$400,0)),"⚠ UNMAPPED"))</f>
        <v/>
      </c>
      <c r="I739" s="18" t="str">
        <f>IF($A739="","",IFERROR(INDEX(Map!$E$2:$E$400,MATCH($A739,Map!$A$2:$A$400,0)),"⚠ UNMAPPED"))</f>
        <v/>
      </c>
      <c r="J739" s="18" t="str">
        <f>IF($A739="","",IFERROR(INDEX(Map!$F$2:$F$400,MATCH($A739,Map!$A$2:$A$400,0)),"⚠ UNMAPPED"))</f>
        <v/>
      </c>
    </row>
    <row r="740" spans="7:10" x14ac:dyDescent="0.25">
      <c r="G740" s="18" t="str">
        <f>IF($A740="","",IFERROR(INDEX(Map!$C$2:$C$400,MATCH($A740,Map!$A$2:$A$400,0)),"⚠ UNMAPPED"))</f>
        <v/>
      </c>
      <c r="H740" s="18" t="str">
        <f>IF($A740="","",IFERROR(INDEX(Map!$D$2:$D$400,MATCH($A740,Map!$A$2:$A$400,0)),"⚠ UNMAPPED"))</f>
        <v/>
      </c>
      <c r="I740" s="18" t="str">
        <f>IF($A740="","",IFERROR(INDEX(Map!$E$2:$E$400,MATCH($A740,Map!$A$2:$A$400,0)),"⚠ UNMAPPED"))</f>
        <v/>
      </c>
      <c r="J740" s="18" t="str">
        <f>IF($A740="","",IFERROR(INDEX(Map!$F$2:$F$400,MATCH($A740,Map!$A$2:$A$400,0)),"⚠ UNMAPPED"))</f>
        <v/>
      </c>
    </row>
    <row r="741" spans="7:10" x14ac:dyDescent="0.25">
      <c r="G741" s="18" t="str">
        <f>IF($A741="","",IFERROR(INDEX(Map!$C$2:$C$400,MATCH($A741,Map!$A$2:$A$400,0)),"⚠ UNMAPPED"))</f>
        <v/>
      </c>
      <c r="H741" s="18" t="str">
        <f>IF($A741="","",IFERROR(INDEX(Map!$D$2:$D$400,MATCH($A741,Map!$A$2:$A$400,0)),"⚠ UNMAPPED"))</f>
        <v/>
      </c>
      <c r="I741" s="18" t="str">
        <f>IF($A741="","",IFERROR(INDEX(Map!$E$2:$E$400,MATCH($A741,Map!$A$2:$A$400,0)),"⚠ UNMAPPED"))</f>
        <v/>
      </c>
      <c r="J741" s="18" t="str">
        <f>IF($A741="","",IFERROR(INDEX(Map!$F$2:$F$400,MATCH($A741,Map!$A$2:$A$400,0)),"⚠ UNMAPPED"))</f>
        <v/>
      </c>
    </row>
    <row r="742" spans="7:10" x14ac:dyDescent="0.25">
      <c r="G742" s="18" t="str">
        <f>IF($A742="","",IFERROR(INDEX(Map!$C$2:$C$400,MATCH($A742,Map!$A$2:$A$400,0)),"⚠ UNMAPPED"))</f>
        <v/>
      </c>
      <c r="H742" s="18" t="str">
        <f>IF($A742="","",IFERROR(INDEX(Map!$D$2:$D$400,MATCH($A742,Map!$A$2:$A$400,0)),"⚠ UNMAPPED"))</f>
        <v/>
      </c>
      <c r="I742" s="18" t="str">
        <f>IF($A742="","",IFERROR(INDEX(Map!$E$2:$E$400,MATCH($A742,Map!$A$2:$A$400,0)),"⚠ UNMAPPED"))</f>
        <v/>
      </c>
      <c r="J742" s="18" t="str">
        <f>IF($A742="","",IFERROR(INDEX(Map!$F$2:$F$400,MATCH($A742,Map!$A$2:$A$400,0)),"⚠ UNMAPPED"))</f>
        <v/>
      </c>
    </row>
    <row r="743" spans="7:10" x14ac:dyDescent="0.25">
      <c r="G743" s="18" t="str">
        <f>IF($A743="","",IFERROR(INDEX(Map!$C$2:$C$400,MATCH($A743,Map!$A$2:$A$400,0)),"⚠ UNMAPPED"))</f>
        <v/>
      </c>
      <c r="H743" s="18" t="str">
        <f>IF($A743="","",IFERROR(INDEX(Map!$D$2:$D$400,MATCH($A743,Map!$A$2:$A$400,0)),"⚠ UNMAPPED"))</f>
        <v/>
      </c>
      <c r="I743" s="18" t="str">
        <f>IF($A743="","",IFERROR(INDEX(Map!$E$2:$E$400,MATCH($A743,Map!$A$2:$A$400,0)),"⚠ UNMAPPED"))</f>
        <v/>
      </c>
      <c r="J743" s="18" t="str">
        <f>IF($A743="","",IFERROR(INDEX(Map!$F$2:$F$400,MATCH($A743,Map!$A$2:$A$400,0)),"⚠ UNMAPPED"))</f>
        <v/>
      </c>
    </row>
    <row r="744" spans="7:10" x14ac:dyDescent="0.25">
      <c r="G744" s="18" t="str">
        <f>IF($A744="","",IFERROR(INDEX(Map!$C$2:$C$400,MATCH($A744,Map!$A$2:$A$400,0)),"⚠ UNMAPPED"))</f>
        <v/>
      </c>
      <c r="H744" s="18" t="str">
        <f>IF($A744="","",IFERROR(INDEX(Map!$D$2:$D$400,MATCH($A744,Map!$A$2:$A$400,0)),"⚠ UNMAPPED"))</f>
        <v/>
      </c>
      <c r="I744" s="18" t="str">
        <f>IF($A744="","",IFERROR(INDEX(Map!$E$2:$E$400,MATCH($A744,Map!$A$2:$A$400,0)),"⚠ UNMAPPED"))</f>
        <v/>
      </c>
      <c r="J744" s="18" t="str">
        <f>IF($A744="","",IFERROR(INDEX(Map!$F$2:$F$400,MATCH($A744,Map!$A$2:$A$400,0)),"⚠ UNMAPPED"))</f>
        <v/>
      </c>
    </row>
    <row r="745" spans="7:10" x14ac:dyDescent="0.25">
      <c r="G745" s="18" t="str">
        <f>IF($A745="","",IFERROR(INDEX(Map!$C$2:$C$400,MATCH($A745,Map!$A$2:$A$400,0)),"⚠ UNMAPPED"))</f>
        <v/>
      </c>
      <c r="H745" s="18" t="str">
        <f>IF($A745="","",IFERROR(INDEX(Map!$D$2:$D$400,MATCH($A745,Map!$A$2:$A$400,0)),"⚠ UNMAPPED"))</f>
        <v/>
      </c>
      <c r="I745" s="18" t="str">
        <f>IF($A745="","",IFERROR(INDEX(Map!$E$2:$E$400,MATCH($A745,Map!$A$2:$A$400,0)),"⚠ UNMAPPED"))</f>
        <v/>
      </c>
      <c r="J745" s="18" t="str">
        <f>IF($A745="","",IFERROR(INDEX(Map!$F$2:$F$400,MATCH($A745,Map!$A$2:$A$400,0)),"⚠ UNMAPPED"))</f>
        <v/>
      </c>
    </row>
    <row r="746" spans="7:10" x14ac:dyDescent="0.25">
      <c r="G746" s="18" t="str">
        <f>IF($A746="","",IFERROR(INDEX(Map!$C$2:$C$400,MATCH($A746,Map!$A$2:$A$400,0)),"⚠ UNMAPPED"))</f>
        <v/>
      </c>
      <c r="H746" s="18" t="str">
        <f>IF($A746="","",IFERROR(INDEX(Map!$D$2:$D$400,MATCH($A746,Map!$A$2:$A$400,0)),"⚠ UNMAPPED"))</f>
        <v/>
      </c>
      <c r="I746" s="18" t="str">
        <f>IF($A746="","",IFERROR(INDEX(Map!$E$2:$E$400,MATCH($A746,Map!$A$2:$A$400,0)),"⚠ UNMAPPED"))</f>
        <v/>
      </c>
      <c r="J746" s="18" t="str">
        <f>IF($A746="","",IFERROR(INDEX(Map!$F$2:$F$400,MATCH($A746,Map!$A$2:$A$400,0)),"⚠ UNMAPPED"))</f>
        <v/>
      </c>
    </row>
    <row r="747" spans="7:10" x14ac:dyDescent="0.25">
      <c r="G747" s="18" t="str">
        <f>IF($A747="","",IFERROR(INDEX(Map!$C$2:$C$400,MATCH($A747,Map!$A$2:$A$400,0)),"⚠ UNMAPPED"))</f>
        <v/>
      </c>
      <c r="H747" s="18" t="str">
        <f>IF($A747="","",IFERROR(INDEX(Map!$D$2:$D$400,MATCH($A747,Map!$A$2:$A$400,0)),"⚠ UNMAPPED"))</f>
        <v/>
      </c>
      <c r="I747" s="18" t="str">
        <f>IF($A747="","",IFERROR(INDEX(Map!$E$2:$E$400,MATCH($A747,Map!$A$2:$A$400,0)),"⚠ UNMAPPED"))</f>
        <v/>
      </c>
      <c r="J747" s="18" t="str">
        <f>IF($A747="","",IFERROR(INDEX(Map!$F$2:$F$400,MATCH($A747,Map!$A$2:$A$400,0)),"⚠ UNMAPPED"))</f>
        <v/>
      </c>
    </row>
    <row r="748" spans="7:10" x14ac:dyDescent="0.25">
      <c r="G748" s="18" t="str">
        <f>IF($A748="","",IFERROR(INDEX(Map!$C$2:$C$400,MATCH($A748,Map!$A$2:$A$400,0)),"⚠ UNMAPPED"))</f>
        <v/>
      </c>
      <c r="H748" s="18" t="str">
        <f>IF($A748="","",IFERROR(INDEX(Map!$D$2:$D$400,MATCH($A748,Map!$A$2:$A$400,0)),"⚠ UNMAPPED"))</f>
        <v/>
      </c>
      <c r="I748" s="18" t="str">
        <f>IF($A748="","",IFERROR(INDEX(Map!$E$2:$E$400,MATCH($A748,Map!$A$2:$A$400,0)),"⚠ UNMAPPED"))</f>
        <v/>
      </c>
      <c r="J748" s="18" t="str">
        <f>IF($A748="","",IFERROR(INDEX(Map!$F$2:$F$400,MATCH($A748,Map!$A$2:$A$400,0)),"⚠ UNMAPPED"))</f>
        <v/>
      </c>
    </row>
    <row r="749" spans="7:10" x14ac:dyDescent="0.25">
      <c r="G749" s="18" t="str">
        <f>IF($A749="","",IFERROR(INDEX(Map!$C$2:$C$400,MATCH($A749,Map!$A$2:$A$400,0)),"⚠ UNMAPPED"))</f>
        <v/>
      </c>
      <c r="H749" s="18" t="str">
        <f>IF($A749="","",IFERROR(INDEX(Map!$D$2:$D$400,MATCH($A749,Map!$A$2:$A$400,0)),"⚠ UNMAPPED"))</f>
        <v/>
      </c>
      <c r="I749" s="18" t="str">
        <f>IF($A749="","",IFERROR(INDEX(Map!$E$2:$E$400,MATCH($A749,Map!$A$2:$A$400,0)),"⚠ UNMAPPED"))</f>
        <v/>
      </c>
      <c r="J749" s="18" t="str">
        <f>IF($A749="","",IFERROR(INDEX(Map!$F$2:$F$400,MATCH($A749,Map!$A$2:$A$400,0)),"⚠ UNMAPPED"))</f>
        <v/>
      </c>
    </row>
    <row r="750" spans="7:10" x14ac:dyDescent="0.25">
      <c r="G750" s="18" t="str">
        <f>IF($A750="","",IFERROR(INDEX(Map!$C$2:$C$400,MATCH($A750,Map!$A$2:$A$400,0)),"⚠ UNMAPPED"))</f>
        <v/>
      </c>
      <c r="H750" s="18" t="str">
        <f>IF($A750="","",IFERROR(INDEX(Map!$D$2:$D$400,MATCH($A750,Map!$A$2:$A$400,0)),"⚠ UNMAPPED"))</f>
        <v/>
      </c>
      <c r="I750" s="18" t="str">
        <f>IF($A750="","",IFERROR(INDEX(Map!$E$2:$E$400,MATCH($A750,Map!$A$2:$A$400,0)),"⚠ UNMAPPED"))</f>
        <v/>
      </c>
      <c r="J750" s="18" t="str">
        <f>IF($A750="","",IFERROR(INDEX(Map!$F$2:$F$400,MATCH($A750,Map!$A$2:$A$400,0)),"⚠ UNMAPPED"))</f>
        <v/>
      </c>
    </row>
    <row r="751" spans="7:10" x14ac:dyDescent="0.25">
      <c r="G751" s="18" t="str">
        <f>IF($A751="","",IFERROR(INDEX(Map!$C$2:$C$400,MATCH($A751,Map!$A$2:$A$400,0)),"⚠ UNMAPPED"))</f>
        <v/>
      </c>
      <c r="H751" s="18" t="str">
        <f>IF($A751="","",IFERROR(INDEX(Map!$D$2:$D$400,MATCH($A751,Map!$A$2:$A$400,0)),"⚠ UNMAPPED"))</f>
        <v/>
      </c>
      <c r="I751" s="18" t="str">
        <f>IF($A751="","",IFERROR(INDEX(Map!$E$2:$E$400,MATCH($A751,Map!$A$2:$A$400,0)),"⚠ UNMAPPED"))</f>
        <v/>
      </c>
      <c r="J751" s="18" t="str">
        <f>IF($A751="","",IFERROR(INDEX(Map!$F$2:$F$400,MATCH($A751,Map!$A$2:$A$400,0)),"⚠ UNMAPPED"))</f>
        <v/>
      </c>
    </row>
    <row r="752" spans="7:10" x14ac:dyDescent="0.25">
      <c r="G752" s="18" t="str">
        <f>IF($A752="","",IFERROR(INDEX(Map!$C$2:$C$400,MATCH($A752,Map!$A$2:$A$400,0)),"⚠ UNMAPPED"))</f>
        <v/>
      </c>
      <c r="H752" s="18" t="str">
        <f>IF($A752="","",IFERROR(INDEX(Map!$D$2:$D$400,MATCH($A752,Map!$A$2:$A$400,0)),"⚠ UNMAPPED"))</f>
        <v/>
      </c>
      <c r="I752" s="18" t="str">
        <f>IF($A752="","",IFERROR(INDEX(Map!$E$2:$E$400,MATCH($A752,Map!$A$2:$A$400,0)),"⚠ UNMAPPED"))</f>
        <v/>
      </c>
      <c r="J752" s="18" t="str">
        <f>IF($A752="","",IFERROR(INDEX(Map!$F$2:$F$400,MATCH($A752,Map!$A$2:$A$400,0)),"⚠ UNMAPPED"))</f>
        <v/>
      </c>
    </row>
    <row r="753" spans="7:10" x14ac:dyDescent="0.25">
      <c r="G753" s="18" t="str">
        <f>IF($A753="","",IFERROR(INDEX(Map!$C$2:$C$400,MATCH($A753,Map!$A$2:$A$400,0)),"⚠ UNMAPPED"))</f>
        <v/>
      </c>
      <c r="H753" s="18" t="str">
        <f>IF($A753="","",IFERROR(INDEX(Map!$D$2:$D$400,MATCH($A753,Map!$A$2:$A$400,0)),"⚠ UNMAPPED"))</f>
        <v/>
      </c>
      <c r="I753" s="18" t="str">
        <f>IF($A753="","",IFERROR(INDEX(Map!$E$2:$E$400,MATCH($A753,Map!$A$2:$A$400,0)),"⚠ UNMAPPED"))</f>
        <v/>
      </c>
      <c r="J753" s="18" t="str">
        <f>IF($A753="","",IFERROR(INDEX(Map!$F$2:$F$400,MATCH($A753,Map!$A$2:$A$400,0)),"⚠ UNMAPPED"))</f>
        <v/>
      </c>
    </row>
    <row r="754" spans="7:10" x14ac:dyDescent="0.25">
      <c r="G754" s="18" t="str">
        <f>IF($A754="","",IFERROR(INDEX(Map!$C$2:$C$400,MATCH($A754,Map!$A$2:$A$400,0)),"⚠ UNMAPPED"))</f>
        <v/>
      </c>
      <c r="H754" s="18" t="str">
        <f>IF($A754="","",IFERROR(INDEX(Map!$D$2:$D$400,MATCH($A754,Map!$A$2:$A$400,0)),"⚠ UNMAPPED"))</f>
        <v/>
      </c>
      <c r="I754" s="18" t="str">
        <f>IF($A754="","",IFERROR(INDEX(Map!$E$2:$E$400,MATCH($A754,Map!$A$2:$A$400,0)),"⚠ UNMAPPED"))</f>
        <v/>
      </c>
      <c r="J754" s="18" t="str">
        <f>IF($A754="","",IFERROR(INDEX(Map!$F$2:$F$400,MATCH($A754,Map!$A$2:$A$400,0)),"⚠ UNMAPPED"))</f>
        <v/>
      </c>
    </row>
    <row r="755" spans="7:10" x14ac:dyDescent="0.25">
      <c r="G755" s="18" t="str">
        <f>IF($A755="","",IFERROR(INDEX(Map!$C$2:$C$400,MATCH($A755,Map!$A$2:$A$400,0)),"⚠ UNMAPPED"))</f>
        <v/>
      </c>
      <c r="H755" s="18" t="str">
        <f>IF($A755="","",IFERROR(INDEX(Map!$D$2:$D$400,MATCH($A755,Map!$A$2:$A$400,0)),"⚠ UNMAPPED"))</f>
        <v/>
      </c>
      <c r="I755" s="18" t="str">
        <f>IF($A755="","",IFERROR(INDEX(Map!$E$2:$E$400,MATCH($A755,Map!$A$2:$A$400,0)),"⚠ UNMAPPED"))</f>
        <v/>
      </c>
      <c r="J755" s="18" t="str">
        <f>IF($A755="","",IFERROR(INDEX(Map!$F$2:$F$400,MATCH($A755,Map!$A$2:$A$400,0)),"⚠ UNMAPPED"))</f>
        <v/>
      </c>
    </row>
    <row r="756" spans="7:10" x14ac:dyDescent="0.25">
      <c r="G756" s="18" t="str">
        <f>IF($A756="","",IFERROR(INDEX(Map!$C$2:$C$400,MATCH($A756,Map!$A$2:$A$400,0)),"⚠ UNMAPPED"))</f>
        <v/>
      </c>
      <c r="H756" s="18" t="str">
        <f>IF($A756="","",IFERROR(INDEX(Map!$D$2:$D$400,MATCH($A756,Map!$A$2:$A$400,0)),"⚠ UNMAPPED"))</f>
        <v/>
      </c>
      <c r="I756" s="18" t="str">
        <f>IF($A756="","",IFERROR(INDEX(Map!$E$2:$E$400,MATCH($A756,Map!$A$2:$A$400,0)),"⚠ UNMAPPED"))</f>
        <v/>
      </c>
      <c r="J756" s="18" t="str">
        <f>IF($A756="","",IFERROR(INDEX(Map!$F$2:$F$400,MATCH($A756,Map!$A$2:$A$400,0)),"⚠ UNMAPPED"))</f>
        <v/>
      </c>
    </row>
    <row r="757" spans="7:10" x14ac:dyDescent="0.25">
      <c r="G757" s="18" t="str">
        <f>IF($A757="","",IFERROR(INDEX(Map!$C$2:$C$400,MATCH($A757,Map!$A$2:$A$400,0)),"⚠ UNMAPPED"))</f>
        <v/>
      </c>
      <c r="H757" s="18" t="str">
        <f>IF($A757="","",IFERROR(INDEX(Map!$D$2:$D$400,MATCH($A757,Map!$A$2:$A$400,0)),"⚠ UNMAPPED"))</f>
        <v/>
      </c>
      <c r="I757" s="18" t="str">
        <f>IF($A757="","",IFERROR(INDEX(Map!$E$2:$E$400,MATCH($A757,Map!$A$2:$A$400,0)),"⚠ UNMAPPED"))</f>
        <v/>
      </c>
      <c r="J757" s="18" t="str">
        <f>IF($A757="","",IFERROR(INDEX(Map!$F$2:$F$400,MATCH($A757,Map!$A$2:$A$400,0)),"⚠ UNMAPPED"))</f>
        <v/>
      </c>
    </row>
    <row r="758" spans="7:10" x14ac:dyDescent="0.25">
      <c r="G758" s="18" t="str">
        <f>IF($A758="","",IFERROR(INDEX(Map!$C$2:$C$400,MATCH($A758,Map!$A$2:$A$400,0)),"⚠ UNMAPPED"))</f>
        <v/>
      </c>
      <c r="H758" s="18" t="str">
        <f>IF($A758="","",IFERROR(INDEX(Map!$D$2:$D$400,MATCH($A758,Map!$A$2:$A$400,0)),"⚠ UNMAPPED"))</f>
        <v/>
      </c>
      <c r="I758" s="18" t="str">
        <f>IF($A758="","",IFERROR(INDEX(Map!$E$2:$E$400,MATCH($A758,Map!$A$2:$A$400,0)),"⚠ UNMAPPED"))</f>
        <v/>
      </c>
      <c r="J758" s="18" t="str">
        <f>IF($A758="","",IFERROR(INDEX(Map!$F$2:$F$400,MATCH($A758,Map!$A$2:$A$400,0)),"⚠ UNMAPPED"))</f>
        <v/>
      </c>
    </row>
    <row r="759" spans="7:10" x14ac:dyDescent="0.25">
      <c r="G759" s="18" t="str">
        <f>IF($A759="","",IFERROR(INDEX(Map!$C$2:$C$400,MATCH($A759,Map!$A$2:$A$400,0)),"⚠ UNMAPPED"))</f>
        <v/>
      </c>
      <c r="H759" s="18" t="str">
        <f>IF($A759="","",IFERROR(INDEX(Map!$D$2:$D$400,MATCH($A759,Map!$A$2:$A$400,0)),"⚠ UNMAPPED"))</f>
        <v/>
      </c>
      <c r="I759" s="18" t="str">
        <f>IF($A759="","",IFERROR(INDEX(Map!$E$2:$E$400,MATCH($A759,Map!$A$2:$A$400,0)),"⚠ UNMAPPED"))</f>
        <v/>
      </c>
      <c r="J759" s="18" t="str">
        <f>IF($A759="","",IFERROR(INDEX(Map!$F$2:$F$400,MATCH($A759,Map!$A$2:$A$400,0)),"⚠ UNMAPPED"))</f>
        <v/>
      </c>
    </row>
    <row r="760" spans="7:10" x14ac:dyDescent="0.25">
      <c r="G760" s="18" t="str">
        <f>IF($A760="","",IFERROR(INDEX(Map!$C$2:$C$400,MATCH($A760,Map!$A$2:$A$400,0)),"⚠ UNMAPPED"))</f>
        <v/>
      </c>
      <c r="H760" s="18" t="str">
        <f>IF($A760="","",IFERROR(INDEX(Map!$D$2:$D$400,MATCH($A760,Map!$A$2:$A$400,0)),"⚠ UNMAPPED"))</f>
        <v/>
      </c>
      <c r="I760" s="18" t="str">
        <f>IF($A760="","",IFERROR(INDEX(Map!$E$2:$E$400,MATCH($A760,Map!$A$2:$A$400,0)),"⚠ UNMAPPED"))</f>
        <v/>
      </c>
      <c r="J760" s="18" t="str">
        <f>IF($A760="","",IFERROR(INDEX(Map!$F$2:$F$400,MATCH($A760,Map!$A$2:$A$400,0)),"⚠ UNMAPPED"))</f>
        <v/>
      </c>
    </row>
    <row r="761" spans="7:10" x14ac:dyDescent="0.25">
      <c r="G761" s="18" t="str">
        <f>IF($A761="","",IFERROR(INDEX(Map!$C$2:$C$400,MATCH($A761,Map!$A$2:$A$400,0)),"⚠ UNMAPPED"))</f>
        <v/>
      </c>
      <c r="H761" s="18" t="str">
        <f>IF($A761="","",IFERROR(INDEX(Map!$D$2:$D$400,MATCH($A761,Map!$A$2:$A$400,0)),"⚠ UNMAPPED"))</f>
        <v/>
      </c>
      <c r="I761" s="18" t="str">
        <f>IF($A761="","",IFERROR(INDEX(Map!$E$2:$E$400,MATCH($A761,Map!$A$2:$A$400,0)),"⚠ UNMAPPED"))</f>
        <v/>
      </c>
      <c r="J761" s="18" t="str">
        <f>IF($A761="","",IFERROR(INDEX(Map!$F$2:$F$400,MATCH($A761,Map!$A$2:$A$400,0)),"⚠ UNMAPPED"))</f>
        <v/>
      </c>
    </row>
    <row r="762" spans="7:10" x14ac:dyDescent="0.25">
      <c r="G762" s="18" t="str">
        <f>IF($A762="","",IFERROR(INDEX(Map!$C$2:$C$400,MATCH($A762,Map!$A$2:$A$400,0)),"⚠ UNMAPPED"))</f>
        <v/>
      </c>
      <c r="H762" s="18" t="str">
        <f>IF($A762="","",IFERROR(INDEX(Map!$D$2:$D$400,MATCH($A762,Map!$A$2:$A$400,0)),"⚠ UNMAPPED"))</f>
        <v/>
      </c>
      <c r="I762" s="18" t="str">
        <f>IF($A762="","",IFERROR(INDEX(Map!$E$2:$E$400,MATCH($A762,Map!$A$2:$A$400,0)),"⚠ UNMAPPED"))</f>
        <v/>
      </c>
      <c r="J762" s="18" t="str">
        <f>IF($A762="","",IFERROR(INDEX(Map!$F$2:$F$400,MATCH($A762,Map!$A$2:$A$400,0)),"⚠ UNMAPPED"))</f>
        <v/>
      </c>
    </row>
    <row r="763" spans="7:10" x14ac:dyDescent="0.25">
      <c r="G763" s="18" t="str">
        <f>IF($A763="","",IFERROR(INDEX(Map!$C$2:$C$400,MATCH($A763,Map!$A$2:$A$400,0)),"⚠ UNMAPPED"))</f>
        <v/>
      </c>
      <c r="H763" s="18" t="str">
        <f>IF($A763="","",IFERROR(INDEX(Map!$D$2:$D$400,MATCH($A763,Map!$A$2:$A$400,0)),"⚠ UNMAPPED"))</f>
        <v/>
      </c>
      <c r="I763" s="18" t="str">
        <f>IF($A763="","",IFERROR(INDEX(Map!$E$2:$E$400,MATCH($A763,Map!$A$2:$A$400,0)),"⚠ UNMAPPED"))</f>
        <v/>
      </c>
      <c r="J763" s="18" t="str">
        <f>IF($A763="","",IFERROR(INDEX(Map!$F$2:$F$400,MATCH($A763,Map!$A$2:$A$400,0)),"⚠ UNMAPPED"))</f>
        <v/>
      </c>
    </row>
    <row r="764" spans="7:10" x14ac:dyDescent="0.25">
      <c r="G764" s="18" t="str">
        <f>IF($A764="","",IFERROR(INDEX(Map!$C$2:$C$400,MATCH($A764,Map!$A$2:$A$400,0)),"⚠ UNMAPPED"))</f>
        <v/>
      </c>
      <c r="H764" s="18" t="str">
        <f>IF($A764="","",IFERROR(INDEX(Map!$D$2:$D$400,MATCH($A764,Map!$A$2:$A$400,0)),"⚠ UNMAPPED"))</f>
        <v/>
      </c>
      <c r="I764" s="18" t="str">
        <f>IF($A764="","",IFERROR(INDEX(Map!$E$2:$E$400,MATCH($A764,Map!$A$2:$A$400,0)),"⚠ UNMAPPED"))</f>
        <v/>
      </c>
      <c r="J764" s="18" t="str">
        <f>IF($A764="","",IFERROR(INDEX(Map!$F$2:$F$400,MATCH($A764,Map!$A$2:$A$400,0)),"⚠ UNMAPPED"))</f>
        <v/>
      </c>
    </row>
    <row r="765" spans="7:10" x14ac:dyDescent="0.25">
      <c r="G765" s="18" t="str">
        <f>IF($A765="","",IFERROR(INDEX(Map!$C$2:$C$400,MATCH($A765,Map!$A$2:$A$400,0)),"⚠ UNMAPPED"))</f>
        <v/>
      </c>
      <c r="H765" s="18" t="str">
        <f>IF($A765="","",IFERROR(INDEX(Map!$D$2:$D$400,MATCH($A765,Map!$A$2:$A$400,0)),"⚠ UNMAPPED"))</f>
        <v/>
      </c>
      <c r="I765" s="18" t="str">
        <f>IF($A765="","",IFERROR(INDEX(Map!$E$2:$E$400,MATCH($A765,Map!$A$2:$A$400,0)),"⚠ UNMAPPED"))</f>
        <v/>
      </c>
      <c r="J765" s="18" t="str">
        <f>IF($A765="","",IFERROR(INDEX(Map!$F$2:$F$400,MATCH($A765,Map!$A$2:$A$400,0)),"⚠ UNMAPPED"))</f>
        <v/>
      </c>
    </row>
    <row r="766" spans="7:10" x14ac:dyDescent="0.25">
      <c r="G766" s="18" t="str">
        <f>IF($A766="","",IFERROR(INDEX(Map!$C$2:$C$400,MATCH($A766,Map!$A$2:$A$400,0)),"⚠ UNMAPPED"))</f>
        <v/>
      </c>
      <c r="H766" s="18" t="str">
        <f>IF($A766="","",IFERROR(INDEX(Map!$D$2:$D$400,MATCH($A766,Map!$A$2:$A$400,0)),"⚠ UNMAPPED"))</f>
        <v/>
      </c>
      <c r="I766" s="18" t="str">
        <f>IF($A766="","",IFERROR(INDEX(Map!$E$2:$E$400,MATCH($A766,Map!$A$2:$A$400,0)),"⚠ UNMAPPED"))</f>
        <v/>
      </c>
      <c r="J766" s="18" t="str">
        <f>IF($A766="","",IFERROR(INDEX(Map!$F$2:$F$400,MATCH($A766,Map!$A$2:$A$400,0)),"⚠ UNMAPPED"))</f>
        <v/>
      </c>
    </row>
    <row r="767" spans="7:10" x14ac:dyDescent="0.25">
      <c r="G767" s="18" t="str">
        <f>IF($A767="","",IFERROR(INDEX(Map!$C$2:$C$400,MATCH($A767,Map!$A$2:$A$400,0)),"⚠ UNMAPPED"))</f>
        <v/>
      </c>
      <c r="H767" s="18" t="str">
        <f>IF($A767="","",IFERROR(INDEX(Map!$D$2:$D$400,MATCH($A767,Map!$A$2:$A$400,0)),"⚠ UNMAPPED"))</f>
        <v/>
      </c>
      <c r="I767" s="18" t="str">
        <f>IF($A767="","",IFERROR(INDEX(Map!$E$2:$E$400,MATCH($A767,Map!$A$2:$A$400,0)),"⚠ UNMAPPED"))</f>
        <v/>
      </c>
      <c r="J767" s="18" t="str">
        <f>IF($A767="","",IFERROR(INDEX(Map!$F$2:$F$400,MATCH($A767,Map!$A$2:$A$400,0)),"⚠ UNMAPPED"))</f>
        <v/>
      </c>
    </row>
    <row r="768" spans="7:10" x14ac:dyDescent="0.25">
      <c r="G768" s="18" t="str">
        <f>IF($A768="","",IFERROR(INDEX(Map!$C$2:$C$400,MATCH($A768,Map!$A$2:$A$400,0)),"⚠ UNMAPPED"))</f>
        <v/>
      </c>
      <c r="H768" s="18" t="str">
        <f>IF($A768="","",IFERROR(INDEX(Map!$D$2:$D$400,MATCH($A768,Map!$A$2:$A$400,0)),"⚠ UNMAPPED"))</f>
        <v/>
      </c>
      <c r="I768" s="18" t="str">
        <f>IF($A768="","",IFERROR(INDEX(Map!$E$2:$E$400,MATCH($A768,Map!$A$2:$A$400,0)),"⚠ UNMAPPED"))</f>
        <v/>
      </c>
      <c r="J768" s="18" t="str">
        <f>IF($A768="","",IFERROR(INDEX(Map!$F$2:$F$400,MATCH($A768,Map!$A$2:$A$400,0)),"⚠ UNMAPPED"))</f>
        <v/>
      </c>
    </row>
    <row r="769" spans="7:10" x14ac:dyDescent="0.25">
      <c r="G769" s="18" t="str">
        <f>IF($A769="","",IFERROR(INDEX(Map!$C$2:$C$400,MATCH($A769,Map!$A$2:$A$400,0)),"⚠ UNMAPPED"))</f>
        <v/>
      </c>
      <c r="H769" s="18" t="str">
        <f>IF($A769="","",IFERROR(INDEX(Map!$D$2:$D$400,MATCH($A769,Map!$A$2:$A$400,0)),"⚠ UNMAPPED"))</f>
        <v/>
      </c>
      <c r="I769" s="18" t="str">
        <f>IF($A769="","",IFERROR(INDEX(Map!$E$2:$E$400,MATCH($A769,Map!$A$2:$A$400,0)),"⚠ UNMAPPED"))</f>
        <v/>
      </c>
      <c r="J769" s="18" t="str">
        <f>IF($A769="","",IFERROR(INDEX(Map!$F$2:$F$400,MATCH($A769,Map!$A$2:$A$400,0)),"⚠ UNMAPPED"))</f>
        <v/>
      </c>
    </row>
    <row r="770" spans="7:10" x14ac:dyDescent="0.25">
      <c r="G770" s="18" t="str">
        <f>IF($A770="","",IFERROR(INDEX(Map!$C$2:$C$400,MATCH($A770,Map!$A$2:$A$400,0)),"⚠ UNMAPPED"))</f>
        <v/>
      </c>
      <c r="H770" s="18" t="str">
        <f>IF($A770="","",IFERROR(INDEX(Map!$D$2:$D$400,MATCH($A770,Map!$A$2:$A$400,0)),"⚠ UNMAPPED"))</f>
        <v/>
      </c>
      <c r="I770" s="18" t="str">
        <f>IF($A770="","",IFERROR(INDEX(Map!$E$2:$E$400,MATCH($A770,Map!$A$2:$A$400,0)),"⚠ UNMAPPED"))</f>
        <v/>
      </c>
      <c r="J770" s="18" t="str">
        <f>IF($A770="","",IFERROR(INDEX(Map!$F$2:$F$400,MATCH($A770,Map!$A$2:$A$400,0)),"⚠ UNMAPPED"))</f>
        <v/>
      </c>
    </row>
    <row r="771" spans="7:10" x14ac:dyDescent="0.25">
      <c r="G771" s="18" t="str">
        <f>IF($A771="","",IFERROR(INDEX(Map!$C$2:$C$400,MATCH($A771,Map!$A$2:$A$400,0)),"⚠ UNMAPPED"))</f>
        <v/>
      </c>
      <c r="H771" s="18" t="str">
        <f>IF($A771="","",IFERROR(INDEX(Map!$D$2:$D$400,MATCH($A771,Map!$A$2:$A$400,0)),"⚠ UNMAPPED"))</f>
        <v/>
      </c>
      <c r="I771" s="18" t="str">
        <f>IF($A771="","",IFERROR(INDEX(Map!$E$2:$E$400,MATCH($A771,Map!$A$2:$A$400,0)),"⚠ UNMAPPED"))</f>
        <v/>
      </c>
      <c r="J771" s="18" t="str">
        <f>IF($A771="","",IFERROR(INDEX(Map!$F$2:$F$400,MATCH($A771,Map!$A$2:$A$400,0)),"⚠ UNMAPPED"))</f>
        <v/>
      </c>
    </row>
    <row r="772" spans="7:10" x14ac:dyDescent="0.25">
      <c r="G772" s="18" t="str">
        <f>IF($A772="","",IFERROR(INDEX(Map!$C$2:$C$400,MATCH($A772,Map!$A$2:$A$400,0)),"⚠ UNMAPPED"))</f>
        <v/>
      </c>
      <c r="H772" s="18" t="str">
        <f>IF($A772="","",IFERROR(INDEX(Map!$D$2:$D$400,MATCH($A772,Map!$A$2:$A$400,0)),"⚠ UNMAPPED"))</f>
        <v/>
      </c>
      <c r="I772" s="18" t="str">
        <f>IF($A772="","",IFERROR(INDEX(Map!$E$2:$E$400,MATCH($A772,Map!$A$2:$A$400,0)),"⚠ UNMAPPED"))</f>
        <v/>
      </c>
      <c r="J772" s="18" t="str">
        <f>IF($A772="","",IFERROR(INDEX(Map!$F$2:$F$400,MATCH($A772,Map!$A$2:$A$400,0)),"⚠ UNMAPPED"))</f>
        <v/>
      </c>
    </row>
    <row r="773" spans="7:10" x14ac:dyDescent="0.25">
      <c r="G773" s="18" t="str">
        <f>IF($A773="","",IFERROR(INDEX(Map!$C$2:$C$400,MATCH($A773,Map!$A$2:$A$400,0)),"⚠ UNMAPPED"))</f>
        <v/>
      </c>
      <c r="H773" s="18" t="str">
        <f>IF($A773="","",IFERROR(INDEX(Map!$D$2:$D$400,MATCH($A773,Map!$A$2:$A$400,0)),"⚠ UNMAPPED"))</f>
        <v/>
      </c>
      <c r="I773" s="18" t="str">
        <f>IF($A773="","",IFERROR(INDEX(Map!$E$2:$E$400,MATCH($A773,Map!$A$2:$A$400,0)),"⚠ UNMAPPED"))</f>
        <v/>
      </c>
      <c r="J773" s="18" t="str">
        <f>IF($A773="","",IFERROR(INDEX(Map!$F$2:$F$400,MATCH($A773,Map!$A$2:$A$400,0)),"⚠ UNMAPPED"))</f>
        <v/>
      </c>
    </row>
    <row r="774" spans="7:10" x14ac:dyDescent="0.25">
      <c r="G774" s="18" t="str">
        <f>IF($A774="","",IFERROR(INDEX(Map!$C$2:$C$400,MATCH($A774,Map!$A$2:$A$400,0)),"⚠ UNMAPPED"))</f>
        <v/>
      </c>
      <c r="H774" s="18" t="str">
        <f>IF($A774="","",IFERROR(INDEX(Map!$D$2:$D$400,MATCH($A774,Map!$A$2:$A$400,0)),"⚠ UNMAPPED"))</f>
        <v/>
      </c>
      <c r="I774" s="18" t="str">
        <f>IF($A774="","",IFERROR(INDEX(Map!$E$2:$E$400,MATCH($A774,Map!$A$2:$A$400,0)),"⚠ UNMAPPED"))</f>
        <v/>
      </c>
      <c r="J774" s="18" t="str">
        <f>IF($A774="","",IFERROR(INDEX(Map!$F$2:$F$400,MATCH($A774,Map!$A$2:$A$400,0)),"⚠ UNMAPPED"))</f>
        <v/>
      </c>
    </row>
    <row r="775" spans="7:10" x14ac:dyDescent="0.25">
      <c r="G775" s="18" t="str">
        <f>IF($A775="","",IFERROR(INDEX(Map!$C$2:$C$400,MATCH($A775,Map!$A$2:$A$400,0)),"⚠ UNMAPPED"))</f>
        <v/>
      </c>
      <c r="H775" s="18" t="str">
        <f>IF($A775="","",IFERROR(INDEX(Map!$D$2:$D$400,MATCH($A775,Map!$A$2:$A$400,0)),"⚠ UNMAPPED"))</f>
        <v/>
      </c>
      <c r="I775" s="18" t="str">
        <f>IF($A775="","",IFERROR(INDEX(Map!$E$2:$E$400,MATCH($A775,Map!$A$2:$A$400,0)),"⚠ UNMAPPED"))</f>
        <v/>
      </c>
      <c r="J775" s="18" t="str">
        <f>IF($A775="","",IFERROR(INDEX(Map!$F$2:$F$400,MATCH($A775,Map!$A$2:$A$400,0)),"⚠ UNMAPPED"))</f>
        <v/>
      </c>
    </row>
    <row r="776" spans="7:10" x14ac:dyDescent="0.25">
      <c r="G776" s="18" t="str">
        <f>IF($A776="","",IFERROR(INDEX(Map!$C$2:$C$400,MATCH($A776,Map!$A$2:$A$400,0)),"⚠ UNMAPPED"))</f>
        <v/>
      </c>
      <c r="H776" s="18" t="str">
        <f>IF($A776="","",IFERROR(INDEX(Map!$D$2:$D$400,MATCH($A776,Map!$A$2:$A$400,0)),"⚠ UNMAPPED"))</f>
        <v/>
      </c>
      <c r="I776" s="18" t="str">
        <f>IF($A776="","",IFERROR(INDEX(Map!$E$2:$E$400,MATCH($A776,Map!$A$2:$A$400,0)),"⚠ UNMAPPED"))</f>
        <v/>
      </c>
      <c r="J776" s="18" t="str">
        <f>IF($A776="","",IFERROR(INDEX(Map!$F$2:$F$400,MATCH($A776,Map!$A$2:$A$400,0)),"⚠ UNMAPPED"))</f>
        <v/>
      </c>
    </row>
    <row r="777" spans="7:10" x14ac:dyDescent="0.25">
      <c r="G777" s="18" t="str">
        <f>IF($A777="","",IFERROR(INDEX(Map!$C$2:$C$400,MATCH($A777,Map!$A$2:$A$400,0)),"⚠ UNMAPPED"))</f>
        <v/>
      </c>
      <c r="H777" s="18" t="str">
        <f>IF($A777="","",IFERROR(INDEX(Map!$D$2:$D$400,MATCH($A777,Map!$A$2:$A$400,0)),"⚠ UNMAPPED"))</f>
        <v/>
      </c>
      <c r="I777" s="18" t="str">
        <f>IF($A777="","",IFERROR(INDEX(Map!$E$2:$E$400,MATCH($A777,Map!$A$2:$A$400,0)),"⚠ UNMAPPED"))</f>
        <v/>
      </c>
      <c r="J777" s="18" t="str">
        <f>IF($A777="","",IFERROR(INDEX(Map!$F$2:$F$400,MATCH($A777,Map!$A$2:$A$400,0)),"⚠ UNMAPPED"))</f>
        <v/>
      </c>
    </row>
    <row r="778" spans="7:10" x14ac:dyDescent="0.25">
      <c r="G778" s="18" t="str">
        <f>IF($A778="","",IFERROR(INDEX(Map!$C$2:$C$400,MATCH($A778,Map!$A$2:$A$400,0)),"⚠ UNMAPPED"))</f>
        <v/>
      </c>
      <c r="H778" s="18" t="str">
        <f>IF($A778="","",IFERROR(INDEX(Map!$D$2:$D$400,MATCH($A778,Map!$A$2:$A$400,0)),"⚠ UNMAPPED"))</f>
        <v/>
      </c>
      <c r="I778" s="18" t="str">
        <f>IF($A778="","",IFERROR(INDEX(Map!$E$2:$E$400,MATCH($A778,Map!$A$2:$A$400,0)),"⚠ UNMAPPED"))</f>
        <v/>
      </c>
      <c r="J778" s="18" t="str">
        <f>IF($A778="","",IFERROR(INDEX(Map!$F$2:$F$400,MATCH($A778,Map!$A$2:$A$400,0)),"⚠ UNMAPPED"))</f>
        <v/>
      </c>
    </row>
    <row r="779" spans="7:10" x14ac:dyDescent="0.25">
      <c r="G779" s="18" t="str">
        <f>IF($A779="","",IFERROR(INDEX(Map!$C$2:$C$400,MATCH($A779,Map!$A$2:$A$400,0)),"⚠ UNMAPPED"))</f>
        <v/>
      </c>
      <c r="H779" s="18" t="str">
        <f>IF($A779="","",IFERROR(INDEX(Map!$D$2:$D$400,MATCH($A779,Map!$A$2:$A$400,0)),"⚠ UNMAPPED"))</f>
        <v/>
      </c>
      <c r="I779" s="18" t="str">
        <f>IF($A779="","",IFERROR(INDEX(Map!$E$2:$E$400,MATCH($A779,Map!$A$2:$A$400,0)),"⚠ UNMAPPED"))</f>
        <v/>
      </c>
      <c r="J779" s="18" t="str">
        <f>IF($A779="","",IFERROR(INDEX(Map!$F$2:$F$400,MATCH($A779,Map!$A$2:$A$400,0)),"⚠ UNMAPPED"))</f>
        <v/>
      </c>
    </row>
    <row r="780" spans="7:10" x14ac:dyDescent="0.25">
      <c r="G780" s="18" t="str">
        <f>IF($A780="","",IFERROR(INDEX(Map!$C$2:$C$400,MATCH($A780,Map!$A$2:$A$400,0)),"⚠ UNMAPPED"))</f>
        <v/>
      </c>
      <c r="H780" s="18" t="str">
        <f>IF($A780="","",IFERROR(INDEX(Map!$D$2:$D$400,MATCH($A780,Map!$A$2:$A$400,0)),"⚠ UNMAPPED"))</f>
        <v/>
      </c>
      <c r="I780" s="18" t="str">
        <f>IF($A780="","",IFERROR(INDEX(Map!$E$2:$E$400,MATCH($A780,Map!$A$2:$A$400,0)),"⚠ UNMAPPED"))</f>
        <v/>
      </c>
      <c r="J780" s="18" t="str">
        <f>IF($A780="","",IFERROR(INDEX(Map!$F$2:$F$400,MATCH($A780,Map!$A$2:$A$400,0)),"⚠ UNMAPPED"))</f>
        <v/>
      </c>
    </row>
    <row r="781" spans="7:10" x14ac:dyDescent="0.25">
      <c r="G781" s="18" t="str">
        <f>IF($A781="","",IFERROR(INDEX(Map!$C$2:$C$400,MATCH($A781,Map!$A$2:$A$400,0)),"⚠ UNMAPPED"))</f>
        <v/>
      </c>
      <c r="H781" s="18" t="str">
        <f>IF($A781="","",IFERROR(INDEX(Map!$D$2:$D$400,MATCH($A781,Map!$A$2:$A$400,0)),"⚠ UNMAPPED"))</f>
        <v/>
      </c>
      <c r="I781" s="18" t="str">
        <f>IF($A781="","",IFERROR(INDEX(Map!$E$2:$E$400,MATCH($A781,Map!$A$2:$A$400,0)),"⚠ UNMAPPED"))</f>
        <v/>
      </c>
      <c r="J781" s="18" t="str">
        <f>IF($A781="","",IFERROR(INDEX(Map!$F$2:$F$400,MATCH($A781,Map!$A$2:$A$400,0)),"⚠ UNMAPPED"))</f>
        <v/>
      </c>
    </row>
    <row r="782" spans="7:10" x14ac:dyDescent="0.25">
      <c r="G782" s="18" t="str">
        <f>IF($A782="","",IFERROR(INDEX(Map!$C$2:$C$400,MATCH($A782,Map!$A$2:$A$400,0)),"⚠ UNMAPPED"))</f>
        <v/>
      </c>
      <c r="H782" s="18" t="str">
        <f>IF($A782="","",IFERROR(INDEX(Map!$D$2:$D$400,MATCH($A782,Map!$A$2:$A$400,0)),"⚠ UNMAPPED"))</f>
        <v/>
      </c>
      <c r="I782" s="18" t="str">
        <f>IF($A782="","",IFERROR(INDEX(Map!$E$2:$E$400,MATCH($A782,Map!$A$2:$A$400,0)),"⚠ UNMAPPED"))</f>
        <v/>
      </c>
      <c r="J782" s="18" t="str">
        <f>IF($A782="","",IFERROR(INDEX(Map!$F$2:$F$400,MATCH($A782,Map!$A$2:$A$400,0)),"⚠ UNMAPPED"))</f>
        <v/>
      </c>
    </row>
    <row r="783" spans="7:10" x14ac:dyDescent="0.25">
      <c r="G783" s="18" t="str">
        <f>IF($A783="","",IFERROR(INDEX(Map!$C$2:$C$400,MATCH($A783,Map!$A$2:$A$400,0)),"⚠ UNMAPPED"))</f>
        <v/>
      </c>
      <c r="H783" s="18" t="str">
        <f>IF($A783="","",IFERROR(INDEX(Map!$D$2:$D$400,MATCH($A783,Map!$A$2:$A$400,0)),"⚠ UNMAPPED"))</f>
        <v/>
      </c>
      <c r="I783" s="18" t="str">
        <f>IF($A783="","",IFERROR(INDEX(Map!$E$2:$E$400,MATCH($A783,Map!$A$2:$A$400,0)),"⚠ UNMAPPED"))</f>
        <v/>
      </c>
      <c r="J783" s="18" t="str">
        <f>IF($A783="","",IFERROR(INDEX(Map!$F$2:$F$400,MATCH($A783,Map!$A$2:$A$400,0)),"⚠ UNMAPPED"))</f>
        <v/>
      </c>
    </row>
    <row r="784" spans="7:10" x14ac:dyDescent="0.25">
      <c r="G784" s="18" t="str">
        <f>IF($A784="","",IFERROR(INDEX(Map!$C$2:$C$400,MATCH($A784,Map!$A$2:$A$400,0)),"⚠ UNMAPPED"))</f>
        <v/>
      </c>
      <c r="H784" s="18" t="str">
        <f>IF($A784="","",IFERROR(INDEX(Map!$D$2:$D$400,MATCH($A784,Map!$A$2:$A$400,0)),"⚠ UNMAPPED"))</f>
        <v/>
      </c>
      <c r="I784" s="18" t="str">
        <f>IF($A784="","",IFERROR(INDEX(Map!$E$2:$E$400,MATCH($A784,Map!$A$2:$A$400,0)),"⚠ UNMAPPED"))</f>
        <v/>
      </c>
      <c r="J784" s="18" t="str">
        <f>IF($A784="","",IFERROR(INDEX(Map!$F$2:$F$400,MATCH($A784,Map!$A$2:$A$400,0)),"⚠ UNMAPPED"))</f>
        <v/>
      </c>
    </row>
    <row r="785" spans="7:10" x14ac:dyDescent="0.25">
      <c r="G785" s="18" t="str">
        <f>IF($A785="","",IFERROR(INDEX(Map!$C$2:$C$400,MATCH($A785,Map!$A$2:$A$400,0)),"⚠ UNMAPPED"))</f>
        <v/>
      </c>
      <c r="H785" s="18" t="str">
        <f>IF($A785="","",IFERROR(INDEX(Map!$D$2:$D$400,MATCH($A785,Map!$A$2:$A$400,0)),"⚠ UNMAPPED"))</f>
        <v/>
      </c>
      <c r="I785" s="18" t="str">
        <f>IF($A785="","",IFERROR(INDEX(Map!$E$2:$E$400,MATCH($A785,Map!$A$2:$A$400,0)),"⚠ UNMAPPED"))</f>
        <v/>
      </c>
      <c r="J785" s="18" t="str">
        <f>IF($A785="","",IFERROR(INDEX(Map!$F$2:$F$400,MATCH($A785,Map!$A$2:$A$400,0)),"⚠ UNMAPPED"))</f>
        <v/>
      </c>
    </row>
    <row r="786" spans="7:10" x14ac:dyDescent="0.25">
      <c r="G786" s="18" t="str">
        <f>IF($A786="","",IFERROR(INDEX(Map!$C$2:$C$400,MATCH($A786,Map!$A$2:$A$400,0)),"⚠ UNMAPPED"))</f>
        <v/>
      </c>
      <c r="H786" s="18" t="str">
        <f>IF($A786="","",IFERROR(INDEX(Map!$D$2:$D$400,MATCH($A786,Map!$A$2:$A$400,0)),"⚠ UNMAPPED"))</f>
        <v/>
      </c>
      <c r="I786" s="18" t="str">
        <f>IF($A786="","",IFERROR(INDEX(Map!$E$2:$E$400,MATCH($A786,Map!$A$2:$A$400,0)),"⚠ UNMAPPED"))</f>
        <v/>
      </c>
      <c r="J786" s="18" t="str">
        <f>IF($A786="","",IFERROR(INDEX(Map!$F$2:$F$400,MATCH($A786,Map!$A$2:$A$400,0)),"⚠ UNMAPPED"))</f>
        <v/>
      </c>
    </row>
    <row r="787" spans="7:10" x14ac:dyDescent="0.25">
      <c r="G787" s="18" t="str">
        <f>IF($A787="","",IFERROR(INDEX(Map!$C$2:$C$400,MATCH($A787,Map!$A$2:$A$400,0)),"⚠ UNMAPPED"))</f>
        <v/>
      </c>
      <c r="H787" s="18" t="str">
        <f>IF($A787="","",IFERROR(INDEX(Map!$D$2:$D$400,MATCH($A787,Map!$A$2:$A$400,0)),"⚠ UNMAPPED"))</f>
        <v/>
      </c>
      <c r="I787" s="18" t="str">
        <f>IF($A787="","",IFERROR(INDEX(Map!$E$2:$E$400,MATCH($A787,Map!$A$2:$A$400,0)),"⚠ UNMAPPED"))</f>
        <v/>
      </c>
      <c r="J787" s="18" t="str">
        <f>IF($A787="","",IFERROR(INDEX(Map!$F$2:$F$400,MATCH($A787,Map!$A$2:$A$400,0)),"⚠ UNMAPPED"))</f>
        <v/>
      </c>
    </row>
    <row r="788" spans="7:10" x14ac:dyDescent="0.25">
      <c r="G788" s="18" t="str">
        <f>IF($A788="","",IFERROR(INDEX(Map!$C$2:$C$400,MATCH($A788,Map!$A$2:$A$400,0)),"⚠ UNMAPPED"))</f>
        <v/>
      </c>
      <c r="H788" s="18" t="str">
        <f>IF($A788="","",IFERROR(INDEX(Map!$D$2:$D$400,MATCH($A788,Map!$A$2:$A$400,0)),"⚠ UNMAPPED"))</f>
        <v/>
      </c>
      <c r="I788" s="18" t="str">
        <f>IF($A788="","",IFERROR(INDEX(Map!$E$2:$E$400,MATCH($A788,Map!$A$2:$A$400,0)),"⚠ UNMAPPED"))</f>
        <v/>
      </c>
      <c r="J788" s="18" t="str">
        <f>IF($A788="","",IFERROR(INDEX(Map!$F$2:$F$400,MATCH($A788,Map!$A$2:$A$400,0)),"⚠ UNMAPPED"))</f>
        <v/>
      </c>
    </row>
    <row r="789" spans="7:10" x14ac:dyDescent="0.25">
      <c r="G789" s="18" t="str">
        <f>IF($A789="","",IFERROR(INDEX(Map!$C$2:$C$400,MATCH($A789,Map!$A$2:$A$400,0)),"⚠ UNMAPPED"))</f>
        <v/>
      </c>
      <c r="H789" s="18" t="str">
        <f>IF($A789="","",IFERROR(INDEX(Map!$D$2:$D$400,MATCH($A789,Map!$A$2:$A$400,0)),"⚠ UNMAPPED"))</f>
        <v/>
      </c>
      <c r="I789" s="18" t="str">
        <f>IF($A789="","",IFERROR(INDEX(Map!$E$2:$E$400,MATCH($A789,Map!$A$2:$A$400,0)),"⚠ UNMAPPED"))</f>
        <v/>
      </c>
      <c r="J789" s="18" t="str">
        <f>IF($A789="","",IFERROR(INDEX(Map!$F$2:$F$400,MATCH($A789,Map!$A$2:$A$400,0)),"⚠ UNMAPPED"))</f>
        <v/>
      </c>
    </row>
    <row r="790" spans="7:10" x14ac:dyDescent="0.25">
      <c r="G790" s="18" t="str">
        <f>IF($A790="","",IFERROR(INDEX(Map!$C$2:$C$400,MATCH($A790,Map!$A$2:$A$400,0)),"⚠ UNMAPPED"))</f>
        <v/>
      </c>
      <c r="H790" s="18" t="str">
        <f>IF($A790="","",IFERROR(INDEX(Map!$D$2:$D$400,MATCH($A790,Map!$A$2:$A$400,0)),"⚠ UNMAPPED"))</f>
        <v/>
      </c>
      <c r="I790" s="18" t="str">
        <f>IF($A790="","",IFERROR(INDEX(Map!$E$2:$E$400,MATCH($A790,Map!$A$2:$A$400,0)),"⚠ UNMAPPED"))</f>
        <v/>
      </c>
      <c r="J790" s="18" t="str">
        <f>IF($A790="","",IFERROR(INDEX(Map!$F$2:$F$400,MATCH($A790,Map!$A$2:$A$400,0)),"⚠ UNMAPPED"))</f>
        <v/>
      </c>
    </row>
    <row r="791" spans="7:10" x14ac:dyDescent="0.25">
      <c r="G791" s="18" t="str">
        <f>IF($A791="","",IFERROR(INDEX(Map!$C$2:$C$400,MATCH($A791,Map!$A$2:$A$400,0)),"⚠ UNMAPPED"))</f>
        <v/>
      </c>
      <c r="H791" s="18" t="str">
        <f>IF($A791="","",IFERROR(INDEX(Map!$D$2:$D$400,MATCH($A791,Map!$A$2:$A$400,0)),"⚠ UNMAPPED"))</f>
        <v/>
      </c>
      <c r="I791" s="18" t="str">
        <f>IF($A791="","",IFERROR(INDEX(Map!$E$2:$E$400,MATCH($A791,Map!$A$2:$A$400,0)),"⚠ UNMAPPED"))</f>
        <v/>
      </c>
      <c r="J791" s="18" t="str">
        <f>IF($A791="","",IFERROR(INDEX(Map!$F$2:$F$400,MATCH($A791,Map!$A$2:$A$400,0)),"⚠ UNMAPPED"))</f>
        <v/>
      </c>
    </row>
    <row r="792" spans="7:10" x14ac:dyDescent="0.25">
      <c r="G792" s="18" t="str">
        <f>IF($A792="","",IFERROR(INDEX(Map!$C$2:$C$400,MATCH($A792,Map!$A$2:$A$400,0)),"⚠ UNMAPPED"))</f>
        <v/>
      </c>
      <c r="H792" s="18" t="str">
        <f>IF($A792="","",IFERROR(INDEX(Map!$D$2:$D$400,MATCH($A792,Map!$A$2:$A$400,0)),"⚠ UNMAPPED"))</f>
        <v/>
      </c>
      <c r="I792" s="18" t="str">
        <f>IF($A792="","",IFERROR(INDEX(Map!$E$2:$E$400,MATCH($A792,Map!$A$2:$A$400,0)),"⚠ UNMAPPED"))</f>
        <v/>
      </c>
      <c r="J792" s="18" t="str">
        <f>IF($A792="","",IFERROR(INDEX(Map!$F$2:$F$400,MATCH($A792,Map!$A$2:$A$400,0)),"⚠ UNMAPPED"))</f>
        <v/>
      </c>
    </row>
    <row r="793" spans="7:10" x14ac:dyDescent="0.25">
      <c r="G793" s="18" t="str">
        <f>IF($A793="","",IFERROR(INDEX(Map!$C$2:$C$400,MATCH($A793,Map!$A$2:$A$400,0)),"⚠ UNMAPPED"))</f>
        <v/>
      </c>
      <c r="H793" s="18" t="str">
        <f>IF($A793="","",IFERROR(INDEX(Map!$D$2:$D$400,MATCH($A793,Map!$A$2:$A$400,0)),"⚠ UNMAPPED"))</f>
        <v/>
      </c>
      <c r="I793" s="18" t="str">
        <f>IF($A793="","",IFERROR(INDEX(Map!$E$2:$E$400,MATCH($A793,Map!$A$2:$A$400,0)),"⚠ UNMAPPED"))</f>
        <v/>
      </c>
      <c r="J793" s="18" t="str">
        <f>IF($A793="","",IFERROR(INDEX(Map!$F$2:$F$400,MATCH($A793,Map!$A$2:$A$400,0)),"⚠ UNMAPPED"))</f>
        <v/>
      </c>
    </row>
    <row r="794" spans="7:10" x14ac:dyDescent="0.25">
      <c r="G794" s="18" t="str">
        <f>IF($A794="","",IFERROR(INDEX(Map!$C$2:$C$400,MATCH($A794,Map!$A$2:$A$400,0)),"⚠ UNMAPPED"))</f>
        <v/>
      </c>
      <c r="H794" s="18" t="str">
        <f>IF($A794="","",IFERROR(INDEX(Map!$D$2:$D$400,MATCH($A794,Map!$A$2:$A$400,0)),"⚠ UNMAPPED"))</f>
        <v/>
      </c>
      <c r="I794" s="18" t="str">
        <f>IF($A794="","",IFERROR(INDEX(Map!$E$2:$E$400,MATCH($A794,Map!$A$2:$A$400,0)),"⚠ UNMAPPED"))</f>
        <v/>
      </c>
      <c r="J794" s="18" t="str">
        <f>IF($A794="","",IFERROR(INDEX(Map!$F$2:$F$400,MATCH($A794,Map!$A$2:$A$400,0)),"⚠ UNMAPPED"))</f>
        <v/>
      </c>
    </row>
    <row r="795" spans="7:10" x14ac:dyDescent="0.25">
      <c r="G795" s="18" t="str">
        <f>IF($A795="","",IFERROR(INDEX(Map!$C$2:$C$400,MATCH($A795,Map!$A$2:$A$400,0)),"⚠ UNMAPPED"))</f>
        <v/>
      </c>
      <c r="H795" s="18" t="str">
        <f>IF($A795="","",IFERROR(INDEX(Map!$D$2:$D$400,MATCH($A795,Map!$A$2:$A$400,0)),"⚠ UNMAPPED"))</f>
        <v/>
      </c>
      <c r="I795" s="18" t="str">
        <f>IF($A795="","",IFERROR(INDEX(Map!$E$2:$E$400,MATCH($A795,Map!$A$2:$A$400,0)),"⚠ UNMAPPED"))</f>
        <v/>
      </c>
      <c r="J795" s="18" t="str">
        <f>IF($A795="","",IFERROR(INDEX(Map!$F$2:$F$400,MATCH($A795,Map!$A$2:$A$400,0)),"⚠ UNMAPPED"))</f>
        <v/>
      </c>
    </row>
    <row r="796" spans="7:10" x14ac:dyDescent="0.25">
      <c r="G796" s="18" t="str">
        <f>IF($A796="","",IFERROR(INDEX(Map!$C$2:$C$400,MATCH($A796,Map!$A$2:$A$400,0)),"⚠ UNMAPPED"))</f>
        <v/>
      </c>
      <c r="H796" s="18" t="str">
        <f>IF($A796="","",IFERROR(INDEX(Map!$D$2:$D$400,MATCH($A796,Map!$A$2:$A$400,0)),"⚠ UNMAPPED"))</f>
        <v/>
      </c>
      <c r="I796" s="18" t="str">
        <f>IF($A796="","",IFERROR(INDEX(Map!$E$2:$E$400,MATCH($A796,Map!$A$2:$A$400,0)),"⚠ UNMAPPED"))</f>
        <v/>
      </c>
      <c r="J796" s="18" t="str">
        <f>IF($A796="","",IFERROR(INDEX(Map!$F$2:$F$400,MATCH($A796,Map!$A$2:$A$400,0)),"⚠ UNMAPPED"))</f>
        <v/>
      </c>
    </row>
    <row r="797" spans="7:10" x14ac:dyDescent="0.25">
      <c r="G797" s="18" t="str">
        <f>IF($A797="","",IFERROR(INDEX(Map!$C$2:$C$400,MATCH($A797,Map!$A$2:$A$400,0)),"⚠ UNMAPPED"))</f>
        <v/>
      </c>
      <c r="H797" s="18" t="str">
        <f>IF($A797="","",IFERROR(INDEX(Map!$D$2:$D$400,MATCH($A797,Map!$A$2:$A$400,0)),"⚠ UNMAPPED"))</f>
        <v/>
      </c>
      <c r="I797" s="18" t="str">
        <f>IF($A797="","",IFERROR(INDEX(Map!$E$2:$E$400,MATCH($A797,Map!$A$2:$A$400,0)),"⚠ UNMAPPED"))</f>
        <v/>
      </c>
      <c r="J797" s="18" t="str">
        <f>IF($A797="","",IFERROR(INDEX(Map!$F$2:$F$400,MATCH($A797,Map!$A$2:$A$400,0)),"⚠ UNMAPPED"))</f>
        <v/>
      </c>
    </row>
    <row r="798" spans="7:10" x14ac:dyDescent="0.25">
      <c r="G798" s="18" t="str">
        <f>IF($A798="","",IFERROR(INDEX(Map!$C$2:$C$400,MATCH($A798,Map!$A$2:$A$400,0)),"⚠ UNMAPPED"))</f>
        <v/>
      </c>
      <c r="H798" s="18" t="str">
        <f>IF($A798="","",IFERROR(INDEX(Map!$D$2:$D$400,MATCH($A798,Map!$A$2:$A$400,0)),"⚠ UNMAPPED"))</f>
        <v/>
      </c>
      <c r="I798" s="18" t="str">
        <f>IF($A798="","",IFERROR(INDEX(Map!$E$2:$E$400,MATCH($A798,Map!$A$2:$A$400,0)),"⚠ UNMAPPED"))</f>
        <v/>
      </c>
      <c r="J798" s="18" t="str">
        <f>IF($A798="","",IFERROR(INDEX(Map!$F$2:$F$400,MATCH($A798,Map!$A$2:$A$400,0)),"⚠ UNMAPPED"))</f>
        <v/>
      </c>
    </row>
    <row r="799" spans="7:10" x14ac:dyDescent="0.25">
      <c r="G799" s="18" t="str">
        <f>IF($A799="","",IFERROR(INDEX(Map!$C$2:$C$400,MATCH($A799,Map!$A$2:$A$400,0)),"⚠ UNMAPPED"))</f>
        <v/>
      </c>
      <c r="H799" s="18" t="str">
        <f>IF($A799="","",IFERROR(INDEX(Map!$D$2:$D$400,MATCH($A799,Map!$A$2:$A$400,0)),"⚠ UNMAPPED"))</f>
        <v/>
      </c>
      <c r="I799" s="18" t="str">
        <f>IF($A799="","",IFERROR(INDEX(Map!$E$2:$E$400,MATCH($A799,Map!$A$2:$A$400,0)),"⚠ UNMAPPED"))</f>
        <v/>
      </c>
      <c r="J799" s="18" t="str">
        <f>IF($A799="","",IFERROR(INDEX(Map!$F$2:$F$400,MATCH($A799,Map!$A$2:$A$400,0)),"⚠ UNMAPPED"))</f>
        <v/>
      </c>
    </row>
    <row r="800" spans="7:10" x14ac:dyDescent="0.25">
      <c r="G800" s="18" t="str">
        <f>IF($A800="","",IFERROR(INDEX(Map!$C$2:$C$400,MATCH($A800,Map!$A$2:$A$400,0)),"⚠ UNMAPPED"))</f>
        <v/>
      </c>
      <c r="H800" s="18" t="str">
        <f>IF($A800="","",IFERROR(INDEX(Map!$D$2:$D$400,MATCH($A800,Map!$A$2:$A$400,0)),"⚠ UNMAPPED"))</f>
        <v/>
      </c>
      <c r="I800" s="18" t="str">
        <f>IF($A800="","",IFERROR(INDEX(Map!$E$2:$E$400,MATCH($A800,Map!$A$2:$A$400,0)),"⚠ UNMAPPED"))</f>
        <v/>
      </c>
      <c r="J800" s="18" t="str">
        <f>IF($A800="","",IFERROR(INDEX(Map!$F$2:$F$400,MATCH($A800,Map!$A$2:$A$400,0)),"⚠ UNMAPPED"))</f>
        <v/>
      </c>
    </row>
    <row r="801" spans="7:10" x14ac:dyDescent="0.25">
      <c r="G801" s="18" t="str">
        <f>IF($A801="","",IFERROR(INDEX(Map!$C$2:$C$400,MATCH($A801,Map!$A$2:$A$400,0)),"⚠ UNMAPPED"))</f>
        <v/>
      </c>
      <c r="H801" s="18" t="str">
        <f>IF($A801="","",IFERROR(INDEX(Map!$D$2:$D$400,MATCH($A801,Map!$A$2:$A$400,0)),"⚠ UNMAPPED"))</f>
        <v/>
      </c>
      <c r="I801" s="18" t="str">
        <f>IF($A801="","",IFERROR(INDEX(Map!$E$2:$E$400,MATCH($A801,Map!$A$2:$A$400,0)),"⚠ UNMAPPED"))</f>
        <v/>
      </c>
      <c r="J801" s="18" t="str">
        <f>IF($A801="","",IFERROR(INDEX(Map!$F$2:$F$400,MATCH($A801,Map!$A$2:$A$400,0)),"⚠ UNMAPPED"))</f>
        <v/>
      </c>
    </row>
    <row r="802" spans="7:10" x14ac:dyDescent="0.25">
      <c r="G802" s="18" t="str">
        <f>IF($A802="","",IFERROR(INDEX(Map!$C$2:$C$400,MATCH($A802,Map!$A$2:$A$400,0)),"⚠ UNMAPPED"))</f>
        <v/>
      </c>
      <c r="H802" s="18" t="str">
        <f>IF($A802="","",IFERROR(INDEX(Map!$D$2:$D$400,MATCH($A802,Map!$A$2:$A$400,0)),"⚠ UNMAPPED"))</f>
        <v/>
      </c>
      <c r="I802" s="18" t="str">
        <f>IF($A802="","",IFERROR(INDEX(Map!$E$2:$E$400,MATCH($A802,Map!$A$2:$A$400,0)),"⚠ UNMAPPED"))</f>
        <v/>
      </c>
      <c r="J802" s="18" t="str">
        <f>IF($A802="","",IFERROR(INDEX(Map!$F$2:$F$400,MATCH($A802,Map!$A$2:$A$400,0)),"⚠ UNMAPPED"))</f>
        <v/>
      </c>
    </row>
    <row r="803" spans="7:10" x14ac:dyDescent="0.25">
      <c r="G803" s="18" t="str">
        <f>IF($A803="","",IFERROR(INDEX(Map!$C$2:$C$400,MATCH($A803,Map!$A$2:$A$400,0)),"⚠ UNMAPPED"))</f>
        <v/>
      </c>
      <c r="H803" s="18" t="str">
        <f>IF($A803="","",IFERROR(INDEX(Map!$D$2:$D$400,MATCH($A803,Map!$A$2:$A$400,0)),"⚠ UNMAPPED"))</f>
        <v/>
      </c>
      <c r="I803" s="18" t="str">
        <f>IF($A803="","",IFERROR(INDEX(Map!$E$2:$E$400,MATCH($A803,Map!$A$2:$A$400,0)),"⚠ UNMAPPED"))</f>
        <v/>
      </c>
      <c r="J803" s="18" t="str">
        <f>IF($A803="","",IFERROR(INDEX(Map!$F$2:$F$400,MATCH($A803,Map!$A$2:$A$400,0)),"⚠ UNMAPPED"))</f>
        <v/>
      </c>
    </row>
    <row r="804" spans="7:10" x14ac:dyDescent="0.25">
      <c r="G804" s="18" t="str">
        <f>IF($A804="","",IFERROR(INDEX(Map!$C$2:$C$400,MATCH($A804,Map!$A$2:$A$400,0)),"⚠ UNMAPPED"))</f>
        <v/>
      </c>
      <c r="H804" s="18" t="str">
        <f>IF($A804="","",IFERROR(INDEX(Map!$D$2:$D$400,MATCH($A804,Map!$A$2:$A$400,0)),"⚠ UNMAPPED"))</f>
        <v/>
      </c>
      <c r="I804" s="18" t="str">
        <f>IF($A804="","",IFERROR(INDEX(Map!$E$2:$E$400,MATCH($A804,Map!$A$2:$A$400,0)),"⚠ UNMAPPED"))</f>
        <v/>
      </c>
      <c r="J804" s="18" t="str">
        <f>IF($A804="","",IFERROR(INDEX(Map!$F$2:$F$400,MATCH($A804,Map!$A$2:$A$400,0)),"⚠ UNMAPPED"))</f>
        <v/>
      </c>
    </row>
    <row r="805" spans="7:10" x14ac:dyDescent="0.25">
      <c r="G805" s="18" t="str">
        <f>IF($A805="","",IFERROR(INDEX(Map!$C$2:$C$400,MATCH($A805,Map!$A$2:$A$400,0)),"⚠ UNMAPPED"))</f>
        <v/>
      </c>
      <c r="H805" s="18" t="str">
        <f>IF($A805="","",IFERROR(INDEX(Map!$D$2:$D$400,MATCH($A805,Map!$A$2:$A$400,0)),"⚠ UNMAPPED"))</f>
        <v/>
      </c>
      <c r="I805" s="18" t="str">
        <f>IF($A805="","",IFERROR(INDEX(Map!$E$2:$E$400,MATCH($A805,Map!$A$2:$A$400,0)),"⚠ UNMAPPED"))</f>
        <v/>
      </c>
      <c r="J805" s="18" t="str">
        <f>IF($A805="","",IFERROR(INDEX(Map!$F$2:$F$400,MATCH($A805,Map!$A$2:$A$400,0)),"⚠ UNMAPPED"))</f>
        <v/>
      </c>
    </row>
    <row r="806" spans="7:10" x14ac:dyDescent="0.25">
      <c r="G806" s="18" t="str">
        <f>IF($A806="","",IFERROR(INDEX(Map!$C$2:$C$400,MATCH($A806,Map!$A$2:$A$400,0)),"⚠ UNMAPPED"))</f>
        <v/>
      </c>
      <c r="H806" s="18" t="str">
        <f>IF($A806="","",IFERROR(INDEX(Map!$D$2:$D$400,MATCH($A806,Map!$A$2:$A$400,0)),"⚠ UNMAPPED"))</f>
        <v/>
      </c>
      <c r="I806" s="18" t="str">
        <f>IF($A806="","",IFERROR(INDEX(Map!$E$2:$E$400,MATCH($A806,Map!$A$2:$A$400,0)),"⚠ UNMAPPED"))</f>
        <v/>
      </c>
      <c r="J806" s="18" t="str">
        <f>IF($A806="","",IFERROR(INDEX(Map!$F$2:$F$400,MATCH($A806,Map!$A$2:$A$400,0)),"⚠ UNMAPPED"))</f>
        <v/>
      </c>
    </row>
    <row r="807" spans="7:10" x14ac:dyDescent="0.25">
      <c r="G807" s="18" t="str">
        <f>IF($A807="","",IFERROR(INDEX(Map!$C$2:$C$400,MATCH($A807,Map!$A$2:$A$400,0)),"⚠ UNMAPPED"))</f>
        <v/>
      </c>
      <c r="H807" s="18" t="str">
        <f>IF($A807="","",IFERROR(INDEX(Map!$D$2:$D$400,MATCH($A807,Map!$A$2:$A$400,0)),"⚠ UNMAPPED"))</f>
        <v/>
      </c>
      <c r="I807" s="18" t="str">
        <f>IF($A807="","",IFERROR(INDEX(Map!$E$2:$E$400,MATCH($A807,Map!$A$2:$A$400,0)),"⚠ UNMAPPED"))</f>
        <v/>
      </c>
      <c r="J807" s="18" t="str">
        <f>IF($A807="","",IFERROR(INDEX(Map!$F$2:$F$400,MATCH($A807,Map!$A$2:$A$400,0)),"⚠ UNMAPPED"))</f>
        <v/>
      </c>
    </row>
    <row r="808" spans="7:10" x14ac:dyDescent="0.25">
      <c r="G808" s="18" t="str">
        <f>IF($A808="","",IFERROR(INDEX(Map!$C$2:$C$400,MATCH($A808,Map!$A$2:$A$400,0)),"⚠ UNMAPPED"))</f>
        <v/>
      </c>
      <c r="H808" s="18" t="str">
        <f>IF($A808="","",IFERROR(INDEX(Map!$D$2:$D$400,MATCH($A808,Map!$A$2:$A$400,0)),"⚠ UNMAPPED"))</f>
        <v/>
      </c>
      <c r="I808" s="18" t="str">
        <f>IF($A808="","",IFERROR(INDEX(Map!$E$2:$E$400,MATCH($A808,Map!$A$2:$A$400,0)),"⚠ UNMAPPED"))</f>
        <v/>
      </c>
      <c r="J808" s="18" t="str">
        <f>IF($A808="","",IFERROR(INDEX(Map!$F$2:$F$400,MATCH($A808,Map!$A$2:$A$400,0)),"⚠ UNMAPPED"))</f>
        <v/>
      </c>
    </row>
    <row r="809" spans="7:10" x14ac:dyDescent="0.25">
      <c r="G809" s="18" t="str">
        <f>IF($A809="","",IFERROR(INDEX(Map!$C$2:$C$400,MATCH($A809,Map!$A$2:$A$400,0)),"⚠ UNMAPPED"))</f>
        <v/>
      </c>
      <c r="H809" s="18" t="str">
        <f>IF($A809="","",IFERROR(INDEX(Map!$D$2:$D$400,MATCH($A809,Map!$A$2:$A$400,0)),"⚠ UNMAPPED"))</f>
        <v/>
      </c>
      <c r="I809" s="18" t="str">
        <f>IF($A809="","",IFERROR(INDEX(Map!$E$2:$E$400,MATCH($A809,Map!$A$2:$A$400,0)),"⚠ UNMAPPED"))</f>
        <v/>
      </c>
      <c r="J809" s="18" t="str">
        <f>IF($A809="","",IFERROR(INDEX(Map!$F$2:$F$400,MATCH($A809,Map!$A$2:$A$400,0)),"⚠ UNMAPPED"))</f>
        <v/>
      </c>
    </row>
    <row r="810" spans="7:10" x14ac:dyDescent="0.25">
      <c r="G810" s="18" t="str">
        <f>IF($A810="","",IFERROR(INDEX(Map!$C$2:$C$400,MATCH($A810,Map!$A$2:$A$400,0)),"⚠ UNMAPPED"))</f>
        <v/>
      </c>
      <c r="H810" s="18" t="str">
        <f>IF($A810="","",IFERROR(INDEX(Map!$D$2:$D$400,MATCH($A810,Map!$A$2:$A$400,0)),"⚠ UNMAPPED"))</f>
        <v/>
      </c>
      <c r="I810" s="18" t="str">
        <f>IF($A810="","",IFERROR(INDEX(Map!$E$2:$E$400,MATCH($A810,Map!$A$2:$A$400,0)),"⚠ UNMAPPED"))</f>
        <v/>
      </c>
      <c r="J810" s="18" t="str">
        <f>IF($A810="","",IFERROR(INDEX(Map!$F$2:$F$400,MATCH($A810,Map!$A$2:$A$400,0)),"⚠ UNMAPPED"))</f>
        <v/>
      </c>
    </row>
    <row r="811" spans="7:10" x14ac:dyDescent="0.25">
      <c r="G811" s="18" t="str">
        <f>IF($A811="","",IFERROR(INDEX(Map!$C$2:$C$400,MATCH($A811,Map!$A$2:$A$400,0)),"⚠ UNMAPPED"))</f>
        <v/>
      </c>
      <c r="H811" s="18" t="str">
        <f>IF($A811="","",IFERROR(INDEX(Map!$D$2:$D$400,MATCH($A811,Map!$A$2:$A$400,0)),"⚠ UNMAPPED"))</f>
        <v/>
      </c>
      <c r="I811" s="18" t="str">
        <f>IF($A811="","",IFERROR(INDEX(Map!$E$2:$E$400,MATCH($A811,Map!$A$2:$A$400,0)),"⚠ UNMAPPED"))</f>
        <v/>
      </c>
      <c r="J811" s="18" t="str">
        <f>IF($A811="","",IFERROR(INDEX(Map!$F$2:$F$400,MATCH($A811,Map!$A$2:$A$400,0)),"⚠ UNMAPPED"))</f>
        <v/>
      </c>
    </row>
    <row r="812" spans="7:10" x14ac:dyDescent="0.25">
      <c r="G812" s="18" t="str">
        <f>IF($A812="","",IFERROR(INDEX(Map!$C$2:$C$400,MATCH($A812,Map!$A$2:$A$400,0)),"⚠ UNMAPPED"))</f>
        <v/>
      </c>
      <c r="H812" s="18" t="str">
        <f>IF($A812="","",IFERROR(INDEX(Map!$D$2:$D$400,MATCH($A812,Map!$A$2:$A$400,0)),"⚠ UNMAPPED"))</f>
        <v/>
      </c>
      <c r="I812" s="18" t="str">
        <f>IF($A812="","",IFERROR(INDEX(Map!$E$2:$E$400,MATCH($A812,Map!$A$2:$A$400,0)),"⚠ UNMAPPED"))</f>
        <v/>
      </c>
      <c r="J812" s="18" t="str">
        <f>IF($A812="","",IFERROR(INDEX(Map!$F$2:$F$400,MATCH($A812,Map!$A$2:$A$400,0)),"⚠ UNMAPPED"))</f>
        <v/>
      </c>
    </row>
    <row r="813" spans="7:10" x14ac:dyDescent="0.25">
      <c r="G813" s="18" t="str">
        <f>IF($A813="","",IFERROR(INDEX(Map!$C$2:$C$400,MATCH($A813,Map!$A$2:$A$400,0)),"⚠ UNMAPPED"))</f>
        <v/>
      </c>
      <c r="H813" s="18" t="str">
        <f>IF($A813="","",IFERROR(INDEX(Map!$D$2:$D$400,MATCH($A813,Map!$A$2:$A$400,0)),"⚠ UNMAPPED"))</f>
        <v/>
      </c>
      <c r="I813" s="18" t="str">
        <f>IF($A813="","",IFERROR(INDEX(Map!$E$2:$E$400,MATCH($A813,Map!$A$2:$A$400,0)),"⚠ UNMAPPED"))</f>
        <v/>
      </c>
      <c r="J813" s="18" t="str">
        <f>IF($A813="","",IFERROR(INDEX(Map!$F$2:$F$400,MATCH($A813,Map!$A$2:$A$400,0)),"⚠ UNMAPPED"))</f>
        <v/>
      </c>
    </row>
    <row r="814" spans="7:10" x14ac:dyDescent="0.25">
      <c r="G814" s="18" t="str">
        <f>IF($A814="","",IFERROR(INDEX(Map!$C$2:$C$400,MATCH($A814,Map!$A$2:$A$400,0)),"⚠ UNMAPPED"))</f>
        <v/>
      </c>
      <c r="H814" s="18" t="str">
        <f>IF($A814="","",IFERROR(INDEX(Map!$D$2:$D$400,MATCH($A814,Map!$A$2:$A$400,0)),"⚠ UNMAPPED"))</f>
        <v/>
      </c>
      <c r="I814" s="18" t="str">
        <f>IF($A814="","",IFERROR(INDEX(Map!$E$2:$E$400,MATCH($A814,Map!$A$2:$A$400,0)),"⚠ UNMAPPED"))</f>
        <v/>
      </c>
      <c r="J814" s="18" t="str">
        <f>IF($A814="","",IFERROR(INDEX(Map!$F$2:$F$400,MATCH($A814,Map!$A$2:$A$400,0)),"⚠ UNMAPPED"))</f>
        <v/>
      </c>
    </row>
    <row r="815" spans="7:10" x14ac:dyDescent="0.25">
      <c r="G815" s="18" t="str">
        <f>IF($A815="","",IFERROR(INDEX(Map!$C$2:$C$400,MATCH($A815,Map!$A$2:$A$400,0)),"⚠ UNMAPPED"))</f>
        <v/>
      </c>
      <c r="H815" s="18" t="str">
        <f>IF($A815="","",IFERROR(INDEX(Map!$D$2:$D$400,MATCH($A815,Map!$A$2:$A$400,0)),"⚠ UNMAPPED"))</f>
        <v/>
      </c>
      <c r="I815" s="18" t="str">
        <f>IF($A815="","",IFERROR(INDEX(Map!$E$2:$E$400,MATCH($A815,Map!$A$2:$A$400,0)),"⚠ UNMAPPED"))</f>
        <v/>
      </c>
      <c r="J815" s="18" t="str">
        <f>IF($A815="","",IFERROR(INDEX(Map!$F$2:$F$400,MATCH($A815,Map!$A$2:$A$400,0)),"⚠ UNMAPPED"))</f>
        <v/>
      </c>
    </row>
    <row r="816" spans="7:10" x14ac:dyDescent="0.25">
      <c r="G816" s="18" t="str">
        <f>IF($A816="","",IFERROR(INDEX(Map!$C$2:$C$400,MATCH($A816,Map!$A$2:$A$400,0)),"⚠ UNMAPPED"))</f>
        <v/>
      </c>
      <c r="H816" s="18" t="str">
        <f>IF($A816="","",IFERROR(INDEX(Map!$D$2:$D$400,MATCH($A816,Map!$A$2:$A$400,0)),"⚠ UNMAPPED"))</f>
        <v/>
      </c>
      <c r="I816" s="18" t="str">
        <f>IF($A816="","",IFERROR(INDEX(Map!$E$2:$E$400,MATCH($A816,Map!$A$2:$A$400,0)),"⚠ UNMAPPED"))</f>
        <v/>
      </c>
      <c r="J816" s="18" t="str">
        <f>IF($A816="","",IFERROR(INDEX(Map!$F$2:$F$400,MATCH($A816,Map!$A$2:$A$400,0)),"⚠ UNMAPPED"))</f>
        <v/>
      </c>
    </row>
    <row r="817" spans="7:10" x14ac:dyDescent="0.25">
      <c r="G817" s="18" t="str">
        <f>IF($A817="","",IFERROR(INDEX(Map!$C$2:$C$400,MATCH($A817,Map!$A$2:$A$400,0)),"⚠ UNMAPPED"))</f>
        <v/>
      </c>
      <c r="H817" s="18" t="str">
        <f>IF($A817="","",IFERROR(INDEX(Map!$D$2:$D$400,MATCH($A817,Map!$A$2:$A$400,0)),"⚠ UNMAPPED"))</f>
        <v/>
      </c>
      <c r="I817" s="18" t="str">
        <f>IF($A817="","",IFERROR(INDEX(Map!$E$2:$E$400,MATCH($A817,Map!$A$2:$A$400,0)),"⚠ UNMAPPED"))</f>
        <v/>
      </c>
      <c r="J817" s="18" t="str">
        <f>IF($A817="","",IFERROR(INDEX(Map!$F$2:$F$400,MATCH($A817,Map!$A$2:$A$400,0)),"⚠ UNMAPPED"))</f>
        <v/>
      </c>
    </row>
    <row r="818" spans="7:10" x14ac:dyDescent="0.25">
      <c r="G818" s="18" t="str">
        <f>IF($A818="","",IFERROR(INDEX(Map!$C$2:$C$400,MATCH($A818,Map!$A$2:$A$400,0)),"⚠ UNMAPPED"))</f>
        <v/>
      </c>
      <c r="H818" s="18" t="str">
        <f>IF($A818="","",IFERROR(INDEX(Map!$D$2:$D$400,MATCH($A818,Map!$A$2:$A$400,0)),"⚠ UNMAPPED"))</f>
        <v/>
      </c>
      <c r="I818" s="18" t="str">
        <f>IF($A818="","",IFERROR(INDEX(Map!$E$2:$E$400,MATCH($A818,Map!$A$2:$A$400,0)),"⚠ UNMAPPED"))</f>
        <v/>
      </c>
      <c r="J818" s="18" t="str">
        <f>IF($A818="","",IFERROR(INDEX(Map!$F$2:$F$400,MATCH($A818,Map!$A$2:$A$400,0)),"⚠ UNMAPPED"))</f>
        <v/>
      </c>
    </row>
    <row r="819" spans="7:10" x14ac:dyDescent="0.25">
      <c r="G819" s="18" t="str">
        <f>IF($A819="","",IFERROR(INDEX(Map!$C$2:$C$400,MATCH($A819,Map!$A$2:$A$400,0)),"⚠ UNMAPPED"))</f>
        <v/>
      </c>
      <c r="H819" s="18" t="str">
        <f>IF($A819="","",IFERROR(INDEX(Map!$D$2:$D$400,MATCH($A819,Map!$A$2:$A$400,0)),"⚠ UNMAPPED"))</f>
        <v/>
      </c>
      <c r="I819" s="18" t="str">
        <f>IF($A819="","",IFERROR(INDEX(Map!$E$2:$E$400,MATCH($A819,Map!$A$2:$A$400,0)),"⚠ UNMAPPED"))</f>
        <v/>
      </c>
      <c r="J819" s="18" t="str">
        <f>IF($A819="","",IFERROR(INDEX(Map!$F$2:$F$400,MATCH($A819,Map!$A$2:$A$400,0)),"⚠ UNMAPPED"))</f>
        <v/>
      </c>
    </row>
    <row r="820" spans="7:10" x14ac:dyDescent="0.25">
      <c r="G820" s="18" t="str">
        <f>IF($A820="","",IFERROR(INDEX(Map!$C$2:$C$400,MATCH($A820,Map!$A$2:$A$400,0)),"⚠ UNMAPPED"))</f>
        <v/>
      </c>
      <c r="H820" s="18" t="str">
        <f>IF($A820="","",IFERROR(INDEX(Map!$D$2:$D$400,MATCH($A820,Map!$A$2:$A$400,0)),"⚠ UNMAPPED"))</f>
        <v/>
      </c>
      <c r="I820" s="18" t="str">
        <f>IF($A820="","",IFERROR(INDEX(Map!$E$2:$E$400,MATCH($A820,Map!$A$2:$A$400,0)),"⚠ UNMAPPED"))</f>
        <v/>
      </c>
      <c r="J820" s="18" t="str">
        <f>IF($A820="","",IFERROR(INDEX(Map!$F$2:$F$400,MATCH($A820,Map!$A$2:$A$400,0)),"⚠ UNMAPPED"))</f>
        <v/>
      </c>
    </row>
    <row r="821" spans="7:10" x14ac:dyDescent="0.25">
      <c r="G821" s="18" t="str">
        <f>IF($A821="","",IFERROR(INDEX(Map!$C$2:$C$400,MATCH($A821,Map!$A$2:$A$400,0)),"⚠ UNMAPPED"))</f>
        <v/>
      </c>
      <c r="H821" s="18" t="str">
        <f>IF($A821="","",IFERROR(INDEX(Map!$D$2:$D$400,MATCH($A821,Map!$A$2:$A$400,0)),"⚠ UNMAPPED"))</f>
        <v/>
      </c>
      <c r="I821" s="18" t="str">
        <f>IF($A821="","",IFERROR(INDEX(Map!$E$2:$E$400,MATCH($A821,Map!$A$2:$A$400,0)),"⚠ UNMAPPED"))</f>
        <v/>
      </c>
      <c r="J821" s="18" t="str">
        <f>IF($A821="","",IFERROR(INDEX(Map!$F$2:$F$400,MATCH($A821,Map!$A$2:$A$400,0)),"⚠ UNMAPPED"))</f>
        <v/>
      </c>
    </row>
    <row r="822" spans="7:10" x14ac:dyDescent="0.25">
      <c r="G822" s="18" t="str">
        <f>IF($A822="","",IFERROR(INDEX(Map!$C$2:$C$400,MATCH($A822,Map!$A$2:$A$400,0)),"⚠ UNMAPPED"))</f>
        <v/>
      </c>
      <c r="H822" s="18" t="str">
        <f>IF($A822="","",IFERROR(INDEX(Map!$D$2:$D$400,MATCH($A822,Map!$A$2:$A$400,0)),"⚠ UNMAPPED"))</f>
        <v/>
      </c>
      <c r="I822" s="18" t="str">
        <f>IF($A822="","",IFERROR(INDEX(Map!$E$2:$E$400,MATCH($A822,Map!$A$2:$A$400,0)),"⚠ UNMAPPED"))</f>
        <v/>
      </c>
      <c r="J822" s="18" t="str">
        <f>IF($A822="","",IFERROR(INDEX(Map!$F$2:$F$400,MATCH($A822,Map!$A$2:$A$400,0)),"⚠ UNMAPPED"))</f>
        <v/>
      </c>
    </row>
    <row r="823" spans="7:10" x14ac:dyDescent="0.25">
      <c r="G823" s="18" t="str">
        <f>IF($A823="","",IFERROR(INDEX(Map!$C$2:$C$400,MATCH($A823,Map!$A$2:$A$400,0)),"⚠ UNMAPPED"))</f>
        <v/>
      </c>
      <c r="H823" s="18" t="str">
        <f>IF($A823="","",IFERROR(INDEX(Map!$D$2:$D$400,MATCH($A823,Map!$A$2:$A$400,0)),"⚠ UNMAPPED"))</f>
        <v/>
      </c>
      <c r="I823" s="18" t="str">
        <f>IF($A823="","",IFERROR(INDEX(Map!$E$2:$E$400,MATCH($A823,Map!$A$2:$A$400,0)),"⚠ UNMAPPED"))</f>
        <v/>
      </c>
      <c r="J823" s="18" t="str">
        <f>IF($A823="","",IFERROR(INDEX(Map!$F$2:$F$400,MATCH($A823,Map!$A$2:$A$400,0)),"⚠ UNMAPPED"))</f>
        <v/>
      </c>
    </row>
    <row r="824" spans="7:10" x14ac:dyDescent="0.25">
      <c r="G824" s="18" t="str">
        <f>IF($A824="","",IFERROR(INDEX(Map!$C$2:$C$400,MATCH($A824,Map!$A$2:$A$400,0)),"⚠ UNMAPPED"))</f>
        <v/>
      </c>
      <c r="H824" s="18" t="str">
        <f>IF($A824="","",IFERROR(INDEX(Map!$D$2:$D$400,MATCH($A824,Map!$A$2:$A$400,0)),"⚠ UNMAPPED"))</f>
        <v/>
      </c>
      <c r="I824" s="18" t="str">
        <f>IF($A824="","",IFERROR(INDEX(Map!$E$2:$E$400,MATCH($A824,Map!$A$2:$A$400,0)),"⚠ UNMAPPED"))</f>
        <v/>
      </c>
      <c r="J824" s="18" t="str">
        <f>IF($A824="","",IFERROR(INDEX(Map!$F$2:$F$400,MATCH($A824,Map!$A$2:$A$400,0)),"⚠ UNMAPPED"))</f>
        <v/>
      </c>
    </row>
    <row r="825" spans="7:10" x14ac:dyDescent="0.25">
      <c r="G825" s="18" t="str">
        <f>IF($A825="","",IFERROR(INDEX(Map!$C$2:$C$400,MATCH($A825,Map!$A$2:$A$400,0)),"⚠ UNMAPPED"))</f>
        <v/>
      </c>
      <c r="H825" s="18" t="str">
        <f>IF($A825="","",IFERROR(INDEX(Map!$D$2:$D$400,MATCH($A825,Map!$A$2:$A$400,0)),"⚠ UNMAPPED"))</f>
        <v/>
      </c>
      <c r="I825" s="18" t="str">
        <f>IF($A825="","",IFERROR(INDEX(Map!$E$2:$E$400,MATCH($A825,Map!$A$2:$A$400,0)),"⚠ UNMAPPED"))</f>
        <v/>
      </c>
      <c r="J825" s="18" t="str">
        <f>IF($A825="","",IFERROR(INDEX(Map!$F$2:$F$400,MATCH($A825,Map!$A$2:$A$400,0)),"⚠ UNMAPPED"))</f>
        <v/>
      </c>
    </row>
    <row r="826" spans="7:10" x14ac:dyDescent="0.25">
      <c r="G826" s="18" t="str">
        <f>IF($A826="","",IFERROR(INDEX(Map!$C$2:$C$400,MATCH($A826,Map!$A$2:$A$400,0)),"⚠ UNMAPPED"))</f>
        <v/>
      </c>
      <c r="H826" s="18" t="str">
        <f>IF($A826="","",IFERROR(INDEX(Map!$D$2:$D$400,MATCH($A826,Map!$A$2:$A$400,0)),"⚠ UNMAPPED"))</f>
        <v/>
      </c>
      <c r="I826" s="18" t="str">
        <f>IF($A826="","",IFERROR(INDEX(Map!$E$2:$E$400,MATCH($A826,Map!$A$2:$A$400,0)),"⚠ UNMAPPED"))</f>
        <v/>
      </c>
      <c r="J826" s="18" t="str">
        <f>IF($A826="","",IFERROR(INDEX(Map!$F$2:$F$400,MATCH($A826,Map!$A$2:$A$400,0)),"⚠ UNMAPPED"))</f>
        <v/>
      </c>
    </row>
    <row r="827" spans="7:10" x14ac:dyDescent="0.25">
      <c r="G827" s="18" t="str">
        <f>IF($A827="","",IFERROR(INDEX(Map!$C$2:$C$400,MATCH($A827,Map!$A$2:$A$400,0)),"⚠ UNMAPPED"))</f>
        <v/>
      </c>
      <c r="H827" s="18" t="str">
        <f>IF($A827="","",IFERROR(INDEX(Map!$D$2:$D$400,MATCH($A827,Map!$A$2:$A$400,0)),"⚠ UNMAPPED"))</f>
        <v/>
      </c>
      <c r="I827" s="18" t="str">
        <f>IF($A827="","",IFERROR(INDEX(Map!$E$2:$E$400,MATCH($A827,Map!$A$2:$A$400,0)),"⚠ UNMAPPED"))</f>
        <v/>
      </c>
      <c r="J827" s="18" t="str">
        <f>IF($A827="","",IFERROR(INDEX(Map!$F$2:$F$400,MATCH($A827,Map!$A$2:$A$400,0)),"⚠ UNMAPPED"))</f>
        <v/>
      </c>
    </row>
    <row r="828" spans="7:10" x14ac:dyDescent="0.25">
      <c r="G828" s="18" t="str">
        <f>IF($A828="","",IFERROR(INDEX(Map!$C$2:$C$400,MATCH($A828,Map!$A$2:$A$400,0)),"⚠ UNMAPPED"))</f>
        <v/>
      </c>
      <c r="H828" s="18" t="str">
        <f>IF($A828="","",IFERROR(INDEX(Map!$D$2:$D$400,MATCH($A828,Map!$A$2:$A$400,0)),"⚠ UNMAPPED"))</f>
        <v/>
      </c>
      <c r="I828" s="18" t="str">
        <f>IF($A828="","",IFERROR(INDEX(Map!$E$2:$E$400,MATCH($A828,Map!$A$2:$A$400,0)),"⚠ UNMAPPED"))</f>
        <v/>
      </c>
      <c r="J828" s="18" t="str">
        <f>IF($A828="","",IFERROR(INDEX(Map!$F$2:$F$400,MATCH($A828,Map!$A$2:$A$400,0)),"⚠ UNMAPPED"))</f>
        <v/>
      </c>
    </row>
    <row r="829" spans="7:10" x14ac:dyDescent="0.25">
      <c r="G829" s="18" t="str">
        <f>IF($A829="","",IFERROR(INDEX(Map!$C$2:$C$400,MATCH($A829,Map!$A$2:$A$400,0)),"⚠ UNMAPPED"))</f>
        <v/>
      </c>
      <c r="H829" s="18" t="str">
        <f>IF($A829="","",IFERROR(INDEX(Map!$D$2:$D$400,MATCH($A829,Map!$A$2:$A$400,0)),"⚠ UNMAPPED"))</f>
        <v/>
      </c>
      <c r="I829" s="18" t="str">
        <f>IF($A829="","",IFERROR(INDEX(Map!$E$2:$E$400,MATCH($A829,Map!$A$2:$A$400,0)),"⚠ UNMAPPED"))</f>
        <v/>
      </c>
      <c r="J829" s="18" t="str">
        <f>IF($A829="","",IFERROR(INDEX(Map!$F$2:$F$400,MATCH($A829,Map!$A$2:$A$400,0)),"⚠ UNMAPPED"))</f>
        <v/>
      </c>
    </row>
    <row r="830" spans="7:10" x14ac:dyDescent="0.25">
      <c r="G830" s="18" t="str">
        <f>IF($A830="","",IFERROR(INDEX(Map!$C$2:$C$400,MATCH($A830,Map!$A$2:$A$400,0)),"⚠ UNMAPPED"))</f>
        <v/>
      </c>
      <c r="H830" s="18" t="str">
        <f>IF($A830="","",IFERROR(INDEX(Map!$D$2:$D$400,MATCH($A830,Map!$A$2:$A$400,0)),"⚠ UNMAPPED"))</f>
        <v/>
      </c>
      <c r="I830" s="18" t="str">
        <f>IF($A830="","",IFERROR(INDEX(Map!$E$2:$E$400,MATCH($A830,Map!$A$2:$A$400,0)),"⚠ UNMAPPED"))</f>
        <v/>
      </c>
      <c r="J830" s="18" t="str">
        <f>IF($A830="","",IFERROR(INDEX(Map!$F$2:$F$400,MATCH($A830,Map!$A$2:$A$400,0)),"⚠ UNMAPPED"))</f>
        <v/>
      </c>
    </row>
    <row r="831" spans="7:10" x14ac:dyDescent="0.25">
      <c r="G831" s="18" t="str">
        <f>IF($A831="","",IFERROR(INDEX(Map!$C$2:$C$400,MATCH($A831,Map!$A$2:$A$400,0)),"⚠ UNMAPPED"))</f>
        <v/>
      </c>
      <c r="H831" s="18" t="str">
        <f>IF($A831="","",IFERROR(INDEX(Map!$D$2:$D$400,MATCH($A831,Map!$A$2:$A$400,0)),"⚠ UNMAPPED"))</f>
        <v/>
      </c>
      <c r="I831" s="18" t="str">
        <f>IF($A831="","",IFERROR(INDEX(Map!$E$2:$E$400,MATCH($A831,Map!$A$2:$A$400,0)),"⚠ UNMAPPED"))</f>
        <v/>
      </c>
      <c r="J831" s="18" t="str">
        <f>IF($A831="","",IFERROR(INDEX(Map!$F$2:$F$400,MATCH($A831,Map!$A$2:$A$400,0)),"⚠ UNMAPPED"))</f>
        <v/>
      </c>
    </row>
    <row r="832" spans="7:10" x14ac:dyDescent="0.25">
      <c r="G832" s="18" t="str">
        <f>IF($A832="","",IFERROR(INDEX(Map!$C$2:$C$400,MATCH($A832,Map!$A$2:$A$400,0)),"⚠ UNMAPPED"))</f>
        <v/>
      </c>
      <c r="H832" s="18" t="str">
        <f>IF($A832="","",IFERROR(INDEX(Map!$D$2:$D$400,MATCH($A832,Map!$A$2:$A$400,0)),"⚠ UNMAPPED"))</f>
        <v/>
      </c>
      <c r="I832" s="18" t="str">
        <f>IF($A832="","",IFERROR(INDEX(Map!$E$2:$E$400,MATCH($A832,Map!$A$2:$A$400,0)),"⚠ UNMAPPED"))</f>
        <v/>
      </c>
      <c r="J832" s="18" t="str">
        <f>IF($A832="","",IFERROR(INDEX(Map!$F$2:$F$400,MATCH($A832,Map!$A$2:$A$400,0)),"⚠ UNMAPPED"))</f>
        <v/>
      </c>
    </row>
    <row r="833" spans="7:10" x14ac:dyDescent="0.25">
      <c r="G833" s="18" t="str">
        <f>IF($A833="","",IFERROR(INDEX(Map!$C$2:$C$400,MATCH($A833,Map!$A$2:$A$400,0)),"⚠ UNMAPPED"))</f>
        <v/>
      </c>
      <c r="H833" s="18" t="str">
        <f>IF($A833="","",IFERROR(INDEX(Map!$D$2:$D$400,MATCH($A833,Map!$A$2:$A$400,0)),"⚠ UNMAPPED"))</f>
        <v/>
      </c>
      <c r="I833" s="18" t="str">
        <f>IF($A833="","",IFERROR(INDEX(Map!$E$2:$E$400,MATCH($A833,Map!$A$2:$A$400,0)),"⚠ UNMAPPED"))</f>
        <v/>
      </c>
      <c r="J833" s="18" t="str">
        <f>IF($A833="","",IFERROR(INDEX(Map!$F$2:$F$400,MATCH($A833,Map!$A$2:$A$400,0)),"⚠ UNMAPPED"))</f>
        <v/>
      </c>
    </row>
    <row r="834" spans="7:10" x14ac:dyDescent="0.25">
      <c r="G834" s="18" t="str">
        <f>IF($A834="","",IFERROR(INDEX(Map!$C$2:$C$400,MATCH($A834,Map!$A$2:$A$400,0)),"⚠ UNMAPPED"))</f>
        <v/>
      </c>
      <c r="H834" s="18" t="str">
        <f>IF($A834="","",IFERROR(INDEX(Map!$D$2:$D$400,MATCH($A834,Map!$A$2:$A$400,0)),"⚠ UNMAPPED"))</f>
        <v/>
      </c>
      <c r="I834" s="18" t="str">
        <f>IF($A834="","",IFERROR(INDEX(Map!$E$2:$E$400,MATCH($A834,Map!$A$2:$A$400,0)),"⚠ UNMAPPED"))</f>
        <v/>
      </c>
      <c r="J834" s="18" t="str">
        <f>IF($A834="","",IFERROR(INDEX(Map!$F$2:$F$400,MATCH($A834,Map!$A$2:$A$400,0)),"⚠ UNMAPPED"))</f>
        <v/>
      </c>
    </row>
    <row r="835" spans="7:10" x14ac:dyDescent="0.25">
      <c r="G835" s="18" t="str">
        <f>IF($A835="","",IFERROR(INDEX(Map!$C$2:$C$400,MATCH($A835,Map!$A$2:$A$400,0)),"⚠ UNMAPPED"))</f>
        <v/>
      </c>
      <c r="H835" s="18" t="str">
        <f>IF($A835="","",IFERROR(INDEX(Map!$D$2:$D$400,MATCH($A835,Map!$A$2:$A$400,0)),"⚠ UNMAPPED"))</f>
        <v/>
      </c>
      <c r="I835" s="18" t="str">
        <f>IF($A835="","",IFERROR(INDEX(Map!$E$2:$E$400,MATCH($A835,Map!$A$2:$A$400,0)),"⚠ UNMAPPED"))</f>
        <v/>
      </c>
      <c r="J835" s="18" t="str">
        <f>IF($A835="","",IFERROR(INDEX(Map!$F$2:$F$400,MATCH($A835,Map!$A$2:$A$400,0)),"⚠ UNMAPPED"))</f>
        <v/>
      </c>
    </row>
    <row r="836" spans="7:10" x14ac:dyDescent="0.25">
      <c r="G836" s="18" t="str">
        <f>IF($A836="","",IFERROR(INDEX(Map!$C$2:$C$400,MATCH($A836,Map!$A$2:$A$400,0)),"⚠ UNMAPPED"))</f>
        <v/>
      </c>
      <c r="H836" s="18" t="str">
        <f>IF($A836="","",IFERROR(INDEX(Map!$D$2:$D$400,MATCH($A836,Map!$A$2:$A$400,0)),"⚠ UNMAPPED"))</f>
        <v/>
      </c>
      <c r="I836" s="18" t="str">
        <f>IF($A836="","",IFERROR(INDEX(Map!$E$2:$E$400,MATCH($A836,Map!$A$2:$A$400,0)),"⚠ UNMAPPED"))</f>
        <v/>
      </c>
      <c r="J836" s="18" t="str">
        <f>IF($A836="","",IFERROR(INDEX(Map!$F$2:$F$400,MATCH($A836,Map!$A$2:$A$400,0)),"⚠ UNMAPPED"))</f>
        <v/>
      </c>
    </row>
    <row r="837" spans="7:10" x14ac:dyDescent="0.25">
      <c r="G837" s="18" t="str">
        <f>IF($A837="","",IFERROR(INDEX(Map!$C$2:$C$400,MATCH($A837,Map!$A$2:$A$400,0)),"⚠ UNMAPPED"))</f>
        <v/>
      </c>
      <c r="H837" s="18" t="str">
        <f>IF($A837="","",IFERROR(INDEX(Map!$D$2:$D$400,MATCH($A837,Map!$A$2:$A$400,0)),"⚠ UNMAPPED"))</f>
        <v/>
      </c>
      <c r="I837" s="18" t="str">
        <f>IF($A837="","",IFERROR(INDEX(Map!$E$2:$E$400,MATCH($A837,Map!$A$2:$A$400,0)),"⚠ UNMAPPED"))</f>
        <v/>
      </c>
      <c r="J837" s="18" t="str">
        <f>IF($A837="","",IFERROR(INDEX(Map!$F$2:$F$400,MATCH($A837,Map!$A$2:$A$400,0)),"⚠ UNMAPPED"))</f>
        <v/>
      </c>
    </row>
    <row r="838" spans="7:10" x14ac:dyDescent="0.25">
      <c r="G838" s="18" t="str">
        <f>IF($A838="","",IFERROR(INDEX(Map!$C$2:$C$400,MATCH($A838,Map!$A$2:$A$400,0)),"⚠ UNMAPPED"))</f>
        <v/>
      </c>
      <c r="H838" s="18" t="str">
        <f>IF($A838="","",IFERROR(INDEX(Map!$D$2:$D$400,MATCH($A838,Map!$A$2:$A$400,0)),"⚠ UNMAPPED"))</f>
        <v/>
      </c>
      <c r="I838" s="18" t="str">
        <f>IF($A838="","",IFERROR(INDEX(Map!$E$2:$E$400,MATCH($A838,Map!$A$2:$A$400,0)),"⚠ UNMAPPED"))</f>
        <v/>
      </c>
      <c r="J838" s="18" t="str">
        <f>IF($A838="","",IFERROR(INDEX(Map!$F$2:$F$400,MATCH($A838,Map!$A$2:$A$400,0)),"⚠ UNMAPPED"))</f>
        <v/>
      </c>
    </row>
    <row r="839" spans="7:10" x14ac:dyDescent="0.25">
      <c r="G839" s="18" t="str">
        <f>IF($A839="","",IFERROR(INDEX(Map!$C$2:$C$400,MATCH($A839,Map!$A$2:$A$400,0)),"⚠ UNMAPPED"))</f>
        <v/>
      </c>
      <c r="H839" s="18" t="str">
        <f>IF($A839="","",IFERROR(INDEX(Map!$D$2:$D$400,MATCH($A839,Map!$A$2:$A$400,0)),"⚠ UNMAPPED"))</f>
        <v/>
      </c>
      <c r="I839" s="18" t="str">
        <f>IF($A839="","",IFERROR(INDEX(Map!$E$2:$E$400,MATCH($A839,Map!$A$2:$A$400,0)),"⚠ UNMAPPED"))</f>
        <v/>
      </c>
      <c r="J839" s="18" t="str">
        <f>IF($A839="","",IFERROR(INDEX(Map!$F$2:$F$400,MATCH($A839,Map!$A$2:$A$400,0)),"⚠ UNMAPPED"))</f>
        <v/>
      </c>
    </row>
    <row r="840" spans="7:10" x14ac:dyDescent="0.25">
      <c r="G840" s="18" t="str">
        <f>IF($A840="","",IFERROR(INDEX(Map!$C$2:$C$400,MATCH($A840,Map!$A$2:$A$400,0)),"⚠ UNMAPPED"))</f>
        <v/>
      </c>
      <c r="H840" s="18" t="str">
        <f>IF($A840="","",IFERROR(INDEX(Map!$D$2:$D$400,MATCH($A840,Map!$A$2:$A$400,0)),"⚠ UNMAPPED"))</f>
        <v/>
      </c>
      <c r="I840" s="18" t="str">
        <f>IF($A840="","",IFERROR(INDEX(Map!$E$2:$E$400,MATCH($A840,Map!$A$2:$A$400,0)),"⚠ UNMAPPED"))</f>
        <v/>
      </c>
      <c r="J840" s="18" t="str">
        <f>IF($A840="","",IFERROR(INDEX(Map!$F$2:$F$400,MATCH($A840,Map!$A$2:$A$400,0)),"⚠ UNMAPPED"))</f>
        <v/>
      </c>
    </row>
    <row r="841" spans="7:10" x14ac:dyDescent="0.25">
      <c r="G841" s="18" t="str">
        <f>IF($A841="","",IFERROR(INDEX(Map!$C$2:$C$400,MATCH($A841,Map!$A$2:$A$400,0)),"⚠ UNMAPPED"))</f>
        <v/>
      </c>
      <c r="H841" s="18" t="str">
        <f>IF($A841="","",IFERROR(INDEX(Map!$D$2:$D$400,MATCH($A841,Map!$A$2:$A$400,0)),"⚠ UNMAPPED"))</f>
        <v/>
      </c>
      <c r="I841" s="18" t="str">
        <f>IF($A841="","",IFERROR(INDEX(Map!$E$2:$E$400,MATCH($A841,Map!$A$2:$A$400,0)),"⚠ UNMAPPED"))</f>
        <v/>
      </c>
      <c r="J841" s="18" t="str">
        <f>IF($A841="","",IFERROR(INDEX(Map!$F$2:$F$400,MATCH($A841,Map!$A$2:$A$400,0)),"⚠ UNMAPPED"))</f>
        <v/>
      </c>
    </row>
    <row r="842" spans="7:10" x14ac:dyDescent="0.25">
      <c r="G842" s="18" t="str">
        <f>IF($A842="","",IFERROR(INDEX(Map!$C$2:$C$400,MATCH($A842,Map!$A$2:$A$400,0)),"⚠ UNMAPPED"))</f>
        <v/>
      </c>
      <c r="H842" s="18" t="str">
        <f>IF($A842="","",IFERROR(INDEX(Map!$D$2:$D$400,MATCH($A842,Map!$A$2:$A$400,0)),"⚠ UNMAPPED"))</f>
        <v/>
      </c>
      <c r="I842" s="18" t="str">
        <f>IF($A842="","",IFERROR(INDEX(Map!$E$2:$E$400,MATCH($A842,Map!$A$2:$A$400,0)),"⚠ UNMAPPED"))</f>
        <v/>
      </c>
      <c r="J842" s="18" t="str">
        <f>IF($A842="","",IFERROR(INDEX(Map!$F$2:$F$400,MATCH($A842,Map!$A$2:$A$400,0)),"⚠ UNMAPPED"))</f>
        <v/>
      </c>
    </row>
    <row r="843" spans="7:10" x14ac:dyDescent="0.25">
      <c r="G843" s="18" t="str">
        <f>IF($A843="","",IFERROR(INDEX(Map!$C$2:$C$400,MATCH($A843,Map!$A$2:$A$400,0)),"⚠ UNMAPPED"))</f>
        <v/>
      </c>
      <c r="H843" s="18" t="str">
        <f>IF($A843="","",IFERROR(INDEX(Map!$D$2:$D$400,MATCH($A843,Map!$A$2:$A$400,0)),"⚠ UNMAPPED"))</f>
        <v/>
      </c>
      <c r="I843" s="18" t="str">
        <f>IF($A843="","",IFERROR(INDEX(Map!$E$2:$E$400,MATCH($A843,Map!$A$2:$A$400,0)),"⚠ UNMAPPED"))</f>
        <v/>
      </c>
      <c r="J843" s="18" t="str">
        <f>IF($A843="","",IFERROR(INDEX(Map!$F$2:$F$400,MATCH($A843,Map!$A$2:$A$400,0)),"⚠ UNMAPPED"))</f>
        <v/>
      </c>
    </row>
    <row r="844" spans="7:10" x14ac:dyDescent="0.25">
      <c r="G844" s="18" t="str">
        <f>IF($A844="","",IFERROR(INDEX(Map!$C$2:$C$400,MATCH($A844,Map!$A$2:$A$400,0)),"⚠ UNMAPPED"))</f>
        <v/>
      </c>
      <c r="H844" s="18" t="str">
        <f>IF($A844="","",IFERROR(INDEX(Map!$D$2:$D$400,MATCH($A844,Map!$A$2:$A$400,0)),"⚠ UNMAPPED"))</f>
        <v/>
      </c>
      <c r="I844" s="18" t="str">
        <f>IF($A844="","",IFERROR(INDEX(Map!$E$2:$E$400,MATCH($A844,Map!$A$2:$A$400,0)),"⚠ UNMAPPED"))</f>
        <v/>
      </c>
      <c r="J844" s="18" t="str">
        <f>IF($A844="","",IFERROR(INDEX(Map!$F$2:$F$400,MATCH($A844,Map!$A$2:$A$400,0)),"⚠ UNMAPPED"))</f>
        <v/>
      </c>
    </row>
    <row r="845" spans="7:10" x14ac:dyDescent="0.25">
      <c r="G845" s="18" t="str">
        <f>IF($A845="","",IFERROR(INDEX(Map!$C$2:$C$400,MATCH($A845,Map!$A$2:$A$400,0)),"⚠ UNMAPPED"))</f>
        <v/>
      </c>
      <c r="H845" s="18" t="str">
        <f>IF($A845="","",IFERROR(INDEX(Map!$D$2:$D$400,MATCH($A845,Map!$A$2:$A$400,0)),"⚠ UNMAPPED"))</f>
        <v/>
      </c>
      <c r="I845" s="18" t="str">
        <f>IF($A845="","",IFERROR(INDEX(Map!$E$2:$E$400,MATCH($A845,Map!$A$2:$A$400,0)),"⚠ UNMAPPED"))</f>
        <v/>
      </c>
      <c r="J845" s="18" t="str">
        <f>IF($A845="","",IFERROR(INDEX(Map!$F$2:$F$400,MATCH($A845,Map!$A$2:$A$400,0)),"⚠ UNMAPPED"))</f>
        <v/>
      </c>
    </row>
    <row r="846" spans="7:10" x14ac:dyDescent="0.25">
      <c r="G846" s="18" t="str">
        <f>IF($A846="","",IFERROR(INDEX(Map!$C$2:$C$400,MATCH($A846,Map!$A$2:$A$400,0)),"⚠ UNMAPPED"))</f>
        <v/>
      </c>
      <c r="H846" s="18" t="str">
        <f>IF($A846="","",IFERROR(INDEX(Map!$D$2:$D$400,MATCH($A846,Map!$A$2:$A$400,0)),"⚠ UNMAPPED"))</f>
        <v/>
      </c>
      <c r="I846" s="18" t="str">
        <f>IF($A846="","",IFERROR(INDEX(Map!$E$2:$E$400,MATCH($A846,Map!$A$2:$A$400,0)),"⚠ UNMAPPED"))</f>
        <v/>
      </c>
      <c r="J846" s="18" t="str">
        <f>IF($A846="","",IFERROR(INDEX(Map!$F$2:$F$400,MATCH($A846,Map!$A$2:$A$400,0)),"⚠ UNMAPPED"))</f>
        <v/>
      </c>
    </row>
    <row r="847" spans="7:10" x14ac:dyDescent="0.25">
      <c r="G847" s="18" t="str">
        <f>IF($A847="","",IFERROR(INDEX(Map!$C$2:$C$400,MATCH($A847,Map!$A$2:$A$400,0)),"⚠ UNMAPPED"))</f>
        <v/>
      </c>
      <c r="H847" s="18" t="str">
        <f>IF($A847="","",IFERROR(INDEX(Map!$D$2:$D$400,MATCH($A847,Map!$A$2:$A$400,0)),"⚠ UNMAPPED"))</f>
        <v/>
      </c>
      <c r="I847" s="18" t="str">
        <f>IF($A847="","",IFERROR(INDEX(Map!$E$2:$E$400,MATCH($A847,Map!$A$2:$A$400,0)),"⚠ UNMAPPED"))</f>
        <v/>
      </c>
      <c r="J847" s="18" t="str">
        <f>IF($A847="","",IFERROR(INDEX(Map!$F$2:$F$400,MATCH($A847,Map!$A$2:$A$400,0)),"⚠ UNMAPPED"))</f>
        <v/>
      </c>
    </row>
    <row r="848" spans="7:10" x14ac:dyDescent="0.25">
      <c r="G848" s="18" t="str">
        <f>IF($A848="","",IFERROR(INDEX(Map!$C$2:$C$400,MATCH($A848,Map!$A$2:$A$400,0)),"⚠ UNMAPPED"))</f>
        <v/>
      </c>
      <c r="H848" s="18" t="str">
        <f>IF($A848="","",IFERROR(INDEX(Map!$D$2:$D$400,MATCH($A848,Map!$A$2:$A$400,0)),"⚠ UNMAPPED"))</f>
        <v/>
      </c>
      <c r="I848" s="18" t="str">
        <f>IF($A848="","",IFERROR(INDEX(Map!$E$2:$E$400,MATCH($A848,Map!$A$2:$A$400,0)),"⚠ UNMAPPED"))</f>
        <v/>
      </c>
      <c r="J848" s="18" t="str">
        <f>IF($A848="","",IFERROR(INDEX(Map!$F$2:$F$400,MATCH($A848,Map!$A$2:$A$400,0)),"⚠ UNMAPPED"))</f>
        <v/>
      </c>
    </row>
    <row r="849" spans="7:10" x14ac:dyDescent="0.25">
      <c r="G849" s="18" t="str">
        <f>IF($A849="","",IFERROR(INDEX(Map!$C$2:$C$400,MATCH($A849,Map!$A$2:$A$400,0)),"⚠ UNMAPPED"))</f>
        <v/>
      </c>
      <c r="H849" s="18" t="str">
        <f>IF($A849="","",IFERROR(INDEX(Map!$D$2:$D$400,MATCH($A849,Map!$A$2:$A$400,0)),"⚠ UNMAPPED"))</f>
        <v/>
      </c>
      <c r="I849" s="18" t="str">
        <f>IF($A849="","",IFERROR(INDEX(Map!$E$2:$E$400,MATCH($A849,Map!$A$2:$A$400,0)),"⚠ UNMAPPED"))</f>
        <v/>
      </c>
      <c r="J849" s="18" t="str">
        <f>IF($A849="","",IFERROR(INDEX(Map!$F$2:$F$400,MATCH($A849,Map!$A$2:$A$400,0)),"⚠ UNMAPPED"))</f>
        <v/>
      </c>
    </row>
    <row r="850" spans="7:10" x14ac:dyDescent="0.25">
      <c r="G850" s="18" t="str">
        <f>IF($A850="","",IFERROR(INDEX(Map!$C$2:$C$400,MATCH($A850,Map!$A$2:$A$400,0)),"⚠ UNMAPPED"))</f>
        <v/>
      </c>
      <c r="H850" s="18" t="str">
        <f>IF($A850="","",IFERROR(INDEX(Map!$D$2:$D$400,MATCH($A850,Map!$A$2:$A$400,0)),"⚠ UNMAPPED"))</f>
        <v/>
      </c>
      <c r="I850" s="18" t="str">
        <f>IF($A850="","",IFERROR(INDEX(Map!$E$2:$E$400,MATCH($A850,Map!$A$2:$A$400,0)),"⚠ UNMAPPED"))</f>
        <v/>
      </c>
      <c r="J850" s="18" t="str">
        <f>IF($A850="","",IFERROR(INDEX(Map!$F$2:$F$400,MATCH($A850,Map!$A$2:$A$400,0)),"⚠ UNMAPPED"))</f>
        <v/>
      </c>
    </row>
    <row r="851" spans="7:10" x14ac:dyDescent="0.25">
      <c r="G851" s="18" t="str">
        <f>IF($A851="","",IFERROR(INDEX(Map!$C$2:$C$400,MATCH($A851,Map!$A$2:$A$400,0)),"⚠ UNMAPPED"))</f>
        <v/>
      </c>
      <c r="H851" s="18" t="str">
        <f>IF($A851="","",IFERROR(INDEX(Map!$D$2:$D$400,MATCH($A851,Map!$A$2:$A$400,0)),"⚠ UNMAPPED"))</f>
        <v/>
      </c>
      <c r="I851" s="18" t="str">
        <f>IF($A851="","",IFERROR(INDEX(Map!$E$2:$E$400,MATCH($A851,Map!$A$2:$A$400,0)),"⚠ UNMAPPED"))</f>
        <v/>
      </c>
      <c r="J851" s="18" t="str">
        <f>IF($A851="","",IFERROR(INDEX(Map!$F$2:$F$400,MATCH($A851,Map!$A$2:$A$400,0)),"⚠ UNMAPPED"))</f>
        <v/>
      </c>
    </row>
    <row r="852" spans="7:10" x14ac:dyDescent="0.25">
      <c r="G852" s="18" t="str">
        <f>IF($A852="","",IFERROR(INDEX(Map!$C$2:$C$400,MATCH($A852,Map!$A$2:$A$400,0)),"⚠ UNMAPPED"))</f>
        <v/>
      </c>
      <c r="H852" s="18" t="str">
        <f>IF($A852="","",IFERROR(INDEX(Map!$D$2:$D$400,MATCH($A852,Map!$A$2:$A$400,0)),"⚠ UNMAPPED"))</f>
        <v/>
      </c>
      <c r="I852" s="18" t="str">
        <f>IF($A852="","",IFERROR(INDEX(Map!$E$2:$E$400,MATCH($A852,Map!$A$2:$A$400,0)),"⚠ UNMAPPED"))</f>
        <v/>
      </c>
      <c r="J852" s="18" t="str">
        <f>IF($A852="","",IFERROR(INDEX(Map!$F$2:$F$400,MATCH($A852,Map!$A$2:$A$400,0)),"⚠ UNMAPPED"))</f>
        <v/>
      </c>
    </row>
    <row r="853" spans="7:10" x14ac:dyDescent="0.25">
      <c r="G853" s="18" t="str">
        <f>IF($A853="","",IFERROR(INDEX(Map!$C$2:$C$400,MATCH($A853,Map!$A$2:$A$400,0)),"⚠ UNMAPPED"))</f>
        <v/>
      </c>
      <c r="H853" s="18" t="str">
        <f>IF($A853="","",IFERROR(INDEX(Map!$D$2:$D$400,MATCH($A853,Map!$A$2:$A$400,0)),"⚠ UNMAPPED"))</f>
        <v/>
      </c>
      <c r="I853" s="18" t="str">
        <f>IF($A853="","",IFERROR(INDEX(Map!$E$2:$E$400,MATCH($A853,Map!$A$2:$A$400,0)),"⚠ UNMAPPED"))</f>
        <v/>
      </c>
      <c r="J853" s="18" t="str">
        <f>IF($A853="","",IFERROR(INDEX(Map!$F$2:$F$400,MATCH($A853,Map!$A$2:$A$400,0)),"⚠ UNMAPPED"))</f>
        <v/>
      </c>
    </row>
    <row r="854" spans="7:10" x14ac:dyDescent="0.25">
      <c r="G854" s="18" t="str">
        <f>IF($A854="","",IFERROR(INDEX(Map!$C$2:$C$400,MATCH($A854,Map!$A$2:$A$400,0)),"⚠ UNMAPPED"))</f>
        <v/>
      </c>
      <c r="H854" s="18" t="str">
        <f>IF($A854="","",IFERROR(INDEX(Map!$D$2:$D$400,MATCH($A854,Map!$A$2:$A$400,0)),"⚠ UNMAPPED"))</f>
        <v/>
      </c>
      <c r="I854" s="18" t="str">
        <f>IF($A854="","",IFERROR(INDEX(Map!$E$2:$E$400,MATCH($A854,Map!$A$2:$A$400,0)),"⚠ UNMAPPED"))</f>
        <v/>
      </c>
      <c r="J854" s="18" t="str">
        <f>IF($A854="","",IFERROR(INDEX(Map!$F$2:$F$400,MATCH($A854,Map!$A$2:$A$400,0)),"⚠ UNMAPPED"))</f>
        <v/>
      </c>
    </row>
    <row r="855" spans="7:10" x14ac:dyDescent="0.25">
      <c r="G855" s="18" t="str">
        <f>IF($A855="","",IFERROR(INDEX(Map!$C$2:$C$400,MATCH($A855,Map!$A$2:$A$400,0)),"⚠ UNMAPPED"))</f>
        <v/>
      </c>
      <c r="H855" s="18" t="str">
        <f>IF($A855="","",IFERROR(INDEX(Map!$D$2:$D$400,MATCH($A855,Map!$A$2:$A$400,0)),"⚠ UNMAPPED"))</f>
        <v/>
      </c>
      <c r="I855" s="18" t="str">
        <f>IF($A855="","",IFERROR(INDEX(Map!$E$2:$E$400,MATCH($A855,Map!$A$2:$A$400,0)),"⚠ UNMAPPED"))</f>
        <v/>
      </c>
      <c r="J855" s="18" t="str">
        <f>IF($A855="","",IFERROR(INDEX(Map!$F$2:$F$400,MATCH($A855,Map!$A$2:$A$400,0)),"⚠ UNMAPPED"))</f>
        <v/>
      </c>
    </row>
    <row r="856" spans="7:10" x14ac:dyDescent="0.25">
      <c r="G856" s="18" t="str">
        <f>IF($A856="","",IFERROR(INDEX(Map!$C$2:$C$400,MATCH($A856,Map!$A$2:$A$400,0)),"⚠ UNMAPPED"))</f>
        <v/>
      </c>
      <c r="H856" s="18" t="str">
        <f>IF($A856="","",IFERROR(INDEX(Map!$D$2:$D$400,MATCH($A856,Map!$A$2:$A$400,0)),"⚠ UNMAPPED"))</f>
        <v/>
      </c>
      <c r="I856" s="18" t="str">
        <f>IF($A856="","",IFERROR(INDEX(Map!$E$2:$E$400,MATCH($A856,Map!$A$2:$A$400,0)),"⚠ UNMAPPED"))</f>
        <v/>
      </c>
      <c r="J856" s="18" t="str">
        <f>IF($A856="","",IFERROR(INDEX(Map!$F$2:$F$400,MATCH($A856,Map!$A$2:$A$400,0)),"⚠ UNMAPPED"))</f>
        <v/>
      </c>
    </row>
    <row r="857" spans="7:10" x14ac:dyDescent="0.25">
      <c r="G857" s="18" t="str">
        <f>IF($A857="","",IFERROR(INDEX(Map!$C$2:$C$400,MATCH($A857,Map!$A$2:$A$400,0)),"⚠ UNMAPPED"))</f>
        <v/>
      </c>
      <c r="H857" s="18" t="str">
        <f>IF($A857="","",IFERROR(INDEX(Map!$D$2:$D$400,MATCH($A857,Map!$A$2:$A$400,0)),"⚠ UNMAPPED"))</f>
        <v/>
      </c>
      <c r="I857" s="18" t="str">
        <f>IF($A857="","",IFERROR(INDEX(Map!$E$2:$E$400,MATCH($A857,Map!$A$2:$A$400,0)),"⚠ UNMAPPED"))</f>
        <v/>
      </c>
      <c r="J857" s="18" t="str">
        <f>IF($A857="","",IFERROR(INDEX(Map!$F$2:$F$400,MATCH($A857,Map!$A$2:$A$400,0)),"⚠ UNMAPPED"))</f>
        <v/>
      </c>
    </row>
    <row r="858" spans="7:10" x14ac:dyDescent="0.25">
      <c r="G858" s="18" t="str">
        <f>IF($A858="","",IFERROR(INDEX(Map!$C$2:$C$400,MATCH($A858,Map!$A$2:$A$400,0)),"⚠ UNMAPPED"))</f>
        <v/>
      </c>
      <c r="H858" s="18" t="str">
        <f>IF($A858="","",IFERROR(INDEX(Map!$D$2:$D$400,MATCH($A858,Map!$A$2:$A$400,0)),"⚠ UNMAPPED"))</f>
        <v/>
      </c>
      <c r="I858" s="18" t="str">
        <f>IF($A858="","",IFERROR(INDEX(Map!$E$2:$E$400,MATCH($A858,Map!$A$2:$A$400,0)),"⚠ UNMAPPED"))</f>
        <v/>
      </c>
      <c r="J858" s="18" t="str">
        <f>IF($A858="","",IFERROR(INDEX(Map!$F$2:$F$400,MATCH($A858,Map!$A$2:$A$400,0)),"⚠ UNMAPPED"))</f>
        <v/>
      </c>
    </row>
    <row r="859" spans="7:10" x14ac:dyDescent="0.25">
      <c r="G859" s="18" t="str">
        <f>IF($A859="","",IFERROR(INDEX(Map!$C$2:$C$400,MATCH($A859,Map!$A$2:$A$400,0)),"⚠ UNMAPPED"))</f>
        <v/>
      </c>
      <c r="H859" s="18" t="str">
        <f>IF($A859="","",IFERROR(INDEX(Map!$D$2:$D$400,MATCH($A859,Map!$A$2:$A$400,0)),"⚠ UNMAPPED"))</f>
        <v/>
      </c>
      <c r="I859" s="18" t="str">
        <f>IF($A859="","",IFERROR(INDEX(Map!$E$2:$E$400,MATCH($A859,Map!$A$2:$A$400,0)),"⚠ UNMAPPED"))</f>
        <v/>
      </c>
      <c r="J859" s="18" t="str">
        <f>IF($A859="","",IFERROR(INDEX(Map!$F$2:$F$400,MATCH($A859,Map!$A$2:$A$400,0)),"⚠ UNMAPPED"))</f>
        <v/>
      </c>
    </row>
    <row r="860" spans="7:10" x14ac:dyDescent="0.25">
      <c r="G860" s="18" t="str">
        <f>IF($A860="","",IFERROR(INDEX(Map!$C$2:$C$400,MATCH($A860,Map!$A$2:$A$400,0)),"⚠ UNMAPPED"))</f>
        <v/>
      </c>
      <c r="H860" s="18" t="str">
        <f>IF($A860="","",IFERROR(INDEX(Map!$D$2:$D$400,MATCH($A860,Map!$A$2:$A$400,0)),"⚠ UNMAPPED"))</f>
        <v/>
      </c>
      <c r="I860" s="18" t="str">
        <f>IF($A860="","",IFERROR(INDEX(Map!$E$2:$E$400,MATCH($A860,Map!$A$2:$A$400,0)),"⚠ UNMAPPED"))</f>
        <v/>
      </c>
      <c r="J860" s="18" t="str">
        <f>IF($A860="","",IFERROR(INDEX(Map!$F$2:$F$400,MATCH($A860,Map!$A$2:$A$400,0)),"⚠ UNMAPPED"))</f>
        <v/>
      </c>
    </row>
    <row r="861" spans="7:10" x14ac:dyDescent="0.25">
      <c r="G861" s="18" t="str">
        <f>IF($A861="","",IFERROR(INDEX(Map!$C$2:$C$400,MATCH($A861,Map!$A$2:$A$400,0)),"⚠ UNMAPPED"))</f>
        <v/>
      </c>
      <c r="H861" s="18" t="str">
        <f>IF($A861="","",IFERROR(INDEX(Map!$D$2:$D$400,MATCH($A861,Map!$A$2:$A$400,0)),"⚠ UNMAPPED"))</f>
        <v/>
      </c>
      <c r="I861" s="18" t="str">
        <f>IF($A861="","",IFERROR(INDEX(Map!$E$2:$E$400,MATCH($A861,Map!$A$2:$A$400,0)),"⚠ UNMAPPED"))</f>
        <v/>
      </c>
      <c r="J861" s="18" t="str">
        <f>IF($A861="","",IFERROR(INDEX(Map!$F$2:$F$400,MATCH($A861,Map!$A$2:$A$400,0)),"⚠ UNMAPPED"))</f>
        <v/>
      </c>
    </row>
    <row r="862" spans="7:10" x14ac:dyDescent="0.25">
      <c r="G862" s="18" t="str">
        <f>IF($A862="","",IFERROR(INDEX(Map!$C$2:$C$400,MATCH($A862,Map!$A$2:$A$400,0)),"⚠ UNMAPPED"))</f>
        <v/>
      </c>
      <c r="H862" s="18" t="str">
        <f>IF($A862="","",IFERROR(INDEX(Map!$D$2:$D$400,MATCH($A862,Map!$A$2:$A$400,0)),"⚠ UNMAPPED"))</f>
        <v/>
      </c>
      <c r="I862" s="18" t="str">
        <f>IF($A862="","",IFERROR(INDEX(Map!$E$2:$E$400,MATCH($A862,Map!$A$2:$A$400,0)),"⚠ UNMAPPED"))</f>
        <v/>
      </c>
      <c r="J862" s="18" t="str">
        <f>IF($A862="","",IFERROR(INDEX(Map!$F$2:$F$400,MATCH($A862,Map!$A$2:$A$400,0)),"⚠ UNMAPPED"))</f>
        <v/>
      </c>
    </row>
    <row r="863" spans="7:10" x14ac:dyDescent="0.25">
      <c r="G863" s="18" t="str">
        <f>IF($A863="","",IFERROR(INDEX(Map!$C$2:$C$400,MATCH($A863,Map!$A$2:$A$400,0)),"⚠ UNMAPPED"))</f>
        <v/>
      </c>
      <c r="H863" s="18" t="str">
        <f>IF($A863="","",IFERROR(INDEX(Map!$D$2:$D$400,MATCH($A863,Map!$A$2:$A$400,0)),"⚠ UNMAPPED"))</f>
        <v/>
      </c>
      <c r="I863" s="18" t="str">
        <f>IF($A863="","",IFERROR(INDEX(Map!$E$2:$E$400,MATCH($A863,Map!$A$2:$A$400,0)),"⚠ UNMAPPED"))</f>
        <v/>
      </c>
      <c r="J863" s="18" t="str">
        <f>IF($A863="","",IFERROR(INDEX(Map!$F$2:$F$400,MATCH($A863,Map!$A$2:$A$400,0)),"⚠ UNMAPPED"))</f>
        <v/>
      </c>
    </row>
    <row r="864" spans="7:10" x14ac:dyDescent="0.25">
      <c r="G864" s="18" t="str">
        <f>IF($A864="","",IFERROR(INDEX(Map!$C$2:$C$400,MATCH($A864,Map!$A$2:$A$400,0)),"⚠ UNMAPPED"))</f>
        <v/>
      </c>
      <c r="H864" s="18" t="str">
        <f>IF($A864="","",IFERROR(INDEX(Map!$D$2:$D$400,MATCH($A864,Map!$A$2:$A$400,0)),"⚠ UNMAPPED"))</f>
        <v/>
      </c>
      <c r="I864" s="18" t="str">
        <f>IF($A864="","",IFERROR(INDEX(Map!$E$2:$E$400,MATCH($A864,Map!$A$2:$A$400,0)),"⚠ UNMAPPED"))</f>
        <v/>
      </c>
      <c r="J864" s="18" t="str">
        <f>IF($A864="","",IFERROR(INDEX(Map!$F$2:$F$400,MATCH($A864,Map!$A$2:$A$400,0)),"⚠ UNMAPPED"))</f>
        <v/>
      </c>
    </row>
    <row r="865" spans="7:10" x14ac:dyDescent="0.25">
      <c r="G865" s="18" t="str">
        <f>IF($A865="","",IFERROR(INDEX(Map!$C$2:$C$400,MATCH($A865,Map!$A$2:$A$400,0)),"⚠ UNMAPPED"))</f>
        <v/>
      </c>
      <c r="H865" s="18" t="str">
        <f>IF($A865="","",IFERROR(INDEX(Map!$D$2:$D$400,MATCH($A865,Map!$A$2:$A$400,0)),"⚠ UNMAPPED"))</f>
        <v/>
      </c>
      <c r="I865" s="18" t="str">
        <f>IF($A865="","",IFERROR(INDEX(Map!$E$2:$E$400,MATCH($A865,Map!$A$2:$A$400,0)),"⚠ UNMAPPED"))</f>
        <v/>
      </c>
      <c r="J865" s="18" t="str">
        <f>IF($A865="","",IFERROR(INDEX(Map!$F$2:$F$400,MATCH($A865,Map!$A$2:$A$400,0)),"⚠ UNMAPPED"))</f>
        <v/>
      </c>
    </row>
    <row r="866" spans="7:10" x14ac:dyDescent="0.25">
      <c r="G866" s="18" t="str">
        <f>IF($A866="","",IFERROR(INDEX(Map!$C$2:$C$400,MATCH($A866,Map!$A$2:$A$400,0)),"⚠ UNMAPPED"))</f>
        <v/>
      </c>
      <c r="H866" s="18" t="str">
        <f>IF($A866="","",IFERROR(INDEX(Map!$D$2:$D$400,MATCH($A866,Map!$A$2:$A$400,0)),"⚠ UNMAPPED"))</f>
        <v/>
      </c>
      <c r="I866" s="18" t="str">
        <f>IF($A866="","",IFERROR(INDEX(Map!$E$2:$E$400,MATCH($A866,Map!$A$2:$A$400,0)),"⚠ UNMAPPED"))</f>
        <v/>
      </c>
      <c r="J866" s="18" t="str">
        <f>IF($A866="","",IFERROR(INDEX(Map!$F$2:$F$400,MATCH($A866,Map!$A$2:$A$400,0)),"⚠ UNMAPPED"))</f>
        <v/>
      </c>
    </row>
    <row r="867" spans="7:10" x14ac:dyDescent="0.25">
      <c r="G867" s="18" t="str">
        <f>IF($A867="","",IFERROR(INDEX(Map!$C$2:$C$400,MATCH($A867,Map!$A$2:$A$400,0)),"⚠ UNMAPPED"))</f>
        <v/>
      </c>
      <c r="H867" s="18" t="str">
        <f>IF($A867="","",IFERROR(INDEX(Map!$D$2:$D$400,MATCH($A867,Map!$A$2:$A$400,0)),"⚠ UNMAPPED"))</f>
        <v/>
      </c>
      <c r="I867" s="18" t="str">
        <f>IF($A867="","",IFERROR(INDEX(Map!$E$2:$E$400,MATCH($A867,Map!$A$2:$A$400,0)),"⚠ UNMAPPED"))</f>
        <v/>
      </c>
      <c r="J867" s="18" t="str">
        <f>IF($A867="","",IFERROR(INDEX(Map!$F$2:$F$400,MATCH($A867,Map!$A$2:$A$400,0)),"⚠ UNMAPPED"))</f>
        <v/>
      </c>
    </row>
    <row r="868" spans="7:10" x14ac:dyDescent="0.25">
      <c r="G868" s="18" t="str">
        <f>IF($A868="","",IFERROR(INDEX(Map!$C$2:$C$400,MATCH($A868,Map!$A$2:$A$400,0)),"⚠ UNMAPPED"))</f>
        <v/>
      </c>
      <c r="H868" s="18" t="str">
        <f>IF($A868="","",IFERROR(INDEX(Map!$D$2:$D$400,MATCH($A868,Map!$A$2:$A$400,0)),"⚠ UNMAPPED"))</f>
        <v/>
      </c>
      <c r="I868" s="18" t="str">
        <f>IF($A868="","",IFERROR(INDEX(Map!$E$2:$E$400,MATCH($A868,Map!$A$2:$A$400,0)),"⚠ UNMAPPED"))</f>
        <v/>
      </c>
      <c r="J868" s="18" t="str">
        <f>IF($A868="","",IFERROR(INDEX(Map!$F$2:$F$400,MATCH($A868,Map!$A$2:$A$400,0)),"⚠ UNMAPPED"))</f>
        <v/>
      </c>
    </row>
    <row r="869" spans="7:10" x14ac:dyDescent="0.25">
      <c r="G869" s="18" t="str">
        <f>IF($A869="","",IFERROR(INDEX(Map!$C$2:$C$400,MATCH($A869,Map!$A$2:$A$400,0)),"⚠ UNMAPPED"))</f>
        <v/>
      </c>
      <c r="H869" s="18" t="str">
        <f>IF($A869="","",IFERROR(INDEX(Map!$D$2:$D$400,MATCH($A869,Map!$A$2:$A$400,0)),"⚠ UNMAPPED"))</f>
        <v/>
      </c>
      <c r="I869" s="18" t="str">
        <f>IF($A869="","",IFERROR(INDEX(Map!$E$2:$E$400,MATCH($A869,Map!$A$2:$A$400,0)),"⚠ UNMAPPED"))</f>
        <v/>
      </c>
      <c r="J869" s="18" t="str">
        <f>IF($A869="","",IFERROR(INDEX(Map!$F$2:$F$400,MATCH($A869,Map!$A$2:$A$400,0)),"⚠ UNMAPPED"))</f>
        <v/>
      </c>
    </row>
    <row r="870" spans="7:10" x14ac:dyDescent="0.25">
      <c r="G870" s="18" t="str">
        <f>IF($A870="","",IFERROR(INDEX(Map!$C$2:$C$400,MATCH($A870,Map!$A$2:$A$400,0)),"⚠ UNMAPPED"))</f>
        <v/>
      </c>
      <c r="H870" s="18" t="str">
        <f>IF($A870="","",IFERROR(INDEX(Map!$D$2:$D$400,MATCH($A870,Map!$A$2:$A$400,0)),"⚠ UNMAPPED"))</f>
        <v/>
      </c>
      <c r="I870" s="18" t="str">
        <f>IF($A870="","",IFERROR(INDEX(Map!$E$2:$E$400,MATCH($A870,Map!$A$2:$A$400,0)),"⚠ UNMAPPED"))</f>
        <v/>
      </c>
      <c r="J870" s="18" t="str">
        <f>IF($A870="","",IFERROR(INDEX(Map!$F$2:$F$400,MATCH($A870,Map!$A$2:$A$400,0)),"⚠ UNMAPPED"))</f>
        <v/>
      </c>
    </row>
    <row r="871" spans="7:10" x14ac:dyDescent="0.25">
      <c r="G871" s="18" t="str">
        <f>IF($A871="","",IFERROR(INDEX(Map!$C$2:$C$400,MATCH($A871,Map!$A$2:$A$400,0)),"⚠ UNMAPPED"))</f>
        <v/>
      </c>
      <c r="H871" s="18" t="str">
        <f>IF($A871="","",IFERROR(INDEX(Map!$D$2:$D$400,MATCH($A871,Map!$A$2:$A$400,0)),"⚠ UNMAPPED"))</f>
        <v/>
      </c>
      <c r="I871" s="18" t="str">
        <f>IF($A871="","",IFERROR(INDEX(Map!$E$2:$E$400,MATCH($A871,Map!$A$2:$A$400,0)),"⚠ UNMAPPED"))</f>
        <v/>
      </c>
      <c r="J871" s="18" t="str">
        <f>IF($A871="","",IFERROR(INDEX(Map!$F$2:$F$400,MATCH($A871,Map!$A$2:$A$400,0)),"⚠ UNMAPPED"))</f>
        <v/>
      </c>
    </row>
    <row r="872" spans="7:10" x14ac:dyDescent="0.25">
      <c r="G872" s="18" t="str">
        <f>IF($A872="","",IFERROR(INDEX(Map!$C$2:$C$400,MATCH($A872,Map!$A$2:$A$400,0)),"⚠ UNMAPPED"))</f>
        <v/>
      </c>
      <c r="H872" s="18" t="str">
        <f>IF($A872="","",IFERROR(INDEX(Map!$D$2:$D$400,MATCH($A872,Map!$A$2:$A$400,0)),"⚠ UNMAPPED"))</f>
        <v/>
      </c>
      <c r="I872" s="18" t="str">
        <f>IF($A872="","",IFERROR(INDEX(Map!$E$2:$E$400,MATCH($A872,Map!$A$2:$A$400,0)),"⚠ UNMAPPED"))</f>
        <v/>
      </c>
      <c r="J872" s="18" t="str">
        <f>IF($A872="","",IFERROR(INDEX(Map!$F$2:$F$400,MATCH($A872,Map!$A$2:$A$400,0)),"⚠ UNMAPPED"))</f>
        <v/>
      </c>
    </row>
    <row r="873" spans="7:10" x14ac:dyDescent="0.25">
      <c r="G873" s="18" t="str">
        <f>IF($A873="","",IFERROR(INDEX(Map!$C$2:$C$400,MATCH($A873,Map!$A$2:$A$400,0)),"⚠ UNMAPPED"))</f>
        <v/>
      </c>
      <c r="H873" s="18" t="str">
        <f>IF($A873="","",IFERROR(INDEX(Map!$D$2:$D$400,MATCH($A873,Map!$A$2:$A$400,0)),"⚠ UNMAPPED"))</f>
        <v/>
      </c>
      <c r="I873" s="18" t="str">
        <f>IF($A873="","",IFERROR(INDEX(Map!$E$2:$E$400,MATCH($A873,Map!$A$2:$A$400,0)),"⚠ UNMAPPED"))</f>
        <v/>
      </c>
      <c r="J873" s="18" t="str">
        <f>IF($A873="","",IFERROR(INDEX(Map!$F$2:$F$400,MATCH($A873,Map!$A$2:$A$400,0)),"⚠ UNMAPPED"))</f>
        <v/>
      </c>
    </row>
    <row r="874" spans="7:10" x14ac:dyDescent="0.25">
      <c r="G874" s="18" t="str">
        <f>IF($A874="","",IFERROR(INDEX(Map!$C$2:$C$400,MATCH($A874,Map!$A$2:$A$400,0)),"⚠ UNMAPPED"))</f>
        <v/>
      </c>
      <c r="H874" s="18" t="str">
        <f>IF($A874="","",IFERROR(INDEX(Map!$D$2:$D$400,MATCH($A874,Map!$A$2:$A$400,0)),"⚠ UNMAPPED"))</f>
        <v/>
      </c>
      <c r="I874" s="18" t="str">
        <f>IF($A874="","",IFERROR(INDEX(Map!$E$2:$E$400,MATCH($A874,Map!$A$2:$A$400,0)),"⚠ UNMAPPED"))</f>
        <v/>
      </c>
      <c r="J874" s="18" t="str">
        <f>IF($A874="","",IFERROR(INDEX(Map!$F$2:$F$400,MATCH($A874,Map!$A$2:$A$400,0)),"⚠ UNMAPPED"))</f>
        <v/>
      </c>
    </row>
    <row r="875" spans="7:10" x14ac:dyDescent="0.25">
      <c r="G875" s="18" t="str">
        <f>IF($A875="","",IFERROR(INDEX(Map!$C$2:$C$400,MATCH($A875,Map!$A$2:$A$400,0)),"⚠ UNMAPPED"))</f>
        <v/>
      </c>
      <c r="H875" s="18" t="str">
        <f>IF($A875="","",IFERROR(INDEX(Map!$D$2:$D$400,MATCH($A875,Map!$A$2:$A$400,0)),"⚠ UNMAPPED"))</f>
        <v/>
      </c>
      <c r="I875" s="18" t="str">
        <f>IF($A875="","",IFERROR(INDEX(Map!$E$2:$E$400,MATCH($A875,Map!$A$2:$A$400,0)),"⚠ UNMAPPED"))</f>
        <v/>
      </c>
      <c r="J875" s="18" t="str">
        <f>IF($A875="","",IFERROR(INDEX(Map!$F$2:$F$400,MATCH($A875,Map!$A$2:$A$400,0)),"⚠ UNMAPPED"))</f>
        <v/>
      </c>
    </row>
    <row r="876" spans="7:10" x14ac:dyDescent="0.25">
      <c r="G876" s="18" t="str">
        <f>IF($A876="","",IFERROR(INDEX(Map!$C$2:$C$400,MATCH($A876,Map!$A$2:$A$400,0)),"⚠ UNMAPPED"))</f>
        <v/>
      </c>
      <c r="H876" s="18" t="str">
        <f>IF($A876="","",IFERROR(INDEX(Map!$D$2:$D$400,MATCH($A876,Map!$A$2:$A$400,0)),"⚠ UNMAPPED"))</f>
        <v/>
      </c>
      <c r="I876" s="18" t="str">
        <f>IF($A876="","",IFERROR(INDEX(Map!$E$2:$E$400,MATCH($A876,Map!$A$2:$A$400,0)),"⚠ UNMAPPED"))</f>
        <v/>
      </c>
      <c r="J876" s="18" t="str">
        <f>IF($A876="","",IFERROR(INDEX(Map!$F$2:$F$400,MATCH($A876,Map!$A$2:$A$400,0)),"⚠ UNMAPPED"))</f>
        <v/>
      </c>
    </row>
    <row r="877" spans="7:10" x14ac:dyDescent="0.25">
      <c r="G877" s="18" t="str">
        <f>IF($A877="","",IFERROR(INDEX(Map!$C$2:$C$400,MATCH($A877,Map!$A$2:$A$400,0)),"⚠ UNMAPPED"))</f>
        <v/>
      </c>
      <c r="H877" s="18" t="str">
        <f>IF($A877="","",IFERROR(INDEX(Map!$D$2:$D$400,MATCH($A877,Map!$A$2:$A$400,0)),"⚠ UNMAPPED"))</f>
        <v/>
      </c>
      <c r="I877" s="18" t="str">
        <f>IF($A877="","",IFERROR(INDEX(Map!$E$2:$E$400,MATCH($A877,Map!$A$2:$A$400,0)),"⚠ UNMAPPED"))</f>
        <v/>
      </c>
      <c r="J877" s="18" t="str">
        <f>IF($A877="","",IFERROR(INDEX(Map!$F$2:$F$400,MATCH($A877,Map!$A$2:$A$400,0)),"⚠ UNMAPPED"))</f>
        <v/>
      </c>
    </row>
    <row r="878" spans="7:10" x14ac:dyDescent="0.25">
      <c r="G878" s="18" t="str">
        <f>IF($A878="","",IFERROR(INDEX(Map!$C$2:$C$400,MATCH($A878,Map!$A$2:$A$400,0)),"⚠ UNMAPPED"))</f>
        <v/>
      </c>
      <c r="H878" s="18" t="str">
        <f>IF($A878="","",IFERROR(INDEX(Map!$D$2:$D$400,MATCH($A878,Map!$A$2:$A$400,0)),"⚠ UNMAPPED"))</f>
        <v/>
      </c>
      <c r="I878" s="18" t="str">
        <f>IF($A878="","",IFERROR(INDEX(Map!$E$2:$E$400,MATCH($A878,Map!$A$2:$A$400,0)),"⚠ UNMAPPED"))</f>
        <v/>
      </c>
      <c r="J878" s="18" t="str">
        <f>IF($A878="","",IFERROR(INDEX(Map!$F$2:$F$400,MATCH($A878,Map!$A$2:$A$400,0)),"⚠ UNMAPPED"))</f>
        <v/>
      </c>
    </row>
    <row r="879" spans="7:10" x14ac:dyDescent="0.25">
      <c r="G879" s="18" t="str">
        <f>IF($A879="","",IFERROR(INDEX(Map!$C$2:$C$400,MATCH($A879,Map!$A$2:$A$400,0)),"⚠ UNMAPPED"))</f>
        <v/>
      </c>
      <c r="H879" s="18" t="str">
        <f>IF($A879="","",IFERROR(INDEX(Map!$D$2:$D$400,MATCH($A879,Map!$A$2:$A$400,0)),"⚠ UNMAPPED"))</f>
        <v/>
      </c>
      <c r="I879" s="18" t="str">
        <f>IF($A879="","",IFERROR(INDEX(Map!$E$2:$E$400,MATCH($A879,Map!$A$2:$A$400,0)),"⚠ UNMAPPED"))</f>
        <v/>
      </c>
      <c r="J879" s="18" t="str">
        <f>IF($A879="","",IFERROR(INDEX(Map!$F$2:$F$400,MATCH($A879,Map!$A$2:$A$400,0)),"⚠ UNMAPPED"))</f>
        <v/>
      </c>
    </row>
    <row r="880" spans="7:10" x14ac:dyDescent="0.25">
      <c r="G880" s="18" t="str">
        <f>IF($A880="","",IFERROR(INDEX(Map!$C$2:$C$400,MATCH($A880,Map!$A$2:$A$400,0)),"⚠ UNMAPPED"))</f>
        <v/>
      </c>
      <c r="H880" s="18" t="str">
        <f>IF($A880="","",IFERROR(INDEX(Map!$D$2:$D$400,MATCH($A880,Map!$A$2:$A$400,0)),"⚠ UNMAPPED"))</f>
        <v/>
      </c>
      <c r="I880" s="18" t="str">
        <f>IF($A880="","",IFERROR(INDEX(Map!$E$2:$E$400,MATCH($A880,Map!$A$2:$A$400,0)),"⚠ UNMAPPED"))</f>
        <v/>
      </c>
      <c r="J880" s="18" t="str">
        <f>IF($A880="","",IFERROR(INDEX(Map!$F$2:$F$400,MATCH($A880,Map!$A$2:$A$400,0)),"⚠ UNMAPPED"))</f>
        <v/>
      </c>
    </row>
    <row r="881" spans="7:10" x14ac:dyDescent="0.25">
      <c r="G881" s="18" t="str">
        <f>IF($A881="","",IFERROR(INDEX(Map!$C$2:$C$400,MATCH($A881,Map!$A$2:$A$400,0)),"⚠ UNMAPPED"))</f>
        <v/>
      </c>
      <c r="H881" s="18" t="str">
        <f>IF($A881="","",IFERROR(INDEX(Map!$D$2:$D$400,MATCH($A881,Map!$A$2:$A$400,0)),"⚠ UNMAPPED"))</f>
        <v/>
      </c>
      <c r="I881" s="18" t="str">
        <f>IF($A881="","",IFERROR(INDEX(Map!$E$2:$E$400,MATCH($A881,Map!$A$2:$A$400,0)),"⚠ UNMAPPED"))</f>
        <v/>
      </c>
      <c r="J881" s="18" t="str">
        <f>IF($A881="","",IFERROR(INDEX(Map!$F$2:$F$400,MATCH($A881,Map!$A$2:$A$400,0)),"⚠ UNMAPPED"))</f>
        <v/>
      </c>
    </row>
    <row r="882" spans="7:10" x14ac:dyDescent="0.25">
      <c r="G882" s="18" t="str">
        <f>IF($A882="","",IFERROR(INDEX(Map!$C$2:$C$400,MATCH($A882,Map!$A$2:$A$400,0)),"⚠ UNMAPPED"))</f>
        <v/>
      </c>
      <c r="H882" s="18" t="str">
        <f>IF($A882="","",IFERROR(INDEX(Map!$D$2:$D$400,MATCH($A882,Map!$A$2:$A$400,0)),"⚠ UNMAPPED"))</f>
        <v/>
      </c>
      <c r="I882" s="18" t="str">
        <f>IF($A882="","",IFERROR(INDEX(Map!$E$2:$E$400,MATCH($A882,Map!$A$2:$A$400,0)),"⚠ UNMAPPED"))</f>
        <v/>
      </c>
      <c r="J882" s="18" t="str">
        <f>IF($A882="","",IFERROR(INDEX(Map!$F$2:$F$400,MATCH($A882,Map!$A$2:$A$400,0)),"⚠ UNMAPPED"))</f>
        <v/>
      </c>
    </row>
    <row r="883" spans="7:10" x14ac:dyDescent="0.25">
      <c r="G883" s="18" t="str">
        <f>IF($A883="","",IFERROR(INDEX(Map!$C$2:$C$400,MATCH($A883,Map!$A$2:$A$400,0)),"⚠ UNMAPPED"))</f>
        <v/>
      </c>
      <c r="H883" s="18" t="str">
        <f>IF($A883="","",IFERROR(INDEX(Map!$D$2:$D$400,MATCH($A883,Map!$A$2:$A$400,0)),"⚠ UNMAPPED"))</f>
        <v/>
      </c>
      <c r="I883" s="18" t="str">
        <f>IF($A883="","",IFERROR(INDEX(Map!$E$2:$E$400,MATCH($A883,Map!$A$2:$A$400,0)),"⚠ UNMAPPED"))</f>
        <v/>
      </c>
      <c r="J883" s="18" t="str">
        <f>IF($A883="","",IFERROR(INDEX(Map!$F$2:$F$400,MATCH($A883,Map!$A$2:$A$400,0)),"⚠ UNMAPPED"))</f>
        <v/>
      </c>
    </row>
    <row r="884" spans="7:10" x14ac:dyDescent="0.25">
      <c r="G884" s="18" t="str">
        <f>IF($A884="","",IFERROR(INDEX(Map!$C$2:$C$400,MATCH($A884,Map!$A$2:$A$400,0)),"⚠ UNMAPPED"))</f>
        <v/>
      </c>
      <c r="H884" s="18" t="str">
        <f>IF($A884="","",IFERROR(INDEX(Map!$D$2:$D$400,MATCH($A884,Map!$A$2:$A$400,0)),"⚠ UNMAPPED"))</f>
        <v/>
      </c>
      <c r="I884" s="18" t="str">
        <f>IF($A884="","",IFERROR(INDEX(Map!$E$2:$E$400,MATCH($A884,Map!$A$2:$A$400,0)),"⚠ UNMAPPED"))</f>
        <v/>
      </c>
      <c r="J884" s="18" t="str">
        <f>IF($A884="","",IFERROR(INDEX(Map!$F$2:$F$400,MATCH($A884,Map!$A$2:$A$400,0)),"⚠ UNMAPPED"))</f>
        <v/>
      </c>
    </row>
    <row r="885" spans="7:10" x14ac:dyDescent="0.25">
      <c r="G885" s="18" t="str">
        <f>IF($A885="","",IFERROR(INDEX(Map!$C$2:$C$400,MATCH($A885,Map!$A$2:$A$400,0)),"⚠ UNMAPPED"))</f>
        <v/>
      </c>
      <c r="H885" s="18" t="str">
        <f>IF($A885="","",IFERROR(INDEX(Map!$D$2:$D$400,MATCH($A885,Map!$A$2:$A$400,0)),"⚠ UNMAPPED"))</f>
        <v/>
      </c>
      <c r="I885" s="18" t="str">
        <f>IF($A885="","",IFERROR(INDEX(Map!$E$2:$E$400,MATCH($A885,Map!$A$2:$A$400,0)),"⚠ UNMAPPED"))</f>
        <v/>
      </c>
      <c r="J885" s="18" t="str">
        <f>IF($A885="","",IFERROR(INDEX(Map!$F$2:$F$400,MATCH($A885,Map!$A$2:$A$400,0)),"⚠ UNMAPPED"))</f>
        <v/>
      </c>
    </row>
    <row r="886" spans="7:10" x14ac:dyDescent="0.25">
      <c r="G886" s="18" t="str">
        <f>IF($A886="","",IFERROR(INDEX(Map!$C$2:$C$400,MATCH($A886,Map!$A$2:$A$400,0)),"⚠ UNMAPPED"))</f>
        <v/>
      </c>
      <c r="H886" s="18" t="str">
        <f>IF($A886="","",IFERROR(INDEX(Map!$D$2:$D$400,MATCH($A886,Map!$A$2:$A$400,0)),"⚠ UNMAPPED"))</f>
        <v/>
      </c>
      <c r="I886" s="18" t="str">
        <f>IF($A886="","",IFERROR(INDEX(Map!$E$2:$E$400,MATCH($A886,Map!$A$2:$A$400,0)),"⚠ UNMAPPED"))</f>
        <v/>
      </c>
      <c r="J886" s="18" t="str">
        <f>IF($A886="","",IFERROR(INDEX(Map!$F$2:$F$400,MATCH($A886,Map!$A$2:$A$400,0)),"⚠ UNMAPPED"))</f>
        <v/>
      </c>
    </row>
    <row r="887" spans="7:10" x14ac:dyDescent="0.25">
      <c r="G887" s="18" t="str">
        <f>IF($A887="","",IFERROR(INDEX(Map!$C$2:$C$400,MATCH($A887,Map!$A$2:$A$400,0)),"⚠ UNMAPPED"))</f>
        <v/>
      </c>
      <c r="H887" s="18" t="str">
        <f>IF($A887="","",IFERROR(INDEX(Map!$D$2:$D$400,MATCH($A887,Map!$A$2:$A$400,0)),"⚠ UNMAPPED"))</f>
        <v/>
      </c>
      <c r="I887" s="18" t="str">
        <f>IF($A887="","",IFERROR(INDEX(Map!$E$2:$E$400,MATCH($A887,Map!$A$2:$A$400,0)),"⚠ UNMAPPED"))</f>
        <v/>
      </c>
      <c r="J887" s="18" t="str">
        <f>IF($A887="","",IFERROR(INDEX(Map!$F$2:$F$400,MATCH($A887,Map!$A$2:$A$400,0)),"⚠ UNMAPPED"))</f>
        <v/>
      </c>
    </row>
    <row r="888" spans="7:10" x14ac:dyDescent="0.25">
      <c r="G888" s="18" t="str">
        <f>IF($A888="","",IFERROR(INDEX(Map!$C$2:$C$400,MATCH($A888,Map!$A$2:$A$400,0)),"⚠ UNMAPPED"))</f>
        <v/>
      </c>
      <c r="H888" s="18" t="str">
        <f>IF($A888="","",IFERROR(INDEX(Map!$D$2:$D$400,MATCH($A888,Map!$A$2:$A$400,0)),"⚠ UNMAPPED"))</f>
        <v/>
      </c>
      <c r="I888" s="18" t="str">
        <f>IF($A888="","",IFERROR(INDEX(Map!$E$2:$E$400,MATCH($A888,Map!$A$2:$A$400,0)),"⚠ UNMAPPED"))</f>
        <v/>
      </c>
      <c r="J888" s="18" t="str">
        <f>IF($A888="","",IFERROR(INDEX(Map!$F$2:$F$400,MATCH($A888,Map!$A$2:$A$400,0)),"⚠ UNMAPPED"))</f>
        <v/>
      </c>
    </row>
    <row r="889" spans="7:10" x14ac:dyDescent="0.25">
      <c r="G889" s="18" t="str">
        <f>IF($A889="","",IFERROR(INDEX(Map!$C$2:$C$400,MATCH($A889,Map!$A$2:$A$400,0)),"⚠ UNMAPPED"))</f>
        <v/>
      </c>
      <c r="H889" s="18" t="str">
        <f>IF($A889="","",IFERROR(INDEX(Map!$D$2:$D$400,MATCH($A889,Map!$A$2:$A$400,0)),"⚠ UNMAPPED"))</f>
        <v/>
      </c>
      <c r="I889" s="18" t="str">
        <f>IF($A889="","",IFERROR(INDEX(Map!$E$2:$E$400,MATCH($A889,Map!$A$2:$A$400,0)),"⚠ UNMAPPED"))</f>
        <v/>
      </c>
      <c r="J889" s="18" t="str">
        <f>IF($A889="","",IFERROR(INDEX(Map!$F$2:$F$400,MATCH($A889,Map!$A$2:$A$400,0)),"⚠ UNMAPPED"))</f>
        <v/>
      </c>
    </row>
    <row r="890" spans="7:10" x14ac:dyDescent="0.25">
      <c r="G890" s="18" t="str">
        <f>IF($A890="","",IFERROR(INDEX(Map!$C$2:$C$400,MATCH($A890,Map!$A$2:$A$400,0)),"⚠ UNMAPPED"))</f>
        <v/>
      </c>
      <c r="H890" s="18" t="str">
        <f>IF($A890="","",IFERROR(INDEX(Map!$D$2:$D$400,MATCH($A890,Map!$A$2:$A$400,0)),"⚠ UNMAPPED"))</f>
        <v/>
      </c>
      <c r="I890" s="18" t="str">
        <f>IF($A890="","",IFERROR(INDEX(Map!$E$2:$E$400,MATCH($A890,Map!$A$2:$A$400,0)),"⚠ UNMAPPED"))</f>
        <v/>
      </c>
      <c r="J890" s="18" t="str">
        <f>IF($A890="","",IFERROR(INDEX(Map!$F$2:$F$400,MATCH($A890,Map!$A$2:$A$400,0)),"⚠ UNMAPPED"))</f>
        <v/>
      </c>
    </row>
    <row r="891" spans="7:10" x14ac:dyDescent="0.25">
      <c r="G891" s="18" t="str">
        <f>IF($A891="","",IFERROR(INDEX(Map!$C$2:$C$400,MATCH($A891,Map!$A$2:$A$400,0)),"⚠ UNMAPPED"))</f>
        <v/>
      </c>
      <c r="H891" s="18" t="str">
        <f>IF($A891="","",IFERROR(INDEX(Map!$D$2:$D$400,MATCH($A891,Map!$A$2:$A$400,0)),"⚠ UNMAPPED"))</f>
        <v/>
      </c>
      <c r="I891" s="18" t="str">
        <f>IF($A891="","",IFERROR(INDEX(Map!$E$2:$E$400,MATCH($A891,Map!$A$2:$A$400,0)),"⚠ UNMAPPED"))</f>
        <v/>
      </c>
      <c r="J891" s="18" t="str">
        <f>IF($A891="","",IFERROR(INDEX(Map!$F$2:$F$400,MATCH($A891,Map!$A$2:$A$400,0)),"⚠ UNMAPPED"))</f>
        <v/>
      </c>
    </row>
    <row r="892" spans="7:10" x14ac:dyDescent="0.25">
      <c r="G892" s="18" t="str">
        <f>IF($A892="","",IFERROR(INDEX(Map!$C$2:$C$400,MATCH($A892,Map!$A$2:$A$400,0)),"⚠ UNMAPPED"))</f>
        <v/>
      </c>
      <c r="H892" s="18" t="str">
        <f>IF($A892="","",IFERROR(INDEX(Map!$D$2:$D$400,MATCH($A892,Map!$A$2:$A$400,0)),"⚠ UNMAPPED"))</f>
        <v/>
      </c>
      <c r="I892" s="18" t="str">
        <f>IF($A892="","",IFERROR(INDEX(Map!$E$2:$E$400,MATCH($A892,Map!$A$2:$A$400,0)),"⚠ UNMAPPED"))</f>
        <v/>
      </c>
      <c r="J892" s="18" t="str">
        <f>IF($A892="","",IFERROR(INDEX(Map!$F$2:$F$400,MATCH($A892,Map!$A$2:$A$400,0)),"⚠ UNMAPPED"))</f>
        <v/>
      </c>
    </row>
    <row r="893" spans="7:10" x14ac:dyDescent="0.25">
      <c r="G893" s="18" t="str">
        <f>IF($A893="","",IFERROR(INDEX(Map!$C$2:$C$400,MATCH($A893,Map!$A$2:$A$400,0)),"⚠ UNMAPPED"))</f>
        <v/>
      </c>
      <c r="H893" s="18" t="str">
        <f>IF($A893="","",IFERROR(INDEX(Map!$D$2:$D$400,MATCH($A893,Map!$A$2:$A$400,0)),"⚠ UNMAPPED"))</f>
        <v/>
      </c>
      <c r="I893" s="18" t="str">
        <f>IF($A893="","",IFERROR(INDEX(Map!$E$2:$E$400,MATCH($A893,Map!$A$2:$A$400,0)),"⚠ UNMAPPED"))</f>
        <v/>
      </c>
      <c r="J893" s="18" t="str">
        <f>IF($A893="","",IFERROR(INDEX(Map!$F$2:$F$400,MATCH($A893,Map!$A$2:$A$400,0)),"⚠ UNMAPPED"))</f>
        <v/>
      </c>
    </row>
    <row r="894" spans="7:10" x14ac:dyDescent="0.25">
      <c r="G894" s="18" t="str">
        <f>IF($A894="","",IFERROR(INDEX(Map!$C$2:$C$400,MATCH($A894,Map!$A$2:$A$400,0)),"⚠ UNMAPPED"))</f>
        <v/>
      </c>
      <c r="H894" s="18" t="str">
        <f>IF($A894="","",IFERROR(INDEX(Map!$D$2:$D$400,MATCH($A894,Map!$A$2:$A$400,0)),"⚠ UNMAPPED"))</f>
        <v/>
      </c>
      <c r="I894" s="18" t="str">
        <f>IF($A894="","",IFERROR(INDEX(Map!$E$2:$E$400,MATCH($A894,Map!$A$2:$A$400,0)),"⚠ UNMAPPED"))</f>
        <v/>
      </c>
      <c r="J894" s="18" t="str">
        <f>IF($A894="","",IFERROR(INDEX(Map!$F$2:$F$400,MATCH($A894,Map!$A$2:$A$400,0)),"⚠ UNMAPPED"))</f>
        <v/>
      </c>
    </row>
    <row r="895" spans="7:10" x14ac:dyDescent="0.25">
      <c r="G895" s="18" t="str">
        <f>IF($A895="","",IFERROR(INDEX(Map!$C$2:$C$400,MATCH($A895,Map!$A$2:$A$400,0)),"⚠ UNMAPPED"))</f>
        <v/>
      </c>
      <c r="H895" s="18" t="str">
        <f>IF($A895="","",IFERROR(INDEX(Map!$D$2:$D$400,MATCH($A895,Map!$A$2:$A$400,0)),"⚠ UNMAPPED"))</f>
        <v/>
      </c>
      <c r="I895" s="18" t="str">
        <f>IF($A895="","",IFERROR(INDEX(Map!$E$2:$E$400,MATCH($A895,Map!$A$2:$A$400,0)),"⚠ UNMAPPED"))</f>
        <v/>
      </c>
      <c r="J895" s="18" t="str">
        <f>IF($A895="","",IFERROR(INDEX(Map!$F$2:$F$400,MATCH($A895,Map!$A$2:$A$400,0)),"⚠ UNMAPPED"))</f>
        <v/>
      </c>
    </row>
    <row r="896" spans="7:10" x14ac:dyDescent="0.25">
      <c r="G896" s="18" t="str">
        <f>IF($A896="","",IFERROR(INDEX(Map!$C$2:$C$400,MATCH($A896,Map!$A$2:$A$400,0)),"⚠ UNMAPPED"))</f>
        <v/>
      </c>
      <c r="H896" s="18" t="str">
        <f>IF($A896="","",IFERROR(INDEX(Map!$D$2:$D$400,MATCH($A896,Map!$A$2:$A$400,0)),"⚠ UNMAPPED"))</f>
        <v/>
      </c>
      <c r="I896" s="18" t="str">
        <f>IF($A896="","",IFERROR(INDEX(Map!$E$2:$E$400,MATCH($A896,Map!$A$2:$A$400,0)),"⚠ UNMAPPED"))</f>
        <v/>
      </c>
      <c r="J896" s="18" t="str">
        <f>IF($A896="","",IFERROR(INDEX(Map!$F$2:$F$400,MATCH($A896,Map!$A$2:$A$400,0)),"⚠ UNMAPPED"))</f>
        <v/>
      </c>
    </row>
    <row r="897" spans="7:10" x14ac:dyDescent="0.25">
      <c r="G897" s="18" t="str">
        <f>IF($A897="","",IFERROR(INDEX(Map!$C$2:$C$400,MATCH($A897,Map!$A$2:$A$400,0)),"⚠ UNMAPPED"))</f>
        <v/>
      </c>
      <c r="H897" s="18" t="str">
        <f>IF($A897="","",IFERROR(INDEX(Map!$D$2:$D$400,MATCH($A897,Map!$A$2:$A$400,0)),"⚠ UNMAPPED"))</f>
        <v/>
      </c>
      <c r="I897" s="18" t="str">
        <f>IF($A897="","",IFERROR(INDEX(Map!$E$2:$E$400,MATCH($A897,Map!$A$2:$A$400,0)),"⚠ UNMAPPED"))</f>
        <v/>
      </c>
      <c r="J897" s="18" t="str">
        <f>IF($A897="","",IFERROR(INDEX(Map!$F$2:$F$400,MATCH($A897,Map!$A$2:$A$400,0)),"⚠ UNMAPPED"))</f>
        <v/>
      </c>
    </row>
    <row r="898" spans="7:10" x14ac:dyDescent="0.25">
      <c r="G898" s="18" t="str">
        <f>IF($A898="","",IFERROR(INDEX(Map!$C$2:$C$400,MATCH($A898,Map!$A$2:$A$400,0)),"⚠ UNMAPPED"))</f>
        <v/>
      </c>
      <c r="H898" s="18" t="str">
        <f>IF($A898="","",IFERROR(INDEX(Map!$D$2:$D$400,MATCH($A898,Map!$A$2:$A$400,0)),"⚠ UNMAPPED"))</f>
        <v/>
      </c>
      <c r="I898" s="18" t="str">
        <f>IF($A898="","",IFERROR(INDEX(Map!$E$2:$E$400,MATCH($A898,Map!$A$2:$A$400,0)),"⚠ UNMAPPED"))</f>
        <v/>
      </c>
      <c r="J898" s="18" t="str">
        <f>IF($A898="","",IFERROR(INDEX(Map!$F$2:$F$400,MATCH($A898,Map!$A$2:$A$400,0)),"⚠ UNMAPPED"))</f>
        <v/>
      </c>
    </row>
    <row r="899" spans="7:10" x14ac:dyDescent="0.25">
      <c r="G899" s="18" t="str">
        <f>IF($A899="","",IFERROR(INDEX(Map!$C$2:$C$400,MATCH($A899,Map!$A$2:$A$400,0)),"⚠ UNMAPPED"))</f>
        <v/>
      </c>
      <c r="H899" s="18" t="str">
        <f>IF($A899="","",IFERROR(INDEX(Map!$D$2:$D$400,MATCH($A899,Map!$A$2:$A$400,0)),"⚠ UNMAPPED"))</f>
        <v/>
      </c>
      <c r="I899" s="18" t="str">
        <f>IF($A899="","",IFERROR(INDEX(Map!$E$2:$E$400,MATCH($A899,Map!$A$2:$A$400,0)),"⚠ UNMAPPED"))</f>
        <v/>
      </c>
      <c r="J899" s="18" t="str">
        <f>IF($A899="","",IFERROR(INDEX(Map!$F$2:$F$400,MATCH($A899,Map!$A$2:$A$400,0)),"⚠ UNMAPPED"))</f>
        <v/>
      </c>
    </row>
    <row r="900" spans="7:10" x14ac:dyDescent="0.25">
      <c r="G900" s="18" t="str">
        <f>IF($A900="","",IFERROR(INDEX(Map!$C$2:$C$400,MATCH($A900,Map!$A$2:$A$400,0)),"⚠ UNMAPPED"))</f>
        <v/>
      </c>
      <c r="H900" s="18" t="str">
        <f>IF($A900="","",IFERROR(INDEX(Map!$D$2:$D$400,MATCH($A900,Map!$A$2:$A$400,0)),"⚠ UNMAPPED"))</f>
        <v/>
      </c>
      <c r="I900" s="18" t="str">
        <f>IF($A900="","",IFERROR(INDEX(Map!$E$2:$E$400,MATCH($A900,Map!$A$2:$A$400,0)),"⚠ UNMAPPED"))</f>
        <v/>
      </c>
      <c r="J900" s="18" t="str">
        <f>IF($A900="","",IFERROR(INDEX(Map!$F$2:$F$400,MATCH($A900,Map!$A$2:$A$400,0)),"⚠ UNMAPPED"))</f>
        <v/>
      </c>
    </row>
    <row r="901" spans="7:10" x14ac:dyDescent="0.25">
      <c r="G901" s="18" t="str">
        <f>IF($A901="","",IFERROR(INDEX(Map!$C$2:$C$400,MATCH($A901,Map!$A$2:$A$400,0)),"⚠ UNMAPPED"))</f>
        <v/>
      </c>
      <c r="H901" s="18" t="str">
        <f>IF($A901="","",IFERROR(INDEX(Map!$D$2:$D$400,MATCH($A901,Map!$A$2:$A$400,0)),"⚠ UNMAPPED"))</f>
        <v/>
      </c>
      <c r="I901" s="18" t="str">
        <f>IF($A901="","",IFERROR(INDEX(Map!$E$2:$E$400,MATCH($A901,Map!$A$2:$A$400,0)),"⚠ UNMAPPED"))</f>
        <v/>
      </c>
      <c r="J901" s="18" t="str">
        <f>IF($A901="","",IFERROR(INDEX(Map!$F$2:$F$400,MATCH($A901,Map!$A$2:$A$400,0)),"⚠ UNMAPPED"))</f>
        <v/>
      </c>
    </row>
    <row r="902" spans="7:10" x14ac:dyDescent="0.25">
      <c r="G902" s="18" t="str">
        <f>IF($A902="","",IFERROR(INDEX(Map!$C$2:$C$400,MATCH($A902,Map!$A$2:$A$400,0)),"⚠ UNMAPPED"))</f>
        <v/>
      </c>
      <c r="H902" s="18" t="str">
        <f>IF($A902="","",IFERROR(INDEX(Map!$D$2:$D$400,MATCH($A902,Map!$A$2:$A$400,0)),"⚠ UNMAPPED"))</f>
        <v/>
      </c>
      <c r="I902" s="18" t="str">
        <f>IF($A902="","",IFERROR(INDEX(Map!$E$2:$E$400,MATCH($A902,Map!$A$2:$A$400,0)),"⚠ UNMAPPED"))</f>
        <v/>
      </c>
      <c r="J902" s="18" t="str">
        <f>IF($A902="","",IFERROR(INDEX(Map!$F$2:$F$400,MATCH($A902,Map!$A$2:$A$400,0)),"⚠ UNMAPPED"))</f>
        <v/>
      </c>
    </row>
    <row r="903" spans="7:10" x14ac:dyDescent="0.25">
      <c r="G903" s="18" t="str">
        <f>IF($A903="","",IFERROR(INDEX(Map!$C$2:$C$400,MATCH($A903,Map!$A$2:$A$400,0)),"⚠ UNMAPPED"))</f>
        <v/>
      </c>
      <c r="H903" s="18" t="str">
        <f>IF($A903="","",IFERROR(INDEX(Map!$D$2:$D$400,MATCH($A903,Map!$A$2:$A$400,0)),"⚠ UNMAPPED"))</f>
        <v/>
      </c>
      <c r="I903" s="18" t="str">
        <f>IF($A903="","",IFERROR(INDEX(Map!$E$2:$E$400,MATCH($A903,Map!$A$2:$A$400,0)),"⚠ UNMAPPED"))</f>
        <v/>
      </c>
      <c r="J903" s="18" t="str">
        <f>IF($A903="","",IFERROR(INDEX(Map!$F$2:$F$400,MATCH($A903,Map!$A$2:$A$400,0)),"⚠ UNMAPPED"))</f>
        <v/>
      </c>
    </row>
    <row r="904" spans="7:10" x14ac:dyDescent="0.25">
      <c r="G904" s="18" t="str">
        <f>IF($A904="","",IFERROR(INDEX(Map!$C$2:$C$400,MATCH($A904,Map!$A$2:$A$400,0)),"⚠ UNMAPPED"))</f>
        <v/>
      </c>
      <c r="H904" s="18" t="str">
        <f>IF($A904="","",IFERROR(INDEX(Map!$D$2:$D$400,MATCH($A904,Map!$A$2:$A$400,0)),"⚠ UNMAPPED"))</f>
        <v/>
      </c>
      <c r="I904" s="18" t="str">
        <f>IF($A904="","",IFERROR(INDEX(Map!$E$2:$E$400,MATCH($A904,Map!$A$2:$A$400,0)),"⚠ UNMAPPED"))</f>
        <v/>
      </c>
      <c r="J904" s="18" t="str">
        <f>IF($A904="","",IFERROR(INDEX(Map!$F$2:$F$400,MATCH($A904,Map!$A$2:$A$400,0)),"⚠ UNMAPPED"))</f>
        <v/>
      </c>
    </row>
    <row r="905" spans="7:10" x14ac:dyDescent="0.25">
      <c r="G905" s="18" t="str">
        <f>IF($A905="","",IFERROR(INDEX(Map!$C$2:$C$400,MATCH($A905,Map!$A$2:$A$400,0)),"⚠ UNMAPPED"))</f>
        <v/>
      </c>
      <c r="H905" s="18" t="str">
        <f>IF($A905="","",IFERROR(INDEX(Map!$D$2:$D$400,MATCH($A905,Map!$A$2:$A$400,0)),"⚠ UNMAPPED"))</f>
        <v/>
      </c>
      <c r="I905" s="18" t="str">
        <f>IF($A905="","",IFERROR(INDEX(Map!$E$2:$E$400,MATCH($A905,Map!$A$2:$A$400,0)),"⚠ UNMAPPED"))</f>
        <v/>
      </c>
      <c r="J905" s="18" t="str">
        <f>IF($A905="","",IFERROR(INDEX(Map!$F$2:$F$400,MATCH($A905,Map!$A$2:$A$400,0)),"⚠ UNMAPPED"))</f>
        <v/>
      </c>
    </row>
    <row r="906" spans="7:10" x14ac:dyDescent="0.25">
      <c r="G906" s="18" t="str">
        <f>IF($A906="","",IFERROR(INDEX(Map!$C$2:$C$400,MATCH($A906,Map!$A$2:$A$400,0)),"⚠ UNMAPPED"))</f>
        <v/>
      </c>
      <c r="H906" s="18" t="str">
        <f>IF($A906="","",IFERROR(INDEX(Map!$D$2:$D$400,MATCH($A906,Map!$A$2:$A$400,0)),"⚠ UNMAPPED"))</f>
        <v/>
      </c>
      <c r="I906" s="18" t="str">
        <f>IF($A906="","",IFERROR(INDEX(Map!$E$2:$E$400,MATCH($A906,Map!$A$2:$A$400,0)),"⚠ UNMAPPED"))</f>
        <v/>
      </c>
      <c r="J906" s="18" t="str">
        <f>IF($A906="","",IFERROR(INDEX(Map!$F$2:$F$400,MATCH($A906,Map!$A$2:$A$400,0)),"⚠ UNMAPPED"))</f>
        <v/>
      </c>
    </row>
    <row r="907" spans="7:10" x14ac:dyDescent="0.25">
      <c r="G907" s="18" t="str">
        <f>IF($A907="","",IFERROR(INDEX(Map!$C$2:$C$400,MATCH($A907,Map!$A$2:$A$400,0)),"⚠ UNMAPPED"))</f>
        <v/>
      </c>
      <c r="H907" s="18" t="str">
        <f>IF($A907="","",IFERROR(INDEX(Map!$D$2:$D$400,MATCH($A907,Map!$A$2:$A$400,0)),"⚠ UNMAPPED"))</f>
        <v/>
      </c>
      <c r="I907" s="18" t="str">
        <f>IF($A907="","",IFERROR(INDEX(Map!$E$2:$E$400,MATCH($A907,Map!$A$2:$A$400,0)),"⚠ UNMAPPED"))</f>
        <v/>
      </c>
      <c r="J907" s="18" t="str">
        <f>IF($A907="","",IFERROR(INDEX(Map!$F$2:$F$400,MATCH($A907,Map!$A$2:$A$400,0)),"⚠ UNMAPPED"))</f>
        <v/>
      </c>
    </row>
    <row r="908" spans="7:10" x14ac:dyDescent="0.25">
      <c r="G908" s="18" t="str">
        <f>IF($A908="","",IFERROR(INDEX(Map!$C$2:$C$400,MATCH($A908,Map!$A$2:$A$400,0)),"⚠ UNMAPPED"))</f>
        <v/>
      </c>
      <c r="H908" s="18" t="str">
        <f>IF($A908="","",IFERROR(INDEX(Map!$D$2:$D$400,MATCH($A908,Map!$A$2:$A$400,0)),"⚠ UNMAPPED"))</f>
        <v/>
      </c>
      <c r="I908" s="18" t="str">
        <f>IF($A908="","",IFERROR(INDEX(Map!$E$2:$E$400,MATCH($A908,Map!$A$2:$A$400,0)),"⚠ UNMAPPED"))</f>
        <v/>
      </c>
      <c r="J908" s="18" t="str">
        <f>IF($A908="","",IFERROR(INDEX(Map!$F$2:$F$400,MATCH($A908,Map!$A$2:$A$400,0)),"⚠ UNMAPPED"))</f>
        <v/>
      </c>
    </row>
    <row r="909" spans="7:10" x14ac:dyDescent="0.25">
      <c r="G909" s="18" t="str">
        <f>IF($A909="","",IFERROR(INDEX(Map!$C$2:$C$400,MATCH($A909,Map!$A$2:$A$400,0)),"⚠ UNMAPPED"))</f>
        <v/>
      </c>
      <c r="H909" s="18" t="str">
        <f>IF($A909="","",IFERROR(INDEX(Map!$D$2:$D$400,MATCH($A909,Map!$A$2:$A$400,0)),"⚠ UNMAPPED"))</f>
        <v/>
      </c>
      <c r="I909" s="18" t="str">
        <f>IF($A909="","",IFERROR(INDEX(Map!$E$2:$E$400,MATCH($A909,Map!$A$2:$A$400,0)),"⚠ UNMAPPED"))</f>
        <v/>
      </c>
      <c r="J909" s="18" t="str">
        <f>IF($A909="","",IFERROR(INDEX(Map!$F$2:$F$400,MATCH($A909,Map!$A$2:$A$400,0)),"⚠ UNMAPPED"))</f>
        <v/>
      </c>
    </row>
    <row r="910" spans="7:10" x14ac:dyDescent="0.25">
      <c r="G910" s="18" t="str">
        <f>IF($A910="","",IFERROR(INDEX(Map!$C$2:$C$400,MATCH($A910,Map!$A$2:$A$400,0)),"⚠ UNMAPPED"))</f>
        <v/>
      </c>
      <c r="H910" s="18" t="str">
        <f>IF($A910="","",IFERROR(INDEX(Map!$D$2:$D$400,MATCH($A910,Map!$A$2:$A$400,0)),"⚠ UNMAPPED"))</f>
        <v/>
      </c>
      <c r="I910" s="18" t="str">
        <f>IF($A910="","",IFERROR(INDEX(Map!$E$2:$E$400,MATCH($A910,Map!$A$2:$A$400,0)),"⚠ UNMAPPED"))</f>
        <v/>
      </c>
      <c r="J910" s="18" t="str">
        <f>IF($A910="","",IFERROR(INDEX(Map!$F$2:$F$400,MATCH($A910,Map!$A$2:$A$400,0)),"⚠ UNMAPPED"))</f>
        <v/>
      </c>
    </row>
    <row r="911" spans="7:10" x14ac:dyDescent="0.25">
      <c r="G911" s="18" t="str">
        <f>IF($A911="","",IFERROR(INDEX(Map!$C$2:$C$400,MATCH($A911,Map!$A$2:$A$400,0)),"⚠ UNMAPPED"))</f>
        <v/>
      </c>
      <c r="H911" s="18" t="str">
        <f>IF($A911="","",IFERROR(INDEX(Map!$D$2:$D$400,MATCH($A911,Map!$A$2:$A$400,0)),"⚠ UNMAPPED"))</f>
        <v/>
      </c>
      <c r="I911" s="18" t="str">
        <f>IF($A911="","",IFERROR(INDEX(Map!$E$2:$E$400,MATCH($A911,Map!$A$2:$A$400,0)),"⚠ UNMAPPED"))</f>
        <v/>
      </c>
      <c r="J911" s="18" t="str">
        <f>IF($A911="","",IFERROR(INDEX(Map!$F$2:$F$400,MATCH($A911,Map!$A$2:$A$400,0)),"⚠ UNMAPPED"))</f>
        <v/>
      </c>
    </row>
    <row r="912" spans="7:10" x14ac:dyDescent="0.25">
      <c r="G912" s="18" t="str">
        <f>IF($A912="","",IFERROR(INDEX(Map!$C$2:$C$400,MATCH($A912,Map!$A$2:$A$400,0)),"⚠ UNMAPPED"))</f>
        <v/>
      </c>
      <c r="H912" s="18" t="str">
        <f>IF($A912="","",IFERROR(INDEX(Map!$D$2:$D$400,MATCH($A912,Map!$A$2:$A$400,0)),"⚠ UNMAPPED"))</f>
        <v/>
      </c>
      <c r="I912" s="18" t="str">
        <f>IF($A912="","",IFERROR(INDEX(Map!$E$2:$E$400,MATCH($A912,Map!$A$2:$A$400,0)),"⚠ UNMAPPED"))</f>
        <v/>
      </c>
      <c r="J912" s="18" t="str">
        <f>IF($A912="","",IFERROR(INDEX(Map!$F$2:$F$400,MATCH($A912,Map!$A$2:$A$400,0)),"⚠ UNMAPPED"))</f>
        <v/>
      </c>
    </row>
    <row r="913" spans="7:10" x14ac:dyDescent="0.25">
      <c r="G913" s="18" t="str">
        <f>IF($A913="","",IFERROR(INDEX(Map!$C$2:$C$400,MATCH($A913,Map!$A$2:$A$400,0)),"⚠ UNMAPPED"))</f>
        <v/>
      </c>
      <c r="H913" s="18" t="str">
        <f>IF($A913="","",IFERROR(INDEX(Map!$D$2:$D$400,MATCH($A913,Map!$A$2:$A$400,0)),"⚠ UNMAPPED"))</f>
        <v/>
      </c>
      <c r="I913" s="18" t="str">
        <f>IF($A913="","",IFERROR(INDEX(Map!$E$2:$E$400,MATCH($A913,Map!$A$2:$A$400,0)),"⚠ UNMAPPED"))</f>
        <v/>
      </c>
      <c r="J913" s="18" t="str">
        <f>IF($A913="","",IFERROR(INDEX(Map!$F$2:$F$400,MATCH($A913,Map!$A$2:$A$400,0)),"⚠ UNMAPPED"))</f>
        <v/>
      </c>
    </row>
    <row r="914" spans="7:10" x14ac:dyDescent="0.25">
      <c r="G914" s="18" t="str">
        <f>IF($A914="","",IFERROR(INDEX(Map!$C$2:$C$400,MATCH($A914,Map!$A$2:$A$400,0)),"⚠ UNMAPPED"))</f>
        <v/>
      </c>
      <c r="H914" s="18" t="str">
        <f>IF($A914="","",IFERROR(INDEX(Map!$D$2:$D$400,MATCH($A914,Map!$A$2:$A$400,0)),"⚠ UNMAPPED"))</f>
        <v/>
      </c>
      <c r="I914" s="18" t="str">
        <f>IF($A914="","",IFERROR(INDEX(Map!$E$2:$E$400,MATCH($A914,Map!$A$2:$A$400,0)),"⚠ UNMAPPED"))</f>
        <v/>
      </c>
      <c r="J914" s="18" t="str">
        <f>IF($A914="","",IFERROR(INDEX(Map!$F$2:$F$400,MATCH($A914,Map!$A$2:$A$400,0)),"⚠ UNMAPPED"))</f>
        <v/>
      </c>
    </row>
    <row r="915" spans="7:10" x14ac:dyDescent="0.25">
      <c r="G915" s="18" t="str">
        <f>IF($A915="","",IFERROR(INDEX(Map!$C$2:$C$400,MATCH($A915,Map!$A$2:$A$400,0)),"⚠ UNMAPPED"))</f>
        <v/>
      </c>
      <c r="H915" s="18" t="str">
        <f>IF($A915="","",IFERROR(INDEX(Map!$D$2:$D$400,MATCH($A915,Map!$A$2:$A$400,0)),"⚠ UNMAPPED"))</f>
        <v/>
      </c>
      <c r="I915" s="18" t="str">
        <f>IF($A915="","",IFERROR(INDEX(Map!$E$2:$E$400,MATCH($A915,Map!$A$2:$A$400,0)),"⚠ UNMAPPED"))</f>
        <v/>
      </c>
      <c r="J915" s="18" t="str">
        <f>IF($A915="","",IFERROR(INDEX(Map!$F$2:$F$400,MATCH($A915,Map!$A$2:$A$400,0)),"⚠ UNMAPPED"))</f>
        <v/>
      </c>
    </row>
    <row r="916" spans="7:10" x14ac:dyDescent="0.25">
      <c r="G916" s="18" t="str">
        <f>IF($A916="","",IFERROR(INDEX(Map!$C$2:$C$400,MATCH($A916,Map!$A$2:$A$400,0)),"⚠ UNMAPPED"))</f>
        <v/>
      </c>
      <c r="H916" s="18" t="str">
        <f>IF($A916="","",IFERROR(INDEX(Map!$D$2:$D$400,MATCH($A916,Map!$A$2:$A$400,0)),"⚠ UNMAPPED"))</f>
        <v/>
      </c>
      <c r="I916" s="18" t="str">
        <f>IF($A916="","",IFERROR(INDEX(Map!$E$2:$E$400,MATCH($A916,Map!$A$2:$A$400,0)),"⚠ UNMAPPED"))</f>
        <v/>
      </c>
      <c r="J916" s="18" t="str">
        <f>IF($A916="","",IFERROR(INDEX(Map!$F$2:$F$400,MATCH($A916,Map!$A$2:$A$400,0)),"⚠ UNMAPPED"))</f>
        <v/>
      </c>
    </row>
    <row r="917" spans="7:10" x14ac:dyDescent="0.25">
      <c r="G917" s="18" t="str">
        <f>IF($A917="","",IFERROR(INDEX(Map!$C$2:$C$400,MATCH($A917,Map!$A$2:$A$400,0)),"⚠ UNMAPPED"))</f>
        <v/>
      </c>
      <c r="H917" s="18" t="str">
        <f>IF($A917="","",IFERROR(INDEX(Map!$D$2:$D$400,MATCH($A917,Map!$A$2:$A$400,0)),"⚠ UNMAPPED"))</f>
        <v/>
      </c>
      <c r="I917" s="18" t="str">
        <f>IF($A917="","",IFERROR(INDEX(Map!$E$2:$E$400,MATCH($A917,Map!$A$2:$A$400,0)),"⚠ UNMAPPED"))</f>
        <v/>
      </c>
      <c r="J917" s="18" t="str">
        <f>IF($A917="","",IFERROR(INDEX(Map!$F$2:$F$400,MATCH($A917,Map!$A$2:$A$400,0)),"⚠ UNMAPPED"))</f>
        <v/>
      </c>
    </row>
    <row r="918" spans="7:10" x14ac:dyDescent="0.25">
      <c r="G918" s="18" t="str">
        <f>IF($A918="","",IFERROR(INDEX(Map!$C$2:$C$400,MATCH($A918,Map!$A$2:$A$400,0)),"⚠ UNMAPPED"))</f>
        <v/>
      </c>
      <c r="H918" s="18" t="str">
        <f>IF($A918="","",IFERROR(INDEX(Map!$D$2:$D$400,MATCH($A918,Map!$A$2:$A$400,0)),"⚠ UNMAPPED"))</f>
        <v/>
      </c>
      <c r="I918" s="18" t="str">
        <f>IF($A918="","",IFERROR(INDEX(Map!$E$2:$E$400,MATCH($A918,Map!$A$2:$A$400,0)),"⚠ UNMAPPED"))</f>
        <v/>
      </c>
      <c r="J918" s="18" t="str">
        <f>IF($A918="","",IFERROR(INDEX(Map!$F$2:$F$400,MATCH($A918,Map!$A$2:$A$400,0)),"⚠ UNMAPPED"))</f>
        <v/>
      </c>
    </row>
    <row r="919" spans="7:10" x14ac:dyDescent="0.25">
      <c r="G919" s="18" t="str">
        <f>IF($A919="","",IFERROR(INDEX(Map!$C$2:$C$400,MATCH($A919,Map!$A$2:$A$400,0)),"⚠ UNMAPPED"))</f>
        <v/>
      </c>
      <c r="H919" s="18" t="str">
        <f>IF($A919="","",IFERROR(INDEX(Map!$D$2:$D$400,MATCH($A919,Map!$A$2:$A$400,0)),"⚠ UNMAPPED"))</f>
        <v/>
      </c>
      <c r="I919" s="18" t="str">
        <f>IF($A919="","",IFERROR(INDEX(Map!$E$2:$E$400,MATCH($A919,Map!$A$2:$A$400,0)),"⚠ UNMAPPED"))</f>
        <v/>
      </c>
      <c r="J919" s="18" t="str">
        <f>IF($A919="","",IFERROR(INDEX(Map!$F$2:$F$400,MATCH($A919,Map!$A$2:$A$400,0)),"⚠ UNMAPPED"))</f>
        <v/>
      </c>
    </row>
    <row r="920" spans="7:10" x14ac:dyDescent="0.25">
      <c r="G920" s="18" t="str">
        <f>IF($A920="","",IFERROR(INDEX(Map!$C$2:$C$400,MATCH($A920,Map!$A$2:$A$400,0)),"⚠ UNMAPPED"))</f>
        <v/>
      </c>
      <c r="H920" s="18" t="str">
        <f>IF($A920="","",IFERROR(INDEX(Map!$D$2:$D$400,MATCH($A920,Map!$A$2:$A$400,0)),"⚠ UNMAPPED"))</f>
        <v/>
      </c>
      <c r="I920" s="18" t="str">
        <f>IF($A920="","",IFERROR(INDEX(Map!$E$2:$E$400,MATCH($A920,Map!$A$2:$A$400,0)),"⚠ UNMAPPED"))</f>
        <v/>
      </c>
      <c r="J920" s="18" t="str">
        <f>IF($A920="","",IFERROR(INDEX(Map!$F$2:$F$400,MATCH($A920,Map!$A$2:$A$400,0)),"⚠ UNMAPPED"))</f>
        <v/>
      </c>
    </row>
    <row r="921" spans="7:10" x14ac:dyDescent="0.25">
      <c r="G921" s="18" t="str">
        <f>IF($A921="","",IFERROR(INDEX(Map!$C$2:$C$400,MATCH($A921,Map!$A$2:$A$400,0)),"⚠ UNMAPPED"))</f>
        <v/>
      </c>
      <c r="H921" s="18" t="str">
        <f>IF($A921="","",IFERROR(INDEX(Map!$D$2:$D$400,MATCH($A921,Map!$A$2:$A$400,0)),"⚠ UNMAPPED"))</f>
        <v/>
      </c>
      <c r="I921" s="18" t="str">
        <f>IF($A921="","",IFERROR(INDEX(Map!$E$2:$E$400,MATCH($A921,Map!$A$2:$A$400,0)),"⚠ UNMAPPED"))</f>
        <v/>
      </c>
      <c r="J921" s="18" t="str">
        <f>IF($A921="","",IFERROR(INDEX(Map!$F$2:$F$400,MATCH($A921,Map!$A$2:$A$400,0)),"⚠ UNMAPPED"))</f>
        <v/>
      </c>
    </row>
    <row r="922" spans="7:10" x14ac:dyDescent="0.25">
      <c r="G922" s="18" t="str">
        <f>IF($A922="","",IFERROR(INDEX(Map!$C$2:$C$400,MATCH($A922,Map!$A$2:$A$400,0)),"⚠ UNMAPPED"))</f>
        <v/>
      </c>
      <c r="H922" s="18" t="str">
        <f>IF($A922="","",IFERROR(INDEX(Map!$D$2:$D$400,MATCH($A922,Map!$A$2:$A$400,0)),"⚠ UNMAPPED"))</f>
        <v/>
      </c>
      <c r="I922" s="18" t="str">
        <f>IF($A922="","",IFERROR(INDEX(Map!$E$2:$E$400,MATCH($A922,Map!$A$2:$A$400,0)),"⚠ UNMAPPED"))</f>
        <v/>
      </c>
      <c r="J922" s="18" t="str">
        <f>IF($A922="","",IFERROR(INDEX(Map!$F$2:$F$400,MATCH($A922,Map!$A$2:$A$400,0)),"⚠ UNMAPPED"))</f>
        <v/>
      </c>
    </row>
    <row r="923" spans="7:10" x14ac:dyDescent="0.25">
      <c r="G923" s="18" t="str">
        <f>IF($A923="","",IFERROR(INDEX(Map!$C$2:$C$400,MATCH($A923,Map!$A$2:$A$400,0)),"⚠ UNMAPPED"))</f>
        <v/>
      </c>
      <c r="H923" s="18" t="str">
        <f>IF($A923="","",IFERROR(INDEX(Map!$D$2:$D$400,MATCH($A923,Map!$A$2:$A$400,0)),"⚠ UNMAPPED"))</f>
        <v/>
      </c>
      <c r="I923" s="18" t="str">
        <f>IF($A923="","",IFERROR(INDEX(Map!$E$2:$E$400,MATCH($A923,Map!$A$2:$A$400,0)),"⚠ UNMAPPED"))</f>
        <v/>
      </c>
      <c r="J923" s="18" t="str">
        <f>IF($A923="","",IFERROR(INDEX(Map!$F$2:$F$400,MATCH($A923,Map!$A$2:$A$400,0)),"⚠ UNMAPPED"))</f>
        <v/>
      </c>
    </row>
    <row r="924" spans="7:10" x14ac:dyDescent="0.25">
      <c r="G924" s="18" t="str">
        <f>IF($A924="","",IFERROR(INDEX(Map!$C$2:$C$400,MATCH($A924,Map!$A$2:$A$400,0)),"⚠ UNMAPPED"))</f>
        <v/>
      </c>
      <c r="H924" s="18" t="str">
        <f>IF($A924="","",IFERROR(INDEX(Map!$D$2:$D$400,MATCH($A924,Map!$A$2:$A$400,0)),"⚠ UNMAPPED"))</f>
        <v/>
      </c>
      <c r="I924" s="18" t="str">
        <f>IF($A924="","",IFERROR(INDEX(Map!$E$2:$E$400,MATCH($A924,Map!$A$2:$A$400,0)),"⚠ UNMAPPED"))</f>
        <v/>
      </c>
      <c r="J924" s="18" t="str">
        <f>IF($A924="","",IFERROR(INDEX(Map!$F$2:$F$400,MATCH($A924,Map!$A$2:$A$400,0)),"⚠ UNMAPPED"))</f>
        <v/>
      </c>
    </row>
    <row r="925" spans="7:10" x14ac:dyDescent="0.25">
      <c r="G925" s="18" t="str">
        <f>IF($A925="","",IFERROR(INDEX(Map!$C$2:$C$400,MATCH($A925,Map!$A$2:$A$400,0)),"⚠ UNMAPPED"))</f>
        <v/>
      </c>
      <c r="H925" s="18" t="str">
        <f>IF($A925="","",IFERROR(INDEX(Map!$D$2:$D$400,MATCH($A925,Map!$A$2:$A$400,0)),"⚠ UNMAPPED"))</f>
        <v/>
      </c>
      <c r="I925" s="18" t="str">
        <f>IF($A925="","",IFERROR(INDEX(Map!$E$2:$E$400,MATCH($A925,Map!$A$2:$A$400,0)),"⚠ UNMAPPED"))</f>
        <v/>
      </c>
      <c r="J925" s="18" t="str">
        <f>IF($A925="","",IFERROR(INDEX(Map!$F$2:$F$400,MATCH($A925,Map!$A$2:$A$400,0)),"⚠ UNMAPPED"))</f>
        <v/>
      </c>
    </row>
    <row r="926" spans="7:10" x14ac:dyDescent="0.25">
      <c r="G926" s="18" t="str">
        <f>IF($A926="","",IFERROR(INDEX(Map!$C$2:$C$400,MATCH($A926,Map!$A$2:$A$400,0)),"⚠ UNMAPPED"))</f>
        <v/>
      </c>
      <c r="H926" s="18" t="str">
        <f>IF($A926="","",IFERROR(INDEX(Map!$D$2:$D$400,MATCH($A926,Map!$A$2:$A$400,0)),"⚠ UNMAPPED"))</f>
        <v/>
      </c>
      <c r="I926" s="18" t="str">
        <f>IF($A926="","",IFERROR(INDEX(Map!$E$2:$E$400,MATCH($A926,Map!$A$2:$A$400,0)),"⚠ UNMAPPED"))</f>
        <v/>
      </c>
      <c r="J926" s="18" t="str">
        <f>IF($A926="","",IFERROR(INDEX(Map!$F$2:$F$400,MATCH($A926,Map!$A$2:$A$400,0)),"⚠ UNMAPPED"))</f>
        <v/>
      </c>
    </row>
    <row r="927" spans="7:10" x14ac:dyDescent="0.25">
      <c r="G927" s="18" t="str">
        <f>IF($A927="","",IFERROR(INDEX(Map!$C$2:$C$400,MATCH($A927,Map!$A$2:$A$400,0)),"⚠ UNMAPPED"))</f>
        <v/>
      </c>
      <c r="H927" s="18" t="str">
        <f>IF($A927="","",IFERROR(INDEX(Map!$D$2:$D$400,MATCH($A927,Map!$A$2:$A$400,0)),"⚠ UNMAPPED"))</f>
        <v/>
      </c>
      <c r="I927" s="18" t="str">
        <f>IF($A927="","",IFERROR(INDEX(Map!$E$2:$E$400,MATCH($A927,Map!$A$2:$A$400,0)),"⚠ UNMAPPED"))</f>
        <v/>
      </c>
      <c r="J927" s="18" t="str">
        <f>IF($A927="","",IFERROR(INDEX(Map!$F$2:$F$400,MATCH($A927,Map!$A$2:$A$400,0)),"⚠ UNMAPPED"))</f>
        <v/>
      </c>
    </row>
    <row r="928" spans="7:10" x14ac:dyDescent="0.25">
      <c r="G928" s="18" t="str">
        <f>IF($A928="","",IFERROR(INDEX(Map!$C$2:$C$400,MATCH($A928,Map!$A$2:$A$400,0)),"⚠ UNMAPPED"))</f>
        <v/>
      </c>
      <c r="H928" s="18" t="str">
        <f>IF($A928="","",IFERROR(INDEX(Map!$D$2:$D$400,MATCH($A928,Map!$A$2:$A$400,0)),"⚠ UNMAPPED"))</f>
        <v/>
      </c>
      <c r="I928" s="18" t="str">
        <f>IF($A928="","",IFERROR(INDEX(Map!$E$2:$E$400,MATCH($A928,Map!$A$2:$A$400,0)),"⚠ UNMAPPED"))</f>
        <v/>
      </c>
      <c r="J928" s="18" t="str">
        <f>IF($A928="","",IFERROR(INDEX(Map!$F$2:$F$400,MATCH($A928,Map!$A$2:$A$400,0)),"⚠ UNMAPPED"))</f>
        <v/>
      </c>
    </row>
    <row r="929" spans="7:10" x14ac:dyDescent="0.25">
      <c r="G929" s="18" t="str">
        <f>IF($A929="","",IFERROR(INDEX(Map!$C$2:$C$400,MATCH($A929,Map!$A$2:$A$400,0)),"⚠ UNMAPPED"))</f>
        <v/>
      </c>
      <c r="H929" s="18" t="str">
        <f>IF($A929="","",IFERROR(INDEX(Map!$D$2:$D$400,MATCH($A929,Map!$A$2:$A$400,0)),"⚠ UNMAPPED"))</f>
        <v/>
      </c>
      <c r="I929" s="18" t="str">
        <f>IF($A929="","",IFERROR(INDEX(Map!$E$2:$E$400,MATCH($A929,Map!$A$2:$A$400,0)),"⚠ UNMAPPED"))</f>
        <v/>
      </c>
      <c r="J929" s="18" t="str">
        <f>IF($A929="","",IFERROR(INDEX(Map!$F$2:$F$400,MATCH($A929,Map!$A$2:$A$400,0)),"⚠ UNMAPPED"))</f>
        <v/>
      </c>
    </row>
    <row r="930" spans="7:10" x14ac:dyDescent="0.25">
      <c r="G930" s="18" t="str">
        <f>IF($A930="","",IFERROR(INDEX(Map!$C$2:$C$400,MATCH($A930,Map!$A$2:$A$400,0)),"⚠ UNMAPPED"))</f>
        <v/>
      </c>
      <c r="H930" s="18" t="str">
        <f>IF($A930="","",IFERROR(INDEX(Map!$D$2:$D$400,MATCH($A930,Map!$A$2:$A$400,0)),"⚠ UNMAPPED"))</f>
        <v/>
      </c>
      <c r="I930" s="18" t="str">
        <f>IF($A930="","",IFERROR(INDEX(Map!$E$2:$E$400,MATCH($A930,Map!$A$2:$A$400,0)),"⚠ UNMAPPED"))</f>
        <v/>
      </c>
      <c r="J930" s="18" t="str">
        <f>IF($A930="","",IFERROR(INDEX(Map!$F$2:$F$400,MATCH($A930,Map!$A$2:$A$400,0)),"⚠ UNMAPPED"))</f>
        <v/>
      </c>
    </row>
    <row r="931" spans="7:10" x14ac:dyDescent="0.25">
      <c r="G931" s="18" t="str">
        <f>IF($A931="","",IFERROR(INDEX(Map!$C$2:$C$400,MATCH($A931,Map!$A$2:$A$400,0)),"⚠ UNMAPPED"))</f>
        <v/>
      </c>
      <c r="H931" s="18" t="str">
        <f>IF($A931="","",IFERROR(INDEX(Map!$D$2:$D$400,MATCH($A931,Map!$A$2:$A$400,0)),"⚠ UNMAPPED"))</f>
        <v/>
      </c>
      <c r="I931" s="18" t="str">
        <f>IF($A931="","",IFERROR(INDEX(Map!$E$2:$E$400,MATCH($A931,Map!$A$2:$A$400,0)),"⚠ UNMAPPED"))</f>
        <v/>
      </c>
      <c r="J931" s="18" t="str">
        <f>IF($A931="","",IFERROR(INDEX(Map!$F$2:$F$400,MATCH($A931,Map!$A$2:$A$400,0)),"⚠ UNMAPPED"))</f>
        <v/>
      </c>
    </row>
    <row r="932" spans="7:10" x14ac:dyDescent="0.25">
      <c r="G932" s="18" t="str">
        <f>IF($A932="","",IFERROR(INDEX(Map!$C$2:$C$400,MATCH($A932,Map!$A$2:$A$400,0)),"⚠ UNMAPPED"))</f>
        <v/>
      </c>
      <c r="H932" s="18" t="str">
        <f>IF($A932="","",IFERROR(INDEX(Map!$D$2:$D$400,MATCH($A932,Map!$A$2:$A$400,0)),"⚠ UNMAPPED"))</f>
        <v/>
      </c>
      <c r="I932" s="18" t="str">
        <f>IF($A932="","",IFERROR(INDEX(Map!$E$2:$E$400,MATCH($A932,Map!$A$2:$A$400,0)),"⚠ UNMAPPED"))</f>
        <v/>
      </c>
      <c r="J932" s="18" t="str">
        <f>IF($A932="","",IFERROR(INDEX(Map!$F$2:$F$400,MATCH($A932,Map!$A$2:$A$400,0)),"⚠ UNMAPPED"))</f>
        <v/>
      </c>
    </row>
    <row r="933" spans="7:10" x14ac:dyDescent="0.25">
      <c r="G933" s="18" t="str">
        <f>IF($A933="","",IFERROR(INDEX(Map!$C$2:$C$400,MATCH($A933,Map!$A$2:$A$400,0)),"⚠ UNMAPPED"))</f>
        <v/>
      </c>
      <c r="H933" s="18" t="str">
        <f>IF($A933="","",IFERROR(INDEX(Map!$D$2:$D$400,MATCH($A933,Map!$A$2:$A$400,0)),"⚠ UNMAPPED"))</f>
        <v/>
      </c>
      <c r="I933" s="18" t="str">
        <f>IF($A933="","",IFERROR(INDEX(Map!$E$2:$E$400,MATCH($A933,Map!$A$2:$A$400,0)),"⚠ UNMAPPED"))</f>
        <v/>
      </c>
      <c r="J933" s="18" t="str">
        <f>IF($A933="","",IFERROR(INDEX(Map!$F$2:$F$400,MATCH($A933,Map!$A$2:$A$400,0)),"⚠ UNMAPPED"))</f>
        <v/>
      </c>
    </row>
    <row r="934" spans="7:10" x14ac:dyDescent="0.25">
      <c r="G934" s="18" t="str">
        <f>IF($A934="","",IFERROR(INDEX(Map!$C$2:$C$400,MATCH($A934,Map!$A$2:$A$400,0)),"⚠ UNMAPPED"))</f>
        <v/>
      </c>
      <c r="H934" s="18" t="str">
        <f>IF($A934="","",IFERROR(INDEX(Map!$D$2:$D$400,MATCH($A934,Map!$A$2:$A$400,0)),"⚠ UNMAPPED"))</f>
        <v/>
      </c>
      <c r="I934" s="18" t="str">
        <f>IF($A934="","",IFERROR(INDEX(Map!$E$2:$E$400,MATCH($A934,Map!$A$2:$A$400,0)),"⚠ UNMAPPED"))</f>
        <v/>
      </c>
      <c r="J934" s="18" t="str">
        <f>IF($A934="","",IFERROR(INDEX(Map!$F$2:$F$400,MATCH($A934,Map!$A$2:$A$400,0)),"⚠ UNMAPPED"))</f>
        <v/>
      </c>
    </row>
    <row r="935" spans="7:10" x14ac:dyDescent="0.25">
      <c r="G935" s="18" t="str">
        <f>IF($A935="","",IFERROR(INDEX(Map!$C$2:$C$400,MATCH($A935,Map!$A$2:$A$400,0)),"⚠ UNMAPPED"))</f>
        <v/>
      </c>
      <c r="H935" s="18" t="str">
        <f>IF($A935="","",IFERROR(INDEX(Map!$D$2:$D$400,MATCH($A935,Map!$A$2:$A$400,0)),"⚠ UNMAPPED"))</f>
        <v/>
      </c>
      <c r="I935" s="18" t="str">
        <f>IF($A935="","",IFERROR(INDEX(Map!$E$2:$E$400,MATCH($A935,Map!$A$2:$A$400,0)),"⚠ UNMAPPED"))</f>
        <v/>
      </c>
      <c r="J935" s="18" t="str">
        <f>IF($A935="","",IFERROR(INDEX(Map!$F$2:$F$400,MATCH($A935,Map!$A$2:$A$400,0)),"⚠ UNMAPPED"))</f>
        <v/>
      </c>
    </row>
    <row r="936" spans="7:10" x14ac:dyDescent="0.25">
      <c r="G936" s="18" t="str">
        <f>IF($A936="","",IFERROR(INDEX(Map!$C$2:$C$400,MATCH($A936,Map!$A$2:$A$400,0)),"⚠ UNMAPPED"))</f>
        <v/>
      </c>
      <c r="H936" s="18" t="str">
        <f>IF($A936="","",IFERROR(INDEX(Map!$D$2:$D$400,MATCH($A936,Map!$A$2:$A$400,0)),"⚠ UNMAPPED"))</f>
        <v/>
      </c>
      <c r="I936" s="18" t="str">
        <f>IF($A936="","",IFERROR(INDEX(Map!$E$2:$E$400,MATCH($A936,Map!$A$2:$A$400,0)),"⚠ UNMAPPED"))</f>
        <v/>
      </c>
      <c r="J936" s="18" t="str">
        <f>IF($A936="","",IFERROR(INDEX(Map!$F$2:$F$400,MATCH($A936,Map!$A$2:$A$400,0)),"⚠ UNMAPPED"))</f>
        <v/>
      </c>
    </row>
    <row r="937" spans="7:10" x14ac:dyDescent="0.25">
      <c r="G937" s="18" t="str">
        <f>IF($A937="","",IFERROR(INDEX(Map!$C$2:$C$400,MATCH($A937,Map!$A$2:$A$400,0)),"⚠ UNMAPPED"))</f>
        <v/>
      </c>
      <c r="H937" s="18" t="str">
        <f>IF($A937="","",IFERROR(INDEX(Map!$D$2:$D$400,MATCH($A937,Map!$A$2:$A$400,0)),"⚠ UNMAPPED"))</f>
        <v/>
      </c>
      <c r="I937" s="18" t="str">
        <f>IF($A937="","",IFERROR(INDEX(Map!$E$2:$E$400,MATCH($A937,Map!$A$2:$A$400,0)),"⚠ UNMAPPED"))</f>
        <v/>
      </c>
      <c r="J937" s="18" t="str">
        <f>IF($A937="","",IFERROR(INDEX(Map!$F$2:$F$400,MATCH($A937,Map!$A$2:$A$400,0)),"⚠ UNMAPPED"))</f>
        <v/>
      </c>
    </row>
    <row r="938" spans="7:10" x14ac:dyDescent="0.25">
      <c r="G938" s="18" t="str">
        <f>IF($A938="","",IFERROR(INDEX(Map!$C$2:$C$400,MATCH($A938,Map!$A$2:$A$400,0)),"⚠ UNMAPPED"))</f>
        <v/>
      </c>
      <c r="H938" s="18" t="str">
        <f>IF($A938="","",IFERROR(INDEX(Map!$D$2:$D$400,MATCH($A938,Map!$A$2:$A$400,0)),"⚠ UNMAPPED"))</f>
        <v/>
      </c>
      <c r="I938" s="18" t="str">
        <f>IF($A938="","",IFERROR(INDEX(Map!$E$2:$E$400,MATCH($A938,Map!$A$2:$A$400,0)),"⚠ UNMAPPED"))</f>
        <v/>
      </c>
      <c r="J938" s="18" t="str">
        <f>IF($A938="","",IFERROR(INDEX(Map!$F$2:$F$400,MATCH($A938,Map!$A$2:$A$400,0)),"⚠ UNMAPPED"))</f>
        <v/>
      </c>
    </row>
    <row r="939" spans="7:10" x14ac:dyDescent="0.25">
      <c r="G939" s="18" t="str">
        <f>IF($A939="","",IFERROR(INDEX(Map!$C$2:$C$400,MATCH($A939,Map!$A$2:$A$400,0)),"⚠ UNMAPPED"))</f>
        <v/>
      </c>
      <c r="H939" s="18" t="str">
        <f>IF($A939="","",IFERROR(INDEX(Map!$D$2:$D$400,MATCH($A939,Map!$A$2:$A$400,0)),"⚠ UNMAPPED"))</f>
        <v/>
      </c>
      <c r="I939" s="18" t="str">
        <f>IF($A939="","",IFERROR(INDEX(Map!$E$2:$E$400,MATCH($A939,Map!$A$2:$A$400,0)),"⚠ UNMAPPED"))</f>
        <v/>
      </c>
      <c r="J939" s="18" t="str">
        <f>IF($A939="","",IFERROR(INDEX(Map!$F$2:$F$400,MATCH($A939,Map!$A$2:$A$400,0)),"⚠ UNMAPPED"))</f>
        <v/>
      </c>
    </row>
    <row r="940" spans="7:10" x14ac:dyDescent="0.25">
      <c r="G940" s="18" t="str">
        <f>IF($A940="","",IFERROR(INDEX(Map!$C$2:$C$400,MATCH($A940,Map!$A$2:$A$400,0)),"⚠ UNMAPPED"))</f>
        <v/>
      </c>
      <c r="H940" s="18" t="str">
        <f>IF($A940="","",IFERROR(INDEX(Map!$D$2:$D$400,MATCH($A940,Map!$A$2:$A$400,0)),"⚠ UNMAPPED"))</f>
        <v/>
      </c>
      <c r="I940" s="18" t="str">
        <f>IF($A940="","",IFERROR(INDEX(Map!$E$2:$E$400,MATCH($A940,Map!$A$2:$A$400,0)),"⚠ UNMAPPED"))</f>
        <v/>
      </c>
      <c r="J940" s="18" t="str">
        <f>IF($A940="","",IFERROR(INDEX(Map!$F$2:$F$400,MATCH($A940,Map!$A$2:$A$400,0)),"⚠ UNMAPPED"))</f>
        <v/>
      </c>
    </row>
    <row r="941" spans="7:10" x14ac:dyDescent="0.25">
      <c r="G941" s="18" t="str">
        <f>IF($A941="","",IFERROR(INDEX(Map!$C$2:$C$400,MATCH($A941,Map!$A$2:$A$400,0)),"⚠ UNMAPPED"))</f>
        <v/>
      </c>
      <c r="H941" s="18" t="str">
        <f>IF($A941="","",IFERROR(INDEX(Map!$D$2:$D$400,MATCH($A941,Map!$A$2:$A$400,0)),"⚠ UNMAPPED"))</f>
        <v/>
      </c>
      <c r="I941" s="18" t="str">
        <f>IF($A941="","",IFERROR(INDEX(Map!$E$2:$E$400,MATCH($A941,Map!$A$2:$A$400,0)),"⚠ UNMAPPED"))</f>
        <v/>
      </c>
      <c r="J941" s="18" t="str">
        <f>IF($A941="","",IFERROR(INDEX(Map!$F$2:$F$400,MATCH($A941,Map!$A$2:$A$400,0)),"⚠ UNMAPPED"))</f>
        <v/>
      </c>
    </row>
    <row r="942" spans="7:10" x14ac:dyDescent="0.25">
      <c r="G942" s="18" t="str">
        <f>IF($A942="","",IFERROR(INDEX(Map!$C$2:$C$400,MATCH($A942,Map!$A$2:$A$400,0)),"⚠ UNMAPPED"))</f>
        <v/>
      </c>
      <c r="H942" s="18" t="str">
        <f>IF($A942="","",IFERROR(INDEX(Map!$D$2:$D$400,MATCH($A942,Map!$A$2:$A$400,0)),"⚠ UNMAPPED"))</f>
        <v/>
      </c>
      <c r="I942" s="18" t="str">
        <f>IF($A942="","",IFERROR(INDEX(Map!$E$2:$E$400,MATCH($A942,Map!$A$2:$A$400,0)),"⚠ UNMAPPED"))</f>
        <v/>
      </c>
      <c r="J942" s="18" t="str">
        <f>IF($A942="","",IFERROR(INDEX(Map!$F$2:$F$400,MATCH($A942,Map!$A$2:$A$400,0)),"⚠ UNMAPPED"))</f>
        <v/>
      </c>
    </row>
    <row r="943" spans="7:10" x14ac:dyDescent="0.25">
      <c r="G943" s="18" t="str">
        <f>IF($A943="","",IFERROR(INDEX(Map!$C$2:$C$400,MATCH($A943,Map!$A$2:$A$400,0)),"⚠ UNMAPPED"))</f>
        <v/>
      </c>
      <c r="H943" s="18" t="str">
        <f>IF($A943="","",IFERROR(INDEX(Map!$D$2:$D$400,MATCH($A943,Map!$A$2:$A$400,0)),"⚠ UNMAPPED"))</f>
        <v/>
      </c>
      <c r="I943" s="18" t="str">
        <f>IF($A943="","",IFERROR(INDEX(Map!$E$2:$E$400,MATCH($A943,Map!$A$2:$A$400,0)),"⚠ UNMAPPED"))</f>
        <v/>
      </c>
      <c r="J943" s="18" t="str">
        <f>IF($A943="","",IFERROR(INDEX(Map!$F$2:$F$400,MATCH($A943,Map!$A$2:$A$400,0)),"⚠ UNMAPPED"))</f>
        <v/>
      </c>
    </row>
    <row r="944" spans="7:10" x14ac:dyDescent="0.25">
      <c r="G944" s="18" t="str">
        <f>IF($A944="","",IFERROR(INDEX(Map!$C$2:$C$400,MATCH($A944,Map!$A$2:$A$400,0)),"⚠ UNMAPPED"))</f>
        <v/>
      </c>
      <c r="H944" s="18" t="str">
        <f>IF($A944="","",IFERROR(INDEX(Map!$D$2:$D$400,MATCH($A944,Map!$A$2:$A$400,0)),"⚠ UNMAPPED"))</f>
        <v/>
      </c>
      <c r="I944" s="18" t="str">
        <f>IF($A944="","",IFERROR(INDEX(Map!$E$2:$E$400,MATCH($A944,Map!$A$2:$A$400,0)),"⚠ UNMAPPED"))</f>
        <v/>
      </c>
      <c r="J944" s="18" t="str">
        <f>IF($A944="","",IFERROR(INDEX(Map!$F$2:$F$400,MATCH($A944,Map!$A$2:$A$400,0)),"⚠ UNMAPPED"))</f>
        <v/>
      </c>
    </row>
    <row r="945" spans="7:10" x14ac:dyDescent="0.25">
      <c r="G945" s="18" t="str">
        <f>IF($A945="","",IFERROR(INDEX(Map!$C$2:$C$400,MATCH($A945,Map!$A$2:$A$400,0)),"⚠ UNMAPPED"))</f>
        <v/>
      </c>
      <c r="H945" s="18" t="str">
        <f>IF($A945="","",IFERROR(INDEX(Map!$D$2:$D$400,MATCH($A945,Map!$A$2:$A$400,0)),"⚠ UNMAPPED"))</f>
        <v/>
      </c>
      <c r="I945" s="18" t="str">
        <f>IF($A945="","",IFERROR(INDEX(Map!$E$2:$E$400,MATCH($A945,Map!$A$2:$A$400,0)),"⚠ UNMAPPED"))</f>
        <v/>
      </c>
      <c r="J945" s="18" t="str">
        <f>IF($A945="","",IFERROR(INDEX(Map!$F$2:$F$400,MATCH($A945,Map!$A$2:$A$400,0)),"⚠ UNMAPPED"))</f>
        <v/>
      </c>
    </row>
    <row r="946" spans="7:10" x14ac:dyDescent="0.25">
      <c r="G946" s="18" t="str">
        <f>IF($A946="","",IFERROR(INDEX(Map!$C$2:$C$400,MATCH($A946,Map!$A$2:$A$400,0)),"⚠ UNMAPPED"))</f>
        <v/>
      </c>
      <c r="H946" s="18" t="str">
        <f>IF($A946="","",IFERROR(INDEX(Map!$D$2:$D$400,MATCH($A946,Map!$A$2:$A$400,0)),"⚠ UNMAPPED"))</f>
        <v/>
      </c>
      <c r="I946" s="18" t="str">
        <f>IF($A946="","",IFERROR(INDEX(Map!$E$2:$E$400,MATCH($A946,Map!$A$2:$A$400,0)),"⚠ UNMAPPED"))</f>
        <v/>
      </c>
      <c r="J946" s="18" t="str">
        <f>IF($A946="","",IFERROR(INDEX(Map!$F$2:$F$400,MATCH($A946,Map!$A$2:$A$400,0)),"⚠ UNMAPPED"))</f>
        <v/>
      </c>
    </row>
    <row r="947" spans="7:10" x14ac:dyDescent="0.25">
      <c r="G947" s="18" t="str">
        <f>IF($A947="","",IFERROR(INDEX(Map!$C$2:$C$400,MATCH($A947,Map!$A$2:$A$400,0)),"⚠ UNMAPPED"))</f>
        <v/>
      </c>
      <c r="H947" s="18" t="str">
        <f>IF($A947="","",IFERROR(INDEX(Map!$D$2:$D$400,MATCH($A947,Map!$A$2:$A$400,0)),"⚠ UNMAPPED"))</f>
        <v/>
      </c>
      <c r="I947" s="18" t="str">
        <f>IF($A947="","",IFERROR(INDEX(Map!$E$2:$E$400,MATCH($A947,Map!$A$2:$A$400,0)),"⚠ UNMAPPED"))</f>
        <v/>
      </c>
      <c r="J947" s="18" t="str">
        <f>IF($A947="","",IFERROR(INDEX(Map!$F$2:$F$400,MATCH($A947,Map!$A$2:$A$400,0)),"⚠ UNMAPPED"))</f>
        <v/>
      </c>
    </row>
    <row r="948" spans="7:10" x14ac:dyDescent="0.25">
      <c r="G948" s="18" t="str">
        <f>IF($A948="","",IFERROR(INDEX(Map!$C$2:$C$400,MATCH($A948,Map!$A$2:$A$400,0)),"⚠ UNMAPPED"))</f>
        <v/>
      </c>
      <c r="H948" s="18" t="str">
        <f>IF($A948="","",IFERROR(INDEX(Map!$D$2:$D$400,MATCH($A948,Map!$A$2:$A$400,0)),"⚠ UNMAPPED"))</f>
        <v/>
      </c>
      <c r="I948" s="18" t="str">
        <f>IF($A948="","",IFERROR(INDEX(Map!$E$2:$E$400,MATCH($A948,Map!$A$2:$A$400,0)),"⚠ UNMAPPED"))</f>
        <v/>
      </c>
      <c r="J948" s="18" t="str">
        <f>IF($A948="","",IFERROR(INDEX(Map!$F$2:$F$400,MATCH($A948,Map!$A$2:$A$400,0)),"⚠ UNMAPPED"))</f>
        <v/>
      </c>
    </row>
    <row r="949" spans="7:10" x14ac:dyDescent="0.25">
      <c r="G949" s="18" t="str">
        <f>IF($A949="","",IFERROR(INDEX(Map!$C$2:$C$400,MATCH($A949,Map!$A$2:$A$400,0)),"⚠ UNMAPPED"))</f>
        <v/>
      </c>
      <c r="H949" s="18" t="str">
        <f>IF($A949="","",IFERROR(INDEX(Map!$D$2:$D$400,MATCH($A949,Map!$A$2:$A$400,0)),"⚠ UNMAPPED"))</f>
        <v/>
      </c>
      <c r="I949" s="18" t="str">
        <f>IF($A949="","",IFERROR(INDEX(Map!$E$2:$E$400,MATCH($A949,Map!$A$2:$A$400,0)),"⚠ UNMAPPED"))</f>
        <v/>
      </c>
      <c r="J949" s="18" t="str">
        <f>IF($A949="","",IFERROR(INDEX(Map!$F$2:$F$400,MATCH($A949,Map!$A$2:$A$400,0)),"⚠ UNMAPPED"))</f>
        <v/>
      </c>
    </row>
    <row r="950" spans="7:10" x14ac:dyDescent="0.25">
      <c r="G950" s="18" t="str">
        <f>IF($A950="","",IFERROR(INDEX(Map!$C$2:$C$400,MATCH($A950,Map!$A$2:$A$400,0)),"⚠ UNMAPPED"))</f>
        <v/>
      </c>
      <c r="H950" s="18" t="str">
        <f>IF($A950="","",IFERROR(INDEX(Map!$D$2:$D$400,MATCH($A950,Map!$A$2:$A$400,0)),"⚠ UNMAPPED"))</f>
        <v/>
      </c>
      <c r="I950" s="18" t="str">
        <f>IF($A950="","",IFERROR(INDEX(Map!$E$2:$E$400,MATCH($A950,Map!$A$2:$A$400,0)),"⚠ UNMAPPED"))</f>
        <v/>
      </c>
      <c r="J950" s="18" t="str">
        <f>IF($A950="","",IFERROR(INDEX(Map!$F$2:$F$400,MATCH($A950,Map!$A$2:$A$400,0)),"⚠ UNMAPPED"))</f>
        <v/>
      </c>
    </row>
    <row r="951" spans="7:10" x14ac:dyDescent="0.25">
      <c r="G951" s="18" t="str">
        <f>IF($A951="","",IFERROR(INDEX(Map!$C$2:$C$400,MATCH($A951,Map!$A$2:$A$400,0)),"⚠ UNMAPPED"))</f>
        <v/>
      </c>
      <c r="H951" s="18" t="str">
        <f>IF($A951="","",IFERROR(INDEX(Map!$D$2:$D$400,MATCH($A951,Map!$A$2:$A$400,0)),"⚠ UNMAPPED"))</f>
        <v/>
      </c>
      <c r="I951" s="18" t="str">
        <f>IF($A951="","",IFERROR(INDEX(Map!$E$2:$E$400,MATCH($A951,Map!$A$2:$A$400,0)),"⚠ UNMAPPED"))</f>
        <v/>
      </c>
      <c r="J951" s="18" t="str">
        <f>IF($A951="","",IFERROR(INDEX(Map!$F$2:$F$400,MATCH($A951,Map!$A$2:$A$400,0)),"⚠ UNMAPPED"))</f>
        <v/>
      </c>
    </row>
    <row r="952" spans="7:10" x14ac:dyDescent="0.25">
      <c r="G952" s="18" t="str">
        <f>IF($A952="","",IFERROR(INDEX(Map!$C$2:$C$400,MATCH($A952,Map!$A$2:$A$400,0)),"⚠ UNMAPPED"))</f>
        <v/>
      </c>
      <c r="H952" s="18" t="str">
        <f>IF($A952="","",IFERROR(INDEX(Map!$D$2:$D$400,MATCH($A952,Map!$A$2:$A$400,0)),"⚠ UNMAPPED"))</f>
        <v/>
      </c>
      <c r="I952" s="18" t="str">
        <f>IF($A952="","",IFERROR(INDEX(Map!$E$2:$E$400,MATCH($A952,Map!$A$2:$A$400,0)),"⚠ UNMAPPED"))</f>
        <v/>
      </c>
      <c r="J952" s="18" t="str">
        <f>IF($A952="","",IFERROR(INDEX(Map!$F$2:$F$400,MATCH($A952,Map!$A$2:$A$400,0)),"⚠ UNMAPPED"))</f>
        <v/>
      </c>
    </row>
    <row r="953" spans="7:10" x14ac:dyDescent="0.25">
      <c r="G953" s="18" t="str">
        <f>IF($A953="","",IFERROR(INDEX(Map!$C$2:$C$400,MATCH($A953,Map!$A$2:$A$400,0)),"⚠ UNMAPPED"))</f>
        <v/>
      </c>
      <c r="H953" s="18" t="str">
        <f>IF($A953="","",IFERROR(INDEX(Map!$D$2:$D$400,MATCH($A953,Map!$A$2:$A$400,0)),"⚠ UNMAPPED"))</f>
        <v/>
      </c>
      <c r="I953" s="18" t="str">
        <f>IF($A953="","",IFERROR(INDEX(Map!$E$2:$E$400,MATCH($A953,Map!$A$2:$A$400,0)),"⚠ UNMAPPED"))</f>
        <v/>
      </c>
      <c r="J953" s="18" t="str">
        <f>IF($A953="","",IFERROR(INDEX(Map!$F$2:$F$400,MATCH($A953,Map!$A$2:$A$400,0)),"⚠ UNMAPPED"))</f>
        <v/>
      </c>
    </row>
    <row r="954" spans="7:10" x14ac:dyDescent="0.25">
      <c r="G954" s="18" t="str">
        <f>IF($A954="","",IFERROR(INDEX(Map!$C$2:$C$400,MATCH($A954,Map!$A$2:$A$400,0)),"⚠ UNMAPPED"))</f>
        <v/>
      </c>
      <c r="H954" s="18" t="str">
        <f>IF($A954="","",IFERROR(INDEX(Map!$D$2:$D$400,MATCH($A954,Map!$A$2:$A$400,0)),"⚠ UNMAPPED"))</f>
        <v/>
      </c>
      <c r="I954" s="18" t="str">
        <f>IF($A954="","",IFERROR(INDEX(Map!$E$2:$E$400,MATCH($A954,Map!$A$2:$A$400,0)),"⚠ UNMAPPED"))</f>
        <v/>
      </c>
      <c r="J954" s="18" t="str">
        <f>IF($A954="","",IFERROR(INDEX(Map!$F$2:$F$400,MATCH($A954,Map!$A$2:$A$400,0)),"⚠ UNMAPPED"))</f>
        <v/>
      </c>
    </row>
    <row r="955" spans="7:10" x14ac:dyDescent="0.25">
      <c r="G955" s="18" t="str">
        <f>IF($A955="","",IFERROR(INDEX(Map!$C$2:$C$400,MATCH($A955,Map!$A$2:$A$400,0)),"⚠ UNMAPPED"))</f>
        <v/>
      </c>
      <c r="H955" s="18" t="str">
        <f>IF($A955="","",IFERROR(INDEX(Map!$D$2:$D$400,MATCH($A955,Map!$A$2:$A$400,0)),"⚠ UNMAPPED"))</f>
        <v/>
      </c>
      <c r="I955" s="18" t="str">
        <f>IF($A955="","",IFERROR(INDEX(Map!$E$2:$E$400,MATCH($A955,Map!$A$2:$A$400,0)),"⚠ UNMAPPED"))</f>
        <v/>
      </c>
      <c r="J955" s="18" t="str">
        <f>IF($A955="","",IFERROR(INDEX(Map!$F$2:$F$400,MATCH($A955,Map!$A$2:$A$400,0)),"⚠ UNMAPPED"))</f>
        <v/>
      </c>
    </row>
    <row r="956" spans="7:10" x14ac:dyDescent="0.25">
      <c r="G956" s="18" t="str">
        <f>IF($A956="","",IFERROR(INDEX(Map!$C$2:$C$400,MATCH($A956,Map!$A$2:$A$400,0)),"⚠ UNMAPPED"))</f>
        <v/>
      </c>
      <c r="H956" s="18" t="str">
        <f>IF($A956="","",IFERROR(INDEX(Map!$D$2:$D$400,MATCH($A956,Map!$A$2:$A$400,0)),"⚠ UNMAPPED"))</f>
        <v/>
      </c>
      <c r="I956" s="18" t="str">
        <f>IF($A956="","",IFERROR(INDEX(Map!$E$2:$E$400,MATCH($A956,Map!$A$2:$A$400,0)),"⚠ UNMAPPED"))</f>
        <v/>
      </c>
      <c r="J956" s="18" t="str">
        <f>IF($A956="","",IFERROR(INDEX(Map!$F$2:$F$400,MATCH($A956,Map!$A$2:$A$400,0)),"⚠ UNMAPPED"))</f>
        <v/>
      </c>
    </row>
    <row r="957" spans="7:10" x14ac:dyDescent="0.25">
      <c r="G957" s="18" t="str">
        <f>IF($A957="","",IFERROR(INDEX(Map!$C$2:$C$400,MATCH($A957,Map!$A$2:$A$400,0)),"⚠ UNMAPPED"))</f>
        <v/>
      </c>
      <c r="H957" s="18" t="str">
        <f>IF($A957="","",IFERROR(INDEX(Map!$D$2:$D$400,MATCH($A957,Map!$A$2:$A$400,0)),"⚠ UNMAPPED"))</f>
        <v/>
      </c>
      <c r="I957" s="18" t="str">
        <f>IF($A957="","",IFERROR(INDEX(Map!$E$2:$E$400,MATCH($A957,Map!$A$2:$A$400,0)),"⚠ UNMAPPED"))</f>
        <v/>
      </c>
      <c r="J957" s="18" t="str">
        <f>IF($A957="","",IFERROR(INDEX(Map!$F$2:$F$400,MATCH($A957,Map!$A$2:$A$400,0)),"⚠ UNMAPPED"))</f>
        <v/>
      </c>
    </row>
    <row r="958" spans="7:10" x14ac:dyDescent="0.25">
      <c r="G958" s="18" t="str">
        <f>IF($A958="","",IFERROR(INDEX(Map!$C$2:$C$400,MATCH($A958,Map!$A$2:$A$400,0)),"⚠ UNMAPPED"))</f>
        <v/>
      </c>
      <c r="H958" s="18" t="str">
        <f>IF($A958="","",IFERROR(INDEX(Map!$D$2:$D$400,MATCH($A958,Map!$A$2:$A$400,0)),"⚠ UNMAPPED"))</f>
        <v/>
      </c>
      <c r="I958" s="18" t="str">
        <f>IF($A958="","",IFERROR(INDEX(Map!$E$2:$E$400,MATCH($A958,Map!$A$2:$A$400,0)),"⚠ UNMAPPED"))</f>
        <v/>
      </c>
      <c r="J958" s="18" t="str">
        <f>IF($A958="","",IFERROR(INDEX(Map!$F$2:$F$400,MATCH($A958,Map!$A$2:$A$400,0)),"⚠ UNMAPPED"))</f>
        <v/>
      </c>
    </row>
    <row r="959" spans="7:10" x14ac:dyDescent="0.25">
      <c r="G959" s="18" t="str">
        <f>IF($A959="","",IFERROR(INDEX(Map!$C$2:$C$400,MATCH($A959,Map!$A$2:$A$400,0)),"⚠ UNMAPPED"))</f>
        <v/>
      </c>
      <c r="H959" s="18" t="str">
        <f>IF($A959="","",IFERROR(INDEX(Map!$D$2:$D$400,MATCH($A959,Map!$A$2:$A$400,0)),"⚠ UNMAPPED"))</f>
        <v/>
      </c>
      <c r="I959" s="18" t="str">
        <f>IF($A959="","",IFERROR(INDEX(Map!$E$2:$E$400,MATCH($A959,Map!$A$2:$A$400,0)),"⚠ UNMAPPED"))</f>
        <v/>
      </c>
      <c r="J959" s="18" t="str">
        <f>IF($A959="","",IFERROR(INDEX(Map!$F$2:$F$400,MATCH($A959,Map!$A$2:$A$400,0)),"⚠ UNMAPPED"))</f>
        <v/>
      </c>
    </row>
    <row r="960" spans="7:10" x14ac:dyDescent="0.25">
      <c r="G960" s="18" t="str">
        <f>IF($A960="","",IFERROR(INDEX(Map!$C$2:$C$400,MATCH($A960,Map!$A$2:$A$400,0)),"⚠ UNMAPPED"))</f>
        <v/>
      </c>
      <c r="H960" s="18" t="str">
        <f>IF($A960="","",IFERROR(INDEX(Map!$D$2:$D$400,MATCH($A960,Map!$A$2:$A$400,0)),"⚠ UNMAPPED"))</f>
        <v/>
      </c>
      <c r="I960" s="18" t="str">
        <f>IF($A960="","",IFERROR(INDEX(Map!$E$2:$E$400,MATCH($A960,Map!$A$2:$A$400,0)),"⚠ UNMAPPED"))</f>
        <v/>
      </c>
      <c r="J960" s="18" t="str">
        <f>IF($A960="","",IFERROR(INDEX(Map!$F$2:$F$400,MATCH($A960,Map!$A$2:$A$400,0)),"⚠ UNMAPPED"))</f>
        <v/>
      </c>
    </row>
    <row r="961" spans="7:10" x14ac:dyDescent="0.25">
      <c r="G961" s="18" t="str">
        <f>IF($A961="","",IFERROR(INDEX(Map!$C$2:$C$400,MATCH($A961,Map!$A$2:$A$400,0)),"⚠ UNMAPPED"))</f>
        <v/>
      </c>
      <c r="H961" s="18" t="str">
        <f>IF($A961="","",IFERROR(INDEX(Map!$D$2:$D$400,MATCH($A961,Map!$A$2:$A$400,0)),"⚠ UNMAPPED"))</f>
        <v/>
      </c>
      <c r="I961" s="18" t="str">
        <f>IF($A961="","",IFERROR(INDEX(Map!$E$2:$E$400,MATCH($A961,Map!$A$2:$A$400,0)),"⚠ UNMAPPED"))</f>
        <v/>
      </c>
      <c r="J961" s="18" t="str">
        <f>IF($A961="","",IFERROR(INDEX(Map!$F$2:$F$400,MATCH($A961,Map!$A$2:$A$400,0)),"⚠ UNMAPPED"))</f>
        <v/>
      </c>
    </row>
    <row r="962" spans="7:10" x14ac:dyDescent="0.25">
      <c r="G962" s="18" t="str">
        <f>IF($A962="","",IFERROR(INDEX(Map!$C$2:$C$400,MATCH($A962,Map!$A$2:$A$400,0)),"⚠ UNMAPPED"))</f>
        <v/>
      </c>
      <c r="H962" s="18" t="str">
        <f>IF($A962="","",IFERROR(INDEX(Map!$D$2:$D$400,MATCH($A962,Map!$A$2:$A$400,0)),"⚠ UNMAPPED"))</f>
        <v/>
      </c>
      <c r="I962" s="18" t="str">
        <f>IF($A962="","",IFERROR(INDEX(Map!$E$2:$E$400,MATCH($A962,Map!$A$2:$A$400,0)),"⚠ UNMAPPED"))</f>
        <v/>
      </c>
      <c r="J962" s="18" t="str">
        <f>IF($A962="","",IFERROR(INDEX(Map!$F$2:$F$400,MATCH($A962,Map!$A$2:$A$400,0)),"⚠ UNMAPPED"))</f>
        <v/>
      </c>
    </row>
    <row r="963" spans="7:10" x14ac:dyDescent="0.25">
      <c r="G963" s="18" t="str">
        <f>IF($A963="","",IFERROR(INDEX(Map!$C$2:$C$400,MATCH($A963,Map!$A$2:$A$400,0)),"⚠ UNMAPPED"))</f>
        <v/>
      </c>
      <c r="H963" s="18" t="str">
        <f>IF($A963="","",IFERROR(INDEX(Map!$D$2:$D$400,MATCH($A963,Map!$A$2:$A$400,0)),"⚠ UNMAPPED"))</f>
        <v/>
      </c>
      <c r="I963" s="18" t="str">
        <f>IF($A963="","",IFERROR(INDEX(Map!$E$2:$E$400,MATCH($A963,Map!$A$2:$A$400,0)),"⚠ UNMAPPED"))</f>
        <v/>
      </c>
      <c r="J963" s="18" t="str">
        <f>IF($A963="","",IFERROR(INDEX(Map!$F$2:$F$400,MATCH($A963,Map!$A$2:$A$400,0)),"⚠ UNMAPPED"))</f>
        <v/>
      </c>
    </row>
    <row r="964" spans="7:10" x14ac:dyDescent="0.25">
      <c r="G964" s="18" t="str">
        <f>IF($A964="","",IFERROR(INDEX(Map!$C$2:$C$400,MATCH($A964,Map!$A$2:$A$400,0)),"⚠ UNMAPPED"))</f>
        <v/>
      </c>
      <c r="H964" s="18" t="str">
        <f>IF($A964="","",IFERROR(INDEX(Map!$D$2:$D$400,MATCH($A964,Map!$A$2:$A$400,0)),"⚠ UNMAPPED"))</f>
        <v/>
      </c>
      <c r="I964" s="18" t="str">
        <f>IF($A964="","",IFERROR(INDEX(Map!$E$2:$E$400,MATCH($A964,Map!$A$2:$A$400,0)),"⚠ UNMAPPED"))</f>
        <v/>
      </c>
      <c r="J964" s="18" t="str">
        <f>IF($A964="","",IFERROR(INDEX(Map!$F$2:$F$400,MATCH($A964,Map!$A$2:$A$400,0)),"⚠ UNMAPPED"))</f>
        <v/>
      </c>
    </row>
    <row r="965" spans="7:10" x14ac:dyDescent="0.25">
      <c r="G965" s="18" t="str">
        <f>IF($A965="","",IFERROR(INDEX(Map!$C$2:$C$400,MATCH($A965,Map!$A$2:$A$400,0)),"⚠ UNMAPPED"))</f>
        <v/>
      </c>
      <c r="H965" s="18" t="str">
        <f>IF($A965="","",IFERROR(INDEX(Map!$D$2:$D$400,MATCH($A965,Map!$A$2:$A$400,0)),"⚠ UNMAPPED"))</f>
        <v/>
      </c>
      <c r="I965" s="18" t="str">
        <f>IF($A965="","",IFERROR(INDEX(Map!$E$2:$E$400,MATCH($A965,Map!$A$2:$A$400,0)),"⚠ UNMAPPED"))</f>
        <v/>
      </c>
      <c r="J965" s="18" t="str">
        <f>IF($A965="","",IFERROR(INDEX(Map!$F$2:$F$400,MATCH($A965,Map!$A$2:$A$400,0)),"⚠ UNMAPPED"))</f>
        <v/>
      </c>
    </row>
    <row r="966" spans="7:10" x14ac:dyDescent="0.25">
      <c r="G966" s="18" t="str">
        <f>IF($A966="","",IFERROR(INDEX(Map!$C$2:$C$400,MATCH($A966,Map!$A$2:$A$400,0)),"⚠ UNMAPPED"))</f>
        <v/>
      </c>
      <c r="H966" s="18" t="str">
        <f>IF($A966="","",IFERROR(INDEX(Map!$D$2:$D$400,MATCH($A966,Map!$A$2:$A$400,0)),"⚠ UNMAPPED"))</f>
        <v/>
      </c>
      <c r="I966" s="18" t="str">
        <f>IF($A966="","",IFERROR(INDEX(Map!$E$2:$E$400,MATCH($A966,Map!$A$2:$A$400,0)),"⚠ UNMAPPED"))</f>
        <v/>
      </c>
      <c r="J966" s="18" t="str">
        <f>IF($A966="","",IFERROR(INDEX(Map!$F$2:$F$400,MATCH($A966,Map!$A$2:$A$400,0)),"⚠ UNMAPPED"))</f>
        <v/>
      </c>
    </row>
    <row r="967" spans="7:10" x14ac:dyDescent="0.25">
      <c r="G967" s="18" t="str">
        <f>IF($A967="","",IFERROR(INDEX(Map!$C$2:$C$400,MATCH($A967,Map!$A$2:$A$400,0)),"⚠ UNMAPPED"))</f>
        <v/>
      </c>
      <c r="H967" s="18" t="str">
        <f>IF($A967="","",IFERROR(INDEX(Map!$D$2:$D$400,MATCH($A967,Map!$A$2:$A$400,0)),"⚠ UNMAPPED"))</f>
        <v/>
      </c>
      <c r="I967" s="18" t="str">
        <f>IF($A967="","",IFERROR(INDEX(Map!$E$2:$E$400,MATCH($A967,Map!$A$2:$A$400,0)),"⚠ UNMAPPED"))</f>
        <v/>
      </c>
      <c r="J967" s="18" t="str">
        <f>IF($A967="","",IFERROR(INDEX(Map!$F$2:$F$400,MATCH($A967,Map!$A$2:$A$400,0)),"⚠ UNMAPPED"))</f>
        <v/>
      </c>
    </row>
    <row r="968" spans="7:10" x14ac:dyDescent="0.25">
      <c r="G968" s="18" t="str">
        <f>IF($A968="","",IFERROR(INDEX(Map!$C$2:$C$400,MATCH($A968,Map!$A$2:$A$400,0)),"⚠ UNMAPPED"))</f>
        <v/>
      </c>
      <c r="H968" s="18" t="str">
        <f>IF($A968="","",IFERROR(INDEX(Map!$D$2:$D$400,MATCH($A968,Map!$A$2:$A$400,0)),"⚠ UNMAPPED"))</f>
        <v/>
      </c>
      <c r="I968" s="18" t="str">
        <f>IF($A968="","",IFERROR(INDEX(Map!$E$2:$E$400,MATCH($A968,Map!$A$2:$A$400,0)),"⚠ UNMAPPED"))</f>
        <v/>
      </c>
      <c r="J968" s="18" t="str">
        <f>IF($A968="","",IFERROR(INDEX(Map!$F$2:$F$400,MATCH($A968,Map!$A$2:$A$400,0)),"⚠ UNMAPPED"))</f>
        <v/>
      </c>
    </row>
    <row r="969" spans="7:10" x14ac:dyDescent="0.25">
      <c r="G969" s="18" t="str">
        <f>IF($A969="","",IFERROR(INDEX(Map!$C$2:$C$400,MATCH($A969,Map!$A$2:$A$400,0)),"⚠ UNMAPPED"))</f>
        <v/>
      </c>
      <c r="H969" s="18" t="str">
        <f>IF($A969="","",IFERROR(INDEX(Map!$D$2:$D$400,MATCH($A969,Map!$A$2:$A$400,0)),"⚠ UNMAPPED"))</f>
        <v/>
      </c>
      <c r="I969" s="18" t="str">
        <f>IF($A969="","",IFERROR(INDEX(Map!$E$2:$E$400,MATCH($A969,Map!$A$2:$A$400,0)),"⚠ UNMAPPED"))</f>
        <v/>
      </c>
      <c r="J969" s="18" t="str">
        <f>IF($A969="","",IFERROR(INDEX(Map!$F$2:$F$400,MATCH($A969,Map!$A$2:$A$400,0)),"⚠ UNMAPPED"))</f>
        <v/>
      </c>
    </row>
    <row r="970" spans="7:10" x14ac:dyDescent="0.25">
      <c r="G970" s="18" t="str">
        <f>IF($A970="","",IFERROR(INDEX(Map!$C$2:$C$400,MATCH($A970,Map!$A$2:$A$400,0)),"⚠ UNMAPPED"))</f>
        <v/>
      </c>
      <c r="H970" s="18" t="str">
        <f>IF($A970="","",IFERROR(INDEX(Map!$D$2:$D$400,MATCH($A970,Map!$A$2:$A$400,0)),"⚠ UNMAPPED"))</f>
        <v/>
      </c>
      <c r="I970" s="18" t="str">
        <f>IF($A970="","",IFERROR(INDEX(Map!$E$2:$E$400,MATCH($A970,Map!$A$2:$A$400,0)),"⚠ UNMAPPED"))</f>
        <v/>
      </c>
      <c r="J970" s="18" t="str">
        <f>IF($A970="","",IFERROR(INDEX(Map!$F$2:$F$400,MATCH($A970,Map!$A$2:$A$400,0)),"⚠ UNMAPPED"))</f>
        <v/>
      </c>
    </row>
    <row r="971" spans="7:10" x14ac:dyDescent="0.25">
      <c r="G971" s="18" t="str">
        <f>IF($A971="","",IFERROR(INDEX(Map!$C$2:$C$400,MATCH($A971,Map!$A$2:$A$400,0)),"⚠ UNMAPPED"))</f>
        <v/>
      </c>
      <c r="H971" s="18" t="str">
        <f>IF($A971="","",IFERROR(INDEX(Map!$D$2:$D$400,MATCH($A971,Map!$A$2:$A$400,0)),"⚠ UNMAPPED"))</f>
        <v/>
      </c>
      <c r="I971" s="18" t="str">
        <f>IF($A971="","",IFERROR(INDEX(Map!$E$2:$E$400,MATCH($A971,Map!$A$2:$A$400,0)),"⚠ UNMAPPED"))</f>
        <v/>
      </c>
      <c r="J971" s="18" t="str">
        <f>IF($A971="","",IFERROR(INDEX(Map!$F$2:$F$400,MATCH($A971,Map!$A$2:$A$400,0)),"⚠ UNMAPPED"))</f>
        <v/>
      </c>
    </row>
    <row r="972" spans="7:10" x14ac:dyDescent="0.25">
      <c r="G972" s="18" t="str">
        <f>IF($A972="","",IFERROR(INDEX(Map!$C$2:$C$400,MATCH($A972,Map!$A$2:$A$400,0)),"⚠ UNMAPPED"))</f>
        <v/>
      </c>
      <c r="H972" s="18" t="str">
        <f>IF($A972="","",IFERROR(INDEX(Map!$D$2:$D$400,MATCH($A972,Map!$A$2:$A$400,0)),"⚠ UNMAPPED"))</f>
        <v/>
      </c>
      <c r="I972" s="18" t="str">
        <f>IF($A972="","",IFERROR(INDEX(Map!$E$2:$E$400,MATCH($A972,Map!$A$2:$A$400,0)),"⚠ UNMAPPED"))</f>
        <v/>
      </c>
      <c r="J972" s="18" t="str">
        <f>IF($A972="","",IFERROR(INDEX(Map!$F$2:$F$400,MATCH($A972,Map!$A$2:$A$400,0)),"⚠ UNMAPPED"))</f>
        <v/>
      </c>
    </row>
    <row r="973" spans="7:10" x14ac:dyDescent="0.25">
      <c r="G973" s="18" t="str">
        <f>IF($A973="","",IFERROR(INDEX(Map!$C$2:$C$400,MATCH($A973,Map!$A$2:$A$400,0)),"⚠ UNMAPPED"))</f>
        <v/>
      </c>
      <c r="H973" s="18" t="str">
        <f>IF($A973="","",IFERROR(INDEX(Map!$D$2:$D$400,MATCH($A973,Map!$A$2:$A$400,0)),"⚠ UNMAPPED"))</f>
        <v/>
      </c>
      <c r="I973" s="18" t="str">
        <f>IF($A973="","",IFERROR(INDEX(Map!$E$2:$E$400,MATCH($A973,Map!$A$2:$A$400,0)),"⚠ UNMAPPED"))</f>
        <v/>
      </c>
      <c r="J973" s="18" t="str">
        <f>IF($A973="","",IFERROR(INDEX(Map!$F$2:$F$400,MATCH($A973,Map!$A$2:$A$400,0)),"⚠ UNMAPPED"))</f>
        <v/>
      </c>
    </row>
    <row r="974" spans="7:10" x14ac:dyDescent="0.25">
      <c r="G974" s="18" t="str">
        <f>IF($A974="","",IFERROR(INDEX(Map!$C$2:$C$400,MATCH($A974,Map!$A$2:$A$400,0)),"⚠ UNMAPPED"))</f>
        <v/>
      </c>
      <c r="H974" s="18" t="str">
        <f>IF($A974="","",IFERROR(INDEX(Map!$D$2:$D$400,MATCH($A974,Map!$A$2:$A$400,0)),"⚠ UNMAPPED"))</f>
        <v/>
      </c>
      <c r="I974" s="18" t="str">
        <f>IF($A974="","",IFERROR(INDEX(Map!$E$2:$E$400,MATCH($A974,Map!$A$2:$A$400,0)),"⚠ UNMAPPED"))</f>
        <v/>
      </c>
      <c r="J974" s="18" t="str">
        <f>IF($A974="","",IFERROR(INDEX(Map!$F$2:$F$400,MATCH($A974,Map!$A$2:$A$400,0)),"⚠ UNMAPPED"))</f>
        <v/>
      </c>
    </row>
    <row r="975" spans="7:10" x14ac:dyDescent="0.25">
      <c r="G975" s="18" t="str">
        <f>IF($A975="","",IFERROR(INDEX(Map!$C$2:$C$400,MATCH($A975,Map!$A$2:$A$400,0)),"⚠ UNMAPPED"))</f>
        <v/>
      </c>
      <c r="H975" s="18" t="str">
        <f>IF($A975="","",IFERROR(INDEX(Map!$D$2:$D$400,MATCH($A975,Map!$A$2:$A$400,0)),"⚠ UNMAPPED"))</f>
        <v/>
      </c>
      <c r="I975" s="18" t="str">
        <f>IF($A975="","",IFERROR(INDEX(Map!$E$2:$E$400,MATCH($A975,Map!$A$2:$A$400,0)),"⚠ UNMAPPED"))</f>
        <v/>
      </c>
      <c r="J975" s="18" t="str">
        <f>IF($A975="","",IFERROR(INDEX(Map!$F$2:$F$400,MATCH($A975,Map!$A$2:$A$400,0)),"⚠ UNMAPPED"))</f>
        <v/>
      </c>
    </row>
    <row r="976" spans="7:10" x14ac:dyDescent="0.25">
      <c r="G976" s="18" t="str">
        <f>IF($A976="","",IFERROR(INDEX(Map!$C$2:$C$400,MATCH($A976,Map!$A$2:$A$400,0)),"⚠ UNMAPPED"))</f>
        <v/>
      </c>
      <c r="H976" s="18" t="str">
        <f>IF($A976="","",IFERROR(INDEX(Map!$D$2:$D$400,MATCH($A976,Map!$A$2:$A$400,0)),"⚠ UNMAPPED"))</f>
        <v/>
      </c>
      <c r="I976" s="18" t="str">
        <f>IF($A976="","",IFERROR(INDEX(Map!$E$2:$E$400,MATCH($A976,Map!$A$2:$A$400,0)),"⚠ UNMAPPED"))</f>
        <v/>
      </c>
      <c r="J976" s="18" t="str">
        <f>IF($A976="","",IFERROR(INDEX(Map!$F$2:$F$400,MATCH($A976,Map!$A$2:$A$400,0)),"⚠ UNMAPPED"))</f>
        <v/>
      </c>
    </row>
    <row r="977" spans="7:10" x14ac:dyDescent="0.25">
      <c r="G977" s="18" t="str">
        <f>IF($A977="","",IFERROR(INDEX(Map!$C$2:$C$400,MATCH($A977,Map!$A$2:$A$400,0)),"⚠ UNMAPPED"))</f>
        <v/>
      </c>
      <c r="H977" s="18" t="str">
        <f>IF($A977="","",IFERROR(INDEX(Map!$D$2:$D$400,MATCH($A977,Map!$A$2:$A$400,0)),"⚠ UNMAPPED"))</f>
        <v/>
      </c>
      <c r="I977" s="18" t="str">
        <f>IF($A977="","",IFERROR(INDEX(Map!$E$2:$E$400,MATCH($A977,Map!$A$2:$A$400,0)),"⚠ UNMAPPED"))</f>
        <v/>
      </c>
      <c r="J977" s="18" t="str">
        <f>IF($A977="","",IFERROR(INDEX(Map!$F$2:$F$400,MATCH($A977,Map!$A$2:$A$400,0)),"⚠ UNMAPPED"))</f>
        <v/>
      </c>
    </row>
    <row r="978" spans="7:10" x14ac:dyDescent="0.25">
      <c r="G978" s="18" t="str">
        <f>IF($A978="","",IFERROR(INDEX(Map!$C$2:$C$400,MATCH($A978,Map!$A$2:$A$400,0)),"⚠ UNMAPPED"))</f>
        <v/>
      </c>
      <c r="H978" s="18" t="str">
        <f>IF($A978="","",IFERROR(INDEX(Map!$D$2:$D$400,MATCH($A978,Map!$A$2:$A$400,0)),"⚠ UNMAPPED"))</f>
        <v/>
      </c>
      <c r="I978" s="18" t="str">
        <f>IF($A978="","",IFERROR(INDEX(Map!$E$2:$E$400,MATCH($A978,Map!$A$2:$A$400,0)),"⚠ UNMAPPED"))</f>
        <v/>
      </c>
      <c r="J978" s="18" t="str">
        <f>IF($A978="","",IFERROR(INDEX(Map!$F$2:$F$400,MATCH($A978,Map!$A$2:$A$400,0)),"⚠ UNMAPPED"))</f>
        <v/>
      </c>
    </row>
    <row r="979" spans="7:10" x14ac:dyDescent="0.25">
      <c r="G979" s="18" t="str">
        <f>IF($A979="","",IFERROR(INDEX(Map!$C$2:$C$400,MATCH($A979,Map!$A$2:$A$400,0)),"⚠ UNMAPPED"))</f>
        <v/>
      </c>
      <c r="H979" s="18" t="str">
        <f>IF($A979="","",IFERROR(INDEX(Map!$D$2:$D$400,MATCH($A979,Map!$A$2:$A$400,0)),"⚠ UNMAPPED"))</f>
        <v/>
      </c>
      <c r="I979" s="18" t="str">
        <f>IF($A979="","",IFERROR(INDEX(Map!$E$2:$E$400,MATCH($A979,Map!$A$2:$A$400,0)),"⚠ UNMAPPED"))</f>
        <v/>
      </c>
      <c r="J979" s="18" t="str">
        <f>IF($A979="","",IFERROR(INDEX(Map!$F$2:$F$400,MATCH($A979,Map!$A$2:$A$400,0)),"⚠ UNMAPPED"))</f>
        <v/>
      </c>
    </row>
    <row r="980" spans="7:10" x14ac:dyDescent="0.25">
      <c r="G980" s="18" t="str">
        <f>IF($A980="","",IFERROR(INDEX(Map!$C$2:$C$400,MATCH($A980,Map!$A$2:$A$400,0)),"⚠ UNMAPPED"))</f>
        <v/>
      </c>
      <c r="H980" s="18" t="str">
        <f>IF($A980="","",IFERROR(INDEX(Map!$D$2:$D$400,MATCH($A980,Map!$A$2:$A$400,0)),"⚠ UNMAPPED"))</f>
        <v/>
      </c>
      <c r="I980" s="18" t="str">
        <f>IF($A980="","",IFERROR(INDEX(Map!$E$2:$E$400,MATCH($A980,Map!$A$2:$A$400,0)),"⚠ UNMAPPED"))</f>
        <v/>
      </c>
      <c r="J980" s="18" t="str">
        <f>IF($A980="","",IFERROR(INDEX(Map!$F$2:$F$400,MATCH($A980,Map!$A$2:$A$400,0)),"⚠ UNMAPPED"))</f>
        <v/>
      </c>
    </row>
    <row r="981" spans="7:10" x14ac:dyDescent="0.25">
      <c r="G981" s="18" t="str">
        <f>IF($A981="","",IFERROR(INDEX(Map!$C$2:$C$400,MATCH($A981,Map!$A$2:$A$400,0)),"⚠ UNMAPPED"))</f>
        <v/>
      </c>
      <c r="H981" s="18" t="str">
        <f>IF($A981="","",IFERROR(INDEX(Map!$D$2:$D$400,MATCH($A981,Map!$A$2:$A$400,0)),"⚠ UNMAPPED"))</f>
        <v/>
      </c>
      <c r="I981" s="18" t="str">
        <f>IF($A981="","",IFERROR(INDEX(Map!$E$2:$E$400,MATCH($A981,Map!$A$2:$A$400,0)),"⚠ UNMAPPED"))</f>
        <v/>
      </c>
      <c r="J981" s="18" t="str">
        <f>IF($A981="","",IFERROR(INDEX(Map!$F$2:$F$400,MATCH($A981,Map!$A$2:$A$400,0)),"⚠ UNMAPPED"))</f>
        <v/>
      </c>
    </row>
    <row r="982" spans="7:10" x14ac:dyDescent="0.25">
      <c r="G982" s="18" t="str">
        <f>IF($A982="","",IFERROR(INDEX(Map!$C$2:$C$400,MATCH($A982,Map!$A$2:$A$400,0)),"⚠ UNMAPPED"))</f>
        <v/>
      </c>
      <c r="H982" s="18" t="str">
        <f>IF($A982="","",IFERROR(INDEX(Map!$D$2:$D$400,MATCH($A982,Map!$A$2:$A$400,0)),"⚠ UNMAPPED"))</f>
        <v/>
      </c>
      <c r="I982" s="18" t="str">
        <f>IF($A982="","",IFERROR(INDEX(Map!$E$2:$E$400,MATCH($A982,Map!$A$2:$A$400,0)),"⚠ UNMAPPED"))</f>
        <v/>
      </c>
      <c r="J982" s="18" t="str">
        <f>IF($A982="","",IFERROR(INDEX(Map!$F$2:$F$400,MATCH($A982,Map!$A$2:$A$400,0)),"⚠ UNMAPPED"))</f>
        <v/>
      </c>
    </row>
    <row r="983" spans="7:10" x14ac:dyDescent="0.25">
      <c r="G983" s="18" t="str">
        <f>IF($A983="","",IFERROR(INDEX(Map!$C$2:$C$400,MATCH($A983,Map!$A$2:$A$400,0)),"⚠ UNMAPPED"))</f>
        <v/>
      </c>
      <c r="H983" s="18" t="str">
        <f>IF($A983="","",IFERROR(INDEX(Map!$D$2:$D$400,MATCH($A983,Map!$A$2:$A$400,0)),"⚠ UNMAPPED"))</f>
        <v/>
      </c>
      <c r="I983" s="18" t="str">
        <f>IF($A983="","",IFERROR(INDEX(Map!$E$2:$E$400,MATCH($A983,Map!$A$2:$A$400,0)),"⚠ UNMAPPED"))</f>
        <v/>
      </c>
      <c r="J983" s="18" t="str">
        <f>IF($A983="","",IFERROR(INDEX(Map!$F$2:$F$400,MATCH($A983,Map!$A$2:$A$400,0)),"⚠ UNMAPPED"))</f>
        <v/>
      </c>
    </row>
    <row r="984" spans="7:10" x14ac:dyDescent="0.25">
      <c r="G984" s="18" t="str">
        <f>IF($A984="","",IFERROR(INDEX(Map!$C$2:$C$400,MATCH($A984,Map!$A$2:$A$400,0)),"⚠ UNMAPPED"))</f>
        <v/>
      </c>
      <c r="H984" s="18" t="str">
        <f>IF($A984="","",IFERROR(INDEX(Map!$D$2:$D$400,MATCH($A984,Map!$A$2:$A$400,0)),"⚠ UNMAPPED"))</f>
        <v/>
      </c>
      <c r="I984" s="18" t="str">
        <f>IF($A984="","",IFERROR(INDEX(Map!$E$2:$E$400,MATCH($A984,Map!$A$2:$A$400,0)),"⚠ UNMAPPED"))</f>
        <v/>
      </c>
      <c r="J984" s="18" t="str">
        <f>IF($A984="","",IFERROR(INDEX(Map!$F$2:$F$400,MATCH($A984,Map!$A$2:$A$400,0)),"⚠ UNMAPPED"))</f>
        <v/>
      </c>
    </row>
    <row r="985" spans="7:10" x14ac:dyDescent="0.25">
      <c r="G985" s="18" t="str">
        <f>IF($A985="","",IFERROR(INDEX(Map!$C$2:$C$400,MATCH($A985,Map!$A$2:$A$400,0)),"⚠ UNMAPPED"))</f>
        <v/>
      </c>
      <c r="H985" s="18" t="str">
        <f>IF($A985="","",IFERROR(INDEX(Map!$D$2:$D$400,MATCH($A985,Map!$A$2:$A$400,0)),"⚠ UNMAPPED"))</f>
        <v/>
      </c>
      <c r="I985" s="18" t="str">
        <f>IF($A985="","",IFERROR(INDEX(Map!$E$2:$E$400,MATCH($A985,Map!$A$2:$A$400,0)),"⚠ UNMAPPED"))</f>
        <v/>
      </c>
      <c r="J985" s="18" t="str">
        <f>IF($A985="","",IFERROR(INDEX(Map!$F$2:$F$400,MATCH($A985,Map!$A$2:$A$400,0)),"⚠ UNMAPPED"))</f>
        <v/>
      </c>
    </row>
    <row r="986" spans="7:10" x14ac:dyDescent="0.25">
      <c r="G986" s="18" t="str">
        <f>IF($A986="","",IFERROR(INDEX(Map!$C$2:$C$400,MATCH($A986,Map!$A$2:$A$400,0)),"⚠ UNMAPPED"))</f>
        <v/>
      </c>
      <c r="H986" s="18" t="str">
        <f>IF($A986="","",IFERROR(INDEX(Map!$D$2:$D$400,MATCH($A986,Map!$A$2:$A$400,0)),"⚠ UNMAPPED"))</f>
        <v/>
      </c>
      <c r="I986" s="18" t="str">
        <f>IF($A986="","",IFERROR(INDEX(Map!$E$2:$E$400,MATCH($A986,Map!$A$2:$A$400,0)),"⚠ UNMAPPED"))</f>
        <v/>
      </c>
      <c r="J986" s="18" t="str">
        <f>IF($A986="","",IFERROR(INDEX(Map!$F$2:$F$400,MATCH($A986,Map!$A$2:$A$400,0)),"⚠ UNMAPPED"))</f>
        <v/>
      </c>
    </row>
    <row r="987" spans="7:10" x14ac:dyDescent="0.25">
      <c r="G987" s="18" t="str">
        <f>IF($A987="","",IFERROR(INDEX(Map!$C$2:$C$400,MATCH($A987,Map!$A$2:$A$400,0)),"⚠ UNMAPPED"))</f>
        <v/>
      </c>
      <c r="H987" s="18" t="str">
        <f>IF($A987="","",IFERROR(INDEX(Map!$D$2:$D$400,MATCH($A987,Map!$A$2:$A$400,0)),"⚠ UNMAPPED"))</f>
        <v/>
      </c>
      <c r="I987" s="18" t="str">
        <f>IF($A987="","",IFERROR(INDEX(Map!$E$2:$E$400,MATCH($A987,Map!$A$2:$A$400,0)),"⚠ UNMAPPED"))</f>
        <v/>
      </c>
      <c r="J987" s="18" t="str">
        <f>IF($A987="","",IFERROR(INDEX(Map!$F$2:$F$400,MATCH($A987,Map!$A$2:$A$400,0)),"⚠ UNMAPPED"))</f>
        <v/>
      </c>
    </row>
    <row r="988" spans="7:10" x14ac:dyDescent="0.25">
      <c r="G988" s="18" t="str">
        <f>IF($A988="","",IFERROR(INDEX(Map!$C$2:$C$400,MATCH($A988,Map!$A$2:$A$400,0)),"⚠ UNMAPPED"))</f>
        <v/>
      </c>
      <c r="H988" s="18" t="str">
        <f>IF($A988="","",IFERROR(INDEX(Map!$D$2:$D$400,MATCH($A988,Map!$A$2:$A$400,0)),"⚠ UNMAPPED"))</f>
        <v/>
      </c>
      <c r="I988" s="18" t="str">
        <f>IF($A988="","",IFERROR(INDEX(Map!$E$2:$E$400,MATCH($A988,Map!$A$2:$A$400,0)),"⚠ UNMAPPED"))</f>
        <v/>
      </c>
      <c r="J988" s="18" t="str">
        <f>IF($A988="","",IFERROR(INDEX(Map!$F$2:$F$400,MATCH($A988,Map!$A$2:$A$400,0)),"⚠ UNMAPPED"))</f>
        <v/>
      </c>
    </row>
    <row r="989" spans="7:10" x14ac:dyDescent="0.25">
      <c r="G989" s="18" t="str">
        <f>IF($A989="","",IFERROR(INDEX(Map!$C$2:$C$400,MATCH($A989,Map!$A$2:$A$400,0)),"⚠ UNMAPPED"))</f>
        <v/>
      </c>
      <c r="H989" s="18" t="str">
        <f>IF($A989="","",IFERROR(INDEX(Map!$D$2:$D$400,MATCH($A989,Map!$A$2:$A$400,0)),"⚠ UNMAPPED"))</f>
        <v/>
      </c>
      <c r="I989" s="18" t="str">
        <f>IF($A989="","",IFERROR(INDEX(Map!$E$2:$E$400,MATCH($A989,Map!$A$2:$A$400,0)),"⚠ UNMAPPED"))</f>
        <v/>
      </c>
      <c r="J989" s="18" t="str">
        <f>IF($A989="","",IFERROR(INDEX(Map!$F$2:$F$400,MATCH($A989,Map!$A$2:$A$400,0)),"⚠ UNMAPPED"))</f>
        <v/>
      </c>
    </row>
    <row r="990" spans="7:10" x14ac:dyDescent="0.25">
      <c r="G990" s="18" t="str">
        <f>IF($A990="","",IFERROR(INDEX(Map!$C$2:$C$400,MATCH($A990,Map!$A$2:$A$400,0)),"⚠ UNMAPPED"))</f>
        <v/>
      </c>
      <c r="H990" s="18" t="str">
        <f>IF($A990="","",IFERROR(INDEX(Map!$D$2:$D$400,MATCH($A990,Map!$A$2:$A$400,0)),"⚠ UNMAPPED"))</f>
        <v/>
      </c>
      <c r="I990" s="18" t="str">
        <f>IF($A990="","",IFERROR(INDEX(Map!$E$2:$E$400,MATCH($A990,Map!$A$2:$A$400,0)),"⚠ UNMAPPED"))</f>
        <v/>
      </c>
      <c r="J990" s="18" t="str">
        <f>IF($A990="","",IFERROR(INDEX(Map!$F$2:$F$400,MATCH($A990,Map!$A$2:$A$400,0)),"⚠ UNMAPPED"))</f>
        <v/>
      </c>
    </row>
    <row r="991" spans="7:10" x14ac:dyDescent="0.25">
      <c r="G991" s="18" t="str">
        <f>IF($A991="","",IFERROR(INDEX(Map!$C$2:$C$400,MATCH($A991,Map!$A$2:$A$400,0)),"⚠ UNMAPPED"))</f>
        <v/>
      </c>
      <c r="H991" s="18" t="str">
        <f>IF($A991="","",IFERROR(INDEX(Map!$D$2:$D$400,MATCH($A991,Map!$A$2:$A$400,0)),"⚠ UNMAPPED"))</f>
        <v/>
      </c>
      <c r="I991" s="18" t="str">
        <f>IF($A991="","",IFERROR(INDEX(Map!$E$2:$E$400,MATCH($A991,Map!$A$2:$A$400,0)),"⚠ UNMAPPED"))</f>
        <v/>
      </c>
      <c r="J991" s="18" t="str">
        <f>IF($A991="","",IFERROR(INDEX(Map!$F$2:$F$400,MATCH($A991,Map!$A$2:$A$400,0)),"⚠ UNMAPPED"))</f>
        <v/>
      </c>
    </row>
    <row r="992" spans="7:10" x14ac:dyDescent="0.25">
      <c r="G992" s="18" t="str">
        <f>IF($A992="","",IFERROR(INDEX(Map!$C$2:$C$400,MATCH($A992,Map!$A$2:$A$400,0)),"⚠ UNMAPPED"))</f>
        <v/>
      </c>
      <c r="H992" s="18" t="str">
        <f>IF($A992="","",IFERROR(INDEX(Map!$D$2:$D$400,MATCH($A992,Map!$A$2:$A$400,0)),"⚠ UNMAPPED"))</f>
        <v/>
      </c>
      <c r="I992" s="18" t="str">
        <f>IF($A992="","",IFERROR(INDEX(Map!$E$2:$E$400,MATCH($A992,Map!$A$2:$A$400,0)),"⚠ UNMAPPED"))</f>
        <v/>
      </c>
      <c r="J992" s="18" t="str">
        <f>IF($A992="","",IFERROR(INDEX(Map!$F$2:$F$400,MATCH($A992,Map!$A$2:$A$400,0)),"⚠ UNMAPPED"))</f>
        <v/>
      </c>
    </row>
    <row r="993" spans="7:10" x14ac:dyDescent="0.25">
      <c r="G993" s="18" t="str">
        <f>IF($A993="","",IFERROR(INDEX(Map!$C$2:$C$400,MATCH($A993,Map!$A$2:$A$400,0)),"⚠ UNMAPPED"))</f>
        <v/>
      </c>
      <c r="H993" s="18" t="str">
        <f>IF($A993="","",IFERROR(INDEX(Map!$D$2:$D$400,MATCH($A993,Map!$A$2:$A$400,0)),"⚠ UNMAPPED"))</f>
        <v/>
      </c>
      <c r="I993" s="18" t="str">
        <f>IF($A993="","",IFERROR(INDEX(Map!$E$2:$E$400,MATCH($A993,Map!$A$2:$A$400,0)),"⚠ UNMAPPED"))</f>
        <v/>
      </c>
      <c r="J993" s="18" t="str">
        <f>IF($A993="","",IFERROR(INDEX(Map!$F$2:$F$400,MATCH($A993,Map!$A$2:$A$400,0)),"⚠ UNMAPPED"))</f>
        <v/>
      </c>
    </row>
    <row r="994" spans="7:10" x14ac:dyDescent="0.25">
      <c r="G994" s="18" t="str">
        <f>IF($A994="","",IFERROR(INDEX(Map!$C$2:$C$400,MATCH($A994,Map!$A$2:$A$400,0)),"⚠ UNMAPPED"))</f>
        <v/>
      </c>
      <c r="H994" s="18" t="str">
        <f>IF($A994="","",IFERROR(INDEX(Map!$D$2:$D$400,MATCH($A994,Map!$A$2:$A$400,0)),"⚠ UNMAPPED"))</f>
        <v/>
      </c>
      <c r="I994" s="18" t="str">
        <f>IF($A994="","",IFERROR(INDEX(Map!$E$2:$E$400,MATCH($A994,Map!$A$2:$A$400,0)),"⚠ UNMAPPED"))</f>
        <v/>
      </c>
      <c r="J994" s="18" t="str">
        <f>IF($A994="","",IFERROR(INDEX(Map!$F$2:$F$400,MATCH($A994,Map!$A$2:$A$400,0)),"⚠ UNMAPPED"))</f>
        <v/>
      </c>
    </row>
    <row r="995" spans="7:10" x14ac:dyDescent="0.25">
      <c r="G995" s="18" t="str">
        <f>IF($A995="","",IFERROR(INDEX(Map!$C$2:$C$400,MATCH($A995,Map!$A$2:$A$400,0)),"⚠ UNMAPPED"))</f>
        <v/>
      </c>
      <c r="H995" s="18" t="str">
        <f>IF($A995="","",IFERROR(INDEX(Map!$D$2:$D$400,MATCH($A995,Map!$A$2:$A$400,0)),"⚠ UNMAPPED"))</f>
        <v/>
      </c>
      <c r="I995" s="18" t="str">
        <f>IF($A995="","",IFERROR(INDEX(Map!$E$2:$E$400,MATCH($A995,Map!$A$2:$A$400,0)),"⚠ UNMAPPED"))</f>
        <v/>
      </c>
      <c r="J995" s="18" t="str">
        <f>IF($A995="","",IFERROR(INDEX(Map!$F$2:$F$400,MATCH($A995,Map!$A$2:$A$400,0)),"⚠ UNMAPPED"))</f>
        <v/>
      </c>
    </row>
    <row r="996" spans="7:10" x14ac:dyDescent="0.25">
      <c r="G996" s="18" t="str">
        <f>IF($A996="","",IFERROR(INDEX(Map!$C$2:$C$400,MATCH($A996,Map!$A$2:$A$400,0)),"⚠ UNMAPPED"))</f>
        <v/>
      </c>
      <c r="H996" s="18" t="str">
        <f>IF($A996="","",IFERROR(INDEX(Map!$D$2:$D$400,MATCH($A996,Map!$A$2:$A$400,0)),"⚠ UNMAPPED"))</f>
        <v/>
      </c>
      <c r="I996" s="18" t="str">
        <f>IF($A996="","",IFERROR(INDEX(Map!$E$2:$E$400,MATCH($A996,Map!$A$2:$A$400,0)),"⚠ UNMAPPED"))</f>
        <v/>
      </c>
      <c r="J996" s="18" t="str">
        <f>IF($A996="","",IFERROR(INDEX(Map!$F$2:$F$400,MATCH($A996,Map!$A$2:$A$400,0)),"⚠ UNMAPPED"))</f>
        <v/>
      </c>
    </row>
    <row r="997" spans="7:10" x14ac:dyDescent="0.25">
      <c r="G997" s="18" t="str">
        <f>IF($A997="","",IFERROR(INDEX(Map!$C$2:$C$400,MATCH($A997,Map!$A$2:$A$400,0)),"⚠ UNMAPPED"))</f>
        <v/>
      </c>
      <c r="H997" s="18" t="str">
        <f>IF($A997="","",IFERROR(INDEX(Map!$D$2:$D$400,MATCH($A997,Map!$A$2:$A$400,0)),"⚠ UNMAPPED"))</f>
        <v/>
      </c>
      <c r="I997" s="18" t="str">
        <f>IF($A997="","",IFERROR(INDEX(Map!$E$2:$E$400,MATCH($A997,Map!$A$2:$A$400,0)),"⚠ UNMAPPED"))</f>
        <v/>
      </c>
      <c r="J997" s="18" t="str">
        <f>IF($A997="","",IFERROR(INDEX(Map!$F$2:$F$400,MATCH($A997,Map!$A$2:$A$400,0)),"⚠ UNMAPPED"))</f>
        <v/>
      </c>
    </row>
    <row r="998" spans="7:10" x14ac:dyDescent="0.25">
      <c r="G998" s="18" t="str">
        <f>IF($A998="","",IFERROR(INDEX(Map!$C$2:$C$400,MATCH($A998,Map!$A$2:$A$400,0)),"⚠ UNMAPPED"))</f>
        <v/>
      </c>
      <c r="H998" s="18" t="str">
        <f>IF($A998="","",IFERROR(INDEX(Map!$D$2:$D$400,MATCH($A998,Map!$A$2:$A$400,0)),"⚠ UNMAPPED"))</f>
        <v/>
      </c>
      <c r="I998" s="18" t="str">
        <f>IF($A998="","",IFERROR(INDEX(Map!$E$2:$E$400,MATCH($A998,Map!$A$2:$A$400,0)),"⚠ UNMAPPED"))</f>
        <v/>
      </c>
      <c r="J998" s="18" t="str">
        <f>IF($A998="","",IFERROR(INDEX(Map!$F$2:$F$400,MATCH($A998,Map!$A$2:$A$400,0)),"⚠ UNMAPPED"))</f>
        <v/>
      </c>
    </row>
    <row r="999" spans="7:10" x14ac:dyDescent="0.25">
      <c r="G999" s="18" t="str">
        <f>IF($A999="","",IFERROR(INDEX(Map!$C$2:$C$400,MATCH($A999,Map!$A$2:$A$400,0)),"⚠ UNMAPPED"))</f>
        <v/>
      </c>
      <c r="H999" s="18" t="str">
        <f>IF($A999="","",IFERROR(INDEX(Map!$D$2:$D$400,MATCH($A999,Map!$A$2:$A$400,0)),"⚠ UNMAPPED"))</f>
        <v/>
      </c>
      <c r="I999" s="18" t="str">
        <f>IF($A999="","",IFERROR(INDEX(Map!$E$2:$E$400,MATCH($A999,Map!$A$2:$A$400,0)),"⚠ UNMAPPED"))</f>
        <v/>
      </c>
      <c r="J999" s="18" t="str">
        <f>IF($A999="","",IFERROR(INDEX(Map!$F$2:$F$400,MATCH($A999,Map!$A$2:$A$400,0)),"⚠ UNMAPPED"))</f>
        <v/>
      </c>
    </row>
    <row r="1000" spans="7:10" x14ac:dyDescent="0.25">
      <c r="G1000" s="18" t="str">
        <f>IF($A1000="","",IFERROR(INDEX(Map!$C$2:$C$400,MATCH($A1000,Map!$A$2:$A$400,0)),"⚠ UNMAPPED"))</f>
        <v/>
      </c>
      <c r="H1000" s="18" t="str">
        <f>IF($A1000="","",IFERROR(INDEX(Map!$D$2:$D$400,MATCH($A1000,Map!$A$2:$A$400,0)),"⚠ UNMAPPED"))</f>
        <v/>
      </c>
      <c r="I1000" s="18" t="str">
        <f>IF($A1000="","",IFERROR(INDEX(Map!$E$2:$E$400,MATCH($A1000,Map!$A$2:$A$400,0)),"⚠ UNMAPPED"))</f>
        <v/>
      </c>
      <c r="J1000" s="18" t="str">
        <f>IF($A1000="","",IFERROR(INDEX(Map!$F$2:$F$400,MATCH($A1000,Map!$A$2:$A$400,0)),"⚠ UNMAPPED"))</f>
        <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ED7D31"/>
  </sheetPr>
  <dimension ref="A1:D78"/>
  <sheetViews>
    <sheetView showGridLines="0" workbookViewId="0"/>
  </sheetViews>
  <sheetFormatPr defaultRowHeight="15" x14ac:dyDescent="0.25"/>
  <cols>
    <col min="1" max="1" width="34" customWidth="1"/>
    <col min="2" max="4" width="15" customWidth="1"/>
  </cols>
  <sheetData>
    <row r="1" spans="1:1" ht="18.75" customHeight="1" x14ac:dyDescent="0.3">
      <c r="A1" s="6" t="s">
        <v>1175</v>
      </c>
    </row>
    <row r="60" spans="1:4" x14ac:dyDescent="0.25">
      <c r="A60" s="29" t="s">
        <v>1176</v>
      </c>
    </row>
    <row r="61" spans="1:4" x14ac:dyDescent="0.25">
      <c r="A61" s="39"/>
      <c r="B61" s="39" t="s">
        <v>439</v>
      </c>
      <c r="C61" s="39" t="s">
        <v>440</v>
      </c>
      <c r="D61" s="39" t="s">
        <v>441</v>
      </c>
    </row>
    <row r="62" spans="1:4" x14ac:dyDescent="0.25">
      <c r="A62" s="18" t="s">
        <v>1177</v>
      </c>
      <c r="B62" s="17">
        <f>IS_Alif!C6</f>
        <v>126467923.87650502</v>
      </c>
      <c r="C62" s="17">
        <f>IS_VH!C6</f>
        <v>44443751.733000003</v>
      </c>
      <c r="D62" s="17">
        <f>IS_Consol!F6</f>
        <v>170911675.60950503</v>
      </c>
    </row>
    <row r="63" spans="1:4" x14ac:dyDescent="0.25">
      <c r="A63" s="18" t="s">
        <v>1178</v>
      </c>
      <c r="B63" s="17">
        <f>IS_Alif!C23</f>
        <v>-7247188.2054157555</v>
      </c>
      <c r="C63" s="17">
        <f>IS_VH!C23</f>
        <v>2493336.0869999975</v>
      </c>
      <c r="D63" s="17">
        <f>IS_Consol!F23</f>
        <v>-4753852.1184157133</v>
      </c>
    </row>
    <row r="64" spans="1:4" x14ac:dyDescent="0.25">
      <c r="A64" s="18" t="s">
        <v>1179</v>
      </c>
      <c r="B64" s="17">
        <f>IS_Alif!C49</f>
        <v>-30098667.884415753</v>
      </c>
      <c r="C64" s="17">
        <f>IS_VH!C49</f>
        <v>588042.21399999759</v>
      </c>
      <c r="D64" s="17">
        <f>IS_Consol!F49</f>
        <v>-29510625.670415714</v>
      </c>
    </row>
    <row r="65" spans="1:4" x14ac:dyDescent="0.25">
      <c r="A65" s="18" t="s">
        <v>1180</v>
      </c>
      <c r="B65" s="17">
        <f>IS_Alif!C57</f>
        <v>-40498412.990665749</v>
      </c>
      <c r="C65" s="17">
        <f>IS_VH!C57</f>
        <v>-1356565.6500000022</v>
      </c>
      <c r="D65" s="17">
        <f>IS_Consol!F57</f>
        <v>-41854978.64066571</v>
      </c>
    </row>
    <row r="66" spans="1:4" x14ac:dyDescent="0.25">
      <c r="A66" s="18" t="s">
        <v>57</v>
      </c>
      <c r="B66" s="17">
        <f>IS_Alif!C21</f>
        <v>133715112.08192077</v>
      </c>
      <c r="C66" s="17">
        <f>IS_VH!C21</f>
        <v>41950415.646000005</v>
      </c>
      <c r="D66" s="17">
        <f>IS_Consol!F21</f>
        <v>175665527.72792074</v>
      </c>
    </row>
    <row r="67" spans="1:4" x14ac:dyDescent="0.25">
      <c r="A67" s="18" t="s">
        <v>68</v>
      </c>
      <c r="B67" s="17">
        <f>IS_Alif!C32</f>
        <v>9534043.0429999977</v>
      </c>
      <c r="C67" s="17">
        <f>IS_VH!C32</f>
        <v>209587.41800000001</v>
      </c>
      <c r="D67" s="17">
        <f>IS_Consol!F32</f>
        <v>9743630.4609999992</v>
      </c>
    </row>
    <row r="68" spans="1:4" x14ac:dyDescent="0.25">
      <c r="A68" s="18" t="s">
        <v>75</v>
      </c>
      <c r="B68" s="17">
        <f>IS_Alif!C44</f>
        <v>13317436.636000002</v>
      </c>
      <c r="C68" s="17">
        <f>IS_VH!C44</f>
        <v>1695982.4549999998</v>
      </c>
      <c r="D68" s="17">
        <f>IS_Consol!F44</f>
        <v>15013419.091</v>
      </c>
    </row>
    <row r="69" spans="1:4" x14ac:dyDescent="0.25">
      <c r="A69" s="18" t="s">
        <v>1181</v>
      </c>
      <c r="B69" s="17">
        <f>IS_Alif!C52</f>
        <v>1885998.1222499991</v>
      </c>
      <c r="C69" s="17">
        <f>IS_VH!C52</f>
        <v>1082789.8199999998</v>
      </c>
      <c r="D69" s="17">
        <f>IS_Consol!F52</f>
        <v>2968787.9422499989</v>
      </c>
    </row>
    <row r="70" spans="1:4" x14ac:dyDescent="0.25">
      <c r="A70" s="18" t="s">
        <v>708</v>
      </c>
      <c r="B70" s="17">
        <f>IS_Alif!C54</f>
        <v>8880146.9840000011</v>
      </c>
      <c r="C70" s="17">
        <f>IS_VH!C54</f>
        <v>863818.04399999999</v>
      </c>
      <c r="D70" s="17">
        <f>IS_Consol!F54</f>
        <v>9743965.0280000009</v>
      </c>
    </row>
    <row r="71" spans="1:4" x14ac:dyDescent="0.25">
      <c r="A71" s="18" t="s">
        <v>457</v>
      </c>
      <c r="B71" s="17">
        <f>BS_Alif!C21</f>
        <v>287923378.10533428</v>
      </c>
      <c r="C71" s="17">
        <f>BS_VH!C21</f>
        <v>70047558.64199999</v>
      </c>
      <c r="D71" s="17">
        <f>BS_Consol!F21</f>
        <v>357970936.7473343</v>
      </c>
    </row>
    <row r="72" spans="1:4" x14ac:dyDescent="0.25">
      <c r="A72" s="18" t="s">
        <v>1182</v>
      </c>
      <c r="B72" s="17">
        <f>BS_Alif!C45</f>
        <v>270252517.63600004</v>
      </c>
      <c r="C72" s="17">
        <f>BS_VH!C45</f>
        <v>64662923.013999999</v>
      </c>
      <c r="D72" s="17">
        <f>BS_Consol!F46</f>
        <v>334896196.78900003</v>
      </c>
    </row>
    <row r="73" spans="1:4" x14ac:dyDescent="0.25">
      <c r="A73" s="18" t="s">
        <v>193</v>
      </c>
      <c r="B73" s="17">
        <f>BS_Alif!C30</f>
        <v>17670860.469334245</v>
      </c>
      <c r="C73" s="17">
        <f>BS_VH!C30</f>
        <v>5384635.6279999986</v>
      </c>
      <c r="D73" s="17">
        <f>BS_Consol!F31</f>
        <v>23074739.958334237</v>
      </c>
    </row>
    <row r="74" spans="1:4" x14ac:dyDescent="0.25">
      <c r="A74" s="18" t="s">
        <v>1183</v>
      </c>
      <c r="B74" s="17">
        <f>CF_Alif!C24</f>
        <v>4678617.9050000422</v>
      </c>
      <c r="C74" s="17">
        <f>CF_VH!C24</f>
        <v>-26538613.335999995</v>
      </c>
      <c r="D74" s="17">
        <f>CF_Consol!F24</f>
        <v>-21859995.430999968</v>
      </c>
    </row>
    <row r="75" spans="1:4" x14ac:dyDescent="0.25">
      <c r="A75" s="18" t="s">
        <v>1184</v>
      </c>
      <c r="B75" s="17">
        <f>CF_Alif!C29</f>
        <v>-3901265.9100000421</v>
      </c>
      <c r="C75" s="17">
        <f>CF_VH!C29</f>
        <v>-275995.8199999982</v>
      </c>
      <c r="D75" s="17">
        <f>CF_Consol!F29</f>
        <v>-4177261.7300000405</v>
      </c>
    </row>
    <row r="76" spans="1:4" x14ac:dyDescent="0.25">
      <c r="A76" s="18" t="s">
        <v>1185</v>
      </c>
      <c r="B76" s="17">
        <f>CF_Alif!C39</f>
        <v>27744398.452999994</v>
      </c>
      <c r="C76" s="17">
        <f>CF_VH!C39</f>
        <v>27273993.936000004</v>
      </c>
      <c r="D76" s="17">
        <f>CF_Consol!F39</f>
        <v>55018392.388999999</v>
      </c>
    </row>
    <row r="77" spans="1:4" x14ac:dyDescent="0.25">
      <c r="A77" s="18" t="s">
        <v>1186</v>
      </c>
      <c r="B77" s="17">
        <f>CF_Alif!C41</f>
        <v>28521750.447999995</v>
      </c>
      <c r="C77" s="17">
        <f>CF_VH!C41</f>
        <v>459384.78000001237</v>
      </c>
      <c r="D77" s="17">
        <f>CF_Consol!F41</f>
        <v>28981135.227999989</v>
      </c>
    </row>
    <row r="78" spans="1:4" x14ac:dyDescent="0.25">
      <c r="A78" s="29" t="s">
        <v>1187</v>
      </c>
    </row>
  </sheetData>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3:Q271"/>
  <sheetViews>
    <sheetView zoomScale="90" workbookViewId="0">
      <pane xSplit="2" ySplit="3" topLeftCell="C4" activePane="bottomRight" state="frozen"/>
      <selection pane="topRight"/>
      <selection pane="bottomLeft"/>
      <selection pane="bottomRight" activeCell="J19" sqref="J19"/>
    </sheetView>
  </sheetViews>
  <sheetFormatPr defaultRowHeight="15" x14ac:dyDescent="0.25"/>
  <cols>
    <col min="1" max="1" width="15.7109375" bestFit="1" customWidth="1"/>
    <col min="2" max="2" width="56.5703125" bestFit="1" customWidth="1"/>
    <col min="3" max="4" width="14" bestFit="1" customWidth="1"/>
    <col min="5" max="5" width="12.85546875" bestFit="1" customWidth="1"/>
    <col min="6" max="6" width="13.28515625" bestFit="1" customWidth="1"/>
    <col min="7" max="14" width="14" bestFit="1" customWidth="1"/>
    <col min="15" max="15" width="15.85546875" bestFit="1" customWidth="1"/>
    <col min="16" max="16" width="47" bestFit="1" customWidth="1"/>
    <col min="17" max="17" width="29.28515625" bestFit="1" customWidth="1"/>
  </cols>
  <sheetData>
    <row r="3" spans="1:17" x14ac:dyDescent="0.25">
      <c r="A3" s="40" t="s">
        <v>1188</v>
      </c>
      <c r="B3" s="41" t="s">
        <v>1189</v>
      </c>
      <c r="C3" s="40" t="s">
        <v>1190</v>
      </c>
      <c r="D3" s="40" t="s">
        <v>1191</v>
      </c>
      <c r="E3" s="40" t="s">
        <v>1192</v>
      </c>
      <c r="F3" s="40" t="s">
        <v>1193</v>
      </c>
      <c r="G3" s="40" t="s">
        <v>1194</v>
      </c>
      <c r="H3" s="40" t="s">
        <v>1195</v>
      </c>
      <c r="I3" s="40" t="s">
        <v>1196</v>
      </c>
      <c r="J3" s="40" t="s">
        <v>1197</v>
      </c>
      <c r="K3" s="40" t="s">
        <v>1198</v>
      </c>
      <c r="L3" s="40" t="s">
        <v>1199</v>
      </c>
      <c r="M3" s="40" t="s">
        <v>1200</v>
      </c>
      <c r="N3" s="40" t="s">
        <v>1201</v>
      </c>
      <c r="O3" s="40" t="s">
        <v>1202</v>
      </c>
      <c r="P3" s="40" t="s">
        <v>1203</v>
      </c>
      <c r="Q3" s="40" t="s">
        <v>1204</v>
      </c>
    </row>
    <row r="4" spans="1:17" x14ac:dyDescent="0.25">
      <c r="A4" s="42">
        <v>110001</v>
      </c>
      <c r="B4" s="43" t="s">
        <v>818</v>
      </c>
      <c r="C4" s="44">
        <f>SUMIF(ALIF_Y2014!$A:$A,$A4,ALIF_Y2014!$F:$F)</f>
        <v>0</v>
      </c>
      <c r="D4" s="44">
        <f>SUMIF(ALIF_Y2015!$A:$A,$A4,ALIF_Y2015!$F:$F)</f>
        <v>0</v>
      </c>
      <c r="E4" s="44">
        <f>SUMIF(ALIF_Y2016!$A:$A,$A4,ALIF_Y2016!$F:$F)</f>
        <v>0</v>
      </c>
      <c r="F4" s="44">
        <f>SUMIF(ALIF_Y2017!$A:$A,$A4,ALIF_Y2017!$F:$F)</f>
        <v>0</v>
      </c>
      <c r="G4" s="44">
        <f>SUMIF(ALIF_Y2018!$A:$A,$A4,ALIF_Y2018!$F:$F)</f>
        <v>0</v>
      </c>
      <c r="H4" s="44">
        <f>SUMIF(ALIF_Y2019!$A:$A,$A4,ALIF_Y2019!$F:$F)</f>
        <v>0</v>
      </c>
      <c r="I4" s="44">
        <f>SUMIF(ALIF_Y2020!$A:$A,$A4,ALIF_Y2020!$F:$F)</f>
        <v>0</v>
      </c>
      <c r="J4" s="44">
        <f>SUMIF(ALIF_Y2021!$A:$A,$A4,ALIF_Y2021!$F:$F)</f>
        <v>0</v>
      </c>
      <c r="K4" s="44">
        <f>SUMIF(ALIF_Y2022!$A:$A,$A4,ALIF_Y2022!$F:$F)</f>
        <v>0</v>
      </c>
      <c r="L4" s="44">
        <f>SUMIF(ALIF_Y2023!$A:$A,$A4,ALIF_Y2023!$F:$F)</f>
        <v>0</v>
      </c>
      <c r="M4" s="44">
        <f>SUMIF(ALIF_Y2024!$A:$A,$A4,ALIF_Y2024!$F:$F)</f>
        <v>0</v>
      </c>
      <c r="N4" s="44">
        <f>SUMIF(ALIF_Y2025!$A:$A,$A4,ALIF_Y2025!$F:$F)</f>
        <v>0</v>
      </c>
      <c r="O4" s="44">
        <f>SUMIF(TB_Input_Alif!$A:$A,$A4,TB_Input_Alif!$F:$F)</f>
        <v>0</v>
      </c>
      <c r="P4" s="43" t="str">
        <f>_xlfn.XLOOKUP(A4,Map!A:A,Map!E:E)</f>
        <v>Property, plant and equipment</v>
      </c>
      <c r="Q4" s="43" t="str">
        <f>_xlfn.XLOOKUP(A4,Map!A:A,Map!D:D)</f>
        <v>Non-Current Assets</v>
      </c>
    </row>
    <row r="5" spans="1:17" x14ac:dyDescent="0.25">
      <c r="A5" s="42">
        <v>110002</v>
      </c>
      <c r="B5" s="43" t="s">
        <v>819</v>
      </c>
      <c r="C5" s="44">
        <f>SUMIF(ALIF_Y2014!$A:$A,$A5,ALIF_Y2014!$F:$F)</f>
        <v>249682</v>
      </c>
      <c r="D5" s="44">
        <f>SUMIF(ALIF_Y2015!$A:$A,$A5,ALIF_Y2015!$F:$F)</f>
        <v>249682</v>
      </c>
      <c r="E5" s="44">
        <f>SUMIF(ALIF_Y2016!$A:$A,$A5,ALIF_Y2016!$F:$F)</f>
        <v>249682</v>
      </c>
      <c r="F5" s="44">
        <f>SUMIF(ALIF_Y2017!$A:$A,$A5,ALIF_Y2017!$F:$F)</f>
        <v>249682</v>
      </c>
      <c r="G5" s="44">
        <f>SUMIF(ALIF_Y2018!$A:$A,$A5,ALIF_Y2018!$F:$F)</f>
        <v>106504996.56999999</v>
      </c>
      <c r="H5" s="44">
        <f>SUMIF(ALIF_Y2019!$A:$A,$A5,ALIF_Y2019!$F:$F)</f>
        <v>106504996.56999999</v>
      </c>
      <c r="I5" s="44">
        <f>SUMIF(ALIF_Y2020!$A:$A,$A5,ALIF_Y2020!$F:$F)</f>
        <v>106504996.56999999</v>
      </c>
      <c r="J5" s="44">
        <f>SUMIF(ALIF_Y2021!$A:$A,$A5,ALIF_Y2021!$F:$F)</f>
        <v>106504996.56999999</v>
      </c>
      <c r="K5" s="44">
        <f>SUMIF(ALIF_Y2022!$A:$A,$A5,ALIF_Y2022!$F:$F)</f>
        <v>106504996.56999999</v>
      </c>
      <c r="L5" s="44">
        <f>SUMIF(ALIF_Y2023!$A:$A,$A5,ALIF_Y2023!$F:$F)</f>
        <v>106504996.56999999</v>
      </c>
      <c r="M5" s="44">
        <f>SUMIF(ALIF_Y2024!$A:$A,$A5,ALIF_Y2024!$F:$F)</f>
        <v>107296196.56999999</v>
      </c>
      <c r="N5" s="44">
        <f>SUMIF(ALIF_Y2025!$A:$A,$A5,ALIF_Y2025!$F:$F)</f>
        <v>107296196.56999999</v>
      </c>
      <c r="O5" s="44">
        <f>SUMIF(TB_Input_Alif!$A:$A,$A5,TB_Input_Alif!$F:$F)</f>
        <v>107296196.56999999</v>
      </c>
      <c r="P5" s="43" t="str">
        <f>_xlfn.XLOOKUP(A5,Map!A:A,Map!E:E)</f>
        <v>Property, plant and equipment</v>
      </c>
      <c r="Q5" s="43" t="str">
        <f>_xlfn.XLOOKUP(A5,Map!A:A,Map!D:D)</f>
        <v>Non-Current Assets</v>
      </c>
    </row>
    <row r="6" spans="1:17" x14ac:dyDescent="0.25">
      <c r="A6" s="42">
        <v>110003</v>
      </c>
      <c r="B6" s="43" t="s">
        <v>820</v>
      </c>
      <c r="C6" s="44">
        <f>SUMIF(ALIF_Y2014!$A:$A,$A6,ALIF_Y2014!$F:$F)</f>
        <v>1765393.75</v>
      </c>
      <c r="D6" s="44">
        <f>SUMIF(ALIF_Y2015!$A:$A,$A6,ALIF_Y2015!$F:$F)</f>
        <v>1773233.75</v>
      </c>
      <c r="E6" s="44">
        <f>SUMIF(ALIF_Y2016!$A:$A,$A6,ALIF_Y2016!$F:$F)</f>
        <v>1773233.75</v>
      </c>
      <c r="F6" s="44">
        <f>SUMIF(ALIF_Y2017!$A:$A,$A6,ALIF_Y2017!$F:$F)</f>
        <v>1773233.75</v>
      </c>
      <c r="G6" s="44">
        <f>SUMIF(ALIF_Y2018!$A:$A,$A6,ALIF_Y2018!$F:$F)</f>
        <v>1824603.75</v>
      </c>
      <c r="H6" s="44">
        <f>SUMIF(ALIF_Y2019!$A:$A,$A6,ALIF_Y2019!$F:$F)</f>
        <v>1920201.75</v>
      </c>
      <c r="I6" s="44">
        <f>SUMIF(ALIF_Y2020!$A:$A,$A6,ALIF_Y2020!$F:$F)</f>
        <v>1765393.75</v>
      </c>
      <c r="J6" s="44">
        <f>SUMIF(ALIF_Y2021!$A:$A,$A6,ALIF_Y2021!$F:$F)</f>
        <v>1765393.75</v>
      </c>
      <c r="K6" s="44">
        <f>SUMIF(ALIF_Y2022!$A:$A,$A6,ALIF_Y2022!$F:$F)</f>
        <v>1765393.75</v>
      </c>
      <c r="L6" s="44">
        <f>SUMIF(ALIF_Y2023!$A:$A,$A6,ALIF_Y2023!$F:$F)</f>
        <v>1765393.75</v>
      </c>
      <c r="M6" s="44">
        <f>SUMIF(ALIF_Y2024!$A:$A,$A6,ALIF_Y2024!$F:$F)</f>
        <v>1765393.75</v>
      </c>
      <c r="N6" s="44">
        <f>SUMIF(ALIF_Y2025!$A:$A,$A6,ALIF_Y2025!$F:$F)</f>
        <v>2296737.9700000002</v>
      </c>
      <c r="O6" s="44">
        <f>SUMIF(TB_Input_Alif!$A:$A,$A6,TB_Input_Alif!$F:$F)</f>
        <v>2296737.9700000002</v>
      </c>
      <c r="P6" s="43" t="str">
        <f>_xlfn.XLOOKUP(A6,Map!A:A,Map!E:E)</f>
        <v>Property, plant and equipment</v>
      </c>
      <c r="Q6" s="43" t="str">
        <f>_xlfn.XLOOKUP(A6,Map!A:A,Map!D:D)</f>
        <v>Non-Current Assets</v>
      </c>
    </row>
    <row r="7" spans="1:17" x14ac:dyDescent="0.25">
      <c r="A7" s="42">
        <v>110004</v>
      </c>
      <c r="B7" s="43" t="s">
        <v>821</v>
      </c>
      <c r="C7" s="44">
        <f>SUMIF(ALIF_Y2014!$A:$A,$A7,ALIF_Y2014!$F:$F)</f>
        <v>38561940.795000002</v>
      </c>
      <c r="D7" s="44">
        <f>SUMIF(ALIF_Y2015!$A:$A,$A7,ALIF_Y2015!$F:$F)</f>
        <v>39518810.888999999</v>
      </c>
      <c r="E7" s="44">
        <f>SUMIF(ALIF_Y2016!$A:$A,$A7,ALIF_Y2016!$F:$F)</f>
        <v>39914308.471000001</v>
      </c>
      <c r="F7" s="44">
        <f>SUMIF(ALIF_Y2017!$A:$A,$A7,ALIF_Y2017!$F:$F)</f>
        <v>43898751.101000004</v>
      </c>
      <c r="G7" s="44">
        <f>SUMIF(ALIF_Y2018!$A:$A,$A7,ALIF_Y2018!$F:$F)</f>
        <v>62879992.733999997</v>
      </c>
      <c r="H7" s="44">
        <f>SUMIF(ALIF_Y2019!$A:$A,$A7,ALIF_Y2019!$F:$F)</f>
        <v>66375893.005999997</v>
      </c>
      <c r="I7" s="44">
        <f>SUMIF(ALIF_Y2020!$A:$A,$A7,ALIF_Y2020!$F:$F)</f>
        <v>71133085.783000007</v>
      </c>
      <c r="J7" s="44">
        <f>SUMIF(ALIF_Y2021!$A:$A,$A7,ALIF_Y2021!$F:$F)</f>
        <v>72216302.398000002</v>
      </c>
      <c r="K7" s="44">
        <f>SUMIF(ALIF_Y2022!$A:$A,$A7,ALIF_Y2022!$F:$F)</f>
        <v>80282872.049999997</v>
      </c>
      <c r="L7" s="44">
        <f>SUMIF(ALIF_Y2023!$A:$A,$A7,ALIF_Y2023!$F:$F)</f>
        <v>72478281.030000001</v>
      </c>
      <c r="M7" s="44">
        <f>SUMIF(ALIF_Y2024!$A:$A,$A7,ALIF_Y2024!$F:$F)</f>
        <v>81812315.747999996</v>
      </c>
      <c r="N7" s="44">
        <f>SUMIF(ALIF_Y2025!$A:$A,$A7,ALIF_Y2025!$F:$F)</f>
        <v>93774591.357999995</v>
      </c>
      <c r="O7" s="44">
        <f>SUMIF(TB_Input_Alif!$A:$A,$A7,TB_Input_Alif!$F:$F)</f>
        <v>94789472.052000001</v>
      </c>
      <c r="P7" s="43" t="str">
        <f>_xlfn.XLOOKUP(A7,Map!A:A,Map!E:E)</f>
        <v>Property, plant and equipment</v>
      </c>
      <c r="Q7" s="43" t="str">
        <f>_xlfn.XLOOKUP(A7,Map!A:A,Map!D:D)</f>
        <v>Non-Current Assets</v>
      </c>
    </row>
    <row r="8" spans="1:17" x14ac:dyDescent="0.25">
      <c r="A8" s="42">
        <v>110006</v>
      </c>
      <c r="B8" s="43" t="s">
        <v>822</v>
      </c>
      <c r="C8" s="44">
        <f>SUMIF(ALIF_Y2014!$A:$A,$A8,ALIF_Y2014!$F:$F)</f>
        <v>1446052.15</v>
      </c>
      <c r="D8" s="44">
        <f>SUMIF(ALIF_Y2015!$A:$A,$A8,ALIF_Y2015!$F:$F)</f>
        <v>1446052.15</v>
      </c>
      <c r="E8" s="44">
        <f>SUMIF(ALIF_Y2016!$A:$A,$A8,ALIF_Y2016!$F:$F)</f>
        <v>1548852.15</v>
      </c>
      <c r="F8" s="44">
        <f>SUMIF(ALIF_Y2017!$A:$A,$A8,ALIF_Y2017!$F:$F)</f>
        <v>1891752.15</v>
      </c>
      <c r="G8" s="44">
        <f>SUMIF(ALIF_Y2018!$A:$A,$A8,ALIF_Y2018!$F:$F)</f>
        <v>2495208.4550000001</v>
      </c>
      <c r="H8" s="44">
        <f>SUMIF(ALIF_Y2019!$A:$A,$A8,ALIF_Y2019!$F:$F)</f>
        <v>2791352.0630000001</v>
      </c>
      <c r="I8" s="44">
        <f>SUMIF(ALIF_Y2020!$A:$A,$A8,ALIF_Y2020!$F:$F)</f>
        <v>2602761.003</v>
      </c>
      <c r="J8" s="44">
        <f>SUMIF(ALIF_Y2021!$A:$A,$A8,ALIF_Y2021!$F:$F)</f>
        <v>2675451.003</v>
      </c>
      <c r="K8" s="44">
        <f>SUMIF(ALIF_Y2022!$A:$A,$A8,ALIF_Y2022!$F:$F)</f>
        <v>3033459.699</v>
      </c>
      <c r="L8" s="44">
        <f>SUMIF(ALIF_Y2023!$A:$A,$A8,ALIF_Y2023!$F:$F)</f>
        <v>3090755.699</v>
      </c>
      <c r="M8" s="44">
        <f>SUMIF(ALIF_Y2024!$A:$A,$A8,ALIF_Y2024!$F:$F)</f>
        <v>3327255.699</v>
      </c>
      <c r="N8" s="44">
        <f>SUMIF(ALIF_Y2025!$A:$A,$A8,ALIF_Y2025!$F:$F)</f>
        <v>3650255.219</v>
      </c>
      <c r="O8" s="44">
        <f>SUMIF(TB_Input_Alif!$A:$A,$A8,TB_Input_Alif!$F:$F)</f>
        <v>3888255.219</v>
      </c>
      <c r="P8" s="43" t="str">
        <f>_xlfn.XLOOKUP(A8,Map!A:A,Map!E:E)</f>
        <v>Property, plant and equipment</v>
      </c>
      <c r="Q8" s="43" t="str">
        <f>_xlfn.XLOOKUP(A8,Map!A:A,Map!D:D)</f>
        <v>Non-Current Assets</v>
      </c>
    </row>
    <row r="9" spans="1:17" x14ac:dyDescent="0.25">
      <c r="A9" s="42">
        <v>110007</v>
      </c>
      <c r="B9" s="43" t="s">
        <v>823</v>
      </c>
      <c r="C9" s="44">
        <f>SUMIF(ALIF_Y2014!$A:$A,$A9,ALIF_Y2014!$F:$F)</f>
        <v>798523.45</v>
      </c>
      <c r="D9" s="44">
        <f>SUMIF(ALIF_Y2015!$A:$A,$A9,ALIF_Y2015!$F:$F)</f>
        <v>798523.45</v>
      </c>
      <c r="E9" s="44">
        <f>SUMIF(ALIF_Y2016!$A:$A,$A9,ALIF_Y2016!$F:$F)</f>
        <v>798523.45</v>
      </c>
      <c r="F9" s="44">
        <f>SUMIF(ALIF_Y2017!$A:$A,$A9,ALIF_Y2017!$F:$F)</f>
        <v>798523.45</v>
      </c>
      <c r="G9" s="44">
        <f>SUMIF(ALIF_Y2018!$A:$A,$A9,ALIF_Y2018!$F:$F)</f>
        <v>876515.95</v>
      </c>
      <c r="H9" s="44">
        <f>SUMIF(ALIF_Y2019!$A:$A,$A9,ALIF_Y2019!$F:$F)</f>
        <v>876515.95</v>
      </c>
      <c r="I9" s="44">
        <f>SUMIF(ALIF_Y2020!$A:$A,$A9,ALIF_Y2020!$F:$F)</f>
        <v>1191638.95</v>
      </c>
      <c r="J9" s="44">
        <f>SUMIF(ALIF_Y2021!$A:$A,$A9,ALIF_Y2021!$F:$F)</f>
        <v>2056841.15</v>
      </c>
      <c r="K9" s="44">
        <f>SUMIF(ALIF_Y2022!$A:$A,$A9,ALIF_Y2022!$F:$F)</f>
        <v>2100287.898</v>
      </c>
      <c r="L9" s="44">
        <f>SUMIF(ALIF_Y2023!$A:$A,$A9,ALIF_Y2023!$F:$F)</f>
        <v>2100287.898</v>
      </c>
      <c r="M9" s="44">
        <f>SUMIF(ALIF_Y2024!$A:$A,$A9,ALIF_Y2024!$F:$F)</f>
        <v>2269918.378</v>
      </c>
      <c r="N9" s="44">
        <f>SUMIF(ALIF_Y2025!$A:$A,$A9,ALIF_Y2025!$F:$F)</f>
        <v>2677196.3050000002</v>
      </c>
      <c r="O9" s="44">
        <f>SUMIF(TB_Input_Alif!$A:$A,$A9,TB_Input_Alif!$F:$F)</f>
        <v>2677196.3050000002</v>
      </c>
      <c r="P9" s="43" t="str">
        <f>_xlfn.XLOOKUP(A9,Map!A:A,Map!E:E)</f>
        <v>Property, plant and equipment</v>
      </c>
      <c r="Q9" s="43" t="str">
        <f>_xlfn.XLOOKUP(A9,Map!A:A,Map!D:D)</f>
        <v>Non-Current Assets</v>
      </c>
    </row>
    <row r="10" spans="1:17" x14ac:dyDescent="0.25">
      <c r="A10" s="42">
        <v>110008</v>
      </c>
      <c r="B10" s="43" t="s">
        <v>824</v>
      </c>
      <c r="C10" s="44">
        <f>SUMIF(ALIF_Y2014!$A:$A,$A10,ALIF_Y2014!$F:$F)</f>
        <v>191765.4</v>
      </c>
      <c r="D10" s="44">
        <f>SUMIF(ALIF_Y2015!$A:$A,$A10,ALIF_Y2015!$F:$F)</f>
        <v>191765.4</v>
      </c>
      <c r="E10" s="44">
        <f>SUMIF(ALIF_Y2016!$A:$A,$A10,ALIF_Y2016!$F:$F)</f>
        <v>191765.4</v>
      </c>
      <c r="F10" s="44">
        <f>SUMIF(ALIF_Y2017!$A:$A,$A10,ALIF_Y2017!$F:$F)</f>
        <v>191765.4</v>
      </c>
      <c r="G10" s="44">
        <f>SUMIF(ALIF_Y2018!$A:$A,$A10,ALIF_Y2018!$F:$F)</f>
        <v>533547.4</v>
      </c>
      <c r="H10" s="44">
        <f>SUMIF(ALIF_Y2019!$A:$A,$A10,ALIF_Y2019!$F:$F)</f>
        <v>616788.348</v>
      </c>
      <c r="I10" s="44">
        <f>SUMIF(ALIF_Y2020!$A:$A,$A10,ALIF_Y2020!$F:$F)</f>
        <v>961301.67799999996</v>
      </c>
      <c r="J10" s="44">
        <f>SUMIF(ALIF_Y2021!$A:$A,$A10,ALIF_Y2021!$F:$F)</f>
        <v>1015678.496</v>
      </c>
      <c r="K10" s="44">
        <f>SUMIF(ALIF_Y2022!$A:$A,$A10,ALIF_Y2022!$F:$F)</f>
        <v>1101801</v>
      </c>
      <c r="L10" s="44">
        <f>SUMIF(ALIF_Y2023!$A:$A,$A10,ALIF_Y2023!$F:$F)</f>
        <v>1101801</v>
      </c>
      <c r="M10" s="44">
        <f>SUMIF(ALIF_Y2024!$A:$A,$A10,ALIF_Y2024!$F:$F)</f>
        <v>1134240.121</v>
      </c>
      <c r="N10" s="44">
        <f>SUMIF(ALIF_Y2025!$A:$A,$A10,ALIF_Y2025!$F:$F)</f>
        <v>1155192.2409999999</v>
      </c>
      <c r="O10" s="44">
        <f>SUMIF(TB_Input_Alif!$A:$A,$A10,TB_Input_Alif!$F:$F)</f>
        <v>1156503.5449999999</v>
      </c>
      <c r="P10" s="43" t="str">
        <f>_xlfn.XLOOKUP(A10,Map!A:A,Map!E:E)</f>
        <v>Property, plant and equipment</v>
      </c>
      <c r="Q10" s="43" t="str">
        <f>_xlfn.XLOOKUP(A10,Map!A:A,Map!D:D)</f>
        <v>Non-Current Assets</v>
      </c>
    </row>
    <row r="11" spans="1:17" x14ac:dyDescent="0.25">
      <c r="A11" s="42">
        <v>111009</v>
      </c>
      <c r="B11" s="43" t="s">
        <v>825</v>
      </c>
      <c r="C11" s="44">
        <f>SUMIF(ALIF_Y2014!$A:$A,$A11,ALIF_Y2014!$F:$F)</f>
        <v>0</v>
      </c>
      <c r="D11" s="44">
        <f>SUMIF(ALIF_Y2015!$A:$A,$A11,ALIF_Y2015!$F:$F)</f>
        <v>0</v>
      </c>
      <c r="E11" s="44">
        <f>SUMIF(ALIF_Y2016!$A:$A,$A11,ALIF_Y2016!$F:$F)</f>
        <v>0</v>
      </c>
      <c r="F11" s="44">
        <f>SUMIF(ALIF_Y2017!$A:$A,$A11,ALIF_Y2017!$F:$F)</f>
        <v>0</v>
      </c>
      <c r="G11" s="44">
        <f>SUMIF(ALIF_Y2018!$A:$A,$A11,ALIF_Y2018!$F:$F)</f>
        <v>0</v>
      </c>
      <c r="H11" s="44">
        <f>SUMIF(ALIF_Y2019!$A:$A,$A11,ALIF_Y2019!$F:$F)</f>
        <v>2020135</v>
      </c>
      <c r="I11" s="44">
        <f>SUMIF(ALIF_Y2020!$A:$A,$A11,ALIF_Y2020!$F:$F)</f>
        <v>2020135</v>
      </c>
      <c r="J11" s="44">
        <f>SUMIF(ALIF_Y2021!$A:$A,$A11,ALIF_Y2021!$F:$F)</f>
        <v>2020135</v>
      </c>
      <c r="K11" s="44">
        <f>SUMIF(ALIF_Y2022!$A:$A,$A11,ALIF_Y2022!$F:$F)</f>
        <v>2020135</v>
      </c>
      <c r="L11" s="44">
        <f>SUMIF(ALIF_Y2023!$A:$A,$A11,ALIF_Y2023!$F:$F)</f>
        <v>2020135</v>
      </c>
      <c r="M11" s="44">
        <f>SUMIF(ALIF_Y2024!$A:$A,$A11,ALIF_Y2024!$F:$F)</f>
        <v>2020135</v>
      </c>
      <c r="N11" s="44">
        <f>SUMIF(ALIF_Y2025!$A:$A,$A11,ALIF_Y2025!$F:$F)</f>
        <v>3674470.773</v>
      </c>
      <c r="O11" s="44">
        <f>SUMIF(TB_Input_Alif!$A:$A,$A11,TB_Input_Alif!$F:$F)</f>
        <v>2020135</v>
      </c>
      <c r="P11" s="43" t="str">
        <f>_xlfn.XLOOKUP(A11,Map!A:A,Map!E:E)</f>
        <v>Right of use</v>
      </c>
      <c r="Q11" s="43" t="str">
        <f>_xlfn.XLOOKUP(A11,Map!A:A,Map!D:D)</f>
        <v>Non-Current Assets</v>
      </c>
    </row>
    <row r="12" spans="1:17" x14ac:dyDescent="0.25">
      <c r="A12" s="42">
        <v>111010</v>
      </c>
      <c r="B12" s="43" t="s">
        <v>826</v>
      </c>
      <c r="C12" s="44">
        <f>SUMIF(ALIF_Y2014!$A:$A,$A12,ALIF_Y2014!$F:$F)</f>
        <v>0</v>
      </c>
      <c r="D12" s="44">
        <f>SUMIF(ALIF_Y2015!$A:$A,$A12,ALIF_Y2015!$F:$F)</f>
        <v>0</v>
      </c>
      <c r="E12" s="44">
        <f>SUMIF(ALIF_Y2016!$A:$A,$A12,ALIF_Y2016!$F:$F)</f>
        <v>0</v>
      </c>
      <c r="F12" s="44">
        <f>SUMIF(ALIF_Y2017!$A:$A,$A12,ALIF_Y2017!$F:$F)</f>
        <v>0</v>
      </c>
      <c r="G12" s="44">
        <f>SUMIF(ALIF_Y2018!$A:$A,$A12,ALIF_Y2018!$F:$F)</f>
        <v>0</v>
      </c>
      <c r="H12" s="44">
        <f>SUMIF(ALIF_Y2019!$A:$A,$A12,ALIF_Y2019!$F:$F)</f>
        <v>0</v>
      </c>
      <c r="I12" s="44">
        <f>SUMIF(ALIF_Y2020!$A:$A,$A12,ALIF_Y2020!$F:$F)</f>
        <v>0</v>
      </c>
      <c r="J12" s="44">
        <f>SUMIF(ALIF_Y2021!$A:$A,$A12,ALIF_Y2021!$F:$F)</f>
        <v>0</v>
      </c>
      <c r="K12" s="44">
        <f>SUMIF(ALIF_Y2022!$A:$A,$A12,ALIF_Y2022!$F:$F)</f>
        <v>0</v>
      </c>
      <c r="L12" s="44">
        <f>SUMIF(ALIF_Y2023!$A:$A,$A12,ALIF_Y2023!$F:$F)</f>
        <v>0</v>
      </c>
      <c r="M12" s="44">
        <f>SUMIF(ALIF_Y2024!$A:$A,$A12,ALIF_Y2024!$F:$F)</f>
        <v>0</v>
      </c>
      <c r="N12" s="44">
        <f>SUMIF(ALIF_Y2025!$A:$A,$A12,ALIF_Y2025!$F:$F)</f>
        <v>17130500.949000001</v>
      </c>
      <c r="O12" s="44">
        <f>SUMIF(TB_Input_Alif!$A:$A,$A12,TB_Input_Alif!$F:$F)</f>
        <v>16414420.971000001</v>
      </c>
      <c r="P12" s="43" t="str">
        <f>_xlfn.XLOOKUP(A12,Map!A:A,Map!E:E)</f>
        <v>Property, plant and equipment</v>
      </c>
      <c r="Q12" s="43" t="str">
        <f>_xlfn.XLOOKUP(A12,Map!A:A,Map!D:D)</f>
        <v>Non-Current Assets</v>
      </c>
    </row>
    <row r="13" spans="1:17" x14ac:dyDescent="0.25">
      <c r="A13" s="42">
        <v>111013</v>
      </c>
      <c r="B13" s="43" t="s">
        <v>827</v>
      </c>
      <c r="C13" s="44">
        <f>SUMIF(ALIF_Y2014!$A:$A,$A13,ALIF_Y2014!$F:$F)</f>
        <v>0</v>
      </c>
      <c r="D13" s="44">
        <f>SUMIF(ALIF_Y2015!$A:$A,$A13,ALIF_Y2015!$F:$F)</f>
        <v>10769234.605</v>
      </c>
      <c r="E13" s="44">
        <f>SUMIF(ALIF_Y2016!$A:$A,$A13,ALIF_Y2016!$F:$F)</f>
        <v>99946347.437000006</v>
      </c>
      <c r="F13" s="44">
        <f>SUMIF(ALIF_Y2017!$A:$A,$A13,ALIF_Y2017!$F:$F)</f>
        <v>102265401.13600001</v>
      </c>
      <c r="G13" s="44">
        <f>SUMIF(ALIF_Y2018!$A:$A,$A13,ALIF_Y2018!$F:$F)</f>
        <v>5140198.9610000001</v>
      </c>
      <c r="H13" s="44">
        <f>SUMIF(ALIF_Y2019!$A:$A,$A13,ALIF_Y2019!$F:$F)</f>
        <v>8976734.1539999992</v>
      </c>
      <c r="I13" s="44">
        <f>SUMIF(ALIF_Y2020!$A:$A,$A13,ALIF_Y2020!$F:$F)</f>
        <v>0</v>
      </c>
      <c r="J13" s="44">
        <f>SUMIF(ALIF_Y2021!$A:$A,$A13,ALIF_Y2021!$F:$F)</f>
        <v>0</v>
      </c>
      <c r="K13" s="44">
        <f>SUMIF(ALIF_Y2022!$A:$A,$A13,ALIF_Y2022!$F:$F)</f>
        <v>0</v>
      </c>
      <c r="L13" s="44">
        <f>SUMIF(ALIF_Y2023!$A:$A,$A13,ALIF_Y2023!$F:$F)</f>
        <v>569470.01699999999</v>
      </c>
      <c r="M13" s="44">
        <f>SUMIF(ALIF_Y2024!$A:$A,$A13,ALIF_Y2024!$F:$F)</f>
        <v>3661922.77</v>
      </c>
      <c r="N13" s="44">
        <f>SUMIF(ALIF_Y2025!$A:$A,$A13,ALIF_Y2025!$F:$F)</f>
        <v>-543176.42200000002</v>
      </c>
      <c r="O13" s="44">
        <f>SUMIF(TB_Input_Alif!$A:$A,$A13,TB_Input_Alif!$F:$F)</f>
        <v>-543176.42200000002</v>
      </c>
      <c r="P13" s="43" t="str">
        <f>_xlfn.XLOOKUP(A13,Map!A:A,Map!E:E)</f>
        <v>Property, plant and equipment</v>
      </c>
      <c r="Q13" s="43" t="str">
        <f>_xlfn.XLOOKUP(A13,Map!A:A,Map!D:D)</f>
        <v>Non-Current Assets</v>
      </c>
    </row>
    <row r="14" spans="1:17" x14ac:dyDescent="0.25">
      <c r="A14" s="42">
        <v>111099</v>
      </c>
      <c r="B14" s="43" t="s">
        <v>828</v>
      </c>
      <c r="C14" s="44">
        <f>SUMIF(ALIF_Y2014!$A:$A,$A14,ALIF_Y2014!$F:$F)</f>
        <v>0</v>
      </c>
      <c r="D14" s="44">
        <f>SUMIF(ALIF_Y2015!$A:$A,$A14,ALIF_Y2015!$F:$F)</f>
        <v>0</v>
      </c>
      <c r="E14" s="44">
        <f>SUMIF(ALIF_Y2016!$A:$A,$A14,ALIF_Y2016!$F:$F)</f>
        <v>0</v>
      </c>
      <c r="F14" s="44">
        <f>SUMIF(ALIF_Y2017!$A:$A,$A14,ALIF_Y2017!$F:$F)</f>
        <v>0</v>
      </c>
      <c r="G14" s="44">
        <f>SUMIF(ALIF_Y2018!$A:$A,$A14,ALIF_Y2018!$F:$F)</f>
        <v>0</v>
      </c>
      <c r="H14" s="44">
        <f>SUMIF(ALIF_Y2019!$A:$A,$A14,ALIF_Y2019!$F:$F)</f>
        <v>0</v>
      </c>
      <c r="I14" s="44">
        <f>SUMIF(ALIF_Y2020!$A:$A,$A14,ALIF_Y2020!$F:$F)</f>
        <v>0</v>
      </c>
      <c r="J14" s="44">
        <f>SUMIF(ALIF_Y2021!$A:$A,$A14,ALIF_Y2021!$F:$F)</f>
        <v>0</v>
      </c>
      <c r="K14" s="44">
        <f>SUMIF(ALIF_Y2022!$A:$A,$A14,ALIF_Y2022!$F:$F)</f>
        <v>0</v>
      </c>
      <c r="L14" s="44">
        <f>SUMIF(ALIF_Y2023!$A:$A,$A14,ALIF_Y2023!$F:$F)</f>
        <v>0</v>
      </c>
      <c r="M14" s="44">
        <f>SUMIF(ALIF_Y2024!$A:$A,$A14,ALIF_Y2024!$F:$F)</f>
        <v>220102.927</v>
      </c>
      <c r="N14" s="44">
        <f>SUMIF(ALIF_Y2025!$A:$A,$A14,ALIF_Y2025!$F:$F)</f>
        <v>135753.14199999999</v>
      </c>
      <c r="O14" s="44">
        <f>SUMIF(TB_Input_Alif!$A:$A,$A14,TB_Input_Alif!$F:$F)</f>
        <v>6121546.4010000005</v>
      </c>
      <c r="P14" s="43" t="str">
        <f>_xlfn.XLOOKUP(A14,Map!A:A,Map!E:E)</f>
        <v>Property, plant and equipment</v>
      </c>
      <c r="Q14" s="43" t="str">
        <f>_xlfn.XLOOKUP(A14,Map!A:A,Map!D:D)</f>
        <v>Non-Current Assets</v>
      </c>
    </row>
    <row r="15" spans="1:17" x14ac:dyDescent="0.25">
      <c r="A15" s="42">
        <v>120001</v>
      </c>
      <c r="B15" s="43" t="s">
        <v>829</v>
      </c>
      <c r="C15" s="44">
        <f>SUMIF(ALIF_Y2014!$A:$A,$A15,ALIF_Y2014!$F:$F)</f>
        <v>-227682.83</v>
      </c>
      <c r="D15" s="44">
        <f>SUMIF(ALIF_Y2015!$A:$A,$A15,ALIF_Y2015!$F:$F)</f>
        <v>-242695.31099999999</v>
      </c>
      <c r="E15" s="44">
        <f>SUMIF(ALIF_Y2016!$A:$A,$A15,ALIF_Y2016!$F:$F)</f>
        <v>-249150.337</v>
      </c>
      <c r="F15" s="44">
        <f>SUMIF(ALIF_Y2017!$A:$A,$A15,ALIF_Y2017!$F:$F)</f>
        <v>-249682.00700000001</v>
      </c>
      <c r="G15" s="44">
        <f>SUMIF(ALIF_Y2018!$A:$A,$A15,ALIF_Y2018!$F:$F)</f>
        <v>-694867.68700000003</v>
      </c>
      <c r="H15" s="44">
        <f>SUMIF(ALIF_Y2019!$A:$A,$A15,ALIF_Y2019!$F:$F)</f>
        <v>-2186446.301</v>
      </c>
      <c r="I15" s="44">
        <f>SUMIF(ALIF_Y2020!$A:$A,$A15,ALIF_Y2020!$F:$F)</f>
        <v>-3753290.4920000001</v>
      </c>
      <c r="J15" s="44">
        <f>SUMIF(ALIF_Y2021!$A:$A,$A15,ALIF_Y2021!$F:$F)</f>
        <v>-5320134.68</v>
      </c>
      <c r="K15" s="44">
        <f>SUMIF(ALIF_Y2022!$A:$A,$A15,ALIF_Y2022!$F:$F)</f>
        <v>-6886978.8799999999</v>
      </c>
      <c r="L15" s="44">
        <f>SUMIF(ALIF_Y2023!$A:$A,$A15,ALIF_Y2023!$F:$F)</f>
        <v>-8453823.0800000001</v>
      </c>
      <c r="M15" s="44">
        <f>SUMIF(ALIF_Y2024!$A:$A,$A15,ALIF_Y2024!$F:$F)</f>
        <v>-10037150.582</v>
      </c>
      <c r="N15" s="44">
        <f>SUMIF(ALIF_Y2025!$A:$A,$A15,ALIF_Y2025!$F:$F)</f>
        <v>-11630035.142999999</v>
      </c>
      <c r="O15" s="44">
        <f>SUMIF(TB_Input_Alif!$A:$A,$A15,TB_Input_Alif!$F:$F)</f>
        <v>-12824698.562999999</v>
      </c>
      <c r="P15" s="43" t="str">
        <f>_xlfn.XLOOKUP(A15,Map!A:A,Map!E:E)</f>
        <v>Property, plant and equipment</v>
      </c>
      <c r="Q15" s="43" t="str">
        <f>_xlfn.XLOOKUP(A15,Map!A:A,Map!D:D)</f>
        <v>Non-Current Assets</v>
      </c>
    </row>
    <row r="16" spans="1:17" x14ac:dyDescent="0.25">
      <c r="A16" s="42">
        <v>120002</v>
      </c>
      <c r="B16" s="43" t="s">
        <v>830</v>
      </c>
      <c r="C16" s="44">
        <f>SUMIF(ALIF_Y2014!$A:$A,$A16,ALIF_Y2014!$F:$F)</f>
        <v>-1715968.22</v>
      </c>
      <c r="D16" s="44">
        <f>SUMIF(ALIF_Y2015!$A:$A,$A16,ALIF_Y2015!$F:$F)</f>
        <v>-1760033.9739999999</v>
      </c>
      <c r="E16" s="44">
        <f>SUMIF(ALIF_Y2016!$A:$A,$A16,ALIF_Y2016!$F:$F)</f>
        <v>-1767393.959</v>
      </c>
      <c r="F16" s="44">
        <f>SUMIF(ALIF_Y2017!$A:$A,$A16,ALIF_Y2017!$F:$F)</f>
        <v>-1769803.922</v>
      </c>
      <c r="G16" s="44">
        <f>SUMIF(ALIF_Y2018!$A:$A,$A16,ALIF_Y2018!$F:$F)</f>
        <v>-1782181.44</v>
      </c>
      <c r="H16" s="44">
        <f>SUMIF(ALIF_Y2019!$A:$A,$A16,ALIF_Y2019!$F:$F)</f>
        <v>-1796679.77</v>
      </c>
      <c r="I16" s="44">
        <f>SUMIF(ALIF_Y2020!$A:$A,$A16,ALIF_Y2020!$F:$F)</f>
        <v>-1765393.774</v>
      </c>
      <c r="J16" s="44">
        <f>SUMIF(ALIF_Y2021!$A:$A,$A16,ALIF_Y2021!$F:$F)</f>
        <v>-1765393.774</v>
      </c>
      <c r="K16" s="44">
        <f>SUMIF(ALIF_Y2022!$A:$A,$A16,ALIF_Y2022!$F:$F)</f>
        <v>-1765393.774</v>
      </c>
      <c r="L16" s="44">
        <f>SUMIF(ALIF_Y2023!$A:$A,$A16,ALIF_Y2023!$F:$F)</f>
        <v>-1765393.774</v>
      </c>
      <c r="M16" s="44">
        <f>SUMIF(ALIF_Y2024!$A:$A,$A16,ALIF_Y2024!$F:$F)</f>
        <v>-1765393.774</v>
      </c>
      <c r="N16" s="44">
        <f>SUMIF(ALIF_Y2025!$A:$A,$A16,ALIF_Y2025!$F:$F)</f>
        <v>-1783073.851</v>
      </c>
      <c r="O16" s="44">
        <f>SUMIF(TB_Input_Alif!$A:$A,$A16,TB_Input_Alif!$F:$F)</f>
        <v>-1822325.101</v>
      </c>
      <c r="P16" s="43" t="str">
        <f>_xlfn.XLOOKUP(A16,Map!A:A,Map!E:E)</f>
        <v>Property, plant and equipment</v>
      </c>
      <c r="Q16" s="43" t="str">
        <f>_xlfn.XLOOKUP(A16,Map!A:A,Map!D:D)</f>
        <v>Non-Current Assets</v>
      </c>
    </row>
    <row r="17" spans="1:17" x14ac:dyDescent="0.25">
      <c r="A17" s="42">
        <v>120003</v>
      </c>
      <c r="B17" s="43" t="s">
        <v>831</v>
      </c>
      <c r="C17" s="44">
        <f>SUMIF(ALIF_Y2014!$A:$A,$A17,ALIF_Y2014!$F:$F)</f>
        <v>-20403680.359999999</v>
      </c>
      <c r="D17" s="44">
        <f>SUMIF(ALIF_Y2015!$A:$A,$A17,ALIF_Y2015!$F:$F)</f>
        <v>-23854970.600000001</v>
      </c>
      <c r="E17" s="44">
        <f>SUMIF(ALIF_Y2016!$A:$A,$A17,ALIF_Y2016!$F:$F)</f>
        <v>-27289886.682999998</v>
      </c>
      <c r="F17" s="44">
        <f>SUMIF(ALIF_Y2017!$A:$A,$A17,ALIF_Y2017!$F:$F)</f>
        <v>-30823321.811999999</v>
      </c>
      <c r="G17" s="44">
        <f>SUMIF(ALIF_Y2018!$A:$A,$A17,ALIF_Y2018!$F:$F)</f>
        <v>-34787312.380000003</v>
      </c>
      <c r="H17" s="44">
        <f>SUMIF(ALIF_Y2019!$A:$A,$A17,ALIF_Y2019!$F:$F)</f>
        <v>-38426515.730999999</v>
      </c>
      <c r="I17" s="44">
        <f>SUMIF(ALIF_Y2020!$A:$A,$A17,ALIF_Y2020!$F:$F)</f>
        <v>-36593196.344999999</v>
      </c>
      <c r="J17" s="44">
        <f>SUMIF(ALIF_Y2021!$A:$A,$A17,ALIF_Y2021!$F:$F)</f>
        <v>-40039866.482000001</v>
      </c>
      <c r="K17" s="44">
        <f>SUMIF(ALIF_Y2022!$A:$A,$A17,ALIF_Y2022!$F:$F)</f>
        <v>-43870447.883000001</v>
      </c>
      <c r="L17" s="44">
        <f>SUMIF(ALIF_Y2023!$A:$A,$A17,ALIF_Y2023!$F:$F)</f>
        <v>-41530054.737999998</v>
      </c>
      <c r="M17" s="44">
        <f>SUMIF(ALIF_Y2024!$A:$A,$A17,ALIF_Y2024!$F:$F)</f>
        <v>-46052949.350000001</v>
      </c>
      <c r="N17" s="44">
        <f>SUMIF(ALIF_Y2025!$A:$A,$A17,ALIF_Y2025!$F:$F)</f>
        <v>-50348213.066</v>
      </c>
      <c r="O17" s="44">
        <f>SUMIF(TB_Input_Alif!$A:$A,$A17,TB_Input_Alif!$F:$F)</f>
        <v>-56961968.603880718</v>
      </c>
      <c r="P17" s="43" t="str">
        <f>_xlfn.XLOOKUP(A17,Map!A:A,Map!E:E)</f>
        <v>Property, plant and equipment</v>
      </c>
      <c r="Q17" s="43" t="str">
        <f>_xlfn.XLOOKUP(A17,Map!A:A,Map!D:D)</f>
        <v>Non-Current Assets</v>
      </c>
    </row>
    <row r="18" spans="1:17" x14ac:dyDescent="0.25">
      <c r="A18" s="42">
        <v>120005</v>
      </c>
      <c r="B18" s="43" t="s">
        <v>832</v>
      </c>
      <c r="C18" s="44">
        <f>SUMIF(ALIF_Y2014!$A:$A,$A18,ALIF_Y2014!$F:$F)</f>
        <v>-1053780.57</v>
      </c>
      <c r="D18" s="44">
        <f>SUMIF(ALIF_Y2015!$A:$A,$A18,ALIF_Y2015!$F:$F)</f>
        <v>-1243715.98</v>
      </c>
      <c r="E18" s="44">
        <f>SUMIF(ALIF_Y2016!$A:$A,$A18,ALIF_Y2016!$F:$F)</f>
        <v>-1332799.317</v>
      </c>
      <c r="F18" s="44">
        <f>SUMIF(ALIF_Y2017!$A:$A,$A18,ALIF_Y2017!$F:$F)</f>
        <v>-1421470.1470000001</v>
      </c>
      <c r="G18" s="44">
        <f>SUMIF(ALIF_Y2018!$A:$A,$A18,ALIF_Y2018!$F:$F)</f>
        <v>-1571590.63</v>
      </c>
      <c r="H18" s="44">
        <f>SUMIF(ALIF_Y2019!$A:$A,$A18,ALIF_Y2019!$F:$F)</f>
        <v>-1767725.9750000001</v>
      </c>
      <c r="I18" s="44">
        <f>SUMIF(ALIF_Y2020!$A:$A,$A18,ALIF_Y2020!$F:$F)</f>
        <v>-1917847.0859999999</v>
      </c>
      <c r="J18" s="44">
        <f>SUMIF(ALIF_Y2021!$A:$A,$A18,ALIF_Y2021!$F:$F)</f>
        <v>-2024836.368</v>
      </c>
      <c r="K18" s="44">
        <f>SUMIF(ALIF_Y2022!$A:$A,$A18,ALIF_Y2022!$F:$F)</f>
        <v>-2184859.4500000002</v>
      </c>
      <c r="L18" s="44">
        <f>SUMIF(ALIF_Y2023!$A:$A,$A18,ALIF_Y2023!$F:$F)</f>
        <v>-2378006.81</v>
      </c>
      <c r="M18" s="44">
        <f>SUMIF(ALIF_Y2024!$A:$A,$A18,ALIF_Y2024!$F:$F)</f>
        <v>-2441519.38</v>
      </c>
      <c r="N18" s="44">
        <f>SUMIF(ALIF_Y2025!$A:$A,$A18,ALIF_Y2025!$F:$F)</f>
        <v>-2703445.1510000001</v>
      </c>
      <c r="O18" s="44">
        <f>SUMIF(TB_Input_Alif!$A:$A,$A18,TB_Input_Alif!$F:$F)</f>
        <v>-2949466.1749999993</v>
      </c>
      <c r="P18" s="43" t="str">
        <f>_xlfn.XLOOKUP(A18,Map!A:A,Map!E:E)</f>
        <v>Property, plant and equipment</v>
      </c>
      <c r="Q18" s="43" t="str">
        <f>_xlfn.XLOOKUP(A18,Map!A:A,Map!D:D)</f>
        <v>Non-Current Assets</v>
      </c>
    </row>
    <row r="19" spans="1:17" x14ac:dyDescent="0.25">
      <c r="A19" s="42">
        <v>120006</v>
      </c>
      <c r="B19" s="43" t="s">
        <v>833</v>
      </c>
      <c r="C19" s="44">
        <f>SUMIF(ALIF_Y2014!$A:$A,$A19,ALIF_Y2014!$F:$F)</f>
        <v>-69116.08</v>
      </c>
      <c r="D19" s="44">
        <f>SUMIF(ALIF_Y2015!$A:$A,$A19,ALIF_Y2015!$F:$F)</f>
        <v>-255844.21</v>
      </c>
      <c r="E19" s="44">
        <f>SUMIF(ALIF_Y2016!$A:$A,$A19,ALIF_Y2016!$F:$F)</f>
        <v>-439911.33799999999</v>
      </c>
      <c r="F19" s="44">
        <f>SUMIF(ALIF_Y2017!$A:$A,$A19,ALIF_Y2017!$F:$F)</f>
        <v>-619613.80299999996</v>
      </c>
      <c r="G19" s="44">
        <f>SUMIF(ALIF_Y2018!$A:$A,$A19,ALIF_Y2018!$F:$F)</f>
        <v>-812734.49100000004</v>
      </c>
      <c r="H19" s="44">
        <f>SUMIF(ALIF_Y2019!$A:$A,$A19,ALIF_Y2019!$F:$F)</f>
        <v>-832232.89099999995</v>
      </c>
      <c r="I19" s="44">
        <f>SUMIF(ALIF_Y2020!$A:$A,$A19,ALIF_Y2020!$F:$F)</f>
        <v>-928574.01399999997</v>
      </c>
      <c r="J19" s="44">
        <f>SUMIF(ALIF_Y2021!$A:$A,$A19,ALIF_Y2021!$F:$F)</f>
        <v>-1048090.056</v>
      </c>
      <c r="K19" s="44">
        <f>SUMIF(ALIF_Y2022!$A:$A,$A19,ALIF_Y2022!$F:$F)</f>
        <v>-1338351.8049999999</v>
      </c>
      <c r="L19" s="44">
        <f>SUMIF(ALIF_Y2023!$A:$A,$A19,ALIF_Y2023!$F:$F)</f>
        <v>-1629306.473</v>
      </c>
      <c r="M19" s="44">
        <f>SUMIF(ALIF_Y2024!$A:$A,$A19,ALIF_Y2024!$F:$F)</f>
        <v>-1893185.9580000001</v>
      </c>
      <c r="N19" s="44">
        <f>SUMIF(ALIF_Y2025!$A:$A,$A19,ALIF_Y2025!$F:$F)</f>
        <v>-2220442.0430000001</v>
      </c>
      <c r="O19" s="44">
        <f>SUMIF(TB_Input_Alif!$A:$A,$A19,TB_Input_Alif!$F:$F)</f>
        <v>-2336758.6437500003</v>
      </c>
      <c r="P19" s="43" t="str">
        <f>_xlfn.XLOOKUP(A19,Map!A:A,Map!E:E)</f>
        <v>Property, plant and equipment</v>
      </c>
      <c r="Q19" s="43" t="str">
        <f>_xlfn.XLOOKUP(A19,Map!A:A,Map!D:D)</f>
        <v>Non-Current Assets</v>
      </c>
    </row>
    <row r="20" spans="1:17" x14ac:dyDescent="0.25">
      <c r="A20" s="42">
        <v>120007</v>
      </c>
      <c r="B20" s="43" t="s">
        <v>834</v>
      </c>
      <c r="C20" s="44">
        <f>SUMIF(ALIF_Y2014!$A:$A,$A20,ALIF_Y2014!$F:$F)</f>
        <v>-154323.31899999999</v>
      </c>
      <c r="D20" s="44">
        <f>SUMIF(ALIF_Y2015!$A:$A,$A20,ALIF_Y2015!$F:$F)</f>
        <v>-167396.32199999999</v>
      </c>
      <c r="E20" s="44">
        <f>SUMIF(ALIF_Y2016!$A:$A,$A20,ALIF_Y2016!$F:$F)</f>
        <v>-176382.90299999999</v>
      </c>
      <c r="F20" s="44">
        <f>SUMIF(ALIF_Y2017!$A:$A,$A20,ALIF_Y2017!$F:$F)</f>
        <v>-182314.43299999999</v>
      </c>
      <c r="G20" s="44">
        <f>SUMIF(ALIF_Y2018!$A:$A,$A20,ALIF_Y2018!$F:$F)</f>
        <v>-221019.97700000001</v>
      </c>
      <c r="H20" s="44">
        <f>SUMIF(ALIF_Y2019!$A:$A,$A20,ALIF_Y2019!$F:$F)</f>
        <v>-264210.005</v>
      </c>
      <c r="I20" s="44">
        <f>SUMIF(ALIF_Y2020!$A:$A,$A20,ALIF_Y2020!$F:$F)</f>
        <v>-320357.62</v>
      </c>
      <c r="J20" s="44">
        <f>SUMIF(ALIF_Y2021!$A:$A,$A20,ALIF_Y2021!$F:$F)</f>
        <v>-396808.4</v>
      </c>
      <c r="K20" s="44">
        <f>SUMIF(ALIF_Y2022!$A:$A,$A20,ALIF_Y2022!$F:$F)</f>
        <v>-479538.73200000002</v>
      </c>
      <c r="L20" s="44">
        <f>SUMIF(ALIF_Y2023!$A:$A,$A20,ALIF_Y2023!$F:$F)</f>
        <v>-567470.49600000004</v>
      </c>
      <c r="M20" s="44">
        <f>SUMIF(ALIF_Y2024!$A:$A,$A20,ALIF_Y2024!$F:$F)</f>
        <v>-656529.25399999996</v>
      </c>
      <c r="N20" s="44">
        <f>SUMIF(ALIF_Y2025!$A:$A,$A20,ALIF_Y2025!$F:$F)</f>
        <v>-748291.75800000003</v>
      </c>
      <c r="O20" s="44">
        <f>SUMIF(TB_Input_Alif!$A:$A,$A20,TB_Input_Alif!$F:$F)</f>
        <v>-817521.91350000002</v>
      </c>
      <c r="P20" s="43" t="str">
        <f>_xlfn.XLOOKUP(A20,Map!A:A,Map!E:E)</f>
        <v>Property, plant and equipment</v>
      </c>
      <c r="Q20" s="43" t="str">
        <f>_xlfn.XLOOKUP(A20,Map!A:A,Map!D:D)</f>
        <v>Non-Current Assets</v>
      </c>
    </row>
    <row r="21" spans="1:17" x14ac:dyDescent="0.25">
      <c r="A21" s="42">
        <v>120008</v>
      </c>
      <c r="B21" s="43" t="s">
        <v>835</v>
      </c>
      <c r="C21" s="44">
        <f>SUMIF(ALIF_Y2014!$A:$A,$A21,ALIF_Y2014!$F:$F)</f>
        <v>0</v>
      </c>
      <c r="D21" s="44">
        <f>SUMIF(ALIF_Y2015!$A:$A,$A21,ALIF_Y2015!$F:$F)</f>
        <v>0</v>
      </c>
      <c r="E21" s="44">
        <f>SUMIF(ALIF_Y2016!$A:$A,$A21,ALIF_Y2016!$F:$F)</f>
        <v>0</v>
      </c>
      <c r="F21" s="44">
        <f>SUMIF(ALIF_Y2017!$A:$A,$A21,ALIF_Y2017!$F:$F)</f>
        <v>0</v>
      </c>
      <c r="G21" s="44">
        <f>SUMIF(ALIF_Y2018!$A:$A,$A21,ALIF_Y2018!$F:$F)</f>
        <v>0</v>
      </c>
      <c r="H21" s="44">
        <f>SUMIF(ALIF_Y2019!$A:$A,$A21,ALIF_Y2019!$F:$F)</f>
        <v>-24787</v>
      </c>
      <c r="I21" s="44">
        <f>SUMIF(ALIF_Y2020!$A:$A,$A21,ALIF_Y2020!$F:$F)</f>
        <v>-173509.508</v>
      </c>
      <c r="J21" s="44">
        <f>SUMIF(ALIF_Y2021!$A:$A,$A21,ALIF_Y2021!$F:$F)</f>
        <v>-333622.50799999997</v>
      </c>
      <c r="K21" s="44">
        <f>SUMIF(ALIF_Y2022!$A:$A,$A21,ALIF_Y2022!$F:$F)</f>
        <v>-482953.92099999997</v>
      </c>
      <c r="L21" s="44">
        <f>SUMIF(ALIF_Y2023!$A:$A,$A21,ALIF_Y2023!$F:$F)</f>
        <v>-645860.91700000002</v>
      </c>
      <c r="M21" s="44">
        <f>SUMIF(ALIF_Y2024!$A:$A,$A21,ALIF_Y2024!$F:$F)</f>
        <v>-794582.52099999995</v>
      </c>
      <c r="N21" s="44">
        <f>SUMIF(ALIF_Y2025!$A:$A,$A21,ALIF_Y2025!$F:$F)</f>
        <v>-1128826.4210000001</v>
      </c>
      <c r="O21" s="44">
        <f>SUMIF(TB_Input_Alif!$A:$A,$A21,TB_Input_Alif!$F:$F)</f>
        <v>-1042052.6459999999</v>
      </c>
      <c r="P21" s="43" t="str">
        <f>_xlfn.XLOOKUP(A21,Map!A:A,Map!E:E)</f>
        <v>Right of use</v>
      </c>
      <c r="Q21" s="43" t="str">
        <f>_xlfn.XLOOKUP(A21,Map!A:A,Map!D:D)</f>
        <v>Non-Current Assets</v>
      </c>
    </row>
    <row r="22" spans="1:17" x14ac:dyDescent="0.25">
      <c r="A22" s="42">
        <v>121001</v>
      </c>
      <c r="B22" s="43" t="s">
        <v>836</v>
      </c>
      <c r="C22" s="44">
        <f>SUMIF(ALIF_Y2014!$A:$A,$A22,ALIF_Y2014!$F:$F)</f>
        <v>5363766.13</v>
      </c>
      <c r="D22" s="44">
        <f>SUMIF(ALIF_Y2015!$A:$A,$A22,ALIF_Y2015!$F:$F)</f>
        <v>6677123.2829999998</v>
      </c>
      <c r="E22" s="44">
        <f>SUMIF(ALIF_Y2016!$A:$A,$A22,ALIF_Y2016!$F:$F)</f>
        <v>8098665.1299999999</v>
      </c>
      <c r="F22" s="44">
        <f>SUMIF(ALIF_Y2017!$A:$A,$A22,ALIF_Y2017!$F:$F)</f>
        <v>13762616.130000001</v>
      </c>
      <c r="G22" s="44">
        <f>SUMIF(ALIF_Y2018!$A:$A,$A22,ALIF_Y2018!$F:$F)</f>
        <v>13762616.130000001</v>
      </c>
      <c r="H22" s="44">
        <f>SUMIF(ALIF_Y2019!$A:$A,$A22,ALIF_Y2019!$F:$F)</f>
        <v>13762616.130000001</v>
      </c>
      <c r="I22" s="44">
        <f>SUMIF(ALIF_Y2020!$A:$A,$A22,ALIF_Y2020!$F:$F)</f>
        <v>13762616.130000001</v>
      </c>
      <c r="J22" s="44">
        <f>SUMIF(ALIF_Y2021!$A:$A,$A22,ALIF_Y2021!$F:$F)</f>
        <v>13762616.130000001</v>
      </c>
      <c r="K22" s="44">
        <f>SUMIF(ALIF_Y2022!$A:$A,$A22,ALIF_Y2022!$F:$F)</f>
        <v>13762616.130000001</v>
      </c>
      <c r="L22" s="44">
        <f>SUMIF(ALIF_Y2023!$A:$A,$A22,ALIF_Y2023!$F:$F)</f>
        <v>13762616.130000001</v>
      </c>
      <c r="M22" s="44">
        <f>SUMIF(ALIF_Y2024!$A:$A,$A22,ALIF_Y2024!$F:$F)</f>
        <v>13762616.130000001</v>
      </c>
      <c r="N22" s="44">
        <f>SUMIF(ALIF_Y2025!$A:$A,$A22,ALIF_Y2025!$F:$F)</f>
        <v>13762616.130000001</v>
      </c>
      <c r="O22" s="44">
        <f>SUMIF(TB_Input_Alif!$A:$A,$A22,TB_Input_Alif!$F:$F)</f>
        <v>13762616.130000001</v>
      </c>
      <c r="P22" s="43" t="str">
        <f>_xlfn.XLOOKUP(A22,Map!A:A,Map!E:E)</f>
        <v>Prepaid expenses</v>
      </c>
      <c r="Q22" s="43" t="str">
        <f>_xlfn.XLOOKUP(A22,Map!A:A,Map!D:D)</f>
        <v>Current Assets</v>
      </c>
    </row>
    <row r="23" spans="1:17" x14ac:dyDescent="0.25">
      <c r="A23" s="42">
        <v>121002</v>
      </c>
      <c r="B23" s="43" t="s">
        <v>837</v>
      </c>
      <c r="C23" s="44">
        <f>SUMIF(ALIF_Y2014!$A:$A,$A23,ALIF_Y2014!$F:$F)</f>
        <v>-3650674.13</v>
      </c>
      <c r="D23" s="44">
        <f>SUMIF(ALIF_Y2015!$A:$A,$A23,ALIF_Y2015!$F:$F)</f>
        <v>-3650674.13</v>
      </c>
      <c r="E23" s="44">
        <f>SUMIF(ALIF_Y2016!$A:$A,$A23,ALIF_Y2016!$F:$F)</f>
        <v>-8098665.1299999999</v>
      </c>
      <c r="F23" s="44">
        <f>SUMIF(ALIF_Y2017!$A:$A,$A23,ALIF_Y2017!$F:$F)</f>
        <v>-13762616.130000001</v>
      </c>
      <c r="G23" s="44">
        <f>SUMIF(ALIF_Y2018!$A:$A,$A23,ALIF_Y2018!$F:$F)</f>
        <v>-13762616.130000001</v>
      </c>
      <c r="H23" s="44">
        <f>SUMIF(ALIF_Y2019!$A:$A,$A23,ALIF_Y2019!$F:$F)</f>
        <v>-13762616.130000001</v>
      </c>
      <c r="I23" s="44">
        <f>SUMIF(ALIF_Y2020!$A:$A,$A23,ALIF_Y2020!$F:$F)</f>
        <v>-13762616.130000001</v>
      </c>
      <c r="J23" s="44">
        <f>SUMIF(ALIF_Y2021!$A:$A,$A23,ALIF_Y2021!$F:$F)</f>
        <v>-13762616.130000001</v>
      </c>
      <c r="K23" s="44">
        <f>SUMIF(ALIF_Y2022!$A:$A,$A23,ALIF_Y2022!$F:$F)</f>
        <v>-13762616.130000001</v>
      </c>
      <c r="L23" s="44">
        <f>SUMIF(ALIF_Y2023!$A:$A,$A23,ALIF_Y2023!$F:$F)</f>
        <v>-13762616.130000001</v>
      </c>
      <c r="M23" s="44">
        <f>SUMIF(ALIF_Y2024!$A:$A,$A23,ALIF_Y2024!$F:$F)</f>
        <v>-13762616.130000001</v>
      </c>
      <c r="N23" s="44">
        <f>SUMIF(ALIF_Y2025!$A:$A,$A23,ALIF_Y2025!$F:$F)</f>
        <v>-13762616.130000001</v>
      </c>
      <c r="O23" s="44">
        <f>SUMIF(TB_Input_Alif!$A:$A,$A23,TB_Input_Alif!$F:$F)</f>
        <v>-13762616.130000001</v>
      </c>
      <c r="P23" s="43" t="str">
        <f>_xlfn.XLOOKUP(A23,Map!A:A,Map!E:E)</f>
        <v>Prepaid expenses</v>
      </c>
      <c r="Q23" s="43" t="str">
        <f>_xlfn.XLOOKUP(A23,Map!A:A,Map!D:D)</f>
        <v>Current Assets</v>
      </c>
    </row>
    <row r="24" spans="1:17" x14ac:dyDescent="0.25">
      <c r="A24" s="42">
        <v>130001</v>
      </c>
      <c r="B24" s="43" t="s">
        <v>838</v>
      </c>
      <c r="C24" s="44">
        <f>SUMIF(ALIF_Y2014!$A:$A,$A24,ALIF_Y2014!$F:$F)</f>
        <v>7283978.5010000002</v>
      </c>
      <c r="D24" s="44">
        <f>SUMIF(ALIF_Y2015!$A:$A,$A24,ALIF_Y2015!$F:$F)</f>
        <v>2480104.2799999998</v>
      </c>
      <c r="E24" s="44">
        <f>SUMIF(ALIF_Y2016!$A:$A,$A24,ALIF_Y2016!$F:$F)</f>
        <v>2109690.5099999998</v>
      </c>
      <c r="F24" s="44">
        <f>SUMIF(ALIF_Y2017!$A:$A,$A24,ALIF_Y2017!$F:$F)</f>
        <v>2591031.906</v>
      </c>
      <c r="G24" s="44">
        <f>SUMIF(ALIF_Y2018!$A:$A,$A24,ALIF_Y2018!$F:$F)</f>
        <v>2068549.69</v>
      </c>
      <c r="H24" s="44">
        <f>SUMIF(ALIF_Y2019!$A:$A,$A24,ALIF_Y2019!$F:$F)</f>
        <v>1482460.22</v>
      </c>
      <c r="I24" s="44">
        <f>SUMIF(ALIF_Y2020!$A:$A,$A24,ALIF_Y2020!$F:$F)</f>
        <v>-0.41</v>
      </c>
      <c r="J24" s="44">
        <f>SUMIF(ALIF_Y2021!$A:$A,$A24,ALIF_Y2021!$F:$F)</f>
        <v>254890.07</v>
      </c>
      <c r="K24" s="44">
        <f>SUMIF(ALIF_Y2022!$A:$A,$A24,ALIF_Y2022!$F:$F)</f>
        <v>0</v>
      </c>
      <c r="L24" s="44">
        <f>SUMIF(ALIF_Y2023!$A:$A,$A24,ALIF_Y2023!$F:$F)</f>
        <v>0</v>
      </c>
      <c r="M24" s="44">
        <f>SUMIF(ALIF_Y2024!$A:$A,$A24,ALIF_Y2024!$F:$F)</f>
        <v>65206.73</v>
      </c>
      <c r="N24" s="44">
        <f>SUMIF(ALIF_Y2025!$A:$A,$A24,ALIF_Y2025!$F:$F)</f>
        <v>0</v>
      </c>
      <c r="O24" s="44">
        <f>SUMIF(TB_Input_Alif!$A:$A,$A24,TB_Input_Alif!$F:$F)</f>
        <v>0</v>
      </c>
      <c r="P24" s="43" t="str">
        <f>_xlfn.XLOOKUP(A24,Map!A:A,Map!E:E)</f>
        <v>Cash and cash equivalents</v>
      </c>
      <c r="Q24" s="43" t="str">
        <f>_xlfn.XLOOKUP(A24,Map!A:A,Map!D:D)</f>
        <v>Current Assets</v>
      </c>
    </row>
    <row r="25" spans="1:17" x14ac:dyDescent="0.25">
      <c r="A25" s="42">
        <v>130002</v>
      </c>
      <c r="B25" s="43" t="s">
        <v>1205</v>
      </c>
      <c r="C25" s="44">
        <f>SUMIF(ALIF_Y2014!$A:$A,$A25,ALIF_Y2014!$F:$F)</f>
        <v>54868.49</v>
      </c>
      <c r="D25" s="44">
        <f>SUMIF(ALIF_Y2015!$A:$A,$A25,ALIF_Y2015!$F:$F)</f>
        <v>2429.1</v>
      </c>
      <c r="E25" s="44">
        <f>SUMIF(ALIF_Y2016!$A:$A,$A25,ALIF_Y2016!$F:$F)</f>
        <v>30078.2</v>
      </c>
      <c r="F25" s="44">
        <f>SUMIF(ALIF_Y2017!$A:$A,$A25,ALIF_Y2017!$F:$F)</f>
        <v>51063.64</v>
      </c>
      <c r="G25" s="44">
        <f>SUMIF(ALIF_Y2018!$A:$A,$A25,ALIF_Y2018!$F:$F)</f>
        <v>6349.32</v>
      </c>
      <c r="H25" s="44">
        <f>SUMIF(ALIF_Y2019!$A:$A,$A25,ALIF_Y2019!$F:$F)</f>
        <v>777923.25</v>
      </c>
      <c r="I25" s="44">
        <f>SUMIF(ALIF_Y2020!$A:$A,$A25,ALIF_Y2020!$F:$F)</f>
        <v>744918.4</v>
      </c>
      <c r="J25" s="44">
        <f>SUMIF(ALIF_Y2021!$A:$A,$A25,ALIF_Y2021!$F:$F)</f>
        <v>0</v>
      </c>
      <c r="K25" s="44">
        <f>SUMIF(ALIF_Y2022!$A:$A,$A25,ALIF_Y2022!$F:$F)</f>
        <v>0</v>
      </c>
      <c r="L25" s="44">
        <f>SUMIF(ALIF_Y2023!$A:$A,$A25,ALIF_Y2023!$F:$F)</f>
        <v>0</v>
      </c>
      <c r="M25" s="44">
        <f>SUMIF(ALIF_Y2024!$A:$A,$A25,ALIF_Y2024!$F:$F)</f>
        <v>0</v>
      </c>
      <c r="N25" s="44">
        <f>SUMIF(ALIF_Y2025!$A:$A,$A25,ALIF_Y2025!$F:$F)</f>
        <v>0</v>
      </c>
      <c r="O25" s="44">
        <f>SUMIF(TB_Input_Alif!$A:$A,$A25,TB_Input_Alif!$F:$F)</f>
        <v>2000</v>
      </c>
      <c r="P25" s="43" t="str">
        <f>_xlfn.XLOOKUP(A25,Map!A:A,Map!E:E)</f>
        <v>Cash and cash equivalents</v>
      </c>
      <c r="Q25" s="43" t="str">
        <f>_xlfn.XLOOKUP(A25,Map!A:A,Map!D:D)</f>
        <v>Current Assets</v>
      </c>
    </row>
    <row r="26" spans="1:17" x14ac:dyDescent="0.25">
      <c r="A26" s="42">
        <v>130003</v>
      </c>
      <c r="B26" s="43" t="s">
        <v>840</v>
      </c>
      <c r="C26" s="44">
        <f>SUMIF(ALIF_Y2014!$A:$A,$A26,ALIF_Y2014!$F:$F)</f>
        <v>0</v>
      </c>
      <c r="D26" s="44">
        <f>SUMIF(ALIF_Y2015!$A:$A,$A26,ALIF_Y2015!$F:$F)</f>
        <v>0</v>
      </c>
      <c r="E26" s="44">
        <f>SUMIF(ALIF_Y2016!$A:$A,$A26,ALIF_Y2016!$F:$F)</f>
        <v>0</v>
      </c>
      <c r="F26" s="44">
        <f>SUMIF(ALIF_Y2017!$A:$A,$A26,ALIF_Y2017!$F:$F)</f>
        <v>0</v>
      </c>
      <c r="G26" s="44">
        <f>SUMIF(ALIF_Y2018!$A:$A,$A26,ALIF_Y2018!$F:$F)</f>
        <v>0</v>
      </c>
      <c r="H26" s="44">
        <f>SUMIF(ALIF_Y2019!$A:$A,$A26,ALIF_Y2019!$F:$F)</f>
        <v>0</v>
      </c>
      <c r="I26" s="44">
        <f>SUMIF(ALIF_Y2020!$A:$A,$A26,ALIF_Y2020!$F:$F)</f>
        <v>0</v>
      </c>
      <c r="J26" s="44">
        <f>SUMIF(ALIF_Y2021!$A:$A,$A26,ALIF_Y2021!$F:$F)</f>
        <v>0</v>
      </c>
      <c r="K26" s="44">
        <f>SUMIF(ALIF_Y2022!$A:$A,$A26,ALIF_Y2022!$F:$F)</f>
        <v>0</v>
      </c>
      <c r="L26" s="44">
        <f>SUMIF(ALIF_Y2023!$A:$A,$A26,ALIF_Y2023!$F:$F)</f>
        <v>0</v>
      </c>
      <c r="M26" s="44">
        <f>SUMIF(ALIF_Y2024!$A:$A,$A26,ALIF_Y2024!$F:$F)</f>
        <v>0</v>
      </c>
      <c r="N26" s="44">
        <f>SUMIF(ALIF_Y2025!$A:$A,$A26,ALIF_Y2025!$F:$F)</f>
        <v>0</v>
      </c>
      <c r="O26" s="44">
        <f>SUMIF(TB_Input_Alif!$A:$A,$A26,TB_Input_Alif!$F:$F)</f>
        <v>0</v>
      </c>
      <c r="P26" s="43" t="str">
        <f>_xlfn.XLOOKUP(A26,Map!A:A,Map!E:E)</f>
        <v>Cash and cash equivalents</v>
      </c>
      <c r="Q26" s="43" t="str">
        <f>_xlfn.XLOOKUP(A26,Map!A:A,Map!D:D)</f>
        <v>Current Assets</v>
      </c>
    </row>
    <row r="27" spans="1:17" x14ac:dyDescent="0.25">
      <c r="A27" s="42">
        <v>130004</v>
      </c>
      <c r="B27" s="43" t="s">
        <v>841</v>
      </c>
      <c r="C27" s="44">
        <f>SUMIF(ALIF_Y2014!$A:$A,$A27,ALIF_Y2014!$F:$F)</f>
        <v>2446274.11</v>
      </c>
      <c r="D27" s="44">
        <f>SUMIF(ALIF_Y2015!$A:$A,$A27,ALIF_Y2015!$F:$F)</f>
        <v>669960.12</v>
      </c>
      <c r="E27" s="44">
        <f>SUMIF(ALIF_Y2016!$A:$A,$A27,ALIF_Y2016!$F:$F)</f>
        <v>623354.35</v>
      </c>
      <c r="F27" s="44">
        <f>SUMIF(ALIF_Y2017!$A:$A,$A27,ALIF_Y2017!$F:$F)</f>
        <v>2170226.4300000002</v>
      </c>
      <c r="G27" s="44">
        <f>SUMIF(ALIF_Y2018!$A:$A,$A27,ALIF_Y2018!$F:$F)</f>
        <v>281961.51</v>
      </c>
      <c r="H27" s="44">
        <f>SUMIF(ALIF_Y2019!$A:$A,$A27,ALIF_Y2019!$F:$F)</f>
        <v>144938.85</v>
      </c>
      <c r="I27" s="44">
        <f>SUMIF(ALIF_Y2020!$A:$A,$A27,ALIF_Y2020!$F:$F)</f>
        <v>108178.8</v>
      </c>
      <c r="J27" s="44">
        <f>SUMIF(ALIF_Y2021!$A:$A,$A27,ALIF_Y2021!$F:$F)</f>
        <v>31128.799999999999</v>
      </c>
      <c r="K27" s="44">
        <f>SUMIF(ALIF_Y2022!$A:$A,$A27,ALIF_Y2022!$F:$F)</f>
        <v>15028.8</v>
      </c>
      <c r="L27" s="44">
        <f>SUMIF(ALIF_Y2023!$A:$A,$A27,ALIF_Y2023!$F:$F)</f>
        <v>0</v>
      </c>
      <c r="M27" s="44">
        <f>SUMIF(ALIF_Y2024!$A:$A,$A27,ALIF_Y2024!$F:$F)</f>
        <v>0</v>
      </c>
      <c r="N27" s="44">
        <f>SUMIF(ALIF_Y2025!$A:$A,$A27,ALIF_Y2025!$F:$F)</f>
        <v>0</v>
      </c>
      <c r="O27" s="44">
        <f>SUMIF(TB_Input_Alif!$A:$A,$A27,TB_Input_Alif!$F:$F)</f>
        <v>0</v>
      </c>
      <c r="P27" s="43" t="str">
        <f>_xlfn.XLOOKUP(A27,Map!A:A,Map!E:E)</f>
        <v>Cash and cash equivalents</v>
      </c>
      <c r="Q27" s="43" t="str">
        <f>_xlfn.XLOOKUP(A27,Map!A:A,Map!D:D)</f>
        <v>Current Assets</v>
      </c>
    </row>
    <row r="28" spans="1:17" x14ac:dyDescent="0.25">
      <c r="A28" s="42">
        <v>130005</v>
      </c>
      <c r="B28" s="43" t="s">
        <v>842</v>
      </c>
      <c r="C28" s="44">
        <f>SUMIF(ALIF_Y2014!$A:$A,$A28,ALIF_Y2014!$F:$F)</f>
        <v>173876.8</v>
      </c>
      <c r="D28" s="44">
        <f>SUMIF(ALIF_Y2015!$A:$A,$A28,ALIF_Y2015!$F:$F)</f>
        <v>72019.39</v>
      </c>
      <c r="E28" s="44">
        <f>SUMIF(ALIF_Y2016!$A:$A,$A28,ALIF_Y2016!$F:$F)</f>
        <v>5311.27</v>
      </c>
      <c r="F28" s="44">
        <f>SUMIF(ALIF_Y2017!$A:$A,$A28,ALIF_Y2017!$F:$F)</f>
        <v>1196050.98</v>
      </c>
      <c r="G28" s="44">
        <f>SUMIF(ALIF_Y2018!$A:$A,$A28,ALIF_Y2018!$F:$F)</f>
        <v>0</v>
      </c>
      <c r="H28" s="44">
        <f>SUMIF(ALIF_Y2019!$A:$A,$A28,ALIF_Y2019!$F:$F)</f>
        <v>0</v>
      </c>
      <c r="I28" s="44">
        <f>SUMIF(ALIF_Y2020!$A:$A,$A28,ALIF_Y2020!$F:$F)</f>
        <v>0</v>
      </c>
      <c r="J28" s="44">
        <f>SUMIF(ALIF_Y2021!$A:$A,$A28,ALIF_Y2021!$F:$F)</f>
        <v>0</v>
      </c>
      <c r="K28" s="44">
        <f>SUMIF(ALIF_Y2022!$A:$A,$A28,ALIF_Y2022!$F:$F)</f>
        <v>0</v>
      </c>
      <c r="L28" s="44">
        <f>SUMIF(ALIF_Y2023!$A:$A,$A28,ALIF_Y2023!$F:$F)</f>
        <v>0</v>
      </c>
      <c r="M28" s="44">
        <f>SUMIF(ALIF_Y2024!$A:$A,$A28,ALIF_Y2024!$F:$F)</f>
        <v>0</v>
      </c>
      <c r="N28" s="44">
        <f>SUMIF(ALIF_Y2025!$A:$A,$A28,ALIF_Y2025!$F:$F)</f>
        <v>0</v>
      </c>
      <c r="O28" s="44">
        <f>SUMIF(TB_Input_Alif!$A:$A,$A28,TB_Input_Alif!$F:$F)</f>
        <v>0</v>
      </c>
      <c r="P28" s="43" t="str">
        <f>_xlfn.XLOOKUP(A28,Map!A:A,Map!E:E)</f>
        <v>Cash and cash equivalents</v>
      </c>
      <c r="Q28" s="43" t="str">
        <f>_xlfn.XLOOKUP(A28,Map!A:A,Map!D:D)</f>
        <v>Current Assets</v>
      </c>
    </row>
    <row r="29" spans="1:17" x14ac:dyDescent="0.25">
      <c r="A29" s="42">
        <v>130006</v>
      </c>
      <c r="B29" s="43" t="s">
        <v>843</v>
      </c>
      <c r="C29" s="44">
        <f>SUMIF(ALIF_Y2014!$A:$A,$A29,ALIF_Y2014!$F:$F)</f>
        <v>268845.77</v>
      </c>
      <c r="D29" s="44">
        <f>SUMIF(ALIF_Y2015!$A:$A,$A29,ALIF_Y2015!$F:$F)</f>
        <v>127521.81</v>
      </c>
      <c r="E29" s="44">
        <f>SUMIF(ALIF_Y2016!$A:$A,$A29,ALIF_Y2016!$F:$F)</f>
        <v>18521.5</v>
      </c>
      <c r="F29" s="44">
        <f>SUMIF(ALIF_Y2017!$A:$A,$A29,ALIF_Y2017!$F:$F)</f>
        <v>91646.45</v>
      </c>
      <c r="G29" s="44">
        <f>SUMIF(ALIF_Y2018!$A:$A,$A29,ALIF_Y2018!$F:$F)</f>
        <v>26670.35</v>
      </c>
      <c r="H29" s="44">
        <f>SUMIF(ALIF_Y2019!$A:$A,$A29,ALIF_Y2019!$F:$F)</f>
        <v>115009.41</v>
      </c>
      <c r="I29" s="44">
        <f>SUMIF(ALIF_Y2020!$A:$A,$A29,ALIF_Y2020!$F:$F)</f>
        <v>89237.65</v>
      </c>
      <c r="J29" s="44">
        <f>SUMIF(ALIF_Y2021!$A:$A,$A29,ALIF_Y2021!$F:$F)</f>
        <v>221073.65</v>
      </c>
      <c r="K29" s="44">
        <f>SUMIF(ALIF_Y2022!$A:$A,$A29,ALIF_Y2022!$F:$F)</f>
        <v>0</v>
      </c>
      <c r="L29" s="44">
        <f>SUMIF(ALIF_Y2023!$A:$A,$A29,ALIF_Y2023!$F:$F)</f>
        <v>0</v>
      </c>
      <c r="M29" s="44">
        <f>SUMIF(ALIF_Y2024!$A:$A,$A29,ALIF_Y2024!$F:$F)</f>
        <v>0</v>
      </c>
      <c r="N29" s="44">
        <f>SUMIF(ALIF_Y2025!$A:$A,$A29,ALIF_Y2025!$F:$F)</f>
        <v>0</v>
      </c>
      <c r="O29" s="44">
        <f>SUMIF(TB_Input_Alif!$A:$A,$A29,TB_Input_Alif!$F:$F)</f>
        <v>0</v>
      </c>
      <c r="P29" s="43" t="str">
        <f>_xlfn.XLOOKUP(A29,Map!A:A,Map!E:E)</f>
        <v>Cash and cash equivalents</v>
      </c>
      <c r="Q29" s="43" t="str">
        <f>_xlfn.XLOOKUP(A29,Map!A:A,Map!D:D)</f>
        <v>Current Assets</v>
      </c>
    </row>
    <row r="30" spans="1:17" x14ac:dyDescent="0.25">
      <c r="A30" s="42">
        <v>130007</v>
      </c>
      <c r="B30" s="43" t="s">
        <v>844</v>
      </c>
      <c r="C30" s="44">
        <f>SUMIF(ALIF_Y2014!$A:$A,$A30,ALIF_Y2014!$F:$F)</f>
        <v>530312.98</v>
      </c>
      <c r="D30" s="44">
        <f>SUMIF(ALIF_Y2015!$A:$A,$A30,ALIF_Y2015!$F:$F)</f>
        <v>1042740.7</v>
      </c>
      <c r="E30" s="44">
        <f>SUMIF(ALIF_Y2016!$A:$A,$A30,ALIF_Y2016!$F:$F)</f>
        <v>1782205.82</v>
      </c>
      <c r="F30" s="44">
        <f>SUMIF(ALIF_Y2017!$A:$A,$A30,ALIF_Y2017!$F:$F)</f>
        <v>812449.21699999995</v>
      </c>
      <c r="G30" s="44">
        <f>SUMIF(ALIF_Y2018!$A:$A,$A30,ALIF_Y2018!$F:$F)</f>
        <v>1634615.09</v>
      </c>
      <c r="H30" s="44">
        <f>SUMIF(ALIF_Y2019!$A:$A,$A30,ALIF_Y2019!$F:$F)</f>
        <v>1132000.1299999999</v>
      </c>
      <c r="I30" s="44">
        <f>SUMIF(ALIF_Y2020!$A:$A,$A30,ALIF_Y2020!$F:$F)</f>
        <v>271627.56</v>
      </c>
      <c r="J30" s="44">
        <f>SUMIF(ALIF_Y2021!$A:$A,$A30,ALIF_Y2021!$F:$F)</f>
        <v>975113.48</v>
      </c>
      <c r="K30" s="44">
        <f>SUMIF(ALIF_Y2022!$A:$A,$A30,ALIF_Y2022!$F:$F)</f>
        <v>1397141.99</v>
      </c>
      <c r="L30" s="44">
        <f>SUMIF(ALIF_Y2023!$A:$A,$A30,ALIF_Y2023!$F:$F)</f>
        <v>0</v>
      </c>
      <c r="M30" s="44">
        <f>SUMIF(ALIF_Y2024!$A:$A,$A30,ALIF_Y2024!$F:$F)</f>
        <v>0</v>
      </c>
      <c r="N30" s="44">
        <f>SUMIF(ALIF_Y2025!$A:$A,$A30,ALIF_Y2025!$F:$F)</f>
        <v>0</v>
      </c>
      <c r="O30" s="44">
        <f>SUMIF(TB_Input_Alif!$A:$A,$A30,TB_Input_Alif!$F:$F)</f>
        <v>0</v>
      </c>
      <c r="P30" s="43" t="str">
        <f>_xlfn.XLOOKUP(A30,Map!A:A,Map!E:E)</f>
        <v>Cash and cash equivalents</v>
      </c>
      <c r="Q30" s="43" t="str">
        <f>_xlfn.XLOOKUP(A30,Map!A:A,Map!D:D)</f>
        <v>Current Assets</v>
      </c>
    </row>
    <row r="31" spans="1:17" x14ac:dyDescent="0.25">
      <c r="A31" s="42">
        <v>130008</v>
      </c>
      <c r="B31" s="43" t="s">
        <v>845</v>
      </c>
      <c r="C31" s="44">
        <f>SUMIF(ALIF_Y2014!$A:$A,$A31,ALIF_Y2014!$F:$F)</f>
        <v>272978.02</v>
      </c>
      <c r="D31" s="44">
        <f>SUMIF(ALIF_Y2015!$A:$A,$A31,ALIF_Y2015!$F:$F)</f>
        <v>16963.79</v>
      </c>
      <c r="E31" s="44">
        <f>SUMIF(ALIF_Y2016!$A:$A,$A31,ALIF_Y2016!$F:$F)</f>
        <v>52027.55</v>
      </c>
      <c r="F31" s="44">
        <f>SUMIF(ALIF_Y2017!$A:$A,$A31,ALIF_Y2017!$F:$F)</f>
        <v>298807.52</v>
      </c>
      <c r="G31" s="44">
        <f>SUMIF(ALIF_Y2018!$A:$A,$A31,ALIF_Y2018!$F:$F)</f>
        <v>4769151.58</v>
      </c>
      <c r="H31" s="44">
        <f>SUMIF(ALIF_Y2019!$A:$A,$A31,ALIF_Y2019!$F:$F)</f>
        <v>1609557.15</v>
      </c>
      <c r="I31" s="44">
        <f>SUMIF(ALIF_Y2020!$A:$A,$A31,ALIF_Y2020!$F:$F)</f>
        <v>1334479.27</v>
      </c>
      <c r="J31" s="44">
        <f>SUMIF(ALIF_Y2021!$A:$A,$A31,ALIF_Y2021!$F:$F)</f>
        <v>563831.72</v>
      </c>
      <c r="K31" s="44">
        <f>SUMIF(ALIF_Y2022!$A:$A,$A31,ALIF_Y2022!$F:$F)</f>
        <v>125346.061</v>
      </c>
      <c r="L31" s="44">
        <f>SUMIF(ALIF_Y2023!$A:$A,$A31,ALIF_Y2023!$F:$F)</f>
        <v>252733.8</v>
      </c>
      <c r="M31" s="44">
        <f>SUMIF(ALIF_Y2024!$A:$A,$A31,ALIF_Y2024!$F:$F)</f>
        <v>194366.21</v>
      </c>
      <c r="N31" s="44">
        <f>SUMIF(ALIF_Y2025!$A:$A,$A31,ALIF_Y2025!$F:$F)</f>
        <v>463277.23</v>
      </c>
      <c r="O31" s="44">
        <f>SUMIF(TB_Input_Alif!$A:$A,$A31,TB_Input_Alif!$F:$F)</f>
        <v>1467382.53</v>
      </c>
      <c r="P31" s="43" t="str">
        <f>_xlfn.XLOOKUP(A31,Map!A:A,Map!E:E)</f>
        <v>Cash and cash equivalents</v>
      </c>
      <c r="Q31" s="43" t="str">
        <f>_xlfn.XLOOKUP(A31,Map!A:A,Map!D:D)</f>
        <v>Current Assets</v>
      </c>
    </row>
    <row r="32" spans="1:17" x14ac:dyDescent="0.25">
      <c r="A32" s="42">
        <v>130009</v>
      </c>
      <c r="B32" s="43" t="s">
        <v>846</v>
      </c>
      <c r="C32" s="44">
        <f>SUMIF(ALIF_Y2014!$A:$A,$A32,ALIF_Y2014!$F:$F)</f>
        <v>0</v>
      </c>
      <c r="D32" s="44">
        <f>SUMIF(ALIF_Y2015!$A:$A,$A32,ALIF_Y2015!$F:$F)</f>
        <v>0</v>
      </c>
      <c r="E32" s="44">
        <f>SUMIF(ALIF_Y2016!$A:$A,$A32,ALIF_Y2016!$F:$F)</f>
        <v>0</v>
      </c>
      <c r="F32" s="44">
        <f>SUMIF(ALIF_Y2017!$A:$A,$A32,ALIF_Y2017!$F:$F)</f>
        <v>0</v>
      </c>
      <c r="G32" s="44">
        <f>SUMIF(ALIF_Y2018!$A:$A,$A32,ALIF_Y2018!$F:$F)</f>
        <v>0</v>
      </c>
      <c r="H32" s="44">
        <f>SUMIF(ALIF_Y2019!$A:$A,$A32,ALIF_Y2019!$F:$F)</f>
        <v>883583.5</v>
      </c>
      <c r="I32" s="44">
        <f>SUMIF(ALIF_Y2020!$A:$A,$A32,ALIF_Y2020!$F:$F)</f>
        <v>481793.78</v>
      </c>
      <c r="J32" s="44">
        <f>SUMIF(ALIF_Y2021!$A:$A,$A32,ALIF_Y2021!$F:$F)</f>
        <v>752895.54099999997</v>
      </c>
      <c r="K32" s="44">
        <f>SUMIF(ALIF_Y2022!$A:$A,$A32,ALIF_Y2022!$F:$F)</f>
        <v>4424114.9989999998</v>
      </c>
      <c r="L32" s="44">
        <f>SUMIF(ALIF_Y2023!$A:$A,$A32,ALIF_Y2023!$F:$F)</f>
        <v>575464.68000000005</v>
      </c>
      <c r="M32" s="44">
        <f>SUMIF(ALIF_Y2024!$A:$A,$A32,ALIF_Y2024!$F:$F)</f>
        <v>38160.93</v>
      </c>
      <c r="N32" s="44">
        <f>SUMIF(ALIF_Y2025!$A:$A,$A32,ALIF_Y2025!$F:$F)</f>
        <v>179637.07500000001</v>
      </c>
      <c r="O32" s="44">
        <f>SUMIF(TB_Input_Alif!$A:$A,$A32,TB_Input_Alif!$F:$F)</f>
        <v>827157.20799999998</v>
      </c>
      <c r="P32" s="43" t="str">
        <f>_xlfn.XLOOKUP(A32,Map!A:A,Map!E:E)</f>
        <v>Cash and cash equivalents</v>
      </c>
      <c r="Q32" s="43" t="str">
        <f>_xlfn.XLOOKUP(A32,Map!A:A,Map!D:D)</f>
        <v>Current Assets</v>
      </c>
    </row>
    <row r="33" spans="1:17" x14ac:dyDescent="0.25">
      <c r="A33" s="42">
        <v>130010</v>
      </c>
      <c r="B33" s="43" t="s">
        <v>847</v>
      </c>
      <c r="C33" s="44">
        <f>SUMIF(ALIF_Y2014!$A:$A,$A33,ALIF_Y2014!$F:$F)</f>
        <v>0</v>
      </c>
      <c r="D33" s="44">
        <f>SUMIF(ALIF_Y2015!$A:$A,$A33,ALIF_Y2015!$F:$F)</f>
        <v>0</v>
      </c>
      <c r="E33" s="44">
        <f>SUMIF(ALIF_Y2016!$A:$A,$A33,ALIF_Y2016!$F:$F)</f>
        <v>0</v>
      </c>
      <c r="F33" s="44">
        <f>SUMIF(ALIF_Y2017!$A:$A,$A33,ALIF_Y2017!$F:$F)</f>
        <v>0</v>
      </c>
      <c r="G33" s="44">
        <f>SUMIF(ALIF_Y2018!$A:$A,$A33,ALIF_Y2018!$F:$F)</f>
        <v>0</v>
      </c>
      <c r="H33" s="44">
        <f>SUMIF(ALIF_Y2019!$A:$A,$A33,ALIF_Y2019!$F:$F)</f>
        <v>419127.51</v>
      </c>
      <c r="I33" s="44">
        <f>SUMIF(ALIF_Y2020!$A:$A,$A33,ALIF_Y2020!$F:$F)</f>
        <v>14548085.07</v>
      </c>
      <c r="J33" s="44">
        <f>SUMIF(ALIF_Y2021!$A:$A,$A33,ALIF_Y2021!$F:$F)</f>
        <v>728505.90399999998</v>
      </c>
      <c r="K33" s="44">
        <f>SUMIF(ALIF_Y2022!$A:$A,$A33,ALIF_Y2022!$F:$F)</f>
        <v>4858085.3859999999</v>
      </c>
      <c r="L33" s="44">
        <f>SUMIF(ALIF_Y2023!$A:$A,$A33,ALIF_Y2023!$F:$F)</f>
        <v>912741.95</v>
      </c>
      <c r="M33" s="44">
        <f>SUMIF(ALIF_Y2024!$A:$A,$A33,ALIF_Y2024!$F:$F)</f>
        <v>355055.14899999998</v>
      </c>
      <c r="N33" s="44">
        <f>SUMIF(ALIF_Y2025!$A:$A,$A33,ALIF_Y2025!$F:$F)</f>
        <v>0</v>
      </c>
      <c r="O33" s="44">
        <f>SUMIF(TB_Input_Alif!$A:$A,$A33,TB_Input_Alif!$F:$F)</f>
        <v>3494117.09</v>
      </c>
      <c r="P33" s="43" t="str">
        <f>_xlfn.XLOOKUP(A33,Map!A:A,Map!E:E)</f>
        <v>Cash and cash equivalents</v>
      </c>
      <c r="Q33" s="43" t="str">
        <f>_xlfn.XLOOKUP(A33,Map!A:A,Map!D:D)</f>
        <v>Current Assets</v>
      </c>
    </row>
    <row r="34" spans="1:17" x14ac:dyDescent="0.25">
      <c r="A34" s="42">
        <v>130011</v>
      </c>
      <c r="B34" s="43" t="s">
        <v>848</v>
      </c>
      <c r="C34" s="44">
        <f>SUMIF(ALIF_Y2014!$A:$A,$A34,ALIF_Y2014!$F:$F)</f>
        <v>0</v>
      </c>
      <c r="D34" s="44">
        <f>SUMIF(ALIF_Y2015!$A:$A,$A34,ALIF_Y2015!$F:$F)</f>
        <v>0</v>
      </c>
      <c r="E34" s="44">
        <f>SUMIF(ALIF_Y2016!$A:$A,$A34,ALIF_Y2016!$F:$F)</f>
        <v>0</v>
      </c>
      <c r="F34" s="44">
        <f>SUMIF(ALIF_Y2017!$A:$A,$A34,ALIF_Y2017!$F:$F)</f>
        <v>0</v>
      </c>
      <c r="G34" s="44">
        <f>SUMIF(ALIF_Y2018!$A:$A,$A34,ALIF_Y2018!$F:$F)</f>
        <v>0</v>
      </c>
      <c r="H34" s="44">
        <f>SUMIF(ALIF_Y2019!$A:$A,$A34,ALIF_Y2019!$F:$F)</f>
        <v>0</v>
      </c>
      <c r="I34" s="44">
        <f>SUMIF(ALIF_Y2020!$A:$A,$A34,ALIF_Y2020!$F:$F)</f>
        <v>10099447.390000001</v>
      </c>
      <c r="J34" s="44">
        <f>SUMIF(ALIF_Y2021!$A:$A,$A34,ALIF_Y2021!$F:$F)</f>
        <v>1837850.2420000001</v>
      </c>
      <c r="K34" s="44">
        <f>SUMIF(ALIF_Y2022!$A:$A,$A34,ALIF_Y2022!$F:$F)</f>
        <v>1029152.88</v>
      </c>
      <c r="L34" s="44">
        <f>SUMIF(ALIF_Y2023!$A:$A,$A34,ALIF_Y2023!$F:$F)</f>
        <v>371638.27</v>
      </c>
      <c r="M34" s="44">
        <f>SUMIF(ALIF_Y2024!$A:$A,$A34,ALIF_Y2024!$F:$F)</f>
        <v>136162.01</v>
      </c>
      <c r="N34" s="44">
        <f>SUMIF(ALIF_Y2025!$A:$A,$A34,ALIF_Y2025!$F:$F)</f>
        <v>86776.12</v>
      </c>
      <c r="O34" s="44">
        <f>SUMIF(TB_Input_Alif!$A:$A,$A34,TB_Input_Alif!$F:$F)</f>
        <v>5180032.5219999999</v>
      </c>
      <c r="P34" s="43" t="str">
        <f>_xlfn.XLOOKUP(A34,Map!A:A,Map!E:E)</f>
        <v>Cash and cash equivalents</v>
      </c>
      <c r="Q34" s="43" t="str">
        <f>_xlfn.XLOOKUP(A34,Map!A:A,Map!D:D)</f>
        <v>Current Assets</v>
      </c>
    </row>
    <row r="35" spans="1:17" x14ac:dyDescent="0.25">
      <c r="A35" s="42">
        <v>130012</v>
      </c>
      <c r="B35" s="43" t="s">
        <v>849</v>
      </c>
      <c r="C35" s="44">
        <f>SUMIF(ALIF_Y2014!$A:$A,$A35,ALIF_Y2014!$F:$F)</f>
        <v>0</v>
      </c>
      <c r="D35" s="44">
        <f>SUMIF(ALIF_Y2015!$A:$A,$A35,ALIF_Y2015!$F:$F)</f>
        <v>0</v>
      </c>
      <c r="E35" s="44">
        <f>SUMIF(ALIF_Y2016!$A:$A,$A35,ALIF_Y2016!$F:$F)</f>
        <v>0</v>
      </c>
      <c r="F35" s="44">
        <f>SUMIF(ALIF_Y2017!$A:$A,$A35,ALIF_Y2017!$F:$F)</f>
        <v>0</v>
      </c>
      <c r="G35" s="44">
        <f>SUMIF(ALIF_Y2018!$A:$A,$A35,ALIF_Y2018!$F:$F)</f>
        <v>0</v>
      </c>
      <c r="H35" s="44">
        <f>SUMIF(ALIF_Y2019!$A:$A,$A35,ALIF_Y2019!$F:$F)</f>
        <v>0</v>
      </c>
      <c r="I35" s="44">
        <f>SUMIF(ALIF_Y2020!$A:$A,$A35,ALIF_Y2020!$F:$F)</f>
        <v>12249437.208000001</v>
      </c>
      <c r="J35" s="44">
        <f>SUMIF(ALIF_Y2021!$A:$A,$A35,ALIF_Y2021!$F:$F)</f>
        <v>2278838.6170000001</v>
      </c>
      <c r="K35" s="44">
        <f>SUMIF(ALIF_Y2022!$A:$A,$A35,ALIF_Y2022!$F:$F)</f>
        <v>1252439.537</v>
      </c>
      <c r="L35" s="44">
        <f>SUMIF(ALIF_Y2023!$A:$A,$A35,ALIF_Y2023!$F:$F)</f>
        <v>925749.64</v>
      </c>
      <c r="M35" s="44">
        <f>SUMIF(ALIF_Y2024!$A:$A,$A35,ALIF_Y2024!$F:$F)</f>
        <v>166205.87</v>
      </c>
      <c r="N35" s="44">
        <f>SUMIF(ALIF_Y2025!$A:$A,$A35,ALIF_Y2025!$F:$F)</f>
        <v>58830.98</v>
      </c>
      <c r="O35" s="44">
        <f>SUMIF(TB_Input_Alif!$A:$A,$A35,TB_Input_Alif!$F:$F)</f>
        <v>2413922.17</v>
      </c>
      <c r="P35" s="43" t="str">
        <f>_xlfn.XLOOKUP(A35,Map!A:A,Map!E:E)</f>
        <v>Cash and cash equivalents</v>
      </c>
      <c r="Q35" s="43" t="str">
        <f>_xlfn.XLOOKUP(A35,Map!A:A,Map!D:D)</f>
        <v>Current Assets</v>
      </c>
    </row>
    <row r="36" spans="1:17" x14ac:dyDescent="0.25">
      <c r="A36" s="42">
        <v>130013</v>
      </c>
      <c r="B36" s="43" t="s">
        <v>1206</v>
      </c>
      <c r="C36" s="44">
        <f>SUMIF(ALIF_Y2014!$A:$A,$A36,ALIF_Y2014!$F:$F)</f>
        <v>0</v>
      </c>
      <c r="D36" s="44">
        <f>SUMIF(ALIF_Y2015!$A:$A,$A36,ALIF_Y2015!$F:$F)</f>
        <v>0</v>
      </c>
      <c r="E36" s="44">
        <f>SUMIF(ALIF_Y2016!$A:$A,$A36,ALIF_Y2016!$F:$F)</f>
        <v>0</v>
      </c>
      <c r="F36" s="44">
        <f>SUMIF(ALIF_Y2017!$A:$A,$A36,ALIF_Y2017!$F:$F)</f>
        <v>0</v>
      </c>
      <c r="G36" s="44">
        <f>SUMIF(ALIF_Y2018!$A:$A,$A36,ALIF_Y2018!$F:$F)</f>
        <v>0</v>
      </c>
      <c r="H36" s="44">
        <f>SUMIF(ALIF_Y2019!$A:$A,$A36,ALIF_Y2019!$F:$F)</f>
        <v>0</v>
      </c>
      <c r="I36" s="44">
        <f>SUMIF(ALIF_Y2020!$A:$A,$A36,ALIF_Y2020!$F:$F)</f>
        <v>801234.04299999995</v>
      </c>
      <c r="J36" s="44">
        <f>SUMIF(ALIF_Y2021!$A:$A,$A36,ALIF_Y2021!$F:$F)</f>
        <v>2979550.361</v>
      </c>
      <c r="K36" s="44">
        <f>SUMIF(ALIF_Y2022!$A:$A,$A36,ALIF_Y2022!$F:$F)</f>
        <v>300937.83799999999</v>
      </c>
      <c r="L36" s="44">
        <f>SUMIF(ALIF_Y2023!$A:$A,$A36,ALIF_Y2023!$F:$F)</f>
        <v>237620.27900000001</v>
      </c>
      <c r="M36" s="44">
        <f>SUMIF(ALIF_Y2024!$A:$A,$A36,ALIF_Y2024!$F:$F)</f>
        <v>1760.4380000000001</v>
      </c>
      <c r="N36" s="44">
        <f>SUMIF(ALIF_Y2025!$A:$A,$A36,ALIF_Y2025!$F:$F)</f>
        <v>386790.929</v>
      </c>
      <c r="O36" s="44">
        <f>SUMIF(TB_Input_Alif!$A:$A,$A36,TB_Input_Alif!$F:$F)</f>
        <v>232150.22399999999</v>
      </c>
      <c r="P36" s="43" t="str">
        <f>_xlfn.XLOOKUP(A36,Map!A:A,Map!E:E)</f>
        <v>Cash and cash equivalents</v>
      </c>
      <c r="Q36" s="43" t="str">
        <f>_xlfn.XLOOKUP(A36,Map!A:A,Map!D:D)</f>
        <v>Current Assets</v>
      </c>
    </row>
    <row r="37" spans="1:17" x14ac:dyDescent="0.25">
      <c r="A37" s="42">
        <v>130014</v>
      </c>
      <c r="B37" s="43" t="s">
        <v>851</v>
      </c>
      <c r="C37" s="44">
        <f>SUMIF(ALIF_Y2014!$A:$A,$A37,ALIF_Y2014!$F:$F)</f>
        <v>0</v>
      </c>
      <c r="D37" s="44">
        <f>SUMIF(ALIF_Y2015!$A:$A,$A37,ALIF_Y2015!$F:$F)</f>
        <v>0</v>
      </c>
      <c r="E37" s="44">
        <f>SUMIF(ALIF_Y2016!$A:$A,$A37,ALIF_Y2016!$F:$F)</f>
        <v>0</v>
      </c>
      <c r="F37" s="44">
        <f>SUMIF(ALIF_Y2017!$A:$A,$A37,ALIF_Y2017!$F:$F)</f>
        <v>0</v>
      </c>
      <c r="G37" s="44">
        <f>SUMIF(ALIF_Y2018!$A:$A,$A37,ALIF_Y2018!$F:$F)</f>
        <v>0</v>
      </c>
      <c r="H37" s="44">
        <f>SUMIF(ALIF_Y2019!$A:$A,$A37,ALIF_Y2019!$F:$F)</f>
        <v>0</v>
      </c>
      <c r="I37" s="44">
        <f>SUMIF(ALIF_Y2020!$A:$A,$A37,ALIF_Y2020!$F:$F)</f>
        <v>0</v>
      </c>
      <c r="J37" s="44">
        <f>SUMIF(ALIF_Y2021!$A:$A,$A37,ALIF_Y2021!$F:$F)</f>
        <v>18749.75</v>
      </c>
      <c r="K37" s="44">
        <f>SUMIF(ALIF_Y2022!$A:$A,$A37,ALIF_Y2022!$F:$F)</f>
        <v>275731.75</v>
      </c>
      <c r="L37" s="44">
        <f>SUMIF(ALIF_Y2023!$A:$A,$A37,ALIF_Y2023!$F:$F)</f>
        <v>375236.25</v>
      </c>
      <c r="M37" s="44">
        <f>SUMIF(ALIF_Y2024!$A:$A,$A37,ALIF_Y2024!$F:$F)</f>
        <v>2761.25</v>
      </c>
      <c r="N37" s="44">
        <f>SUMIF(ALIF_Y2025!$A:$A,$A37,ALIF_Y2025!$F:$F)</f>
        <v>0</v>
      </c>
      <c r="O37" s="44">
        <f>SUMIF(TB_Input_Alif!$A:$A,$A37,TB_Input_Alif!$F:$F)</f>
        <v>0</v>
      </c>
      <c r="P37" s="43" t="str">
        <f>_xlfn.XLOOKUP(A37,Map!A:A,Map!E:E)</f>
        <v>Cash and cash equivalents</v>
      </c>
      <c r="Q37" s="43" t="str">
        <f>_xlfn.XLOOKUP(A37,Map!A:A,Map!D:D)</f>
        <v>Current Assets</v>
      </c>
    </row>
    <row r="38" spans="1:17" x14ac:dyDescent="0.25">
      <c r="A38" s="42">
        <v>130015</v>
      </c>
      <c r="B38" s="43" t="s">
        <v>852</v>
      </c>
      <c r="C38" s="44">
        <f>SUMIF(ALIF_Y2014!$A:$A,$A38,ALIF_Y2014!$F:$F)</f>
        <v>0</v>
      </c>
      <c r="D38" s="44">
        <f>SUMIF(ALIF_Y2015!$A:$A,$A38,ALIF_Y2015!$F:$F)</f>
        <v>0</v>
      </c>
      <c r="E38" s="44">
        <f>SUMIF(ALIF_Y2016!$A:$A,$A38,ALIF_Y2016!$F:$F)</f>
        <v>0</v>
      </c>
      <c r="F38" s="44">
        <f>SUMIF(ALIF_Y2017!$A:$A,$A38,ALIF_Y2017!$F:$F)</f>
        <v>0</v>
      </c>
      <c r="G38" s="44">
        <f>SUMIF(ALIF_Y2018!$A:$A,$A38,ALIF_Y2018!$F:$F)</f>
        <v>0</v>
      </c>
      <c r="H38" s="44">
        <f>SUMIF(ALIF_Y2019!$A:$A,$A38,ALIF_Y2019!$F:$F)</f>
        <v>0</v>
      </c>
      <c r="I38" s="44">
        <f>SUMIF(ALIF_Y2020!$A:$A,$A38,ALIF_Y2020!$F:$F)</f>
        <v>0</v>
      </c>
      <c r="J38" s="44">
        <f>SUMIF(ALIF_Y2021!$A:$A,$A38,ALIF_Y2021!$F:$F)</f>
        <v>0</v>
      </c>
      <c r="K38" s="44">
        <f>SUMIF(ALIF_Y2022!$A:$A,$A38,ALIF_Y2022!$F:$F)</f>
        <v>0</v>
      </c>
      <c r="L38" s="44">
        <f>SUMIF(ALIF_Y2023!$A:$A,$A38,ALIF_Y2023!$F:$F)</f>
        <v>32033.58</v>
      </c>
      <c r="M38" s="44">
        <f>SUMIF(ALIF_Y2024!$A:$A,$A38,ALIF_Y2024!$F:$F)</f>
        <v>10056.36</v>
      </c>
      <c r="N38" s="44">
        <f>SUMIF(ALIF_Y2025!$A:$A,$A38,ALIF_Y2025!$F:$F)</f>
        <v>5628.17</v>
      </c>
      <c r="O38" s="44">
        <f>SUMIF(TB_Input_Alif!$A:$A,$A38,TB_Input_Alif!$F:$F)</f>
        <v>5628.17</v>
      </c>
      <c r="P38" s="43" t="str">
        <f>_xlfn.XLOOKUP(A38,Map!A:A,Map!E:E)</f>
        <v>Cash and cash equivalents</v>
      </c>
      <c r="Q38" s="43" t="str">
        <f>_xlfn.XLOOKUP(A38,Map!A:A,Map!D:D)</f>
        <v>Current Assets</v>
      </c>
    </row>
    <row r="39" spans="1:17" x14ac:dyDescent="0.25">
      <c r="A39" s="42">
        <v>130016</v>
      </c>
      <c r="B39" s="43" t="s">
        <v>853</v>
      </c>
      <c r="C39" s="44">
        <f>SUMIF(ALIF_Y2014!$A:$A,$A39,ALIF_Y2014!$F:$F)</f>
        <v>0</v>
      </c>
      <c r="D39" s="44">
        <f>SUMIF(ALIF_Y2015!$A:$A,$A39,ALIF_Y2015!$F:$F)</f>
        <v>0</v>
      </c>
      <c r="E39" s="44">
        <f>SUMIF(ALIF_Y2016!$A:$A,$A39,ALIF_Y2016!$F:$F)</f>
        <v>0</v>
      </c>
      <c r="F39" s="44">
        <f>SUMIF(ALIF_Y2017!$A:$A,$A39,ALIF_Y2017!$F:$F)</f>
        <v>0</v>
      </c>
      <c r="G39" s="44">
        <f>SUMIF(ALIF_Y2018!$A:$A,$A39,ALIF_Y2018!$F:$F)</f>
        <v>0</v>
      </c>
      <c r="H39" s="44">
        <f>SUMIF(ALIF_Y2019!$A:$A,$A39,ALIF_Y2019!$F:$F)</f>
        <v>0</v>
      </c>
      <c r="I39" s="44">
        <f>SUMIF(ALIF_Y2020!$A:$A,$A39,ALIF_Y2020!$F:$F)</f>
        <v>0</v>
      </c>
      <c r="J39" s="44">
        <f>SUMIF(ALIF_Y2021!$A:$A,$A39,ALIF_Y2021!$F:$F)</f>
        <v>0</v>
      </c>
      <c r="K39" s="44">
        <f>SUMIF(ALIF_Y2022!$A:$A,$A39,ALIF_Y2022!$F:$F)</f>
        <v>0</v>
      </c>
      <c r="L39" s="44">
        <f>SUMIF(ALIF_Y2023!$A:$A,$A39,ALIF_Y2023!$F:$F)</f>
        <v>367494.75</v>
      </c>
      <c r="M39" s="44">
        <f>SUMIF(ALIF_Y2024!$A:$A,$A39,ALIF_Y2024!$F:$F)</f>
        <v>98386.5</v>
      </c>
      <c r="N39" s="44">
        <f>SUMIF(ALIF_Y2025!$A:$A,$A39,ALIF_Y2025!$F:$F)</f>
        <v>23332.3</v>
      </c>
      <c r="O39" s="44">
        <f>SUMIF(TB_Input_Alif!$A:$A,$A39,TB_Input_Alif!$F:$F)</f>
        <v>635519.18000000005</v>
      </c>
      <c r="P39" s="43" t="str">
        <f>_xlfn.XLOOKUP(A39,Map!A:A,Map!E:E)</f>
        <v>Cash and cash equivalents</v>
      </c>
      <c r="Q39" s="43" t="str">
        <f>_xlfn.XLOOKUP(A39,Map!A:A,Map!D:D)</f>
        <v>Current Assets</v>
      </c>
    </row>
    <row r="40" spans="1:17" x14ac:dyDescent="0.25">
      <c r="A40" s="42">
        <v>130017</v>
      </c>
      <c r="B40" s="43" t="s">
        <v>854</v>
      </c>
      <c r="C40" s="44">
        <f>SUMIF(ALIF_Y2014!$A:$A,$A40,ALIF_Y2014!$F:$F)</f>
        <v>0</v>
      </c>
      <c r="D40" s="44">
        <f>SUMIF(ALIF_Y2015!$A:$A,$A40,ALIF_Y2015!$F:$F)</f>
        <v>0</v>
      </c>
      <c r="E40" s="44">
        <f>SUMIF(ALIF_Y2016!$A:$A,$A40,ALIF_Y2016!$F:$F)</f>
        <v>0</v>
      </c>
      <c r="F40" s="44">
        <f>SUMIF(ALIF_Y2017!$A:$A,$A40,ALIF_Y2017!$F:$F)</f>
        <v>0</v>
      </c>
      <c r="G40" s="44">
        <f>SUMIF(ALIF_Y2018!$A:$A,$A40,ALIF_Y2018!$F:$F)</f>
        <v>0</v>
      </c>
      <c r="H40" s="44">
        <f>SUMIF(ALIF_Y2019!$A:$A,$A40,ALIF_Y2019!$F:$F)</f>
        <v>0</v>
      </c>
      <c r="I40" s="44">
        <f>SUMIF(ALIF_Y2020!$A:$A,$A40,ALIF_Y2020!$F:$F)</f>
        <v>0</v>
      </c>
      <c r="J40" s="44">
        <f>SUMIF(ALIF_Y2021!$A:$A,$A40,ALIF_Y2021!$F:$F)</f>
        <v>0</v>
      </c>
      <c r="K40" s="44">
        <f>SUMIF(ALIF_Y2022!$A:$A,$A40,ALIF_Y2022!$F:$F)</f>
        <v>0</v>
      </c>
      <c r="L40" s="44">
        <f>SUMIF(ALIF_Y2023!$A:$A,$A40,ALIF_Y2023!$F:$F)</f>
        <v>0</v>
      </c>
      <c r="M40" s="44">
        <f>SUMIF(ALIF_Y2024!$A:$A,$A40,ALIF_Y2024!$F:$F)</f>
        <v>0</v>
      </c>
      <c r="N40" s="44">
        <f>SUMIF(ALIF_Y2025!$A:$A,$A40,ALIF_Y2025!$F:$F)</f>
        <v>292.40899999999999</v>
      </c>
      <c r="O40" s="44">
        <f>SUMIF(TB_Input_Alif!$A:$A,$A40,TB_Input_Alif!$F:$F)</f>
        <v>15617826.08</v>
      </c>
      <c r="P40" s="43" t="str">
        <f>_xlfn.XLOOKUP(A40,Map!A:A,Map!E:E)</f>
        <v>Cash and cash equivalents</v>
      </c>
      <c r="Q40" s="43" t="str">
        <f>_xlfn.XLOOKUP(A40,Map!A:A,Map!D:D)</f>
        <v>Current Assets</v>
      </c>
    </row>
    <row r="41" spans="1:17" x14ac:dyDescent="0.25">
      <c r="A41" s="42">
        <v>130099</v>
      </c>
      <c r="B41" s="43" t="s">
        <v>856</v>
      </c>
      <c r="C41" s="44">
        <f>SUMIF(ALIF_Y2014!$A:$A,$A41,ALIF_Y2014!$F:$F)</f>
        <v>0</v>
      </c>
      <c r="D41" s="44">
        <f>SUMIF(ALIF_Y2015!$A:$A,$A41,ALIF_Y2015!$F:$F)</f>
        <v>0</v>
      </c>
      <c r="E41" s="44">
        <f>SUMIF(ALIF_Y2016!$A:$A,$A41,ALIF_Y2016!$F:$F)</f>
        <v>0</v>
      </c>
      <c r="F41" s="44">
        <f>SUMIF(ALIF_Y2017!$A:$A,$A41,ALIF_Y2017!$F:$F)</f>
        <v>0</v>
      </c>
      <c r="G41" s="44">
        <f>SUMIF(ALIF_Y2018!$A:$A,$A41,ALIF_Y2018!$F:$F)</f>
        <v>0</v>
      </c>
      <c r="H41" s="44">
        <f>SUMIF(ALIF_Y2019!$A:$A,$A41,ALIF_Y2019!$F:$F)</f>
        <v>0</v>
      </c>
      <c r="I41" s="44">
        <f>SUMIF(ALIF_Y2020!$A:$A,$A41,ALIF_Y2020!$F:$F)</f>
        <v>0</v>
      </c>
      <c r="J41" s="44">
        <f>SUMIF(ALIF_Y2021!$A:$A,$A41,ALIF_Y2021!$F:$F)</f>
        <v>0</v>
      </c>
      <c r="K41" s="44">
        <f>SUMIF(ALIF_Y2022!$A:$A,$A41,ALIF_Y2022!$F:$F)</f>
        <v>0</v>
      </c>
      <c r="L41" s="44">
        <f>SUMIF(ALIF_Y2023!$A:$A,$A41,ALIF_Y2023!$F:$F)</f>
        <v>0</v>
      </c>
      <c r="M41" s="44">
        <f>SUMIF(ALIF_Y2024!$A:$A,$A41,ALIF_Y2024!$F:$F)</f>
        <v>0</v>
      </c>
      <c r="N41" s="44">
        <f>SUMIF(ALIF_Y2025!$A:$A,$A41,ALIF_Y2025!$F:$F)</f>
        <v>0</v>
      </c>
      <c r="O41" s="44">
        <f>SUMIF(TB_Input_Alif!$A:$A,$A41,TB_Input_Alif!$F:$F)</f>
        <v>0</v>
      </c>
      <c r="P41" s="43" t="str">
        <f>_xlfn.XLOOKUP(A41,Map!A:A,Map!E:E)</f>
        <v>Cash and cash equivalents</v>
      </c>
      <c r="Q41" s="43" t="str">
        <f>_xlfn.XLOOKUP(A41,Map!A:A,Map!D:D)</f>
        <v>Current Assets</v>
      </c>
    </row>
    <row r="42" spans="1:17" x14ac:dyDescent="0.25">
      <c r="A42" s="42">
        <v>140001</v>
      </c>
      <c r="B42" s="43" t="s">
        <v>857</v>
      </c>
      <c r="C42" s="44">
        <f>SUMIF(ALIF_Y2014!$A:$A,$A42,ALIF_Y2014!$F:$F)</f>
        <v>36187908.814999998</v>
      </c>
      <c r="D42" s="44">
        <f>SUMIF(ALIF_Y2015!$A:$A,$A42,ALIF_Y2015!$F:$F)</f>
        <v>36923559</v>
      </c>
      <c r="E42" s="44">
        <f>SUMIF(ALIF_Y2016!$A:$A,$A42,ALIF_Y2016!$F:$F)</f>
        <v>39673675.619999997</v>
      </c>
      <c r="F42" s="44">
        <f>SUMIF(ALIF_Y2017!$A:$A,$A42,ALIF_Y2017!$F:$F)</f>
        <v>39364277.743000001</v>
      </c>
      <c r="G42" s="44">
        <f>SUMIF(ALIF_Y2018!$A:$A,$A42,ALIF_Y2018!$F:$F)</f>
        <v>38308186.048</v>
      </c>
      <c r="H42" s="44">
        <f>SUMIF(ALIF_Y2019!$A:$A,$A42,ALIF_Y2019!$F:$F)</f>
        <v>43443359.329000004</v>
      </c>
      <c r="I42" s="44">
        <f>SUMIF(ALIF_Y2020!$A:$A,$A42,ALIF_Y2020!$F:$F)</f>
        <v>38933964.941</v>
      </c>
      <c r="J42" s="44">
        <f>SUMIF(ALIF_Y2021!$A:$A,$A42,ALIF_Y2021!$F:$F)</f>
        <v>63268299.509000003</v>
      </c>
      <c r="K42" s="44">
        <f>SUMIF(ALIF_Y2022!$A:$A,$A42,ALIF_Y2022!$F:$F)</f>
        <v>73001860.419</v>
      </c>
      <c r="L42" s="44">
        <f>SUMIF(ALIF_Y2023!$A:$A,$A42,ALIF_Y2023!$F:$F)</f>
        <v>45463353.802000001</v>
      </c>
      <c r="M42" s="44">
        <f>SUMIF(ALIF_Y2024!$A:$A,$A42,ALIF_Y2024!$F:$F)</f>
        <v>52577571.138999999</v>
      </c>
      <c r="N42" s="44">
        <f>SUMIF(ALIF_Y2025!$A:$A,$A42,ALIF_Y2025!$F:$F)</f>
        <v>39047067.729000002</v>
      </c>
      <c r="O42" s="44">
        <f>SUMIF(TB_Input_Alif!$A:$A,$A42,TB_Input_Alif!$F:$F)</f>
        <v>26928043.710504998</v>
      </c>
      <c r="P42" s="43" t="str">
        <f>_xlfn.XLOOKUP(A42,Map!A:A,Map!E:E)</f>
        <v>Trade receivables</v>
      </c>
      <c r="Q42" s="43" t="str">
        <f>_xlfn.XLOOKUP(A42,Map!A:A,Map!D:D)</f>
        <v>Current Assets</v>
      </c>
    </row>
    <row r="43" spans="1:17" x14ac:dyDescent="0.25">
      <c r="A43" s="42">
        <v>140010</v>
      </c>
      <c r="B43" s="43" t="s">
        <v>858</v>
      </c>
      <c r="C43" s="44">
        <f>SUMIF(ALIF_Y2014!$A:$A,$A43,ALIF_Y2014!$F:$F)</f>
        <v>0</v>
      </c>
      <c r="D43" s="44">
        <f>SUMIF(ALIF_Y2015!$A:$A,$A43,ALIF_Y2015!$F:$F)</f>
        <v>0</v>
      </c>
      <c r="E43" s="44">
        <f>SUMIF(ALIF_Y2016!$A:$A,$A43,ALIF_Y2016!$F:$F)</f>
        <v>0</v>
      </c>
      <c r="F43" s="44">
        <f>SUMIF(ALIF_Y2017!$A:$A,$A43,ALIF_Y2017!$F:$F)</f>
        <v>0</v>
      </c>
      <c r="G43" s="44">
        <f>SUMIF(ALIF_Y2018!$A:$A,$A43,ALIF_Y2018!$F:$F)</f>
        <v>0</v>
      </c>
      <c r="H43" s="44">
        <f>SUMIF(ALIF_Y2019!$A:$A,$A43,ALIF_Y2019!$F:$F)</f>
        <v>0</v>
      </c>
      <c r="I43" s="44">
        <f>SUMIF(ALIF_Y2020!$A:$A,$A43,ALIF_Y2020!$F:$F)</f>
        <v>0</v>
      </c>
      <c r="J43" s="44">
        <f>SUMIF(ALIF_Y2021!$A:$A,$A43,ALIF_Y2021!$F:$F)</f>
        <v>0</v>
      </c>
      <c r="K43" s="44">
        <f>SUMIF(ALIF_Y2022!$A:$A,$A43,ALIF_Y2022!$F:$F)</f>
        <v>0</v>
      </c>
      <c r="L43" s="44">
        <f>SUMIF(ALIF_Y2023!$A:$A,$A43,ALIF_Y2023!$F:$F)</f>
        <v>0</v>
      </c>
      <c r="M43" s="44">
        <f>SUMIF(ALIF_Y2024!$A:$A,$A43,ALIF_Y2024!$F:$F)</f>
        <v>0</v>
      </c>
      <c r="N43" s="44">
        <f>SUMIF(ALIF_Y2025!$A:$A,$A43,ALIF_Y2025!$F:$F)</f>
        <v>128113.738</v>
      </c>
      <c r="O43" s="44">
        <f>SUMIF(TB_Input_Alif!$A:$A,$A43,TB_Input_Alif!$F:$F)</f>
        <v>-114.215</v>
      </c>
      <c r="P43" s="43" t="str">
        <f>_xlfn.XLOOKUP(A43,Map!A:A,Map!E:E)</f>
        <v>Trade receivables</v>
      </c>
      <c r="Q43" s="43" t="str">
        <f>_xlfn.XLOOKUP(A43,Map!A:A,Map!D:D)</f>
        <v>Current Assets</v>
      </c>
    </row>
    <row r="44" spans="1:17" x14ac:dyDescent="0.25">
      <c r="A44" s="42">
        <v>150001</v>
      </c>
      <c r="B44" s="43" t="s">
        <v>859</v>
      </c>
      <c r="C44" s="44">
        <f>SUMIF(ALIF_Y2014!$A:$A,$A44,ALIF_Y2014!$F:$F)</f>
        <v>584170.47900000005</v>
      </c>
      <c r="D44" s="44">
        <f>SUMIF(ALIF_Y2015!$A:$A,$A44,ALIF_Y2015!$F:$F)</f>
        <v>456284.47899999999</v>
      </c>
      <c r="E44" s="44">
        <f>SUMIF(ALIF_Y2016!$A:$A,$A44,ALIF_Y2016!$F:$F)</f>
        <v>420934.68</v>
      </c>
      <c r="F44" s="44">
        <f>SUMIF(ALIF_Y2017!$A:$A,$A44,ALIF_Y2017!$F:$F)</f>
        <v>43750</v>
      </c>
      <c r="G44" s="44">
        <f>SUMIF(ALIF_Y2018!$A:$A,$A44,ALIF_Y2018!$F:$F)</f>
        <v>383368</v>
      </c>
      <c r="H44" s="44">
        <f>SUMIF(ALIF_Y2019!$A:$A,$A44,ALIF_Y2019!$F:$F)</f>
        <v>516445.74</v>
      </c>
      <c r="I44" s="44">
        <f>SUMIF(ALIF_Y2020!$A:$A,$A44,ALIF_Y2020!$F:$F)</f>
        <v>161280</v>
      </c>
      <c r="J44" s="44">
        <f>SUMIF(ALIF_Y2021!$A:$A,$A44,ALIF_Y2021!$F:$F)</f>
        <v>37250</v>
      </c>
      <c r="K44" s="44">
        <f>SUMIF(ALIF_Y2022!$A:$A,$A44,ALIF_Y2022!$F:$F)</f>
        <v>19000.5</v>
      </c>
      <c r="L44" s="44">
        <f>SUMIF(ALIF_Y2023!$A:$A,$A44,ALIF_Y2023!$F:$F)</f>
        <v>131188.177</v>
      </c>
      <c r="M44" s="44">
        <f>SUMIF(ALIF_Y2024!$A:$A,$A44,ALIF_Y2024!$F:$F)</f>
        <v>1337414.8400000001</v>
      </c>
      <c r="N44" s="44">
        <f>SUMIF(ALIF_Y2025!$A:$A,$A44,ALIF_Y2025!$F:$F)</f>
        <v>1605901.52</v>
      </c>
      <c r="O44" s="44">
        <f>SUMIF(TB_Input_Alif!$A:$A,$A44,TB_Input_Alif!$F:$F)</f>
        <v>1329408.3999999999</v>
      </c>
      <c r="P44" s="43" t="str">
        <f>_xlfn.XLOOKUP(A44,Map!A:A,Map!E:E)</f>
        <v>Prepaid expenses</v>
      </c>
      <c r="Q44" s="43" t="str">
        <f>_xlfn.XLOOKUP(A44,Map!A:A,Map!D:D)</f>
        <v>Current Assets</v>
      </c>
    </row>
    <row r="45" spans="1:17" x14ac:dyDescent="0.25">
      <c r="A45" s="42">
        <v>150002</v>
      </c>
      <c r="B45" s="43" t="s">
        <v>860</v>
      </c>
      <c r="C45" s="44">
        <f>SUMIF(ALIF_Y2014!$A:$A,$A45,ALIF_Y2014!$F:$F)</f>
        <v>0</v>
      </c>
      <c r="D45" s="44">
        <f>SUMIF(ALIF_Y2015!$A:$A,$A45,ALIF_Y2015!$F:$F)</f>
        <v>0</v>
      </c>
      <c r="E45" s="44">
        <f>SUMIF(ALIF_Y2016!$A:$A,$A45,ALIF_Y2016!$F:$F)</f>
        <v>0</v>
      </c>
      <c r="F45" s="44">
        <f>SUMIF(ALIF_Y2017!$A:$A,$A45,ALIF_Y2017!$F:$F)</f>
        <v>0</v>
      </c>
      <c r="G45" s="44">
        <f>SUMIF(ALIF_Y2018!$A:$A,$A45,ALIF_Y2018!$F:$F)</f>
        <v>0</v>
      </c>
      <c r="H45" s="44">
        <f>SUMIF(ALIF_Y2019!$A:$A,$A45,ALIF_Y2019!$F:$F)</f>
        <v>0</v>
      </c>
      <c r="I45" s="44">
        <f>SUMIF(ALIF_Y2020!$A:$A,$A45,ALIF_Y2020!$F:$F)</f>
        <v>3107455</v>
      </c>
      <c r="J45" s="44">
        <f>SUMIF(ALIF_Y2021!$A:$A,$A45,ALIF_Y2021!$F:$F)</f>
        <v>2388782</v>
      </c>
      <c r="K45" s="44">
        <f>SUMIF(ALIF_Y2022!$A:$A,$A45,ALIF_Y2022!$F:$F)</f>
        <v>2374238</v>
      </c>
      <c r="L45" s="44">
        <f>SUMIF(ALIF_Y2023!$A:$A,$A45,ALIF_Y2023!$F:$F)</f>
        <v>2371988</v>
      </c>
      <c r="M45" s="44">
        <f>SUMIF(ALIF_Y2024!$A:$A,$A45,ALIF_Y2024!$F:$F)</f>
        <v>0</v>
      </c>
      <c r="N45" s="44">
        <f>SUMIF(ALIF_Y2025!$A:$A,$A45,ALIF_Y2025!$F:$F)</f>
        <v>0</v>
      </c>
      <c r="O45" s="44">
        <f>SUMIF(TB_Input_Alif!$A:$A,$A45,TB_Input_Alif!$F:$F)</f>
        <v>0</v>
      </c>
      <c r="P45" s="43" t="str">
        <f>_xlfn.XLOOKUP(A45,Map!A:A,Map!E:E)</f>
        <v xml:space="preserve">End-of-service indemnities </v>
      </c>
      <c r="Q45" s="43" t="str">
        <f>_xlfn.XLOOKUP(A45,Map!A:A,Map!D:D)</f>
        <v>Non-Current Liabilities</v>
      </c>
    </row>
    <row r="46" spans="1:17" x14ac:dyDescent="0.25">
      <c r="A46" s="42">
        <v>160001</v>
      </c>
      <c r="B46" s="43" t="s">
        <v>861</v>
      </c>
      <c r="C46" s="44">
        <f>SUMIF(ALIF_Y2014!$A:$A,$A46,ALIF_Y2014!$F:$F)</f>
        <v>54844.55</v>
      </c>
      <c r="D46" s="44">
        <f>SUMIF(ALIF_Y2015!$A:$A,$A46,ALIF_Y2015!$F:$F)</f>
        <v>58391.6</v>
      </c>
      <c r="E46" s="44">
        <f>SUMIF(ALIF_Y2016!$A:$A,$A46,ALIF_Y2016!$F:$F)</f>
        <v>68465.62</v>
      </c>
      <c r="F46" s="44">
        <f>SUMIF(ALIF_Y2017!$A:$A,$A46,ALIF_Y2017!$F:$F)</f>
        <v>46000</v>
      </c>
      <c r="G46" s="44">
        <f>SUMIF(ALIF_Y2018!$A:$A,$A46,ALIF_Y2018!$F:$F)</f>
        <v>30246.880000000001</v>
      </c>
      <c r="H46" s="44">
        <f>SUMIF(ALIF_Y2019!$A:$A,$A46,ALIF_Y2019!$F:$F)</f>
        <v>25429.97</v>
      </c>
      <c r="I46" s="44">
        <f>SUMIF(ALIF_Y2020!$A:$A,$A46,ALIF_Y2020!$F:$F)</f>
        <v>16854.25</v>
      </c>
      <c r="J46" s="44">
        <f>SUMIF(ALIF_Y2021!$A:$A,$A46,ALIF_Y2021!$F:$F)</f>
        <v>8703.91</v>
      </c>
      <c r="K46" s="44">
        <f>SUMIF(ALIF_Y2022!$A:$A,$A46,ALIF_Y2022!$F:$F)</f>
        <v>17049.689999999999</v>
      </c>
      <c r="L46" s="44">
        <f>SUMIF(ALIF_Y2023!$A:$A,$A46,ALIF_Y2023!$F:$F)</f>
        <v>12811.2</v>
      </c>
      <c r="M46" s="44">
        <f>SUMIF(ALIF_Y2024!$A:$A,$A46,ALIF_Y2024!$F:$F)</f>
        <v>35582.42</v>
      </c>
      <c r="N46" s="44">
        <f>SUMIF(ALIF_Y2025!$A:$A,$A46,ALIF_Y2025!$F:$F)</f>
        <v>306139.76500000001</v>
      </c>
      <c r="O46" s="44">
        <f>SUMIF(TB_Input_Alif!$A:$A,$A46,TB_Input_Alif!$F:$F)</f>
        <v>150885.223</v>
      </c>
      <c r="P46" s="43" t="str">
        <f>_xlfn.XLOOKUP(A46,Map!A:A,Map!E:E)</f>
        <v>Cash and cash equivalents</v>
      </c>
      <c r="Q46" s="43" t="str">
        <f>_xlfn.XLOOKUP(A46,Map!A:A,Map!D:D)</f>
        <v>Current Assets</v>
      </c>
    </row>
    <row r="47" spans="1:17" x14ac:dyDescent="0.25">
      <c r="A47" s="42">
        <v>170000</v>
      </c>
      <c r="B47" s="43" t="s">
        <v>862</v>
      </c>
      <c r="C47" s="44">
        <f>SUMIF(ALIF_Y2014!$A:$A,$A47,ALIF_Y2014!$F:$F)</f>
        <v>88433.574999999997</v>
      </c>
      <c r="D47" s="44">
        <f>SUMIF(ALIF_Y2015!$A:$A,$A47,ALIF_Y2015!$F:$F)</f>
        <v>122637.079</v>
      </c>
      <c r="E47" s="44">
        <f>SUMIF(ALIF_Y2016!$A:$A,$A47,ALIF_Y2016!$F:$F)</f>
        <v>366799.283</v>
      </c>
      <c r="F47" s="44">
        <f>SUMIF(ALIF_Y2017!$A:$A,$A47,ALIF_Y2017!$F:$F)</f>
        <v>3.0000000000000001E-3</v>
      </c>
      <c r="G47" s="44">
        <f>SUMIF(ALIF_Y2018!$A:$A,$A47,ALIF_Y2018!$F:$F)</f>
        <v>821440.45499999996</v>
      </c>
      <c r="H47" s="44">
        <f>SUMIF(ALIF_Y2019!$A:$A,$A47,ALIF_Y2019!$F:$F)</f>
        <v>54888.516000000003</v>
      </c>
      <c r="I47" s="44">
        <f>SUMIF(ALIF_Y2020!$A:$A,$A47,ALIF_Y2020!$F:$F)</f>
        <v>0</v>
      </c>
      <c r="J47" s="44">
        <f>SUMIF(ALIF_Y2021!$A:$A,$A47,ALIF_Y2021!$F:$F)</f>
        <v>0</v>
      </c>
      <c r="K47" s="44">
        <f>SUMIF(ALIF_Y2022!$A:$A,$A47,ALIF_Y2022!$F:$F)</f>
        <v>717348.08100000001</v>
      </c>
      <c r="L47" s="44">
        <f>SUMIF(ALIF_Y2023!$A:$A,$A47,ALIF_Y2023!$F:$F)</f>
        <v>828992.36600000004</v>
      </c>
      <c r="M47" s="44">
        <f>SUMIF(ALIF_Y2024!$A:$A,$A47,ALIF_Y2024!$F:$F)</f>
        <v>0.22500000000000001</v>
      </c>
      <c r="N47" s="44">
        <f>SUMIF(ALIF_Y2025!$A:$A,$A47,ALIF_Y2025!$F:$F)</f>
        <v>686721.19099999999</v>
      </c>
      <c r="O47" s="44">
        <f>SUMIF(TB_Input_Alif!$A:$A,$A47,TB_Input_Alif!$F:$F)</f>
        <v>12501.731</v>
      </c>
      <c r="P47" s="43" t="str">
        <f>_xlfn.XLOOKUP(A47,Map!A:A,Map!E:E)</f>
        <v>Short-term Murabaha loans</v>
      </c>
      <c r="Q47" s="43" t="str">
        <f>_xlfn.XLOOKUP(A47,Map!A:A,Map!D:D)</f>
        <v>Current Liabilities</v>
      </c>
    </row>
    <row r="48" spans="1:17" x14ac:dyDescent="0.25">
      <c r="A48" s="42">
        <v>170001</v>
      </c>
      <c r="B48" s="43" t="s">
        <v>863</v>
      </c>
      <c r="C48" s="44">
        <f>SUMIF(ALIF_Y2014!$A:$A,$A48,ALIF_Y2014!$F:$F)</f>
        <v>0</v>
      </c>
      <c r="D48" s="44">
        <f>SUMIF(ALIF_Y2015!$A:$A,$A48,ALIF_Y2015!$F:$F)</f>
        <v>0</v>
      </c>
      <c r="E48" s="44">
        <f>SUMIF(ALIF_Y2016!$A:$A,$A48,ALIF_Y2016!$F:$F)</f>
        <v>0</v>
      </c>
      <c r="F48" s="44">
        <f>SUMIF(ALIF_Y2017!$A:$A,$A48,ALIF_Y2017!$F:$F)</f>
        <v>0</v>
      </c>
      <c r="G48" s="44">
        <f>SUMIF(ALIF_Y2018!$A:$A,$A48,ALIF_Y2018!$F:$F)</f>
        <v>0</v>
      </c>
      <c r="H48" s="44">
        <f>SUMIF(ALIF_Y2019!$A:$A,$A48,ALIF_Y2019!$F:$F)</f>
        <v>871721.21</v>
      </c>
      <c r="I48" s="44">
        <f>SUMIF(ALIF_Y2020!$A:$A,$A48,ALIF_Y2020!$F:$F)</f>
        <v>667490.804</v>
      </c>
      <c r="J48" s="44">
        <f>SUMIF(ALIF_Y2021!$A:$A,$A48,ALIF_Y2021!$F:$F)</f>
        <v>0</v>
      </c>
      <c r="K48" s="44">
        <f>SUMIF(ALIF_Y2022!$A:$A,$A48,ALIF_Y2022!$F:$F)</f>
        <v>1188833.976</v>
      </c>
      <c r="L48" s="44">
        <f>SUMIF(ALIF_Y2023!$A:$A,$A48,ALIF_Y2023!$F:$F)</f>
        <v>845009.73199999996</v>
      </c>
      <c r="M48" s="44">
        <f>SUMIF(ALIF_Y2024!$A:$A,$A48,ALIF_Y2024!$F:$F)</f>
        <v>1201752.2220000001</v>
      </c>
      <c r="N48" s="44">
        <f>SUMIF(ALIF_Y2025!$A:$A,$A48,ALIF_Y2025!$F:$F)</f>
        <v>1413915.8929999999</v>
      </c>
      <c r="O48" s="44">
        <f>SUMIF(TB_Input_Alif!$A:$A,$A48,TB_Input_Alif!$F:$F)</f>
        <v>1232264.378</v>
      </c>
      <c r="P48" s="43" t="str">
        <f>_xlfn.XLOOKUP(A48,Map!A:A,Map!E:E)</f>
        <v>Short-term Murabaha loans</v>
      </c>
      <c r="Q48" s="43" t="str">
        <f>_xlfn.XLOOKUP(A48,Map!A:A,Map!D:D)</f>
        <v>Current Liabilities</v>
      </c>
    </row>
    <row r="49" spans="1:17" x14ac:dyDescent="0.25">
      <c r="A49" s="42">
        <v>170002</v>
      </c>
      <c r="B49" s="43" t="s">
        <v>864</v>
      </c>
      <c r="C49" s="44">
        <f>SUMIF(ALIF_Y2014!$A:$A,$A49,ALIF_Y2014!$F:$F)</f>
        <v>0</v>
      </c>
      <c r="D49" s="44">
        <f>SUMIF(ALIF_Y2015!$A:$A,$A49,ALIF_Y2015!$F:$F)</f>
        <v>0</v>
      </c>
      <c r="E49" s="44">
        <f>SUMIF(ALIF_Y2016!$A:$A,$A49,ALIF_Y2016!$F:$F)</f>
        <v>0</v>
      </c>
      <c r="F49" s="44">
        <f>SUMIF(ALIF_Y2017!$A:$A,$A49,ALIF_Y2017!$F:$F)</f>
        <v>0</v>
      </c>
      <c r="G49" s="44">
        <f>SUMIF(ALIF_Y2018!$A:$A,$A49,ALIF_Y2018!$F:$F)</f>
        <v>899145</v>
      </c>
      <c r="H49" s="44">
        <f>SUMIF(ALIF_Y2019!$A:$A,$A49,ALIF_Y2019!$F:$F)</f>
        <v>221469.87</v>
      </c>
      <c r="I49" s="44">
        <f>SUMIF(ALIF_Y2020!$A:$A,$A49,ALIF_Y2020!$F:$F)</f>
        <v>336418.50099999999</v>
      </c>
      <c r="J49" s="44">
        <f>SUMIF(ALIF_Y2021!$A:$A,$A49,ALIF_Y2021!$F:$F)</f>
        <v>0</v>
      </c>
      <c r="K49" s="44">
        <f>SUMIF(ALIF_Y2022!$A:$A,$A49,ALIF_Y2022!$F:$F)</f>
        <v>682659.36300000001</v>
      </c>
      <c r="L49" s="44">
        <f>SUMIF(ALIF_Y2023!$A:$A,$A49,ALIF_Y2023!$F:$F)</f>
        <v>692621.20400000003</v>
      </c>
      <c r="M49" s="44">
        <f>SUMIF(ALIF_Y2024!$A:$A,$A49,ALIF_Y2024!$F:$F)</f>
        <v>1176947.8540000001</v>
      </c>
      <c r="N49" s="44">
        <f>SUMIF(ALIF_Y2025!$A:$A,$A49,ALIF_Y2025!$F:$F)</f>
        <v>3607203.9890000001</v>
      </c>
      <c r="O49" s="44">
        <f>SUMIF(TB_Input_Alif!$A:$A,$A49,TB_Input_Alif!$F:$F)</f>
        <v>1625884.73</v>
      </c>
      <c r="P49" s="43" t="str">
        <f>_xlfn.XLOOKUP(A49,Map!A:A,Map!E:E)</f>
        <v>Short-term Murabaha loans</v>
      </c>
      <c r="Q49" s="43" t="str">
        <f>_xlfn.XLOOKUP(A49,Map!A:A,Map!D:D)</f>
        <v>Current Liabilities</v>
      </c>
    </row>
    <row r="50" spans="1:17" x14ac:dyDescent="0.25">
      <c r="A50" s="42">
        <v>170003</v>
      </c>
      <c r="B50" s="43" t="s">
        <v>865</v>
      </c>
      <c r="C50" s="44">
        <f>SUMIF(ALIF_Y2014!$A:$A,$A50,ALIF_Y2014!$F:$F)</f>
        <v>209891.57</v>
      </c>
      <c r="D50" s="44">
        <f>SUMIF(ALIF_Y2015!$A:$A,$A50,ALIF_Y2015!$F:$F)</f>
        <v>58936.4</v>
      </c>
      <c r="E50" s="44">
        <f>SUMIF(ALIF_Y2016!$A:$A,$A50,ALIF_Y2016!$F:$F)</f>
        <v>29088.487000000001</v>
      </c>
      <c r="F50" s="44">
        <f>SUMIF(ALIF_Y2017!$A:$A,$A50,ALIF_Y2017!$F:$F)</f>
        <v>-3.0000000000000001E-3</v>
      </c>
      <c r="G50" s="44">
        <f>SUMIF(ALIF_Y2018!$A:$A,$A50,ALIF_Y2018!$F:$F)</f>
        <v>0</v>
      </c>
      <c r="H50" s="44">
        <f>SUMIF(ALIF_Y2019!$A:$A,$A50,ALIF_Y2019!$F:$F)</f>
        <v>0</v>
      </c>
      <c r="I50" s="44">
        <f>SUMIF(ALIF_Y2020!$A:$A,$A50,ALIF_Y2020!$F:$F)</f>
        <v>0</v>
      </c>
      <c r="J50" s="44">
        <f>SUMIF(ALIF_Y2021!$A:$A,$A50,ALIF_Y2021!$F:$F)</f>
        <v>0</v>
      </c>
      <c r="K50" s="44">
        <f>SUMIF(ALIF_Y2022!$A:$A,$A50,ALIF_Y2022!$F:$F)</f>
        <v>0</v>
      </c>
      <c r="L50" s="44">
        <f>SUMIF(ALIF_Y2023!$A:$A,$A50,ALIF_Y2023!$F:$F)</f>
        <v>0</v>
      </c>
      <c r="M50" s="44">
        <f>SUMIF(ALIF_Y2024!$A:$A,$A50,ALIF_Y2024!$F:$F)</f>
        <v>0</v>
      </c>
      <c r="N50" s="44">
        <f>SUMIF(ALIF_Y2025!$A:$A,$A50,ALIF_Y2025!$F:$F)</f>
        <v>0</v>
      </c>
      <c r="O50" s="44">
        <f>SUMIF(TB_Input_Alif!$A:$A,$A50,TB_Input_Alif!$F:$F)</f>
        <v>0</v>
      </c>
      <c r="P50" s="43" t="str">
        <f>_xlfn.XLOOKUP(A50,Map!A:A,Map!E:E)</f>
        <v>Short-term Murabaha loans</v>
      </c>
      <c r="Q50" s="43" t="str">
        <f>_xlfn.XLOOKUP(A50,Map!A:A,Map!D:D)</f>
        <v>Current Liabilities</v>
      </c>
    </row>
    <row r="51" spans="1:17" x14ac:dyDescent="0.25">
      <c r="A51" s="42">
        <v>170004</v>
      </c>
      <c r="B51" s="43" t="s">
        <v>866</v>
      </c>
      <c r="C51" s="44">
        <f>SUMIF(ALIF_Y2014!$A:$A,$A51,ALIF_Y2014!$F:$F)</f>
        <v>0</v>
      </c>
      <c r="D51" s="44">
        <f>SUMIF(ALIF_Y2015!$A:$A,$A51,ALIF_Y2015!$F:$F)</f>
        <v>13828.647999999999</v>
      </c>
      <c r="E51" s="44">
        <f>SUMIF(ALIF_Y2016!$A:$A,$A51,ALIF_Y2016!$F:$F)</f>
        <v>0</v>
      </c>
      <c r="F51" s="44">
        <f>SUMIF(ALIF_Y2017!$A:$A,$A51,ALIF_Y2017!$F:$F)</f>
        <v>0</v>
      </c>
      <c r="G51" s="44">
        <f>SUMIF(ALIF_Y2018!$A:$A,$A51,ALIF_Y2018!$F:$F)</f>
        <v>0</v>
      </c>
      <c r="H51" s="44">
        <f>SUMIF(ALIF_Y2019!$A:$A,$A51,ALIF_Y2019!$F:$F)</f>
        <v>0</v>
      </c>
      <c r="I51" s="44">
        <f>SUMIF(ALIF_Y2020!$A:$A,$A51,ALIF_Y2020!$F:$F)</f>
        <v>0</v>
      </c>
      <c r="J51" s="44">
        <f>SUMIF(ALIF_Y2021!$A:$A,$A51,ALIF_Y2021!$F:$F)</f>
        <v>0</v>
      </c>
      <c r="K51" s="44">
        <f>SUMIF(ALIF_Y2022!$A:$A,$A51,ALIF_Y2022!$F:$F)</f>
        <v>0</v>
      </c>
      <c r="L51" s="44">
        <f>SUMIF(ALIF_Y2023!$A:$A,$A51,ALIF_Y2023!$F:$F)</f>
        <v>0</v>
      </c>
      <c r="M51" s="44">
        <f>SUMIF(ALIF_Y2024!$A:$A,$A51,ALIF_Y2024!$F:$F)</f>
        <v>1E-3</v>
      </c>
      <c r="N51" s="44">
        <f>SUMIF(ALIF_Y2025!$A:$A,$A51,ALIF_Y2025!$F:$F)</f>
        <v>1E-3</v>
      </c>
      <c r="O51" s="44">
        <f>SUMIF(TB_Input_Alif!$A:$A,$A51,TB_Input_Alif!$F:$F)</f>
        <v>1E-3</v>
      </c>
      <c r="P51" s="43" t="str">
        <f>_xlfn.XLOOKUP(A51,Map!A:A,Map!E:E)</f>
        <v>Short-term Murabaha loans</v>
      </c>
      <c r="Q51" s="43" t="str">
        <f>_xlfn.XLOOKUP(A51,Map!A:A,Map!D:D)</f>
        <v>Current Liabilities</v>
      </c>
    </row>
    <row r="52" spans="1:17" x14ac:dyDescent="0.25">
      <c r="A52" s="42">
        <v>170005</v>
      </c>
      <c r="B52" s="43" t="s">
        <v>867</v>
      </c>
      <c r="C52" s="44">
        <f>SUMIF(ALIF_Y2014!$A:$A,$A52,ALIF_Y2014!$F:$F)</f>
        <v>0</v>
      </c>
      <c r="D52" s="44">
        <f>SUMIF(ALIF_Y2015!$A:$A,$A52,ALIF_Y2015!$F:$F)</f>
        <v>0</v>
      </c>
      <c r="E52" s="44">
        <f>SUMIF(ALIF_Y2016!$A:$A,$A52,ALIF_Y2016!$F:$F)</f>
        <v>0</v>
      </c>
      <c r="F52" s="44">
        <f>SUMIF(ALIF_Y2017!$A:$A,$A52,ALIF_Y2017!$F:$F)</f>
        <v>0</v>
      </c>
      <c r="G52" s="44">
        <f>SUMIF(ALIF_Y2018!$A:$A,$A52,ALIF_Y2018!$F:$F)</f>
        <v>0</v>
      </c>
      <c r="H52" s="44">
        <f>SUMIF(ALIF_Y2019!$A:$A,$A52,ALIF_Y2019!$F:$F)</f>
        <v>0</v>
      </c>
      <c r="I52" s="44">
        <f>SUMIF(ALIF_Y2020!$A:$A,$A52,ALIF_Y2020!$F:$F)</f>
        <v>0</v>
      </c>
      <c r="J52" s="44">
        <f>SUMIF(ALIF_Y2021!$A:$A,$A52,ALIF_Y2021!$F:$F)</f>
        <v>0</v>
      </c>
      <c r="K52" s="44">
        <f>SUMIF(ALIF_Y2022!$A:$A,$A52,ALIF_Y2022!$F:$F)</f>
        <v>0</v>
      </c>
      <c r="L52" s="44">
        <f>SUMIF(ALIF_Y2023!$A:$A,$A52,ALIF_Y2023!$F:$F)</f>
        <v>0</v>
      </c>
      <c r="M52" s="44">
        <f>SUMIF(ALIF_Y2024!$A:$A,$A52,ALIF_Y2024!$F:$F)</f>
        <v>0</v>
      </c>
      <c r="N52" s="44">
        <f>SUMIF(ALIF_Y2025!$A:$A,$A52,ALIF_Y2025!$F:$F)</f>
        <v>0</v>
      </c>
      <c r="O52" s="44">
        <f>SUMIF(TB_Input_Alif!$A:$A,$A52,TB_Input_Alif!$F:$F)</f>
        <v>0</v>
      </c>
      <c r="P52" s="43" t="str">
        <f>_xlfn.XLOOKUP(A52,Map!A:A,Map!E:E)</f>
        <v>Prepaid expenses</v>
      </c>
      <c r="Q52" s="43" t="str">
        <f>_xlfn.XLOOKUP(A52,Map!A:A,Map!D:D)</f>
        <v>Current Assets</v>
      </c>
    </row>
    <row r="53" spans="1:17" x14ac:dyDescent="0.25">
      <c r="A53" s="42">
        <v>170006</v>
      </c>
      <c r="B53" s="43" t="s">
        <v>868</v>
      </c>
      <c r="C53" s="44">
        <f>SUMIF(ALIF_Y2014!$A:$A,$A53,ALIF_Y2014!$F:$F)</f>
        <v>190719</v>
      </c>
      <c r="D53" s="44">
        <f>SUMIF(ALIF_Y2015!$A:$A,$A53,ALIF_Y2015!$F:$F)</f>
        <v>453316.30099999998</v>
      </c>
      <c r="E53" s="44">
        <f>SUMIF(ALIF_Y2016!$A:$A,$A53,ALIF_Y2016!$F:$F)</f>
        <v>971548.60900000005</v>
      </c>
      <c r="F53" s="44">
        <f>SUMIF(ALIF_Y2017!$A:$A,$A53,ALIF_Y2017!$F:$F)</f>
        <v>0</v>
      </c>
      <c r="G53" s="44">
        <f>SUMIF(ALIF_Y2018!$A:$A,$A53,ALIF_Y2018!$F:$F)</f>
        <v>0</v>
      </c>
      <c r="H53" s="44">
        <f>SUMIF(ALIF_Y2019!$A:$A,$A53,ALIF_Y2019!$F:$F)</f>
        <v>0</v>
      </c>
      <c r="I53" s="44">
        <f>SUMIF(ALIF_Y2020!$A:$A,$A53,ALIF_Y2020!$F:$F)</f>
        <v>0</v>
      </c>
      <c r="J53" s="44">
        <f>SUMIF(ALIF_Y2021!$A:$A,$A53,ALIF_Y2021!$F:$F)</f>
        <v>1240226.54</v>
      </c>
      <c r="K53" s="44">
        <f>SUMIF(ALIF_Y2022!$A:$A,$A53,ALIF_Y2022!$F:$F)</f>
        <v>18329.419999999998</v>
      </c>
      <c r="L53" s="44">
        <f>SUMIF(ALIF_Y2023!$A:$A,$A53,ALIF_Y2023!$F:$F)</f>
        <v>0</v>
      </c>
      <c r="M53" s="44">
        <f>SUMIF(ALIF_Y2024!$A:$A,$A53,ALIF_Y2024!$F:$F)</f>
        <v>0</v>
      </c>
      <c r="N53" s="44">
        <f>SUMIF(ALIF_Y2025!$A:$A,$A53,ALIF_Y2025!$F:$F)</f>
        <v>0</v>
      </c>
      <c r="O53" s="44">
        <f>SUMIF(TB_Input_Alif!$A:$A,$A53,TB_Input_Alif!$F:$F)</f>
        <v>0</v>
      </c>
      <c r="P53" s="43" t="str">
        <f>_xlfn.XLOOKUP(A53,Map!A:A,Map!E:E)</f>
        <v>Prepaid expenses</v>
      </c>
      <c r="Q53" s="43" t="str">
        <f>_xlfn.XLOOKUP(A53,Map!A:A,Map!D:D)</f>
        <v>Current Assets</v>
      </c>
    </row>
    <row r="54" spans="1:17" x14ac:dyDescent="0.25">
      <c r="A54" s="42">
        <v>170007</v>
      </c>
      <c r="B54" s="43" t="s">
        <v>869</v>
      </c>
      <c r="C54" s="44">
        <f>SUMIF(ALIF_Y2014!$A:$A,$A54,ALIF_Y2014!$F:$F)</f>
        <v>1274692.58</v>
      </c>
      <c r="D54" s="44">
        <f>SUMIF(ALIF_Y2015!$A:$A,$A54,ALIF_Y2015!$F:$F)</f>
        <v>319948.95400000003</v>
      </c>
      <c r="E54" s="44">
        <f>SUMIF(ALIF_Y2016!$A:$A,$A54,ALIF_Y2016!$F:$F)</f>
        <v>0</v>
      </c>
      <c r="F54" s="44">
        <f>SUMIF(ALIF_Y2017!$A:$A,$A54,ALIF_Y2017!$F:$F)</f>
        <v>0</v>
      </c>
      <c r="G54" s="44">
        <f>SUMIF(ALIF_Y2018!$A:$A,$A54,ALIF_Y2018!$F:$F)</f>
        <v>0</v>
      </c>
      <c r="H54" s="44">
        <f>SUMIF(ALIF_Y2019!$A:$A,$A54,ALIF_Y2019!$F:$F)</f>
        <v>0</v>
      </c>
      <c r="I54" s="44">
        <f>SUMIF(ALIF_Y2020!$A:$A,$A54,ALIF_Y2020!$F:$F)</f>
        <v>0</v>
      </c>
      <c r="J54" s="44">
        <f>SUMIF(ALIF_Y2021!$A:$A,$A54,ALIF_Y2021!$F:$F)</f>
        <v>0</v>
      </c>
      <c r="K54" s="44">
        <f>SUMIF(ALIF_Y2022!$A:$A,$A54,ALIF_Y2022!$F:$F)</f>
        <v>0</v>
      </c>
      <c r="L54" s="44">
        <f>SUMIF(ALIF_Y2023!$A:$A,$A54,ALIF_Y2023!$F:$F)</f>
        <v>0</v>
      </c>
      <c r="M54" s="44">
        <f>SUMIF(ALIF_Y2024!$A:$A,$A54,ALIF_Y2024!$F:$F)</f>
        <v>0</v>
      </c>
      <c r="N54" s="44">
        <f>SUMIF(ALIF_Y2025!$A:$A,$A54,ALIF_Y2025!$F:$F)</f>
        <v>0</v>
      </c>
      <c r="O54" s="44">
        <f>SUMIF(TB_Input_Alif!$A:$A,$A54,TB_Input_Alif!$F:$F)</f>
        <v>0</v>
      </c>
      <c r="P54" s="43" t="str">
        <f>_xlfn.XLOOKUP(A54,Map!A:A,Map!E:E)</f>
        <v>Prepaid expenses</v>
      </c>
      <c r="Q54" s="43" t="str">
        <f>_xlfn.XLOOKUP(A54,Map!A:A,Map!D:D)</f>
        <v>Current Assets</v>
      </c>
    </row>
    <row r="55" spans="1:17" x14ac:dyDescent="0.25">
      <c r="A55" s="42">
        <v>170008</v>
      </c>
      <c r="B55" s="43" t="s">
        <v>870</v>
      </c>
      <c r="C55" s="44">
        <f>SUMIF(ALIF_Y2014!$A:$A,$A55,ALIF_Y2014!$F:$F)</f>
        <v>0</v>
      </c>
      <c r="D55" s="44">
        <f>SUMIF(ALIF_Y2015!$A:$A,$A55,ALIF_Y2015!$F:$F)</f>
        <v>-2E-3</v>
      </c>
      <c r="E55" s="44">
        <f>SUMIF(ALIF_Y2016!$A:$A,$A55,ALIF_Y2016!$F:$F)</f>
        <v>0</v>
      </c>
      <c r="F55" s="44">
        <f>SUMIF(ALIF_Y2017!$A:$A,$A55,ALIF_Y2017!$F:$F)</f>
        <v>0</v>
      </c>
      <c r="G55" s="44">
        <f>SUMIF(ALIF_Y2018!$A:$A,$A55,ALIF_Y2018!$F:$F)</f>
        <v>0</v>
      </c>
      <c r="H55" s="44">
        <f>SUMIF(ALIF_Y2019!$A:$A,$A55,ALIF_Y2019!$F:$F)</f>
        <v>75267.740000000005</v>
      </c>
      <c r="I55" s="44">
        <f>SUMIF(ALIF_Y2020!$A:$A,$A55,ALIF_Y2020!$F:$F)</f>
        <v>0</v>
      </c>
      <c r="J55" s="44">
        <f>SUMIF(ALIF_Y2021!$A:$A,$A55,ALIF_Y2021!$F:$F)</f>
        <v>402889.63</v>
      </c>
      <c r="K55" s="44">
        <f>SUMIF(ALIF_Y2022!$A:$A,$A55,ALIF_Y2022!$F:$F)</f>
        <v>0</v>
      </c>
      <c r="L55" s="44">
        <f>SUMIF(ALIF_Y2023!$A:$A,$A55,ALIF_Y2023!$F:$F)</f>
        <v>0</v>
      </c>
      <c r="M55" s="44">
        <f>SUMIF(ALIF_Y2024!$A:$A,$A55,ALIF_Y2024!$F:$F)</f>
        <v>65928.34</v>
      </c>
      <c r="N55" s="44">
        <f>SUMIF(ALIF_Y2025!$A:$A,$A55,ALIF_Y2025!$F:$F)</f>
        <v>-97238.096000000005</v>
      </c>
      <c r="O55" s="44">
        <f>SUMIF(TB_Input_Alif!$A:$A,$A55,TB_Input_Alif!$F:$F)</f>
        <v>6193.7870000000003</v>
      </c>
      <c r="P55" s="43" t="str">
        <f>_xlfn.XLOOKUP(A55,Map!A:A,Map!E:E)</f>
        <v>Prepaid expenses</v>
      </c>
      <c r="Q55" s="43" t="str">
        <f>_xlfn.XLOOKUP(A55,Map!A:A,Map!D:D)</f>
        <v>Current Assets</v>
      </c>
    </row>
    <row r="56" spans="1:17" x14ac:dyDescent="0.25">
      <c r="A56" s="42">
        <v>170009</v>
      </c>
      <c r="B56" s="43" t="s">
        <v>871</v>
      </c>
      <c r="C56" s="44">
        <f>SUMIF(ALIF_Y2014!$A:$A,$A56,ALIF_Y2014!$F:$F)</f>
        <v>120000.1</v>
      </c>
      <c r="D56" s="44">
        <f>SUMIF(ALIF_Y2015!$A:$A,$A56,ALIF_Y2015!$F:$F)</f>
        <v>94955</v>
      </c>
      <c r="E56" s="44">
        <f>SUMIF(ALIF_Y2016!$A:$A,$A56,ALIF_Y2016!$F:$F)</f>
        <v>59583</v>
      </c>
      <c r="F56" s="44">
        <f>SUMIF(ALIF_Y2017!$A:$A,$A56,ALIF_Y2017!$F:$F)</f>
        <v>34444.000999999997</v>
      </c>
      <c r="G56" s="44">
        <f>SUMIF(ALIF_Y2018!$A:$A,$A56,ALIF_Y2018!$F:$F)</f>
        <v>75235</v>
      </c>
      <c r="H56" s="44">
        <f>SUMIF(ALIF_Y2019!$A:$A,$A56,ALIF_Y2019!$F:$F)</f>
        <v>85513</v>
      </c>
      <c r="I56" s="44">
        <f>SUMIF(ALIF_Y2020!$A:$A,$A56,ALIF_Y2020!$F:$F)</f>
        <v>64609</v>
      </c>
      <c r="J56" s="44">
        <f>SUMIF(ALIF_Y2021!$A:$A,$A56,ALIF_Y2021!$F:$F)</f>
        <v>33000</v>
      </c>
      <c r="K56" s="44">
        <f>SUMIF(ALIF_Y2022!$A:$A,$A56,ALIF_Y2022!$F:$F)</f>
        <v>62777</v>
      </c>
      <c r="L56" s="44">
        <f>SUMIF(ALIF_Y2023!$A:$A,$A56,ALIF_Y2023!$F:$F)</f>
        <v>60962</v>
      </c>
      <c r="M56" s="44">
        <f>SUMIF(ALIF_Y2024!$A:$A,$A56,ALIF_Y2024!$F:$F)</f>
        <v>81690.100999999995</v>
      </c>
      <c r="N56" s="44">
        <f>SUMIF(ALIF_Y2025!$A:$A,$A56,ALIF_Y2025!$F:$F)</f>
        <v>191029.62700000001</v>
      </c>
      <c r="O56" s="44">
        <f>SUMIF(TB_Input_Alif!$A:$A,$A56,TB_Input_Alif!$F:$F)</f>
        <v>215959.37100000001</v>
      </c>
      <c r="P56" s="43" t="str">
        <f>_xlfn.XLOOKUP(A56,Map!A:A,Map!E:E)</f>
        <v>Prepaid expenses</v>
      </c>
      <c r="Q56" s="43" t="str">
        <f>_xlfn.XLOOKUP(A56,Map!A:A,Map!D:D)</f>
        <v>Current Assets</v>
      </c>
    </row>
    <row r="57" spans="1:17" x14ac:dyDescent="0.25">
      <c r="A57" s="42">
        <v>170010</v>
      </c>
      <c r="B57" s="43" t="s">
        <v>872</v>
      </c>
      <c r="C57" s="44">
        <f>SUMIF(ALIF_Y2014!$A:$A,$A57,ALIF_Y2014!$F:$F)</f>
        <v>0</v>
      </c>
      <c r="D57" s="44">
        <f>SUMIF(ALIF_Y2015!$A:$A,$A57,ALIF_Y2015!$F:$F)</f>
        <v>0</v>
      </c>
      <c r="E57" s="44">
        <f>SUMIF(ALIF_Y2016!$A:$A,$A57,ALIF_Y2016!$F:$F)</f>
        <v>0</v>
      </c>
      <c r="F57" s="44">
        <f>SUMIF(ALIF_Y2017!$A:$A,$A57,ALIF_Y2017!$F:$F)</f>
        <v>0</v>
      </c>
      <c r="G57" s="44">
        <f>SUMIF(ALIF_Y2018!$A:$A,$A57,ALIF_Y2018!$F:$F)</f>
        <v>0</v>
      </c>
      <c r="H57" s="44">
        <f>SUMIF(ALIF_Y2019!$A:$A,$A57,ALIF_Y2019!$F:$F)</f>
        <v>0</v>
      </c>
      <c r="I57" s="44">
        <f>SUMIF(ALIF_Y2020!$A:$A,$A57,ALIF_Y2020!$F:$F)</f>
        <v>0</v>
      </c>
      <c r="J57" s="44">
        <f>SUMIF(ALIF_Y2021!$A:$A,$A57,ALIF_Y2021!$F:$F)</f>
        <v>0</v>
      </c>
      <c r="K57" s="44">
        <f>SUMIF(ALIF_Y2022!$A:$A,$A57,ALIF_Y2022!$F:$F)</f>
        <v>0</v>
      </c>
      <c r="L57" s="44">
        <f>SUMIF(ALIF_Y2023!$A:$A,$A57,ALIF_Y2023!$F:$F)</f>
        <v>0</v>
      </c>
      <c r="M57" s="44">
        <f>SUMIF(ALIF_Y2024!$A:$A,$A57,ALIF_Y2024!$F:$F)</f>
        <v>0</v>
      </c>
      <c r="N57" s="44">
        <f>SUMIF(ALIF_Y2025!$A:$A,$A57,ALIF_Y2025!$F:$F)</f>
        <v>0</v>
      </c>
      <c r="O57" s="44">
        <f>SUMIF(TB_Input_Alif!$A:$A,$A57,TB_Input_Alif!$F:$F)</f>
        <v>0</v>
      </c>
      <c r="P57" s="43" t="str">
        <f>_xlfn.XLOOKUP(A57,Map!A:A,Map!E:E)</f>
        <v>Prepaid expenses</v>
      </c>
      <c r="Q57" s="43" t="str">
        <f>_xlfn.XLOOKUP(A57,Map!A:A,Map!D:D)</f>
        <v>Current Assets</v>
      </c>
    </row>
    <row r="58" spans="1:17" x14ac:dyDescent="0.25">
      <c r="A58" s="42">
        <v>170011</v>
      </c>
      <c r="B58" s="43" t="s">
        <v>873</v>
      </c>
      <c r="C58" s="44">
        <f>SUMIF(ALIF_Y2014!$A:$A,$A58,ALIF_Y2014!$F:$F)</f>
        <v>0</v>
      </c>
      <c r="D58" s="44">
        <f>SUMIF(ALIF_Y2015!$A:$A,$A58,ALIF_Y2015!$F:$F)</f>
        <v>0</v>
      </c>
      <c r="E58" s="44">
        <f>SUMIF(ALIF_Y2016!$A:$A,$A58,ALIF_Y2016!$F:$F)</f>
        <v>0</v>
      </c>
      <c r="F58" s="44">
        <f>SUMIF(ALIF_Y2017!$A:$A,$A58,ALIF_Y2017!$F:$F)</f>
        <v>0</v>
      </c>
      <c r="G58" s="44">
        <f>SUMIF(ALIF_Y2018!$A:$A,$A58,ALIF_Y2018!$F:$F)</f>
        <v>175000</v>
      </c>
      <c r="H58" s="44">
        <f>SUMIF(ALIF_Y2019!$A:$A,$A58,ALIF_Y2019!$F:$F)</f>
        <v>1453882.8</v>
      </c>
      <c r="I58" s="44">
        <f>SUMIF(ALIF_Y2020!$A:$A,$A58,ALIF_Y2020!$F:$F)</f>
        <v>0</v>
      </c>
      <c r="J58" s="44">
        <f>SUMIF(ALIF_Y2021!$A:$A,$A58,ALIF_Y2021!$F:$F)</f>
        <v>0</v>
      </c>
      <c r="K58" s="44">
        <f>SUMIF(ALIF_Y2022!$A:$A,$A58,ALIF_Y2022!$F:$F)</f>
        <v>0</v>
      </c>
      <c r="L58" s="44">
        <f>SUMIF(ALIF_Y2023!$A:$A,$A58,ALIF_Y2023!$F:$F)</f>
        <v>0</v>
      </c>
      <c r="M58" s="44">
        <f>SUMIF(ALIF_Y2024!$A:$A,$A58,ALIF_Y2024!$F:$F)</f>
        <v>0</v>
      </c>
      <c r="N58" s="44">
        <f>SUMIF(ALIF_Y2025!$A:$A,$A58,ALIF_Y2025!$F:$F)</f>
        <v>50000</v>
      </c>
      <c r="O58" s="44">
        <f>SUMIF(TB_Input_Alif!$A:$A,$A58,TB_Input_Alif!$F:$F)</f>
        <v>0</v>
      </c>
      <c r="P58" s="43" t="str">
        <f>_xlfn.XLOOKUP(A58,Map!A:A,Map!E:E)</f>
        <v>Prepaid expenses</v>
      </c>
      <c r="Q58" s="43" t="str">
        <f>_xlfn.XLOOKUP(A58,Map!A:A,Map!D:D)</f>
        <v>Current Assets</v>
      </c>
    </row>
    <row r="59" spans="1:17" x14ac:dyDescent="0.25">
      <c r="A59" s="42">
        <v>170012</v>
      </c>
      <c r="B59" s="43" t="s">
        <v>874</v>
      </c>
      <c r="C59" s="44">
        <f>SUMIF(ALIF_Y2014!$A:$A,$A59,ALIF_Y2014!$F:$F)</f>
        <v>0</v>
      </c>
      <c r="D59" s="44">
        <f>SUMIF(ALIF_Y2015!$A:$A,$A59,ALIF_Y2015!$F:$F)</f>
        <v>0</v>
      </c>
      <c r="E59" s="44">
        <f>SUMIF(ALIF_Y2016!$A:$A,$A59,ALIF_Y2016!$F:$F)</f>
        <v>0</v>
      </c>
      <c r="F59" s="44">
        <f>SUMIF(ALIF_Y2017!$A:$A,$A59,ALIF_Y2017!$F:$F)</f>
        <v>0</v>
      </c>
      <c r="G59" s="44">
        <f>SUMIF(ALIF_Y2018!$A:$A,$A59,ALIF_Y2018!$F:$F)</f>
        <v>0</v>
      </c>
      <c r="H59" s="44">
        <f>SUMIF(ALIF_Y2019!$A:$A,$A59,ALIF_Y2019!$F:$F)</f>
        <v>214300</v>
      </c>
      <c r="I59" s="44">
        <f>SUMIF(ALIF_Y2020!$A:$A,$A59,ALIF_Y2020!$F:$F)</f>
        <v>171440</v>
      </c>
      <c r="J59" s="44">
        <f>SUMIF(ALIF_Y2021!$A:$A,$A59,ALIF_Y2021!$F:$F)</f>
        <v>128580</v>
      </c>
      <c r="K59" s="44">
        <f>SUMIF(ALIF_Y2022!$A:$A,$A59,ALIF_Y2022!$F:$F)</f>
        <v>-6.0000000000000001E-3</v>
      </c>
      <c r="L59" s="44">
        <f>SUMIF(ALIF_Y2023!$A:$A,$A59,ALIF_Y2023!$F:$F)</f>
        <v>0</v>
      </c>
      <c r="M59" s="44">
        <f>SUMIF(ALIF_Y2024!$A:$A,$A59,ALIF_Y2024!$F:$F)</f>
        <v>0</v>
      </c>
      <c r="N59" s="44">
        <f>SUMIF(ALIF_Y2025!$A:$A,$A59,ALIF_Y2025!$F:$F)</f>
        <v>0</v>
      </c>
      <c r="O59" s="44">
        <f>SUMIF(TB_Input_Alif!$A:$A,$A59,TB_Input_Alif!$F:$F)</f>
        <v>0</v>
      </c>
      <c r="P59" s="43" t="str">
        <f>_xlfn.XLOOKUP(A59,Map!A:A,Map!E:E)</f>
        <v>Prepaid expenses</v>
      </c>
      <c r="Q59" s="43" t="str">
        <f>_xlfn.XLOOKUP(A59,Map!A:A,Map!D:D)</f>
        <v>Current Assets</v>
      </c>
    </row>
    <row r="60" spans="1:17" x14ac:dyDescent="0.25">
      <c r="A60" s="42">
        <v>170013</v>
      </c>
      <c r="B60" s="43" t="s">
        <v>875</v>
      </c>
      <c r="C60" s="44">
        <f>SUMIF(ALIF_Y2014!$A:$A,$A60,ALIF_Y2014!$F:$F)</f>
        <v>59000</v>
      </c>
      <c r="D60" s="44">
        <f>SUMIF(ALIF_Y2015!$A:$A,$A60,ALIF_Y2015!$F:$F)</f>
        <v>59000</v>
      </c>
      <c r="E60" s="44">
        <f>SUMIF(ALIF_Y2016!$A:$A,$A60,ALIF_Y2016!$F:$F)</f>
        <v>59000</v>
      </c>
      <c r="F60" s="44">
        <f>SUMIF(ALIF_Y2017!$A:$A,$A60,ALIF_Y2017!$F:$F)</f>
        <v>59000</v>
      </c>
      <c r="G60" s="44">
        <f>SUMIF(ALIF_Y2018!$A:$A,$A60,ALIF_Y2018!$F:$F)</f>
        <v>64000</v>
      </c>
      <c r="H60" s="44">
        <f>SUMIF(ALIF_Y2019!$A:$A,$A60,ALIF_Y2019!$F:$F)</f>
        <v>67999.599000000002</v>
      </c>
      <c r="I60" s="44">
        <f>SUMIF(ALIF_Y2020!$A:$A,$A60,ALIF_Y2020!$F:$F)</f>
        <v>67999.599000000002</v>
      </c>
      <c r="J60" s="44">
        <f>SUMIF(ALIF_Y2021!$A:$A,$A60,ALIF_Y2021!$F:$F)</f>
        <v>67999.599000000002</v>
      </c>
      <c r="K60" s="44">
        <f>SUMIF(ALIF_Y2022!$A:$A,$A60,ALIF_Y2022!$F:$F)</f>
        <v>0</v>
      </c>
      <c r="L60" s="44">
        <f>SUMIF(ALIF_Y2023!$A:$A,$A60,ALIF_Y2023!$F:$F)</f>
        <v>0</v>
      </c>
      <c r="M60" s="44">
        <f>SUMIF(ALIF_Y2024!$A:$A,$A60,ALIF_Y2024!$F:$F)</f>
        <v>0</v>
      </c>
      <c r="N60" s="44">
        <f>SUMIF(ALIF_Y2025!$A:$A,$A60,ALIF_Y2025!$F:$F)</f>
        <v>0</v>
      </c>
      <c r="O60" s="44">
        <f>SUMIF(TB_Input_Alif!$A:$A,$A60,TB_Input_Alif!$F:$F)</f>
        <v>0</v>
      </c>
      <c r="P60" s="43" t="str">
        <f>_xlfn.XLOOKUP(A60,Map!A:A,Map!E:E)</f>
        <v>Prepaid expenses</v>
      </c>
      <c r="Q60" s="43" t="str">
        <f>_xlfn.XLOOKUP(A60,Map!A:A,Map!D:D)</f>
        <v>Current Assets</v>
      </c>
    </row>
    <row r="61" spans="1:17" x14ac:dyDescent="0.25">
      <c r="A61" s="42">
        <v>170014</v>
      </c>
      <c r="B61" s="43" t="s">
        <v>876</v>
      </c>
      <c r="C61" s="44">
        <f>SUMIF(ALIF_Y2014!$A:$A,$A61,ALIF_Y2014!$F:$F)</f>
        <v>227199</v>
      </c>
      <c r="D61" s="44">
        <f>SUMIF(ALIF_Y2015!$A:$A,$A61,ALIF_Y2015!$F:$F)</f>
        <v>227470.541</v>
      </c>
      <c r="E61" s="44">
        <f>SUMIF(ALIF_Y2016!$A:$A,$A61,ALIF_Y2016!$F:$F)</f>
        <v>314532</v>
      </c>
      <c r="F61" s="44">
        <f>SUMIF(ALIF_Y2017!$A:$A,$A61,ALIF_Y2017!$F:$F)</f>
        <v>284241.5</v>
      </c>
      <c r="G61" s="44">
        <f>SUMIF(ALIF_Y2018!$A:$A,$A61,ALIF_Y2018!$F:$F)</f>
        <v>321097</v>
      </c>
      <c r="H61" s="44">
        <f>SUMIF(ALIF_Y2019!$A:$A,$A61,ALIF_Y2019!$F:$F)</f>
        <v>335549.7</v>
      </c>
      <c r="I61" s="44">
        <f>SUMIF(ALIF_Y2020!$A:$A,$A61,ALIF_Y2020!$F:$F)</f>
        <v>291018.283</v>
      </c>
      <c r="J61" s="44">
        <f>SUMIF(ALIF_Y2021!$A:$A,$A61,ALIF_Y2021!$F:$F)</f>
        <v>364209.5</v>
      </c>
      <c r="K61" s="44">
        <f>SUMIF(ALIF_Y2022!$A:$A,$A61,ALIF_Y2022!$F:$F)</f>
        <v>569660.51</v>
      </c>
      <c r="L61" s="44">
        <f>SUMIF(ALIF_Y2023!$A:$A,$A61,ALIF_Y2023!$F:$F)</f>
        <v>337938</v>
      </c>
      <c r="M61" s="44">
        <f>SUMIF(ALIF_Y2024!$A:$A,$A61,ALIF_Y2024!$F:$F)</f>
        <v>384085.83399999997</v>
      </c>
      <c r="N61" s="44">
        <f>SUMIF(ALIF_Y2025!$A:$A,$A61,ALIF_Y2025!$F:$F)</f>
        <v>540552.21100000001</v>
      </c>
      <c r="O61" s="44">
        <f>SUMIF(TB_Input_Alif!$A:$A,$A61,TB_Input_Alif!$F:$F)</f>
        <v>636644.11699999997</v>
      </c>
      <c r="P61" s="43" t="str">
        <f>_xlfn.XLOOKUP(A61,Map!A:A,Map!E:E)</f>
        <v>Prepaid expenses</v>
      </c>
      <c r="Q61" s="43" t="str">
        <f>_xlfn.XLOOKUP(A61,Map!A:A,Map!D:D)</f>
        <v>Current Assets</v>
      </c>
    </row>
    <row r="62" spans="1:17" x14ac:dyDescent="0.25">
      <c r="A62" s="42">
        <v>170015</v>
      </c>
      <c r="B62" s="43" t="s">
        <v>877</v>
      </c>
      <c r="C62" s="44">
        <f>SUMIF(ALIF_Y2014!$A:$A,$A62,ALIF_Y2014!$F:$F)</f>
        <v>0</v>
      </c>
      <c r="D62" s="44">
        <f>SUMIF(ALIF_Y2015!$A:$A,$A62,ALIF_Y2015!$F:$F)</f>
        <v>0</v>
      </c>
      <c r="E62" s="44">
        <f>SUMIF(ALIF_Y2016!$A:$A,$A62,ALIF_Y2016!$F:$F)</f>
        <v>0</v>
      </c>
      <c r="F62" s="44">
        <f>SUMIF(ALIF_Y2017!$A:$A,$A62,ALIF_Y2017!$F:$F)</f>
        <v>0</v>
      </c>
      <c r="G62" s="44">
        <f>SUMIF(ALIF_Y2018!$A:$A,$A62,ALIF_Y2018!$F:$F)</f>
        <v>0</v>
      </c>
      <c r="H62" s="44">
        <f>SUMIF(ALIF_Y2019!$A:$A,$A62,ALIF_Y2019!$F:$F)</f>
        <v>0</v>
      </c>
      <c r="I62" s="44">
        <f>SUMIF(ALIF_Y2020!$A:$A,$A62,ALIF_Y2020!$F:$F)</f>
        <v>0</v>
      </c>
      <c r="J62" s="44">
        <f>SUMIF(ALIF_Y2021!$A:$A,$A62,ALIF_Y2021!$F:$F)</f>
        <v>0</v>
      </c>
      <c r="K62" s="44">
        <f>SUMIF(ALIF_Y2022!$A:$A,$A62,ALIF_Y2022!$F:$F)</f>
        <v>0</v>
      </c>
      <c r="L62" s="44">
        <f>SUMIF(ALIF_Y2023!$A:$A,$A62,ALIF_Y2023!$F:$F)</f>
        <v>0</v>
      </c>
      <c r="M62" s="44">
        <f>SUMIF(ALIF_Y2024!$A:$A,$A62,ALIF_Y2024!$F:$F)</f>
        <v>0</v>
      </c>
      <c r="N62" s="44">
        <f>SUMIF(ALIF_Y2025!$A:$A,$A62,ALIF_Y2025!$F:$F)</f>
        <v>0</v>
      </c>
      <c r="O62" s="44">
        <f>SUMIF(TB_Input_Alif!$A:$A,$A62,TB_Input_Alif!$F:$F)</f>
        <v>0</v>
      </c>
      <c r="P62" s="43" t="str">
        <f>_xlfn.XLOOKUP(A62,Map!A:A,Map!E:E)</f>
        <v>Prepaid expenses</v>
      </c>
      <c r="Q62" s="43" t="str">
        <f>_xlfn.XLOOKUP(A62,Map!A:A,Map!D:D)</f>
        <v>Current Assets</v>
      </c>
    </row>
    <row r="63" spans="1:17" x14ac:dyDescent="0.25">
      <c r="A63" s="42">
        <v>170016</v>
      </c>
      <c r="B63" s="43" t="s">
        <v>878</v>
      </c>
      <c r="C63" s="44">
        <f>SUMIF(ALIF_Y2014!$A:$A,$A63,ALIF_Y2014!$F:$F)</f>
        <v>0</v>
      </c>
      <c r="D63" s="44">
        <f>SUMIF(ALIF_Y2015!$A:$A,$A63,ALIF_Y2015!$F:$F)</f>
        <v>0</v>
      </c>
      <c r="E63" s="44">
        <f>SUMIF(ALIF_Y2016!$A:$A,$A63,ALIF_Y2016!$F:$F)</f>
        <v>0</v>
      </c>
      <c r="F63" s="44">
        <f>SUMIF(ALIF_Y2017!$A:$A,$A63,ALIF_Y2017!$F:$F)</f>
        <v>0</v>
      </c>
      <c r="G63" s="44">
        <f>SUMIF(ALIF_Y2018!$A:$A,$A63,ALIF_Y2018!$F:$F)</f>
        <v>323178</v>
      </c>
      <c r="H63" s="44">
        <f>SUMIF(ALIF_Y2019!$A:$A,$A63,ALIF_Y2019!$F:$F)</f>
        <v>0</v>
      </c>
      <c r="I63" s="44">
        <f>SUMIF(ALIF_Y2020!$A:$A,$A63,ALIF_Y2020!$F:$F)</f>
        <v>0</v>
      </c>
      <c r="J63" s="44">
        <f>SUMIF(ALIF_Y2021!$A:$A,$A63,ALIF_Y2021!$F:$F)</f>
        <v>0</v>
      </c>
      <c r="K63" s="44">
        <f>SUMIF(ALIF_Y2022!$A:$A,$A63,ALIF_Y2022!$F:$F)</f>
        <v>437398.6</v>
      </c>
      <c r="L63" s="44">
        <f>SUMIF(ALIF_Y2023!$A:$A,$A63,ALIF_Y2023!$F:$F)</f>
        <v>0</v>
      </c>
      <c r="M63" s="44">
        <f>SUMIF(ALIF_Y2024!$A:$A,$A63,ALIF_Y2024!$F:$F)</f>
        <v>169324</v>
      </c>
      <c r="N63" s="44">
        <f>SUMIF(ALIF_Y2025!$A:$A,$A63,ALIF_Y2025!$F:$F)</f>
        <v>169324</v>
      </c>
      <c r="O63" s="44">
        <f>SUMIF(TB_Input_Alif!$A:$A,$A63,TB_Input_Alif!$F:$F)</f>
        <v>169324</v>
      </c>
      <c r="P63" s="43" t="str">
        <f>_xlfn.XLOOKUP(A63,Map!A:A,Map!E:E)</f>
        <v>Prepaid expenses</v>
      </c>
      <c r="Q63" s="43" t="str">
        <f>_xlfn.XLOOKUP(A63,Map!A:A,Map!D:D)</f>
        <v>Current Assets</v>
      </c>
    </row>
    <row r="64" spans="1:17" x14ac:dyDescent="0.25">
      <c r="A64" s="42">
        <v>170017</v>
      </c>
      <c r="B64" s="43" t="s">
        <v>879</v>
      </c>
      <c r="C64" s="44">
        <f>SUMIF(ALIF_Y2014!$A:$A,$A64,ALIF_Y2014!$F:$F)</f>
        <v>0</v>
      </c>
      <c r="D64" s="44">
        <f>SUMIF(ALIF_Y2015!$A:$A,$A64,ALIF_Y2015!$F:$F)</f>
        <v>0</v>
      </c>
      <c r="E64" s="44">
        <f>SUMIF(ALIF_Y2016!$A:$A,$A64,ALIF_Y2016!$F:$F)</f>
        <v>0</v>
      </c>
      <c r="F64" s="44">
        <f>SUMIF(ALIF_Y2017!$A:$A,$A64,ALIF_Y2017!$F:$F)</f>
        <v>0</v>
      </c>
      <c r="G64" s="44">
        <f>SUMIF(ALIF_Y2018!$A:$A,$A64,ALIF_Y2018!$F:$F)</f>
        <v>0</v>
      </c>
      <c r="H64" s="44">
        <f>SUMIF(ALIF_Y2019!$A:$A,$A64,ALIF_Y2019!$F:$F)</f>
        <v>0</v>
      </c>
      <c r="I64" s="44">
        <f>SUMIF(ALIF_Y2020!$A:$A,$A64,ALIF_Y2020!$F:$F)</f>
        <v>0</v>
      </c>
      <c r="J64" s="44">
        <f>SUMIF(ALIF_Y2021!$A:$A,$A64,ALIF_Y2021!$F:$F)</f>
        <v>0</v>
      </c>
      <c r="K64" s="44">
        <f>SUMIF(ALIF_Y2022!$A:$A,$A64,ALIF_Y2022!$F:$F)</f>
        <v>0</v>
      </c>
      <c r="L64" s="44">
        <f>SUMIF(ALIF_Y2023!$A:$A,$A64,ALIF_Y2023!$F:$F)</f>
        <v>0</v>
      </c>
      <c r="M64" s="44">
        <f>SUMIF(ALIF_Y2024!$A:$A,$A64,ALIF_Y2024!$F:$F)</f>
        <v>0</v>
      </c>
      <c r="N64" s="44">
        <f>SUMIF(ALIF_Y2025!$A:$A,$A64,ALIF_Y2025!$F:$F)</f>
        <v>0</v>
      </c>
      <c r="O64" s="44">
        <f>SUMIF(TB_Input_Alif!$A:$A,$A64,TB_Input_Alif!$F:$F)</f>
        <v>0</v>
      </c>
      <c r="P64" s="43" t="str">
        <f>_xlfn.XLOOKUP(A64,Map!A:A,Map!E:E)</f>
        <v>Prepaid expenses</v>
      </c>
      <c r="Q64" s="43" t="str">
        <f>_xlfn.XLOOKUP(A64,Map!A:A,Map!D:D)</f>
        <v>Current Assets</v>
      </c>
    </row>
    <row r="65" spans="1:17" x14ac:dyDescent="0.25">
      <c r="A65" s="42">
        <v>170018</v>
      </c>
      <c r="B65" s="43" t="s">
        <v>880</v>
      </c>
      <c r="C65" s="44">
        <f>SUMIF(ALIF_Y2014!$A:$A,$A65,ALIF_Y2014!$F:$F)</f>
        <v>0</v>
      </c>
      <c r="D65" s="44">
        <f>SUMIF(ALIF_Y2015!$A:$A,$A65,ALIF_Y2015!$F:$F)</f>
        <v>0</v>
      </c>
      <c r="E65" s="44">
        <f>SUMIF(ALIF_Y2016!$A:$A,$A65,ALIF_Y2016!$F:$F)</f>
        <v>0</v>
      </c>
      <c r="F65" s="44">
        <f>SUMIF(ALIF_Y2017!$A:$A,$A65,ALIF_Y2017!$F:$F)</f>
        <v>0</v>
      </c>
      <c r="G65" s="44">
        <f>SUMIF(ALIF_Y2018!$A:$A,$A65,ALIF_Y2018!$F:$F)</f>
        <v>0</v>
      </c>
      <c r="H65" s="44">
        <f>SUMIF(ALIF_Y2019!$A:$A,$A65,ALIF_Y2019!$F:$F)</f>
        <v>0</v>
      </c>
      <c r="I65" s="44">
        <f>SUMIF(ALIF_Y2020!$A:$A,$A65,ALIF_Y2020!$F:$F)</f>
        <v>0</v>
      </c>
      <c r="J65" s="44">
        <f>SUMIF(ALIF_Y2021!$A:$A,$A65,ALIF_Y2021!$F:$F)</f>
        <v>0</v>
      </c>
      <c r="K65" s="44">
        <f>SUMIF(ALIF_Y2022!$A:$A,$A65,ALIF_Y2022!$F:$F)</f>
        <v>0</v>
      </c>
      <c r="L65" s="44">
        <f>SUMIF(ALIF_Y2023!$A:$A,$A65,ALIF_Y2023!$F:$F)</f>
        <v>0</v>
      </c>
      <c r="M65" s="44">
        <f>SUMIF(ALIF_Y2024!$A:$A,$A65,ALIF_Y2024!$F:$F)</f>
        <v>0</v>
      </c>
      <c r="N65" s="44">
        <f>SUMIF(ALIF_Y2025!$A:$A,$A65,ALIF_Y2025!$F:$F)</f>
        <v>6600</v>
      </c>
      <c r="O65" s="44">
        <f>SUMIF(TB_Input_Alif!$A:$A,$A65,TB_Input_Alif!$F:$F)</f>
        <v>102020.97</v>
      </c>
      <c r="P65" s="43" t="str">
        <f>_xlfn.XLOOKUP(A65,Map!A:A,Map!E:E)</f>
        <v>Prepaid expenses</v>
      </c>
      <c r="Q65" s="43" t="str">
        <f>_xlfn.XLOOKUP(A65,Map!A:A,Map!D:D)</f>
        <v>Current Assets</v>
      </c>
    </row>
    <row r="66" spans="1:17" x14ac:dyDescent="0.25">
      <c r="A66" s="42">
        <v>170019</v>
      </c>
      <c r="B66" s="43" t="s">
        <v>881</v>
      </c>
      <c r="C66" s="44">
        <f>SUMIF(ALIF_Y2014!$A:$A,$A66,ALIF_Y2014!$F:$F)</f>
        <v>0</v>
      </c>
      <c r="D66" s="44">
        <f>SUMIF(ALIF_Y2015!$A:$A,$A66,ALIF_Y2015!$F:$F)</f>
        <v>0</v>
      </c>
      <c r="E66" s="44">
        <f>SUMIF(ALIF_Y2016!$A:$A,$A66,ALIF_Y2016!$F:$F)</f>
        <v>0</v>
      </c>
      <c r="F66" s="44">
        <f>SUMIF(ALIF_Y2017!$A:$A,$A66,ALIF_Y2017!$F:$F)</f>
        <v>0</v>
      </c>
      <c r="G66" s="44">
        <f>SUMIF(ALIF_Y2018!$A:$A,$A66,ALIF_Y2018!$F:$F)</f>
        <v>0</v>
      </c>
      <c r="H66" s="44">
        <f>SUMIF(ALIF_Y2019!$A:$A,$A66,ALIF_Y2019!$F:$F)</f>
        <v>0</v>
      </c>
      <c r="I66" s="44">
        <f>SUMIF(ALIF_Y2020!$A:$A,$A66,ALIF_Y2020!$F:$F)</f>
        <v>0</v>
      </c>
      <c r="J66" s="44">
        <f>SUMIF(ALIF_Y2021!$A:$A,$A66,ALIF_Y2021!$F:$F)</f>
        <v>0</v>
      </c>
      <c r="K66" s="44">
        <f>SUMIF(ALIF_Y2022!$A:$A,$A66,ALIF_Y2022!$F:$F)</f>
        <v>0</v>
      </c>
      <c r="L66" s="44">
        <f>SUMIF(ALIF_Y2023!$A:$A,$A66,ALIF_Y2023!$F:$F)</f>
        <v>0</v>
      </c>
      <c r="M66" s="44">
        <f>SUMIF(ALIF_Y2024!$A:$A,$A66,ALIF_Y2024!$F:$F)</f>
        <v>0</v>
      </c>
      <c r="N66" s="44">
        <f>SUMIF(ALIF_Y2025!$A:$A,$A66,ALIF_Y2025!$F:$F)</f>
        <v>0</v>
      </c>
      <c r="O66" s="44">
        <f>SUMIF(TB_Input_Alif!$A:$A,$A66,TB_Input_Alif!$F:$F)</f>
        <v>9587.4609999999993</v>
      </c>
      <c r="P66" s="43" t="str">
        <f>_xlfn.XLOOKUP(A66,Map!A:A,Map!E:E)</f>
        <v>Prepaid expenses</v>
      </c>
      <c r="Q66" s="43" t="str">
        <f>_xlfn.XLOOKUP(A66,Map!A:A,Map!D:D)</f>
        <v>Current Assets</v>
      </c>
    </row>
    <row r="67" spans="1:17" x14ac:dyDescent="0.25">
      <c r="A67" s="42">
        <v>170020</v>
      </c>
      <c r="B67" s="43" t="s">
        <v>882</v>
      </c>
      <c r="C67" s="44">
        <f>SUMIF(ALIF_Y2014!$A:$A,$A67,ALIF_Y2014!$F:$F)</f>
        <v>0</v>
      </c>
      <c r="D67" s="44">
        <f>SUMIF(ALIF_Y2015!$A:$A,$A67,ALIF_Y2015!$F:$F)</f>
        <v>0</v>
      </c>
      <c r="E67" s="44">
        <f>SUMIF(ALIF_Y2016!$A:$A,$A67,ALIF_Y2016!$F:$F)</f>
        <v>0</v>
      </c>
      <c r="F67" s="44">
        <f>SUMIF(ALIF_Y2017!$A:$A,$A67,ALIF_Y2017!$F:$F)</f>
        <v>0</v>
      </c>
      <c r="G67" s="44">
        <f>SUMIF(ALIF_Y2018!$A:$A,$A67,ALIF_Y2018!$F:$F)</f>
        <v>0</v>
      </c>
      <c r="H67" s="44">
        <f>SUMIF(ALIF_Y2019!$A:$A,$A67,ALIF_Y2019!$F:$F)</f>
        <v>0</v>
      </c>
      <c r="I67" s="44">
        <f>SUMIF(ALIF_Y2020!$A:$A,$A67,ALIF_Y2020!$F:$F)</f>
        <v>0</v>
      </c>
      <c r="J67" s="44">
        <f>SUMIF(ALIF_Y2021!$A:$A,$A67,ALIF_Y2021!$F:$F)</f>
        <v>0</v>
      </c>
      <c r="K67" s="44">
        <f>SUMIF(ALIF_Y2022!$A:$A,$A67,ALIF_Y2022!$F:$F)</f>
        <v>0</v>
      </c>
      <c r="L67" s="44">
        <f>SUMIF(ALIF_Y2023!$A:$A,$A67,ALIF_Y2023!$F:$F)</f>
        <v>187932.64</v>
      </c>
      <c r="M67" s="44">
        <f>SUMIF(ALIF_Y2024!$A:$A,$A67,ALIF_Y2024!$F:$F)</f>
        <v>187932.64</v>
      </c>
      <c r="N67" s="44">
        <f>SUMIF(ALIF_Y2025!$A:$A,$A67,ALIF_Y2025!$F:$F)</f>
        <v>2830593.6630000002</v>
      </c>
      <c r="O67" s="44">
        <f>SUMIF(TB_Input_Alif!$A:$A,$A67,TB_Input_Alif!$F:$F)</f>
        <v>2830593.6630000002</v>
      </c>
      <c r="P67" s="43" t="str">
        <f>_xlfn.XLOOKUP(A67,Map!A:A,Map!E:E)</f>
        <v>Prepaid expenses</v>
      </c>
      <c r="Q67" s="43" t="str">
        <f>_xlfn.XLOOKUP(A67,Map!A:A,Map!D:D)</f>
        <v>Current Assets</v>
      </c>
    </row>
    <row r="68" spans="1:17" x14ac:dyDescent="0.25">
      <c r="A68" s="42">
        <v>170021</v>
      </c>
      <c r="B68" s="43" t="s">
        <v>883</v>
      </c>
      <c r="C68" s="44">
        <f>SUMIF(ALIF_Y2014!$A:$A,$A68,ALIF_Y2014!$F:$F)</f>
        <v>4501835.45</v>
      </c>
      <c r="D68" s="44">
        <f>SUMIF(ALIF_Y2015!$A:$A,$A68,ALIF_Y2015!$F:$F)</f>
        <v>3062618</v>
      </c>
      <c r="E68" s="44">
        <f>SUMIF(ALIF_Y2016!$A:$A,$A68,ALIF_Y2016!$F:$F)</f>
        <v>4741163.17</v>
      </c>
      <c r="F68" s="44">
        <f>SUMIF(ALIF_Y2017!$A:$A,$A68,ALIF_Y2017!$F:$F)</f>
        <v>12679112.02</v>
      </c>
      <c r="G68" s="44">
        <f>SUMIF(ALIF_Y2018!$A:$A,$A68,ALIF_Y2018!$F:$F)</f>
        <v>9600761.3000000007</v>
      </c>
      <c r="H68" s="44">
        <f>SUMIF(ALIF_Y2019!$A:$A,$A68,ALIF_Y2019!$F:$F)</f>
        <v>5773707.4500000002</v>
      </c>
      <c r="I68" s="44">
        <f>SUMIF(ALIF_Y2020!$A:$A,$A68,ALIF_Y2020!$F:$F)</f>
        <v>2935982.66</v>
      </c>
      <c r="J68" s="44">
        <f>SUMIF(ALIF_Y2021!$A:$A,$A68,ALIF_Y2021!$F:$F)</f>
        <v>2935982.66</v>
      </c>
      <c r="K68" s="44">
        <f>SUMIF(ALIF_Y2022!$A:$A,$A68,ALIF_Y2022!$F:$F)</f>
        <v>0</v>
      </c>
      <c r="L68" s="44">
        <f>SUMIF(ALIF_Y2023!$A:$A,$A68,ALIF_Y2023!$F:$F)</f>
        <v>4054218.42</v>
      </c>
      <c r="M68" s="44">
        <f>SUMIF(ALIF_Y2024!$A:$A,$A68,ALIF_Y2024!$F:$F)</f>
        <v>12531828.029999999</v>
      </c>
      <c r="N68" s="44">
        <f>SUMIF(ALIF_Y2025!$A:$A,$A68,ALIF_Y2025!$F:$F)</f>
        <v>5088140.07</v>
      </c>
      <c r="O68" s="44">
        <f>SUMIF(TB_Input_Alif!$A:$A,$A68,TB_Input_Alif!$F:$F)</f>
        <v>4946769.125</v>
      </c>
      <c r="P68" s="43" t="str">
        <f>_xlfn.XLOOKUP(A68,Map!A:A,Map!E:E)</f>
        <v>Prepaid expenses</v>
      </c>
      <c r="Q68" s="43" t="str">
        <f>_xlfn.XLOOKUP(A68,Map!A:A,Map!D:D)</f>
        <v>Current Assets</v>
      </c>
    </row>
    <row r="69" spans="1:17" x14ac:dyDescent="0.25">
      <c r="A69" s="42">
        <v>180001</v>
      </c>
      <c r="B69" s="43" t="s">
        <v>884</v>
      </c>
      <c r="C69" s="44">
        <f>SUMIF(ALIF_Y2014!$A:$A,$A69,ALIF_Y2014!$F:$F)</f>
        <v>156339.99</v>
      </c>
      <c r="D69" s="44">
        <f>SUMIF(ALIF_Y2015!$A:$A,$A69,ALIF_Y2015!$F:$F)</f>
        <v>180341.72399999999</v>
      </c>
      <c r="E69" s="44">
        <f>SUMIF(ALIF_Y2016!$A:$A,$A69,ALIF_Y2016!$F:$F)</f>
        <v>0</v>
      </c>
      <c r="F69" s="44">
        <f>SUMIF(ALIF_Y2017!$A:$A,$A69,ALIF_Y2017!$F:$F)</f>
        <v>0</v>
      </c>
      <c r="G69" s="44">
        <f>SUMIF(ALIF_Y2018!$A:$A,$A69,ALIF_Y2018!$F:$F)</f>
        <v>0</v>
      </c>
      <c r="H69" s="44">
        <f>SUMIF(ALIF_Y2019!$A:$A,$A69,ALIF_Y2019!$F:$F)</f>
        <v>0</v>
      </c>
      <c r="I69" s="44">
        <f>SUMIF(ALIF_Y2020!$A:$A,$A69,ALIF_Y2020!$F:$F)</f>
        <v>460574.58399999997</v>
      </c>
      <c r="J69" s="44">
        <f>SUMIF(ALIF_Y2021!$A:$A,$A69,ALIF_Y2021!$F:$F)</f>
        <v>472084.609</v>
      </c>
      <c r="K69" s="44">
        <f>SUMIF(ALIF_Y2022!$A:$A,$A69,ALIF_Y2022!$F:$F)</f>
        <v>579715.09400000004</v>
      </c>
      <c r="L69" s="44">
        <f>SUMIF(ALIF_Y2023!$A:$A,$A69,ALIF_Y2023!$F:$F)</f>
        <v>393596.77299999999</v>
      </c>
      <c r="M69" s="44">
        <f>SUMIF(ALIF_Y2024!$A:$A,$A69,ALIF_Y2024!$F:$F)</f>
        <v>1808123.993</v>
      </c>
      <c r="N69" s="44">
        <f>SUMIF(ALIF_Y2025!$A:$A,$A69,ALIF_Y2025!$F:$F)</f>
        <v>3636552.4440000001</v>
      </c>
      <c r="O69" s="44">
        <f>SUMIF(TB_Input_Alif!$A:$A,$A69,TB_Input_Alif!$F:$F)</f>
        <v>3175668.2489999998</v>
      </c>
      <c r="P69" s="43" t="str">
        <f>_xlfn.XLOOKUP(A69,Map!A:A,Map!E:E)</f>
        <v>Inventories</v>
      </c>
      <c r="Q69" s="43" t="str">
        <f>_xlfn.XLOOKUP(A69,Map!A:A,Map!D:D)</f>
        <v>Current Assets</v>
      </c>
    </row>
    <row r="70" spans="1:17" x14ac:dyDescent="0.25">
      <c r="A70" s="42">
        <v>180002</v>
      </c>
      <c r="B70" s="43" t="s">
        <v>885</v>
      </c>
      <c r="C70" s="44">
        <f>SUMIF(ALIF_Y2014!$A:$A,$A70,ALIF_Y2014!$F:$F)</f>
        <v>0</v>
      </c>
      <c r="D70" s="44">
        <f>SUMIF(ALIF_Y2015!$A:$A,$A70,ALIF_Y2015!$F:$F)</f>
        <v>0</v>
      </c>
      <c r="E70" s="44">
        <f>SUMIF(ALIF_Y2016!$A:$A,$A70,ALIF_Y2016!$F:$F)</f>
        <v>0</v>
      </c>
      <c r="F70" s="44">
        <f>SUMIF(ALIF_Y2017!$A:$A,$A70,ALIF_Y2017!$F:$F)</f>
        <v>0</v>
      </c>
      <c r="G70" s="44">
        <f>SUMIF(ALIF_Y2018!$A:$A,$A70,ALIF_Y2018!$F:$F)</f>
        <v>0</v>
      </c>
      <c r="H70" s="44">
        <f>SUMIF(ALIF_Y2019!$A:$A,$A70,ALIF_Y2019!$F:$F)</f>
        <v>0</v>
      </c>
      <c r="I70" s="44">
        <f>SUMIF(ALIF_Y2020!$A:$A,$A70,ALIF_Y2020!$F:$F)</f>
        <v>0</v>
      </c>
      <c r="J70" s="44">
        <f>SUMIF(ALIF_Y2021!$A:$A,$A70,ALIF_Y2021!$F:$F)</f>
        <v>0</v>
      </c>
      <c r="K70" s="44">
        <f>SUMIF(ALIF_Y2022!$A:$A,$A70,ALIF_Y2022!$F:$F)</f>
        <v>0</v>
      </c>
      <c r="L70" s="44">
        <f>SUMIF(ALIF_Y2023!$A:$A,$A70,ALIF_Y2023!$F:$F)</f>
        <v>0</v>
      </c>
      <c r="M70" s="44">
        <f>SUMIF(ALIF_Y2024!$A:$A,$A70,ALIF_Y2024!$F:$F)</f>
        <v>0</v>
      </c>
      <c r="N70" s="44">
        <f>SUMIF(ALIF_Y2025!$A:$A,$A70,ALIF_Y2025!$F:$F)</f>
        <v>0</v>
      </c>
      <c r="O70" s="44">
        <f>SUMIF(TB_Input_Alif!$A:$A,$A70,TB_Input_Alif!$F:$F)</f>
        <v>0</v>
      </c>
      <c r="P70" s="43" t="str">
        <f>_xlfn.XLOOKUP(A70,Map!A:A,Map!E:E)</f>
        <v>Inventories</v>
      </c>
      <c r="Q70" s="43" t="str">
        <f>_xlfn.XLOOKUP(A70,Map!A:A,Map!D:D)</f>
        <v>Current Assets</v>
      </c>
    </row>
    <row r="71" spans="1:17" x14ac:dyDescent="0.25">
      <c r="A71" s="42">
        <v>180003</v>
      </c>
      <c r="B71" s="43" t="s">
        <v>886</v>
      </c>
      <c r="C71" s="44">
        <f>SUMIF(ALIF_Y2014!$A:$A,$A71,ALIF_Y2014!$F:$F)</f>
        <v>653513.32999999996</v>
      </c>
      <c r="D71" s="44">
        <f>SUMIF(ALIF_Y2015!$A:$A,$A71,ALIF_Y2015!$F:$F)</f>
        <v>1662493.5430000001</v>
      </c>
      <c r="E71" s="44">
        <f>SUMIF(ALIF_Y2016!$A:$A,$A71,ALIF_Y2016!$F:$F)</f>
        <v>3495512.389</v>
      </c>
      <c r="F71" s="44">
        <f>SUMIF(ALIF_Y2017!$A:$A,$A71,ALIF_Y2017!$F:$F)</f>
        <v>3299573.9649999999</v>
      </c>
      <c r="G71" s="44">
        <f>SUMIF(ALIF_Y2018!$A:$A,$A71,ALIF_Y2018!$F:$F)</f>
        <v>6617901.977</v>
      </c>
      <c r="H71" s="44">
        <f>SUMIF(ALIF_Y2019!$A:$A,$A71,ALIF_Y2019!$F:$F)</f>
        <v>9335439.2479999997</v>
      </c>
      <c r="I71" s="44">
        <f>SUMIF(ALIF_Y2020!$A:$A,$A71,ALIF_Y2020!$F:$F)</f>
        <v>9861152.8129999992</v>
      </c>
      <c r="J71" s="44">
        <f>SUMIF(ALIF_Y2021!$A:$A,$A71,ALIF_Y2021!$F:$F)</f>
        <v>8204122.3789999997</v>
      </c>
      <c r="K71" s="44">
        <f>SUMIF(ALIF_Y2022!$A:$A,$A71,ALIF_Y2022!$F:$F)</f>
        <v>8453179.3629999999</v>
      </c>
      <c r="L71" s="44">
        <f>SUMIF(ALIF_Y2023!$A:$A,$A71,ALIF_Y2023!$F:$F)</f>
        <v>7034865.0970000001</v>
      </c>
      <c r="M71" s="44">
        <f>SUMIF(ALIF_Y2024!$A:$A,$A71,ALIF_Y2024!$F:$F)</f>
        <v>9421144.9240000006</v>
      </c>
      <c r="N71" s="44">
        <f>SUMIF(ALIF_Y2025!$A:$A,$A71,ALIF_Y2025!$F:$F)</f>
        <v>12667444.899</v>
      </c>
      <c r="O71" s="44">
        <f>SUMIF(TB_Input_Alif!$A:$A,$A71,TB_Input_Alif!$F:$F)</f>
        <v>12402117.25</v>
      </c>
      <c r="P71" s="43" t="str">
        <f>_xlfn.XLOOKUP(A71,Map!A:A,Map!E:E)</f>
        <v>Inventories</v>
      </c>
      <c r="Q71" s="43" t="str">
        <f>_xlfn.XLOOKUP(A71,Map!A:A,Map!D:D)</f>
        <v>Current Assets</v>
      </c>
    </row>
    <row r="72" spans="1:17" x14ac:dyDescent="0.25">
      <c r="A72" s="42">
        <v>180004</v>
      </c>
      <c r="B72" s="43" t="s">
        <v>887</v>
      </c>
      <c r="C72" s="44">
        <f>SUMIF(ALIF_Y2014!$A:$A,$A72,ALIF_Y2014!$F:$F)</f>
        <v>7043113.4110000003</v>
      </c>
      <c r="D72" s="44">
        <f>SUMIF(ALIF_Y2015!$A:$A,$A72,ALIF_Y2015!$F:$F)</f>
        <v>3346088.281</v>
      </c>
      <c r="E72" s="44">
        <f>SUMIF(ALIF_Y2016!$A:$A,$A72,ALIF_Y2016!$F:$F)</f>
        <v>2005087.6440000001</v>
      </c>
      <c r="F72" s="44">
        <f>SUMIF(ALIF_Y2017!$A:$A,$A72,ALIF_Y2017!$F:$F)</f>
        <v>5349660.4009999996</v>
      </c>
      <c r="G72" s="44">
        <f>SUMIF(ALIF_Y2018!$A:$A,$A72,ALIF_Y2018!$F:$F)</f>
        <v>17461290.598000001</v>
      </c>
      <c r="H72" s="44">
        <f>SUMIF(ALIF_Y2019!$A:$A,$A72,ALIF_Y2019!$F:$F)</f>
        <v>10353608.835999999</v>
      </c>
      <c r="I72" s="44">
        <f>SUMIF(ALIF_Y2020!$A:$A,$A72,ALIF_Y2020!$F:$F)</f>
        <v>6375063.9330000002</v>
      </c>
      <c r="J72" s="44">
        <f>SUMIF(ALIF_Y2021!$A:$A,$A72,ALIF_Y2021!$F:$F)</f>
        <v>21414671.879000001</v>
      </c>
      <c r="K72" s="44">
        <f>SUMIF(ALIF_Y2022!$A:$A,$A72,ALIF_Y2022!$F:$F)</f>
        <v>24628808.791000001</v>
      </c>
      <c r="L72" s="44">
        <f>SUMIF(ALIF_Y2023!$A:$A,$A72,ALIF_Y2023!$F:$F)</f>
        <v>12721521.119999999</v>
      </c>
      <c r="M72" s="44">
        <f>SUMIF(ALIF_Y2024!$A:$A,$A72,ALIF_Y2024!$F:$F)</f>
        <v>5934186.6670000004</v>
      </c>
      <c r="N72" s="44">
        <f>SUMIF(ALIF_Y2025!$A:$A,$A72,ALIF_Y2025!$F:$F)</f>
        <v>38866504.912</v>
      </c>
      <c r="O72" s="44">
        <f>SUMIF(TB_Input_Alif!$A:$A,$A72,TB_Input_Alif!$F:$F)</f>
        <v>7325898.0319999997</v>
      </c>
      <c r="P72" s="43" t="str">
        <f>_xlfn.XLOOKUP(A72,Map!A:A,Map!E:E)</f>
        <v>Inventories</v>
      </c>
      <c r="Q72" s="43" t="str">
        <f>_xlfn.XLOOKUP(A72,Map!A:A,Map!D:D)</f>
        <v>Current Assets</v>
      </c>
    </row>
    <row r="73" spans="1:17" x14ac:dyDescent="0.25">
      <c r="A73" s="42">
        <v>180005</v>
      </c>
      <c r="B73" s="43" t="s">
        <v>888</v>
      </c>
      <c r="C73" s="44">
        <f>SUMIF(ALIF_Y2014!$A:$A,$A73,ALIF_Y2014!$F:$F)</f>
        <v>5804758.5659999996</v>
      </c>
      <c r="D73" s="44">
        <f>SUMIF(ALIF_Y2015!$A:$A,$A73,ALIF_Y2015!$F:$F)</f>
        <v>5751580.5860000001</v>
      </c>
      <c r="E73" s="44">
        <f>SUMIF(ALIF_Y2016!$A:$A,$A73,ALIF_Y2016!$F:$F)</f>
        <v>1175699.1090000002</v>
      </c>
      <c r="F73" s="44">
        <f>SUMIF(ALIF_Y2017!$A:$A,$A73,ALIF_Y2017!$F:$F)</f>
        <v>2403224.9559999998</v>
      </c>
      <c r="G73" s="44">
        <f>SUMIF(ALIF_Y2018!$A:$A,$A73,ALIF_Y2018!$F:$F)</f>
        <v>13671938.976</v>
      </c>
      <c r="H73" s="44">
        <f>SUMIF(ALIF_Y2019!$A:$A,$A73,ALIF_Y2019!$F:$F)</f>
        <v>14923756.469000001</v>
      </c>
      <c r="I73" s="44">
        <f>SUMIF(ALIF_Y2020!$A:$A,$A73,ALIF_Y2020!$F:$F)</f>
        <v>13945865.502</v>
      </c>
      <c r="J73" s="44">
        <f>SUMIF(ALIF_Y2021!$A:$A,$A73,ALIF_Y2021!$F:$F)</f>
        <v>10850303.380999999</v>
      </c>
      <c r="K73" s="44">
        <f>SUMIF(ALIF_Y2022!$A:$A,$A73,ALIF_Y2022!$F:$F)</f>
        <v>22323654.041999999</v>
      </c>
      <c r="L73" s="44">
        <f>SUMIF(ALIF_Y2023!$A:$A,$A73,ALIF_Y2023!$F:$F)</f>
        <v>6421066.4900000002</v>
      </c>
      <c r="M73" s="44">
        <f>SUMIF(ALIF_Y2024!$A:$A,$A73,ALIF_Y2024!$F:$F)</f>
        <v>7778933.2960000001</v>
      </c>
      <c r="N73" s="44">
        <f>SUMIF(ALIF_Y2025!$A:$A,$A73,ALIF_Y2025!$F:$F)</f>
        <v>3053858.6510000001</v>
      </c>
      <c r="O73" s="44">
        <f>SUMIF(TB_Input_Alif!$A:$A,$A73,TB_Input_Alif!$F:$F)</f>
        <v>2652290.3620000002</v>
      </c>
      <c r="P73" s="43" t="str">
        <f>_xlfn.XLOOKUP(A73,Map!A:A,Map!E:E)</f>
        <v>Inventories</v>
      </c>
      <c r="Q73" s="43" t="str">
        <f>_xlfn.XLOOKUP(A73,Map!A:A,Map!D:D)</f>
        <v>Current Assets</v>
      </c>
    </row>
    <row r="74" spans="1:17" x14ac:dyDescent="0.25">
      <c r="A74" s="42">
        <v>180006</v>
      </c>
      <c r="B74" s="43" t="s">
        <v>889</v>
      </c>
      <c r="C74" s="44">
        <f>SUMIF(ALIF_Y2014!$A:$A,$A74,ALIF_Y2014!$F:$F)</f>
        <v>673548.34199999995</v>
      </c>
      <c r="D74" s="44">
        <f>SUMIF(ALIF_Y2015!$A:$A,$A74,ALIF_Y2015!$F:$F)</f>
        <v>1294747.0009999999</v>
      </c>
      <c r="E74" s="44">
        <f>SUMIF(ALIF_Y2016!$A:$A,$A74,ALIF_Y2016!$F:$F)</f>
        <v>1169678.9839999999</v>
      </c>
      <c r="F74" s="44">
        <f>SUMIF(ALIF_Y2017!$A:$A,$A74,ALIF_Y2017!$F:$F)</f>
        <v>425239.42300000001</v>
      </c>
      <c r="G74" s="44">
        <f>SUMIF(ALIF_Y2018!$A:$A,$A74,ALIF_Y2018!$F:$F)</f>
        <v>3405824.1009999998</v>
      </c>
      <c r="H74" s="44">
        <f>SUMIF(ALIF_Y2019!$A:$A,$A74,ALIF_Y2019!$F:$F)</f>
        <v>1669803.713</v>
      </c>
      <c r="I74" s="44">
        <f>SUMIF(ALIF_Y2020!$A:$A,$A74,ALIF_Y2020!$F:$F)</f>
        <v>378972.29800000001</v>
      </c>
      <c r="J74" s="44">
        <f>SUMIF(ALIF_Y2021!$A:$A,$A74,ALIF_Y2021!$F:$F)</f>
        <v>606028.99699999997</v>
      </c>
      <c r="K74" s="44">
        <f>SUMIF(ALIF_Y2022!$A:$A,$A74,ALIF_Y2022!$F:$F)</f>
        <v>1300362.7749999999</v>
      </c>
      <c r="L74" s="44">
        <f>SUMIF(ALIF_Y2023!$A:$A,$A74,ALIF_Y2023!$F:$F)</f>
        <v>485139.35100000002</v>
      </c>
      <c r="M74" s="44">
        <f>SUMIF(ALIF_Y2024!$A:$A,$A74,ALIF_Y2024!$F:$F)</f>
        <v>184644.11300000001</v>
      </c>
      <c r="N74" s="44">
        <f>SUMIF(ALIF_Y2025!$A:$A,$A74,ALIF_Y2025!$F:$F)</f>
        <v>56276.91</v>
      </c>
      <c r="O74" s="44">
        <f>SUMIF(TB_Input_Alif!$A:$A,$A74,TB_Input_Alif!$F:$F)</f>
        <v>-9394.5460000000003</v>
      </c>
      <c r="P74" s="43" t="str">
        <f>_xlfn.XLOOKUP(A74,Map!A:A,Map!E:E)</f>
        <v>Inventories</v>
      </c>
      <c r="Q74" s="43" t="str">
        <f>_xlfn.XLOOKUP(A74,Map!A:A,Map!D:D)</f>
        <v>Current Assets</v>
      </c>
    </row>
    <row r="75" spans="1:17" x14ac:dyDescent="0.25">
      <c r="A75" s="42">
        <v>180007</v>
      </c>
      <c r="B75" s="43" t="s">
        <v>890</v>
      </c>
      <c r="C75" s="44">
        <f>SUMIF(ALIF_Y2014!$A:$A,$A75,ALIF_Y2014!$F:$F)</f>
        <v>2013760.004</v>
      </c>
      <c r="D75" s="44">
        <f>SUMIF(ALIF_Y2015!$A:$A,$A75,ALIF_Y2015!$F:$F)</f>
        <v>1532382.561</v>
      </c>
      <c r="E75" s="44">
        <f>SUMIF(ALIF_Y2016!$A:$A,$A75,ALIF_Y2016!$F:$F)</f>
        <v>2977379.26</v>
      </c>
      <c r="F75" s="44">
        <f>SUMIF(ALIF_Y2017!$A:$A,$A75,ALIF_Y2017!$F:$F)</f>
        <v>1090998.24</v>
      </c>
      <c r="G75" s="44">
        <f>SUMIF(ALIF_Y2018!$A:$A,$A75,ALIF_Y2018!$F:$F)</f>
        <v>1973924.3</v>
      </c>
      <c r="H75" s="44">
        <f>SUMIF(ALIF_Y2019!$A:$A,$A75,ALIF_Y2019!$F:$F)</f>
        <v>4219396.8190000001</v>
      </c>
      <c r="I75" s="44">
        <f>SUMIF(ALIF_Y2020!$A:$A,$A75,ALIF_Y2020!$F:$F)</f>
        <v>1119777.0859999999</v>
      </c>
      <c r="J75" s="44">
        <f>SUMIF(ALIF_Y2021!$A:$A,$A75,ALIF_Y2021!$F:$F)</f>
        <v>2466116.929</v>
      </c>
      <c r="K75" s="44">
        <f>SUMIF(ALIF_Y2022!$A:$A,$A75,ALIF_Y2022!$F:$F)</f>
        <v>6583839.9369999999</v>
      </c>
      <c r="L75" s="44">
        <f>SUMIF(ALIF_Y2023!$A:$A,$A75,ALIF_Y2023!$F:$F)</f>
        <v>144366.50099999999</v>
      </c>
      <c r="M75" s="44">
        <f>SUMIF(ALIF_Y2024!$A:$A,$A75,ALIF_Y2024!$F:$F)</f>
        <v>133828.25200000001</v>
      </c>
      <c r="N75" s="44">
        <f>SUMIF(ALIF_Y2025!$A:$A,$A75,ALIF_Y2025!$F:$F)</f>
        <v>133828.25200000001</v>
      </c>
      <c r="O75" s="44">
        <f>SUMIF(TB_Input_Alif!$A:$A,$A75,TB_Input_Alif!$F:$F)</f>
        <v>221149.47899999999</v>
      </c>
      <c r="P75" s="43" t="str">
        <f>_xlfn.XLOOKUP(A75,Map!A:A,Map!E:E)</f>
        <v>Inventories</v>
      </c>
      <c r="Q75" s="43" t="str">
        <f>_xlfn.XLOOKUP(A75,Map!A:A,Map!D:D)</f>
        <v>Current Assets</v>
      </c>
    </row>
    <row r="76" spans="1:17" x14ac:dyDescent="0.25">
      <c r="A76" s="42">
        <v>180008</v>
      </c>
      <c r="B76" s="43" t="s">
        <v>891</v>
      </c>
      <c r="C76" s="44">
        <f>SUMIF(ALIF_Y2014!$A:$A,$A76,ALIF_Y2014!$F:$F)</f>
        <v>1442056.1510000001</v>
      </c>
      <c r="D76" s="44">
        <f>SUMIF(ALIF_Y2015!$A:$A,$A76,ALIF_Y2015!$F:$F)</f>
        <v>1499877.777</v>
      </c>
      <c r="E76" s="44">
        <f>SUMIF(ALIF_Y2016!$A:$A,$A76,ALIF_Y2016!$F:$F)</f>
        <v>1400127.8160000001</v>
      </c>
      <c r="F76" s="44">
        <f>SUMIF(ALIF_Y2017!$A:$A,$A76,ALIF_Y2017!$F:$F)</f>
        <v>1568037.8160000001</v>
      </c>
      <c r="G76" s="44">
        <f>SUMIF(ALIF_Y2018!$A:$A,$A76,ALIF_Y2018!$F:$F)</f>
        <v>1868994.2479999999</v>
      </c>
      <c r="H76" s="44">
        <f>SUMIF(ALIF_Y2019!$A:$A,$A76,ALIF_Y2019!$F:$F)</f>
        <v>1599925.6640000001</v>
      </c>
      <c r="I76" s="44">
        <f>SUMIF(ALIF_Y2020!$A:$A,$A76,ALIF_Y2020!$F:$F)</f>
        <v>0</v>
      </c>
      <c r="J76" s="44">
        <f>SUMIF(ALIF_Y2021!$A:$A,$A76,ALIF_Y2021!$F:$F)</f>
        <v>0</v>
      </c>
      <c r="K76" s="44">
        <f>SUMIF(ALIF_Y2022!$A:$A,$A76,ALIF_Y2022!$F:$F)</f>
        <v>0</v>
      </c>
      <c r="L76" s="44">
        <f>SUMIF(ALIF_Y2023!$A:$A,$A76,ALIF_Y2023!$F:$F)</f>
        <v>0</v>
      </c>
      <c r="M76" s="44">
        <f>SUMIF(ALIF_Y2024!$A:$A,$A76,ALIF_Y2024!$F:$F)</f>
        <v>0</v>
      </c>
      <c r="N76" s="44">
        <f>SUMIF(ALIF_Y2025!$A:$A,$A76,ALIF_Y2025!$F:$F)</f>
        <v>0</v>
      </c>
      <c r="O76" s="44">
        <f>SUMIF(TB_Input_Alif!$A:$A,$A76,TB_Input_Alif!$F:$F)</f>
        <v>0</v>
      </c>
      <c r="P76" s="43" t="str">
        <f>_xlfn.XLOOKUP(A76,Map!A:A,Map!E:E)</f>
        <v>Inventories</v>
      </c>
      <c r="Q76" s="43" t="str">
        <f>_xlfn.XLOOKUP(A76,Map!A:A,Map!D:D)</f>
        <v>Current Assets</v>
      </c>
    </row>
    <row r="77" spans="1:17" x14ac:dyDescent="0.25">
      <c r="A77" s="42">
        <v>180009</v>
      </c>
      <c r="B77" s="43" t="s">
        <v>892</v>
      </c>
      <c r="C77" s="44">
        <f>SUMIF(ALIF_Y2014!$A:$A,$A77,ALIF_Y2014!$F:$F)</f>
        <v>1</v>
      </c>
      <c r="D77" s="44">
        <f>SUMIF(ALIF_Y2015!$A:$A,$A77,ALIF_Y2015!$F:$F)</f>
        <v>0</v>
      </c>
      <c r="E77" s="44">
        <f>SUMIF(ALIF_Y2016!$A:$A,$A77,ALIF_Y2016!$F:$F)</f>
        <v>6916688.2850000001</v>
      </c>
      <c r="F77" s="44">
        <f>SUMIF(ALIF_Y2017!$A:$A,$A77,ALIF_Y2017!$F:$F)</f>
        <v>-0.02</v>
      </c>
      <c r="G77" s="44">
        <f>SUMIF(ALIF_Y2018!$A:$A,$A77,ALIF_Y2018!$F:$F)</f>
        <v>-4.0000000000000001E-3</v>
      </c>
      <c r="H77" s="44">
        <f>SUMIF(ALIF_Y2019!$A:$A,$A77,ALIF_Y2019!$F:$F)</f>
        <v>0</v>
      </c>
      <c r="I77" s="44">
        <f>SUMIF(ALIF_Y2020!$A:$A,$A77,ALIF_Y2020!$F:$F)</f>
        <v>0</v>
      </c>
      <c r="J77" s="44">
        <f>SUMIF(ALIF_Y2021!$A:$A,$A77,ALIF_Y2021!$F:$F)</f>
        <v>0</v>
      </c>
      <c r="K77" s="44">
        <f>SUMIF(ALIF_Y2022!$A:$A,$A77,ALIF_Y2022!$F:$F)</f>
        <v>0</v>
      </c>
      <c r="L77" s="44">
        <f>SUMIF(ALIF_Y2023!$A:$A,$A77,ALIF_Y2023!$F:$F)</f>
        <v>0</v>
      </c>
      <c r="M77" s="44">
        <f>SUMIF(ALIF_Y2024!$A:$A,$A77,ALIF_Y2024!$F:$F)</f>
        <v>0</v>
      </c>
      <c r="N77" s="44">
        <f>SUMIF(ALIF_Y2025!$A:$A,$A77,ALIF_Y2025!$F:$F)</f>
        <v>0</v>
      </c>
      <c r="O77" s="44">
        <f>SUMIF(TB_Input_Alif!$A:$A,$A77,TB_Input_Alif!$F:$F)</f>
        <v>0</v>
      </c>
      <c r="P77" s="43" t="str">
        <f>_xlfn.XLOOKUP(A77,Map!A:A,Map!E:E)</f>
        <v>Inventories</v>
      </c>
      <c r="Q77" s="43" t="str">
        <f>_xlfn.XLOOKUP(A77,Map!A:A,Map!D:D)</f>
        <v>Current Assets</v>
      </c>
    </row>
    <row r="78" spans="1:17" x14ac:dyDescent="0.25">
      <c r="A78" s="42">
        <v>180010</v>
      </c>
      <c r="B78" s="43" t="s">
        <v>893</v>
      </c>
      <c r="C78" s="44">
        <f>SUMIF(ALIF_Y2014!$A:$A,$A78,ALIF_Y2014!$F:$F)</f>
        <v>1212335.835</v>
      </c>
      <c r="D78" s="44">
        <f>SUMIF(ALIF_Y2015!$A:$A,$A78,ALIF_Y2015!$F:$F)</f>
        <v>1327453.811</v>
      </c>
      <c r="E78" s="44">
        <f>SUMIF(ALIF_Y2016!$A:$A,$A78,ALIF_Y2016!$F:$F)</f>
        <v>1398956.7789999999</v>
      </c>
      <c r="F78" s="44">
        <f>SUMIF(ALIF_Y2017!$A:$A,$A78,ALIF_Y2017!$F:$F)</f>
        <v>1731640.504</v>
      </c>
      <c r="G78" s="44">
        <f>SUMIF(ALIF_Y2018!$A:$A,$A78,ALIF_Y2018!$F:$F)</f>
        <v>3284487.0350000001</v>
      </c>
      <c r="H78" s="44">
        <f>SUMIF(ALIF_Y2019!$A:$A,$A78,ALIF_Y2019!$F:$F)</f>
        <v>4243921.3739999998</v>
      </c>
      <c r="I78" s="44">
        <f>SUMIF(ALIF_Y2020!$A:$A,$A78,ALIF_Y2020!$F:$F)</f>
        <v>2923428.2549999999</v>
      </c>
      <c r="J78" s="44">
        <f>SUMIF(ALIF_Y2021!$A:$A,$A78,ALIF_Y2021!$F:$F)</f>
        <v>3671446.071</v>
      </c>
      <c r="K78" s="44">
        <f>SUMIF(ALIF_Y2022!$A:$A,$A78,ALIF_Y2022!$F:$F)</f>
        <v>3804138.2889999999</v>
      </c>
      <c r="L78" s="44">
        <f>SUMIF(ALIF_Y2023!$A:$A,$A78,ALIF_Y2023!$F:$F)</f>
        <v>2205127.1439999999</v>
      </c>
      <c r="M78" s="44">
        <f>SUMIF(ALIF_Y2024!$A:$A,$A78,ALIF_Y2024!$F:$F)</f>
        <v>3576344.7710000002</v>
      </c>
      <c r="N78" s="44">
        <f>SUMIF(ALIF_Y2025!$A:$A,$A78,ALIF_Y2025!$F:$F)</f>
        <v>5717733.1169999996</v>
      </c>
      <c r="O78" s="44">
        <f>SUMIF(TB_Input_Alif!$A:$A,$A78,TB_Input_Alif!$F:$F)</f>
        <v>4919146.5209999997</v>
      </c>
      <c r="P78" s="43" t="str">
        <f>_xlfn.XLOOKUP(A78,Map!A:A,Map!E:E)</f>
        <v>Inventories</v>
      </c>
      <c r="Q78" s="43" t="str">
        <f>_xlfn.XLOOKUP(A78,Map!A:A,Map!D:D)</f>
        <v>Current Assets</v>
      </c>
    </row>
    <row r="79" spans="1:17" x14ac:dyDescent="0.25">
      <c r="A79" s="42">
        <v>180011</v>
      </c>
      <c r="B79" s="43" t="s">
        <v>894</v>
      </c>
      <c r="C79" s="44">
        <f>SUMIF(ALIF_Y2014!$A:$A,$A79,ALIF_Y2014!$F:$F)</f>
        <v>5822773.6179999998</v>
      </c>
      <c r="D79" s="44">
        <f>SUMIF(ALIF_Y2015!$A:$A,$A79,ALIF_Y2015!$F:$F)</f>
        <v>3798456.87</v>
      </c>
      <c r="E79" s="44">
        <f>SUMIF(ALIF_Y2016!$A:$A,$A79,ALIF_Y2016!$F:$F)</f>
        <v>3693398.7229999998</v>
      </c>
      <c r="F79" s="44">
        <f>SUMIF(ALIF_Y2017!$A:$A,$A79,ALIF_Y2017!$F:$F)</f>
        <v>3759293.67</v>
      </c>
      <c r="G79" s="44">
        <f>SUMIF(ALIF_Y2018!$A:$A,$A79,ALIF_Y2018!$F:$F)</f>
        <v>5990529.9390000002</v>
      </c>
      <c r="H79" s="44">
        <f>SUMIF(ALIF_Y2019!$A:$A,$A79,ALIF_Y2019!$F:$F)</f>
        <v>4916871.9639999997</v>
      </c>
      <c r="I79" s="44">
        <f>SUMIF(ALIF_Y2020!$A:$A,$A79,ALIF_Y2020!$F:$F)</f>
        <v>2860145.8280000002</v>
      </c>
      <c r="J79" s="44">
        <f>SUMIF(ALIF_Y2021!$A:$A,$A79,ALIF_Y2021!$F:$F)</f>
        <v>4353614.0590000004</v>
      </c>
      <c r="K79" s="44">
        <f>SUMIF(ALIF_Y2022!$A:$A,$A79,ALIF_Y2022!$F:$F)</f>
        <v>15057738.582</v>
      </c>
      <c r="L79" s="44">
        <f>SUMIF(ALIF_Y2023!$A:$A,$A79,ALIF_Y2023!$F:$F)</f>
        <v>9655616.7899999991</v>
      </c>
      <c r="M79" s="44">
        <f>SUMIF(ALIF_Y2024!$A:$A,$A79,ALIF_Y2024!$F:$F)</f>
        <v>9484544.6830000002</v>
      </c>
      <c r="N79" s="44">
        <f>SUMIF(ALIF_Y2025!$A:$A,$A79,ALIF_Y2025!$F:$F)</f>
        <v>11845976.203</v>
      </c>
      <c r="O79" s="44">
        <f>SUMIF(TB_Input_Alif!$A:$A,$A79,TB_Input_Alif!$F:$F)</f>
        <v>5412271.1260000002</v>
      </c>
      <c r="P79" s="43" t="str">
        <f>_xlfn.XLOOKUP(A79,Map!A:A,Map!E:E)</f>
        <v>Inventories</v>
      </c>
      <c r="Q79" s="43" t="str">
        <f>_xlfn.XLOOKUP(A79,Map!A:A,Map!D:D)</f>
        <v>Current Assets</v>
      </c>
    </row>
    <row r="80" spans="1:17" x14ac:dyDescent="0.25">
      <c r="A80" s="42">
        <v>180012</v>
      </c>
      <c r="B80" s="43" t="s">
        <v>895</v>
      </c>
      <c r="C80" s="44">
        <f>SUMIF(ALIF_Y2014!$A:$A,$A80,ALIF_Y2014!$F:$F)</f>
        <v>3491023.5520000001</v>
      </c>
      <c r="D80" s="44">
        <f>SUMIF(ALIF_Y2015!$A:$A,$A80,ALIF_Y2015!$F:$F)</f>
        <v>2714441.9569999999</v>
      </c>
      <c r="E80" s="44">
        <f>SUMIF(ALIF_Y2016!$A:$A,$A80,ALIF_Y2016!$F:$F)</f>
        <v>2233950.0639999998</v>
      </c>
      <c r="F80" s="44">
        <f>SUMIF(ALIF_Y2017!$A:$A,$A80,ALIF_Y2017!$F:$F)</f>
        <v>1969194.7039999999</v>
      </c>
      <c r="G80" s="44">
        <f>SUMIF(ALIF_Y2018!$A:$A,$A80,ALIF_Y2018!$F:$F)</f>
        <v>4155373.4410000001</v>
      </c>
      <c r="H80" s="44">
        <f>SUMIF(ALIF_Y2019!$A:$A,$A80,ALIF_Y2019!$F:$F)</f>
        <v>6324009.8049999997</v>
      </c>
      <c r="I80" s="44">
        <f>SUMIF(ALIF_Y2020!$A:$A,$A80,ALIF_Y2020!$F:$F)</f>
        <v>3169104.6669999999</v>
      </c>
      <c r="J80" s="44">
        <f>SUMIF(ALIF_Y2021!$A:$A,$A80,ALIF_Y2021!$F:$F)</f>
        <v>3568332.1370000001</v>
      </c>
      <c r="K80" s="44">
        <f>SUMIF(ALIF_Y2022!$A:$A,$A80,ALIF_Y2022!$F:$F)</f>
        <v>5027391.8600000003</v>
      </c>
      <c r="L80" s="44">
        <f>SUMIF(ALIF_Y2023!$A:$A,$A80,ALIF_Y2023!$F:$F)</f>
        <v>1499189.071</v>
      </c>
      <c r="M80" s="44">
        <f>SUMIF(ALIF_Y2024!$A:$A,$A80,ALIF_Y2024!$F:$F)</f>
        <v>4089189.5980000002</v>
      </c>
      <c r="N80" s="44">
        <f>SUMIF(ALIF_Y2025!$A:$A,$A80,ALIF_Y2025!$F:$F)</f>
        <v>3937068.0060000001</v>
      </c>
      <c r="O80" s="44">
        <f>SUMIF(TB_Input_Alif!$A:$A,$A80,TB_Input_Alif!$F:$F)</f>
        <v>4109817.1</v>
      </c>
      <c r="P80" s="43" t="str">
        <f>_xlfn.XLOOKUP(A80,Map!A:A,Map!E:E)</f>
        <v>Inventories</v>
      </c>
      <c r="Q80" s="43" t="str">
        <f>_xlfn.XLOOKUP(A80,Map!A:A,Map!D:D)</f>
        <v>Current Assets</v>
      </c>
    </row>
    <row r="81" spans="1:17" x14ac:dyDescent="0.25">
      <c r="A81" s="42">
        <v>180013</v>
      </c>
      <c r="B81" s="43" t="s">
        <v>896</v>
      </c>
      <c r="C81" s="44">
        <f>SUMIF(ALIF_Y2014!$A:$A,$A81,ALIF_Y2014!$F:$F)</f>
        <v>5752152.5599999996</v>
      </c>
      <c r="D81" s="44">
        <f>SUMIF(ALIF_Y2015!$A:$A,$A81,ALIF_Y2015!$F:$F)</f>
        <v>5304869.8890000004</v>
      </c>
      <c r="E81" s="44">
        <f>SUMIF(ALIF_Y2016!$A:$A,$A81,ALIF_Y2016!$F:$F)</f>
        <v>6125291.1440000003</v>
      </c>
      <c r="F81" s="44">
        <f>SUMIF(ALIF_Y2017!$A:$A,$A81,ALIF_Y2017!$F:$F)</f>
        <v>4435009.0870000003</v>
      </c>
      <c r="G81" s="44">
        <f>SUMIF(ALIF_Y2018!$A:$A,$A81,ALIF_Y2018!$F:$F)</f>
        <v>8323970.4850000003</v>
      </c>
      <c r="H81" s="44">
        <f>SUMIF(ALIF_Y2019!$A:$A,$A81,ALIF_Y2019!$F:$F)</f>
        <v>6599030.142</v>
      </c>
      <c r="I81" s="44">
        <f>SUMIF(ALIF_Y2020!$A:$A,$A81,ALIF_Y2020!$F:$F)</f>
        <v>6716635.6349999998</v>
      </c>
      <c r="J81" s="44">
        <f>SUMIF(ALIF_Y2021!$A:$A,$A81,ALIF_Y2021!$F:$F)</f>
        <v>5032954.7170000002</v>
      </c>
      <c r="K81" s="44">
        <f>SUMIF(ALIF_Y2022!$A:$A,$A81,ALIF_Y2022!$F:$F)</f>
        <v>5656636.4230000004</v>
      </c>
      <c r="L81" s="44">
        <f>SUMIF(ALIF_Y2023!$A:$A,$A81,ALIF_Y2023!$F:$F)</f>
        <v>4851116.2259999998</v>
      </c>
      <c r="M81" s="44">
        <f>SUMIF(ALIF_Y2024!$A:$A,$A81,ALIF_Y2024!$F:$F)</f>
        <v>1779013.747</v>
      </c>
      <c r="N81" s="44">
        <f>SUMIF(ALIF_Y2025!$A:$A,$A81,ALIF_Y2025!$F:$F)</f>
        <v>2378833.9440000001</v>
      </c>
      <c r="O81" s="44">
        <f>SUMIF(TB_Input_Alif!$A:$A,$A81,TB_Input_Alif!$F:$F)</f>
        <v>1742398.2180000001</v>
      </c>
      <c r="P81" s="43" t="str">
        <f>_xlfn.XLOOKUP(A81,Map!A:A,Map!E:E)</f>
        <v>Inventories</v>
      </c>
      <c r="Q81" s="43" t="str">
        <f>_xlfn.XLOOKUP(A81,Map!A:A,Map!D:D)</f>
        <v>Current Assets</v>
      </c>
    </row>
    <row r="82" spans="1:17" x14ac:dyDescent="0.25">
      <c r="A82" s="42">
        <v>180014</v>
      </c>
      <c r="B82" s="43" t="s">
        <v>897</v>
      </c>
      <c r="C82" s="44">
        <f>SUMIF(ALIF_Y2014!$A:$A,$A82,ALIF_Y2014!$F:$F)</f>
        <v>0</v>
      </c>
      <c r="D82" s="44">
        <f>SUMIF(ALIF_Y2015!$A:$A,$A82,ALIF_Y2015!$F:$F)</f>
        <v>0</v>
      </c>
      <c r="E82" s="44">
        <f>SUMIF(ALIF_Y2016!$A:$A,$A82,ALIF_Y2016!$F:$F)</f>
        <v>-79231.839999999997</v>
      </c>
      <c r="F82" s="44">
        <f>SUMIF(ALIF_Y2017!$A:$A,$A82,ALIF_Y2017!$F:$F)</f>
        <v>759475.83</v>
      </c>
      <c r="G82" s="44">
        <f>SUMIF(ALIF_Y2018!$A:$A,$A82,ALIF_Y2018!$F:$F)</f>
        <v>0</v>
      </c>
      <c r="H82" s="44">
        <f>SUMIF(ALIF_Y2019!$A:$A,$A82,ALIF_Y2019!$F:$F)</f>
        <v>0</v>
      </c>
      <c r="I82" s="44">
        <f>SUMIF(ALIF_Y2020!$A:$A,$A82,ALIF_Y2020!$F:$F)</f>
        <v>0</v>
      </c>
      <c r="J82" s="44">
        <f>SUMIF(ALIF_Y2021!$A:$A,$A82,ALIF_Y2021!$F:$F)</f>
        <v>0</v>
      </c>
      <c r="K82" s="44">
        <f>SUMIF(ALIF_Y2022!$A:$A,$A82,ALIF_Y2022!$F:$F)</f>
        <v>-0.01</v>
      </c>
      <c r="L82" s="44">
        <f>SUMIF(ALIF_Y2023!$A:$A,$A82,ALIF_Y2023!$F:$F)</f>
        <v>0</v>
      </c>
      <c r="M82" s="44">
        <f>SUMIF(ALIF_Y2024!$A:$A,$A82,ALIF_Y2024!$F:$F)</f>
        <v>470760.93300000002</v>
      </c>
      <c r="N82" s="44">
        <f>SUMIF(ALIF_Y2025!$A:$A,$A82,ALIF_Y2025!$F:$F)</f>
        <v>1236078.101</v>
      </c>
      <c r="O82" s="44">
        <f>SUMIF(TB_Input_Alif!$A:$A,$A82,TB_Input_Alif!$F:$F)</f>
        <v>1325337.1459999999</v>
      </c>
      <c r="P82" s="43" t="str">
        <f>_xlfn.XLOOKUP(A82,Map!A:A,Map!E:E)</f>
        <v>Inventories</v>
      </c>
      <c r="Q82" s="43" t="str">
        <f>_xlfn.XLOOKUP(A82,Map!A:A,Map!D:D)</f>
        <v>Current Assets</v>
      </c>
    </row>
    <row r="83" spans="1:17" x14ac:dyDescent="0.25">
      <c r="A83" s="42">
        <v>180096</v>
      </c>
      <c r="B83" s="43" t="s">
        <v>898</v>
      </c>
      <c r="C83" s="44">
        <f>SUMIF(ALIF_Y2014!$A:$A,$A83,ALIF_Y2014!$F:$F)</f>
        <v>0</v>
      </c>
      <c r="D83" s="44">
        <f>SUMIF(ALIF_Y2015!$A:$A,$A83,ALIF_Y2015!$F:$F)</f>
        <v>0</v>
      </c>
      <c r="E83" s="44">
        <f>SUMIF(ALIF_Y2016!$A:$A,$A83,ALIF_Y2016!$F:$F)</f>
        <v>166734.068</v>
      </c>
      <c r="F83" s="44">
        <f>SUMIF(ALIF_Y2017!$A:$A,$A83,ALIF_Y2017!$F:$F)</f>
        <v>177283.36499999999</v>
      </c>
      <c r="G83" s="44">
        <f>SUMIF(ALIF_Y2018!$A:$A,$A83,ALIF_Y2018!$F:$F)</f>
        <v>-2E-3</v>
      </c>
      <c r="H83" s="44">
        <f>SUMIF(ALIF_Y2019!$A:$A,$A83,ALIF_Y2019!$F:$F)</f>
        <v>0</v>
      </c>
      <c r="I83" s="44">
        <f>SUMIF(ALIF_Y2020!$A:$A,$A83,ALIF_Y2020!$F:$F)</f>
        <v>0</v>
      </c>
      <c r="J83" s="44">
        <f>SUMIF(ALIF_Y2021!$A:$A,$A83,ALIF_Y2021!$F:$F)</f>
        <v>0</v>
      </c>
      <c r="K83" s="44">
        <f>SUMIF(ALIF_Y2022!$A:$A,$A83,ALIF_Y2022!$F:$F)</f>
        <v>0</v>
      </c>
      <c r="L83" s="44">
        <f>SUMIF(ALIF_Y2023!$A:$A,$A83,ALIF_Y2023!$F:$F)</f>
        <v>0</v>
      </c>
      <c r="M83" s="44">
        <f>SUMIF(ALIF_Y2024!$A:$A,$A83,ALIF_Y2024!$F:$F)</f>
        <v>0</v>
      </c>
      <c r="N83" s="44">
        <f>SUMIF(ALIF_Y2025!$A:$A,$A83,ALIF_Y2025!$F:$F)</f>
        <v>19793.944</v>
      </c>
      <c r="O83" s="44">
        <f>SUMIF(TB_Input_Alif!$A:$A,$A83,TB_Input_Alif!$F:$F)</f>
        <v>0</v>
      </c>
      <c r="P83" s="43" t="str">
        <f>_xlfn.XLOOKUP(A83,Map!A:A,Map!E:E)</f>
        <v>Inventories</v>
      </c>
      <c r="Q83" s="43" t="str">
        <f>_xlfn.XLOOKUP(A83,Map!A:A,Map!D:D)</f>
        <v>Current Assets</v>
      </c>
    </row>
    <row r="84" spans="1:17" x14ac:dyDescent="0.25">
      <c r="A84" s="42">
        <v>180097</v>
      </c>
      <c r="B84" s="43" t="s">
        <v>899</v>
      </c>
      <c r="C84" s="44">
        <f>SUMIF(ALIF_Y2014!$A:$A,$A84,ALIF_Y2014!$F:$F)</f>
        <v>0</v>
      </c>
      <c r="D84" s="44">
        <f>SUMIF(ALIF_Y2015!$A:$A,$A84,ALIF_Y2015!$F:$F)</f>
        <v>0</v>
      </c>
      <c r="E84" s="44">
        <f>SUMIF(ALIF_Y2016!$A:$A,$A84,ALIF_Y2016!$F:$F)</f>
        <v>0</v>
      </c>
      <c r="F84" s="44">
        <f>SUMIF(ALIF_Y2017!$A:$A,$A84,ALIF_Y2017!$F:$F)</f>
        <v>0</v>
      </c>
      <c r="G84" s="44">
        <f>SUMIF(ALIF_Y2018!$A:$A,$A84,ALIF_Y2018!$F:$F)</f>
        <v>0</v>
      </c>
      <c r="H84" s="44">
        <f>SUMIF(ALIF_Y2019!$A:$A,$A84,ALIF_Y2019!$F:$F)</f>
        <v>0</v>
      </c>
      <c r="I84" s="44">
        <f>SUMIF(ALIF_Y2020!$A:$A,$A84,ALIF_Y2020!$F:$F)</f>
        <v>0</v>
      </c>
      <c r="J84" s="44">
        <f>SUMIF(ALIF_Y2021!$A:$A,$A84,ALIF_Y2021!$F:$F)</f>
        <v>0</v>
      </c>
      <c r="K84" s="44">
        <f>SUMIF(ALIF_Y2022!$A:$A,$A84,ALIF_Y2022!$F:$F)</f>
        <v>0</v>
      </c>
      <c r="L84" s="44">
        <f>SUMIF(ALIF_Y2023!$A:$A,$A84,ALIF_Y2023!$F:$F)</f>
        <v>0</v>
      </c>
      <c r="M84" s="44">
        <f>SUMIF(ALIF_Y2024!$A:$A,$A84,ALIF_Y2024!$F:$F)</f>
        <v>6050.9250000000002</v>
      </c>
      <c r="N84" s="44">
        <f>SUMIF(ALIF_Y2025!$A:$A,$A84,ALIF_Y2025!$F:$F)</f>
        <v>6050.9250000000002</v>
      </c>
      <c r="O84" s="44">
        <f>SUMIF(TB_Input_Alif!$A:$A,$A84,TB_Input_Alif!$F:$F)</f>
        <v>0</v>
      </c>
      <c r="P84" s="43" t="str">
        <f>_xlfn.XLOOKUP(A84,Map!A:A,Map!E:E)</f>
        <v>Inventories</v>
      </c>
      <c r="Q84" s="43" t="str">
        <f>_xlfn.XLOOKUP(A84,Map!A:A,Map!D:D)</f>
        <v>Current Assets</v>
      </c>
    </row>
    <row r="85" spans="1:17" x14ac:dyDescent="0.25">
      <c r="A85" s="42">
        <v>180098</v>
      </c>
      <c r="B85" s="43" t="s">
        <v>900</v>
      </c>
      <c r="C85" s="44">
        <f>SUMIF(ALIF_Y2014!$A:$A,$A85,ALIF_Y2014!$F:$F)</f>
        <v>0</v>
      </c>
      <c r="D85" s="44">
        <f>SUMIF(ALIF_Y2015!$A:$A,$A85,ALIF_Y2015!$F:$F)</f>
        <v>0</v>
      </c>
      <c r="E85" s="44">
        <f>SUMIF(ALIF_Y2016!$A:$A,$A85,ALIF_Y2016!$F:$F)</f>
        <v>0</v>
      </c>
      <c r="F85" s="44">
        <f>SUMIF(ALIF_Y2017!$A:$A,$A85,ALIF_Y2017!$F:$F)</f>
        <v>0</v>
      </c>
      <c r="G85" s="44">
        <f>SUMIF(ALIF_Y2018!$A:$A,$A85,ALIF_Y2018!$F:$F)</f>
        <v>0</v>
      </c>
      <c r="H85" s="44">
        <f>SUMIF(ALIF_Y2019!$A:$A,$A85,ALIF_Y2019!$F:$F)</f>
        <v>-5.0000000000000001E-3</v>
      </c>
      <c r="I85" s="44">
        <f>SUMIF(ALIF_Y2020!$A:$A,$A85,ALIF_Y2020!$F:$F)</f>
        <v>0</v>
      </c>
      <c r="J85" s="44">
        <f>SUMIF(ALIF_Y2021!$A:$A,$A85,ALIF_Y2021!$F:$F)</f>
        <v>0</v>
      </c>
      <c r="K85" s="44">
        <f>SUMIF(ALIF_Y2022!$A:$A,$A85,ALIF_Y2022!$F:$F)</f>
        <v>1E-3</v>
      </c>
      <c r="L85" s="44">
        <f>SUMIF(ALIF_Y2023!$A:$A,$A85,ALIF_Y2023!$F:$F)</f>
        <v>1E-3</v>
      </c>
      <c r="M85" s="44">
        <f>SUMIF(ALIF_Y2024!$A:$A,$A85,ALIF_Y2024!$F:$F)</f>
        <v>-0.90800000000000003</v>
      </c>
      <c r="N85" s="44">
        <f>SUMIF(ALIF_Y2025!$A:$A,$A85,ALIF_Y2025!$F:$F)</f>
        <v>194928.652</v>
      </c>
      <c r="O85" s="44">
        <f>SUMIF(TB_Input_Alif!$A:$A,$A85,TB_Input_Alif!$F:$F)</f>
        <v>1E-3</v>
      </c>
      <c r="P85" s="43" t="str">
        <f>_xlfn.XLOOKUP(A85,Map!A:A,Map!E:E)</f>
        <v>Inventories</v>
      </c>
      <c r="Q85" s="43" t="str">
        <f>_xlfn.XLOOKUP(A85,Map!A:A,Map!D:D)</f>
        <v>Current Assets</v>
      </c>
    </row>
    <row r="86" spans="1:17" x14ac:dyDescent="0.25">
      <c r="A86" s="42">
        <v>180099</v>
      </c>
      <c r="B86" s="43" t="s">
        <v>901</v>
      </c>
      <c r="C86" s="44">
        <f>SUMIF(ALIF_Y2014!$A:$A,$A86,ALIF_Y2014!$F:$F)</f>
        <v>0</v>
      </c>
      <c r="D86" s="44">
        <f>SUMIF(ALIF_Y2015!$A:$A,$A86,ALIF_Y2015!$F:$F)</f>
        <v>0</v>
      </c>
      <c r="E86" s="44">
        <f>SUMIF(ALIF_Y2016!$A:$A,$A86,ALIF_Y2016!$F:$F)</f>
        <v>0</v>
      </c>
      <c r="F86" s="44">
        <f>SUMIF(ALIF_Y2017!$A:$A,$A86,ALIF_Y2017!$F:$F)</f>
        <v>0</v>
      </c>
      <c r="G86" s="44">
        <f>SUMIF(ALIF_Y2018!$A:$A,$A86,ALIF_Y2018!$F:$F)</f>
        <v>0</v>
      </c>
      <c r="H86" s="44">
        <f>SUMIF(ALIF_Y2019!$A:$A,$A86,ALIF_Y2019!$F:$F)</f>
        <v>5.0000000000000001E-3</v>
      </c>
      <c r="I86" s="44">
        <f>SUMIF(ALIF_Y2020!$A:$A,$A86,ALIF_Y2020!$F:$F)</f>
        <v>0</v>
      </c>
      <c r="J86" s="44">
        <f>SUMIF(ALIF_Y2021!$A:$A,$A86,ALIF_Y2021!$F:$F)</f>
        <v>0</v>
      </c>
      <c r="K86" s="44">
        <f>SUMIF(ALIF_Y2022!$A:$A,$A86,ALIF_Y2022!$F:$F)</f>
        <v>0</v>
      </c>
      <c r="L86" s="44">
        <f>SUMIF(ALIF_Y2023!$A:$A,$A86,ALIF_Y2023!$F:$F)</f>
        <v>0</v>
      </c>
      <c r="M86" s="44">
        <f>SUMIF(ALIF_Y2024!$A:$A,$A86,ALIF_Y2024!$F:$F)</f>
        <v>15265919.785</v>
      </c>
      <c r="N86" s="44">
        <f>SUMIF(ALIF_Y2025!$A:$A,$A86,ALIF_Y2025!$F:$F)</f>
        <v>34278819.75</v>
      </c>
      <c r="O86" s="44">
        <f>SUMIF(TB_Input_Alif!$A:$A,$A86,TB_Input_Alif!$F:$F)</f>
        <v>25473442.352959991</v>
      </c>
      <c r="P86" s="43" t="str">
        <f>_xlfn.XLOOKUP(A86,Map!A:A,Map!E:E)</f>
        <v>Inventories</v>
      </c>
      <c r="Q86" s="43" t="str">
        <f>_xlfn.XLOOKUP(A86,Map!A:A,Map!D:D)</f>
        <v>Current Assets</v>
      </c>
    </row>
    <row r="87" spans="1:17" x14ac:dyDescent="0.25">
      <c r="A87" s="42">
        <v>210001</v>
      </c>
      <c r="B87" s="43" t="s">
        <v>902</v>
      </c>
      <c r="C87" s="44">
        <f>SUMIF(ALIF_Y2014!$A:$A,$A87,ALIF_Y2014!$F:$F)</f>
        <v>-3017763.09</v>
      </c>
      <c r="D87" s="44">
        <f>SUMIF(ALIF_Y2015!$A:$A,$A87,ALIF_Y2015!$F:$F)</f>
        <v>-2844799.6</v>
      </c>
      <c r="E87" s="44">
        <f>SUMIF(ALIF_Y2016!$A:$A,$A87,ALIF_Y2016!$F:$F)</f>
        <v>-3400740.0929999999</v>
      </c>
      <c r="F87" s="44">
        <f>SUMIF(ALIF_Y2017!$A:$A,$A87,ALIF_Y2017!$F:$F)</f>
        <v>-3405415.5739999991</v>
      </c>
      <c r="G87" s="44">
        <f>SUMIF(ALIF_Y2018!$A:$A,$A87,ALIF_Y2018!$F:$F)</f>
        <v>-7673560.5650000004</v>
      </c>
      <c r="H87" s="44">
        <f>SUMIF(ALIF_Y2019!$A:$A,$A87,ALIF_Y2019!$F:$F)</f>
        <v>-4083556.966</v>
      </c>
      <c r="I87" s="44">
        <f>SUMIF(ALIF_Y2020!$A:$A,$A87,ALIF_Y2020!$F:$F)</f>
        <v>-1587370.8970000001</v>
      </c>
      <c r="J87" s="44">
        <f>SUMIF(ALIF_Y2021!$A:$A,$A87,ALIF_Y2021!$F:$F)</f>
        <v>1991955.5389999999</v>
      </c>
      <c r="K87" s="44">
        <f>SUMIF(ALIF_Y2022!$A:$A,$A87,ALIF_Y2022!$F:$F)</f>
        <v>327947.576</v>
      </c>
      <c r="L87" s="44">
        <f>SUMIF(ALIF_Y2023!$A:$A,$A87,ALIF_Y2023!$F:$F)</f>
        <v>-3341656.193</v>
      </c>
      <c r="M87" s="44">
        <f>SUMIF(ALIF_Y2024!$A:$A,$A87,ALIF_Y2024!$F:$F)</f>
        <v>-5513960.4889999991</v>
      </c>
      <c r="N87" s="44">
        <f>SUMIF(ALIF_Y2025!$A:$A,$A87,ALIF_Y2025!$F:$F)</f>
        <v>-7071698.727</v>
      </c>
      <c r="O87" s="44">
        <f>SUMIF(TB_Input_Alif!$A:$A,$A87,TB_Input_Alif!$F:$F)</f>
        <v>-1607131.1239999998</v>
      </c>
      <c r="P87" s="43" t="str">
        <f>_xlfn.XLOOKUP(A87,Map!A:A,Map!E:E)</f>
        <v>Tade payables and Accuals &amp; other credit balances</v>
      </c>
      <c r="Q87" s="43" t="str">
        <f>_xlfn.XLOOKUP(A87,Map!A:A,Map!D:D)</f>
        <v>Current Liabilities</v>
      </c>
    </row>
    <row r="88" spans="1:17" x14ac:dyDescent="0.25">
      <c r="A88" s="42">
        <v>210002</v>
      </c>
      <c r="B88" s="43" t="s">
        <v>903</v>
      </c>
      <c r="C88" s="44">
        <f>SUMIF(ALIF_Y2014!$A:$A,$A88,ALIF_Y2014!$F:$F)</f>
        <v>1910502.09</v>
      </c>
      <c r="D88" s="44">
        <f>SUMIF(ALIF_Y2015!$A:$A,$A88,ALIF_Y2015!$F:$F)</f>
        <v>-3155366.4</v>
      </c>
      <c r="E88" s="44">
        <f>SUMIF(ALIF_Y2016!$A:$A,$A88,ALIF_Y2016!$F:$F)</f>
        <v>-1993720.899</v>
      </c>
      <c r="F88" s="44">
        <f>SUMIF(ALIF_Y2017!$A:$A,$A88,ALIF_Y2017!$F:$F)</f>
        <v>-3454413.4240000001</v>
      </c>
      <c r="G88" s="44">
        <f>SUMIF(ALIF_Y2018!$A:$A,$A88,ALIF_Y2018!$F:$F)</f>
        <v>-3502984.73</v>
      </c>
      <c r="H88" s="44">
        <f>SUMIF(ALIF_Y2019!$A:$A,$A88,ALIF_Y2019!$F:$F)</f>
        <v>-4136245.906</v>
      </c>
      <c r="I88" s="44">
        <f>SUMIF(ALIF_Y2020!$A:$A,$A88,ALIF_Y2020!$F:$F)</f>
        <v>-6187965.9749999996</v>
      </c>
      <c r="J88" s="44">
        <f>SUMIF(ALIF_Y2021!$A:$A,$A88,ALIF_Y2021!$F:$F)</f>
        <v>-3053002.9160000002</v>
      </c>
      <c r="K88" s="44">
        <f>SUMIF(ALIF_Y2022!$A:$A,$A88,ALIF_Y2022!$F:$F)</f>
        <v>-5604504.5329999998</v>
      </c>
      <c r="L88" s="44">
        <f>SUMIF(ALIF_Y2023!$A:$A,$A88,ALIF_Y2023!$F:$F)</f>
        <v>-2233341.199</v>
      </c>
      <c r="M88" s="44">
        <f>SUMIF(ALIF_Y2024!$A:$A,$A88,ALIF_Y2024!$F:$F)</f>
        <v>-5949624.8770000003</v>
      </c>
      <c r="N88" s="44">
        <f>SUMIF(ALIF_Y2025!$A:$A,$A88,ALIF_Y2025!$F:$F)</f>
        <v>-10630323.937999999</v>
      </c>
      <c r="O88" s="44">
        <f>SUMIF(TB_Input_Alif!$A:$A,$A88,TB_Input_Alif!$F:$F)</f>
        <v>-7679999.0750000002</v>
      </c>
      <c r="P88" s="43" t="str">
        <f>_xlfn.XLOOKUP(A88,Map!A:A,Map!E:E)</f>
        <v>Tade payables and Accuals &amp; other credit balances</v>
      </c>
      <c r="Q88" s="43" t="str">
        <f>_xlfn.XLOOKUP(A88,Map!A:A,Map!D:D)</f>
        <v>Current Liabilities</v>
      </c>
    </row>
    <row r="89" spans="1:17" x14ac:dyDescent="0.25">
      <c r="A89" s="42">
        <v>220001</v>
      </c>
      <c r="B89" s="43" t="s">
        <v>904</v>
      </c>
      <c r="C89" s="44">
        <f>SUMIF(ALIF_Y2014!$A:$A,$A89,ALIF_Y2014!$F:$F)</f>
        <v>0</v>
      </c>
      <c r="D89" s="44">
        <f>SUMIF(ALIF_Y2015!$A:$A,$A89,ALIF_Y2015!$F:$F)</f>
        <v>0</v>
      </c>
      <c r="E89" s="44">
        <f>SUMIF(ALIF_Y2016!$A:$A,$A89,ALIF_Y2016!$F:$F)</f>
        <v>0</v>
      </c>
      <c r="F89" s="44">
        <f>SUMIF(ALIF_Y2017!$A:$A,$A89,ALIF_Y2017!$F:$F)</f>
        <v>0</v>
      </c>
      <c r="G89" s="44">
        <f>SUMIF(ALIF_Y2018!$A:$A,$A89,ALIF_Y2018!$F:$F)</f>
        <v>0</v>
      </c>
      <c r="H89" s="44">
        <f>SUMIF(ALIF_Y2019!$A:$A,$A89,ALIF_Y2019!$F:$F)</f>
        <v>0</v>
      </c>
      <c r="I89" s="44">
        <f>SUMIF(ALIF_Y2020!$A:$A,$A89,ALIF_Y2020!$F:$F)</f>
        <v>0</v>
      </c>
      <c r="J89" s="44">
        <f>SUMIF(ALIF_Y2021!$A:$A,$A89,ALIF_Y2021!$F:$F)</f>
        <v>0</v>
      </c>
      <c r="K89" s="44">
        <f>SUMIF(ALIF_Y2022!$A:$A,$A89,ALIF_Y2022!$F:$F)</f>
        <v>0</v>
      </c>
      <c r="L89" s="44">
        <f>SUMIF(ALIF_Y2023!$A:$A,$A89,ALIF_Y2023!$F:$F)</f>
        <v>0</v>
      </c>
      <c r="M89" s="44">
        <f>SUMIF(ALIF_Y2024!$A:$A,$A89,ALIF_Y2024!$F:$F)</f>
        <v>0</v>
      </c>
      <c r="N89" s="44">
        <f>SUMIF(ALIF_Y2025!$A:$A,$A89,ALIF_Y2025!$F:$F)</f>
        <v>0</v>
      </c>
      <c r="O89" s="44">
        <f>SUMIF(TB_Input_Alif!$A:$A,$A89,TB_Input_Alif!$F:$F)</f>
        <v>0</v>
      </c>
      <c r="P89" s="43" t="str">
        <f>_xlfn.XLOOKUP(A89,Map!A:A,Map!E:E)</f>
        <v>Short-term Murabaha loans</v>
      </c>
      <c r="Q89" s="43" t="str">
        <f>_xlfn.XLOOKUP(A89,Map!A:A,Map!D:D)</f>
        <v>Current Liabilities</v>
      </c>
    </row>
    <row r="90" spans="1:17" x14ac:dyDescent="0.25">
      <c r="A90" s="42">
        <v>220002</v>
      </c>
      <c r="B90" s="43" t="s">
        <v>905</v>
      </c>
      <c r="C90" s="44">
        <f>SUMIF(ALIF_Y2014!$A:$A,$A90,ALIF_Y2014!$F:$F)</f>
        <v>-15001098.75</v>
      </c>
      <c r="D90" s="44">
        <f>SUMIF(ALIF_Y2015!$A:$A,$A90,ALIF_Y2015!$F:$F)</f>
        <v>-3542909.64</v>
      </c>
      <c r="E90" s="44">
        <f>SUMIF(ALIF_Y2016!$A:$A,$A90,ALIF_Y2016!$F:$F)</f>
        <v>-4564727.9000000004</v>
      </c>
      <c r="F90" s="44">
        <f>SUMIF(ALIF_Y2017!$A:$A,$A90,ALIF_Y2017!$F:$F)</f>
        <v>0</v>
      </c>
      <c r="G90" s="44">
        <f>SUMIF(ALIF_Y2018!$A:$A,$A90,ALIF_Y2018!$F:$F)</f>
        <v>0</v>
      </c>
      <c r="H90" s="44">
        <f>SUMIF(ALIF_Y2019!$A:$A,$A90,ALIF_Y2019!$F:$F)</f>
        <v>0</v>
      </c>
      <c r="I90" s="44">
        <f>SUMIF(ALIF_Y2020!$A:$A,$A90,ALIF_Y2020!$F:$F)</f>
        <v>0</v>
      </c>
      <c r="J90" s="44">
        <f>SUMIF(ALIF_Y2021!$A:$A,$A90,ALIF_Y2021!$F:$F)</f>
        <v>0</v>
      </c>
      <c r="K90" s="44">
        <f>SUMIF(ALIF_Y2022!$A:$A,$A90,ALIF_Y2022!$F:$F)</f>
        <v>0</v>
      </c>
      <c r="L90" s="44">
        <f>SUMIF(ALIF_Y2023!$A:$A,$A90,ALIF_Y2023!$F:$F)</f>
        <v>0</v>
      </c>
      <c r="M90" s="44">
        <f>SUMIF(ALIF_Y2024!$A:$A,$A90,ALIF_Y2024!$F:$F)</f>
        <v>0</v>
      </c>
      <c r="N90" s="44">
        <f>SUMIF(ALIF_Y2025!$A:$A,$A90,ALIF_Y2025!$F:$F)</f>
        <v>0</v>
      </c>
      <c r="O90" s="44">
        <f>SUMIF(TB_Input_Alif!$A:$A,$A90,TB_Input_Alif!$F:$F)</f>
        <v>0</v>
      </c>
      <c r="P90" s="43" t="str">
        <f>_xlfn.XLOOKUP(A90,Map!A:A,Map!E:E)</f>
        <v>Short-term Murabaha loans</v>
      </c>
      <c r="Q90" s="43" t="str">
        <f>_xlfn.XLOOKUP(A90,Map!A:A,Map!D:D)</f>
        <v>Current Liabilities</v>
      </c>
    </row>
    <row r="91" spans="1:17" x14ac:dyDescent="0.25">
      <c r="A91" s="42">
        <v>220003</v>
      </c>
      <c r="B91" s="43" t="s">
        <v>906</v>
      </c>
      <c r="C91" s="44">
        <f>SUMIF(ALIF_Y2014!$A:$A,$A91,ALIF_Y2014!$F:$F)</f>
        <v>0</v>
      </c>
      <c r="D91" s="44">
        <f>SUMIF(ALIF_Y2015!$A:$A,$A91,ALIF_Y2015!$F:$F)</f>
        <v>0</v>
      </c>
      <c r="E91" s="44">
        <f>SUMIF(ALIF_Y2016!$A:$A,$A91,ALIF_Y2016!$F:$F)</f>
        <v>0</v>
      </c>
      <c r="F91" s="44">
        <f>SUMIF(ALIF_Y2017!$A:$A,$A91,ALIF_Y2017!$F:$F)</f>
        <v>0</v>
      </c>
      <c r="G91" s="44">
        <f>SUMIF(ALIF_Y2018!$A:$A,$A91,ALIF_Y2018!$F:$F)</f>
        <v>0</v>
      </c>
      <c r="H91" s="44">
        <f>SUMIF(ALIF_Y2019!$A:$A,$A91,ALIF_Y2019!$F:$F)</f>
        <v>0</v>
      </c>
      <c r="I91" s="44">
        <f>SUMIF(ALIF_Y2020!$A:$A,$A91,ALIF_Y2020!$F:$F)</f>
        <v>0</v>
      </c>
      <c r="J91" s="44">
        <f>SUMIF(ALIF_Y2021!$A:$A,$A91,ALIF_Y2021!$F:$F)</f>
        <v>0</v>
      </c>
      <c r="K91" s="44">
        <f>SUMIF(ALIF_Y2022!$A:$A,$A91,ALIF_Y2022!$F:$F)</f>
        <v>0</v>
      </c>
      <c r="L91" s="44">
        <f>SUMIF(ALIF_Y2023!$A:$A,$A91,ALIF_Y2023!$F:$F)</f>
        <v>0</v>
      </c>
      <c r="M91" s="44">
        <f>SUMIF(ALIF_Y2024!$A:$A,$A91,ALIF_Y2024!$F:$F)</f>
        <v>0</v>
      </c>
      <c r="N91" s="44">
        <f>SUMIF(ALIF_Y2025!$A:$A,$A91,ALIF_Y2025!$F:$F)</f>
        <v>0</v>
      </c>
      <c r="O91" s="44">
        <f>SUMIF(TB_Input_Alif!$A:$A,$A91,TB_Input_Alif!$F:$F)</f>
        <v>0</v>
      </c>
      <c r="P91" s="43" t="str">
        <f>_xlfn.XLOOKUP(A91,Map!A:A,Map!E:E)</f>
        <v>Short-term Murabaha loans</v>
      </c>
      <c r="Q91" s="43" t="str">
        <f>_xlfn.XLOOKUP(A91,Map!A:A,Map!D:D)</f>
        <v>Current Liabilities</v>
      </c>
    </row>
    <row r="92" spans="1:17" x14ac:dyDescent="0.25">
      <c r="A92" s="42">
        <v>220004</v>
      </c>
      <c r="B92" s="43" t="s">
        <v>907</v>
      </c>
      <c r="C92" s="44">
        <f>SUMIF(ALIF_Y2014!$A:$A,$A92,ALIF_Y2014!$F:$F)</f>
        <v>-10194888.789999999</v>
      </c>
      <c r="D92" s="44">
        <f>SUMIF(ALIF_Y2015!$A:$A,$A92,ALIF_Y2015!$F:$F)</f>
        <v>-8628490.9989999998</v>
      </c>
      <c r="E92" s="44">
        <f>SUMIF(ALIF_Y2016!$A:$A,$A92,ALIF_Y2016!$F:$F)</f>
        <v>-21983731.100000001</v>
      </c>
      <c r="F92" s="44">
        <f>SUMIF(ALIF_Y2017!$A:$A,$A92,ALIF_Y2017!$F:$F)</f>
        <v>0</v>
      </c>
      <c r="G92" s="44">
        <f>SUMIF(ALIF_Y2018!$A:$A,$A92,ALIF_Y2018!$F:$F)</f>
        <v>-42806538.75</v>
      </c>
      <c r="H92" s="44">
        <f>SUMIF(ALIF_Y2019!$A:$A,$A92,ALIF_Y2019!$F:$F)</f>
        <v>-8323255.0099999998</v>
      </c>
      <c r="I92" s="44">
        <f>SUMIF(ALIF_Y2020!$A:$A,$A92,ALIF_Y2020!$F:$F)</f>
        <v>0</v>
      </c>
      <c r="J92" s="44">
        <f>SUMIF(ALIF_Y2021!$A:$A,$A92,ALIF_Y2021!$F:$F)</f>
        <v>-34821818.277000003</v>
      </c>
      <c r="K92" s="44">
        <f>SUMIF(ALIF_Y2022!$A:$A,$A92,ALIF_Y2022!$F:$F)</f>
        <v>-36611517.880999997</v>
      </c>
      <c r="L92" s="44">
        <f>SUMIF(ALIF_Y2023!$A:$A,$A92,ALIF_Y2023!$F:$F)</f>
        <v>-25134408.640000001</v>
      </c>
      <c r="M92" s="44">
        <f>SUMIF(ALIF_Y2024!$A:$A,$A92,ALIF_Y2024!$F:$F)</f>
        <v>0</v>
      </c>
      <c r="N92" s="44">
        <f>SUMIF(ALIF_Y2025!$A:$A,$A92,ALIF_Y2025!$F:$F)</f>
        <v>-42045907.75</v>
      </c>
      <c r="O92" s="44">
        <f>SUMIF(TB_Input_Alif!$A:$A,$A92,TB_Input_Alif!$F:$F)</f>
        <v>-0.02</v>
      </c>
      <c r="P92" s="43" t="str">
        <f>_xlfn.XLOOKUP(A92,Map!A:A,Map!E:E)</f>
        <v>Short-term Murabaha loans</v>
      </c>
      <c r="Q92" s="43" t="str">
        <f>_xlfn.XLOOKUP(A92,Map!A:A,Map!D:D)</f>
        <v>Current Liabilities</v>
      </c>
    </row>
    <row r="93" spans="1:17" x14ac:dyDescent="0.25">
      <c r="A93" s="42">
        <v>220005</v>
      </c>
      <c r="B93" s="43" t="s">
        <v>908</v>
      </c>
      <c r="C93" s="44">
        <f>SUMIF(ALIF_Y2014!$A:$A,$A93,ALIF_Y2014!$F:$F)</f>
        <v>0</v>
      </c>
      <c r="D93" s="44">
        <f>SUMIF(ALIF_Y2015!$A:$A,$A93,ALIF_Y2015!$F:$F)</f>
        <v>0</v>
      </c>
      <c r="E93" s="44">
        <f>SUMIF(ALIF_Y2016!$A:$A,$A93,ALIF_Y2016!$F:$F)</f>
        <v>0</v>
      </c>
      <c r="F93" s="44">
        <f>SUMIF(ALIF_Y2017!$A:$A,$A93,ALIF_Y2017!$F:$F)</f>
        <v>0</v>
      </c>
      <c r="G93" s="44">
        <f>SUMIF(ALIF_Y2018!$A:$A,$A93,ALIF_Y2018!$F:$F)</f>
        <v>-19749145</v>
      </c>
      <c r="H93" s="44">
        <f>SUMIF(ALIF_Y2019!$A:$A,$A93,ALIF_Y2019!$F:$F)</f>
        <v>-24159339.420000002</v>
      </c>
      <c r="I93" s="44">
        <f>SUMIF(ALIF_Y2020!$A:$A,$A93,ALIF_Y2020!$F:$F)</f>
        <v>-23573959.894000001</v>
      </c>
      <c r="J93" s="44">
        <f>SUMIF(ALIF_Y2021!$A:$A,$A93,ALIF_Y2021!$F:$F)</f>
        <v>-26738909.774</v>
      </c>
      <c r="K93" s="44">
        <f>SUMIF(ALIF_Y2022!$A:$A,$A93,ALIF_Y2022!$F:$F)</f>
        <v>-59089378.502999999</v>
      </c>
      <c r="L93" s="44">
        <f>SUMIF(ALIF_Y2023!$A:$A,$A93,ALIF_Y2023!$F:$F)</f>
        <v>-5385922.5</v>
      </c>
      <c r="M93" s="44">
        <f>SUMIF(ALIF_Y2024!$A:$A,$A93,ALIF_Y2024!$F:$F)</f>
        <v>-74274660.937000006</v>
      </c>
      <c r="N93" s="44">
        <f>SUMIF(ALIF_Y2025!$A:$A,$A93,ALIF_Y2025!$F:$F)</f>
        <v>-91416370.724999994</v>
      </c>
      <c r="O93" s="44">
        <f>SUMIF(TB_Input_Alif!$A:$A,$A93,TB_Input_Alif!$F:$F)</f>
        <v>-81208509.713</v>
      </c>
      <c r="P93" s="43" t="str">
        <f>_xlfn.XLOOKUP(A93,Map!A:A,Map!E:E)</f>
        <v>Short-term Murabaha loans</v>
      </c>
      <c r="Q93" s="43" t="str">
        <f>_xlfn.XLOOKUP(A93,Map!A:A,Map!D:D)</f>
        <v>Current Liabilities</v>
      </c>
    </row>
    <row r="94" spans="1:17" x14ac:dyDescent="0.25">
      <c r="A94" s="42">
        <v>220006</v>
      </c>
      <c r="B94" s="43" t="s">
        <v>909</v>
      </c>
      <c r="C94" s="44">
        <f>SUMIF(ALIF_Y2014!$A:$A,$A94,ALIF_Y2014!$F:$F)</f>
        <v>0</v>
      </c>
      <c r="D94" s="44">
        <f>SUMIF(ALIF_Y2015!$A:$A,$A94,ALIF_Y2015!$F:$F)</f>
        <v>0</v>
      </c>
      <c r="E94" s="44">
        <f>SUMIF(ALIF_Y2016!$A:$A,$A94,ALIF_Y2016!$F:$F)</f>
        <v>0</v>
      </c>
      <c r="F94" s="44">
        <f>SUMIF(ALIF_Y2017!$A:$A,$A94,ALIF_Y2017!$F:$F)</f>
        <v>0</v>
      </c>
      <c r="G94" s="44">
        <f>SUMIF(ALIF_Y2018!$A:$A,$A94,ALIF_Y2018!$F:$F)</f>
        <v>0</v>
      </c>
      <c r="H94" s="44">
        <f>SUMIF(ALIF_Y2019!$A:$A,$A94,ALIF_Y2019!$F:$F)</f>
        <v>-36223842.005999997</v>
      </c>
      <c r="I94" s="44">
        <f>SUMIF(ALIF_Y2020!$A:$A,$A94,ALIF_Y2020!$F:$F)</f>
        <v>-64499587.656000003</v>
      </c>
      <c r="J94" s="44">
        <f>SUMIF(ALIF_Y2021!$A:$A,$A94,ALIF_Y2021!$F:$F)</f>
        <v>-31884129.958000001</v>
      </c>
      <c r="K94" s="44">
        <f>SUMIF(ALIF_Y2022!$A:$A,$A94,ALIF_Y2022!$F:$F)</f>
        <v>-36069107.965999998</v>
      </c>
      <c r="L94" s="44">
        <f>SUMIF(ALIF_Y2023!$A:$A,$A94,ALIF_Y2023!$F:$F)</f>
        <v>-55545535.424000002</v>
      </c>
      <c r="M94" s="44">
        <f>SUMIF(ALIF_Y2024!$A:$A,$A94,ALIF_Y2024!$F:$F)</f>
        <v>-39496505.284999996</v>
      </c>
      <c r="N94" s="44">
        <f>SUMIF(ALIF_Y2025!$A:$A,$A94,ALIF_Y2025!$F:$F)</f>
        <v>-65642381.278999999</v>
      </c>
      <c r="O94" s="44">
        <f>SUMIF(TB_Input_Alif!$A:$A,$A94,TB_Input_Alif!$F:$F)</f>
        <v>-58507443.848999999</v>
      </c>
      <c r="P94" s="43" t="str">
        <f>_xlfn.XLOOKUP(A94,Map!A:A,Map!E:E)</f>
        <v>Short-term Murabaha loans</v>
      </c>
      <c r="Q94" s="43" t="str">
        <f>_xlfn.XLOOKUP(A94,Map!A:A,Map!D:D)</f>
        <v>Current Liabilities</v>
      </c>
    </row>
    <row r="95" spans="1:17" x14ac:dyDescent="0.25">
      <c r="A95" s="42">
        <v>220007</v>
      </c>
      <c r="B95" s="43" t="s">
        <v>910</v>
      </c>
      <c r="C95" s="44">
        <f>SUMIF(ALIF_Y2014!$A:$A,$A95,ALIF_Y2014!$F:$F)</f>
        <v>0</v>
      </c>
      <c r="D95" s="44">
        <f>SUMIF(ALIF_Y2015!$A:$A,$A95,ALIF_Y2015!$F:$F)</f>
        <v>0</v>
      </c>
      <c r="E95" s="44">
        <f>SUMIF(ALIF_Y2016!$A:$A,$A95,ALIF_Y2016!$F:$F)</f>
        <v>0</v>
      </c>
      <c r="F95" s="44">
        <f>SUMIF(ALIF_Y2017!$A:$A,$A95,ALIF_Y2017!$F:$F)</f>
        <v>0</v>
      </c>
      <c r="G95" s="44">
        <f>SUMIF(ALIF_Y2018!$A:$A,$A95,ALIF_Y2018!$F:$F)</f>
        <v>0</v>
      </c>
      <c r="H95" s="44">
        <f>SUMIF(ALIF_Y2019!$A:$A,$A95,ALIF_Y2019!$F:$F)</f>
        <v>0</v>
      </c>
      <c r="I95" s="44">
        <f>SUMIF(ALIF_Y2020!$A:$A,$A95,ALIF_Y2020!$F:$F)</f>
        <v>0</v>
      </c>
      <c r="J95" s="44">
        <f>SUMIF(ALIF_Y2021!$A:$A,$A95,ALIF_Y2021!$F:$F)</f>
        <v>0</v>
      </c>
      <c r="K95" s="44">
        <f>SUMIF(ALIF_Y2022!$A:$A,$A95,ALIF_Y2022!$F:$F)</f>
        <v>0</v>
      </c>
      <c r="L95" s="44">
        <f>SUMIF(ALIF_Y2023!$A:$A,$A95,ALIF_Y2023!$F:$F)</f>
        <v>0</v>
      </c>
      <c r="M95" s="44">
        <f>SUMIF(ALIF_Y2024!$A:$A,$A95,ALIF_Y2024!$F:$F)</f>
        <v>1E-3</v>
      </c>
      <c r="N95" s="44">
        <f>SUMIF(ALIF_Y2025!$A:$A,$A95,ALIF_Y2025!$F:$F)</f>
        <v>1E-3</v>
      </c>
      <c r="O95" s="44">
        <f>SUMIF(TB_Input_Alif!$A:$A,$A95,TB_Input_Alif!$F:$F)</f>
        <v>1E-3</v>
      </c>
      <c r="P95" s="43" t="str">
        <f>_xlfn.XLOOKUP(A95,Map!A:A,Map!E:E)</f>
        <v>Short-term Murabaha loans</v>
      </c>
      <c r="Q95" s="43" t="str">
        <f>_xlfn.XLOOKUP(A95,Map!A:A,Map!D:D)</f>
        <v>Current Liabilities</v>
      </c>
    </row>
    <row r="96" spans="1:17" x14ac:dyDescent="0.25">
      <c r="A96" s="42">
        <v>230001</v>
      </c>
      <c r="B96" s="43" t="s">
        <v>911</v>
      </c>
      <c r="C96" s="44">
        <f>SUMIF(ALIF_Y2014!$A:$A,$A96,ALIF_Y2014!$F:$F)</f>
        <v>0</v>
      </c>
      <c r="D96" s="44">
        <f>SUMIF(ALIF_Y2015!$A:$A,$A96,ALIF_Y2015!$F:$F)</f>
        <v>0</v>
      </c>
      <c r="E96" s="44">
        <f>SUMIF(ALIF_Y2016!$A:$A,$A96,ALIF_Y2016!$F:$F)</f>
        <v>-2E-3</v>
      </c>
      <c r="F96" s="44">
        <f>SUMIF(ALIF_Y2017!$A:$A,$A96,ALIF_Y2017!$F:$F)</f>
        <v>0</v>
      </c>
      <c r="G96" s="44">
        <f>SUMIF(ALIF_Y2018!$A:$A,$A96,ALIF_Y2018!$F:$F)</f>
        <v>0</v>
      </c>
      <c r="H96" s="44">
        <f>SUMIF(ALIF_Y2019!$A:$A,$A96,ALIF_Y2019!$F:$F)</f>
        <v>518372.10499999998</v>
      </c>
      <c r="I96" s="44">
        <f>SUMIF(ALIF_Y2020!$A:$A,$A96,ALIF_Y2020!$F:$F)</f>
        <v>0</v>
      </c>
      <c r="J96" s="44">
        <f>SUMIF(ALIF_Y2021!$A:$A,$A96,ALIF_Y2021!$F:$F)</f>
        <v>0</v>
      </c>
      <c r="K96" s="44">
        <f>SUMIF(ALIF_Y2022!$A:$A,$A96,ALIF_Y2022!$F:$F)</f>
        <v>0</v>
      </c>
      <c r="L96" s="44">
        <f>SUMIF(ALIF_Y2023!$A:$A,$A96,ALIF_Y2023!$F:$F)</f>
        <v>0</v>
      </c>
      <c r="M96" s="44">
        <f>SUMIF(ALIF_Y2024!$A:$A,$A96,ALIF_Y2024!$F:$F)</f>
        <v>0</v>
      </c>
      <c r="N96" s="44">
        <f>SUMIF(ALIF_Y2025!$A:$A,$A96,ALIF_Y2025!$F:$F)</f>
        <v>-2353398.2510000002</v>
      </c>
      <c r="O96" s="44">
        <f>SUMIF(TB_Input_Alif!$A:$A,$A96,TB_Input_Alif!$F:$F)</f>
        <v>-6372035.983</v>
      </c>
      <c r="P96" s="43" t="str">
        <f>_xlfn.XLOOKUP(A96,Map!A:A,Map!E:E)</f>
        <v>Tade payables and Accuals &amp; other credit balances</v>
      </c>
      <c r="Q96" s="43" t="str">
        <f>_xlfn.XLOOKUP(A96,Map!A:A,Map!D:D)</f>
        <v>Current Liabilities</v>
      </c>
    </row>
    <row r="97" spans="1:17" x14ac:dyDescent="0.25">
      <c r="A97" s="42">
        <v>240001</v>
      </c>
      <c r="B97" s="43" t="s">
        <v>912</v>
      </c>
      <c r="C97" s="44">
        <f>SUMIF(ALIF_Y2014!$A:$A,$A97,ALIF_Y2014!$F:$F)</f>
        <v>4.0000000000000001E-3</v>
      </c>
      <c r="D97" s="44">
        <f>SUMIF(ALIF_Y2015!$A:$A,$A97,ALIF_Y2015!$F:$F)</f>
        <v>0</v>
      </c>
      <c r="E97" s="44">
        <f>SUMIF(ALIF_Y2016!$A:$A,$A97,ALIF_Y2016!$F:$F)</f>
        <v>-6.0000000000000001E-3</v>
      </c>
      <c r="F97" s="44">
        <f>SUMIF(ALIF_Y2017!$A:$A,$A97,ALIF_Y2017!$F:$F)</f>
        <v>0</v>
      </c>
      <c r="G97" s="44">
        <f>SUMIF(ALIF_Y2018!$A:$A,$A97,ALIF_Y2018!$F:$F)</f>
        <v>0</v>
      </c>
      <c r="H97" s="44">
        <f>SUMIF(ALIF_Y2019!$A:$A,$A97,ALIF_Y2019!$F:$F)</f>
        <v>3.0000000000000001E-3</v>
      </c>
      <c r="I97" s="44">
        <f>SUMIF(ALIF_Y2020!$A:$A,$A97,ALIF_Y2020!$F:$F)</f>
        <v>0</v>
      </c>
      <c r="J97" s="44">
        <f>SUMIF(ALIF_Y2021!$A:$A,$A97,ALIF_Y2021!$F:$F)</f>
        <v>0</v>
      </c>
      <c r="K97" s="44">
        <f>SUMIF(ALIF_Y2022!$A:$A,$A97,ALIF_Y2022!$F:$F)</f>
        <v>0</v>
      </c>
      <c r="L97" s="44">
        <f>SUMIF(ALIF_Y2023!$A:$A,$A97,ALIF_Y2023!$F:$F)</f>
        <v>67499.61</v>
      </c>
      <c r="M97" s="44">
        <f>SUMIF(ALIF_Y2024!$A:$A,$A97,ALIF_Y2024!$F:$F)</f>
        <v>103568.52499999999</v>
      </c>
      <c r="N97" s="44">
        <f>SUMIF(ALIF_Y2025!$A:$A,$A97,ALIF_Y2025!$F:$F)</f>
        <v>264587.57799999998</v>
      </c>
      <c r="O97" s="44">
        <f>SUMIF(TB_Input_Alif!$A:$A,$A97,TB_Input_Alif!$F:$F)</f>
        <v>146190.08199999999</v>
      </c>
      <c r="P97" s="43" t="str">
        <f>_xlfn.XLOOKUP(A97,Map!A:A,Map!E:E)</f>
        <v>Tade payables and Accuals &amp; other credit balances</v>
      </c>
      <c r="Q97" s="43" t="str">
        <f>_xlfn.XLOOKUP(A97,Map!A:A,Map!D:D)</f>
        <v>Current Liabilities</v>
      </c>
    </row>
    <row r="98" spans="1:17" x14ac:dyDescent="0.25">
      <c r="A98" s="42">
        <v>240002</v>
      </c>
      <c r="B98" s="43" t="s">
        <v>913</v>
      </c>
      <c r="C98" s="44">
        <f>SUMIF(ALIF_Y2014!$A:$A,$A98,ALIF_Y2014!$F:$F)</f>
        <v>0</v>
      </c>
      <c r="D98" s="44">
        <f>SUMIF(ALIF_Y2015!$A:$A,$A98,ALIF_Y2015!$F:$F)</f>
        <v>648727</v>
      </c>
      <c r="E98" s="44">
        <f>SUMIF(ALIF_Y2016!$A:$A,$A98,ALIF_Y2016!$F:$F)</f>
        <v>0</v>
      </c>
      <c r="F98" s="44">
        <f>SUMIF(ALIF_Y2017!$A:$A,$A98,ALIF_Y2017!$F:$F)</f>
        <v>0</v>
      </c>
      <c r="G98" s="44">
        <f>SUMIF(ALIF_Y2018!$A:$A,$A98,ALIF_Y2018!$F:$F)</f>
        <v>845508</v>
      </c>
      <c r="H98" s="44">
        <f>SUMIF(ALIF_Y2019!$A:$A,$A98,ALIF_Y2019!$F:$F)</f>
        <v>0</v>
      </c>
      <c r="I98" s="44">
        <f>SUMIF(ALIF_Y2020!$A:$A,$A98,ALIF_Y2020!$F:$F)</f>
        <v>0</v>
      </c>
      <c r="J98" s="44">
        <f>SUMIF(ALIF_Y2021!$A:$A,$A98,ALIF_Y2021!$F:$F)</f>
        <v>0</v>
      </c>
      <c r="K98" s="44">
        <f>SUMIF(ALIF_Y2022!$A:$A,$A98,ALIF_Y2022!$F:$F)</f>
        <v>0</v>
      </c>
      <c r="L98" s="44">
        <f>SUMIF(ALIF_Y2023!$A:$A,$A98,ALIF_Y2023!$F:$F)</f>
        <v>0</v>
      </c>
      <c r="M98" s="44">
        <f>SUMIF(ALIF_Y2024!$A:$A,$A98,ALIF_Y2024!$F:$F)</f>
        <v>443</v>
      </c>
      <c r="N98" s="44">
        <f>SUMIF(ALIF_Y2025!$A:$A,$A98,ALIF_Y2025!$F:$F)</f>
        <v>443</v>
      </c>
      <c r="O98" s="44">
        <f>SUMIF(TB_Input_Alif!$A:$A,$A98,TB_Input_Alif!$F:$F)</f>
        <v>0</v>
      </c>
      <c r="P98" s="43" t="str">
        <f>_xlfn.XLOOKUP(A98,Map!A:A,Map!E:E)</f>
        <v>Tade payables and Accuals &amp; other credit balances</v>
      </c>
      <c r="Q98" s="43" t="str">
        <f>_xlfn.XLOOKUP(A98,Map!A:A,Map!D:D)</f>
        <v>Current Liabilities</v>
      </c>
    </row>
    <row r="99" spans="1:17" x14ac:dyDescent="0.25">
      <c r="A99" s="42">
        <v>240003</v>
      </c>
      <c r="B99" s="43" t="s">
        <v>914</v>
      </c>
      <c r="C99" s="44">
        <f>SUMIF(ALIF_Y2014!$A:$A,$A99,ALIF_Y2014!$F:$F)</f>
        <v>0</v>
      </c>
      <c r="D99" s="44">
        <f>SUMIF(ALIF_Y2015!$A:$A,$A99,ALIF_Y2015!$F:$F)</f>
        <v>0</v>
      </c>
      <c r="E99" s="44">
        <f>SUMIF(ALIF_Y2016!$A:$A,$A99,ALIF_Y2016!$F:$F)</f>
        <v>0</v>
      </c>
      <c r="F99" s="44">
        <f>SUMIF(ALIF_Y2017!$A:$A,$A99,ALIF_Y2017!$F:$F)</f>
        <v>0</v>
      </c>
      <c r="G99" s="44">
        <f>SUMIF(ALIF_Y2018!$A:$A,$A99,ALIF_Y2018!$F:$F)</f>
        <v>0</v>
      </c>
      <c r="H99" s="44">
        <f>SUMIF(ALIF_Y2019!$A:$A,$A99,ALIF_Y2019!$F:$F)</f>
        <v>-1874374</v>
      </c>
      <c r="I99" s="44">
        <f>SUMIF(ALIF_Y2020!$A:$A,$A99,ALIF_Y2020!$F:$F)</f>
        <v>-1823243.5660000001</v>
      </c>
      <c r="J99" s="44">
        <f>SUMIF(ALIF_Y2021!$A:$A,$A99,ALIF_Y2021!$F:$F)</f>
        <v>-1711827.0260000001</v>
      </c>
      <c r="K99" s="44">
        <f>SUMIF(ALIF_Y2022!$A:$A,$A99,ALIF_Y2022!$F:$F)</f>
        <v>-1596797.0260000001</v>
      </c>
      <c r="L99" s="44">
        <f>SUMIF(ALIF_Y2023!$A:$A,$A99,ALIF_Y2023!$F:$F)</f>
        <v>-1505845.0689999999</v>
      </c>
      <c r="M99" s="44">
        <f>SUMIF(ALIF_Y2024!$A:$A,$A99,ALIF_Y2024!$F:$F)</f>
        <v>-1399831.0689999999</v>
      </c>
      <c r="N99" s="44">
        <f>SUMIF(ALIF_Y2025!$A:$A,$A99,ALIF_Y2025!$F:$F)</f>
        <v>-2585822.0490000001</v>
      </c>
      <c r="O99" s="44">
        <f>SUMIF(TB_Input_Alif!$A:$A,$A99,TB_Input_Alif!$F:$F)</f>
        <v>-1165712.719</v>
      </c>
      <c r="P99" s="43" t="str">
        <f>_xlfn.XLOOKUP(A99,Map!A:A,Map!E:E)</f>
        <v xml:space="preserve">Lease liabilities non-current </v>
      </c>
      <c r="Q99" s="43" t="str">
        <f>_xlfn.XLOOKUP(A99,Map!A:A,Map!D:D)</f>
        <v>Non-Current Liabilities</v>
      </c>
    </row>
    <row r="100" spans="1:17" x14ac:dyDescent="0.25">
      <c r="A100" s="42">
        <v>250001</v>
      </c>
      <c r="B100" s="43" t="s">
        <v>915</v>
      </c>
      <c r="C100" s="44">
        <f>SUMIF(ALIF_Y2014!$A:$A,$A100,ALIF_Y2014!$F:$F)</f>
        <v>0</v>
      </c>
      <c r="D100" s="44">
        <f>SUMIF(ALIF_Y2015!$A:$A,$A100,ALIF_Y2015!$F:$F)</f>
        <v>0</v>
      </c>
      <c r="E100" s="44">
        <f>SUMIF(ALIF_Y2016!$A:$A,$A100,ALIF_Y2016!$F:$F)</f>
        <v>0</v>
      </c>
      <c r="F100" s="44">
        <f>SUMIF(ALIF_Y2017!$A:$A,$A100,ALIF_Y2017!$F:$F)</f>
        <v>0</v>
      </c>
      <c r="G100" s="44">
        <f>SUMIF(ALIF_Y2018!$A:$A,$A100,ALIF_Y2018!$F:$F)</f>
        <v>0</v>
      </c>
      <c r="H100" s="44">
        <f>SUMIF(ALIF_Y2019!$A:$A,$A100,ALIF_Y2019!$F:$F)</f>
        <v>0</v>
      </c>
      <c r="I100" s="44">
        <f>SUMIF(ALIF_Y2020!$A:$A,$A100,ALIF_Y2020!$F:$F)</f>
        <v>0</v>
      </c>
      <c r="J100" s="44">
        <f>SUMIF(ALIF_Y2021!$A:$A,$A100,ALIF_Y2021!$F:$F)</f>
        <v>0</v>
      </c>
      <c r="K100" s="44">
        <f>SUMIF(ALIF_Y2022!$A:$A,$A100,ALIF_Y2022!$F:$F)</f>
        <v>0</v>
      </c>
      <c r="L100" s="44">
        <f>SUMIF(ALIF_Y2023!$A:$A,$A100,ALIF_Y2023!$F:$F)</f>
        <v>0</v>
      </c>
      <c r="M100" s="44">
        <f>SUMIF(ALIF_Y2024!$A:$A,$A100,ALIF_Y2024!$F:$F)</f>
        <v>-51677</v>
      </c>
      <c r="N100" s="44">
        <f>SUMIF(ALIF_Y2025!$A:$A,$A100,ALIF_Y2025!$F:$F)</f>
        <v>-52113.19</v>
      </c>
      <c r="O100" s="44">
        <f>SUMIF(TB_Input_Alif!$A:$A,$A100,TB_Input_Alif!$F:$F)</f>
        <v>-74130.277000000002</v>
      </c>
      <c r="P100" s="43" t="str">
        <f>_xlfn.XLOOKUP(A100,Map!A:A,Map!E:E)</f>
        <v>Tade payables and Accuals &amp; other credit balances</v>
      </c>
      <c r="Q100" s="43" t="str">
        <f>_xlfn.XLOOKUP(A100,Map!A:A,Map!D:D)</f>
        <v>Current Liabilities</v>
      </c>
    </row>
    <row r="101" spans="1:17" x14ac:dyDescent="0.25">
      <c r="A101" s="42">
        <v>250002</v>
      </c>
      <c r="B101" s="43" t="s">
        <v>916</v>
      </c>
      <c r="C101" s="44">
        <f>SUMIF(ALIF_Y2014!$A:$A,$A101,ALIF_Y2014!$F:$F)</f>
        <v>-150000</v>
      </c>
      <c r="D101" s="44">
        <f>SUMIF(ALIF_Y2015!$A:$A,$A101,ALIF_Y2015!$F:$F)</f>
        <v>-150000</v>
      </c>
      <c r="E101" s="44">
        <f>SUMIF(ALIF_Y2016!$A:$A,$A101,ALIF_Y2016!$F:$F)</f>
        <v>0</v>
      </c>
      <c r="F101" s="44">
        <f>SUMIF(ALIF_Y2017!$A:$A,$A101,ALIF_Y2017!$F:$F)</f>
        <v>0</v>
      </c>
      <c r="G101" s="44">
        <f>SUMIF(ALIF_Y2018!$A:$A,$A101,ALIF_Y2018!$F:$F)</f>
        <v>0</v>
      </c>
      <c r="H101" s="44">
        <f>SUMIF(ALIF_Y2019!$A:$A,$A101,ALIF_Y2019!$F:$F)</f>
        <v>0</v>
      </c>
      <c r="I101" s="44">
        <f>SUMIF(ALIF_Y2020!$A:$A,$A101,ALIF_Y2020!$F:$F)</f>
        <v>0</v>
      </c>
      <c r="J101" s="44">
        <f>SUMIF(ALIF_Y2021!$A:$A,$A101,ALIF_Y2021!$F:$F)</f>
        <v>0</v>
      </c>
      <c r="K101" s="44">
        <f>SUMIF(ALIF_Y2022!$A:$A,$A101,ALIF_Y2022!$F:$F)</f>
        <v>0</v>
      </c>
      <c r="L101" s="44">
        <f>SUMIF(ALIF_Y2023!$A:$A,$A101,ALIF_Y2023!$F:$F)</f>
        <v>0</v>
      </c>
      <c r="M101" s="44">
        <f>SUMIF(ALIF_Y2024!$A:$A,$A101,ALIF_Y2024!$F:$F)</f>
        <v>0</v>
      </c>
      <c r="N101" s="44">
        <f>SUMIF(ALIF_Y2025!$A:$A,$A101,ALIF_Y2025!$F:$F)</f>
        <v>0</v>
      </c>
      <c r="O101" s="44">
        <f>SUMIF(TB_Input_Alif!$A:$A,$A101,TB_Input_Alif!$F:$F)</f>
        <v>0</v>
      </c>
      <c r="P101" s="43" t="str">
        <f>_xlfn.XLOOKUP(A101,Map!A:A,Map!E:E)</f>
        <v>Tade payables and Accuals &amp; other credit balances</v>
      </c>
      <c r="Q101" s="43" t="str">
        <f>_xlfn.XLOOKUP(A101,Map!A:A,Map!D:D)</f>
        <v>Current Liabilities</v>
      </c>
    </row>
    <row r="102" spans="1:17" x14ac:dyDescent="0.25">
      <c r="A102" s="42">
        <v>250003</v>
      </c>
      <c r="B102" s="43" t="s">
        <v>917</v>
      </c>
      <c r="C102" s="44">
        <f>SUMIF(ALIF_Y2014!$A:$A,$A102,ALIF_Y2014!$F:$F)</f>
        <v>-1537200</v>
      </c>
      <c r="D102" s="44">
        <f>SUMIF(ALIF_Y2015!$A:$A,$A102,ALIF_Y2015!$F:$F)</f>
        <v>-1365110</v>
      </c>
      <c r="E102" s="44">
        <f>SUMIF(ALIF_Y2016!$A:$A,$A102,ALIF_Y2016!$F:$F)</f>
        <v>-1200000</v>
      </c>
      <c r="F102" s="44">
        <f>SUMIF(ALIF_Y2017!$A:$A,$A102,ALIF_Y2017!$F:$F)</f>
        <v>-1119039</v>
      </c>
      <c r="G102" s="44">
        <f>SUMIF(ALIF_Y2018!$A:$A,$A102,ALIF_Y2018!$F:$F)</f>
        <v>-1150000.5</v>
      </c>
      <c r="H102" s="44">
        <f>SUMIF(ALIF_Y2019!$A:$A,$A102,ALIF_Y2019!$F:$F)</f>
        <v>-983057</v>
      </c>
      <c r="I102" s="44">
        <f>SUMIF(ALIF_Y2020!$A:$A,$A102,ALIF_Y2020!$F:$F)</f>
        <v>-644386</v>
      </c>
      <c r="J102" s="44">
        <f>SUMIF(ALIF_Y2021!$A:$A,$A102,ALIF_Y2021!$F:$F)</f>
        <v>0</v>
      </c>
      <c r="K102" s="44">
        <f>SUMIF(ALIF_Y2022!$A:$A,$A102,ALIF_Y2022!$F:$F)</f>
        <v>0</v>
      </c>
      <c r="L102" s="44">
        <f>SUMIF(ALIF_Y2023!$A:$A,$A102,ALIF_Y2023!$F:$F)</f>
        <v>-968047.97</v>
      </c>
      <c r="M102" s="44">
        <f>SUMIF(ALIF_Y2024!$A:$A,$A102,ALIF_Y2024!$F:$F)</f>
        <v>0</v>
      </c>
      <c r="N102" s="44">
        <f>SUMIF(ALIF_Y2025!$A:$A,$A102,ALIF_Y2025!$F:$F)</f>
        <v>0</v>
      </c>
      <c r="O102" s="44">
        <f>SUMIF(TB_Input_Alif!$A:$A,$A102,TB_Input_Alif!$F:$F)</f>
        <v>0</v>
      </c>
      <c r="P102" s="43" t="str">
        <f>_xlfn.XLOOKUP(A102,Map!A:A,Map!E:E)</f>
        <v>Zakat provision</v>
      </c>
      <c r="Q102" s="43" t="str">
        <f>_xlfn.XLOOKUP(A102,Map!A:A,Map!D:D)</f>
        <v>Current Liabilities</v>
      </c>
    </row>
    <row r="103" spans="1:17" x14ac:dyDescent="0.25">
      <c r="A103" s="42">
        <v>250004</v>
      </c>
      <c r="B103" s="43" t="s">
        <v>918</v>
      </c>
      <c r="C103" s="44">
        <f>SUMIF(ALIF_Y2014!$A:$A,$A103,ALIF_Y2014!$F:$F)</f>
        <v>-1200000</v>
      </c>
      <c r="D103" s="44">
        <f>SUMIF(ALIF_Y2015!$A:$A,$A103,ALIF_Y2015!$F:$F)</f>
        <v>-720000</v>
      </c>
      <c r="E103" s="44">
        <f>SUMIF(ALIF_Y2016!$A:$A,$A103,ALIF_Y2016!$F:$F)</f>
        <v>0</v>
      </c>
      <c r="F103" s="44">
        <f>SUMIF(ALIF_Y2017!$A:$A,$A103,ALIF_Y2017!$F:$F)</f>
        <v>0</v>
      </c>
      <c r="G103" s="44">
        <f>SUMIF(ALIF_Y2018!$A:$A,$A103,ALIF_Y2018!$F:$F)</f>
        <v>0</v>
      </c>
      <c r="H103" s="44">
        <f>SUMIF(ALIF_Y2019!$A:$A,$A103,ALIF_Y2019!$F:$F)</f>
        <v>0</v>
      </c>
      <c r="I103" s="44">
        <f>SUMIF(ALIF_Y2020!$A:$A,$A103,ALIF_Y2020!$F:$F)</f>
        <v>0</v>
      </c>
      <c r="J103" s="44">
        <f>SUMIF(ALIF_Y2021!$A:$A,$A103,ALIF_Y2021!$F:$F)</f>
        <v>-1108800</v>
      </c>
      <c r="K103" s="44">
        <f>SUMIF(ALIF_Y2022!$A:$A,$A103,ALIF_Y2022!$F:$F)</f>
        <v>0</v>
      </c>
      <c r="L103" s="44">
        <f>SUMIF(ALIF_Y2023!$A:$A,$A103,ALIF_Y2023!$F:$F)</f>
        <v>0</v>
      </c>
      <c r="M103" s="44">
        <f>SUMIF(ALIF_Y2024!$A:$A,$A103,ALIF_Y2024!$F:$F)</f>
        <v>0</v>
      </c>
      <c r="N103" s="44">
        <f>SUMIF(ALIF_Y2025!$A:$A,$A103,ALIF_Y2025!$F:$F)</f>
        <v>0</v>
      </c>
      <c r="O103" s="44">
        <f>SUMIF(TB_Input_Alif!$A:$A,$A103,TB_Input_Alif!$F:$F)</f>
        <v>0</v>
      </c>
      <c r="P103" s="43" t="str">
        <f>_xlfn.XLOOKUP(A103,Map!A:A,Map!E:E)</f>
        <v>Tade payables and Accuals &amp; other credit balances</v>
      </c>
      <c r="Q103" s="43" t="str">
        <f>_xlfn.XLOOKUP(A103,Map!A:A,Map!D:D)</f>
        <v>Current Liabilities</v>
      </c>
    </row>
    <row r="104" spans="1:17" x14ac:dyDescent="0.25">
      <c r="A104" s="42">
        <v>250005</v>
      </c>
      <c r="B104" s="43" t="s">
        <v>919</v>
      </c>
      <c r="C104" s="44">
        <f>SUMIF(ALIF_Y2014!$A:$A,$A104,ALIF_Y2014!$F:$F)</f>
        <v>-50000</v>
      </c>
      <c r="D104" s="44">
        <f>SUMIF(ALIF_Y2015!$A:$A,$A104,ALIF_Y2015!$F:$F)</f>
        <v>-62000</v>
      </c>
      <c r="E104" s="44">
        <f>SUMIF(ALIF_Y2016!$A:$A,$A104,ALIF_Y2016!$F:$F)</f>
        <v>-50000</v>
      </c>
      <c r="F104" s="44">
        <f>SUMIF(ALIF_Y2017!$A:$A,$A104,ALIF_Y2017!$F:$F)</f>
        <v>-55000</v>
      </c>
      <c r="G104" s="44">
        <f>SUMIF(ALIF_Y2018!$A:$A,$A104,ALIF_Y2018!$F:$F)</f>
        <v>-118000</v>
      </c>
      <c r="H104" s="44">
        <f>SUMIF(ALIF_Y2019!$A:$A,$A104,ALIF_Y2019!$F:$F)</f>
        <v>-66150</v>
      </c>
      <c r="I104" s="44">
        <f>SUMIF(ALIF_Y2020!$A:$A,$A104,ALIF_Y2020!$F:$F)</f>
        <v>-28500</v>
      </c>
      <c r="J104" s="44">
        <f>SUMIF(ALIF_Y2021!$A:$A,$A104,ALIF_Y2021!$F:$F)</f>
        <v>-2673047.75</v>
      </c>
      <c r="K104" s="44">
        <f>SUMIF(ALIF_Y2022!$A:$A,$A104,ALIF_Y2022!$F:$F)</f>
        <v>0</v>
      </c>
      <c r="L104" s="44">
        <f>SUMIF(ALIF_Y2023!$A:$A,$A104,ALIF_Y2023!$F:$F)</f>
        <v>0</v>
      </c>
      <c r="M104" s="44">
        <f>SUMIF(ALIF_Y2024!$A:$A,$A104,ALIF_Y2024!$F:$F)</f>
        <v>-430386.94400000002</v>
      </c>
      <c r="N104" s="44">
        <f>SUMIF(ALIF_Y2025!$A:$A,$A104,ALIF_Y2025!$F:$F)</f>
        <v>-432076.72</v>
      </c>
      <c r="O104" s="44">
        <f>SUMIF(TB_Input_Alif!$A:$A,$A104,TB_Input_Alif!$F:$F)</f>
        <v>-822937.446</v>
      </c>
      <c r="P104" s="43" t="str">
        <f>_xlfn.XLOOKUP(A104,Map!A:A,Map!E:E)</f>
        <v>Tade payables and Accuals &amp; other credit balances</v>
      </c>
      <c r="Q104" s="43" t="str">
        <f>_xlfn.XLOOKUP(A104,Map!A:A,Map!D:D)</f>
        <v>Current Liabilities</v>
      </c>
    </row>
    <row r="105" spans="1:17" x14ac:dyDescent="0.25">
      <c r="A105" s="42">
        <v>250006</v>
      </c>
      <c r="B105" s="43" t="s">
        <v>920</v>
      </c>
      <c r="C105" s="44">
        <f>SUMIF(ALIF_Y2014!$A:$A,$A105,ALIF_Y2014!$F:$F)</f>
        <v>0</v>
      </c>
      <c r="D105" s="44">
        <f>SUMIF(ALIF_Y2015!$A:$A,$A105,ALIF_Y2015!$F:$F)</f>
        <v>0</v>
      </c>
      <c r="E105" s="44">
        <f>SUMIF(ALIF_Y2016!$A:$A,$A105,ALIF_Y2016!$F:$F)</f>
        <v>0</v>
      </c>
      <c r="F105" s="44">
        <f>SUMIF(ALIF_Y2017!$A:$A,$A105,ALIF_Y2017!$F:$F)</f>
        <v>0</v>
      </c>
      <c r="G105" s="44">
        <f>SUMIF(ALIF_Y2018!$A:$A,$A105,ALIF_Y2018!$F:$F)</f>
        <v>0</v>
      </c>
      <c r="H105" s="44">
        <f>SUMIF(ALIF_Y2019!$A:$A,$A105,ALIF_Y2019!$F:$F)</f>
        <v>0</v>
      </c>
      <c r="I105" s="44">
        <f>SUMIF(ALIF_Y2020!$A:$A,$A105,ALIF_Y2020!$F:$F)</f>
        <v>-388008.67</v>
      </c>
      <c r="J105" s="44">
        <f>SUMIF(ALIF_Y2021!$A:$A,$A105,ALIF_Y2021!$F:$F)</f>
        <v>-449149.70500000002</v>
      </c>
      <c r="K105" s="44">
        <f>SUMIF(ALIF_Y2022!$A:$A,$A105,ALIF_Y2022!$F:$F)</f>
        <v>0</v>
      </c>
      <c r="L105" s="44">
        <f>SUMIF(ALIF_Y2023!$A:$A,$A105,ALIF_Y2023!$F:$F)</f>
        <v>0</v>
      </c>
      <c r="M105" s="44">
        <f>SUMIF(ALIF_Y2024!$A:$A,$A105,ALIF_Y2024!$F:$F)</f>
        <v>0</v>
      </c>
      <c r="N105" s="44">
        <f>SUMIF(ALIF_Y2025!$A:$A,$A105,ALIF_Y2025!$F:$F)</f>
        <v>0</v>
      </c>
      <c r="O105" s="44">
        <f>SUMIF(TB_Input_Alif!$A:$A,$A105,TB_Input_Alif!$F:$F)</f>
        <v>0</v>
      </c>
      <c r="P105" s="43" t="str">
        <f>_xlfn.XLOOKUP(A105,Map!A:A,Map!E:E)</f>
        <v>Tade payables and Accuals &amp; other credit balances</v>
      </c>
      <c r="Q105" s="43" t="str">
        <f>_xlfn.XLOOKUP(A105,Map!A:A,Map!D:D)</f>
        <v>Current Liabilities</v>
      </c>
    </row>
    <row r="106" spans="1:17" x14ac:dyDescent="0.25">
      <c r="A106" s="42">
        <v>260001</v>
      </c>
      <c r="B106" s="43" t="s">
        <v>922</v>
      </c>
      <c r="C106" s="44">
        <f>SUMIF(ALIF_Y2014!$A:$A,$A106,ALIF_Y2014!$F:$F)</f>
        <v>-3512480</v>
      </c>
      <c r="D106" s="44">
        <f>SUMIF(ALIF_Y2015!$A:$A,$A106,ALIF_Y2015!$F:$F)</f>
        <v>-4856327</v>
      </c>
      <c r="E106" s="44">
        <f>SUMIF(ALIF_Y2016!$A:$A,$A106,ALIF_Y2016!$F:$F)</f>
        <v>-5627620</v>
      </c>
      <c r="F106" s="44">
        <f>SUMIF(ALIF_Y2017!$A:$A,$A106,ALIF_Y2017!$F:$F)</f>
        <v>-5627620</v>
      </c>
      <c r="G106" s="44">
        <f>SUMIF(ALIF_Y2018!$A:$A,$A106,ALIF_Y2018!$F:$F)</f>
        <v>-6053397</v>
      </c>
      <c r="H106" s="44">
        <f>SUMIF(ALIF_Y2019!$A:$A,$A106,ALIF_Y2019!$F:$F)</f>
        <v>-6684528</v>
      </c>
      <c r="I106" s="44">
        <f>SUMIF(ALIF_Y2020!$A:$A,$A106,ALIF_Y2020!$F:$F)</f>
        <v>-6684528</v>
      </c>
      <c r="J106" s="44">
        <f>SUMIF(ALIF_Y2021!$A:$A,$A106,ALIF_Y2021!$F:$F)</f>
        <v>-7202958</v>
      </c>
      <c r="K106" s="44">
        <f>SUMIF(ALIF_Y2022!$A:$A,$A106,ALIF_Y2022!$F:$F)</f>
        <v>-7846137</v>
      </c>
      <c r="L106" s="44">
        <f>SUMIF(ALIF_Y2023!$A:$A,$A106,ALIF_Y2023!$F:$F)</f>
        <v>-7846137</v>
      </c>
      <c r="M106" s="44">
        <f>SUMIF(ALIF_Y2024!$A:$A,$A106,ALIF_Y2024!$F:$F)</f>
        <v>-7846137</v>
      </c>
      <c r="N106" s="44">
        <f>SUMIF(ALIF_Y2025!$A:$A,$A106,ALIF_Y2025!$F:$F)</f>
        <v>-7846137</v>
      </c>
      <c r="O106" s="44">
        <f>SUMIF(TB_Input_Alif!$A:$A,$A106,TB_Input_Alif!$F:$F)</f>
        <v>-7846137</v>
      </c>
      <c r="P106" s="43" t="str">
        <f>_xlfn.XLOOKUP(A106,Map!A:A,Map!E:E)</f>
        <v>Statutory reserve</v>
      </c>
      <c r="Q106" s="43" t="str">
        <f>_xlfn.XLOOKUP(A106,Map!A:A,Map!D:D)</f>
        <v>Stockholder's equity</v>
      </c>
    </row>
    <row r="107" spans="1:17" x14ac:dyDescent="0.25">
      <c r="A107" s="42">
        <v>260002</v>
      </c>
      <c r="B107" s="43" t="s">
        <v>923</v>
      </c>
      <c r="C107" s="44">
        <f>SUMIF(ALIF_Y2014!$A:$A,$A107,ALIF_Y2014!$F:$F)</f>
        <v>-2925857.71</v>
      </c>
      <c r="D107" s="44">
        <f>SUMIF(ALIF_Y2015!$A:$A,$A107,ALIF_Y2015!$F:$F)</f>
        <v>-2992687.9419999998</v>
      </c>
      <c r="E107" s="44">
        <f>SUMIF(ALIF_Y2016!$A:$A,$A107,ALIF_Y2016!$F:$F)</f>
        <v>-4649375</v>
      </c>
      <c r="F107" s="44">
        <f>SUMIF(ALIF_Y2017!$A:$A,$A107,ALIF_Y2017!$F:$F)</f>
        <v>-4847761</v>
      </c>
      <c r="G107" s="44">
        <f>SUMIF(ALIF_Y2018!$A:$A,$A107,ALIF_Y2018!$F:$F)</f>
        <v>-4633898</v>
      </c>
      <c r="H107" s="44">
        <f>SUMIF(ALIF_Y2019!$A:$A,$A107,ALIF_Y2019!$F:$F)</f>
        <v>-4294641</v>
      </c>
      <c r="I107" s="44">
        <f>SUMIF(ALIF_Y2020!$A:$A,$A107,ALIF_Y2020!$F:$F)</f>
        <v>-7512895</v>
      </c>
      <c r="J107" s="44">
        <f>SUMIF(ALIF_Y2021!$A:$A,$A107,ALIF_Y2021!$F:$F)</f>
        <v>-6280744</v>
      </c>
      <c r="K107" s="44">
        <f>SUMIF(ALIF_Y2022!$A:$A,$A107,ALIF_Y2022!$F:$F)</f>
        <v>-6809005</v>
      </c>
      <c r="L107" s="44">
        <f>SUMIF(ALIF_Y2023!$A:$A,$A107,ALIF_Y2023!$F:$F)</f>
        <v>-8171258.3200000003</v>
      </c>
      <c r="M107" s="44">
        <f>SUMIF(ALIF_Y2024!$A:$A,$A107,ALIF_Y2024!$F:$F)</f>
        <v>-3409950.92</v>
      </c>
      <c r="N107" s="44">
        <f>SUMIF(ALIF_Y2025!$A:$A,$A107,ALIF_Y2025!$F:$F)</f>
        <v>-4431984.92</v>
      </c>
      <c r="O107" s="44">
        <f>SUMIF(TB_Input_Alif!$A:$A,$A107,TB_Input_Alif!$F:$F)</f>
        <v>-4045880.9920000001</v>
      </c>
      <c r="P107" s="43" t="str">
        <f>_xlfn.XLOOKUP(A107,Map!A:A,Map!E:E)</f>
        <v xml:space="preserve">End-of-service indemnities </v>
      </c>
      <c r="Q107" s="43" t="str">
        <f>_xlfn.XLOOKUP(A107,Map!A:A,Map!D:D)</f>
        <v>Non-Current Liabilities</v>
      </c>
    </row>
    <row r="108" spans="1:17" x14ac:dyDescent="0.25">
      <c r="A108" s="42">
        <v>260003</v>
      </c>
      <c r="B108" s="43" t="s">
        <v>924</v>
      </c>
      <c r="C108" s="44">
        <f>SUMIF(ALIF_Y2014!$A:$A,$A108,ALIF_Y2014!$F:$F)</f>
        <v>-1409581.54</v>
      </c>
      <c r="D108" s="44">
        <f>SUMIF(ALIF_Y2015!$A:$A,$A108,ALIF_Y2015!$F:$F)</f>
        <v>-1409581.54</v>
      </c>
      <c r="E108" s="44">
        <f>SUMIF(ALIF_Y2016!$A:$A,$A108,ALIF_Y2016!$F:$F)</f>
        <v>-3563173.54</v>
      </c>
      <c r="F108" s="44">
        <f>SUMIF(ALIF_Y2017!$A:$A,$A108,ALIF_Y2017!$F:$F)</f>
        <v>-3563173.54</v>
      </c>
      <c r="G108" s="44">
        <f>SUMIF(ALIF_Y2018!$A:$A,$A108,ALIF_Y2018!$F:$F)</f>
        <v>-3407320.1</v>
      </c>
      <c r="H108" s="44">
        <f>SUMIF(ALIF_Y2019!$A:$A,$A108,ALIF_Y2019!$F:$F)</f>
        <v>-3156727.1</v>
      </c>
      <c r="I108" s="44">
        <f>SUMIF(ALIF_Y2020!$A:$A,$A108,ALIF_Y2020!$F:$F)</f>
        <v>-3482088.0839999998</v>
      </c>
      <c r="J108" s="44">
        <f>SUMIF(ALIF_Y2021!$A:$A,$A108,ALIF_Y2021!$F:$F)</f>
        <v>-3454104.6740000001</v>
      </c>
      <c r="K108" s="44">
        <f>SUMIF(ALIF_Y2022!$A:$A,$A108,ALIF_Y2022!$F:$F)</f>
        <v>-3557438</v>
      </c>
      <c r="L108" s="44">
        <f>SUMIF(ALIF_Y2023!$A:$A,$A108,ALIF_Y2023!$F:$F)</f>
        <v>-12488537.438999999</v>
      </c>
      <c r="M108" s="44">
        <f>SUMIF(ALIF_Y2024!$A:$A,$A108,ALIF_Y2024!$F:$F)</f>
        <v>-7368638.8590000002</v>
      </c>
      <c r="N108" s="44">
        <f>SUMIF(ALIF_Y2025!$A:$A,$A108,ALIF_Y2025!$F:$F)</f>
        <v>-4560353.966</v>
      </c>
      <c r="O108" s="44">
        <f>SUMIF(TB_Input_Alif!$A:$A,$A108,TB_Input_Alif!$F:$F)</f>
        <v>-5398144.966</v>
      </c>
      <c r="P108" s="43" t="str">
        <f>_xlfn.XLOOKUP(A108,Map!A:A,Map!E:E)</f>
        <v>Trade receivables</v>
      </c>
      <c r="Q108" s="43" t="str">
        <f>_xlfn.XLOOKUP(A108,Map!A:A,Map!D:D)</f>
        <v>Current Assets</v>
      </c>
    </row>
    <row r="109" spans="1:17" x14ac:dyDescent="0.25">
      <c r="A109" s="42">
        <v>260004</v>
      </c>
      <c r="B109" s="43" t="s">
        <v>925</v>
      </c>
      <c r="C109" s="44">
        <f>SUMIF(ALIF_Y2014!$A:$A,$A109,ALIF_Y2014!$F:$F)</f>
        <v>0</v>
      </c>
      <c r="D109" s="44">
        <f>SUMIF(ALIF_Y2015!$A:$A,$A109,ALIF_Y2015!$F:$F)</f>
        <v>0</v>
      </c>
      <c r="E109" s="44">
        <f>SUMIF(ALIF_Y2016!$A:$A,$A109,ALIF_Y2016!$F:$F)</f>
        <v>-1121501.433</v>
      </c>
      <c r="F109" s="44">
        <f>SUMIF(ALIF_Y2017!$A:$A,$A109,ALIF_Y2017!$F:$F)</f>
        <v>-1121501.433</v>
      </c>
      <c r="G109" s="44">
        <f>SUMIF(ALIF_Y2018!$A:$A,$A109,ALIF_Y2018!$F:$F)</f>
        <v>-1121501.433</v>
      </c>
      <c r="H109" s="44">
        <f>SUMIF(ALIF_Y2019!$A:$A,$A109,ALIF_Y2019!$F:$F)</f>
        <v>-849296.43299999996</v>
      </c>
      <c r="I109" s="44">
        <f>SUMIF(ALIF_Y2020!$A:$A,$A109,ALIF_Y2020!$F:$F)</f>
        <v>-2000000</v>
      </c>
      <c r="J109" s="44">
        <f>SUMIF(ALIF_Y2021!$A:$A,$A109,ALIF_Y2021!$F:$F)</f>
        <v>0</v>
      </c>
      <c r="K109" s="44">
        <f>SUMIF(ALIF_Y2022!$A:$A,$A109,ALIF_Y2022!$F:$F)</f>
        <v>0</v>
      </c>
      <c r="L109" s="44">
        <f>SUMIF(ALIF_Y2023!$A:$A,$A109,ALIF_Y2023!$F:$F)</f>
        <v>0</v>
      </c>
      <c r="M109" s="44">
        <f>SUMIF(ALIF_Y2024!$A:$A,$A109,ALIF_Y2024!$F:$F)</f>
        <v>0</v>
      </c>
      <c r="N109" s="44">
        <f>SUMIF(ALIF_Y2025!$A:$A,$A109,ALIF_Y2025!$F:$F)</f>
        <v>0</v>
      </c>
      <c r="O109" s="44">
        <f>SUMIF(TB_Input_Alif!$A:$A,$A109,TB_Input_Alif!$F:$F)</f>
        <v>0</v>
      </c>
      <c r="P109" s="43" t="str">
        <f>_xlfn.XLOOKUP(A109,Map!A:A,Map!E:E)</f>
        <v>Inventories</v>
      </c>
      <c r="Q109" s="43" t="str">
        <f>_xlfn.XLOOKUP(A109,Map!A:A,Map!D:D)</f>
        <v>Current Assets</v>
      </c>
    </row>
    <row r="110" spans="1:17" x14ac:dyDescent="0.25">
      <c r="A110" s="42">
        <v>260005</v>
      </c>
      <c r="B110" s="43" t="s">
        <v>926</v>
      </c>
      <c r="C110" s="44">
        <f>SUMIF(ALIF_Y2014!$A:$A,$A110,ALIF_Y2014!$F:$F)</f>
        <v>0</v>
      </c>
      <c r="D110" s="44">
        <f>SUMIF(ALIF_Y2015!$A:$A,$A110,ALIF_Y2015!$F:$F)</f>
        <v>0</v>
      </c>
      <c r="E110" s="44">
        <f>SUMIF(ALIF_Y2016!$A:$A,$A110,ALIF_Y2016!$F:$F)</f>
        <v>0</v>
      </c>
      <c r="F110" s="44">
        <f>SUMIF(ALIF_Y2017!$A:$A,$A110,ALIF_Y2017!$F:$F)</f>
        <v>0</v>
      </c>
      <c r="G110" s="44">
        <f>SUMIF(ALIF_Y2018!$A:$A,$A110,ALIF_Y2018!$F:$F)</f>
        <v>-4000000</v>
      </c>
      <c r="H110" s="44">
        <f>SUMIF(ALIF_Y2019!$A:$A,$A110,ALIF_Y2019!$F:$F)</f>
        <v>-4120000</v>
      </c>
      <c r="I110" s="44">
        <f>SUMIF(ALIF_Y2020!$A:$A,$A110,ALIF_Y2020!$F:$F)</f>
        <v>-4214760</v>
      </c>
      <c r="J110" s="44">
        <f>SUMIF(ALIF_Y2021!$A:$A,$A110,ALIF_Y2021!$F:$F)</f>
        <v>-4329893.1940000001</v>
      </c>
      <c r="K110" s="44">
        <f>SUMIF(ALIF_Y2022!$A:$A,$A110,ALIF_Y2022!$F:$F)</f>
        <v>-4426579.7149999999</v>
      </c>
      <c r="L110" s="44">
        <f>SUMIF(ALIF_Y2023!$A:$A,$A110,ALIF_Y2023!$F:$F)</f>
        <v>-4698371.7089999998</v>
      </c>
      <c r="M110" s="44">
        <f>SUMIF(ALIF_Y2024!$A:$A,$A110,ALIF_Y2024!$F:$F)</f>
        <v>-4807655.8289999999</v>
      </c>
      <c r="N110" s="44">
        <f>SUMIF(ALIF_Y2025!$A:$A,$A110,ALIF_Y2025!$F:$F)</f>
        <v>-4862172.949</v>
      </c>
      <c r="O110" s="44">
        <f>SUMIF(TB_Input_Alif!$A:$A,$A110,TB_Input_Alif!$F:$F)</f>
        <v>-4931250.8490000004</v>
      </c>
      <c r="P110" s="43" t="str">
        <f>_xlfn.XLOOKUP(A110,Map!A:A,Map!E:E)</f>
        <v>Provision for evacuation</v>
      </c>
      <c r="Q110" s="43" t="str">
        <f>_xlfn.XLOOKUP(A110,Map!A:A,Map!D:D)</f>
        <v>Non-Current Liabilities</v>
      </c>
    </row>
    <row r="111" spans="1:17" x14ac:dyDescent="0.25">
      <c r="A111" s="42">
        <v>260006</v>
      </c>
      <c r="B111" s="43" t="s">
        <v>927</v>
      </c>
      <c r="C111" s="44">
        <f>SUMIF(ALIF_Y2014!$A:$A,$A111,ALIF_Y2014!$F:$F)</f>
        <v>0</v>
      </c>
      <c r="D111" s="44">
        <f>SUMIF(ALIF_Y2015!$A:$A,$A111,ALIF_Y2015!$F:$F)</f>
        <v>0</v>
      </c>
      <c r="E111" s="44">
        <f>SUMIF(ALIF_Y2016!$A:$A,$A111,ALIF_Y2016!$F:$F)</f>
        <v>0</v>
      </c>
      <c r="F111" s="44">
        <f>SUMIF(ALIF_Y2017!$A:$A,$A111,ALIF_Y2017!$F:$F)</f>
        <v>0</v>
      </c>
      <c r="G111" s="44">
        <f>SUMIF(ALIF_Y2018!$A:$A,$A111,ALIF_Y2018!$F:$F)</f>
        <v>0</v>
      </c>
      <c r="H111" s="44">
        <f>SUMIF(ALIF_Y2019!$A:$A,$A111,ALIF_Y2019!$F:$F)</f>
        <v>0</v>
      </c>
      <c r="I111" s="44">
        <f>SUMIF(ALIF_Y2020!$A:$A,$A111,ALIF_Y2020!$F:$F)</f>
        <v>0</v>
      </c>
      <c r="J111" s="44">
        <f>SUMIF(ALIF_Y2021!$A:$A,$A111,ALIF_Y2021!$F:$F)</f>
        <v>0</v>
      </c>
      <c r="K111" s="44">
        <f>SUMIF(ALIF_Y2022!$A:$A,$A111,ALIF_Y2022!$F:$F)</f>
        <v>0</v>
      </c>
      <c r="L111" s="44">
        <f>SUMIF(ALIF_Y2023!$A:$A,$A111,ALIF_Y2023!$F:$F)</f>
        <v>0</v>
      </c>
      <c r="M111" s="44">
        <f>SUMIF(ALIF_Y2024!$A:$A,$A111,ALIF_Y2024!$F:$F)</f>
        <v>-539634.05900000001</v>
      </c>
      <c r="N111" s="44">
        <f>SUMIF(ALIF_Y2025!$A:$A,$A111,ALIF_Y2025!$F:$F)</f>
        <v>-1094097.638</v>
      </c>
      <c r="O111" s="44">
        <f>SUMIF(TB_Input_Alif!$A:$A,$A111,TB_Input_Alif!$F:$F)</f>
        <v>-1304798.6359999999</v>
      </c>
      <c r="P111" s="43" t="str">
        <f>_xlfn.XLOOKUP(A111,Map!A:A,Map!E:E)</f>
        <v>Tade payables and Accuals &amp; other credit balances</v>
      </c>
      <c r="Q111" s="43" t="str">
        <f>_xlfn.XLOOKUP(A111,Map!A:A,Map!D:D)</f>
        <v>Current Liabilities</v>
      </c>
    </row>
    <row r="112" spans="1:17" x14ac:dyDescent="0.25">
      <c r="A112" s="42">
        <v>270001</v>
      </c>
      <c r="B112" s="43" t="s">
        <v>929</v>
      </c>
      <c r="C112" s="44">
        <f>SUMIF(ALIF_Y2014!$A:$A,$A112,ALIF_Y2014!$F:$F)</f>
        <v>0</v>
      </c>
      <c r="D112" s="44">
        <f>SUMIF(ALIF_Y2015!$A:$A,$A112,ALIF_Y2015!$F:$F)</f>
        <v>0</v>
      </c>
      <c r="E112" s="44">
        <f>SUMIF(ALIF_Y2016!$A:$A,$A112,ALIF_Y2016!$F:$F)</f>
        <v>0</v>
      </c>
      <c r="F112" s="44">
        <f>SUMIF(ALIF_Y2017!$A:$A,$A112,ALIF_Y2017!$F:$F)</f>
        <v>-31714781.920000002</v>
      </c>
      <c r="G112" s="44">
        <f>SUMIF(ALIF_Y2018!$A:$A,$A112,ALIF_Y2018!$F:$F)</f>
        <v>-7696296.1699999999</v>
      </c>
      <c r="H112" s="44">
        <f>SUMIF(ALIF_Y2019!$A:$A,$A112,ALIF_Y2019!$F:$F)</f>
        <v>-502289.05</v>
      </c>
      <c r="I112" s="44">
        <f>SUMIF(ALIF_Y2020!$A:$A,$A112,ALIF_Y2020!$F:$F)</f>
        <v>166370.04999999999</v>
      </c>
      <c r="J112" s="44">
        <f>SUMIF(ALIF_Y2021!$A:$A,$A112,ALIF_Y2021!$F:$F)</f>
        <v>146154.65599999999</v>
      </c>
      <c r="K112" s="44">
        <f>SUMIF(ALIF_Y2022!$A:$A,$A112,ALIF_Y2022!$F:$F)</f>
        <v>-1098996.6040000001</v>
      </c>
      <c r="L112" s="44">
        <f>SUMIF(ALIF_Y2023!$A:$A,$A112,ALIF_Y2023!$F:$F)</f>
        <v>-3776163</v>
      </c>
      <c r="M112" s="44">
        <f>SUMIF(ALIF_Y2024!$A:$A,$A112,ALIF_Y2024!$F:$F)</f>
        <v>-7409764.79</v>
      </c>
      <c r="N112" s="44">
        <f>SUMIF(ALIF_Y2025!$A:$A,$A112,ALIF_Y2025!$F:$F)</f>
        <v>-29156177.469999999</v>
      </c>
      <c r="O112" s="44">
        <f>SUMIF(TB_Input_Alif!$A:$A,$A112,TB_Input_Alif!$F:$F)</f>
        <v>-99402685.842999995</v>
      </c>
      <c r="P112" s="43" t="str">
        <f>_xlfn.XLOOKUP(A112,Map!A:A,Map!E:E)</f>
        <v xml:space="preserve">Due to related parties </v>
      </c>
      <c r="Q112" s="43" t="str">
        <f>_xlfn.XLOOKUP(A112,Map!A:A,Map!D:D)</f>
        <v>Non-Current Liabilities</v>
      </c>
    </row>
    <row r="113" spans="1:17" x14ac:dyDescent="0.25">
      <c r="A113" s="42">
        <v>270002</v>
      </c>
      <c r="B113" s="43" t="s">
        <v>930</v>
      </c>
      <c r="C113" s="44">
        <f>SUMIF(ALIF_Y2014!$A:$A,$A113,ALIF_Y2014!$F:$F)</f>
        <v>0</v>
      </c>
      <c r="D113" s="44">
        <f>SUMIF(ALIF_Y2015!$A:$A,$A113,ALIF_Y2015!$F:$F)</f>
        <v>0</v>
      </c>
      <c r="E113" s="44">
        <f>SUMIF(ALIF_Y2016!$A:$A,$A113,ALIF_Y2016!$F:$F)</f>
        <v>0</v>
      </c>
      <c r="F113" s="44">
        <f>SUMIF(ALIF_Y2017!$A:$A,$A113,ALIF_Y2017!$F:$F)</f>
        <v>0</v>
      </c>
      <c r="G113" s="44">
        <f>SUMIF(ALIF_Y2018!$A:$A,$A113,ALIF_Y2018!$F:$F)</f>
        <v>0</v>
      </c>
      <c r="H113" s="44">
        <f>SUMIF(ALIF_Y2019!$A:$A,$A113,ALIF_Y2019!$F:$F)</f>
        <v>0</v>
      </c>
      <c r="I113" s="44">
        <f>SUMIF(ALIF_Y2020!$A:$A,$A113,ALIF_Y2020!$F:$F)</f>
        <v>0</v>
      </c>
      <c r="J113" s="44">
        <f>SUMIF(ALIF_Y2021!$A:$A,$A113,ALIF_Y2021!$F:$F)</f>
        <v>0</v>
      </c>
      <c r="K113" s="44">
        <f>SUMIF(ALIF_Y2022!$A:$A,$A113,ALIF_Y2022!$F:$F)</f>
        <v>0</v>
      </c>
      <c r="L113" s="44">
        <f>SUMIF(ALIF_Y2023!$A:$A,$A113,ALIF_Y2023!$F:$F)</f>
        <v>0</v>
      </c>
      <c r="M113" s="44">
        <f>SUMIF(ALIF_Y2024!$A:$A,$A113,ALIF_Y2024!$F:$F)</f>
        <v>-2E-3</v>
      </c>
      <c r="N113" s="44">
        <f>SUMIF(ALIF_Y2025!$A:$A,$A113,ALIF_Y2025!$F:$F)</f>
        <v>-8579488.9189999998</v>
      </c>
      <c r="O113" s="44">
        <f>SUMIF(TB_Input_Alif!$A:$A,$A113,TB_Input_Alif!$F:$F)</f>
        <v>-7934373.2699999996</v>
      </c>
      <c r="P113" s="43" t="str">
        <f>_xlfn.XLOOKUP(A113,Map!A:A,Map!E:E)</f>
        <v>Tade payables and Accuals &amp; other credit balances</v>
      </c>
      <c r="Q113" s="43" t="str">
        <f>_xlfn.XLOOKUP(A113,Map!A:A,Map!D:D)</f>
        <v>Current Liabilities</v>
      </c>
    </row>
    <row r="114" spans="1:17" x14ac:dyDescent="0.25">
      <c r="A114" s="42">
        <v>270003</v>
      </c>
      <c r="B114" s="43" t="s">
        <v>931</v>
      </c>
      <c r="C114" s="44">
        <f>SUMIF(ALIF_Y2014!$A:$A,$A114,ALIF_Y2014!$F:$F)</f>
        <v>0</v>
      </c>
      <c r="D114" s="44">
        <f>SUMIF(ALIF_Y2015!$A:$A,$A114,ALIF_Y2015!$F:$F)</f>
        <v>0</v>
      </c>
      <c r="E114" s="44">
        <f>SUMIF(ALIF_Y2016!$A:$A,$A114,ALIF_Y2016!$F:$F)</f>
        <v>0</v>
      </c>
      <c r="F114" s="44">
        <f>SUMIF(ALIF_Y2017!$A:$A,$A114,ALIF_Y2017!$F:$F)</f>
        <v>0</v>
      </c>
      <c r="G114" s="44">
        <f>SUMIF(ALIF_Y2018!$A:$A,$A114,ALIF_Y2018!$F:$F)</f>
        <v>0</v>
      </c>
      <c r="H114" s="44">
        <f>SUMIF(ALIF_Y2019!$A:$A,$A114,ALIF_Y2019!$F:$F)</f>
        <v>820338.76199999999</v>
      </c>
      <c r="I114" s="44">
        <f>SUMIF(ALIF_Y2020!$A:$A,$A114,ALIF_Y2020!$F:$F)</f>
        <v>0</v>
      </c>
      <c r="J114" s="44">
        <f>SUMIF(ALIF_Y2021!$A:$A,$A114,ALIF_Y2021!$F:$F)</f>
        <v>0</v>
      </c>
      <c r="K114" s="44">
        <f>SUMIF(ALIF_Y2022!$A:$A,$A114,ALIF_Y2022!$F:$F)</f>
        <v>0</v>
      </c>
      <c r="L114" s="44">
        <f>SUMIF(ALIF_Y2023!$A:$A,$A114,ALIF_Y2023!$F:$F)</f>
        <v>0</v>
      </c>
      <c r="M114" s="44">
        <f>SUMIF(ALIF_Y2024!$A:$A,$A114,ALIF_Y2024!$F:$F)</f>
        <v>0</v>
      </c>
      <c r="N114" s="44">
        <f>SUMIF(ALIF_Y2025!$A:$A,$A114,ALIF_Y2025!$F:$F)</f>
        <v>6589792.3859999999</v>
      </c>
      <c r="O114" s="44">
        <f>SUMIF(TB_Input_Alif!$A:$A,$A114,TB_Input_Alif!$F:$F)</f>
        <v>4222839.4759999998</v>
      </c>
      <c r="P114" s="43" t="str">
        <f>_xlfn.XLOOKUP(A114,Map!A:A,Map!E:E)</f>
        <v>Tade payables and Accuals &amp; other credit balances</v>
      </c>
      <c r="Q114" s="43" t="str">
        <f>_xlfn.XLOOKUP(A114,Map!A:A,Map!D:D)</f>
        <v>Current Liabilities</v>
      </c>
    </row>
    <row r="115" spans="1:17" x14ac:dyDescent="0.25">
      <c r="A115" s="42">
        <v>270004</v>
      </c>
      <c r="B115" s="43" t="s">
        <v>932</v>
      </c>
      <c r="C115" s="44">
        <f>SUMIF(ALIF_Y2014!$A:$A,$A115,ALIF_Y2014!$F:$F)</f>
        <v>0</v>
      </c>
      <c r="D115" s="44">
        <f>SUMIF(ALIF_Y2015!$A:$A,$A115,ALIF_Y2015!$F:$F)</f>
        <v>0</v>
      </c>
      <c r="E115" s="44">
        <f>SUMIF(ALIF_Y2016!$A:$A,$A115,ALIF_Y2016!$F:$F)</f>
        <v>0</v>
      </c>
      <c r="F115" s="44">
        <f>SUMIF(ALIF_Y2017!$A:$A,$A115,ALIF_Y2017!$F:$F)</f>
        <v>0</v>
      </c>
      <c r="G115" s="44">
        <f>SUMIF(ALIF_Y2018!$A:$A,$A115,ALIF_Y2018!$F:$F)</f>
        <v>2109330.298</v>
      </c>
      <c r="H115" s="44">
        <f>SUMIF(ALIF_Y2019!$A:$A,$A115,ALIF_Y2019!$F:$F)</f>
        <v>0</v>
      </c>
      <c r="I115" s="44">
        <f>SUMIF(ALIF_Y2020!$A:$A,$A115,ALIF_Y2020!$F:$F)</f>
        <v>-1563447.46</v>
      </c>
      <c r="J115" s="44">
        <f>SUMIF(ALIF_Y2021!$A:$A,$A115,ALIF_Y2021!$F:$F)</f>
        <v>-1225557.3500000001</v>
      </c>
      <c r="K115" s="44">
        <f>SUMIF(ALIF_Y2022!$A:$A,$A115,ALIF_Y2022!$F:$F)</f>
        <v>-1160277.96</v>
      </c>
      <c r="L115" s="44">
        <f>SUMIF(ALIF_Y2023!$A:$A,$A115,ALIF_Y2023!$F:$F)</f>
        <v>-1065153.22</v>
      </c>
      <c r="M115" s="44">
        <f>SUMIF(ALIF_Y2024!$A:$A,$A115,ALIF_Y2024!$F:$F)</f>
        <v>-1049001.149</v>
      </c>
      <c r="N115" s="44">
        <f>SUMIF(ALIF_Y2025!$A:$A,$A115,ALIF_Y2025!$F:$F)</f>
        <v>-1049001.1510000001</v>
      </c>
      <c r="O115" s="44">
        <f>SUMIF(TB_Input_Alif!$A:$A,$A115,TB_Input_Alif!$F:$F)</f>
        <v>24969.786</v>
      </c>
      <c r="P115" s="43" t="str">
        <f>_xlfn.XLOOKUP(A115,Map!A:A,Map!E:E)</f>
        <v>Tade payables and Accuals &amp; other credit balances</v>
      </c>
      <c r="Q115" s="43" t="str">
        <f>_xlfn.XLOOKUP(A115,Map!A:A,Map!D:D)</f>
        <v>Current Liabilities</v>
      </c>
    </row>
    <row r="116" spans="1:17" x14ac:dyDescent="0.25">
      <c r="A116" s="42">
        <v>270005</v>
      </c>
      <c r="B116" s="43" t="s">
        <v>933</v>
      </c>
      <c r="C116" s="44">
        <f>SUMIF(ALIF_Y2014!$A:$A,$A116,ALIF_Y2014!$F:$F)</f>
        <v>0</v>
      </c>
      <c r="D116" s="44">
        <f>SUMIF(ALIF_Y2015!$A:$A,$A116,ALIF_Y2015!$F:$F)</f>
        <v>0</v>
      </c>
      <c r="E116" s="44">
        <f>SUMIF(ALIF_Y2016!$A:$A,$A116,ALIF_Y2016!$F:$F)</f>
        <v>0</v>
      </c>
      <c r="F116" s="44">
        <f>SUMIF(ALIF_Y2017!$A:$A,$A116,ALIF_Y2017!$F:$F)</f>
        <v>0</v>
      </c>
      <c r="G116" s="44">
        <f>SUMIF(ALIF_Y2018!$A:$A,$A116,ALIF_Y2018!$F:$F)</f>
        <v>0</v>
      </c>
      <c r="H116" s="44">
        <f>SUMIF(ALIF_Y2019!$A:$A,$A116,ALIF_Y2019!$F:$F)</f>
        <v>0</v>
      </c>
      <c r="I116" s="44">
        <f>SUMIF(ALIF_Y2020!$A:$A,$A116,ALIF_Y2020!$F:$F)</f>
        <v>0</v>
      </c>
      <c r="J116" s="44">
        <f>SUMIF(ALIF_Y2021!$A:$A,$A116,ALIF_Y2021!$F:$F)</f>
        <v>0</v>
      </c>
      <c r="K116" s="44">
        <f>SUMIF(ALIF_Y2022!$A:$A,$A116,ALIF_Y2022!$F:$F)</f>
        <v>0</v>
      </c>
      <c r="L116" s="44">
        <f>SUMIF(ALIF_Y2023!$A:$A,$A116,ALIF_Y2023!$F:$F)</f>
        <v>20699522.736000001</v>
      </c>
      <c r="M116" s="44">
        <f>SUMIF(ALIF_Y2024!$A:$A,$A116,ALIF_Y2024!$F:$F)</f>
        <v>-8694168.5409999993</v>
      </c>
      <c r="N116" s="44">
        <f>SUMIF(ALIF_Y2025!$A:$A,$A116,ALIF_Y2025!$F:$F)</f>
        <v>-1444439.902</v>
      </c>
      <c r="O116" s="44">
        <f>SUMIF(TB_Input_Alif!$A:$A,$A116,TB_Input_Alif!$F:$F)</f>
        <v>-1625866.014</v>
      </c>
      <c r="P116" s="43" t="str">
        <f>_xlfn.XLOOKUP(A116,Map!A:A,Map!E:E)</f>
        <v xml:space="preserve">Due to related parties </v>
      </c>
      <c r="Q116" s="43" t="str">
        <f>_xlfn.XLOOKUP(A116,Map!A:A,Map!D:D)</f>
        <v>Non-Current Liabilities</v>
      </c>
    </row>
    <row r="117" spans="1:17" x14ac:dyDescent="0.25">
      <c r="A117" s="42">
        <v>310001</v>
      </c>
      <c r="B117" s="43" t="s">
        <v>934</v>
      </c>
      <c r="C117" s="44">
        <f>SUMIF(ALIF_Y2014!$A:$A,$A117,ALIF_Y2014!$F:$F)</f>
        <v>-19023934.239999998</v>
      </c>
      <c r="D117" s="44">
        <f>SUMIF(ALIF_Y2015!$A:$A,$A117,ALIF_Y2015!$F:$F)</f>
        <v>-27072495.068999998</v>
      </c>
      <c r="E117" s="44">
        <f>SUMIF(ALIF_Y2016!$A:$A,$A117,ALIF_Y2016!$F:$F)</f>
        <v>-20103784.829999998</v>
      </c>
      <c r="F117" s="44">
        <f>SUMIF(ALIF_Y2017!$A:$A,$A117,ALIF_Y2017!$F:$F)</f>
        <v>-27816718.954</v>
      </c>
      <c r="G117" s="44">
        <f>SUMIF(ALIF_Y2018!$A:$A,$A117,ALIF_Y2018!$F:$F)</f>
        <v>-26158022.879999999</v>
      </c>
      <c r="H117" s="44">
        <f>SUMIF(ALIF_Y2019!$A:$A,$A117,ALIF_Y2019!$F:$F)</f>
        <v>-25526891.572000001</v>
      </c>
      <c r="I117" s="44">
        <f>SUMIF(ALIF_Y2020!$A:$A,$A117,ALIF_Y2020!$F:$F)</f>
        <v>-32446640.010000002</v>
      </c>
      <c r="J117" s="44">
        <f>SUMIF(ALIF_Y2021!$A:$A,$A117,ALIF_Y2021!$F:$F)</f>
        <v>-13887700.132999999</v>
      </c>
      <c r="K117" s="44">
        <f>SUMIF(ALIF_Y2022!$A:$A,$A117,ALIF_Y2022!$F:$F)</f>
        <v>-18454746.300999999</v>
      </c>
      <c r="L117" s="44">
        <f>SUMIF(ALIF_Y2023!$A:$A,$A117,ALIF_Y2023!$F:$F)</f>
        <v>-24850913.840999998</v>
      </c>
      <c r="M117" s="44">
        <f>SUMIF(ALIF_Y2024!$A:$A,$A117,ALIF_Y2024!$F:$F)</f>
        <v>11873132.367000001</v>
      </c>
      <c r="N117" s="44">
        <f>SUMIF(ALIF_Y2025!$A:$A,$A117,ALIF_Y2025!$F:$F)</f>
        <v>35110867.218000002</v>
      </c>
      <c r="O117" s="44">
        <f>SUMIF(TB_Input_Alif!$A:$A,$A117,TB_Input_Alif!$F:$F)</f>
        <v>107267178.55</v>
      </c>
      <c r="P117" s="43" t="str">
        <f>_xlfn.XLOOKUP(A117,Map!A:A,Map!E:E)</f>
        <v>Retained earnings</v>
      </c>
      <c r="Q117" s="43" t="str">
        <f>_xlfn.XLOOKUP(A117,Map!A:A,Map!D:D)</f>
        <v>Stockholder's equity</v>
      </c>
    </row>
    <row r="118" spans="1:17" x14ac:dyDescent="0.25">
      <c r="A118" s="42">
        <v>330001</v>
      </c>
      <c r="B118" s="43" t="s">
        <v>935</v>
      </c>
      <c r="C118" s="44">
        <f>SUMIF(ALIF_Y2014!$A:$A,$A118,ALIF_Y2014!$F:$F)</f>
        <v>-1766750</v>
      </c>
      <c r="D118" s="44">
        <f>SUMIF(ALIF_Y2015!$A:$A,$A118,ALIF_Y2015!$F:$F)</f>
        <v>-1766750</v>
      </c>
      <c r="E118" s="44">
        <f>SUMIF(ALIF_Y2016!$A:$A,$A118,ALIF_Y2016!$F:$F)</f>
        <v>-1766750</v>
      </c>
      <c r="F118" s="44">
        <f>SUMIF(ALIF_Y2017!$A:$A,$A118,ALIF_Y2017!$F:$F)</f>
        <v>-1766750</v>
      </c>
      <c r="G118" s="44">
        <f>SUMIF(ALIF_Y2018!$A:$A,$A118,ALIF_Y2018!$F:$F)</f>
        <v>-1766750</v>
      </c>
      <c r="H118" s="44">
        <f>SUMIF(ALIF_Y2019!$A:$A,$A118,ALIF_Y2019!$F:$F)</f>
        <v>-1766750</v>
      </c>
      <c r="I118" s="44">
        <f>SUMIF(ALIF_Y2020!$A:$A,$A118,ALIF_Y2020!$F:$F)</f>
        <v>0</v>
      </c>
      <c r="J118" s="44">
        <f>SUMIF(ALIF_Y2021!$A:$A,$A118,ALIF_Y2021!$F:$F)</f>
        <v>0</v>
      </c>
      <c r="K118" s="44">
        <f>SUMIF(ALIF_Y2022!$A:$A,$A118,ALIF_Y2022!$F:$F)</f>
        <v>0</v>
      </c>
      <c r="L118" s="44">
        <f>SUMIF(ALIF_Y2023!$A:$A,$A118,ALIF_Y2023!$F:$F)</f>
        <v>0</v>
      </c>
      <c r="M118" s="44">
        <f>SUMIF(ALIF_Y2024!$A:$A,$A118,ALIF_Y2024!$F:$F)</f>
        <v>0</v>
      </c>
      <c r="N118" s="44">
        <f>SUMIF(ALIF_Y2025!$A:$A,$A118,ALIF_Y2025!$F:$F)</f>
        <v>0</v>
      </c>
      <c r="O118" s="44">
        <f>SUMIF(TB_Input_Alif!$A:$A,$A118,TB_Input_Alif!$F:$F)</f>
        <v>0</v>
      </c>
      <c r="P118" s="43" t="str">
        <f>_xlfn.XLOOKUP(A118,Map!A:A,Map!E:E)</f>
        <v>Retained earnings</v>
      </c>
      <c r="Q118" s="43" t="str">
        <f>_xlfn.XLOOKUP(A118,Map!A:A,Map!D:D)</f>
        <v>Stockholder's equity</v>
      </c>
    </row>
    <row r="119" spans="1:17" x14ac:dyDescent="0.25">
      <c r="A119" s="42">
        <v>330002</v>
      </c>
      <c r="B119" s="43" t="s">
        <v>936</v>
      </c>
      <c r="C119" s="44">
        <f>SUMIF(ALIF_Y2014!$A:$A,$A119,ALIF_Y2014!$F:$F)</f>
        <v>-33568250</v>
      </c>
      <c r="D119" s="44">
        <f>SUMIF(ALIF_Y2015!$A:$A,$A119,ALIF_Y2015!$F:$F)</f>
        <v>-33568250</v>
      </c>
      <c r="E119" s="44">
        <f>SUMIF(ALIF_Y2016!$A:$A,$A119,ALIF_Y2016!$F:$F)</f>
        <v>-33568250</v>
      </c>
      <c r="F119" s="44">
        <f>SUMIF(ALIF_Y2017!$A:$A,$A119,ALIF_Y2017!$F:$F)</f>
        <v>-33568250</v>
      </c>
      <c r="G119" s="44">
        <f>SUMIF(ALIF_Y2018!$A:$A,$A119,ALIF_Y2018!$F:$F)</f>
        <v>-33568250</v>
      </c>
      <c r="H119" s="44">
        <f>SUMIF(ALIF_Y2019!$A:$A,$A119,ALIF_Y2019!$F:$F)</f>
        <v>-33568250</v>
      </c>
      <c r="I119" s="44">
        <f>SUMIF(ALIF_Y2020!$A:$A,$A119,ALIF_Y2020!$F:$F)</f>
        <v>-35335000</v>
      </c>
      <c r="J119" s="44">
        <f>SUMIF(ALIF_Y2021!$A:$A,$A119,ALIF_Y2021!$F:$F)</f>
        <v>-35335000</v>
      </c>
      <c r="K119" s="44">
        <f>SUMIF(ALIF_Y2022!$A:$A,$A119,ALIF_Y2022!$F:$F)</f>
        <v>-35335000</v>
      </c>
      <c r="L119" s="44">
        <f>SUMIF(ALIF_Y2023!$A:$A,$A119,ALIF_Y2023!$F:$F)</f>
        <v>-35335000</v>
      </c>
      <c r="M119" s="44">
        <f>SUMIF(ALIF_Y2024!$A:$A,$A119,ALIF_Y2024!$F:$F)</f>
        <v>-35335000</v>
      </c>
      <c r="N119" s="44">
        <f>SUMIF(ALIF_Y2025!$A:$A,$A119,ALIF_Y2025!$F:$F)</f>
        <v>-35335000</v>
      </c>
      <c r="O119" s="44">
        <f>SUMIF(TB_Input_Alif!$A:$A,$A119,TB_Input_Alif!$F:$F)</f>
        <v>-35335000</v>
      </c>
      <c r="P119" s="43" t="str">
        <f>_xlfn.XLOOKUP(A119,Map!A:A,Map!E:E)</f>
        <v>Share capital</v>
      </c>
      <c r="Q119" s="43" t="str">
        <f>_xlfn.XLOOKUP(A119,Map!A:A,Map!D:D)</f>
        <v>Stockholder's equity</v>
      </c>
    </row>
    <row r="120" spans="1:17" x14ac:dyDescent="0.25">
      <c r="A120" s="42">
        <v>330003</v>
      </c>
      <c r="B120" s="43" t="s">
        <v>937</v>
      </c>
      <c r="C120" s="44">
        <f>SUMIF(ALIF_Y2014!$A:$A,$A120,ALIF_Y2014!$F:$F)</f>
        <v>0</v>
      </c>
      <c r="D120" s="44">
        <f>SUMIF(ALIF_Y2015!$A:$A,$A120,ALIF_Y2015!$F:$F)</f>
        <v>0</v>
      </c>
      <c r="E120" s="44">
        <f>SUMIF(ALIF_Y2016!$A:$A,$A120,ALIF_Y2016!$F:$F)</f>
        <v>-85866130.439999998</v>
      </c>
      <c r="F120" s="44">
        <f>SUMIF(ALIF_Y2017!$A:$A,$A120,ALIF_Y2017!$F:$F)</f>
        <v>-85866130.439999998</v>
      </c>
      <c r="G120" s="44">
        <f>SUMIF(ALIF_Y2018!$A:$A,$A120,ALIF_Y2018!$F:$F)</f>
        <v>-102255315.01000001</v>
      </c>
      <c r="H120" s="44">
        <f>SUMIF(ALIF_Y2019!$A:$A,$A120,ALIF_Y2019!$F:$F)</f>
        <v>-102255315.01000001</v>
      </c>
      <c r="I120" s="44">
        <f>SUMIF(ALIF_Y2020!$A:$A,$A120,ALIF_Y2020!$F:$F)</f>
        <v>-102255315.01000001</v>
      </c>
      <c r="J120" s="44">
        <f>SUMIF(ALIF_Y2021!$A:$A,$A120,ALIF_Y2021!$F:$F)</f>
        <v>-102255315.01000001</v>
      </c>
      <c r="K120" s="44">
        <f>SUMIF(ALIF_Y2022!$A:$A,$A120,ALIF_Y2022!$F:$F)</f>
        <v>-102255315.01000001</v>
      </c>
      <c r="L120" s="44">
        <f>SUMIF(ALIF_Y2023!$A:$A,$A120,ALIF_Y2023!$F:$F)</f>
        <v>-102255315.01000001</v>
      </c>
      <c r="M120" s="44">
        <f>SUMIF(ALIF_Y2024!$A:$A,$A120,ALIF_Y2024!$F:$F)</f>
        <v>-102255315.01000001</v>
      </c>
      <c r="N120" s="44">
        <f>SUMIF(ALIF_Y2025!$A:$A,$A120,ALIF_Y2025!$F:$F)</f>
        <v>-102255315.01000001</v>
      </c>
      <c r="O120" s="44">
        <f>SUMIF(TB_Input_Alif!$A:$A,$A120,TB_Input_Alif!$F:$F)</f>
        <v>-122255315.01000001</v>
      </c>
      <c r="P120" s="43" t="str">
        <f>_xlfn.XLOOKUP(A120,Map!A:A,Map!E:E)</f>
        <v>Additional contribution from shareholders</v>
      </c>
      <c r="Q120" s="43" t="str">
        <f>_xlfn.XLOOKUP(A120,Map!A:A,Map!D:D)</f>
        <v>Stockholder's equity</v>
      </c>
    </row>
    <row r="121" spans="1:17" x14ac:dyDescent="0.25">
      <c r="A121" s="42">
        <v>410001</v>
      </c>
      <c r="B121" s="43" t="s">
        <v>938</v>
      </c>
      <c r="C121" s="44">
        <f>SUMIF(ALIF_Y2014!$A:$A,$A121,ALIF_Y2014!$F:$F)</f>
        <v>-138694271.65186799</v>
      </c>
      <c r="D121" s="44">
        <f>SUMIF(ALIF_Y2015!$A:$A,$A121,ALIF_Y2015!$F:$F)</f>
        <v>-109880263.3243669</v>
      </c>
      <c r="E121" s="44">
        <f>SUMIF(ALIF_Y2016!$A:$A,$A121,ALIF_Y2016!$F:$F)</f>
        <v>-88089958.155328989</v>
      </c>
      <c r="F121" s="44">
        <f>SUMIF(ALIF_Y2017!$A:$A,$A121,ALIF_Y2017!$F:$F)</f>
        <v>-93677879.411868006</v>
      </c>
      <c r="G121" s="44">
        <f>SUMIF(ALIF_Y2018!$A:$A,$A121,ALIF_Y2018!$F:$F)</f>
        <v>-107826419.45039001</v>
      </c>
      <c r="H121" s="44">
        <f>SUMIF(ALIF_Y2019!$A:$A,$A121,ALIF_Y2019!$F:$F)</f>
        <v>-146951657.34141198</v>
      </c>
      <c r="I121" s="44">
        <f>SUMIF(ALIF_Y2020!$A:$A,$A121,ALIF_Y2020!$F:$F)</f>
        <v>-126986507.64854398</v>
      </c>
      <c r="J121" s="44">
        <f>SUMIF(ALIF_Y2021!$A:$A,$A121,ALIF_Y2021!$F:$F)</f>
        <v>-182178130.77999899</v>
      </c>
      <c r="K121" s="44">
        <f>SUMIF(ALIF_Y2022!$A:$A,$A121,ALIF_Y2022!$F:$F)</f>
        <v>-221605750.68741697</v>
      </c>
      <c r="L121" s="44">
        <f>SUMIF(ALIF_Y2023!$A:$A,$A121,ALIF_Y2023!$F:$F)</f>
        <v>-104691191.84482999</v>
      </c>
      <c r="M121" s="44">
        <f>SUMIF(ALIF_Y2024!$A:$A,$A121,ALIF_Y2024!$F:$F)</f>
        <v>-134263226.66129997</v>
      </c>
      <c r="N121" s="44">
        <f>SUMIF(ALIF_Y2025!$A:$A,$A121,ALIF_Y2025!$F:$F)</f>
        <v>-161540141.70216942</v>
      </c>
      <c r="O121" s="44">
        <f>SUMIF(TB_Input_Alif!$A:$A,$A121,TB_Input_Alif!$F:$F)</f>
        <v>-127518293.28050502</v>
      </c>
      <c r="P121" s="43" t="str">
        <f>_xlfn.XLOOKUP(A121,Map!A:A,Map!E:E)</f>
        <v>Sales</v>
      </c>
      <c r="Q121" s="43" t="str">
        <f>_xlfn.XLOOKUP(A121,Map!A:A,Map!D:D)</f>
        <v>Sales</v>
      </c>
    </row>
    <row r="122" spans="1:17" x14ac:dyDescent="0.25">
      <c r="A122" s="42">
        <v>410002</v>
      </c>
      <c r="B122" s="43" t="s">
        <v>939</v>
      </c>
      <c r="C122" s="44">
        <f>SUMIF(ALIF_Y2014!$A:$A,$A122,ALIF_Y2014!$F:$F)</f>
        <v>4887005.6909999996</v>
      </c>
      <c r="D122" s="44">
        <f>SUMIF(ALIF_Y2015!$A:$A,$A122,ALIF_Y2015!$F:$F)</f>
        <v>415859.38699999999</v>
      </c>
      <c r="E122" s="44">
        <f>SUMIF(ALIF_Y2016!$A:$A,$A122,ALIF_Y2016!$F:$F)</f>
        <v>339466.36499999999</v>
      </c>
      <c r="F122" s="44">
        <f>SUMIF(ALIF_Y2017!$A:$A,$A122,ALIF_Y2017!$F:$F)</f>
        <v>562971.18000000005</v>
      </c>
      <c r="G122" s="44">
        <f>SUMIF(ALIF_Y2018!$A:$A,$A122,ALIF_Y2018!$F:$F)</f>
        <v>376159.14799999999</v>
      </c>
      <c r="H122" s="44">
        <f>SUMIF(ALIF_Y2019!$A:$A,$A122,ALIF_Y2019!$F:$F)</f>
        <v>806316.79099999997</v>
      </c>
      <c r="I122" s="44">
        <f>SUMIF(ALIF_Y2020!$A:$A,$A122,ALIF_Y2020!$F:$F)</f>
        <v>362210.75099999999</v>
      </c>
      <c r="J122" s="44">
        <f>SUMIF(ALIF_Y2021!$A:$A,$A122,ALIF_Y2021!$F:$F)</f>
        <v>815298.13600000006</v>
      </c>
      <c r="K122" s="44">
        <f>SUMIF(ALIF_Y2022!$A:$A,$A122,ALIF_Y2022!$F:$F)</f>
        <v>957497.96</v>
      </c>
      <c r="L122" s="44">
        <f>SUMIF(ALIF_Y2023!$A:$A,$A122,ALIF_Y2023!$F:$F)</f>
        <v>1079316.101</v>
      </c>
      <c r="M122" s="44">
        <f>SUMIF(ALIF_Y2024!$A:$A,$A122,ALIF_Y2024!$F:$F)</f>
        <v>983876.16</v>
      </c>
      <c r="N122" s="44">
        <f>SUMIF(ALIF_Y2025!$A:$A,$A122,ALIF_Y2025!$F:$F)</f>
        <v>7399584.7079999996</v>
      </c>
      <c r="O122" s="44">
        <f>SUMIF(TB_Input_Alif!$A:$A,$A122,TB_Input_Alif!$F:$F)</f>
        <v>2348924.9670000002</v>
      </c>
      <c r="P122" s="43" t="str">
        <f>_xlfn.XLOOKUP(A122,Map!A:A,Map!E:E)</f>
        <v>Sales</v>
      </c>
      <c r="Q122" s="43" t="str">
        <f>_xlfn.XLOOKUP(A122,Map!A:A,Map!D:D)</f>
        <v>Sales</v>
      </c>
    </row>
    <row r="123" spans="1:17" x14ac:dyDescent="0.25">
      <c r="A123" s="42">
        <v>410003</v>
      </c>
      <c r="B123" s="43" t="s">
        <v>940</v>
      </c>
      <c r="C123" s="44">
        <f>SUMIF(ALIF_Y2014!$A:$A,$A123,ALIF_Y2014!$F:$F)</f>
        <v>94883.404999999999</v>
      </c>
      <c r="D123" s="44">
        <f>SUMIF(ALIF_Y2015!$A:$A,$A123,ALIF_Y2015!$F:$F)</f>
        <v>20246.399000000001</v>
      </c>
      <c r="E123" s="44">
        <f>SUMIF(ALIF_Y2016!$A:$A,$A123,ALIF_Y2016!$F:$F)</f>
        <v>45495.544999999998</v>
      </c>
      <c r="F123" s="44">
        <f>SUMIF(ALIF_Y2017!$A:$A,$A123,ALIF_Y2017!$F:$F)</f>
        <v>36303.033000000003</v>
      </c>
      <c r="G123" s="44">
        <f>SUMIF(ALIF_Y2018!$A:$A,$A123,ALIF_Y2018!$F:$F)</f>
        <v>40234.758999999998</v>
      </c>
      <c r="H123" s="44">
        <f>SUMIF(ALIF_Y2019!$A:$A,$A123,ALIF_Y2019!$F:$F)</f>
        <v>63590.362999999998</v>
      </c>
      <c r="I123" s="44">
        <f>SUMIF(ALIF_Y2020!$A:$A,$A123,ALIF_Y2020!$F:$F)</f>
        <v>21462.884999999998</v>
      </c>
      <c r="J123" s="44">
        <f>SUMIF(ALIF_Y2021!$A:$A,$A123,ALIF_Y2021!$F:$F)</f>
        <v>23474.695</v>
      </c>
      <c r="K123" s="44">
        <f>SUMIF(ALIF_Y2022!$A:$A,$A123,ALIF_Y2022!$F:$F)</f>
        <v>1127.25</v>
      </c>
      <c r="L123" s="44">
        <f>SUMIF(ALIF_Y2023!$A:$A,$A123,ALIF_Y2023!$F:$F)</f>
        <v>1702.06</v>
      </c>
      <c r="M123" s="44">
        <f>SUMIF(ALIF_Y2024!$A:$A,$A123,ALIF_Y2024!$F:$F)</f>
        <v>110476.394</v>
      </c>
      <c r="N123" s="44">
        <f>SUMIF(ALIF_Y2025!$A:$A,$A123,ALIF_Y2025!$F:$F)</f>
        <v>511780.01400000002</v>
      </c>
      <c r="O123" s="44">
        <f>SUMIF(TB_Input_Alif!$A:$A,$A123,TB_Input_Alif!$F:$F)</f>
        <v>349968.39799999999</v>
      </c>
      <c r="P123" s="43" t="str">
        <f>_xlfn.XLOOKUP(A123,Map!A:A,Map!E:E)</f>
        <v>Sales</v>
      </c>
      <c r="Q123" s="43" t="str">
        <f>_xlfn.XLOOKUP(A123,Map!A:A,Map!D:D)</f>
        <v>Sales</v>
      </c>
    </row>
    <row r="124" spans="1:17" x14ac:dyDescent="0.25">
      <c r="A124" s="42">
        <v>410004</v>
      </c>
      <c r="B124" s="43" t="s">
        <v>941</v>
      </c>
      <c r="C124" s="44">
        <f>SUMIF(ALIF_Y2014!$A:$A,$A124,ALIF_Y2014!$F:$F)</f>
        <v>-263041.3</v>
      </c>
      <c r="D124" s="44">
        <f>SUMIF(ALIF_Y2015!$A:$A,$A124,ALIF_Y2015!$F:$F)</f>
        <v>0</v>
      </c>
      <c r="E124" s="44">
        <f>SUMIF(ALIF_Y2016!$A:$A,$A124,ALIF_Y2016!$F:$F)</f>
        <v>15329.73</v>
      </c>
      <c r="F124" s="44">
        <f>SUMIF(ALIF_Y2017!$A:$A,$A124,ALIF_Y2017!$F:$F)</f>
        <v>0</v>
      </c>
      <c r="G124" s="44">
        <f>SUMIF(ALIF_Y2018!$A:$A,$A124,ALIF_Y2018!$F:$F)</f>
        <v>0</v>
      </c>
      <c r="H124" s="44">
        <f>SUMIF(ALIF_Y2019!$A:$A,$A124,ALIF_Y2019!$F:$F)</f>
        <v>0</v>
      </c>
      <c r="I124" s="44">
        <f>SUMIF(ALIF_Y2020!$A:$A,$A124,ALIF_Y2020!$F:$F)</f>
        <v>0</v>
      </c>
      <c r="J124" s="44">
        <f>SUMIF(ALIF_Y2021!$A:$A,$A124,ALIF_Y2021!$F:$F)</f>
        <v>-1268181.379</v>
      </c>
      <c r="K124" s="44">
        <f>SUMIF(ALIF_Y2022!$A:$A,$A124,ALIF_Y2022!$F:$F)</f>
        <v>-1317629.5530000001</v>
      </c>
      <c r="L124" s="44">
        <f>SUMIF(ALIF_Y2023!$A:$A,$A124,ALIF_Y2023!$F:$F)</f>
        <v>-590338.68200000003</v>
      </c>
      <c r="M124" s="44">
        <f>SUMIF(ALIF_Y2024!$A:$A,$A124,ALIF_Y2024!$F:$F)</f>
        <v>-2011560.469</v>
      </c>
      <c r="N124" s="44">
        <f>SUMIF(ALIF_Y2025!$A:$A,$A124,ALIF_Y2025!$F:$F)</f>
        <v>-2174324.4040000001</v>
      </c>
      <c r="O124" s="44">
        <f>SUMIF(TB_Input_Alif!$A:$A,$A124,TB_Input_Alif!$F:$F)</f>
        <v>-1714512.6769999999</v>
      </c>
      <c r="P124" s="43" t="str">
        <f>_xlfn.XLOOKUP(A124,Map!A:A,Map!E:E)</f>
        <v>Sales</v>
      </c>
      <c r="Q124" s="43" t="str">
        <f>_xlfn.XLOOKUP(A124,Map!A:A,Map!D:D)</f>
        <v>Sales</v>
      </c>
    </row>
    <row r="125" spans="1:17" x14ac:dyDescent="0.25">
      <c r="A125" s="42">
        <v>420001</v>
      </c>
      <c r="B125" s="43" t="s">
        <v>942</v>
      </c>
      <c r="C125" s="44">
        <f>SUMIF(ALIF_Y2014!$A:$A,$A125,ALIF_Y2014!$F:$F)</f>
        <v>0</v>
      </c>
      <c r="D125" s="44">
        <f>SUMIF(ALIF_Y2015!$A:$A,$A125,ALIF_Y2015!$F:$F)</f>
        <v>0</v>
      </c>
      <c r="E125" s="44">
        <f>SUMIF(ALIF_Y2016!$A:$A,$A125,ALIF_Y2016!$F:$F)</f>
        <v>0</v>
      </c>
      <c r="F125" s="44">
        <f>SUMIF(ALIF_Y2017!$A:$A,$A125,ALIF_Y2017!$F:$F)</f>
        <v>0</v>
      </c>
      <c r="G125" s="44">
        <f>SUMIF(ALIF_Y2018!$A:$A,$A125,ALIF_Y2018!$F:$F)</f>
        <v>0</v>
      </c>
      <c r="H125" s="44">
        <f>SUMIF(ALIF_Y2019!$A:$A,$A125,ALIF_Y2019!$F:$F)</f>
        <v>0</v>
      </c>
      <c r="I125" s="44">
        <f>SUMIF(ALIF_Y2020!$A:$A,$A125,ALIF_Y2020!$F:$F)</f>
        <v>0</v>
      </c>
      <c r="J125" s="44">
        <f>SUMIF(ALIF_Y2021!$A:$A,$A125,ALIF_Y2021!$F:$F)</f>
        <v>-11208</v>
      </c>
      <c r="K125" s="44">
        <f>SUMIF(ALIF_Y2022!$A:$A,$A125,ALIF_Y2022!$F:$F)</f>
        <v>0</v>
      </c>
      <c r="L125" s="44">
        <f>SUMIF(ALIF_Y2023!$A:$A,$A125,ALIF_Y2023!$F:$F)</f>
        <v>0</v>
      </c>
      <c r="M125" s="44">
        <f>SUMIF(ALIF_Y2024!$A:$A,$A125,ALIF_Y2024!$F:$F)</f>
        <v>0</v>
      </c>
      <c r="N125" s="44">
        <f>SUMIF(ALIF_Y2025!$A:$A,$A125,ALIF_Y2025!$F:$F)</f>
        <v>0</v>
      </c>
      <c r="O125" s="44">
        <f>SUMIF(TB_Input_Alif!$A:$A,$A125,TB_Input_Alif!$F:$F)</f>
        <v>0</v>
      </c>
      <c r="P125" s="43" t="str">
        <f>_xlfn.XLOOKUP(A125,Map!A:A,Map!E:E)</f>
        <v>Sales</v>
      </c>
      <c r="Q125" s="43" t="str">
        <f>_xlfn.XLOOKUP(A125,Map!A:A,Map!D:D)</f>
        <v>Sales</v>
      </c>
    </row>
    <row r="126" spans="1:17" x14ac:dyDescent="0.25">
      <c r="A126" s="42">
        <v>420002</v>
      </c>
      <c r="B126" s="43" t="s">
        <v>943</v>
      </c>
      <c r="C126" s="44">
        <f>SUMIF(ALIF_Y2014!$A:$A,$A126,ALIF_Y2014!$F:$F)</f>
        <v>0</v>
      </c>
      <c r="D126" s="44">
        <f>SUMIF(ALIF_Y2015!$A:$A,$A126,ALIF_Y2015!$F:$F)</f>
        <v>0</v>
      </c>
      <c r="E126" s="44">
        <f>SUMIF(ALIF_Y2016!$A:$A,$A126,ALIF_Y2016!$F:$F)</f>
        <v>0</v>
      </c>
      <c r="F126" s="44">
        <f>SUMIF(ALIF_Y2017!$A:$A,$A126,ALIF_Y2017!$F:$F)</f>
        <v>0</v>
      </c>
      <c r="G126" s="44">
        <f>SUMIF(ALIF_Y2018!$A:$A,$A126,ALIF_Y2018!$F:$F)</f>
        <v>0</v>
      </c>
      <c r="H126" s="44">
        <f>SUMIF(ALIF_Y2019!$A:$A,$A126,ALIF_Y2019!$F:$F)</f>
        <v>0</v>
      </c>
      <c r="I126" s="44">
        <f>SUMIF(ALIF_Y2020!$A:$A,$A126,ALIF_Y2020!$F:$F)</f>
        <v>0</v>
      </c>
      <c r="J126" s="44">
        <f>SUMIF(ALIF_Y2021!$A:$A,$A126,ALIF_Y2021!$F:$F)</f>
        <v>0</v>
      </c>
      <c r="K126" s="44">
        <f>SUMIF(ALIF_Y2022!$A:$A,$A126,ALIF_Y2022!$F:$F)</f>
        <v>0</v>
      </c>
      <c r="L126" s="44">
        <f>SUMIF(ALIF_Y2023!$A:$A,$A126,ALIF_Y2023!$F:$F)</f>
        <v>0</v>
      </c>
      <c r="M126" s="44">
        <f>SUMIF(ALIF_Y2024!$A:$A,$A126,ALIF_Y2024!$F:$F)</f>
        <v>-30434.782999999999</v>
      </c>
      <c r="N126" s="44">
        <f>SUMIF(ALIF_Y2025!$A:$A,$A126,ALIF_Y2025!$F:$F)</f>
        <v>1044625.042</v>
      </c>
      <c r="O126" s="44">
        <f>SUMIF(TB_Input_Alif!$A:$A,$A126,TB_Input_Alif!$F:$F)</f>
        <v>0</v>
      </c>
      <c r="P126" s="43" t="str">
        <f>_xlfn.XLOOKUP(A126,Map!A:A,Map!E:E)</f>
        <v>Other Income</v>
      </c>
      <c r="Q126" s="43" t="str">
        <f>_xlfn.XLOOKUP(A126,Map!A:A,Map!D:D)</f>
        <v>Other Income</v>
      </c>
    </row>
    <row r="127" spans="1:17" x14ac:dyDescent="0.25">
      <c r="A127" s="42">
        <v>420003</v>
      </c>
      <c r="B127" s="43" t="s">
        <v>944</v>
      </c>
      <c r="C127" s="44">
        <f>SUMIF(ALIF_Y2014!$A:$A,$A127,ALIF_Y2014!$F:$F)</f>
        <v>0</v>
      </c>
      <c r="D127" s="44">
        <f>SUMIF(ALIF_Y2015!$A:$A,$A127,ALIF_Y2015!$F:$F)</f>
        <v>-4.7E-2</v>
      </c>
      <c r="E127" s="44">
        <f>SUMIF(ALIF_Y2016!$A:$A,$A127,ALIF_Y2016!$F:$F)</f>
        <v>-77976.134999999995</v>
      </c>
      <c r="F127" s="44">
        <f>SUMIF(ALIF_Y2017!$A:$A,$A127,ALIF_Y2017!$F:$F)</f>
        <v>-2.7E-2</v>
      </c>
      <c r="G127" s="44">
        <f>SUMIF(ALIF_Y2018!$A:$A,$A127,ALIF_Y2018!$F:$F)</f>
        <v>-1E-3</v>
      </c>
      <c r="H127" s="44">
        <f>SUMIF(ALIF_Y2019!$A:$A,$A127,ALIF_Y2019!$F:$F)</f>
        <v>0</v>
      </c>
      <c r="I127" s="44">
        <f>SUMIF(ALIF_Y2020!$A:$A,$A127,ALIF_Y2020!$F:$F)</f>
        <v>1.6E-2</v>
      </c>
      <c r="J127" s="44">
        <f>SUMIF(ALIF_Y2021!$A:$A,$A127,ALIF_Y2021!$F:$F)</f>
        <v>0</v>
      </c>
      <c r="K127" s="44">
        <f>SUMIF(ALIF_Y2022!$A:$A,$A127,ALIF_Y2022!$F:$F)</f>
        <v>0</v>
      </c>
      <c r="L127" s="44">
        <f>SUMIF(ALIF_Y2023!$A:$A,$A127,ALIF_Y2023!$F:$F)</f>
        <v>0</v>
      </c>
      <c r="M127" s="44">
        <f>SUMIF(ALIF_Y2024!$A:$A,$A127,ALIF_Y2024!$F:$F)</f>
        <v>-4.0000000000000001E-3</v>
      </c>
      <c r="N127" s="44">
        <f>SUMIF(ALIF_Y2025!$A:$A,$A127,ALIF_Y2025!$F:$F)</f>
        <v>-134680.54500000001</v>
      </c>
      <c r="O127" s="44">
        <f>SUMIF(TB_Input_Alif!$A:$A,$A127,TB_Input_Alif!$F:$F)</f>
        <v>65988.716</v>
      </c>
      <c r="P127" s="43" t="str">
        <f>_xlfn.XLOOKUP(A127,Map!A:A,Map!E:E)</f>
        <v>Sales</v>
      </c>
      <c r="Q127" s="43" t="str">
        <f>_xlfn.XLOOKUP(A127,Map!A:A,Map!D:D)</f>
        <v>Sales</v>
      </c>
    </row>
    <row r="128" spans="1:17" x14ac:dyDescent="0.25">
      <c r="A128" s="42">
        <v>510001</v>
      </c>
      <c r="B128" s="43" t="s">
        <v>945</v>
      </c>
      <c r="C128" s="44">
        <f>SUMIF(ALIF_Y2014!$A:$A,$A128,ALIF_Y2014!$F:$F)</f>
        <v>88585781.886606663</v>
      </c>
      <c r="D128" s="44">
        <f>SUMIF(ALIF_Y2015!$A:$A,$A128,ALIF_Y2015!$F:$F)</f>
        <v>70633003.651534766</v>
      </c>
      <c r="E128" s="44">
        <f>SUMIF(ALIF_Y2016!$A:$A,$A128,ALIF_Y2016!$F:$F)</f>
        <v>52373841.139852673</v>
      </c>
      <c r="F128" s="44">
        <f>SUMIF(ALIF_Y2017!$A:$A,$A128,ALIF_Y2017!$F:$F)</f>
        <v>61015586.379613593</v>
      </c>
      <c r="G128" s="44">
        <f>SUMIF(ALIF_Y2018!$A:$A,$A128,ALIF_Y2018!$F:$F)</f>
        <v>71955215.38198626</v>
      </c>
      <c r="H128" s="44">
        <f>SUMIF(ALIF_Y2019!$A:$A,$A128,ALIF_Y2019!$F:$F)</f>
        <v>106346939.87317428</v>
      </c>
      <c r="I128" s="44">
        <f>SUMIF(ALIF_Y2020!$A:$A,$A128,ALIF_Y2020!$F:$F)</f>
        <v>95014049.774562657</v>
      </c>
      <c r="J128" s="44">
        <f>SUMIF(ALIF_Y2021!$A:$A,$A128,ALIF_Y2021!$F:$F)</f>
        <v>129569952.34845203</v>
      </c>
      <c r="K128" s="44">
        <f>SUMIF(ALIF_Y2022!$A:$A,$A128,ALIF_Y2022!$F:$F)</f>
        <v>161989185.8837817</v>
      </c>
      <c r="L128" s="44">
        <f>SUMIF(ALIF_Y2023!$A:$A,$A128,ALIF_Y2023!$F:$F)</f>
        <v>89262070.185472995</v>
      </c>
      <c r="M128" s="44">
        <f>SUMIF(ALIF_Y2024!$A:$A,$A128,ALIF_Y2024!$F:$F)</f>
        <v>113038660.37713104</v>
      </c>
      <c r="N128" s="44">
        <f>SUMIF(ALIF_Y2025!$A:$A,$A128,ALIF_Y2025!$F:$F)</f>
        <v>127210919.814</v>
      </c>
      <c r="O128" s="44">
        <f>SUMIF(TB_Input_Alif!$A:$A,$A128,TB_Input_Alif!$F:$F)</f>
        <v>99564172.336040035</v>
      </c>
      <c r="P128" s="43" t="str">
        <f>_xlfn.XLOOKUP(A128,Map!A:A,Map!E:E)</f>
        <v>Raw materials</v>
      </c>
      <c r="Q128" s="43" t="str">
        <f>_xlfn.XLOOKUP(A128,Map!A:A,Map!D:D)</f>
        <v>Cost of sales</v>
      </c>
    </row>
    <row r="129" spans="1:17" x14ac:dyDescent="0.25">
      <c r="A129" s="42">
        <v>510002</v>
      </c>
      <c r="B129" s="43" t="s">
        <v>946</v>
      </c>
      <c r="C129" s="44">
        <f>SUMIF(ALIF_Y2014!$A:$A,$A129,ALIF_Y2014!$F:$F)</f>
        <v>8698488.2159999982</v>
      </c>
      <c r="D129" s="44">
        <f>SUMIF(ALIF_Y2015!$A:$A,$A129,ALIF_Y2015!$F:$F)</f>
        <v>3451538.2079999992</v>
      </c>
      <c r="E129" s="44">
        <f>SUMIF(ALIF_Y2016!$A:$A,$A129,ALIF_Y2016!$F:$F)</f>
        <v>-308503.00700000022</v>
      </c>
      <c r="F129" s="44">
        <f>SUMIF(ALIF_Y2017!$A:$A,$A129,ALIF_Y2017!$F:$F)</f>
        <v>4511064.8990000002</v>
      </c>
      <c r="G129" s="44">
        <f>SUMIF(ALIF_Y2018!$A:$A,$A129,ALIF_Y2018!$F:$F)</f>
        <v>2812229.9609999997</v>
      </c>
      <c r="H129" s="44">
        <f>SUMIF(ALIF_Y2019!$A:$A,$A129,ALIF_Y2019!$F:$F)</f>
        <v>5848.6270000003278</v>
      </c>
      <c r="I129" s="44">
        <f>SUMIF(ALIF_Y2020!$A:$A,$A129,ALIF_Y2020!$F:$F)</f>
        <v>183441.01800000016</v>
      </c>
      <c r="J129" s="44">
        <f>SUMIF(ALIF_Y2021!$A:$A,$A129,ALIF_Y2021!$F:$F)</f>
        <v>112876.32699999958</v>
      </c>
      <c r="K129" s="44">
        <f>SUMIF(ALIF_Y2022!$A:$A,$A129,ALIF_Y2022!$F:$F)</f>
        <v>-187745.85099999979</v>
      </c>
      <c r="L129" s="44">
        <f>SUMIF(ALIF_Y2023!$A:$A,$A129,ALIF_Y2023!$F:$F)</f>
        <v>46.610000000335276</v>
      </c>
      <c r="M129" s="44">
        <f>SUMIF(ALIF_Y2024!$A:$A,$A129,ALIF_Y2024!$F:$F)</f>
        <v>347.95</v>
      </c>
      <c r="N129" s="44">
        <f>SUMIF(ALIF_Y2025!$A:$A,$A129,ALIF_Y2025!$F:$F)</f>
        <v>40743.796999999999</v>
      </c>
      <c r="O129" s="44">
        <f>SUMIF(TB_Input_Alif!$A:$A,$A129,TB_Input_Alif!$F:$F)</f>
        <v>97531.551999999996</v>
      </c>
      <c r="P129" s="43" t="str">
        <f>_xlfn.XLOOKUP(A129,Map!A:A,Map!E:E)</f>
        <v>Direct Labor</v>
      </c>
      <c r="Q129" s="43" t="str">
        <f>_xlfn.XLOOKUP(A129,Map!A:A,Map!D:D)</f>
        <v>Cost of sales</v>
      </c>
    </row>
    <row r="130" spans="1:17" x14ac:dyDescent="0.25">
      <c r="A130" s="42">
        <v>510003</v>
      </c>
      <c r="B130" s="43" t="s">
        <v>947</v>
      </c>
      <c r="C130" s="44">
        <f>SUMIF(ALIF_Y2014!$A:$A,$A130,ALIF_Y2014!$F:$F)</f>
        <v>-18113542.969999999</v>
      </c>
      <c r="D130" s="44">
        <f>SUMIF(ALIF_Y2015!$A:$A,$A130,ALIF_Y2015!$F:$F)</f>
        <v>1325248.578</v>
      </c>
      <c r="E130" s="44">
        <f>SUMIF(ALIF_Y2016!$A:$A,$A130,ALIF_Y2016!$F:$F)</f>
        <v>3657409.64</v>
      </c>
      <c r="F130" s="44">
        <f>SUMIF(ALIF_Y2017!$A:$A,$A130,ALIF_Y2017!$F:$F)</f>
        <v>4377572.102</v>
      </c>
      <c r="G130" s="44">
        <f>SUMIF(ALIF_Y2018!$A:$A,$A130,ALIF_Y2018!$F:$F)</f>
        <v>1995023.0559999999</v>
      </c>
      <c r="H130" s="44">
        <f>SUMIF(ALIF_Y2019!$A:$A,$A130,ALIF_Y2019!$F:$F)</f>
        <v>3531316.7410000004</v>
      </c>
      <c r="I130" s="44">
        <f>SUMIF(ALIF_Y2020!$A:$A,$A130,ALIF_Y2020!$F:$F)</f>
        <v>4778893.585</v>
      </c>
      <c r="J130" s="44">
        <f>SUMIF(ALIF_Y2021!$A:$A,$A130,ALIF_Y2021!$F:$F)</f>
        <v>4080510.3629999999</v>
      </c>
      <c r="K130" s="44">
        <f>SUMIF(ALIF_Y2022!$A:$A,$A130,ALIF_Y2022!$F:$F)</f>
        <v>4981820.716</v>
      </c>
      <c r="L130" s="44">
        <f>SUMIF(ALIF_Y2023!$A:$A,$A130,ALIF_Y2023!$F:$F)</f>
        <v>2511702.1399999997</v>
      </c>
      <c r="M130" s="44">
        <f>SUMIF(ALIF_Y2024!$A:$A,$A130,ALIF_Y2024!$F:$F)</f>
        <v>3795835.0070000002</v>
      </c>
      <c r="N130" s="44">
        <f>SUMIF(ALIF_Y2025!$A:$A,$A130,ALIF_Y2025!$F:$F)</f>
        <v>2720663.6839999999</v>
      </c>
      <c r="O130" s="44">
        <f>SUMIF(TB_Input_Alif!$A:$A,$A130,TB_Input_Alif!$F:$F)</f>
        <v>1630238.787</v>
      </c>
      <c r="P130" s="43" t="str">
        <f>_xlfn.XLOOKUP(A130,Map!A:A,Map!E:E)</f>
        <v>Raw materials</v>
      </c>
      <c r="Q130" s="43" t="str">
        <f>_xlfn.XLOOKUP(A130,Map!A:A,Map!D:D)</f>
        <v>Cost of sales</v>
      </c>
    </row>
    <row r="131" spans="1:17" x14ac:dyDescent="0.25">
      <c r="A131" s="42">
        <v>510004</v>
      </c>
      <c r="B131" s="43" t="s">
        <v>948</v>
      </c>
      <c r="C131" s="44">
        <f>SUMIF(ALIF_Y2014!$A:$A,$A131,ALIF_Y2014!$F:$F)</f>
        <v>15985433.653999997</v>
      </c>
      <c r="D131" s="44">
        <f>SUMIF(ALIF_Y2015!$A:$A,$A131,ALIF_Y2015!$F:$F)</f>
        <v>-6054184.4519999996</v>
      </c>
      <c r="E131" s="44">
        <f>SUMIF(ALIF_Y2016!$A:$A,$A131,ALIF_Y2016!$F:$F)</f>
        <v>7437818.8510000026</v>
      </c>
      <c r="F131" s="44">
        <f>SUMIF(ALIF_Y2017!$A:$A,$A131,ALIF_Y2017!$F:$F)</f>
        <v>2422766.2619999973</v>
      </c>
      <c r="G131" s="44">
        <f>SUMIF(ALIF_Y2018!$A:$A,$A131,ALIF_Y2018!$F:$F)</f>
        <v>7349263.2059999993</v>
      </c>
      <c r="H131" s="44">
        <f>SUMIF(ALIF_Y2019!$A:$A,$A131,ALIF_Y2019!$F:$F)</f>
        <v>3238760.5439999998</v>
      </c>
      <c r="I131" s="44">
        <f>SUMIF(ALIF_Y2020!$A:$A,$A131,ALIF_Y2020!$F:$F)</f>
        <v>9369930.3929999992</v>
      </c>
      <c r="J131" s="44">
        <f>SUMIF(ALIF_Y2021!$A:$A,$A131,ALIF_Y2021!$F:$F)</f>
        <v>6384869.1569999978</v>
      </c>
      <c r="K131" s="44">
        <f>SUMIF(ALIF_Y2022!$A:$A,$A131,ALIF_Y2022!$F:$F)</f>
        <v>5432497.9960000031</v>
      </c>
      <c r="L131" s="44">
        <f>SUMIF(ALIF_Y2023!$A:$A,$A131,ALIF_Y2023!$F:$F)</f>
        <v>3246646.4570000004</v>
      </c>
      <c r="M131" s="44">
        <f>SUMIF(ALIF_Y2024!$A:$A,$A131,ALIF_Y2024!$F:$F)</f>
        <v>-2E-3</v>
      </c>
      <c r="N131" s="44">
        <f>SUMIF(ALIF_Y2025!$A:$A,$A131,ALIF_Y2025!$F:$F)</f>
        <v>5782256.3310000002</v>
      </c>
      <c r="O131" s="44">
        <f>SUMIF(TB_Input_Alif!$A:$A,$A131,TB_Input_Alif!$F:$F)</f>
        <v>3945561.0090000001</v>
      </c>
      <c r="P131" s="43" t="str">
        <f>_xlfn.XLOOKUP(A131,Map!A:A,Map!E:E)</f>
        <v>Raw materials</v>
      </c>
      <c r="Q131" s="43" t="str">
        <f>_xlfn.XLOOKUP(A131,Map!A:A,Map!D:D)</f>
        <v>Cost of sales</v>
      </c>
    </row>
    <row r="132" spans="1:17" x14ac:dyDescent="0.25">
      <c r="A132" s="42">
        <v>510005</v>
      </c>
      <c r="B132" s="43" t="s">
        <v>949</v>
      </c>
      <c r="C132" s="44">
        <f>SUMIF(ALIF_Y2014!$A:$A,$A132,ALIF_Y2014!$F:$F)</f>
        <v>-201961.04500000001</v>
      </c>
      <c r="D132" s="44">
        <f>SUMIF(ALIF_Y2015!$A:$A,$A132,ALIF_Y2015!$F:$F)</f>
        <v>0</v>
      </c>
      <c r="E132" s="44">
        <f>SUMIF(ALIF_Y2016!$A:$A,$A132,ALIF_Y2016!$F:$F)</f>
        <v>6872.9129999999996</v>
      </c>
      <c r="F132" s="44">
        <f>SUMIF(ALIF_Y2017!$A:$A,$A132,ALIF_Y2017!$F:$F)</f>
        <v>44384.302000000003</v>
      </c>
      <c r="G132" s="44">
        <f>SUMIF(ALIF_Y2018!$A:$A,$A132,ALIF_Y2018!$F:$F)</f>
        <v>0</v>
      </c>
      <c r="H132" s="44">
        <f>SUMIF(ALIF_Y2019!$A:$A,$A132,ALIF_Y2019!$F:$F)</f>
        <v>2.4980000000000002</v>
      </c>
      <c r="I132" s="44">
        <f>SUMIF(ALIF_Y2020!$A:$A,$A132,ALIF_Y2020!$F:$F)</f>
        <v>-26968.514999999999</v>
      </c>
      <c r="J132" s="44">
        <f>SUMIF(ALIF_Y2021!$A:$A,$A132,ALIF_Y2021!$F:$F)</f>
        <v>39483.442999999999</v>
      </c>
      <c r="K132" s="44">
        <f>SUMIF(ALIF_Y2022!$A:$A,$A132,ALIF_Y2022!$F:$F)</f>
        <v>-400000</v>
      </c>
      <c r="L132" s="44">
        <f>SUMIF(ALIF_Y2023!$A:$A,$A132,ALIF_Y2023!$F:$F)</f>
        <v>-83096.134000000005</v>
      </c>
      <c r="M132" s="44">
        <f>SUMIF(ALIF_Y2024!$A:$A,$A132,ALIF_Y2024!$F:$F)</f>
        <v>0</v>
      </c>
      <c r="N132" s="44">
        <f>SUMIF(ALIF_Y2025!$A:$A,$A132,ALIF_Y2025!$F:$F)</f>
        <v>0</v>
      </c>
      <c r="O132" s="44">
        <f>SUMIF(TB_Input_Alif!$A:$A,$A132,TB_Input_Alif!$F:$F)</f>
        <v>1670556.757</v>
      </c>
      <c r="P132" s="43" t="str">
        <f>_xlfn.XLOOKUP(A132,Map!A:A,Map!E:E)</f>
        <v>Raw materials</v>
      </c>
      <c r="Q132" s="43" t="str">
        <f>_xlfn.XLOOKUP(A132,Map!A:A,Map!D:D)</f>
        <v>Cost of sales</v>
      </c>
    </row>
    <row r="133" spans="1:17" x14ac:dyDescent="0.25">
      <c r="A133" s="42">
        <v>520001</v>
      </c>
      <c r="B133" s="43" t="s">
        <v>950</v>
      </c>
      <c r="C133" s="44">
        <f>SUMIF(ALIF_Y2014!$A:$A,$A133,ALIF_Y2014!$F:$F)</f>
        <v>966530.38100000005</v>
      </c>
      <c r="D133" s="44">
        <f>SUMIF(ALIF_Y2015!$A:$A,$A133,ALIF_Y2015!$F:$F)</f>
        <v>1177551.9980000001</v>
      </c>
      <c r="E133" s="44">
        <f>SUMIF(ALIF_Y2016!$A:$A,$A133,ALIF_Y2016!$F:$F)</f>
        <v>2479855.5</v>
      </c>
      <c r="F133" s="44">
        <f>SUMIF(ALIF_Y2017!$A:$A,$A133,ALIF_Y2017!$F:$F)</f>
        <v>2796491.37</v>
      </c>
      <c r="G133" s="44">
        <f>SUMIF(ALIF_Y2018!$A:$A,$A133,ALIF_Y2018!$F:$F)</f>
        <v>1418257.17</v>
      </c>
      <c r="H133" s="44">
        <f>SUMIF(ALIF_Y2019!$A:$A,$A133,ALIF_Y2019!$F:$F)</f>
        <v>3727041</v>
      </c>
      <c r="I133" s="44">
        <f>SUMIF(ALIF_Y2020!$A:$A,$A133,ALIF_Y2020!$F:$F)</f>
        <v>3058090.8769999999</v>
      </c>
      <c r="J133" s="44">
        <f>SUMIF(ALIF_Y2021!$A:$A,$A133,ALIF_Y2021!$F:$F)</f>
        <v>3868161</v>
      </c>
      <c r="K133" s="44">
        <f>SUMIF(ALIF_Y2022!$A:$A,$A133,ALIF_Y2022!$F:$F)</f>
        <v>5372483.4299999997</v>
      </c>
      <c r="L133" s="44">
        <f>SUMIF(ALIF_Y2023!$A:$A,$A133,ALIF_Y2023!$F:$F)</f>
        <v>3511854.3699999996</v>
      </c>
      <c r="M133" s="44">
        <f>SUMIF(ALIF_Y2024!$A:$A,$A133,ALIF_Y2024!$F:$F)</f>
        <v>4870407.82</v>
      </c>
      <c r="N133" s="44">
        <f>SUMIF(ALIF_Y2025!$A:$A,$A133,ALIF_Y2025!$F:$F)</f>
        <v>3940980.06</v>
      </c>
      <c r="O133" s="44">
        <f>SUMIF(TB_Input_Alif!$A:$A,$A133,TB_Input_Alif!$F:$F)</f>
        <v>4324715.068</v>
      </c>
      <c r="P133" s="43" t="str">
        <f>_xlfn.XLOOKUP(A133,Map!A:A,Map!E:E)</f>
        <v>Direct Labor</v>
      </c>
      <c r="Q133" s="43" t="str">
        <f>_xlfn.XLOOKUP(A133,Map!A:A,Map!D:D)</f>
        <v>Cost of sales</v>
      </c>
    </row>
    <row r="134" spans="1:17" x14ac:dyDescent="0.25">
      <c r="A134" s="42">
        <v>520002</v>
      </c>
      <c r="B134" s="43" t="s">
        <v>951</v>
      </c>
      <c r="C134" s="44">
        <f>SUMIF(ALIF_Y2014!$A:$A,$A134,ALIF_Y2014!$F:$F)</f>
        <v>743</v>
      </c>
      <c r="D134" s="44">
        <f>SUMIF(ALIF_Y2015!$A:$A,$A134,ALIF_Y2015!$F:$F)</f>
        <v>0</v>
      </c>
      <c r="E134" s="44">
        <f>SUMIF(ALIF_Y2016!$A:$A,$A134,ALIF_Y2016!$F:$F)</f>
        <v>29627.329000000002</v>
      </c>
      <c r="F134" s="44">
        <f>SUMIF(ALIF_Y2017!$A:$A,$A134,ALIF_Y2017!$F:$F)</f>
        <v>0</v>
      </c>
      <c r="G134" s="44">
        <f>SUMIF(ALIF_Y2018!$A:$A,$A134,ALIF_Y2018!$F:$F)</f>
        <v>58352</v>
      </c>
      <c r="H134" s="44">
        <f>SUMIF(ALIF_Y2019!$A:$A,$A134,ALIF_Y2019!$F:$F)</f>
        <v>0</v>
      </c>
      <c r="I134" s="44">
        <f>SUMIF(ALIF_Y2020!$A:$A,$A134,ALIF_Y2020!$F:$F)</f>
        <v>0</v>
      </c>
      <c r="J134" s="44">
        <f>SUMIF(ALIF_Y2021!$A:$A,$A134,ALIF_Y2021!$F:$F)</f>
        <v>0</v>
      </c>
      <c r="K134" s="44">
        <f>SUMIF(ALIF_Y2022!$A:$A,$A134,ALIF_Y2022!$F:$F)</f>
        <v>0</v>
      </c>
      <c r="L134" s="44">
        <f>SUMIF(ALIF_Y2023!$A:$A,$A134,ALIF_Y2023!$F:$F)</f>
        <v>0</v>
      </c>
      <c r="M134" s="44">
        <f>SUMIF(ALIF_Y2024!$A:$A,$A134,ALIF_Y2024!$F:$F)</f>
        <v>0</v>
      </c>
      <c r="N134" s="44">
        <f>SUMIF(ALIF_Y2025!$A:$A,$A134,ALIF_Y2025!$F:$F)</f>
        <v>2045739.05</v>
      </c>
      <c r="O134" s="44">
        <f>SUMIF(TB_Input_Alif!$A:$A,$A134,TB_Input_Alif!$F:$F)</f>
        <v>1256111.0900000001</v>
      </c>
      <c r="P134" s="43" t="str">
        <f>_xlfn.XLOOKUP(A134,Map!A:A,Map!E:E)</f>
        <v>Direct Labor</v>
      </c>
      <c r="Q134" s="43" t="str">
        <f>_xlfn.XLOOKUP(A134,Map!A:A,Map!D:D)</f>
        <v>Cost of sales</v>
      </c>
    </row>
    <row r="135" spans="1:17" x14ac:dyDescent="0.25">
      <c r="A135" s="42">
        <v>520003</v>
      </c>
      <c r="B135" s="43" t="s">
        <v>952</v>
      </c>
      <c r="C135" s="44">
        <f>SUMIF(ALIF_Y2014!$A:$A,$A135,ALIF_Y2014!$F:$F)</f>
        <v>21622</v>
      </c>
      <c r="D135" s="44">
        <f>SUMIF(ALIF_Y2015!$A:$A,$A135,ALIF_Y2015!$F:$F)</f>
        <v>20430</v>
      </c>
      <c r="E135" s="44">
        <f>SUMIF(ALIF_Y2016!$A:$A,$A135,ALIF_Y2016!$F:$F)</f>
        <v>32627</v>
      </c>
      <c r="F135" s="44">
        <f>SUMIF(ALIF_Y2017!$A:$A,$A135,ALIF_Y2017!$F:$F)</f>
        <v>35338</v>
      </c>
      <c r="G135" s="44">
        <f>SUMIF(ALIF_Y2018!$A:$A,$A135,ALIF_Y2018!$F:$F)</f>
        <v>29792</v>
      </c>
      <c r="H135" s="44">
        <f>SUMIF(ALIF_Y2019!$A:$A,$A135,ALIF_Y2019!$F:$F)</f>
        <v>204511</v>
      </c>
      <c r="I135" s="44">
        <f>SUMIF(ALIF_Y2020!$A:$A,$A135,ALIF_Y2020!$F:$F)</f>
        <v>359720.33299999998</v>
      </c>
      <c r="J135" s="44">
        <f>SUMIF(ALIF_Y2021!$A:$A,$A135,ALIF_Y2021!$F:$F)</f>
        <v>344503</v>
      </c>
      <c r="K135" s="44">
        <f>SUMIF(ALIF_Y2022!$A:$A,$A135,ALIF_Y2022!$F:$F)</f>
        <v>513869.97000000003</v>
      </c>
      <c r="L135" s="44">
        <f>SUMIF(ALIF_Y2023!$A:$A,$A135,ALIF_Y2023!$F:$F)</f>
        <v>329306.02</v>
      </c>
      <c r="M135" s="44">
        <f>SUMIF(ALIF_Y2024!$A:$A,$A135,ALIF_Y2024!$F:$F)</f>
        <v>110281</v>
      </c>
      <c r="N135" s="44">
        <f>SUMIF(ALIF_Y2025!$A:$A,$A135,ALIF_Y2025!$F:$F)</f>
        <v>223538.4</v>
      </c>
      <c r="O135" s="44">
        <f>SUMIF(TB_Input_Alif!$A:$A,$A135,TB_Input_Alif!$F:$F)</f>
        <v>346705.01</v>
      </c>
      <c r="P135" s="43" t="str">
        <f>_xlfn.XLOOKUP(A135,Map!A:A,Map!E:E)</f>
        <v>Direct Labor</v>
      </c>
      <c r="Q135" s="43" t="str">
        <f>_xlfn.XLOOKUP(A135,Map!A:A,Map!D:D)</f>
        <v>Cost of sales</v>
      </c>
    </row>
    <row r="136" spans="1:17" x14ac:dyDescent="0.25">
      <c r="A136" s="42">
        <v>520004</v>
      </c>
      <c r="B136" s="43" t="s">
        <v>957</v>
      </c>
      <c r="C136" s="44">
        <f>SUMIF(ALIF_Y2014!$A:$A,$A136,ALIF_Y2014!$F:$F)</f>
        <v>54080.118999999999</v>
      </c>
      <c r="D136" s="44">
        <f>SUMIF(ALIF_Y2015!$A:$A,$A136,ALIF_Y2015!$F:$F)</f>
        <v>44173</v>
      </c>
      <c r="E136" s="44">
        <f>SUMIF(ALIF_Y2016!$A:$A,$A136,ALIF_Y2016!$F:$F)</f>
        <v>15052.5</v>
      </c>
      <c r="F136" s="44">
        <f>SUMIF(ALIF_Y2017!$A:$A,$A136,ALIF_Y2017!$F:$F)</f>
        <v>121299.5</v>
      </c>
      <c r="G136" s="44">
        <f>SUMIF(ALIF_Y2018!$A:$A,$A136,ALIF_Y2018!$F:$F)</f>
        <v>69880.5</v>
      </c>
      <c r="H136" s="44">
        <f>SUMIF(ALIF_Y2019!$A:$A,$A136,ALIF_Y2019!$F:$F)</f>
        <v>33676</v>
      </c>
      <c r="I136" s="44">
        <f>SUMIF(ALIF_Y2020!$A:$A,$A136,ALIF_Y2020!$F:$F)</f>
        <v>51062</v>
      </c>
      <c r="J136" s="44">
        <f>SUMIF(ALIF_Y2021!$A:$A,$A136,ALIF_Y2021!$F:$F)</f>
        <v>0</v>
      </c>
      <c r="K136" s="44">
        <f>SUMIF(ALIF_Y2022!$A:$A,$A136,ALIF_Y2022!$F:$F)</f>
        <v>0</v>
      </c>
      <c r="L136" s="44">
        <f>SUMIF(ALIF_Y2023!$A:$A,$A136,ALIF_Y2023!$F:$F)</f>
        <v>0</v>
      </c>
      <c r="M136" s="44">
        <f>SUMIF(ALIF_Y2024!$A:$A,$A136,ALIF_Y2024!$F:$F)</f>
        <v>0</v>
      </c>
      <c r="N136" s="44">
        <f>SUMIF(ALIF_Y2025!$A:$A,$A136,ALIF_Y2025!$F:$F)</f>
        <v>248902</v>
      </c>
      <c r="O136" s="44">
        <f>SUMIF(TB_Input_Alif!$A:$A,$A136,TB_Input_Alif!$F:$F)</f>
        <v>0</v>
      </c>
      <c r="P136" s="43" t="str">
        <f>_xlfn.XLOOKUP(A136,Map!A:A,Map!E:E)</f>
        <v>Direct Labor</v>
      </c>
      <c r="Q136" s="43" t="str">
        <f>_xlfn.XLOOKUP(A136,Map!A:A,Map!D:D)</f>
        <v>Cost of sales</v>
      </c>
    </row>
    <row r="137" spans="1:17" x14ac:dyDescent="0.25">
      <c r="A137" s="42">
        <v>520005</v>
      </c>
      <c r="B137" s="43" t="s">
        <v>954</v>
      </c>
      <c r="C137" s="44">
        <f>SUMIF(ALIF_Y2014!$A:$A,$A137,ALIF_Y2014!$F:$F)</f>
        <v>2175</v>
      </c>
      <c r="D137" s="44">
        <f>SUMIF(ALIF_Y2015!$A:$A,$A137,ALIF_Y2015!$F:$F)</f>
        <v>0</v>
      </c>
      <c r="E137" s="44">
        <f>SUMIF(ALIF_Y2016!$A:$A,$A137,ALIF_Y2016!$F:$F)</f>
        <v>0</v>
      </c>
      <c r="F137" s="44">
        <f>SUMIF(ALIF_Y2017!$A:$A,$A137,ALIF_Y2017!$F:$F)</f>
        <v>0</v>
      </c>
      <c r="G137" s="44">
        <f>SUMIF(ALIF_Y2018!$A:$A,$A137,ALIF_Y2018!$F:$F)</f>
        <v>0</v>
      </c>
      <c r="H137" s="44">
        <f>SUMIF(ALIF_Y2019!$A:$A,$A137,ALIF_Y2019!$F:$F)</f>
        <v>0</v>
      </c>
      <c r="I137" s="44">
        <f>SUMIF(ALIF_Y2020!$A:$A,$A137,ALIF_Y2020!$F:$F)</f>
        <v>0</v>
      </c>
      <c r="J137" s="44">
        <f>SUMIF(ALIF_Y2021!$A:$A,$A137,ALIF_Y2021!$F:$F)</f>
        <v>185417</v>
      </c>
      <c r="K137" s="44">
        <f>SUMIF(ALIF_Y2022!$A:$A,$A137,ALIF_Y2022!$F:$F)</f>
        <v>343054.47499999998</v>
      </c>
      <c r="L137" s="44">
        <f>SUMIF(ALIF_Y2023!$A:$A,$A137,ALIF_Y2023!$F:$F)</f>
        <v>114314.51000000001</v>
      </c>
      <c r="M137" s="44">
        <f>SUMIF(ALIF_Y2024!$A:$A,$A137,ALIF_Y2024!$F:$F)</f>
        <v>0</v>
      </c>
      <c r="N137" s="44">
        <f>SUMIF(ALIF_Y2025!$A:$A,$A137,ALIF_Y2025!$F:$F)</f>
        <v>9263.3940000000002</v>
      </c>
      <c r="O137" s="44">
        <f>SUMIF(TB_Input_Alif!$A:$A,$A137,TB_Input_Alif!$F:$F)</f>
        <v>459007.38</v>
      </c>
      <c r="P137" s="43" t="str">
        <f>_xlfn.XLOOKUP(A137,Map!A:A,Map!E:E)</f>
        <v>Direct Labor</v>
      </c>
      <c r="Q137" s="43" t="str">
        <f>_xlfn.XLOOKUP(A137,Map!A:A,Map!D:D)</f>
        <v>Cost of sales</v>
      </c>
    </row>
    <row r="138" spans="1:17" x14ac:dyDescent="0.25">
      <c r="A138" s="42">
        <v>520006</v>
      </c>
      <c r="B138" s="43" t="s">
        <v>955</v>
      </c>
      <c r="C138" s="44">
        <f>SUMIF(ALIF_Y2014!$A:$A,$A138,ALIF_Y2014!$F:$F)</f>
        <v>126107.84999999999</v>
      </c>
      <c r="D138" s="44">
        <f>SUMIF(ALIF_Y2015!$A:$A,$A138,ALIF_Y2015!$F:$F)</f>
        <v>138822.36600000001</v>
      </c>
      <c r="E138" s="44">
        <f>SUMIF(ALIF_Y2016!$A:$A,$A138,ALIF_Y2016!$F:$F)</f>
        <v>205504.61</v>
      </c>
      <c r="F138" s="44">
        <f>SUMIF(ALIF_Y2017!$A:$A,$A138,ALIF_Y2017!$F:$F)</f>
        <v>257793.61</v>
      </c>
      <c r="G138" s="44">
        <f>SUMIF(ALIF_Y2018!$A:$A,$A138,ALIF_Y2018!$F:$F)</f>
        <v>111282</v>
      </c>
      <c r="H138" s="44">
        <f>SUMIF(ALIF_Y2019!$A:$A,$A138,ALIF_Y2019!$F:$F)</f>
        <v>222564</v>
      </c>
      <c r="I138" s="44">
        <f>SUMIF(ALIF_Y2020!$A:$A,$A138,ALIF_Y2020!$F:$F)</f>
        <v>285799.93099999998</v>
      </c>
      <c r="J138" s="44">
        <f>SUMIF(ALIF_Y2021!$A:$A,$A138,ALIF_Y2021!$F:$F)</f>
        <v>260976.54699999999</v>
      </c>
      <c r="K138" s="44">
        <f>SUMIF(ALIF_Y2022!$A:$A,$A138,ALIF_Y2022!$F:$F)</f>
        <v>334585.158</v>
      </c>
      <c r="L138" s="44">
        <f>SUMIF(ALIF_Y2023!$A:$A,$A138,ALIF_Y2023!$F:$F)</f>
        <v>289565.61300000001</v>
      </c>
      <c r="M138" s="44">
        <f>SUMIF(ALIF_Y2024!$A:$A,$A138,ALIF_Y2024!$F:$F)</f>
        <v>174982.03400000001</v>
      </c>
      <c r="N138" s="44">
        <f>SUMIF(ALIF_Y2025!$A:$A,$A138,ALIF_Y2025!$F:$F)</f>
        <v>217296.93700000001</v>
      </c>
      <c r="O138" s="44">
        <f>SUMIF(TB_Input_Alif!$A:$A,$A138,TB_Input_Alif!$F:$F)</f>
        <v>246704.14799999999</v>
      </c>
      <c r="P138" s="43" t="str">
        <f>_xlfn.XLOOKUP(A138,Map!A:A,Map!E:E)</f>
        <v>Direct Labor</v>
      </c>
      <c r="Q138" s="43" t="str">
        <f>_xlfn.XLOOKUP(A138,Map!A:A,Map!D:D)</f>
        <v>Cost of sales</v>
      </c>
    </row>
    <row r="139" spans="1:17" x14ac:dyDescent="0.25">
      <c r="A139" s="42">
        <v>520010</v>
      </c>
      <c r="B139" s="43" t="s">
        <v>956</v>
      </c>
      <c r="C139" s="44">
        <f>SUMIF(ALIF_Y2014!$A:$A,$A139,ALIF_Y2014!$F:$F)</f>
        <v>0</v>
      </c>
      <c r="D139" s="44">
        <f>SUMIF(ALIF_Y2015!$A:$A,$A139,ALIF_Y2015!$F:$F)</f>
        <v>0</v>
      </c>
      <c r="E139" s="44">
        <f>SUMIF(ALIF_Y2016!$A:$A,$A139,ALIF_Y2016!$F:$F)</f>
        <v>0</v>
      </c>
      <c r="F139" s="44">
        <f>SUMIF(ALIF_Y2017!$A:$A,$A139,ALIF_Y2017!$F:$F)</f>
        <v>0</v>
      </c>
      <c r="G139" s="44">
        <f>SUMIF(ALIF_Y2018!$A:$A,$A139,ALIF_Y2018!$F:$F)</f>
        <v>0</v>
      </c>
      <c r="H139" s="44">
        <f>SUMIF(ALIF_Y2019!$A:$A,$A139,ALIF_Y2019!$F:$F)</f>
        <v>0</v>
      </c>
      <c r="I139" s="44">
        <f>SUMIF(ALIF_Y2020!$A:$A,$A139,ALIF_Y2020!$F:$F)</f>
        <v>0</v>
      </c>
      <c r="J139" s="44">
        <f>SUMIF(ALIF_Y2021!$A:$A,$A139,ALIF_Y2021!$F:$F)</f>
        <v>0</v>
      </c>
      <c r="K139" s="44">
        <f>SUMIF(ALIF_Y2022!$A:$A,$A139,ALIF_Y2022!$F:$F)</f>
        <v>0</v>
      </c>
      <c r="L139" s="44">
        <f>SUMIF(ALIF_Y2023!$A:$A,$A139,ALIF_Y2023!$F:$F)</f>
        <v>0</v>
      </c>
      <c r="M139" s="44">
        <f>SUMIF(ALIF_Y2024!$A:$A,$A139,ALIF_Y2024!$F:$F)</f>
        <v>0</v>
      </c>
      <c r="N139" s="44">
        <f>SUMIF(ALIF_Y2025!$A:$A,$A139,ALIF_Y2025!$F:$F)</f>
        <v>0</v>
      </c>
      <c r="O139" s="44">
        <f>SUMIF(TB_Input_Alif!$A:$A,$A139,TB_Input_Alif!$F:$F)</f>
        <v>0</v>
      </c>
      <c r="P139" s="43" t="str">
        <f>_xlfn.XLOOKUP(A139,Map!A:A,Map!E:E)</f>
        <v>Direct Labor</v>
      </c>
      <c r="Q139" s="43" t="str">
        <f>_xlfn.XLOOKUP(A139,Map!A:A,Map!D:D)</f>
        <v>Cost of sales</v>
      </c>
    </row>
    <row r="140" spans="1:17" x14ac:dyDescent="0.25">
      <c r="A140" s="42">
        <v>520011</v>
      </c>
      <c r="B140" s="43" t="s">
        <v>951</v>
      </c>
      <c r="C140" s="44">
        <f>SUMIF(ALIF_Y2014!$A:$A,$A140,ALIF_Y2014!$F:$F)</f>
        <v>209594.5</v>
      </c>
      <c r="D140" s="44">
        <f>SUMIF(ALIF_Y2015!$A:$A,$A140,ALIF_Y2015!$F:$F)</f>
        <v>117198</v>
      </c>
      <c r="E140" s="44">
        <f>SUMIF(ALIF_Y2016!$A:$A,$A140,ALIF_Y2016!$F:$F)</f>
        <v>264612</v>
      </c>
      <c r="F140" s="44">
        <f>SUMIF(ALIF_Y2017!$A:$A,$A140,ALIF_Y2017!$F:$F)</f>
        <v>319805</v>
      </c>
      <c r="G140" s="44">
        <f>SUMIF(ALIF_Y2018!$A:$A,$A140,ALIF_Y2018!$F:$F)</f>
        <v>179098</v>
      </c>
      <c r="H140" s="44">
        <f>SUMIF(ALIF_Y2019!$A:$A,$A140,ALIF_Y2019!$F:$F)</f>
        <v>424845</v>
      </c>
      <c r="I140" s="44">
        <f>SUMIF(ALIF_Y2020!$A:$A,$A140,ALIF_Y2020!$F:$F)</f>
        <v>638970.98</v>
      </c>
      <c r="J140" s="44">
        <f>SUMIF(ALIF_Y2021!$A:$A,$A140,ALIF_Y2021!$F:$F)</f>
        <v>1213529</v>
      </c>
      <c r="K140" s="44">
        <f>SUMIF(ALIF_Y2022!$A:$A,$A140,ALIF_Y2022!$F:$F)</f>
        <v>1189797.2</v>
      </c>
      <c r="L140" s="44">
        <f>SUMIF(ALIF_Y2023!$A:$A,$A140,ALIF_Y2023!$F:$F)</f>
        <v>0</v>
      </c>
      <c r="M140" s="44">
        <f>SUMIF(ALIF_Y2024!$A:$A,$A140,ALIF_Y2024!$F:$F)</f>
        <v>0</v>
      </c>
      <c r="N140" s="44">
        <f>SUMIF(ALIF_Y2025!$A:$A,$A140,ALIF_Y2025!$F:$F)</f>
        <v>0</v>
      </c>
      <c r="O140" s="44">
        <f>SUMIF(TB_Input_Alif!$A:$A,$A140,TB_Input_Alif!$F:$F)</f>
        <v>0</v>
      </c>
      <c r="P140" s="43" t="str">
        <f>_xlfn.XLOOKUP(A140,Map!A:A,Map!E:E)</f>
        <v>Direct Labor</v>
      </c>
      <c r="Q140" s="43" t="str">
        <f>_xlfn.XLOOKUP(A140,Map!A:A,Map!D:D)</f>
        <v>Cost of sales</v>
      </c>
    </row>
    <row r="141" spans="1:17" x14ac:dyDescent="0.25">
      <c r="A141" s="42">
        <v>520013</v>
      </c>
      <c r="B141" s="43" t="s">
        <v>957</v>
      </c>
      <c r="C141" s="44">
        <f>SUMIF(ALIF_Y2014!$A:$A,$A141,ALIF_Y2014!$F:$F)</f>
        <v>227</v>
      </c>
      <c r="D141" s="44">
        <f>SUMIF(ALIF_Y2015!$A:$A,$A141,ALIF_Y2015!$F:$F)</f>
        <v>0</v>
      </c>
      <c r="E141" s="44">
        <f>SUMIF(ALIF_Y2016!$A:$A,$A141,ALIF_Y2016!$F:$F)</f>
        <v>0</v>
      </c>
      <c r="F141" s="44">
        <f>SUMIF(ALIF_Y2017!$A:$A,$A141,ALIF_Y2017!$F:$F)</f>
        <v>0</v>
      </c>
      <c r="G141" s="44">
        <f>SUMIF(ALIF_Y2018!$A:$A,$A141,ALIF_Y2018!$F:$F)</f>
        <v>0</v>
      </c>
      <c r="H141" s="44">
        <f>SUMIF(ALIF_Y2019!$A:$A,$A141,ALIF_Y2019!$F:$F)</f>
        <v>0</v>
      </c>
      <c r="I141" s="44">
        <f>SUMIF(ALIF_Y2020!$A:$A,$A141,ALIF_Y2020!$F:$F)</f>
        <v>0</v>
      </c>
      <c r="J141" s="44">
        <f>SUMIF(ALIF_Y2021!$A:$A,$A141,ALIF_Y2021!$F:$F)</f>
        <v>0</v>
      </c>
      <c r="K141" s="44">
        <f>SUMIF(ALIF_Y2022!$A:$A,$A141,ALIF_Y2022!$F:$F)</f>
        <v>0</v>
      </c>
      <c r="L141" s="44">
        <f>SUMIF(ALIF_Y2023!$A:$A,$A141,ALIF_Y2023!$F:$F)</f>
        <v>0</v>
      </c>
      <c r="M141" s="44">
        <f>SUMIF(ALIF_Y2024!$A:$A,$A141,ALIF_Y2024!$F:$F)</f>
        <v>0</v>
      </c>
      <c r="N141" s="44">
        <f>SUMIF(ALIF_Y2025!$A:$A,$A141,ALIF_Y2025!$F:$F)</f>
        <v>0</v>
      </c>
      <c r="O141" s="44">
        <f>SUMIF(TB_Input_Alif!$A:$A,$A141,TB_Input_Alif!$F:$F)</f>
        <v>0</v>
      </c>
      <c r="P141" s="43" t="str">
        <f>_xlfn.XLOOKUP(A141,Map!A:A,Map!E:E)</f>
        <v>Direct Labor</v>
      </c>
      <c r="Q141" s="43" t="str">
        <f>_xlfn.XLOOKUP(A141,Map!A:A,Map!D:D)</f>
        <v>Cost of sales</v>
      </c>
    </row>
    <row r="142" spans="1:17" x14ac:dyDescent="0.25">
      <c r="A142" s="42">
        <v>520014</v>
      </c>
      <c r="B142" s="43" t="s">
        <v>954</v>
      </c>
      <c r="C142" s="44">
        <f>SUMIF(ALIF_Y2014!$A:$A,$A142,ALIF_Y2014!$F:$F)</f>
        <v>1350</v>
      </c>
      <c r="D142" s="44">
        <f>SUMIF(ALIF_Y2015!$A:$A,$A142,ALIF_Y2015!$F:$F)</f>
        <v>0</v>
      </c>
      <c r="E142" s="44">
        <f>SUMIF(ALIF_Y2016!$A:$A,$A142,ALIF_Y2016!$F:$F)</f>
        <v>0</v>
      </c>
      <c r="F142" s="44">
        <f>SUMIF(ALIF_Y2017!$A:$A,$A142,ALIF_Y2017!$F:$F)</f>
        <v>0</v>
      </c>
      <c r="G142" s="44">
        <f>SUMIF(ALIF_Y2018!$A:$A,$A142,ALIF_Y2018!$F:$F)</f>
        <v>0</v>
      </c>
      <c r="H142" s="44">
        <f>SUMIF(ALIF_Y2019!$A:$A,$A142,ALIF_Y2019!$F:$F)</f>
        <v>0</v>
      </c>
      <c r="I142" s="44">
        <f>SUMIF(ALIF_Y2020!$A:$A,$A142,ALIF_Y2020!$F:$F)</f>
        <v>0</v>
      </c>
      <c r="J142" s="44">
        <f>SUMIF(ALIF_Y2021!$A:$A,$A142,ALIF_Y2021!$F:$F)</f>
        <v>0</v>
      </c>
      <c r="K142" s="44">
        <f>SUMIF(ALIF_Y2022!$A:$A,$A142,ALIF_Y2022!$F:$F)</f>
        <v>0</v>
      </c>
      <c r="L142" s="44">
        <f>SUMIF(ALIF_Y2023!$A:$A,$A142,ALIF_Y2023!$F:$F)</f>
        <v>0</v>
      </c>
      <c r="M142" s="44">
        <f>SUMIF(ALIF_Y2024!$A:$A,$A142,ALIF_Y2024!$F:$F)</f>
        <v>0</v>
      </c>
      <c r="N142" s="44">
        <f>SUMIF(ALIF_Y2025!$A:$A,$A142,ALIF_Y2025!$F:$F)</f>
        <v>2811</v>
      </c>
      <c r="O142" s="44">
        <f>SUMIF(TB_Input_Alif!$A:$A,$A142,TB_Input_Alif!$F:$F)</f>
        <v>0</v>
      </c>
      <c r="P142" s="43" t="str">
        <f>_xlfn.XLOOKUP(A142,Map!A:A,Map!E:E)</f>
        <v>Direct Labor</v>
      </c>
      <c r="Q142" s="43" t="str">
        <f>_xlfn.XLOOKUP(A142,Map!A:A,Map!D:D)</f>
        <v>Cost of sales</v>
      </c>
    </row>
    <row r="143" spans="1:17" x14ac:dyDescent="0.25">
      <c r="A143" s="42">
        <v>520015</v>
      </c>
      <c r="B143" s="43" t="s">
        <v>958</v>
      </c>
      <c r="C143" s="44">
        <f>SUMIF(ALIF_Y2014!$A:$A,$A143,ALIF_Y2014!$F:$F)</f>
        <v>0</v>
      </c>
      <c r="D143" s="44">
        <f>SUMIF(ALIF_Y2015!$A:$A,$A143,ALIF_Y2015!$F:$F)</f>
        <v>0</v>
      </c>
      <c r="E143" s="44">
        <f>SUMIF(ALIF_Y2016!$A:$A,$A143,ALIF_Y2016!$F:$F)</f>
        <v>0</v>
      </c>
      <c r="F143" s="44">
        <f>SUMIF(ALIF_Y2017!$A:$A,$A143,ALIF_Y2017!$F:$F)</f>
        <v>0</v>
      </c>
      <c r="G143" s="44">
        <f>SUMIF(ALIF_Y2018!$A:$A,$A143,ALIF_Y2018!$F:$F)</f>
        <v>0</v>
      </c>
      <c r="H143" s="44">
        <f>SUMIF(ALIF_Y2019!$A:$A,$A143,ALIF_Y2019!$F:$F)</f>
        <v>0</v>
      </c>
      <c r="I143" s="44">
        <f>SUMIF(ALIF_Y2020!$A:$A,$A143,ALIF_Y2020!$F:$F)</f>
        <v>0</v>
      </c>
      <c r="J143" s="44">
        <f>SUMIF(ALIF_Y2021!$A:$A,$A143,ALIF_Y2021!$F:$F)</f>
        <v>119478</v>
      </c>
      <c r="K143" s="44">
        <f>SUMIF(ALIF_Y2022!$A:$A,$A143,ALIF_Y2022!$F:$F)</f>
        <v>0</v>
      </c>
      <c r="L143" s="44">
        <f>SUMIF(ALIF_Y2023!$A:$A,$A143,ALIF_Y2023!$F:$F)</f>
        <v>292511.38</v>
      </c>
      <c r="M143" s="44">
        <f>SUMIF(ALIF_Y2024!$A:$A,$A143,ALIF_Y2024!$F:$F)</f>
        <v>186576</v>
      </c>
      <c r="N143" s="44">
        <f>SUMIF(ALIF_Y2025!$A:$A,$A143,ALIF_Y2025!$F:$F)</f>
        <v>1213191.9069999999</v>
      </c>
      <c r="O143" s="44">
        <f>SUMIF(TB_Input_Alif!$A:$A,$A143,TB_Input_Alif!$F:$F)</f>
        <v>1080673.915</v>
      </c>
      <c r="P143" s="43" t="str">
        <f>_xlfn.XLOOKUP(A143,Map!A:A,Map!E:E)</f>
        <v>Direct Labor</v>
      </c>
      <c r="Q143" s="43" t="str">
        <f>_xlfn.XLOOKUP(A143,Map!A:A,Map!D:D)</f>
        <v>Cost of sales</v>
      </c>
    </row>
    <row r="144" spans="1:17" x14ac:dyDescent="0.25">
      <c r="A144" s="42">
        <v>520019</v>
      </c>
      <c r="B144" s="43" t="s">
        <v>960</v>
      </c>
      <c r="C144" s="44">
        <f>SUMIF(ALIF_Y2014!$A:$A,$A144,ALIF_Y2014!$F:$F)</f>
        <v>0</v>
      </c>
      <c r="D144" s="44">
        <f>SUMIF(ALIF_Y2015!$A:$A,$A144,ALIF_Y2015!$F:$F)</f>
        <v>0</v>
      </c>
      <c r="E144" s="44">
        <f>SUMIF(ALIF_Y2016!$A:$A,$A144,ALIF_Y2016!$F:$F)</f>
        <v>0</v>
      </c>
      <c r="F144" s="44">
        <f>SUMIF(ALIF_Y2017!$A:$A,$A144,ALIF_Y2017!$F:$F)</f>
        <v>0</v>
      </c>
      <c r="G144" s="44">
        <f>SUMIF(ALIF_Y2018!$A:$A,$A144,ALIF_Y2018!$F:$F)</f>
        <v>0</v>
      </c>
      <c r="H144" s="44">
        <f>SUMIF(ALIF_Y2019!$A:$A,$A144,ALIF_Y2019!$F:$F)</f>
        <v>0</v>
      </c>
      <c r="I144" s="44">
        <f>SUMIF(ALIF_Y2020!$A:$A,$A144,ALIF_Y2020!$F:$F)</f>
        <v>0</v>
      </c>
      <c r="J144" s="44">
        <f>SUMIF(ALIF_Y2021!$A:$A,$A144,ALIF_Y2021!$F:$F)</f>
        <v>0</v>
      </c>
      <c r="K144" s="44">
        <f>SUMIF(ALIF_Y2022!$A:$A,$A144,ALIF_Y2022!$F:$F)</f>
        <v>0</v>
      </c>
      <c r="L144" s="44">
        <f>SUMIF(ALIF_Y2023!$A:$A,$A144,ALIF_Y2023!$F:$F)</f>
        <v>0</v>
      </c>
      <c r="M144" s="44">
        <f>SUMIF(ALIF_Y2024!$A:$A,$A144,ALIF_Y2024!$F:$F)</f>
        <v>0</v>
      </c>
      <c r="N144" s="44">
        <f>SUMIF(ALIF_Y2025!$A:$A,$A144,ALIF_Y2025!$F:$F)</f>
        <v>1113364.5209999999</v>
      </c>
      <c r="O144" s="44">
        <f>SUMIF(TB_Input_Alif!$A:$A,$A144,TB_Input_Alif!$F:$F)</f>
        <v>1081482.108</v>
      </c>
      <c r="P144" s="43" t="str">
        <f>_xlfn.XLOOKUP(A144,Map!A:A,Map!E:E)</f>
        <v>Direct Labor</v>
      </c>
      <c r="Q144" s="43" t="str">
        <f>_xlfn.XLOOKUP(A144,Map!A:A,Map!D:D)</f>
        <v>Cost of sales</v>
      </c>
    </row>
    <row r="145" spans="1:17" x14ac:dyDescent="0.25">
      <c r="A145" s="42">
        <v>520021</v>
      </c>
      <c r="B145" s="43" t="s">
        <v>962</v>
      </c>
      <c r="C145" s="44">
        <f>SUMIF(ALIF_Y2014!$A:$A,$A145,ALIF_Y2014!$F:$F)</f>
        <v>29659.64</v>
      </c>
      <c r="D145" s="44">
        <f>SUMIF(ALIF_Y2015!$A:$A,$A145,ALIF_Y2015!$F:$F)</f>
        <v>14151.250000000002</v>
      </c>
      <c r="E145" s="44">
        <f>SUMIF(ALIF_Y2016!$A:$A,$A145,ALIF_Y2016!$F:$F)</f>
        <v>33413</v>
      </c>
      <c r="F145" s="44">
        <f>SUMIF(ALIF_Y2017!$A:$A,$A145,ALIF_Y2017!$F:$F)</f>
        <v>34941</v>
      </c>
      <c r="G145" s="44">
        <f>SUMIF(ALIF_Y2018!$A:$A,$A145,ALIF_Y2018!$F:$F)</f>
        <v>11607.28</v>
      </c>
      <c r="H145" s="44">
        <f>SUMIF(ALIF_Y2019!$A:$A,$A145,ALIF_Y2019!$F:$F)</f>
        <v>66506</v>
      </c>
      <c r="I145" s="44">
        <f>SUMIF(ALIF_Y2020!$A:$A,$A145,ALIF_Y2020!$F:$F)</f>
        <v>39595</v>
      </c>
      <c r="J145" s="44">
        <f>SUMIF(ALIF_Y2021!$A:$A,$A145,ALIF_Y2021!$F:$F)</f>
        <v>8608.1190000000006</v>
      </c>
      <c r="K145" s="44">
        <f>SUMIF(ALIF_Y2022!$A:$A,$A145,ALIF_Y2022!$F:$F)</f>
        <v>5404.2979999999998</v>
      </c>
      <c r="L145" s="44">
        <f>SUMIF(ALIF_Y2023!$A:$A,$A145,ALIF_Y2023!$F:$F)</f>
        <v>300</v>
      </c>
      <c r="M145" s="44">
        <f>SUMIF(ALIF_Y2024!$A:$A,$A145,ALIF_Y2024!$F:$F)</f>
        <v>0</v>
      </c>
      <c r="N145" s="44">
        <f>SUMIF(ALIF_Y2025!$A:$A,$A145,ALIF_Y2025!$F:$F)</f>
        <v>0</v>
      </c>
      <c r="O145" s="44">
        <f>SUMIF(TB_Input_Alif!$A:$A,$A145,TB_Input_Alif!$F:$F)</f>
        <v>0</v>
      </c>
      <c r="P145" s="43" t="str">
        <f>_xlfn.XLOOKUP(A145,Map!A:A,Map!E:E)</f>
        <v>Direct Labor</v>
      </c>
      <c r="Q145" s="43" t="str">
        <f>_xlfn.XLOOKUP(A145,Map!A:A,Map!D:D)</f>
        <v>Cost of sales</v>
      </c>
    </row>
    <row r="146" spans="1:17" x14ac:dyDescent="0.25">
      <c r="A146" s="42">
        <v>520022</v>
      </c>
      <c r="B146" s="43" t="s">
        <v>963</v>
      </c>
      <c r="C146" s="44">
        <f>SUMIF(ALIF_Y2014!$A:$A,$A146,ALIF_Y2014!$F:$F)</f>
        <v>0</v>
      </c>
      <c r="D146" s="44">
        <f>SUMIF(ALIF_Y2015!$A:$A,$A146,ALIF_Y2015!$F:$F)</f>
        <v>0</v>
      </c>
      <c r="E146" s="44">
        <f>SUMIF(ALIF_Y2016!$A:$A,$A146,ALIF_Y2016!$F:$F)</f>
        <v>0</v>
      </c>
      <c r="F146" s="44">
        <f>SUMIF(ALIF_Y2017!$A:$A,$A146,ALIF_Y2017!$F:$F)</f>
        <v>0</v>
      </c>
      <c r="G146" s="44">
        <f>SUMIF(ALIF_Y2018!$A:$A,$A146,ALIF_Y2018!$F:$F)</f>
        <v>0</v>
      </c>
      <c r="H146" s="44">
        <f>SUMIF(ALIF_Y2019!$A:$A,$A146,ALIF_Y2019!$F:$F)</f>
        <v>0</v>
      </c>
      <c r="I146" s="44">
        <f>SUMIF(ALIF_Y2020!$A:$A,$A146,ALIF_Y2020!$F:$F)</f>
        <v>0</v>
      </c>
      <c r="J146" s="44">
        <f>SUMIF(ALIF_Y2021!$A:$A,$A146,ALIF_Y2021!$F:$F)</f>
        <v>0</v>
      </c>
      <c r="K146" s="44">
        <f>SUMIF(ALIF_Y2022!$A:$A,$A146,ALIF_Y2022!$F:$F)</f>
        <v>0</v>
      </c>
      <c r="L146" s="44">
        <f>SUMIF(ALIF_Y2023!$A:$A,$A146,ALIF_Y2023!$F:$F)</f>
        <v>0</v>
      </c>
      <c r="M146" s="44">
        <f>SUMIF(ALIF_Y2024!$A:$A,$A146,ALIF_Y2024!$F:$F)</f>
        <v>0</v>
      </c>
      <c r="N146" s="44">
        <f>SUMIF(ALIF_Y2025!$A:$A,$A146,ALIF_Y2025!$F:$F)</f>
        <v>0</v>
      </c>
      <c r="O146" s="44">
        <f>SUMIF(TB_Input_Alif!$A:$A,$A146,TB_Input_Alif!$F:$F)</f>
        <v>18376.024000000001</v>
      </c>
      <c r="P146" s="43" t="str">
        <f>_xlfn.XLOOKUP(A146,Map!A:A,Map!E:E)</f>
        <v>Direct Labor</v>
      </c>
      <c r="Q146" s="43" t="str">
        <f>_xlfn.XLOOKUP(A146,Map!A:A,Map!D:D)</f>
        <v>Cost of sales</v>
      </c>
    </row>
    <row r="147" spans="1:17" x14ac:dyDescent="0.25">
      <c r="A147" s="42">
        <v>520023</v>
      </c>
      <c r="B147" s="43" t="s">
        <v>964</v>
      </c>
      <c r="C147" s="44">
        <f>SUMIF(ALIF_Y2014!$A:$A,$A147,ALIF_Y2014!$F:$F)</f>
        <v>0</v>
      </c>
      <c r="D147" s="44">
        <f>SUMIF(ALIF_Y2015!$A:$A,$A147,ALIF_Y2015!$F:$F)</f>
        <v>719.75</v>
      </c>
      <c r="E147" s="44">
        <f>SUMIF(ALIF_Y2016!$A:$A,$A147,ALIF_Y2016!$F:$F)</f>
        <v>0</v>
      </c>
      <c r="F147" s="44">
        <f>SUMIF(ALIF_Y2017!$A:$A,$A147,ALIF_Y2017!$F:$F)</f>
        <v>0</v>
      </c>
      <c r="G147" s="44">
        <f>SUMIF(ALIF_Y2018!$A:$A,$A147,ALIF_Y2018!$F:$F)</f>
        <v>0</v>
      </c>
      <c r="H147" s="44">
        <f>SUMIF(ALIF_Y2019!$A:$A,$A147,ALIF_Y2019!$F:$F)</f>
        <v>52202.400000000001</v>
      </c>
      <c r="I147" s="44">
        <f>SUMIF(ALIF_Y2020!$A:$A,$A147,ALIF_Y2020!$F:$F)</f>
        <v>0</v>
      </c>
      <c r="J147" s="44">
        <f>SUMIF(ALIF_Y2021!$A:$A,$A147,ALIF_Y2021!$F:$F)</f>
        <v>0</v>
      </c>
      <c r="K147" s="44">
        <f>SUMIF(ALIF_Y2022!$A:$A,$A147,ALIF_Y2022!$F:$F)</f>
        <v>0</v>
      </c>
      <c r="L147" s="44">
        <f>SUMIF(ALIF_Y2023!$A:$A,$A147,ALIF_Y2023!$F:$F)</f>
        <v>0</v>
      </c>
      <c r="M147" s="44">
        <f>SUMIF(ALIF_Y2024!$A:$A,$A147,ALIF_Y2024!$F:$F)</f>
        <v>0</v>
      </c>
      <c r="N147" s="44">
        <f>SUMIF(ALIF_Y2025!$A:$A,$A147,ALIF_Y2025!$F:$F)</f>
        <v>0</v>
      </c>
      <c r="O147" s="44">
        <f>SUMIF(TB_Input_Alif!$A:$A,$A147,TB_Input_Alif!$F:$F)</f>
        <v>0</v>
      </c>
      <c r="P147" s="43" t="str">
        <f>_xlfn.XLOOKUP(A147,Map!A:A,Map!E:E)</f>
        <v>Direct Labor</v>
      </c>
      <c r="Q147" s="43" t="str">
        <f>_xlfn.XLOOKUP(A147,Map!A:A,Map!D:D)</f>
        <v>Cost of sales</v>
      </c>
    </row>
    <row r="148" spans="1:17" x14ac:dyDescent="0.25">
      <c r="A148" s="42">
        <v>520032</v>
      </c>
      <c r="B148" s="43" t="s">
        <v>965</v>
      </c>
      <c r="C148" s="44">
        <f>SUMIF(ALIF_Y2014!$A:$A,$A148,ALIF_Y2014!$F:$F)</f>
        <v>0</v>
      </c>
      <c r="D148" s="44">
        <f>SUMIF(ALIF_Y2015!$A:$A,$A148,ALIF_Y2015!$F:$F)</f>
        <v>0</v>
      </c>
      <c r="E148" s="44">
        <f>SUMIF(ALIF_Y2016!$A:$A,$A148,ALIF_Y2016!$F:$F)</f>
        <v>0</v>
      </c>
      <c r="F148" s="44">
        <f>SUMIF(ALIF_Y2017!$A:$A,$A148,ALIF_Y2017!$F:$F)</f>
        <v>0</v>
      </c>
      <c r="G148" s="44">
        <f>SUMIF(ALIF_Y2018!$A:$A,$A148,ALIF_Y2018!$F:$F)</f>
        <v>0</v>
      </c>
      <c r="H148" s="44">
        <f>SUMIF(ALIF_Y2019!$A:$A,$A148,ALIF_Y2019!$F:$F)</f>
        <v>0</v>
      </c>
      <c r="I148" s="44">
        <f>SUMIF(ALIF_Y2020!$A:$A,$A148,ALIF_Y2020!$F:$F)</f>
        <v>0</v>
      </c>
      <c r="J148" s="44">
        <f>SUMIF(ALIF_Y2021!$A:$A,$A148,ALIF_Y2021!$F:$F)</f>
        <v>0</v>
      </c>
      <c r="K148" s="44">
        <f>SUMIF(ALIF_Y2022!$A:$A,$A148,ALIF_Y2022!$F:$F)</f>
        <v>0</v>
      </c>
      <c r="L148" s="44">
        <f>SUMIF(ALIF_Y2023!$A:$A,$A148,ALIF_Y2023!$F:$F)</f>
        <v>0</v>
      </c>
      <c r="M148" s="44">
        <f>SUMIF(ALIF_Y2024!$A:$A,$A148,ALIF_Y2024!$F:$F)</f>
        <v>0</v>
      </c>
      <c r="N148" s="44">
        <f>SUMIF(ALIF_Y2025!$A:$A,$A148,ALIF_Y2025!$F:$F)</f>
        <v>0</v>
      </c>
      <c r="O148" s="44">
        <f>SUMIF(TB_Input_Alif!$A:$A,$A148,TB_Input_Alif!$F:$F)</f>
        <v>0</v>
      </c>
      <c r="P148" s="43" t="str">
        <f>_xlfn.XLOOKUP(A148,Map!A:A,Map!E:E)</f>
        <v>Raw materials</v>
      </c>
      <c r="Q148" s="43" t="str">
        <f>_xlfn.XLOOKUP(A148,Map!A:A,Map!D:D)</f>
        <v>Cost of sales</v>
      </c>
    </row>
    <row r="149" spans="1:17" x14ac:dyDescent="0.25">
      <c r="A149" s="42">
        <v>520036</v>
      </c>
      <c r="B149" s="43" t="s">
        <v>966</v>
      </c>
      <c r="C149" s="44">
        <f>SUMIF(ALIF_Y2014!$A:$A,$A149,ALIF_Y2014!$F:$F)</f>
        <v>0</v>
      </c>
      <c r="D149" s="44">
        <f>SUMIF(ALIF_Y2015!$A:$A,$A149,ALIF_Y2015!$F:$F)</f>
        <v>0</v>
      </c>
      <c r="E149" s="44">
        <f>SUMIF(ALIF_Y2016!$A:$A,$A149,ALIF_Y2016!$F:$F)</f>
        <v>-1.6000000000000004E-2</v>
      </c>
      <c r="F149" s="44">
        <f>SUMIF(ALIF_Y2017!$A:$A,$A149,ALIF_Y2017!$F:$F)</f>
        <v>-1.4999999999999999E-2</v>
      </c>
      <c r="G149" s="44">
        <f>SUMIF(ALIF_Y2018!$A:$A,$A149,ALIF_Y2018!$F:$F)</f>
        <v>-2.7E-2</v>
      </c>
      <c r="H149" s="44">
        <f>SUMIF(ALIF_Y2019!$A:$A,$A149,ALIF_Y2019!$F:$F)</f>
        <v>-0.11600000000000001</v>
      </c>
      <c r="I149" s="44">
        <f>SUMIF(ALIF_Y2020!$A:$A,$A149,ALIF_Y2020!$F:$F)</f>
        <v>-4.4999999999999998E-2</v>
      </c>
      <c r="J149" s="44">
        <f>SUMIF(ALIF_Y2021!$A:$A,$A149,ALIF_Y2021!$F:$F)</f>
        <v>-3.7999999999999999E-2</v>
      </c>
      <c r="K149" s="44">
        <f>SUMIF(ALIF_Y2022!$A:$A,$A149,ALIF_Y2022!$F:$F)</f>
        <v>-0.124</v>
      </c>
      <c r="L149" s="44">
        <f>SUMIF(ALIF_Y2023!$A:$A,$A149,ALIF_Y2023!$F:$F)</f>
        <v>1.2E-2</v>
      </c>
      <c r="M149" s="44">
        <f>SUMIF(ALIF_Y2024!$A:$A,$A149,ALIF_Y2024!$F:$F)</f>
        <v>-3.6999999999999998E-2</v>
      </c>
      <c r="N149" s="44">
        <f>SUMIF(ALIF_Y2025!$A:$A,$A149,ALIF_Y2025!$F:$F)</f>
        <v>-0.68500000000000005</v>
      </c>
      <c r="O149" s="44">
        <f>SUMIF(TB_Input_Alif!$A:$A,$A149,TB_Input_Alif!$F:$F)</f>
        <v>-0.151</v>
      </c>
      <c r="P149" s="43" t="str">
        <f>_xlfn.XLOOKUP(A149,Map!A:A,Map!E:E)</f>
        <v>Raw materials</v>
      </c>
      <c r="Q149" s="43" t="str">
        <f>_xlfn.XLOOKUP(A149,Map!A:A,Map!D:D)</f>
        <v>Cost of sales</v>
      </c>
    </row>
    <row r="150" spans="1:17" x14ac:dyDescent="0.25">
      <c r="A150" s="42">
        <v>520037</v>
      </c>
      <c r="B150" s="43" t="s">
        <v>967</v>
      </c>
      <c r="C150" s="44">
        <f>SUMIF(ALIF_Y2014!$A:$A,$A150,ALIF_Y2014!$F:$F)</f>
        <v>41329.161</v>
      </c>
      <c r="D150" s="44">
        <f>SUMIF(ALIF_Y2015!$A:$A,$A150,ALIF_Y2015!$F:$F)</f>
        <v>0</v>
      </c>
      <c r="E150" s="44">
        <f>SUMIF(ALIF_Y2016!$A:$A,$A150,ALIF_Y2016!$F:$F)</f>
        <v>-53857.501000000004</v>
      </c>
      <c r="F150" s="44">
        <f>SUMIF(ALIF_Y2017!$A:$A,$A150,ALIF_Y2017!$F:$F)</f>
        <v>-161768.13</v>
      </c>
      <c r="G150" s="44">
        <f>SUMIF(ALIF_Y2018!$A:$A,$A150,ALIF_Y2018!$F:$F)</f>
        <v>180331.288</v>
      </c>
      <c r="H150" s="44">
        <f>SUMIF(ALIF_Y2019!$A:$A,$A150,ALIF_Y2019!$F:$F)</f>
        <v>922472.60699999996</v>
      </c>
      <c r="I150" s="44">
        <f>SUMIF(ALIF_Y2020!$A:$A,$A150,ALIF_Y2020!$F:$F)</f>
        <v>891090.79</v>
      </c>
      <c r="J150" s="44">
        <f>SUMIF(ALIF_Y2021!$A:$A,$A150,ALIF_Y2021!$F:$F)</f>
        <v>-3705.01</v>
      </c>
      <c r="K150" s="44">
        <f>SUMIF(ALIF_Y2022!$A:$A,$A150,ALIF_Y2022!$F:$F)</f>
        <v>-1.4320000000000002</v>
      </c>
      <c r="L150" s="44">
        <f>SUMIF(ALIF_Y2023!$A:$A,$A150,ALIF_Y2023!$F:$F)</f>
        <v>99002.95</v>
      </c>
      <c r="M150" s="44">
        <f>SUMIF(ALIF_Y2024!$A:$A,$A150,ALIF_Y2024!$F:$F)</f>
        <v>491473.29300000001</v>
      </c>
      <c r="N150" s="44">
        <f>SUMIF(ALIF_Y2025!$A:$A,$A150,ALIF_Y2025!$F:$F)</f>
        <v>1567396.0330000001</v>
      </c>
      <c r="O150" s="44">
        <f>SUMIF(TB_Input_Alif!$A:$A,$A150,TB_Input_Alif!$F:$F)</f>
        <v>859719.223</v>
      </c>
      <c r="P150" s="43" t="str">
        <f>_xlfn.XLOOKUP(A150,Map!A:A,Map!E:E)</f>
        <v>Raw materials</v>
      </c>
      <c r="Q150" s="43" t="str">
        <f>_xlfn.XLOOKUP(A150,Map!A:A,Map!D:D)</f>
        <v>Cost of sales</v>
      </c>
    </row>
    <row r="151" spans="1:17" x14ac:dyDescent="0.25">
      <c r="A151" s="42">
        <v>520039</v>
      </c>
      <c r="B151" s="43" t="s">
        <v>968</v>
      </c>
      <c r="C151" s="44">
        <f>SUMIF(ALIF_Y2014!$A:$A,$A151,ALIF_Y2014!$F:$F)</f>
        <v>0</v>
      </c>
      <c r="D151" s="44">
        <f>SUMIF(ALIF_Y2015!$A:$A,$A151,ALIF_Y2015!$F:$F)</f>
        <v>0</v>
      </c>
      <c r="E151" s="44">
        <f>SUMIF(ALIF_Y2016!$A:$A,$A151,ALIF_Y2016!$F:$F)</f>
        <v>0</v>
      </c>
      <c r="F151" s="44">
        <f>SUMIF(ALIF_Y2017!$A:$A,$A151,ALIF_Y2017!$F:$F)</f>
        <v>0</v>
      </c>
      <c r="G151" s="44">
        <f>SUMIF(ALIF_Y2018!$A:$A,$A151,ALIF_Y2018!$F:$F)</f>
        <v>0</v>
      </c>
      <c r="H151" s="44">
        <f>SUMIF(ALIF_Y2019!$A:$A,$A151,ALIF_Y2019!$F:$F)</f>
        <v>0</v>
      </c>
      <c r="I151" s="44">
        <f>SUMIF(ALIF_Y2020!$A:$A,$A151,ALIF_Y2020!$F:$F)</f>
        <v>0</v>
      </c>
      <c r="J151" s="44">
        <f>SUMIF(ALIF_Y2021!$A:$A,$A151,ALIF_Y2021!$F:$F)</f>
        <v>0</v>
      </c>
      <c r="K151" s="44">
        <f>SUMIF(ALIF_Y2022!$A:$A,$A151,ALIF_Y2022!$F:$F)</f>
        <v>0</v>
      </c>
      <c r="L151" s="44">
        <f>SUMIF(ALIF_Y2023!$A:$A,$A151,ALIF_Y2023!$F:$F)</f>
        <v>0</v>
      </c>
      <c r="M151" s="44">
        <f>SUMIF(ALIF_Y2024!$A:$A,$A151,ALIF_Y2024!$F:$F)</f>
        <v>0</v>
      </c>
      <c r="N151" s="44">
        <f>SUMIF(ALIF_Y2025!$A:$A,$A151,ALIF_Y2025!$F:$F)</f>
        <v>-44270.525999999998</v>
      </c>
      <c r="O151" s="44">
        <f>SUMIF(TB_Input_Alif!$A:$A,$A151,TB_Input_Alif!$F:$F)</f>
        <v>-102159.38800000001</v>
      </c>
      <c r="P151" s="43" t="str">
        <f>_xlfn.XLOOKUP(A151,Map!A:A,Map!E:E)</f>
        <v>Direct Labor</v>
      </c>
      <c r="Q151" s="43" t="str">
        <f>_xlfn.XLOOKUP(A151,Map!A:A,Map!D:D)</f>
        <v>Cost of sales</v>
      </c>
    </row>
    <row r="152" spans="1:17" x14ac:dyDescent="0.25">
      <c r="A152" s="42">
        <v>520040</v>
      </c>
      <c r="B152" s="43" t="s">
        <v>969</v>
      </c>
      <c r="C152" s="44">
        <f>SUMIF(ALIF_Y2014!$A:$A,$A152,ALIF_Y2014!$F:$F)</f>
        <v>-44940.302000000003</v>
      </c>
      <c r="D152" s="44">
        <f>SUMIF(ALIF_Y2015!$A:$A,$A152,ALIF_Y2015!$F:$F)</f>
        <v>0</v>
      </c>
      <c r="E152" s="44">
        <f>SUMIF(ALIF_Y2016!$A:$A,$A152,ALIF_Y2016!$F:$F)</f>
        <v>0</v>
      </c>
      <c r="F152" s="44">
        <f>SUMIF(ALIF_Y2017!$A:$A,$A152,ALIF_Y2017!$F:$F)</f>
        <v>0</v>
      </c>
      <c r="G152" s="44">
        <f>SUMIF(ALIF_Y2018!$A:$A,$A152,ALIF_Y2018!$F:$F)</f>
        <v>0</v>
      </c>
      <c r="H152" s="44">
        <f>SUMIF(ALIF_Y2019!$A:$A,$A152,ALIF_Y2019!$F:$F)</f>
        <v>0</v>
      </c>
      <c r="I152" s="44">
        <f>SUMIF(ALIF_Y2020!$A:$A,$A152,ALIF_Y2020!$F:$F)</f>
        <v>0</v>
      </c>
      <c r="J152" s="44">
        <f>SUMIF(ALIF_Y2021!$A:$A,$A152,ALIF_Y2021!$F:$F)</f>
        <v>126.342</v>
      </c>
      <c r="K152" s="44">
        <f>SUMIF(ALIF_Y2022!$A:$A,$A152,ALIF_Y2022!$F:$F)</f>
        <v>372.28899999999999</v>
      </c>
      <c r="L152" s="44">
        <f>SUMIF(ALIF_Y2023!$A:$A,$A152,ALIF_Y2023!$F:$F)</f>
        <v>0</v>
      </c>
      <c r="M152" s="44">
        <f>SUMIF(ALIF_Y2024!$A:$A,$A152,ALIF_Y2024!$F:$F)</f>
        <v>-78103.918000000005</v>
      </c>
      <c r="N152" s="44">
        <f>SUMIF(ALIF_Y2025!$A:$A,$A152,ALIF_Y2025!$F:$F)</f>
        <v>-332.78899999999999</v>
      </c>
      <c r="O152" s="44">
        <f>SUMIF(TB_Input_Alif!$A:$A,$A152,TB_Input_Alif!$F:$F)</f>
        <v>0</v>
      </c>
      <c r="P152" s="43" t="str">
        <f>_xlfn.XLOOKUP(A152,Map!A:A,Map!E:E)</f>
        <v>Raw materials</v>
      </c>
      <c r="Q152" s="43" t="str">
        <f>_xlfn.XLOOKUP(A152,Map!A:A,Map!D:D)</f>
        <v>Cost of sales</v>
      </c>
    </row>
    <row r="153" spans="1:17" x14ac:dyDescent="0.25">
      <c r="A153" s="42">
        <v>520041</v>
      </c>
      <c r="B153" s="43" t="s">
        <v>970</v>
      </c>
      <c r="C153" s="44">
        <f>SUMIF(ALIF_Y2014!$A:$A,$A153,ALIF_Y2014!$F:$F)</f>
        <v>-3951038.4169999999</v>
      </c>
      <c r="D153" s="44">
        <f>SUMIF(ALIF_Y2015!$A:$A,$A153,ALIF_Y2015!$F:$F)</f>
        <v>0</v>
      </c>
      <c r="E153" s="44">
        <f>SUMIF(ALIF_Y2016!$A:$A,$A153,ALIF_Y2016!$F:$F)</f>
        <v>-7273581.5319999997</v>
      </c>
      <c r="F153" s="44">
        <f>SUMIF(ALIF_Y2017!$A:$A,$A153,ALIF_Y2017!$F:$F)</f>
        <v>-9191982.3729999997</v>
      </c>
      <c r="G153" s="44">
        <f>SUMIF(ALIF_Y2018!$A:$A,$A153,ALIF_Y2018!$F:$F)</f>
        <v>-5083378.7910000002</v>
      </c>
      <c r="H153" s="44">
        <f>SUMIF(ALIF_Y2019!$A:$A,$A153,ALIF_Y2019!$F:$F)</f>
        <v>-13068657.573000001</v>
      </c>
      <c r="I153" s="44">
        <f>SUMIF(ALIF_Y2020!$A:$A,$A153,ALIF_Y2020!$F:$F)</f>
        <v>-9910741.7579999994</v>
      </c>
      <c r="J153" s="44">
        <f>SUMIF(ALIF_Y2021!$A:$A,$A153,ALIF_Y2021!$F:$F)</f>
        <v>-10520550.005000001</v>
      </c>
      <c r="K153" s="44">
        <f>SUMIF(ALIF_Y2022!$A:$A,$A153,ALIF_Y2022!$F:$F)</f>
        <v>-14000088.23</v>
      </c>
      <c r="L153" s="44">
        <f>SUMIF(ALIF_Y2023!$A:$A,$A153,ALIF_Y2023!$F:$F)</f>
        <v>-7931145.6780000003</v>
      </c>
      <c r="M153" s="44">
        <f>SUMIF(ALIF_Y2024!$A:$A,$A153,ALIF_Y2024!$F:$F)</f>
        <v>-9609341.4900000002</v>
      </c>
      <c r="N153" s="44">
        <f>SUMIF(ALIF_Y2025!$A:$A,$A153,ALIF_Y2025!$F:$F)</f>
        <v>-20001083.579999998</v>
      </c>
      <c r="O153" s="44">
        <f>SUMIF(TB_Input_Alif!$A:$A,$A153,TB_Input_Alif!$F:$F)</f>
        <v>-11493375.215</v>
      </c>
      <c r="P153" s="43" t="str">
        <f>_xlfn.XLOOKUP(A153,Map!A:A,Map!E:E)</f>
        <v>Raw materials</v>
      </c>
      <c r="Q153" s="43" t="str">
        <f>_xlfn.XLOOKUP(A153,Map!A:A,Map!D:D)</f>
        <v>Cost of sales</v>
      </c>
    </row>
    <row r="154" spans="1:17" x14ac:dyDescent="0.25">
      <c r="A154" s="42">
        <v>520042</v>
      </c>
      <c r="B154" s="43" t="s">
        <v>971</v>
      </c>
      <c r="C154" s="44">
        <f>SUMIF(ALIF_Y2014!$A:$A,$A154,ALIF_Y2014!$F:$F)</f>
        <v>-360013.37099999998</v>
      </c>
      <c r="D154" s="44">
        <f>SUMIF(ALIF_Y2015!$A:$A,$A154,ALIF_Y2015!$F:$F)</f>
        <v>0</v>
      </c>
      <c r="E154" s="44">
        <f>SUMIF(ALIF_Y2016!$A:$A,$A154,ALIF_Y2016!$F:$F)</f>
        <v>-968797.83799999999</v>
      </c>
      <c r="F154" s="44">
        <f>SUMIF(ALIF_Y2017!$A:$A,$A154,ALIF_Y2017!$F:$F)</f>
        <v>-292322.451</v>
      </c>
      <c r="G154" s="44">
        <f>SUMIF(ALIF_Y2018!$A:$A,$A154,ALIF_Y2018!$F:$F)</f>
        <v>-1236741.0900000001</v>
      </c>
      <c r="H154" s="44">
        <f>SUMIF(ALIF_Y2019!$A:$A,$A154,ALIF_Y2019!$F:$F)</f>
        <v>829316.42799999996</v>
      </c>
      <c r="I154" s="44">
        <f>SUMIF(ALIF_Y2020!$A:$A,$A154,ALIF_Y2020!$F:$F)</f>
        <v>872205.701</v>
      </c>
      <c r="J154" s="44">
        <f>SUMIF(ALIF_Y2021!$A:$A,$A154,ALIF_Y2021!$F:$F)</f>
        <v>-1093533.372</v>
      </c>
      <c r="K154" s="44">
        <f>SUMIF(ALIF_Y2022!$A:$A,$A154,ALIF_Y2022!$F:$F)</f>
        <v>989833.52599999995</v>
      </c>
      <c r="L154" s="44">
        <f>SUMIF(ALIF_Y2023!$A:$A,$A154,ALIF_Y2023!$F:$F)</f>
        <v>-585646.31799999997</v>
      </c>
      <c r="M154" s="44">
        <f>SUMIF(ALIF_Y2024!$A:$A,$A154,ALIF_Y2024!$F:$F)</f>
        <v>-1172809.0619999999</v>
      </c>
      <c r="N154" s="44">
        <f>SUMIF(ALIF_Y2025!$A:$A,$A154,ALIF_Y2025!$F:$F)</f>
        <v>-3017361.92</v>
      </c>
      <c r="O154" s="44">
        <f>SUMIF(TB_Input_Alif!$A:$A,$A154,TB_Input_Alif!$F:$F)</f>
        <v>-1421178.5970000001</v>
      </c>
      <c r="P154" s="43" t="str">
        <f>_xlfn.XLOOKUP(A154,Map!A:A,Map!E:E)</f>
        <v>Raw materials</v>
      </c>
      <c r="Q154" s="43" t="str">
        <f>_xlfn.XLOOKUP(A154,Map!A:A,Map!D:D)</f>
        <v>Cost of sales</v>
      </c>
    </row>
    <row r="155" spans="1:17" x14ac:dyDescent="0.25">
      <c r="A155" s="42">
        <v>520043</v>
      </c>
      <c r="B155" s="43" t="s">
        <v>972</v>
      </c>
      <c r="C155" s="44">
        <f>SUMIF(ALIF_Y2014!$A:$A,$A155,ALIF_Y2014!$F:$F)</f>
        <v>0</v>
      </c>
      <c r="D155" s="44">
        <f>SUMIF(ALIF_Y2015!$A:$A,$A155,ALIF_Y2015!$F:$F)</f>
        <v>0</v>
      </c>
      <c r="E155" s="44">
        <f>SUMIF(ALIF_Y2016!$A:$A,$A155,ALIF_Y2016!$F:$F)</f>
        <v>0</v>
      </c>
      <c r="F155" s="44">
        <f>SUMIF(ALIF_Y2017!$A:$A,$A155,ALIF_Y2017!$F:$F)</f>
        <v>0</v>
      </c>
      <c r="G155" s="44">
        <f>SUMIF(ALIF_Y2018!$A:$A,$A155,ALIF_Y2018!$F:$F)</f>
        <v>0</v>
      </c>
      <c r="H155" s="44">
        <f>SUMIF(ALIF_Y2019!$A:$A,$A155,ALIF_Y2019!$F:$F)</f>
        <v>0</v>
      </c>
      <c r="I155" s="44">
        <f>SUMIF(ALIF_Y2020!$A:$A,$A155,ALIF_Y2020!$F:$F)</f>
        <v>0</v>
      </c>
      <c r="J155" s="44">
        <f>SUMIF(ALIF_Y2021!$A:$A,$A155,ALIF_Y2021!$F:$F)</f>
        <v>0</v>
      </c>
      <c r="K155" s="44">
        <f>SUMIF(ALIF_Y2022!$A:$A,$A155,ALIF_Y2022!$F:$F)</f>
        <v>0</v>
      </c>
      <c r="L155" s="44">
        <f>SUMIF(ALIF_Y2023!$A:$A,$A155,ALIF_Y2023!$F:$F)</f>
        <v>0</v>
      </c>
      <c r="M155" s="44">
        <f>SUMIF(ALIF_Y2024!$A:$A,$A155,ALIF_Y2024!$F:$F)</f>
        <v>0</v>
      </c>
      <c r="N155" s="44">
        <f>SUMIF(ALIF_Y2025!$A:$A,$A155,ALIF_Y2025!$F:$F)</f>
        <v>17700</v>
      </c>
      <c r="O155" s="44">
        <f>SUMIF(TB_Input_Alif!$A:$A,$A155,TB_Input_Alif!$F:$F)</f>
        <v>32566</v>
      </c>
      <c r="P155" s="43" t="str">
        <f>_xlfn.XLOOKUP(A155,Map!A:A,Map!E:E)</f>
        <v>Direct Labor</v>
      </c>
      <c r="Q155" s="43" t="str">
        <f>_xlfn.XLOOKUP(A155,Map!A:A,Map!D:D)</f>
        <v>Cost of sales</v>
      </c>
    </row>
    <row r="156" spans="1:17" x14ac:dyDescent="0.25">
      <c r="A156" s="42">
        <v>520044</v>
      </c>
      <c r="B156" s="43" t="s">
        <v>973</v>
      </c>
      <c r="C156" s="44">
        <f>SUMIF(ALIF_Y2014!$A:$A,$A156,ALIF_Y2014!$F:$F)</f>
        <v>0</v>
      </c>
      <c r="D156" s="44">
        <f>SUMIF(ALIF_Y2015!$A:$A,$A156,ALIF_Y2015!$F:$F)</f>
        <v>0</v>
      </c>
      <c r="E156" s="44">
        <f>SUMIF(ALIF_Y2016!$A:$A,$A156,ALIF_Y2016!$F:$F)</f>
        <v>0</v>
      </c>
      <c r="F156" s="44">
        <f>SUMIF(ALIF_Y2017!$A:$A,$A156,ALIF_Y2017!$F:$F)</f>
        <v>0</v>
      </c>
      <c r="G156" s="44">
        <f>SUMIF(ALIF_Y2018!$A:$A,$A156,ALIF_Y2018!$F:$F)</f>
        <v>0</v>
      </c>
      <c r="H156" s="44">
        <f>SUMIF(ALIF_Y2019!$A:$A,$A156,ALIF_Y2019!$F:$F)</f>
        <v>0</v>
      </c>
      <c r="I156" s="44">
        <f>SUMIF(ALIF_Y2020!$A:$A,$A156,ALIF_Y2020!$F:$F)</f>
        <v>0</v>
      </c>
      <c r="J156" s="44">
        <f>SUMIF(ALIF_Y2021!$A:$A,$A156,ALIF_Y2021!$F:$F)</f>
        <v>0</v>
      </c>
      <c r="K156" s="44">
        <f>SUMIF(ALIF_Y2022!$A:$A,$A156,ALIF_Y2022!$F:$F)</f>
        <v>0</v>
      </c>
      <c r="L156" s="44">
        <f>SUMIF(ALIF_Y2023!$A:$A,$A156,ALIF_Y2023!$F:$F)</f>
        <v>0</v>
      </c>
      <c r="M156" s="44">
        <f>SUMIF(ALIF_Y2024!$A:$A,$A156,ALIF_Y2024!$F:$F)</f>
        <v>0</v>
      </c>
      <c r="N156" s="44">
        <f>SUMIF(ALIF_Y2025!$A:$A,$A156,ALIF_Y2025!$F:$F)</f>
        <v>5633012.2609999999</v>
      </c>
      <c r="O156" s="44">
        <f>SUMIF(TB_Input_Alif!$A:$A,$A156,TB_Input_Alif!$F:$F)</f>
        <v>5130503.0319999997</v>
      </c>
      <c r="P156" s="43" t="str">
        <f>_xlfn.XLOOKUP(A156,Map!A:A,Map!E:E)</f>
        <v>Direct Labor</v>
      </c>
      <c r="Q156" s="43" t="str">
        <f>_xlfn.XLOOKUP(A156,Map!A:A,Map!D:D)</f>
        <v>Cost of sales</v>
      </c>
    </row>
    <row r="157" spans="1:17" x14ac:dyDescent="0.25">
      <c r="A157" s="42">
        <v>600001</v>
      </c>
      <c r="B157" s="43" t="s">
        <v>979</v>
      </c>
      <c r="C157" s="44">
        <f>SUMIF(ALIF_Y2014!$A:$A,$A157,ALIF_Y2014!$F:$F)</f>
        <v>1451238.39</v>
      </c>
      <c r="D157" s="44">
        <f>SUMIF(ALIF_Y2015!$A:$A,$A157,ALIF_Y2015!$F:$F)</f>
        <v>1313120.29</v>
      </c>
      <c r="E157" s="44">
        <f>SUMIF(ALIF_Y2016!$A:$A,$A157,ALIF_Y2016!$F:$F)</f>
        <v>1160327.1070000001</v>
      </c>
      <c r="F157" s="44">
        <f>SUMIF(ALIF_Y2017!$A:$A,$A157,ALIF_Y2017!$F:$F)</f>
        <v>988333.55</v>
      </c>
      <c r="G157" s="44">
        <f>SUMIF(ALIF_Y2018!$A:$A,$A157,ALIF_Y2018!$F:$F)</f>
        <v>529695.32999999996</v>
      </c>
      <c r="H157" s="44">
        <f>SUMIF(ALIF_Y2019!$A:$A,$A157,ALIF_Y2019!$F:$F)</f>
        <v>1785105.375</v>
      </c>
      <c r="I157" s="44">
        <f>SUMIF(ALIF_Y2020!$A:$A,$A157,ALIF_Y2020!$F:$F)</f>
        <v>2045805.402</v>
      </c>
      <c r="J157" s="44">
        <f>SUMIF(ALIF_Y2021!$A:$A,$A157,ALIF_Y2021!$F:$F)</f>
        <v>2864841</v>
      </c>
      <c r="K157" s="44">
        <f>SUMIF(ALIF_Y2022!$A:$A,$A157,ALIF_Y2022!$F:$F)</f>
        <v>3149563.7</v>
      </c>
      <c r="L157" s="44">
        <f>SUMIF(ALIF_Y2023!$A:$A,$A157,ALIF_Y2023!$F:$F)</f>
        <v>2259315.54</v>
      </c>
      <c r="M157" s="44">
        <f>SUMIF(ALIF_Y2024!$A:$A,$A157,ALIF_Y2024!$F:$F)</f>
        <v>2089830.56</v>
      </c>
      <c r="N157" s="44">
        <f>SUMIF(ALIF_Y2025!$A:$A,$A157,ALIF_Y2025!$F:$F)</f>
        <v>766294.07</v>
      </c>
      <c r="O157" s="44">
        <f>SUMIF(TB_Input_Alif!$A:$A,$A157,TB_Input_Alif!$F:$F)</f>
        <v>5925875.3890000004</v>
      </c>
      <c r="P157" s="43" t="str">
        <f>_xlfn.XLOOKUP(A157,Map!A:A,Map!E:E)</f>
        <v>Overhead - Labor Cost</v>
      </c>
      <c r="Q157" s="43" t="str">
        <f>_xlfn.XLOOKUP(A157,Map!A:A,Map!D:D)</f>
        <v>Cost of sales</v>
      </c>
    </row>
    <row r="158" spans="1:17" x14ac:dyDescent="0.25">
      <c r="A158" s="42">
        <v>600002</v>
      </c>
      <c r="B158" s="43" t="s">
        <v>980</v>
      </c>
      <c r="C158" s="44">
        <f>SUMIF(ALIF_Y2014!$A:$A,$A158,ALIF_Y2014!$F:$F)</f>
        <v>283274</v>
      </c>
      <c r="D158" s="44">
        <f>SUMIF(ALIF_Y2015!$A:$A,$A158,ALIF_Y2015!$F:$F)</f>
        <v>295666</v>
      </c>
      <c r="E158" s="44">
        <f>SUMIF(ALIF_Y2016!$A:$A,$A158,ALIF_Y2016!$F:$F)</f>
        <v>160025</v>
      </c>
      <c r="F158" s="44">
        <f>SUMIF(ALIF_Y2017!$A:$A,$A158,ALIF_Y2017!$F:$F)</f>
        <v>222822</v>
      </c>
      <c r="G158" s="44">
        <f>SUMIF(ALIF_Y2018!$A:$A,$A158,ALIF_Y2018!$F:$F)</f>
        <v>98059</v>
      </c>
      <c r="H158" s="44">
        <f>SUMIF(ALIF_Y2019!$A:$A,$A158,ALIF_Y2019!$F:$F)</f>
        <v>397638</v>
      </c>
      <c r="I158" s="44">
        <f>SUMIF(ALIF_Y2020!$A:$A,$A158,ALIF_Y2020!$F:$F)</f>
        <v>335597.125</v>
      </c>
      <c r="J158" s="44">
        <f>SUMIF(ALIF_Y2021!$A:$A,$A158,ALIF_Y2021!$F:$F)</f>
        <v>586164</v>
      </c>
      <c r="K158" s="44">
        <f>SUMIF(ALIF_Y2022!$A:$A,$A158,ALIF_Y2022!$F:$F)</f>
        <v>399808.31</v>
      </c>
      <c r="L158" s="44">
        <f>SUMIF(ALIF_Y2023!$A:$A,$A158,ALIF_Y2023!$F:$F)</f>
        <v>74</v>
      </c>
      <c r="M158" s="44">
        <f>SUMIF(ALIF_Y2024!$A:$A,$A158,ALIF_Y2024!$F:$F)</f>
        <v>1029</v>
      </c>
      <c r="N158" s="44">
        <f>SUMIF(ALIF_Y2025!$A:$A,$A158,ALIF_Y2025!$F:$F)</f>
        <v>516747.24</v>
      </c>
      <c r="O158" s="44">
        <f>SUMIF(TB_Input_Alif!$A:$A,$A158,TB_Input_Alif!$F:$F)</f>
        <v>0</v>
      </c>
      <c r="P158" s="43" t="str">
        <f>_xlfn.XLOOKUP(A158,Map!A:A,Map!E:E)</f>
        <v>Overhead - Labor Cost</v>
      </c>
      <c r="Q158" s="43" t="str">
        <f>_xlfn.XLOOKUP(A158,Map!A:A,Map!D:D)</f>
        <v>Cost of sales</v>
      </c>
    </row>
    <row r="159" spans="1:17" x14ac:dyDescent="0.25">
      <c r="A159" s="42">
        <v>600003</v>
      </c>
      <c r="B159" s="43" t="s">
        <v>981</v>
      </c>
      <c r="C159" s="44">
        <f>SUMIF(ALIF_Y2014!$A:$A,$A159,ALIF_Y2014!$F:$F)</f>
        <v>65096</v>
      </c>
      <c r="D159" s="44">
        <f>SUMIF(ALIF_Y2015!$A:$A,$A159,ALIF_Y2015!$F:$F)</f>
        <v>78682</v>
      </c>
      <c r="E159" s="44">
        <f>SUMIF(ALIF_Y2016!$A:$A,$A159,ALIF_Y2016!$F:$F)</f>
        <v>40196</v>
      </c>
      <c r="F159" s="44">
        <f>SUMIF(ALIF_Y2017!$A:$A,$A159,ALIF_Y2017!$F:$F)</f>
        <v>51833</v>
      </c>
      <c r="G159" s="44">
        <f>SUMIF(ALIF_Y2018!$A:$A,$A159,ALIF_Y2018!$F:$F)</f>
        <v>25887</v>
      </c>
      <c r="H159" s="44">
        <f>SUMIF(ALIF_Y2019!$A:$A,$A159,ALIF_Y2019!$F:$F)</f>
        <v>406049.76</v>
      </c>
      <c r="I159" s="44">
        <f>SUMIF(ALIF_Y2020!$A:$A,$A159,ALIF_Y2020!$F:$F)</f>
        <v>559788</v>
      </c>
      <c r="J159" s="44">
        <f>SUMIF(ALIF_Y2021!$A:$A,$A159,ALIF_Y2021!$F:$F)</f>
        <v>1039923.953</v>
      </c>
      <c r="K159" s="44">
        <f>SUMIF(ALIF_Y2022!$A:$A,$A159,ALIF_Y2022!$F:$F)</f>
        <v>941816.5</v>
      </c>
      <c r="L159" s="44">
        <f>SUMIF(ALIF_Y2023!$A:$A,$A159,ALIF_Y2023!$F:$F)</f>
        <v>884347.2</v>
      </c>
      <c r="M159" s="44">
        <f>SUMIF(ALIF_Y2024!$A:$A,$A159,ALIF_Y2024!$F:$F)</f>
        <v>885849.52899999998</v>
      </c>
      <c r="N159" s="44">
        <f>SUMIF(ALIF_Y2025!$A:$A,$A159,ALIF_Y2025!$F:$F)</f>
        <v>148791.99799999999</v>
      </c>
      <c r="O159" s="44">
        <f>SUMIF(TB_Input_Alif!$A:$A,$A159,TB_Input_Alif!$F:$F)</f>
        <v>0</v>
      </c>
      <c r="P159" s="43" t="str">
        <f>_xlfn.XLOOKUP(A159,Map!A:A,Map!E:E)</f>
        <v>Overhead - Labor Cost</v>
      </c>
      <c r="Q159" s="43" t="str">
        <f>_xlfn.XLOOKUP(A159,Map!A:A,Map!D:D)</f>
        <v>Cost of sales</v>
      </c>
    </row>
    <row r="160" spans="1:17" x14ac:dyDescent="0.25">
      <c r="A160" s="42">
        <v>600004</v>
      </c>
      <c r="B160" s="43" t="s">
        <v>982</v>
      </c>
      <c r="C160" s="44">
        <f>SUMIF(ALIF_Y2014!$A:$A,$A160,ALIF_Y2014!$F:$F)</f>
        <v>105337.97</v>
      </c>
      <c r="D160" s="44">
        <f>SUMIF(ALIF_Y2015!$A:$A,$A160,ALIF_Y2015!$F:$F)</f>
        <v>121680.13099999999</v>
      </c>
      <c r="E160" s="44">
        <f>SUMIF(ALIF_Y2016!$A:$A,$A160,ALIF_Y2016!$F:$F)</f>
        <v>152237.85</v>
      </c>
      <c r="F160" s="44">
        <f>SUMIF(ALIF_Y2017!$A:$A,$A160,ALIF_Y2017!$F:$F)</f>
        <v>163641.56</v>
      </c>
      <c r="G160" s="44">
        <f>SUMIF(ALIF_Y2018!$A:$A,$A160,ALIF_Y2018!$F:$F)</f>
        <v>112574.704</v>
      </c>
      <c r="H160" s="44">
        <f>SUMIF(ALIF_Y2019!$A:$A,$A160,ALIF_Y2019!$F:$F)</f>
        <v>133520</v>
      </c>
      <c r="I160" s="44">
        <f>SUMIF(ALIF_Y2020!$A:$A,$A160,ALIF_Y2020!$F:$F)</f>
        <v>126933.814</v>
      </c>
      <c r="J160" s="44">
        <f>SUMIF(ALIF_Y2021!$A:$A,$A160,ALIF_Y2021!$F:$F)</f>
        <v>102651.15</v>
      </c>
      <c r="K160" s="44">
        <f>SUMIF(ALIF_Y2022!$A:$A,$A160,ALIF_Y2022!$F:$F)</f>
        <v>474558.39399999997</v>
      </c>
      <c r="L160" s="44">
        <f>SUMIF(ALIF_Y2023!$A:$A,$A160,ALIF_Y2023!$F:$F)</f>
        <v>209710.383</v>
      </c>
      <c r="M160" s="44">
        <f>SUMIF(ALIF_Y2024!$A:$A,$A160,ALIF_Y2024!$F:$F)</f>
        <v>152223.22399999999</v>
      </c>
      <c r="N160" s="44">
        <f>SUMIF(ALIF_Y2025!$A:$A,$A160,ALIF_Y2025!$F:$F)</f>
        <v>131782.098</v>
      </c>
      <c r="O160" s="44">
        <f>SUMIF(TB_Input_Alif!$A:$A,$A160,TB_Input_Alif!$F:$F)</f>
        <v>0</v>
      </c>
      <c r="P160" s="43" t="str">
        <f>_xlfn.XLOOKUP(A160,Map!A:A,Map!E:E)</f>
        <v>Overhead - Labor Cost</v>
      </c>
      <c r="Q160" s="43" t="str">
        <f>_xlfn.XLOOKUP(A160,Map!A:A,Map!D:D)</f>
        <v>Cost of sales</v>
      </c>
    </row>
    <row r="161" spans="1:17" x14ac:dyDescent="0.25">
      <c r="A161" s="42">
        <v>600005</v>
      </c>
      <c r="B161" s="43" t="s">
        <v>983</v>
      </c>
      <c r="C161" s="44">
        <f>SUMIF(ALIF_Y2014!$A:$A,$A161,ALIF_Y2014!$F:$F)</f>
        <v>294163</v>
      </c>
      <c r="D161" s="44">
        <f>SUMIF(ALIF_Y2015!$A:$A,$A161,ALIF_Y2015!$F:$F)</f>
        <v>261005.22</v>
      </c>
      <c r="E161" s="44">
        <f>SUMIF(ALIF_Y2016!$A:$A,$A161,ALIF_Y2016!$F:$F)</f>
        <v>570054</v>
      </c>
      <c r="F161" s="44">
        <f>SUMIF(ALIF_Y2017!$A:$A,$A161,ALIF_Y2017!$F:$F)</f>
        <v>665731</v>
      </c>
      <c r="G161" s="44">
        <f>SUMIF(ALIF_Y2018!$A:$A,$A161,ALIF_Y2018!$F:$F)</f>
        <v>450568</v>
      </c>
      <c r="H161" s="44">
        <f>SUMIF(ALIF_Y2019!$A:$A,$A161,ALIF_Y2019!$F:$F)</f>
        <v>418592.77899999998</v>
      </c>
      <c r="I161" s="44">
        <f>SUMIF(ALIF_Y2020!$A:$A,$A161,ALIF_Y2020!$F:$F)</f>
        <v>1625362.787</v>
      </c>
      <c r="J161" s="44">
        <f>SUMIF(ALIF_Y2021!$A:$A,$A161,ALIF_Y2021!$F:$F)</f>
        <v>675532.28</v>
      </c>
      <c r="K161" s="44">
        <f>SUMIF(ALIF_Y2022!$A:$A,$A161,ALIF_Y2022!$F:$F)</f>
        <v>172068.13</v>
      </c>
      <c r="L161" s="44">
        <f>SUMIF(ALIF_Y2023!$A:$A,$A161,ALIF_Y2023!$F:$F)</f>
        <v>166635.76</v>
      </c>
      <c r="M161" s="44">
        <f>SUMIF(ALIF_Y2024!$A:$A,$A161,ALIF_Y2024!$F:$F)</f>
        <v>229411</v>
      </c>
      <c r="N161" s="44">
        <f>SUMIF(ALIF_Y2025!$A:$A,$A161,ALIF_Y2025!$F:$F)</f>
        <v>101739.48</v>
      </c>
      <c r="O161" s="44">
        <f>SUMIF(TB_Input_Alif!$A:$A,$A161,TB_Input_Alif!$F:$F)</f>
        <v>238021.00899999999</v>
      </c>
      <c r="P161" s="43" t="str">
        <f>_xlfn.XLOOKUP(A161,Map!A:A,Map!E:E)</f>
        <v>Govt license and fees (including modon)</v>
      </c>
      <c r="Q161" s="43" t="str">
        <f>_xlfn.XLOOKUP(A161,Map!A:A,Map!D:D)</f>
        <v>General and Admin</v>
      </c>
    </row>
    <row r="162" spans="1:17" x14ac:dyDescent="0.25">
      <c r="A162" s="42">
        <v>600006</v>
      </c>
      <c r="B162" s="43" t="s">
        <v>984</v>
      </c>
      <c r="C162" s="44">
        <f>SUMIF(ALIF_Y2014!$A:$A,$A162,ALIF_Y2014!$F:$F)</f>
        <v>247184.5</v>
      </c>
      <c r="D162" s="44">
        <f>SUMIF(ALIF_Y2015!$A:$A,$A162,ALIF_Y2015!$F:$F)</f>
        <v>267141.60700000002</v>
      </c>
      <c r="E162" s="44">
        <f>SUMIF(ALIF_Y2016!$A:$A,$A162,ALIF_Y2016!$F:$F)</f>
        <v>330672.17</v>
      </c>
      <c r="F162" s="44">
        <f>SUMIF(ALIF_Y2017!$A:$A,$A162,ALIF_Y2017!$F:$F)</f>
        <v>247651.12</v>
      </c>
      <c r="G162" s="44">
        <f>SUMIF(ALIF_Y2018!$A:$A,$A162,ALIF_Y2018!$F:$F)</f>
        <v>176299.99799999999</v>
      </c>
      <c r="H162" s="44">
        <f>SUMIF(ALIF_Y2019!$A:$A,$A162,ALIF_Y2019!$F:$F)</f>
        <v>437489.97</v>
      </c>
      <c r="I162" s="44">
        <f>SUMIF(ALIF_Y2020!$A:$A,$A162,ALIF_Y2020!$F:$F)</f>
        <v>488042.99599999998</v>
      </c>
      <c r="J162" s="44">
        <f>SUMIF(ALIF_Y2021!$A:$A,$A162,ALIF_Y2021!$F:$F)</f>
        <v>1088432.7250000001</v>
      </c>
      <c r="K162" s="44">
        <f>SUMIF(ALIF_Y2022!$A:$A,$A162,ALIF_Y2022!$F:$F)</f>
        <v>1751226.83</v>
      </c>
      <c r="L162" s="44">
        <f>SUMIF(ALIF_Y2023!$A:$A,$A162,ALIF_Y2023!$F:$F)</f>
        <v>1093343.699</v>
      </c>
      <c r="M162" s="44">
        <f>SUMIF(ALIF_Y2024!$A:$A,$A162,ALIF_Y2024!$F:$F)</f>
        <v>1149242.409</v>
      </c>
      <c r="N162" s="44">
        <f>SUMIF(ALIF_Y2025!$A:$A,$A162,ALIF_Y2025!$F:$F)</f>
        <v>367770.09700000001</v>
      </c>
      <c r="O162" s="44">
        <f>SUMIF(TB_Input_Alif!$A:$A,$A162,TB_Input_Alif!$F:$F)</f>
        <v>0</v>
      </c>
      <c r="P162" s="43" t="str">
        <f>_xlfn.XLOOKUP(A162,Map!A:A,Map!E:E)</f>
        <v>Overhead - Labor Cost</v>
      </c>
      <c r="Q162" s="43" t="str">
        <f>_xlfn.XLOOKUP(A162,Map!A:A,Map!D:D)</f>
        <v>Cost of sales</v>
      </c>
    </row>
    <row r="163" spans="1:17" x14ac:dyDescent="0.25">
      <c r="A163" s="42">
        <v>600007</v>
      </c>
      <c r="B163" s="43" t="s">
        <v>985</v>
      </c>
      <c r="C163" s="44">
        <f>SUMIF(ALIF_Y2014!$A:$A,$A163,ALIF_Y2014!$F:$F)</f>
        <v>6367</v>
      </c>
      <c r="D163" s="44">
        <f>SUMIF(ALIF_Y2015!$A:$A,$A163,ALIF_Y2015!$F:$F)</f>
        <v>1000</v>
      </c>
      <c r="E163" s="44">
        <f>SUMIF(ALIF_Y2016!$A:$A,$A163,ALIF_Y2016!$F:$F)</f>
        <v>6402</v>
      </c>
      <c r="F163" s="44">
        <f>SUMIF(ALIF_Y2017!$A:$A,$A163,ALIF_Y2017!$F:$F)</f>
        <v>3700</v>
      </c>
      <c r="G163" s="44">
        <f>SUMIF(ALIF_Y2018!$A:$A,$A163,ALIF_Y2018!$F:$F)</f>
        <v>0</v>
      </c>
      <c r="H163" s="44">
        <f>SUMIF(ALIF_Y2019!$A:$A,$A163,ALIF_Y2019!$F:$F)</f>
        <v>160242</v>
      </c>
      <c r="I163" s="44">
        <f>SUMIF(ALIF_Y2020!$A:$A,$A163,ALIF_Y2020!$F:$F)</f>
        <v>112525.18</v>
      </c>
      <c r="J163" s="44">
        <f>SUMIF(ALIF_Y2021!$A:$A,$A163,ALIF_Y2021!$F:$F)</f>
        <v>72600</v>
      </c>
      <c r="K163" s="44">
        <f>SUMIF(ALIF_Y2022!$A:$A,$A163,ALIF_Y2022!$F:$F)</f>
        <v>2500</v>
      </c>
      <c r="L163" s="44">
        <f>SUMIF(ALIF_Y2023!$A:$A,$A163,ALIF_Y2023!$F:$F)</f>
        <v>0</v>
      </c>
      <c r="M163" s="44">
        <f>SUMIF(ALIF_Y2024!$A:$A,$A163,ALIF_Y2024!$F:$F)</f>
        <v>110166</v>
      </c>
      <c r="N163" s="44">
        <f>SUMIF(ALIF_Y2025!$A:$A,$A163,ALIF_Y2025!$F:$F)</f>
        <v>43384.9</v>
      </c>
      <c r="O163" s="44">
        <f>SUMIF(TB_Input_Alif!$A:$A,$A163,TB_Input_Alif!$F:$F)</f>
        <v>0</v>
      </c>
      <c r="P163" s="43" t="str">
        <f>_xlfn.XLOOKUP(A163,Map!A:A,Map!E:E)</f>
        <v>Overhead - Labor Cost</v>
      </c>
      <c r="Q163" s="43" t="str">
        <f>_xlfn.XLOOKUP(A163,Map!A:A,Map!D:D)</f>
        <v>Cost of sales</v>
      </c>
    </row>
    <row r="164" spans="1:17" x14ac:dyDescent="0.25">
      <c r="A164" s="42">
        <v>600008</v>
      </c>
      <c r="B164" s="43" t="s">
        <v>986</v>
      </c>
      <c r="C164" s="44">
        <f>SUMIF(ALIF_Y2014!$A:$A,$A164,ALIF_Y2014!$F:$F)</f>
        <v>97690</v>
      </c>
      <c r="D164" s="44">
        <f>SUMIF(ALIF_Y2015!$A:$A,$A164,ALIF_Y2015!$F:$F)</f>
        <v>166441</v>
      </c>
      <c r="E164" s="44">
        <f>SUMIF(ALIF_Y2016!$A:$A,$A164,ALIF_Y2016!$F:$F)</f>
        <v>194585</v>
      </c>
      <c r="F164" s="44">
        <f>SUMIF(ALIF_Y2017!$A:$A,$A164,ALIF_Y2017!$F:$F)</f>
        <v>144762.16</v>
      </c>
      <c r="G164" s="44">
        <f>SUMIF(ALIF_Y2018!$A:$A,$A164,ALIF_Y2018!$F:$F)</f>
        <v>84171.3</v>
      </c>
      <c r="H164" s="44">
        <f>SUMIF(ALIF_Y2019!$A:$A,$A164,ALIF_Y2019!$F:$F)</f>
        <v>421563.03</v>
      </c>
      <c r="I164" s="44">
        <f>SUMIF(ALIF_Y2020!$A:$A,$A164,ALIF_Y2020!$F:$F)</f>
        <v>133498.29</v>
      </c>
      <c r="J164" s="44">
        <f>SUMIF(ALIF_Y2021!$A:$A,$A164,ALIF_Y2021!$F:$F)</f>
        <v>419534.58600000001</v>
      </c>
      <c r="K164" s="44">
        <f>SUMIF(ALIF_Y2022!$A:$A,$A164,ALIF_Y2022!$F:$F)</f>
        <v>629537.38199999998</v>
      </c>
      <c r="L164" s="44">
        <f>SUMIF(ALIF_Y2023!$A:$A,$A164,ALIF_Y2023!$F:$F)</f>
        <v>313336.43599999999</v>
      </c>
      <c r="M164" s="44">
        <f>SUMIF(ALIF_Y2024!$A:$A,$A164,ALIF_Y2024!$F:$F)</f>
        <v>255864.21299999999</v>
      </c>
      <c r="N164" s="44">
        <f>SUMIF(ALIF_Y2025!$A:$A,$A164,ALIF_Y2025!$F:$F)</f>
        <v>383404.255</v>
      </c>
      <c r="O164" s="44">
        <f>SUMIF(TB_Input_Alif!$A:$A,$A164,TB_Input_Alif!$F:$F)</f>
        <v>0</v>
      </c>
      <c r="P164" s="43" t="str">
        <f>_xlfn.XLOOKUP(A164,Map!A:A,Map!E:E)</f>
        <v>Overhead - Labor Cost</v>
      </c>
      <c r="Q164" s="43" t="str">
        <f>_xlfn.XLOOKUP(A164,Map!A:A,Map!D:D)</f>
        <v>Cost of sales</v>
      </c>
    </row>
    <row r="165" spans="1:17" x14ac:dyDescent="0.25">
      <c r="A165" s="42">
        <v>600009</v>
      </c>
      <c r="B165" s="43" t="s">
        <v>987</v>
      </c>
      <c r="C165" s="44">
        <f>SUMIF(ALIF_Y2014!$A:$A,$A165,ALIF_Y2014!$F:$F)</f>
        <v>167209</v>
      </c>
      <c r="D165" s="44">
        <f>SUMIF(ALIF_Y2015!$A:$A,$A165,ALIF_Y2015!$F:$F)</f>
        <v>165183</v>
      </c>
      <c r="E165" s="44">
        <f>SUMIF(ALIF_Y2016!$A:$A,$A165,ALIF_Y2016!$F:$F)</f>
        <v>192000</v>
      </c>
      <c r="F165" s="44">
        <f>SUMIF(ALIF_Y2017!$A:$A,$A165,ALIF_Y2017!$F:$F)</f>
        <v>198243</v>
      </c>
      <c r="G165" s="44">
        <f>SUMIF(ALIF_Y2018!$A:$A,$A165,ALIF_Y2018!$F:$F)</f>
        <v>62460</v>
      </c>
      <c r="H165" s="44">
        <f>SUMIF(ALIF_Y2019!$A:$A,$A165,ALIF_Y2019!$F:$F)</f>
        <v>191436</v>
      </c>
      <c r="I165" s="44">
        <f>SUMIF(ALIF_Y2020!$A:$A,$A165,ALIF_Y2020!$F:$F)</f>
        <v>304164.17</v>
      </c>
      <c r="J165" s="44">
        <f>SUMIF(ALIF_Y2021!$A:$A,$A165,ALIF_Y2021!$F:$F)</f>
        <v>330456.03499999997</v>
      </c>
      <c r="K165" s="44">
        <f>SUMIF(ALIF_Y2022!$A:$A,$A165,ALIF_Y2022!$F:$F)</f>
        <v>96617.77</v>
      </c>
      <c r="L165" s="44">
        <f>SUMIF(ALIF_Y2023!$A:$A,$A165,ALIF_Y2023!$F:$F)</f>
        <v>327325.90000000002</v>
      </c>
      <c r="M165" s="44">
        <f>SUMIF(ALIF_Y2024!$A:$A,$A165,ALIF_Y2024!$F:$F)</f>
        <v>334236.91200000001</v>
      </c>
      <c r="N165" s="44">
        <f>SUMIF(ALIF_Y2025!$A:$A,$A165,ALIF_Y2025!$F:$F)</f>
        <v>119286.814</v>
      </c>
      <c r="O165" s="44">
        <f>SUMIF(TB_Input_Alif!$A:$A,$A165,TB_Input_Alif!$F:$F)</f>
        <v>0</v>
      </c>
      <c r="P165" s="43" t="str">
        <f>_xlfn.XLOOKUP(A165,Map!A:A,Map!E:E)</f>
        <v>Overhead - Labor Cost</v>
      </c>
      <c r="Q165" s="43" t="str">
        <f>_xlfn.XLOOKUP(A165,Map!A:A,Map!D:D)</f>
        <v>Cost of sales</v>
      </c>
    </row>
    <row r="166" spans="1:17" x14ac:dyDescent="0.25">
      <c r="A166" s="42">
        <v>600010</v>
      </c>
      <c r="B166" s="43" t="s">
        <v>988</v>
      </c>
      <c r="C166" s="44">
        <f>SUMIF(ALIF_Y2014!$A:$A,$A166,ALIF_Y2014!$F:$F)</f>
        <v>0</v>
      </c>
      <c r="D166" s="44">
        <f>SUMIF(ALIF_Y2015!$A:$A,$A166,ALIF_Y2015!$F:$F)</f>
        <v>0</v>
      </c>
      <c r="E166" s="44">
        <f>SUMIF(ALIF_Y2016!$A:$A,$A166,ALIF_Y2016!$F:$F)</f>
        <v>0</v>
      </c>
      <c r="F166" s="44">
        <f>SUMIF(ALIF_Y2017!$A:$A,$A166,ALIF_Y2017!$F:$F)</f>
        <v>0</v>
      </c>
      <c r="G166" s="44">
        <f>SUMIF(ALIF_Y2018!$A:$A,$A166,ALIF_Y2018!$F:$F)</f>
        <v>0</v>
      </c>
      <c r="H166" s="44">
        <f>SUMIF(ALIF_Y2019!$A:$A,$A166,ALIF_Y2019!$F:$F)</f>
        <v>0</v>
      </c>
      <c r="I166" s="44">
        <f>SUMIF(ALIF_Y2020!$A:$A,$A166,ALIF_Y2020!$F:$F)</f>
        <v>0</v>
      </c>
      <c r="J166" s="44">
        <f>SUMIF(ALIF_Y2021!$A:$A,$A166,ALIF_Y2021!$F:$F)</f>
        <v>20443</v>
      </c>
      <c r="K166" s="44">
        <f>SUMIF(ALIF_Y2022!$A:$A,$A166,ALIF_Y2022!$F:$F)</f>
        <v>4434</v>
      </c>
      <c r="L166" s="44">
        <f>SUMIF(ALIF_Y2023!$A:$A,$A166,ALIF_Y2023!$F:$F)</f>
        <v>22591</v>
      </c>
      <c r="M166" s="44">
        <f>SUMIF(ALIF_Y2024!$A:$A,$A166,ALIF_Y2024!$F:$F)</f>
        <v>0</v>
      </c>
      <c r="N166" s="44">
        <f>SUMIF(ALIF_Y2025!$A:$A,$A166,ALIF_Y2025!$F:$F)</f>
        <v>39416</v>
      </c>
      <c r="O166" s="44">
        <f>SUMIF(TB_Input_Alif!$A:$A,$A166,TB_Input_Alif!$F:$F)</f>
        <v>0</v>
      </c>
      <c r="P166" s="43" t="str">
        <f>_xlfn.XLOOKUP(A166,Map!A:A,Map!E:E)</f>
        <v>Overhead - Labor Cost</v>
      </c>
      <c r="Q166" s="43" t="str">
        <f>_xlfn.XLOOKUP(A166,Map!A:A,Map!D:D)</f>
        <v>Cost of sales</v>
      </c>
    </row>
    <row r="167" spans="1:17" x14ac:dyDescent="0.25">
      <c r="A167" s="42">
        <v>600011</v>
      </c>
      <c r="B167" s="43" t="s">
        <v>989</v>
      </c>
      <c r="C167" s="44">
        <f>SUMIF(ALIF_Y2014!$A:$A,$A167,ALIF_Y2014!$F:$F)</f>
        <v>10000</v>
      </c>
      <c r="D167" s="44">
        <f>SUMIF(ALIF_Y2015!$A:$A,$A167,ALIF_Y2015!$F:$F)</f>
        <v>11000</v>
      </c>
      <c r="E167" s="44">
        <f>SUMIF(ALIF_Y2016!$A:$A,$A167,ALIF_Y2016!$F:$F)</f>
        <v>16471</v>
      </c>
      <c r="F167" s="44">
        <f>SUMIF(ALIF_Y2017!$A:$A,$A167,ALIF_Y2017!$F:$F)</f>
        <v>12000</v>
      </c>
      <c r="G167" s="44">
        <f>SUMIF(ALIF_Y2018!$A:$A,$A167,ALIF_Y2018!$F:$F)</f>
        <v>6000</v>
      </c>
      <c r="H167" s="44">
        <f>SUMIF(ALIF_Y2019!$A:$A,$A167,ALIF_Y2019!$F:$F)</f>
        <v>14500</v>
      </c>
      <c r="I167" s="44">
        <f>SUMIF(ALIF_Y2020!$A:$A,$A167,ALIF_Y2020!$F:$F)</f>
        <v>12000</v>
      </c>
      <c r="J167" s="44">
        <f>SUMIF(ALIF_Y2021!$A:$A,$A167,ALIF_Y2021!$F:$F)</f>
        <v>23390</v>
      </c>
      <c r="K167" s="44">
        <f>SUMIF(ALIF_Y2022!$A:$A,$A167,ALIF_Y2022!$F:$F)</f>
        <v>13251</v>
      </c>
      <c r="L167" s="44">
        <f>SUMIF(ALIF_Y2023!$A:$A,$A167,ALIF_Y2023!$F:$F)</f>
        <v>12000</v>
      </c>
      <c r="M167" s="44">
        <f>SUMIF(ALIF_Y2024!$A:$A,$A167,ALIF_Y2024!$F:$F)</f>
        <v>12520.84</v>
      </c>
      <c r="N167" s="44">
        <f>SUMIF(ALIF_Y2025!$A:$A,$A167,ALIF_Y2025!$F:$F)</f>
        <v>1570.8330000000001</v>
      </c>
      <c r="O167" s="44">
        <f>SUMIF(TB_Input_Alif!$A:$A,$A167,TB_Input_Alif!$F:$F)</f>
        <v>0</v>
      </c>
      <c r="P167" s="43" t="str">
        <f>_xlfn.XLOOKUP(A167,Map!A:A,Map!E:E)</f>
        <v>Overhead - Labor Cost</v>
      </c>
      <c r="Q167" s="43" t="str">
        <f>_xlfn.XLOOKUP(A167,Map!A:A,Map!D:D)</f>
        <v>Cost of sales</v>
      </c>
    </row>
    <row r="168" spans="1:17" x14ac:dyDescent="0.25">
      <c r="A168" s="42">
        <v>600012</v>
      </c>
      <c r="B168" s="43" t="s">
        <v>990</v>
      </c>
      <c r="C168" s="44">
        <f>SUMIF(ALIF_Y2014!$A:$A,$A168,ALIF_Y2014!$F:$F)</f>
        <v>0</v>
      </c>
      <c r="D168" s="44">
        <f>SUMIF(ALIF_Y2015!$A:$A,$A168,ALIF_Y2015!$F:$F)</f>
        <v>0</v>
      </c>
      <c r="E168" s="44">
        <f>SUMIF(ALIF_Y2016!$A:$A,$A168,ALIF_Y2016!$F:$F)</f>
        <v>625</v>
      </c>
      <c r="F168" s="44">
        <f>SUMIF(ALIF_Y2017!$A:$A,$A168,ALIF_Y2017!$F:$F)</f>
        <v>1250</v>
      </c>
      <c r="G168" s="44">
        <f>SUMIF(ALIF_Y2018!$A:$A,$A168,ALIF_Y2018!$F:$F)</f>
        <v>0</v>
      </c>
      <c r="H168" s="44">
        <f>SUMIF(ALIF_Y2019!$A:$A,$A168,ALIF_Y2019!$F:$F)</f>
        <v>1535</v>
      </c>
      <c r="I168" s="44">
        <f>SUMIF(ALIF_Y2020!$A:$A,$A168,ALIF_Y2020!$F:$F)</f>
        <v>1650</v>
      </c>
      <c r="J168" s="44">
        <f>SUMIF(ALIF_Y2021!$A:$A,$A168,ALIF_Y2021!$F:$F)</f>
        <v>0</v>
      </c>
      <c r="K168" s="44">
        <f>SUMIF(ALIF_Y2022!$A:$A,$A168,ALIF_Y2022!$F:$F)</f>
        <v>0</v>
      </c>
      <c r="L168" s="44">
        <f>SUMIF(ALIF_Y2023!$A:$A,$A168,ALIF_Y2023!$F:$F)</f>
        <v>0</v>
      </c>
      <c r="M168" s="44">
        <f>SUMIF(ALIF_Y2024!$A:$A,$A168,ALIF_Y2024!$F:$F)</f>
        <v>0</v>
      </c>
      <c r="N168" s="44">
        <f>SUMIF(ALIF_Y2025!$A:$A,$A168,ALIF_Y2025!$F:$F)</f>
        <v>22536</v>
      </c>
      <c r="O168" s="44">
        <f>SUMIF(TB_Input_Alif!$A:$A,$A168,TB_Input_Alif!$F:$F)</f>
        <v>0</v>
      </c>
      <c r="P168" s="43" t="str">
        <f>_xlfn.XLOOKUP(A168,Map!A:A,Map!E:E)</f>
        <v>Overhead - Labor Cost</v>
      </c>
      <c r="Q168" s="43" t="str">
        <f>_xlfn.XLOOKUP(A168,Map!A:A,Map!D:D)</f>
        <v>Cost of sales</v>
      </c>
    </row>
    <row r="169" spans="1:17" x14ac:dyDescent="0.25">
      <c r="A169" s="42">
        <v>600013</v>
      </c>
      <c r="B169" s="43" t="s">
        <v>991</v>
      </c>
      <c r="C169" s="44">
        <f>SUMIF(ALIF_Y2014!$A:$A,$A169,ALIF_Y2014!$F:$F)</f>
        <v>924</v>
      </c>
      <c r="D169" s="44">
        <f>SUMIF(ALIF_Y2015!$A:$A,$A169,ALIF_Y2015!$F:$F)</f>
        <v>150</v>
      </c>
      <c r="E169" s="44">
        <f>SUMIF(ALIF_Y2016!$A:$A,$A169,ALIF_Y2016!$F:$F)</f>
        <v>1290</v>
      </c>
      <c r="F169" s="44">
        <f>SUMIF(ALIF_Y2017!$A:$A,$A169,ALIF_Y2017!$F:$F)</f>
        <v>50</v>
      </c>
      <c r="G169" s="44">
        <f>SUMIF(ALIF_Y2018!$A:$A,$A169,ALIF_Y2018!$F:$F)</f>
        <v>0</v>
      </c>
      <c r="H169" s="44">
        <f>SUMIF(ALIF_Y2019!$A:$A,$A169,ALIF_Y2019!$F:$F)</f>
        <v>0</v>
      </c>
      <c r="I169" s="44">
        <f>SUMIF(ALIF_Y2020!$A:$A,$A169,ALIF_Y2020!$F:$F)</f>
        <v>0</v>
      </c>
      <c r="J169" s="44">
        <f>SUMIF(ALIF_Y2021!$A:$A,$A169,ALIF_Y2021!$F:$F)</f>
        <v>150</v>
      </c>
      <c r="K169" s="44">
        <f>SUMIF(ALIF_Y2022!$A:$A,$A169,ALIF_Y2022!$F:$F)</f>
        <v>0</v>
      </c>
      <c r="L169" s="44">
        <f>SUMIF(ALIF_Y2023!$A:$A,$A169,ALIF_Y2023!$F:$F)</f>
        <v>0</v>
      </c>
      <c r="M169" s="44">
        <f>SUMIF(ALIF_Y2024!$A:$A,$A169,ALIF_Y2024!$F:$F)</f>
        <v>0</v>
      </c>
      <c r="N169" s="44">
        <f>SUMIF(ALIF_Y2025!$A:$A,$A169,ALIF_Y2025!$F:$F)</f>
        <v>10500</v>
      </c>
      <c r="O169" s="44">
        <f>SUMIF(TB_Input_Alif!$A:$A,$A169,TB_Input_Alif!$F:$F)</f>
        <v>0</v>
      </c>
      <c r="P169" s="43" t="str">
        <f>_xlfn.XLOOKUP(A169,Map!A:A,Map!E:E)</f>
        <v>Overhead - Labor Cost</v>
      </c>
      <c r="Q169" s="43" t="str">
        <f>_xlfn.XLOOKUP(A169,Map!A:A,Map!D:D)</f>
        <v>Cost of sales</v>
      </c>
    </row>
    <row r="170" spans="1:17" x14ac:dyDescent="0.25">
      <c r="A170" s="42">
        <v>600014</v>
      </c>
      <c r="B170" s="43" t="s">
        <v>884</v>
      </c>
      <c r="C170" s="44">
        <f>SUMIF(ALIF_Y2014!$A:$A,$A170,ALIF_Y2014!$F:$F)</f>
        <v>1204272.953</v>
      </c>
      <c r="D170" s="44">
        <f>SUMIF(ALIF_Y2015!$A:$A,$A170,ALIF_Y2015!$F:$F)</f>
        <v>1698167.2069999999</v>
      </c>
      <c r="E170" s="44">
        <f>SUMIF(ALIF_Y2016!$A:$A,$A170,ALIF_Y2016!$F:$F)</f>
        <v>1329664.919</v>
      </c>
      <c r="F170" s="44">
        <f>SUMIF(ALIF_Y2017!$A:$A,$A170,ALIF_Y2017!$F:$F)</f>
        <v>758582.11399999994</v>
      </c>
      <c r="G170" s="44">
        <f>SUMIF(ALIF_Y2018!$A:$A,$A170,ALIF_Y2018!$F:$F)</f>
        <v>889014.48899999994</v>
      </c>
      <c r="H170" s="44">
        <f>SUMIF(ALIF_Y2019!$A:$A,$A170,ALIF_Y2019!$F:$F)</f>
        <v>1642211.402</v>
      </c>
      <c r="I170" s="44">
        <f>SUMIF(ALIF_Y2020!$A:$A,$A170,ALIF_Y2020!$F:$F)</f>
        <v>2413846.3640000001</v>
      </c>
      <c r="J170" s="44">
        <f>SUMIF(ALIF_Y2021!$A:$A,$A170,ALIF_Y2021!$F:$F)</f>
        <v>1509545.075</v>
      </c>
      <c r="K170" s="44">
        <f>SUMIF(ALIF_Y2022!$A:$A,$A170,ALIF_Y2022!$F:$F)</f>
        <v>3117775.15</v>
      </c>
      <c r="L170" s="44">
        <f>SUMIF(ALIF_Y2023!$A:$A,$A170,ALIF_Y2023!$F:$F)</f>
        <v>2094755.1359999999</v>
      </c>
      <c r="M170" s="44">
        <f>SUMIF(ALIF_Y2024!$A:$A,$A170,ALIF_Y2024!$F:$F)</f>
        <v>1958284.0959999999</v>
      </c>
      <c r="N170" s="44">
        <f>SUMIF(ALIF_Y2025!$A:$A,$A170,ALIF_Y2025!$F:$F)</f>
        <v>1787653.601</v>
      </c>
      <c r="O170" s="44">
        <f>SUMIF(TB_Input_Alif!$A:$A,$A170,TB_Input_Alif!$F:$F)</f>
        <v>2916524.693</v>
      </c>
      <c r="P170" s="43" t="str">
        <f>_xlfn.XLOOKUP(A170,Map!A:A,Map!E:E)</f>
        <v>Overhead - Consumables &amp; SP</v>
      </c>
      <c r="Q170" s="43" t="str">
        <f>_xlfn.XLOOKUP(A170,Map!A:A,Map!D:D)</f>
        <v>Cost of sales</v>
      </c>
    </row>
    <row r="171" spans="1:17" x14ac:dyDescent="0.25">
      <c r="A171" s="42">
        <v>600015</v>
      </c>
      <c r="B171" s="43" t="s">
        <v>992</v>
      </c>
      <c r="C171" s="44">
        <f>SUMIF(ALIF_Y2014!$A:$A,$A171,ALIF_Y2014!$F:$F)</f>
        <v>143510.74</v>
      </c>
      <c r="D171" s="44">
        <f>SUMIF(ALIF_Y2015!$A:$A,$A171,ALIF_Y2015!$F:$F)</f>
        <v>48196.184999999998</v>
      </c>
      <c r="E171" s="44">
        <f>SUMIF(ALIF_Y2016!$A:$A,$A171,ALIF_Y2016!$F:$F)</f>
        <v>245263.00100000002</v>
      </c>
      <c r="F171" s="44">
        <f>SUMIF(ALIF_Y2017!$A:$A,$A171,ALIF_Y2017!$F:$F)</f>
        <v>90000</v>
      </c>
      <c r="G171" s="44">
        <f>SUMIF(ALIF_Y2018!$A:$A,$A171,ALIF_Y2018!$F:$F)</f>
        <v>14213.99</v>
      </c>
      <c r="H171" s="44">
        <f>SUMIF(ALIF_Y2019!$A:$A,$A171,ALIF_Y2019!$F:$F)</f>
        <v>0</v>
      </c>
      <c r="I171" s="44">
        <f>SUMIF(ALIF_Y2020!$A:$A,$A171,ALIF_Y2020!$F:$F)</f>
        <v>0</v>
      </c>
      <c r="J171" s="44">
        <f>SUMIF(ALIF_Y2021!$A:$A,$A171,ALIF_Y2021!$F:$F)</f>
        <v>0</v>
      </c>
      <c r="K171" s="44">
        <f>SUMIF(ALIF_Y2022!$A:$A,$A171,ALIF_Y2022!$F:$F)</f>
        <v>0</v>
      </c>
      <c r="L171" s="44">
        <f>SUMIF(ALIF_Y2023!$A:$A,$A171,ALIF_Y2023!$F:$F)</f>
        <v>0</v>
      </c>
      <c r="M171" s="44">
        <f>SUMIF(ALIF_Y2024!$A:$A,$A171,ALIF_Y2024!$F:$F)</f>
        <v>0</v>
      </c>
      <c r="N171" s="44">
        <f>SUMIF(ALIF_Y2025!$A:$A,$A171,ALIF_Y2025!$F:$F)</f>
        <v>0</v>
      </c>
      <c r="O171" s="44">
        <f>SUMIF(TB_Input_Alif!$A:$A,$A171,TB_Input_Alif!$F:$F)</f>
        <v>0</v>
      </c>
      <c r="P171" s="43" t="str">
        <f>_xlfn.XLOOKUP(A171,Map!A:A,Map!E:E)</f>
        <v>Overhead - Consumables &amp; SP</v>
      </c>
      <c r="Q171" s="43" t="str">
        <f>_xlfn.XLOOKUP(A171,Map!A:A,Map!D:D)</f>
        <v>Cost of sales</v>
      </c>
    </row>
    <row r="172" spans="1:17" x14ac:dyDescent="0.25">
      <c r="A172" s="42">
        <v>600016</v>
      </c>
      <c r="B172" s="43" t="s">
        <v>993</v>
      </c>
      <c r="C172" s="44">
        <f>SUMIF(ALIF_Y2014!$A:$A,$A172,ALIF_Y2014!$F:$F)</f>
        <v>2096529.4240000001</v>
      </c>
      <c r="D172" s="44">
        <f>SUMIF(ALIF_Y2015!$A:$A,$A172,ALIF_Y2015!$F:$F)</f>
        <v>2279828.9</v>
      </c>
      <c r="E172" s="44">
        <f>SUMIF(ALIF_Y2016!$A:$A,$A172,ALIF_Y2016!$F:$F)</f>
        <v>1420471.2549999999</v>
      </c>
      <c r="F172" s="44">
        <f>SUMIF(ALIF_Y2017!$A:$A,$A172,ALIF_Y2017!$F:$F)</f>
        <v>1406557.304</v>
      </c>
      <c r="G172" s="44">
        <f>SUMIF(ALIF_Y2018!$A:$A,$A172,ALIF_Y2018!$F:$F)</f>
        <v>546560.00600000005</v>
      </c>
      <c r="H172" s="44">
        <f>SUMIF(ALIF_Y2019!$A:$A,$A172,ALIF_Y2019!$F:$F)</f>
        <v>1872605.669</v>
      </c>
      <c r="I172" s="44">
        <f>SUMIF(ALIF_Y2020!$A:$A,$A172,ALIF_Y2020!$F:$F)</f>
        <v>1838713.0889999999</v>
      </c>
      <c r="J172" s="44">
        <f>SUMIF(ALIF_Y2021!$A:$A,$A172,ALIF_Y2021!$F:$F)</f>
        <v>4889495.5690000001</v>
      </c>
      <c r="K172" s="44">
        <f>SUMIF(ALIF_Y2022!$A:$A,$A172,ALIF_Y2022!$F:$F)</f>
        <v>6430636.7660000008</v>
      </c>
      <c r="L172" s="44">
        <f>SUMIF(ALIF_Y2023!$A:$A,$A172,ALIF_Y2023!$F:$F)</f>
        <v>2367059.1780000003</v>
      </c>
      <c r="M172" s="44">
        <f>SUMIF(ALIF_Y2024!$A:$A,$A172,ALIF_Y2024!$F:$F)</f>
        <v>571044.22600000002</v>
      </c>
      <c r="N172" s="44">
        <f>SUMIF(ALIF_Y2025!$A:$A,$A172,ALIF_Y2025!$F:$F)</f>
        <v>85777.53</v>
      </c>
      <c r="O172" s="44">
        <f>SUMIF(TB_Input_Alif!$A:$A,$A172,TB_Input_Alif!$F:$F)</f>
        <v>-27354.754000000001</v>
      </c>
      <c r="P172" s="43" t="str">
        <f>_xlfn.XLOOKUP(A172,Map!A:A,Map!E:E)</f>
        <v>Overhead - Consumables &amp; SP</v>
      </c>
      <c r="Q172" s="43" t="str">
        <f>_xlfn.XLOOKUP(A172,Map!A:A,Map!D:D)</f>
        <v>Cost of sales</v>
      </c>
    </row>
    <row r="173" spans="1:17" x14ac:dyDescent="0.25">
      <c r="A173" s="42">
        <v>600017</v>
      </c>
      <c r="B173" s="43" t="s">
        <v>994</v>
      </c>
      <c r="C173" s="44">
        <f>SUMIF(ALIF_Y2014!$A:$A,$A173,ALIF_Y2014!$F:$F)</f>
        <v>1389817.8800000001</v>
      </c>
      <c r="D173" s="44">
        <f>SUMIF(ALIF_Y2015!$A:$A,$A173,ALIF_Y2015!$F:$F)</f>
        <v>1763155.58</v>
      </c>
      <c r="E173" s="44">
        <f>SUMIF(ALIF_Y2016!$A:$A,$A173,ALIF_Y2016!$F:$F)</f>
        <v>2004753.0770000003</v>
      </c>
      <c r="F173" s="44">
        <f>SUMIF(ALIF_Y2017!$A:$A,$A173,ALIF_Y2017!$F:$F)</f>
        <v>1855447.81</v>
      </c>
      <c r="G173" s="44">
        <f>SUMIF(ALIF_Y2018!$A:$A,$A173,ALIF_Y2018!$F:$F)</f>
        <v>702932.21</v>
      </c>
      <c r="H173" s="44">
        <f>SUMIF(ALIF_Y2019!$A:$A,$A173,ALIF_Y2019!$F:$F)</f>
        <v>2216881.2599999998</v>
      </c>
      <c r="I173" s="44">
        <f>SUMIF(ALIF_Y2020!$A:$A,$A173,ALIF_Y2020!$F:$F)</f>
        <v>2001568.209</v>
      </c>
      <c r="J173" s="44">
        <f>SUMIF(ALIF_Y2021!$A:$A,$A173,ALIF_Y2021!$F:$F)</f>
        <v>2408817.8130000001</v>
      </c>
      <c r="K173" s="44">
        <f>SUMIF(ALIF_Y2022!$A:$A,$A173,ALIF_Y2022!$F:$F)</f>
        <v>2358711.4180000001</v>
      </c>
      <c r="L173" s="44">
        <f>SUMIF(ALIF_Y2023!$A:$A,$A173,ALIF_Y2023!$F:$F)</f>
        <v>1446669.747</v>
      </c>
      <c r="M173" s="44">
        <f>SUMIF(ALIF_Y2024!$A:$A,$A173,ALIF_Y2024!$F:$F)</f>
        <v>1755690.162</v>
      </c>
      <c r="N173" s="44">
        <f>SUMIF(ALIF_Y2025!$A:$A,$A173,ALIF_Y2025!$F:$F)</f>
        <v>2560477.15</v>
      </c>
      <c r="O173" s="44">
        <f>SUMIF(TB_Input_Alif!$A:$A,$A173,TB_Input_Alif!$F:$F)</f>
        <v>1987302.5209999999</v>
      </c>
      <c r="P173" s="43" t="str">
        <f>_xlfn.XLOOKUP(A173,Map!A:A,Map!E:E)</f>
        <v>Overhead - Utility</v>
      </c>
      <c r="Q173" s="43" t="str">
        <f>_xlfn.XLOOKUP(A173,Map!A:A,Map!D:D)</f>
        <v>Cost of sales</v>
      </c>
    </row>
    <row r="174" spans="1:17" x14ac:dyDescent="0.25">
      <c r="A174" s="42">
        <v>600018</v>
      </c>
      <c r="B174" s="43" t="s">
        <v>995</v>
      </c>
      <c r="C174" s="44">
        <f>SUMIF(ALIF_Y2014!$A:$A,$A174,ALIF_Y2014!$F:$F)</f>
        <v>67144</v>
      </c>
      <c r="D174" s="44">
        <f>SUMIF(ALIF_Y2015!$A:$A,$A174,ALIF_Y2015!$F:$F)</f>
        <v>68770</v>
      </c>
      <c r="E174" s="44">
        <f>SUMIF(ALIF_Y2016!$A:$A,$A174,ALIF_Y2016!$F:$F)</f>
        <v>73630</v>
      </c>
      <c r="F174" s="44">
        <f>SUMIF(ALIF_Y2017!$A:$A,$A174,ALIF_Y2017!$F:$F)</f>
        <v>84828</v>
      </c>
      <c r="G174" s="44">
        <f>SUMIF(ALIF_Y2018!$A:$A,$A174,ALIF_Y2018!$F:$F)</f>
        <v>128714.819</v>
      </c>
      <c r="H174" s="44">
        <f>SUMIF(ALIF_Y2019!$A:$A,$A174,ALIF_Y2019!$F:$F)</f>
        <v>216247</v>
      </c>
      <c r="I174" s="44">
        <f>SUMIF(ALIF_Y2020!$A:$A,$A174,ALIF_Y2020!$F:$F)</f>
        <v>270503</v>
      </c>
      <c r="J174" s="44">
        <f>SUMIF(ALIF_Y2021!$A:$A,$A174,ALIF_Y2021!$F:$F)</f>
        <v>206252.087</v>
      </c>
      <c r="K174" s="44">
        <f>SUMIF(ALIF_Y2022!$A:$A,$A174,ALIF_Y2022!$F:$F)</f>
        <v>190710</v>
      </c>
      <c r="L174" s="44">
        <f>SUMIF(ALIF_Y2023!$A:$A,$A174,ALIF_Y2023!$F:$F)</f>
        <v>135380.5</v>
      </c>
      <c r="M174" s="44">
        <f>SUMIF(ALIF_Y2024!$A:$A,$A174,ALIF_Y2024!$F:$F)</f>
        <v>208020.85</v>
      </c>
      <c r="N174" s="44">
        <f>SUMIF(ALIF_Y2025!$A:$A,$A174,ALIF_Y2025!$F:$F)</f>
        <v>244183.04399999999</v>
      </c>
      <c r="O174" s="44">
        <f>SUMIF(TB_Input_Alif!$A:$A,$A174,TB_Input_Alif!$F:$F)</f>
        <v>146683.1</v>
      </c>
      <c r="P174" s="43" t="str">
        <f>_xlfn.XLOOKUP(A174,Map!A:A,Map!E:E)</f>
        <v>Overhead - Utility</v>
      </c>
      <c r="Q174" s="43" t="str">
        <f>_xlfn.XLOOKUP(A174,Map!A:A,Map!D:D)</f>
        <v>Cost of sales</v>
      </c>
    </row>
    <row r="175" spans="1:17" x14ac:dyDescent="0.25">
      <c r="A175" s="42">
        <v>600019</v>
      </c>
      <c r="B175" s="43" t="s">
        <v>996</v>
      </c>
      <c r="C175" s="44">
        <f>SUMIF(ALIF_Y2014!$A:$A,$A175,ALIF_Y2014!$F:$F)</f>
        <v>60129.05</v>
      </c>
      <c r="D175" s="44">
        <f>SUMIF(ALIF_Y2015!$A:$A,$A175,ALIF_Y2015!$F:$F)</f>
        <v>58315.35</v>
      </c>
      <c r="E175" s="44">
        <f>SUMIF(ALIF_Y2016!$A:$A,$A175,ALIF_Y2016!$F:$F)</f>
        <v>128287</v>
      </c>
      <c r="F175" s="44">
        <f>SUMIF(ALIF_Y2017!$A:$A,$A175,ALIF_Y2017!$F:$F)</f>
        <v>38839</v>
      </c>
      <c r="G175" s="44">
        <f>SUMIF(ALIF_Y2018!$A:$A,$A175,ALIF_Y2018!$F:$F)</f>
        <v>47050.004999999997</v>
      </c>
      <c r="H175" s="44">
        <f>SUMIF(ALIF_Y2019!$A:$A,$A175,ALIF_Y2019!$F:$F)</f>
        <v>118151.98299999999</v>
      </c>
      <c r="I175" s="44">
        <f>SUMIF(ALIF_Y2020!$A:$A,$A175,ALIF_Y2020!$F:$F)</f>
        <v>162035.36600000001</v>
      </c>
      <c r="J175" s="44">
        <f>SUMIF(ALIF_Y2021!$A:$A,$A175,ALIF_Y2021!$F:$F)</f>
        <v>213234.52900000001</v>
      </c>
      <c r="K175" s="44">
        <f>SUMIF(ALIF_Y2022!$A:$A,$A175,ALIF_Y2022!$F:$F)</f>
        <v>42545.82</v>
      </c>
      <c r="L175" s="44">
        <f>SUMIF(ALIF_Y2023!$A:$A,$A175,ALIF_Y2023!$F:$F)</f>
        <v>74965.739000000001</v>
      </c>
      <c r="M175" s="44">
        <f>SUMIF(ALIF_Y2024!$A:$A,$A175,ALIF_Y2024!$F:$F)</f>
        <v>106458</v>
      </c>
      <c r="N175" s="44">
        <f>SUMIF(ALIF_Y2025!$A:$A,$A175,ALIF_Y2025!$F:$F)</f>
        <v>76656.376999999993</v>
      </c>
      <c r="O175" s="44">
        <f>SUMIF(TB_Input_Alif!$A:$A,$A175,TB_Input_Alif!$F:$F)</f>
        <v>21836.720000000001</v>
      </c>
      <c r="P175" s="43" t="str">
        <f>_xlfn.XLOOKUP(A175,Map!A:A,Map!E:E)</f>
        <v>Overhead - Utility</v>
      </c>
      <c r="Q175" s="43" t="str">
        <f>_xlfn.XLOOKUP(A175,Map!A:A,Map!D:D)</f>
        <v>Cost of sales</v>
      </c>
    </row>
    <row r="176" spans="1:17" x14ac:dyDescent="0.25">
      <c r="A176" s="42">
        <v>600020</v>
      </c>
      <c r="B176" s="43" t="s">
        <v>997</v>
      </c>
      <c r="C176" s="44">
        <f>SUMIF(ALIF_Y2014!$A:$A,$A176,ALIF_Y2014!$F:$F)</f>
        <v>217684.95199999999</v>
      </c>
      <c r="D176" s="44">
        <f>SUMIF(ALIF_Y2015!$A:$A,$A176,ALIF_Y2015!$F:$F)</f>
        <v>134173.00200000001</v>
      </c>
      <c r="E176" s="44">
        <f>SUMIF(ALIF_Y2016!$A:$A,$A176,ALIF_Y2016!$F:$F)</f>
        <v>37555</v>
      </c>
      <c r="F176" s="44">
        <f>SUMIF(ALIF_Y2017!$A:$A,$A176,ALIF_Y2017!$F:$F)</f>
        <v>149977.74</v>
      </c>
      <c r="G176" s="44">
        <f>SUMIF(ALIF_Y2018!$A:$A,$A176,ALIF_Y2018!$F:$F)</f>
        <v>51226.521000000001</v>
      </c>
      <c r="H176" s="44">
        <f>SUMIF(ALIF_Y2019!$A:$A,$A176,ALIF_Y2019!$F:$F)</f>
        <v>211989.478</v>
      </c>
      <c r="I176" s="44">
        <f>SUMIF(ALIF_Y2020!$A:$A,$A176,ALIF_Y2020!$F:$F)</f>
        <v>241753.386</v>
      </c>
      <c r="J176" s="44">
        <f>SUMIF(ALIF_Y2021!$A:$A,$A176,ALIF_Y2021!$F:$F)</f>
        <v>1423670.814</v>
      </c>
      <c r="K176" s="44">
        <f>SUMIF(ALIF_Y2022!$A:$A,$A176,ALIF_Y2022!$F:$F)</f>
        <v>1707251.281</v>
      </c>
      <c r="L176" s="44">
        <f>SUMIF(ALIF_Y2023!$A:$A,$A176,ALIF_Y2023!$F:$F)</f>
        <v>278086.342</v>
      </c>
      <c r="M176" s="44">
        <f>SUMIF(ALIF_Y2024!$A:$A,$A176,ALIF_Y2024!$F:$F)</f>
        <v>1269104.669</v>
      </c>
      <c r="N176" s="44">
        <f>SUMIF(ALIF_Y2025!$A:$A,$A176,ALIF_Y2025!$F:$F)</f>
        <v>7226411.2560000001</v>
      </c>
      <c r="O176" s="44">
        <f>SUMIF(TB_Input_Alif!$A:$A,$A176,TB_Input_Alif!$F:$F)</f>
        <v>3322415.818</v>
      </c>
      <c r="P176" s="43" t="str">
        <f>_xlfn.XLOOKUP(A176,Map!A:A,Map!E:E)</f>
        <v>Overhead - R&amp;M</v>
      </c>
      <c r="Q176" s="43" t="str">
        <f>_xlfn.XLOOKUP(A176,Map!A:A,Map!D:D)</f>
        <v>Cost of sales</v>
      </c>
    </row>
    <row r="177" spans="1:17" x14ac:dyDescent="0.25">
      <c r="A177" s="42">
        <v>600021</v>
      </c>
      <c r="B177" s="43" t="s">
        <v>998</v>
      </c>
      <c r="C177" s="44">
        <f>SUMIF(ALIF_Y2014!$A:$A,$A177,ALIF_Y2014!$F:$F)</f>
        <v>38872</v>
      </c>
      <c r="D177" s="44">
        <f>SUMIF(ALIF_Y2015!$A:$A,$A177,ALIF_Y2015!$F:$F)</f>
        <v>0</v>
      </c>
      <c r="E177" s="44">
        <f>SUMIF(ALIF_Y2016!$A:$A,$A177,ALIF_Y2016!$F:$F)</f>
        <v>23463</v>
      </c>
      <c r="F177" s="44">
        <f>SUMIF(ALIF_Y2017!$A:$A,$A177,ALIF_Y2017!$F:$F)</f>
        <v>43973</v>
      </c>
      <c r="G177" s="44">
        <f>SUMIF(ALIF_Y2018!$A:$A,$A177,ALIF_Y2018!$F:$F)</f>
        <v>25450.32</v>
      </c>
      <c r="H177" s="44">
        <f>SUMIF(ALIF_Y2019!$A:$A,$A177,ALIF_Y2019!$F:$F)</f>
        <v>50408.18</v>
      </c>
      <c r="I177" s="44">
        <f>SUMIF(ALIF_Y2020!$A:$A,$A177,ALIF_Y2020!$F:$F)</f>
        <v>100491.51</v>
      </c>
      <c r="J177" s="44">
        <f>SUMIF(ALIF_Y2021!$A:$A,$A177,ALIF_Y2021!$F:$F)</f>
        <v>51658.334999999999</v>
      </c>
      <c r="K177" s="44">
        <f>SUMIF(ALIF_Y2022!$A:$A,$A177,ALIF_Y2022!$F:$F)</f>
        <v>34791.302000000003</v>
      </c>
      <c r="L177" s="44">
        <f>SUMIF(ALIF_Y2023!$A:$A,$A177,ALIF_Y2023!$F:$F)</f>
        <v>22187.22</v>
      </c>
      <c r="M177" s="44">
        <f>SUMIF(ALIF_Y2024!$A:$A,$A177,ALIF_Y2024!$F:$F)</f>
        <v>11674.16</v>
      </c>
      <c r="N177" s="44">
        <f>SUMIF(ALIF_Y2025!$A:$A,$A177,ALIF_Y2025!$F:$F)</f>
        <v>35160.987000000001</v>
      </c>
      <c r="O177" s="44">
        <f>SUMIF(TB_Input_Alif!$A:$A,$A177,TB_Input_Alif!$F:$F)</f>
        <v>6727.1</v>
      </c>
      <c r="P177" s="43" t="str">
        <f>_xlfn.XLOOKUP(A177,Map!A:A,Map!E:E)</f>
        <v>Overhead - R&amp;M</v>
      </c>
      <c r="Q177" s="43" t="str">
        <f>_xlfn.XLOOKUP(A177,Map!A:A,Map!D:D)</f>
        <v>Cost of sales</v>
      </c>
    </row>
    <row r="178" spans="1:17" x14ac:dyDescent="0.25">
      <c r="A178" s="42">
        <v>600022</v>
      </c>
      <c r="B178" s="43" t="s">
        <v>999</v>
      </c>
      <c r="C178" s="44">
        <f>SUMIF(ALIF_Y2014!$A:$A,$A178,ALIF_Y2014!$F:$F)</f>
        <v>0</v>
      </c>
      <c r="D178" s="44">
        <f>SUMIF(ALIF_Y2015!$A:$A,$A178,ALIF_Y2015!$F:$F)</f>
        <v>700</v>
      </c>
      <c r="E178" s="44">
        <f>SUMIF(ALIF_Y2016!$A:$A,$A178,ALIF_Y2016!$F:$F)</f>
        <v>300</v>
      </c>
      <c r="F178" s="44">
        <f>SUMIF(ALIF_Y2017!$A:$A,$A178,ALIF_Y2017!$F:$F)</f>
        <v>9818</v>
      </c>
      <c r="G178" s="44">
        <f>SUMIF(ALIF_Y2018!$A:$A,$A178,ALIF_Y2018!$F:$F)</f>
        <v>2200</v>
      </c>
      <c r="H178" s="44">
        <f>SUMIF(ALIF_Y2019!$A:$A,$A178,ALIF_Y2019!$F:$F)</f>
        <v>40689.25</v>
      </c>
      <c r="I178" s="44">
        <f>SUMIF(ALIF_Y2020!$A:$A,$A178,ALIF_Y2020!$F:$F)</f>
        <v>122092.9</v>
      </c>
      <c r="J178" s="44">
        <f>SUMIF(ALIF_Y2021!$A:$A,$A178,ALIF_Y2021!$F:$F)</f>
        <v>188518.36600000001</v>
      </c>
      <c r="K178" s="44">
        <f>SUMIF(ALIF_Y2022!$A:$A,$A178,ALIF_Y2022!$F:$F)</f>
        <v>34835</v>
      </c>
      <c r="L178" s="44">
        <f>SUMIF(ALIF_Y2023!$A:$A,$A178,ALIF_Y2023!$F:$F)</f>
        <v>-14891.970000000001</v>
      </c>
      <c r="M178" s="44">
        <f>SUMIF(ALIF_Y2024!$A:$A,$A178,ALIF_Y2024!$F:$F)</f>
        <v>5123.9120000000003</v>
      </c>
      <c r="N178" s="44">
        <f>SUMIF(ALIF_Y2025!$A:$A,$A178,ALIF_Y2025!$F:$F)</f>
        <v>2680</v>
      </c>
      <c r="O178" s="44">
        <f>SUMIF(TB_Input_Alif!$A:$A,$A178,TB_Input_Alif!$F:$F)</f>
        <v>53710.59</v>
      </c>
      <c r="P178" s="43" t="str">
        <f>_xlfn.XLOOKUP(A178,Map!A:A,Map!E:E)</f>
        <v>Overhead - R&amp;M</v>
      </c>
      <c r="Q178" s="43" t="str">
        <f>_xlfn.XLOOKUP(A178,Map!A:A,Map!D:D)</f>
        <v>Cost of sales</v>
      </c>
    </row>
    <row r="179" spans="1:17" x14ac:dyDescent="0.25">
      <c r="A179" s="42">
        <v>600023</v>
      </c>
      <c r="B179" s="43" t="s">
        <v>1000</v>
      </c>
      <c r="C179" s="44">
        <f>SUMIF(ALIF_Y2014!$A:$A,$A179,ALIF_Y2014!$F:$F)</f>
        <v>880</v>
      </c>
      <c r="D179" s="44">
        <f>SUMIF(ALIF_Y2015!$A:$A,$A179,ALIF_Y2015!$F:$F)</f>
        <v>3377</v>
      </c>
      <c r="E179" s="44">
        <f>SUMIF(ALIF_Y2016!$A:$A,$A179,ALIF_Y2016!$F:$F)</f>
        <v>2100</v>
      </c>
      <c r="F179" s="44">
        <f>SUMIF(ALIF_Y2017!$A:$A,$A179,ALIF_Y2017!$F:$F)</f>
        <v>0</v>
      </c>
      <c r="G179" s="44">
        <f>SUMIF(ALIF_Y2018!$A:$A,$A179,ALIF_Y2018!$F:$F)</f>
        <v>0</v>
      </c>
      <c r="H179" s="44">
        <f>SUMIF(ALIF_Y2019!$A:$A,$A179,ALIF_Y2019!$F:$F)</f>
        <v>4014</v>
      </c>
      <c r="I179" s="44">
        <f>SUMIF(ALIF_Y2020!$A:$A,$A179,ALIF_Y2020!$F:$F)</f>
        <v>2528.75</v>
      </c>
      <c r="J179" s="44">
        <f>SUMIF(ALIF_Y2021!$A:$A,$A179,ALIF_Y2021!$F:$F)</f>
        <v>101452.5</v>
      </c>
      <c r="K179" s="44">
        <f>SUMIF(ALIF_Y2022!$A:$A,$A179,ALIF_Y2022!$F:$F)</f>
        <v>0</v>
      </c>
      <c r="L179" s="44">
        <f>SUMIF(ALIF_Y2023!$A:$A,$A179,ALIF_Y2023!$F:$F)</f>
        <v>0</v>
      </c>
      <c r="M179" s="44">
        <f>SUMIF(ALIF_Y2024!$A:$A,$A179,ALIF_Y2024!$F:$F)</f>
        <v>0</v>
      </c>
      <c r="N179" s="44">
        <f>SUMIF(ALIF_Y2025!$A:$A,$A179,ALIF_Y2025!$F:$F)</f>
        <v>0</v>
      </c>
      <c r="O179" s="44">
        <f>SUMIF(TB_Input_Alif!$A:$A,$A179,TB_Input_Alif!$F:$F)</f>
        <v>0</v>
      </c>
      <c r="P179" s="43" t="str">
        <f>_xlfn.XLOOKUP(A179,Map!A:A,Map!E:E)</f>
        <v>Overhead - R&amp;M</v>
      </c>
      <c r="Q179" s="43" t="str">
        <f>_xlfn.XLOOKUP(A179,Map!A:A,Map!D:D)</f>
        <v>Cost of sales</v>
      </c>
    </row>
    <row r="180" spans="1:17" x14ac:dyDescent="0.25">
      <c r="A180" s="42">
        <v>600024</v>
      </c>
      <c r="B180" s="43" t="s">
        <v>1001</v>
      </c>
      <c r="C180" s="44">
        <f>SUMIF(ALIF_Y2014!$A:$A,$A180,ALIF_Y2014!$F:$F)</f>
        <v>70658.5</v>
      </c>
      <c r="D180" s="44">
        <f>SUMIF(ALIF_Y2015!$A:$A,$A180,ALIF_Y2015!$F:$F)</f>
        <v>111125</v>
      </c>
      <c r="E180" s="44">
        <f>SUMIF(ALIF_Y2016!$A:$A,$A180,ALIF_Y2016!$F:$F)</f>
        <v>93001.69</v>
      </c>
      <c r="F180" s="44">
        <f>SUMIF(ALIF_Y2017!$A:$A,$A180,ALIF_Y2017!$F:$F)</f>
        <v>33960.5</v>
      </c>
      <c r="G180" s="44">
        <f>SUMIF(ALIF_Y2018!$A:$A,$A180,ALIF_Y2018!$F:$F)</f>
        <v>4342.5</v>
      </c>
      <c r="H180" s="44">
        <f>SUMIF(ALIF_Y2019!$A:$A,$A180,ALIF_Y2019!$F:$F)</f>
        <v>7663.95</v>
      </c>
      <c r="I180" s="44">
        <f>SUMIF(ALIF_Y2020!$A:$A,$A180,ALIF_Y2020!$F:$F)</f>
        <v>14937.3</v>
      </c>
      <c r="J180" s="44">
        <f>SUMIF(ALIF_Y2021!$A:$A,$A180,ALIF_Y2021!$F:$F)</f>
        <v>0</v>
      </c>
      <c r="K180" s="44">
        <f>SUMIF(ALIF_Y2022!$A:$A,$A180,ALIF_Y2022!$F:$F)</f>
        <v>0</v>
      </c>
      <c r="L180" s="44">
        <f>SUMIF(ALIF_Y2023!$A:$A,$A180,ALIF_Y2023!$F:$F)</f>
        <v>0</v>
      </c>
      <c r="M180" s="44">
        <f>SUMIF(ALIF_Y2024!$A:$A,$A180,ALIF_Y2024!$F:$F)</f>
        <v>0</v>
      </c>
      <c r="N180" s="44">
        <f>SUMIF(ALIF_Y2025!$A:$A,$A180,ALIF_Y2025!$F:$F)</f>
        <v>0</v>
      </c>
      <c r="O180" s="44">
        <f>SUMIF(TB_Input_Alif!$A:$A,$A180,TB_Input_Alif!$F:$F)</f>
        <v>0</v>
      </c>
      <c r="P180" s="43" t="str">
        <f>_xlfn.XLOOKUP(A180,Map!A:A,Map!E:E)</f>
        <v>Overhead - Rent</v>
      </c>
      <c r="Q180" s="43" t="str">
        <f>_xlfn.XLOOKUP(A180,Map!A:A,Map!D:D)</f>
        <v>Cost of sales</v>
      </c>
    </row>
    <row r="181" spans="1:17" x14ac:dyDescent="0.25">
      <c r="A181" s="42">
        <v>600025</v>
      </c>
      <c r="B181" s="43" t="s">
        <v>1002</v>
      </c>
      <c r="C181" s="44">
        <f>SUMIF(ALIF_Y2014!$A:$A,$A181,ALIF_Y2014!$F:$F)</f>
        <v>0</v>
      </c>
      <c r="D181" s="44">
        <f>SUMIF(ALIF_Y2015!$A:$A,$A181,ALIF_Y2015!$F:$F)</f>
        <v>0</v>
      </c>
      <c r="E181" s="44">
        <f>SUMIF(ALIF_Y2016!$A:$A,$A181,ALIF_Y2016!$F:$F)</f>
        <v>0</v>
      </c>
      <c r="F181" s="44">
        <f>SUMIF(ALIF_Y2017!$A:$A,$A181,ALIF_Y2017!$F:$F)</f>
        <v>0</v>
      </c>
      <c r="G181" s="44">
        <f>SUMIF(ALIF_Y2018!$A:$A,$A181,ALIF_Y2018!$F:$F)</f>
        <v>0</v>
      </c>
      <c r="H181" s="44">
        <f>SUMIF(ALIF_Y2019!$A:$A,$A181,ALIF_Y2019!$F:$F)</f>
        <v>320</v>
      </c>
      <c r="I181" s="44">
        <f>SUMIF(ALIF_Y2020!$A:$A,$A181,ALIF_Y2020!$F:$F)</f>
        <v>0</v>
      </c>
      <c r="J181" s="44">
        <f>SUMIF(ALIF_Y2021!$A:$A,$A181,ALIF_Y2021!$F:$F)</f>
        <v>0</v>
      </c>
      <c r="K181" s="44">
        <f>SUMIF(ALIF_Y2022!$A:$A,$A181,ALIF_Y2022!$F:$F)</f>
        <v>0</v>
      </c>
      <c r="L181" s="44">
        <f>SUMIF(ALIF_Y2023!$A:$A,$A181,ALIF_Y2023!$F:$F)</f>
        <v>0</v>
      </c>
      <c r="M181" s="44">
        <f>SUMIF(ALIF_Y2024!$A:$A,$A181,ALIF_Y2024!$F:$F)</f>
        <v>0</v>
      </c>
      <c r="N181" s="44">
        <f>SUMIF(ALIF_Y2025!$A:$A,$A181,ALIF_Y2025!$F:$F)</f>
        <v>0</v>
      </c>
      <c r="O181" s="44">
        <f>SUMIF(TB_Input_Alif!$A:$A,$A181,TB_Input_Alif!$F:$F)</f>
        <v>0</v>
      </c>
      <c r="P181" s="43" t="str">
        <f>_xlfn.XLOOKUP(A181,Map!A:A,Map!E:E)</f>
        <v>Overhead - Insurance</v>
      </c>
      <c r="Q181" s="43" t="str">
        <f>_xlfn.XLOOKUP(A181,Map!A:A,Map!D:D)</f>
        <v>Cost of sales</v>
      </c>
    </row>
    <row r="182" spans="1:17" x14ac:dyDescent="0.25">
      <c r="A182" s="42">
        <v>600026</v>
      </c>
      <c r="B182" s="43" t="s">
        <v>1003</v>
      </c>
      <c r="C182" s="44">
        <f>SUMIF(ALIF_Y2014!$A:$A,$A182,ALIF_Y2014!$F:$F)</f>
        <v>0</v>
      </c>
      <c r="D182" s="44">
        <f>SUMIF(ALIF_Y2015!$A:$A,$A182,ALIF_Y2015!$F:$F)</f>
        <v>0</v>
      </c>
      <c r="E182" s="44">
        <f>SUMIF(ALIF_Y2016!$A:$A,$A182,ALIF_Y2016!$F:$F)</f>
        <v>0</v>
      </c>
      <c r="F182" s="44">
        <f>SUMIF(ALIF_Y2017!$A:$A,$A182,ALIF_Y2017!$F:$F)</f>
        <v>0</v>
      </c>
      <c r="G182" s="44">
        <f>SUMIF(ALIF_Y2018!$A:$A,$A182,ALIF_Y2018!$F:$F)</f>
        <v>0</v>
      </c>
      <c r="H182" s="44">
        <f>SUMIF(ALIF_Y2019!$A:$A,$A182,ALIF_Y2019!$F:$F)</f>
        <v>0</v>
      </c>
      <c r="I182" s="44">
        <f>SUMIF(ALIF_Y2020!$A:$A,$A182,ALIF_Y2020!$F:$F)</f>
        <v>0</v>
      </c>
      <c r="J182" s="44">
        <f>SUMIF(ALIF_Y2021!$A:$A,$A182,ALIF_Y2021!$F:$F)</f>
        <v>0</v>
      </c>
      <c r="K182" s="44">
        <f>SUMIF(ALIF_Y2022!$A:$A,$A182,ALIF_Y2022!$F:$F)</f>
        <v>0</v>
      </c>
      <c r="L182" s="44">
        <f>SUMIF(ALIF_Y2023!$A:$A,$A182,ALIF_Y2023!$F:$F)</f>
        <v>0</v>
      </c>
      <c r="M182" s="44">
        <f>SUMIF(ALIF_Y2024!$A:$A,$A182,ALIF_Y2024!$F:$F)</f>
        <v>0</v>
      </c>
      <c r="N182" s="44">
        <f>SUMIF(ALIF_Y2025!$A:$A,$A182,ALIF_Y2025!$F:$F)</f>
        <v>0</v>
      </c>
      <c r="O182" s="44">
        <f>SUMIF(TB_Input_Alif!$A:$A,$A182,TB_Input_Alif!$F:$F)</f>
        <v>0</v>
      </c>
      <c r="P182" s="43" t="str">
        <f>_xlfn.XLOOKUP(A182,Map!A:A,Map!E:E)</f>
        <v>Overhead - Insurance</v>
      </c>
      <c r="Q182" s="43" t="str">
        <f>_xlfn.XLOOKUP(A182,Map!A:A,Map!D:D)</f>
        <v>Cost of sales</v>
      </c>
    </row>
    <row r="183" spans="1:17" x14ac:dyDescent="0.25">
      <c r="A183" s="42">
        <v>600027</v>
      </c>
      <c r="B183" s="43" t="s">
        <v>1004</v>
      </c>
      <c r="C183" s="44">
        <f>SUMIF(ALIF_Y2014!$A:$A,$A183,ALIF_Y2014!$F:$F)</f>
        <v>528700</v>
      </c>
      <c r="D183" s="44">
        <f>SUMIF(ALIF_Y2015!$A:$A,$A183,ALIF_Y2015!$F:$F)</f>
        <v>606615</v>
      </c>
      <c r="E183" s="44">
        <f>SUMIF(ALIF_Y2016!$A:$A,$A183,ALIF_Y2016!$F:$F)</f>
        <v>616000.07999999996</v>
      </c>
      <c r="F183" s="44">
        <f>SUMIF(ALIF_Y2017!$A:$A,$A183,ALIF_Y2017!$F:$F)</f>
        <v>308000.03999999998</v>
      </c>
      <c r="G183" s="44">
        <f>SUMIF(ALIF_Y2018!$A:$A,$A183,ALIF_Y2018!$F:$F)</f>
        <v>75357</v>
      </c>
      <c r="H183" s="44">
        <f>SUMIF(ALIF_Y2019!$A:$A,$A183,ALIF_Y2019!$F:$F)</f>
        <v>173594</v>
      </c>
      <c r="I183" s="44">
        <f>SUMIF(ALIF_Y2020!$A:$A,$A183,ALIF_Y2020!$F:$F)</f>
        <v>20884.348000000002</v>
      </c>
      <c r="J183" s="44">
        <f>SUMIF(ALIF_Y2021!$A:$A,$A183,ALIF_Y2021!$F:$F)</f>
        <v>0</v>
      </c>
      <c r="K183" s="44">
        <f>SUMIF(ALIF_Y2022!$A:$A,$A183,ALIF_Y2022!$F:$F)</f>
        <v>0</v>
      </c>
      <c r="L183" s="44">
        <f>SUMIF(ALIF_Y2023!$A:$A,$A183,ALIF_Y2023!$F:$F)</f>
        <v>0</v>
      </c>
      <c r="M183" s="44">
        <f>SUMIF(ALIF_Y2024!$A:$A,$A183,ALIF_Y2024!$F:$F)</f>
        <v>0</v>
      </c>
      <c r="N183" s="44">
        <f>SUMIF(ALIF_Y2025!$A:$A,$A183,ALIF_Y2025!$F:$F)</f>
        <v>0</v>
      </c>
      <c r="O183" s="44">
        <f>SUMIF(TB_Input_Alif!$A:$A,$A183,TB_Input_Alif!$F:$F)</f>
        <v>0</v>
      </c>
      <c r="P183" s="43" t="str">
        <f>_xlfn.XLOOKUP(A183,Map!A:A,Map!E:E)</f>
        <v>Overhead - Rent</v>
      </c>
      <c r="Q183" s="43" t="str">
        <f>_xlfn.XLOOKUP(A183,Map!A:A,Map!D:D)</f>
        <v>Cost of sales</v>
      </c>
    </row>
    <row r="184" spans="1:17" x14ac:dyDescent="0.25">
      <c r="A184" s="42">
        <v>600028</v>
      </c>
      <c r="B184" s="43" t="s">
        <v>1005</v>
      </c>
      <c r="C184" s="44">
        <f>SUMIF(ALIF_Y2014!$A:$A,$A184,ALIF_Y2014!$F:$F)</f>
        <v>32121</v>
      </c>
      <c r="D184" s="44">
        <f>SUMIF(ALIF_Y2015!$A:$A,$A184,ALIF_Y2015!$F:$F)</f>
        <v>37601</v>
      </c>
      <c r="E184" s="44">
        <f>SUMIF(ALIF_Y2016!$A:$A,$A184,ALIF_Y2016!$F:$F)</f>
        <v>22558</v>
      </c>
      <c r="F184" s="44">
        <f>SUMIF(ALIF_Y2017!$A:$A,$A184,ALIF_Y2017!$F:$F)</f>
        <v>3483</v>
      </c>
      <c r="G184" s="44">
        <f>SUMIF(ALIF_Y2018!$A:$A,$A184,ALIF_Y2018!$F:$F)</f>
        <v>25229.200000000001</v>
      </c>
      <c r="H184" s="44">
        <f>SUMIF(ALIF_Y2019!$A:$A,$A184,ALIF_Y2019!$F:$F)</f>
        <v>118089.66</v>
      </c>
      <c r="I184" s="44">
        <f>SUMIF(ALIF_Y2020!$A:$A,$A184,ALIF_Y2020!$F:$F)</f>
        <v>38057.71</v>
      </c>
      <c r="J184" s="44">
        <f>SUMIF(ALIF_Y2021!$A:$A,$A184,ALIF_Y2021!$F:$F)</f>
        <v>11936.77</v>
      </c>
      <c r="K184" s="44">
        <f>SUMIF(ALIF_Y2022!$A:$A,$A184,ALIF_Y2022!$F:$F)</f>
        <v>0</v>
      </c>
      <c r="L184" s="44">
        <f>SUMIF(ALIF_Y2023!$A:$A,$A184,ALIF_Y2023!$F:$F)</f>
        <v>0</v>
      </c>
      <c r="M184" s="44">
        <f>SUMIF(ALIF_Y2024!$A:$A,$A184,ALIF_Y2024!$F:$F)</f>
        <v>0</v>
      </c>
      <c r="N184" s="44">
        <f>SUMIF(ALIF_Y2025!$A:$A,$A184,ALIF_Y2025!$F:$F)</f>
        <v>0</v>
      </c>
      <c r="O184" s="44">
        <f>SUMIF(TB_Input_Alif!$A:$A,$A184,TB_Input_Alif!$F:$F)</f>
        <v>0</v>
      </c>
      <c r="P184" s="43" t="str">
        <f>_xlfn.XLOOKUP(A184,Map!A:A,Map!E:E)</f>
        <v>Overhead - Consumables &amp; SP</v>
      </c>
      <c r="Q184" s="43" t="str">
        <f>_xlfn.XLOOKUP(A184,Map!A:A,Map!D:D)</f>
        <v>Cost of sales</v>
      </c>
    </row>
    <row r="185" spans="1:17" x14ac:dyDescent="0.25">
      <c r="A185" s="42">
        <v>600029</v>
      </c>
      <c r="B185" s="43" t="s">
        <v>1006</v>
      </c>
      <c r="C185" s="44">
        <f>SUMIF(ALIF_Y2014!$A:$A,$A185,ALIF_Y2014!$F:$F)</f>
        <v>2954190.4589999998</v>
      </c>
      <c r="D185" s="44">
        <f>SUMIF(ALIF_Y2015!$A:$A,$A185,ALIF_Y2015!$F:$F)</f>
        <v>3165403.4010000001</v>
      </c>
      <c r="E185" s="44">
        <f>SUMIF(ALIF_Y2016!$A:$A,$A185,ALIF_Y2016!$F:$F)</f>
        <v>3435007.7499999995</v>
      </c>
      <c r="F185" s="44">
        <f>SUMIF(ALIF_Y2017!$A:$A,$A185,ALIF_Y2017!$F:$F)</f>
        <v>3533037.389</v>
      </c>
      <c r="G185" s="44">
        <f>SUMIF(ALIF_Y2018!$A:$A,$A185,ALIF_Y2018!$F:$F)</f>
        <v>2198098.9980000001</v>
      </c>
      <c r="H185" s="44">
        <f>SUMIF(ALIF_Y2019!$A:$A,$A185,ALIF_Y2019!$F:$F)</f>
        <v>3638104.1009999998</v>
      </c>
      <c r="I185" s="44">
        <f>SUMIF(ALIF_Y2020!$A:$A,$A185,ALIF_Y2020!$F:$F)</f>
        <v>3256640.844</v>
      </c>
      <c r="J185" s="44">
        <f>SUMIF(ALIF_Y2021!$A:$A,$A185,ALIF_Y2021!$F:$F)</f>
        <v>3446969.5830000001</v>
      </c>
      <c r="K185" s="44">
        <f>SUMIF(ALIF_Y2022!$A:$A,$A185,ALIF_Y2022!$F:$F)</f>
        <v>3787622.0819999999</v>
      </c>
      <c r="L185" s="44">
        <f>SUMIF(ALIF_Y2023!$A:$A,$A185,ALIF_Y2023!$F:$F)</f>
        <v>3892923.0929999999</v>
      </c>
      <c r="M185" s="44">
        <f>SUMIF(ALIF_Y2024!$A:$A,$A185,ALIF_Y2024!$F:$F)</f>
        <v>4522894.6119999997</v>
      </c>
      <c r="N185" s="44">
        <f>SUMIF(ALIF_Y2025!$A:$A,$A185,ALIF_Y2025!$F:$F)</f>
        <v>7355690.534</v>
      </c>
      <c r="O185" s="44">
        <f>SUMIF(TB_Input_Alif!$A:$A,$A185,TB_Input_Alif!$F:$F)</f>
        <v>6489832.7048807256</v>
      </c>
      <c r="P185" s="43" t="str">
        <f>_xlfn.XLOOKUP(A185,Map!A:A,Map!E:E)</f>
        <v>Depreciation - Machines</v>
      </c>
      <c r="Q185" s="43" t="str">
        <f>_xlfn.XLOOKUP(A185,Map!A:A,Map!D:D)</f>
        <v>Cost of sales</v>
      </c>
    </row>
    <row r="186" spans="1:17" x14ac:dyDescent="0.25">
      <c r="A186" s="42">
        <v>600030</v>
      </c>
      <c r="B186" s="43" t="s">
        <v>1007</v>
      </c>
      <c r="C186" s="44">
        <f>SUMIF(ALIF_Y2014!$A:$A,$A186,ALIF_Y2014!$F:$F)</f>
        <v>16978.21</v>
      </c>
      <c r="D186" s="44">
        <f>SUMIF(ALIF_Y2015!$A:$A,$A186,ALIF_Y2015!$F:$F)</f>
        <v>12131.503000000001</v>
      </c>
      <c r="E186" s="44">
        <f>SUMIF(ALIF_Y2016!$A:$A,$A186,ALIF_Y2016!$F:$F)</f>
        <v>8894.91</v>
      </c>
      <c r="F186" s="44">
        <f>SUMIF(ALIF_Y2017!$A:$A,$A186,ALIF_Y2017!$F:$F)</f>
        <v>5931.53</v>
      </c>
      <c r="G186" s="44">
        <f>SUMIF(ALIF_Y2018!$A:$A,$A186,ALIF_Y2018!$F:$F)</f>
        <v>19540.267</v>
      </c>
      <c r="H186" s="44">
        <f>SUMIF(ALIF_Y2019!$A:$A,$A186,ALIF_Y2019!$F:$F)</f>
        <v>43190.017999999996</v>
      </c>
      <c r="I186" s="44">
        <f>SUMIF(ALIF_Y2020!$A:$A,$A186,ALIF_Y2020!$F:$F)</f>
        <v>56147.614999999998</v>
      </c>
      <c r="J186" s="44">
        <f>SUMIF(ALIF_Y2021!$A:$A,$A186,ALIF_Y2021!$F:$F)</f>
        <v>76450.78</v>
      </c>
      <c r="K186" s="44">
        <f>SUMIF(ALIF_Y2022!$A:$A,$A186,ALIF_Y2022!$F:$F)</f>
        <v>82730.331999999995</v>
      </c>
      <c r="L186" s="44">
        <f>SUMIF(ALIF_Y2023!$A:$A,$A186,ALIF_Y2023!$F:$F)</f>
        <v>87931.763999999996</v>
      </c>
      <c r="M186" s="44">
        <f>SUMIF(ALIF_Y2024!$A:$A,$A186,ALIF_Y2024!$F:$F)</f>
        <v>89058.758000000002</v>
      </c>
      <c r="N186" s="44">
        <f>SUMIF(ALIF_Y2025!$A:$A,$A186,ALIF_Y2025!$F:$F)</f>
        <v>0</v>
      </c>
      <c r="O186" s="44">
        <f>SUMIF(TB_Input_Alif!$A:$A,$A186,TB_Input_Alif!$F:$F)</f>
        <v>0</v>
      </c>
      <c r="P186" s="43" t="str">
        <f>_xlfn.XLOOKUP(A186,Map!A:A,Map!E:E)</f>
        <v>Depreciation expenses</v>
      </c>
      <c r="Q186" s="43" t="str">
        <f>_xlfn.XLOOKUP(A186,Map!A:A,Map!D:D)</f>
        <v>Depreciation expenses</v>
      </c>
    </row>
    <row r="187" spans="1:17" x14ac:dyDescent="0.25">
      <c r="A187" s="42">
        <v>600031</v>
      </c>
      <c r="B187" s="43" t="s">
        <v>1008</v>
      </c>
      <c r="C187" s="44">
        <f>SUMIF(ALIF_Y2014!$A:$A,$A187,ALIF_Y2014!$F:$F)</f>
        <v>99878.67</v>
      </c>
      <c r="D187" s="44">
        <f>SUMIF(ALIF_Y2015!$A:$A,$A187,ALIF_Y2015!$F:$F)</f>
        <v>43317.006000000001</v>
      </c>
      <c r="E187" s="44">
        <f>SUMIF(ALIF_Y2016!$A:$A,$A187,ALIF_Y2016!$F:$F)</f>
        <v>7359.9889999999987</v>
      </c>
      <c r="F187" s="44">
        <f>SUMIF(ALIF_Y2017!$A:$A,$A187,ALIF_Y2017!$F:$F)</f>
        <v>2409.9670000000001</v>
      </c>
      <c r="G187" s="44">
        <f>SUMIF(ALIF_Y2018!$A:$A,$A187,ALIF_Y2018!$F:$F)</f>
        <v>6188.76</v>
      </c>
      <c r="H187" s="44">
        <f>SUMIF(ALIF_Y2019!$A:$A,$A187,ALIF_Y2019!$F:$F)</f>
        <v>14498.33</v>
      </c>
      <c r="I187" s="44">
        <f>SUMIF(ALIF_Y2020!$A:$A,$A187,ALIF_Y2020!$F:$F)</f>
        <v>0</v>
      </c>
      <c r="J187" s="44">
        <f>SUMIF(ALIF_Y2021!$A:$A,$A187,ALIF_Y2021!$F:$F)</f>
        <v>0</v>
      </c>
      <c r="K187" s="44">
        <f>SUMIF(ALIF_Y2022!$A:$A,$A187,ALIF_Y2022!$F:$F)</f>
        <v>0</v>
      </c>
      <c r="L187" s="44">
        <f>SUMIF(ALIF_Y2023!$A:$A,$A187,ALIF_Y2023!$F:$F)</f>
        <v>0</v>
      </c>
      <c r="M187" s="44">
        <f>SUMIF(ALIF_Y2024!$A:$A,$A187,ALIF_Y2024!$F:$F)</f>
        <v>0</v>
      </c>
      <c r="N187" s="44">
        <f>SUMIF(ALIF_Y2025!$A:$A,$A187,ALIF_Y2025!$F:$F)</f>
        <v>0</v>
      </c>
      <c r="O187" s="44">
        <f>SUMIF(TB_Input_Alif!$A:$A,$A187,TB_Input_Alif!$F:$F)</f>
        <v>0</v>
      </c>
      <c r="P187" s="43" t="str">
        <f>_xlfn.XLOOKUP(A187,Map!A:A,Map!E:E)</f>
        <v>Depreciation expenses</v>
      </c>
      <c r="Q187" s="43" t="str">
        <f>_xlfn.XLOOKUP(A187,Map!A:A,Map!D:D)</f>
        <v>Depreciation expenses</v>
      </c>
    </row>
    <row r="188" spans="1:17" x14ac:dyDescent="0.25">
      <c r="A188" s="42">
        <v>600032</v>
      </c>
      <c r="B188" s="43" t="s">
        <v>1009</v>
      </c>
      <c r="C188" s="44">
        <f>SUMIF(ALIF_Y2014!$A:$A,$A188,ALIF_Y2014!$F:$F)</f>
        <v>0</v>
      </c>
      <c r="D188" s="44">
        <f>SUMIF(ALIF_Y2015!$A:$A,$A188,ALIF_Y2015!$F:$F)</f>
        <v>0</v>
      </c>
      <c r="E188" s="44">
        <f>SUMIF(ALIF_Y2016!$A:$A,$A188,ALIF_Y2016!$F:$F)</f>
        <v>0</v>
      </c>
      <c r="F188" s="44">
        <f>SUMIF(ALIF_Y2017!$A:$A,$A188,ALIF_Y2017!$F:$F)</f>
        <v>0</v>
      </c>
      <c r="G188" s="44">
        <f>SUMIF(ALIF_Y2018!$A:$A,$A188,ALIF_Y2018!$F:$F)</f>
        <v>464769.54</v>
      </c>
      <c r="H188" s="44">
        <f>SUMIF(ALIF_Y2019!$A:$A,$A188,ALIF_Y2019!$F:$F)</f>
        <v>445185.70500000002</v>
      </c>
      <c r="I188" s="44">
        <f>SUMIF(ALIF_Y2020!$A:$A,$A188,ALIF_Y2020!$F:$F)</f>
        <v>1491578.6159999999</v>
      </c>
      <c r="J188" s="44">
        <f>SUMIF(ALIF_Y2021!$A:$A,$A188,ALIF_Y2021!$F:$F)</f>
        <v>1566844.1880000001</v>
      </c>
      <c r="K188" s="44">
        <f>SUMIF(ALIF_Y2022!$A:$A,$A188,ALIF_Y2022!$F:$F)</f>
        <v>1566844.2</v>
      </c>
      <c r="L188" s="44">
        <f>SUMIF(ALIF_Y2023!$A:$A,$A188,ALIF_Y2023!$F:$F)</f>
        <v>1566844.2</v>
      </c>
      <c r="M188" s="44">
        <f>SUMIF(ALIF_Y2024!$A:$A,$A188,ALIF_Y2024!$F:$F)</f>
        <v>1583327.5020000001</v>
      </c>
      <c r="N188" s="44">
        <f>SUMIF(ALIF_Y2025!$A:$A,$A188,ALIF_Y2025!$F:$F)</f>
        <v>1592884.561</v>
      </c>
      <c r="O188" s="44">
        <f>SUMIF(TB_Input_Alif!$A:$A,$A188,TB_Input_Alif!$F:$F)</f>
        <v>1194663.42</v>
      </c>
      <c r="P188" s="43" t="str">
        <f>_xlfn.XLOOKUP(A188,Map!A:A,Map!E:E)</f>
        <v>Depreciation expenses</v>
      </c>
      <c r="Q188" s="43" t="str">
        <f>_xlfn.XLOOKUP(A188,Map!A:A,Map!D:D)</f>
        <v>Depreciation expenses</v>
      </c>
    </row>
    <row r="189" spans="1:17" x14ac:dyDescent="0.25">
      <c r="A189" s="42">
        <v>600033</v>
      </c>
      <c r="B189" s="43" t="s">
        <v>1010</v>
      </c>
      <c r="C189" s="44">
        <f>SUMIF(ALIF_Y2014!$A:$A,$A189,ALIF_Y2014!$F:$F)</f>
        <v>0</v>
      </c>
      <c r="D189" s="44">
        <f>SUMIF(ALIF_Y2015!$A:$A,$A189,ALIF_Y2015!$F:$F)</f>
        <v>0</v>
      </c>
      <c r="E189" s="44">
        <f>SUMIF(ALIF_Y2016!$A:$A,$A189,ALIF_Y2016!$F:$F)</f>
        <v>0</v>
      </c>
      <c r="F189" s="44">
        <f>SUMIF(ALIF_Y2017!$A:$A,$A189,ALIF_Y2017!$F:$F)</f>
        <v>0</v>
      </c>
      <c r="G189" s="44">
        <f>SUMIF(ALIF_Y2018!$A:$A,$A189,ALIF_Y2018!$F:$F)</f>
        <v>0</v>
      </c>
      <c r="H189" s="44">
        <f>SUMIF(ALIF_Y2019!$A:$A,$A189,ALIF_Y2019!$F:$F)</f>
        <v>0</v>
      </c>
      <c r="I189" s="44">
        <f>SUMIF(ALIF_Y2020!$A:$A,$A189,ALIF_Y2020!$F:$F)</f>
        <v>160112.508</v>
      </c>
      <c r="J189" s="44">
        <f>SUMIF(ALIF_Y2021!$A:$A,$A189,ALIF_Y2021!$F:$F)</f>
        <v>160113</v>
      </c>
      <c r="K189" s="44">
        <f>SUMIF(ALIF_Y2022!$A:$A,$A189,ALIF_Y2022!$F:$F)</f>
        <v>149331.413</v>
      </c>
      <c r="L189" s="44">
        <f>SUMIF(ALIF_Y2023!$A:$A,$A189,ALIF_Y2023!$F:$F)</f>
        <v>162906.99600000001</v>
      </c>
      <c r="M189" s="44">
        <f>SUMIF(ALIF_Y2024!$A:$A,$A189,ALIF_Y2024!$F:$F)</f>
        <v>148721.60399999999</v>
      </c>
      <c r="N189" s="44">
        <f>SUMIF(ALIF_Y2025!$A:$A,$A189,ALIF_Y2025!$F:$F)</f>
        <v>309351.69799999997</v>
      </c>
      <c r="O189" s="44">
        <f>SUMIF(TB_Input_Alif!$A:$A,$A189,TB_Input_Alif!$F:$F)</f>
        <v>240761.505</v>
      </c>
      <c r="P189" s="43" t="str">
        <f>_xlfn.XLOOKUP(A189,Map!A:A,Map!E:E)</f>
        <v>Depreciation expenses</v>
      </c>
      <c r="Q189" s="43" t="str">
        <f>_xlfn.XLOOKUP(A189,Map!A:A,Map!D:D)</f>
        <v>Depreciation expenses</v>
      </c>
    </row>
    <row r="190" spans="1:17" x14ac:dyDescent="0.25">
      <c r="A190" s="42">
        <v>600034</v>
      </c>
      <c r="B190" s="43" t="s">
        <v>1011</v>
      </c>
      <c r="C190" s="44">
        <f>SUMIF(ALIF_Y2014!$A:$A,$A190,ALIF_Y2014!$F:$F)</f>
        <v>0</v>
      </c>
      <c r="D190" s="44">
        <f>SUMIF(ALIF_Y2015!$A:$A,$A190,ALIF_Y2015!$F:$F)</f>
        <v>0</v>
      </c>
      <c r="E190" s="44">
        <f>SUMIF(ALIF_Y2016!$A:$A,$A190,ALIF_Y2016!$F:$F)</f>
        <v>0</v>
      </c>
      <c r="F190" s="44">
        <f>SUMIF(ALIF_Y2017!$A:$A,$A190,ALIF_Y2017!$F:$F)</f>
        <v>0</v>
      </c>
      <c r="G190" s="44">
        <f>SUMIF(ALIF_Y2018!$A:$A,$A190,ALIF_Y2018!$F:$F)</f>
        <v>0</v>
      </c>
      <c r="H190" s="44">
        <f>SUMIF(ALIF_Y2019!$A:$A,$A190,ALIF_Y2019!$F:$F)</f>
        <v>0</v>
      </c>
      <c r="I190" s="44">
        <f>SUMIF(ALIF_Y2020!$A:$A,$A190,ALIF_Y2020!$F:$F)</f>
        <v>0</v>
      </c>
      <c r="J190" s="44">
        <f>SUMIF(ALIF_Y2021!$A:$A,$A190,ALIF_Y2021!$F:$F)</f>
        <v>0</v>
      </c>
      <c r="K190" s="44">
        <f>SUMIF(ALIF_Y2022!$A:$A,$A190,ALIF_Y2022!$F:$F)</f>
        <v>0</v>
      </c>
      <c r="L190" s="44">
        <f>SUMIF(ALIF_Y2023!$A:$A,$A190,ALIF_Y2023!$F:$F)</f>
        <v>518207.99800000002</v>
      </c>
      <c r="M190" s="44">
        <f>SUMIF(ALIF_Y2024!$A:$A,$A190,ALIF_Y2024!$F:$F)</f>
        <v>0</v>
      </c>
      <c r="N190" s="44">
        <f>SUMIF(ALIF_Y2025!$A:$A,$A190,ALIF_Y2025!$F:$F)</f>
        <v>0</v>
      </c>
      <c r="O190" s="44">
        <f>SUMIF(TB_Input_Alif!$A:$A,$A190,TB_Input_Alif!$F:$F)</f>
        <v>0</v>
      </c>
      <c r="P190" s="43" t="str">
        <f>_xlfn.XLOOKUP(A190,Map!A:A,Map!E:E)</f>
        <v>Overhead - Rent Labor</v>
      </c>
      <c r="Q190" s="43" t="str">
        <f>_xlfn.XLOOKUP(A190,Map!A:A,Map!D:D)</f>
        <v>Cost of sales</v>
      </c>
    </row>
    <row r="191" spans="1:17" x14ac:dyDescent="0.25">
      <c r="A191" s="42">
        <v>600035</v>
      </c>
      <c r="B191" s="43" t="s">
        <v>1012</v>
      </c>
      <c r="C191" s="44">
        <f>SUMIF(ALIF_Y2014!$A:$A,$A191,ALIF_Y2014!$F:$F)</f>
        <v>0</v>
      </c>
      <c r="D191" s="44">
        <f>SUMIF(ALIF_Y2015!$A:$A,$A191,ALIF_Y2015!$F:$F)</f>
        <v>0</v>
      </c>
      <c r="E191" s="44">
        <f>SUMIF(ALIF_Y2016!$A:$A,$A191,ALIF_Y2016!$F:$F)</f>
        <v>0</v>
      </c>
      <c r="F191" s="44">
        <f>SUMIF(ALIF_Y2017!$A:$A,$A191,ALIF_Y2017!$F:$F)</f>
        <v>0</v>
      </c>
      <c r="G191" s="44">
        <f>SUMIF(ALIF_Y2018!$A:$A,$A191,ALIF_Y2018!$F:$F)</f>
        <v>0</v>
      </c>
      <c r="H191" s="44">
        <f>SUMIF(ALIF_Y2019!$A:$A,$A191,ALIF_Y2019!$F:$F)</f>
        <v>0</v>
      </c>
      <c r="I191" s="44">
        <f>SUMIF(ALIF_Y2020!$A:$A,$A191,ALIF_Y2020!$F:$F)</f>
        <v>0</v>
      </c>
      <c r="J191" s="44">
        <f>SUMIF(ALIF_Y2021!$A:$A,$A191,ALIF_Y2021!$F:$F)</f>
        <v>0</v>
      </c>
      <c r="K191" s="44">
        <f>SUMIF(ALIF_Y2022!$A:$A,$A191,ALIF_Y2022!$F:$F)</f>
        <v>0</v>
      </c>
      <c r="L191" s="44">
        <f>SUMIF(ALIF_Y2023!$A:$A,$A191,ALIF_Y2023!$F:$F)</f>
        <v>0</v>
      </c>
      <c r="M191" s="44">
        <f>SUMIF(ALIF_Y2024!$A:$A,$A191,ALIF_Y2024!$F:$F)</f>
        <v>2924648.827</v>
      </c>
      <c r="N191" s="44">
        <f>SUMIF(ALIF_Y2025!$A:$A,$A191,ALIF_Y2025!$F:$F)</f>
        <v>3329353.625</v>
      </c>
      <c r="O191" s="44">
        <f>SUMIF(TB_Input_Alif!$A:$A,$A191,TB_Input_Alif!$F:$F)</f>
        <v>0</v>
      </c>
      <c r="P191" s="43" t="str">
        <f>_xlfn.XLOOKUP(A191,Map!A:A,Map!E:E)</f>
        <v>Overhead - Labor Cost</v>
      </c>
      <c r="Q191" s="43" t="str">
        <f>_xlfn.XLOOKUP(A191,Map!A:A,Map!D:D)</f>
        <v>Cost of sales</v>
      </c>
    </row>
    <row r="192" spans="1:17" x14ac:dyDescent="0.25">
      <c r="A192" s="42">
        <v>600036</v>
      </c>
      <c r="B192" s="43" t="s">
        <v>1013</v>
      </c>
      <c r="C192" s="44">
        <f>SUMIF(ALIF_Y2014!$A:$A,$A192,ALIF_Y2014!$F:$F)</f>
        <v>0</v>
      </c>
      <c r="D192" s="44">
        <f>SUMIF(ALIF_Y2015!$A:$A,$A192,ALIF_Y2015!$F:$F)</f>
        <v>0</v>
      </c>
      <c r="E192" s="44">
        <f>SUMIF(ALIF_Y2016!$A:$A,$A192,ALIF_Y2016!$F:$F)</f>
        <v>0</v>
      </c>
      <c r="F192" s="44">
        <f>SUMIF(ALIF_Y2017!$A:$A,$A192,ALIF_Y2017!$F:$F)</f>
        <v>0</v>
      </c>
      <c r="G192" s="44">
        <f>SUMIF(ALIF_Y2018!$A:$A,$A192,ALIF_Y2018!$F:$F)</f>
        <v>0</v>
      </c>
      <c r="H192" s="44">
        <f>SUMIF(ALIF_Y2019!$A:$A,$A192,ALIF_Y2019!$F:$F)</f>
        <v>0</v>
      </c>
      <c r="I192" s="44">
        <f>SUMIF(ALIF_Y2020!$A:$A,$A192,ALIF_Y2020!$F:$F)</f>
        <v>0</v>
      </c>
      <c r="J192" s="44">
        <f>SUMIF(ALIF_Y2021!$A:$A,$A192,ALIF_Y2021!$F:$F)</f>
        <v>0</v>
      </c>
      <c r="K192" s="44">
        <f>SUMIF(ALIF_Y2022!$A:$A,$A192,ALIF_Y2022!$F:$F)</f>
        <v>0</v>
      </c>
      <c r="L192" s="44">
        <f>SUMIF(ALIF_Y2023!$A:$A,$A192,ALIF_Y2023!$F:$F)</f>
        <v>0</v>
      </c>
      <c r="M192" s="44">
        <f>SUMIF(ALIF_Y2024!$A:$A,$A192,ALIF_Y2024!$F:$F)</f>
        <v>158975.79500000001</v>
      </c>
      <c r="N192" s="44">
        <f>SUMIF(ALIF_Y2025!$A:$A,$A192,ALIF_Y2025!$F:$F)</f>
        <v>1641.952</v>
      </c>
      <c r="O192" s="44">
        <f>SUMIF(TB_Input_Alif!$A:$A,$A192,TB_Input_Alif!$F:$F)</f>
        <v>79465.722999999998</v>
      </c>
      <c r="P192" s="43" t="str">
        <f>_xlfn.XLOOKUP(A192,Map!A:A,Map!E:E)</f>
        <v>Overhead - Consumables &amp; SP</v>
      </c>
      <c r="Q192" s="43" t="str">
        <f>_xlfn.XLOOKUP(A192,Map!A:A,Map!D:D)</f>
        <v>Cost of sales</v>
      </c>
    </row>
    <row r="193" spans="1:17" x14ac:dyDescent="0.25">
      <c r="A193" s="42">
        <v>600060</v>
      </c>
      <c r="B193" s="43" t="s">
        <v>1022</v>
      </c>
      <c r="C193" s="44">
        <f>SUMIF(ALIF_Y2014!$A:$A,$A193,ALIF_Y2014!$F:$F)</f>
        <v>0</v>
      </c>
      <c r="D193" s="44">
        <f>SUMIF(ALIF_Y2015!$A:$A,$A193,ALIF_Y2015!$F:$F)</f>
        <v>0</v>
      </c>
      <c r="E193" s="44">
        <f>SUMIF(ALIF_Y2016!$A:$A,$A193,ALIF_Y2016!$F:$F)</f>
        <v>0</v>
      </c>
      <c r="F193" s="44">
        <f>SUMIF(ALIF_Y2017!$A:$A,$A193,ALIF_Y2017!$F:$F)</f>
        <v>0</v>
      </c>
      <c r="G193" s="44">
        <f>SUMIF(ALIF_Y2018!$A:$A,$A193,ALIF_Y2018!$F:$F)</f>
        <v>0</v>
      </c>
      <c r="H193" s="44">
        <f>SUMIF(ALIF_Y2019!$A:$A,$A193,ALIF_Y2019!$F:$F)</f>
        <v>0</v>
      </c>
      <c r="I193" s="44">
        <f>SUMIF(ALIF_Y2020!$A:$A,$A193,ALIF_Y2020!$F:$F)</f>
        <v>0</v>
      </c>
      <c r="J193" s="44">
        <f>SUMIF(ALIF_Y2021!$A:$A,$A193,ALIF_Y2021!$F:$F)</f>
        <v>-751257.5</v>
      </c>
      <c r="K193" s="44">
        <f>SUMIF(ALIF_Y2022!$A:$A,$A193,ALIF_Y2022!$F:$F)</f>
        <v>-1290167.1000000001</v>
      </c>
      <c r="L193" s="44">
        <f>SUMIF(ALIF_Y2023!$A:$A,$A193,ALIF_Y2023!$F:$F)</f>
        <v>-776507.2</v>
      </c>
      <c r="M193" s="44">
        <f>SUMIF(ALIF_Y2024!$A:$A,$A193,ALIF_Y2024!$F:$F)</f>
        <v>-157172</v>
      </c>
      <c r="N193" s="44">
        <f>SUMIF(ALIF_Y2025!$A:$A,$A193,ALIF_Y2025!$F:$F)</f>
        <v>-193037.5</v>
      </c>
      <c r="O193" s="44">
        <f>SUMIF(TB_Input_Alif!$A:$A,$A193,TB_Input_Alif!$F:$F)</f>
        <v>-366400</v>
      </c>
      <c r="P193" s="43" t="str">
        <f>_xlfn.XLOOKUP(A193,Map!A:A,Map!E:E)</f>
        <v>Other Income</v>
      </c>
      <c r="Q193" s="43" t="str">
        <f>_xlfn.XLOOKUP(A193,Map!A:A,Map!D:D)</f>
        <v>Other Income</v>
      </c>
    </row>
    <row r="194" spans="1:17" x14ac:dyDescent="0.25">
      <c r="A194" s="42">
        <v>700001</v>
      </c>
      <c r="B194" s="43" t="s">
        <v>1023</v>
      </c>
      <c r="C194" s="44">
        <f>SUMIF(ALIF_Y2014!$A:$A,$A194,ALIF_Y2014!$F:$F)</f>
        <v>2399562.33</v>
      </c>
      <c r="D194" s="44">
        <f>SUMIF(ALIF_Y2015!$A:$A,$A194,ALIF_Y2015!$F:$F)</f>
        <v>2480961</v>
      </c>
      <c r="E194" s="44">
        <f>SUMIF(ALIF_Y2016!$A:$A,$A194,ALIF_Y2016!$F:$F)</f>
        <v>2793901.4279999998</v>
      </c>
      <c r="F194" s="44">
        <f>SUMIF(ALIF_Y2017!$A:$A,$A194,ALIF_Y2017!$F:$F)</f>
        <v>3242017.68</v>
      </c>
      <c r="G194" s="44">
        <f>SUMIF(ALIF_Y2018!$A:$A,$A194,ALIF_Y2018!$F:$F)</f>
        <v>3623859.64</v>
      </c>
      <c r="H194" s="44">
        <f>SUMIF(ALIF_Y2019!$A:$A,$A194,ALIF_Y2019!$F:$F)</f>
        <v>4018092.53</v>
      </c>
      <c r="I194" s="44">
        <f>SUMIF(ALIF_Y2020!$A:$A,$A194,ALIF_Y2020!$F:$F)</f>
        <v>4824957.67</v>
      </c>
      <c r="J194" s="44">
        <f>SUMIF(ALIF_Y2021!$A:$A,$A194,ALIF_Y2021!$F:$F)</f>
        <v>5107249</v>
      </c>
      <c r="K194" s="44">
        <f>SUMIF(ALIF_Y2022!$A:$A,$A194,ALIF_Y2022!$F:$F)</f>
        <v>5703714.7999999998</v>
      </c>
      <c r="L194" s="44">
        <f>SUMIF(ALIF_Y2023!$A:$A,$A194,ALIF_Y2023!$F:$F)</f>
        <v>5017681.4000000004</v>
      </c>
      <c r="M194" s="44">
        <f>SUMIF(ALIF_Y2024!$A:$A,$A194,ALIF_Y2024!$F:$F)</f>
        <v>5476994.5410000002</v>
      </c>
      <c r="N194" s="44">
        <f>SUMIF(ALIF_Y2025!$A:$A,$A194,ALIF_Y2025!$F:$F)</f>
        <v>6522556.7599999998</v>
      </c>
      <c r="O194" s="44">
        <f>SUMIF(TB_Input_Alif!$A:$A,$A194,TB_Input_Alif!$F:$F)</f>
        <v>4709687.38</v>
      </c>
      <c r="P194" s="43" t="str">
        <f>_xlfn.XLOOKUP(A194,Map!A:A,Map!E:E)</f>
        <v>Salaries and wages</v>
      </c>
      <c r="Q194" s="43" t="str">
        <f>_xlfn.XLOOKUP(A194,Map!A:A,Map!D:D)</f>
        <v>General and Admin</v>
      </c>
    </row>
    <row r="195" spans="1:17" x14ac:dyDescent="0.25">
      <c r="A195" s="42">
        <v>700002</v>
      </c>
      <c r="B195" s="43" t="s">
        <v>1024</v>
      </c>
      <c r="C195" s="44">
        <f>SUMIF(ALIF_Y2014!$A:$A,$A195,ALIF_Y2014!$F:$F)</f>
        <v>31119</v>
      </c>
      <c r="D195" s="44">
        <f>SUMIF(ALIF_Y2015!$A:$A,$A195,ALIF_Y2015!$F:$F)</f>
        <v>108666</v>
      </c>
      <c r="E195" s="44">
        <f>SUMIF(ALIF_Y2016!$A:$A,$A195,ALIF_Y2016!$F:$F)</f>
        <v>159960.32699999999</v>
      </c>
      <c r="F195" s="44">
        <f>SUMIF(ALIF_Y2017!$A:$A,$A195,ALIF_Y2017!$F:$F)</f>
        <v>97298</v>
      </c>
      <c r="G195" s="44">
        <f>SUMIF(ALIF_Y2018!$A:$A,$A195,ALIF_Y2018!$F:$F)</f>
        <v>47886</v>
      </c>
      <c r="H195" s="44">
        <f>SUMIF(ALIF_Y2019!$A:$A,$A195,ALIF_Y2019!$F:$F)</f>
        <v>131506.125</v>
      </c>
      <c r="I195" s="44">
        <f>SUMIF(ALIF_Y2020!$A:$A,$A195,ALIF_Y2020!$F:$F)</f>
        <v>276768.33299999998</v>
      </c>
      <c r="J195" s="44">
        <f>SUMIF(ALIF_Y2021!$A:$A,$A195,ALIF_Y2021!$F:$F)</f>
        <v>121114</v>
      </c>
      <c r="K195" s="44">
        <f>SUMIF(ALIF_Y2022!$A:$A,$A195,ALIF_Y2022!$F:$F)</f>
        <v>62087.839999999997</v>
      </c>
      <c r="L195" s="44">
        <f>SUMIF(ALIF_Y2023!$A:$A,$A195,ALIF_Y2023!$F:$F)</f>
        <v>5730.22</v>
      </c>
      <c r="M195" s="44">
        <f>SUMIF(ALIF_Y2024!$A:$A,$A195,ALIF_Y2024!$F:$F)</f>
        <v>0</v>
      </c>
      <c r="N195" s="44">
        <f>SUMIF(ALIF_Y2025!$A:$A,$A195,ALIF_Y2025!$F:$F)</f>
        <v>673815.19</v>
      </c>
      <c r="O195" s="44">
        <f>SUMIF(TB_Input_Alif!$A:$A,$A195,TB_Input_Alif!$F:$F)</f>
        <v>245473.38</v>
      </c>
      <c r="P195" s="43" t="str">
        <f>_xlfn.XLOOKUP(A195,Map!A:A,Map!E:E)</f>
        <v>Salaries and wages</v>
      </c>
      <c r="Q195" s="43" t="str">
        <f>_xlfn.XLOOKUP(A195,Map!A:A,Map!D:D)</f>
        <v>General and Admin</v>
      </c>
    </row>
    <row r="196" spans="1:17" x14ac:dyDescent="0.25">
      <c r="A196" s="42">
        <v>700003</v>
      </c>
      <c r="B196" s="43" t="s">
        <v>1152</v>
      </c>
      <c r="C196" s="44">
        <f>SUMIF(ALIF_Y2014!$A:$A,$A196,ALIF_Y2014!$F:$F)</f>
        <v>28154</v>
      </c>
      <c r="D196" s="44">
        <f>SUMIF(ALIF_Y2015!$A:$A,$A196,ALIF_Y2015!$F:$F)</f>
        <v>26420</v>
      </c>
      <c r="E196" s="44">
        <f>SUMIF(ALIF_Y2016!$A:$A,$A196,ALIF_Y2016!$F:$F)</f>
        <v>18795</v>
      </c>
      <c r="F196" s="44">
        <f>SUMIF(ALIF_Y2017!$A:$A,$A196,ALIF_Y2017!$F:$F)</f>
        <v>60003</v>
      </c>
      <c r="G196" s="44">
        <f>SUMIF(ALIF_Y2018!$A:$A,$A196,ALIF_Y2018!$F:$F)</f>
        <v>54943</v>
      </c>
      <c r="H196" s="44">
        <f>SUMIF(ALIF_Y2019!$A:$A,$A196,ALIF_Y2019!$F:$F)</f>
        <v>14774</v>
      </c>
      <c r="I196" s="44">
        <f>SUMIF(ALIF_Y2020!$A:$A,$A196,ALIF_Y2020!$F:$F)</f>
        <v>20070.75</v>
      </c>
      <c r="J196" s="44">
        <f>SUMIF(ALIF_Y2021!$A:$A,$A196,ALIF_Y2021!$F:$F)</f>
        <v>11200</v>
      </c>
      <c r="K196" s="44">
        <f>SUMIF(ALIF_Y2022!$A:$A,$A196,ALIF_Y2022!$F:$F)</f>
        <v>9704</v>
      </c>
      <c r="L196" s="44">
        <f>SUMIF(ALIF_Y2023!$A:$A,$A196,ALIF_Y2023!$F:$F)</f>
        <v>9600</v>
      </c>
      <c r="M196" s="44">
        <f>SUMIF(ALIF_Y2024!$A:$A,$A196,ALIF_Y2024!$F:$F)</f>
        <v>153</v>
      </c>
      <c r="N196" s="44">
        <f>SUMIF(ALIF_Y2025!$A:$A,$A196,ALIF_Y2025!$F:$F)</f>
        <v>231259.44099999999</v>
      </c>
      <c r="O196" s="44">
        <f>SUMIF(TB_Input_Alif!$A:$A,$A196,TB_Input_Alif!$F:$F)</f>
        <v>0</v>
      </c>
      <c r="P196" s="43" t="str">
        <f>_xlfn.XLOOKUP(A196,Map!A:A,Map!E:E)</f>
        <v>Salaries and wages</v>
      </c>
      <c r="Q196" s="43" t="str">
        <f>_xlfn.XLOOKUP(A196,Map!A:A,Map!D:D)</f>
        <v>General and Admin</v>
      </c>
    </row>
    <row r="197" spans="1:17" x14ac:dyDescent="0.25">
      <c r="A197" s="42">
        <v>700004</v>
      </c>
      <c r="B197" s="43" t="s">
        <v>1026</v>
      </c>
      <c r="C197" s="44">
        <f>SUMIF(ALIF_Y2014!$A:$A,$A197,ALIF_Y2014!$F:$F)</f>
        <v>121006.25</v>
      </c>
      <c r="D197" s="44">
        <f>SUMIF(ALIF_Y2015!$A:$A,$A197,ALIF_Y2015!$F:$F)</f>
        <v>136979.53200000001</v>
      </c>
      <c r="E197" s="44">
        <f>SUMIF(ALIF_Y2016!$A:$A,$A197,ALIF_Y2016!$F:$F)</f>
        <v>171633.399</v>
      </c>
      <c r="F197" s="44">
        <f>SUMIF(ALIF_Y2017!$A:$A,$A197,ALIF_Y2017!$F:$F)</f>
        <v>269897.71000000002</v>
      </c>
      <c r="G197" s="44">
        <f>SUMIF(ALIF_Y2018!$A:$A,$A197,ALIF_Y2018!$F:$F)</f>
        <v>202885.31899999999</v>
      </c>
      <c r="H197" s="44">
        <f>SUMIF(ALIF_Y2019!$A:$A,$A197,ALIF_Y2019!$F:$F)</f>
        <v>218640</v>
      </c>
      <c r="I197" s="44">
        <f>SUMIF(ALIF_Y2020!$A:$A,$A197,ALIF_Y2020!$F:$F)</f>
        <v>258995.701</v>
      </c>
      <c r="J197" s="44">
        <f>SUMIF(ALIF_Y2021!$A:$A,$A197,ALIF_Y2021!$F:$F)</f>
        <v>284260.2</v>
      </c>
      <c r="K197" s="44">
        <f>SUMIF(ALIF_Y2022!$A:$A,$A197,ALIF_Y2022!$F:$F)</f>
        <v>280307.54399999999</v>
      </c>
      <c r="L197" s="44">
        <f>SUMIF(ALIF_Y2023!$A:$A,$A197,ALIF_Y2023!$F:$F)</f>
        <v>341975.08799999999</v>
      </c>
      <c r="M197" s="44">
        <f>SUMIF(ALIF_Y2024!$A:$A,$A197,ALIF_Y2024!$F:$F)</f>
        <v>306196.61300000001</v>
      </c>
      <c r="N197" s="44">
        <f>SUMIF(ALIF_Y2025!$A:$A,$A197,ALIF_Y2025!$F:$F)</f>
        <v>487368.45</v>
      </c>
      <c r="O197" s="44">
        <f>SUMIF(TB_Input_Alif!$A:$A,$A197,TB_Input_Alif!$F:$F)</f>
        <v>425865.40700000001</v>
      </c>
      <c r="P197" s="43" t="str">
        <f>_xlfn.XLOOKUP(A197,Map!A:A,Map!E:E)</f>
        <v>Salaries and wages</v>
      </c>
      <c r="Q197" s="43" t="str">
        <f>_xlfn.XLOOKUP(A197,Map!A:A,Map!D:D)</f>
        <v>General and Admin</v>
      </c>
    </row>
    <row r="198" spans="1:17" x14ac:dyDescent="0.25">
      <c r="A198" s="42">
        <v>700005</v>
      </c>
      <c r="B198" s="43" t="s">
        <v>1027</v>
      </c>
      <c r="C198" s="44">
        <f>SUMIF(ALIF_Y2014!$A:$A,$A198,ALIF_Y2014!$F:$F)</f>
        <v>178284</v>
      </c>
      <c r="D198" s="44">
        <f>SUMIF(ALIF_Y2015!$A:$A,$A198,ALIF_Y2015!$F:$F)</f>
        <v>315938.51</v>
      </c>
      <c r="E198" s="44">
        <f>SUMIF(ALIF_Y2016!$A:$A,$A198,ALIF_Y2016!$F:$F)</f>
        <v>207349.43</v>
      </c>
      <c r="F198" s="44">
        <f>SUMIF(ALIF_Y2017!$A:$A,$A198,ALIF_Y2017!$F:$F)</f>
        <v>159082.32</v>
      </c>
      <c r="G198" s="44">
        <f>SUMIF(ALIF_Y2018!$A:$A,$A198,ALIF_Y2018!$F:$F)</f>
        <v>290193.32400000002</v>
      </c>
      <c r="H198" s="44">
        <f>SUMIF(ALIF_Y2019!$A:$A,$A198,ALIF_Y2019!$F:$F)</f>
        <v>154450.266</v>
      </c>
      <c r="I198" s="44">
        <f>SUMIF(ALIF_Y2020!$A:$A,$A198,ALIF_Y2020!$F:$F)</f>
        <v>362349.06300000002</v>
      </c>
      <c r="J198" s="44">
        <f>SUMIF(ALIF_Y2021!$A:$A,$A198,ALIF_Y2021!$F:$F)</f>
        <v>94225.58</v>
      </c>
      <c r="K198" s="44">
        <f>SUMIF(ALIF_Y2022!$A:$A,$A198,ALIF_Y2022!$F:$F)</f>
        <v>154303.54999999999</v>
      </c>
      <c r="L198" s="44">
        <f>SUMIF(ALIF_Y2023!$A:$A,$A198,ALIF_Y2023!$F:$F)</f>
        <v>132847.46</v>
      </c>
      <c r="M198" s="44">
        <f>SUMIF(ALIF_Y2024!$A:$A,$A198,ALIF_Y2024!$F:$F)</f>
        <v>199903.14</v>
      </c>
      <c r="N198" s="44">
        <f>SUMIF(ALIF_Y2025!$A:$A,$A198,ALIF_Y2025!$F:$F)</f>
        <v>708155.88500000001</v>
      </c>
      <c r="O198" s="44">
        <f>SUMIF(TB_Input_Alif!$A:$A,$A198,TB_Input_Alif!$F:$F)</f>
        <v>772.69100000000003</v>
      </c>
      <c r="P198" s="43" t="str">
        <f>_xlfn.XLOOKUP(A198,Map!A:A,Map!E:E)</f>
        <v>Govt license and fees (including modon)</v>
      </c>
      <c r="Q198" s="43" t="str">
        <f>_xlfn.XLOOKUP(A198,Map!A:A,Map!D:D)</f>
        <v>General and Admin</v>
      </c>
    </row>
    <row r="199" spans="1:17" x14ac:dyDescent="0.25">
      <c r="A199" s="42">
        <v>700006</v>
      </c>
      <c r="B199" s="43" t="s">
        <v>1028</v>
      </c>
      <c r="C199" s="44">
        <f>SUMIF(ALIF_Y2014!$A:$A,$A199,ALIF_Y2014!$F:$F)</f>
        <v>578533.9</v>
      </c>
      <c r="D199" s="44">
        <f>SUMIF(ALIF_Y2015!$A:$A,$A199,ALIF_Y2015!$F:$F)</f>
        <v>611095.56099999999</v>
      </c>
      <c r="E199" s="44">
        <f>SUMIF(ALIF_Y2016!$A:$A,$A199,ALIF_Y2016!$F:$F)</f>
        <v>662352.22</v>
      </c>
      <c r="F199" s="44">
        <f>SUMIF(ALIF_Y2017!$A:$A,$A199,ALIF_Y2017!$F:$F)</f>
        <v>693670.78</v>
      </c>
      <c r="G199" s="44">
        <f>SUMIF(ALIF_Y2018!$A:$A,$A199,ALIF_Y2018!$F:$F)</f>
        <v>746475.65500000003</v>
      </c>
      <c r="H199" s="44">
        <f>SUMIF(ALIF_Y2019!$A:$A,$A199,ALIF_Y2019!$F:$F)</f>
        <v>834708.48600000003</v>
      </c>
      <c r="I199" s="44">
        <f>SUMIF(ALIF_Y2020!$A:$A,$A199,ALIF_Y2020!$F:$F)</f>
        <v>890317.75</v>
      </c>
      <c r="J199" s="44">
        <f>SUMIF(ALIF_Y2021!$A:$A,$A199,ALIF_Y2021!$F:$F)</f>
        <v>1152499.6040000001</v>
      </c>
      <c r="K199" s="44">
        <f>SUMIF(ALIF_Y2022!$A:$A,$A199,ALIF_Y2022!$F:$F)</f>
        <v>1035093.518</v>
      </c>
      <c r="L199" s="44">
        <f>SUMIF(ALIF_Y2023!$A:$A,$A199,ALIF_Y2023!$F:$F)</f>
        <v>988293.82900000003</v>
      </c>
      <c r="M199" s="44">
        <f>SUMIF(ALIF_Y2024!$A:$A,$A199,ALIF_Y2024!$F:$F)</f>
        <v>1108540.3019999999</v>
      </c>
      <c r="N199" s="44">
        <f>SUMIF(ALIF_Y2025!$A:$A,$A199,ALIF_Y2025!$F:$F)</f>
        <v>1573750.9210000001</v>
      </c>
      <c r="O199" s="44">
        <f>SUMIF(TB_Input_Alif!$A:$A,$A199,TB_Input_Alif!$F:$F)</f>
        <v>1103953.5330000001</v>
      </c>
      <c r="P199" s="43" t="str">
        <f>_xlfn.XLOOKUP(A199,Map!A:A,Map!E:E)</f>
        <v>Salaries and wages</v>
      </c>
      <c r="Q199" s="43" t="str">
        <f>_xlfn.XLOOKUP(A199,Map!A:A,Map!D:D)</f>
        <v>General and Admin</v>
      </c>
    </row>
    <row r="200" spans="1:17" x14ac:dyDescent="0.25">
      <c r="A200" s="42">
        <v>700007</v>
      </c>
      <c r="B200" s="43" t="s">
        <v>1029</v>
      </c>
      <c r="C200" s="44">
        <f>SUMIF(ALIF_Y2014!$A:$A,$A200,ALIF_Y2014!$F:$F)</f>
        <v>286506</v>
      </c>
      <c r="D200" s="44">
        <f>SUMIF(ALIF_Y2015!$A:$A,$A200,ALIF_Y2015!$F:$F)</f>
        <v>320415.255</v>
      </c>
      <c r="E200" s="44">
        <f>SUMIF(ALIF_Y2016!$A:$A,$A200,ALIF_Y2016!$F:$F)</f>
        <v>358426</v>
      </c>
      <c r="F200" s="44">
        <f>SUMIF(ALIF_Y2017!$A:$A,$A200,ALIF_Y2017!$F:$F)</f>
        <v>340220</v>
      </c>
      <c r="G200" s="44">
        <f>SUMIF(ALIF_Y2018!$A:$A,$A200,ALIF_Y2018!$F:$F)</f>
        <v>379762</v>
      </c>
      <c r="H200" s="44">
        <f>SUMIF(ALIF_Y2019!$A:$A,$A200,ALIF_Y2019!$F:$F)</f>
        <v>459183</v>
      </c>
      <c r="I200" s="44">
        <f>SUMIF(ALIF_Y2020!$A:$A,$A200,ALIF_Y2020!$F:$F)</f>
        <v>509336</v>
      </c>
      <c r="J200" s="44">
        <f>SUMIF(ALIF_Y2021!$A:$A,$A200,ALIF_Y2021!$F:$F)</f>
        <v>557335</v>
      </c>
      <c r="K200" s="44">
        <f>SUMIF(ALIF_Y2022!$A:$A,$A200,ALIF_Y2022!$F:$F)</f>
        <v>610058.86</v>
      </c>
      <c r="L200" s="44">
        <f>SUMIF(ALIF_Y2023!$A:$A,$A200,ALIF_Y2023!$F:$F)</f>
        <v>514862.5</v>
      </c>
      <c r="M200" s="44">
        <f>SUMIF(ALIF_Y2024!$A:$A,$A200,ALIF_Y2024!$F:$F)</f>
        <v>386325</v>
      </c>
      <c r="N200" s="44">
        <f>SUMIF(ALIF_Y2025!$A:$A,$A200,ALIF_Y2025!$F:$F)</f>
        <v>623544.65</v>
      </c>
      <c r="O200" s="44">
        <f>SUMIF(TB_Input_Alif!$A:$A,$A200,TB_Input_Alif!$F:$F)</f>
        <v>442573</v>
      </c>
      <c r="P200" s="43" t="str">
        <f>_xlfn.XLOOKUP(A200,Map!A:A,Map!E:E)</f>
        <v>Salaries and wages</v>
      </c>
      <c r="Q200" s="43" t="str">
        <f>_xlfn.XLOOKUP(A200,Map!A:A,Map!D:D)</f>
        <v>General and Admin</v>
      </c>
    </row>
    <row r="201" spans="1:17" x14ac:dyDescent="0.25">
      <c r="A201" s="42">
        <v>700008</v>
      </c>
      <c r="B201" s="43" t="s">
        <v>1030</v>
      </c>
      <c r="C201" s="44">
        <f>SUMIF(ALIF_Y2014!$A:$A,$A201,ALIF_Y2014!$F:$F)</f>
        <v>63347</v>
      </c>
      <c r="D201" s="44">
        <f>SUMIF(ALIF_Y2015!$A:$A,$A201,ALIF_Y2015!$F:$F)</f>
        <v>84210</v>
      </c>
      <c r="E201" s="44">
        <f>SUMIF(ALIF_Y2016!$A:$A,$A201,ALIF_Y2016!$F:$F)</f>
        <v>127689</v>
      </c>
      <c r="F201" s="44">
        <f>SUMIF(ALIF_Y2017!$A:$A,$A201,ALIF_Y2017!$F:$F)</f>
        <v>49605</v>
      </c>
      <c r="G201" s="44">
        <f>SUMIF(ALIF_Y2018!$A:$A,$A201,ALIF_Y2018!$F:$F)</f>
        <v>56821.824000000001</v>
      </c>
      <c r="H201" s="44">
        <f>SUMIF(ALIF_Y2019!$A:$A,$A201,ALIF_Y2019!$F:$F)</f>
        <v>87301.263000000006</v>
      </c>
      <c r="I201" s="44">
        <f>SUMIF(ALIF_Y2020!$A:$A,$A201,ALIF_Y2020!$F:$F)</f>
        <v>75366.650999999998</v>
      </c>
      <c r="J201" s="44">
        <f>SUMIF(ALIF_Y2021!$A:$A,$A201,ALIF_Y2021!$F:$F)</f>
        <v>12888</v>
      </c>
      <c r="K201" s="44">
        <f>SUMIF(ALIF_Y2022!$A:$A,$A201,ALIF_Y2022!$F:$F)</f>
        <v>61774.529000000002</v>
      </c>
      <c r="L201" s="44">
        <f>SUMIF(ALIF_Y2023!$A:$A,$A201,ALIF_Y2023!$F:$F)</f>
        <v>137986.23800000001</v>
      </c>
      <c r="M201" s="44">
        <f>SUMIF(ALIF_Y2024!$A:$A,$A201,ALIF_Y2024!$F:$F)</f>
        <v>86954.241999999998</v>
      </c>
      <c r="N201" s="44">
        <f>SUMIF(ALIF_Y2025!$A:$A,$A201,ALIF_Y2025!$F:$F)</f>
        <v>505674.46500000003</v>
      </c>
      <c r="O201" s="44">
        <f>SUMIF(TB_Input_Alif!$A:$A,$A201,TB_Input_Alif!$F:$F)</f>
        <v>68432.760999999999</v>
      </c>
      <c r="P201" s="43" t="str">
        <f>_xlfn.XLOOKUP(A201,Map!A:A,Map!E:E)</f>
        <v>Salaries and wages</v>
      </c>
      <c r="Q201" s="43" t="str">
        <f>_xlfn.XLOOKUP(A201,Map!A:A,Map!D:D)</f>
        <v>General and Admin</v>
      </c>
    </row>
    <row r="202" spans="1:17" x14ac:dyDescent="0.25">
      <c r="A202" s="42">
        <v>700009</v>
      </c>
      <c r="B202" s="43" t="s">
        <v>1031</v>
      </c>
      <c r="C202" s="44">
        <f>SUMIF(ALIF_Y2014!$A:$A,$A202,ALIF_Y2014!$F:$F)</f>
        <v>225255</v>
      </c>
      <c r="D202" s="44">
        <f>SUMIF(ALIF_Y2015!$A:$A,$A202,ALIF_Y2015!$F:$F)</f>
        <v>180400</v>
      </c>
      <c r="E202" s="44">
        <f>SUMIF(ALIF_Y2016!$A:$A,$A202,ALIF_Y2016!$F:$F)</f>
        <v>215800</v>
      </c>
      <c r="F202" s="44">
        <f>SUMIF(ALIF_Y2017!$A:$A,$A202,ALIF_Y2017!$F:$F)</f>
        <v>257890</v>
      </c>
      <c r="G202" s="44">
        <f>SUMIF(ALIF_Y2018!$A:$A,$A202,ALIF_Y2018!$F:$F)</f>
        <v>266275</v>
      </c>
      <c r="H202" s="44">
        <f>SUMIF(ALIF_Y2019!$A:$A,$A202,ALIF_Y2019!$F:$F)</f>
        <v>319535.33</v>
      </c>
      <c r="I202" s="44">
        <f>SUMIF(ALIF_Y2020!$A:$A,$A202,ALIF_Y2020!$F:$F)</f>
        <v>455311.5</v>
      </c>
      <c r="J202" s="44">
        <f>SUMIF(ALIF_Y2021!$A:$A,$A202,ALIF_Y2021!$F:$F)</f>
        <v>94835</v>
      </c>
      <c r="K202" s="44">
        <f>SUMIF(ALIF_Y2022!$A:$A,$A202,ALIF_Y2022!$F:$F)</f>
        <v>20581.04</v>
      </c>
      <c r="L202" s="44">
        <f>SUMIF(ALIF_Y2023!$A:$A,$A202,ALIF_Y2023!$F:$F)</f>
        <v>207294.43</v>
      </c>
      <c r="M202" s="44">
        <f>SUMIF(ALIF_Y2024!$A:$A,$A202,ALIF_Y2024!$F:$F)</f>
        <v>233861.747</v>
      </c>
      <c r="N202" s="44">
        <f>SUMIF(ALIF_Y2025!$A:$A,$A202,ALIF_Y2025!$F:$F)</f>
        <v>483874.37099999998</v>
      </c>
      <c r="O202" s="44">
        <f>SUMIF(TB_Input_Alif!$A:$A,$A202,TB_Input_Alif!$F:$F)</f>
        <v>430262.03</v>
      </c>
      <c r="P202" s="43" t="str">
        <f>_xlfn.XLOOKUP(A202,Map!A:A,Map!E:E)</f>
        <v>Salaries and wages</v>
      </c>
      <c r="Q202" s="43" t="str">
        <f>_xlfn.XLOOKUP(A202,Map!A:A,Map!D:D)</f>
        <v>General and Admin</v>
      </c>
    </row>
    <row r="203" spans="1:17" x14ac:dyDescent="0.25">
      <c r="A203" s="42">
        <v>700010</v>
      </c>
      <c r="B203" s="43" t="s">
        <v>1032</v>
      </c>
      <c r="C203" s="44">
        <f>SUMIF(ALIF_Y2014!$A:$A,$A203,ALIF_Y2014!$F:$F)</f>
        <v>810000</v>
      </c>
      <c r="D203" s="44">
        <f>SUMIF(ALIF_Y2015!$A:$A,$A203,ALIF_Y2015!$F:$F)</f>
        <v>434064.761</v>
      </c>
      <c r="E203" s="44">
        <f>SUMIF(ALIF_Y2016!$A:$A,$A203,ALIF_Y2016!$F:$F)</f>
        <v>336550</v>
      </c>
      <c r="F203" s="44">
        <f>SUMIF(ALIF_Y2017!$A:$A,$A203,ALIF_Y2017!$F:$F)</f>
        <v>1362796</v>
      </c>
      <c r="G203" s="44">
        <f>SUMIF(ALIF_Y2018!$A:$A,$A203,ALIF_Y2018!$F:$F)</f>
        <v>568874</v>
      </c>
      <c r="H203" s="44">
        <f>SUMIF(ALIF_Y2019!$A:$A,$A203,ALIF_Y2019!$F:$F)</f>
        <v>540288.48</v>
      </c>
      <c r="I203" s="44">
        <f>SUMIF(ALIF_Y2020!$A:$A,$A203,ALIF_Y2020!$F:$F)</f>
        <v>707244</v>
      </c>
      <c r="J203" s="44">
        <f>SUMIF(ALIF_Y2021!$A:$A,$A203,ALIF_Y2021!$F:$F)</f>
        <v>703791.33</v>
      </c>
      <c r="K203" s="44">
        <f>SUMIF(ALIF_Y2022!$A:$A,$A203,ALIF_Y2022!$F:$F)</f>
        <v>737555</v>
      </c>
      <c r="L203" s="44">
        <f>SUMIF(ALIF_Y2023!$A:$A,$A203,ALIF_Y2023!$F:$F)</f>
        <v>735526.2</v>
      </c>
      <c r="M203" s="44">
        <f>SUMIF(ALIF_Y2024!$A:$A,$A203,ALIF_Y2024!$F:$F)</f>
        <v>776929</v>
      </c>
      <c r="N203" s="44">
        <f>SUMIF(ALIF_Y2025!$A:$A,$A203,ALIF_Y2025!$F:$F)</f>
        <v>1308000</v>
      </c>
      <c r="O203" s="44">
        <f>SUMIF(TB_Input_Alif!$A:$A,$A203,TB_Input_Alif!$F:$F)</f>
        <v>417463.37800000003</v>
      </c>
      <c r="P203" s="43" t="str">
        <f>_xlfn.XLOOKUP(A203,Map!A:A,Map!E:E)</f>
        <v>Salaries and wages</v>
      </c>
      <c r="Q203" s="43" t="str">
        <f>_xlfn.XLOOKUP(A203,Map!A:A,Map!D:D)</f>
        <v>General and Admin</v>
      </c>
    </row>
    <row r="204" spans="1:17" x14ac:dyDescent="0.25">
      <c r="A204" s="42">
        <v>700011</v>
      </c>
      <c r="B204" s="43" t="s">
        <v>1033</v>
      </c>
      <c r="C204" s="44">
        <f>SUMIF(ALIF_Y2014!$A:$A,$A204,ALIF_Y2014!$F:$F)</f>
        <v>108000</v>
      </c>
      <c r="D204" s="44">
        <f>SUMIF(ALIF_Y2015!$A:$A,$A204,ALIF_Y2015!$F:$F)</f>
        <v>100050</v>
      </c>
      <c r="E204" s="44">
        <f>SUMIF(ALIF_Y2016!$A:$A,$A204,ALIF_Y2016!$F:$F)</f>
        <v>95600</v>
      </c>
      <c r="F204" s="44">
        <f>SUMIF(ALIF_Y2017!$A:$A,$A204,ALIF_Y2017!$F:$F)</f>
        <v>108607</v>
      </c>
      <c r="G204" s="44">
        <f>SUMIF(ALIF_Y2018!$A:$A,$A204,ALIF_Y2018!$F:$F)</f>
        <v>111332.989</v>
      </c>
      <c r="H204" s="44">
        <f>SUMIF(ALIF_Y2019!$A:$A,$A204,ALIF_Y2019!$F:$F)</f>
        <v>103177.996</v>
      </c>
      <c r="I204" s="44">
        <f>SUMIF(ALIF_Y2020!$A:$A,$A204,ALIF_Y2020!$F:$F)</f>
        <v>149715</v>
      </c>
      <c r="J204" s="44">
        <f>SUMIF(ALIF_Y2021!$A:$A,$A204,ALIF_Y2021!$F:$F)</f>
        <v>68517.156000000003</v>
      </c>
      <c r="K204" s="44">
        <f>SUMIF(ALIF_Y2022!$A:$A,$A204,ALIF_Y2022!$F:$F)</f>
        <v>63765.137999999999</v>
      </c>
      <c r="L204" s="44">
        <f>SUMIF(ALIF_Y2023!$A:$A,$A204,ALIF_Y2023!$F:$F)</f>
        <v>63667.002999999997</v>
      </c>
      <c r="M204" s="44">
        <f>SUMIF(ALIF_Y2024!$A:$A,$A204,ALIF_Y2024!$F:$F)</f>
        <v>18209.031999999999</v>
      </c>
      <c r="N204" s="44">
        <f>SUMIF(ALIF_Y2025!$A:$A,$A204,ALIF_Y2025!$F:$F)</f>
        <v>25012.69</v>
      </c>
      <c r="O204" s="44">
        <f>SUMIF(TB_Input_Alif!$A:$A,$A204,TB_Input_Alif!$F:$F)</f>
        <v>2545.59</v>
      </c>
      <c r="P204" s="43" t="str">
        <f>_xlfn.XLOOKUP(A204,Map!A:A,Map!E:E)</f>
        <v>Salaries and wages</v>
      </c>
      <c r="Q204" s="43" t="str">
        <f>_xlfn.XLOOKUP(A204,Map!A:A,Map!D:D)</f>
        <v>General and Admin</v>
      </c>
    </row>
    <row r="205" spans="1:17" x14ac:dyDescent="0.25">
      <c r="A205" s="42">
        <v>700012</v>
      </c>
      <c r="B205" s="43" t="s">
        <v>1034</v>
      </c>
      <c r="C205" s="44">
        <f>SUMIF(ALIF_Y2014!$A:$A,$A205,ALIF_Y2014!$F:$F)</f>
        <v>97732</v>
      </c>
      <c r="D205" s="44">
        <f>SUMIF(ALIF_Y2015!$A:$A,$A205,ALIF_Y2015!$F:$F)</f>
        <v>102203</v>
      </c>
      <c r="E205" s="44">
        <f>SUMIF(ALIF_Y2016!$A:$A,$A205,ALIF_Y2016!$F:$F)</f>
        <v>176913.83300000001</v>
      </c>
      <c r="F205" s="44">
        <f>SUMIF(ALIF_Y2017!$A:$A,$A205,ALIF_Y2017!$F:$F)</f>
        <v>217818</v>
      </c>
      <c r="G205" s="44">
        <f>SUMIF(ALIF_Y2018!$A:$A,$A205,ALIF_Y2018!$F:$F)</f>
        <v>214710</v>
      </c>
      <c r="H205" s="44">
        <f>SUMIF(ALIF_Y2019!$A:$A,$A205,ALIF_Y2019!$F:$F)</f>
        <v>243205</v>
      </c>
      <c r="I205" s="44">
        <f>SUMIF(ALIF_Y2020!$A:$A,$A205,ALIF_Y2020!$F:$F)</f>
        <v>257011</v>
      </c>
      <c r="J205" s="44">
        <f>SUMIF(ALIF_Y2021!$A:$A,$A205,ALIF_Y2021!$F:$F)</f>
        <v>298423</v>
      </c>
      <c r="K205" s="44">
        <f>SUMIF(ALIF_Y2022!$A:$A,$A205,ALIF_Y2022!$F:$F)</f>
        <v>318136.44</v>
      </c>
      <c r="L205" s="44">
        <f>SUMIF(ALIF_Y2023!$A:$A,$A205,ALIF_Y2023!$F:$F)</f>
        <v>275807.88</v>
      </c>
      <c r="M205" s="44">
        <f>SUMIF(ALIF_Y2024!$A:$A,$A205,ALIF_Y2024!$F:$F)</f>
        <v>8062</v>
      </c>
      <c r="N205" s="44">
        <f>SUMIF(ALIF_Y2025!$A:$A,$A205,ALIF_Y2025!$F:$F)</f>
        <v>183918.24</v>
      </c>
      <c r="O205" s="44">
        <f>SUMIF(TB_Input_Alif!$A:$A,$A205,TB_Input_Alif!$F:$F)</f>
        <v>136587</v>
      </c>
      <c r="P205" s="43" t="str">
        <f>_xlfn.XLOOKUP(A205,Map!A:A,Map!E:E)</f>
        <v>Salaries and wages</v>
      </c>
      <c r="Q205" s="43" t="str">
        <f>_xlfn.XLOOKUP(A205,Map!A:A,Map!D:D)</f>
        <v>General and Admin</v>
      </c>
    </row>
    <row r="206" spans="1:17" x14ac:dyDescent="0.25">
      <c r="A206" s="42">
        <v>700013</v>
      </c>
      <c r="B206" s="43" t="s">
        <v>1035</v>
      </c>
      <c r="C206" s="44">
        <f>SUMIF(ALIF_Y2014!$A:$A,$A206,ALIF_Y2014!$F:$F)</f>
        <v>70818</v>
      </c>
      <c r="D206" s="44">
        <f>SUMIF(ALIF_Y2015!$A:$A,$A206,ALIF_Y2015!$F:$F)</f>
        <v>87875</v>
      </c>
      <c r="E206" s="44">
        <f>SUMIF(ALIF_Y2016!$A:$A,$A206,ALIF_Y2016!$F:$F)</f>
        <v>90450.5</v>
      </c>
      <c r="F206" s="44">
        <f>SUMIF(ALIF_Y2017!$A:$A,$A206,ALIF_Y2017!$F:$F)</f>
        <v>87175</v>
      </c>
      <c r="G206" s="44">
        <f>SUMIF(ALIF_Y2018!$A:$A,$A206,ALIF_Y2018!$F:$F)</f>
        <v>118003</v>
      </c>
      <c r="H206" s="44">
        <f>SUMIF(ALIF_Y2019!$A:$A,$A206,ALIF_Y2019!$F:$F)</f>
        <v>108854</v>
      </c>
      <c r="I206" s="44">
        <f>SUMIF(ALIF_Y2020!$A:$A,$A206,ALIF_Y2020!$F:$F)</f>
        <v>52300</v>
      </c>
      <c r="J206" s="44">
        <f>SUMIF(ALIF_Y2021!$A:$A,$A206,ALIF_Y2021!$F:$F)</f>
        <v>45775</v>
      </c>
      <c r="K206" s="44">
        <f>SUMIF(ALIF_Y2022!$A:$A,$A206,ALIF_Y2022!$F:$F)</f>
        <v>43216.67</v>
      </c>
      <c r="L206" s="44">
        <f>SUMIF(ALIF_Y2023!$A:$A,$A206,ALIF_Y2023!$F:$F)</f>
        <v>34333</v>
      </c>
      <c r="M206" s="44">
        <f>SUMIF(ALIF_Y2024!$A:$A,$A206,ALIF_Y2024!$F:$F)</f>
        <v>50</v>
      </c>
      <c r="N206" s="44">
        <f>SUMIF(ALIF_Y2025!$A:$A,$A206,ALIF_Y2025!$F:$F)</f>
        <v>110400</v>
      </c>
      <c r="O206" s="44">
        <f>SUMIF(TB_Input_Alif!$A:$A,$A206,TB_Input_Alif!$F:$F)</f>
        <v>75166</v>
      </c>
      <c r="P206" s="43" t="str">
        <f>_xlfn.XLOOKUP(A206,Map!A:A,Map!E:E)</f>
        <v>Utilities</v>
      </c>
      <c r="Q206" s="43" t="str">
        <f>_xlfn.XLOOKUP(A206,Map!A:A,Map!D:D)</f>
        <v>General and Admin</v>
      </c>
    </row>
    <row r="207" spans="1:17" x14ac:dyDescent="0.25">
      <c r="A207" s="42">
        <v>700014</v>
      </c>
      <c r="B207" s="43" t="s">
        <v>1036</v>
      </c>
      <c r="C207" s="44">
        <f>SUMIF(ALIF_Y2014!$A:$A,$A207,ALIF_Y2014!$F:$F)</f>
        <v>0</v>
      </c>
      <c r="D207" s="44">
        <f>SUMIF(ALIF_Y2015!$A:$A,$A207,ALIF_Y2015!$F:$F)</f>
        <v>20500</v>
      </c>
      <c r="E207" s="44">
        <f>SUMIF(ALIF_Y2016!$A:$A,$A207,ALIF_Y2016!$F:$F)</f>
        <v>5000</v>
      </c>
      <c r="F207" s="44">
        <f>SUMIF(ALIF_Y2017!$A:$A,$A207,ALIF_Y2017!$F:$F)</f>
        <v>19000</v>
      </c>
      <c r="G207" s="44">
        <f>SUMIF(ALIF_Y2018!$A:$A,$A207,ALIF_Y2018!$F:$F)</f>
        <v>1500</v>
      </c>
      <c r="H207" s="44">
        <f>SUMIF(ALIF_Y2019!$A:$A,$A207,ALIF_Y2019!$F:$F)</f>
        <v>8000</v>
      </c>
      <c r="I207" s="44">
        <f>SUMIF(ALIF_Y2020!$A:$A,$A207,ALIF_Y2020!$F:$F)</f>
        <v>99360</v>
      </c>
      <c r="J207" s="44">
        <f>SUMIF(ALIF_Y2021!$A:$A,$A207,ALIF_Y2021!$F:$F)</f>
        <v>125709</v>
      </c>
      <c r="K207" s="44">
        <f>SUMIF(ALIF_Y2022!$A:$A,$A207,ALIF_Y2022!$F:$F)</f>
        <v>129680.003</v>
      </c>
      <c r="L207" s="44">
        <f>SUMIF(ALIF_Y2023!$A:$A,$A207,ALIF_Y2023!$F:$F)</f>
        <v>900</v>
      </c>
      <c r="M207" s="44">
        <f>SUMIF(ALIF_Y2024!$A:$A,$A207,ALIF_Y2024!$F:$F)</f>
        <v>955</v>
      </c>
      <c r="N207" s="44">
        <f>SUMIF(ALIF_Y2025!$A:$A,$A207,ALIF_Y2025!$F:$F)</f>
        <v>0</v>
      </c>
      <c r="O207" s="44">
        <f>SUMIF(TB_Input_Alif!$A:$A,$A207,TB_Input_Alif!$F:$F)</f>
        <v>0</v>
      </c>
      <c r="P207" s="43" t="str">
        <f>_xlfn.XLOOKUP(A207,Map!A:A,Map!E:E)</f>
        <v>Salaries and wages</v>
      </c>
      <c r="Q207" s="43" t="str">
        <f>_xlfn.XLOOKUP(A207,Map!A:A,Map!D:D)</f>
        <v>General and Admin</v>
      </c>
    </row>
    <row r="208" spans="1:17" x14ac:dyDescent="0.25">
      <c r="A208" s="42">
        <v>700015</v>
      </c>
      <c r="B208" s="43" t="s">
        <v>1037</v>
      </c>
      <c r="C208" s="44">
        <f>SUMIF(ALIF_Y2014!$A:$A,$A208,ALIF_Y2014!$F:$F)</f>
        <v>5022</v>
      </c>
      <c r="D208" s="44">
        <f>SUMIF(ALIF_Y2015!$A:$A,$A208,ALIF_Y2015!$F:$F)</f>
        <v>13446</v>
      </c>
      <c r="E208" s="44">
        <f>SUMIF(ALIF_Y2016!$A:$A,$A208,ALIF_Y2016!$F:$F)</f>
        <v>6208</v>
      </c>
      <c r="F208" s="44">
        <f>SUMIF(ALIF_Y2017!$A:$A,$A208,ALIF_Y2017!$F:$F)</f>
        <v>6893</v>
      </c>
      <c r="G208" s="44">
        <f>SUMIF(ALIF_Y2018!$A:$A,$A208,ALIF_Y2018!$F:$F)</f>
        <v>25791.295999999998</v>
      </c>
      <c r="H208" s="44">
        <f>SUMIF(ALIF_Y2019!$A:$A,$A208,ALIF_Y2019!$F:$F)</f>
        <v>90044.5</v>
      </c>
      <c r="I208" s="44">
        <f>SUMIF(ALIF_Y2020!$A:$A,$A208,ALIF_Y2020!$F:$F)</f>
        <v>34526.199999999997</v>
      </c>
      <c r="J208" s="44">
        <f>SUMIF(ALIF_Y2021!$A:$A,$A208,ALIF_Y2021!$F:$F)</f>
        <v>43083.355000000003</v>
      </c>
      <c r="K208" s="44">
        <f>SUMIF(ALIF_Y2022!$A:$A,$A208,ALIF_Y2022!$F:$F)</f>
        <v>20387.061000000002</v>
      </c>
      <c r="L208" s="44">
        <f>SUMIF(ALIF_Y2023!$A:$A,$A208,ALIF_Y2023!$F:$F)</f>
        <v>56549.718999999997</v>
      </c>
      <c r="M208" s="44">
        <f>SUMIF(ALIF_Y2024!$A:$A,$A208,ALIF_Y2024!$F:$F)</f>
        <v>30583.517</v>
      </c>
      <c r="N208" s="44">
        <f>SUMIF(ALIF_Y2025!$A:$A,$A208,ALIF_Y2025!$F:$F)</f>
        <v>38545.877999999997</v>
      </c>
      <c r="O208" s="44">
        <f>SUMIF(TB_Input_Alif!$A:$A,$A208,TB_Input_Alif!$F:$F)</f>
        <v>53808</v>
      </c>
      <c r="P208" s="43" t="str">
        <f>_xlfn.XLOOKUP(A208,Map!A:A,Map!E:E)</f>
        <v>Business travel</v>
      </c>
      <c r="Q208" s="43" t="str">
        <f>_xlfn.XLOOKUP(A208,Map!A:A,Map!D:D)</f>
        <v>General and Admin</v>
      </c>
    </row>
    <row r="209" spans="1:17" x14ac:dyDescent="0.25">
      <c r="A209" s="42">
        <v>700016</v>
      </c>
      <c r="B209" s="43" t="s">
        <v>1038</v>
      </c>
      <c r="C209" s="44">
        <f>SUMIF(ALIF_Y2014!$A:$A,$A209,ALIF_Y2014!$F:$F)</f>
        <v>3117</v>
      </c>
      <c r="D209" s="44">
        <f>SUMIF(ALIF_Y2015!$A:$A,$A209,ALIF_Y2015!$F:$F)</f>
        <v>27389</v>
      </c>
      <c r="E209" s="44">
        <f>SUMIF(ALIF_Y2016!$A:$A,$A209,ALIF_Y2016!$F:$F)</f>
        <v>6269</v>
      </c>
      <c r="F209" s="44">
        <f>SUMIF(ALIF_Y2017!$A:$A,$A209,ALIF_Y2017!$F:$F)</f>
        <v>4941</v>
      </c>
      <c r="G209" s="44">
        <f>SUMIF(ALIF_Y2018!$A:$A,$A209,ALIF_Y2018!$F:$F)</f>
        <v>16410.990000000002</v>
      </c>
      <c r="H209" s="44">
        <f>SUMIF(ALIF_Y2019!$A:$A,$A209,ALIF_Y2019!$F:$F)</f>
        <v>8847.7800000000007</v>
      </c>
      <c r="I209" s="44">
        <f>SUMIF(ALIF_Y2020!$A:$A,$A209,ALIF_Y2020!$F:$F)</f>
        <v>12299</v>
      </c>
      <c r="J209" s="44">
        <f>SUMIF(ALIF_Y2021!$A:$A,$A209,ALIF_Y2021!$F:$F)</f>
        <v>18458.11</v>
      </c>
      <c r="K209" s="44">
        <f>SUMIF(ALIF_Y2022!$A:$A,$A209,ALIF_Y2022!$F:$F)</f>
        <v>36224.739000000001</v>
      </c>
      <c r="L209" s="44">
        <f>SUMIF(ALIF_Y2023!$A:$A,$A209,ALIF_Y2023!$F:$F)</f>
        <v>5411.4570000000003</v>
      </c>
      <c r="M209" s="44">
        <f>SUMIF(ALIF_Y2024!$A:$A,$A209,ALIF_Y2024!$F:$F)</f>
        <v>100610.38400000001</v>
      </c>
      <c r="N209" s="44">
        <f>SUMIF(ALIF_Y2025!$A:$A,$A209,ALIF_Y2025!$F:$F)</f>
        <v>259228.41</v>
      </c>
      <c r="O209" s="44">
        <f>SUMIF(TB_Input_Alif!$A:$A,$A209,TB_Input_Alif!$F:$F)</f>
        <v>112905.095</v>
      </c>
      <c r="P209" s="43" t="str">
        <f>_xlfn.XLOOKUP(A209,Map!A:A,Map!E:E)</f>
        <v>Buffet expenses</v>
      </c>
      <c r="Q209" s="43" t="str">
        <f>_xlfn.XLOOKUP(A209,Map!A:A,Map!D:D)</f>
        <v>Selling and Marketing</v>
      </c>
    </row>
    <row r="210" spans="1:17" x14ac:dyDescent="0.25">
      <c r="A210" s="42">
        <v>700017</v>
      </c>
      <c r="B210" s="43" t="s">
        <v>1039</v>
      </c>
      <c r="C210" s="44">
        <f>SUMIF(ALIF_Y2014!$A:$A,$A210,ALIF_Y2014!$F:$F)</f>
        <v>7663.78</v>
      </c>
      <c r="D210" s="44">
        <f>SUMIF(ALIF_Y2015!$A:$A,$A210,ALIF_Y2015!$F:$F)</f>
        <v>323</v>
      </c>
      <c r="E210" s="44">
        <f>SUMIF(ALIF_Y2016!$A:$A,$A210,ALIF_Y2016!$F:$F)</f>
        <v>27075</v>
      </c>
      <c r="F210" s="44">
        <f>SUMIF(ALIF_Y2017!$A:$A,$A210,ALIF_Y2017!$F:$F)</f>
        <v>5728</v>
      </c>
      <c r="G210" s="44">
        <f>SUMIF(ALIF_Y2018!$A:$A,$A210,ALIF_Y2018!$F:$F)</f>
        <v>360</v>
      </c>
      <c r="H210" s="44">
        <f>SUMIF(ALIF_Y2019!$A:$A,$A210,ALIF_Y2019!$F:$F)</f>
        <v>1420</v>
      </c>
      <c r="I210" s="44">
        <f>SUMIF(ALIF_Y2020!$A:$A,$A210,ALIF_Y2020!$F:$F)</f>
        <v>11713.6</v>
      </c>
      <c r="J210" s="44">
        <f>SUMIF(ALIF_Y2021!$A:$A,$A210,ALIF_Y2021!$F:$F)</f>
        <v>0</v>
      </c>
      <c r="K210" s="44">
        <f>SUMIF(ALIF_Y2022!$A:$A,$A210,ALIF_Y2022!$F:$F)</f>
        <v>0</v>
      </c>
      <c r="L210" s="44">
        <f>SUMIF(ALIF_Y2023!$A:$A,$A210,ALIF_Y2023!$F:$F)</f>
        <v>0</v>
      </c>
      <c r="M210" s="44">
        <f>SUMIF(ALIF_Y2024!$A:$A,$A210,ALIF_Y2024!$F:$F)</f>
        <v>0</v>
      </c>
      <c r="N210" s="44">
        <f>SUMIF(ALIF_Y2025!$A:$A,$A210,ALIF_Y2025!$F:$F)</f>
        <v>0</v>
      </c>
      <c r="O210" s="44">
        <f>SUMIF(TB_Input_Alif!$A:$A,$A210,TB_Input_Alif!$F:$F)</f>
        <v>7595.4170000000004</v>
      </c>
      <c r="P210" s="43" t="str">
        <f>_xlfn.XLOOKUP(A210,Map!A:A,Map!E:E)</f>
        <v>Salaries and wages</v>
      </c>
      <c r="Q210" s="43" t="str">
        <f>_xlfn.XLOOKUP(A210,Map!A:A,Map!D:D)</f>
        <v>General and Admin</v>
      </c>
    </row>
    <row r="211" spans="1:17" x14ac:dyDescent="0.25">
      <c r="A211" s="42">
        <v>700018</v>
      </c>
      <c r="B211" s="43" t="s">
        <v>1040</v>
      </c>
      <c r="C211" s="44">
        <f>SUMIF(ALIF_Y2014!$A:$A,$A211,ALIF_Y2014!$F:$F)</f>
        <v>58916.22</v>
      </c>
      <c r="D211" s="44">
        <f>SUMIF(ALIF_Y2015!$A:$A,$A211,ALIF_Y2015!$F:$F)</f>
        <v>58107.05</v>
      </c>
      <c r="E211" s="44">
        <f>SUMIF(ALIF_Y2016!$A:$A,$A211,ALIF_Y2016!$F:$F)</f>
        <v>75787</v>
      </c>
      <c r="F211" s="44">
        <f>SUMIF(ALIF_Y2017!$A:$A,$A211,ALIF_Y2017!$F:$F)</f>
        <v>49236.35</v>
      </c>
      <c r="G211" s="44">
        <f>SUMIF(ALIF_Y2018!$A:$A,$A211,ALIF_Y2018!$F:$F)</f>
        <v>54083.178999999996</v>
      </c>
      <c r="H211" s="44">
        <f>SUMIF(ALIF_Y2019!$A:$A,$A211,ALIF_Y2019!$F:$F)</f>
        <v>65416.53</v>
      </c>
      <c r="I211" s="44">
        <f>SUMIF(ALIF_Y2020!$A:$A,$A211,ALIF_Y2020!$F:$F)</f>
        <v>57590.44</v>
      </c>
      <c r="J211" s="44">
        <f>SUMIF(ALIF_Y2021!$A:$A,$A211,ALIF_Y2021!$F:$F)</f>
        <v>936</v>
      </c>
      <c r="K211" s="44">
        <f>SUMIF(ALIF_Y2022!$A:$A,$A211,ALIF_Y2022!$F:$F)</f>
        <v>0</v>
      </c>
      <c r="L211" s="44">
        <f>SUMIF(ALIF_Y2023!$A:$A,$A211,ALIF_Y2023!$F:$F)</f>
        <v>0</v>
      </c>
      <c r="M211" s="44">
        <f>SUMIF(ALIF_Y2024!$A:$A,$A211,ALIF_Y2024!$F:$F)</f>
        <v>138880.07999999999</v>
      </c>
      <c r="N211" s="44">
        <f>SUMIF(ALIF_Y2025!$A:$A,$A211,ALIF_Y2025!$F:$F)</f>
        <v>1255.05</v>
      </c>
      <c r="O211" s="44">
        <f>SUMIF(TB_Input_Alif!$A:$A,$A211,TB_Input_Alif!$F:$F)</f>
        <v>1275</v>
      </c>
      <c r="P211" s="43" t="str">
        <f>_xlfn.XLOOKUP(A211,Map!A:A,Map!E:E)</f>
        <v>Salaries and wages</v>
      </c>
      <c r="Q211" s="43" t="str">
        <f>_xlfn.XLOOKUP(A211,Map!A:A,Map!D:D)</f>
        <v>General and Admin</v>
      </c>
    </row>
    <row r="212" spans="1:17" x14ac:dyDescent="0.25">
      <c r="A212" s="42">
        <v>700019</v>
      </c>
      <c r="B212" s="43" t="s">
        <v>1041</v>
      </c>
      <c r="C212" s="44">
        <f>SUMIF(ALIF_Y2014!$A:$A,$A212,ALIF_Y2014!$F:$F)</f>
        <v>991531.43</v>
      </c>
      <c r="D212" s="44">
        <f>SUMIF(ALIF_Y2015!$A:$A,$A212,ALIF_Y2015!$F:$F)</f>
        <v>528872</v>
      </c>
      <c r="E212" s="44">
        <f>SUMIF(ALIF_Y2016!$A:$A,$A212,ALIF_Y2016!$F:$F)</f>
        <v>0</v>
      </c>
      <c r="F212" s="44">
        <f>SUMIF(ALIF_Y2017!$A:$A,$A212,ALIF_Y2017!$F:$F)</f>
        <v>356871</v>
      </c>
      <c r="G212" s="44">
        <f>SUMIF(ALIF_Y2018!$A:$A,$A212,ALIF_Y2018!$F:$F)</f>
        <v>165477</v>
      </c>
      <c r="H212" s="44">
        <f>SUMIF(ALIF_Y2019!$A:$A,$A212,ALIF_Y2019!$F:$F)</f>
        <v>139079</v>
      </c>
      <c r="I212" s="44">
        <f>SUMIF(ALIF_Y2020!$A:$A,$A212,ALIF_Y2020!$F:$F)</f>
        <v>589397.75100000005</v>
      </c>
      <c r="J212" s="44">
        <f>SUMIF(ALIF_Y2021!$A:$A,$A212,ALIF_Y2021!$F:$F)</f>
        <v>1108800</v>
      </c>
      <c r="K212" s="44">
        <f>SUMIF(ALIF_Y2022!$A:$A,$A212,ALIF_Y2022!$F:$F)</f>
        <v>0</v>
      </c>
      <c r="L212" s="44">
        <f>SUMIF(ALIF_Y2023!$A:$A,$A212,ALIF_Y2023!$F:$F)</f>
        <v>0</v>
      </c>
      <c r="M212" s="44">
        <f>SUMIF(ALIF_Y2024!$A:$A,$A212,ALIF_Y2024!$F:$F)</f>
        <v>236948</v>
      </c>
      <c r="N212" s="44">
        <f>SUMIF(ALIF_Y2025!$A:$A,$A212,ALIF_Y2025!$F:$F)</f>
        <v>868451.5</v>
      </c>
      <c r="O212" s="44">
        <f>SUMIF(TB_Input_Alif!$A:$A,$A212,TB_Input_Alif!$F:$F)</f>
        <v>300000</v>
      </c>
      <c r="P212" s="43" t="str">
        <f>_xlfn.XLOOKUP(A212,Map!A:A,Map!E:E)</f>
        <v>Salaries and wages</v>
      </c>
      <c r="Q212" s="43" t="str">
        <f>_xlfn.XLOOKUP(A212,Map!A:A,Map!D:D)</f>
        <v>General and Admin</v>
      </c>
    </row>
    <row r="213" spans="1:17" x14ac:dyDescent="0.25">
      <c r="A213" s="42">
        <v>700020</v>
      </c>
      <c r="B213" s="43" t="s">
        <v>1042</v>
      </c>
      <c r="C213" s="44">
        <f>SUMIF(ALIF_Y2014!$A:$A,$A213,ALIF_Y2014!$F:$F)</f>
        <v>41114.870000000003</v>
      </c>
      <c r="D213" s="44">
        <f>SUMIF(ALIF_Y2015!$A:$A,$A213,ALIF_Y2015!$F:$F)</f>
        <v>21065.21</v>
      </c>
      <c r="E213" s="44">
        <f>SUMIF(ALIF_Y2016!$A:$A,$A213,ALIF_Y2016!$F:$F)</f>
        <v>65360.21</v>
      </c>
      <c r="F213" s="44">
        <f>SUMIF(ALIF_Y2017!$A:$A,$A213,ALIF_Y2017!$F:$F)</f>
        <v>44604.561000000002</v>
      </c>
      <c r="G213" s="44">
        <f>SUMIF(ALIF_Y2018!$A:$A,$A213,ALIF_Y2018!$F:$F)</f>
        <v>69070.663</v>
      </c>
      <c r="H213" s="44">
        <f>SUMIF(ALIF_Y2019!$A:$A,$A213,ALIF_Y2019!$F:$F)</f>
        <v>95406.95</v>
      </c>
      <c r="I213" s="44">
        <f>SUMIF(ALIF_Y2020!$A:$A,$A213,ALIF_Y2020!$F:$F)</f>
        <v>106325.174</v>
      </c>
      <c r="J213" s="44">
        <f>SUMIF(ALIF_Y2021!$A:$A,$A213,ALIF_Y2021!$F:$F)</f>
        <v>69880.281000000003</v>
      </c>
      <c r="K213" s="44">
        <f>SUMIF(ALIF_Y2022!$A:$A,$A213,ALIF_Y2022!$F:$F)</f>
        <v>14540.282999999999</v>
      </c>
      <c r="L213" s="44">
        <f>SUMIF(ALIF_Y2023!$A:$A,$A213,ALIF_Y2023!$F:$F)</f>
        <v>29810</v>
      </c>
      <c r="M213" s="44">
        <f>SUMIF(ALIF_Y2024!$A:$A,$A213,ALIF_Y2024!$F:$F)</f>
        <v>514135.84899999999</v>
      </c>
      <c r="N213" s="44">
        <f>SUMIF(ALIF_Y2025!$A:$A,$A213,ALIF_Y2025!$F:$F)</f>
        <v>18433.776000000002</v>
      </c>
      <c r="O213" s="44">
        <f>SUMIF(TB_Input_Alif!$A:$A,$A213,TB_Input_Alif!$F:$F)</f>
        <v>18154.769</v>
      </c>
      <c r="P213" s="43" t="str">
        <f>_xlfn.XLOOKUP(A213,Map!A:A,Map!E:E)</f>
        <v>Utilities</v>
      </c>
      <c r="Q213" s="43" t="str">
        <f>_xlfn.XLOOKUP(A213,Map!A:A,Map!D:D)</f>
        <v>General and Admin</v>
      </c>
    </row>
    <row r="214" spans="1:17" x14ac:dyDescent="0.25">
      <c r="A214" s="42">
        <v>700021</v>
      </c>
      <c r="B214" s="43" t="s">
        <v>1043</v>
      </c>
      <c r="C214" s="44">
        <f>SUMIF(ALIF_Y2014!$A:$A,$A214,ALIF_Y2014!$F:$F)</f>
        <v>2761</v>
      </c>
      <c r="D214" s="44">
        <f>SUMIF(ALIF_Y2015!$A:$A,$A214,ALIF_Y2015!$F:$F)</f>
        <v>415</v>
      </c>
      <c r="E214" s="44">
        <f>SUMIF(ALIF_Y2016!$A:$A,$A214,ALIF_Y2016!$F:$F)</f>
        <v>12011</v>
      </c>
      <c r="F214" s="44">
        <f>SUMIF(ALIF_Y2017!$A:$A,$A214,ALIF_Y2017!$F:$F)</f>
        <v>33500</v>
      </c>
      <c r="G214" s="44">
        <f>SUMIF(ALIF_Y2018!$A:$A,$A214,ALIF_Y2018!$F:$F)</f>
        <v>18692.84</v>
      </c>
      <c r="H214" s="44">
        <f>SUMIF(ALIF_Y2019!$A:$A,$A214,ALIF_Y2019!$F:$F)</f>
        <v>24785</v>
      </c>
      <c r="I214" s="44">
        <f>SUMIF(ALIF_Y2020!$A:$A,$A214,ALIF_Y2020!$F:$F)</f>
        <v>15494.5</v>
      </c>
      <c r="J214" s="44">
        <f>SUMIF(ALIF_Y2021!$A:$A,$A214,ALIF_Y2021!$F:$F)</f>
        <v>27224</v>
      </c>
      <c r="K214" s="44">
        <f>SUMIF(ALIF_Y2022!$A:$A,$A214,ALIF_Y2022!$F:$F)</f>
        <v>28399</v>
      </c>
      <c r="L214" s="44">
        <f>SUMIF(ALIF_Y2023!$A:$A,$A214,ALIF_Y2023!$F:$F)</f>
        <v>1871</v>
      </c>
      <c r="M214" s="44">
        <f>SUMIF(ALIF_Y2024!$A:$A,$A214,ALIF_Y2024!$F:$F)</f>
        <v>8097</v>
      </c>
      <c r="N214" s="44">
        <f>SUMIF(ALIF_Y2025!$A:$A,$A214,ALIF_Y2025!$F:$F)</f>
        <v>35861.01</v>
      </c>
      <c r="O214" s="44">
        <f>SUMIF(TB_Input_Alif!$A:$A,$A214,TB_Input_Alif!$F:$F)</f>
        <v>36545</v>
      </c>
      <c r="P214" s="43" t="str">
        <f>_xlfn.XLOOKUP(A214,Map!A:A,Map!E:E)</f>
        <v>Utilities</v>
      </c>
      <c r="Q214" s="43" t="str">
        <f>_xlfn.XLOOKUP(A214,Map!A:A,Map!D:D)</f>
        <v>General and Admin</v>
      </c>
    </row>
    <row r="215" spans="1:17" x14ac:dyDescent="0.25">
      <c r="A215" s="42">
        <v>700022</v>
      </c>
      <c r="B215" s="43" t="s">
        <v>1044</v>
      </c>
      <c r="C215" s="44">
        <f>SUMIF(ALIF_Y2014!$A:$A,$A215,ALIF_Y2014!$F:$F)</f>
        <v>48452.04</v>
      </c>
      <c r="D215" s="44">
        <f>SUMIF(ALIF_Y2015!$A:$A,$A215,ALIF_Y2015!$F:$F)</f>
        <v>62805.05</v>
      </c>
      <c r="E215" s="44">
        <f>SUMIF(ALIF_Y2016!$A:$A,$A215,ALIF_Y2016!$F:$F)</f>
        <v>58006.17</v>
      </c>
      <c r="F215" s="44">
        <f>SUMIF(ALIF_Y2017!$A:$A,$A215,ALIF_Y2017!$F:$F)</f>
        <v>71028.179999999993</v>
      </c>
      <c r="G215" s="44">
        <f>SUMIF(ALIF_Y2018!$A:$A,$A215,ALIF_Y2018!$F:$F)</f>
        <v>61809.180999999997</v>
      </c>
      <c r="H215" s="44">
        <f>SUMIF(ALIF_Y2019!$A:$A,$A215,ALIF_Y2019!$F:$F)</f>
        <v>59905.19</v>
      </c>
      <c r="I215" s="44">
        <f>SUMIF(ALIF_Y2020!$A:$A,$A215,ALIF_Y2020!$F:$F)</f>
        <v>116096.121</v>
      </c>
      <c r="J215" s="44">
        <f>SUMIF(ALIF_Y2021!$A:$A,$A215,ALIF_Y2021!$F:$F)</f>
        <v>101594.4</v>
      </c>
      <c r="K215" s="44">
        <f>SUMIF(ALIF_Y2022!$A:$A,$A215,ALIF_Y2022!$F:$F)</f>
        <v>99293.07</v>
      </c>
      <c r="L215" s="44">
        <f>SUMIF(ALIF_Y2023!$A:$A,$A215,ALIF_Y2023!$F:$F)</f>
        <v>93087.872000000003</v>
      </c>
      <c r="M215" s="44">
        <f>SUMIF(ALIF_Y2024!$A:$A,$A215,ALIF_Y2024!$F:$F)</f>
        <v>78374.3</v>
      </c>
      <c r="N215" s="44">
        <f>SUMIF(ALIF_Y2025!$A:$A,$A215,ALIF_Y2025!$F:$F)</f>
        <v>85464.26</v>
      </c>
      <c r="O215" s="44">
        <f>SUMIF(TB_Input_Alif!$A:$A,$A215,TB_Input_Alif!$F:$F)</f>
        <v>66771.08</v>
      </c>
      <c r="P215" s="43" t="str">
        <f>_xlfn.XLOOKUP(A215,Map!A:A,Map!E:E)</f>
        <v>Utilities</v>
      </c>
      <c r="Q215" s="43" t="str">
        <f>_xlfn.XLOOKUP(A215,Map!A:A,Map!D:D)</f>
        <v>General and Admin</v>
      </c>
    </row>
    <row r="216" spans="1:17" x14ac:dyDescent="0.25">
      <c r="A216" s="42">
        <v>700023</v>
      </c>
      <c r="B216" s="43" t="s">
        <v>1045</v>
      </c>
      <c r="C216" s="44">
        <f>SUMIF(ALIF_Y2014!$A:$A,$A216,ALIF_Y2014!$F:$F)</f>
        <v>32574.240000000002</v>
      </c>
      <c r="D216" s="44">
        <f>SUMIF(ALIF_Y2015!$A:$A,$A216,ALIF_Y2015!$F:$F)</f>
        <v>21419.25</v>
      </c>
      <c r="E216" s="44">
        <f>SUMIF(ALIF_Y2016!$A:$A,$A216,ALIF_Y2016!$F:$F)</f>
        <v>28610.62</v>
      </c>
      <c r="F216" s="44">
        <f>SUMIF(ALIF_Y2017!$A:$A,$A216,ALIF_Y2017!$F:$F)</f>
        <v>23827</v>
      </c>
      <c r="G216" s="44">
        <f>SUMIF(ALIF_Y2018!$A:$A,$A216,ALIF_Y2018!$F:$F)</f>
        <v>32060.77</v>
      </c>
      <c r="H216" s="44">
        <f>SUMIF(ALIF_Y2019!$A:$A,$A216,ALIF_Y2019!$F:$F)</f>
        <v>50585.82</v>
      </c>
      <c r="I216" s="44">
        <f>SUMIF(ALIF_Y2020!$A:$A,$A216,ALIF_Y2020!$F:$F)</f>
        <v>44396.08</v>
      </c>
      <c r="J216" s="44">
        <f>SUMIF(ALIF_Y2021!$A:$A,$A216,ALIF_Y2021!$F:$F)</f>
        <v>32352.641</v>
      </c>
      <c r="K216" s="44">
        <f>SUMIF(ALIF_Y2022!$A:$A,$A216,ALIF_Y2022!$F:$F)</f>
        <v>25235.39</v>
      </c>
      <c r="L216" s="44">
        <f>SUMIF(ALIF_Y2023!$A:$A,$A216,ALIF_Y2023!$F:$F)</f>
        <v>34173.83</v>
      </c>
      <c r="M216" s="44">
        <f>SUMIF(ALIF_Y2024!$A:$A,$A216,ALIF_Y2024!$F:$F)</f>
        <v>12996.704</v>
      </c>
      <c r="N216" s="44">
        <f>SUMIF(ALIF_Y2025!$A:$A,$A216,ALIF_Y2025!$F:$F)</f>
        <v>44256.074999999997</v>
      </c>
      <c r="O216" s="44">
        <f>SUMIF(TB_Input_Alif!$A:$A,$A216,TB_Input_Alif!$F:$F)</f>
        <v>40862.129999999997</v>
      </c>
      <c r="P216" s="43" t="str">
        <f>_xlfn.XLOOKUP(A216,Map!A:A,Map!E:E)</f>
        <v>Utilities</v>
      </c>
      <c r="Q216" s="43" t="str">
        <f>_xlfn.XLOOKUP(A216,Map!A:A,Map!D:D)</f>
        <v>General and Admin</v>
      </c>
    </row>
    <row r="217" spans="1:17" x14ac:dyDescent="0.25">
      <c r="A217" s="42">
        <v>700024</v>
      </c>
      <c r="B217" s="43" t="s">
        <v>1046</v>
      </c>
      <c r="C217" s="44">
        <f>SUMIF(ALIF_Y2014!$A:$A,$A217,ALIF_Y2014!$F:$F)</f>
        <v>47876.31</v>
      </c>
      <c r="D217" s="44">
        <f>SUMIF(ALIF_Y2015!$A:$A,$A217,ALIF_Y2015!$F:$F)</f>
        <v>61858.550999999999</v>
      </c>
      <c r="E217" s="44">
        <f>SUMIF(ALIF_Y2016!$A:$A,$A217,ALIF_Y2016!$F:$F)</f>
        <v>68446.898000000001</v>
      </c>
      <c r="F217" s="44">
        <f>SUMIF(ALIF_Y2017!$A:$A,$A217,ALIF_Y2017!$F:$F)</f>
        <v>83539.5</v>
      </c>
      <c r="G217" s="44">
        <f>SUMIF(ALIF_Y2018!$A:$A,$A217,ALIF_Y2018!$F:$F)</f>
        <v>193976.31200000001</v>
      </c>
      <c r="H217" s="44">
        <f>SUMIF(ALIF_Y2019!$A:$A,$A217,ALIF_Y2019!$F:$F)</f>
        <v>173017.55499999999</v>
      </c>
      <c r="I217" s="44">
        <f>SUMIF(ALIF_Y2020!$A:$A,$A217,ALIF_Y2020!$F:$F)</f>
        <v>347776.16200000001</v>
      </c>
      <c r="J217" s="44">
        <f>SUMIF(ALIF_Y2021!$A:$A,$A217,ALIF_Y2021!$F:$F)</f>
        <v>193144.22700000001</v>
      </c>
      <c r="K217" s="44">
        <f>SUMIF(ALIF_Y2022!$A:$A,$A217,ALIF_Y2022!$F:$F)</f>
        <v>699621.14199999999</v>
      </c>
      <c r="L217" s="44">
        <f>SUMIF(ALIF_Y2023!$A:$A,$A217,ALIF_Y2023!$F:$F)</f>
        <v>757807.59</v>
      </c>
      <c r="M217" s="44">
        <f>SUMIF(ALIF_Y2024!$A:$A,$A217,ALIF_Y2024!$F:$F)</f>
        <v>690317.46600000001</v>
      </c>
      <c r="N217" s="44">
        <f>SUMIF(ALIF_Y2025!$A:$A,$A217,ALIF_Y2025!$F:$F)</f>
        <v>706542.29</v>
      </c>
      <c r="O217" s="44">
        <f>SUMIF(TB_Input_Alif!$A:$A,$A217,TB_Input_Alif!$F:$F)</f>
        <v>536718.321</v>
      </c>
      <c r="P217" s="43" t="str">
        <f>_xlfn.XLOOKUP(A217,Map!A:A,Map!E:E)</f>
        <v>IT expenses</v>
      </c>
      <c r="Q217" s="43" t="str">
        <f>_xlfn.XLOOKUP(A217,Map!A:A,Map!D:D)</f>
        <v>General and Admin</v>
      </c>
    </row>
    <row r="218" spans="1:17" x14ac:dyDescent="0.25">
      <c r="A218" s="42">
        <v>700025</v>
      </c>
      <c r="B218" s="43" t="s">
        <v>1047</v>
      </c>
      <c r="C218" s="44">
        <f>SUMIF(ALIF_Y2014!$A:$A,$A218,ALIF_Y2014!$F:$F)</f>
        <v>50000</v>
      </c>
      <c r="D218" s="44">
        <f>SUMIF(ALIF_Y2015!$A:$A,$A218,ALIF_Y2015!$F:$F)</f>
        <v>86324</v>
      </c>
      <c r="E218" s="44">
        <f>SUMIF(ALIF_Y2016!$A:$A,$A218,ALIF_Y2016!$F:$F)</f>
        <v>50000</v>
      </c>
      <c r="F218" s="44">
        <f>SUMIF(ALIF_Y2017!$A:$A,$A218,ALIF_Y2017!$F:$F)</f>
        <v>55000</v>
      </c>
      <c r="G218" s="44">
        <f>SUMIF(ALIF_Y2018!$A:$A,$A218,ALIF_Y2018!$F:$F)</f>
        <v>121909</v>
      </c>
      <c r="H218" s="44">
        <f>SUMIF(ALIF_Y2019!$A:$A,$A218,ALIF_Y2019!$F:$F)</f>
        <v>160529.38099999999</v>
      </c>
      <c r="I218" s="44">
        <f>SUMIF(ALIF_Y2020!$A:$A,$A218,ALIF_Y2020!$F:$F)</f>
        <v>269954.47100000002</v>
      </c>
      <c r="J218" s="44">
        <f>SUMIF(ALIF_Y2021!$A:$A,$A218,ALIF_Y2021!$F:$F)</f>
        <v>240087.35</v>
      </c>
      <c r="K218" s="44">
        <f>SUMIF(ALIF_Y2022!$A:$A,$A218,ALIF_Y2022!$F:$F)</f>
        <v>235225</v>
      </c>
      <c r="L218" s="44">
        <f>SUMIF(ALIF_Y2023!$A:$A,$A218,ALIF_Y2023!$F:$F)</f>
        <v>1481214.6470000001</v>
      </c>
      <c r="M218" s="44">
        <f>SUMIF(ALIF_Y2024!$A:$A,$A218,ALIF_Y2024!$F:$F)</f>
        <v>777175.31</v>
      </c>
      <c r="N218" s="44">
        <f>SUMIF(ALIF_Y2025!$A:$A,$A218,ALIF_Y2025!$F:$F)</f>
        <v>4542217.3530000001</v>
      </c>
      <c r="O218" s="44">
        <f>SUMIF(TB_Input_Alif!$A:$A,$A218,TB_Input_Alif!$F:$F)</f>
        <v>1586277.817</v>
      </c>
      <c r="P218" s="43" t="str">
        <f>_xlfn.XLOOKUP(A218,Map!A:A,Map!E:E)</f>
        <v>Salaries and wages</v>
      </c>
      <c r="Q218" s="43" t="str">
        <f>_xlfn.XLOOKUP(A218,Map!A:A,Map!D:D)</f>
        <v>General and Admin</v>
      </c>
    </row>
    <row r="219" spans="1:17" x14ac:dyDescent="0.25">
      <c r="A219" s="42">
        <v>700026</v>
      </c>
      <c r="B219" s="43" t="s">
        <v>1048</v>
      </c>
      <c r="C219" s="44">
        <f>SUMIF(ALIF_Y2014!$A:$A,$A219,ALIF_Y2014!$F:$F)</f>
        <v>9737.32</v>
      </c>
      <c r="D219" s="44">
        <f>SUMIF(ALIF_Y2015!$A:$A,$A219,ALIF_Y2015!$F:$F)</f>
        <v>596</v>
      </c>
      <c r="E219" s="44">
        <f>SUMIF(ALIF_Y2016!$A:$A,$A219,ALIF_Y2016!$F:$F)</f>
        <v>0</v>
      </c>
      <c r="F219" s="44">
        <f>SUMIF(ALIF_Y2017!$A:$A,$A219,ALIF_Y2017!$F:$F)</f>
        <v>0</v>
      </c>
      <c r="G219" s="44">
        <f>SUMIF(ALIF_Y2018!$A:$A,$A219,ALIF_Y2018!$F:$F)</f>
        <v>957</v>
      </c>
      <c r="H219" s="44">
        <f>SUMIF(ALIF_Y2019!$A:$A,$A219,ALIF_Y2019!$F:$F)</f>
        <v>0</v>
      </c>
      <c r="I219" s="44">
        <f>SUMIF(ALIF_Y2020!$A:$A,$A219,ALIF_Y2020!$F:$F)</f>
        <v>0</v>
      </c>
      <c r="J219" s="44">
        <f>SUMIF(ALIF_Y2021!$A:$A,$A219,ALIF_Y2021!$F:$F)</f>
        <v>0</v>
      </c>
      <c r="K219" s="44">
        <f>SUMIF(ALIF_Y2022!$A:$A,$A219,ALIF_Y2022!$F:$F)</f>
        <v>0</v>
      </c>
      <c r="L219" s="44">
        <f>SUMIF(ALIF_Y2023!$A:$A,$A219,ALIF_Y2023!$F:$F)</f>
        <v>0</v>
      </c>
      <c r="M219" s="44">
        <f>SUMIF(ALIF_Y2024!$A:$A,$A219,ALIF_Y2024!$F:$F)</f>
        <v>0</v>
      </c>
      <c r="N219" s="44">
        <f>SUMIF(ALIF_Y2025!$A:$A,$A219,ALIF_Y2025!$F:$F)</f>
        <v>8809.4599999999991</v>
      </c>
      <c r="O219" s="44">
        <f>SUMIF(TB_Input_Alif!$A:$A,$A219,TB_Input_Alif!$F:$F)</f>
        <v>0</v>
      </c>
      <c r="P219" s="43" t="str">
        <f>_xlfn.XLOOKUP(A219,Map!A:A,Map!E:E)</f>
        <v>Utilities</v>
      </c>
      <c r="Q219" s="43" t="str">
        <f>_xlfn.XLOOKUP(A219,Map!A:A,Map!D:D)</f>
        <v>General and Admin</v>
      </c>
    </row>
    <row r="220" spans="1:17" x14ac:dyDescent="0.25">
      <c r="A220" s="42">
        <v>700027</v>
      </c>
      <c r="B220" s="43" t="s">
        <v>1049</v>
      </c>
      <c r="C220" s="44">
        <f>SUMIF(ALIF_Y2014!$A:$A,$A220,ALIF_Y2014!$F:$F)</f>
        <v>0</v>
      </c>
      <c r="D220" s="44">
        <f>SUMIF(ALIF_Y2015!$A:$A,$A220,ALIF_Y2015!$F:$F)</f>
        <v>5707.643</v>
      </c>
      <c r="E220" s="44">
        <f>SUMIF(ALIF_Y2016!$A:$A,$A220,ALIF_Y2016!$F:$F)</f>
        <v>0</v>
      </c>
      <c r="F220" s="44">
        <f>SUMIF(ALIF_Y2017!$A:$A,$A220,ALIF_Y2017!$F:$F)</f>
        <v>0</v>
      </c>
      <c r="G220" s="44">
        <f>SUMIF(ALIF_Y2018!$A:$A,$A220,ALIF_Y2018!$F:$F)</f>
        <v>0</v>
      </c>
      <c r="H220" s="44">
        <f>SUMIF(ALIF_Y2019!$A:$A,$A220,ALIF_Y2019!$F:$F)</f>
        <v>38300</v>
      </c>
      <c r="I220" s="44">
        <f>SUMIF(ALIF_Y2020!$A:$A,$A220,ALIF_Y2020!$F:$F)</f>
        <v>40087</v>
      </c>
      <c r="J220" s="44">
        <f>SUMIF(ALIF_Y2021!$A:$A,$A220,ALIF_Y2021!$F:$F)</f>
        <v>121235.63</v>
      </c>
      <c r="K220" s="44">
        <f>SUMIF(ALIF_Y2022!$A:$A,$A220,ALIF_Y2022!$F:$F)</f>
        <v>74764</v>
      </c>
      <c r="L220" s="44">
        <f>SUMIF(ALIF_Y2023!$A:$A,$A220,ALIF_Y2023!$F:$F)</f>
        <v>3329</v>
      </c>
      <c r="M220" s="44">
        <f>SUMIF(ALIF_Y2024!$A:$A,$A220,ALIF_Y2024!$F:$F)</f>
        <v>441573.53</v>
      </c>
      <c r="N220" s="44">
        <f>SUMIF(ALIF_Y2025!$A:$A,$A220,ALIF_Y2025!$F:$F)</f>
        <v>95706.072</v>
      </c>
      <c r="O220" s="44">
        <f>SUMIF(TB_Input_Alif!$A:$A,$A220,TB_Input_Alif!$F:$F)</f>
        <v>0</v>
      </c>
      <c r="P220" s="43" t="str">
        <f>_xlfn.XLOOKUP(A220,Map!A:A,Map!E:E)</f>
        <v>Training</v>
      </c>
      <c r="Q220" s="43" t="str">
        <f>_xlfn.XLOOKUP(A220,Map!A:A,Map!D:D)</f>
        <v>General and Admin</v>
      </c>
    </row>
    <row r="221" spans="1:17" x14ac:dyDescent="0.25">
      <c r="A221" s="42">
        <v>700028</v>
      </c>
      <c r="B221" s="43" t="s">
        <v>1050</v>
      </c>
      <c r="C221" s="44">
        <f>SUMIF(ALIF_Y2014!$A:$A,$A221,ALIF_Y2014!$F:$F)</f>
        <v>8628</v>
      </c>
      <c r="D221" s="44">
        <f>SUMIF(ALIF_Y2015!$A:$A,$A221,ALIF_Y2015!$F:$F)</f>
        <v>2063</v>
      </c>
      <c r="E221" s="44">
        <f>SUMIF(ALIF_Y2016!$A:$A,$A221,ALIF_Y2016!$F:$F)</f>
        <v>23015</v>
      </c>
      <c r="F221" s="44">
        <f>SUMIF(ALIF_Y2017!$A:$A,$A221,ALIF_Y2017!$F:$F)</f>
        <v>12580</v>
      </c>
      <c r="G221" s="44">
        <f>SUMIF(ALIF_Y2018!$A:$A,$A221,ALIF_Y2018!$F:$F)</f>
        <v>20235.133000000002</v>
      </c>
      <c r="H221" s="44">
        <f>SUMIF(ALIF_Y2019!$A:$A,$A221,ALIF_Y2019!$F:$F)</f>
        <v>8892.16</v>
      </c>
      <c r="I221" s="44">
        <f>SUMIF(ALIF_Y2020!$A:$A,$A221,ALIF_Y2020!$F:$F)</f>
        <v>7251.1610000000001</v>
      </c>
      <c r="J221" s="44">
        <f>SUMIF(ALIF_Y2021!$A:$A,$A221,ALIF_Y2021!$F:$F)</f>
        <v>9845.5910000000003</v>
      </c>
      <c r="K221" s="44">
        <f>SUMIF(ALIF_Y2022!$A:$A,$A221,ALIF_Y2022!$F:$F)</f>
        <v>573</v>
      </c>
      <c r="L221" s="44">
        <f>SUMIF(ALIF_Y2023!$A:$A,$A221,ALIF_Y2023!$F:$F)</f>
        <v>1388.7</v>
      </c>
      <c r="M221" s="44">
        <f>SUMIF(ALIF_Y2024!$A:$A,$A221,ALIF_Y2024!$F:$F)</f>
        <v>2463.23</v>
      </c>
      <c r="N221" s="44">
        <f>SUMIF(ALIF_Y2025!$A:$A,$A221,ALIF_Y2025!$F:$F)</f>
        <v>9284.85</v>
      </c>
      <c r="O221" s="44">
        <f>SUMIF(TB_Input_Alif!$A:$A,$A221,TB_Input_Alif!$F:$F)</f>
        <v>1808</v>
      </c>
      <c r="P221" s="43" t="str">
        <f>_xlfn.XLOOKUP(A221,Map!A:A,Map!E:E)</f>
        <v xml:space="preserve">Back office Support </v>
      </c>
      <c r="Q221" s="43" t="str">
        <f>_xlfn.XLOOKUP(A221,Map!A:A,Map!D:D)</f>
        <v>General and Admin</v>
      </c>
    </row>
    <row r="222" spans="1:17" x14ac:dyDescent="0.25">
      <c r="A222" s="42">
        <v>700029</v>
      </c>
      <c r="B222" s="43" t="s">
        <v>1051</v>
      </c>
      <c r="C222" s="44">
        <f>SUMIF(ALIF_Y2014!$A:$A,$A222,ALIF_Y2014!$F:$F)</f>
        <v>30959</v>
      </c>
      <c r="D222" s="44">
        <f>SUMIF(ALIF_Y2015!$A:$A,$A222,ALIF_Y2015!$F:$F)</f>
        <v>30140</v>
      </c>
      <c r="E222" s="44">
        <f>SUMIF(ALIF_Y2016!$A:$A,$A222,ALIF_Y2016!$F:$F)</f>
        <v>22205</v>
      </c>
      <c r="F222" s="44">
        <f>SUMIF(ALIF_Y2017!$A:$A,$A222,ALIF_Y2017!$F:$F)</f>
        <v>6287</v>
      </c>
      <c r="G222" s="44">
        <f>SUMIF(ALIF_Y2018!$A:$A,$A222,ALIF_Y2018!$F:$F)</f>
        <v>6438</v>
      </c>
      <c r="H222" s="44">
        <f>SUMIF(ALIF_Y2019!$A:$A,$A222,ALIF_Y2019!$F:$F)</f>
        <v>9137.875</v>
      </c>
      <c r="I222" s="44">
        <f>SUMIF(ALIF_Y2020!$A:$A,$A222,ALIF_Y2020!$F:$F)</f>
        <v>11451.5</v>
      </c>
      <c r="J222" s="44">
        <f>SUMIF(ALIF_Y2021!$A:$A,$A222,ALIF_Y2021!$F:$F)</f>
        <v>3402.741</v>
      </c>
      <c r="K222" s="44">
        <f>SUMIF(ALIF_Y2022!$A:$A,$A222,ALIF_Y2022!$F:$F)</f>
        <v>6122.5</v>
      </c>
      <c r="L222" s="44">
        <f>SUMIF(ALIF_Y2023!$A:$A,$A222,ALIF_Y2023!$F:$F)</f>
        <v>1191.6199999999999</v>
      </c>
      <c r="M222" s="44">
        <f>SUMIF(ALIF_Y2024!$A:$A,$A222,ALIF_Y2024!$F:$F)</f>
        <v>5568.5</v>
      </c>
      <c r="N222" s="44">
        <f>SUMIF(ALIF_Y2025!$A:$A,$A222,ALIF_Y2025!$F:$F)</f>
        <v>3067.37</v>
      </c>
      <c r="O222" s="44">
        <f>SUMIF(TB_Input_Alif!$A:$A,$A222,TB_Input_Alif!$F:$F)</f>
        <v>55</v>
      </c>
      <c r="P222" s="43" t="str">
        <f>_xlfn.XLOOKUP(A222,Map!A:A,Map!E:E)</f>
        <v>Utilities</v>
      </c>
      <c r="Q222" s="43" t="str">
        <f>_xlfn.XLOOKUP(A222,Map!A:A,Map!D:D)</f>
        <v>General and Admin</v>
      </c>
    </row>
    <row r="223" spans="1:17" x14ac:dyDescent="0.25">
      <c r="A223" s="42">
        <v>700030</v>
      </c>
      <c r="B223" s="43" t="s">
        <v>1052</v>
      </c>
      <c r="C223" s="44">
        <f>SUMIF(ALIF_Y2014!$A:$A,$A223,ALIF_Y2014!$F:$F)</f>
        <v>33912</v>
      </c>
      <c r="D223" s="44">
        <f>SUMIF(ALIF_Y2015!$A:$A,$A223,ALIF_Y2015!$F:$F)</f>
        <v>5247</v>
      </c>
      <c r="E223" s="44">
        <f>SUMIF(ALIF_Y2016!$A:$A,$A223,ALIF_Y2016!$F:$F)</f>
        <v>25997</v>
      </c>
      <c r="F223" s="44">
        <f>SUMIF(ALIF_Y2017!$A:$A,$A223,ALIF_Y2017!$F:$F)</f>
        <v>643</v>
      </c>
      <c r="G223" s="44">
        <f>SUMIF(ALIF_Y2018!$A:$A,$A223,ALIF_Y2018!$F:$F)</f>
        <v>63031.26</v>
      </c>
      <c r="H223" s="44">
        <f>SUMIF(ALIF_Y2019!$A:$A,$A223,ALIF_Y2019!$F:$F)</f>
        <v>18503.849999999999</v>
      </c>
      <c r="I223" s="44">
        <f>SUMIF(ALIF_Y2020!$A:$A,$A223,ALIF_Y2020!$F:$F)</f>
        <v>25473</v>
      </c>
      <c r="J223" s="44">
        <f>SUMIF(ALIF_Y2021!$A:$A,$A223,ALIF_Y2021!$F:$F)</f>
        <v>41310.536999999997</v>
      </c>
      <c r="K223" s="44">
        <f>SUMIF(ALIF_Y2022!$A:$A,$A223,ALIF_Y2022!$F:$F)</f>
        <v>6043</v>
      </c>
      <c r="L223" s="44">
        <f>SUMIF(ALIF_Y2023!$A:$A,$A223,ALIF_Y2023!$F:$F)</f>
        <v>12567</v>
      </c>
      <c r="M223" s="44">
        <f>SUMIF(ALIF_Y2024!$A:$A,$A223,ALIF_Y2024!$F:$F)</f>
        <v>10329</v>
      </c>
      <c r="N223" s="44">
        <f>SUMIF(ALIF_Y2025!$A:$A,$A223,ALIF_Y2025!$F:$F)</f>
        <v>4958.8999999999996</v>
      </c>
      <c r="O223" s="44">
        <f>SUMIF(TB_Input_Alif!$A:$A,$A223,TB_Input_Alif!$F:$F)</f>
        <v>18114.761999999999</v>
      </c>
      <c r="P223" s="43" t="str">
        <f>_xlfn.XLOOKUP(A223,Map!A:A,Map!E:E)</f>
        <v>Utilities</v>
      </c>
      <c r="Q223" s="43" t="str">
        <f>_xlfn.XLOOKUP(A223,Map!A:A,Map!D:D)</f>
        <v>General and Admin</v>
      </c>
    </row>
    <row r="224" spans="1:17" x14ac:dyDescent="0.25">
      <c r="A224" s="42">
        <v>700031</v>
      </c>
      <c r="B224" s="43" t="s">
        <v>1053</v>
      </c>
      <c r="C224" s="44">
        <f>SUMIF(ALIF_Y2014!$A:$A,$A224,ALIF_Y2014!$F:$F)</f>
        <v>19018</v>
      </c>
      <c r="D224" s="44">
        <f>SUMIF(ALIF_Y2015!$A:$A,$A224,ALIF_Y2015!$F:$F)</f>
        <v>56235</v>
      </c>
      <c r="E224" s="44">
        <f>SUMIF(ALIF_Y2016!$A:$A,$A224,ALIF_Y2016!$F:$F)</f>
        <v>38573</v>
      </c>
      <c r="F224" s="44">
        <f>SUMIF(ALIF_Y2017!$A:$A,$A224,ALIF_Y2017!$F:$F)</f>
        <v>9678</v>
      </c>
      <c r="G224" s="44">
        <f>SUMIF(ALIF_Y2018!$A:$A,$A224,ALIF_Y2018!$F:$F)</f>
        <v>49078.25</v>
      </c>
      <c r="H224" s="44">
        <f>SUMIF(ALIF_Y2019!$A:$A,$A224,ALIF_Y2019!$F:$F)</f>
        <v>12017.14</v>
      </c>
      <c r="I224" s="44">
        <f>SUMIF(ALIF_Y2020!$A:$A,$A224,ALIF_Y2020!$F:$F)</f>
        <v>40810.51</v>
      </c>
      <c r="J224" s="44">
        <f>SUMIF(ALIF_Y2021!$A:$A,$A224,ALIF_Y2021!$F:$F)</f>
        <v>1705</v>
      </c>
      <c r="K224" s="44">
        <f>SUMIF(ALIF_Y2022!$A:$A,$A224,ALIF_Y2022!$F:$F)</f>
        <v>400</v>
      </c>
      <c r="L224" s="44">
        <f>SUMIF(ALIF_Y2023!$A:$A,$A224,ALIF_Y2023!$F:$F)</f>
        <v>600</v>
      </c>
      <c r="M224" s="44">
        <f>SUMIF(ALIF_Y2024!$A:$A,$A224,ALIF_Y2024!$F:$F)</f>
        <v>7586</v>
      </c>
      <c r="N224" s="44">
        <f>SUMIF(ALIF_Y2025!$A:$A,$A224,ALIF_Y2025!$F:$F)</f>
        <v>10375.5</v>
      </c>
      <c r="O224" s="44">
        <f>SUMIF(TB_Input_Alif!$A:$A,$A224,TB_Input_Alif!$F:$F)</f>
        <v>100</v>
      </c>
      <c r="P224" s="43" t="str">
        <f>_xlfn.XLOOKUP(A224,Map!A:A,Map!E:E)</f>
        <v>Utilities</v>
      </c>
      <c r="Q224" s="43" t="str">
        <f>_xlfn.XLOOKUP(A224,Map!A:A,Map!D:D)</f>
        <v>General and Admin</v>
      </c>
    </row>
    <row r="225" spans="1:17" x14ac:dyDescent="0.25">
      <c r="A225" s="42">
        <v>700032</v>
      </c>
      <c r="B225" s="43" t="s">
        <v>1054</v>
      </c>
      <c r="C225" s="44">
        <f>SUMIF(ALIF_Y2014!$A:$A,$A225,ALIF_Y2014!$F:$F)</f>
        <v>79421</v>
      </c>
      <c r="D225" s="44">
        <f>SUMIF(ALIF_Y2015!$A:$A,$A225,ALIF_Y2015!$F:$F)</f>
        <v>96071</v>
      </c>
      <c r="E225" s="44">
        <f>SUMIF(ALIF_Y2016!$A:$A,$A225,ALIF_Y2016!$F:$F)</f>
        <v>94312</v>
      </c>
      <c r="F225" s="44">
        <f>SUMIF(ALIF_Y2017!$A:$A,$A225,ALIF_Y2017!$F:$F)</f>
        <v>81963</v>
      </c>
      <c r="G225" s="44">
        <f>SUMIF(ALIF_Y2018!$A:$A,$A225,ALIF_Y2018!$F:$F)</f>
        <v>150743.85200000001</v>
      </c>
      <c r="H225" s="44">
        <f>SUMIF(ALIF_Y2019!$A:$A,$A225,ALIF_Y2019!$F:$F)</f>
        <v>123024.21</v>
      </c>
      <c r="I225" s="44">
        <f>SUMIF(ALIF_Y2020!$A:$A,$A225,ALIF_Y2020!$F:$F)</f>
        <v>92073.933000000005</v>
      </c>
      <c r="J225" s="44">
        <f>SUMIF(ALIF_Y2021!$A:$A,$A225,ALIF_Y2021!$F:$F)</f>
        <v>96886.959000000003</v>
      </c>
      <c r="K225" s="44">
        <f>SUMIF(ALIF_Y2022!$A:$A,$A225,ALIF_Y2022!$F:$F)</f>
        <v>99505.52</v>
      </c>
      <c r="L225" s="44">
        <f>SUMIF(ALIF_Y2023!$A:$A,$A225,ALIF_Y2023!$F:$F)</f>
        <v>92753.231</v>
      </c>
      <c r="M225" s="44">
        <f>SUMIF(ALIF_Y2024!$A:$A,$A225,ALIF_Y2024!$F:$F)</f>
        <v>75896.013000000006</v>
      </c>
      <c r="N225" s="44">
        <f>SUMIF(ALIF_Y2025!$A:$A,$A225,ALIF_Y2025!$F:$F)</f>
        <v>96139.027000000002</v>
      </c>
      <c r="O225" s="44">
        <f>SUMIF(TB_Input_Alif!$A:$A,$A225,TB_Input_Alif!$F:$F)</f>
        <v>60111.839999999997</v>
      </c>
      <c r="P225" s="43" t="str">
        <f>_xlfn.XLOOKUP(A225,Map!A:A,Map!E:E)</f>
        <v>Utilities</v>
      </c>
      <c r="Q225" s="43" t="str">
        <f>_xlfn.XLOOKUP(A225,Map!A:A,Map!D:D)</f>
        <v>General and Admin</v>
      </c>
    </row>
    <row r="226" spans="1:17" x14ac:dyDescent="0.25">
      <c r="A226" s="42">
        <v>700033</v>
      </c>
      <c r="B226" s="43" t="s">
        <v>1055</v>
      </c>
      <c r="C226" s="44">
        <f>SUMIF(ALIF_Y2014!$A:$A,$A226,ALIF_Y2014!$F:$F)</f>
        <v>25324.95</v>
      </c>
      <c r="D226" s="44">
        <f>SUMIF(ALIF_Y2015!$A:$A,$A226,ALIF_Y2015!$F:$F)</f>
        <v>27166.5</v>
      </c>
      <c r="E226" s="44">
        <f>SUMIF(ALIF_Y2016!$A:$A,$A226,ALIF_Y2016!$F:$F)</f>
        <v>49367</v>
      </c>
      <c r="F226" s="44">
        <f>SUMIF(ALIF_Y2017!$A:$A,$A226,ALIF_Y2017!$F:$F)</f>
        <v>43524</v>
      </c>
      <c r="G226" s="44">
        <f>SUMIF(ALIF_Y2018!$A:$A,$A226,ALIF_Y2018!$F:$F)</f>
        <v>20614.094000000001</v>
      </c>
      <c r="H226" s="44">
        <f>SUMIF(ALIF_Y2019!$A:$A,$A226,ALIF_Y2019!$F:$F)</f>
        <v>45847.616999999998</v>
      </c>
      <c r="I226" s="44">
        <f>SUMIF(ALIF_Y2020!$A:$A,$A226,ALIF_Y2020!$F:$F)</f>
        <v>33469.355000000003</v>
      </c>
      <c r="J226" s="44">
        <f>SUMIF(ALIF_Y2021!$A:$A,$A226,ALIF_Y2021!$F:$F)</f>
        <v>18216.55</v>
      </c>
      <c r="K226" s="44">
        <f>SUMIF(ALIF_Y2022!$A:$A,$A226,ALIF_Y2022!$F:$F)</f>
        <v>19260.34</v>
      </c>
      <c r="L226" s="44">
        <f>SUMIF(ALIF_Y2023!$A:$A,$A226,ALIF_Y2023!$F:$F)</f>
        <v>11587.82</v>
      </c>
      <c r="M226" s="44">
        <f>SUMIF(ALIF_Y2024!$A:$A,$A226,ALIF_Y2024!$F:$F)</f>
        <v>57659.377999999997</v>
      </c>
      <c r="N226" s="44">
        <f>SUMIF(ALIF_Y2025!$A:$A,$A226,ALIF_Y2025!$F:$F)</f>
        <v>114327.95600000001</v>
      </c>
      <c r="O226" s="44">
        <f>SUMIF(TB_Input_Alif!$A:$A,$A226,TB_Input_Alif!$F:$F)</f>
        <v>154217.31400000001</v>
      </c>
      <c r="P226" s="43" t="str">
        <f>_xlfn.XLOOKUP(A226,Map!A:A,Map!E:E)</f>
        <v>Utilities</v>
      </c>
      <c r="Q226" s="43" t="str">
        <f>_xlfn.XLOOKUP(A226,Map!A:A,Map!D:D)</f>
        <v>General and Admin</v>
      </c>
    </row>
    <row r="227" spans="1:17" x14ac:dyDescent="0.25">
      <c r="A227" s="42">
        <v>700034</v>
      </c>
      <c r="B227" s="43" t="s">
        <v>1056</v>
      </c>
      <c r="C227" s="44">
        <f>SUMIF(ALIF_Y2014!$A:$A,$A227,ALIF_Y2014!$F:$F)</f>
        <v>8606.6</v>
      </c>
      <c r="D227" s="44">
        <f>SUMIF(ALIF_Y2015!$A:$A,$A227,ALIF_Y2015!$F:$F)</f>
        <v>3138</v>
      </c>
      <c r="E227" s="44">
        <f>SUMIF(ALIF_Y2016!$A:$A,$A227,ALIF_Y2016!$F:$F)</f>
        <v>29039</v>
      </c>
      <c r="F227" s="44">
        <f>SUMIF(ALIF_Y2017!$A:$A,$A227,ALIF_Y2017!$F:$F)</f>
        <v>28183.3</v>
      </c>
      <c r="G227" s="44">
        <f>SUMIF(ALIF_Y2018!$A:$A,$A227,ALIF_Y2018!$F:$F)</f>
        <v>80205.861999999994</v>
      </c>
      <c r="H227" s="44">
        <f>SUMIF(ALIF_Y2019!$A:$A,$A227,ALIF_Y2019!$F:$F)</f>
        <v>25959.58</v>
      </c>
      <c r="I227" s="44">
        <f>SUMIF(ALIF_Y2020!$A:$A,$A227,ALIF_Y2020!$F:$F)</f>
        <v>17875.099999999999</v>
      </c>
      <c r="J227" s="44">
        <f>SUMIF(ALIF_Y2021!$A:$A,$A227,ALIF_Y2021!$F:$F)</f>
        <v>24134.670999999998</v>
      </c>
      <c r="K227" s="44">
        <f>SUMIF(ALIF_Y2022!$A:$A,$A227,ALIF_Y2022!$F:$F)</f>
        <v>11158.84</v>
      </c>
      <c r="L227" s="44">
        <f>SUMIF(ALIF_Y2023!$A:$A,$A227,ALIF_Y2023!$F:$F)</f>
        <v>7565.26</v>
      </c>
      <c r="M227" s="44">
        <f>SUMIF(ALIF_Y2024!$A:$A,$A227,ALIF_Y2024!$F:$F)</f>
        <v>39400.057999999997</v>
      </c>
      <c r="N227" s="44">
        <f>SUMIF(ALIF_Y2025!$A:$A,$A227,ALIF_Y2025!$F:$F)</f>
        <v>49491.796999999999</v>
      </c>
      <c r="O227" s="44">
        <f>SUMIF(TB_Input_Alif!$A:$A,$A227,TB_Input_Alif!$F:$F)</f>
        <v>19412.302</v>
      </c>
      <c r="P227" s="43" t="str">
        <f>_xlfn.XLOOKUP(A227,Map!A:A,Map!E:E)</f>
        <v xml:space="preserve">Back office Support </v>
      </c>
      <c r="Q227" s="43" t="str">
        <f>_xlfn.XLOOKUP(A227,Map!A:A,Map!D:D)</f>
        <v>General and Admin</v>
      </c>
    </row>
    <row r="228" spans="1:17" x14ac:dyDescent="0.25">
      <c r="A228" s="42">
        <v>700035</v>
      </c>
      <c r="B228" s="43" t="s">
        <v>1057</v>
      </c>
      <c r="C228" s="44">
        <f>SUMIF(ALIF_Y2014!$A:$A,$A228,ALIF_Y2014!$F:$F)</f>
        <v>0</v>
      </c>
      <c r="D228" s="44">
        <f>SUMIF(ALIF_Y2015!$A:$A,$A228,ALIF_Y2015!$F:$F)</f>
        <v>0</v>
      </c>
      <c r="E228" s="44">
        <f>SUMIF(ALIF_Y2016!$A:$A,$A228,ALIF_Y2016!$F:$F)</f>
        <v>0</v>
      </c>
      <c r="F228" s="44">
        <f>SUMIF(ALIF_Y2017!$A:$A,$A228,ALIF_Y2017!$F:$F)</f>
        <v>0</v>
      </c>
      <c r="G228" s="44">
        <f>SUMIF(ALIF_Y2018!$A:$A,$A228,ALIF_Y2018!$F:$F)</f>
        <v>0</v>
      </c>
      <c r="H228" s="44">
        <f>SUMIF(ALIF_Y2019!$A:$A,$A228,ALIF_Y2019!$F:$F)</f>
        <v>-608441</v>
      </c>
      <c r="I228" s="44">
        <f>SUMIF(ALIF_Y2020!$A:$A,$A228,ALIF_Y2020!$F:$F)</f>
        <v>180079</v>
      </c>
      <c r="J228" s="44">
        <f>SUMIF(ALIF_Y2021!$A:$A,$A228,ALIF_Y2021!$F:$F)</f>
        <v>-25921</v>
      </c>
      <c r="K228" s="44">
        <f>SUMIF(ALIF_Y2022!$A:$A,$A228,ALIF_Y2022!$F:$F)</f>
        <v>35621</v>
      </c>
      <c r="L228" s="44">
        <f>SUMIF(ALIF_Y2023!$A:$A,$A228,ALIF_Y2023!$F:$F)</f>
        <v>1151975.32</v>
      </c>
      <c r="M228" s="44">
        <f>SUMIF(ALIF_Y2024!$A:$A,$A228,ALIF_Y2024!$F:$F)</f>
        <v>-1573353</v>
      </c>
      <c r="N228" s="44">
        <f>SUMIF(ALIF_Y2025!$A:$A,$A228,ALIF_Y2025!$F:$F)</f>
        <v>0</v>
      </c>
      <c r="O228" s="44">
        <f>SUMIF(TB_Input_Alif!$A:$A,$A228,TB_Input_Alif!$F:$F)</f>
        <v>0</v>
      </c>
      <c r="P228" s="43" t="str">
        <f>_xlfn.XLOOKUP(A228,Map!A:A,Map!E:E)</f>
        <v>Actuarial gains and losses</v>
      </c>
      <c r="Q228" s="43" t="str">
        <f>_xlfn.XLOOKUP(A228,Map!A:A,Map!D:D)</f>
        <v>General and Admin</v>
      </c>
    </row>
    <row r="229" spans="1:17" x14ac:dyDescent="0.25">
      <c r="A229" s="42">
        <v>700036</v>
      </c>
      <c r="B229" s="43" t="s">
        <v>1058</v>
      </c>
      <c r="C229" s="44">
        <f>SUMIF(ALIF_Y2014!$A:$A,$A229,ALIF_Y2014!$F:$F)</f>
        <v>24393</v>
      </c>
      <c r="D229" s="44">
        <f>SUMIF(ALIF_Y2015!$A:$A,$A229,ALIF_Y2015!$F:$F)</f>
        <v>49639.040000000001</v>
      </c>
      <c r="E229" s="44">
        <f>SUMIF(ALIF_Y2016!$A:$A,$A229,ALIF_Y2016!$F:$F)</f>
        <v>34003.040000000001</v>
      </c>
      <c r="F229" s="44">
        <f>SUMIF(ALIF_Y2017!$A:$A,$A229,ALIF_Y2017!$F:$F)</f>
        <v>82707</v>
      </c>
      <c r="G229" s="44">
        <f>SUMIF(ALIF_Y2018!$A:$A,$A229,ALIF_Y2018!$F:$F)</f>
        <v>14981</v>
      </c>
      <c r="H229" s="44">
        <f>SUMIF(ALIF_Y2019!$A:$A,$A229,ALIF_Y2019!$F:$F)</f>
        <v>55653.146000000001</v>
      </c>
      <c r="I229" s="44">
        <f>SUMIF(ALIF_Y2020!$A:$A,$A229,ALIF_Y2020!$F:$F)</f>
        <v>67452.846000000005</v>
      </c>
      <c r="J229" s="44">
        <f>SUMIF(ALIF_Y2021!$A:$A,$A229,ALIF_Y2021!$F:$F)</f>
        <v>74763</v>
      </c>
      <c r="K229" s="44">
        <f>SUMIF(ALIF_Y2022!$A:$A,$A229,ALIF_Y2022!$F:$F)</f>
        <v>3169.8</v>
      </c>
      <c r="L229" s="44">
        <f>SUMIF(ALIF_Y2023!$A:$A,$A229,ALIF_Y2023!$F:$F)</f>
        <v>40368.449999999997</v>
      </c>
      <c r="M229" s="44">
        <f>SUMIF(ALIF_Y2024!$A:$A,$A229,ALIF_Y2024!$F:$F)</f>
        <v>55533.06</v>
      </c>
      <c r="N229" s="44">
        <f>SUMIF(ALIF_Y2025!$A:$A,$A229,ALIF_Y2025!$F:$F)</f>
        <v>15692.819</v>
      </c>
      <c r="O229" s="44">
        <f>SUMIF(TB_Input_Alif!$A:$A,$A229,TB_Input_Alif!$F:$F)</f>
        <v>39002.703999999998</v>
      </c>
      <c r="P229" s="43" t="str">
        <f>_xlfn.XLOOKUP(A229,Map!A:A,Map!E:E)</f>
        <v>Utilities</v>
      </c>
      <c r="Q229" s="43" t="str">
        <f>_xlfn.XLOOKUP(A229,Map!A:A,Map!D:D)</f>
        <v>General and Admin</v>
      </c>
    </row>
    <row r="230" spans="1:17" x14ac:dyDescent="0.25">
      <c r="A230" s="42">
        <v>700037</v>
      </c>
      <c r="B230" s="43" t="s">
        <v>1059</v>
      </c>
      <c r="C230" s="44">
        <f>SUMIF(ALIF_Y2014!$A:$A,$A230,ALIF_Y2014!$F:$F)</f>
        <v>27168</v>
      </c>
      <c r="D230" s="44">
        <f>SUMIF(ALIF_Y2015!$A:$A,$A230,ALIF_Y2015!$F:$F)</f>
        <v>0</v>
      </c>
      <c r="E230" s="44">
        <f>SUMIF(ALIF_Y2016!$A:$A,$A230,ALIF_Y2016!$F:$F)</f>
        <v>0</v>
      </c>
      <c r="F230" s="44">
        <f>SUMIF(ALIF_Y2017!$A:$A,$A230,ALIF_Y2017!$F:$F)</f>
        <v>0</v>
      </c>
      <c r="G230" s="44">
        <f>SUMIF(ALIF_Y2018!$A:$A,$A230,ALIF_Y2018!$F:$F)</f>
        <v>0</v>
      </c>
      <c r="H230" s="44">
        <f>SUMIF(ALIF_Y2019!$A:$A,$A230,ALIF_Y2019!$F:$F)</f>
        <v>9639</v>
      </c>
      <c r="I230" s="44">
        <f>SUMIF(ALIF_Y2020!$A:$A,$A230,ALIF_Y2020!$F:$F)</f>
        <v>0</v>
      </c>
      <c r="J230" s="44">
        <f>SUMIF(ALIF_Y2021!$A:$A,$A230,ALIF_Y2021!$F:$F)</f>
        <v>0</v>
      </c>
      <c r="K230" s="44">
        <f>SUMIF(ALIF_Y2022!$A:$A,$A230,ALIF_Y2022!$F:$F)</f>
        <v>0</v>
      </c>
      <c r="L230" s="44">
        <f>SUMIF(ALIF_Y2023!$A:$A,$A230,ALIF_Y2023!$F:$F)</f>
        <v>0</v>
      </c>
      <c r="M230" s="44">
        <f>SUMIF(ALIF_Y2024!$A:$A,$A230,ALIF_Y2024!$F:$F)</f>
        <v>0</v>
      </c>
      <c r="N230" s="44">
        <f>SUMIF(ALIF_Y2025!$A:$A,$A230,ALIF_Y2025!$F:$F)</f>
        <v>0</v>
      </c>
      <c r="O230" s="44">
        <f>SUMIF(TB_Input_Alif!$A:$A,$A230,TB_Input_Alif!$F:$F)</f>
        <v>0</v>
      </c>
      <c r="P230" s="43" t="str">
        <f>_xlfn.XLOOKUP(A230,Map!A:A,Map!E:E)</f>
        <v>Finance cost</v>
      </c>
      <c r="Q230" s="43" t="str">
        <f>_xlfn.XLOOKUP(A230,Map!A:A,Map!D:D)</f>
        <v>Finance cost</v>
      </c>
    </row>
    <row r="231" spans="1:17" x14ac:dyDescent="0.25">
      <c r="A231" s="42">
        <v>700038</v>
      </c>
      <c r="B231" s="43" t="s">
        <v>1060</v>
      </c>
      <c r="C231" s="44">
        <f>SUMIF(ALIF_Y2014!$A:$A,$A231,ALIF_Y2014!$F:$F)</f>
        <v>319477</v>
      </c>
      <c r="D231" s="44">
        <f>SUMIF(ALIF_Y2015!$A:$A,$A231,ALIF_Y2015!$F:$F)</f>
        <v>199982</v>
      </c>
      <c r="E231" s="44">
        <f>SUMIF(ALIF_Y2016!$A:$A,$A231,ALIF_Y2016!$F:$F)</f>
        <v>91676.22</v>
      </c>
      <c r="F231" s="44">
        <f>SUMIF(ALIF_Y2017!$A:$A,$A231,ALIF_Y2017!$F:$F)</f>
        <v>91595.72</v>
      </c>
      <c r="G231" s="44">
        <f>SUMIF(ALIF_Y2018!$A:$A,$A231,ALIF_Y2018!$F:$F)</f>
        <v>308257.93</v>
      </c>
      <c r="H231" s="44">
        <f>SUMIF(ALIF_Y2019!$A:$A,$A231,ALIF_Y2019!$F:$F)</f>
        <v>252830.18</v>
      </c>
      <c r="I231" s="44">
        <f>SUMIF(ALIF_Y2020!$A:$A,$A231,ALIF_Y2020!$F:$F)</f>
        <v>43576.03</v>
      </c>
      <c r="J231" s="44">
        <f>SUMIF(ALIF_Y2021!$A:$A,$A231,ALIF_Y2021!$F:$F)</f>
        <v>21990.956999999999</v>
      </c>
      <c r="K231" s="44">
        <f>SUMIF(ALIF_Y2022!$A:$A,$A231,ALIF_Y2022!$F:$F)</f>
        <v>142689.21</v>
      </c>
      <c r="L231" s="44">
        <f>SUMIF(ALIF_Y2023!$A:$A,$A231,ALIF_Y2023!$F:$F)</f>
        <v>270394.35800000001</v>
      </c>
      <c r="M231" s="44">
        <f>SUMIF(ALIF_Y2024!$A:$A,$A231,ALIF_Y2024!$F:$F)</f>
        <v>1146191.956</v>
      </c>
      <c r="N231" s="44">
        <f>SUMIF(ALIF_Y2025!$A:$A,$A231,ALIF_Y2025!$F:$F)</f>
        <v>698180.527</v>
      </c>
      <c r="O231" s="44">
        <f>SUMIF(TB_Input_Alif!$A:$A,$A231,TB_Input_Alif!$F:$F)</f>
        <v>199477.35500000001</v>
      </c>
      <c r="P231" s="43" t="str">
        <f>_xlfn.XLOOKUP(A231,Map!A:A,Map!E:E)</f>
        <v>Business travel</v>
      </c>
      <c r="Q231" s="43" t="str">
        <f>_xlfn.XLOOKUP(A231,Map!A:A,Map!D:D)</f>
        <v>General and Admin</v>
      </c>
    </row>
    <row r="232" spans="1:17" x14ac:dyDescent="0.25">
      <c r="A232" s="42">
        <v>700039</v>
      </c>
      <c r="B232" s="43" t="s">
        <v>1061</v>
      </c>
      <c r="C232" s="44">
        <f>SUMIF(ALIF_Y2014!$A:$A,$A232,ALIF_Y2014!$F:$F)</f>
        <v>21019</v>
      </c>
      <c r="D232" s="44">
        <f>SUMIF(ALIF_Y2015!$A:$A,$A232,ALIF_Y2015!$F:$F)</f>
        <v>22033</v>
      </c>
      <c r="E232" s="44">
        <f>SUMIF(ALIF_Y2016!$A:$A,$A232,ALIF_Y2016!$F:$F)</f>
        <v>17348</v>
      </c>
      <c r="F232" s="44">
        <f>SUMIF(ALIF_Y2017!$A:$A,$A232,ALIF_Y2017!$F:$F)</f>
        <v>7787.2</v>
      </c>
      <c r="G232" s="44">
        <f>SUMIF(ALIF_Y2018!$A:$A,$A232,ALIF_Y2018!$F:$F)</f>
        <v>22134.133999999998</v>
      </c>
      <c r="H232" s="44">
        <f>SUMIF(ALIF_Y2019!$A:$A,$A232,ALIF_Y2019!$F:$F)</f>
        <v>21843.77</v>
      </c>
      <c r="I232" s="44">
        <f>SUMIF(ALIF_Y2020!$A:$A,$A232,ALIF_Y2020!$F:$F)</f>
        <v>32688.73</v>
      </c>
      <c r="J232" s="44">
        <f>SUMIF(ALIF_Y2021!$A:$A,$A232,ALIF_Y2021!$F:$F)</f>
        <v>26050.937000000002</v>
      </c>
      <c r="K232" s="44">
        <f>SUMIF(ALIF_Y2022!$A:$A,$A232,ALIF_Y2022!$F:$F)</f>
        <v>10504.65</v>
      </c>
      <c r="L232" s="44">
        <f>SUMIF(ALIF_Y2023!$A:$A,$A232,ALIF_Y2023!$F:$F)</f>
        <v>3358.87</v>
      </c>
      <c r="M232" s="44">
        <f>SUMIF(ALIF_Y2024!$A:$A,$A232,ALIF_Y2024!$F:$F)</f>
        <v>11762.34</v>
      </c>
      <c r="N232" s="44">
        <f>SUMIF(ALIF_Y2025!$A:$A,$A232,ALIF_Y2025!$F:$F)</f>
        <v>20259.638999999999</v>
      </c>
      <c r="O232" s="44">
        <f>SUMIF(TB_Input_Alif!$A:$A,$A232,TB_Input_Alif!$F:$F)</f>
        <v>14894.51</v>
      </c>
      <c r="P232" s="43" t="str">
        <f>_xlfn.XLOOKUP(A232,Map!A:A,Map!E:E)</f>
        <v>Buffet expenses</v>
      </c>
      <c r="Q232" s="43" t="str">
        <f>_xlfn.XLOOKUP(A232,Map!A:A,Map!D:D)</f>
        <v>Selling and Marketing</v>
      </c>
    </row>
    <row r="233" spans="1:17" x14ac:dyDescent="0.25">
      <c r="A233" s="42">
        <v>700040</v>
      </c>
      <c r="B233" s="43" t="s">
        <v>1062</v>
      </c>
      <c r="C233" s="44">
        <f>SUMIF(ALIF_Y2014!$A:$A,$A233,ALIF_Y2014!$F:$F)</f>
        <v>33518</v>
      </c>
      <c r="D233" s="44">
        <f>SUMIF(ALIF_Y2015!$A:$A,$A233,ALIF_Y2015!$F:$F)</f>
        <v>24040</v>
      </c>
      <c r="E233" s="44">
        <f>SUMIF(ALIF_Y2016!$A:$A,$A233,ALIF_Y2016!$F:$F)</f>
        <v>31477</v>
      </c>
      <c r="F233" s="44">
        <f>SUMIF(ALIF_Y2017!$A:$A,$A233,ALIF_Y2017!$F:$F)</f>
        <v>28017</v>
      </c>
      <c r="G233" s="44">
        <f>SUMIF(ALIF_Y2018!$A:$A,$A233,ALIF_Y2018!$F:$F)</f>
        <v>374014.14500000002</v>
      </c>
      <c r="H233" s="44">
        <f>SUMIF(ALIF_Y2019!$A:$A,$A233,ALIF_Y2019!$F:$F)</f>
        <v>463312.95</v>
      </c>
      <c r="I233" s="44">
        <f>SUMIF(ALIF_Y2020!$A:$A,$A233,ALIF_Y2020!$F:$F)</f>
        <v>785732.58</v>
      </c>
      <c r="J233" s="44">
        <f>SUMIF(ALIF_Y2021!$A:$A,$A233,ALIF_Y2021!$F:$F)</f>
        <v>659323.45200000005</v>
      </c>
      <c r="K233" s="44">
        <f>SUMIF(ALIF_Y2022!$A:$A,$A233,ALIF_Y2022!$F:$F)</f>
        <v>1005761.147</v>
      </c>
      <c r="L233" s="44">
        <f>SUMIF(ALIF_Y2023!$A:$A,$A233,ALIF_Y2023!$F:$F)</f>
        <v>253965.70199999999</v>
      </c>
      <c r="M233" s="44">
        <f>SUMIF(ALIF_Y2024!$A:$A,$A233,ALIF_Y2024!$F:$F)</f>
        <v>187744.17</v>
      </c>
      <c r="N233" s="44">
        <f>SUMIF(ALIF_Y2025!$A:$A,$A233,ALIF_Y2025!$F:$F)</f>
        <v>150953.1</v>
      </c>
      <c r="O233" s="44">
        <f>SUMIF(TB_Input_Alif!$A:$A,$A233,TB_Input_Alif!$F:$F)</f>
        <v>52081.53</v>
      </c>
      <c r="P233" s="43" t="str">
        <f>_xlfn.XLOOKUP(A233,Map!A:A,Map!E:E)</f>
        <v>Utilities</v>
      </c>
      <c r="Q233" s="43" t="str">
        <f>_xlfn.XLOOKUP(A233,Map!A:A,Map!D:D)</f>
        <v>General and Admin</v>
      </c>
    </row>
    <row r="234" spans="1:17" x14ac:dyDescent="0.25">
      <c r="A234" s="42">
        <v>700041</v>
      </c>
      <c r="B234" s="43" t="s">
        <v>1063</v>
      </c>
      <c r="C234" s="44">
        <f>SUMIF(ALIF_Y2014!$A:$A,$A234,ALIF_Y2014!$F:$F)</f>
        <v>34539.24</v>
      </c>
      <c r="D234" s="44">
        <f>SUMIF(ALIF_Y2015!$A:$A,$A234,ALIF_Y2015!$F:$F)</f>
        <v>11202.25</v>
      </c>
      <c r="E234" s="44">
        <f>SUMIF(ALIF_Y2016!$A:$A,$A234,ALIF_Y2016!$F:$F)</f>
        <v>4509</v>
      </c>
      <c r="F234" s="44">
        <f>SUMIF(ALIF_Y2017!$A:$A,$A234,ALIF_Y2017!$F:$F)</f>
        <v>30254.87</v>
      </c>
      <c r="G234" s="44">
        <f>SUMIF(ALIF_Y2018!$A:$A,$A234,ALIF_Y2018!$F:$F)</f>
        <v>234866.552</v>
      </c>
      <c r="H234" s="44">
        <f>SUMIF(ALIF_Y2019!$A:$A,$A234,ALIF_Y2019!$F:$F)</f>
        <v>377993.37900000002</v>
      </c>
      <c r="I234" s="44">
        <f>SUMIF(ALIF_Y2020!$A:$A,$A234,ALIF_Y2020!$F:$F)</f>
        <v>144243.25</v>
      </c>
      <c r="J234" s="44">
        <f>SUMIF(ALIF_Y2021!$A:$A,$A234,ALIF_Y2021!$F:$F)</f>
        <v>385214.50799999997</v>
      </c>
      <c r="K234" s="44">
        <f>SUMIF(ALIF_Y2022!$A:$A,$A234,ALIF_Y2022!$F:$F)</f>
        <v>204356.34299999999</v>
      </c>
      <c r="L234" s="44">
        <f>SUMIF(ALIF_Y2023!$A:$A,$A234,ALIF_Y2023!$F:$F)</f>
        <v>0</v>
      </c>
      <c r="M234" s="44">
        <f>SUMIF(ALIF_Y2024!$A:$A,$A234,ALIF_Y2024!$F:$F)</f>
        <v>47849.550999999999</v>
      </c>
      <c r="N234" s="44">
        <f>SUMIF(ALIF_Y2025!$A:$A,$A234,ALIF_Y2025!$F:$F)</f>
        <v>72690.202999999994</v>
      </c>
      <c r="O234" s="44">
        <f>SUMIF(TB_Input_Alif!$A:$A,$A234,TB_Input_Alif!$F:$F)</f>
        <v>21665.780999999999</v>
      </c>
      <c r="P234" s="43" t="str">
        <f>_xlfn.XLOOKUP(A234,Map!A:A,Map!E:E)</f>
        <v>Salaries and wages</v>
      </c>
      <c r="Q234" s="43" t="str">
        <f>_xlfn.XLOOKUP(A234,Map!A:A,Map!D:D)</f>
        <v>General and Admin</v>
      </c>
    </row>
    <row r="235" spans="1:17" x14ac:dyDescent="0.25">
      <c r="A235" s="42">
        <v>700042</v>
      </c>
      <c r="B235" s="43" t="s">
        <v>1064</v>
      </c>
      <c r="C235" s="44">
        <f>SUMIF(ALIF_Y2014!$A:$A,$A235,ALIF_Y2014!$F:$F)</f>
        <v>0</v>
      </c>
      <c r="D235" s="44">
        <f>SUMIF(ALIF_Y2015!$A:$A,$A235,ALIF_Y2015!$F:$F)</f>
        <v>0</v>
      </c>
      <c r="E235" s="44">
        <f>SUMIF(ALIF_Y2016!$A:$A,$A235,ALIF_Y2016!$F:$F)</f>
        <v>0</v>
      </c>
      <c r="F235" s="44">
        <f>SUMIF(ALIF_Y2017!$A:$A,$A235,ALIF_Y2017!$F:$F)</f>
        <v>0</v>
      </c>
      <c r="G235" s="44">
        <f>SUMIF(ALIF_Y2018!$A:$A,$A235,ALIF_Y2018!$F:$F)</f>
        <v>0</v>
      </c>
      <c r="H235" s="44">
        <f>SUMIF(ALIF_Y2019!$A:$A,$A235,ALIF_Y2019!$F:$F)</f>
        <v>-522898</v>
      </c>
      <c r="I235" s="44">
        <f>SUMIF(ALIF_Y2020!$A:$A,$A235,ALIF_Y2020!$F:$F)</f>
        <v>2000000</v>
      </c>
      <c r="J235" s="44">
        <f>SUMIF(ALIF_Y2021!$A:$A,$A235,ALIF_Y2021!$F:$F)</f>
        <v>150000</v>
      </c>
      <c r="K235" s="44">
        <f>SUMIF(ALIF_Y2022!$A:$A,$A235,ALIF_Y2022!$F:$F)</f>
        <v>158333.32999999999</v>
      </c>
      <c r="L235" s="44">
        <f>SUMIF(ALIF_Y2023!$A:$A,$A235,ALIF_Y2023!$F:$F)</f>
        <v>0</v>
      </c>
      <c r="M235" s="44">
        <f>SUMIF(ALIF_Y2024!$A:$A,$A235,ALIF_Y2024!$F:$F)</f>
        <v>0</v>
      </c>
      <c r="N235" s="44">
        <f>SUMIF(ALIF_Y2025!$A:$A,$A235,ALIF_Y2025!$F:$F)</f>
        <v>0</v>
      </c>
      <c r="O235" s="44">
        <f>SUMIF(TB_Input_Alif!$A:$A,$A235,TB_Input_Alif!$F:$F)</f>
        <v>-37206.542000000001</v>
      </c>
      <c r="P235" s="43" t="str">
        <f>_xlfn.XLOOKUP(A235,Map!A:A,Map!E:E)</f>
        <v xml:space="preserve">Back office Support </v>
      </c>
      <c r="Q235" s="43" t="str">
        <f>_xlfn.XLOOKUP(A235,Map!A:A,Map!D:D)</f>
        <v>General and Admin</v>
      </c>
    </row>
    <row r="236" spans="1:17" x14ac:dyDescent="0.25">
      <c r="A236" s="42">
        <v>700043</v>
      </c>
      <c r="B236" s="43" t="s">
        <v>1065</v>
      </c>
      <c r="C236" s="44">
        <f>SUMIF(ALIF_Y2014!$A:$A,$A236,ALIF_Y2014!$F:$F)</f>
        <v>8381</v>
      </c>
      <c r="D236" s="44">
        <f>SUMIF(ALIF_Y2015!$A:$A,$A236,ALIF_Y2015!$F:$F)</f>
        <v>848</v>
      </c>
      <c r="E236" s="44">
        <f>SUMIF(ALIF_Y2016!$A:$A,$A236,ALIF_Y2016!$F:$F)</f>
        <v>59265</v>
      </c>
      <c r="F236" s="44">
        <f>SUMIF(ALIF_Y2017!$A:$A,$A236,ALIF_Y2017!$F:$F)</f>
        <v>15650</v>
      </c>
      <c r="G236" s="44">
        <f>SUMIF(ALIF_Y2018!$A:$A,$A236,ALIF_Y2018!$F:$F)</f>
        <v>11186.05</v>
      </c>
      <c r="H236" s="44">
        <f>SUMIF(ALIF_Y2019!$A:$A,$A236,ALIF_Y2019!$F:$F)</f>
        <v>108824</v>
      </c>
      <c r="I236" s="44">
        <f>SUMIF(ALIF_Y2020!$A:$A,$A236,ALIF_Y2020!$F:$F)</f>
        <v>14025.3</v>
      </c>
      <c r="J236" s="44">
        <f>SUMIF(ALIF_Y2021!$A:$A,$A236,ALIF_Y2021!$F:$F)</f>
        <v>1071</v>
      </c>
      <c r="K236" s="44">
        <f>SUMIF(ALIF_Y2022!$A:$A,$A236,ALIF_Y2022!$F:$F)</f>
        <v>11613</v>
      </c>
      <c r="L236" s="44">
        <f>SUMIF(ALIF_Y2023!$A:$A,$A236,ALIF_Y2023!$F:$F)</f>
        <v>8134</v>
      </c>
      <c r="M236" s="44">
        <f>SUMIF(ALIF_Y2024!$A:$A,$A236,ALIF_Y2024!$F:$F)</f>
        <v>111808.7</v>
      </c>
      <c r="N236" s="44">
        <f>SUMIF(ALIF_Y2025!$A:$A,$A236,ALIF_Y2025!$F:$F)</f>
        <v>0</v>
      </c>
      <c r="O236" s="44">
        <f>SUMIF(TB_Input_Alif!$A:$A,$A236,TB_Input_Alif!$F:$F)</f>
        <v>1715</v>
      </c>
      <c r="P236" s="43" t="str">
        <f>_xlfn.XLOOKUP(A236,Map!A:A,Map!E:E)</f>
        <v>Govt license and fees (including modon)</v>
      </c>
      <c r="Q236" s="43" t="str">
        <f>_xlfn.XLOOKUP(A236,Map!A:A,Map!D:D)</f>
        <v>General and Admin</v>
      </c>
    </row>
    <row r="237" spans="1:17" x14ac:dyDescent="0.25">
      <c r="A237" s="42">
        <v>700044</v>
      </c>
      <c r="B237" s="43" t="s">
        <v>1066</v>
      </c>
      <c r="C237" s="44">
        <f>SUMIF(ALIF_Y2014!$A:$A,$A237,ALIF_Y2014!$F:$F)</f>
        <v>16379</v>
      </c>
      <c r="D237" s="44">
        <f>SUMIF(ALIF_Y2015!$A:$A,$A237,ALIF_Y2015!$F:$F)</f>
        <v>16279</v>
      </c>
      <c r="E237" s="44">
        <f>SUMIF(ALIF_Y2016!$A:$A,$A237,ALIF_Y2016!$F:$F)</f>
        <v>44959.61</v>
      </c>
      <c r="F237" s="44">
        <f>SUMIF(ALIF_Y2017!$A:$A,$A237,ALIF_Y2017!$F:$F)</f>
        <v>37940.697999999997</v>
      </c>
      <c r="G237" s="44">
        <f>SUMIF(ALIF_Y2018!$A:$A,$A237,ALIF_Y2018!$F:$F)</f>
        <v>46607.356</v>
      </c>
      <c r="H237" s="44">
        <f>SUMIF(ALIF_Y2019!$A:$A,$A237,ALIF_Y2019!$F:$F)</f>
        <v>39739.51</v>
      </c>
      <c r="I237" s="44">
        <f>SUMIF(ALIF_Y2020!$A:$A,$A237,ALIF_Y2020!$F:$F)</f>
        <v>75919.839999999997</v>
      </c>
      <c r="J237" s="44">
        <f>SUMIF(ALIF_Y2021!$A:$A,$A237,ALIF_Y2021!$F:$F)</f>
        <v>66228.25</v>
      </c>
      <c r="K237" s="44">
        <f>SUMIF(ALIF_Y2022!$A:$A,$A237,ALIF_Y2022!$F:$F)</f>
        <v>83699.47</v>
      </c>
      <c r="L237" s="44">
        <f>SUMIF(ALIF_Y2023!$A:$A,$A237,ALIF_Y2023!$F:$F)</f>
        <v>80839.509999999995</v>
      </c>
      <c r="M237" s="44">
        <f>SUMIF(ALIF_Y2024!$A:$A,$A237,ALIF_Y2024!$F:$F)</f>
        <v>38658</v>
      </c>
      <c r="N237" s="44">
        <f>SUMIF(ALIF_Y2025!$A:$A,$A237,ALIF_Y2025!$F:$F)</f>
        <v>116259.2</v>
      </c>
      <c r="O237" s="44">
        <f>SUMIF(TB_Input_Alif!$A:$A,$A237,TB_Input_Alif!$F:$F)</f>
        <v>56325.78</v>
      </c>
      <c r="P237" s="43" t="str">
        <f>_xlfn.XLOOKUP(A237,Map!A:A,Map!E:E)</f>
        <v>Govt license and fees (including modon)</v>
      </c>
      <c r="Q237" s="43" t="str">
        <f>_xlfn.XLOOKUP(A237,Map!A:A,Map!D:D)</f>
        <v>General and Admin</v>
      </c>
    </row>
    <row r="238" spans="1:17" x14ac:dyDescent="0.25">
      <c r="A238" s="42">
        <v>700045</v>
      </c>
      <c r="B238" s="43" t="s">
        <v>1067</v>
      </c>
      <c r="C238" s="44">
        <f>SUMIF(ALIF_Y2014!$A:$A,$A238,ALIF_Y2014!$F:$F)</f>
        <v>1959367.067</v>
      </c>
      <c r="D238" s="44">
        <f>SUMIF(ALIF_Y2015!$A:$A,$A238,ALIF_Y2015!$F:$F)</f>
        <v>1159554.7420000001</v>
      </c>
      <c r="E238" s="44">
        <f>SUMIF(ALIF_Y2016!$A:$A,$A238,ALIF_Y2016!$F:$F)</f>
        <v>1539704.35</v>
      </c>
      <c r="F238" s="44">
        <f>SUMIF(ALIF_Y2017!$A:$A,$A238,ALIF_Y2017!$F:$F)</f>
        <v>1568335.0009999999</v>
      </c>
      <c r="G238" s="44">
        <f>SUMIF(ALIF_Y2018!$A:$A,$A238,ALIF_Y2018!$F:$F)</f>
        <v>2338864.71</v>
      </c>
      <c r="H238" s="44">
        <f>SUMIF(ALIF_Y2019!$A:$A,$A238,ALIF_Y2019!$F:$F)</f>
        <v>3359613.03</v>
      </c>
      <c r="I238" s="44">
        <f>SUMIF(ALIF_Y2020!$A:$A,$A238,ALIF_Y2020!$F:$F)</f>
        <v>3077659.0019999999</v>
      </c>
      <c r="J238" s="44">
        <f>SUMIF(ALIF_Y2021!$A:$A,$A238,ALIF_Y2021!$F:$F)</f>
        <v>3963692.7140000002</v>
      </c>
      <c r="K238" s="44">
        <f>SUMIF(ALIF_Y2022!$A:$A,$A238,ALIF_Y2022!$F:$F)</f>
        <v>4605626.1399999997</v>
      </c>
      <c r="L238" s="44">
        <f>SUMIF(ALIF_Y2023!$A:$A,$A238,ALIF_Y2023!$F:$F)</f>
        <v>5815645.551</v>
      </c>
      <c r="M238" s="44">
        <f>SUMIF(ALIF_Y2024!$A:$A,$A238,ALIF_Y2024!$F:$F)</f>
        <v>7672207.142</v>
      </c>
      <c r="N238" s="44">
        <f>SUMIF(ALIF_Y2025!$A:$A,$A238,ALIF_Y2025!$F:$F)</f>
        <v>11542281.335000001</v>
      </c>
      <c r="O238" s="44">
        <f>SUMIF(TB_Input_Alif!$A:$A,$A238,TB_Input_Alif!$F:$F)</f>
        <v>8822741.8210000005</v>
      </c>
      <c r="P238" s="43" t="str">
        <f>_xlfn.XLOOKUP(A238,Map!A:A,Map!E:E)</f>
        <v>Finance cost</v>
      </c>
      <c r="Q238" s="43" t="str">
        <f>_xlfn.XLOOKUP(A238,Map!A:A,Map!D:D)</f>
        <v>Finance cost</v>
      </c>
    </row>
    <row r="239" spans="1:17" x14ac:dyDescent="0.25">
      <c r="A239" s="42">
        <v>700048</v>
      </c>
      <c r="B239" s="43" t="s">
        <v>1069</v>
      </c>
      <c r="C239" s="44">
        <f>SUMIF(ALIF_Y2014!$A:$A,$A239,ALIF_Y2014!$F:$F)</f>
        <v>1537200</v>
      </c>
      <c r="D239" s="44">
        <f>SUMIF(ALIF_Y2015!$A:$A,$A239,ALIF_Y2015!$F:$F)</f>
        <v>1363871</v>
      </c>
      <c r="E239" s="44">
        <f>SUMIF(ALIF_Y2016!$A:$A,$A239,ALIF_Y2016!$F:$F)</f>
        <v>1221311.1000000001</v>
      </c>
      <c r="F239" s="44">
        <f>SUMIF(ALIF_Y2017!$A:$A,$A239,ALIF_Y2017!$F:$F)</f>
        <v>994649.23</v>
      </c>
      <c r="G239" s="44">
        <f>SUMIF(ALIF_Y2018!$A:$A,$A239,ALIF_Y2018!$F:$F)</f>
        <v>1150000</v>
      </c>
      <c r="H239" s="44">
        <f>SUMIF(ALIF_Y2019!$A:$A,$A239,ALIF_Y2019!$F:$F)</f>
        <v>954424.53</v>
      </c>
      <c r="I239" s="44">
        <f>SUMIF(ALIF_Y2020!$A:$A,$A239,ALIF_Y2020!$F:$F)</f>
        <v>644385.89</v>
      </c>
      <c r="J239" s="44">
        <f>SUMIF(ALIF_Y2021!$A:$A,$A239,ALIF_Y2021!$F:$F)</f>
        <v>146434.87</v>
      </c>
      <c r="K239" s="44">
        <f>SUMIF(ALIF_Y2022!$A:$A,$A239,ALIF_Y2022!$F:$F)</f>
        <v>672246.94</v>
      </c>
      <c r="L239" s="44">
        <f>SUMIF(ALIF_Y2023!$A:$A,$A239,ALIF_Y2023!$F:$F)</f>
        <v>235302.94</v>
      </c>
      <c r="M239" s="44">
        <f>SUMIF(ALIF_Y2024!$A:$A,$A239,ALIF_Y2024!$F:$F)</f>
        <v>9561.0400000000009</v>
      </c>
      <c r="N239" s="44">
        <f>SUMIF(ALIF_Y2025!$A:$A,$A239,ALIF_Y2025!$F:$F)</f>
        <v>0</v>
      </c>
      <c r="O239" s="44">
        <f>SUMIF(TB_Input_Alif!$A:$A,$A239,TB_Input_Alif!$F:$F)</f>
        <v>0</v>
      </c>
      <c r="P239" s="43" t="str">
        <f>_xlfn.XLOOKUP(A239,Map!A:A,Map!E:E)</f>
        <v>Zakat expenses</v>
      </c>
      <c r="Q239" s="43" t="str">
        <f>_xlfn.XLOOKUP(A239,Map!A:A,Map!D:D)</f>
        <v>Zakat</v>
      </c>
    </row>
    <row r="240" spans="1:17" x14ac:dyDescent="0.25">
      <c r="A240" s="42">
        <v>700049</v>
      </c>
      <c r="B240" s="43" t="s">
        <v>1070</v>
      </c>
      <c r="C240" s="44">
        <f>SUMIF(ALIF_Y2014!$A:$A,$A240,ALIF_Y2014!$F:$F)</f>
        <v>0</v>
      </c>
      <c r="D240" s="44">
        <f>SUMIF(ALIF_Y2015!$A:$A,$A240,ALIF_Y2015!$F:$F)</f>
        <v>0</v>
      </c>
      <c r="E240" s="44">
        <f>SUMIF(ALIF_Y2016!$A:$A,$A240,ALIF_Y2016!$F:$F)</f>
        <v>0</v>
      </c>
      <c r="F240" s="44">
        <f>SUMIF(ALIF_Y2017!$A:$A,$A240,ALIF_Y2017!$F:$F)</f>
        <v>0</v>
      </c>
      <c r="G240" s="44">
        <f>SUMIF(ALIF_Y2018!$A:$A,$A240,ALIF_Y2018!$F:$F)</f>
        <v>0</v>
      </c>
      <c r="H240" s="44">
        <f>SUMIF(ALIF_Y2019!$A:$A,$A240,ALIF_Y2019!$F:$F)</f>
        <v>0</v>
      </c>
      <c r="I240" s="44">
        <f>SUMIF(ALIF_Y2020!$A:$A,$A240,ALIF_Y2020!$F:$F)</f>
        <v>0</v>
      </c>
      <c r="J240" s="44">
        <f>SUMIF(ALIF_Y2021!$A:$A,$A240,ALIF_Y2021!$F:$F)</f>
        <v>0</v>
      </c>
      <c r="K240" s="44">
        <f>SUMIF(ALIF_Y2022!$A:$A,$A240,ALIF_Y2022!$F:$F)</f>
        <v>0</v>
      </c>
      <c r="L240" s="44">
        <f>SUMIF(ALIF_Y2023!$A:$A,$A240,ALIF_Y2023!$F:$F)</f>
        <v>0</v>
      </c>
      <c r="M240" s="44">
        <f>SUMIF(ALIF_Y2024!$A:$A,$A240,ALIF_Y2024!$F:$F)</f>
        <v>0</v>
      </c>
      <c r="N240" s="44">
        <f>SUMIF(ALIF_Y2025!$A:$A,$A240,ALIF_Y2025!$F:$F)</f>
        <v>117654</v>
      </c>
      <c r="O240" s="44">
        <f>SUMIF(TB_Input_Alif!$A:$A,$A240,TB_Input_Alif!$F:$F)</f>
        <v>0</v>
      </c>
      <c r="P240" s="43" t="str">
        <f>_xlfn.XLOOKUP(A240,Map!A:A,Map!E:E)</f>
        <v>Salaries and wages</v>
      </c>
      <c r="Q240" s="43" t="str">
        <f>_xlfn.XLOOKUP(A240,Map!A:A,Map!D:D)</f>
        <v>General and Admin</v>
      </c>
    </row>
    <row r="241" spans="1:17" x14ac:dyDescent="0.25">
      <c r="A241" s="42">
        <v>700050</v>
      </c>
      <c r="B241" s="43" t="s">
        <v>1071</v>
      </c>
      <c r="C241" s="44">
        <f>SUMIF(ALIF_Y2014!$A:$A,$A241,ALIF_Y2014!$F:$F)</f>
        <v>24968.16</v>
      </c>
      <c r="D241" s="44">
        <f>SUMIF(ALIF_Y2015!$A:$A,$A241,ALIF_Y2015!$F:$F)</f>
        <v>15012.481</v>
      </c>
      <c r="E241" s="44">
        <f>SUMIF(ALIF_Y2016!$A:$A,$A241,ALIF_Y2016!$F:$F)</f>
        <v>6455.0259999999998</v>
      </c>
      <c r="F241" s="44">
        <f>SUMIF(ALIF_Y2017!$A:$A,$A241,ALIF_Y2017!$F:$F)</f>
        <v>531.66999999999996</v>
      </c>
      <c r="G241" s="44">
        <f>SUMIF(ALIF_Y2018!$A:$A,$A241,ALIF_Y2018!$F:$F)</f>
        <v>0</v>
      </c>
      <c r="H241" s="44">
        <f>SUMIF(ALIF_Y2019!$A:$A,$A241,ALIF_Y2019!$F:$F)</f>
        <v>0.01</v>
      </c>
      <c r="I241" s="44">
        <f>SUMIF(ALIF_Y2020!$A:$A,$A241,ALIF_Y2020!$F:$F)</f>
        <v>0</v>
      </c>
      <c r="J241" s="44">
        <f>SUMIF(ALIF_Y2021!$A:$A,$A241,ALIF_Y2021!$F:$F)</f>
        <v>0</v>
      </c>
      <c r="K241" s="44">
        <f>SUMIF(ALIF_Y2022!$A:$A,$A241,ALIF_Y2022!$F:$F)</f>
        <v>0</v>
      </c>
      <c r="L241" s="44">
        <f>SUMIF(ALIF_Y2023!$A:$A,$A241,ALIF_Y2023!$F:$F)</f>
        <v>0</v>
      </c>
      <c r="M241" s="44">
        <f>SUMIF(ALIF_Y2024!$A:$A,$A241,ALIF_Y2024!$F:$F)</f>
        <v>0</v>
      </c>
      <c r="N241" s="44">
        <f>SUMIF(ALIF_Y2025!$A:$A,$A241,ALIF_Y2025!$F:$F)</f>
        <v>0</v>
      </c>
      <c r="O241" s="44">
        <f>SUMIF(TB_Input_Alif!$A:$A,$A241,TB_Input_Alif!$F:$F)</f>
        <v>0</v>
      </c>
      <c r="P241" s="43" t="str">
        <f>_xlfn.XLOOKUP(A241,Map!A:A,Map!E:E)</f>
        <v>Depreciation expenses</v>
      </c>
      <c r="Q241" s="43" t="str">
        <f>_xlfn.XLOOKUP(A241,Map!A:A,Map!D:D)</f>
        <v>Depreciation expenses</v>
      </c>
    </row>
    <row r="242" spans="1:17" x14ac:dyDescent="0.25">
      <c r="A242" s="42">
        <v>700051</v>
      </c>
      <c r="B242" s="43" t="s">
        <v>1072</v>
      </c>
      <c r="C242" s="44">
        <f>SUMIF(ALIF_Y2014!$A:$A,$A242,ALIF_Y2014!$F:$F)</f>
        <v>0</v>
      </c>
      <c r="D242" s="44">
        <f>SUMIF(ALIF_Y2015!$A:$A,$A242,ALIF_Y2015!$F:$F)</f>
        <v>0</v>
      </c>
      <c r="E242" s="44">
        <f>SUMIF(ALIF_Y2016!$A:$A,$A242,ALIF_Y2016!$F:$F)</f>
        <v>0</v>
      </c>
      <c r="F242" s="44">
        <f>SUMIF(ALIF_Y2017!$A:$A,$A242,ALIF_Y2017!$F:$F)</f>
        <v>0</v>
      </c>
      <c r="G242" s="44">
        <f>SUMIF(ALIF_Y2018!$A:$A,$A242,ALIF_Y2018!$F:$F)</f>
        <v>0</v>
      </c>
      <c r="H242" s="44">
        <f>SUMIF(ALIF_Y2019!$A:$A,$A242,ALIF_Y2019!$F:$F)</f>
        <v>0</v>
      </c>
      <c r="I242" s="44">
        <f>SUMIF(ALIF_Y2020!$A:$A,$A242,ALIF_Y2020!$F:$F)</f>
        <v>0</v>
      </c>
      <c r="J242" s="44">
        <f>SUMIF(ALIF_Y2021!$A:$A,$A242,ALIF_Y2021!$F:$F)</f>
        <v>0</v>
      </c>
      <c r="K242" s="44">
        <f>SUMIF(ALIF_Y2022!$A:$A,$A242,ALIF_Y2022!$F:$F)</f>
        <v>0</v>
      </c>
      <c r="L242" s="44">
        <f>SUMIF(ALIF_Y2023!$A:$A,$A242,ALIF_Y2023!$F:$F)</f>
        <v>0</v>
      </c>
      <c r="M242" s="44">
        <f>SUMIF(ALIF_Y2024!$A:$A,$A242,ALIF_Y2024!$F:$F)</f>
        <v>0</v>
      </c>
      <c r="N242" s="44">
        <f>SUMIF(ALIF_Y2025!$A:$A,$A242,ALIF_Y2025!$F:$F)</f>
        <v>17680.077000000001</v>
      </c>
      <c r="O242" s="44">
        <f>SUMIF(TB_Input_Alif!$A:$A,$A242,TB_Input_Alif!$F:$F)</f>
        <v>39251.25</v>
      </c>
      <c r="P242" s="43" t="str">
        <f>_xlfn.XLOOKUP(A242,Map!A:A,Map!E:E)</f>
        <v>Depreciation expenses</v>
      </c>
      <c r="Q242" s="43" t="str">
        <f>_xlfn.XLOOKUP(A242,Map!A:A,Map!D:D)</f>
        <v>Depreciation expenses</v>
      </c>
    </row>
    <row r="243" spans="1:17" x14ac:dyDescent="0.25">
      <c r="A243" s="42">
        <v>700052</v>
      </c>
      <c r="B243" s="43" t="s">
        <v>1073</v>
      </c>
      <c r="C243" s="44">
        <f>SUMIF(ALIF_Y2014!$A:$A,$A243,ALIF_Y2014!$F:$F)</f>
        <v>0</v>
      </c>
      <c r="D243" s="44">
        <f>SUMIF(ALIF_Y2015!$A:$A,$A243,ALIF_Y2015!$F:$F)</f>
        <v>0</v>
      </c>
      <c r="E243" s="44">
        <f>SUMIF(ALIF_Y2016!$A:$A,$A243,ALIF_Y2016!$F:$F)</f>
        <v>0</v>
      </c>
      <c r="F243" s="44">
        <f>SUMIF(ALIF_Y2017!$A:$A,$A243,ALIF_Y2017!$F:$F)</f>
        <v>0</v>
      </c>
      <c r="G243" s="44">
        <f>SUMIF(ALIF_Y2018!$A:$A,$A243,ALIF_Y2018!$F:$F)</f>
        <v>0</v>
      </c>
      <c r="H243" s="44">
        <f>SUMIF(ALIF_Y2019!$A:$A,$A243,ALIF_Y2019!$F:$F)</f>
        <v>0</v>
      </c>
      <c r="I243" s="44">
        <f>SUMIF(ALIF_Y2020!$A:$A,$A243,ALIF_Y2020!$F:$F)</f>
        <v>0</v>
      </c>
      <c r="J243" s="44">
        <f>SUMIF(ALIF_Y2021!$A:$A,$A243,ALIF_Y2021!$F:$F)</f>
        <v>0</v>
      </c>
      <c r="K243" s="44">
        <f>SUMIF(ALIF_Y2022!$A:$A,$A243,ALIF_Y2022!$F:$F)</f>
        <v>0</v>
      </c>
      <c r="L243" s="44">
        <f>SUMIF(ALIF_Y2023!$A:$A,$A243,ALIF_Y2023!$F:$F)</f>
        <v>0</v>
      </c>
      <c r="M243" s="44">
        <f>SUMIF(ALIF_Y2024!$A:$A,$A243,ALIF_Y2024!$F:$F)</f>
        <v>0</v>
      </c>
      <c r="N243" s="44">
        <f>SUMIF(ALIF_Y2025!$A:$A,$A243,ALIF_Y2025!$F:$F)</f>
        <v>0</v>
      </c>
      <c r="O243" s="44">
        <f>SUMIF(TB_Input_Alif!$A:$A,$A243,TB_Input_Alif!$F:$F)</f>
        <v>0</v>
      </c>
      <c r="P243" s="43" t="str">
        <f>_xlfn.XLOOKUP(A243,Map!A:A,Map!E:E)</f>
        <v>Depreciation expenses</v>
      </c>
      <c r="Q243" s="43" t="str">
        <f>_xlfn.XLOOKUP(A243,Map!A:A,Map!D:D)</f>
        <v>Depreciation expenses</v>
      </c>
    </row>
    <row r="244" spans="1:17" x14ac:dyDescent="0.25">
      <c r="A244" s="42">
        <v>700053</v>
      </c>
      <c r="B244" s="43" t="s">
        <v>1074</v>
      </c>
      <c r="C244" s="44">
        <f>SUMIF(ALIF_Y2014!$A:$A,$A244,ALIF_Y2014!$F:$F)</f>
        <v>305</v>
      </c>
      <c r="D244" s="44">
        <f>SUMIF(ALIF_Y2015!$A:$A,$A244,ALIF_Y2015!$F:$F)</f>
        <v>0</v>
      </c>
      <c r="E244" s="44">
        <f>SUMIF(ALIF_Y2016!$A:$A,$A244,ALIF_Y2016!$F:$F)</f>
        <v>0</v>
      </c>
      <c r="F244" s="44">
        <f>SUMIF(ALIF_Y2017!$A:$A,$A244,ALIF_Y2017!$F:$F)</f>
        <v>0</v>
      </c>
      <c r="G244" s="44">
        <f>SUMIF(ALIF_Y2018!$A:$A,$A244,ALIF_Y2018!$F:$F)</f>
        <v>0</v>
      </c>
      <c r="H244" s="44">
        <f>SUMIF(ALIF_Y2019!$A:$A,$A244,ALIF_Y2019!$F:$F)</f>
        <v>0</v>
      </c>
      <c r="I244" s="44">
        <f>SUMIF(ALIF_Y2020!$A:$A,$A244,ALIF_Y2020!$F:$F)</f>
        <v>0</v>
      </c>
      <c r="J244" s="44">
        <f>SUMIF(ALIF_Y2021!$A:$A,$A244,ALIF_Y2021!$F:$F)</f>
        <v>0</v>
      </c>
      <c r="K244" s="44">
        <f>SUMIF(ALIF_Y2022!$A:$A,$A244,ALIF_Y2022!$F:$F)</f>
        <v>0</v>
      </c>
      <c r="L244" s="44">
        <f>SUMIF(ALIF_Y2023!$A:$A,$A244,ALIF_Y2023!$F:$F)</f>
        <v>0</v>
      </c>
      <c r="M244" s="44">
        <f>SUMIF(ALIF_Y2024!$A:$A,$A244,ALIF_Y2024!$F:$F)</f>
        <v>0</v>
      </c>
      <c r="N244" s="44">
        <f>SUMIF(ALIF_Y2025!$A:$A,$A244,ALIF_Y2025!$F:$F)</f>
        <v>2964.86</v>
      </c>
      <c r="O244" s="44">
        <f>SUMIF(TB_Input_Alif!$A:$A,$A244,TB_Input_Alif!$F:$F)</f>
        <v>0</v>
      </c>
      <c r="P244" s="43" t="str">
        <f>_xlfn.XLOOKUP(A244,Map!A:A,Map!E:E)</f>
        <v>Depreciation expenses</v>
      </c>
      <c r="Q244" s="43" t="str">
        <f>_xlfn.XLOOKUP(A244,Map!A:A,Map!D:D)</f>
        <v>Depreciation expenses</v>
      </c>
    </row>
    <row r="245" spans="1:17" x14ac:dyDescent="0.25">
      <c r="A245" s="42">
        <v>700054</v>
      </c>
      <c r="B245" s="43" t="s">
        <v>1075</v>
      </c>
      <c r="C245" s="44">
        <f>SUMIF(ALIF_Y2014!$A:$A,$A245,ALIF_Y2014!$F:$F)</f>
        <v>252150.81</v>
      </c>
      <c r="D245" s="44">
        <f>SUMIF(ALIF_Y2015!$A:$A,$A245,ALIF_Y2015!$F:$F)</f>
        <v>189935.41</v>
      </c>
      <c r="E245" s="44">
        <f>SUMIF(ALIF_Y2016!$A:$A,$A245,ALIF_Y2016!$F:$F)</f>
        <v>89083.34</v>
      </c>
      <c r="F245" s="44">
        <f>SUMIF(ALIF_Y2017!$A:$A,$A245,ALIF_Y2017!$F:$F)</f>
        <v>189670.83</v>
      </c>
      <c r="G245" s="44">
        <f>SUMIF(ALIF_Y2018!$A:$A,$A245,ALIF_Y2018!$F:$F)</f>
        <v>220120.47200000001</v>
      </c>
      <c r="H245" s="44">
        <f>SUMIF(ALIF_Y2019!$A:$A,$A245,ALIF_Y2019!$F:$F)</f>
        <v>196135.345</v>
      </c>
      <c r="I245" s="44">
        <f>SUMIF(ALIF_Y2020!$A:$A,$A245,ALIF_Y2020!$F:$F)</f>
        <v>211518.88099999999</v>
      </c>
      <c r="J245" s="44">
        <f>SUMIF(ALIF_Y2021!$A:$A,$A245,ALIF_Y2021!$F:$F)</f>
        <v>200986.11199999999</v>
      </c>
      <c r="K245" s="44">
        <f>SUMIF(ALIF_Y2022!$A:$A,$A245,ALIF_Y2022!$F:$F)</f>
        <v>160023.08199999999</v>
      </c>
      <c r="L245" s="44">
        <f>SUMIF(ALIF_Y2023!$A:$A,$A245,ALIF_Y2023!$F:$F)</f>
        <v>193147.36</v>
      </c>
      <c r="M245" s="44">
        <f>SUMIF(ALIF_Y2024!$A:$A,$A245,ALIF_Y2024!$F:$F)</f>
        <v>164512.57</v>
      </c>
      <c r="N245" s="44">
        <f>SUMIF(ALIF_Y2025!$A:$A,$A245,ALIF_Y2025!$F:$F)</f>
        <v>261925.77100000001</v>
      </c>
      <c r="O245" s="44">
        <f>SUMIF(TB_Input_Alif!$A:$A,$A245,TB_Input_Alif!$F:$F)</f>
        <v>225775.19099999929</v>
      </c>
      <c r="P245" s="43" t="str">
        <f>_xlfn.XLOOKUP(A245,Map!A:A,Map!E:E)</f>
        <v>Depreciation expenses</v>
      </c>
      <c r="Q245" s="43" t="str">
        <f>_xlfn.XLOOKUP(A245,Map!A:A,Map!D:D)</f>
        <v>Depreciation expenses</v>
      </c>
    </row>
    <row r="246" spans="1:17" x14ac:dyDescent="0.25">
      <c r="A246" s="42">
        <v>700055</v>
      </c>
      <c r="B246" s="43" t="s">
        <v>1076</v>
      </c>
      <c r="C246" s="44">
        <f>SUMIF(ALIF_Y2014!$A:$A,$A246,ALIF_Y2014!$F:$F)</f>
        <v>13107.32</v>
      </c>
      <c r="D246" s="44">
        <f>SUMIF(ALIF_Y2015!$A:$A,$A246,ALIF_Y2015!$F:$F)</f>
        <v>186728.13</v>
      </c>
      <c r="E246" s="44">
        <f>SUMIF(ALIF_Y2016!$A:$A,$A246,ALIF_Y2016!$F:$F)</f>
        <v>184067.12599999999</v>
      </c>
      <c r="F246" s="44">
        <f>SUMIF(ALIF_Y2017!$A:$A,$A246,ALIF_Y2017!$F:$F)</f>
        <v>179702.46100000001</v>
      </c>
      <c r="G246" s="44">
        <f>SUMIF(ALIF_Y2018!$A:$A,$A246,ALIF_Y2018!$F:$F)</f>
        <v>193120.68799999999</v>
      </c>
      <c r="H246" s="44">
        <f>SUMIF(ALIF_Y2019!$A:$A,$A246,ALIF_Y2019!$F:$F)</f>
        <v>19498.400000000001</v>
      </c>
      <c r="I246" s="44">
        <f>SUMIF(ALIF_Y2020!$A:$A,$A246,ALIF_Y2020!$F:$F)</f>
        <v>65055.127</v>
      </c>
      <c r="J246" s="44">
        <f>SUMIF(ALIF_Y2021!$A:$A,$A246,ALIF_Y2021!$F:$F)</f>
        <v>119516.042</v>
      </c>
      <c r="K246" s="44">
        <f>SUMIF(ALIF_Y2022!$A:$A,$A246,ALIF_Y2022!$F:$F)</f>
        <v>290261.74900000001</v>
      </c>
      <c r="L246" s="44">
        <f>SUMIF(ALIF_Y2023!$A:$A,$A246,ALIF_Y2023!$F:$F)</f>
        <v>290954.66800000001</v>
      </c>
      <c r="M246" s="44">
        <f>SUMIF(ALIF_Y2024!$A:$A,$A246,ALIF_Y2024!$F:$F)</f>
        <v>263879.48499999999</v>
      </c>
      <c r="N246" s="44">
        <f>SUMIF(ALIF_Y2025!$A:$A,$A246,ALIF_Y2025!$F:$F)</f>
        <v>327256.08500000002</v>
      </c>
      <c r="O246" s="44">
        <f>SUMIF(TB_Input_Alif!$A:$A,$A246,TB_Input_Alif!$F:$F)</f>
        <v>116316.60075</v>
      </c>
      <c r="P246" s="43" t="str">
        <f>_xlfn.XLOOKUP(A246,Map!A:A,Map!E:E)</f>
        <v>Depreciation expenses</v>
      </c>
      <c r="Q246" s="43" t="str">
        <f>_xlfn.XLOOKUP(A246,Map!A:A,Map!D:D)</f>
        <v>Depreciation expenses</v>
      </c>
    </row>
    <row r="247" spans="1:17" x14ac:dyDescent="0.25">
      <c r="A247" s="42">
        <v>700056</v>
      </c>
      <c r="B247" s="43" t="s">
        <v>1077</v>
      </c>
      <c r="C247" s="44">
        <f>SUMIF(ALIF_Y2014!$A:$A,$A247,ALIF_Y2014!$F:$F)</f>
        <v>3360</v>
      </c>
      <c r="D247" s="44">
        <f>SUMIF(ALIF_Y2015!$A:$A,$A247,ALIF_Y2015!$F:$F)</f>
        <v>0</v>
      </c>
      <c r="E247" s="44">
        <f>SUMIF(ALIF_Y2016!$A:$A,$A247,ALIF_Y2016!$F:$F)</f>
        <v>0</v>
      </c>
      <c r="F247" s="44">
        <f>SUMIF(ALIF_Y2017!$A:$A,$A247,ALIF_Y2017!$F:$F)</f>
        <v>0</v>
      </c>
      <c r="G247" s="44">
        <f>SUMIF(ALIF_Y2018!$A:$A,$A247,ALIF_Y2018!$F:$F)</f>
        <v>0</v>
      </c>
      <c r="H247" s="44">
        <f>SUMIF(ALIF_Y2019!$A:$A,$A247,ALIF_Y2019!$F:$F)</f>
        <v>0</v>
      </c>
      <c r="I247" s="44">
        <f>SUMIF(ALIF_Y2020!$A:$A,$A247,ALIF_Y2020!$F:$F)</f>
        <v>0</v>
      </c>
      <c r="J247" s="44">
        <f>SUMIF(ALIF_Y2021!$A:$A,$A247,ALIF_Y2021!$F:$F)</f>
        <v>0</v>
      </c>
      <c r="K247" s="44">
        <f>SUMIF(ALIF_Y2022!$A:$A,$A247,ALIF_Y2022!$F:$F)</f>
        <v>0</v>
      </c>
      <c r="L247" s="44">
        <f>SUMIF(ALIF_Y2023!$A:$A,$A247,ALIF_Y2023!$F:$F)</f>
        <v>0</v>
      </c>
      <c r="M247" s="44">
        <f>SUMIF(ALIF_Y2024!$A:$A,$A247,ALIF_Y2024!$F:$F)</f>
        <v>0</v>
      </c>
      <c r="N247" s="44">
        <f>SUMIF(ALIF_Y2025!$A:$A,$A247,ALIF_Y2025!$F:$F)</f>
        <v>91762.504000000001</v>
      </c>
      <c r="O247" s="44">
        <f>SUMIF(TB_Input_Alif!$A:$A,$A247,TB_Input_Alif!$F:$F)</f>
        <v>69230.155499999993</v>
      </c>
      <c r="P247" s="43" t="str">
        <f>_xlfn.XLOOKUP(A247,Map!A:A,Map!E:E)</f>
        <v>Depreciation expenses</v>
      </c>
      <c r="Q247" s="43" t="str">
        <f>_xlfn.XLOOKUP(A247,Map!A:A,Map!D:D)</f>
        <v>Depreciation expenses</v>
      </c>
    </row>
    <row r="248" spans="1:17" x14ac:dyDescent="0.25">
      <c r="A248" s="42">
        <v>700057</v>
      </c>
      <c r="B248" s="43" t="s">
        <v>1078</v>
      </c>
      <c r="C248" s="44">
        <f>SUMIF(ALIF_Y2014!$A:$A,$A248,ALIF_Y2014!$F:$F)</f>
        <v>771759.88</v>
      </c>
      <c r="D248" s="44">
        <f>SUMIF(ALIF_Y2015!$A:$A,$A248,ALIF_Y2015!$F:$F)</f>
        <v>798000.4</v>
      </c>
      <c r="E248" s="44">
        <f>SUMIF(ALIF_Y2016!$A:$A,$A248,ALIF_Y2016!$F:$F)</f>
        <v>782083.53</v>
      </c>
      <c r="F248" s="44">
        <f>SUMIF(ALIF_Y2017!$A:$A,$A248,ALIF_Y2017!$F:$F)</f>
        <v>448839.05900000001</v>
      </c>
      <c r="G248" s="44">
        <f>SUMIF(ALIF_Y2018!$A:$A,$A248,ALIF_Y2018!$F:$F)</f>
        <v>131694.39999999999</v>
      </c>
      <c r="H248" s="44">
        <f>SUMIF(ALIF_Y2019!$A:$A,$A248,ALIF_Y2019!$F:$F)</f>
        <v>284000.00400000002</v>
      </c>
      <c r="I248" s="44">
        <f>SUMIF(ALIF_Y2020!$A:$A,$A248,ALIF_Y2020!$F:$F)</f>
        <v>284000.00400000002</v>
      </c>
      <c r="J248" s="44">
        <f>SUMIF(ALIF_Y2021!$A:$A,$A248,ALIF_Y2021!$F:$F)</f>
        <v>265999.92</v>
      </c>
      <c r="K248" s="44">
        <f>SUMIF(ALIF_Y2022!$A:$A,$A248,ALIF_Y2022!$F:$F)</f>
        <v>275000</v>
      </c>
      <c r="L248" s="44">
        <f>SUMIF(ALIF_Y2023!$A:$A,$A248,ALIF_Y2023!$F:$F)</f>
        <v>277040</v>
      </c>
      <c r="M248" s="44">
        <f>SUMIF(ALIF_Y2024!$A:$A,$A248,ALIF_Y2024!$F:$F)</f>
        <v>244841.60399999999</v>
      </c>
      <c r="N248" s="44">
        <f>SUMIF(ALIF_Y2025!$A:$A,$A248,ALIF_Y2025!$F:$F)</f>
        <v>413654.01400000002</v>
      </c>
      <c r="O248" s="44">
        <f>SUMIF(TB_Input_Alif!$A:$A,$A248,TB_Input_Alif!$F:$F)</f>
        <v>328772.13099999999</v>
      </c>
      <c r="P248" s="43" t="str">
        <f>_xlfn.XLOOKUP(A248,Map!A:A,Map!E:E)</f>
        <v>Overhead - Rent</v>
      </c>
      <c r="Q248" s="43" t="str">
        <f>_xlfn.XLOOKUP(A248,Map!A:A,Map!D:D)</f>
        <v>Cost of sales</v>
      </c>
    </row>
    <row r="249" spans="1:17" x14ac:dyDescent="0.25">
      <c r="A249" s="42">
        <v>700058</v>
      </c>
      <c r="B249" s="43" t="s">
        <v>1079</v>
      </c>
      <c r="C249" s="44">
        <f>SUMIF(ALIF_Y2014!$A:$A,$A249,ALIF_Y2014!$F:$F)</f>
        <v>10844</v>
      </c>
      <c r="D249" s="44">
        <f>SUMIF(ALIF_Y2015!$A:$A,$A249,ALIF_Y2015!$F:$F)</f>
        <v>67555</v>
      </c>
      <c r="E249" s="44">
        <f>SUMIF(ALIF_Y2016!$A:$A,$A249,ALIF_Y2016!$F:$F)</f>
        <v>5162</v>
      </c>
      <c r="F249" s="44">
        <f>SUMIF(ALIF_Y2017!$A:$A,$A249,ALIF_Y2017!$F:$F)</f>
        <v>35415.370000000003</v>
      </c>
      <c r="G249" s="44">
        <f>SUMIF(ALIF_Y2018!$A:$A,$A249,ALIF_Y2018!$F:$F)</f>
        <v>82674.032000000007</v>
      </c>
      <c r="H249" s="44">
        <f>SUMIF(ALIF_Y2019!$A:$A,$A249,ALIF_Y2019!$F:$F)</f>
        <v>48665.419000000002</v>
      </c>
      <c r="I249" s="44">
        <f>SUMIF(ALIF_Y2020!$A:$A,$A249,ALIF_Y2020!$F:$F)</f>
        <v>4000</v>
      </c>
      <c r="J249" s="44">
        <f>SUMIF(ALIF_Y2021!$A:$A,$A249,ALIF_Y2021!$F:$F)</f>
        <v>245</v>
      </c>
      <c r="K249" s="44">
        <f>SUMIF(ALIF_Y2022!$A:$A,$A249,ALIF_Y2022!$F:$F)</f>
        <v>95633.99</v>
      </c>
      <c r="L249" s="44">
        <f>SUMIF(ALIF_Y2023!$A:$A,$A249,ALIF_Y2023!$F:$F)</f>
        <v>127136.29300000001</v>
      </c>
      <c r="M249" s="44">
        <f>SUMIF(ALIF_Y2024!$A:$A,$A249,ALIF_Y2024!$F:$F)</f>
        <v>173026.78700000001</v>
      </c>
      <c r="N249" s="44">
        <f>SUMIF(ALIF_Y2025!$A:$A,$A249,ALIF_Y2025!$F:$F)</f>
        <v>52325.74</v>
      </c>
      <c r="O249" s="44">
        <f>SUMIF(TB_Input_Alif!$A:$A,$A249,TB_Input_Alif!$F:$F)</f>
        <v>9056.4580000000005</v>
      </c>
      <c r="P249" s="43" t="str">
        <f>_xlfn.XLOOKUP(A249,Map!A:A,Map!E:E)</f>
        <v>Advertising and promotion expenses</v>
      </c>
      <c r="Q249" s="43" t="str">
        <f>_xlfn.XLOOKUP(A249,Map!A:A,Map!D:D)</f>
        <v>Selling and Marketing</v>
      </c>
    </row>
    <row r="250" spans="1:17" x14ac:dyDescent="0.25">
      <c r="A250" s="42">
        <v>700059</v>
      </c>
      <c r="B250" s="43" t="s">
        <v>1080</v>
      </c>
      <c r="C250" s="44">
        <f>SUMIF(ALIF_Y2014!$A:$A,$A250,ALIF_Y2014!$F:$F)</f>
        <v>0</v>
      </c>
      <c r="D250" s="44">
        <f>SUMIF(ALIF_Y2015!$A:$A,$A250,ALIF_Y2015!$F:$F)</f>
        <v>0</v>
      </c>
      <c r="E250" s="44">
        <f>SUMIF(ALIF_Y2016!$A:$A,$A250,ALIF_Y2016!$F:$F)</f>
        <v>0</v>
      </c>
      <c r="F250" s="44">
        <f>SUMIF(ALIF_Y2017!$A:$A,$A250,ALIF_Y2017!$F:$F)</f>
        <v>0</v>
      </c>
      <c r="G250" s="44">
        <f>SUMIF(ALIF_Y2018!$A:$A,$A250,ALIF_Y2018!$F:$F)</f>
        <v>0</v>
      </c>
      <c r="H250" s="44">
        <f>SUMIF(ALIF_Y2019!$A:$A,$A250,ALIF_Y2019!$F:$F)</f>
        <v>38150</v>
      </c>
      <c r="I250" s="44">
        <f>SUMIF(ALIF_Y2020!$A:$A,$A250,ALIF_Y2020!$F:$F)</f>
        <v>0</v>
      </c>
      <c r="J250" s="44">
        <f>SUMIF(ALIF_Y2021!$A:$A,$A250,ALIF_Y2021!$F:$F)</f>
        <v>1315</v>
      </c>
      <c r="K250" s="44">
        <f>SUMIF(ALIF_Y2022!$A:$A,$A250,ALIF_Y2022!$F:$F)</f>
        <v>96132.78</v>
      </c>
      <c r="L250" s="44">
        <f>SUMIF(ALIF_Y2023!$A:$A,$A250,ALIF_Y2023!$F:$F)</f>
        <v>61539</v>
      </c>
      <c r="M250" s="44">
        <f>SUMIF(ALIF_Y2024!$A:$A,$A250,ALIF_Y2024!$F:$F)</f>
        <v>656254.10499999998</v>
      </c>
      <c r="N250" s="44">
        <f>SUMIF(ALIF_Y2025!$A:$A,$A250,ALIF_Y2025!$F:$F)</f>
        <v>1276853.53</v>
      </c>
      <c r="O250" s="44">
        <f>SUMIF(TB_Input_Alif!$A:$A,$A250,TB_Input_Alif!$F:$F)</f>
        <v>0</v>
      </c>
      <c r="P250" s="43" t="str">
        <f>_xlfn.XLOOKUP(A250,Map!A:A,Map!E:E)</f>
        <v>Exhibitions</v>
      </c>
      <c r="Q250" s="43" t="str">
        <f>_xlfn.XLOOKUP(A250,Map!A:A,Map!D:D)</f>
        <v>Selling and Marketing</v>
      </c>
    </row>
    <row r="251" spans="1:17" x14ac:dyDescent="0.25">
      <c r="A251" s="42">
        <v>700060</v>
      </c>
      <c r="B251" s="43" t="s">
        <v>1081</v>
      </c>
      <c r="C251" s="44">
        <f>SUMIF(ALIF_Y2014!$A:$A,$A251,ALIF_Y2014!$F:$F)</f>
        <v>2673874.8450000002</v>
      </c>
      <c r="D251" s="44">
        <f>SUMIF(ALIF_Y2015!$A:$A,$A251,ALIF_Y2015!$F:$F)</f>
        <v>2734734.3369999998</v>
      </c>
      <c r="E251" s="44">
        <f>SUMIF(ALIF_Y2016!$A:$A,$A251,ALIF_Y2016!$F:$F)</f>
        <v>2666816.54</v>
      </c>
      <c r="F251" s="44">
        <f>SUMIF(ALIF_Y2017!$A:$A,$A251,ALIF_Y2017!$F:$F)</f>
        <v>2233233.64</v>
      </c>
      <c r="G251" s="44">
        <f>SUMIF(ALIF_Y2018!$A:$A,$A251,ALIF_Y2018!$F:$F)</f>
        <v>3256415.537</v>
      </c>
      <c r="H251" s="44">
        <f>SUMIF(ALIF_Y2019!$A:$A,$A251,ALIF_Y2019!$F:$F)</f>
        <v>3483379.7140000002</v>
      </c>
      <c r="I251" s="44">
        <f>SUMIF(ALIF_Y2020!$A:$A,$A251,ALIF_Y2020!$F:$F)</f>
        <v>2692057.3369999998</v>
      </c>
      <c r="J251" s="44">
        <f>SUMIF(ALIF_Y2021!$A:$A,$A251,ALIF_Y2021!$F:$F)</f>
        <v>2800211.2489999998</v>
      </c>
      <c r="K251" s="44">
        <f>SUMIF(ALIF_Y2022!$A:$A,$A251,ALIF_Y2022!$F:$F)</f>
        <v>2728489.39</v>
      </c>
      <c r="L251" s="44">
        <f>SUMIF(ALIF_Y2023!$A:$A,$A251,ALIF_Y2023!$F:$F)</f>
        <v>2639487.4509999999</v>
      </c>
      <c r="M251" s="44">
        <f>SUMIF(ALIF_Y2024!$A:$A,$A251,ALIF_Y2024!$F:$F)</f>
        <v>2003043.5549999999</v>
      </c>
      <c r="N251" s="44">
        <f>SUMIF(ALIF_Y2025!$A:$A,$A251,ALIF_Y2025!$F:$F)</f>
        <v>1685753.328</v>
      </c>
      <c r="O251" s="44">
        <f>SUMIF(TB_Input_Alif!$A:$A,$A251,TB_Input_Alif!$F:$F)</f>
        <v>1697274.5359999998</v>
      </c>
      <c r="P251" s="43" t="str">
        <f>_xlfn.XLOOKUP(A251,Map!A:A,Map!E:E)</f>
        <v>Freight and shipping expenses (S&amp;D)</v>
      </c>
      <c r="Q251" s="43" t="str">
        <f>_xlfn.XLOOKUP(A251,Map!A:A,Map!D:D)</f>
        <v>Selling and Marketing</v>
      </c>
    </row>
    <row r="252" spans="1:17" x14ac:dyDescent="0.25">
      <c r="A252" s="42">
        <v>700061</v>
      </c>
      <c r="B252" s="43" t="s">
        <v>1082</v>
      </c>
      <c r="C252" s="44">
        <f>SUMIF(ALIF_Y2014!$A:$A,$A252,ALIF_Y2014!$F:$F)</f>
        <v>221073.86</v>
      </c>
      <c r="D252" s="44">
        <f>SUMIF(ALIF_Y2015!$A:$A,$A252,ALIF_Y2015!$F:$F)</f>
        <v>211475.23</v>
      </c>
      <c r="E252" s="44">
        <f>SUMIF(ALIF_Y2016!$A:$A,$A252,ALIF_Y2016!$F:$F)</f>
        <v>170392</v>
      </c>
      <c r="F252" s="44">
        <f>SUMIF(ALIF_Y2017!$A:$A,$A252,ALIF_Y2017!$F:$F)</f>
        <v>239089.318</v>
      </c>
      <c r="G252" s="44">
        <f>SUMIF(ALIF_Y2018!$A:$A,$A252,ALIF_Y2018!$F:$F)</f>
        <v>184849.25</v>
      </c>
      <c r="H252" s="44">
        <f>SUMIF(ALIF_Y2019!$A:$A,$A252,ALIF_Y2019!$F:$F)</f>
        <v>222802.948</v>
      </c>
      <c r="I252" s="44">
        <f>SUMIF(ALIF_Y2020!$A:$A,$A252,ALIF_Y2020!$F:$F)</f>
        <v>254893.24</v>
      </c>
      <c r="J252" s="44">
        <f>SUMIF(ALIF_Y2021!$A:$A,$A252,ALIF_Y2021!$F:$F)</f>
        <v>332942.77</v>
      </c>
      <c r="K252" s="44">
        <f>SUMIF(ALIF_Y2022!$A:$A,$A252,ALIF_Y2022!$F:$F)</f>
        <v>262263</v>
      </c>
      <c r="L252" s="44">
        <f>SUMIF(ALIF_Y2023!$A:$A,$A252,ALIF_Y2023!$F:$F)</f>
        <v>43952.72</v>
      </c>
      <c r="M252" s="44">
        <f>SUMIF(ALIF_Y2024!$A:$A,$A252,ALIF_Y2024!$F:$F)</f>
        <v>38359.550000000003</v>
      </c>
      <c r="N252" s="44">
        <f>SUMIF(ALIF_Y2025!$A:$A,$A252,ALIF_Y2025!$F:$F)</f>
        <v>5036</v>
      </c>
      <c r="O252" s="44">
        <f>SUMIF(TB_Input_Alif!$A:$A,$A252,TB_Input_Alif!$F:$F)</f>
        <v>0</v>
      </c>
      <c r="P252" s="43" t="str">
        <f>_xlfn.XLOOKUP(A252,Map!A:A,Map!E:E)</f>
        <v>Commission expenses</v>
      </c>
      <c r="Q252" s="43" t="str">
        <f>_xlfn.XLOOKUP(A252,Map!A:A,Map!D:D)</f>
        <v>Selling and Marketing</v>
      </c>
    </row>
    <row r="253" spans="1:17" x14ac:dyDescent="0.25">
      <c r="A253" s="42">
        <v>700062</v>
      </c>
      <c r="B253" s="43" t="s">
        <v>1083</v>
      </c>
      <c r="C253" s="44">
        <f>SUMIF(ALIF_Y2014!$A:$A,$A253,ALIF_Y2014!$F:$F)</f>
        <v>700005.97</v>
      </c>
      <c r="D253" s="44">
        <f>SUMIF(ALIF_Y2015!$A:$A,$A253,ALIF_Y2015!$F:$F)</f>
        <v>133917.81899999999</v>
      </c>
      <c r="E253" s="44">
        <f>SUMIF(ALIF_Y2016!$A:$A,$A253,ALIF_Y2016!$F:$F)</f>
        <v>0</v>
      </c>
      <c r="F253" s="44">
        <f>SUMIF(ALIF_Y2017!$A:$A,$A253,ALIF_Y2017!$F:$F)</f>
        <v>0</v>
      </c>
      <c r="G253" s="44">
        <f>SUMIF(ALIF_Y2018!$A:$A,$A253,ALIF_Y2018!$F:$F)</f>
        <v>0</v>
      </c>
      <c r="H253" s="44">
        <f>SUMIF(ALIF_Y2019!$A:$A,$A253,ALIF_Y2019!$F:$F)</f>
        <v>0</v>
      </c>
      <c r="I253" s="44">
        <f>SUMIF(ALIF_Y2020!$A:$A,$A253,ALIF_Y2020!$F:$F)</f>
        <v>325461.00400000002</v>
      </c>
      <c r="J253" s="44">
        <f>SUMIF(ALIF_Y2021!$A:$A,$A253,ALIF_Y2021!$F:$F)</f>
        <v>248775</v>
      </c>
      <c r="K253" s="44">
        <f>SUMIF(ALIF_Y2022!$A:$A,$A253,ALIF_Y2022!$F:$F)</f>
        <v>103333.326</v>
      </c>
      <c r="L253" s="44">
        <f>SUMIF(ALIF_Y2023!$A:$A,$A253,ALIF_Y2023!$F:$F)</f>
        <v>8931099.4389999993</v>
      </c>
      <c r="M253" s="44">
        <f>SUMIF(ALIF_Y2024!$A:$A,$A253,ALIF_Y2024!$F:$F)</f>
        <v>-5119898.58</v>
      </c>
      <c r="N253" s="44">
        <f>SUMIF(ALIF_Y2025!$A:$A,$A253,ALIF_Y2025!$F:$F)</f>
        <v>-678521.16</v>
      </c>
      <c r="O253" s="44">
        <f>SUMIF(TB_Input_Alif!$A:$A,$A253,TB_Input_Alif!$F:$F)</f>
        <v>0</v>
      </c>
      <c r="P253" s="43" t="str">
        <f>_xlfn.XLOOKUP(A253,Map!A:A,Map!E:E)</f>
        <v>Bad debts expense</v>
      </c>
      <c r="Q253" s="43" t="str">
        <f>_xlfn.XLOOKUP(A253,Map!A:A,Map!D:D)</f>
        <v>Revised provision on Bad Debts</v>
      </c>
    </row>
    <row r="254" spans="1:17" x14ac:dyDescent="0.25">
      <c r="A254" s="42">
        <v>700063</v>
      </c>
      <c r="B254" s="43" t="s">
        <v>1084</v>
      </c>
      <c r="C254" s="44">
        <f>SUMIF(ALIF_Y2014!$A:$A,$A254,ALIF_Y2014!$F:$F)</f>
        <v>471737.65</v>
      </c>
      <c r="D254" s="44">
        <f>SUMIF(ALIF_Y2015!$A:$A,$A254,ALIF_Y2015!$F:$F)</f>
        <v>441023.31</v>
      </c>
      <c r="E254" s="44">
        <f>SUMIF(ALIF_Y2016!$A:$A,$A254,ALIF_Y2016!$F:$F)</f>
        <v>420251.39</v>
      </c>
      <c r="F254" s="44">
        <f>SUMIF(ALIF_Y2017!$A:$A,$A254,ALIF_Y2017!$F:$F)</f>
        <v>526237.43000000005</v>
      </c>
      <c r="G254" s="44">
        <f>SUMIF(ALIF_Y2018!$A:$A,$A254,ALIF_Y2018!$F:$F)</f>
        <v>671595.6</v>
      </c>
      <c r="H254" s="44">
        <f>SUMIF(ALIF_Y2019!$A:$A,$A254,ALIF_Y2019!$F:$F)</f>
        <v>816511.87</v>
      </c>
      <c r="I254" s="44">
        <f>SUMIF(ALIF_Y2020!$A:$A,$A254,ALIF_Y2020!$F:$F)</f>
        <v>910553.72</v>
      </c>
      <c r="J254" s="44">
        <f>SUMIF(ALIF_Y2021!$A:$A,$A254,ALIF_Y2021!$F:$F)</f>
        <v>1003382.1</v>
      </c>
      <c r="K254" s="44">
        <f>SUMIF(ALIF_Y2022!$A:$A,$A254,ALIF_Y2022!$F:$F)</f>
        <v>1195319.6000000001</v>
      </c>
      <c r="L254" s="44">
        <f>SUMIF(ALIF_Y2023!$A:$A,$A254,ALIF_Y2023!$F:$F)</f>
        <v>892862.87</v>
      </c>
      <c r="M254" s="44">
        <f>SUMIF(ALIF_Y2024!$A:$A,$A254,ALIF_Y2024!$F:$F)</f>
        <v>579987.57999999996</v>
      </c>
      <c r="N254" s="44">
        <f>SUMIF(ALIF_Y2025!$A:$A,$A254,ALIF_Y2025!$F:$F)</f>
        <v>1174506.8999999999</v>
      </c>
      <c r="O254" s="44">
        <f>SUMIF(TB_Input_Alif!$A:$A,$A254,TB_Input_Alif!$F:$F)</f>
        <v>208838.52</v>
      </c>
      <c r="P254" s="43" t="str">
        <f>_xlfn.XLOOKUP(A254,Map!A:A,Map!E:E)</f>
        <v>Salaries and wages</v>
      </c>
      <c r="Q254" s="43" t="str">
        <f>_xlfn.XLOOKUP(A254,Map!A:A,Map!D:D)</f>
        <v>General and Admin</v>
      </c>
    </row>
    <row r="255" spans="1:17" x14ac:dyDescent="0.25">
      <c r="A255" s="42">
        <v>700064</v>
      </c>
      <c r="B255" s="43" t="s">
        <v>1085</v>
      </c>
      <c r="C255" s="44">
        <f>SUMIF(ALIF_Y2014!$A:$A,$A255,ALIF_Y2014!$F:$F)</f>
        <v>0</v>
      </c>
      <c r="D255" s="44">
        <f>SUMIF(ALIF_Y2015!$A:$A,$A255,ALIF_Y2015!$F:$F)</f>
        <v>0</v>
      </c>
      <c r="E255" s="44">
        <f>SUMIF(ALIF_Y2016!$A:$A,$A255,ALIF_Y2016!$F:$F)</f>
        <v>0</v>
      </c>
      <c r="F255" s="44">
        <f>SUMIF(ALIF_Y2017!$A:$A,$A255,ALIF_Y2017!$F:$F)</f>
        <v>5663951</v>
      </c>
      <c r="G255" s="44">
        <f>SUMIF(ALIF_Y2018!$A:$A,$A255,ALIF_Y2018!$F:$F)</f>
        <v>0</v>
      </c>
      <c r="H255" s="44">
        <f>SUMIF(ALIF_Y2019!$A:$A,$A255,ALIF_Y2019!$F:$F)</f>
        <v>0</v>
      </c>
      <c r="I255" s="44">
        <f>SUMIF(ALIF_Y2020!$A:$A,$A255,ALIF_Y2020!$F:$F)</f>
        <v>0</v>
      </c>
      <c r="J255" s="44">
        <f>SUMIF(ALIF_Y2021!$A:$A,$A255,ALIF_Y2021!$F:$F)</f>
        <v>0</v>
      </c>
      <c r="K255" s="44">
        <f>SUMIF(ALIF_Y2022!$A:$A,$A255,ALIF_Y2022!$F:$F)</f>
        <v>0</v>
      </c>
      <c r="L255" s="44">
        <f>SUMIF(ALIF_Y2023!$A:$A,$A255,ALIF_Y2023!$F:$F)</f>
        <v>0</v>
      </c>
      <c r="M255" s="44">
        <f>SUMIF(ALIF_Y2024!$A:$A,$A255,ALIF_Y2024!$F:$F)</f>
        <v>0</v>
      </c>
      <c r="N255" s="44">
        <f>SUMIF(ALIF_Y2025!$A:$A,$A255,ALIF_Y2025!$F:$F)</f>
        <v>0</v>
      </c>
      <c r="O255" s="44">
        <f>SUMIF(TB_Input_Alif!$A:$A,$A255,TB_Input_Alif!$F:$F)</f>
        <v>0</v>
      </c>
      <c r="P255" s="43" t="str">
        <f>_xlfn.XLOOKUP(A255,Map!A:A,Map!E:E)</f>
        <v>Pre-operating expenses</v>
      </c>
      <c r="Q255" s="43" t="str">
        <f>_xlfn.XLOOKUP(A255,Map!A:A,Map!D:D)</f>
        <v>Pre-operating expenses</v>
      </c>
    </row>
    <row r="256" spans="1:17" x14ac:dyDescent="0.25">
      <c r="A256" s="42">
        <v>700065</v>
      </c>
      <c r="B256" s="43" t="s">
        <v>1086</v>
      </c>
      <c r="C256" s="44">
        <f>SUMIF(ALIF_Y2014!$A:$A,$A256,ALIF_Y2014!$F:$F)</f>
        <v>0</v>
      </c>
      <c r="D256" s="44">
        <f>SUMIF(ALIF_Y2015!$A:$A,$A256,ALIF_Y2015!$F:$F)</f>
        <v>0</v>
      </c>
      <c r="E256" s="44">
        <f>SUMIF(ALIF_Y2016!$A:$A,$A256,ALIF_Y2016!$F:$F)</f>
        <v>0</v>
      </c>
      <c r="F256" s="44">
        <f>SUMIF(ALIF_Y2017!$A:$A,$A256,ALIF_Y2017!$F:$F)</f>
        <v>0</v>
      </c>
      <c r="G256" s="44">
        <f>SUMIF(ALIF_Y2018!$A:$A,$A256,ALIF_Y2018!$F:$F)</f>
        <v>0</v>
      </c>
      <c r="H256" s="44">
        <f>SUMIF(ALIF_Y2019!$A:$A,$A256,ALIF_Y2019!$F:$F)</f>
        <v>0</v>
      </c>
      <c r="I256" s="44">
        <f>SUMIF(ALIF_Y2020!$A:$A,$A256,ALIF_Y2020!$F:$F)</f>
        <v>61904.565999999999</v>
      </c>
      <c r="J256" s="44">
        <f>SUMIF(ALIF_Y2021!$A:$A,$A256,ALIF_Y2021!$F:$F)</f>
        <v>61904.56</v>
      </c>
      <c r="K256" s="44">
        <f>SUMIF(ALIF_Y2022!$A:$A,$A256,ALIF_Y2022!$F:$F)</f>
        <v>35684</v>
      </c>
      <c r="L256" s="44">
        <f>SUMIF(ALIF_Y2023!$A:$A,$A256,ALIF_Y2023!$F:$F)</f>
        <v>78479</v>
      </c>
      <c r="M256" s="44">
        <f>SUMIF(ALIF_Y2024!$A:$A,$A256,ALIF_Y2024!$F:$F)</f>
        <v>44700</v>
      </c>
      <c r="N256" s="44">
        <f>SUMIF(ALIF_Y2025!$A:$A,$A256,ALIF_Y2025!$F:$F)</f>
        <v>76652.009000000005</v>
      </c>
      <c r="O256" s="44">
        <f>SUMIF(TB_Input_Alif!$A:$A,$A256,TB_Input_Alif!$F:$F)</f>
        <v>57405.163</v>
      </c>
      <c r="P256" s="43" t="str">
        <f>_xlfn.XLOOKUP(A256,Map!A:A,Map!E:E)</f>
        <v>Finance cost</v>
      </c>
      <c r="Q256" s="43" t="str">
        <f>_xlfn.XLOOKUP(A256,Map!A:A,Map!D:D)</f>
        <v>Finance cost</v>
      </c>
    </row>
    <row r="257" spans="1:17" x14ac:dyDescent="0.25">
      <c r="A257" s="42">
        <v>700066</v>
      </c>
      <c r="B257" s="43" t="s">
        <v>1087</v>
      </c>
      <c r="C257" s="44">
        <f>SUMIF(ALIF_Y2014!$A:$A,$A257,ALIF_Y2014!$F:$F)</f>
        <v>0</v>
      </c>
      <c r="D257" s="44">
        <f>SUMIF(ALIF_Y2015!$A:$A,$A257,ALIF_Y2015!$F:$F)</f>
        <v>0</v>
      </c>
      <c r="E257" s="44">
        <f>SUMIF(ALIF_Y2016!$A:$A,$A257,ALIF_Y2016!$F:$F)</f>
        <v>0</v>
      </c>
      <c r="F257" s="44">
        <f>SUMIF(ALIF_Y2017!$A:$A,$A257,ALIF_Y2017!$F:$F)</f>
        <v>0</v>
      </c>
      <c r="G257" s="44">
        <f>SUMIF(ALIF_Y2018!$A:$A,$A257,ALIF_Y2018!$F:$F)</f>
        <v>0</v>
      </c>
      <c r="H257" s="44">
        <f>SUMIF(ALIF_Y2019!$A:$A,$A257,ALIF_Y2019!$F:$F)</f>
        <v>0</v>
      </c>
      <c r="I257" s="44">
        <f>SUMIF(ALIF_Y2020!$A:$A,$A257,ALIF_Y2020!$F:$F)</f>
        <v>94760</v>
      </c>
      <c r="J257" s="44">
        <f>SUMIF(ALIF_Y2021!$A:$A,$A257,ALIF_Y2021!$F:$F)</f>
        <v>115133.194</v>
      </c>
      <c r="K257" s="44">
        <f>SUMIF(ALIF_Y2022!$A:$A,$A257,ALIF_Y2022!$F:$F)</f>
        <v>96686.520999999993</v>
      </c>
      <c r="L257" s="44">
        <f>SUMIF(ALIF_Y2023!$A:$A,$A257,ALIF_Y2023!$F:$F)</f>
        <v>271791.99400000001</v>
      </c>
      <c r="M257" s="44">
        <f>SUMIF(ALIF_Y2024!$A:$A,$A257,ALIF_Y2024!$F:$F)</f>
        <v>109284.12</v>
      </c>
      <c r="N257" s="44">
        <f>SUMIF(ALIF_Y2025!$A:$A,$A257,ALIF_Y2025!$F:$F)</f>
        <v>109284.12</v>
      </c>
      <c r="O257" s="44">
        <f>SUMIF(TB_Input_Alif!$A:$A,$A257,TB_Input_Alif!$F:$F)</f>
        <v>72856.070000000007</v>
      </c>
      <c r="P257" s="43" t="str">
        <f>_xlfn.XLOOKUP(A257,Map!A:A,Map!E:E)</f>
        <v>Govt license and fees (including modon)</v>
      </c>
      <c r="Q257" s="43" t="str">
        <f>_xlfn.XLOOKUP(A257,Map!A:A,Map!D:D)</f>
        <v>General and Admin</v>
      </c>
    </row>
    <row r="258" spans="1:17" x14ac:dyDescent="0.25">
      <c r="A258" s="42">
        <v>700067</v>
      </c>
      <c r="B258" s="43" t="s">
        <v>1088</v>
      </c>
      <c r="C258" s="44">
        <f>SUMIF(ALIF_Y2014!$A:$A,$A258,ALIF_Y2014!$F:$F)</f>
        <v>0</v>
      </c>
      <c r="D258" s="44">
        <f>SUMIF(ALIF_Y2015!$A:$A,$A258,ALIF_Y2015!$F:$F)</f>
        <v>0</v>
      </c>
      <c r="E258" s="44">
        <f>SUMIF(ALIF_Y2016!$A:$A,$A258,ALIF_Y2016!$F:$F)</f>
        <v>0</v>
      </c>
      <c r="F258" s="44">
        <f>SUMIF(ALIF_Y2017!$A:$A,$A258,ALIF_Y2017!$F:$F)</f>
        <v>0</v>
      </c>
      <c r="G258" s="44">
        <f>SUMIF(ALIF_Y2018!$A:$A,$A258,ALIF_Y2018!$F:$F)</f>
        <v>0</v>
      </c>
      <c r="H258" s="44">
        <f>SUMIF(ALIF_Y2019!$A:$A,$A258,ALIF_Y2019!$F:$F)</f>
        <v>0</v>
      </c>
      <c r="I258" s="44">
        <f>SUMIF(ALIF_Y2020!$A:$A,$A258,ALIF_Y2020!$F:$F)</f>
        <v>0</v>
      </c>
      <c r="J258" s="44">
        <f>SUMIF(ALIF_Y2021!$A:$A,$A258,ALIF_Y2021!$F:$F)</f>
        <v>0</v>
      </c>
      <c r="K258" s="44">
        <f>SUMIF(ALIF_Y2022!$A:$A,$A258,ALIF_Y2022!$F:$F)</f>
        <v>0</v>
      </c>
      <c r="L258" s="44">
        <f>SUMIF(ALIF_Y2023!$A:$A,$A258,ALIF_Y2023!$F:$F)</f>
        <v>73088.985000000001</v>
      </c>
      <c r="M258" s="44">
        <f>SUMIF(ALIF_Y2024!$A:$A,$A258,ALIF_Y2024!$F:$F)</f>
        <v>0</v>
      </c>
      <c r="N258" s="44">
        <f>SUMIF(ALIF_Y2025!$A:$A,$A258,ALIF_Y2025!$F:$F)</f>
        <v>0</v>
      </c>
      <c r="O258" s="44">
        <f>SUMIF(TB_Input_Alif!$A:$A,$A258,TB_Input_Alif!$F:$F)</f>
        <v>6930832.1710000001</v>
      </c>
      <c r="P258" s="43" t="str">
        <f>_xlfn.XLOOKUP(A258,Map!A:A,Map!E:E)</f>
        <v>Freight and shipping expenses (S&amp;D)</v>
      </c>
      <c r="Q258" s="43" t="str">
        <f>_xlfn.XLOOKUP(A258,Map!A:A,Map!D:D)</f>
        <v>Selling and Marketing</v>
      </c>
    </row>
    <row r="259" spans="1:17" x14ac:dyDescent="0.25">
      <c r="A259" s="42">
        <v>700068</v>
      </c>
      <c r="B259" s="43" t="s">
        <v>1089</v>
      </c>
      <c r="C259" s="44">
        <f>SUMIF(ALIF_Y2014!$A:$A,$A259,ALIF_Y2014!$F:$F)</f>
        <v>0</v>
      </c>
      <c r="D259" s="44">
        <f>SUMIF(ALIF_Y2015!$A:$A,$A259,ALIF_Y2015!$F:$F)</f>
        <v>0</v>
      </c>
      <c r="E259" s="44">
        <f>SUMIF(ALIF_Y2016!$A:$A,$A259,ALIF_Y2016!$F:$F)</f>
        <v>0</v>
      </c>
      <c r="F259" s="44">
        <f>SUMIF(ALIF_Y2017!$A:$A,$A259,ALIF_Y2017!$F:$F)</f>
        <v>0</v>
      </c>
      <c r="G259" s="44">
        <f>SUMIF(ALIF_Y2018!$A:$A,$A259,ALIF_Y2018!$F:$F)</f>
        <v>0</v>
      </c>
      <c r="H259" s="44">
        <f>SUMIF(ALIF_Y2019!$A:$A,$A259,ALIF_Y2019!$F:$F)</f>
        <v>0</v>
      </c>
      <c r="I259" s="44">
        <f>SUMIF(ALIF_Y2020!$A:$A,$A259,ALIF_Y2020!$F:$F)</f>
        <v>0</v>
      </c>
      <c r="J259" s="44">
        <f>SUMIF(ALIF_Y2021!$A:$A,$A259,ALIF_Y2021!$F:$F)</f>
        <v>0</v>
      </c>
      <c r="K259" s="44">
        <f>SUMIF(ALIF_Y2022!$A:$A,$A259,ALIF_Y2022!$F:$F)</f>
        <v>0</v>
      </c>
      <c r="L259" s="44">
        <f>SUMIF(ALIF_Y2023!$A:$A,$A259,ALIF_Y2023!$F:$F)</f>
        <v>0</v>
      </c>
      <c r="M259" s="44">
        <f>SUMIF(ALIF_Y2024!$A:$A,$A259,ALIF_Y2024!$F:$F)</f>
        <v>0</v>
      </c>
      <c r="N259" s="44">
        <f>SUMIF(ALIF_Y2025!$A:$A,$A259,ALIF_Y2025!$F:$F)</f>
        <v>0</v>
      </c>
      <c r="O259" s="44">
        <f>SUMIF(TB_Input_Alif!$A:$A,$A259,TB_Input_Alif!$F:$F)</f>
        <v>53506.192999999999</v>
      </c>
      <c r="P259" s="43" t="str">
        <f>_xlfn.XLOOKUP(A259,Map!A:A,Map!E:E)</f>
        <v>Freight expenses</v>
      </c>
      <c r="Q259" s="43" t="str">
        <f>_xlfn.XLOOKUP(A259,Map!A:A,Map!D:D)</f>
        <v>Cost of sales</v>
      </c>
    </row>
    <row r="260" spans="1:17" x14ac:dyDescent="0.25">
      <c r="A260" s="42">
        <v>700069</v>
      </c>
      <c r="B260" s="43" t="s">
        <v>1090</v>
      </c>
      <c r="C260" s="44">
        <f>SUMIF(ALIF_Y2014!$A:$A,$A260,ALIF_Y2014!$F:$F)</f>
        <v>0</v>
      </c>
      <c r="D260" s="44">
        <f>SUMIF(ALIF_Y2015!$A:$A,$A260,ALIF_Y2015!$F:$F)</f>
        <v>0</v>
      </c>
      <c r="E260" s="44">
        <f>SUMIF(ALIF_Y2016!$A:$A,$A260,ALIF_Y2016!$F:$F)</f>
        <v>0</v>
      </c>
      <c r="F260" s="44">
        <f>SUMIF(ALIF_Y2017!$A:$A,$A260,ALIF_Y2017!$F:$F)</f>
        <v>0</v>
      </c>
      <c r="G260" s="44">
        <f>SUMIF(ALIF_Y2018!$A:$A,$A260,ALIF_Y2018!$F:$F)</f>
        <v>0</v>
      </c>
      <c r="H260" s="44">
        <f>SUMIF(ALIF_Y2019!$A:$A,$A260,ALIF_Y2019!$F:$F)</f>
        <v>0</v>
      </c>
      <c r="I260" s="44">
        <f>SUMIF(ALIF_Y2020!$A:$A,$A260,ALIF_Y2020!$F:$F)</f>
        <v>0</v>
      </c>
      <c r="J260" s="44">
        <f>SUMIF(ALIF_Y2021!$A:$A,$A260,ALIF_Y2021!$F:$F)</f>
        <v>0</v>
      </c>
      <c r="K260" s="44">
        <f>SUMIF(ALIF_Y2022!$A:$A,$A260,ALIF_Y2022!$F:$F)</f>
        <v>0</v>
      </c>
      <c r="L260" s="44">
        <f>SUMIF(ALIF_Y2023!$A:$A,$A260,ALIF_Y2023!$F:$F)</f>
        <v>0</v>
      </c>
      <c r="M260" s="44">
        <f>SUMIF(ALIF_Y2024!$A:$A,$A260,ALIF_Y2024!$F:$F)</f>
        <v>24243.5</v>
      </c>
      <c r="N260" s="44">
        <f>SUMIF(ALIF_Y2025!$A:$A,$A260,ALIF_Y2025!$F:$F)</f>
        <v>147339.15700000001</v>
      </c>
      <c r="O260" s="44">
        <f>SUMIF(TB_Input_Alif!$A:$A,$A260,TB_Input_Alif!$F:$F)</f>
        <v>72730.495999999999</v>
      </c>
      <c r="P260" s="43" t="str">
        <f>_xlfn.XLOOKUP(A260,Map!A:A,Map!E:E)</f>
        <v>Rent</v>
      </c>
      <c r="Q260" s="43" t="str">
        <f>_xlfn.XLOOKUP(A260,Map!A:A,Map!D:D)</f>
        <v>General and Admin</v>
      </c>
    </row>
    <row r="261" spans="1:17" x14ac:dyDescent="0.25">
      <c r="A261" s="42">
        <v>700070</v>
      </c>
      <c r="B261" s="43" t="s">
        <v>1091</v>
      </c>
      <c r="C261" s="44">
        <f>SUMIF(ALIF_Y2014!$A:$A,$A261,ALIF_Y2014!$F:$F)</f>
        <v>0</v>
      </c>
      <c r="D261" s="44">
        <f>SUMIF(ALIF_Y2015!$A:$A,$A261,ALIF_Y2015!$F:$F)</f>
        <v>0</v>
      </c>
      <c r="E261" s="44">
        <f>SUMIF(ALIF_Y2016!$A:$A,$A261,ALIF_Y2016!$F:$F)</f>
        <v>0</v>
      </c>
      <c r="F261" s="44">
        <f>SUMIF(ALIF_Y2017!$A:$A,$A261,ALIF_Y2017!$F:$F)</f>
        <v>0</v>
      </c>
      <c r="G261" s="44">
        <f>SUMIF(ALIF_Y2018!$A:$A,$A261,ALIF_Y2018!$F:$F)</f>
        <v>0</v>
      </c>
      <c r="H261" s="44">
        <f>SUMIF(ALIF_Y2019!$A:$A,$A261,ALIF_Y2019!$F:$F)</f>
        <v>0</v>
      </c>
      <c r="I261" s="44">
        <f>SUMIF(ALIF_Y2020!$A:$A,$A261,ALIF_Y2020!$F:$F)</f>
        <v>0</v>
      </c>
      <c r="J261" s="44">
        <f>SUMIF(ALIF_Y2021!$A:$A,$A261,ALIF_Y2021!$F:$F)</f>
        <v>0</v>
      </c>
      <c r="K261" s="44">
        <f>SUMIF(ALIF_Y2022!$A:$A,$A261,ALIF_Y2022!$F:$F)</f>
        <v>0</v>
      </c>
      <c r="L261" s="44">
        <f>SUMIF(ALIF_Y2023!$A:$A,$A261,ALIF_Y2023!$F:$F)</f>
        <v>0</v>
      </c>
      <c r="M261" s="44">
        <f>SUMIF(ALIF_Y2024!$A:$A,$A261,ALIF_Y2024!$F:$F)</f>
        <v>0</v>
      </c>
      <c r="N261" s="44">
        <f>SUMIF(ALIF_Y2025!$A:$A,$A261,ALIF_Y2025!$F:$F)</f>
        <v>0</v>
      </c>
      <c r="O261" s="44">
        <f>SUMIF(TB_Input_Alif!$A:$A,$A261,TB_Input_Alif!$F:$F)</f>
        <v>1628843.612</v>
      </c>
      <c r="P261" s="43" t="str">
        <f>_xlfn.XLOOKUP(A261,Map!A:A,Map!E:E)</f>
        <v>Customs duties and clearances</v>
      </c>
      <c r="Q261" s="43" t="str">
        <f>_xlfn.XLOOKUP(A261,Map!A:A,Map!D:D)</f>
        <v>Cost of sales</v>
      </c>
    </row>
    <row r="262" spans="1:17" x14ac:dyDescent="0.25">
      <c r="A262" s="42">
        <v>700071</v>
      </c>
      <c r="B262" s="43" t="s">
        <v>1092</v>
      </c>
      <c r="C262" s="44">
        <f>SUMIF(ALIF_Y2014!$A:$A,$A262,ALIF_Y2014!$F:$F)</f>
        <v>0</v>
      </c>
      <c r="D262" s="44">
        <f>SUMIF(ALIF_Y2015!$A:$A,$A262,ALIF_Y2015!$F:$F)</f>
        <v>0</v>
      </c>
      <c r="E262" s="44">
        <f>SUMIF(ALIF_Y2016!$A:$A,$A262,ALIF_Y2016!$F:$F)</f>
        <v>0</v>
      </c>
      <c r="F262" s="44">
        <f>SUMIF(ALIF_Y2017!$A:$A,$A262,ALIF_Y2017!$F:$F)</f>
        <v>0</v>
      </c>
      <c r="G262" s="44">
        <f>SUMIF(ALIF_Y2018!$A:$A,$A262,ALIF_Y2018!$F:$F)</f>
        <v>0</v>
      </c>
      <c r="H262" s="44">
        <f>SUMIF(ALIF_Y2019!$A:$A,$A262,ALIF_Y2019!$F:$F)</f>
        <v>0</v>
      </c>
      <c r="I262" s="44">
        <f>SUMIF(ALIF_Y2020!$A:$A,$A262,ALIF_Y2020!$F:$F)</f>
        <v>0</v>
      </c>
      <c r="J262" s="44">
        <f>SUMIF(ALIF_Y2021!$A:$A,$A262,ALIF_Y2021!$F:$F)</f>
        <v>0</v>
      </c>
      <c r="K262" s="44">
        <f>SUMIF(ALIF_Y2022!$A:$A,$A262,ALIF_Y2022!$F:$F)</f>
        <v>0</v>
      </c>
      <c r="L262" s="44">
        <f>SUMIF(ALIF_Y2023!$A:$A,$A262,ALIF_Y2023!$F:$F)</f>
        <v>0</v>
      </c>
      <c r="M262" s="44">
        <f>SUMIF(ALIF_Y2024!$A:$A,$A262,ALIF_Y2024!$F:$F)</f>
        <v>0</v>
      </c>
      <c r="N262" s="44">
        <f>SUMIF(ALIF_Y2025!$A:$A,$A262,ALIF_Y2025!$F:$F)</f>
        <v>0</v>
      </c>
      <c r="O262" s="44">
        <f>SUMIF(TB_Input_Alif!$A:$A,$A262,TB_Input_Alif!$F:$F)</f>
        <v>641187.77899999998</v>
      </c>
      <c r="P262" s="43" t="str">
        <f>_xlfn.XLOOKUP(A262,Map!A:A,Map!E:E)</f>
        <v>Customs duties and clearances</v>
      </c>
      <c r="Q262" s="43" t="str">
        <f>_xlfn.XLOOKUP(A262,Map!A:A,Map!D:D)</f>
        <v>Cost of sales</v>
      </c>
    </row>
    <row r="263" spans="1:17" x14ac:dyDescent="0.25">
      <c r="A263" s="42">
        <v>700072</v>
      </c>
      <c r="B263" s="43" t="s">
        <v>1093</v>
      </c>
      <c r="C263" s="44">
        <f>SUMIF(ALIF_Y2014!$A:$A,$A263,ALIF_Y2014!$F:$F)</f>
        <v>0</v>
      </c>
      <c r="D263" s="44">
        <f>SUMIF(ALIF_Y2015!$A:$A,$A263,ALIF_Y2015!$F:$F)</f>
        <v>0</v>
      </c>
      <c r="E263" s="44">
        <f>SUMIF(ALIF_Y2016!$A:$A,$A263,ALIF_Y2016!$F:$F)</f>
        <v>0</v>
      </c>
      <c r="F263" s="44">
        <f>SUMIF(ALIF_Y2017!$A:$A,$A263,ALIF_Y2017!$F:$F)</f>
        <v>0</v>
      </c>
      <c r="G263" s="44">
        <f>SUMIF(ALIF_Y2018!$A:$A,$A263,ALIF_Y2018!$F:$F)</f>
        <v>0</v>
      </c>
      <c r="H263" s="44">
        <f>SUMIF(ALIF_Y2019!$A:$A,$A263,ALIF_Y2019!$F:$F)</f>
        <v>0</v>
      </c>
      <c r="I263" s="44">
        <f>SUMIF(ALIF_Y2020!$A:$A,$A263,ALIF_Y2020!$F:$F)</f>
        <v>0</v>
      </c>
      <c r="J263" s="44">
        <f>SUMIF(ALIF_Y2021!$A:$A,$A263,ALIF_Y2021!$F:$F)</f>
        <v>0</v>
      </c>
      <c r="K263" s="44">
        <f>SUMIF(ALIF_Y2022!$A:$A,$A263,ALIF_Y2022!$F:$F)</f>
        <v>0</v>
      </c>
      <c r="L263" s="44">
        <f>SUMIF(ALIF_Y2023!$A:$A,$A263,ALIF_Y2023!$F:$F)</f>
        <v>0</v>
      </c>
      <c r="M263" s="44">
        <f>SUMIF(ALIF_Y2024!$A:$A,$A263,ALIF_Y2024!$F:$F)</f>
        <v>0</v>
      </c>
      <c r="N263" s="44">
        <f>SUMIF(ALIF_Y2025!$A:$A,$A263,ALIF_Y2025!$F:$F)</f>
        <v>3988412.1549999998</v>
      </c>
      <c r="O263" s="44">
        <f>SUMIF(TB_Input_Alif!$A:$A,$A263,TB_Input_Alif!$F:$F)</f>
        <v>2778671.6770000001</v>
      </c>
      <c r="P263" s="43" t="str">
        <f>_xlfn.XLOOKUP(A263,Map!A:A,Map!E:E)</f>
        <v>Salaries and wages</v>
      </c>
      <c r="Q263" s="43" t="str">
        <f>_xlfn.XLOOKUP(A263,Map!A:A,Map!D:D)</f>
        <v>General and Admin</v>
      </c>
    </row>
    <row r="264" spans="1:17" x14ac:dyDescent="0.25">
      <c r="A264" s="42">
        <v>700074</v>
      </c>
      <c r="B264" s="43" t="s">
        <v>702</v>
      </c>
      <c r="C264" s="44">
        <f>SUMIF(ALIF_Y2014!$A:$A,$A264,ALIF_Y2014!$F:$F)</f>
        <v>0</v>
      </c>
      <c r="D264" s="44">
        <f>SUMIF(ALIF_Y2015!$A:$A,$A264,ALIF_Y2015!$F:$F)</f>
        <v>0</v>
      </c>
      <c r="E264" s="44">
        <f>SUMIF(ALIF_Y2016!$A:$A,$A264,ALIF_Y2016!$F:$F)</f>
        <v>0</v>
      </c>
      <c r="F264" s="44">
        <f>SUMIF(ALIF_Y2017!$A:$A,$A264,ALIF_Y2017!$F:$F)</f>
        <v>0</v>
      </c>
      <c r="G264" s="44">
        <f>SUMIF(ALIF_Y2018!$A:$A,$A264,ALIF_Y2018!$F:$F)</f>
        <v>0</v>
      </c>
      <c r="H264" s="44">
        <f>SUMIF(ALIF_Y2019!$A:$A,$A264,ALIF_Y2019!$F:$F)</f>
        <v>0</v>
      </c>
      <c r="I264" s="44">
        <f>SUMIF(ALIF_Y2020!$A:$A,$A264,ALIF_Y2020!$F:$F)</f>
        <v>0</v>
      </c>
      <c r="J264" s="44">
        <f>SUMIF(ALIF_Y2021!$A:$A,$A264,ALIF_Y2021!$F:$F)</f>
        <v>0</v>
      </c>
      <c r="K264" s="44">
        <f>SUMIF(ALIF_Y2022!$A:$A,$A264,ALIF_Y2022!$F:$F)</f>
        <v>0</v>
      </c>
      <c r="L264" s="44">
        <f>SUMIF(ALIF_Y2023!$A:$A,$A264,ALIF_Y2023!$F:$F)</f>
        <v>0</v>
      </c>
      <c r="M264" s="44">
        <f>SUMIF(ALIF_Y2024!$A:$A,$A264,ALIF_Y2024!$F:$F)</f>
        <v>3148512.298</v>
      </c>
      <c r="N264" s="44">
        <f>SUMIF(ALIF_Y2025!$A:$A,$A264,ALIF_Y2025!$F:$F)</f>
        <v>0</v>
      </c>
      <c r="O264" s="44">
        <f>SUMIF(TB_Input_Alif!$A:$A,$A264,TB_Input_Alif!$F:$F)</f>
        <v>0</v>
      </c>
      <c r="P264" s="43" t="str">
        <f>_xlfn.XLOOKUP(A264,Map!A:A,Map!E:E)</f>
        <v>Inventory Adjustment Expense</v>
      </c>
      <c r="Q264" s="43" t="str">
        <f>_xlfn.XLOOKUP(A264,Map!A:A,Map!D:D)</f>
        <v>General and Admin</v>
      </c>
    </row>
    <row r="265" spans="1:17" x14ac:dyDescent="0.25">
      <c r="A265" s="42">
        <v>700075</v>
      </c>
      <c r="B265" s="43" t="s">
        <v>1094</v>
      </c>
      <c r="C265" s="44">
        <f>SUMIF(ALIF_Y2014!$A:$A,$A265,ALIF_Y2014!$F:$F)</f>
        <v>0</v>
      </c>
      <c r="D265" s="44">
        <f>SUMIF(ALIF_Y2015!$A:$A,$A265,ALIF_Y2015!$F:$F)</f>
        <v>0</v>
      </c>
      <c r="E265" s="44">
        <f>SUMIF(ALIF_Y2016!$A:$A,$A265,ALIF_Y2016!$F:$F)</f>
        <v>0</v>
      </c>
      <c r="F265" s="44">
        <f>SUMIF(ALIF_Y2017!$A:$A,$A265,ALIF_Y2017!$F:$F)</f>
        <v>0</v>
      </c>
      <c r="G265" s="44">
        <f>SUMIF(ALIF_Y2018!$A:$A,$A265,ALIF_Y2018!$F:$F)</f>
        <v>0</v>
      </c>
      <c r="H265" s="44">
        <f>SUMIF(ALIF_Y2019!$A:$A,$A265,ALIF_Y2019!$F:$F)</f>
        <v>0</v>
      </c>
      <c r="I265" s="44">
        <f>SUMIF(ALIF_Y2020!$A:$A,$A265,ALIF_Y2020!$F:$F)</f>
        <v>0</v>
      </c>
      <c r="J265" s="44">
        <f>SUMIF(ALIF_Y2021!$A:$A,$A265,ALIF_Y2021!$F:$F)</f>
        <v>0</v>
      </c>
      <c r="K265" s="44">
        <f>SUMIF(ALIF_Y2022!$A:$A,$A265,ALIF_Y2022!$F:$F)</f>
        <v>0</v>
      </c>
      <c r="L265" s="44">
        <f>SUMIF(ALIF_Y2023!$A:$A,$A265,ALIF_Y2023!$F:$F)</f>
        <v>0</v>
      </c>
      <c r="M265" s="44">
        <f>SUMIF(ALIF_Y2024!$A:$A,$A265,ALIF_Y2024!$F:$F)</f>
        <v>0</v>
      </c>
      <c r="N265" s="44">
        <f>SUMIF(ALIF_Y2025!$A:$A,$A265,ALIF_Y2025!$F:$F)</f>
        <v>48402.084000000003</v>
      </c>
      <c r="O265" s="44">
        <f>SUMIF(TB_Input_Alif!$A:$A,$A265,TB_Input_Alif!$F:$F)</f>
        <v>121157.54399999999</v>
      </c>
      <c r="P265" s="43" t="str">
        <f>_xlfn.XLOOKUP(A265,Map!A:A,Map!E:E)</f>
        <v>Utilities</v>
      </c>
      <c r="Q265" s="43" t="str">
        <f>_xlfn.XLOOKUP(A265,Map!A:A,Map!D:D)</f>
        <v>General and Admin</v>
      </c>
    </row>
    <row r="266" spans="1:17" x14ac:dyDescent="0.25">
      <c r="A266" s="42">
        <v>700076</v>
      </c>
      <c r="B266" s="43" t="s">
        <v>1095</v>
      </c>
      <c r="C266" s="44">
        <f>SUMIF(ALIF_Y2014!$A:$A,$A266,ALIF_Y2014!$F:$F)</f>
        <v>0</v>
      </c>
      <c r="D266" s="44">
        <f>SUMIF(ALIF_Y2015!$A:$A,$A266,ALIF_Y2015!$F:$F)</f>
        <v>0</v>
      </c>
      <c r="E266" s="44">
        <f>SUMIF(ALIF_Y2016!$A:$A,$A266,ALIF_Y2016!$F:$F)</f>
        <v>0</v>
      </c>
      <c r="F266" s="44">
        <f>SUMIF(ALIF_Y2017!$A:$A,$A266,ALIF_Y2017!$F:$F)</f>
        <v>0</v>
      </c>
      <c r="G266" s="44">
        <f>SUMIF(ALIF_Y2018!$A:$A,$A266,ALIF_Y2018!$F:$F)</f>
        <v>0</v>
      </c>
      <c r="H266" s="44">
        <f>SUMIF(ALIF_Y2019!$A:$A,$A266,ALIF_Y2019!$F:$F)</f>
        <v>0</v>
      </c>
      <c r="I266" s="44">
        <f>SUMIF(ALIF_Y2020!$A:$A,$A266,ALIF_Y2020!$F:$F)</f>
        <v>0</v>
      </c>
      <c r="J266" s="44">
        <f>SUMIF(ALIF_Y2021!$A:$A,$A266,ALIF_Y2021!$F:$F)</f>
        <v>0</v>
      </c>
      <c r="K266" s="44">
        <f>SUMIF(ALIF_Y2022!$A:$A,$A266,ALIF_Y2022!$F:$F)</f>
        <v>0</v>
      </c>
      <c r="L266" s="44">
        <f>SUMIF(ALIF_Y2023!$A:$A,$A266,ALIF_Y2023!$F:$F)</f>
        <v>0</v>
      </c>
      <c r="M266" s="44">
        <f>SUMIF(ALIF_Y2024!$A:$A,$A266,ALIF_Y2024!$F:$F)</f>
        <v>0</v>
      </c>
      <c r="N266" s="44">
        <f>SUMIF(ALIF_Y2025!$A:$A,$A266,ALIF_Y2025!$F:$F)</f>
        <v>5955.22</v>
      </c>
      <c r="O266" s="44">
        <f>SUMIF(TB_Input_Alif!$A:$A,$A266,TB_Input_Alif!$F:$F)</f>
        <v>90013</v>
      </c>
      <c r="P266" s="43" t="str">
        <f>_xlfn.XLOOKUP(A266,Map!A:A,Map!E:E)</f>
        <v>Utilities</v>
      </c>
      <c r="Q266" s="43" t="str">
        <f>_xlfn.XLOOKUP(A266,Map!A:A,Map!D:D)</f>
        <v>General and Admin</v>
      </c>
    </row>
    <row r="267" spans="1:17" x14ac:dyDescent="0.25">
      <c r="A267" s="42">
        <v>700077</v>
      </c>
      <c r="B267" s="43" t="s">
        <v>1096</v>
      </c>
      <c r="C267" s="44">
        <f>SUMIF(ALIF_Y2014!$A:$A,$A267,ALIF_Y2014!$F:$F)</f>
        <v>0</v>
      </c>
      <c r="D267" s="44">
        <f>SUMIF(ALIF_Y2015!$A:$A,$A267,ALIF_Y2015!$F:$F)</f>
        <v>0</v>
      </c>
      <c r="E267" s="44">
        <f>SUMIF(ALIF_Y2016!$A:$A,$A267,ALIF_Y2016!$F:$F)</f>
        <v>0</v>
      </c>
      <c r="F267" s="44">
        <f>SUMIF(ALIF_Y2017!$A:$A,$A267,ALIF_Y2017!$F:$F)</f>
        <v>0</v>
      </c>
      <c r="G267" s="44">
        <f>SUMIF(ALIF_Y2018!$A:$A,$A267,ALIF_Y2018!$F:$F)</f>
        <v>0</v>
      </c>
      <c r="H267" s="44">
        <f>SUMIF(ALIF_Y2019!$A:$A,$A267,ALIF_Y2019!$F:$F)</f>
        <v>0</v>
      </c>
      <c r="I267" s="44">
        <f>SUMIF(ALIF_Y2020!$A:$A,$A267,ALIF_Y2020!$F:$F)</f>
        <v>0</v>
      </c>
      <c r="J267" s="44">
        <f>SUMIF(ALIF_Y2021!$A:$A,$A267,ALIF_Y2021!$F:$F)</f>
        <v>0</v>
      </c>
      <c r="K267" s="44">
        <f>SUMIF(ALIF_Y2022!$A:$A,$A267,ALIF_Y2022!$F:$F)</f>
        <v>0</v>
      </c>
      <c r="L267" s="44">
        <f>SUMIF(ALIF_Y2023!$A:$A,$A267,ALIF_Y2023!$F:$F)</f>
        <v>0</v>
      </c>
      <c r="M267" s="44">
        <f>SUMIF(ALIF_Y2024!$A:$A,$A267,ALIF_Y2024!$F:$F)</f>
        <v>0</v>
      </c>
      <c r="N267" s="44">
        <f>SUMIF(ALIF_Y2025!$A:$A,$A267,ALIF_Y2025!$F:$F)</f>
        <v>547824.87899999996</v>
      </c>
      <c r="O267" s="44">
        <f>SUMIF(TB_Input_Alif!$A:$A,$A267,TB_Input_Alif!$F:$F)</f>
        <v>769080.27300000004</v>
      </c>
      <c r="P267" s="43" t="str">
        <f>_xlfn.XLOOKUP(A267,Map!A:A,Map!E:E)</f>
        <v>Freight and shipping expenses (S&amp;D)</v>
      </c>
      <c r="Q267" s="43" t="str">
        <f>_xlfn.XLOOKUP(A267,Map!A:A,Map!D:D)</f>
        <v>Selling and Marketing</v>
      </c>
    </row>
    <row r="268" spans="1:17" x14ac:dyDescent="0.25">
      <c r="A268" s="42">
        <v>800001</v>
      </c>
      <c r="B268" s="43" t="s">
        <v>1099</v>
      </c>
      <c r="C268" s="44">
        <f>SUMIF(ALIF_Y2014!$A:$A,$A268,ALIF_Y2014!$F:$F)</f>
        <v>0</v>
      </c>
      <c r="D268" s="44">
        <f>SUMIF(ALIF_Y2015!$A:$A,$A268,ALIF_Y2015!$F:$F)</f>
        <v>0</v>
      </c>
      <c r="E268" s="44">
        <f>SUMIF(ALIF_Y2016!$A:$A,$A268,ALIF_Y2016!$F:$F)</f>
        <v>0</v>
      </c>
      <c r="F268" s="44">
        <f>SUMIF(ALIF_Y2017!$A:$A,$A268,ALIF_Y2017!$F:$F)</f>
        <v>0</v>
      </c>
      <c r="G268" s="44">
        <f>SUMIF(ALIF_Y2018!$A:$A,$A268,ALIF_Y2018!$F:$F)</f>
        <v>0</v>
      </c>
      <c r="H268" s="44">
        <f>SUMIF(ALIF_Y2019!$A:$A,$A268,ALIF_Y2019!$F:$F)</f>
        <v>0</v>
      </c>
      <c r="I268" s="44">
        <f>SUMIF(ALIF_Y2020!$A:$A,$A268,ALIF_Y2020!$F:$F)</f>
        <v>-444285</v>
      </c>
      <c r="J268" s="44">
        <f>SUMIF(ALIF_Y2021!$A:$A,$A268,ALIF_Y2021!$F:$F)</f>
        <v>0</v>
      </c>
      <c r="K268" s="44">
        <f>SUMIF(ALIF_Y2022!$A:$A,$A268,ALIF_Y2022!$F:$F)</f>
        <v>0</v>
      </c>
      <c r="L268" s="44">
        <f>SUMIF(ALIF_Y2023!$A:$A,$A268,ALIF_Y2023!$F:$F)</f>
        <v>0</v>
      </c>
      <c r="M268" s="44">
        <f>SUMIF(ALIF_Y2024!$A:$A,$A268,ALIF_Y2024!$F:$F)</f>
        <v>0</v>
      </c>
      <c r="N268" s="44">
        <f>SUMIF(ALIF_Y2025!$A:$A,$A268,ALIF_Y2025!$F:$F)</f>
        <v>0</v>
      </c>
      <c r="O268" s="44">
        <f>SUMIF(TB_Input_Alif!$A:$A,$A268,TB_Input_Alif!$F:$F)</f>
        <v>-1691645.327</v>
      </c>
      <c r="P268" s="43" t="str">
        <f>_xlfn.XLOOKUP(A268,Map!A:A,Map!E:E)</f>
        <v>Salaries and wages</v>
      </c>
      <c r="Q268" s="43" t="str">
        <f>_xlfn.XLOOKUP(A268,Map!A:A,Map!D:D)</f>
        <v>General and Admin</v>
      </c>
    </row>
    <row r="269" spans="1:17" x14ac:dyDescent="0.25">
      <c r="A269" s="42">
        <v>800002</v>
      </c>
      <c r="B269" s="43" t="s">
        <v>1100</v>
      </c>
      <c r="C269" s="44">
        <f>SUMIF(ALIF_Y2014!$A:$A,$A269,ALIF_Y2014!$F:$F)</f>
        <v>0</v>
      </c>
      <c r="D269" s="44">
        <f>SUMIF(ALIF_Y2015!$A:$A,$A269,ALIF_Y2015!$F:$F)</f>
        <v>0</v>
      </c>
      <c r="E269" s="44">
        <f>SUMIF(ALIF_Y2016!$A:$A,$A269,ALIF_Y2016!$F:$F)</f>
        <v>0</v>
      </c>
      <c r="F269" s="44">
        <f>SUMIF(ALIF_Y2017!$A:$A,$A269,ALIF_Y2017!$F:$F)</f>
        <v>0</v>
      </c>
      <c r="G269" s="44">
        <f>SUMIF(ALIF_Y2018!$A:$A,$A269,ALIF_Y2018!$F:$F)</f>
        <v>0</v>
      </c>
      <c r="H269" s="44">
        <f>SUMIF(ALIF_Y2019!$A:$A,$A269,ALIF_Y2019!$F:$F)</f>
        <v>0</v>
      </c>
      <c r="I269" s="44">
        <f>SUMIF(ALIF_Y2020!$A:$A,$A269,ALIF_Y2020!$F:$F)</f>
        <v>0</v>
      </c>
      <c r="J269" s="44">
        <f>SUMIF(ALIF_Y2021!$A:$A,$A269,ALIF_Y2021!$F:$F)</f>
        <v>0</v>
      </c>
      <c r="K269" s="44">
        <f>SUMIF(ALIF_Y2022!$A:$A,$A269,ALIF_Y2022!$F:$F)</f>
        <v>700886</v>
      </c>
      <c r="L269" s="44">
        <f>SUMIF(ALIF_Y2023!$A:$A,$A269,ALIF_Y2023!$F:$F)</f>
        <v>0</v>
      </c>
      <c r="M269" s="44">
        <f>SUMIF(ALIF_Y2024!$A:$A,$A269,ALIF_Y2024!$F:$F)</f>
        <v>0</v>
      </c>
      <c r="N269" s="44">
        <f>SUMIF(ALIF_Y2025!$A:$A,$A269,ALIF_Y2025!$F:$F)</f>
        <v>0</v>
      </c>
      <c r="O269" s="44">
        <f>SUMIF(TB_Input_Alif!$A:$A,$A269,TB_Input_Alif!$F:$F)</f>
        <v>0</v>
      </c>
      <c r="P269" s="43" t="str">
        <f>_xlfn.XLOOKUP(A269,Map!A:A,Map!E:E)</f>
        <v>AIMS expenses</v>
      </c>
      <c r="Q269" s="43" t="str">
        <f>_xlfn.XLOOKUP(A269,Map!A:A,Map!D:D)</f>
        <v>General and Admin</v>
      </c>
    </row>
    <row r="270" spans="1:17" x14ac:dyDescent="0.25">
      <c r="C270" s="44"/>
      <c r="D270" s="44"/>
      <c r="E270" s="44"/>
      <c r="F270" s="44"/>
      <c r="G270" s="44"/>
      <c r="H270" s="44"/>
      <c r="I270" s="44"/>
      <c r="J270" s="44"/>
      <c r="K270" s="44"/>
      <c r="L270" s="44"/>
      <c r="M270" s="44"/>
      <c r="N270" s="44"/>
    </row>
    <row r="271" spans="1:17" x14ac:dyDescent="0.25">
      <c r="A271" s="40"/>
      <c r="C271" s="45">
        <f t="shared" ref="C271:O271" si="0">SUBTOTAL(9,C4:C270)</f>
        <v>3603438.4757386544</v>
      </c>
      <c r="D271" s="45">
        <f t="shared" si="0"/>
        <v>1318911.1681678605</v>
      </c>
      <c r="E271" s="45">
        <f t="shared" si="0"/>
        <v>3619649.0155236372</v>
      </c>
      <c r="F271" s="45">
        <f t="shared" si="0"/>
        <v>3261022.817745667</v>
      </c>
      <c r="G271" s="45">
        <f t="shared" si="0"/>
        <v>485044.32859635341</v>
      </c>
      <c r="H271" s="45">
        <f t="shared" si="0"/>
        <v>1089346.1037622602</v>
      </c>
      <c r="I271" s="45">
        <f t="shared" si="0"/>
        <v>1237901.2930186887</v>
      </c>
      <c r="J271" s="45">
        <f t="shared" si="0"/>
        <v>1339380.2474531156</v>
      </c>
      <c r="K271" s="45">
        <f t="shared" si="0"/>
        <v>425547.77936477755</v>
      </c>
      <c r="L271" s="45">
        <f t="shared" si="0"/>
        <v>76050.679642981457</v>
      </c>
      <c r="M271" s="45">
        <f t="shared" si="0"/>
        <v>-4393628.9131689668</v>
      </c>
      <c r="N271" s="45">
        <f t="shared" si="0"/>
        <v>-1566334.3801694426</v>
      </c>
      <c r="O271" s="45">
        <f t="shared" si="0"/>
        <v>-718418.82900007372</v>
      </c>
    </row>
  </sheetData>
  <autoFilter ref="A3:Q269" xr:uid="{00000000-0009-0000-0000-000011000000}"/>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1:P56"/>
  <sheetViews>
    <sheetView showGridLines="0" zoomScale="90" workbookViewId="0">
      <pane ySplit="17" topLeftCell="A18" activePane="bottomLeft" state="frozen"/>
      <selection pane="bottomLeft"/>
    </sheetView>
  </sheetViews>
  <sheetFormatPr defaultRowHeight="15" x14ac:dyDescent="0.25"/>
  <cols>
    <col min="1" max="1" width="2.5703125" customWidth="1"/>
    <col min="2" max="2" width="26.7109375" customWidth="1"/>
    <col min="3" max="3" width="1.28515625" customWidth="1"/>
    <col min="4" max="6" width="12" customWidth="1"/>
    <col min="8" max="9" width="12" customWidth="1"/>
    <col min="11" max="12" width="12" customWidth="1"/>
    <col min="14" max="15" width="12" customWidth="1"/>
    <col min="16" max="16" width="15" customWidth="1"/>
  </cols>
  <sheetData>
    <row r="1" spans="1:16" x14ac:dyDescent="0.25">
      <c r="A1" s="46" t="s">
        <v>1207</v>
      </c>
      <c r="B1" s="47"/>
      <c r="D1" s="48"/>
      <c r="E1" s="48"/>
      <c r="K1" s="48"/>
    </row>
    <row r="2" spans="1:16" x14ac:dyDescent="0.25">
      <c r="A2" s="46" t="s">
        <v>1208</v>
      </c>
      <c r="B2" s="49"/>
    </row>
    <row r="3" spans="1:16" x14ac:dyDescent="0.25">
      <c r="A3" s="46" t="s">
        <v>1209</v>
      </c>
      <c r="B3" s="49"/>
      <c r="D3" s="50"/>
      <c r="E3" s="51"/>
      <c r="F3" s="52">
        <v>1</v>
      </c>
      <c r="G3" s="52"/>
      <c r="H3" s="52"/>
      <c r="I3" s="52"/>
      <c r="J3" s="52"/>
      <c r="K3" s="53"/>
      <c r="L3" s="52">
        <v>2</v>
      </c>
      <c r="M3" s="52"/>
      <c r="N3" s="52"/>
      <c r="O3" s="52"/>
      <c r="P3" s="54" t="s">
        <v>1210</v>
      </c>
    </row>
    <row r="4" spans="1:16" x14ac:dyDescent="0.25">
      <c r="B4" s="49"/>
      <c r="D4" s="55"/>
      <c r="E4" s="56"/>
      <c r="F4" s="57"/>
      <c r="G4" s="57"/>
      <c r="K4" s="56"/>
      <c r="L4" s="57"/>
      <c r="M4" s="57"/>
    </row>
    <row r="5" spans="1:16" ht="15" customHeight="1" x14ac:dyDescent="0.25">
      <c r="B5" s="49"/>
      <c r="D5" s="58" t="s">
        <v>1190</v>
      </c>
      <c r="E5" s="58" t="s">
        <v>1191</v>
      </c>
      <c r="F5" s="58" t="s">
        <v>1192</v>
      </c>
      <c r="G5" s="58" t="s">
        <v>1193</v>
      </c>
      <c r="H5" s="58" t="s">
        <v>1194</v>
      </c>
      <c r="I5" s="58" t="s">
        <v>1195</v>
      </c>
      <c r="J5" s="58" t="s">
        <v>1196</v>
      </c>
      <c r="K5" s="58" t="s">
        <v>1197</v>
      </c>
      <c r="L5" s="58" t="s">
        <v>1198</v>
      </c>
      <c r="M5" s="58" t="s">
        <v>1199</v>
      </c>
      <c r="N5" s="58" t="s">
        <v>1200</v>
      </c>
      <c r="O5" s="58" t="s">
        <v>1201</v>
      </c>
      <c r="P5" s="59" t="s">
        <v>1211</v>
      </c>
    </row>
    <row r="6" spans="1:16" x14ac:dyDescent="0.25">
      <c r="B6" s="49" t="s">
        <v>737</v>
      </c>
      <c r="D6" s="48"/>
      <c r="E6" s="60"/>
      <c r="F6" s="60"/>
      <c r="G6" s="60"/>
      <c r="K6" s="60"/>
      <c r="L6" s="60"/>
      <c r="M6" s="60"/>
    </row>
    <row r="7" spans="1:16" x14ac:dyDescent="0.25">
      <c r="B7" s="61" t="s">
        <v>742</v>
      </c>
      <c r="D7" s="62">
        <f>SUMIF(ALIF_Y2014!$I:$I,$B7,ALIF_Y2014!$F:$F)</f>
        <v>11085979.221000001</v>
      </c>
      <c r="E7" s="62">
        <f>SUMIF(ALIF_Y2015!$I:$I,$B7,ALIF_Y2015!$F:$F)</f>
        <v>4470130.79</v>
      </c>
      <c r="F7" s="62">
        <f>SUMIF(ALIF_Y2016!$I:$I,$B7,ALIF_Y2016!$F:$F)</f>
        <v>4689654.82</v>
      </c>
      <c r="G7" s="62">
        <f>SUMIF(ALIF_Y2017!$I:$I,$B7,ALIF_Y2017!$F:$F)</f>
        <v>7257276.1430000011</v>
      </c>
      <c r="H7" s="62">
        <f>SUMIF(ALIF_Y2018!$I:$I,$B7,ALIF_Y2018!$F:$F)</f>
        <v>8817544.4199999999</v>
      </c>
      <c r="I7" s="62">
        <f>SUMIF(ALIF_Y2019!$I:$I,$B7,ALIF_Y2019!$F:$F)</f>
        <v>6590029.9899999993</v>
      </c>
      <c r="J7" s="62">
        <f>SUMIF(ALIF_Y2020!$I:$I,$B7,ALIF_Y2020!$F:$F)</f>
        <v>40745293.011</v>
      </c>
      <c r="K7" s="62">
        <f>SUMIF(ALIF_Y2021!$I:$I,$B7,ALIF_Y2021!$F:$F)</f>
        <v>10651132.045</v>
      </c>
      <c r="L7" s="62">
        <f>SUMIF(ALIF_Y2022!$I:$I,$B7,ALIF_Y2022!$F:$F)</f>
        <v>13695028.931</v>
      </c>
      <c r="M7" s="62">
        <f>SUMIF(ALIF_Y2023!$I:$I,$B7,ALIF_Y2023!$F:$F)</f>
        <v>4063524.3990000007</v>
      </c>
      <c r="N7" s="62">
        <f>SUMIF(ALIF_Y2024!$I:$I,$B7,ALIF_Y2024!$F:$F)</f>
        <v>1103703.8669999999</v>
      </c>
      <c r="O7" s="62">
        <f>SUMIF(ALIF_Y2025!$I:$I,$B7,ALIF_Y2025!$F:$F)</f>
        <v>1510704.9779999997</v>
      </c>
      <c r="P7" s="62">
        <f>SUMIFS(TB_Input_Alif!$F:$F,TB_Input_Alif!$I:$I,$B7,TB_Input_Alif!$G:$G,"BS")</f>
        <v>30034455.425999999</v>
      </c>
    </row>
    <row r="8" spans="1:16" x14ac:dyDescent="0.25">
      <c r="B8" s="61" t="s">
        <v>739</v>
      </c>
      <c r="D8" s="63">
        <f>SUMIF(ALIF_Y2014!$I:$I,$B8,ALIF_Y2014!$F:$F)</f>
        <v>34778327.274999999</v>
      </c>
      <c r="E8" s="63">
        <f>SUMIF(ALIF_Y2015!$I:$I,$B8,ALIF_Y2015!$F:$F)</f>
        <v>35513977.460000001</v>
      </c>
      <c r="F8" s="63">
        <f>SUMIF(ALIF_Y2016!$I:$I,$B8,ALIF_Y2016!$F:$F)</f>
        <v>36110502.079999998</v>
      </c>
      <c r="G8" s="63">
        <f>SUMIF(ALIF_Y2017!$I:$I,$B8,ALIF_Y2017!$F:$F)</f>
        <v>35801104.203000002</v>
      </c>
      <c r="H8" s="63">
        <f>SUMIF(ALIF_Y2018!$I:$I,$B8,ALIF_Y2018!$F:$F)</f>
        <v>34900865.947999999</v>
      </c>
      <c r="I8" s="63">
        <f>SUMIF(ALIF_Y2019!$I:$I,$B8,ALIF_Y2019!$F:$F)</f>
        <v>40286632.229000002</v>
      </c>
      <c r="J8" s="63">
        <f>SUMIF(ALIF_Y2020!$I:$I,$B8,ALIF_Y2020!$F:$F)</f>
        <v>35451876.857000001</v>
      </c>
      <c r="K8" s="63">
        <f>SUMIF(ALIF_Y2021!$I:$I,$B8,ALIF_Y2021!$F:$F)</f>
        <v>59814194.835000001</v>
      </c>
      <c r="L8" s="63">
        <f>SUMIF(ALIF_Y2022!$I:$I,$B8,ALIF_Y2022!$F:$F)</f>
        <v>69444422.419</v>
      </c>
      <c r="M8" s="63">
        <f>SUMIF(ALIF_Y2023!$I:$I,$B8,ALIF_Y2023!$F:$F)</f>
        <v>32974816.363000002</v>
      </c>
      <c r="N8" s="63">
        <f>SUMIF(ALIF_Y2024!$I:$I,$B8,ALIF_Y2024!$F:$F)</f>
        <v>45208932.280000001</v>
      </c>
      <c r="O8" s="63">
        <f>SUMIF(ALIF_Y2025!$I:$I,$B8,ALIF_Y2025!$F:$F)</f>
        <v>34614827.501000002</v>
      </c>
      <c r="P8" s="63">
        <f>SUMIFS(TB_Input_Alif!$F:$F,TB_Input_Alif!$I:$I,$B8,TB_Input_Alif!$G:$G,"BS")</f>
        <v>21529784.529504996</v>
      </c>
    </row>
    <row r="9" spans="1:16" x14ac:dyDescent="0.25">
      <c r="B9" s="61" t="s">
        <v>741</v>
      </c>
      <c r="D9" s="63">
        <f>SUMIF(ALIF_Y2014!$I:$I,$B9,ALIF_Y2014!$F:$F)</f>
        <v>8670708.6090000011</v>
      </c>
      <c r="E9" s="63">
        <f>SUMIF(ALIF_Y2015!$I:$I,$B9,ALIF_Y2015!$F:$F)</f>
        <v>7700042.426</v>
      </c>
      <c r="F9" s="63">
        <f>SUMIF(ALIF_Y2016!$I:$I,$B9,ALIF_Y2016!$F:$F)</f>
        <v>6566761.4589999998</v>
      </c>
      <c r="G9" s="63">
        <f>SUMIF(ALIF_Y2017!$I:$I,$B9,ALIF_Y2017!$F:$F)</f>
        <v>13100547.521</v>
      </c>
      <c r="H9" s="63">
        <f>SUMIF(ALIF_Y2018!$I:$I,$B9,ALIF_Y2018!$F:$F)</f>
        <v>10942639.300000001</v>
      </c>
      <c r="I9" s="63">
        <f>SUMIF(ALIF_Y2019!$I:$I,$B9,ALIF_Y2019!$F:$F)</f>
        <v>8522666.029000001</v>
      </c>
      <c r="J9" s="63">
        <f>SUMIF(ALIF_Y2020!$I:$I,$B9,ALIF_Y2020!$F:$F)</f>
        <v>3692329.5420000004</v>
      </c>
      <c r="K9" s="63">
        <f>SUMIF(ALIF_Y2021!$I:$I,$B9,ALIF_Y2021!$F:$F)</f>
        <v>5210137.9289999995</v>
      </c>
      <c r="L9" s="63">
        <f>SUMIF(ALIF_Y2022!$I:$I,$B9,ALIF_Y2022!$F:$F)</f>
        <v>1107166.024</v>
      </c>
      <c r="M9" s="63">
        <f>SUMIF(ALIF_Y2023!$I:$I,$B9,ALIF_Y2023!$F:$F)</f>
        <v>4772239.2369999997</v>
      </c>
      <c r="N9" s="63">
        <f>SUMIF(ALIF_Y2024!$I:$I,$B9,ALIF_Y2024!$F:$F)</f>
        <v>14758203.785</v>
      </c>
      <c r="O9" s="63">
        <f>SUMIF(ALIF_Y2025!$I:$I,$B9,ALIF_Y2025!$F:$F)</f>
        <v>10384902.995000001</v>
      </c>
      <c r="P9" s="63">
        <f>SUMIFS(TB_Input_Alif!$F:$F,TB_Input_Alif!$I:$I,$B9,TB_Input_Alif!$G:$G,"BS")</f>
        <v>10246500.894000001</v>
      </c>
    </row>
    <row r="10" spans="1:16" x14ac:dyDescent="0.25">
      <c r="B10" s="61" t="s">
        <v>738</v>
      </c>
      <c r="D10" s="63">
        <f>SUMIF(ALIF_Y2014!$I:$I,$B10,ALIF_Y2014!$F:$F)</f>
        <v>34065376.359000005</v>
      </c>
      <c r="E10" s="63">
        <f>SUMIF(ALIF_Y2015!$I:$I,$B10,ALIF_Y2015!$F:$F)</f>
        <v>28412734</v>
      </c>
      <c r="F10" s="63">
        <f>SUMIF(ALIF_Y2016!$I:$I,$B10,ALIF_Y2016!$F:$F)</f>
        <v>31557770.992000006</v>
      </c>
      <c r="G10" s="63">
        <f>SUMIF(ALIF_Y2017!$I:$I,$B10,ALIF_Y2017!$F:$F)</f>
        <v>25847130.508000001</v>
      </c>
      <c r="H10" s="63">
        <f>SUMIF(ALIF_Y2018!$I:$I,$B10,ALIF_Y2018!$F:$F)</f>
        <v>65632733.660999998</v>
      </c>
      <c r="I10" s="63">
        <f>SUMIF(ALIF_Y2019!$I:$I,$B10,ALIF_Y2019!$F:$F)</f>
        <v>63336467.600999996</v>
      </c>
      <c r="J10" s="63">
        <f>SUMIF(ALIF_Y2020!$I:$I,$B10,ALIF_Y2020!$F:$F)</f>
        <v>45810720.601000004</v>
      </c>
      <c r="K10" s="63">
        <f>SUMIF(ALIF_Y2021!$I:$I,$B10,ALIF_Y2021!$F:$F)</f>
        <v>60639675.158</v>
      </c>
      <c r="L10" s="63">
        <f>SUMIF(ALIF_Y2022!$I:$I,$B10,ALIF_Y2022!$F:$F)</f>
        <v>93415465.147000015</v>
      </c>
      <c r="M10" s="63">
        <f>SUMIF(ALIF_Y2023!$I:$I,$B10,ALIF_Y2023!$F:$F)</f>
        <v>45411604.563999996</v>
      </c>
      <c r="N10" s="63">
        <f>SUMIF(ALIF_Y2024!$I:$I,$B10,ALIF_Y2024!$F:$F)</f>
        <v>59932684.778999999</v>
      </c>
      <c r="O10" s="63">
        <f>SUMIF(ALIF_Y2025!$I:$I,$B10,ALIF_Y2025!$F:$F)</f>
        <v>118029748.70999999</v>
      </c>
      <c r="P10" s="63">
        <f>SUMIFS(TB_Input_Alif!$F:$F,TB_Input_Alif!$I:$I,$B10,TB_Input_Alif!$G:$G,"BS")</f>
        <v>68750141.290959969</v>
      </c>
    </row>
    <row r="11" spans="1:16" x14ac:dyDescent="0.25">
      <c r="B11" s="49" t="s">
        <v>180</v>
      </c>
      <c r="D11" s="64">
        <f t="shared" ref="D11:P11" si="0">SUM(D7:D10)</f>
        <v>88600391.464000016</v>
      </c>
      <c r="E11" s="64">
        <f t="shared" si="0"/>
        <v>76096884.675999999</v>
      </c>
      <c r="F11" s="64">
        <f t="shared" si="0"/>
        <v>78924689.351000011</v>
      </c>
      <c r="G11" s="64">
        <f t="shared" si="0"/>
        <v>82006058.375</v>
      </c>
      <c r="H11" s="64">
        <f t="shared" si="0"/>
        <v>120293783.329</v>
      </c>
      <c r="I11" s="64">
        <f t="shared" si="0"/>
        <v>118735795.84900001</v>
      </c>
      <c r="J11" s="64">
        <f t="shared" si="0"/>
        <v>125700220.01100001</v>
      </c>
      <c r="K11" s="64">
        <f t="shared" si="0"/>
        <v>136315139.96700001</v>
      </c>
      <c r="L11" s="64">
        <f t="shared" si="0"/>
        <v>177662082.52100003</v>
      </c>
      <c r="M11" s="64">
        <f t="shared" si="0"/>
        <v>87222184.562999994</v>
      </c>
      <c r="N11" s="64">
        <f t="shared" si="0"/>
        <v>121003524.711</v>
      </c>
      <c r="O11" s="64">
        <f t="shared" si="0"/>
        <v>164540184.18400002</v>
      </c>
      <c r="P11" s="64">
        <f t="shared" si="0"/>
        <v>130560882.14046496</v>
      </c>
    </row>
    <row r="12" spans="1:16" x14ac:dyDescent="0.25">
      <c r="B12" s="61"/>
      <c r="D12" s="65"/>
      <c r="E12" s="65"/>
      <c r="F12" s="65"/>
      <c r="G12" s="65"/>
      <c r="H12" s="65"/>
      <c r="I12" s="65"/>
      <c r="J12" s="65"/>
      <c r="K12" s="65"/>
      <c r="L12" s="65"/>
      <c r="M12" s="65"/>
      <c r="N12" s="65"/>
      <c r="O12" s="65"/>
    </row>
    <row r="13" spans="1:16" x14ac:dyDescent="0.25">
      <c r="B13" s="49" t="s">
        <v>733</v>
      </c>
      <c r="D13" s="63"/>
      <c r="E13" s="63"/>
      <c r="F13" s="63"/>
      <c r="G13" s="63"/>
      <c r="H13" s="63"/>
      <c r="I13" s="63"/>
      <c r="J13" s="63"/>
      <c r="K13" s="63"/>
      <c r="L13" s="63"/>
      <c r="M13" s="63"/>
      <c r="N13" s="63"/>
      <c r="O13" s="63"/>
    </row>
    <row r="14" spans="1:16" x14ac:dyDescent="0.25">
      <c r="B14" s="61" t="s">
        <v>736</v>
      </c>
      <c r="D14" s="63">
        <f>SUMIF(ALIF_Y2014!$I:$I,$B14,ALIF_Y2014!$F:$F)</f>
        <v>0</v>
      </c>
      <c r="E14" s="63">
        <f>SUMIF(ALIF_Y2015!$I:$I,$B14,ALIF_Y2015!$F:$F)</f>
        <v>0</v>
      </c>
      <c r="F14" s="63">
        <f>SUMIF(ALIF_Y2016!$I:$I,$B14,ALIF_Y2016!$F:$F)</f>
        <v>0</v>
      </c>
      <c r="G14" s="63">
        <f>SUMIF(ALIF_Y2017!$I:$I,$B14,ALIF_Y2017!$F:$F)</f>
        <v>0</v>
      </c>
      <c r="H14" s="63">
        <f>SUMIF(ALIF_Y2018!$I:$I,$B14,ALIF_Y2018!$F:$F)</f>
        <v>0</v>
      </c>
      <c r="I14" s="63">
        <f>SUMIF(ALIF_Y2019!$I:$I,$B14,ALIF_Y2019!$F:$F)</f>
        <v>0</v>
      </c>
      <c r="J14" s="63">
        <f>SUMIF(ALIF_Y2020!$I:$I,$B14,ALIF_Y2020!$F:$F)</f>
        <v>0</v>
      </c>
      <c r="K14" s="63">
        <f>SUMIF(ALIF_Y2021!$I:$I,$B14,ALIF_Y2021!$F:$F)</f>
        <v>0</v>
      </c>
      <c r="L14" s="63">
        <f>SUMIF(ALIF_Y2022!$I:$I,$B14,ALIF_Y2022!$F:$F)</f>
        <v>0</v>
      </c>
      <c r="M14" s="63">
        <f>SUMIF(ALIF_Y2023!$I:$I,$B14,ALIF_Y2023!$F:$F)</f>
        <v>0</v>
      </c>
      <c r="N14" s="63">
        <f>SUMIF(ALIF_Y2024!$I:$I,$B14,ALIF_Y2024!$F:$F)</f>
        <v>0</v>
      </c>
      <c r="O14" s="63">
        <f>SUMIF(ALIF_Y2025!$I:$I,$B14,ALIF_Y2025!$F:$F)</f>
        <v>0</v>
      </c>
      <c r="P14" s="63">
        <f>SUMIFS(TB_Input_Alif!$F:$F,TB_Input_Alif!$I:$I,$B14,TB_Input_Alif!$G:$G,"BS")</f>
        <v>0</v>
      </c>
    </row>
    <row r="15" spans="1:16" x14ac:dyDescent="0.25">
      <c r="B15" s="61" t="s">
        <v>734</v>
      </c>
      <c r="D15" s="63">
        <f>SUMIF(ALIF_Y2014!$I:$I,$B15,ALIF_Y2014!$F:$F)</f>
        <v>19388806.166000009</v>
      </c>
      <c r="E15" s="63">
        <f>SUMIF(ALIF_Y2015!$I:$I,$B15,ALIF_Y2015!$F:$F)</f>
        <v>27222645.847000003</v>
      </c>
      <c r="F15" s="63">
        <f>SUMIF(ALIF_Y2016!$I:$I,$B15,ALIF_Y2016!$F:$F)</f>
        <v>113167188.12099999</v>
      </c>
      <c r="G15" s="63">
        <f>SUMIF(ALIF_Y2017!$I:$I,$B15,ALIF_Y2017!$F:$F)</f>
        <v>116002902.86300002</v>
      </c>
      <c r="H15" s="63">
        <f>SUMIF(ALIF_Y2018!$I:$I,$B15,ALIF_Y2018!$F:$F)</f>
        <v>140385357.215</v>
      </c>
      <c r="I15" s="63">
        <f>SUMIF(ALIF_Y2019!$I:$I,$B15,ALIF_Y2019!$F:$F)</f>
        <v>142788671.16799995</v>
      </c>
      <c r="J15" s="63">
        <f>SUMIF(ALIF_Y2020!$I:$I,$B15,ALIF_Y2020!$F:$F)</f>
        <v>138880518.40299997</v>
      </c>
      <c r="K15" s="63">
        <f>SUMIF(ALIF_Y2021!$I:$I,$B15,ALIF_Y2021!$F:$F)</f>
        <v>135639533.60699999</v>
      </c>
      <c r="L15" s="63">
        <f>SUMIF(ALIF_Y2022!$I:$I,$B15,ALIF_Y2022!$F:$F)</f>
        <v>138263240.44300002</v>
      </c>
      <c r="M15" s="63">
        <f>SUMIF(ALIF_Y2023!$I:$I,$B15,ALIF_Y2023!$F:$F)</f>
        <v>131286930.59299996</v>
      </c>
      <c r="N15" s="63">
        <f>SUMIF(ALIF_Y2024!$I:$I,$B15,ALIF_Y2024!$F:$F)</f>
        <v>138640617.66499999</v>
      </c>
      <c r="O15" s="63">
        <f>SUMIF(ALIF_Y2025!$I:$I,$B15,ALIF_Y2025!$F:$F)</f>
        <v>158139746.32000002</v>
      </c>
      <c r="P15" s="63">
        <f>SUMIFS(TB_Input_Alif!$F:$F,TB_Input_Alif!$I:$I,$B15,TB_Input_Alif!$G:$G,"BS")</f>
        <v>156384413.61086935</v>
      </c>
    </row>
    <row r="16" spans="1:16" x14ac:dyDescent="0.25">
      <c r="B16" s="61" t="s">
        <v>735</v>
      </c>
      <c r="D16" s="63">
        <f>SUMIF(ALIF_Y2014!$I:$I,$B16,ALIF_Y2014!$F:$F)</f>
        <v>0</v>
      </c>
      <c r="E16" s="63">
        <f>SUMIF(ALIF_Y2015!$I:$I,$B16,ALIF_Y2015!$F:$F)</f>
        <v>0</v>
      </c>
      <c r="F16" s="63">
        <f>SUMIF(ALIF_Y2016!$I:$I,$B16,ALIF_Y2016!$F:$F)</f>
        <v>0</v>
      </c>
      <c r="G16" s="63">
        <f>SUMIF(ALIF_Y2017!$I:$I,$B16,ALIF_Y2017!$F:$F)</f>
        <v>0</v>
      </c>
      <c r="H16" s="63">
        <f>SUMIF(ALIF_Y2018!$I:$I,$B16,ALIF_Y2018!$F:$F)</f>
        <v>0</v>
      </c>
      <c r="I16" s="63">
        <f>SUMIF(ALIF_Y2019!$I:$I,$B16,ALIF_Y2019!$F:$F)</f>
        <v>1995348</v>
      </c>
      <c r="J16" s="63">
        <f>SUMIF(ALIF_Y2020!$I:$I,$B16,ALIF_Y2020!$F:$F)</f>
        <v>1846625.4920000001</v>
      </c>
      <c r="K16" s="63">
        <f>SUMIF(ALIF_Y2021!$I:$I,$B16,ALIF_Y2021!$F:$F)</f>
        <v>1686512.4920000001</v>
      </c>
      <c r="L16" s="63">
        <f>SUMIF(ALIF_Y2022!$I:$I,$B16,ALIF_Y2022!$F:$F)</f>
        <v>1537181.0789999999</v>
      </c>
      <c r="M16" s="63">
        <f>SUMIF(ALIF_Y2023!$I:$I,$B16,ALIF_Y2023!$F:$F)</f>
        <v>1374274.0830000001</v>
      </c>
      <c r="N16" s="63">
        <f>SUMIF(ALIF_Y2024!$I:$I,$B16,ALIF_Y2024!$F:$F)</f>
        <v>1225552.4790000001</v>
      </c>
      <c r="O16" s="63">
        <f>SUMIF(ALIF_Y2025!$I:$I,$B16,ALIF_Y2025!$F:$F)</f>
        <v>2545644.352</v>
      </c>
      <c r="P16" s="63">
        <f>SUMIFS(TB_Input_Alif!$F:$F,TB_Input_Alif!$I:$I,$B16,TB_Input_Alif!$G:$G,"BS")</f>
        <v>978082.35400000005</v>
      </c>
    </row>
    <row r="17" spans="2:16" x14ac:dyDescent="0.25">
      <c r="B17" s="49" t="s">
        <v>169</v>
      </c>
      <c r="D17" s="64">
        <f t="shared" ref="D17:P17" si="1">SUM(D14:D16)</f>
        <v>19388806.166000009</v>
      </c>
      <c r="E17" s="64">
        <f t="shared" si="1"/>
        <v>27222645.847000003</v>
      </c>
      <c r="F17" s="64">
        <f t="shared" si="1"/>
        <v>113167188.12099999</v>
      </c>
      <c r="G17" s="64">
        <f t="shared" si="1"/>
        <v>116002902.86300002</v>
      </c>
      <c r="H17" s="64">
        <f t="shared" si="1"/>
        <v>140385357.215</v>
      </c>
      <c r="I17" s="64">
        <f t="shared" si="1"/>
        <v>144784019.16799995</v>
      </c>
      <c r="J17" s="64">
        <f t="shared" si="1"/>
        <v>140727143.89499998</v>
      </c>
      <c r="K17" s="64">
        <f t="shared" si="1"/>
        <v>137326046.09900001</v>
      </c>
      <c r="L17" s="64">
        <f t="shared" si="1"/>
        <v>139800421.52200001</v>
      </c>
      <c r="M17" s="64">
        <f t="shared" si="1"/>
        <v>132661204.67599997</v>
      </c>
      <c r="N17" s="64">
        <f t="shared" si="1"/>
        <v>139866170.14399999</v>
      </c>
      <c r="O17" s="64">
        <f t="shared" si="1"/>
        <v>160685390.67200002</v>
      </c>
      <c r="P17" s="64">
        <f t="shared" si="1"/>
        <v>157362495.96486935</v>
      </c>
    </row>
    <row r="18" spans="2:16" x14ac:dyDescent="0.25">
      <c r="B18" s="49"/>
      <c r="D18" s="66"/>
      <c r="E18" s="66"/>
      <c r="F18" s="66"/>
      <c r="G18" s="66"/>
      <c r="H18" s="66"/>
      <c r="I18" s="66"/>
      <c r="J18" s="66"/>
      <c r="K18" s="66"/>
      <c r="L18" s="66"/>
      <c r="M18" s="66"/>
      <c r="N18" s="66"/>
      <c r="O18" s="66"/>
    </row>
    <row r="19" spans="2:16" ht="13.5" customHeight="1" x14ac:dyDescent="0.25">
      <c r="B19" s="49" t="s">
        <v>182</v>
      </c>
      <c r="D19" s="67">
        <f t="shared" ref="D19:P19" si="2">D11+D17</f>
        <v>107989197.63000003</v>
      </c>
      <c r="E19" s="67">
        <f t="shared" si="2"/>
        <v>103319530.523</v>
      </c>
      <c r="F19" s="67">
        <f t="shared" si="2"/>
        <v>192091877.472</v>
      </c>
      <c r="G19" s="67">
        <f t="shared" si="2"/>
        <v>198008961.23800004</v>
      </c>
      <c r="H19" s="67">
        <f t="shared" si="2"/>
        <v>260679140.544</v>
      </c>
      <c r="I19" s="67">
        <f t="shared" si="2"/>
        <v>263519815.01699996</v>
      </c>
      <c r="J19" s="67">
        <f t="shared" si="2"/>
        <v>266427363.90599999</v>
      </c>
      <c r="K19" s="67">
        <f t="shared" si="2"/>
        <v>273641186.06599998</v>
      </c>
      <c r="L19" s="67">
        <f t="shared" si="2"/>
        <v>317462504.04300004</v>
      </c>
      <c r="M19" s="67">
        <f t="shared" si="2"/>
        <v>219883389.23899996</v>
      </c>
      <c r="N19" s="67">
        <f t="shared" si="2"/>
        <v>260869694.85499999</v>
      </c>
      <c r="O19" s="67">
        <f t="shared" si="2"/>
        <v>325225574.85600007</v>
      </c>
      <c r="P19" s="67">
        <f t="shared" si="2"/>
        <v>287923378.10533428</v>
      </c>
    </row>
    <row r="20" spans="2:16" ht="13.5" customHeight="1" x14ac:dyDescent="0.25">
      <c r="B20" s="49"/>
      <c r="D20" s="63"/>
      <c r="E20" s="63"/>
      <c r="F20" s="63"/>
      <c r="G20" s="63"/>
      <c r="H20" s="63"/>
      <c r="I20" s="63"/>
      <c r="J20" s="63"/>
      <c r="K20" s="63"/>
      <c r="L20" s="63"/>
      <c r="M20" s="63"/>
      <c r="N20" s="63"/>
      <c r="O20" s="63"/>
    </row>
    <row r="21" spans="2:16" x14ac:dyDescent="0.25">
      <c r="B21" s="49" t="s">
        <v>1212</v>
      </c>
      <c r="D21" s="63"/>
      <c r="E21" s="63"/>
      <c r="F21" s="63"/>
      <c r="G21" s="63"/>
      <c r="H21" s="63"/>
      <c r="I21" s="63"/>
      <c r="J21" s="63"/>
      <c r="K21" s="63"/>
      <c r="L21" s="63"/>
      <c r="M21" s="63"/>
      <c r="N21" s="63"/>
      <c r="O21" s="63"/>
    </row>
    <row r="22" spans="2:16" x14ac:dyDescent="0.25">
      <c r="B22" s="49" t="s">
        <v>758</v>
      </c>
      <c r="D22" s="63"/>
      <c r="E22" s="63"/>
      <c r="F22" s="63"/>
      <c r="G22" s="63"/>
      <c r="H22" s="63"/>
      <c r="I22" s="63"/>
      <c r="J22" s="63"/>
      <c r="K22" s="63"/>
      <c r="L22" s="63"/>
      <c r="M22" s="63"/>
      <c r="N22" s="63"/>
      <c r="O22" s="63"/>
    </row>
    <row r="23" spans="2:16" x14ac:dyDescent="0.25">
      <c r="B23" s="61" t="s">
        <v>759</v>
      </c>
      <c r="D23" s="63">
        <f>-SUMIF(ALIF_Y2014!$I:$I,$B23,ALIF_Y2014!$F:$F)</f>
        <v>24897662.395</v>
      </c>
      <c r="E23" s="63">
        <f>-SUMIF(ALIF_Y2015!$I:$I,$B23,ALIF_Y2015!$F:$F)</f>
        <v>11975998.512</v>
      </c>
      <c r="F23" s="63">
        <f>-SUMIF(ALIF_Y2016!$I:$I,$B23,ALIF_Y2016!$F:$F)</f>
        <v>26152571.23</v>
      </c>
      <c r="G23" s="63">
        <f>-SUMIF(ALIF_Y2017!$I:$I,$B23,ALIF_Y2017!$F:$F)</f>
        <v>0</v>
      </c>
      <c r="H23" s="63">
        <f>-SUMIF(ALIF_Y2018!$I:$I,$B23,ALIF_Y2018!$F:$F)</f>
        <v>60835098.295000002</v>
      </c>
      <c r="I23" s="63">
        <f>-SUMIF(ALIF_Y2019!$I:$I,$B23,ALIF_Y2019!$F:$F)</f>
        <v>67558356.840000004</v>
      </c>
      <c r="J23" s="63">
        <f>-SUMIF(ALIF_Y2020!$I:$I,$B23,ALIF_Y2020!$F:$F)</f>
        <v>87069638.245000005</v>
      </c>
      <c r="K23" s="63">
        <f>-SUMIF(ALIF_Y2021!$I:$I,$B23,ALIF_Y2021!$F:$F)</f>
        <v>93444858.009000003</v>
      </c>
      <c r="L23" s="63">
        <f>-SUMIF(ALIF_Y2022!$I:$I,$B23,ALIF_Y2022!$F:$F)</f>
        <v>129181162.92999998</v>
      </c>
      <c r="M23" s="63">
        <f>-SUMIF(ALIF_Y2023!$I:$I,$B23,ALIF_Y2023!$F:$F)</f>
        <v>83699243.261999995</v>
      </c>
      <c r="N23" s="63">
        <f>-SUMIF(ALIF_Y2024!$I:$I,$B23,ALIF_Y2024!$F:$F)</f>
        <v>111392465.919</v>
      </c>
      <c r="O23" s="63">
        <f>-SUMIF(ALIF_Y2025!$I:$I,$B23,ALIF_Y2025!$F:$F)</f>
        <v>193396818.67900002</v>
      </c>
      <c r="P23" s="63">
        <f>-SUMIFS(TB_Input_Alif!$F:$F,TB_Input_Alif!$I:$I,$B23,TB_Input_Alif!$G:$G,"BS")</f>
        <v>136845302.74100003</v>
      </c>
    </row>
    <row r="24" spans="2:16" x14ac:dyDescent="0.25">
      <c r="B24" s="61" t="s">
        <v>1213</v>
      </c>
      <c r="D24" s="63">
        <f>-SUMIF(ALIF_Y2014!$I:$I,$B24,ALIF_Y2014!$F:$F)</f>
        <v>0</v>
      </c>
      <c r="E24" s="63">
        <f>-SUMIF(ALIF_Y2015!$I:$I,$B24,ALIF_Y2015!$F:$F)</f>
        <v>0</v>
      </c>
      <c r="F24" s="63">
        <f>-SUMIF(ALIF_Y2016!$I:$I,$B24,ALIF_Y2016!$F:$F)</f>
        <v>0</v>
      </c>
      <c r="G24" s="63">
        <f>-SUMIF(ALIF_Y2017!$I:$I,$B24,ALIF_Y2017!$F:$F)</f>
        <v>0</v>
      </c>
      <c r="H24" s="63">
        <f>-SUMIF(ALIF_Y2018!$I:$I,$B24,ALIF_Y2018!$F:$F)</f>
        <v>0</v>
      </c>
      <c r="I24" s="63">
        <f>-SUMIF(ALIF_Y2019!$I:$I,$B24,ALIF_Y2019!$F:$F)</f>
        <v>0</v>
      </c>
      <c r="J24" s="63">
        <f>-SUMIF(ALIF_Y2020!$I:$I,$B24,ALIF_Y2020!$F:$F)</f>
        <v>0</v>
      </c>
      <c r="K24" s="63">
        <f>-SUMIF(ALIF_Y2021!$I:$I,$B24,ALIF_Y2021!$F:$F)</f>
        <v>0</v>
      </c>
      <c r="L24" s="63">
        <f>-SUMIF(ALIF_Y2022!$I:$I,$B24,ALIF_Y2022!$F:$F)</f>
        <v>0</v>
      </c>
      <c r="M24" s="63">
        <f>-SUMIF(ALIF_Y2023!$I:$I,$B24,ALIF_Y2023!$F:$F)</f>
        <v>0</v>
      </c>
      <c r="N24" s="63">
        <f>-SUMIF(ALIF_Y2024!$I:$I,$B24,ALIF_Y2024!$F:$F)</f>
        <v>0</v>
      </c>
      <c r="O24" s="63">
        <f>-SUMIF(ALIF_Y2025!$I:$I,$B24,ALIF_Y2025!$F:$F)</f>
        <v>0</v>
      </c>
      <c r="P24" s="63">
        <f>-SUMIFS(TB_Input_Alif!$F:$F,TB_Input_Alif!$I:$I,$B24,TB_Input_Alif!$G:$G,"BS")</f>
        <v>0</v>
      </c>
    </row>
    <row r="25" spans="2:16" x14ac:dyDescent="0.25">
      <c r="B25" s="61" t="s">
        <v>761</v>
      </c>
      <c r="D25" s="63">
        <f>-SUMIF(ALIF_Y2014!$I:$I,$B25,ALIF_Y2014!$F:$F)</f>
        <v>1537200</v>
      </c>
      <c r="E25" s="63">
        <f>-SUMIF(ALIF_Y2015!$I:$I,$B25,ALIF_Y2015!$F:$F)</f>
        <v>1365110</v>
      </c>
      <c r="F25" s="63">
        <f>-SUMIF(ALIF_Y2016!$I:$I,$B25,ALIF_Y2016!$F:$F)</f>
        <v>1200000</v>
      </c>
      <c r="G25" s="63">
        <f>-SUMIF(ALIF_Y2017!$I:$I,$B25,ALIF_Y2017!$F:$F)</f>
        <v>1119039</v>
      </c>
      <c r="H25" s="63">
        <f>-SUMIF(ALIF_Y2018!$I:$I,$B25,ALIF_Y2018!$F:$F)</f>
        <v>1150000.5</v>
      </c>
      <c r="I25" s="63">
        <f>-SUMIF(ALIF_Y2019!$I:$I,$B25,ALIF_Y2019!$F:$F)</f>
        <v>983057</v>
      </c>
      <c r="J25" s="63">
        <f>-SUMIF(ALIF_Y2020!$I:$I,$B25,ALIF_Y2020!$F:$F)</f>
        <v>644386</v>
      </c>
      <c r="K25" s="63">
        <f>-SUMIF(ALIF_Y2021!$I:$I,$B25,ALIF_Y2021!$F:$F)</f>
        <v>0</v>
      </c>
      <c r="L25" s="63">
        <f>-SUMIF(ALIF_Y2022!$I:$I,$B25,ALIF_Y2022!$F:$F)</f>
        <v>0</v>
      </c>
      <c r="M25" s="63">
        <f>-SUMIF(ALIF_Y2023!$I:$I,$B25,ALIF_Y2023!$F:$F)</f>
        <v>968047.97</v>
      </c>
      <c r="N25" s="63">
        <f>-SUMIF(ALIF_Y2024!$I:$I,$B25,ALIF_Y2024!$F:$F)</f>
        <v>0</v>
      </c>
      <c r="O25" s="63">
        <f>-SUMIF(ALIF_Y2025!$I:$I,$B25,ALIF_Y2025!$F:$F)</f>
        <v>0</v>
      </c>
      <c r="P25" s="63">
        <f>-SUMIFS(TB_Input_Alif!$F:$F,TB_Input_Alif!$I:$I,$B25,TB_Input_Alif!$G:$G,"BS")</f>
        <v>0</v>
      </c>
    </row>
    <row r="26" spans="2:16" x14ac:dyDescent="0.25">
      <c r="B26" s="61" t="s">
        <v>760</v>
      </c>
      <c r="D26" s="62">
        <f>-SUMIF(ALIF_Y2014!$I:$I,$B26,ALIF_Y2014!$F:$F)</f>
        <v>2507260.9959999998</v>
      </c>
      <c r="E26" s="62">
        <f>-SUMIF(ALIF_Y2015!$I:$I,$B26,ALIF_Y2015!$F:$F)</f>
        <v>6283439</v>
      </c>
      <c r="F26" s="62">
        <f>-SUMIF(ALIF_Y2016!$I:$I,$B26,ALIF_Y2016!$F:$F)</f>
        <v>5444461</v>
      </c>
      <c r="G26" s="62">
        <f>-SUMIF(ALIF_Y2017!$I:$I,$B26,ALIF_Y2017!$F:$F)</f>
        <v>6914828.9979999997</v>
      </c>
      <c r="H26" s="62">
        <f>-SUMIF(ALIF_Y2018!$I:$I,$B26,ALIF_Y2018!$F:$F)</f>
        <v>8339706.9970000004</v>
      </c>
      <c r="I26" s="62">
        <f>-SUMIF(ALIF_Y2019!$I:$I,$B26,ALIF_Y2019!$F:$F)</f>
        <v>6947242.0020000003</v>
      </c>
      <c r="J26" s="62">
        <f>-SUMIF(ALIF_Y2020!$I:$I,$B26,ALIF_Y2020!$F:$F)</f>
        <v>9755293.0020000003</v>
      </c>
      <c r="K26" s="62">
        <f>-SUMIF(ALIF_Y2021!$I:$I,$B26,ALIF_Y2021!$F:$F)</f>
        <v>6517602.182</v>
      </c>
      <c r="L26" s="62">
        <f>-SUMIF(ALIF_Y2022!$I:$I,$B26,ALIF_Y2022!$F:$F)</f>
        <v>6436834.9169999994</v>
      </c>
      <c r="M26" s="62">
        <f>-SUMIF(ALIF_Y2023!$I:$I,$B26,ALIF_Y2023!$F:$F)</f>
        <v>6572651.0020000003</v>
      </c>
      <c r="N26" s="62">
        <f>-SUMIF(ALIF_Y2024!$I:$I,$B26,ALIF_Y2024!$F:$F)</f>
        <v>13430272.994999999</v>
      </c>
      <c r="O26" s="62">
        <f>-SUMIF(ALIF_Y2025!$I:$I,$B26,ALIF_Y2025!$F:$F)</f>
        <v>24407375.57</v>
      </c>
      <c r="P26" s="62">
        <f>-SUMIFS(TB_Input_Alif!$F:$F,TB_Input_Alif!$I:$I,$B26,TB_Input_Alif!$G:$G,"BS")</f>
        <v>22235818.478000004</v>
      </c>
    </row>
    <row r="27" spans="2:16" x14ac:dyDescent="0.25">
      <c r="B27" s="49" t="s">
        <v>213</v>
      </c>
      <c r="D27" s="64">
        <f t="shared" ref="D27:P27" si="3">SUM(D23:D26)</f>
        <v>28942123.390999999</v>
      </c>
      <c r="E27" s="64">
        <f t="shared" si="3"/>
        <v>19624547.512000002</v>
      </c>
      <c r="F27" s="64">
        <f t="shared" si="3"/>
        <v>32797032.23</v>
      </c>
      <c r="G27" s="64">
        <f t="shared" si="3"/>
        <v>8033867.9979999997</v>
      </c>
      <c r="H27" s="64">
        <f t="shared" si="3"/>
        <v>70324805.791999996</v>
      </c>
      <c r="I27" s="64">
        <f t="shared" si="3"/>
        <v>75488655.842000008</v>
      </c>
      <c r="J27" s="64">
        <f t="shared" si="3"/>
        <v>97469317.247000009</v>
      </c>
      <c r="K27" s="64">
        <f t="shared" si="3"/>
        <v>99962460.191</v>
      </c>
      <c r="L27" s="64">
        <f t="shared" si="3"/>
        <v>135617997.84699997</v>
      </c>
      <c r="M27" s="64">
        <f t="shared" si="3"/>
        <v>91239942.233999997</v>
      </c>
      <c r="N27" s="64">
        <f t="shared" si="3"/>
        <v>124822738.914</v>
      </c>
      <c r="O27" s="64">
        <f t="shared" si="3"/>
        <v>217804194.24900001</v>
      </c>
      <c r="P27" s="64">
        <f t="shared" si="3"/>
        <v>159081121.21900004</v>
      </c>
    </row>
    <row r="28" spans="2:16" x14ac:dyDescent="0.25">
      <c r="B28" s="61"/>
      <c r="D28" s="65"/>
      <c r="E28" s="65"/>
      <c r="F28" s="65"/>
      <c r="G28" s="65"/>
      <c r="H28" s="65"/>
      <c r="I28" s="65"/>
      <c r="J28" s="65"/>
      <c r="K28" s="65"/>
      <c r="L28" s="65"/>
      <c r="M28" s="65"/>
      <c r="N28" s="65"/>
      <c r="O28" s="65"/>
    </row>
    <row r="29" spans="2:16" x14ac:dyDescent="0.25">
      <c r="B29" s="49" t="s">
        <v>752</v>
      </c>
      <c r="D29" s="63"/>
      <c r="E29" s="63"/>
      <c r="F29" s="63"/>
      <c r="G29" s="63"/>
      <c r="H29" s="63"/>
      <c r="I29" s="63"/>
      <c r="J29" s="63"/>
      <c r="K29" s="63"/>
      <c r="L29" s="63"/>
      <c r="M29" s="63"/>
      <c r="N29" s="63"/>
      <c r="O29" s="63"/>
    </row>
    <row r="30" spans="2:16" x14ac:dyDescent="0.25">
      <c r="B30" s="61" t="s">
        <v>756</v>
      </c>
      <c r="D30" s="63">
        <f>-SUMIF(ALIF_Y2014!$I:$I,$B30,ALIF_Y2014!$F:$F)</f>
        <v>0</v>
      </c>
      <c r="E30" s="63">
        <f>-SUMIF(ALIF_Y2015!$I:$I,$B30,ALIF_Y2015!$F:$F)</f>
        <v>0</v>
      </c>
      <c r="F30" s="63">
        <f>-SUMIF(ALIF_Y2016!$I:$I,$B30,ALIF_Y2016!$F:$F)</f>
        <v>0</v>
      </c>
      <c r="G30" s="63">
        <f>-SUMIF(ALIF_Y2017!$I:$I,$B30,ALIF_Y2017!$F:$F)</f>
        <v>0</v>
      </c>
      <c r="H30" s="63">
        <f>-SUMIF(ALIF_Y2018!$I:$I,$B30,ALIF_Y2018!$F:$F)</f>
        <v>0</v>
      </c>
      <c r="I30" s="63">
        <f>-SUMIF(ALIF_Y2019!$I:$I,$B30,ALIF_Y2019!$F:$F)</f>
        <v>1874374</v>
      </c>
      <c r="J30" s="63">
        <f>-SUMIF(ALIF_Y2020!$I:$I,$B30,ALIF_Y2020!$F:$F)</f>
        <v>1823243.5660000001</v>
      </c>
      <c r="K30" s="63">
        <f>-SUMIF(ALIF_Y2021!$I:$I,$B30,ALIF_Y2021!$F:$F)</f>
        <v>1711827.0260000001</v>
      </c>
      <c r="L30" s="63">
        <f>-SUMIF(ALIF_Y2022!$I:$I,$B30,ALIF_Y2022!$F:$F)</f>
        <v>1596797.0260000001</v>
      </c>
      <c r="M30" s="63">
        <f>-SUMIF(ALIF_Y2023!$I:$I,$B30,ALIF_Y2023!$F:$F)</f>
        <v>1505845.0689999999</v>
      </c>
      <c r="N30" s="63">
        <f>-SUMIF(ALIF_Y2024!$I:$I,$B30,ALIF_Y2024!$F:$F)</f>
        <v>1399831.0689999999</v>
      </c>
      <c r="O30" s="63">
        <f>-SUMIF(ALIF_Y2025!$I:$I,$B30,ALIF_Y2025!$F:$F)</f>
        <v>2585822.0490000001</v>
      </c>
      <c r="P30" s="63">
        <f>-SUMIFS(TB_Input_Alif!$F:$F,TB_Input_Alif!$I:$I,$B30,TB_Input_Alif!$G:$G,"BS")</f>
        <v>1165712.719</v>
      </c>
    </row>
    <row r="31" spans="2:16" x14ac:dyDescent="0.25">
      <c r="B31" s="61" t="s">
        <v>753</v>
      </c>
      <c r="D31" s="63">
        <f>-SUMIF(ALIF_Y2014!$I:$I,$B31,ALIF_Y2014!$F:$F)</f>
        <v>0</v>
      </c>
      <c r="E31" s="63">
        <f>-SUMIF(ALIF_Y2015!$I:$I,$B31,ALIF_Y2015!$F:$F)</f>
        <v>0</v>
      </c>
      <c r="F31" s="63">
        <f>-SUMIF(ALIF_Y2016!$I:$I,$B31,ALIF_Y2016!$F:$F)</f>
        <v>0</v>
      </c>
      <c r="G31" s="63">
        <f>-SUMIF(ALIF_Y2017!$I:$I,$B31,ALIF_Y2017!$F:$F)</f>
        <v>31714781.920000002</v>
      </c>
      <c r="H31" s="63">
        <f>-SUMIF(ALIF_Y2018!$I:$I,$B31,ALIF_Y2018!$F:$F)</f>
        <v>7696296.1699999999</v>
      </c>
      <c r="I31" s="63">
        <f>-SUMIF(ALIF_Y2019!$I:$I,$B31,ALIF_Y2019!$F:$F)</f>
        <v>502289.05</v>
      </c>
      <c r="J31" s="63">
        <f>-SUMIF(ALIF_Y2020!$I:$I,$B31,ALIF_Y2020!$F:$F)</f>
        <v>-166370.04999999999</v>
      </c>
      <c r="K31" s="63">
        <f>-SUMIF(ALIF_Y2021!$I:$I,$B31,ALIF_Y2021!$F:$F)</f>
        <v>-146154.65599999999</v>
      </c>
      <c r="L31" s="63">
        <f>-SUMIF(ALIF_Y2022!$I:$I,$B31,ALIF_Y2022!$F:$F)</f>
        <v>1098996.6040000001</v>
      </c>
      <c r="M31" s="63">
        <f>-SUMIF(ALIF_Y2023!$I:$I,$B31,ALIF_Y2023!$F:$F)</f>
        <v>-16923359.736000001</v>
      </c>
      <c r="N31" s="63">
        <f>-SUMIF(ALIF_Y2024!$I:$I,$B31,ALIF_Y2024!$F:$F)</f>
        <v>16103933.331</v>
      </c>
      <c r="O31" s="63">
        <f>-SUMIF(ALIF_Y2025!$I:$I,$B31,ALIF_Y2025!$F:$F)</f>
        <v>30600617.371999998</v>
      </c>
      <c r="P31" s="63">
        <f>-SUMIFS(TB_Input_Alif!$F:$F,TB_Input_Alif!$I:$I,$B31,TB_Input_Alif!$G:$G,"BS")</f>
        <v>101028551.85699999</v>
      </c>
    </row>
    <row r="32" spans="2:16" x14ac:dyDescent="0.25">
      <c r="B32" s="61" t="s">
        <v>754</v>
      </c>
      <c r="D32" s="63">
        <f>-SUMIF(ALIF_Y2014!$I:$I,$B32,ALIF_Y2014!$F:$F)</f>
        <v>2925857.71</v>
      </c>
      <c r="E32" s="63">
        <f>-SUMIF(ALIF_Y2015!$I:$I,$B32,ALIF_Y2015!$F:$F)</f>
        <v>2992687.9419999998</v>
      </c>
      <c r="F32" s="63">
        <f>-SUMIF(ALIF_Y2016!$I:$I,$B32,ALIF_Y2016!$F:$F)</f>
        <v>4649375</v>
      </c>
      <c r="G32" s="63">
        <f>-SUMIF(ALIF_Y2017!$I:$I,$B32,ALIF_Y2017!$F:$F)</f>
        <v>4847761</v>
      </c>
      <c r="H32" s="63">
        <f>-SUMIF(ALIF_Y2018!$I:$I,$B32,ALIF_Y2018!$F:$F)</f>
        <v>4633898</v>
      </c>
      <c r="I32" s="63">
        <f>-SUMIF(ALIF_Y2019!$I:$I,$B32,ALIF_Y2019!$F:$F)</f>
        <v>4294641</v>
      </c>
      <c r="J32" s="63">
        <f>-SUMIF(ALIF_Y2020!$I:$I,$B32,ALIF_Y2020!$F:$F)</f>
        <v>4405440</v>
      </c>
      <c r="K32" s="63">
        <f>-SUMIF(ALIF_Y2021!$I:$I,$B32,ALIF_Y2021!$F:$F)</f>
        <v>3891962</v>
      </c>
      <c r="L32" s="63">
        <f>-SUMIF(ALIF_Y2022!$I:$I,$B32,ALIF_Y2022!$F:$F)</f>
        <v>4434767</v>
      </c>
      <c r="M32" s="63">
        <f>-SUMIF(ALIF_Y2023!$I:$I,$B32,ALIF_Y2023!$F:$F)</f>
        <v>5799270.3200000003</v>
      </c>
      <c r="N32" s="63">
        <f>-SUMIF(ALIF_Y2024!$I:$I,$B32,ALIF_Y2024!$F:$F)</f>
        <v>3409950.92</v>
      </c>
      <c r="O32" s="63">
        <f>-SUMIF(ALIF_Y2025!$I:$I,$B32,ALIF_Y2025!$F:$F)</f>
        <v>4431984.92</v>
      </c>
      <c r="P32" s="63">
        <f>-SUMIFS(TB_Input_Alif!$F:$F,TB_Input_Alif!$I:$I,$B32,TB_Input_Alif!$G:$G,"BS")</f>
        <v>4045880.9920000001</v>
      </c>
    </row>
    <row r="33" spans="2:16" x14ac:dyDescent="0.25">
      <c r="B33" s="61" t="s">
        <v>757</v>
      </c>
      <c r="D33" s="63">
        <f>-SUMIF(ALIF_Y2014!$I:$I,$B33,ALIF_Y2014!$F:$F)</f>
        <v>0</v>
      </c>
      <c r="E33" s="63">
        <f>-SUMIF(ALIF_Y2015!$I:$I,$B33,ALIF_Y2015!$F:$F)</f>
        <v>0</v>
      </c>
      <c r="F33" s="63">
        <f>-SUMIF(ALIF_Y2016!$I:$I,$B33,ALIF_Y2016!$F:$F)</f>
        <v>0</v>
      </c>
      <c r="G33" s="63">
        <f>-SUMIF(ALIF_Y2017!$I:$I,$B33,ALIF_Y2017!$F:$F)</f>
        <v>0</v>
      </c>
      <c r="H33" s="63">
        <f>-SUMIF(ALIF_Y2018!$I:$I,$B33,ALIF_Y2018!$F:$F)</f>
        <v>4000000</v>
      </c>
      <c r="I33" s="63">
        <f>-SUMIF(ALIF_Y2019!$I:$I,$B33,ALIF_Y2019!$F:$F)</f>
        <v>4120000</v>
      </c>
      <c r="J33" s="63">
        <f>-SUMIF(ALIF_Y2020!$I:$I,$B33,ALIF_Y2020!$F:$F)</f>
        <v>4214760</v>
      </c>
      <c r="K33" s="63">
        <f>-SUMIF(ALIF_Y2021!$I:$I,$B33,ALIF_Y2021!$F:$F)</f>
        <v>4329893.1940000001</v>
      </c>
      <c r="L33" s="63">
        <f>-SUMIF(ALIF_Y2022!$I:$I,$B33,ALIF_Y2022!$F:$F)</f>
        <v>4426579.7149999999</v>
      </c>
      <c r="M33" s="63">
        <f>-SUMIF(ALIF_Y2023!$I:$I,$B33,ALIF_Y2023!$F:$F)</f>
        <v>4698371.7089999998</v>
      </c>
      <c r="N33" s="63">
        <f>-SUMIF(ALIF_Y2024!$I:$I,$B33,ALIF_Y2024!$F:$F)</f>
        <v>4807655.8289999999</v>
      </c>
      <c r="O33" s="63">
        <f>-SUMIF(ALIF_Y2025!$I:$I,$B33,ALIF_Y2025!$F:$F)</f>
        <v>4862172.949</v>
      </c>
      <c r="P33" s="63">
        <f>-SUMIFS(TB_Input_Alif!$F:$F,TB_Input_Alif!$I:$I,$B33,TB_Input_Alif!$G:$G,"BS")</f>
        <v>4931250.8490000004</v>
      </c>
    </row>
    <row r="34" spans="2:16" x14ac:dyDescent="0.25">
      <c r="B34" s="49" t="s">
        <v>204</v>
      </c>
      <c r="D34" s="64">
        <f t="shared" ref="D34:P34" si="4">SUM(D30:D33)</f>
        <v>2925857.71</v>
      </c>
      <c r="E34" s="64">
        <f t="shared" si="4"/>
        <v>2992687.9419999998</v>
      </c>
      <c r="F34" s="64">
        <f t="shared" si="4"/>
        <v>4649375</v>
      </c>
      <c r="G34" s="64">
        <f t="shared" si="4"/>
        <v>36562542.920000002</v>
      </c>
      <c r="H34" s="64">
        <f t="shared" si="4"/>
        <v>16330194.17</v>
      </c>
      <c r="I34" s="64">
        <f t="shared" si="4"/>
        <v>10791304.050000001</v>
      </c>
      <c r="J34" s="64">
        <f t="shared" si="4"/>
        <v>10277073.515999999</v>
      </c>
      <c r="K34" s="64">
        <f t="shared" si="4"/>
        <v>9787527.5639999993</v>
      </c>
      <c r="L34" s="64">
        <f t="shared" si="4"/>
        <v>11557140.344999999</v>
      </c>
      <c r="M34" s="64">
        <f t="shared" si="4"/>
        <v>-4919872.6380000012</v>
      </c>
      <c r="N34" s="64">
        <f t="shared" si="4"/>
        <v>25721371.149</v>
      </c>
      <c r="O34" s="64">
        <f t="shared" si="4"/>
        <v>42480597.289999999</v>
      </c>
      <c r="P34" s="64">
        <f t="shared" si="4"/>
        <v>111171396.417</v>
      </c>
    </row>
    <row r="35" spans="2:16" ht="19.149999999999999" customHeight="1" x14ac:dyDescent="0.25">
      <c r="B35" s="49" t="s">
        <v>1214</v>
      </c>
      <c r="D35" s="68">
        <f t="shared" ref="D35:P35" si="5">D34+D27</f>
        <v>31867981.101</v>
      </c>
      <c r="E35" s="68">
        <f t="shared" si="5"/>
        <v>22617235.454000004</v>
      </c>
      <c r="F35" s="68">
        <f t="shared" si="5"/>
        <v>37446407.230000004</v>
      </c>
      <c r="G35" s="68">
        <f t="shared" si="5"/>
        <v>44596410.917999998</v>
      </c>
      <c r="H35" s="68">
        <f t="shared" si="5"/>
        <v>86654999.961999997</v>
      </c>
      <c r="I35" s="68">
        <f t="shared" si="5"/>
        <v>86279959.892000005</v>
      </c>
      <c r="J35" s="68">
        <f t="shared" si="5"/>
        <v>107746390.76300001</v>
      </c>
      <c r="K35" s="68">
        <f t="shared" si="5"/>
        <v>109749987.755</v>
      </c>
      <c r="L35" s="68">
        <f t="shared" si="5"/>
        <v>147175138.19199997</v>
      </c>
      <c r="M35" s="68">
        <f t="shared" si="5"/>
        <v>86320069.596000001</v>
      </c>
      <c r="N35" s="68">
        <f t="shared" si="5"/>
        <v>150544110.06299999</v>
      </c>
      <c r="O35" s="68">
        <f t="shared" si="5"/>
        <v>260284791.539</v>
      </c>
      <c r="P35" s="68">
        <f t="shared" si="5"/>
        <v>270252517.63600004</v>
      </c>
    </row>
    <row r="36" spans="2:16" x14ac:dyDescent="0.25">
      <c r="B36" s="61"/>
      <c r="D36" s="68"/>
      <c r="E36" s="68"/>
      <c r="F36" s="68"/>
      <c r="G36" s="68"/>
      <c r="H36" s="68"/>
      <c r="I36" s="68"/>
      <c r="J36" s="68"/>
      <c r="K36" s="68"/>
      <c r="L36" s="68"/>
      <c r="M36" s="68"/>
      <c r="N36" s="68"/>
      <c r="O36" s="68"/>
    </row>
    <row r="37" spans="2:16" x14ac:dyDescent="0.25">
      <c r="B37" s="49" t="s">
        <v>1215</v>
      </c>
      <c r="D37" s="63"/>
      <c r="E37" s="63"/>
      <c r="F37" s="63"/>
      <c r="G37" s="63"/>
      <c r="H37" s="63"/>
      <c r="I37" s="63"/>
      <c r="J37" s="63"/>
      <c r="K37" s="63"/>
      <c r="L37" s="63"/>
      <c r="M37" s="63"/>
      <c r="N37" s="63"/>
      <c r="O37" s="63"/>
    </row>
    <row r="38" spans="2:16" x14ac:dyDescent="0.25">
      <c r="B38" s="61" t="s">
        <v>745</v>
      </c>
      <c r="D38" s="63">
        <f>-SUMIF(ALIF_Y2014!$I:$I,$B38,ALIF_Y2014!$F:$F)</f>
        <v>33568250</v>
      </c>
      <c r="E38" s="63">
        <f>-SUMIF(ALIF_Y2015!$I:$I,$B38,ALIF_Y2015!$F:$F)</f>
        <v>33568250</v>
      </c>
      <c r="F38" s="63">
        <f>-SUMIF(ALIF_Y2016!$I:$I,$B38,ALIF_Y2016!$F:$F)</f>
        <v>33568250</v>
      </c>
      <c r="G38" s="63">
        <f>-SUMIF(ALIF_Y2017!$I:$I,$B38,ALIF_Y2017!$F:$F)</f>
        <v>33568250</v>
      </c>
      <c r="H38" s="63">
        <f>-SUMIF(ALIF_Y2018!$I:$I,$B38,ALIF_Y2018!$F:$F)</f>
        <v>33568250</v>
      </c>
      <c r="I38" s="63">
        <f>-SUMIF(ALIF_Y2019!$I:$I,$B38,ALIF_Y2019!$F:$F)</f>
        <v>33568250</v>
      </c>
      <c r="J38" s="63">
        <f>-SUMIF(ALIF_Y2020!$I:$I,$B38,ALIF_Y2020!$F:$F)</f>
        <v>35335000</v>
      </c>
      <c r="K38" s="63">
        <f>-SUMIF(ALIF_Y2021!$I:$I,$B38,ALIF_Y2021!$F:$F)</f>
        <v>35335000</v>
      </c>
      <c r="L38" s="63">
        <f>-SUMIF(ALIF_Y2022!$I:$I,$B38,ALIF_Y2022!$F:$F)</f>
        <v>35335000</v>
      </c>
      <c r="M38" s="63">
        <f>-SUMIF(ALIF_Y2023!$I:$I,$B38,ALIF_Y2023!$F:$F)</f>
        <v>35335000</v>
      </c>
      <c r="N38" s="63">
        <f>-SUMIF(ALIF_Y2024!$I:$I,$B38,ALIF_Y2024!$F:$F)</f>
        <v>35335000</v>
      </c>
      <c r="O38" s="63">
        <f>-SUMIF(ALIF_Y2025!$I:$I,$B38,ALIF_Y2025!$F:$F)</f>
        <v>35335000</v>
      </c>
      <c r="P38" s="63">
        <f>-SUMIFS(TB_Input_Alif!$F:$F,TB_Input_Alif!$I:$I,$B38,TB_Input_Alif!$G:$G,"BS")</f>
        <v>35335000</v>
      </c>
    </row>
    <row r="39" spans="2:16" x14ac:dyDescent="0.25">
      <c r="B39" s="61" t="s">
        <v>747</v>
      </c>
      <c r="D39" s="63">
        <f>-SUMIF(ALIF_Y2014!$I:$I,$B39,ALIF_Y2014!$F:$F)</f>
        <v>3512480</v>
      </c>
      <c r="E39" s="63">
        <f>-SUMIF(ALIF_Y2015!$I:$I,$B39,ALIF_Y2015!$F:$F)</f>
        <v>4856327</v>
      </c>
      <c r="F39" s="63">
        <f>-SUMIF(ALIF_Y2016!$I:$I,$B39,ALIF_Y2016!$F:$F)</f>
        <v>5627620</v>
      </c>
      <c r="G39" s="63">
        <f>-SUMIF(ALIF_Y2017!$I:$I,$B39,ALIF_Y2017!$F:$F)</f>
        <v>5627620</v>
      </c>
      <c r="H39" s="63">
        <f>-SUMIF(ALIF_Y2018!$I:$I,$B39,ALIF_Y2018!$F:$F)</f>
        <v>6053397</v>
      </c>
      <c r="I39" s="63">
        <f>-SUMIF(ALIF_Y2019!$I:$I,$B39,ALIF_Y2019!$F:$F)</f>
        <v>6684528</v>
      </c>
      <c r="J39" s="63">
        <f>-SUMIF(ALIF_Y2020!$I:$I,$B39,ALIF_Y2020!$F:$F)</f>
        <v>6684528</v>
      </c>
      <c r="K39" s="63">
        <f>-SUMIF(ALIF_Y2021!$I:$I,$B39,ALIF_Y2021!$F:$F)</f>
        <v>7202958</v>
      </c>
      <c r="L39" s="63">
        <f>-SUMIF(ALIF_Y2022!$I:$I,$B39,ALIF_Y2022!$F:$F)</f>
        <v>7846137</v>
      </c>
      <c r="M39" s="63">
        <f>-SUMIF(ALIF_Y2023!$I:$I,$B39,ALIF_Y2023!$F:$F)</f>
        <v>7846137</v>
      </c>
      <c r="N39" s="63">
        <f>-SUMIF(ALIF_Y2024!$I:$I,$B39,ALIF_Y2024!$F:$F)</f>
        <v>7846137</v>
      </c>
      <c r="O39" s="63">
        <f>-SUMIF(ALIF_Y2025!$I:$I,$B39,ALIF_Y2025!$F:$F)</f>
        <v>7846137</v>
      </c>
      <c r="P39" s="63">
        <f>-SUMIFS(TB_Input_Alif!$F:$F,TB_Input_Alif!$I:$I,$B39,TB_Input_Alif!$G:$G,"BS")</f>
        <v>7846137</v>
      </c>
    </row>
    <row r="40" spans="2:16" x14ac:dyDescent="0.25">
      <c r="B40" s="61" t="s">
        <v>749</v>
      </c>
      <c r="D40" s="63">
        <f>-SUMIF(ALIF_Y2014!$I:$I,$B40,ALIF_Y2014!$F:$F)-SUMIF(ALIF_Y2014!$G:$G,"IS",ALIF_Y2014!$F:$F)</f>
        <v>35437048.05326134</v>
      </c>
      <c r="E40" s="63">
        <f>-SUMIF(ALIF_Y2015!$I:$I,$B40,ALIF_Y2015!$F:$F)-SUMIF(ALIF_Y2015!$G:$G,"IS",ALIF_Y2015!$F:$F)</f>
        <v>40958806.900832146</v>
      </c>
      <c r="F40" s="63">
        <f>-SUMIF(ALIF_Y2016!$I:$I,$B40,ALIF_Y2016!$F:$F)-SUMIF(ALIF_Y2016!$G:$G,"IS",ALIF_Y2016!$F:$F)</f>
        <v>25963820.786476329</v>
      </c>
      <c r="G40" s="63">
        <f>-SUMIF(ALIF_Y2017!$I:$I,$B40,ALIF_Y2017!$F:$F)-SUMIF(ALIF_Y2017!$G:$G,"IS",ALIF_Y2017!$F:$F)</f>
        <v>25089527.062254388</v>
      </c>
      <c r="H40" s="63">
        <f>-SUMIF(ALIF_Y2018!$I:$I,$B40,ALIF_Y2018!$F:$F)-SUMIF(ALIF_Y2018!$G:$G,"IS",ALIF_Y2018!$F:$F)</f>
        <v>31662134.243403755</v>
      </c>
      <c r="I40" s="63">
        <f>-SUMIF(ALIF_Y2019!$I:$I,$B40,ALIF_Y2019!$F:$F)-SUMIF(ALIF_Y2019!$G:$G,"IS",ALIF_Y2019!$F:$F)</f>
        <v>33642416.011237681</v>
      </c>
      <c r="J40" s="63">
        <f>-SUMIF(ALIF_Y2020!$I:$I,$B40,ALIF_Y2020!$F:$F)-SUMIF(ALIF_Y2020!$G:$G,"IS",ALIF_Y2020!$F:$F)</f>
        <v>13168228.839981358</v>
      </c>
      <c r="K40" s="63">
        <f>-SUMIF(ALIF_Y2021!$I:$I,$B40,ALIF_Y2021!$F:$F)-SUMIF(ALIF_Y2021!$G:$G,"IS",ALIF_Y2021!$F:$F)</f>
        <v>17758545.053546958</v>
      </c>
      <c r="L40" s="63">
        <f>-SUMIF(ALIF_Y2022!$I:$I,$B40,ALIF_Y2022!$F:$F)-SUMIF(ALIF_Y2022!$G:$G,"IS",ALIF_Y2022!$F:$F)</f>
        <v>24425366.061635219</v>
      </c>
      <c r="M40" s="63">
        <f>-SUMIF(ALIF_Y2023!$I:$I,$B40,ALIF_Y2023!$F:$F)-SUMIF(ALIF_Y2023!$G:$G,"IS",ALIF_Y2023!$F:$F)</f>
        <v>-11949183.046643011</v>
      </c>
      <c r="N40" s="63">
        <f>-SUMIF(ALIF_Y2024!$I:$I,$B40,ALIF_Y2024!$F:$F)-SUMIF(ALIF_Y2024!$G:$G,"IS",ALIF_Y2024!$F:$F)</f>
        <v>-30717238.304831021</v>
      </c>
      <c r="O40" s="63">
        <f>-SUMIF(ALIF_Y2025!$I:$I,$B40,ALIF_Y2025!$F:$F)-SUMIF(ALIF_Y2025!$G:$G,"IS",ALIF_Y2025!$F:$F)</f>
        <v>-78929334.312830552</v>
      </c>
      <c r="P40" s="63">
        <f>-SUMIFS(TB_Input_Alif!$F:$F,TB_Input_Alif!$I:$I,$B40,TB_Input_Alif!$G:$G,"BS")</f>
        <v>-107267178.55</v>
      </c>
    </row>
    <row r="41" spans="2:16" x14ac:dyDescent="0.25">
      <c r="B41" s="61" t="s">
        <v>746</v>
      </c>
      <c r="D41" s="63">
        <f>-SUMIF(ALIF_Y2014!$I:$I,$B41,ALIF_Y2014!$F:$F)</f>
        <v>0</v>
      </c>
      <c r="E41" s="63">
        <f>-SUMIF(ALIF_Y2015!$I:$I,$B41,ALIF_Y2015!$F:$F)</f>
        <v>0</v>
      </c>
      <c r="F41" s="63">
        <f>-SUMIF(ALIF_Y2016!$I:$I,$B41,ALIF_Y2016!$F:$F)</f>
        <v>85866130.439999998</v>
      </c>
      <c r="G41" s="63">
        <f>-SUMIF(ALIF_Y2017!$I:$I,$B41,ALIF_Y2017!$F:$F)</f>
        <v>85866130.439999998</v>
      </c>
      <c r="H41" s="63">
        <f>-SUMIF(ALIF_Y2018!$I:$I,$B41,ALIF_Y2018!$F:$F)</f>
        <v>102255315.01000001</v>
      </c>
      <c r="I41" s="63">
        <f>-SUMIF(ALIF_Y2019!$I:$I,$B41,ALIF_Y2019!$F:$F)</f>
        <v>102255315.01000001</v>
      </c>
      <c r="J41" s="63">
        <f>-SUMIF(ALIF_Y2020!$I:$I,$B41,ALIF_Y2020!$F:$F)</f>
        <v>102255315.01000001</v>
      </c>
      <c r="K41" s="63">
        <f>-SUMIF(ALIF_Y2021!$I:$I,$B41,ALIF_Y2021!$F:$F)</f>
        <v>102255315.01000001</v>
      </c>
      <c r="L41" s="63">
        <f>-SUMIF(ALIF_Y2022!$I:$I,$B41,ALIF_Y2022!$F:$F)</f>
        <v>102255315.01000001</v>
      </c>
      <c r="M41" s="63">
        <f>-SUMIF(ALIF_Y2023!$I:$I,$B41,ALIF_Y2023!$F:$F)</f>
        <v>102255315.01000001</v>
      </c>
      <c r="N41" s="63">
        <f>-SUMIF(ALIF_Y2024!$I:$I,$B41,ALIF_Y2024!$F:$F)</f>
        <v>102255315.01000001</v>
      </c>
      <c r="O41" s="63">
        <f>-SUMIF(ALIF_Y2025!$I:$I,$B41,ALIF_Y2025!$F:$F)</f>
        <v>102255315.01000001</v>
      </c>
      <c r="P41" s="63">
        <f>-SUMIFS(TB_Input_Alif!$F:$F,TB_Input_Alif!$I:$I,$B41,TB_Input_Alif!$G:$G,"BS")</f>
        <v>122255315.01000001</v>
      </c>
    </row>
    <row r="42" spans="2:16" x14ac:dyDescent="0.25">
      <c r="B42" s="49" t="s">
        <v>1216</v>
      </c>
      <c r="D42" s="64">
        <f t="shared" ref="D42:P42" si="6">SUM(D38:D41)</f>
        <v>72517778.05326134</v>
      </c>
      <c r="E42" s="64">
        <f t="shared" si="6"/>
        <v>79383383.900832146</v>
      </c>
      <c r="F42" s="64">
        <f t="shared" si="6"/>
        <v>151025821.22647631</v>
      </c>
      <c r="G42" s="64">
        <f t="shared" si="6"/>
        <v>150151527.50225437</v>
      </c>
      <c r="H42" s="64">
        <f t="shared" si="6"/>
        <v>173539096.25340378</v>
      </c>
      <c r="I42" s="64">
        <f t="shared" si="6"/>
        <v>176150509.02123767</v>
      </c>
      <c r="J42" s="64">
        <f t="shared" si="6"/>
        <v>157443071.84998137</v>
      </c>
      <c r="K42" s="64">
        <f t="shared" si="6"/>
        <v>162551818.06354696</v>
      </c>
      <c r="L42" s="64">
        <f t="shared" si="6"/>
        <v>169861818.07163525</v>
      </c>
      <c r="M42" s="64">
        <f t="shared" si="6"/>
        <v>133487268.963357</v>
      </c>
      <c r="N42" s="64">
        <f t="shared" si="6"/>
        <v>114719213.70516899</v>
      </c>
      <c r="O42" s="64">
        <f t="shared" si="6"/>
        <v>66507117.697169453</v>
      </c>
      <c r="P42" s="64">
        <f t="shared" si="6"/>
        <v>58169273.460000008</v>
      </c>
    </row>
    <row r="43" spans="2:16" x14ac:dyDescent="0.25">
      <c r="B43" s="49"/>
      <c r="D43" s="66"/>
      <c r="E43" s="66"/>
      <c r="F43" s="66"/>
      <c r="G43" s="66"/>
      <c r="H43" s="66"/>
      <c r="I43" s="66"/>
      <c r="J43" s="66"/>
      <c r="K43" s="66"/>
      <c r="L43" s="66"/>
      <c r="M43" s="66"/>
      <c r="N43" s="66"/>
      <c r="O43" s="66"/>
    </row>
    <row r="44" spans="2:16" ht="13.5" customHeight="1" x14ac:dyDescent="0.25">
      <c r="B44" s="49" t="s">
        <v>1217</v>
      </c>
      <c r="D44" s="67">
        <f t="shared" ref="D44:P44" si="7">D27+D34+D42</f>
        <v>104385759.15426134</v>
      </c>
      <c r="E44" s="67">
        <f t="shared" si="7"/>
        <v>102000619.35483214</v>
      </c>
      <c r="F44" s="67">
        <f t="shared" si="7"/>
        <v>188472228.45647633</v>
      </c>
      <c r="G44" s="67">
        <f t="shared" si="7"/>
        <v>194747938.42025435</v>
      </c>
      <c r="H44" s="67">
        <f t="shared" si="7"/>
        <v>260194096.2154038</v>
      </c>
      <c r="I44" s="67">
        <f t="shared" si="7"/>
        <v>262430468.91323769</v>
      </c>
      <c r="J44" s="67">
        <f t="shared" si="7"/>
        <v>265189462.61298138</v>
      </c>
      <c r="K44" s="67">
        <f t="shared" si="7"/>
        <v>272301805.81854695</v>
      </c>
      <c r="L44" s="67">
        <f t="shared" si="7"/>
        <v>317036956.26363522</v>
      </c>
      <c r="M44" s="67">
        <f t="shared" si="7"/>
        <v>219807338.55935699</v>
      </c>
      <c r="N44" s="67">
        <f t="shared" si="7"/>
        <v>265263323.76816899</v>
      </c>
      <c r="O44" s="67">
        <f t="shared" si="7"/>
        <v>326791909.23616946</v>
      </c>
      <c r="P44" s="67">
        <f t="shared" si="7"/>
        <v>328421791.09600008</v>
      </c>
    </row>
    <row r="45" spans="2:16" ht="13.5" customHeight="1" x14ac:dyDescent="0.25">
      <c r="D45" s="69"/>
      <c r="E45" s="69"/>
      <c r="F45" s="69"/>
      <c r="G45" s="69"/>
      <c r="H45" s="69"/>
      <c r="I45" s="69"/>
      <c r="J45" s="69"/>
      <c r="K45" s="69"/>
      <c r="L45" s="69"/>
      <c r="M45" s="69"/>
      <c r="N45" s="69"/>
      <c r="O45" s="69"/>
    </row>
    <row r="46" spans="2:16" x14ac:dyDescent="0.25">
      <c r="D46" s="70">
        <f t="shared" ref="D46:P46" si="8">D44-D19</f>
        <v>-3603438.4757386893</v>
      </c>
      <c r="E46" s="70">
        <f t="shared" si="8"/>
        <v>-1318911.1681678593</v>
      </c>
      <c r="F46" s="70">
        <f t="shared" si="8"/>
        <v>-3619649.0155236721</v>
      </c>
      <c r="G46" s="70">
        <f t="shared" si="8"/>
        <v>-3261022.8177456856</v>
      </c>
      <c r="H46" s="70">
        <f t="shared" si="8"/>
        <v>-485044.32859620452</v>
      </c>
      <c r="I46" s="70">
        <f t="shared" si="8"/>
        <v>-1089346.103762269</v>
      </c>
      <c r="J46" s="70">
        <f t="shared" si="8"/>
        <v>-1237901.2930186093</v>
      </c>
      <c r="K46" s="70">
        <f t="shared" si="8"/>
        <v>-1339380.2474530339</v>
      </c>
      <c r="L46" s="70">
        <f t="shared" si="8"/>
        <v>-425547.7793648243</v>
      </c>
      <c r="M46" s="70">
        <f t="shared" si="8"/>
        <v>-76050.67964297533</v>
      </c>
      <c r="N46" s="70">
        <f t="shared" si="8"/>
        <v>4393628.9131689966</v>
      </c>
      <c r="O46" s="70">
        <f t="shared" si="8"/>
        <v>1566334.3801693916</v>
      </c>
      <c r="P46" s="70">
        <f t="shared" si="8"/>
        <v>40498412.990665793</v>
      </c>
    </row>
    <row r="47" spans="2:16" x14ac:dyDescent="0.25">
      <c r="B47" s="54" t="s">
        <v>1218</v>
      </c>
      <c r="D47" s="70"/>
      <c r="E47" s="70"/>
      <c r="F47" s="70"/>
      <c r="G47" s="70"/>
      <c r="H47" s="70"/>
      <c r="I47" s="70"/>
      <c r="J47" s="70"/>
      <c r="K47" s="70"/>
      <c r="L47" s="70"/>
      <c r="M47" s="70"/>
      <c r="N47" s="70"/>
      <c r="O47" s="70"/>
    </row>
    <row r="48" spans="2:16" x14ac:dyDescent="0.25">
      <c r="B48" s="71" t="s">
        <v>1219</v>
      </c>
      <c r="D48" s="70">
        <f t="shared" ref="D48:P48" si="9">D11-D27</f>
        <v>59658268.073000014</v>
      </c>
      <c r="E48" s="70">
        <f t="shared" si="9"/>
        <v>56472337.163999997</v>
      </c>
      <c r="F48" s="70">
        <f t="shared" si="9"/>
        <v>46127657.121000007</v>
      </c>
      <c r="G48" s="70">
        <f t="shared" si="9"/>
        <v>73972190.377000004</v>
      </c>
      <c r="H48" s="70">
        <f t="shared" si="9"/>
        <v>49968977.537</v>
      </c>
      <c r="I48" s="70">
        <f t="shared" si="9"/>
        <v>43247140.006999999</v>
      </c>
      <c r="J48" s="70">
        <f t="shared" si="9"/>
        <v>28230902.763999999</v>
      </c>
      <c r="K48" s="70">
        <f t="shared" si="9"/>
        <v>36352679.776000008</v>
      </c>
      <c r="L48" s="70">
        <f t="shared" si="9"/>
        <v>42044084.674000055</v>
      </c>
      <c r="M48" s="70">
        <f t="shared" si="9"/>
        <v>-4017757.6710000038</v>
      </c>
      <c r="N48" s="70">
        <f t="shared" si="9"/>
        <v>-3819214.2030000091</v>
      </c>
      <c r="O48" s="70">
        <f t="shared" si="9"/>
        <v>-53264010.064999998</v>
      </c>
      <c r="P48" s="70">
        <f t="shared" si="9"/>
        <v>-28520239.07853508</v>
      </c>
    </row>
    <row r="49" spans="2:16" x14ac:dyDescent="0.25">
      <c r="B49" s="71" t="s">
        <v>1220</v>
      </c>
      <c r="D49" s="72">
        <f t="shared" ref="D49:P49" si="10">D11/D27</f>
        <v>3.0612954781179491</v>
      </c>
      <c r="E49" s="72">
        <f t="shared" si="10"/>
        <v>3.8776376693255394</v>
      </c>
      <c r="F49" s="72">
        <f t="shared" si="10"/>
        <v>2.4064582672454815</v>
      </c>
      <c r="G49" s="72">
        <f t="shared" si="10"/>
        <v>10.207543663328186</v>
      </c>
      <c r="H49" s="72">
        <f t="shared" si="10"/>
        <v>1.7105455461163088</v>
      </c>
      <c r="I49" s="72">
        <f t="shared" si="10"/>
        <v>1.5728958811707754</v>
      </c>
      <c r="J49" s="72">
        <f t="shared" si="10"/>
        <v>1.2896388685319216</v>
      </c>
      <c r="K49" s="72">
        <f t="shared" si="10"/>
        <v>1.3636633162743326</v>
      </c>
      <c r="L49" s="72">
        <f t="shared" si="10"/>
        <v>1.3100184735173048</v>
      </c>
      <c r="M49" s="72">
        <f t="shared" si="10"/>
        <v>0.95596492530984079</v>
      </c>
      <c r="N49" s="72">
        <f t="shared" si="10"/>
        <v>0.9694028969703079</v>
      </c>
      <c r="O49" s="72">
        <f t="shared" si="10"/>
        <v>0.75545002588835797</v>
      </c>
      <c r="P49" s="72">
        <f t="shared" si="10"/>
        <v>0.82071889574330747</v>
      </c>
    </row>
    <row r="50" spans="2:16" x14ac:dyDescent="0.25">
      <c r="B50" s="71" t="s">
        <v>1221</v>
      </c>
      <c r="D50" s="73">
        <f t="shared" ref="D50:P50" si="11">D35/D42</f>
        <v>0.43945060034236394</v>
      </c>
      <c r="E50" s="73">
        <f t="shared" si="11"/>
        <v>0.28491145555415048</v>
      </c>
      <c r="F50" s="73">
        <f t="shared" si="11"/>
        <v>0.24794705253643926</v>
      </c>
      <c r="G50" s="73">
        <f t="shared" si="11"/>
        <v>0.29700937219789808</v>
      </c>
      <c r="H50" s="73">
        <f t="shared" si="11"/>
        <v>0.49933992877008748</v>
      </c>
      <c r="I50" s="73">
        <f t="shared" si="11"/>
        <v>0.48980817808251476</v>
      </c>
      <c r="J50" s="73">
        <f t="shared" si="11"/>
        <v>0.68435142618193756</v>
      </c>
      <c r="K50" s="73">
        <f t="shared" si="11"/>
        <v>0.67516924179891391</v>
      </c>
      <c r="L50" s="73">
        <f t="shared" si="11"/>
        <v>0.86644037996774714</v>
      </c>
      <c r="M50" s="73">
        <f t="shared" si="11"/>
        <v>0.64665394884732674</v>
      </c>
      <c r="N50" s="73">
        <f t="shared" si="11"/>
        <v>1.3122833150678823</v>
      </c>
      <c r="O50" s="73">
        <f t="shared" si="11"/>
        <v>3.9136381270373071</v>
      </c>
      <c r="P50" s="73">
        <f t="shared" si="11"/>
        <v>4.6459668749660192</v>
      </c>
    </row>
    <row r="51" spans="2:16" x14ac:dyDescent="0.25">
      <c r="E51" s="73"/>
      <c r="F51" s="73"/>
      <c r="G51" s="73"/>
      <c r="K51" s="73"/>
      <c r="L51" s="73"/>
      <c r="M51" s="73"/>
    </row>
    <row r="52" spans="2:16" x14ac:dyDescent="0.25">
      <c r="F52" s="74"/>
      <c r="G52" s="74"/>
      <c r="L52" s="74"/>
      <c r="M52" s="74"/>
    </row>
    <row r="53" spans="2:16" x14ac:dyDescent="0.25">
      <c r="B53" s="71" t="s">
        <v>1222</v>
      </c>
      <c r="D53" s="75">
        <f>D8/'P&amp;L_2014-2025'!C8*365</f>
        <v>94.749388283566233</v>
      </c>
      <c r="E53" s="75">
        <f>E8/'P&amp;L_2014-2025'!D8*365</f>
        <v>118.44032663679754</v>
      </c>
      <c r="F53" s="75">
        <f>F8/'P&amp;L_2014-2025'!E8*365</f>
        <v>150.17303485877088</v>
      </c>
      <c r="G53" s="75">
        <f>G8/'P&amp;L_2014-2025'!F8*365</f>
        <v>140.3910490749744</v>
      </c>
      <c r="H53" s="75">
        <f>H8/'P&amp;L_2014-2025'!G8*365</f>
        <v>118.59987935442162</v>
      </c>
      <c r="I53" s="75">
        <f>I8/'P&amp;L_2014-2025'!H8*365</f>
        <v>100.66021761595867</v>
      </c>
      <c r="J53" s="75">
        <f>J8/'P&amp;L_2014-2025'!I8*365</f>
        <v>102.20888936149908</v>
      </c>
      <c r="K53" s="75">
        <f>K8/'P&amp;L_2014-2025'!J8*365</f>
        <v>119.55060164530931</v>
      </c>
      <c r="L53" s="75">
        <f>L8/'P&amp;L_2014-2025'!K8*365</f>
        <v>114.19477015376401</v>
      </c>
      <c r="M53" s="75">
        <f>M8/'P&amp;L_2014-2025'!L8*365</f>
        <v>115.50622640164531</v>
      </c>
      <c r="N53" s="75">
        <f>N8/'P&amp;L_2014-2025'!M8*365</f>
        <v>122.06840681813244</v>
      </c>
      <c r="O53" s="75">
        <f>O8/'P&amp;L_2014-2025'!N8*365</f>
        <v>81.022135120556257</v>
      </c>
      <c r="P53" s="75">
        <f>P8/'P&amp;L_2014-2025'!O8*365</f>
        <v>62.137268584743786</v>
      </c>
    </row>
    <row r="54" spans="2:16" x14ac:dyDescent="0.25">
      <c r="B54" s="71" t="s">
        <v>1223</v>
      </c>
      <c r="D54" s="75">
        <f>D10/'P&amp;L_2014-2025'!C22*365</f>
        <v>119.48488711784439</v>
      </c>
      <c r="E54" s="75">
        <f>E10/'P&amp;L_2014-2025'!D22*365</f>
        <v>123.36882414443009</v>
      </c>
      <c r="F54" s="75">
        <f>F10/'P&amp;L_2014-2025'!E22*365</f>
        <v>163.61427622761917</v>
      </c>
      <c r="G54" s="75">
        <f>G10/'P&amp;L_2014-2025'!F22*365</f>
        <v>122.37812109487113</v>
      </c>
      <c r="H54" s="75">
        <f>H10/'P&amp;L_2014-2025'!G22*365</f>
        <v>279.24771675283796</v>
      </c>
      <c r="I54" s="75">
        <f>I10/'P&amp;L_2014-2025'!H22*365</f>
        <v>190.92835809375094</v>
      </c>
      <c r="J54" s="75">
        <f>J10/'P&amp;L_2014-2025'!I22*365</f>
        <v>138.77059719277148</v>
      </c>
      <c r="K54" s="75">
        <f>K10/'P&amp;L_2014-2025'!J22*365</f>
        <v>142.02983985175058</v>
      </c>
      <c r="L54" s="75">
        <f>L10/'P&amp;L_2014-2025'!K22*365</f>
        <v>177.5790500979482</v>
      </c>
      <c r="M54" s="75">
        <f>M10/'P&amp;L_2014-2025'!L22*365</f>
        <v>154.51615904150367</v>
      </c>
      <c r="N54" s="75">
        <f>N10/'P&amp;L_2014-2025'!M22*365</f>
        <v>167.58154444633644</v>
      </c>
      <c r="O54" s="75">
        <f>O10/'P&amp;L_2014-2025'!N22*365</f>
        <v>278.66815795566299</v>
      </c>
      <c r="P54" s="75">
        <f>P10/'P&amp;L_2014-2025'!O22*365</f>
        <v>187.6714555342582</v>
      </c>
    </row>
    <row r="55" spans="2:16" x14ac:dyDescent="0.25">
      <c r="B55" s="71" t="s">
        <v>1224</v>
      </c>
      <c r="D55" s="75">
        <f>D26/'P&amp;L_2014-2025'!C22*365</f>
        <v>8.7942605983534285</v>
      </c>
      <c r="E55" s="75">
        <f>E26/'P&amp;L_2014-2025'!D22*365</f>
        <v>27.282854265740625</v>
      </c>
      <c r="F55" s="75">
        <f>F26/'P&amp;L_2014-2025'!E22*365</f>
        <v>28.227327785296314</v>
      </c>
      <c r="G55" s="75">
        <f>G26/'P&amp;L_2014-2025'!F22*365</f>
        <v>32.739563883335286</v>
      </c>
      <c r="H55" s="75">
        <f>H26/'P&amp;L_2014-2025'!G22*365</f>
        <v>35.482967223773478</v>
      </c>
      <c r="I55" s="75">
        <f>I26/'P&amp;L_2014-2025'!H22*365</f>
        <v>20.942524251239753</v>
      </c>
      <c r="J55" s="75">
        <f>J26/'P&amp;L_2014-2025'!I22*365</f>
        <v>29.550895902049035</v>
      </c>
      <c r="K55" s="75">
        <f>K26/'P&amp;L_2014-2025'!J22*365</f>
        <v>15.265484053384744</v>
      </c>
      <c r="L55" s="75">
        <f>L26/'P&amp;L_2014-2025'!K22*365</f>
        <v>12.236164840580182</v>
      </c>
      <c r="M55" s="75">
        <f>M26/'P&amp;L_2014-2025'!L22*365</f>
        <v>22.363904497539625</v>
      </c>
      <c r="N55" s="75">
        <f>N26/'P&amp;L_2014-2025'!M22*365</f>
        <v>37.553229913481907</v>
      </c>
      <c r="O55" s="75">
        <f>O26/'P&amp;L_2014-2025'!N22*365</f>
        <v>57.625797436334736</v>
      </c>
      <c r="P55" s="75">
        <f>P26/'P&amp;L_2014-2025'!O22*365</f>
        <v>60.698470438060475</v>
      </c>
    </row>
    <row r="56" spans="2:16" x14ac:dyDescent="0.25">
      <c r="B56" s="46" t="s">
        <v>1225</v>
      </c>
      <c r="D56" s="76">
        <f t="shared" ref="D56:P56" si="12">D53+D54-D55</f>
        <v>205.44001480305721</v>
      </c>
      <c r="E56" s="76">
        <f t="shared" si="12"/>
        <v>214.52629651548699</v>
      </c>
      <c r="F56" s="76">
        <f t="shared" si="12"/>
        <v>285.55998330109372</v>
      </c>
      <c r="G56" s="76">
        <f t="shared" si="12"/>
        <v>230.02960628651027</v>
      </c>
      <c r="H56" s="76">
        <f t="shared" si="12"/>
        <v>362.36462888348609</v>
      </c>
      <c r="I56" s="76">
        <f t="shared" si="12"/>
        <v>270.64605145846986</v>
      </c>
      <c r="J56" s="76">
        <f t="shared" si="12"/>
        <v>211.42859065222152</v>
      </c>
      <c r="K56" s="76">
        <f t="shared" si="12"/>
        <v>246.31495744367515</v>
      </c>
      <c r="L56" s="76">
        <f t="shared" si="12"/>
        <v>279.53765541113205</v>
      </c>
      <c r="M56" s="76">
        <f t="shared" si="12"/>
        <v>247.65848094560937</v>
      </c>
      <c r="N56" s="76">
        <f t="shared" si="12"/>
        <v>252.09672135098697</v>
      </c>
      <c r="O56" s="76">
        <f t="shared" si="12"/>
        <v>302.06449563988451</v>
      </c>
      <c r="P56" s="76">
        <f t="shared" si="12"/>
        <v>189.11025368094153</v>
      </c>
    </row>
  </sheetData>
  <pageMargins left="0.75" right="0.75" top="1" bottom="1" header="0.5" footer="0.5"/>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showGridLines="0" workbookViewId="0"/>
  </sheetViews>
  <sheetFormatPr defaultRowHeight="15" x14ac:dyDescent="0.25"/>
  <sheetData/>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showGridLines="0" workbookViewId="0"/>
  </sheetViews>
  <sheetFormatPr defaultRowHeight="15" x14ac:dyDescent="0.25"/>
  <sheetData/>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A1:P87"/>
  <sheetViews>
    <sheetView showGridLines="0" zoomScale="90" workbookViewId="0">
      <pane ySplit="5" topLeftCell="A6" activePane="bottomLeft" state="frozen"/>
      <selection pane="bottomLeft" activeCell="P32" sqref="P32:P33"/>
    </sheetView>
  </sheetViews>
  <sheetFormatPr defaultRowHeight="15" x14ac:dyDescent="0.25"/>
  <cols>
    <col min="1" max="1" width="6" customWidth="1"/>
    <col min="2" max="2" width="23.42578125" customWidth="1"/>
    <col min="3" max="3" width="13.28515625" customWidth="1"/>
    <col min="4" max="4" width="14.140625" customWidth="1"/>
    <col min="5" max="6" width="13.28515625" customWidth="1"/>
    <col min="7" max="7" width="13.28515625" bestFit="1" customWidth="1"/>
    <col min="8" max="8" width="13.5703125" customWidth="1"/>
    <col min="9" max="9" width="15" customWidth="1"/>
    <col min="10" max="10" width="13.140625" customWidth="1"/>
    <col min="11" max="11" width="13.85546875" customWidth="1"/>
    <col min="12" max="12" width="15" customWidth="1"/>
    <col min="13" max="13" width="15.7109375" customWidth="1"/>
    <col min="14" max="14" width="15.7109375" bestFit="1" customWidth="1"/>
    <col min="15" max="15" width="15" customWidth="1"/>
    <col min="16" max="16" width="8.85546875" customWidth="1"/>
  </cols>
  <sheetData>
    <row r="1" spans="1:16" x14ac:dyDescent="0.25">
      <c r="A1" s="46" t="s">
        <v>1207</v>
      </c>
    </row>
    <row r="2" spans="1:16" x14ac:dyDescent="0.25">
      <c r="A2" s="46" t="s">
        <v>1226</v>
      </c>
    </row>
    <row r="3" spans="1:16" x14ac:dyDescent="0.25">
      <c r="A3" s="46" t="s">
        <v>1227</v>
      </c>
      <c r="C3" s="77">
        <v>2</v>
      </c>
      <c r="D3" s="77">
        <v>3</v>
      </c>
      <c r="E3" s="78">
        <v>4</v>
      </c>
      <c r="F3" s="77">
        <v>5</v>
      </c>
      <c r="G3" s="77">
        <v>6</v>
      </c>
      <c r="H3" s="77">
        <v>7</v>
      </c>
      <c r="I3" s="77">
        <v>8</v>
      </c>
      <c r="J3" s="77">
        <v>9</v>
      </c>
      <c r="K3" s="77">
        <v>10</v>
      </c>
      <c r="L3" s="77">
        <v>11</v>
      </c>
      <c r="M3" s="77"/>
      <c r="N3" s="77"/>
      <c r="O3" s="79">
        <v>13</v>
      </c>
    </row>
    <row r="4" spans="1:16" x14ac:dyDescent="0.25">
      <c r="A4" s="71"/>
      <c r="C4" s="80"/>
      <c r="D4" s="80"/>
      <c r="E4" s="80"/>
      <c r="F4" s="80"/>
      <c r="G4" s="80"/>
      <c r="H4" s="80"/>
      <c r="I4" s="80"/>
      <c r="J4" s="80"/>
      <c r="K4" s="80"/>
      <c r="L4" s="81"/>
      <c r="M4" s="81"/>
      <c r="N4" s="81"/>
    </row>
    <row r="5" spans="1:16" ht="18.600000000000001" customHeight="1" x14ac:dyDescent="0.25">
      <c r="C5" s="58" t="s">
        <v>1190</v>
      </c>
      <c r="D5" s="58" t="s">
        <v>1191</v>
      </c>
      <c r="E5" s="58" t="s">
        <v>1192</v>
      </c>
      <c r="F5" s="58" t="s">
        <v>1193</v>
      </c>
      <c r="G5" s="58" t="s">
        <v>1194</v>
      </c>
      <c r="H5" s="58" t="s">
        <v>1195</v>
      </c>
      <c r="I5" s="58" t="s">
        <v>1196</v>
      </c>
      <c r="J5" s="58" t="s">
        <v>1197</v>
      </c>
      <c r="K5" s="58" t="s">
        <v>1198</v>
      </c>
      <c r="L5" s="58" t="s">
        <v>1199</v>
      </c>
      <c r="M5" s="58" t="s">
        <v>1200</v>
      </c>
      <c r="N5" s="58" t="s">
        <v>1201</v>
      </c>
      <c r="O5" s="59" t="s">
        <v>1211</v>
      </c>
    </row>
    <row r="6" spans="1:16" x14ac:dyDescent="0.25">
      <c r="A6" t="s">
        <v>1228</v>
      </c>
      <c r="C6" s="82">
        <f>C8/C7</f>
        <v>23036.5830465162</v>
      </c>
      <c r="D6" s="82">
        <v>31426</v>
      </c>
      <c r="E6" s="82">
        <v>32014</v>
      </c>
      <c r="F6" s="82">
        <v>29528</v>
      </c>
      <c r="G6" s="82">
        <v>28812</v>
      </c>
      <c r="H6" s="82">
        <v>38145</v>
      </c>
      <c r="I6" s="82">
        <v>36751</v>
      </c>
      <c r="J6" s="82">
        <v>37605</v>
      </c>
      <c r="K6" s="82">
        <v>37298</v>
      </c>
      <c r="L6" s="82">
        <v>24159</v>
      </c>
      <c r="M6" s="82">
        <v>35702</v>
      </c>
      <c r="N6" s="82">
        <v>45159</v>
      </c>
      <c r="O6" s="83"/>
      <c r="P6" s="29" t="s">
        <v>1229</v>
      </c>
    </row>
    <row r="7" spans="1:16" x14ac:dyDescent="0.25">
      <c r="A7" t="s">
        <v>1230</v>
      </c>
      <c r="C7" s="84">
        <v>5815.7680583678821</v>
      </c>
      <c r="D7" s="84">
        <f t="shared" ref="D7:N7" si="0">D8/D6</f>
        <v>3482.5990449108035</v>
      </c>
      <c r="E7" s="84">
        <f t="shared" si="0"/>
        <v>2741.5394093311984</v>
      </c>
      <c r="F7" s="84">
        <f t="shared" si="0"/>
        <v>3152.2150239050388</v>
      </c>
      <c r="G7" s="84">
        <f t="shared" si="0"/>
        <v>3727.9614585724703</v>
      </c>
      <c r="H7" s="84">
        <f t="shared" si="0"/>
        <v>3829.6434706360455</v>
      </c>
      <c r="I7" s="84">
        <f t="shared" si="0"/>
        <v>3444.8813364682323</v>
      </c>
      <c r="J7" s="84">
        <f t="shared" si="0"/>
        <v>4856.2358018348359</v>
      </c>
      <c r="K7" s="84">
        <f t="shared" si="0"/>
        <v>5951.1168167305741</v>
      </c>
      <c r="L7" s="84">
        <f t="shared" si="0"/>
        <v>4313.1136373951731</v>
      </c>
      <c r="M7" s="84">
        <f t="shared" si="0"/>
        <v>3786.3546742563444</v>
      </c>
      <c r="N7" s="84">
        <f t="shared" si="0"/>
        <v>3453.0831490770261</v>
      </c>
      <c r="O7" s="84" t="str">
        <f>IFERROR(O8/O6,"")</f>
        <v/>
      </c>
    </row>
    <row r="8" spans="1:16" ht="19.899999999999999" customHeight="1" x14ac:dyDescent="0.25">
      <c r="A8" s="85" t="s">
        <v>641</v>
      </c>
      <c r="C8" s="86">
        <f>-SUMIF(ALIF_Y2014!I:I,A8,ALIF_Y2014!F:F)</f>
        <v>133975423.855868</v>
      </c>
      <c r="D8" s="86">
        <f>-SUMIF(ALIF_Y2015!I:I,A8,ALIF_Y2015!F:F)</f>
        <v>109444157.5853669</v>
      </c>
      <c r="E8" s="86">
        <f>-SUMIF(ALIF_Y2016!I:I,A8,ALIF_Y2016!F:F)</f>
        <v>87767642.650328979</v>
      </c>
      <c r="F8" s="86">
        <f>-SUMIF(ALIF_Y2017!I:I,A8,ALIF_Y2017!F:F)</f>
        <v>93078605.225867987</v>
      </c>
      <c r="G8" s="86">
        <f>-SUMIF(ALIF_Y2018!I:I,A8,ALIF_Y2018!F:F)</f>
        <v>107410025.54439001</v>
      </c>
      <c r="H8" s="86">
        <f>-SUMIF(ALIF_Y2019!I:I,A8,ALIF_Y2019!F:F)</f>
        <v>146081750.18741196</v>
      </c>
      <c r="I8" s="86">
        <f>-SUMIF(ALIF_Y2020!I:I,A8,ALIF_Y2020!F:F)</f>
        <v>126602833.996544</v>
      </c>
      <c r="J8" s="86">
        <f>-SUMIF(ALIF_Y2021!I:I,A8,ALIF_Y2021!F:F)</f>
        <v>182618747.327999</v>
      </c>
      <c r="K8" s="86">
        <f>-SUMIF(ALIF_Y2022!I:I,A8,ALIF_Y2022!F:F)</f>
        <v>221964755.03041697</v>
      </c>
      <c r="L8" s="86">
        <f>-SUMIF(ALIF_Y2023!I:I,A8,ALIF_Y2023!F:F)</f>
        <v>104200512.36582999</v>
      </c>
      <c r="M8" s="86">
        <f>-SUMIF(ALIF_Y2024!I:I,A8,ALIF_Y2024!F:F)</f>
        <v>135180434.5803</v>
      </c>
      <c r="N8" s="86">
        <f>-SUMIF(ALIF_Y2025!I:I,A8,ALIF_Y2025!F:F)</f>
        <v>155937781.92916942</v>
      </c>
      <c r="O8" s="86">
        <f>-(SUMIF(TB_Input_Alif!$I:$I,$A8,TB_Input_Alif!$F:$F)-SUMIF(TB_Input_Alif!$I:$I,$A8,TB_Input_Alif!$C:$C))</f>
        <v>126467923.87650502</v>
      </c>
    </row>
    <row r="9" spans="1:16" x14ac:dyDescent="0.25">
      <c r="A9" s="87"/>
      <c r="C9" s="87"/>
      <c r="D9" s="87"/>
      <c r="E9" s="87"/>
      <c r="F9" s="87"/>
      <c r="G9" s="87"/>
      <c r="H9" s="87"/>
      <c r="I9" s="87"/>
      <c r="J9" s="87"/>
      <c r="K9" s="87"/>
      <c r="L9" s="87"/>
      <c r="M9" s="87"/>
      <c r="N9" s="87"/>
      <c r="O9" s="87"/>
    </row>
    <row r="10" spans="1:16" x14ac:dyDescent="0.25">
      <c r="A10" t="s">
        <v>643</v>
      </c>
      <c r="C10" s="88">
        <f>SUMIF(ALIF_Y2014!I:I,A10,ALIF_Y2014!F:F)</f>
        <v>81941048.596606642</v>
      </c>
      <c r="D10" s="88">
        <f>SUMIF(ALIF_Y2015!I:I,A10,ALIF_Y2015!F:F)</f>
        <v>65904067.777534761</v>
      </c>
      <c r="E10" s="82">
        <f>SUMIF(ALIF_Y2016!I:I,A10,ALIF_Y2016!F:F)</f>
        <v>55179705.656852663</v>
      </c>
      <c r="F10" s="88">
        <f>SUMIF(ALIF_Y2017!I:I,A10,ALIF_Y2017!F:F)</f>
        <v>58214236.07661362</v>
      </c>
      <c r="G10" s="88">
        <f>SUMIF(ALIF_Y2018!I:I,A10,ALIF_Y2018!F:F)</f>
        <v>75159713.02398628</v>
      </c>
      <c r="H10" s="88">
        <f>SUMIF(ALIF_Y2019!I:I,A10,ALIF_Y2019!F:F)</f>
        <v>101800151.00217427</v>
      </c>
      <c r="I10" s="88">
        <f>SUMIF(ALIF_Y2020!I:I,A10,ALIF_Y2020!F:F)</f>
        <v>100988459.92556266</v>
      </c>
      <c r="J10" s="88">
        <f>SUMIF(ALIF_Y2021!I:I,A10,ALIF_Y2021!F:F)</f>
        <v>128457153.22845203</v>
      </c>
      <c r="K10" s="88">
        <f>SUMIF(ALIF_Y2022!I:I,A10,ALIF_Y2022!F:F)</f>
        <v>158993620.62478179</v>
      </c>
      <c r="L10" s="88">
        <f>SUMIF(ALIF_Y2023!I:I,A10,ALIF_Y2023!F:F)</f>
        <v>86519533.614472955</v>
      </c>
      <c r="M10" s="88">
        <f>SUMIF(ALIF_Y2024!I:I,A10,ALIF_Y2024!F:F)</f>
        <v>106465714.16813104</v>
      </c>
      <c r="N10" s="88">
        <f>SUMIF(ALIF_Y2025!I:I,A10,ALIF_Y2025!F:F)</f>
        <v>114262456.88799998</v>
      </c>
      <c r="O10" s="88">
        <f>(SUMIF(TB_Input_Alif!$I:$I,$A10,TB_Input_Alif!$F:$F)-SUMIF(TB_Input_Alif!$I:$I,$A10,TB_Input_Alif!$C:$C))</f>
        <v>94755694.149040043</v>
      </c>
    </row>
    <row r="11" spans="1:16" x14ac:dyDescent="0.25">
      <c r="A11" t="s">
        <v>645</v>
      </c>
      <c r="C11" s="88">
        <f>SUMIF(ALIF_Y2014!I:I,A11,ALIF_Y2014!F:F)</f>
        <v>10110577.705999997</v>
      </c>
      <c r="D11" s="88">
        <f>SUMIF(ALIF_Y2015!I:I,A11,ALIF_Y2015!F:F)</f>
        <v>4964584.5719999997</v>
      </c>
      <c r="E11" s="82">
        <f>SUMIF(ALIF_Y2016!I:I,A11,ALIF_Y2016!F:F)</f>
        <v>2752188.9319999996</v>
      </c>
      <c r="F11" s="88">
        <f>SUMIF(ALIF_Y2017!I:I,A11,ALIF_Y2017!F:F)</f>
        <v>8076733.3790000007</v>
      </c>
      <c r="G11" s="88">
        <f>SUMIF(ALIF_Y2018!I:I,A11,ALIF_Y2018!F:F)</f>
        <v>4690498.9110000003</v>
      </c>
      <c r="H11" s="88">
        <f>SUMIF(ALIF_Y2019!I:I,A11,ALIF_Y2019!F:F)</f>
        <v>4737194.0270000007</v>
      </c>
      <c r="I11" s="88">
        <f>SUMIF(ALIF_Y2020!I:I,A11,ALIF_Y2020!F:F)</f>
        <v>4616680.1390000004</v>
      </c>
      <c r="J11" s="88">
        <f>SUMIF(ALIF_Y2021!I:I,A11,ALIF_Y2021!F:F)</f>
        <v>6113548.9930000007</v>
      </c>
      <c r="K11" s="88">
        <f>SUMIF(ALIF_Y2022!I:I,A11,ALIF_Y2022!F:F)</f>
        <v>7571448.6799999997</v>
      </c>
      <c r="L11" s="88">
        <f>SUMIF(ALIF_Y2023!I:I,A11,ALIF_Y2023!F:F)</f>
        <v>4537898.5029999986</v>
      </c>
      <c r="M11" s="88">
        <f>SUMIF(ALIF_Y2024!I:I,A11,ALIF_Y2024!F:F)</f>
        <v>5342594.8040000005</v>
      </c>
      <c r="N11" s="88">
        <f>SUMIF(ALIF_Y2025!I:I,A11,ALIF_Y2025!F:F)</f>
        <v>14662272.800999999</v>
      </c>
      <c r="O11" s="88">
        <f>(SUMIF(TB_Input_Alif!$I:$I,$A11,TB_Input_Alif!$F:$F)-SUMIF(TB_Input_Alif!$I:$I,$A11,TB_Input_Alif!$C:$C))</f>
        <v>15043742.535999998</v>
      </c>
    </row>
    <row r="12" spans="1:16" x14ac:dyDescent="0.25">
      <c r="A12" t="s">
        <v>647</v>
      </c>
      <c r="C12" s="88">
        <f>SUMIF(ALIF_Y2014!I:I,A12,ALIF_Y2014!F:F)</f>
        <v>0</v>
      </c>
      <c r="D12" s="88">
        <f>SUMIF(ALIF_Y2015!I:I,A12,ALIF_Y2015!F:F)</f>
        <v>0</v>
      </c>
      <c r="E12" s="82">
        <f>SUMIF(ALIF_Y2016!I:I,A12,ALIF_Y2016!F:F)</f>
        <v>0</v>
      </c>
      <c r="F12" s="88">
        <f>SUMIF(ALIF_Y2017!I:I,A12,ALIF_Y2017!F:F)</f>
        <v>0</v>
      </c>
      <c r="G12" s="88">
        <f>SUMIF(ALIF_Y2018!I:I,A12,ALIF_Y2018!F:F)</f>
        <v>0</v>
      </c>
      <c r="H12" s="88">
        <f>SUMIF(ALIF_Y2019!I:I,A12,ALIF_Y2019!F:F)</f>
        <v>0</v>
      </c>
      <c r="I12" s="88">
        <f>SUMIF(ALIF_Y2020!I:I,A12,ALIF_Y2020!F:F)</f>
        <v>0</v>
      </c>
      <c r="J12" s="88">
        <f>SUMIF(ALIF_Y2021!I:I,A12,ALIF_Y2021!F:F)</f>
        <v>0</v>
      </c>
      <c r="K12" s="88">
        <f>SUMIF(ALIF_Y2022!I:I,A12,ALIF_Y2022!F:F)</f>
        <v>0</v>
      </c>
      <c r="L12" s="88">
        <f>SUMIF(ALIF_Y2023!I:I,A12,ALIF_Y2023!F:F)</f>
        <v>0</v>
      </c>
      <c r="M12" s="88">
        <f>SUMIF(ALIF_Y2024!I:I,A12,ALIF_Y2024!F:F)</f>
        <v>0</v>
      </c>
      <c r="N12" s="88">
        <f>SUMIF(ALIF_Y2025!I:I,A12,ALIF_Y2025!F:F)</f>
        <v>0</v>
      </c>
      <c r="O12" s="88">
        <f>(SUMIF(TB_Input_Alif!$I:$I,$A12,TB_Input_Alif!$F:$F)-SUMIF(TB_Input_Alif!$I:$I,$A12,TB_Input_Alif!$C:$C))</f>
        <v>173224.88699999999</v>
      </c>
    </row>
    <row r="13" spans="1:16" x14ac:dyDescent="0.25">
      <c r="A13" t="s">
        <v>648</v>
      </c>
      <c r="C13" s="88">
        <f>SUMIF(ALIF_Y2014!I:I,A13,ALIF_Y2014!F:F)</f>
        <v>0</v>
      </c>
      <c r="D13" s="88">
        <f>SUMIF(ALIF_Y2015!I:I,A13,ALIF_Y2015!F:F)</f>
        <v>0</v>
      </c>
      <c r="E13" s="82">
        <f>SUMIF(ALIF_Y2016!I:I,A13,ALIF_Y2016!F:F)</f>
        <v>0</v>
      </c>
      <c r="F13" s="88">
        <f>SUMIF(ALIF_Y2017!I:I,A13,ALIF_Y2017!F:F)</f>
        <v>0</v>
      </c>
      <c r="G13" s="88">
        <f>SUMIF(ALIF_Y2018!I:I,A13,ALIF_Y2018!F:F)</f>
        <v>0</v>
      </c>
      <c r="H13" s="88">
        <f>SUMIF(ALIF_Y2019!I:I,A13,ALIF_Y2019!F:F)</f>
        <v>0</v>
      </c>
      <c r="I13" s="88">
        <f>SUMIF(ALIF_Y2020!I:I,A13,ALIF_Y2020!F:F)</f>
        <v>0</v>
      </c>
      <c r="J13" s="88">
        <f>SUMIF(ALIF_Y2021!I:I,A13,ALIF_Y2021!F:F)</f>
        <v>0</v>
      </c>
      <c r="K13" s="88">
        <f>SUMIF(ALIF_Y2022!I:I,A13,ALIF_Y2022!F:F)</f>
        <v>0</v>
      </c>
      <c r="L13" s="88">
        <f>SUMIF(ALIF_Y2023!I:I,A13,ALIF_Y2023!F:F)</f>
        <v>0</v>
      </c>
      <c r="M13" s="88">
        <f>SUMIF(ALIF_Y2024!I:I,A13,ALIF_Y2024!F:F)</f>
        <v>0</v>
      </c>
      <c r="N13" s="88">
        <f>SUMIF(ALIF_Y2025!I:I,A13,ALIF_Y2025!F:F)</f>
        <v>-1.3969838619232178E-9</v>
      </c>
      <c r="O13" s="88">
        <f>(SUMIF(TB_Input_Alif!$I:$I,$A13,TB_Input_Alif!$F:$F)-SUMIF(TB_Input_Alif!$I:$I,$A13,TB_Input_Alif!$C:$C))</f>
        <v>2270031.3909999998</v>
      </c>
    </row>
    <row r="14" spans="1:16" x14ac:dyDescent="0.25">
      <c r="A14" t="s">
        <v>650</v>
      </c>
      <c r="C14" s="88">
        <f>SUMIF(ALIF_Y2014!I:I,A14,ALIF_Y2014!F:F)</f>
        <v>2954190.4589999998</v>
      </c>
      <c r="D14" s="88">
        <f>SUMIF(ALIF_Y2015!I:I,A14,ALIF_Y2015!F:F)</f>
        <v>3165403.4010000001</v>
      </c>
      <c r="E14" s="82">
        <f>SUMIF(ALIF_Y2016!I:I,A14,ALIF_Y2016!F:F)</f>
        <v>3435007.7499999995</v>
      </c>
      <c r="F14" s="88">
        <f>SUMIF(ALIF_Y2017!I:I,A14,ALIF_Y2017!F:F)</f>
        <v>3533037.389</v>
      </c>
      <c r="G14" s="88">
        <f>SUMIF(ALIF_Y2018!I:I,A14,ALIF_Y2018!F:F)</f>
        <v>2198098.9980000001</v>
      </c>
      <c r="H14" s="88">
        <f>SUMIF(ALIF_Y2019!I:I,A14,ALIF_Y2019!F:F)</f>
        <v>3638104.1009999998</v>
      </c>
      <c r="I14" s="88">
        <f>SUMIF(ALIF_Y2020!I:I,A14,ALIF_Y2020!F:F)</f>
        <v>3256640.844</v>
      </c>
      <c r="J14" s="88">
        <f>SUMIF(ALIF_Y2021!I:I,A14,ALIF_Y2021!F:F)</f>
        <v>3446969.5830000001</v>
      </c>
      <c r="K14" s="88">
        <f>SUMIF(ALIF_Y2022!I:I,A14,ALIF_Y2022!F:F)</f>
        <v>3787622.0819999999</v>
      </c>
      <c r="L14" s="88">
        <f>SUMIF(ALIF_Y2023!I:I,A14,ALIF_Y2023!F:F)</f>
        <v>3892923.0929999999</v>
      </c>
      <c r="M14" s="88">
        <f>SUMIF(ALIF_Y2024!I:I,A14,ALIF_Y2024!F:F)</f>
        <v>4522894.6119999997</v>
      </c>
      <c r="N14" s="89">
        <f>SUMIF(ALIF_Y2025!I:I,A14,ALIF_Y2025!F:F)</f>
        <v>7355690.534</v>
      </c>
      <c r="O14" s="89">
        <f>(SUMIF(TB_Input_Alif!$I:$I,$A14,TB_Input_Alif!$F:$F)-SUMIF(TB_Input_Alif!$I:$I,$A14,TB_Input_Alif!$C:$C))</f>
        <v>6489832.7048807256</v>
      </c>
    </row>
    <row r="15" spans="1:16" x14ac:dyDescent="0.25">
      <c r="A15" t="s">
        <v>656</v>
      </c>
      <c r="C15" s="88">
        <f>SUMIF(ALIF_Y2014!I:I,A15,ALIF_Y2014!F:F)</f>
        <v>2434320.8599999994</v>
      </c>
      <c r="D15" s="88">
        <f>SUMIF(ALIF_Y2015!I:I,A15,ALIF_Y2015!F:F)</f>
        <v>2420064.0279999999</v>
      </c>
      <c r="E15" s="82">
        <f>SUMIF(ALIF_Y2016!I:I,A15,ALIF_Y2016!F:F)</f>
        <v>2254831.1270000008</v>
      </c>
      <c r="F15" s="88">
        <f>SUMIF(ALIF_Y2017!I:I,A15,ALIF_Y2017!F:F)</f>
        <v>2034286.3900000001</v>
      </c>
      <c r="G15" s="88">
        <f>SUMIF(ALIF_Y2018!I:I,A15,ALIF_Y2018!F:F)</f>
        <v>1095147.3319999999</v>
      </c>
      <c r="H15" s="88">
        <f>SUMIF(ALIF_Y2019!I:I,A15,ALIF_Y2019!F:F)</f>
        <v>3949079.1349999998</v>
      </c>
      <c r="I15" s="88">
        <f>SUMIF(ALIF_Y2020!I:I,A15,ALIF_Y2020!F:F)</f>
        <v>4120004.977</v>
      </c>
      <c r="J15" s="88">
        <f>SUMIF(ALIF_Y2021!I:I,A15,ALIF_Y2021!F:F)</f>
        <v>6548586.449</v>
      </c>
      <c r="K15" s="88">
        <f>SUMIF(ALIF_Y2022!I:I,A15,ALIF_Y2022!F:F)</f>
        <v>7463313.8859999999</v>
      </c>
      <c r="L15" s="88">
        <f>SUMIF(ALIF_Y2023!I:I,A15,ALIF_Y2023!F:F)</f>
        <v>5122044.1579999998</v>
      </c>
      <c r="M15" s="88">
        <f>SUMIF(ALIF_Y2024!I:I,A15,ALIF_Y2024!F:F)</f>
        <v>7915611.5140000004</v>
      </c>
      <c r="N15" s="88">
        <f>SUMIF(ALIF_Y2025!I:I,A15,ALIF_Y2025!F:F)</f>
        <v>5880837.9299999997</v>
      </c>
      <c r="O15" s="88">
        <f>(SUMIF(TB_Input_Alif!$I:$I,$A15,TB_Input_Alif!$F:$F)-SUMIF(TB_Input_Alif!$I:$I,$A15,TB_Input_Alif!$C:$C))</f>
        <v>5969397.0189999994</v>
      </c>
    </row>
    <row r="16" spans="1:16" x14ac:dyDescent="0.25">
      <c r="A16" t="s">
        <v>652</v>
      </c>
      <c r="C16" s="88">
        <f>SUMIF(ALIF_Y2014!I:I,A16,ALIF_Y2014!F:F)</f>
        <v>3476434.1170000006</v>
      </c>
      <c r="D16" s="88">
        <f>SUMIF(ALIF_Y2015!I:I,A16,ALIF_Y2015!F:F)</f>
        <v>4063793.2919999999</v>
      </c>
      <c r="E16" s="82">
        <f>SUMIF(ALIF_Y2016!I:I,A16,ALIF_Y2016!F:F)</f>
        <v>3017957.1750000003</v>
      </c>
      <c r="F16" s="88">
        <f>SUMIF(ALIF_Y2017!I:I,A16,ALIF_Y2017!F:F)</f>
        <v>2258622.4180000001</v>
      </c>
      <c r="G16" s="88">
        <f>SUMIF(ALIF_Y2018!I:I,A16,ALIF_Y2018!F:F)</f>
        <v>1475017.6850000001</v>
      </c>
      <c r="H16" s="88">
        <f>SUMIF(ALIF_Y2019!I:I,A16,ALIF_Y2019!F:F)</f>
        <v>3632906.7309999997</v>
      </c>
      <c r="I16" s="88">
        <f>SUMIF(ALIF_Y2020!I:I,A16,ALIF_Y2020!F:F)</f>
        <v>4290617.1629999997</v>
      </c>
      <c r="J16" s="88">
        <f>SUMIF(ALIF_Y2021!I:I,A16,ALIF_Y2021!F:F)</f>
        <v>6410977.4139999999</v>
      </c>
      <c r="K16" s="88">
        <f>SUMIF(ALIF_Y2022!I:I,A16,ALIF_Y2022!F:F)</f>
        <v>9548411.9160000011</v>
      </c>
      <c r="L16" s="88">
        <f>SUMIF(ALIF_Y2023!I:I,A16,ALIF_Y2023!F:F)</f>
        <v>4461814.3140000002</v>
      </c>
      <c r="M16" s="88">
        <f>SUMIF(ALIF_Y2024!I:I,A16,ALIF_Y2024!F:F)</f>
        <v>2688304.1169999996</v>
      </c>
      <c r="N16" s="88">
        <f>SUMIF(ALIF_Y2025!I:I,A16,ALIF_Y2025!F:F)</f>
        <v>1875073.0830000001</v>
      </c>
      <c r="O16" s="88">
        <f>(SUMIF(TB_Input_Alif!$I:$I,$A16,TB_Input_Alif!$F:$F)-SUMIF(TB_Input_Alif!$I:$I,$A16,TB_Input_Alif!$C:$C))</f>
        <v>3112107.3179999995</v>
      </c>
    </row>
    <row r="17" spans="1:15" x14ac:dyDescent="0.25">
      <c r="A17" t="s">
        <v>664</v>
      </c>
      <c r="C17" s="88">
        <f>SUMIF(ALIF_Y2014!I:I,A17,ALIF_Y2014!F:F)</f>
        <v>1517090.9300000002</v>
      </c>
      <c r="D17" s="88">
        <f>SUMIF(ALIF_Y2015!I:I,A17,ALIF_Y2015!F:F)</f>
        <v>1890240.9300000002</v>
      </c>
      <c r="E17" s="82">
        <f>SUMIF(ALIF_Y2016!I:I,A17,ALIF_Y2016!F:F)</f>
        <v>2206670.077</v>
      </c>
      <c r="F17" s="88">
        <f>SUMIF(ALIF_Y2017!I:I,A17,ALIF_Y2017!F:F)</f>
        <v>1979114.81</v>
      </c>
      <c r="G17" s="88">
        <f>SUMIF(ALIF_Y2018!I:I,A17,ALIF_Y2018!F:F)</f>
        <v>878697.03399999999</v>
      </c>
      <c r="H17" s="88">
        <f>SUMIF(ALIF_Y2019!I:I,A17,ALIF_Y2019!F:F)</f>
        <v>2551280.2429999998</v>
      </c>
      <c r="I17" s="88">
        <f>SUMIF(ALIF_Y2020!I:I,A17,ALIF_Y2020!F:F)</f>
        <v>2434106.5750000002</v>
      </c>
      <c r="J17" s="88">
        <f>SUMIF(ALIF_Y2021!I:I,A17,ALIF_Y2021!F:F)</f>
        <v>2828304.429</v>
      </c>
      <c r="K17" s="88">
        <f>SUMIF(ALIF_Y2022!I:I,A17,ALIF_Y2022!F:F)</f>
        <v>2591967.2379999999</v>
      </c>
      <c r="L17" s="88">
        <f>SUMIF(ALIF_Y2023!I:I,A17,ALIF_Y2023!F:F)</f>
        <v>1657015.986</v>
      </c>
      <c r="M17" s="88">
        <f>SUMIF(ALIF_Y2024!I:I,A17,ALIF_Y2024!F:F)</f>
        <v>2070169.0120000001</v>
      </c>
      <c r="N17" s="88">
        <f>SUMIF(ALIF_Y2025!I:I,A17,ALIF_Y2025!F:F)</f>
        <v>2881316.571</v>
      </c>
      <c r="O17" s="88">
        <f>(SUMIF(TB_Input_Alif!$I:$I,$A17,TB_Input_Alif!$F:$F)-SUMIF(TB_Input_Alif!$I:$I,$A17,TB_Input_Alif!$C:$C))</f>
        <v>2155822.341</v>
      </c>
    </row>
    <row r="18" spans="1:15" x14ac:dyDescent="0.25">
      <c r="A18" t="s">
        <v>658</v>
      </c>
      <c r="C18" s="88">
        <f>SUMIF(ALIF_Y2014!I:I,A18,ALIF_Y2014!F:F)</f>
        <v>257436.95199999999</v>
      </c>
      <c r="D18" s="88">
        <f>SUMIF(ALIF_Y2015!I:I,A18,ALIF_Y2015!F:F)</f>
        <v>138250.00200000001</v>
      </c>
      <c r="E18" s="82">
        <f>SUMIF(ALIF_Y2016!I:I,A18,ALIF_Y2016!F:F)</f>
        <v>63418</v>
      </c>
      <c r="F18" s="88">
        <f>SUMIF(ALIF_Y2017!I:I,A18,ALIF_Y2017!F:F)</f>
        <v>203768.74</v>
      </c>
      <c r="G18" s="88">
        <f>SUMIF(ALIF_Y2018!I:I,A18,ALIF_Y2018!F:F)</f>
        <v>78876.841</v>
      </c>
      <c r="H18" s="88">
        <f>SUMIF(ALIF_Y2019!I:I,A18,ALIF_Y2019!F:F)</f>
        <v>307100.908</v>
      </c>
      <c r="I18" s="88">
        <f>SUMIF(ALIF_Y2020!I:I,A18,ALIF_Y2020!F:F)</f>
        <v>466866.54599999997</v>
      </c>
      <c r="J18" s="88">
        <f>SUMIF(ALIF_Y2021!I:I,A18,ALIF_Y2021!F:F)</f>
        <v>1765300.0150000001</v>
      </c>
      <c r="K18" s="88">
        <f>SUMIF(ALIF_Y2022!I:I,A18,ALIF_Y2022!F:F)</f>
        <v>1776877.5829999999</v>
      </c>
      <c r="L18" s="88">
        <f>SUMIF(ALIF_Y2023!I:I,A18,ALIF_Y2023!F:F)</f>
        <v>285381.592</v>
      </c>
      <c r="M18" s="88">
        <f>SUMIF(ALIF_Y2024!I:I,A18,ALIF_Y2024!F:F)</f>
        <v>1285902.7409999999</v>
      </c>
      <c r="N18" s="89">
        <f>SUMIF(ALIF_Y2025!I:I,A18,ALIF_Y2025!F:F)</f>
        <v>7264252.2429999998</v>
      </c>
      <c r="O18" s="89">
        <f>(SUMIF(TB_Input_Alif!$I:$I,$A18,TB_Input_Alif!$F:$F)-SUMIF(TB_Input_Alif!$I:$I,$A18,TB_Input_Alif!$C:$C))</f>
        <v>3382853.5079999999</v>
      </c>
    </row>
    <row r="19" spans="1:15" x14ac:dyDescent="0.25">
      <c r="A19" t="s">
        <v>660</v>
      </c>
      <c r="C19" s="88">
        <f>SUMIF(ALIF_Y2014!I:I,A19,ALIF_Y2014!F:F)</f>
        <v>1371118.38</v>
      </c>
      <c r="D19" s="88">
        <f>SUMIF(ALIF_Y2015!I:I,A19,ALIF_Y2015!F:F)</f>
        <v>1515740.4</v>
      </c>
      <c r="E19" s="82">
        <f>SUMIF(ALIF_Y2016!I:I,A19,ALIF_Y2016!F:F)</f>
        <v>1491085.3</v>
      </c>
      <c r="F19" s="88">
        <f>SUMIF(ALIF_Y2017!I:I,A19,ALIF_Y2017!F:F)</f>
        <v>790799.59899999993</v>
      </c>
      <c r="G19" s="88">
        <f>SUMIF(ALIF_Y2018!I:I,A19,ALIF_Y2018!F:F)</f>
        <v>211393.9</v>
      </c>
      <c r="H19" s="88">
        <f>SUMIF(ALIF_Y2019!I:I,A19,ALIF_Y2019!F:F)</f>
        <v>465257.95400000003</v>
      </c>
      <c r="I19" s="88">
        <f>SUMIF(ALIF_Y2020!I:I,A19,ALIF_Y2020!F:F)</f>
        <v>319821.652</v>
      </c>
      <c r="J19" s="88">
        <f>SUMIF(ALIF_Y2021!I:I,A19,ALIF_Y2021!F:F)</f>
        <v>265999.92</v>
      </c>
      <c r="K19" s="88">
        <f>SUMIF(ALIF_Y2022!I:I,A19,ALIF_Y2022!F:F)</f>
        <v>275000</v>
      </c>
      <c r="L19" s="88">
        <f>SUMIF(ALIF_Y2023!I:I,A19,ALIF_Y2023!F:F)</f>
        <v>277040</v>
      </c>
      <c r="M19" s="88">
        <f>SUMIF(ALIF_Y2024!I:I,A19,ALIF_Y2024!F:F)</f>
        <v>244841.60399999999</v>
      </c>
      <c r="N19" s="88">
        <f>SUMIF(ALIF_Y2025!I:I,A19,ALIF_Y2025!F:F)</f>
        <v>413654.01400000002</v>
      </c>
      <c r="O19" s="88">
        <f>(SUMIF(TB_Input_Alif!$I:$I,$A19,TB_Input_Alif!$F:$F)-SUMIF(TB_Input_Alif!$I:$I,$A19,TB_Input_Alif!$C:$C))</f>
        <v>358632.93099999998</v>
      </c>
    </row>
    <row r="20" spans="1:15" x14ac:dyDescent="0.25">
      <c r="A20" t="s">
        <v>662</v>
      </c>
      <c r="C20" s="88">
        <f>SUMIF(ALIF_Y2014!I:I,A20,ALIF_Y2014!F:F)</f>
        <v>0</v>
      </c>
      <c r="D20" s="88">
        <f>SUMIF(ALIF_Y2015!I:I,A20,ALIF_Y2015!F:F)</f>
        <v>0</v>
      </c>
      <c r="E20" s="82">
        <f>SUMIF(ALIF_Y2016!I:I,A20,ALIF_Y2016!F:F)</f>
        <v>0</v>
      </c>
      <c r="F20" s="88">
        <f>SUMIF(ALIF_Y2017!I:I,A20,ALIF_Y2017!F:F)</f>
        <v>0</v>
      </c>
      <c r="G20" s="88">
        <f>SUMIF(ALIF_Y2018!I:I,A20,ALIF_Y2018!F:F)</f>
        <v>0</v>
      </c>
      <c r="H20" s="88">
        <f>SUMIF(ALIF_Y2019!I:I,A20,ALIF_Y2019!F:F)</f>
        <v>0</v>
      </c>
      <c r="I20" s="88">
        <f>SUMIF(ALIF_Y2020!I:I,A20,ALIF_Y2020!F:F)</f>
        <v>0</v>
      </c>
      <c r="J20" s="88">
        <f>SUMIF(ALIF_Y2021!I:I,A20,ALIF_Y2021!F:F)</f>
        <v>0</v>
      </c>
      <c r="K20" s="88">
        <f>SUMIF(ALIF_Y2022!I:I,A20,ALIF_Y2022!F:F)</f>
        <v>0</v>
      </c>
      <c r="L20" s="88">
        <f>SUMIF(ALIF_Y2023!I:I,A20,ALIF_Y2023!F:F)</f>
        <v>518207.99800000002</v>
      </c>
      <c r="M20" s="88">
        <f>SUMIF(ALIF_Y2024!I:I,A20,ALIF_Y2024!F:F)</f>
        <v>0</v>
      </c>
      <c r="N20" s="88">
        <f>SUMIF(ALIF_Y2025!I:I,A20,ALIF_Y2025!F:F)</f>
        <v>0</v>
      </c>
      <c r="O20" s="88">
        <f>(SUMIF(TB_Input_Alif!$I:$I,$A20,TB_Input_Alif!$F:$F)-SUMIF(TB_Input_Alif!$I:$I,$A20,TB_Input_Alif!$C:$C))</f>
        <v>0</v>
      </c>
    </row>
    <row r="21" spans="1:15" ht="7.15" customHeight="1" x14ac:dyDescent="0.25"/>
    <row r="22" spans="1:15" ht="20.45" customHeight="1" x14ac:dyDescent="0.25">
      <c r="A22" s="85" t="s">
        <v>1231</v>
      </c>
      <c r="C22" s="90">
        <f t="shared" ref="C22:O22" si="1">SUM(C10:C21)</f>
        <v>104062218.00060666</v>
      </c>
      <c r="D22" s="90">
        <f t="shared" si="1"/>
        <v>84062144.402534768</v>
      </c>
      <c r="E22" s="90">
        <f t="shared" si="1"/>
        <v>70400864.017852664</v>
      </c>
      <c r="F22" s="90">
        <f t="shared" si="1"/>
        <v>77090598.801613629</v>
      </c>
      <c r="G22" s="90">
        <f t="shared" si="1"/>
        <v>85787443.724986285</v>
      </c>
      <c r="H22" s="90">
        <f t="shared" si="1"/>
        <v>121081074.10117428</v>
      </c>
      <c r="I22" s="90">
        <f t="shared" si="1"/>
        <v>120493197.82156266</v>
      </c>
      <c r="J22" s="90">
        <f t="shared" si="1"/>
        <v>155836840.031452</v>
      </c>
      <c r="K22" s="90">
        <f t="shared" si="1"/>
        <v>192008262.00978181</v>
      </c>
      <c r="L22" s="90">
        <f t="shared" si="1"/>
        <v>107271859.25847292</v>
      </c>
      <c r="M22" s="90">
        <f t="shared" si="1"/>
        <v>130536032.57213104</v>
      </c>
      <c r="N22" s="90">
        <f t="shared" si="1"/>
        <v>154595554.06400001</v>
      </c>
      <c r="O22" s="90">
        <f t="shared" si="1"/>
        <v>133711338.78492077</v>
      </c>
    </row>
    <row r="23" spans="1:15" x14ac:dyDescent="0.25">
      <c r="A23" s="91"/>
      <c r="B23" s="91"/>
      <c r="C23" s="90"/>
      <c r="D23" s="90"/>
      <c r="E23" s="90"/>
      <c r="F23" s="90"/>
      <c r="G23" s="90"/>
      <c r="H23" s="90"/>
      <c r="I23" s="90"/>
      <c r="J23" s="90"/>
      <c r="K23" s="90"/>
      <c r="L23" s="90"/>
      <c r="M23" s="90"/>
      <c r="N23" s="90"/>
      <c r="O23" s="90"/>
    </row>
    <row r="24" spans="1:15" x14ac:dyDescent="0.25">
      <c r="A24" s="92" t="s">
        <v>1232</v>
      </c>
      <c r="C24" s="92">
        <f t="shared" ref="C24:O24" si="2">C8-C22</f>
        <v>29913205.855261341</v>
      </c>
      <c r="D24" s="92">
        <f t="shared" si="2"/>
        <v>25382013.182832137</v>
      </c>
      <c r="E24" s="92">
        <f t="shared" si="2"/>
        <v>17366778.632476315</v>
      </c>
      <c r="F24" s="92">
        <f t="shared" si="2"/>
        <v>15988006.424254358</v>
      </c>
      <c r="G24" s="92">
        <f t="shared" si="2"/>
        <v>21622581.819403723</v>
      </c>
      <c r="H24" s="92">
        <f t="shared" si="2"/>
        <v>25000676.086237684</v>
      </c>
      <c r="I24" s="92">
        <f t="shared" si="2"/>
        <v>6109636.1749813408</v>
      </c>
      <c r="J24" s="92">
        <f t="shared" si="2"/>
        <v>26781907.296546996</v>
      </c>
      <c r="K24" s="92">
        <f t="shared" si="2"/>
        <v>29956493.020635158</v>
      </c>
      <c r="L24" s="92">
        <f t="shared" si="2"/>
        <v>-3071346.8926429302</v>
      </c>
      <c r="M24" s="92">
        <f t="shared" si="2"/>
        <v>4644402.0081689656</v>
      </c>
      <c r="N24" s="92">
        <f t="shared" si="2"/>
        <v>1342227.8651694059</v>
      </c>
      <c r="O24" s="92">
        <f t="shared" si="2"/>
        <v>-7243414.9084157497</v>
      </c>
    </row>
    <row r="25" spans="1:15" ht="12" customHeight="1" x14ac:dyDescent="0.25">
      <c r="C25" s="93">
        <f t="shared" ref="C25:O25" si="3">C24/C8</f>
        <v>0.22327382884373065</v>
      </c>
      <c r="D25" s="93">
        <f t="shared" si="3"/>
        <v>0.23191747958801784</v>
      </c>
      <c r="E25" s="93">
        <f t="shared" si="3"/>
        <v>0.1978722238406983</v>
      </c>
      <c r="F25" s="93">
        <f t="shared" si="3"/>
        <v>0.17176886552454529</v>
      </c>
      <c r="G25" s="93">
        <f t="shared" si="3"/>
        <v>0.20130878574707745</v>
      </c>
      <c r="H25" s="93">
        <f t="shared" si="3"/>
        <v>0.17114167960175508</v>
      </c>
      <c r="I25" s="93">
        <f t="shared" si="3"/>
        <v>4.8258289187650578E-2</v>
      </c>
      <c r="J25" s="93">
        <f t="shared" si="3"/>
        <v>0.14665475307660711</v>
      </c>
      <c r="K25" s="93">
        <f t="shared" si="3"/>
        <v>0.13496058424469265</v>
      </c>
      <c r="L25" s="93">
        <f t="shared" si="3"/>
        <v>-2.9475353075616002E-2</v>
      </c>
      <c r="M25" s="93">
        <f t="shared" si="3"/>
        <v>3.4357057828587563E-2</v>
      </c>
      <c r="N25" s="93">
        <f t="shared" si="3"/>
        <v>8.607457721689778E-3</v>
      </c>
      <c r="O25" s="93">
        <f t="shared" si="3"/>
        <v>-5.727471983717302E-2</v>
      </c>
    </row>
    <row r="26" spans="1:15" x14ac:dyDescent="0.25">
      <c r="A26" s="85"/>
      <c r="E26" s="94"/>
      <c r="I26" s="95"/>
      <c r="K26" s="95"/>
    </row>
    <row r="27" spans="1:15" x14ac:dyDescent="0.25">
      <c r="A27" t="s">
        <v>669</v>
      </c>
      <c r="C27" s="88">
        <f>SUMIF(ALIF_Y2014!I:I,A27,ALIF_Y2014!F:F)</f>
        <v>10844</v>
      </c>
      <c r="D27" s="88">
        <f>SUMIF(ALIF_Y2015!I:I,A27,ALIF_Y2015!F:F)</f>
        <v>67555</v>
      </c>
      <c r="E27" s="82">
        <f>SUMIF(ALIF_Y2016!I:I,A27,ALIF_Y2016!F:F)</f>
        <v>5162</v>
      </c>
      <c r="F27" s="88">
        <f>SUMIF(ALIF_Y2017!I:I,A27,ALIF_Y2017!F:F)</f>
        <v>35415.370000000003</v>
      </c>
      <c r="G27" s="88">
        <f>SUMIF(ALIF_Y2018!I:I,A27,ALIF_Y2018!F:F)</f>
        <v>82674.032000000007</v>
      </c>
      <c r="H27" s="88">
        <f>SUMIF(ALIF_Y2019!I:I,A27,ALIF_Y2019!F:F)</f>
        <v>48665.419000000002</v>
      </c>
      <c r="I27" s="88">
        <f>SUMIF(ALIF_Y2020!I:I,A27,ALIF_Y2020!F:F)</f>
        <v>4000</v>
      </c>
      <c r="J27" s="88">
        <f>SUMIF(ALIF_Y2021!I:I,A27,ALIF_Y2021!F:F)</f>
        <v>245</v>
      </c>
      <c r="K27" s="88">
        <f>SUMIF(ALIF_Y2022!I:I,A27,ALIF_Y2022!F:F)</f>
        <v>95633.99</v>
      </c>
      <c r="L27" s="88">
        <f>SUMIF(ALIF_Y2023!I:I,A27,ALIF_Y2023!F:F)</f>
        <v>127136.29300000001</v>
      </c>
      <c r="M27" s="88">
        <f>SUMIF(ALIF_Y2024!I:I,A27,ALIF_Y2024!F:F)</f>
        <v>173026.78700000001</v>
      </c>
      <c r="N27" s="88">
        <f>SUMIF(ALIF_Y2025!I:I,A27,ALIF_Y2025!F:F)</f>
        <v>52325.74</v>
      </c>
      <c r="O27" s="88">
        <f>(SUMIF(TB_Input_Alif!$I:$I,$A27,TB_Input_Alif!$F:$F)-SUMIF(TB_Input_Alif!$I:$I,$A27,TB_Input_Alif!$C:$C))</f>
        <v>9056.4580000000005</v>
      </c>
    </row>
    <row r="28" spans="1:15" x14ac:dyDescent="0.25">
      <c r="A28" t="s">
        <v>675</v>
      </c>
      <c r="C28" s="88">
        <f>SUMIF(ALIF_Y2014!I:I,A28,ALIF_Y2014!F:F)</f>
        <v>0</v>
      </c>
      <c r="D28" s="88">
        <f>SUMIF(ALIF_Y2015!I:I,A28,ALIF_Y2015!F:F)</f>
        <v>0</v>
      </c>
      <c r="E28" s="82">
        <f>SUMIF(ALIF_Y2016!I:I,A28,ALIF_Y2016!F:F)</f>
        <v>0</v>
      </c>
      <c r="F28" s="88">
        <f>SUMIF(ALIF_Y2017!I:I,A28,ALIF_Y2017!F:F)</f>
        <v>0</v>
      </c>
      <c r="G28" s="88">
        <f>SUMIF(ALIF_Y2018!I:I,A28,ALIF_Y2018!F:F)</f>
        <v>0</v>
      </c>
      <c r="H28" s="88">
        <f>SUMIF(ALIF_Y2019!I:I,A28,ALIF_Y2019!F:F)</f>
        <v>38150</v>
      </c>
      <c r="I28" s="88">
        <f>SUMIF(ALIF_Y2020!I:I,A28,ALIF_Y2020!F:F)</f>
        <v>0</v>
      </c>
      <c r="J28" s="88">
        <f>SUMIF(ALIF_Y2021!I:I,A28,ALIF_Y2021!F:F)</f>
        <v>1315</v>
      </c>
      <c r="K28" s="88">
        <f>SUMIF(ALIF_Y2022!I:I,A28,ALIF_Y2022!F:F)</f>
        <v>96132.78</v>
      </c>
      <c r="L28" s="88">
        <f>SUMIF(ALIF_Y2023!I:I,A28,ALIF_Y2023!F:F)</f>
        <v>61539</v>
      </c>
      <c r="M28" s="88">
        <f>SUMIF(ALIF_Y2024!I:I,A28,ALIF_Y2024!F:F)</f>
        <v>656254.10499999998</v>
      </c>
      <c r="N28" s="88">
        <f>SUMIF(ALIF_Y2025!I:I,A28,ALIF_Y2025!F:F)</f>
        <v>1276853.53</v>
      </c>
      <c r="O28" s="88">
        <f>(SUMIF(TB_Input_Alif!$I:$I,$A28,TB_Input_Alif!$F:$F)-SUMIF(TB_Input_Alif!$I:$I,$A28,TB_Input_Alif!$C:$C))</f>
        <v>0</v>
      </c>
    </row>
    <row r="29" spans="1:15" x14ac:dyDescent="0.25">
      <c r="A29" t="s">
        <v>673</v>
      </c>
      <c r="C29" s="88">
        <f>SUMIF(ALIF_Y2014!I:I,A29,ALIF_Y2014!F:F)</f>
        <v>221073.86</v>
      </c>
      <c r="D29" s="88">
        <f>SUMIF(ALIF_Y2015!I:I,A29,ALIF_Y2015!F:F)</f>
        <v>211475.23</v>
      </c>
      <c r="E29" s="82">
        <f>SUMIF(ALIF_Y2016!I:I,A29,ALIF_Y2016!F:F)</f>
        <v>170392</v>
      </c>
      <c r="F29" s="88">
        <f>SUMIF(ALIF_Y2017!I:I,A29,ALIF_Y2017!F:F)</f>
        <v>239089.318</v>
      </c>
      <c r="G29" s="88">
        <f>SUMIF(ALIF_Y2018!I:I,A29,ALIF_Y2018!F:F)</f>
        <v>184849.25</v>
      </c>
      <c r="H29" s="88">
        <f>SUMIF(ALIF_Y2019!I:I,A29,ALIF_Y2019!F:F)</f>
        <v>222802.948</v>
      </c>
      <c r="I29" s="88">
        <f>SUMIF(ALIF_Y2020!I:I,A29,ALIF_Y2020!F:F)</f>
        <v>254893.24</v>
      </c>
      <c r="J29" s="88">
        <f>SUMIF(ALIF_Y2021!I:I,A29,ALIF_Y2021!F:F)</f>
        <v>332942.77</v>
      </c>
      <c r="K29" s="88">
        <f>SUMIF(ALIF_Y2022!I:I,A29,ALIF_Y2022!F:F)</f>
        <v>262263</v>
      </c>
      <c r="L29" s="88">
        <f>SUMIF(ALIF_Y2023!I:I,A29,ALIF_Y2023!F:F)</f>
        <v>43952.72</v>
      </c>
      <c r="M29" s="88">
        <f>SUMIF(ALIF_Y2024!I:I,A29,ALIF_Y2024!F:F)</f>
        <v>38359.550000000003</v>
      </c>
      <c r="N29" s="88">
        <f>SUMIF(ALIF_Y2025!I:I,A29,ALIF_Y2025!F:F)</f>
        <v>5036</v>
      </c>
      <c r="O29" s="88">
        <f>(SUMIF(TB_Input_Alif!$I:$I,$A29,TB_Input_Alif!$F:$F)-SUMIF(TB_Input_Alif!$I:$I,$A29,TB_Input_Alif!$C:$C))</f>
        <v>0</v>
      </c>
    </row>
    <row r="30" spans="1:15" x14ac:dyDescent="0.25">
      <c r="A30" t="s">
        <v>671</v>
      </c>
      <c r="C30" s="88">
        <f>SUMIF(ALIF_Y2014!I:I,A30,ALIF_Y2014!F:F)</f>
        <v>24136</v>
      </c>
      <c r="D30" s="88">
        <f>SUMIF(ALIF_Y2015!I:I,A30,ALIF_Y2015!F:F)</f>
        <v>49422</v>
      </c>
      <c r="E30" s="82">
        <f>SUMIF(ALIF_Y2016!I:I,A30,ALIF_Y2016!F:F)</f>
        <v>23617</v>
      </c>
      <c r="F30" s="88">
        <f>SUMIF(ALIF_Y2017!I:I,A30,ALIF_Y2017!F:F)</f>
        <v>12728.2</v>
      </c>
      <c r="G30" s="88">
        <f>SUMIF(ALIF_Y2018!I:I,A30,ALIF_Y2018!F:F)</f>
        <v>38545.123999999996</v>
      </c>
      <c r="H30" s="88">
        <f>SUMIF(ALIF_Y2019!I:I,A30,ALIF_Y2019!F:F)</f>
        <v>30691.550000000003</v>
      </c>
      <c r="I30" s="88">
        <f>SUMIF(ALIF_Y2020!I:I,A30,ALIF_Y2020!F:F)</f>
        <v>44987.729999999996</v>
      </c>
      <c r="J30" s="88">
        <f>SUMIF(ALIF_Y2021!I:I,A30,ALIF_Y2021!F:F)</f>
        <v>44509.047000000006</v>
      </c>
      <c r="K30" s="88">
        <f>SUMIF(ALIF_Y2022!I:I,A30,ALIF_Y2022!F:F)</f>
        <v>46729.389000000003</v>
      </c>
      <c r="L30" s="88">
        <f>SUMIF(ALIF_Y2023!I:I,A30,ALIF_Y2023!F:F)</f>
        <v>8770.3270000000011</v>
      </c>
      <c r="M30" s="88">
        <f>SUMIF(ALIF_Y2024!I:I,A30,ALIF_Y2024!F:F)</f>
        <v>112372.724</v>
      </c>
      <c r="N30" s="88">
        <f>SUMIF(ALIF_Y2025!I:I,A30,ALIF_Y2025!F:F)</f>
        <v>279488.049</v>
      </c>
      <c r="O30" s="88">
        <f>(SUMIF(TB_Input_Alif!$I:$I,$A30,TB_Input_Alif!$F:$F)-SUMIF(TB_Input_Alif!$I:$I,$A30,TB_Input_Alif!$C:$C))</f>
        <v>127799.605</v>
      </c>
    </row>
    <row r="31" spans="1:15" ht="9" customHeight="1" x14ac:dyDescent="0.25">
      <c r="C31" s="96"/>
      <c r="D31" s="96"/>
      <c r="E31" s="96"/>
      <c r="F31" s="96"/>
      <c r="G31" s="96"/>
      <c r="H31" s="96"/>
      <c r="I31" s="96"/>
      <c r="J31" s="96"/>
      <c r="K31" s="96"/>
      <c r="L31" s="96"/>
      <c r="M31" s="96"/>
      <c r="N31" s="96"/>
      <c r="O31" s="96"/>
    </row>
    <row r="32" spans="1:15" x14ac:dyDescent="0.25">
      <c r="A32" s="85" t="s">
        <v>1233</v>
      </c>
      <c r="C32" s="97">
        <f t="shared" ref="C32:O32" si="4">SUM(C27:C31)</f>
        <v>256053.86</v>
      </c>
      <c r="D32" s="97">
        <f t="shared" si="4"/>
        <v>328452.23</v>
      </c>
      <c r="E32" s="97">
        <f t="shared" si="4"/>
        <v>199171</v>
      </c>
      <c r="F32" s="97">
        <f t="shared" si="4"/>
        <v>287232.88800000004</v>
      </c>
      <c r="G32" s="97">
        <f t="shared" si="4"/>
        <v>306068.40600000002</v>
      </c>
      <c r="H32" s="97">
        <f t="shared" si="4"/>
        <v>340309.91699999996</v>
      </c>
      <c r="I32" s="97">
        <f t="shared" si="4"/>
        <v>303880.96999999997</v>
      </c>
      <c r="J32" s="97">
        <f t="shared" si="4"/>
        <v>379011.81700000004</v>
      </c>
      <c r="K32" s="97">
        <f t="shared" si="4"/>
        <v>500759.15900000004</v>
      </c>
      <c r="L32" s="97">
        <f t="shared" si="4"/>
        <v>241398.34</v>
      </c>
      <c r="M32" s="97">
        <f t="shared" si="4"/>
        <v>980013.16600000008</v>
      </c>
      <c r="N32" s="97">
        <f t="shared" si="4"/>
        <v>1613703.3190000001</v>
      </c>
      <c r="O32" s="97">
        <f t="shared" si="4"/>
        <v>136856.06299999999</v>
      </c>
    </row>
    <row r="33" spans="1:15" x14ac:dyDescent="0.25">
      <c r="E33" s="94"/>
    </row>
    <row r="34" spans="1:15" x14ac:dyDescent="0.25">
      <c r="A34" t="s">
        <v>681</v>
      </c>
      <c r="C34" s="88">
        <f>SUMIF(ALIF_Y2014!I:I,A34,ALIF_Y2014!F:F)</f>
        <v>6363603.8000000007</v>
      </c>
      <c r="D34" s="88">
        <f>SUMIF(ALIF_Y2015!I:I,A34,ALIF_Y2015!F:F)</f>
        <v>5731816.7189999996</v>
      </c>
      <c r="E34" s="82">
        <f>SUMIF(ALIF_Y2016!I:I,A34,ALIF_Y2016!F:F)</f>
        <v>5700243.5969999991</v>
      </c>
      <c r="F34" s="88">
        <f>SUMIF(ALIF_Y2017!I:I,A34,ALIF_Y2017!F:F)</f>
        <v>7742150.8199999994</v>
      </c>
      <c r="G34" s="88">
        <f>SUMIF(ALIF_Y2018!I:I,A34,ALIF_Y2018!F:F)</f>
        <v>7523616.7579999994</v>
      </c>
      <c r="H34" s="88">
        <f>SUMIF(ALIF_Y2019!I:I,A34,ALIF_Y2019!F:F)</f>
        <v>8539362.3699999992</v>
      </c>
      <c r="I34" s="88">
        <f>SUMIF(ALIF_Y2020!I:I,A34,ALIF_Y2020!F:F)</f>
        <v>10063622.587000001</v>
      </c>
      <c r="J34" s="88">
        <f>SUMIF(ALIF_Y2021!I:I,A34,ALIF_Y2021!F:F)</f>
        <v>11276241.248</v>
      </c>
      <c r="K34" s="88">
        <f>SUMIF(ALIF_Y2022!I:I,A34,ALIF_Y2022!F:F)</f>
        <v>10667359.655000001</v>
      </c>
      <c r="L34" s="88">
        <f>SUMIF(ALIF_Y2023!I:I,A34,ALIF_Y2023!F:F)</f>
        <v>10673402.305</v>
      </c>
      <c r="M34" s="88">
        <f>SUMIF(ALIF_Y2024!I:I,A34,ALIF_Y2024!F:F)</f>
        <v>10184020.998000002</v>
      </c>
      <c r="N34" s="88">
        <f>SUMIF(ALIF_Y2025!I:I,A34,ALIF_Y2025!F:F)</f>
        <v>23383962.339000002</v>
      </c>
      <c r="O34" s="88">
        <f>(SUMIF(TB_Input_Alif!$I:$I,$A34,TB_Input_Alif!$F:$F)-SUMIF(TB_Input_Alif!$I:$I,$A34,TB_Input_Alif!$C:$C))</f>
        <v>11195522.344000001</v>
      </c>
    </row>
    <row r="35" spans="1:15" x14ac:dyDescent="0.25">
      <c r="A35" t="s">
        <v>683</v>
      </c>
      <c r="C35" s="88">
        <f>SUMIF(ALIF_Y2014!I:I,A35,ALIF_Y2014!F:F)</f>
        <v>452003.42</v>
      </c>
      <c r="D35" s="88">
        <f>SUMIF(ALIF_Y2015!I:I,A35,ALIF_Y2015!F:F)</f>
        <v>482714.05</v>
      </c>
      <c r="E35" s="82">
        <f>SUMIF(ALIF_Y2016!I:I,A35,ALIF_Y2016!F:F)</f>
        <v>550372.54</v>
      </c>
      <c r="F35" s="88">
        <f>SUMIF(ALIF_Y2017!I:I,A35,ALIF_Y2017!F:F)</f>
        <v>512953.74099999998</v>
      </c>
      <c r="G35" s="88">
        <f>SUMIF(ALIF_Y2018!I:I,A35,ALIF_Y2018!F:F)</f>
        <v>979494.05500000017</v>
      </c>
      <c r="H35" s="88">
        <f>SUMIF(ALIF_Y2019!I:I,A35,ALIF_Y2019!F:F)</f>
        <v>1067033.7479999999</v>
      </c>
      <c r="I35" s="88">
        <f>SUMIF(ALIF_Y2020!I:I,A35,ALIF_Y2020!F:F)</f>
        <v>1391075.5989999999</v>
      </c>
      <c r="J35" s="88">
        <f>SUMIF(ALIF_Y2021!I:I,A35,ALIF_Y2021!F:F)</f>
        <v>1172434.561</v>
      </c>
      <c r="K35" s="88">
        <f>SUMIF(ALIF_Y2022!I:I,A35,ALIF_Y2022!F:F)</f>
        <v>1350946.72</v>
      </c>
      <c r="L35" s="88">
        <f>SUMIF(ALIF_Y2023!I:I,A35,ALIF_Y2023!F:F)</f>
        <v>606309.52499999991</v>
      </c>
      <c r="M35" s="88">
        <f>SUMIF(ALIF_Y2024!I:I,A35,ALIF_Y2024!F:F)</f>
        <v>1013969.974</v>
      </c>
      <c r="N35" s="88">
        <f>SUMIF(ALIF_Y2025!I:I,A35,ALIF_Y2025!F:F)</f>
        <v>753096.55700000003</v>
      </c>
      <c r="O35" s="88">
        <f>(SUMIF(TB_Input_Alif!$I:$I,$A35,TB_Input_Alif!$F:$F)-SUMIF(TB_Input_Alif!$I:$I,$A35,TB_Input_Alif!$C:$C))</f>
        <v>772352.67300000007</v>
      </c>
    </row>
    <row r="36" spans="1:15" x14ac:dyDescent="0.25">
      <c r="A36" t="s">
        <v>685</v>
      </c>
      <c r="C36" s="88">
        <f>SUMIF(ALIF_Y2014!I:I,A36,ALIF_Y2014!F:F)</f>
        <v>324499</v>
      </c>
      <c r="D36" s="88">
        <f>SUMIF(ALIF_Y2015!I:I,A36,ALIF_Y2015!F:F)</f>
        <v>213428</v>
      </c>
      <c r="E36" s="82">
        <f>SUMIF(ALIF_Y2016!I:I,A36,ALIF_Y2016!F:F)</f>
        <v>97884.22</v>
      </c>
      <c r="F36" s="88">
        <f>SUMIF(ALIF_Y2017!I:I,A36,ALIF_Y2017!F:F)</f>
        <v>98488.72</v>
      </c>
      <c r="G36" s="88">
        <f>SUMIF(ALIF_Y2018!I:I,A36,ALIF_Y2018!F:F)</f>
        <v>334049.22599999997</v>
      </c>
      <c r="H36" s="88">
        <f>SUMIF(ALIF_Y2019!I:I,A36,ALIF_Y2019!F:F)</f>
        <v>342874.68</v>
      </c>
      <c r="I36" s="88">
        <f>SUMIF(ALIF_Y2020!I:I,A36,ALIF_Y2020!F:F)</f>
        <v>78102.23</v>
      </c>
      <c r="J36" s="88">
        <f>SUMIF(ALIF_Y2021!I:I,A36,ALIF_Y2021!F:F)</f>
        <v>65074.312000000005</v>
      </c>
      <c r="K36" s="88">
        <f>SUMIF(ALIF_Y2022!I:I,A36,ALIF_Y2022!F:F)</f>
        <v>163076.27100000001</v>
      </c>
      <c r="L36" s="88">
        <f>SUMIF(ALIF_Y2023!I:I,A36,ALIF_Y2023!F:F)</f>
        <v>326944.07699999999</v>
      </c>
      <c r="M36" s="88">
        <f>SUMIF(ALIF_Y2024!I:I,A36,ALIF_Y2024!F:F)</f>
        <v>1176775.473</v>
      </c>
      <c r="N36" s="88">
        <f>SUMIF(ALIF_Y2025!I:I,A36,ALIF_Y2025!F:F)</f>
        <v>736726.40500000003</v>
      </c>
      <c r="O36" s="88">
        <f>(SUMIF(TB_Input_Alif!$I:$I,$A36,TB_Input_Alif!$F:$F)-SUMIF(TB_Input_Alif!$I:$I,$A36,TB_Input_Alif!$C:$C))</f>
        <v>253285.35500000004</v>
      </c>
    </row>
    <row r="37" spans="1:15" x14ac:dyDescent="0.25">
      <c r="A37" t="s">
        <v>687</v>
      </c>
      <c r="C37" s="88">
        <f>SUMIF(ALIF_Y2014!I:I,A37,ALIF_Y2014!F:F)</f>
        <v>0</v>
      </c>
      <c r="D37" s="88">
        <f>SUMIF(ALIF_Y2015!I:I,A37,ALIF_Y2015!F:F)</f>
        <v>5707.643</v>
      </c>
      <c r="E37" s="82">
        <f>SUMIF(ALIF_Y2016!I:I,A37,ALIF_Y2016!F:F)</f>
        <v>0</v>
      </c>
      <c r="F37" s="88">
        <f>SUMIF(ALIF_Y2017!I:I,A37,ALIF_Y2017!F:F)</f>
        <v>0</v>
      </c>
      <c r="G37" s="88">
        <f>SUMIF(ALIF_Y2018!I:I,A37,ALIF_Y2018!F:F)</f>
        <v>0</v>
      </c>
      <c r="H37" s="88">
        <f>SUMIF(ALIF_Y2019!I:I,A37,ALIF_Y2019!F:F)</f>
        <v>38300</v>
      </c>
      <c r="I37" s="88">
        <f>SUMIF(ALIF_Y2020!I:I,A37,ALIF_Y2020!F:F)</f>
        <v>40087</v>
      </c>
      <c r="J37" s="88">
        <f>SUMIF(ALIF_Y2021!I:I,A37,ALIF_Y2021!F:F)</f>
        <v>121235.63</v>
      </c>
      <c r="K37" s="88">
        <f>SUMIF(ALIF_Y2022!I:I,A37,ALIF_Y2022!F:F)</f>
        <v>74764</v>
      </c>
      <c r="L37" s="88">
        <f>SUMIF(ALIF_Y2023!I:I,A37,ALIF_Y2023!F:F)</f>
        <v>3329</v>
      </c>
      <c r="M37" s="88">
        <f>SUMIF(ALIF_Y2024!I:I,A37,ALIF_Y2024!F:F)</f>
        <v>441573.53</v>
      </c>
      <c r="N37" s="88">
        <f>SUMIF(ALIF_Y2025!I:I,A37,ALIF_Y2025!F:F)</f>
        <v>95706.072</v>
      </c>
      <c r="O37" s="88">
        <f>(SUMIF(TB_Input_Alif!$I:$I,$A37,TB_Input_Alif!$F:$F)-SUMIF(TB_Input_Alif!$I:$I,$A37,TB_Input_Alif!$C:$C))</f>
        <v>0</v>
      </c>
    </row>
    <row r="38" spans="1:15" x14ac:dyDescent="0.25">
      <c r="A38" t="s">
        <v>689</v>
      </c>
      <c r="C38" s="88">
        <f>SUMIF(ALIF_Y2014!I:I,A38,ALIF_Y2014!F:F)</f>
        <v>47876.31</v>
      </c>
      <c r="D38" s="88">
        <f>SUMIF(ALIF_Y2015!I:I,A38,ALIF_Y2015!F:F)</f>
        <v>61858.550999999999</v>
      </c>
      <c r="E38" s="82">
        <f>SUMIF(ALIF_Y2016!I:I,A38,ALIF_Y2016!F:F)</f>
        <v>68446.898000000001</v>
      </c>
      <c r="F38" s="88">
        <f>SUMIF(ALIF_Y2017!I:I,A38,ALIF_Y2017!F:F)</f>
        <v>83539.5</v>
      </c>
      <c r="G38" s="88">
        <f>SUMIF(ALIF_Y2018!I:I,A38,ALIF_Y2018!F:F)</f>
        <v>193976.31200000001</v>
      </c>
      <c r="H38" s="88">
        <f>SUMIF(ALIF_Y2019!I:I,A38,ALIF_Y2019!F:F)</f>
        <v>173017.55499999999</v>
      </c>
      <c r="I38" s="88">
        <f>SUMIF(ALIF_Y2020!I:I,A38,ALIF_Y2020!F:F)</f>
        <v>347776.16200000001</v>
      </c>
      <c r="J38" s="88">
        <f>SUMIF(ALIF_Y2021!I:I,A38,ALIF_Y2021!F:F)</f>
        <v>193144.22700000001</v>
      </c>
      <c r="K38" s="88">
        <f>SUMIF(ALIF_Y2022!I:I,A38,ALIF_Y2022!F:F)</f>
        <v>699621.14199999999</v>
      </c>
      <c r="L38" s="88">
        <f>SUMIF(ALIF_Y2023!I:I,A38,ALIF_Y2023!F:F)</f>
        <v>757807.59</v>
      </c>
      <c r="M38" s="88">
        <f>SUMIF(ALIF_Y2024!I:I,A38,ALIF_Y2024!F:F)</f>
        <v>690317.46600000001</v>
      </c>
      <c r="N38" s="88">
        <f>SUMIF(ALIF_Y2025!I:I,A38,ALIF_Y2025!F:F)</f>
        <v>706542.29</v>
      </c>
      <c r="O38" s="88">
        <f>(SUMIF(TB_Input_Alif!$I:$I,$A38,TB_Input_Alif!$F:$F)-SUMIF(TB_Input_Alif!$I:$I,$A38,TB_Input_Alif!$C:$C))</f>
        <v>536718.321</v>
      </c>
    </row>
    <row r="39" spans="1:15" x14ac:dyDescent="0.25">
      <c r="A39" t="s">
        <v>691</v>
      </c>
      <c r="C39" s="88">
        <f>SUMIF(ALIF_Y2014!I:I,A39,ALIF_Y2014!F:F)</f>
        <v>497207</v>
      </c>
      <c r="D39" s="88">
        <f>SUMIF(ALIF_Y2015!I:I,A39,ALIF_Y2015!F:F)</f>
        <v>594070.73</v>
      </c>
      <c r="E39" s="82">
        <f>SUMIF(ALIF_Y2016!I:I,A39,ALIF_Y2016!F:F)</f>
        <v>881628.04</v>
      </c>
      <c r="F39" s="88">
        <f>SUMIF(ALIF_Y2017!I:I,A39,ALIF_Y2017!F:F)</f>
        <v>878404.01800000004</v>
      </c>
      <c r="G39" s="88">
        <f>SUMIF(ALIF_Y2018!I:I,A39,ALIF_Y2018!F:F)</f>
        <v>798554.73</v>
      </c>
      <c r="H39" s="88">
        <f>SUMIF(ALIF_Y2019!I:I,A39,ALIF_Y2019!F:F)</f>
        <v>721606.55499999993</v>
      </c>
      <c r="I39" s="88">
        <f>SUMIF(ALIF_Y2020!I:I,A39,ALIF_Y2020!F:F)</f>
        <v>2172416.9900000002</v>
      </c>
      <c r="J39" s="88">
        <f>SUMIF(ALIF_Y2021!I:I,A39,ALIF_Y2021!F:F)</f>
        <v>952190.304</v>
      </c>
      <c r="K39" s="88">
        <f>SUMIF(ALIF_Y2022!I:I,A39,ALIF_Y2022!F:F)</f>
        <v>518370.67099999997</v>
      </c>
      <c r="L39" s="88">
        <f>SUMIF(ALIF_Y2023!I:I,A39,ALIF_Y2023!F:F)</f>
        <v>660248.72399999993</v>
      </c>
      <c r="M39" s="88">
        <f>SUMIF(ALIF_Y2024!I:I,A39,ALIF_Y2024!F:F)</f>
        <v>689064.95999999996</v>
      </c>
      <c r="N39" s="88">
        <f>SUMIF(ALIF_Y2025!I:I,A39,ALIF_Y2025!F:F)</f>
        <v>1035438.6849999999</v>
      </c>
      <c r="O39" s="88">
        <f>(SUMIF(TB_Input_Alif!$I:$I,$A39,TB_Input_Alif!$F:$F)-SUMIF(TB_Input_Alif!$I:$I,$A39,TB_Input_Alif!$C:$C))</f>
        <v>369690.55</v>
      </c>
    </row>
    <row r="40" spans="1:15" x14ac:dyDescent="0.25">
      <c r="A40" t="s">
        <v>693</v>
      </c>
      <c r="C40" s="88">
        <f>SUMIF(ALIF_Y2014!I:I,A40,ALIF_Y2014!F:F)</f>
        <v>0</v>
      </c>
      <c r="D40" s="88">
        <f>SUMIF(ALIF_Y2015!I:I,A40,ALIF_Y2015!F:F)</f>
        <v>0</v>
      </c>
      <c r="E40" s="82">
        <f>SUMIF(ALIF_Y2016!I:I,A40,ALIF_Y2016!F:F)</f>
        <v>0</v>
      </c>
      <c r="F40" s="88">
        <f>SUMIF(ALIF_Y2017!I:I,A40,ALIF_Y2017!F:F)</f>
        <v>0</v>
      </c>
      <c r="G40" s="88">
        <f>SUMIF(ALIF_Y2018!I:I,A40,ALIF_Y2018!F:F)</f>
        <v>0</v>
      </c>
      <c r="H40" s="88">
        <f>SUMIF(ALIF_Y2019!I:I,A40,ALIF_Y2019!F:F)</f>
        <v>0</v>
      </c>
      <c r="I40" s="88">
        <f>SUMIF(ALIF_Y2020!I:I,A40,ALIF_Y2020!F:F)</f>
        <v>0</v>
      </c>
      <c r="J40" s="88">
        <f>SUMIF(ALIF_Y2021!I:I,A40,ALIF_Y2021!F:F)</f>
        <v>0</v>
      </c>
      <c r="K40" s="88">
        <f>SUMIF(ALIF_Y2022!I:I,A40,ALIF_Y2022!F:F)</f>
        <v>0</v>
      </c>
      <c r="L40" s="88">
        <f>SUMIF(ALIF_Y2023!I:I,A40,ALIF_Y2023!F:F)</f>
        <v>0</v>
      </c>
      <c r="M40" s="88">
        <f>SUMIF(ALIF_Y2024!I:I,A40,ALIF_Y2024!F:F)</f>
        <v>24243.5</v>
      </c>
      <c r="N40" s="88">
        <f>SUMIF(ALIF_Y2025!I:I,A40,ALIF_Y2025!F:F)</f>
        <v>147339.15700000001</v>
      </c>
      <c r="O40" s="88">
        <f>(SUMIF(TB_Input_Alif!$I:$I,$A40,TB_Input_Alif!$F:$F)-SUMIF(TB_Input_Alif!$I:$I,$A40,TB_Input_Alif!$C:$C))</f>
        <v>75052.053</v>
      </c>
    </row>
    <row r="41" spans="1:15" x14ac:dyDescent="0.25">
      <c r="A41" t="s">
        <v>695</v>
      </c>
      <c r="C41" s="88">
        <f>SUMIF(ALIF_Y2014!I:I,A41,ALIF_Y2014!F:F)</f>
        <v>17234.599999999999</v>
      </c>
      <c r="D41" s="88">
        <f>SUMIF(ALIF_Y2015!I:I,A41,ALIF_Y2015!F:F)</f>
        <v>5201</v>
      </c>
      <c r="E41" s="82">
        <f>SUMIF(ALIF_Y2016!I:I,A41,ALIF_Y2016!F:F)</f>
        <v>52054</v>
      </c>
      <c r="F41" s="88">
        <f>SUMIF(ALIF_Y2017!I:I,A41,ALIF_Y2017!F:F)</f>
        <v>40763.300000000003</v>
      </c>
      <c r="G41" s="88">
        <f>SUMIF(ALIF_Y2018!I:I,A41,ALIF_Y2018!F:F)</f>
        <v>100440.995</v>
      </c>
      <c r="H41" s="88">
        <f>SUMIF(ALIF_Y2019!I:I,A41,ALIF_Y2019!F:F)</f>
        <v>-488046.26</v>
      </c>
      <c r="I41" s="88">
        <f>SUMIF(ALIF_Y2020!I:I,A41,ALIF_Y2020!F:F)</f>
        <v>2025126.2609999999</v>
      </c>
      <c r="J41" s="88">
        <f>SUMIF(ALIF_Y2021!I:I,A41,ALIF_Y2021!F:F)</f>
        <v>183980.26199999999</v>
      </c>
      <c r="K41" s="88">
        <f>SUMIF(ALIF_Y2022!I:I,A41,ALIF_Y2022!F:F)</f>
        <v>170065.16999999998</v>
      </c>
      <c r="L41" s="88">
        <f>SUMIF(ALIF_Y2023!I:I,A41,ALIF_Y2023!F:F)</f>
        <v>8953.9600000000009</v>
      </c>
      <c r="M41" s="88">
        <f>SUMIF(ALIF_Y2024!I:I,A41,ALIF_Y2024!F:F)</f>
        <v>41863.288</v>
      </c>
      <c r="N41" s="88">
        <f>SUMIF(ALIF_Y2025!I:I,A41,ALIF_Y2025!F:F)</f>
        <v>58776.646999999997</v>
      </c>
      <c r="O41" s="88">
        <f>(SUMIF(TB_Input_Alif!$I:$I,$A41,TB_Input_Alif!$F:$F)-SUMIF(TB_Input_Alif!$I:$I,$A41,TB_Input_Alif!$C:$C))</f>
        <v>114815.34</v>
      </c>
    </row>
    <row r="42" spans="1:15" x14ac:dyDescent="0.25">
      <c r="A42" t="s">
        <v>697</v>
      </c>
      <c r="C42" s="88">
        <f>SUMIF(ALIF_Y2014!I:I,A42,ALIF_Y2014!F:F)</f>
        <v>0</v>
      </c>
      <c r="D42" s="88">
        <f>SUMIF(ALIF_Y2015!I:I,A42,ALIF_Y2015!F:F)</f>
        <v>0</v>
      </c>
      <c r="E42" s="82">
        <f>SUMIF(ALIF_Y2016!I:I,A42,ALIF_Y2016!F:F)</f>
        <v>0</v>
      </c>
      <c r="F42" s="88">
        <f>SUMIF(ALIF_Y2017!I:I,A42,ALIF_Y2017!F:F)</f>
        <v>0</v>
      </c>
      <c r="G42" s="88">
        <f>SUMIF(ALIF_Y2018!I:I,A42,ALIF_Y2018!F:F)</f>
        <v>0</v>
      </c>
      <c r="H42" s="88">
        <f>SUMIF(ALIF_Y2019!I:I,A42,ALIF_Y2019!F:F)</f>
        <v>0</v>
      </c>
      <c r="I42" s="88">
        <f>SUMIF(ALIF_Y2020!I:I,A42,ALIF_Y2020!F:F)</f>
        <v>0</v>
      </c>
      <c r="J42" s="88">
        <f>SUMIF(ALIF_Y2021!I:I,A42,ALIF_Y2021!F:F)</f>
        <v>0</v>
      </c>
      <c r="K42" s="88">
        <f>SUMIF(ALIF_Y2022!I:I,A42,ALIF_Y2022!F:F)</f>
        <v>700886</v>
      </c>
      <c r="L42" s="88">
        <f>SUMIF(ALIF_Y2023!I:I,A42,ALIF_Y2023!F:F)</f>
        <v>0</v>
      </c>
      <c r="M42" s="88">
        <f>SUMIF(ALIF_Y2024!I:I,A42,ALIF_Y2024!F:F)</f>
        <v>0</v>
      </c>
      <c r="N42" s="88">
        <f>SUMIF(ALIF_Y2025!I:I,A42,ALIF_Y2025!F:F)</f>
        <v>0</v>
      </c>
      <c r="O42" s="88">
        <f>(SUMIF(TB_Input_Alif!$I:$I,$A42,TB_Input_Alif!$F:$F)-SUMIF(TB_Input_Alif!$I:$I,$A42,TB_Input_Alif!$C:$C))</f>
        <v>0</v>
      </c>
    </row>
    <row r="43" spans="1:15" ht="10.15" customHeight="1" x14ac:dyDescent="0.25">
      <c r="C43" s="96"/>
      <c r="D43" s="96"/>
      <c r="E43" s="96"/>
      <c r="F43" s="96"/>
      <c r="G43" s="96"/>
      <c r="H43" s="96"/>
      <c r="I43" s="96"/>
      <c r="J43" s="96"/>
      <c r="K43" s="96"/>
      <c r="L43" s="96"/>
      <c r="M43" s="96"/>
      <c r="N43" s="96"/>
      <c r="O43" s="96"/>
    </row>
    <row r="44" spans="1:15" x14ac:dyDescent="0.25">
      <c r="A44" s="85" t="s">
        <v>1234</v>
      </c>
      <c r="C44" s="97">
        <f t="shared" ref="C44:O44" si="5">SUM(C34:C43)</f>
        <v>7702424.1299999999</v>
      </c>
      <c r="D44" s="97">
        <f t="shared" si="5"/>
        <v>7094796.693</v>
      </c>
      <c r="E44" s="97">
        <f t="shared" si="5"/>
        <v>7350629.294999999</v>
      </c>
      <c r="F44" s="97">
        <f t="shared" si="5"/>
        <v>9356300.0989999995</v>
      </c>
      <c r="G44" s="97">
        <f t="shared" si="5"/>
        <v>9930132.0759999994</v>
      </c>
      <c r="H44" s="97">
        <f t="shared" si="5"/>
        <v>10394148.647999998</v>
      </c>
      <c r="I44" s="97">
        <f t="shared" si="5"/>
        <v>16118206.829000002</v>
      </c>
      <c r="J44" s="97">
        <f t="shared" si="5"/>
        <v>13964300.544000002</v>
      </c>
      <c r="K44" s="97">
        <f t="shared" si="5"/>
        <v>14345089.629000003</v>
      </c>
      <c r="L44" s="97">
        <f t="shared" si="5"/>
        <v>13036995.181</v>
      </c>
      <c r="M44" s="97">
        <f t="shared" si="5"/>
        <v>14261829.189000001</v>
      </c>
      <c r="N44" s="97">
        <f t="shared" si="5"/>
        <v>26917588.152000003</v>
      </c>
      <c r="O44" s="97">
        <f t="shared" si="5"/>
        <v>13317436.636000002</v>
      </c>
    </row>
    <row r="45" spans="1:15" x14ac:dyDescent="0.25">
      <c r="A45" s="85"/>
      <c r="C45" s="97"/>
      <c r="D45" s="97"/>
      <c r="E45" s="97"/>
      <c r="F45" s="97"/>
      <c r="G45" s="97"/>
      <c r="H45" s="97"/>
      <c r="I45" s="97"/>
      <c r="J45" s="97"/>
      <c r="K45" s="97"/>
      <c r="L45" s="97"/>
      <c r="M45" s="97"/>
      <c r="N45" s="97"/>
      <c r="O45" s="97"/>
    </row>
    <row r="46" spans="1:15" x14ac:dyDescent="0.25">
      <c r="A46" t="s">
        <v>700</v>
      </c>
      <c r="C46" s="88">
        <f>SUMIF(ALIF_Y2014!I:I,A46,ALIF_Y2014!F:F)</f>
        <v>700005.97</v>
      </c>
      <c r="D46" s="88">
        <f>SUMIF(ALIF_Y2015!I:I,A46,ALIF_Y2015!F:F)</f>
        <v>133917.81899999999</v>
      </c>
      <c r="E46" s="82">
        <f>SUMIF(ALIF_Y2016!I:I,A46,ALIF_Y2016!F:F)</f>
        <v>0</v>
      </c>
      <c r="F46" s="88">
        <f>SUMIF(ALIF_Y2017!I:I,A46,ALIF_Y2017!F:F)</f>
        <v>0</v>
      </c>
      <c r="G46" s="88">
        <f>SUMIF(ALIF_Y2018!I:I,A46,ALIF_Y2018!F:F)</f>
        <v>0</v>
      </c>
      <c r="H46" s="88">
        <f>SUMIF(ALIF_Y2019!I:I,A46,ALIF_Y2019!F:F)</f>
        <v>0</v>
      </c>
      <c r="I46" s="88">
        <f>SUMIF(ALIF_Y2020!I:I,A46,ALIF_Y2020!F:F)</f>
        <v>325461.00400000002</v>
      </c>
      <c r="J46" s="88">
        <f>SUMIF(ALIF_Y2021!I:I,A46,ALIF_Y2021!F:F)</f>
        <v>248775</v>
      </c>
      <c r="K46" s="88">
        <f>SUMIF(ALIF_Y2022!I:I,A46,ALIF_Y2022!F:F)</f>
        <v>103333.326</v>
      </c>
      <c r="L46" s="88">
        <f>SUMIF(ALIF_Y2023!I:I,A46,ALIF_Y2023!F:F)</f>
        <v>8931099.4389999993</v>
      </c>
      <c r="M46" s="88">
        <f>SUMIF(ALIF_Y2024!I:I,A46,ALIF_Y2024!F:F)</f>
        <v>-5119898.58</v>
      </c>
      <c r="N46" s="88">
        <f>SUMIF(ALIF_Y2025!I:I,A46,ALIF_Y2025!F:F)</f>
        <v>-678521.16</v>
      </c>
      <c r="O46" s="88">
        <f>(SUMIF(TB_Input_Alif!$I:$I,$A46,TB_Input_Alif!$F:$F)-SUMIF(TB_Input_Alif!$I:$I,$A46,TB_Input_Alif!$C:$C))</f>
        <v>0</v>
      </c>
    </row>
    <row r="47" spans="1:15" x14ac:dyDescent="0.25">
      <c r="A47" t="s">
        <v>702</v>
      </c>
      <c r="C47" s="88">
        <f>SUMIF(ALIF_Y2014!I:I,A47,ALIF_Y2014!F:F)</f>
        <v>0</v>
      </c>
      <c r="D47" s="88">
        <f>SUMIF(ALIF_Y2015!I:I,A47,ALIF_Y2015!F:F)</f>
        <v>0</v>
      </c>
      <c r="E47" s="82">
        <f>SUMIF(ALIF_Y2016!I:I,A47,ALIF_Y2016!F:F)</f>
        <v>0</v>
      </c>
      <c r="F47" s="88">
        <f>SUMIF(ALIF_Y2017!I:I,A47,ALIF_Y2017!F:F)</f>
        <v>0</v>
      </c>
      <c r="G47" s="88">
        <f>SUMIF(ALIF_Y2018!I:I,A47,ALIF_Y2018!F:F)</f>
        <v>0</v>
      </c>
      <c r="H47" s="88">
        <f>SUMIF(ALIF_Y2019!I:I,A47,ALIF_Y2019!F:F)</f>
        <v>0</v>
      </c>
      <c r="I47" s="88">
        <f>SUMIF(ALIF_Y2020!I:I,A47,ALIF_Y2020!F:F)</f>
        <v>0</v>
      </c>
      <c r="J47" s="88">
        <f>SUMIF(ALIF_Y2021!I:I,A47,ALIF_Y2021!F:F)</f>
        <v>0</v>
      </c>
      <c r="K47" s="88">
        <f>SUMIF(ALIF_Y2022!I:I,A47,ALIF_Y2022!F:F)</f>
        <v>0</v>
      </c>
      <c r="L47" s="88">
        <f>SUMIF(ALIF_Y2023!I:I,A47,ALIF_Y2023!F:F)</f>
        <v>0</v>
      </c>
      <c r="M47" s="88">
        <f>SUMIF(ALIF_Y2024!I:I,A47,ALIF_Y2024!F:F)</f>
        <v>3148512.298</v>
      </c>
      <c r="N47" s="88">
        <f>SUMIF(ALIF_Y2025!I:I,A47,ALIF_Y2025!F:F)</f>
        <v>0</v>
      </c>
      <c r="O47" s="88">
        <f>(SUMIF(TB_Input_Alif!$I:$I,$A47,TB_Input_Alif!$F:$F)-SUMIF(TB_Input_Alif!$I:$I,$A47,TB_Input_Alif!$C:$C))</f>
        <v>0</v>
      </c>
    </row>
    <row r="48" spans="1:15" ht="9" customHeight="1" x14ac:dyDescent="0.25">
      <c r="A48" s="91"/>
      <c r="B48" s="91"/>
      <c r="C48" s="90"/>
      <c r="D48" s="90"/>
      <c r="E48" s="90"/>
      <c r="F48" s="90"/>
      <c r="G48" s="90"/>
      <c r="H48" s="90"/>
      <c r="I48" s="90"/>
      <c r="J48" s="90"/>
      <c r="K48" s="90"/>
      <c r="L48" s="90"/>
      <c r="M48" s="90"/>
      <c r="N48" s="90"/>
      <c r="O48" s="90"/>
    </row>
    <row r="49" spans="1:15" x14ac:dyDescent="0.25">
      <c r="A49" s="92" t="s">
        <v>81</v>
      </c>
      <c r="C49" s="92">
        <f t="shared" ref="C49:O49" si="6">C24-C32-C44-C46-C47</f>
        <v>21254721.895261344</v>
      </c>
      <c r="D49" s="92">
        <f t="shared" si="6"/>
        <v>17824846.440832138</v>
      </c>
      <c r="E49" s="92">
        <f t="shared" si="6"/>
        <v>9816978.3374763168</v>
      </c>
      <c r="F49" s="92">
        <f t="shared" si="6"/>
        <v>6344473.4372543581</v>
      </c>
      <c r="G49" s="92">
        <f t="shared" si="6"/>
        <v>11386381.337403724</v>
      </c>
      <c r="H49" s="92">
        <f t="shared" si="6"/>
        <v>14266217.521237686</v>
      </c>
      <c r="I49" s="92">
        <f t="shared" si="6"/>
        <v>-10637912.628018662</v>
      </c>
      <c r="J49" s="92">
        <f t="shared" si="6"/>
        <v>12189819.935546992</v>
      </c>
      <c r="K49" s="92">
        <f t="shared" si="6"/>
        <v>15007310.906635154</v>
      </c>
      <c r="L49" s="92">
        <f t="shared" si="6"/>
        <v>-25280839.852642931</v>
      </c>
      <c r="M49" s="92">
        <f t="shared" si="6"/>
        <v>-8626054.0648310352</v>
      </c>
      <c r="N49" s="92">
        <f t="shared" si="6"/>
        <v>-26510542.445830595</v>
      </c>
      <c r="O49" s="92">
        <f t="shared" si="6"/>
        <v>-20697707.607415751</v>
      </c>
    </row>
    <row r="50" spans="1:15" ht="6" customHeight="1" x14ac:dyDescent="0.25">
      <c r="E50" s="94"/>
    </row>
    <row r="51" spans="1:15" x14ac:dyDescent="0.25">
      <c r="A51" t="s">
        <v>709</v>
      </c>
      <c r="C51" s="88">
        <f>SUMIF(ALIF_Y2014!I:I,A51,ALIF_Y2014!F:F)</f>
        <v>1986535.067</v>
      </c>
      <c r="D51" s="88">
        <f>SUMIF(ALIF_Y2015!I:I,A51,ALIF_Y2015!F:F)</f>
        <v>1159554.7420000001</v>
      </c>
      <c r="E51" s="82">
        <f>SUMIF(ALIF_Y2016!I:I,A51,ALIF_Y2016!F:F)</f>
        <v>1539704.35</v>
      </c>
      <c r="F51" s="88">
        <f>SUMIF(ALIF_Y2017!I:I,A51,ALIF_Y2017!F:F)</f>
        <v>1568335.0009999999</v>
      </c>
      <c r="G51" s="88">
        <f>SUMIF(ALIF_Y2018!I:I,A51,ALIF_Y2018!F:F)</f>
        <v>2338864.71</v>
      </c>
      <c r="H51" s="88">
        <f>SUMIF(ALIF_Y2019!I:I,A51,ALIF_Y2019!F:F)</f>
        <v>3369252.03</v>
      </c>
      <c r="I51" s="88">
        <f>SUMIF(ALIF_Y2020!I:I,A51,ALIF_Y2020!F:F)</f>
        <v>3139563.568</v>
      </c>
      <c r="J51" s="88">
        <f>SUMIF(ALIF_Y2021!I:I,A51,ALIF_Y2021!F:F)</f>
        <v>4025597.2740000002</v>
      </c>
      <c r="K51" s="88">
        <f>SUMIF(ALIF_Y2022!I:I,A51,ALIF_Y2022!F:F)</f>
        <v>4641310.1399999997</v>
      </c>
      <c r="L51" s="88">
        <f>SUMIF(ALIF_Y2023!I:I,A51,ALIF_Y2023!F:F)</f>
        <v>5894124.551</v>
      </c>
      <c r="M51" s="88">
        <f>SUMIF(ALIF_Y2024!I:I,A51,ALIF_Y2024!F:F)</f>
        <v>7716907.142</v>
      </c>
      <c r="N51" s="88">
        <f>SUMIF(ALIF_Y2025!I:I,A51,ALIF_Y2025!F:F)</f>
        <v>11618933.344000001</v>
      </c>
      <c r="O51" s="88">
        <f>(SUMIF(TB_Input_Alif!$I:$I,$A51,TB_Input_Alif!$F:$F)-SUMIF(TB_Input_Alif!$I:$I,$A51,TB_Input_Alif!$C:$C))</f>
        <v>8880146.9840000011</v>
      </c>
    </row>
    <row r="52" spans="1:15" x14ac:dyDescent="0.25">
      <c r="A52" t="s">
        <v>705</v>
      </c>
      <c r="C52" s="88">
        <f>SUMIF(ALIF_Y2014!I:I,A52,ALIF_Y2014!F:F)</f>
        <v>410748.17</v>
      </c>
      <c r="D52" s="88">
        <f>SUMIF(ALIF_Y2015!I:I,A52,ALIF_Y2015!F:F)</f>
        <v>447124.53</v>
      </c>
      <c r="E52" s="82">
        <f>SUMIF(ALIF_Y2016!I:I,A52,ALIF_Y2016!F:F)</f>
        <v>295860.39099999989</v>
      </c>
      <c r="F52" s="88">
        <f>SUMIF(ALIF_Y2017!I:I,A52,ALIF_Y2017!F:F)</f>
        <v>378246.45800000004</v>
      </c>
      <c r="G52" s="88">
        <f>SUMIF(ALIF_Y2018!I:I,A52,ALIF_Y2018!F:F)</f>
        <v>903739.72699999996</v>
      </c>
      <c r="H52" s="88">
        <f>SUMIF(ALIF_Y2019!I:I,A52,ALIF_Y2019!F:F)</f>
        <v>718507.80799999996</v>
      </c>
      <c r="I52" s="88">
        <f>SUMIF(ALIF_Y2020!I:I,A52,ALIF_Y2020!F:F)</f>
        <v>1984412.7469999997</v>
      </c>
      <c r="J52" s="88">
        <f>SUMIF(ALIF_Y2021!I:I,A52,ALIF_Y2021!F:F)</f>
        <v>2123910.122</v>
      </c>
      <c r="K52" s="88">
        <f>SUMIF(ALIF_Y2022!I:I,A52,ALIF_Y2022!F:F)</f>
        <v>2249190.7760000001</v>
      </c>
      <c r="L52" s="88">
        <f>SUMIF(ALIF_Y2023!I:I,A52,ALIF_Y2023!F:F)</f>
        <v>2301784.9879999999</v>
      </c>
      <c r="M52" s="88">
        <f>SUMIF(ALIF_Y2024!I:I,A52,ALIF_Y2024!F:F)</f>
        <v>2249499.9190000002</v>
      </c>
      <c r="N52" s="88">
        <f>SUMIF(ALIF_Y2025!I:I,A52,ALIF_Y2025!F:F)</f>
        <v>2603825.5560000003</v>
      </c>
      <c r="O52" s="88">
        <f>(SUMIF(TB_Input_Alif!$I:$I,$A52,TB_Input_Alif!$F:$F)-SUMIF(TB_Input_Alif!$I:$I,$A52,TB_Input_Alif!$C:$C))</f>
        <v>1885998.1222499991</v>
      </c>
    </row>
    <row r="53" spans="1:15" x14ac:dyDescent="0.25">
      <c r="A53" t="s">
        <v>711</v>
      </c>
      <c r="C53" s="88">
        <f>SUMIF(ALIF_Y2014!I:I,A53,ALIF_Y2014!F:F)</f>
        <v>0</v>
      </c>
      <c r="D53" s="88">
        <f>SUMIF(ALIF_Y2015!I:I,A53,ALIF_Y2015!F:F)</f>
        <v>0</v>
      </c>
      <c r="E53" s="82">
        <f>SUMIF(ALIF_Y2016!I:I,A53,ALIF_Y2016!F:F)</f>
        <v>0</v>
      </c>
      <c r="F53" s="88">
        <f>SUMIF(ALIF_Y2017!I:I,A53,ALIF_Y2017!F:F)</f>
        <v>0</v>
      </c>
      <c r="G53" s="88">
        <f>SUMIF(ALIF_Y2018!I:I,A53,ALIF_Y2018!F:F)</f>
        <v>0</v>
      </c>
      <c r="H53" s="88">
        <f>SUMIF(ALIF_Y2019!I:I,A53,ALIF_Y2019!F:F)</f>
        <v>0</v>
      </c>
      <c r="I53" s="88">
        <f>SUMIF(ALIF_Y2020!I:I,A53,ALIF_Y2020!F:F)</f>
        <v>0</v>
      </c>
      <c r="J53" s="88">
        <f>SUMIF(ALIF_Y2021!I:I,A53,ALIF_Y2021!F:F)</f>
        <v>-751257.5</v>
      </c>
      <c r="K53" s="88">
        <f>SUMIF(ALIF_Y2022!I:I,A53,ALIF_Y2022!F:F)</f>
        <v>-1290167.1000000001</v>
      </c>
      <c r="L53" s="88">
        <f>SUMIF(ALIF_Y2023!I:I,A53,ALIF_Y2023!F:F)</f>
        <v>-776507.2</v>
      </c>
      <c r="M53" s="88">
        <f>SUMIF(ALIF_Y2024!I:I,A53,ALIF_Y2024!F:F)</f>
        <v>-187606.783</v>
      </c>
      <c r="N53" s="88">
        <f>SUMIF(ALIF_Y2025!I:I,A53,ALIF_Y2025!F:F)</f>
        <v>851587.54200000002</v>
      </c>
      <c r="O53" s="88">
        <f>(SUMIF(TB_Input_Alif!$I:$I,$A53,TB_Input_Alif!$F:$F)-SUMIF(TB_Input_Alif!$I:$I,$A53,TB_Input_Alif!$C:$C))</f>
        <v>-366400</v>
      </c>
    </row>
    <row r="54" spans="1:15" x14ac:dyDescent="0.25">
      <c r="A54" t="s">
        <v>714</v>
      </c>
      <c r="C54" s="88">
        <f>SUMIF(ALIF_Y2014!I:I,A54,ALIF_Y2014!F:F)</f>
        <v>1537200</v>
      </c>
      <c r="D54" s="88">
        <f>SUMIF(ALIF_Y2015!I:I,A54,ALIF_Y2015!F:F)</f>
        <v>1363871</v>
      </c>
      <c r="E54" s="82">
        <f>SUMIF(ALIF_Y2016!I:I,A54,ALIF_Y2016!F:F)</f>
        <v>1221311.1000000001</v>
      </c>
      <c r="F54" s="88">
        <f>SUMIF(ALIF_Y2017!I:I,A54,ALIF_Y2017!F:F)</f>
        <v>994649.23</v>
      </c>
      <c r="G54" s="88">
        <f>SUMIF(ALIF_Y2018!I:I,A54,ALIF_Y2018!F:F)</f>
        <v>1150000</v>
      </c>
      <c r="H54" s="88">
        <f>SUMIF(ALIF_Y2019!I:I,A54,ALIF_Y2019!F:F)</f>
        <v>954424.53</v>
      </c>
      <c r="I54" s="88">
        <f>SUMIF(ALIF_Y2020!I:I,A54,ALIF_Y2020!F:F)</f>
        <v>644385.89</v>
      </c>
      <c r="J54" s="88">
        <f>SUMIF(ALIF_Y2021!I:I,A54,ALIF_Y2021!F:F)</f>
        <v>146434.87</v>
      </c>
      <c r="K54" s="88">
        <f>SUMIF(ALIF_Y2022!I:I,A54,ALIF_Y2022!F:F)</f>
        <v>672246.94</v>
      </c>
      <c r="L54" s="88">
        <f>SUMIF(ALIF_Y2023!I:I,A54,ALIF_Y2023!F:F)</f>
        <v>235302.94</v>
      </c>
      <c r="M54" s="88">
        <f>SUMIF(ALIF_Y2024!I:I,A54,ALIF_Y2024!F:F)</f>
        <v>9561.0400000000009</v>
      </c>
      <c r="N54" s="88">
        <f>SUMIF(ALIF_Y2025!I:I,A54,ALIF_Y2025!F:F)</f>
        <v>0</v>
      </c>
      <c r="O54" s="88">
        <f>(SUMIF(TB_Input_Alif!$I:$I,$A54,TB_Input_Alif!$F:$F)-SUMIF(TB_Input_Alif!$I:$I,$A54,TB_Input_Alif!$C:$C))</f>
        <v>0</v>
      </c>
    </row>
    <row r="55" spans="1:15" ht="7.9" customHeight="1" x14ac:dyDescent="0.25">
      <c r="E55" s="94"/>
    </row>
    <row r="56" spans="1:15" ht="18.600000000000001" customHeight="1" x14ac:dyDescent="0.25">
      <c r="A56" s="98" t="s">
        <v>1235</v>
      </c>
      <c r="C56" s="99">
        <f t="shared" ref="C56:O56" si="7">C49-C51-C52-C54-C53</f>
        <v>17320238.65826134</v>
      </c>
      <c r="D56" s="99">
        <f t="shared" si="7"/>
        <v>14854296.168832138</v>
      </c>
      <c r="E56" s="99">
        <f t="shared" si="7"/>
        <v>6760102.4964763168</v>
      </c>
      <c r="F56" s="99">
        <f t="shared" si="7"/>
        <v>3403242.7482543583</v>
      </c>
      <c r="G56" s="99">
        <f t="shared" si="7"/>
        <v>6993776.900403725</v>
      </c>
      <c r="H56" s="99">
        <f t="shared" si="7"/>
        <v>9224033.1532376874</v>
      </c>
      <c r="I56" s="99">
        <f t="shared" si="7"/>
        <v>-16406274.833018662</v>
      </c>
      <c r="J56" s="99">
        <f t="shared" si="7"/>
        <v>6645135.1695469925</v>
      </c>
      <c r="K56" s="99">
        <f t="shared" si="7"/>
        <v>8734730.1506351531</v>
      </c>
      <c r="L56" s="99">
        <f t="shared" si="7"/>
        <v>-32935545.131642926</v>
      </c>
      <c r="M56" s="99">
        <f t="shared" si="7"/>
        <v>-18414415.382831033</v>
      </c>
      <c r="N56" s="99">
        <f t="shared" si="7"/>
        <v>-41584888.8878306</v>
      </c>
      <c r="O56" s="99">
        <f t="shared" si="7"/>
        <v>-31097452.71366575</v>
      </c>
    </row>
    <row r="57" spans="1:15" ht="15.75" customHeight="1" x14ac:dyDescent="0.25">
      <c r="E57" s="94"/>
    </row>
    <row r="58" spans="1:15" x14ac:dyDescent="0.25">
      <c r="A58" t="s">
        <v>719</v>
      </c>
      <c r="C58" s="100">
        <f>SUMIF(ALIF_Y2014!I:I,A58,ALIF_Y2014!F:F)</f>
        <v>0</v>
      </c>
      <c r="D58" s="100">
        <f>SUMIF(ALIF_Y2015!I:I,A58,ALIF_Y2015!F:F)</f>
        <v>0</v>
      </c>
      <c r="E58" s="101">
        <f>SUMIF(ALIF_Y2016!I:I,A58,ALIF_Y2016!F:F)</f>
        <v>0</v>
      </c>
      <c r="F58" s="100">
        <f>SUMIF(ALIF_Y2017!I:I,A58,ALIF_Y2017!F:F)</f>
        <v>0</v>
      </c>
      <c r="G58" s="100">
        <f>SUMIF(ALIF_Y2018!I:I,A58,ALIF_Y2018!F:F)</f>
        <v>0</v>
      </c>
      <c r="H58" s="100">
        <f>SUMIF(ALIF_Y2019!I:I,A58,ALIF_Y2019!F:F)</f>
        <v>-608441</v>
      </c>
      <c r="I58" s="100">
        <f>SUMIF(ALIF_Y2020!I:I,A58,ALIF_Y2020!F:F)</f>
        <v>180079</v>
      </c>
      <c r="J58" s="100">
        <f>SUMIF(ALIF_Y2021!I:I,A58,ALIF_Y2021!F:F)</f>
        <v>-25921</v>
      </c>
      <c r="K58" s="100">
        <f>SUMIF(ALIF_Y2022!I:I,A58,ALIF_Y2022!F:F)</f>
        <v>35621</v>
      </c>
      <c r="L58" s="100">
        <f>SUMIF(ALIF_Y2023!I:I,A58,ALIF_Y2023!F:F)</f>
        <v>1151975.32</v>
      </c>
      <c r="M58" s="100">
        <f>SUMIF(ALIF_Y2024!I:I,A58,ALIF_Y2024!F:F)</f>
        <v>-1573353</v>
      </c>
      <c r="N58" s="100">
        <f>SUMIF(ALIF_Y2025!I:I,A58,ALIF_Y2025!F:F)</f>
        <v>0</v>
      </c>
      <c r="O58" s="100">
        <f>(SUMIF(TB_Input_Alif!$I:$I,$A58,TB_Input_Alif!$F:$F)-SUMIF(TB_Input_Alif!$I:$I,$A58,TB_Input_Alif!$C:$C))</f>
        <v>0</v>
      </c>
    </row>
    <row r="59" spans="1:15" ht="21.6" customHeight="1" x14ac:dyDescent="0.25">
      <c r="A59" s="102" t="s">
        <v>1236</v>
      </c>
      <c r="C59" s="103">
        <f t="shared" ref="C59:O59" si="8">C56-C58</f>
        <v>17320238.65826134</v>
      </c>
      <c r="D59" s="103">
        <f t="shared" si="8"/>
        <v>14854296.168832138</v>
      </c>
      <c r="E59" s="103">
        <f t="shared" si="8"/>
        <v>6760102.4964763168</v>
      </c>
      <c r="F59" s="103">
        <f t="shared" si="8"/>
        <v>3403242.7482543583</v>
      </c>
      <c r="G59" s="103">
        <f t="shared" si="8"/>
        <v>6993776.900403725</v>
      </c>
      <c r="H59" s="103">
        <f t="shared" si="8"/>
        <v>9832474.1532376874</v>
      </c>
      <c r="I59" s="103">
        <f t="shared" si="8"/>
        <v>-16586353.833018662</v>
      </c>
      <c r="J59" s="103">
        <f t="shared" si="8"/>
        <v>6671056.1695469925</v>
      </c>
      <c r="K59" s="103">
        <f t="shared" si="8"/>
        <v>8699109.1506351531</v>
      </c>
      <c r="L59" s="103">
        <f t="shared" si="8"/>
        <v>-34087520.451642923</v>
      </c>
      <c r="M59" s="103">
        <f t="shared" si="8"/>
        <v>-16841062.382831033</v>
      </c>
      <c r="N59" s="103">
        <f t="shared" si="8"/>
        <v>-41584888.8878306</v>
      </c>
      <c r="O59" s="103">
        <f t="shared" si="8"/>
        <v>-31097452.71366575</v>
      </c>
    </row>
    <row r="60" spans="1:15" x14ac:dyDescent="0.25">
      <c r="C60" s="94"/>
      <c r="D60" s="94"/>
      <c r="F60" s="94"/>
      <c r="G60" s="94"/>
      <c r="H60" s="94"/>
      <c r="I60" s="94"/>
      <c r="J60" s="94"/>
      <c r="K60" s="94"/>
      <c r="L60" s="94"/>
      <c r="M60" s="94"/>
      <c r="N60" s="94"/>
      <c r="O60" s="94"/>
    </row>
    <row r="61" spans="1:15" x14ac:dyDescent="0.25">
      <c r="A61" s="85" t="s">
        <v>1237</v>
      </c>
      <c r="C61" s="94"/>
      <c r="D61" s="94"/>
      <c r="F61" s="94"/>
      <c r="G61" s="94"/>
      <c r="H61" s="94"/>
      <c r="I61" s="94"/>
      <c r="J61" s="94"/>
      <c r="K61" s="94"/>
      <c r="L61" s="94"/>
      <c r="M61" s="94"/>
      <c r="N61" s="94"/>
      <c r="O61" s="94"/>
    </row>
    <row r="62" spans="1:15" x14ac:dyDescent="0.25">
      <c r="B62" t="s">
        <v>1238</v>
      </c>
      <c r="C62" s="104">
        <f t="shared" ref="C62:O62" si="9">C22/C8*100</f>
        <v>77.672617115626934</v>
      </c>
      <c r="D62" s="104">
        <f t="shared" si="9"/>
        <v>76.808252041198216</v>
      </c>
      <c r="E62" s="104">
        <f t="shared" si="9"/>
        <v>80.212777615930179</v>
      </c>
      <c r="F62" s="104">
        <f t="shared" si="9"/>
        <v>82.823113447545467</v>
      </c>
      <c r="G62" s="104">
        <f t="shared" si="9"/>
        <v>79.869121425292249</v>
      </c>
      <c r="H62" s="104">
        <f t="shared" si="9"/>
        <v>82.885832039824493</v>
      </c>
      <c r="I62" s="104">
        <f t="shared" si="9"/>
        <v>95.174171081234931</v>
      </c>
      <c r="J62" s="104">
        <f t="shared" si="9"/>
        <v>85.334524692339286</v>
      </c>
      <c r="K62" s="104">
        <f t="shared" si="9"/>
        <v>86.503941575530732</v>
      </c>
      <c r="L62" s="104">
        <f t="shared" si="9"/>
        <v>102.94753530756159</v>
      </c>
      <c r="M62" s="104">
        <f t="shared" si="9"/>
        <v>96.564294217141239</v>
      </c>
      <c r="N62" s="104">
        <f t="shared" si="9"/>
        <v>99.139254227831017</v>
      </c>
      <c r="O62" s="104">
        <f t="shared" si="9"/>
        <v>105.72747198371731</v>
      </c>
    </row>
    <row r="63" spans="1:15" x14ac:dyDescent="0.25">
      <c r="B63" s="105" t="s">
        <v>643</v>
      </c>
      <c r="C63" s="106">
        <f t="shared" ref="C63:O63" si="10">C10/C8*100</f>
        <v>61.161253488370804</v>
      </c>
      <c r="D63" s="106">
        <f t="shared" si="10"/>
        <v>60.217072552392125</v>
      </c>
      <c r="E63" s="106">
        <f t="shared" si="10"/>
        <v>62.870215025247504</v>
      </c>
      <c r="F63" s="106">
        <f t="shared" si="10"/>
        <v>62.543090257260303</v>
      </c>
      <c r="G63" s="106">
        <f t="shared" si="10"/>
        <v>69.97457885616511</v>
      </c>
      <c r="H63" s="106">
        <f t="shared" si="10"/>
        <v>69.687110725037385</v>
      </c>
      <c r="I63" s="106">
        <f t="shared" si="10"/>
        <v>79.767929940904352</v>
      </c>
      <c r="J63" s="106">
        <f t="shared" si="10"/>
        <v>70.341711958921678</v>
      </c>
      <c r="K63" s="106">
        <f t="shared" si="10"/>
        <v>71.630120107579273</v>
      </c>
      <c r="L63" s="106">
        <f t="shared" si="10"/>
        <v>83.031773692933314</v>
      </c>
      <c r="M63" s="106">
        <f t="shared" si="10"/>
        <v>78.758227474766827</v>
      </c>
      <c r="N63" s="107">
        <f t="shared" si="10"/>
        <v>73.274388973866934</v>
      </c>
      <c r="O63" s="107">
        <f t="shared" si="10"/>
        <v>74.924685441636782</v>
      </c>
    </row>
    <row r="64" spans="1:15" x14ac:dyDescent="0.25">
      <c r="B64" s="105" t="s">
        <v>645</v>
      </c>
      <c r="C64" s="106">
        <f t="shared" ref="C64:O64" si="11">C11/C8*100</f>
        <v>7.5465913187757847</v>
      </c>
      <c r="D64" s="106">
        <f t="shared" si="11"/>
        <v>4.5361805340112404</v>
      </c>
      <c r="E64" s="106">
        <f t="shared" si="11"/>
        <v>3.1357671789874413</v>
      </c>
      <c r="F64" s="106">
        <f t="shared" si="11"/>
        <v>8.677325320250235</v>
      </c>
      <c r="G64" s="106">
        <f t="shared" si="11"/>
        <v>4.3669097807462389</v>
      </c>
      <c r="H64" s="106">
        <f t="shared" si="11"/>
        <v>3.2428376720038852</v>
      </c>
      <c r="I64" s="106">
        <f t="shared" si="11"/>
        <v>3.6465851460529124</v>
      </c>
      <c r="J64" s="106">
        <f t="shared" si="11"/>
        <v>3.3477116026973617</v>
      </c>
      <c r="K64" s="106">
        <f t="shared" si="11"/>
        <v>3.4111040191774791</v>
      </c>
      <c r="L64" s="106">
        <f t="shared" si="11"/>
        <v>4.3549675524322007</v>
      </c>
      <c r="M64" s="106">
        <f t="shared" si="11"/>
        <v>3.952195316272924</v>
      </c>
      <c r="N64" s="106">
        <f t="shared" si="11"/>
        <v>9.4026429128381128</v>
      </c>
      <c r="O64" s="106">
        <f t="shared" si="11"/>
        <v>11.895302836385692</v>
      </c>
    </row>
    <row r="65" spans="2:15" x14ac:dyDescent="0.25">
      <c r="B65" s="105" t="s">
        <v>647</v>
      </c>
      <c r="C65" s="106">
        <f t="shared" ref="C65:O65" si="12">C12/C8*100</f>
        <v>0</v>
      </c>
      <c r="D65" s="106">
        <f t="shared" si="12"/>
        <v>0</v>
      </c>
      <c r="E65" s="106">
        <f t="shared" si="12"/>
        <v>0</v>
      </c>
      <c r="F65" s="106">
        <f t="shared" si="12"/>
        <v>0</v>
      </c>
      <c r="G65" s="106">
        <f t="shared" si="12"/>
        <v>0</v>
      </c>
      <c r="H65" s="106">
        <f t="shared" si="12"/>
        <v>0</v>
      </c>
      <c r="I65" s="106">
        <f t="shared" si="12"/>
        <v>0</v>
      </c>
      <c r="J65" s="106">
        <f t="shared" si="12"/>
        <v>0</v>
      </c>
      <c r="K65" s="106">
        <f t="shared" si="12"/>
        <v>0</v>
      </c>
      <c r="L65" s="106">
        <f t="shared" si="12"/>
        <v>0</v>
      </c>
      <c r="M65" s="107">
        <f t="shared" si="12"/>
        <v>0</v>
      </c>
      <c r="N65" s="107">
        <f t="shared" si="12"/>
        <v>0</v>
      </c>
      <c r="O65" s="107">
        <f t="shared" si="12"/>
        <v>0.13697140088197604</v>
      </c>
    </row>
    <row r="66" spans="2:15" x14ac:dyDescent="0.25">
      <c r="B66" s="105" t="s">
        <v>648</v>
      </c>
      <c r="C66" s="106"/>
      <c r="D66" s="106"/>
      <c r="E66" s="106"/>
      <c r="F66" s="106"/>
      <c r="G66" s="106"/>
      <c r="H66" s="106"/>
      <c r="I66" s="106"/>
      <c r="J66" s="106"/>
      <c r="K66" s="106"/>
      <c r="L66" s="106"/>
      <c r="M66" s="106"/>
      <c r="N66" s="106">
        <f>N13/N8*100</f>
        <v>-8.9585977473872273E-16</v>
      </c>
      <c r="O66" s="106">
        <f>O13/O8*100</f>
        <v>1.794946355897064</v>
      </c>
    </row>
    <row r="67" spans="2:15" x14ac:dyDescent="0.25">
      <c r="B67" s="105" t="s">
        <v>650</v>
      </c>
      <c r="C67" s="106">
        <f t="shared" ref="C67:O67" si="13">C14/C8*100</f>
        <v>2.2050241559064929</v>
      </c>
      <c r="D67" s="106">
        <f t="shared" si="13"/>
        <v>2.8922543430707774</v>
      </c>
      <c r="E67" s="106">
        <f t="shared" si="13"/>
        <v>3.9137518637537707</v>
      </c>
      <c r="F67" s="106">
        <f t="shared" si="13"/>
        <v>3.7957566944912862</v>
      </c>
      <c r="G67" s="106">
        <f t="shared" si="13"/>
        <v>2.0464560797367821</v>
      </c>
      <c r="H67" s="106">
        <f t="shared" si="13"/>
        <v>2.4904576350793883</v>
      </c>
      <c r="I67" s="106">
        <f t="shared" si="13"/>
        <v>2.5723285499982564</v>
      </c>
      <c r="J67" s="106">
        <f t="shared" si="13"/>
        <v>1.8875223017541272</v>
      </c>
      <c r="K67" s="106">
        <f t="shared" si="13"/>
        <v>1.7064069840641873</v>
      </c>
      <c r="L67" s="106">
        <f t="shared" si="13"/>
        <v>3.7359922754819279</v>
      </c>
      <c r="M67" s="106">
        <f t="shared" si="13"/>
        <v>3.3458204406890748</v>
      </c>
      <c r="N67" s="106">
        <f t="shared" si="13"/>
        <v>4.7170675656661114</v>
      </c>
      <c r="O67" s="106">
        <f t="shared" si="13"/>
        <v>5.1316037347288148</v>
      </c>
    </row>
    <row r="68" spans="2:15" x14ac:dyDescent="0.25">
      <c r="B68" s="105" t="s">
        <v>656</v>
      </c>
      <c r="C68" s="106">
        <f t="shared" ref="C68:O68" si="14">C15/C8*100</f>
        <v>1.8169906016635293</v>
      </c>
      <c r="D68" s="106">
        <f t="shared" si="14"/>
        <v>2.2112318111748812</v>
      </c>
      <c r="E68" s="106">
        <f t="shared" si="14"/>
        <v>2.5690915910586427</v>
      </c>
      <c r="F68" s="106">
        <f t="shared" si="14"/>
        <v>2.1855574490652554</v>
      </c>
      <c r="G68" s="106">
        <f t="shared" si="14"/>
        <v>1.0195950763901471</v>
      </c>
      <c r="H68" s="106">
        <f t="shared" si="14"/>
        <v>2.7033350366720188</v>
      </c>
      <c r="I68" s="106">
        <f t="shared" si="14"/>
        <v>3.2542754746805014</v>
      </c>
      <c r="J68" s="106">
        <f t="shared" si="14"/>
        <v>3.58593328714394</v>
      </c>
      <c r="K68" s="106">
        <f t="shared" si="14"/>
        <v>3.3623869181290802</v>
      </c>
      <c r="L68" s="106">
        <f t="shared" si="14"/>
        <v>4.9155652325560437</v>
      </c>
      <c r="M68" s="106">
        <f t="shared" si="14"/>
        <v>5.8555896336447724</v>
      </c>
      <c r="N68" s="106">
        <f t="shared" si="14"/>
        <v>3.7712720145469385</v>
      </c>
      <c r="O68" s="106">
        <f t="shared" si="14"/>
        <v>4.7200877788023714</v>
      </c>
    </row>
    <row r="69" spans="2:15" x14ac:dyDescent="0.25">
      <c r="B69" s="105" t="s">
        <v>652</v>
      </c>
      <c r="C69" s="106">
        <f t="shared" ref="C69:O69" si="15">C16/C8*100</f>
        <v>2.5948297209643321</v>
      </c>
      <c r="D69" s="106">
        <f t="shared" si="15"/>
        <v>3.7131203543964637</v>
      </c>
      <c r="E69" s="106">
        <f t="shared" si="15"/>
        <v>3.438576090078783</v>
      </c>
      <c r="F69" s="106">
        <f t="shared" si="15"/>
        <v>2.4265752720715392</v>
      </c>
      <c r="G69" s="106">
        <f t="shared" si="15"/>
        <v>1.3732588531881602</v>
      </c>
      <c r="H69" s="106">
        <f t="shared" si="15"/>
        <v>2.4868997847706864</v>
      </c>
      <c r="I69" s="106">
        <f t="shared" si="15"/>
        <v>3.3890372178533732</v>
      </c>
      <c r="J69" s="106">
        <f t="shared" si="15"/>
        <v>3.5105801062611235</v>
      </c>
      <c r="K69" s="106">
        <f t="shared" si="15"/>
        <v>4.3017694023952284</v>
      </c>
      <c r="L69" s="106">
        <f t="shared" si="15"/>
        <v>4.2819504556132522</v>
      </c>
      <c r="M69" s="106">
        <f t="shared" si="15"/>
        <v>1.9886784099684862</v>
      </c>
      <c r="N69" s="106">
        <f t="shared" si="15"/>
        <v>1.2024495024892057</v>
      </c>
      <c r="O69" s="106">
        <f t="shared" si="15"/>
        <v>2.4607878603581321</v>
      </c>
    </row>
    <row r="70" spans="2:15" x14ac:dyDescent="0.25">
      <c r="B70" s="105" t="s">
        <v>664</v>
      </c>
      <c r="C70" s="106">
        <f t="shared" ref="C70:O70" si="16">C17/C8*100</f>
        <v>1.1323650908035945</v>
      </c>
      <c r="D70" s="106">
        <f t="shared" si="16"/>
        <v>1.7271282192707311</v>
      </c>
      <c r="E70" s="106">
        <f t="shared" si="16"/>
        <v>2.5142182362029395</v>
      </c>
      <c r="F70" s="106">
        <f t="shared" si="16"/>
        <v>2.126283269068554</v>
      </c>
      <c r="G70" s="106">
        <f t="shared" si="16"/>
        <v>0.81807729729740675</v>
      </c>
      <c r="H70" s="106">
        <f t="shared" si="16"/>
        <v>1.746474312997276</v>
      </c>
      <c r="I70" s="106">
        <f t="shared" si="16"/>
        <v>1.9226319807868173</v>
      </c>
      <c r="J70" s="106">
        <f t="shared" si="16"/>
        <v>1.5487481271132155</v>
      </c>
      <c r="K70" s="106">
        <f t="shared" si="16"/>
        <v>1.1677382013395818</v>
      </c>
      <c r="L70" s="106">
        <f t="shared" si="16"/>
        <v>1.5902186547629471</v>
      </c>
      <c r="M70" s="106">
        <f t="shared" si="16"/>
        <v>1.5314117153324258</v>
      </c>
      <c r="N70" s="106">
        <f t="shared" si="16"/>
        <v>1.8477347409678824</v>
      </c>
      <c r="O70" s="106">
        <f t="shared" si="16"/>
        <v>1.7046396231704921</v>
      </c>
    </row>
    <row r="71" spans="2:15" x14ac:dyDescent="0.25">
      <c r="B71" s="105" t="s">
        <v>658</v>
      </c>
      <c r="C71" s="106">
        <f t="shared" ref="C71:O71" si="17">C18/C8*100</f>
        <v>0.19215236988311604</v>
      </c>
      <c r="D71" s="106">
        <f t="shared" si="17"/>
        <v>0.12632012987277499</v>
      </c>
      <c r="E71" s="106">
        <f t="shared" si="17"/>
        <v>7.225669743992183E-2</v>
      </c>
      <c r="F71" s="106">
        <f t="shared" si="17"/>
        <v>0.21892113607152497</v>
      </c>
      <c r="G71" s="106">
        <f t="shared" si="17"/>
        <v>7.3435268821719149E-2</v>
      </c>
      <c r="H71" s="106">
        <f t="shared" si="17"/>
        <v>0.21022537559004631</v>
      </c>
      <c r="I71" s="106">
        <f t="shared" si="17"/>
        <v>0.36876468816862695</v>
      </c>
      <c r="J71" s="106">
        <f t="shared" si="17"/>
        <v>0.96665870335282145</v>
      </c>
      <c r="K71" s="106">
        <f t="shared" si="17"/>
        <v>0.8005223994937869</v>
      </c>
      <c r="L71" s="106">
        <f t="shared" si="17"/>
        <v>0.27387734044730466</v>
      </c>
      <c r="M71" s="106">
        <f t="shared" si="17"/>
        <v>0.9512491545040469</v>
      </c>
      <c r="N71" s="106">
        <f t="shared" si="17"/>
        <v>4.6584298898772287</v>
      </c>
      <c r="O71" s="106">
        <f t="shared" si="17"/>
        <v>2.6748707532380553</v>
      </c>
    </row>
    <row r="72" spans="2:15" x14ac:dyDescent="0.25">
      <c r="B72" s="105" t="s">
        <v>660</v>
      </c>
      <c r="C72" s="106">
        <f t="shared" ref="C72:O72" si="18">C19/C8*100</f>
        <v>1.0234103692592618</v>
      </c>
      <c r="D72" s="106">
        <f t="shared" si="18"/>
        <v>1.3849440970092131</v>
      </c>
      <c r="E72" s="106">
        <f t="shared" si="18"/>
        <v>1.69890093316117</v>
      </c>
      <c r="F72" s="106">
        <f t="shared" si="18"/>
        <v>0.84960404926676369</v>
      </c>
      <c r="G72" s="106">
        <f t="shared" si="18"/>
        <v>0.19681021294668247</v>
      </c>
      <c r="H72" s="106">
        <f t="shared" si="18"/>
        <v>0.31849149767380858</v>
      </c>
      <c r="I72" s="106">
        <f t="shared" si="18"/>
        <v>0.25261808279009812</v>
      </c>
      <c r="J72" s="106">
        <f t="shared" si="18"/>
        <v>0.14565860509504056</v>
      </c>
      <c r="K72" s="106">
        <f t="shared" si="18"/>
        <v>0.12389354335210351</v>
      </c>
      <c r="L72" s="106">
        <f t="shared" si="18"/>
        <v>0.26587201320792014</v>
      </c>
      <c r="M72" s="106">
        <f t="shared" si="18"/>
        <v>0.18112207196268404</v>
      </c>
      <c r="N72" s="106">
        <f t="shared" si="18"/>
        <v>0.2652686275785886</v>
      </c>
      <c r="O72" s="106">
        <f t="shared" si="18"/>
        <v>0.28357619861792177</v>
      </c>
    </row>
    <row r="73" spans="2:15" x14ac:dyDescent="0.25">
      <c r="B73" s="105" t="s">
        <v>662</v>
      </c>
      <c r="C73" s="106"/>
      <c r="D73" s="106"/>
      <c r="E73" s="106"/>
      <c r="F73" s="106"/>
      <c r="G73" s="106"/>
      <c r="H73" s="106"/>
      <c r="I73" s="106"/>
      <c r="J73" s="106"/>
      <c r="K73" s="106"/>
      <c r="L73" s="106">
        <f>L20/L8*100</f>
        <v>0.49731809012671768</v>
      </c>
      <c r="M73" s="106">
        <f>M20/M8*100</f>
        <v>0</v>
      </c>
      <c r="N73" s="106">
        <f>N20/N8*100</f>
        <v>0</v>
      </c>
      <c r="O73" s="106">
        <f>O20/O8*100</f>
        <v>0</v>
      </c>
    </row>
    <row r="74" spans="2:15" x14ac:dyDescent="0.25">
      <c r="B74" s="108" t="s">
        <v>1239</v>
      </c>
      <c r="C74" s="109">
        <f t="shared" ref="C74:O74" si="19">C24/C8*100</f>
        <v>22.327382884373066</v>
      </c>
      <c r="D74" s="109">
        <f t="shared" si="19"/>
        <v>23.191747958801784</v>
      </c>
      <c r="E74" s="109">
        <f t="shared" si="19"/>
        <v>19.787222384069832</v>
      </c>
      <c r="F74" s="109">
        <f t="shared" si="19"/>
        <v>17.17688655245453</v>
      </c>
      <c r="G74" s="109">
        <f t="shared" si="19"/>
        <v>20.130878574707744</v>
      </c>
      <c r="H74" s="109">
        <f t="shared" si="19"/>
        <v>17.114167960175507</v>
      </c>
      <c r="I74" s="109">
        <f t="shared" si="19"/>
        <v>4.8258289187650583</v>
      </c>
      <c r="J74" s="109">
        <f t="shared" si="19"/>
        <v>14.66547530766071</v>
      </c>
      <c r="K74" s="109">
        <f t="shared" si="19"/>
        <v>13.496058424469265</v>
      </c>
      <c r="L74" s="109">
        <f t="shared" si="19"/>
        <v>-2.9475353075616004</v>
      </c>
      <c r="M74" s="109">
        <f t="shared" si="19"/>
        <v>3.4357057828587565</v>
      </c>
      <c r="N74" s="109">
        <f t="shared" si="19"/>
        <v>0.86074577216897785</v>
      </c>
      <c r="O74" s="109">
        <f t="shared" si="19"/>
        <v>-5.7274719837173018</v>
      </c>
    </row>
    <row r="75" spans="2:15" x14ac:dyDescent="0.25">
      <c r="B75" s="110" t="s">
        <v>1240</v>
      </c>
      <c r="C75" s="111">
        <f t="shared" ref="C75:O75" si="20">C32/C8*100</f>
        <v>0.19112002233742892</v>
      </c>
      <c r="D75" s="111">
        <f t="shared" si="20"/>
        <v>0.30010942314924927</v>
      </c>
      <c r="E75" s="111">
        <f t="shared" si="20"/>
        <v>0.22692987299830761</v>
      </c>
      <c r="F75" s="111">
        <f t="shared" si="20"/>
        <v>0.30859174060783362</v>
      </c>
      <c r="G75" s="111">
        <f t="shared" si="20"/>
        <v>0.28495329411639442</v>
      </c>
      <c r="H75" s="111">
        <f t="shared" si="20"/>
        <v>0.23295854311945727</v>
      </c>
      <c r="I75" s="111">
        <f t="shared" si="20"/>
        <v>0.2400269886599026</v>
      </c>
      <c r="J75" s="111">
        <f t="shared" si="20"/>
        <v>0.20754266609838376</v>
      </c>
      <c r="K75" s="111">
        <f t="shared" si="20"/>
        <v>0.22560300572556147</v>
      </c>
      <c r="L75" s="111">
        <f t="shared" si="20"/>
        <v>0.231667133413406</v>
      </c>
      <c r="M75" s="112">
        <f t="shared" si="20"/>
        <v>0.7249667224718469</v>
      </c>
      <c r="N75" s="112">
        <f t="shared" si="20"/>
        <v>1.0348379328192456</v>
      </c>
      <c r="O75" s="112">
        <f t="shared" si="20"/>
        <v>0.1082140504920749</v>
      </c>
    </row>
    <row r="76" spans="2:15" x14ac:dyDescent="0.25">
      <c r="B76" s="110" t="s">
        <v>1241</v>
      </c>
      <c r="C76" s="111">
        <f t="shared" ref="C76:O76" si="21">C44/C8*100</f>
        <v>5.7491321231320303</v>
      </c>
      <c r="D76" s="111">
        <f t="shared" si="21"/>
        <v>6.4825723451396007</v>
      </c>
      <c r="E76" s="111">
        <f t="shared" si="21"/>
        <v>8.3751016582333229</v>
      </c>
      <c r="F76" s="111">
        <f t="shared" si="21"/>
        <v>10.052041579582822</v>
      </c>
      <c r="G76" s="111">
        <f t="shared" si="21"/>
        <v>9.24507002551276</v>
      </c>
      <c r="H76" s="111">
        <f t="shared" si="21"/>
        <v>7.1152958084531992</v>
      </c>
      <c r="I76" s="112">
        <f t="shared" si="21"/>
        <v>12.73131597468031</v>
      </c>
      <c r="J76" s="111">
        <f t="shared" si="21"/>
        <v>7.6466960530174459</v>
      </c>
      <c r="K76" s="111">
        <f t="shared" si="21"/>
        <v>6.4627781230557177</v>
      </c>
      <c r="L76" s="112">
        <f t="shared" si="21"/>
        <v>12.51145016948608</v>
      </c>
      <c r="M76" s="112">
        <f t="shared" si="21"/>
        <v>10.550216999434319</v>
      </c>
      <c r="N76" s="112">
        <f t="shared" si="21"/>
        <v>17.261748768638121</v>
      </c>
      <c r="O76" s="112">
        <f t="shared" si="21"/>
        <v>10.53028801912205</v>
      </c>
    </row>
    <row r="77" spans="2:15" x14ac:dyDescent="0.25">
      <c r="B77" s="110" t="s">
        <v>1242</v>
      </c>
      <c r="C77" s="111">
        <f t="shared" ref="C77:O77" si="22">C51/C8*100</f>
        <v>1.4827608003219552</v>
      </c>
      <c r="D77" s="111">
        <f t="shared" si="22"/>
        <v>1.0594944194216511</v>
      </c>
      <c r="E77" s="111">
        <f t="shared" si="22"/>
        <v>1.7542961204213554</v>
      </c>
      <c r="F77" s="111">
        <f t="shared" si="22"/>
        <v>1.6849575659134772</v>
      </c>
      <c r="G77" s="111">
        <f t="shared" si="22"/>
        <v>2.1775106170451499</v>
      </c>
      <c r="H77" s="111">
        <f t="shared" si="22"/>
        <v>2.3064154322340067</v>
      </c>
      <c r="I77" s="111">
        <f t="shared" si="22"/>
        <v>2.4798525190089378</v>
      </c>
      <c r="J77" s="111">
        <f t="shared" si="22"/>
        <v>2.2043724058459788</v>
      </c>
      <c r="K77" s="111">
        <f t="shared" si="22"/>
        <v>2.0910122146932641</v>
      </c>
      <c r="L77" s="112">
        <f t="shared" si="22"/>
        <v>5.6565216592282646</v>
      </c>
      <c r="M77" s="112">
        <f t="shared" si="22"/>
        <v>5.7085976724065022</v>
      </c>
      <c r="N77" s="112">
        <f t="shared" si="22"/>
        <v>7.4510059077777511</v>
      </c>
      <c r="O77" s="112">
        <f t="shared" si="22"/>
        <v>7.0216594942061334</v>
      </c>
    </row>
    <row r="78" spans="2:15" x14ac:dyDescent="0.25">
      <c r="B78" s="110" t="s">
        <v>1243</v>
      </c>
      <c r="C78" s="111">
        <f t="shared" ref="C78:O78" si="23">C52/C8*100</f>
        <v>0.30658471395611081</v>
      </c>
      <c r="D78" s="111">
        <f t="shared" si="23"/>
        <v>0.40854125050141754</v>
      </c>
      <c r="E78" s="111">
        <f t="shared" si="23"/>
        <v>0.33709506381380627</v>
      </c>
      <c r="F78" s="111">
        <f t="shared" si="23"/>
        <v>0.40637314781644307</v>
      </c>
      <c r="G78" s="111">
        <f t="shared" si="23"/>
        <v>0.84139233969971072</v>
      </c>
      <c r="H78" s="111">
        <f t="shared" si="23"/>
        <v>0.49185323086436744</v>
      </c>
      <c r="I78" s="111">
        <f t="shared" si="23"/>
        <v>1.567431537159879</v>
      </c>
      <c r="J78" s="111">
        <f t="shared" si="23"/>
        <v>1.1630296193989735</v>
      </c>
      <c r="K78" s="111">
        <f t="shared" si="23"/>
        <v>1.0133098724127538</v>
      </c>
      <c r="L78" s="111">
        <f t="shared" si="23"/>
        <v>2.2089958443954965</v>
      </c>
      <c r="M78" s="111">
        <f t="shared" si="23"/>
        <v>1.6640721166373749</v>
      </c>
      <c r="N78" s="111">
        <f t="shared" si="23"/>
        <v>1.6697849127947189</v>
      </c>
      <c r="O78" s="111">
        <f t="shared" si="23"/>
        <v>1.4912857461720193</v>
      </c>
    </row>
    <row r="79" spans="2:15" x14ac:dyDescent="0.25">
      <c r="B79" s="108" t="s">
        <v>1179</v>
      </c>
      <c r="C79" s="109">
        <f t="shared" ref="C79:O79" si="24">C49/C8*100</f>
        <v>15.864642397494761</v>
      </c>
      <c r="D79" s="109">
        <f t="shared" si="24"/>
        <v>16.286704410812135</v>
      </c>
      <c r="E79" s="109">
        <f t="shared" si="24"/>
        <v>11.185190852838202</v>
      </c>
      <c r="F79" s="109">
        <f t="shared" si="24"/>
        <v>6.8162532322638745</v>
      </c>
      <c r="G79" s="109">
        <f t="shared" si="24"/>
        <v>10.600855255078589</v>
      </c>
      <c r="H79" s="109">
        <f t="shared" si="24"/>
        <v>9.7659136086028511</v>
      </c>
      <c r="I79" s="109">
        <f t="shared" si="24"/>
        <v>-8.4025864921073214</v>
      </c>
      <c r="J79" s="109">
        <f t="shared" si="24"/>
        <v>6.6750101585424995</v>
      </c>
      <c r="K79" s="109">
        <f t="shared" si="24"/>
        <v>6.7611233614898127</v>
      </c>
      <c r="L79" s="109">
        <f t="shared" si="24"/>
        <v>-24.26172317069447</v>
      </c>
      <c r="M79" s="109">
        <f t="shared" si="24"/>
        <v>-6.3811409481059025</v>
      </c>
      <c r="N79" s="109">
        <f t="shared" si="24"/>
        <v>-17.00071792599455</v>
      </c>
      <c r="O79" s="109">
        <f t="shared" si="24"/>
        <v>-16.365974053331424</v>
      </c>
    </row>
    <row r="80" spans="2:15" x14ac:dyDescent="0.25">
      <c r="B80" s="108" t="s">
        <v>1244</v>
      </c>
      <c r="C80" s="109">
        <f t="shared" ref="C80:O80" si="25">C56/C8*100</f>
        <v>12.927922270949196</v>
      </c>
      <c r="D80" s="109">
        <f t="shared" si="25"/>
        <v>13.572488926369344</v>
      </c>
      <c r="E80" s="109">
        <f t="shared" si="25"/>
        <v>7.7022719220213425</v>
      </c>
      <c r="F80" s="109">
        <f t="shared" si="25"/>
        <v>3.6563104270803408</v>
      </c>
      <c r="G80" s="109">
        <f t="shared" si="25"/>
        <v>6.5112887413972018</v>
      </c>
      <c r="H80" s="109">
        <f t="shared" si="25"/>
        <v>6.3142953458621243</v>
      </c>
      <c r="I80" s="109">
        <f t="shared" si="25"/>
        <v>-12.958852748483118</v>
      </c>
      <c r="J80" s="109">
        <f t="shared" si="25"/>
        <v>3.6388022953699042</v>
      </c>
      <c r="K80" s="109">
        <f t="shared" si="25"/>
        <v>3.9351878857696074</v>
      </c>
      <c r="L80" s="109">
        <f t="shared" si="25"/>
        <v>-31.60785334338081</v>
      </c>
      <c r="M80" s="109">
        <f t="shared" si="25"/>
        <v>-13.622101038514185</v>
      </c>
      <c r="N80" s="109">
        <f t="shared" si="25"/>
        <v>-26.667616002592258</v>
      </c>
      <c r="O80" s="109">
        <f t="shared" si="25"/>
        <v>-24.589201562312496</v>
      </c>
    </row>
    <row r="82" spans="2:15" x14ac:dyDescent="0.25">
      <c r="B82" t="s">
        <v>1245</v>
      </c>
      <c r="C82" s="94">
        <f t="shared" ref="C82:O82" si="26">C27+C28+C29+C30+C44+C46+C47+C51+C52+C54</f>
        <v>12592967.197000001</v>
      </c>
      <c r="D82" s="94">
        <f t="shared" si="26"/>
        <v>10527717.014</v>
      </c>
      <c r="E82" s="94">
        <f t="shared" si="26"/>
        <v>10606676.136</v>
      </c>
      <c r="F82" s="94">
        <f t="shared" si="26"/>
        <v>12584763.676000001</v>
      </c>
      <c r="G82" s="94">
        <f t="shared" si="26"/>
        <v>14628804.918999998</v>
      </c>
      <c r="H82" s="94">
        <f t="shared" si="26"/>
        <v>15776642.932999996</v>
      </c>
      <c r="I82" s="94">
        <f t="shared" si="26"/>
        <v>22515911.008000005</v>
      </c>
      <c r="J82" s="94">
        <f t="shared" si="26"/>
        <v>20888029.627000004</v>
      </c>
      <c r="K82" s="94">
        <f t="shared" si="26"/>
        <v>22511929.970000003</v>
      </c>
      <c r="L82" s="94">
        <f t="shared" si="26"/>
        <v>30640705.438999999</v>
      </c>
      <c r="M82" s="94">
        <f t="shared" si="26"/>
        <v>23246424.173999999</v>
      </c>
      <c r="N82" s="94">
        <f t="shared" si="26"/>
        <v>42075529.211000003</v>
      </c>
      <c r="O82" s="94">
        <f t="shared" si="26"/>
        <v>24220437.80525</v>
      </c>
    </row>
    <row r="83" spans="2:15" x14ac:dyDescent="0.25">
      <c r="B83" t="s">
        <v>1246</v>
      </c>
      <c r="C83" s="94">
        <f t="shared" ref="C83:O83" si="27">C22</f>
        <v>104062218.00060666</v>
      </c>
      <c r="D83" s="94">
        <f t="shared" si="27"/>
        <v>84062144.402534768</v>
      </c>
      <c r="E83" s="94">
        <f t="shared" si="27"/>
        <v>70400864.017852664</v>
      </c>
      <c r="F83" s="94">
        <f t="shared" si="27"/>
        <v>77090598.801613629</v>
      </c>
      <c r="G83" s="94">
        <f t="shared" si="27"/>
        <v>85787443.724986285</v>
      </c>
      <c r="H83" s="94">
        <f t="shared" si="27"/>
        <v>121081074.10117428</v>
      </c>
      <c r="I83" s="94">
        <f t="shared" si="27"/>
        <v>120493197.82156266</v>
      </c>
      <c r="J83" s="94">
        <f t="shared" si="27"/>
        <v>155836840.031452</v>
      </c>
      <c r="K83" s="94">
        <f t="shared" si="27"/>
        <v>192008262.00978181</v>
      </c>
      <c r="L83" s="94">
        <f t="shared" si="27"/>
        <v>107271859.25847292</v>
      </c>
      <c r="M83" s="94">
        <f t="shared" si="27"/>
        <v>130536032.57213104</v>
      </c>
      <c r="N83" s="94">
        <f t="shared" si="27"/>
        <v>154595554.06400001</v>
      </c>
      <c r="O83" s="94">
        <f t="shared" si="27"/>
        <v>133711338.78492077</v>
      </c>
    </row>
    <row r="84" spans="2:15" x14ac:dyDescent="0.25">
      <c r="B84" t="s">
        <v>1247</v>
      </c>
      <c r="C84" s="94">
        <f t="shared" ref="C84:O84" si="28">C8-C83</f>
        <v>29913205.855261341</v>
      </c>
      <c r="D84" s="94">
        <f t="shared" si="28"/>
        <v>25382013.182832137</v>
      </c>
      <c r="E84" s="94">
        <f t="shared" si="28"/>
        <v>17366778.632476315</v>
      </c>
      <c r="F84" s="94">
        <f t="shared" si="28"/>
        <v>15988006.424254358</v>
      </c>
      <c r="G84" s="94">
        <f t="shared" si="28"/>
        <v>21622581.819403723</v>
      </c>
      <c r="H84" s="94">
        <f t="shared" si="28"/>
        <v>25000676.086237684</v>
      </c>
      <c r="I84" s="94">
        <f t="shared" si="28"/>
        <v>6109636.1749813408</v>
      </c>
      <c r="J84" s="94">
        <f t="shared" si="28"/>
        <v>26781907.296546996</v>
      </c>
      <c r="K84" s="94">
        <f t="shared" si="28"/>
        <v>29956493.020635158</v>
      </c>
      <c r="L84" s="94">
        <f t="shared" si="28"/>
        <v>-3071346.8926429302</v>
      </c>
      <c r="M84" s="94">
        <f t="shared" si="28"/>
        <v>4644402.0081689656</v>
      </c>
      <c r="N84" s="94">
        <f t="shared" si="28"/>
        <v>1342227.8651694059</v>
      </c>
      <c r="O84" s="94">
        <f t="shared" si="28"/>
        <v>-7243414.9084157497</v>
      </c>
    </row>
    <row r="85" spans="2:15" x14ac:dyDescent="0.25">
      <c r="B85" s="113" t="s">
        <v>1248</v>
      </c>
      <c r="C85" s="114">
        <f t="shared" ref="C85:O85" si="29">C84/C8</f>
        <v>0.22327382884373065</v>
      </c>
      <c r="D85" s="114">
        <f t="shared" si="29"/>
        <v>0.23191747958801784</v>
      </c>
      <c r="E85" s="114">
        <f t="shared" si="29"/>
        <v>0.1978722238406983</v>
      </c>
      <c r="F85" s="114">
        <f t="shared" si="29"/>
        <v>0.17176886552454529</v>
      </c>
      <c r="G85" s="114">
        <f t="shared" si="29"/>
        <v>0.20130878574707745</v>
      </c>
      <c r="H85" s="114">
        <f t="shared" si="29"/>
        <v>0.17114167960175508</v>
      </c>
      <c r="I85" s="114">
        <f t="shared" si="29"/>
        <v>4.8258289187650578E-2</v>
      </c>
      <c r="J85" s="114">
        <f t="shared" si="29"/>
        <v>0.14665475307660711</v>
      </c>
      <c r="K85" s="114">
        <f t="shared" si="29"/>
        <v>0.13496058424469265</v>
      </c>
      <c r="L85" s="114">
        <f t="shared" si="29"/>
        <v>-2.9475353075616002E-2</v>
      </c>
      <c r="M85" s="114">
        <f t="shared" si="29"/>
        <v>3.4357057828587563E-2</v>
      </c>
      <c r="N85" s="114">
        <f t="shared" si="29"/>
        <v>8.607457721689778E-3</v>
      </c>
      <c r="O85" s="114">
        <f t="shared" si="29"/>
        <v>-5.727471983717302E-2</v>
      </c>
    </row>
    <row r="86" spans="2:15" x14ac:dyDescent="0.25">
      <c r="B86" s="85" t="s">
        <v>1249</v>
      </c>
      <c r="C86" s="115">
        <f t="shared" ref="C86:O86" si="30">C82/C85</f>
        <v>56401447.774758317</v>
      </c>
      <c r="D86" s="115">
        <f t="shared" si="30"/>
        <v>45394236.918673038</v>
      </c>
      <c r="E86" s="115">
        <f t="shared" si="30"/>
        <v>53603663.668020196</v>
      </c>
      <c r="F86" s="115">
        <f t="shared" si="30"/>
        <v>73265685.475472122</v>
      </c>
      <c r="G86" s="115">
        <f t="shared" si="30"/>
        <v>72668487.193497345</v>
      </c>
      <c r="H86" s="115">
        <f t="shared" si="30"/>
        <v>92184691.477330834</v>
      </c>
      <c r="I86" s="115">
        <f t="shared" si="30"/>
        <v>466570850.04500914</v>
      </c>
      <c r="J86" s="115">
        <f t="shared" si="30"/>
        <v>142429953.26642334</v>
      </c>
      <c r="K86" s="115">
        <f t="shared" si="30"/>
        <v>166803738.26171613</v>
      </c>
      <c r="L86" s="115">
        <f t="shared" si="30"/>
        <v>-1039536502.2564583</v>
      </c>
      <c r="M86" s="115">
        <f t="shared" si="30"/>
        <v>676612773.13033736</v>
      </c>
      <c r="N86" s="115">
        <f t="shared" si="30"/>
        <v>4888264406.4547224</v>
      </c>
      <c r="O86" s="115">
        <f t="shared" si="30"/>
        <v>-422881820.70740056</v>
      </c>
    </row>
    <row r="87" spans="2:15" x14ac:dyDescent="0.25">
      <c r="B87" s="85" t="s">
        <v>1250</v>
      </c>
      <c r="C87" s="115">
        <f t="shared" ref="C87:O87" si="31">C86/C7</f>
        <v>9698.0222059589214</v>
      </c>
      <c r="D87" s="115">
        <f t="shared" si="31"/>
        <v>13034.586047167448</v>
      </c>
      <c r="E87" s="115">
        <f t="shared" si="31"/>
        <v>19552.395812941049</v>
      </c>
      <c r="F87" s="115">
        <f t="shared" si="31"/>
        <v>23242.603984771587</v>
      </c>
      <c r="G87" s="115">
        <f t="shared" si="31"/>
        <v>19492.821479255294</v>
      </c>
      <c r="H87" s="115">
        <f t="shared" si="31"/>
        <v>24071.35081481106</v>
      </c>
      <c r="I87" s="115">
        <f t="shared" si="31"/>
        <v>135438.87422355969</v>
      </c>
      <c r="J87" s="115">
        <f t="shared" si="31"/>
        <v>29329.291055555605</v>
      </c>
      <c r="K87" s="115">
        <f t="shared" si="31"/>
        <v>28028.980676832824</v>
      </c>
      <c r="L87" s="115">
        <f t="shared" si="31"/>
        <v>-241017.64749334718</v>
      </c>
      <c r="M87" s="115">
        <f t="shared" si="31"/>
        <v>178697.6739740386</v>
      </c>
      <c r="N87" s="115">
        <f t="shared" si="31"/>
        <v>1415623.1389218953</v>
      </c>
      <c r="O87" s="115" t="e">
        <f t="shared" si="31"/>
        <v>#VALUE!</v>
      </c>
    </row>
  </sheetData>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G63"/>
  <sheetViews>
    <sheetView showGridLines="0" workbookViewId="0">
      <pane xSplit="2" ySplit="5" topLeftCell="C6" activePane="bottomRight" state="frozen"/>
      <selection pane="topRight"/>
      <selection pane="bottomLeft"/>
      <selection pane="bottomRight"/>
    </sheetView>
  </sheetViews>
  <sheetFormatPr defaultRowHeight="15" x14ac:dyDescent="0.25"/>
  <cols>
    <col min="1" max="1" width="6" customWidth="1"/>
    <col min="2" max="2" width="26.7109375" customWidth="1"/>
    <col min="3" max="3" width="12.42578125" customWidth="1"/>
    <col min="5" max="5" width="11.42578125" customWidth="1"/>
    <col min="6" max="6" width="5.42578125" customWidth="1"/>
    <col min="7" max="7" width="12.42578125" customWidth="1"/>
    <col min="9" max="9" width="12.140625" customWidth="1"/>
    <col min="10" max="10" width="5.42578125" customWidth="1"/>
    <col min="11" max="11" width="12.42578125" customWidth="1"/>
    <col min="13" max="13" width="12.140625" customWidth="1"/>
    <col min="14" max="14" width="5.42578125" customWidth="1"/>
    <col min="15" max="15" width="11.42578125" customWidth="1"/>
    <col min="16" max="16" width="11.85546875" customWidth="1"/>
    <col min="17" max="17" width="12.28515625" customWidth="1"/>
    <col min="18" max="18" width="4.5703125" customWidth="1"/>
    <col min="19" max="19" width="12.42578125" customWidth="1"/>
    <col min="21" max="21" width="11.42578125" customWidth="1"/>
    <col min="22" max="22" width="5.42578125" customWidth="1"/>
    <col min="23" max="23" width="12.42578125" customWidth="1"/>
    <col min="25" max="25" width="12.140625" customWidth="1"/>
    <col min="26" max="26" width="5.42578125" customWidth="1"/>
    <col min="27" max="27" width="12.42578125" customWidth="1"/>
    <col min="29" max="29" width="12.140625" customWidth="1"/>
    <col min="30" max="30" width="5.42578125" customWidth="1"/>
    <col min="31" max="31" width="11.42578125" customWidth="1"/>
    <col min="32" max="32" width="11.85546875" customWidth="1"/>
    <col min="33" max="33" width="12.28515625" customWidth="1"/>
    <col min="34" max="34" width="8.85546875" customWidth="1"/>
  </cols>
  <sheetData>
    <row r="1" spans="1:33" x14ac:dyDescent="0.25">
      <c r="A1" s="46" t="s">
        <v>1251</v>
      </c>
    </row>
    <row r="2" spans="1:33" x14ac:dyDescent="0.25">
      <c r="A2" s="46" t="s">
        <v>1226</v>
      </c>
      <c r="E2" s="116"/>
      <c r="I2" s="116"/>
      <c r="M2" s="116"/>
      <c r="U2" s="116"/>
      <c r="Y2" s="116"/>
      <c r="AC2" s="116"/>
    </row>
    <row r="3" spans="1:33" x14ac:dyDescent="0.25">
      <c r="A3" s="46" t="str">
        <f>BS!A3</f>
        <v>31 December 2025</v>
      </c>
    </row>
    <row r="4" spans="1:33" x14ac:dyDescent="0.25">
      <c r="A4" s="71"/>
      <c r="C4" s="81" t="s">
        <v>1252</v>
      </c>
      <c r="D4" s="81"/>
      <c r="E4" s="81"/>
      <c r="G4" s="81" t="s">
        <v>1253</v>
      </c>
      <c r="H4" s="81"/>
      <c r="I4" s="81"/>
      <c r="K4" s="81" t="s">
        <v>1254</v>
      </c>
      <c r="L4" s="81"/>
      <c r="M4" s="81"/>
      <c r="O4" s="81" t="s">
        <v>1255</v>
      </c>
      <c r="P4" s="81"/>
      <c r="Q4" s="81"/>
      <c r="S4" s="81" t="s">
        <v>1256</v>
      </c>
      <c r="T4" s="81"/>
      <c r="U4" s="81"/>
      <c r="W4" s="81" t="s">
        <v>1257</v>
      </c>
      <c r="X4" s="81"/>
      <c r="Y4" s="81"/>
      <c r="AA4" s="81" t="s">
        <v>1258</v>
      </c>
      <c r="AB4" s="81"/>
      <c r="AC4" s="81"/>
      <c r="AE4" s="81" t="s">
        <v>1259</v>
      </c>
      <c r="AF4" s="81"/>
      <c r="AG4" s="81"/>
    </row>
    <row r="5" spans="1:33" x14ac:dyDescent="0.25">
      <c r="C5" s="117" t="s">
        <v>441</v>
      </c>
      <c r="D5" s="117" t="s">
        <v>1251</v>
      </c>
      <c r="E5" s="117" t="s">
        <v>1260</v>
      </c>
      <c r="G5" s="117" t="s">
        <v>441</v>
      </c>
      <c r="H5" s="117" t="s">
        <v>1251</v>
      </c>
      <c r="I5" s="117" t="s">
        <v>1260</v>
      </c>
      <c r="K5" s="117" t="s">
        <v>441</v>
      </c>
      <c r="L5" s="117" t="s">
        <v>1251</v>
      </c>
      <c r="M5" s="117" t="s">
        <v>1260</v>
      </c>
      <c r="O5" s="117" t="s">
        <v>441</v>
      </c>
      <c r="P5" s="117" t="s">
        <v>1251</v>
      </c>
      <c r="Q5" s="117" t="s">
        <v>1260</v>
      </c>
      <c r="S5" s="117" t="s">
        <v>441</v>
      </c>
      <c r="T5" s="117" t="s">
        <v>1251</v>
      </c>
      <c r="U5" s="117" t="s">
        <v>1260</v>
      </c>
      <c r="W5" s="117" t="s">
        <v>441</v>
      </c>
      <c r="X5" s="117" t="s">
        <v>1251</v>
      </c>
      <c r="Y5" s="117" t="s">
        <v>1260</v>
      </c>
      <c r="AA5" s="117" t="s">
        <v>441</v>
      </c>
      <c r="AB5" s="117" t="s">
        <v>1251</v>
      </c>
      <c r="AC5" s="117" t="s">
        <v>1260</v>
      </c>
      <c r="AE5" s="117" t="s">
        <v>441</v>
      </c>
      <c r="AF5" s="117" t="s">
        <v>1251</v>
      </c>
      <c r="AG5" s="117" t="s">
        <v>1260</v>
      </c>
    </row>
    <row r="6" spans="1:33" ht="19.899999999999999" customHeight="1" x14ac:dyDescent="0.25">
      <c r="A6" s="85" t="s">
        <v>641</v>
      </c>
      <c r="C6" s="117" t="e">
        <f>SUM(D6:E6)</f>
        <v>#REF!</v>
      </c>
      <c r="D6" s="117" t="e">
        <f>-SUMIF(#REF!,A6,#REF!)</f>
        <v>#REF!</v>
      </c>
      <c r="E6" s="117" t="e">
        <f>-SUMIF(#REF!,A6,#REF!)</f>
        <v>#REF!</v>
      </c>
      <c r="G6" s="117" t="e">
        <f>SUM(H6:I6)</f>
        <v>#REF!</v>
      </c>
      <c r="H6" s="117" t="e">
        <f>-SUMIF(ALIF_Y2016!I:I,A6,ALIF_Y2016!F:F)-D6</f>
        <v>#REF!</v>
      </c>
      <c r="I6" s="117" t="e">
        <f>-SUMIF(#REF!,A6,#REF!)-E6</f>
        <v>#REF!</v>
      </c>
      <c r="K6" s="117" t="e">
        <f>SUM(L6:M6)</f>
        <v>#REF!</v>
      </c>
      <c r="L6" s="117" t="e">
        <f>D6+H6</f>
        <v>#REF!</v>
      </c>
      <c r="M6" s="117" t="e">
        <f>E6+I6</f>
        <v>#REF!</v>
      </c>
      <c r="O6" s="117" t="e">
        <f>SUM(P6:Q6)</f>
        <v>#REF!</v>
      </c>
      <c r="P6" s="117" t="e">
        <f>-SUMIF(#REF!,A6,#REF!)</f>
        <v>#REF!</v>
      </c>
      <c r="Q6" s="117" t="e">
        <f>-SUMIF(#REF!,A6,#REF!)</f>
        <v>#REF!</v>
      </c>
      <c r="S6" s="117" t="e">
        <f>SUM(T6:U6)</f>
        <v>#REF!</v>
      </c>
      <c r="T6" s="117" t="e">
        <f>-SUMIF(#REF!,Q6,#REF!)</f>
        <v>#REF!</v>
      </c>
      <c r="U6" s="117" t="e">
        <f>-SUMIF(#REF!,Q6,#REF!)</f>
        <v>#REF!</v>
      </c>
      <c r="W6" s="117" t="e">
        <f>SUM(X6:Y6)</f>
        <v>#REF!</v>
      </c>
      <c r="X6" s="117" t="e">
        <f>-SUMIF(ALIF_Y2016!Y:Y,Q6,ALIF_Y2016!V:V)-T6</f>
        <v>#REF!</v>
      </c>
      <c r="Y6" s="117" t="e">
        <f>-SUMIF(#REF!,Q6,#REF!)-U6</f>
        <v>#REF!</v>
      </c>
      <c r="AA6" s="117" t="e">
        <f>SUM(AB6:AC6)</f>
        <v>#REF!</v>
      </c>
      <c r="AB6" s="117" t="e">
        <f>T6+X6</f>
        <v>#REF!</v>
      </c>
      <c r="AC6" s="117" t="e">
        <f>U6+Y6</f>
        <v>#REF!</v>
      </c>
      <c r="AE6" s="117" t="e">
        <f>SUM(AF6:AG6)</f>
        <v>#REF!</v>
      </c>
      <c r="AF6" s="117" t="e">
        <f>-SUMIF(#REF!,Q6,#REF!)</f>
        <v>#REF!</v>
      </c>
      <c r="AG6" s="117" t="e">
        <f>-SUMIF(#REF!,Q6,#REF!)</f>
        <v>#REF!</v>
      </c>
    </row>
    <row r="7" spans="1:33" ht="6.6" customHeight="1" x14ac:dyDescent="0.25">
      <c r="A7" s="85"/>
      <c r="C7" s="117"/>
      <c r="D7" s="117"/>
      <c r="E7" s="117"/>
      <c r="G7" s="117"/>
      <c r="H7" s="117"/>
      <c r="I7" s="117"/>
      <c r="K7" s="117"/>
      <c r="L7" s="117"/>
      <c r="M7" s="117"/>
      <c r="O7" s="117"/>
      <c r="P7" s="117"/>
      <c r="Q7" s="117"/>
      <c r="S7" s="117"/>
      <c r="T7" s="117"/>
      <c r="U7" s="117"/>
      <c r="W7" s="117"/>
      <c r="X7" s="117"/>
      <c r="Y7" s="117"/>
      <c r="AA7" s="117"/>
      <c r="AB7" s="117"/>
      <c r="AC7" s="117"/>
      <c r="AE7" s="117"/>
      <c r="AF7" s="117"/>
      <c r="AG7" s="117"/>
    </row>
    <row r="8" spans="1:33" x14ac:dyDescent="0.25">
      <c r="B8" t="s">
        <v>643</v>
      </c>
      <c r="C8" s="82" t="e">
        <f>SUM(D8:E8)</f>
        <v>#REF!</v>
      </c>
      <c r="D8" s="88" t="e">
        <f>SUMIF(#REF!,B8,#REF!)</f>
        <v>#REF!</v>
      </c>
      <c r="E8" s="88" t="e">
        <f>SUMIF(#REF!,B8,#REF!)</f>
        <v>#REF!</v>
      </c>
      <c r="G8" s="82" t="e">
        <f>SUM(H8:I8)</f>
        <v>#REF!</v>
      </c>
      <c r="H8" s="88" t="e">
        <f>SUMIF(ALIF_Y2016!I:I,B8,ALIF_Y2016!F:F)-D8</f>
        <v>#REF!</v>
      </c>
      <c r="I8" s="88" t="e">
        <f>SUMIF(#REF!,B8,#REF!)-E8</f>
        <v>#REF!</v>
      </c>
      <c r="K8" s="82" t="e">
        <f>SUM(L8:M8)</f>
        <v>#REF!</v>
      </c>
      <c r="L8" s="88" t="e">
        <f t="shared" ref="L8:M10" si="0">D8+H8</f>
        <v>#REF!</v>
      </c>
      <c r="M8" s="88" t="e">
        <f t="shared" si="0"/>
        <v>#REF!</v>
      </c>
      <c r="O8" s="82" t="e">
        <f>SUM(P8:Q8)</f>
        <v>#REF!</v>
      </c>
      <c r="P8" s="88" t="e">
        <f>SUMIF(#REF!,B8,#REF!)</f>
        <v>#REF!</v>
      </c>
      <c r="Q8" s="88" t="e">
        <f>SUMIF(#REF!,B8,#REF!)</f>
        <v>#REF!</v>
      </c>
      <c r="S8" s="82" t="e">
        <f>SUM(T8:U8)</f>
        <v>#REF!</v>
      </c>
      <c r="T8" s="88" t="e">
        <f>SUMIF(#REF!,R8,#REF!)</f>
        <v>#REF!</v>
      </c>
      <c r="U8" s="88" t="e">
        <f>SUMIF(#REF!,R8,#REF!)</f>
        <v>#REF!</v>
      </c>
      <c r="W8" s="82" t="e">
        <f>SUM(X8:Y8)</f>
        <v>#REF!</v>
      </c>
      <c r="X8" s="88" t="e">
        <f>SUMIF(ALIF_Y2016!Y:Y,R8,ALIF_Y2016!V:V)-T8</f>
        <v>#REF!</v>
      </c>
      <c r="Y8" s="88" t="e">
        <f>SUMIF(#REF!,R8,#REF!)-U8</f>
        <v>#REF!</v>
      </c>
      <c r="AA8" s="82" t="e">
        <f>SUM(AB8:AC8)</f>
        <v>#REF!</v>
      </c>
      <c r="AB8" s="88" t="e">
        <f t="shared" ref="AB8:AC10" si="1">T8+X8</f>
        <v>#REF!</v>
      </c>
      <c r="AC8" s="88" t="e">
        <f t="shared" si="1"/>
        <v>#REF!</v>
      </c>
      <c r="AE8" s="82" t="e">
        <f>SUM(AF8:AG8)</f>
        <v>#REF!</v>
      </c>
      <c r="AF8" s="88" t="e">
        <f>SUMIF(#REF!,R8,#REF!)</f>
        <v>#REF!</v>
      </c>
      <c r="AG8" s="88" t="e">
        <f>SUMIF(#REF!,R8,#REF!)</f>
        <v>#REF!</v>
      </c>
    </row>
    <row r="9" spans="1:33" x14ac:dyDescent="0.25">
      <c r="B9" t="s">
        <v>645</v>
      </c>
      <c r="C9" s="82" t="e">
        <f>SUM(D9:E9)</f>
        <v>#REF!</v>
      </c>
      <c r="D9" s="88" t="e">
        <f>SUMIF(#REF!,B9,#REF!)</f>
        <v>#REF!</v>
      </c>
      <c r="E9" s="88" t="e">
        <f>SUMIF(#REF!,B9,#REF!)</f>
        <v>#REF!</v>
      </c>
      <c r="G9" s="82" t="e">
        <f>SUM(H9:I9)</f>
        <v>#REF!</v>
      </c>
      <c r="H9" s="88" t="e">
        <f>SUMIF(ALIF_Y2016!I:I,B9,ALIF_Y2016!F:F)-D9</f>
        <v>#REF!</v>
      </c>
      <c r="I9" s="88" t="e">
        <f>SUMIF(#REF!,B9,#REF!)-E9</f>
        <v>#REF!</v>
      </c>
      <c r="K9" s="82" t="e">
        <f>SUM(L9:M9)</f>
        <v>#REF!</v>
      </c>
      <c r="L9" s="88" t="e">
        <f t="shared" si="0"/>
        <v>#REF!</v>
      </c>
      <c r="M9" s="88" t="e">
        <f t="shared" si="0"/>
        <v>#REF!</v>
      </c>
      <c r="O9" s="82" t="e">
        <f>SUM(P9:Q9)</f>
        <v>#REF!</v>
      </c>
      <c r="P9" s="88" t="e">
        <f>SUMIF(#REF!,B9,#REF!)</f>
        <v>#REF!</v>
      </c>
      <c r="Q9" s="88" t="e">
        <f>SUMIF(#REF!,B9,#REF!)</f>
        <v>#REF!</v>
      </c>
      <c r="S9" s="82" t="e">
        <f>SUM(T9:U9)</f>
        <v>#REF!</v>
      </c>
      <c r="T9" s="88" t="e">
        <f>SUMIF(#REF!,R9,#REF!)</f>
        <v>#REF!</v>
      </c>
      <c r="U9" s="88" t="e">
        <f>SUMIF(#REF!,R9,#REF!)</f>
        <v>#REF!</v>
      </c>
      <c r="W9" s="82" t="e">
        <f>SUM(X9:Y9)</f>
        <v>#REF!</v>
      </c>
      <c r="X9" s="88" t="e">
        <f>SUMIF(ALIF_Y2016!Y:Y,R9,ALIF_Y2016!V:V)-T9</f>
        <v>#REF!</v>
      </c>
      <c r="Y9" s="88" t="e">
        <f>SUMIF(#REF!,R9,#REF!)-U9</f>
        <v>#REF!</v>
      </c>
      <c r="AA9" s="82" t="e">
        <f>SUM(AB9:AC9)</f>
        <v>#REF!</v>
      </c>
      <c r="AB9" s="88" t="e">
        <f t="shared" si="1"/>
        <v>#REF!</v>
      </c>
      <c r="AC9" s="88" t="e">
        <f t="shared" si="1"/>
        <v>#REF!</v>
      </c>
      <c r="AE9" s="82" t="e">
        <f>SUM(AF9:AG9)</f>
        <v>#REF!</v>
      </c>
      <c r="AF9" s="88" t="e">
        <f>SUMIF(#REF!,R9,#REF!)</f>
        <v>#REF!</v>
      </c>
      <c r="AG9" s="88" t="e">
        <f>SUMIF(#REF!,R9,#REF!)</f>
        <v>#REF!</v>
      </c>
    </row>
    <row r="10" spans="1:33" x14ac:dyDescent="0.25">
      <c r="B10" t="s">
        <v>1261</v>
      </c>
      <c r="C10" s="82" t="e">
        <f>SUM(D10:E10)</f>
        <v>#REF!</v>
      </c>
      <c r="D10" s="94" t="e">
        <f>SUMIF(#REF!,B10,#REF!)</f>
        <v>#REF!</v>
      </c>
      <c r="E10" s="94" t="e">
        <f>SUMIF(#REF!,B10,#REF!)</f>
        <v>#REF!</v>
      </c>
      <c r="G10" s="82" t="e">
        <f>SUM(H10:I10)</f>
        <v>#REF!</v>
      </c>
      <c r="H10" s="94" t="e">
        <f>SUMIF(ALIF_Y2016!I:I,B10,ALIF_Y2016!F:F)-D10</f>
        <v>#REF!</v>
      </c>
      <c r="I10" s="94" t="e">
        <f>SUMIF(#REF!,B10,#REF!)-E10</f>
        <v>#REF!</v>
      </c>
      <c r="K10" s="82" t="e">
        <f>SUM(L10:M10)</f>
        <v>#REF!</v>
      </c>
      <c r="L10" s="94" t="e">
        <f t="shared" si="0"/>
        <v>#REF!</v>
      </c>
      <c r="M10" s="94" t="e">
        <f t="shared" si="0"/>
        <v>#REF!</v>
      </c>
      <c r="O10" s="82" t="e">
        <f>SUM(P10:Q10)</f>
        <v>#REF!</v>
      </c>
      <c r="P10" s="94" t="e">
        <f>SUMIF(#REF!,B10,#REF!)</f>
        <v>#REF!</v>
      </c>
      <c r="Q10" s="94" t="e">
        <f>SUMIF(#REF!,B10,#REF!)</f>
        <v>#REF!</v>
      </c>
      <c r="S10" s="82" t="e">
        <f>SUM(T10:U10)</f>
        <v>#REF!</v>
      </c>
      <c r="T10" s="94" t="e">
        <f>SUMIF(#REF!,R10,#REF!)</f>
        <v>#REF!</v>
      </c>
      <c r="U10" s="94" t="e">
        <f>SUMIF(#REF!,R10,#REF!)</f>
        <v>#REF!</v>
      </c>
      <c r="W10" s="82" t="e">
        <f>SUM(X10:Y10)</f>
        <v>#REF!</v>
      </c>
      <c r="X10" s="94" t="e">
        <f>SUMIF(ALIF_Y2016!Y:Y,R10,ALIF_Y2016!V:V)-T10</f>
        <v>#REF!</v>
      </c>
      <c r="Y10" s="94" t="e">
        <f>SUMIF(#REF!,R10,#REF!)-U10</f>
        <v>#REF!</v>
      </c>
      <c r="AA10" s="82" t="e">
        <f>SUM(AB10:AC10)</f>
        <v>#REF!</v>
      </c>
      <c r="AB10" s="94" t="e">
        <f t="shared" si="1"/>
        <v>#REF!</v>
      </c>
      <c r="AC10" s="94" t="e">
        <f t="shared" si="1"/>
        <v>#REF!</v>
      </c>
      <c r="AE10" s="82" t="e">
        <f>SUM(AF10:AG10)</f>
        <v>#REF!</v>
      </c>
      <c r="AF10" s="94" t="e">
        <f>SUMIF(#REF!,R10,#REF!)</f>
        <v>#REF!</v>
      </c>
      <c r="AG10" s="94" t="e">
        <f>SUMIF(#REF!,R10,#REF!)</f>
        <v>#REF!</v>
      </c>
    </row>
    <row r="11" spans="1:33" ht="5.45" customHeight="1" x14ac:dyDescent="0.25">
      <c r="C11" s="86"/>
      <c r="D11" s="96"/>
      <c r="E11" s="96"/>
      <c r="G11" s="86"/>
      <c r="H11" s="96"/>
      <c r="I11" s="96"/>
      <c r="K11" s="86"/>
      <c r="L11" s="96"/>
      <c r="M11" s="96"/>
      <c r="O11" s="86"/>
      <c r="P11" s="96"/>
      <c r="Q11" s="96"/>
      <c r="S11" s="86"/>
      <c r="T11" s="96"/>
      <c r="U11" s="96"/>
      <c r="W11" s="86"/>
      <c r="X11" s="96"/>
      <c r="Y11" s="96"/>
      <c r="AA11" s="86"/>
      <c r="AB11" s="96"/>
      <c r="AC11" s="96"/>
      <c r="AE11" s="86"/>
      <c r="AF11" s="96"/>
      <c r="AG11" s="96"/>
    </row>
    <row r="12" spans="1:33" x14ac:dyDescent="0.25">
      <c r="A12" s="85" t="s">
        <v>1231</v>
      </c>
      <c r="C12" s="97" t="e">
        <f>SUM(C8:C11)</f>
        <v>#REF!</v>
      </c>
      <c r="D12" s="97" t="e">
        <f>SUM(D8:D11)</f>
        <v>#REF!</v>
      </c>
      <c r="E12" s="97" t="e">
        <f>SUM(E8:E11)</f>
        <v>#REF!</v>
      </c>
      <c r="G12" s="97" t="e">
        <f>SUM(G8:G11)</f>
        <v>#REF!</v>
      </c>
      <c r="H12" s="97" t="e">
        <f>SUM(H8:H11)</f>
        <v>#REF!</v>
      </c>
      <c r="I12" s="97" t="e">
        <f>SUM(I8:I11)</f>
        <v>#REF!</v>
      </c>
      <c r="K12" s="97" t="e">
        <f>SUM(K8:K11)</f>
        <v>#REF!</v>
      </c>
      <c r="L12" s="97" t="e">
        <f>SUM(L8:L11)</f>
        <v>#REF!</v>
      </c>
      <c r="M12" s="97" t="e">
        <f>SUM(M8:M11)</f>
        <v>#REF!</v>
      </c>
      <c r="O12" s="97" t="e">
        <f>SUM(O8:O11)</f>
        <v>#REF!</v>
      </c>
      <c r="P12" s="97" t="e">
        <f>SUM(P8:P11)</f>
        <v>#REF!</v>
      </c>
      <c r="Q12" s="97" t="e">
        <f>SUM(Q8:Q11)</f>
        <v>#REF!</v>
      </c>
      <c r="S12" s="97" t="e">
        <f>SUM(S8:S11)</f>
        <v>#REF!</v>
      </c>
      <c r="T12" s="97" t="e">
        <f>SUM(T8:T11)</f>
        <v>#REF!</v>
      </c>
      <c r="U12" s="97" t="e">
        <f>SUM(U8:U11)</f>
        <v>#REF!</v>
      </c>
      <c r="W12" s="97" t="e">
        <f>SUM(W8:W11)</f>
        <v>#REF!</v>
      </c>
      <c r="X12" s="97" t="e">
        <f>SUM(X8:X11)</f>
        <v>#REF!</v>
      </c>
      <c r="Y12" s="97" t="e">
        <f>SUM(Y8:Y11)</f>
        <v>#REF!</v>
      </c>
      <c r="AA12" s="97" t="e">
        <f>SUM(AA8:AA11)</f>
        <v>#REF!</v>
      </c>
      <c r="AB12" s="97" t="e">
        <f>SUM(AB8:AB11)</f>
        <v>#REF!</v>
      </c>
      <c r="AC12" s="97" t="e">
        <f>SUM(AC8:AC11)</f>
        <v>#REF!</v>
      </c>
      <c r="AE12" s="97" t="e">
        <f>SUM(AE8:AE11)</f>
        <v>#REF!</v>
      </c>
      <c r="AF12" s="97" t="e">
        <f>SUM(AF8:AF11)</f>
        <v>#REF!</v>
      </c>
      <c r="AG12" s="97" t="e">
        <f>SUM(AG8:AG11)</f>
        <v>#REF!</v>
      </c>
    </row>
    <row r="13" spans="1:33" ht="8.4499999999999993" customHeight="1" x14ac:dyDescent="0.25">
      <c r="C13" s="90"/>
      <c r="D13" s="90"/>
      <c r="E13" s="90"/>
      <c r="G13" s="90"/>
      <c r="H13" s="90"/>
      <c r="I13" s="90"/>
      <c r="K13" s="90"/>
      <c r="L13" s="90"/>
      <c r="M13" s="90"/>
      <c r="O13" s="90"/>
      <c r="P13" s="90"/>
      <c r="Q13" s="90"/>
      <c r="S13" s="90"/>
      <c r="T13" s="90"/>
      <c r="U13" s="90"/>
      <c r="W13" s="90"/>
      <c r="X13" s="90"/>
      <c r="Y13" s="90"/>
      <c r="AA13" s="90"/>
      <c r="AB13" s="90"/>
      <c r="AC13" s="90"/>
      <c r="AE13" s="90"/>
      <c r="AF13" s="90"/>
      <c r="AG13" s="90"/>
    </row>
    <row r="14" spans="1:33" x14ac:dyDescent="0.25">
      <c r="A14" s="85" t="s">
        <v>1232</v>
      </c>
      <c r="C14" s="97" t="e">
        <f>C6-C12</f>
        <v>#REF!</v>
      </c>
      <c r="D14" s="97" t="e">
        <f>D6-D12</f>
        <v>#REF!</v>
      </c>
      <c r="E14" s="97" t="e">
        <f>E6-E12</f>
        <v>#REF!</v>
      </c>
      <c r="G14" s="97" t="e">
        <f>G6-G12</f>
        <v>#REF!</v>
      </c>
      <c r="H14" s="97" t="e">
        <f>H6-H12</f>
        <v>#REF!</v>
      </c>
      <c r="I14" s="97" t="e">
        <f>I6-I12</f>
        <v>#REF!</v>
      </c>
      <c r="K14" s="97" t="e">
        <f>K6-K12</f>
        <v>#REF!</v>
      </c>
      <c r="L14" s="97" t="e">
        <f>L6-L12</f>
        <v>#REF!</v>
      </c>
      <c r="M14" s="97" t="e">
        <f>M6-M12</f>
        <v>#REF!</v>
      </c>
      <c r="O14" s="97" t="e">
        <f>O6-O12</f>
        <v>#REF!</v>
      </c>
      <c r="P14" s="97" t="e">
        <f>P6-P12</f>
        <v>#REF!</v>
      </c>
      <c r="Q14" s="97" t="e">
        <f>Q6-Q12</f>
        <v>#REF!</v>
      </c>
      <c r="S14" s="97" t="e">
        <f>S6-S12</f>
        <v>#REF!</v>
      </c>
      <c r="T14" s="97" t="e">
        <f>T6-T12</f>
        <v>#REF!</v>
      </c>
      <c r="U14" s="97" t="e">
        <f>U6-U12</f>
        <v>#REF!</v>
      </c>
      <c r="W14" s="97" t="e">
        <f>W6-W12</f>
        <v>#REF!</v>
      </c>
      <c r="X14" s="97" t="e">
        <f>X6-X12</f>
        <v>#REF!</v>
      </c>
      <c r="Y14" s="97" t="e">
        <f>Y6-Y12</f>
        <v>#REF!</v>
      </c>
      <c r="AA14" s="97" t="e">
        <f>AA6-AA12</f>
        <v>#REF!</v>
      </c>
      <c r="AB14" s="97" t="e">
        <f>AB6-AB12</f>
        <v>#REF!</v>
      </c>
      <c r="AC14" s="97" t="e">
        <f>AC6-AC12</f>
        <v>#REF!</v>
      </c>
      <c r="AE14" s="97" t="e">
        <f>AE6-AE12</f>
        <v>#REF!</v>
      </c>
      <c r="AF14" s="97" t="e">
        <f>AF6-AF12</f>
        <v>#REF!</v>
      </c>
      <c r="AG14" s="97" t="e">
        <f>AG6-AG12</f>
        <v>#REF!</v>
      </c>
    </row>
    <row r="15" spans="1:33" ht="12" customHeight="1" x14ac:dyDescent="0.25">
      <c r="C15" s="93" t="e">
        <f>C14/C6</f>
        <v>#REF!</v>
      </c>
      <c r="D15" s="93" t="e">
        <f>D14/D6</f>
        <v>#REF!</v>
      </c>
      <c r="E15" s="93" t="e">
        <f>E14/E6</f>
        <v>#REF!</v>
      </c>
      <c r="G15" s="93" t="e">
        <f>G14/G6</f>
        <v>#REF!</v>
      </c>
      <c r="H15" s="93" t="e">
        <f>H14/H6</f>
        <v>#REF!</v>
      </c>
      <c r="I15" s="93" t="e">
        <f>I14/I6</f>
        <v>#REF!</v>
      </c>
      <c r="K15" s="93" t="e">
        <f>K14/K6</f>
        <v>#REF!</v>
      </c>
      <c r="L15" s="93" t="e">
        <f>L14/L6</f>
        <v>#REF!</v>
      </c>
      <c r="M15" s="93" t="e">
        <f>M14/M6</f>
        <v>#REF!</v>
      </c>
      <c r="O15" s="93" t="e">
        <f>O14/O6</f>
        <v>#REF!</v>
      </c>
      <c r="P15" s="93" t="e">
        <f>P14/P6</f>
        <v>#REF!</v>
      </c>
      <c r="Q15" s="93" t="e">
        <f>Q14/Q6</f>
        <v>#REF!</v>
      </c>
      <c r="S15" s="93" t="e">
        <f>S14/S6</f>
        <v>#REF!</v>
      </c>
      <c r="T15" s="93" t="e">
        <f>T14/T6</f>
        <v>#REF!</v>
      </c>
      <c r="U15" s="93" t="e">
        <f>U14/U6</f>
        <v>#REF!</v>
      </c>
      <c r="W15" s="93" t="e">
        <f>W14/W6</f>
        <v>#REF!</v>
      </c>
      <c r="X15" s="93" t="e">
        <f>X14/X6</f>
        <v>#REF!</v>
      </c>
      <c r="Y15" s="93" t="e">
        <f>Y14/Y6</f>
        <v>#REF!</v>
      </c>
      <c r="AA15" s="93" t="e">
        <f>AA14/AA6</f>
        <v>#REF!</v>
      </c>
      <c r="AB15" s="93" t="e">
        <f>AB14/AB6</f>
        <v>#REF!</v>
      </c>
      <c r="AC15" s="93" t="e">
        <f>AC14/AC6</f>
        <v>#REF!</v>
      </c>
      <c r="AE15" s="93" t="e">
        <f>AE14/AE6</f>
        <v>#REF!</v>
      </c>
      <c r="AF15" s="93" t="e">
        <f>AF14/AF6</f>
        <v>#REF!</v>
      </c>
      <c r="AG15" s="93" t="e">
        <f>AG14/AG6</f>
        <v>#REF!</v>
      </c>
    </row>
    <row r="17" spans="1:33" x14ac:dyDescent="0.25">
      <c r="B17" t="s">
        <v>647</v>
      </c>
      <c r="C17" s="94" t="e">
        <f t="shared" ref="C17:C22" si="2">SUM(D17:E17)</f>
        <v>#REF!</v>
      </c>
      <c r="D17" s="88" t="e">
        <f>SUMIF(#REF!,B17,#REF!)</f>
        <v>#REF!</v>
      </c>
      <c r="E17" s="88" t="e">
        <f>SUMIF(#REF!,B17,#REF!)</f>
        <v>#REF!</v>
      </c>
      <c r="G17" s="94" t="e">
        <f t="shared" ref="G17:G22" si="3">SUM(H17:I17)</f>
        <v>#REF!</v>
      </c>
      <c r="H17" s="88" t="e">
        <f>SUMIF(ALIF_Y2016!I:I,B17,ALIF_Y2016!F:F)-D17</f>
        <v>#REF!</v>
      </c>
      <c r="I17" s="88" t="e">
        <f>SUMIF(#REF!,B17,#REF!)-E17</f>
        <v>#REF!</v>
      </c>
      <c r="K17" s="94" t="e">
        <f t="shared" ref="K17:K22" si="4">SUM(L17:M17)</f>
        <v>#REF!</v>
      </c>
      <c r="L17" s="88" t="e">
        <f t="shared" ref="L17:M22" si="5">D17+H17</f>
        <v>#REF!</v>
      </c>
      <c r="M17" s="88" t="e">
        <f t="shared" si="5"/>
        <v>#REF!</v>
      </c>
      <c r="O17" s="94" t="e">
        <f t="shared" ref="O17:O22" si="6">SUM(P17:Q17)</f>
        <v>#REF!</v>
      </c>
      <c r="P17" s="88" t="e">
        <f>SUMIF(#REF!,B17,#REF!)</f>
        <v>#REF!</v>
      </c>
      <c r="Q17" s="88" t="e">
        <f>SUMIF(#REF!,B17,#REF!)</f>
        <v>#REF!</v>
      </c>
      <c r="S17" s="94" t="e">
        <f t="shared" ref="S17:S22" si="7">SUM(T17:U17)</f>
        <v>#REF!</v>
      </c>
      <c r="T17" s="88" t="e">
        <f>SUMIF(#REF!,R17,#REF!)</f>
        <v>#REF!</v>
      </c>
      <c r="U17" s="88" t="e">
        <f>SUMIF(#REF!,R17,#REF!)</f>
        <v>#REF!</v>
      </c>
      <c r="W17" s="94" t="e">
        <f t="shared" ref="W17:W22" si="8">SUM(X17:Y17)</f>
        <v>#REF!</v>
      </c>
      <c r="X17" s="88" t="e">
        <f>SUMIF(ALIF_Y2016!Y:Y,R17,ALIF_Y2016!V:V)-T17</f>
        <v>#REF!</v>
      </c>
      <c r="Y17" s="88" t="e">
        <f>SUMIF(#REF!,R17,#REF!)-U17</f>
        <v>#REF!</v>
      </c>
      <c r="AA17" s="94" t="e">
        <f t="shared" ref="AA17:AA22" si="9">SUM(AB17:AC17)</f>
        <v>#REF!</v>
      </c>
      <c r="AB17" s="88" t="e">
        <f t="shared" ref="AB17:AC22" si="10">T17+X17</f>
        <v>#REF!</v>
      </c>
      <c r="AC17" s="88" t="e">
        <f t="shared" si="10"/>
        <v>#REF!</v>
      </c>
      <c r="AE17" s="94" t="e">
        <f t="shared" ref="AE17:AE22" si="11">SUM(AF17:AG17)</f>
        <v>#REF!</v>
      </c>
      <c r="AF17" s="88" t="e">
        <f>SUMIF(#REF!,R17,#REF!)</f>
        <v>#REF!</v>
      </c>
      <c r="AG17" s="88" t="e">
        <f>SUMIF(#REF!,R17,#REF!)</f>
        <v>#REF!</v>
      </c>
    </row>
    <row r="18" spans="1:33" x14ac:dyDescent="0.25">
      <c r="B18" t="s">
        <v>648</v>
      </c>
      <c r="C18" s="94" t="e">
        <f t="shared" si="2"/>
        <v>#REF!</v>
      </c>
      <c r="D18" s="88" t="e">
        <f>SUMIF(#REF!,B18,#REF!)</f>
        <v>#REF!</v>
      </c>
      <c r="E18" s="88" t="e">
        <f>SUMIF(#REF!,B18,#REF!)</f>
        <v>#REF!</v>
      </c>
      <c r="G18" s="94" t="e">
        <f t="shared" si="3"/>
        <v>#REF!</v>
      </c>
      <c r="H18" s="88" t="e">
        <f>SUMIF(ALIF_Y2016!I:I,B18,ALIF_Y2016!F:F)-D18</f>
        <v>#REF!</v>
      </c>
      <c r="I18" s="88" t="e">
        <f>SUMIF(#REF!,B18,#REF!)-E18</f>
        <v>#REF!</v>
      </c>
      <c r="K18" s="94" t="e">
        <f t="shared" si="4"/>
        <v>#REF!</v>
      </c>
      <c r="L18" s="88" t="e">
        <f t="shared" si="5"/>
        <v>#REF!</v>
      </c>
      <c r="M18" s="88" t="e">
        <f t="shared" si="5"/>
        <v>#REF!</v>
      </c>
      <c r="O18" s="94" t="e">
        <f t="shared" si="6"/>
        <v>#REF!</v>
      </c>
      <c r="P18" s="88" t="e">
        <f>SUMIF(#REF!,B18,#REF!)</f>
        <v>#REF!</v>
      </c>
      <c r="Q18" s="88" t="e">
        <f>SUMIF(#REF!,B18,#REF!)</f>
        <v>#REF!</v>
      </c>
      <c r="S18" s="94" t="e">
        <f t="shared" si="7"/>
        <v>#REF!</v>
      </c>
      <c r="T18" s="88" t="e">
        <f>SUMIF(#REF!,R18,#REF!)</f>
        <v>#REF!</v>
      </c>
      <c r="U18" s="88" t="e">
        <f>SUMIF(#REF!,R18,#REF!)</f>
        <v>#REF!</v>
      </c>
      <c r="W18" s="94" t="e">
        <f t="shared" si="8"/>
        <v>#REF!</v>
      </c>
      <c r="X18" s="88" t="e">
        <f>SUMIF(ALIF_Y2016!Y:Y,R18,ALIF_Y2016!V:V)-T18</f>
        <v>#REF!</v>
      </c>
      <c r="Y18" s="88" t="e">
        <f>SUMIF(#REF!,R18,#REF!)-U18</f>
        <v>#REF!</v>
      </c>
      <c r="AA18" s="94" t="e">
        <f t="shared" si="9"/>
        <v>#REF!</v>
      </c>
      <c r="AB18" s="88" t="e">
        <f t="shared" si="10"/>
        <v>#REF!</v>
      </c>
      <c r="AC18" s="88" t="e">
        <f t="shared" si="10"/>
        <v>#REF!</v>
      </c>
      <c r="AE18" s="94" t="e">
        <f t="shared" si="11"/>
        <v>#REF!</v>
      </c>
      <c r="AF18" s="88" t="e">
        <f>SUMIF(#REF!,R18,#REF!)</f>
        <v>#REF!</v>
      </c>
      <c r="AG18" s="88" t="e">
        <f>SUMIF(#REF!,R18,#REF!)</f>
        <v>#REF!</v>
      </c>
    </row>
    <row r="19" spans="1:33" x14ac:dyDescent="0.25">
      <c r="B19" t="s">
        <v>669</v>
      </c>
      <c r="C19" s="94" t="e">
        <f t="shared" si="2"/>
        <v>#REF!</v>
      </c>
      <c r="D19" s="88" t="e">
        <f>SUMIF(#REF!,B19,#REF!)</f>
        <v>#REF!</v>
      </c>
      <c r="E19" s="88" t="e">
        <f>SUMIF(#REF!,B19,#REF!)</f>
        <v>#REF!</v>
      </c>
      <c r="G19" s="94" t="e">
        <f t="shared" si="3"/>
        <v>#REF!</v>
      </c>
      <c r="H19" s="88" t="e">
        <f>SUMIF(ALIF_Y2016!I:I,B19,ALIF_Y2016!F:F)-D19</f>
        <v>#REF!</v>
      </c>
      <c r="I19" s="88" t="e">
        <f>SUMIF(#REF!,B19,#REF!)-E19</f>
        <v>#REF!</v>
      </c>
      <c r="K19" s="94" t="e">
        <f t="shared" si="4"/>
        <v>#REF!</v>
      </c>
      <c r="L19" s="88" t="e">
        <f t="shared" si="5"/>
        <v>#REF!</v>
      </c>
      <c r="M19" s="88" t="e">
        <f t="shared" si="5"/>
        <v>#REF!</v>
      </c>
      <c r="O19" s="94" t="e">
        <f t="shared" si="6"/>
        <v>#REF!</v>
      </c>
      <c r="P19" s="88" t="e">
        <f>SUMIF(#REF!,B19,#REF!)</f>
        <v>#REF!</v>
      </c>
      <c r="Q19" s="88" t="e">
        <f>SUMIF(#REF!,B19,#REF!)</f>
        <v>#REF!</v>
      </c>
      <c r="S19" s="94" t="e">
        <f t="shared" si="7"/>
        <v>#REF!</v>
      </c>
      <c r="T19" s="88" t="e">
        <f>SUMIF(#REF!,R19,#REF!)</f>
        <v>#REF!</v>
      </c>
      <c r="U19" s="88" t="e">
        <f>SUMIF(#REF!,R19,#REF!)</f>
        <v>#REF!</v>
      </c>
      <c r="W19" s="94" t="e">
        <f t="shared" si="8"/>
        <v>#REF!</v>
      </c>
      <c r="X19" s="88" t="e">
        <f>SUMIF(ALIF_Y2016!Y:Y,R19,ALIF_Y2016!V:V)-T19</f>
        <v>#REF!</v>
      </c>
      <c r="Y19" s="88" t="e">
        <f>SUMIF(#REF!,R19,#REF!)-U19</f>
        <v>#REF!</v>
      </c>
      <c r="AA19" s="94" t="e">
        <f t="shared" si="9"/>
        <v>#REF!</v>
      </c>
      <c r="AB19" s="88" t="e">
        <f t="shared" si="10"/>
        <v>#REF!</v>
      </c>
      <c r="AC19" s="88" t="e">
        <f t="shared" si="10"/>
        <v>#REF!</v>
      </c>
      <c r="AE19" s="94" t="e">
        <f t="shared" si="11"/>
        <v>#REF!</v>
      </c>
      <c r="AF19" s="88" t="e">
        <f>SUMIF(#REF!,R19,#REF!)</f>
        <v>#REF!</v>
      </c>
      <c r="AG19" s="88" t="e">
        <f>SUMIF(#REF!,R19,#REF!)</f>
        <v>#REF!</v>
      </c>
    </row>
    <row r="20" spans="1:33" x14ac:dyDescent="0.25">
      <c r="B20" t="s">
        <v>675</v>
      </c>
      <c r="C20" s="94" t="e">
        <f t="shared" si="2"/>
        <v>#REF!</v>
      </c>
      <c r="D20" s="88" t="e">
        <f>SUMIF(#REF!,B20,#REF!)</f>
        <v>#REF!</v>
      </c>
      <c r="E20" s="88" t="e">
        <f>SUMIF(#REF!,B20,#REF!)</f>
        <v>#REF!</v>
      </c>
      <c r="G20" s="94" t="e">
        <f t="shared" si="3"/>
        <v>#REF!</v>
      </c>
      <c r="H20" s="88" t="e">
        <f>SUMIF(ALIF_Y2016!I:I,B20,ALIF_Y2016!F:F)-D20</f>
        <v>#REF!</v>
      </c>
      <c r="I20" s="88" t="e">
        <f>SUMIF(#REF!,B20,#REF!)-E20</f>
        <v>#REF!</v>
      </c>
      <c r="K20" s="94" t="e">
        <f t="shared" si="4"/>
        <v>#REF!</v>
      </c>
      <c r="L20" s="88" t="e">
        <f t="shared" si="5"/>
        <v>#REF!</v>
      </c>
      <c r="M20" s="88" t="e">
        <f t="shared" si="5"/>
        <v>#REF!</v>
      </c>
      <c r="O20" s="94" t="e">
        <f t="shared" si="6"/>
        <v>#REF!</v>
      </c>
      <c r="P20" s="88" t="e">
        <f>SUMIF(#REF!,B20,#REF!)</f>
        <v>#REF!</v>
      </c>
      <c r="Q20" s="88" t="e">
        <f>SUMIF(#REF!,B20,#REF!)</f>
        <v>#REF!</v>
      </c>
      <c r="S20" s="94" t="e">
        <f t="shared" si="7"/>
        <v>#REF!</v>
      </c>
      <c r="T20" s="88" t="e">
        <f>SUMIF(#REF!,R20,#REF!)</f>
        <v>#REF!</v>
      </c>
      <c r="U20" s="88" t="e">
        <f>SUMIF(#REF!,R20,#REF!)</f>
        <v>#REF!</v>
      </c>
      <c r="W20" s="94" t="e">
        <f t="shared" si="8"/>
        <v>#REF!</v>
      </c>
      <c r="X20" s="88" t="e">
        <f>SUMIF(ALIF_Y2016!Y:Y,R20,ALIF_Y2016!V:V)-T20</f>
        <v>#REF!</v>
      </c>
      <c r="Y20" s="88" t="e">
        <f>SUMIF(#REF!,R20,#REF!)-U20</f>
        <v>#REF!</v>
      </c>
      <c r="AA20" s="94" t="e">
        <f t="shared" si="9"/>
        <v>#REF!</v>
      </c>
      <c r="AB20" s="88" t="e">
        <f t="shared" si="10"/>
        <v>#REF!</v>
      </c>
      <c r="AC20" s="88" t="e">
        <f t="shared" si="10"/>
        <v>#REF!</v>
      </c>
      <c r="AE20" s="94" t="e">
        <f t="shared" si="11"/>
        <v>#REF!</v>
      </c>
      <c r="AF20" s="88" t="e">
        <f>SUMIF(#REF!,R20,#REF!)</f>
        <v>#REF!</v>
      </c>
      <c r="AG20" s="88" t="e">
        <f>SUMIF(#REF!,R20,#REF!)</f>
        <v>#REF!</v>
      </c>
    </row>
    <row r="21" spans="1:33" x14ac:dyDescent="0.25">
      <c r="B21" t="s">
        <v>673</v>
      </c>
      <c r="C21" s="94" t="e">
        <f t="shared" si="2"/>
        <v>#REF!</v>
      </c>
      <c r="D21" s="88" t="e">
        <f>SUMIF(#REF!,B21,#REF!)</f>
        <v>#REF!</v>
      </c>
      <c r="E21" s="88" t="e">
        <f>SUMIF(#REF!,B21,#REF!)</f>
        <v>#REF!</v>
      </c>
      <c r="G21" s="94" t="e">
        <f t="shared" si="3"/>
        <v>#REF!</v>
      </c>
      <c r="H21" s="88" t="e">
        <f>SUMIF(ALIF_Y2016!I:I,B21,ALIF_Y2016!F:F)-D21</f>
        <v>#REF!</v>
      </c>
      <c r="I21" s="88" t="e">
        <f>SUMIF(#REF!,B21,#REF!)-E21</f>
        <v>#REF!</v>
      </c>
      <c r="K21" s="94" t="e">
        <f t="shared" si="4"/>
        <v>#REF!</v>
      </c>
      <c r="L21" s="88" t="e">
        <f t="shared" si="5"/>
        <v>#REF!</v>
      </c>
      <c r="M21" s="88" t="e">
        <f t="shared" si="5"/>
        <v>#REF!</v>
      </c>
      <c r="O21" s="94" t="e">
        <f t="shared" si="6"/>
        <v>#REF!</v>
      </c>
      <c r="P21" s="88" t="e">
        <f>SUMIF(#REF!,B21,#REF!)</f>
        <v>#REF!</v>
      </c>
      <c r="Q21" s="88" t="e">
        <f>SUMIF(#REF!,B21,#REF!)</f>
        <v>#REF!</v>
      </c>
      <c r="S21" s="94" t="e">
        <f t="shared" si="7"/>
        <v>#REF!</v>
      </c>
      <c r="T21" s="88" t="e">
        <f>SUMIF(#REF!,R21,#REF!)</f>
        <v>#REF!</v>
      </c>
      <c r="U21" s="88" t="e">
        <f>SUMIF(#REF!,R21,#REF!)</f>
        <v>#REF!</v>
      </c>
      <c r="W21" s="94" t="e">
        <f t="shared" si="8"/>
        <v>#REF!</v>
      </c>
      <c r="X21" s="88" t="e">
        <f>SUMIF(ALIF_Y2016!Y:Y,R21,ALIF_Y2016!V:V)-T21</f>
        <v>#REF!</v>
      </c>
      <c r="Y21" s="88" t="e">
        <f>SUMIF(#REF!,R21,#REF!)-U21</f>
        <v>#REF!</v>
      </c>
      <c r="AA21" s="94" t="e">
        <f t="shared" si="9"/>
        <v>#REF!</v>
      </c>
      <c r="AB21" s="88" t="e">
        <f t="shared" si="10"/>
        <v>#REF!</v>
      </c>
      <c r="AC21" s="88" t="e">
        <f t="shared" si="10"/>
        <v>#REF!</v>
      </c>
      <c r="AE21" s="94" t="e">
        <f t="shared" si="11"/>
        <v>#REF!</v>
      </c>
      <c r="AF21" s="88" t="e">
        <f>SUMIF(#REF!,R21,#REF!)</f>
        <v>#REF!</v>
      </c>
      <c r="AG21" s="88" t="e">
        <f>SUMIF(#REF!,R21,#REF!)</f>
        <v>#REF!</v>
      </c>
    </row>
    <row r="22" spans="1:33" x14ac:dyDescent="0.25">
      <c r="B22" t="s">
        <v>671</v>
      </c>
      <c r="C22" s="94" t="e">
        <f t="shared" si="2"/>
        <v>#REF!</v>
      </c>
      <c r="D22" s="88" t="e">
        <f>SUMIF(#REF!,B22,#REF!)</f>
        <v>#REF!</v>
      </c>
      <c r="E22" s="88" t="e">
        <f>SUMIF(#REF!,B22,#REF!)</f>
        <v>#REF!</v>
      </c>
      <c r="G22" s="94" t="e">
        <f t="shared" si="3"/>
        <v>#REF!</v>
      </c>
      <c r="H22" s="88" t="e">
        <f>SUMIF(ALIF_Y2016!I:I,B22,ALIF_Y2016!F:F)-D22</f>
        <v>#REF!</v>
      </c>
      <c r="I22" s="88" t="e">
        <f>SUMIF(#REF!,B22,#REF!)-E22</f>
        <v>#REF!</v>
      </c>
      <c r="K22" s="94" t="e">
        <f t="shared" si="4"/>
        <v>#REF!</v>
      </c>
      <c r="L22" s="88" t="e">
        <f t="shared" si="5"/>
        <v>#REF!</v>
      </c>
      <c r="M22" s="88" t="e">
        <f t="shared" si="5"/>
        <v>#REF!</v>
      </c>
      <c r="O22" s="94" t="e">
        <f t="shared" si="6"/>
        <v>#REF!</v>
      </c>
      <c r="P22" s="88" t="e">
        <f>SUMIF(#REF!,B22,#REF!)</f>
        <v>#REF!</v>
      </c>
      <c r="Q22" s="88" t="e">
        <f>SUMIF(#REF!,B22,#REF!)</f>
        <v>#REF!</v>
      </c>
      <c r="S22" s="94" t="e">
        <f t="shared" si="7"/>
        <v>#REF!</v>
      </c>
      <c r="T22" s="88" t="e">
        <f>SUMIF(#REF!,R22,#REF!)</f>
        <v>#REF!</v>
      </c>
      <c r="U22" s="88" t="e">
        <f>SUMIF(#REF!,R22,#REF!)</f>
        <v>#REF!</v>
      </c>
      <c r="W22" s="94" t="e">
        <f t="shared" si="8"/>
        <v>#REF!</v>
      </c>
      <c r="X22" s="88" t="e">
        <f>SUMIF(ALIF_Y2016!Y:Y,R22,ALIF_Y2016!V:V)-T22</f>
        <v>#REF!</v>
      </c>
      <c r="Y22" s="88" t="e">
        <f>SUMIF(#REF!,R22,#REF!)-U22</f>
        <v>#REF!</v>
      </c>
      <c r="AA22" s="94" t="e">
        <f t="shared" si="9"/>
        <v>#REF!</v>
      </c>
      <c r="AB22" s="88" t="e">
        <f t="shared" si="10"/>
        <v>#REF!</v>
      </c>
      <c r="AC22" s="88" t="e">
        <f t="shared" si="10"/>
        <v>#REF!</v>
      </c>
      <c r="AE22" s="94" t="e">
        <f t="shared" si="11"/>
        <v>#REF!</v>
      </c>
      <c r="AF22" s="88" t="e">
        <f>SUMIF(#REF!,R22,#REF!)</f>
        <v>#REF!</v>
      </c>
      <c r="AG22" s="88" t="e">
        <f>SUMIF(#REF!,R22,#REF!)</f>
        <v>#REF!</v>
      </c>
    </row>
    <row r="23" spans="1:33" ht="9" customHeight="1" x14ac:dyDescent="0.25">
      <c r="C23" s="96"/>
      <c r="D23" s="96"/>
      <c r="E23" s="96"/>
      <c r="G23" s="96"/>
      <c r="H23" s="96"/>
      <c r="I23" s="96"/>
      <c r="K23" s="96"/>
      <c r="L23" s="96"/>
      <c r="M23" s="96"/>
      <c r="O23" s="96"/>
      <c r="P23" s="96"/>
      <c r="Q23" s="96"/>
      <c r="S23" s="96"/>
      <c r="T23" s="96"/>
      <c r="U23" s="96"/>
      <c r="W23" s="96"/>
      <c r="X23" s="96"/>
      <c r="Y23" s="96"/>
      <c r="AA23" s="96"/>
      <c r="AB23" s="96"/>
      <c r="AC23" s="96"/>
      <c r="AE23" s="96"/>
      <c r="AF23" s="96"/>
      <c r="AG23" s="96"/>
    </row>
    <row r="24" spans="1:33" x14ac:dyDescent="0.25">
      <c r="A24" s="85" t="s">
        <v>1233</v>
      </c>
      <c r="C24" s="97" t="e">
        <f>SUM(C17:C23)</f>
        <v>#REF!</v>
      </c>
      <c r="D24" s="97" t="e">
        <f>SUM(D17:D23)</f>
        <v>#REF!</v>
      </c>
      <c r="E24" s="97" t="e">
        <f>SUM(E17:E23)</f>
        <v>#REF!</v>
      </c>
      <c r="G24" s="97" t="e">
        <f>SUM(G17:G23)</f>
        <v>#REF!</v>
      </c>
      <c r="H24" s="97" t="e">
        <f>SUM(H17:H23)</f>
        <v>#REF!</v>
      </c>
      <c r="I24" s="97" t="e">
        <f>SUM(I17:I23)</f>
        <v>#REF!</v>
      </c>
      <c r="K24" s="97" t="e">
        <f>SUM(K17:K23)</f>
        <v>#REF!</v>
      </c>
      <c r="L24" s="97" t="e">
        <f>SUM(L17:L23)</f>
        <v>#REF!</v>
      </c>
      <c r="M24" s="97" t="e">
        <f>SUM(M17:M23)</f>
        <v>#REF!</v>
      </c>
      <c r="O24" s="97" t="e">
        <f>SUM(O17:O23)</f>
        <v>#REF!</v>
      </c>
      <c r="P24" s="97" t="e">
        <f>SUM(P17:P23)</f>
        <v>#REF!</v>
      </c>
      <c r="Q24" s="97" t="e">
        <f>SUM(Q17:Q23)</f>
        <v>#REF!</v>
      </c>
      <c r="S24" s="97" t="e">
        <f>SUM(S17:S23)</f>
        <v>#REF!</v>
      </c>
      <c r="T24" s="97" t="e">
        <f>SUM(T17:T23)</f>
        <v>#REF!</v>
      </c>
      <c r="U24" s="97" t="e">
        <f>SUM(U17:U23)</f>
        <v>#REF!</v>
      </c>
      <c r="W24" s="97" t="e">
        <f>SUM(W17:W23)</f>
        <v>#REF!</v>
      </c>
      <c r="X24" s="97" t="e">
        <f>SUM(X17:X23)</f>
        <v>#REF!</v>
      </c>
      <c r="Y24" s="97" t="e">
        <f>SUM(Y17:Y23)</f>
        <v>#REF!</v>
      </c>
      <c r="AA24" s="97" t="e">
        <f>SUM(AA17:AA23)</f>
        <v>#REF!</v>
      </c>
      <c r="AB24" s="97" t="e">
        <f>SUM(AB17:AB23)</f>
        <v>#REF!</v>
      </c>
      <c r="AC24" s="97" t="e">
        <f>SUM(AC17:AC23)</f>
        <v>#REF!</v>
      </c>
      <c r="AE24" s="97" t="e">
        <f>SUM(AE17:AE23)</f>
        <v>#REF!</v>
      </c>
      <c r="AF24" s="97" t="e">
        <f>SUM(AF17:AF23)</f>
        <v>#REF!</v>
      </c>
      <c r="AG24" s="97" t="e">
        <f>SUM(AG17:AG23)</f>
        <v>#REF!</v>
      </c>
    </row>
    <row r="25" spans="1:33" x14ac:dyDescent="0.25">
      <c r="O25" s="94"/>
      <c r="P25" s="94"/>
      <c r="Q25" s="94"/>
      <c r="AE25" s="94"/>
      <c r="AF25" s="94"/>
      <c r="AG25" s="94"/>
    </row>
    <row r="26" spans="1:33" x14ac:dyDescent="0.25">
      <c r="B26" t="s">
        <v>681</v>
      </c>
      <c r="C26" s="94" t="e">
        <f t="shared" ref="C26:C33" si="12">SUM(D26:E26)</f>
        <v>#REF!</v>
      </c>
      <c r="D26" s="88" t="e">
        <f>SUMIF(#REF!,B26,#REF!)</f>
        <v>#REF!</v>
      </c>
      <c r="E26" s="88" t="e">
        <f>SUMIF(#REF!,B26,#REF!)</f>
        <v>#REF!</v>
      </c>
      <c r="G26" s="94" t="e">
        <f t="shared" ref="G26:G33" si="13">SUM(H26:I26)</f>
        <v>#REF!</v>
      </c>
      <c r="H26" s="88" t="e">
        <f>SUMIF(ALIF_Y2016!I:I,B26,ALIF_Y2016!F:F)-D26</f>
        <v>#REF!</v>
      </c>
      <c r="I26" s="88" t="e">
        <f>SUMIF(#REF!,B26,#REF!)-E26</f>
        <v>#REF!</v>
      </c>
      <c r="K26" s="94" t="e">
        <f t="shared" ref="K26:K33" si="14">SUM(L26:M26)</f>
        <v>#REF!</v>
      </c>
      <c r="L26" s="88" t="e">
        <f t="shared" ref="L26:M33" si="15">D26+H26</f>
        <v>#REF!</v>
      </c>
      <c r="M26" s="88" t="e">
        <f t="shared" si="15"/>
        <v>#REF!</v>
      </c>
      <c r="O26" s="94" t="e">
        <f t="shared" ref="O26:O33" si="16">SUM(P26:Q26)</f>
        <v>#REF!</v>
      </c>
      <c r="P26" s="88" t="e">
        <f>SUMIF(#REF!,B26,#REF!)</f>
        <v>#REF!</v>
      </c>
      <c r="Q26" s="88" t="e">
        <f>SUMIF(#REF!,B26,#REF!)</f>
        <v>#REF!</v>
      </c>
      <c r="S26" s="94" t="e">
        <f t="shared" ref="S26:S33" si="17">SUM(T26:U26)</f>
        <v>#REF!</v>
      </c>
      <c r="T26" s="88" t="e">
        <f>SUMIF(#REF!,R26,#REF!)</f>
        <v>#REF!</v>
      </c>
      <c r="U26" s="88" t="e">
        <f>SUMIF(#REF!,R26,#REF!)</f>
        <v>#REF!</v>
      </c>
      <c r="W26" s="94" t="e">
        <f t="shared" ref="W26:W33" si="18">SUM(X26:Y26)</f>
        <v>#REF!</v>
      </c>
      <c r="X26" s="88" t="e">
        <f>SUMIF(ALIF_Y2016!Y:Y,R26,ALIF_Y2016!V:V)-T26</f>
        <v>#REF!</v>
      </c>
      <c r="Y26" s="88" t="e">
        <f>SUMIF(#REF!,R26,#REF!)-U26</f>
        <v>#REF!</v>
      </c>
      <c r="AA26" s="94" t="e">
        <f t="shared" ref="AA26:AA33" si="19">SUM(AB26:AC26)</f>
        <v>#REF!</v>
      </c>
      <c r="AB26" s="88" t="e">
        <f t="shared" ref="AB26:AC33" si="20">T26+X26</f>
        <v>#REF!</v>
      </c>
      <c r="AC26" s="88" t="e">
        <f t="shared" si="20"/>
        <v>#REF!</v>
      </c>
      <c r="AE26" s="94" t="e">
        <f t="shared" ref="AE26:AE33" si="21">SUM(AF26:AG26)</f>
        <v>#REF!</v>
      </c>
      <c r="AF26" s="88" t="e">
        <f>SUMIF(#REF!,R26,#REF!)</f>
        <v>#REF!</v>
      </c>
      <c r="AG26" s="88" t="e">
        <f>SUMIF(#REF!,R26,#REF!)</f>
        <v>#REF!</v>
      </c>
    </row>
    <row r="27" spans="1:33" x14ac:dyDescent="0.25">
      <c r="B27" t="s">
        <v>683</v>
      </c>
      <c r="C27" s="94" t="e">
        <f t="shared" si="12"/>
        <v>#REF!</v>
      </c>
      <c r="D27" s="88" t="e">
        <f>SUMIF(#REF!,B27,#REF!)</f>
        <v>#REF!</v>
      </c>
      <c r="E27" s="88" t="e">
        <f>SUMIF(#REF!,B27,#REF!)</f>
        <v>#REF!</v>
      </c>
      <c r="G27" s="94" t="e">
        <f t="shared" si="13"/>
        <v>#REF!</v>
      </c>
      <c r="H27" s="88" t="e">
        <f>SUMIF(ALIF_Y2016!I:I,B27,ALIF_Y2016!F:F)-D27</f>
        <v>#REF!</v>
      </c>
      <c r="I27" s="88" t="e">
        <f>SUMIF(#REF!,B27,#REF!)-E27</f>
        <v>#REF!</v>
      </c>
      <c r="K27" s="94" t="e">
        <f t="shared" si="14"/>
        <v>#REF!</v>
      </c>
      <c r="L27" s="88" t="e">
        <f t="shared" si="15"/>
        <v>#REF!</v>
      </c>
      <c r="M27" s="88" t="e">
        <f t="shared" si="15"/>
        <v>#REF!</v>
      </c>
      <c r="O27" s="94" t="e">
        <f t="shared" si="16"/>
        <v>#REF!</v>
      </c>
      <c r="P27" s="88" t="e">
        <f>SUMIF(#REF!,B27,#REF!)</f>
        <v>#REF!</v>
      </c>
      <c r="Q27" s="88" t="e">
        <f>SUMIF(#REF!,B27,#REF!)</f>
        <v>#REF!</v>
      </c>
      <c r="S27" s="94" t="e">
        <f t="shared" si="17"/>
        <v>#REF!</v>
      </c>
      <c r="T27" s="88" t="e">
        <f>SUMIF(#REF!,R27,#REF!)</f>
        <v>#REF!</v>
      </c>
      <c r="U27" s="88" t="e">
        <f>SUMIF(#REF!,R27,#REF!)</f>
        <v>#REF!</v>
      </c>
      <c r="W27" s="94" t="e">
        <f t="shared" si="18"/>
        <v>#REF!</v>
      </c>
      <c r="X27" s="88" t="e">
        <f>SUMIF(ALIF_Y2016!Y:Y,R27,ALIF_Y2016!V:V)-T27</f>
        <v>#REF!</v>
      </c>
      <c r="Y27" s="88" t="e">
        <f>SUMIF(#REF!,R27,#REF!)-U27</f>
        <v>#REF!</v>
      </c>
      <c r="AA27" s="94" t="e">
        <f t="shared" si="19"/>
        <v>#REF!</v>
      </c>
      <c r="AB27" s="88" t="e">
        <f t="shared" si="20"/>
        <v>#REF!</v>
      </c>
      <c r="AC27" s="88" t="e">
        <f t="shared" si="20"/>
        <v>#REF!</v>
      </c>
      <c r="AE27" s="94" t="e">
        <f t="shared" si="21"/>
        <v>#REF!</v>
      </c>
      <c r="AF27" s="88" t="e">
        <f>SUMIF(#REF!,R27,#REF!)</f>
        <v>#REF!</v>
      </c>
      <c r="AG27" s="88" t="e">
        <f>SUMIF(#REF!,R27,#REF!)</f>
        <v>#REF!</v>
      </c>
    </row>
    <row r="28" spans="1:33" x14ac:dyDescent="0.25">
      <c r="B28" t="s">
        <v>685</v>
      </c>
      <c r="C28" s="94" t="e">
        <f t="shared" si="12"/>
        <v>#REF!</v>
      </c>
      <c r="D28" s="88" t="e">
        <f>SUMIF(#REF!,B28,#REF!)</f>
        <v>#REF!</v>
      </c>
      <c r="E28" s="88" t="e">
        <f>SUMIF(#REF!,B28,#REF!)</f>
        <v>#REF!</v>
      </c>
      <c r="G28" s="94" t="e">
        <f t="shared" si="13"/>
        <v>#REF!</v>
      </c>
      <c r="H28" s="88" t="e">
        <f>SUMIF(ALIF_Y2016!I:I,B28,ALIF_Y2016!F:F)-D28</f>
        <v>#REF!</v>
      </c>
      <c r="I28" s="88" t="e">
        <f>SUMIF(#REF!,B28,#REF!)-E28</f>
        <v>#REF!</v>
      </c>
      <c r="K28" s="94" t="e">
        <f t="shared" si="14"/>
        <v>#REF!</v>
      </c>
      <c r="L28" s="88" t="e">
        <f t="shared" si="15"/>
        <v>#REF!</v>
      </c>
      <c r="M28" s="88" t="e">
        <f t="shared" si="15"/>
        <v>#REF!</v>
      </c>
      <c r="O28" s="94" t="e">
        <f t="shared" si="16"/>
        <v>#REF!</v>
      </c>
      <c r="P28" s="88" t="e">
        <f>SUMIF(#REF!,B28,#REF!)</f>
        <v>#REF!</v>
      </c>
      <c r="Q28" s="88" t="e">
        <f>SUMIF(#REF!,B28,#REF!)</f>
        <v>#REF!</v>
      </c>
      <c r="S28" s="94" t="e">
        <f t="shared" si="17"/>
        <v>#REF!</v>
      </c>
      <c r="T28" s="88" t="e">
        <f>SUMIF(#REF!,R28,#REF!)</f>
        <v>#REF!</v>
      </c>
      <c r="U28" s="88" t="e">
        <f>SUMIF(#REF!,R28,#REF!)</f>
        <v>#REF!</v>
      </c>
      <c r="W28" s="94" t="e">
        <f t="shared" si="18"/>
        <v>#REF!</v>
      </c>
      <c r="X28" s="88" t="e">
        <f>SUMIF(ALIF_Y2016!Y:Y,R28,ALIF_Y2016!V:V)-T28</f>
        <v>#REF!</v>
      </c>
      <c r="Y28" s="88" t="e">
        <f>SUMIF(#REF!,R28,#REF!)-U28</f>
        <v>#REF!</v>
      </c>
      <c r="AA28" s="94" t="e">
        <f t="shared" si="19"/>
        <v>#REF!</v>
      </c>
      <c r="AB28" s="88" t="e">
        <f t="shared" si="20"/>
        <v>#REF!</v>
      </c>
      <c r="AC28" s="88" t="e">
        <f t="shared" si="20"/>
        <v>#REF!</v>
      </c>
      <c r="AE28" s="94" t="e">
        <f t="shared" si="21"/>
        <v>#REF!</v>
      </c>
      <c r="AF28" s="88" t="e">
        <f>SUMIF(#REF!,R28,#REF!)</f>
        <v>#REF!</v>
      </c>
      <c r="AG28" s="88" t="e">
        <f>SUMIF(#REF!,R28,#REF!)</f>
        <v>#REF!</v>
      </c>
    </row>
    <row r="29" spans="1:33" x14ac:dyDescent="0.25">
      <c r="B29" t="s">
        <v>687</v>
      </c>
      <c r="C29" s="94" t="e">
        <f t="shared" si="12"/>
        <v>#REF!</v>
      </c>
      <c r="D29" s="88" t="e">
        <f>SUMIF(#REF!,B29,#REF!)</f>
        <v>#REF!</v>
      </c>
      <c r="E29" s="88" t="e">
        <f>SUMIF(#REF!,B29,#REF!)</f>
        <v>#REF!</v>
      </c>
      <c r="G29" s="94" t="e">
        <f t="shared" si="13"/>
        <v>#REF!</v>
      </c>
      <c r="H29" s="88" t="e">
        <f>SUMIF(ALIF_Y2016!I:I,B29,ALIF_Y2016!F:F)-D29</f>
        <v>#REF!</v>
      </c>
      <c r="I29" s="88" t="e">
        <f>SUMIF(#REF!,B29,#REF!)-E29</f>
        <v>#REF!</v>
      </c>
      <c r="K29" s="94" t="e">
        <f t="shared" si="14"/>
        <v>#REF!</v>
      </c>
      <c r="L29" s="88" t="e">
        <f t="shared" si="15"/>
        <v>#REF!</v>
      </c>
      <c r="M29" s="88" t="e">
        <f t="shared" si="15"/>
        <v>#REF!</v>
      </c>
      <c r="O29" s="94" t="e">
        <f t="shared" si="16"/>
        <v>#REF!</v>
      </c>
      <c r="P29" s="88" t="e">
        <f>SUMIF(#REF!,B29,#REF!)</f>
        <v>#REF!</v>
      </c>
      <c r="Q29" s="88" t="e">
        <f>SUMIF(#REF!,B29,#REF!)</f>
        <v>#REF!</v>
      </c>
      <c r="S29" s="94" t="e">
        <f t="shared" si="17"/>
        <v>#REF!</v>
      </c>
      <c r="T29" s="88" t="e">
        <f>SUMIF(#REF!,R29,#REF!)</f>
        <v>#REF!</v>
      </c>
      <c r="U29" s="88" t="e">
        <f>SUMIF(#REF!,R29,#REF!)</f>
        <v>#REF!</v>
      </c>
      <c r="W29" s="94" t="e">
        <f t="shared" si="18"/>
        <v>#REF!</v>
      </c>
      <c r="X29" s="88" t="e">
        <f>SUMIF(ALIF_Y2016!Y:Y,R29,ALIF_Y2016!V:V)-T29</f>
        <v>#REF!</v>
      </c>
      <c r="Y29" s="88" t="e">
        <f>SUMIF(#REF!,R29,#REF!)-U29</f>
        <v>#REF!</v>
      </c>
      <c r="AA29" s="94" t="e">
        <f t="shared" si="19"/>
        <v>#REF!</v>
      </c>
      <c r="AB29" s="88" t="e">
        <f t="shared" si="20"/>
        <v>#REF!</v>
      </c>
      <c r="AC29" s="88" t="e">
        <f t="shared" si="20"/>
        <v>#REF!</v>
      </c>
      <c r="AE29" s="94" t="e">
        <f t="shared" si="21"/>
        <v>#REF!</v>
      </c>
      <c r="AF29" s="88" t="e">
        <f>SUMIF(#REF!,R29,#REF!)</f>
        <v>#REF!</v>
      </c>
      <c r="AG29" s="88" t="e">
        <f>SUMIF(#REF!,R29,#REF!)</f>
        <v>#REF!</v>
      </c>
    </row>
    <row r="30" spans="1:33" x14ac:dyDescent="0.25">
      <c r="B30" t="s">
        <v>689</v>
      </c>
      <c r="C30" s="94" t="e">
        <f t="shared" si="12"/>
        <v>#REF!</v>
      </c>
      <c r="D30" s="88" t="e">
        <f>SUMIF(#REF!,B30,#REF!)</f>
        <v>#REF!</v>
      </c>
      <c r="E30" s="88" t="e">
        <f>SUMIF(#REF!,B30,#REF!)</f>
        <v>#REF!</v>
      </c>
      <c r="G30" s="94" t="e">
        <f t="shared" si="13"/>
        <v>#REF!</v>
      </c>
      <c r="H30" s="88" t="e">
        <f>SUMIF(ALIF_Y2016!I:I,B30,ALIF_Y2016!F:F)-D30</f>
        <v>#REF!</v>
      </c>
      <c r="I30" s="88" t="e">
        <f>SUMIF(#REF!,B30,#REF!)-E30</f>
        <v>#REF!</v>
      </c>
      <c r="K30" s="94" t="e">
        <f t="shared" si="14"/>
        <v>#REF!</v>
      </c>
      <c r="L30" s="88" t="e">
        <f t="shared" si="15"/>
        <v>#REF!</v>
      </c>
      <c r="M30" s="88" t="e">
        <f t="shared" si="15"/>
        <v>#REF!</v>
      </c>
      <c r="O30" s="94" t="e">
        <f t="shared" si="16"/>
        <v>#REF!</v>
      </c>
      <c r="P30" s="88" t="e">
        <f>SUMIF(#REF!,B30,#REF!)</f>
        <v>#REF!</v>
      </c>
      <c r="Q30" s="88" t="e">
        <f>SUMIF(#REF!,B30,#REF!)</f>
        <v>#REF!</v>
      </c>
      <c r="S30" s="94" t="e">
        <f t="shared" si="17"/>
        <v>#REF!</v>
      </c>
      <c r="T30" s="88" t="e">
        <f>SUMIF(#REF!,R30,#REF!)</f>
        <v>#REF!</v>
      </c>
      <c r="U30" s="88" t="e">
        <f>SUMIF(#REF!,R30,#REF!)</f>
        <v>#REF!</v>
      </c>
      <c r="W30" s="94" t="e">
        <f t="shared" si="18"/>
        <v>#REF!</v>
      </c>
      <c r="X30" s="88" t="e">
        <f>SUMIF(ALIF_Y2016!Y:Y,R30,ALIF_Y2016!V:V)-T30</f>
        <v>#REF!</v>
      </c>
      <c r="Y30" s="88" t="e">
        <f>SUMIF(#REF!,R30,#REF!)-U30</f>
        <v>#REF!</v>
      </c>
      <c r="AA30" s="94" t="e">
        <f t="shared" si="19"/>
        <v>#REF!</v>
      </c>
      <c r="AB30" s="88" t="e">
        <f t="shared" si="20"/>
        <v>#REF!</v>
      </c>
      <c r="AC30" s="88" t="e">
        <f t="shared" si="20"/>
        <v>#REF!</v>
      </c>
      <c r="AE30" s="94" t="e">
        <f t="shared" si="21"/>
        <v>#REF!</v>
      </c>
      <c r="AF30" s="88" t="e">
        <f>SUMIF(#REF!,R30,#REF!)</f>
        <v>#REF!</v>
      </c>
      <c r="AG30" s="88" t="e">
        <f>SUMIF(#REF!,R30,#REF!)</f>
        <v>#REF!</v>
      </c>
    </row>
    <row r="31" spans="1:33" x14ac:dyDescent="0.25">
      <c r="B31" t="s">
        <v>691</v>
      </c>
      <c r="C31" s="94" t="e">
        <f t="shared" si="12"/>
        <v>#REF!</v>
      </c>
      <c r="D31" s="88" t="e">
        <f>SUMIF(#REF!,B31,#REF!)</f>
        <v>#REF!</v>
      </c>
      <c r="E31" s="88" t="e">
        <f>SUMIF(#REF!,B31,#REF!)</f>
        <v>#REF!</v>
      </c>
      <c r="G31" s="94" t="e">
        <f t="shared" si="13"/>
        <v>#REF!</v>
      </c>
      <c r="H31" s="88" t="e">
        <f>SUMIF(ALIF_Y2016!I:I,B31,ALIF_Y2016!F:F)-D31</f>
        <v>#REF!</v>
      </c>
      <c r="I31" s="88" t="e">
        <f>SUMIF(#REF!,B31,#REF!)-E31</f>
        <v>#REF!</v>
      </c>
      <c r="K31" s="94" t="e">
        <f t="shared" si="14"/>
        <v>#REF!</v>
      </c>
      <c r="L31" s="88" t="e">
        <f t="shared" si="15"/>
        <v>#REF!</v>
      </c>
      <c r="M31" s="88" t="e">
        <f t="shared" si="15"/>
        <v>#REF!</v>
      </c>
      <c r="O31" s="94" t="e">
        <f t="shared" si="16"/>
        <v>#REF!</v>
      </c>
      <c r="P31" s="88" t="e">
        <f>SUMIF(#REF!,B31,#REF!)</f>
        <v>#REF!</v>
      </c>
      <c r="Q31" s="88" t="e">
        <f>SUMIF(#REF!,B31,#REF!)</f>
        <v>#REF!</v>
      </c>
      <c r="S31" s="94" t="e">
        <f t="shared" si="17"/>
        <v>#REF!</v>
      </c>
      <c r="T31" s="88" t="e">
        <f>SUMIF(#REF!,R31,#REF!)</f>
        <v>#REF!</v>
      </c>
      <c r="U31" s="88" t="e">
        <f>SUMIF(#REF!,R31,#REF!)</f>
        <v>#REF!</v>
      </c>
      <c r="W31" s="94" t="e">
        <f t="shared" si="18"/>
        <v>#REF!</v>
      </c>
      <c r="X31" s="88" t="e">
        <f>SUMIF(ALIF_Y2016!Y:Y,R31,ALIF_Y2016!V:V)-T31</f>
        <v>#REF!</v>
      </c>
      <c r="Y31" s="88" t="e">
        <f>SUMIF(#REF!,R31,#REF!)-U31</f>
        <v>#REF!</v>
      </c>
      <c r="AA31" s="94" t="e">
        <f t="shared" si="19"/>
        <v>#REF!</v>
      </c>
      <c r="AB31" s="88" t="e">
        <f t="shared" si="20"/>
        <v>#REF!</v>
      </c>
      <c r="AC31" s="88" t="e">
        <f t="shared" si="20"/>
        <v>#REF!</v>
      </c>
      <c r="AE31" s="94" t="e">
        <f t="shared" si="21"/>
        <v>#REF!</v>
      </c>
      <c r="AF31" s="88" t="e">
        <f>SUMIF(#REF!,R31,#REF!)</f>
        <v>#REF!</v>
      </c>
      <c r="AG31" s="88" t="e">
        <f>SUMIF(#REF!,R31,#REF!)</f>
        <v>#REF!</v>
      </c>
    </row>
    <row r="32" spans="1:33" x14ac:dyDescent="0.25">
      <c r="B32" t="s">
        <v>693</v>
      </c>
      <c r="C32" s="94" t="e">
        <f t="shared" si="12"/>
        <v>#REF!</v>
      </c>
      <c r="D32" s="88" t="e">
        <f>SUMIF(#REF!,B32,#REF!)</f>
        <v>#REF!</v>
      </c>
      <c r="E32" s="88" t="e">
        <f>SUMIF(#REF!,B32,#REF!)</f>
        <v>#REF!</v>
      </c>
      <c r="G32" s="94" t="e">
        <f t="shared" si="13"/>
        <v>#REF!</v>
      </c>
      <c r="H32" s="88" t="e">
        <f>SUMIF(ALIF_Y2016!I:I,B32,ALIF_Y2016!F:F)-D32</f>
        <v>#REF!</v>
      </c>
      <c r="I32" s="88" t="e">
        <f>SUMIF(#REF!,B32,#REF!)-E32</f>
        <v>#REF!</v>
      </c>
      <c r="K32" s="94" t="e">
        <f t="shared" si="14"/>
        <v>#REF!</v>
      </c>
      <c r="L32" s="88" t="e">
        <f t="shared" si="15"/>
        <v>#REF!</v>
      </c>
      <c r="M32" s="88" t="e">
        <f t="shared" si="15"/>
        <v>#REF!</v>
      </c>
      <c r="O32" s="94" t="e">
        <f t="shared" si="16"/>
        <v>#REF!</v>
      </c>
      <c r="P32" s="88" t="e">
        <f>SUMIF(#REF!,B32,#REF!)</f>
        <v>#REF!</v>
      </c>
      <c r="Q32" s="88" t="e">
        <f>SUMIF(#REF!,B32,#REF!)</f>
        <v>#REF!</v>
      </c>
      <c r="S32" s="94" t="e">
        <f t="shared" si="17"/>
        <v>#REF!</v>
      </c>
      <c r="T32" s="88" t="e">
        <f>SUMIF(#REF!,R32,#REF!)</f>
        <v>#REF!</v>
      </c>
      <c r="U32" s="88" t="e">
        <f>SUMIF(#REF!,R32,#REF!)</f>
        <v>#REF!</v>
      </c>
      <c r="W32" s="94" t="e">
        <f t="shared" si="18"/>
        <v>#REF!</v>
      </c>
      <c r="X32" s="88" t="e">
        <f>SUMIF(ALIF_Y2016!Y:Y,R32,ALIF_Y2016!V:V)-T32</f>
        <v>#REF!</v>
      </c>
      <c r="Y32" s="88" t="e">
        <f>SUMIF(#REF!,R32,#REF!)-U32</f>
        <v>#REF!</v>
      </c>
      <c r="AA32" s="94" t="e">
        <f t="shared" si="19"/>
        <v>#REF!</v>
      </c>
      <c r="AB32" s="88" t="e">
        <f t="shared" si="20"/>
        <v>#REF!</v>
      </c>
      <c r="AC32" s="88" t="e">
        <f t="shared" si="20"/>
        <v>#REF!</v>
      </c>
      <c r="AE32" s="94" t="e">
        <f t="shared" si="21"/>
        <v>#REF!</v>
      </c>
      <c r="AF32" s="88" t="e">
        <f>SUMIF(#REF!,R32,#REF!)</f>
        <v>#REF!</v>
      </c>
      <c r="AG32" s="88" t="e">
        <f>SUMIF(#REF!,R32,#REF!)</f>
        <v>#REF!</v>
      </c>
    </row>
    <row r="33" spans="1:33" x14ac:dyDescent="0.25">
      <c r="B33" t="s">
        <v>695</v>
      </c>
      <c r="C33" s="94" t="e">
        <f t="shared" si="12"/>
        <v>#REF!</v>
      </c>
      <c r="D33" s="88" t="e">
        <f>SUMIF(#REF!,B33,#REF!)</f>
        <v>#REF!</v>
      </c>
      <c r="E33" s="88" t="e">
        <f>SUMIF(#REF!,B33,#REF!)</f>
        <v>#REF!</v>
      </c>
      <c r="G33" s="94" t="e">
        <f t="shared" si="13"/>
        <v>#REF!</v>
      </c>
      <c r="H33" s="88" t="e">
        <f>SUMIF(ALIF_Y2016!I:I,B33,ALIF_Y2016!F:F)-D33</f>
        <v>#REF!</v>
      </c>
      <c r="I33" s="88" t="e">
        <f>SUMIF(#REF!,B33,#REF!)-E33</f>
        <v>#REF!</v>
      </c>
      <c r="K33" s="94" t="e">
        <f t="shared" si="14"/>
        <v>#REF!</v>
      </c>
      <c r="L33" s="88" t="e">
        <f t="shared" si="15"/>
        <v>#REF!</v>
      </c>
      <c r="M33" s="88" t="e">
        <f t="shared" si="15"/>
        <v>#REF!</v>
      </c>
      <c r="O33" s="94" t="e">
        <f t="shared" si="16"/>
        <v>#REF!</v>
      </c>
      <c r="P33" s="88" t="e">
        <f>SUMIF(#REF!,B33,#REF!)</f>
        <v>#REF!</v>
      </c>
      <c r="Q33" s="88" t="e">
        <f>SUMIF(#REF!,B33,#REF!)</f>
        <v>#REF!</v>
      </c>
      <c r="S33" s="94" t="e">
        <f t="shared" si="17"/>
        <v>#REF!</v>
      </c>
      <c r="T33" s="88" t="e">
        <f>SUMIF(#REF!,R33,#REF!)</f>
        <v>#REF!</v>
      </c>
      <c r="U33" s="88" t="e">
        <f>SUMIF(#REF!,R33,#REF!)</f>
        <v>#REF!</v>
      </c>
      <c r="W33" s="94" t="e">
        <f t="shared" si="18"/>
        <v>#REF!</v>
      </c>
      <c r="X33" s="88" t="e">
        <f>SUMIF(ALIF_Y2016!Y:Y,R33,ALIF_Y2016!V:V)-T33</f>
        <v>#REF!</v>
      </c>
      <c r="Y33" s="88" t="e">
        <f>SUMIF(#REF!,R33,#REF!)-U33</f>
        <v>#REF!</v>
      </c>
      <c r="AA33" s="94" t="e">
        <f t="shared" si="19"/>
        <v>#REF!</v>
      </c>
      <c r="AB33" s="88" t="e">
        <f t="shared" si="20"/>
        <v>#REF!</v>
      </c>
      <c r="AC33" s="88" t="e">
        <f t="shared" si="20"/>
        <v>#REF!</v>
      </c>
      <c r="AE33" s="94" t="e">
        <f t="shared" si="21"/>
        <v>#REF!</v>
      </c>
      <c r="AF33" s="88" t="e">
        <f>SUMIF(#REF!,R33,#REF!)</f>
        <v>#REF!</v>
      </c>
      <c r="AG33" s="88" t="e">
        <f>SUMIF(#REF!,R33,#REF!)</f>
        <v>#REF!</v>
      </c>
    </row>
    <row r="34" spans="1:33" ht="10.15" customHeight="1" x14ac:dyDescent="0.25">
      <c r="C34" s="96"/>
      <c r="D34" s="96"/>
      <c r="E34" s="96"/>
      <c r="G34" s="96"/>
      <c r="H34" s="96"/>
      <c r="I34" s="96"/>
      <c r="K34" s="96"/>
      <c r="L34" s="96"/>
      <c r="M34" s="96"/>
      <c r="O34" s="96"/>
      <c r="P34" s="96"/>
      <c r="Q34" s="96"/>
      <c r="S34" s="96"/>
      <c r="T34" s="96"/>
      <c r="U34" s="96"/>
      <c r="W34" s="96"/>
      <c r="X34" s="96"/>
      <c r="Y34" s="96"/>
      <c r="AA34" s="96"/>
      <c r="AB34" s="96"/>
      <c r="AC34" s="96"/>
      <c r="AE34" s="96"/>
      <c r="AF34" s="96"/>
      <c r="AG34" s="96"/>
    </row>
    <row r="35" spans="1:33" x14ac:dyDescent="0.25">
      <c r="A35" s="85" t="s">
        <v>1234</v>
      </c>
      <c r="C35" s="97" t="e">
        <f>SUM(C26:C34)</f>
        <v>#REF!</v>
      </c>
      <c r="D35" s="97" t="e">
        <f>SUM(D26:D34)</f>
        <v>#REF!</v>
      </c>
      <c r="E35" s="97" t="e">
        <f>SUM(E26:E34)</f>
        <v>#REF!</v>
      </c>
      <c r="G35" s="97" t="e">
        <f>SUM(G26:G34)</f>
        <v>#REF!</v>
      </c>
      <c r="H35" s="97" t="e">
        <f>SUM(H26:H34)</f>
        <v>#REF!</v>
      </c>
      <c r="I35" s="97" t="e">
        <f>SUM(I26:I34)</f>
        <v>#REF!</v>
      </c>
      <c r="K35" s="97" t="e">
        <f>SUM(K26:K34)</f>
        <v>#REF!</v>
      </c>
      <c r="L35" s="97" t="e">
        <f>SUM(L26:L34)</f>
        <v>#REF!</v>
      </c>
      <c r="M35" s="97" t="e">
        <f>SUM(M26:M34)</f>
        <v>#REF!</v>
      </c>
      <c r="O35" s="97" t="e">
        <f>SUM(O26:O34)</f>
        <v>#REF!</v>
      </c>
      <c r="P35" s="97" t="e">
        <f>SUM(P26:P34)</f>
        <v>#REF!</v>
      </c>
      <c r="Q35" s="97" t="e">
        <f>SUM(Q26:Q34)</f>
        <v>#REF!</v>
      </c>
      <c r="S35" s="97" t="e">
        <f>SUM(S26:S34)</f>
        <v>#REF!</v>
      </c>
      <c r="T35" s="97" t="e">
        <f>SUM(T26:T34)</f>
        <v>#REF!</v>
      </c>
      <c r="U35" s="97" t="e">
        <f>SUM(U26:U34)</f>
        <v>#REF!</v>
      </c>
      <c r="W35" s="97" t="e">
        <f>SUM(W26:W34)</f>
        <v>#REF!</v>
      </c>
      <c r="X35" s="97" t="e">
        <f>SUM(X26:X34)</f>
        <v>#REF!</v>
      </c>
      <c r="Y35" s="97" t="e">
        <f>SUM(Y26:Y34)</f>
        <v>#REF!</v>
      </c>
      <c r="AA35" s="97" t="e">
        <f>SUM(AA26:AA34)</f>
        <v>#REF!</v>
      </c>
      <c r="AB35" s="97" t="e">
        <f>SUM(AB26:AB34)</f>
        <v>#REF!</v>
      </c>
      <c r="AC35" s="97" t="e">
        <f>SUM(AC26:AC34)</f>
        <v>#REF!</v>
      </c>
      <c r="AE35" s="97" t="e">
        <f>SUM(AE26:AE34)</f>
        <v>#REF!</v>
      </c>
      <c r="AF35" s="97" t="e">
        <f>SUM(AF26:AF34)</f>
        <v>#REF!</v>
      </c>
      <c r="AG35" s="97" t="e">
        <f>SUM(AG26:AG34)</f>
        <v>#REF!</v>
      </c>
    </row>
    <row r="36" spans="1:33" x14ac:dyDescent="0.25">
      <c r="A36" s="85"/>
      <c r="C36" s="97"/>
      <c r="D36" s="97"/>
      <c r="E36" s="97"/>
      <c r="G36" s="97"/>
      <c r="H36" s="97"/>
      <c r="I36" s="97"/>
      <c r="K36" s="97"/>
      <c r="L36" s="97"/>
      <c r="M36" s="97"/>
      <c r="O36" s="97"/>
      <c r="P36" s="97"/>
      <c r="Q36" s="97"/>
      <c r="S36" s="97"/>
      <c r="T36" s="97"/>
      <c r="U36" s="97"/>
      <c r="W36" s="97"/>
      <c r="X36" s="97"/>
      <c r="Y36" s="97"/>
      <c r="AA36" s="97"/>
      <c r="AB36" s="97"/>
      <c r="AC36" s="97"/>
      <c r="AE36" s="97"/>
      <c r="AF36" s="97"/>
      <c r="AG36" s="97"/>
    </row>
    <row r="37" spans="1:33" x14ac:dyDescent="0.25">
      <c r="A37" t="s">
        <v>1262</v>
      </c>
      <c r="C37" s="88" t="e">
        <f>SUM(D37:E37)</f>
        <v>#REF!</v>
      </c>
      <c r="D37" s="88" t="e">
        <f>SUMIF(#REF!,A37,#REF!)</f>
        <v>#REF!</v>
      </c>
      <c r="E37" s="88" t="e">
        <f>SUMIF(#REF!,A37,#REF!)</f>
        <v>#REF!</v>
      </c>
      <c r="G37" s="88" t="e">
        <f>SUM(H37:I37)</f>
        <v>#REF!</v>
      </c>
      <c r="H37" s="88" t="e">
        <f>SUMIF(ALIF_Y2016!H:H,A37,ALIF_Y2016!F:F)-D37</f>
        <v>#REF!</v>
      </c>
      <c r="I37" s="88" t="e">
        <f>SUMIF(#REF!,A37,#REF!)-E37</f>
        <v>#REF!</v>
      </c>
      <c r="K37" s="88" t="e">
        <f>SUM(L37:M37)</f>
        <v>#REF!</v>
      </c>
      <c r="L37" s="88" t="e">
        <f>D37+H37</f>
        <v>#REF!</v>
      </c>
      <c r="M37" s="88" t="e">
        <f>E37+I37</f>
        <v>#REF!</v>
      </c>
      <c r="O37" s="88" t="e">
        <f>SUM(P37:Q37)</f>
        <v>#REF!</v>
      </c>
      <c r="P37" s="88" t="e">
        <f>SUMIF(#REF!,A37,#REF!)</f>
        <v>#REF!</v>
      </c>
      <c r="Q37" s="88" t="e">
        <f>SUMIF(#REF!,A37,#REF!)</f>
        <v>#REF!</v>
      </c>
      <c r="S37" s="88" t="e">
        <f>SUM(T37:U37)</f>
        <v>#REF!</v>
      </c>
      <c r="T37" s="88" t="e">
        <f>SUMIF(#REF!,Q37,#REF!)</f>
        <v>#REF!</v>
      </c>
      <c r="U37" s="88" t="e">
        <f>SUMIF(#REF!,Q37,#REF!)</f>
        <v>#REF!</v>
      </c>
      <c r="W37" s="88" t="e">
        <f>SUM(X37:Y37)</f>
        <v>#REF!</v>
      </c>
      <c r="X37" s="88" t="e">
        <f>SUMIF(ALIF_Y2016!X:X,Q37,ALIF_Y2016!V:V)-T37</f>
        <v>#REF!</v>
      </c>
      <c r="Y37" s="88" t="e">
        <f>SUMIF(#REF!,Q37,#REF!)-U37</f>
        <v>#REF!</v>
      </c>
      <c r="AA37" s="88" t="e">
        <f>SUM(AB37:AC37)</f>
        <v>#REF!</v>
      </c>
      <c r="AB37" s="88" t="e">
        <f>T37+X37</f>
        <v>#REF!</v>
      </c>
      <c r="AC37" s="88" t="e">
        <f>U37+Y37</f>
        <v>#REF!</v>
      </c>
      <c r="AE37" s="88" t="e">
        <f>SUM(AF37:AG37)</f>
        <v>#REF!</v>
      </c>
      <c r="AF37" s="88" t="e">
        <f>SUMIF(#REF!,Q37,#REF!)</f>
        <v>#REF!</v>
      </c>
      <c r="AG37" s="88" t="e">
        <f>SUMIF(#REF!,Q37,#REF!)</f>
        <v>#REF!</v>
      </c>
    </row>
    <row r="38" spans="1:33" x14ac:dyDescent="0.25">
      <c r="A38" t="s">
        <v>702</v>
      </c>
      <c r="C38" s="94" t="e">
        <f>SUM(D38:E38)</f>
        <v>#REF!</v>
      </c>
      <c r="D38" s="94" t="e">
        <f>SUMIF(#REF!,A38,#REF!)</f>
        <v>#REF!</v>
      </c>
      <c r="E38" s="94" t="e">
        <f>SUMIF(#REF!,A38,#REF!)</f>
        <v>#REF!</v>
      </c>
      <c r="G38" s="94" t="e">
        <f>SUM(H38:I38)</f>
        <v>#REF!</v>
      </c>
      <c r="H38" s="88" t="e">
        <f>SUMIF(ALIF_Y2016!I:I,A38,ALIF_Y2016!F:F)-D38</f>
        <v>#REF!</v>
      </c>
      <c r="I38" s="88" t="e">
        <f>SUMIF(#REF!,A38,#REF!)-E38</f>
        <v>#REF!</v>
      </c>
      <c r="K38" s="94" t="e">
        <f>SUM(L38:M38)</f>
        <v>#REF!</v>
      </c>
      <c r="L38" s="88" t="e">
        <f>D38+H38</f>
        <v>#REF!</v>
      </c>
      <c r="M38" s="88" t="e">
        <f>E38+I38</f>
        <v>#REF!</v>
      </c>
      <c r="O38" s="94" t="e">
        <f>SUM(P38:Q38)</f>
        <v>#REF!</v>
      </c>
      <c r="P38" s="94" t="e">
        <f>SUMIF(#REF!,A38,#REF!)</f>
        <v>#REF!</v>
      </c>
      <c r="Q38" s="94" t="e">
        <f>SUMIF(#REF!,A38,#REF!)</f>
        <v>#REF!</v>
      </c>
      <c r="S38" s="94" t="e">
        <f>SUM(T38:U38)</f>
        <v>#REF!</v>
      </c>
      <c r="T38" s="94" t="e">
        <f>SUMIF(#REF!,Q38,#REF!)</f>
        <v>#REF!</v>
      </c>
      <c r="U38" s="94" t="e">
        <f>SUMIF(#REF!,Q38,#REF!)</f>
        <v>#REF!</v>
      </c>
      <c r="W38" s="94" t="e">
        <f>SUM(X38:Y38)</f>
        <v>#REF!</v>
      </c>
      <c r="X38" s="88" t="e">
        <f>SUMIF(ALIF_Y2016!Y:Y,Q38,ALIF_Y2016!V:V)-T38</f>
        <v>#REF!</v>
      </c>
      <c r="Y38" s="88" t="e">
        <f>SUMIF(#REF!,Q38,#REF!)-U38</f>
        <v>#REF!</v>
      </c>
      <c r="AA38" s="94" t="e">
        <f>SUM(AB38:AC38)</f>
        <v>#REF!</v>
      </c>
      <c r="AB38" s="88" t="e">
        <f>T38+X38</f>
        <v>#REF!</v>
      </c>
      <c r="AC38" s="88" t="e">
        <f>U38+Y38</f>
        <v>#REF!</v>
      </c>
      <c r="AE38" s="94" t="e">
        <f>SUM(AF38:AG38)</f>
        <v>#REF!</v>
      </c>
      <c r="AF38" s="94" t="e">
        <f>SUMIF(#REF!,Q38,#REF!)</f>
        <v>#REF!</v>
      </c>
      <c r="AG38" s="94" t="e">
        <f>SUMIF(#REF!,Q38,#REF!)</f>
        <v>#REF!</v>
      </c>
    </row>
    <row r="39" spans="1:33" ht="9" customHeight="1" x14ac:dyDescent="0.25">
      <c r="C39" s="90"/>
      <c r="D39" s="90"/>
      <c r="E39" s="90"/>
      <c r="G39" s="90"/>
      <c r="H39" s="90"/>
      <c r="I39" s="90"/>
      <c r="K39" s="90"/>
      <c r="L39" s="90"/>
      <c r="M39" s="90"/>
      <c r="O39" s="90"/>
      <c r="P39" s="90"/>
      <c r="Q39" s="90"/>
      <c r="S39" s="90"/>
      <c r="T39" s="90"/>
      <c r="U39" s="90"/>
      <c r="W39" s="90"/>
      <c r="X39" s="90"/>
      <c r="Y39" s="90"/>
      <c r="AA39" s="90"/>
      <c r="AB39" s="90"/>
      <c r="AC39" s="90"/>
      <c r="AE39" s="90"/>
      <c r="AF39" s="90"/>
      <c r="AG39" s="90"/>
    </row>
    <row r="40" spans="1:33" x14ac:dyDescent="0.25">
      <c r="A40" s="85" t="s">
        <v>1263</v>
      </c>
      <c r="C40" s="97" t="e">
        <f>C14-C24-C35-C37-C38</f>
        <v>#REF!</v>
      </c>
      <c r="D40" s="97" t="e">
        <f>D14-D24-D35-D37-D38</f>
        <v>#REF!</v>
      </c>
      <c r="E40" s="97" t="e">
        <f>E14-E24-E35-E37-E38</f>
        <v>#REF!</v>
      </c>
      <c r="G40" s="97" t="e">
        <f>G14-G24-G35-G37-G38</f>
        <v>#REF!</v>
      </c>
      <c r="H40" s="97" t="e">
        <f>H14-H24-H35-H37-H38</f>
        <v>#REF!</v>
      </c>
      <c r="I40" s="97" t="e">
        <f>I14-I24-I35-I37-I38</f>
        <v>#REF!</v>
      </c>
      <c r="K40" s="97" t="e">
        <f>K14-K24-K35-K37-K38</f>
        <v>#REF!</v>
      </c>
      <c r="L40" s="97" t="e">
        <f>L14-L24-L35-L37-L38</f>
        <v>#REF!</v>
      </c>
      <c r="M40" s="97" t="e">
        <f>M14-M24-M35-M37-M38</f>
        <v>#REF!</v>
      </c>
      <c r="O40" s="97" t="e">
        <f>O14-O24-O35-O37-O38</f>
        <v>#REF!</v>
      </c>
      <c r="P40" s="97" t="e">
        <f>P14-P24-P35-P37-P38</f>
        <v>#REF!</v>
      </c>
      <c r="Q40" s="97" t="e">
        <f>Q14-Q24-Q35-Q37-Q38</f>
        <v>#REF!</v>
      </c>
      <c r="S40" s="97" t="e">
        <f>S14-S24-S35-S37-S38</f>
        <v>#REF!</v>
      </c>
      <c r="T40" s="97" t="e">
        <f>T14-T24-T35-T37-T38</f>
        <v>#REF!</v>
      </c>
      <c r="U40" s="97" t="e">
        <f>U14-U24-U35-U37-U38</f>
        <v>#REF!</v>
      </c>
      <c r="W40" s="97" t="e">
        <f>W14-W24-W35-W37-W38</f>
        <v>#REF!</v>
      </c>
      <c r="X40" s="97" t="e">
        <f>X14-X24-X35-X37-X38</f>
        <v>#REF!</v>
      </c>
      <c r="Y40" s="97" t="e">
        <f>Y14-Y24-Y35-Y37-Y38</f>
        <v>#REF!</v>
      </c>
      <c r="AA40" s="97" t="e">
        <f>AA14-AA24-AA35-AA37-AA38</f>
        <v>#REF!</v>
      </c>
      <c r="AB40" s="97" t="e">
        <f>AB14-AB24-AB35-AB37-AB38</f>
        <v>#REF!</v>
      </c>
      <c r="AC40" s="97" t="e">
        <f>AC14-AC24-AC35-AC37-AC38</f>
        <v>#REF!</v>
      </c>
      <c r="AE40" s="97" t="e">
        <f>AE14-AE24-AE35-AE37-AE38</f>
        <v>#REF!</v>
      </c>
      <c r="AF40" s="97" t="e">
        <f>AF14-AF24-AF35-AF37-AF38</f>
        <v>#REF!</v>
      </c>
      <c r="AG40" s="97" t="e">
        <f>AG14-AG24-AG35-AG37-AG38</f>
        <v>#REF!</v>
      </c>
    </row>
    <row r="41" spans="1:33" ht="6" customHeight="1" x14ac:dyDescent="0.25">
      <c r="O41" s="94"/>
      <c r="P41" s="94"/>
      <c r="Q41" s="94"/>
      <c r="AE41" s="94"/>
      <c r="AF41" s="94"/>
      <c r="AG41" s="94"/>
    </row>
    <row r="42" spans="1:33" x14ac:dyDescent="0.25">
      <c r="A42" t="s">
        <v>709</v>
      </c>
      <c r="C42" s="88" t="e">
        <f>SUM(D42:E42)</f>
        <v>#REF!</v>
      </c>
      <c r="D42" s="88" t="e">
        <f>SUMIF(#REF!,A42,#REF!)</f>
        <v>#REF!</v>
      </c>
      <c r="E42" s="88" t="e">
        <f>SUMIF(#REF!,A42,#REF!)</f>
        <v>#REF!</v>
      </c>
      <c r="G42" s="88" t="e">
        <f>SUM(H42:I42)</f>
        <v>#REF!</v>
      </c>
      <c r="H42" s="88" t="e">
        <f>SUMIF(ALIF_Y2016!I:I,A42,ALIF_Y2016!F:F)-D42</f>
        <v>#REF!</v>
      </c>
      <c r="I42" s="88" t="e">
        <f>SUMIF(#REF!,A42,#REF!)-E42</f>
        <v>#REF!</v>
      </c>
      <c r="K42" s="88" t="e">
        <f>SUM(L42:M42)</f>
        <v>#REF!</v>
      </c>
      <c r="L42" s="88" t="e">
        <f t="shared" ref="L42:M44" si="22">D42+H42</f>
        <v>#REF!</v>
      </c>
      <c r="M42" s="88" t="e">
        <f t="shared" si="22"/>
        <v>#REF!</v>
      </c>
      <c r="O42" s="88" t="e">
        <f>SUM(P42:Q42)</f>
        <v>#REF!</v>
      </c>
      <c r="P42" s="88" t="e">
        <f>SUMIF(#REF!,A42,#REF!)</f>
        <v>#REF!</v>
      </c>
      <c r="Q42" s="88" t="e">
        <f>SUMIF(#REF!,A42,#REF!)</f>
        <v>#REF!</v>
      </c>
      <c r="S42" s="88" t="e">
        <f>SUM(T42:U42)</f>
        <v>#REF!</v>
      </c>
      <c r="T42" s="88" t="e">
        <f>SUMIF(#REF!,Q42,#REF!)</f>
        <v>#REF!</v>
      </c>
      <c r="U42" s="88" t="e">
        <f>SUMIF(#REF!,Q42,#REF!)</f>
        <v>#REF!</v>
      </c>
      <c r="W42" s="88" t="e">
        <f>SUM(X42:Y42)</f>
        <v>#REF!</v>
      </c>
      <c r="X42" s="88" t="e">
        <f>SUMIF(ALIF_Y2016!Y:Y,Q42,ALIF_Y2016!V:V)-T42</f>
        <v>#REF!</v>
      </c>
      <c r="Y42" s="88" t="e">
        <f>SUMIF(#REF!,Q42,#REF!)-U42</f>
        <v>#REF!</v>
      </c>
      <c r="AA42" s="88" t="e">
        <f>SUM(AB42:AC42)</f>
        <v>#REF!</v>
      </c>
      <c r="AB42" s="88" t="e">
        <f t="shared" ref="AB42:AC44" si="23">T42+X42</f>
        <v>#REF!</v>
      </c>
      <c r="AC42" s="88" t="e">
        <f t="shared" si="23"/>
        <v>#REF!</v>
      </c>
      <c r="AE42" s="88" t="e">
        <f>SUM(AF42:AG42)</f>
        <v>#REF!</v>
      </c>
      <c r="AF42" s="88" t="e">
        <f>SUMIF(#REF!,Q42,#REF!)</f>
        <v>#REF!</v>
      </c>
      <c r="AG42" s="88" t="e">
        <f>SUMIF(#REF!,Q42,#REF!)</f>
        <v>#REF!</v>
      </c>
    </row>
    <row r="43" spans="1:33" x14ac:dyDescent="0.25">
      <c r="A43" t="s">
        <v>705</v>
      </c>
      <c r="C43" s="94" t="e">
        <f>SUM(D43:E43)</f>
        <v>#REF!</v>
      </c>
      <c r="D43" s="88" t="e">
        <f>SUMIF(#REF!,A43,#REF!)</f>
        <v>#REF!</v>
      </c>
      <c r="E43" s="88" t="e">
        <f>SUMIF(#REF!,A43,#REF!)</f>
        <v>#REF!</v>
      </c>
      <c r="G43" s="94" t="e">
        <f>SUM(H43:I43)</f>
        <v>#REF!</v>
      </c>
      <c r="H43" s="88" t="e">
        <f>SUMIF(ALIF_Y2016!H:H,A43,ALIF_Y2016!F:F)-D43</f>
        <v>#REF!</v>
      </c>
      <c r="I43" s="88" t="e">
        <f>SUMIF(#REF!,A43,#REF!)-E43</f>
        <v>#REF!</v>
      </c>
      <c r="K43" s="94" t="e">
        <f>SUM(L43:M43)</f>
        <v>#REF!</v>
      </c>
      <c r="L43" s="88" t="e">
        <f t="shared" si="22"/>
        <v>#REF!</v>
      </c>
      <c r="M43" s="88" t="e">
        <f t="shared" si="22"/>
        <v>#REF!</v>
      </c>
      <c r="O43" s="94" t="e">
        <f>SUM(P43:Q43)</f>
        <v>#REF!</v>
      </c>
      <c r="P43" s="88" t="e">
        <f>SUMIF(#REF!,A43,#REF!)</f>
        <v>#REF!</v>
      </c>
      <c r="Q43" s="88" t="e">
        <f>SUMIF(#REF!,A43,#REF!)</f>
        <v>#REF!</v>
      </c>
      <c r="S43" s="94" t="e">
        <f>SUM(T43:U43)</f>
        <v>#REF!</v>
      </c>
      <c r="T43" s="88" t="e">
        <f>SUMIF(#REF!,Q43,#REF!)</f>
        <v>#REF!</v>
      </c>
      <c r="U43" s="88" t="e">
        <f>SUMIF(#REF!,Q43,#REF!)</f>
        <v>#REF!</v>
      </c>
      <c r="W43" s="94" t="e">
        <f>SUM(X43:Y43)</f>
        <v>#REF!</v>
      </c>
      <c r="X43" s="88" t="e">
        <f>SUMIF(ALIF_Y2016!X:X,Q43,ALIF_Y2016!V:V)-T43</f>
        <v>#REF!</v>
      </c>
      <c r="Y43" s="88" t="e">
        <f>SUMIF(#REF!,Q43,#REF!)-U43</f>
        <v>#REF!</v>
      </c>
      <c r="AA43" s="94" t="e">
        <f>SUM(AB43:AC43)</f>
        <v>#REF!</v>
      </c>
      <c r="AB43" s="88" t="e">
        <f t="shared" si="23"/>
        <v>#REF!</v>
      </c>
      <c r="AC43" s="88" t="e">
        <f t="shared" si="23"/>
        <v>#REF!</v>
      </c>
      <c r="AE43" s="94" t="e">
        <f>SUM(AF43:AG43)</f>
        <v>#REF!</v>
      </c>
      <c r="AF43" s="88" t="e">
        <f>SUMIF(#REF!,Q43,#REF!)</f>
        <v>#REF!</v>
      </c>
      <c r="AG43" s="88" t="e">
        <f>SUMIF(#REF!,Q43,#REF!)</f>
        <v>#REF!</v>
      </c>
    </row>
    <row r="44" spans="1:33" x14ac:dyDescent="0.25">
      <c r="A44" t="s">
        <v>714</v>
      </c>
      <c r="C44" s="88" t="e">
        <f>SUM(D44:E44)</f>
        <v>#REF!</v>
      </c>
      <c r="D44" s="88" t="e">
        <f>SUMIF(#REF!,A44,#REF!)</f>
        <v>#REF!</v>
      </c>
      <c r="E44" s="88" t="e">
        <f>SUMIF(#REF!,A44,#REF!)</f>
        <v>#REF!</v>
      </c>
      <c r="G44" s="88" t="e">
        <f>SUM(H44:I44)</f>
        <v>#REF!</v>
      </c>
      <c r="H44" s="88" t="e">
        <f>SUMIF(ALIF_Y2016!I:I,A44,ALIF_Y2016!F:F)-D44</f>
        <v>#REF!</v>
      </c>
      <c r="I44" s="88" t="e">
        <f>SUMIF(#REF!,A44,#REF!)-E44</f>
        <v>#REF!</v>
      </c>
      <c r="K44" s="88" t="e">
        <f>SUM(L44:M44)</f>
        <v>#REF!</v>
      </c>
      <c r="L44" s="88" t="e">
        <f t="shared" si="22"/>
        <v>#REF!</v>
      </c>
      <c r="M44" s="88" t="e">
        <f t="shared" si="22"/>
        <v>#REF!</v>
      </c>
      <c r="O44" s="88" t="e">
        <f>SUM(P44:Q44)</f>
        <v>#REF!</v>
      </c>
      <c r="P44" s="88" t="e">
        <f>-SUMIF(#REF!,A44,#REF!)</f>
        <v>#REF!</v>
      </c>
      <c r="Q44" s="88" t="e">
        <f>SUMIF(#REF!,A44,#REF!)</f>
        <v>#REF!</v>
      </c>
      <c r="S44" s="88" t="e">
        <f>SUM(T44:U44)</f>
        <v>#REF!</v>
      </c>
      <c r="T44" s="88" t="e">
        <f>SUMIF(#REF!,Q44,#REF!)</f>
        <v>#REF!</v>
      </c>
      <c r="U44" s="88" t="e">
        <f>SUMIF(#REF!,Q44,#REF!)</f>
        <v>#REF!</v>
      </c>
      <c r="W44" s="88" t="e">
        <f>SUM(X44:Y44)</f>
        <v>#REF!</v>
      </c>
      <c r="X44" s="88" t="e">
        <f>SUMIF(ALIF_Y2016!Y:Y,Q44,ALIF_Y2016!V:V)-T44</f>
        <v>#REF!</v>
      </c>
      <c r="Y44" s="88" t="e">
        <f>SUMIF(#REF!,Q44,#REF!)-U44</f>
        <v>#REF!</v>
      </c>
      <c r="AA44" s="88" t="e">
        <f>SUM(AB44:AC44)</f>
        <v>#REF!</v>
      </c>
      <c r="AB44" s="88" t="e">
        <f t="shared" si="23"/>
        <v>#REF!</v>
      </c>
      <c r="AC44" s="88" t="e">
        <f t="shared" si="23"/>
        <v>#REF!</v>
      </c>
      <c r="AE44" s="88" t="e">
        <f>SUM(AF44:AG44)</f>
        <v>#REF!</v>
      </c>
      <c r="AF44" s="88" t="e">
        <f>-SUMIF(#REF!,Q44,#REF!)</f>
        <v>#REF!</v>
      </c>
      <c r="AG44" s="88" t="e">
        <f>SUMIF(#REF!,Q44,#REF!)</f>
        <v>#REF!</v>
      </c>
    </row>
    <row r="45" spans="1:33" ht="7.9" customHeight="1" x14ac:dyDescent="0.25">
      <c r="O45" s="94"/>
      <c r="P45" s="94"/>
      <c r="Q45" s="94"/>
      <c r="AE45" s="94"/>
      <c r="AF45" s="94"/>
      <c r="AG45" s="94"/>
    </row>
    <row r="46" spans="1:33" ht="18.600000000000001" customHeight="1" x14ac:dyDescent="0.25">
      <c r="A46" s="102" t="s">
        <v>1235</v>
      </c>
      <c r="C46" s="118" t="e">
        <f>C40-C42-C43-C44</f>
        <v>#REF!</v>
      </c>
      <c r="D46" s="118" t="e">
        <f>D40-D42-D43-D44</f>
        <v>#REF!</v>
      </c>
      <c r="E46" s="118" t="e">
        <f>E40-E42-E43-E44</f>
        <v>#REF!</v>
      </c>
      <c r="G46" s="118" t="e">
        <f>G40-G42-G43-G44</f>
        <v>#REF!</v>
      </c>
      <c r="H46" s="118" t="e">
        <f>H40-H42-H43-H44</f>
        <v>#REF!</v>
      </c>
      <c r="I46" s="118" t="e">
        <f>I40-I42-I43-I44</f>
        <v>#REF!</v>
      </c>
      <c r="K46" s="118" t="e">
        <f>K40-K42-K43-K44</f>
        <v>#REF!</v>
      </c>
      <c r="L46" s="118" t="e">
        <f>L40-L42-L43-L44</f>
        <v>#REF!</v>
      </c>
      <c r="M46" s="118" t="e">
        <f>M40-M42-M43-M44</f>
        <v>#REF!</v>
      </c>
      <c r="O46" s="118" t="e">
        <f>O40-O42-O43-O44</f>
        <v>#REF!</v>
      </c>
      <c r="P46" s="118" t="e">
        <f>P40-P42-P43-P44</f>
        <v>#REF!</v>
      </c>
      <c r="Q46" s="118" t="e">
        <f>Q40-Q42-Q43-Q44</f>
        <v>#REF!</v>
      </c>
      <c r="S46" s="118" t="e">
        <f>S40-S42-S43-S44</f>
        <v>#REF!</v>
      </c>
      <c r="T46" s="118" t="e">
        <f>T40-T42-T43-T44</f>
        <v>#REF!</v>
      </c>
      <c r="U46" s="118" t="e">
        <f>U40-U42-U43-U44</f>
        <v>#REF!</v>
      </c>
      <c r="W46" s="118" t="e">
        <f>W40-W42-W43-W44</f>
        <v>#REF!</v>
      </c>
      <c r="X46" s="118" t="e">
        <f>X40-X42-X43-X44</f>
        <v>#REF!</v>
      </c>
      <c r="Y46" s="118" t="e">
        <f>Y40-Y42-Y43-Y44</f>
        <v>#REF!</v>
      </c>
      <c r="AA46" s="118" t="e">
        <f>AA40-AA42-AA43-AA44</f>
        <v>#REF!</v>
      </c>
      <c r="AB46" s="118" t="e">
        <f>AB40-AB42-AB43-AB44</f>
        <v>#REF!</v>
      </c>
      <c r="AC46" s="118" t="e">
        <f>AC40-AC42-AC43-AC44</f>
        <v>#REF!</v>
      </c>
      <c r="AE46" s="118" t="e">
        <f>AE40-AE42-AE43-AE44</f>
        <v>#REF!</v>
      </c>
      <c r="AF46" s="118" t="e">
        <f>AF40-AF42-AF43-AF44</f>
        <v>#REF!</v>
      </c>
      <c r="AG46" s="118" t="e">
        <f>AG40-AG42-AG43-AG44</f>
        <v>#REF!</v>
      </c>
    </row>
    <row r="47" spans="1:33" ht="15.75" customHeight="1" x14ac:dyDescent="0.25">
      <c r="C47" s="94" t="e">
        <f>C46-D46-E46</f>
        <v>#REF!</v>
      </c>
      <c r="D47" s="94" t="e">
        <f>SUMIF(#REF!,"IS",#REF!)+D46</f>
        <v>#REF!</v>
      </c>
      <c r="E47" s="94" t="e">
        <f>SUMIF(#REF!,"IS",#REF!)+E46</f>
        <v>#REF!</v>
      </c>
      <c r="G47" s="94" t="e">
        <f>G46-H46-I46</f>
        <v>#REF!</v>
      </c>
      <c r="H47" s="94" t="e">
        <f>-SUMIF(ALIF_Y2016!G:G,"IS",ALIF_Y2016!F:F)-H46-D46</f>
        <v>#REF!</v>
      </c>
      <c r="I47" s="94" t="e">
        <f>-SUMIF(#REF!,"IS",#REF!)-I46-E46</f>
        <v>#REF!</v>
      </c>
      <c r="K47" s="94" t="e">
        <f>K46-C46-G46</f>
        <v>#REF!</v>
      </c>
      <c r="L47" s="94" t="e">
        <f>L46-D46-H46</f>
        <v>#REF!</v>
      </c>
      <c r="M47" s="94" t="e">
        <f>M46-E46-I46</f>
        <v>#REF!</v>
      </c>
      <c r="O47" s="94" t="e">
        <f>O46-P46-Q46</f>
        <v>#REF!</v>
      </c>
      <c r="P47" s="94"/>
      <c r="Q47" s="94"/>
      <c r="S47" s="94" t="e">
        <f>S46-T46-U46</f>
        <v>#REF!</v>
      </c>
      <c r="T47" s="94" t="e">
        <f>SUMIF(#REF!,"IS",#REF!)+T46</f>
        <v>#REF!</v>
      </c>
      <c r="U47" s="94" t="e">
        <f>SUMIF(#REF!,"IS",#REF!)+U46</f>
        <v>#REF!</v>
      </c>
      <c r="W47" s="94" t="e">
        <f>W46-X46-Y46</f>
        <v>#REF!</v>
      </c>
      <c r="X47" s="94" t="e">
        <f>-SUMIF(ALIF_Y2016!W:W,"IS",ALIF_Y2016!V:V)-X46-T46</f>
        <v>#REF!</v>
      </c>
      <c r="Y47" s="94" t="e">
        <f>-SUMIF(#REF!,"IS",#REF!)-Y46-U46</f>
        <v>#REF!</v>
      </c>
      <c r="AA47" s="94" t="e">
        <f>AA46-S46-W46</f>
        <v>#REF!</v>
      </c>
      <c r="AB47" s="94" t="e">
        <f>AB46-T46-X46</f>
        <v>#REF!</v>
      </c>
      <c r="AC47" s="94" t="e">
        <f>AC46-U46-Y46</f>
        <v>#REF!</v>
      </c>
      <c r="AE47" s="94" t="e">
        <f>AE46-AF46-AG46</f>
        <v>#REF!</v>
      </c>
      <c r="AF47" s="94"/>
      <c r="AG47" s="94"/>
    </row>
    <row r="49" spans="2:33" x14ac:dyDescent="0.25">
      <c r="C49" s="119" t="s">
        <v>1264</v>
      </c>
      <c r="D49" s="119" t="s">
        <v>1251</v>
      </c>
      <c r="E49" s="119" t="s">
        <v>440</v>
      </c>
      <c r="F49" s="120"/>
      <c r="G49" s="119" t="s">
        <v>1264</v>
      </c>
      <c r="H49" s="119" t="s">
        <v>1265</v>
      </c>
      <c r="I49" s="119" t="s">
        <v>440</v>
      </c>
      <c r="J49" s="120"/>
      <c r="K49" s="119" t="s">
        <v>1264</v>
      </c>
      <c r="L49" s="119" t="s">
        <v>1265</v>
      </c>
      <c r="M49" s="119" t="s">
        <v>440</v>
      </c>
      <c r="N49" s="120"/>
      <c r="O49" s="119" t="s">
        <v>1264</v>
      </c>
      <c r="P49" s="119" t="s">
        <v>1251</v>
      </c>
      <c r="Q49" s="119" t="s">
        <v>440</v>
      </c>
      <c r="S49" s="119" t="s">
        <v>1264</v>
      </c>
      <c r="T49" s="119" t="s">
        <v>1251</v>
      </c>
      <c r="U49" s="119" t="s">
        <v>440</v>
      </c>
      <c r="V49" s="120"/>
      <c r="W49" s="119" t="s">
        <v>1264</v>
      </c>
      <c r="X49" s="119" t="s">
        <v>1265</v>
      </c>
      <c r="Y49" s="119" t="s">
        <v>440</v>
      </c>
      <c r="Z49" s="120"/>
      <c r="AA49" s="119" t="s">
        <v>1264</v>
      </c>
      <c r="AB49" s="119" t="s">
        <v>1265</v>
      </c>
      <c r="AC49" s="119" t="s">
        <v>440</v>
      </c>
      <c r="AD49" s="120"/>
      <c r="AE49" s="119" t="s">
        <v>1264</v>
      </c>
      <c r="AF49" s="119" t="s">
        <v>1251</v>
      </c>
      <c r="AG49" s="119" t="s">
        <v>440</v>
      </c>
    </row>
    <row r="50" spans="2:33" x14ac:dyDescent="0.25">
      <c r="B50" t="s">
        <v>641</v>
      </c>
      <c r="C50" s="94" t="e">
        <f>C6</f>
        <v>#REF!</v>
      </c>
      <c r="D50" s="94" t="e">
        <f>D6</f>
        <v>#REF!</v>
      </c>
      <c r="E50" s="94" t="e">
        <f>E6</f>
        <v>#REF!</v>
      </c>
      <c r="G50" s="94" t="e">
        <f>G6</f>
        <v>#REF!</v>
      </c>
      <c r="H50" s="94" t="e">
        <f>H6</f>
        <v>#REF!</v>
      </c>
      <c r="I50" s="94" t="e">
        <f>I6</f>
        <v>#REF!</v>
      </c>
      <c r="K50" s="94" t="e">
        <f>K6</f>
        <v>#REF!</v>
      </c>
      <c r="L50" s="94" t="e">
        <f>L6</f>
        <v>#REF!</v>
      </c>
      <c r="M50" s="94" t="e">
        <f>M6</f>
        <v>#REF!</v>
      </c>
      <c r="O50" s="94" t="e">
        <f>O6</f>
        <v>#REF!</v>
      </c>
      <c r="P50" s="94" t="e">
        <f>P6</f>
        <v>#REF!</v>
      </c>
      <c r="Q50" s="94" t="e">
        <f>Q6</f>
        <v>#REF!</v>
      </c>
      <c r="S50" s="94" t="e">
        <f>S6</f>
        <v>#REF!</v>
      </c>
      <c r="T50" s="94" t="e">
        <f>T6</f>
        <v>#REF!</v>
      </c>
      <c r="U50" s="94" t="e">
        <f>U6</f>
        <v>#REF!</v>
      </c>
      <c r="W50" s="94" t="e">
        <f>W6</f>
        <v>#REF!</v>
      </c>
      <c r="X50" s="94" t="e">
        <f>X6</f>
        <v>#REF!</v>
      </c>
      <c r="Y50" s="94" t="e">
        <f>Y6</f>
        <v>#REF!</v>
      </c>
      <c r="AA50" s="94" t="e">
        <f>AA6</f>
        <v>#REF!</v>
      </c>
      <c r="AB50" s="94" t="e">
        <f>AB6</f>
        <v>#REF!</v>
      </c>
      <c r="AC50" s="94" t="e">
        <f>AC6</f>
        <v>#REF!</v>
      </c>
      <c r="AE50" s="94" t="e">
        <f>AE6</f>
        <v>#REF!</v>
      </c>
      <c r="AF50" s="94" t="e">
        <f>AF6</f>
        <v>#REF!</v>
      </c>
      <c r="AG50" s="94" t="e">
        <f>AG6</f>
        <v>#REF!</v>
      </c>
    </row>
    <row r="51" spans="2:33" x14ac:dyDescent="0.25">
      <c r="B51" t="s">
        <v>1266</v>
      </c>
      <c r="C51" s="94" t="e">
        <f>C14</f>
        <v>#REF!</v>
      </c>
      <c r="D51" s="94" t="e">
        <f>D14</f>
        <v>#REF!</v>
      </c>
      <c r="E51" s="94" t="e">
        <f>E14</f>
        <v>#REF!</v>
      </c>
      <c r="G51" s="94" t="e">
        <f>G14</f>
        <v>#REF!</v>
      </c>
      <c r="H51" s="94" t="e">
        <f>H14</f>
        <v>#REF!</v>
      </c>
      <c r="I51" s="94" t="e">
        <f>I14</f>
        <v>#REF!</v>
      </c>
      <c r="K51" s="94" t="e">
        <f>K14</f>
        <v>#REF!</v>
      </c>
      <c r="L51" s="94" t="e">
        <f>L14</f>
        <v>#REF!</v>
      </c>
      <c r="M51" s="94" t="e">
        <f>M14</f>
        <v>#REF!</v>
      </c>
      <c r="O51" s="94" t="e">
        <f>O14</f>
        <v>#REF!</v>
      </c>
      <c r="P51" s="94" t="e">
        <f>P14</f>
        <v>#REF!</v>
      </c>
      <c r="Q51" s="94" t="e">
        <f>Q14</f>
        <v>#REF!</v>
      </c>
      <c r="S51" s="94" t="e">
        <f>S14</f>
        <v>#REF!</v>
      </c>
      <c r="T51" s="94" t="e">
        <f>T14</f>
        <v>#REF!</v>
      </c>
      <c r="U51" s="94" t="e">
        <f>U14</f>
        <v>#REF!</v>
      </c>
      <c r="W51" s="94" t="e">
        <f>W14</f>
        <v>#REF!</v>
      </c>
      <c r="X51" s="94" t="e">
        <f>X14</f>
        <v>#REF!</v>
      </c>
      <c r="Y51" s="94" t="e">
        <f>Y14</f>
        <v>#REF!</v>
      </c>
      <c r="AA51" s="94" t="e">
        <f>AA14</f>
        <v>#REF!</v>
      </c>
      <c r="AB51" s="94" t="e">
        <f>AB14</f>
        <v>#REF!</v>
      </c>
      <c r="AC51" s="94" t="e">
        <f>AC14</f>
        <v>#REF!</v>
      </c>
      <c r="AE51" s="94" t="e">
        <f>AE14</f>
        <v>#REF!</v>
      </c>
      <c r="AF51" s="94" t="e">
        <f>AF14</f>
        <v>#REF!</v>
      </c>
      <c r="AG51" s="94" t="e">
        <f>AG14</f>
        <v>#REF!</v>
      </c>
    </row>
    <row r="52" spans="2:33" x14ac:dyDescent="0.25">
      <c r="B52" t="s">
        <v>1267</v>
      </c>
      <c r="C52" s="94" t="e">
        <f>C46</f>
        <v>#REF!</v>
      </c>
      <c r="D52" s="94" t="e">
        <f>D46</f>
        <v>#REF!</v>
      </c>
      <c r="E52" s="94" t="e">
        <f>E46</f>
        <v>#REF!</v>
      </c>
      <c r="G52" s="94" t="e">
        <f>G46</f>
        <v>#REF!</v>
      </c>
      <c r="H52" s="94" t="e">
        <f>H46</f>
        <v>#REF!</v>
      </c>
      <c r="I52" s="94" t="e">
        <f>I46</f>
        <v>#REF!</v>
      </c>
      <c r="K52" s="94" t="e">
        <f>K46</f>
        <v>#REF!</v>
      </c>
      <c r="L52" s="94" t="e">
        <f>L46</f>
        <v>#REF!</v>
      </c>
      <c r="M52" s="94" t="e">
        <f>M46</f>
        <v>#REF!</v>
      </c>
      <c r="O52" s="94" t="e">
        <f>O46</f>
        <v>#REF!</v>
      </c>
      <c r="P52" s="94" t="e">
        <f>P46</f>
        <v>#REF!</v>
      </c>
      <c r="Q52" s="94" t="e">
        <f>Q46</f>
        <v>#REF!</v>
      </c>
      <c r="S52" s="94" t="e">
        <f>S46</f>
        <v>#REF!</v>
      </c>
      <c r="T52" s="94" t="e">
        <f>T46</f>
        <v>#REF!</v>
      </c>
      <c r="U52" s="94" t="e">
        <f>U46</f>
        <v>#REF!</v>
      </c>
      <c r="W52" s="94" t="e">
        <f>W46</f>
        <v>#REF!</v>
      </c>
      <c r="X52" s="94" t="e">
        <f>X46</f>
        <v>#REF!</v>
      </c>
      <c r="Y52" s="94" t="e">
        <f>Y46</f>
        <v>#REF!</v>
      </c>
      <c r="AA52" s="94" t="e">
        <f>AA46</f>
        <v>#REF!</v>
      </c>
      <c r="AB52" s="94" t="e">
        <f>AB46</f>
        <v>#REF!</v>
      </c>
      <c r="AC52" s="94" t="e">
        <f>AC46</f>
        <v>#REF!</v>
      </c>
      <c r="AE52" s="94" t="e">
        <f>AE46</f>
        <v>#REF!</v>
      </c>
      <c r="AF52" s="94" t="e">
        <f>AF46</f>
        <v>#REF!</v>
      </c>
      <c r="AG52" s="94" t="e">
        <f>AG46</f>
        <v>#REF!</v>
      </c>
    </row>
    <row r="53" spans="2:33" x14ac:dyDescent="0.25">
      <c r="B53" t="s">
        <v>1179</v>
      </c>
      <c r="C53" s="94" t="e">
        <f>C40</f>
        <v>#REF!</v>
      </c>
      <c r="D53" s="94" t="e">
        <f>D40</f>
        <v>#REF!</v>
      </c>
      <c r="E53" s="94" t="e">
        <f>E40</f>
        <v>#REF!</v>
      </c>
      <c r="G53" s="94" t="e">
        <f>G40</f>
        <v>#REF!</v>
      </c>
      <c r="H53" s="94" t="e">
        <f>H40</f>
        <v>#REF!</v>
      </c>
      <c r="I53" s="94" t="e">
        <f>I40</f>
        <v>#REF!</v>
      </c>
      <c r="K53" s="94" t="e">
        <f>K40</f>
        <v>#REF!</v>
      </c>
      <c r="L53" s="94" t="e">
        <f>L40</f>
        <v>#REF!</v>
      </c>
      <c r="M53" s="94" t="e">
        <f>M40</f>
        <v>#REF!</v>
      </c>
      <c r="O53" s="94" t="e">
        <f>O40</f>
        <v>#REF!</v>
      </c>
      <c r="P53" s="94" t="e">
        <f>P40</f>
        <v>#REF!</v>
      </c>
      <c r="Q53" s="94" t="e">
        <f>Q40</f>
        <v>#REF!</v>
      </c>
      <c r="S53" s="94" t="e">
        <f>S40</f>
        <v>#REF!</v>
      </c>
      <c r="T53" s="94" t="e">
        <f>T40</f>
        <v>#REF!</v>
      </c>
      <c r="U53" s="94" t="e">
        <f>U40</f>
        <v>#REF!</v>
      </c>
      <c r="W53" s="94" t="e">
        <f>W40</f>
        <v>#REF!</v>
      </c>
      <c r="X53" s="94" t="e">
        <f>X40</f>
        <v>#REF!</v>
      </c>
      <c r="Y53" s="94" t="e">
        <f>Y40</f>
        <v>#REF!</v>
      </c>
      <c r="AA53" s="94" t="e">
        <f>AA40</f>
        <v>#REF!</v>
      </c>
      <c r="AB53" s="94" t="e">
        <f>AB40</f>
        <v>#REF!</v>
      </c>
      <c r="AC53" s="94" t="e">
        <f>AC40</f>
        <v>#REF!</v>
      </c>
      <c r="AE53" s="94" t="e">
        <f>AE40</f>
        <v>#REF!</v>
      </c>
      <c r="AF53" s="94" t="e">
        <f>AF40</f>
        <v>#REF!</v>
      </c>
      <c r="AG53" s="94" t="e">
        <f>AG40</f>
        <v>#REF!</v>
      </c>
    </row>
    <row r="54" spans="2:33" x14ac:dyDescent="0.25">
      <c r="B54" t="s">
        <v>1268</v>
      </c>
      <c r="C54" s="116" t="e">
        <f>C46/BS!E42</f>
        <v>#REF!</v>
      </c>
      <c r="D54" s="116" t="e">
        <f>D46/BS!F42</f>
        <v>#REF!</v>
      </c>
      <c r="E54" s="116" t="e">
        <f>E46/BS!G42</f>
        <v>#REF!</v>
      </c>
      <c r="G54" s="116" t="e">
        <f>G46/BS!I42</f>
        <v>#REF!</v>
      </c>
      <c r="H54" s="116" t="e">
        <f>H46/BS!#REF!</f>
        <v>#REF!</v>
      </c>
      <c r="I54" s="116" t="e">
        <f>I46/BS!#REF!</f>
        <v>#REF!</v>
      </c>
      <c r="K54" s="116" t="e">
        <f>K46/BS!#REF!</f>
        <v>#REF!</v>
      </c>
      <c r="L54" s="116" t="e">
        <f>L46/BS!#REF!</f>
        <v>#REF!</v>
      </c>
      <c r="M54" s="116" t="e">
        <f>M46/BS!#REF!</f>
        <v>#REF!</v>
      </c>
      <c r="O54" s="116" t="e">
        <f>O46/BS!#REF!</f>
        <v>#REF!</v>
      </c>
      <c r="P54" s="116" t="e">
        <f>P46/BS!#REF!</f>
        <v>#REF!</v>
      </c>
      <c r="Q54" s="116" t="e">
        <f>Q46/BS!#REF!</f>
        <v>#REF!</v>
      </c>
      <c r="S54" s="116" t="e">
        <f>S46/BS!#REF!</f>
        <v>#REF!</v>
      </c>
      <c r="T54" s="116" t="e">
        <f>T46/BS!#REF!</f>
        <v>#REF!</v>
      </c>
      <c r="U54" s="116" t="e">
        <f>U46/BS!#REF!</f>
        <v>#REF!</v>
      </c>
      <c r="W54" s="116" t="e">
        <f>W46/BS!#REF!</f>
        <v>#REF!</v>
      </c>
      <c r="X54" s="116" t="e">
        <f>X46/BS!#REF!</f>
        <v>#REF!</v>
      </c>
      <c r="Y54" s="116" t="e">
        <f>Y46/BS!#REF!</f>
        <v>#REF!</v>
      </c>
      <c r="AA54" s="116" t="e">
        <f>AA46/BS!#REF!</f>
        <v>#REF!</v>
      </c>
      <c r="AB54" s="116" t="e">
        <f>AB46/BS!#REF!</f>
        <v>#REF!</v>
      </c>
      <c r="AC54" s="116" t="e">
        <f>AC46/BS!#REF!</f>
        <v>#REF!</v>
      </c>
      <c r="AE54" s="116" t="e">
        <f>AE46/BS!#REF!</f>
        <v>#REF!</v>
      </c>
      <c r="AF54" s="116" t="e">
        <f>AF46/BS!#REF!</f>
        <v>#REF!</v>
      </c>
      <c r="AG54" s="116" t="e">
        <f>AG46/BS!#REF!</f>
        <v>#REF!</v>
      </c>
    </row>
    <row r="56" spans="2:33" x14ac:dyDescent="0.25">
      <c r="B56" t="s">
        <v>1238</v>
      </c>
      <c r="C56" s="121" t="e">
        <f>C12/C6</f>
        <v>#REF!</v>
      </c>
      <c r="D56" s="121" t="e">
        <f>D12/D6</f>
        <v>#REF!</v>
      </c>
      <c r="E56" s="121" t="e">
        <f>E12/E6</f>
        <v>#REF!</v>
      </c>
      <c r="G56" s="121" t="e">
        <f>G12/G6</f>
        <v>#REF!</v>
      </c>
      <c r="H56" s="121" t="e">
        <f>H12/H6</f>
        <v>#REF!</v>
      </c>
      <c r="I56" s="121" t="e">
        <f>I12/I6</f>
        <v>#REF!</v>
      </c>
      <c r="K56" s="121" t="e">
        <f>K12/K6</f>
        <v>#REF!</v>
      </c>
      <c r="L56" s="121" t="e">
        <f>L12/L6</f>
        <v>#REF!</v>
      </c>
      <c r="M56" s="121" t="e">
        <f>M12/M6</f>
        <v>#REF!</v>
      </c>
      <c r="S56" s="121" t="e">
        <f>S12/S6</f>
        <v>#REF!</v>
      </c>
      <c r="T56" s="121" t="e">
        <f>T12/T6</f>
        <v>#REF!</v>
      </c>
      <c r="U56" s="121" t="e">
        <f>U12/U6</f>
        <v>#REF!</v>
      </c>
      <c r="W56" s="121" t="e">
        <f>W12/W6</f>
        <v>#REF!</v>
      </c>
      <c r="X56" s="121" t="e">
        <f>X12/X6</f>
        <v>#REF!</v>
      </c>
      <c r="Y56" s="121" t="e">
        <f>Y12/Y6</f>
        <v>#REF!</v>
      </c>
      <c r="AA56" s="121" t="e">
        <f>AA12/AA6</f>
        <v>#REF!</v>
      </c>
      <c r="AB56" s="121" t="e">
        <f>AB12/AB6</f>
        <v>#REF!</v>
      </c>
      <c r="AC56" s="121" t="e">
        <f>AC12/AC6</f>
        <v>#REF!</v>
      </c>
    </row>
    <row r="57" spans="2:33" x14ac:dyDescent="0.25">
      <c r="B57" t="s">
        <v>1239</v>
      </c>
      <c r="C57" s="121" t="e">
        <f>C14/C6</f>
        <v>#REF!</v>
      </c>
      <c r="D57" s="121" t="e">
        <f>D14/D6</f>
        <v>#REF!</v>
      </c>
      <c r="E57" s="121" t="e">
        <f>E14/E6</f>
        <v>#REF!</v>
      </c>
      <c r="G57" s="121" t="e">
        <f>G14/G6</f>
        <v>#REF!</v>
      </c>
      <c r="H57" s="121" t="e">
        <f>H14/H6</f>
        <v>#REF!</v>
      </c>
      <c r="I57" s="121" t="e">
        <f>I14/I6</f>
        <v>#REF!</v>
      </c>
      <c r="K57" s="121" t="e">
        <f>K14/K6</f>
        <v>#REF!</v>
      </c>
      <c r="L57" s="121" t="e">
        <f>L14/L6</f>
        <v>#REF!</v>
      </c>
      <c r="M57" s="121" t="e">
        <f>M14/M6</f>
        <v>#REF!</v>
      </c>
      <c r="S57" s="121" t="e">
        <f>S14/S6</f>
        <v>#REF!</v>
      </c>
      <c r="T57" s="121" t="e">
        <f>T14/T6</f>
        <v>#REF!</v>
      </c>
      <c r="U57" s="121" t="e">
        <f>U14/U6</f>
        <v>#REF!</v>
      </c>
      <c r="W57" s="121" t="e">
        <f>W14/W6</f>
        <v>#REF!</v>
      </c>
      <c r="X57" s="121" t="e">
        <f>X14/X6</f>
        <v>#REF!</v>
      </c>
      <c r="Y57" s="121" t="e">
        <f>Y14/Y6</f>
        <v>#REF!</v>
      </c>
      <c r="AA57" s="121" t="e">
        <f>AA14/AA6</f>
        <v>#REF!</v>
      </c>
      <c r="AB57" s="121" t="e">
        <f>AB14/AB6</f>
        <v>#REF!</v>
      </c>
      <c r="AC57" s="121" t="e">
        <f>AC14/AC6</f>
        <v>#REF!</v>
      </c>
    </row>
    <row r="58" spans="2:33" x14ac:dyDescent="0.25">
      <c r="B58" t="s">
        <v>1240</v>
      </c>
      <c r="C58" s="121" t="e">
        <f>C24/C6</f>
        <v>#REF!</v>
      </c>
      <c r="D58" s="121" t="e">
        <f>D24/D6</f>
        <v>#REF!</v>
      </c>
      <c r="E58" s="121" t="e">
        <f>E24/E6</f>
        <v>#REF!</v>
      </c>
      <c r="G58" s="121" t="e">
        <f>G24/G6</f>
        <v>#REF!</v>
      </c>
      <c r="H58" s="121" t="e">
        <f>H24/H6</f>
        <v>#REF!</v>
      </c>
      <c r="I58" s="121" t="e">
        <f>I24/I6</f>
        <v>#REF!</v>
      </c>
      <c r="K58" s="121" t="e">
        <f>K24/K6</f>
        <v>#REF!</v>
      </c>
      <c r="L58" s="121" t="e">
        <f>L24/L6</f>
        <v>#REF!</v>
      </c>
      <c r="M58" s="121" t="e">
        <f>M24/M6</f>
        <v>#REF!</v>
      </c>
      <c r="S58" s="121" t="e">
        <f>S24/S6</f>
        <v>#REF!</v>
      </c>
      <c r="T58" s="121" t="e">
        <f>T24/T6</f>
        <v>#REF!</v>
      </c>
      <c r="U58" s="121" t="e">
        <f>U24/U6</f>
        <v>#REF!</v>
      </c>
      <c r="W58" s="121" t="e">
        <f>W24/W6</f>
        <v>#REF!</v>
      </c>
      <c r="X58" s="121" t="e">
        <f>X24/X6</f>
        <v>#REF!</v>
      </c>
      <c r="Y58" s="121" t="e">
        <f>Y24/Y6</f>
        <v>#REF!</v>
      </c>
      <c r="AA58" s="121" t="e">
        <f>AA24/AA6</f>
        <v>#REF!</v>
      </c>
      <c r="AB58" s="121" t="e">
        <f>AB24/AB6</f>
        <v>#REF!</v>
      </c>
      <c r="AC58" s="121" t="e">
        <f>AC24/AC6</f>
        <v>#REF!</v>
      </c>
    </row>
    <row r="59" spans="2:33" x14ac:dyDescent="0.25">
      <c r="B59" t="s">
        <v>1241</v>
      </c>
      <c r="C59" s="121" t="e">
        <f>C35/C6</f>
        <v>#REF!</v>
      </c>
      <c r="D59" s="121" t="e">
        <f>D35/D6</f>
        <v>#REF!</v>
      </c>
      <c r="E59" s="121" t="e">
        <f>E35/E6</f>
        <v>#REF!</v>
      </c>
      <c r="G59" s="121" t="e">
        <f>G35/G6</f>
        <v>#REF!</v>
      </c>
      <c r="H59" s="121" t="e">
        <f>H35/H6</f>
        <v>#REF!</v>
      </c>
      <c r="I59" s="121" t="e">
        <f>I35/I6</f>
        <v>#REF!</v>
      </c>
      <c r="K59" s="121" t="e">
        <f>K35/K6</f>
        <v>#REF!</v>
      </c>
      <c r="L59" s="121" t="e">
        <f>L35/L6</f>
        <v>#REF!</v>
      </c>
      <c r="M59" s="121" t="e">
        <f>M35/M6</f>
        <v>#REF!</v>
      </c>
      <c r="S59" s="121" t="e">
        <f>S35/S6</f>
        <v>#REF!</v>
      </c>
      <c r="T59" s="121" t="e">
        <f>T35/T6</f>
        <v>#REF!</v>
      </c>
      <c r="U59" s="121" t="e">
        <f>U35/U6</f>
        <v>#REF!</v>
      </c>
      <c r="W59" s="121" t="e">
        <f>W35/W6</f>
        <v>#REF!</v>
      </c>
      <c r="X59" s="121" t="e">
        <f>X35/X6</f>
        <v>#REF!</v>
      </c>
      <c r="Y59" s="121" t="e">
        <f>Y35/Y6</f>
        <v>#REF!</v>
      </c>
      <c r="AA59" s="121" t="e">
        <f>AA35/AA6</f>
        <v>#REF!</v>
      </c>
      <c r="AB59" s="121" t="e">
        <f>AB35/AB6</f>
        <v>#REF!</v>
      </c>
      <c r="AC59" s="121" t="e">
        <f>AC35/AC6</f>
        <v>#REF!</v>
      </c>
    </row>
    <row r="60" spans="2:33" x14ac:dyDescent="0.25">
      <c r="B60" t="s">
        <v>1242</v>
      </c>
      <c r="C60" s="121" t="e">
        <f>C42/C6</f>
        <v>#REF!</v>
      </c>
      <c r="D60" s="121" t="e">
        <f>D42/D6</f>
        <v>#REF!</v>
      </c>
      <c r="E60" s="121" t="e">
        <f>E42/E6</f>
        <v>#REF!</v>
      </c>
      <c r="G60" s="121" t="e">
        <f>G42/G6</f>
        <v>#REF!</v>
      </c>
      <c r="H60" s="121" t="e">
        <f>H42/H6</f>
        <v>#REF!</v>
      </c>
      <c r="I60" s="121" t="e">
        <f>I42/I6</f>
        <v>#REF!</v>
      </c>
      <c r="K60" s="121" t="e">
        <f>K42/K6</f>
        <v>#REF!</v>
      </c>
      <c r="L60" s="121" t="e">
        <f>L42/L6</f>
        <v>#REF!</v>
      </c>
      <c r="M60" s="121" t="e">
        <f>M42/M6</f>
        <v>#REF!</v>
      </c>
      <c r="S60" s="121" t="e">
        <f>S42/S6</f>
        <v>#REF!</v>
      </c>
      <c r="T60" s="121" t="e">
        <f>T42/T6</f>
        <v>#REF!</v>
      </c>
      <c r="U60" s="121" t="e">
        <f>U42/U6</f>
        <v>#REF!</v>
      </c>
      <c r="W60" s="121" t="e">
        <f>W42/W6</f>
        <v>#REF!</v>
      </c>
      <c r="X60" s="121" t="e">
        <f>X42/X6</f>
        <v>#REF!</v>
      </c>
      <c r="Y60" s="121" t="e">
        <f>Y42/Y6</f>
        <v>#REF!</v>
      </c>
      <c r="AA60" s="121" t="e">
        <f>AA42/AA6</f>
        <v>#REF!</v>
      </c>
      <c r="AB60" s="121" t="e">
        <f>AB42/AB6</f>
        <v>#REF!</v>
      </c>
      <c r="AC60" s="121" t="e">
        <f>AC42/AC6</f>
        <v>#REF!</v>
      </c>
    </row>
    <row r="61" spans="2:33" x14ac:dyDescent="0.25">
      <c r="B61" t="s">
        <v>1243</v>
      </c>
      <c r="C61" s="121" t="e">
        <f>C43/C6</f>
        <v>#REF!</v>
      </c>
      <c r="D61" s="121" t="e">
        <f>D43/D6</f>
        <v>#REF!</v>
      </c>
      <c r="E61" s="121" t="e">
        <f>E43/E6</f>
        <v>#REF!</v>
      </c>
      <c r="G61" s="121" t="e">
        <f>G43/G6</f>
        <v>#REF!</v>
      </c>
      <c r="H61" s="121" t="e">
        <f>H43/H6</f>
        <v>#REF!</v>
      </c>
      <c r="I61" s="121" t="e">
        <f>I43/I6</f>
        <v>#REF!</v>
      </c>
      <c r="K61" s="121" t="e">
        <f>K43/K6</f>
        <v>#REF!</v>
      </c>
      <c r="L61" s="121" t="e">
        <f>L43/L6</f>
        <v>#REF!</v>
      </c>
      <c r="M61" s="121" t="e">
        <f>M43/M6</f>
        <v>#REF!</v>
      </c>
      <c r="S61" s="121" t="e">
        <f>S43/S6</f>
        <v>#REF!</v>
      </c>
      <c r="T61" s="121" t="e">
        <f>T43/T6</f>
        <v>#REF!</v>
      </c>
      <c r="U61" s="121" t="e">
        <f>U43/U6</f>
        <v>#REF!</v>
      </c>
      <c r="W61" s="121" t="e">
        <f>W43/W6</f>
        <v>#REF!</v>
      </c>
      <c r="X61" s="121" t="e">
        <f>X43/X6</f>
        <v>#REF!</v>
      </c>
      <c r="Y61" s="121" t="e">
        <f>Y43/Y6</f>
        <v>#REF!</v>
      </c>
      <c r="AA61" s="121" t="e">
        <f>AA43/AA6</f>
        <v>#REF!</v>
      </c>
      <c r="AB61" s="121" t="e">
        <f>AB43/AB6</f>
        <v>#REF!</v>
      </c>
      <c r="AC61" s="121" t="e">
        <f>AC43/AC6</f>
        <v>#REF!</v>
      </c>
    </row>
    <row r="63" spans="2:33" x14ac:dyDescent="0.25">
      <c r="C63" s="94">
        <v>-8809144.3254262675</v>
      </c>
      <c r="D63" s="94">
        <v>-8403518.1605990119</v>
      </c>
      <c r="E63" s="94">
        <v>-405626.16482725018</v>
      </c>
      <c r="G63" s="94">
        <v>-8809144.3254262675</v>
      </c>
      <c r="H63" s="94">
        <v>-8403518.1605990119</v>
      </c>
      <c r="I63" s="94">
        <v>-405626.16482725018</v>
      </c>
      <c r="K63" s="94">
        <v>-8809144.3254262675</v>
      </c>
      <c r="L63" s="94">
        <v>-8403518.1605990119</v>
      </c>
      <c r="M63" s="94">
        <v>-405626.16482725018</v>
      </c>
      <c r="S63" s="94">
        <v>-8809144.3254262675</v>
      </c>
      <c r="T63" s="94">
        <v>-8403518.1605990119</v>
      </c>
      <c r="U63" s="94">
        <v>-405626.16482725018</v>
      </c>
      <c r="W63" s="94">
        <v>-8809144.3254262675</v>
      </c>
      <c r="X63" s="94">
        <v>-8403518.1605990119</v>
      </c>
      <c r="Y63" s="94">
        <v>-405626.16482725018</v>
      </c>
      <c r="AA63" s="94">
        <v>-8809144.3254262675</v>
      </c>
      <c r="AB63" s="94">
        <v>-8403518.1605990119</v>
      </c>
      <c r="AC63" s="94">
        <v>-405626.16482725018</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00"/>
  </sheetPr>
  <dimension ref="A1:T57"/>
  <sheetViews>
    <sheetView showGridLines="0" zoomScale="90" workbookViewId="0">
      <pane xSplit="1" ySplit="4" topLeftCell="B5" activePane="bottomRight" state="frozen"/>
      <selection pane="topRight"/>
      <selection pane="bottomLeft"/>
      <selection pane="bottomRight"/>
    </sheetView>
  </sheetViews>
  <sheetFormatPr defaultRowHeight="15" x14ac:dyDescent="0.25"/>
  <cols>
    <col min="1" max="1" width="42.85546875" customWidth="1"/>
    <col min="2" max="2" width="11.28515625" customWidth="1"/>
    <col min="4" max="4" width="12.28515625" customWidth="1"/>
    <col min="5" max="5" width="11.28515625" customWidth="1"/>
    <col min="7" max="7" width="12.28515625" customWidth="1"/>
    <col min="8" max="8" width="11.5703125" customWidth="1"/>
    <col min="9" max="9" width="12.28515625" customWidth="1"/>
    <col min="10" max="10" width="11.7109375" customWidth="1"/>
    <col min="12" max="12" width="12.140625" customWidth="1"/>
    <col min="13" max="13" width="3.28515625" customWidth="1"/>
    <col min="14" max="14" width="12.140625" customWidth="1"/>
    <col min="15" max="15" width="8.85546875" customWidth="1"/>
    <col min="16" max="16" width="13.7109375" customWidth="1"/>
    <col min="21" max="21" width="8.85546875" customWidth="1"/>
  </cols>
  <sheetData>
    <row r="1" spans="1:20" x14ac:dyDescent="0.25">
      <c r="A1" s="46" t="s">
        <v>1207</v>
      </c>
    </row>
    <row r="2" spans="1:20" x14ac:dyDescent="0.25">
      <c r="A2" s="46" t="s">
        <v>1269</v>
      </c>
    </row>
    <row r="3" spans="1:20" x14ac:dyDescent="0.25">
      <c r="A3" s="46" t="str">
        <f>BS!A3</f>
        <v>31 December 2025</v>
      </c>
    </row>
    <row r="4" spans="1:20" x14ac:dyDescent="0.25">
      <c r="B4" s="122" t="s">
        <v>1270</v>
      </c>
      <c r="C4" s="122" t="s">
        <v>1271</v>
      </c>
      <c r="D4" s="122" t="s">
        <v>1272</v>
      </c>
      <c r="E4" s="122" t="s">
        <v>1273</v>
      </c>
      <c r="F4" s="122" t="s">
        <v>1274</v>
      </c>
      <c r="G4" s="122" t="s">
        <v>1275</v>
      </c>
      <c r="H4" s="122" t="s">
        <v>1276</v>
      </c>
      <c r="I4" s="122" t="s">
        <v>1277</v>
      </c>
      <c r="J4" s="122" t="s">
        <v>1278</v>
      </c>
      <c r="K4" s="122" t="s">
        <v>1279</v>
      </c>
      <c r="L4" s="122" t="s">
        <v>1280</v>
      </c>
      <c r="N4" s="122" t="s">
        <v>1281</v>
      </c>
      <c r="P4" s="123" t="s">
        <v>1282</v>
      </c>
      <c r="Q4" s="123" t="s">
        <v>1283</v>
      </c>
      <c r="R4" s="123" t="s">
        <v>1284</v>
      </c>
      <c r="S4" s="123" t="str">
        <f>K4&amp;" - "&amp;L4</f>
        <v>Oct - Nov</v>
      </c>
      <c r="T4" s="124" t="s">
        <v>1281</v>
      </c>
    </row>
    <row r="5" spans="1:20" x14ac:dyDescent="0.25">
      <c r="A5" s="125" t="s">
        <v>284</v>
      </c>
      <c r="B5" s="126"/>
      <c r="C5" s="126"/>
      <c r="D5" s="126"/>
      <c r="E5" s="126"/>
      <c r="F5" s="126"/>
      <c r="G5" s="126"/>
      <c r="H5" s="126"/>
      <c r="I5" s="126"/>
      <c r="J5" s="126"/>
      <c r="K5" s="126"/>
      <c r="L5" s="126"/>
      <c r="N5" s="126"/>
      <c r="P5" s="126"/>
      <c r="Q5" s="126"/>
      <c r="R5" s="126"/>
      <c r="S5" s="126"/>
      <c r="T5" s="126"/>
    </row>
    <row r="6" spans="1:20" x14ac:dyDescent="0.25">
      <c r="A6" s="127" t="s">
        <v>1285</v>
      </c>
      <c r="B6" s="126" t="e">
        <f>'P&amp;L_2014-2025'!#REF!</f>
        <v>#REF!</v>
      </c>
      <c r="C6" s="126" t="e">
        <f>'P&amp;L_2014-2025'!#REF!</f>
        <v>#REF!</v>
      </c>
      <c r="D6" s="126" t="e">
        <f>'P&amp;L_2014-2025'!#REF!</f>
        <v>#REF!</v>
      </c>
      <c r="E6" s="126" t="e">
        <f>'P&amp;L_2014-2025'!#REF!</f>
        <v>#REF!</v>
      </c>
      <c r="F6" s="126" t="e">
        <f>'P&amp;L_2014-2025'!#REF!</f>
        <v>#REF!</v>
      </c>
      <c r="G6" s="126" t="e">
        <f>'P&amp;L_2014-2025'!#REF!</f>
        <v>#REF!</v>
      </c>
      <c r="H6" s="126" t="e">
        <f>'P&amp;L_2014-2025'!#REF!</f>
        <v>#REF!</v>
      </c>
      <c r="I6" s="126" t="e">
        <f>'P&amp;L_2014-2025'!#REF!</f>
        <v>#REF!</v>
      </c>
      <c r="J6" s="126" t="e">
        <f>'P&amp;L_2014-2025'!#REF!</f>
        <v>#REF!</v>
      </c>
      <c r="K6" s="126" t="e">
        <f>'P&amp;L_2014-2025'!#REF!</f>
        <v>#REF!</v>
      </c>
      <c r="L6" s="126" t="e">
        <f>'P&amp;L_2014-2025'!#REF!</f>
        <v>#REF!</v>
      </c>
      <c r="N6" s="126" t="e">
        <f>SUM(B6:M6)</f>
        <v>#REF!</v>
      </c>
      <c r="P6" s="126" t="e">
        <f>B6+C6+D6</f>
        <v>#REF!</v>
      </c>
      <c r="Q6" s="126" t="e">
        <f>E6+F6+G6</f>
        <v>#REF!</v>
      </c>
      <c r="R6" s="126" t="e">
        <f>H6+I6+J6</f>
        <v>#REF!</v>
      </c>
      <c r="S6" s="126" t="e">
        <f>K6+L6</f>
        <v>#REF!</v>
      </c>
      <c r="T6" s="126" t="e">
        <f>SUM(P6:S6)</f>
        <v>#REF!</v>
      </c>
    </row>
    <row r="7" spans="1:20" x14ac:dyDescent="0.25">
      <c r="A7" s="125" t="s">
        <v>1286</v>
      </c>
      <c r="B7" s="126"/>
      <c r="C7" s="126"/>
      <c r="D7" s="126"/>
      <c r="E7" s="126"/>
      <c r="F7" s="126"/>
      <c r="G7" s="126"/>
      <c r="H7" s="126"/>
      <c r="I7" s="126"/>
      <c r="J7" s="126"/>
      <c r="K7" s="126"/>
      <c r="L7" s="126"/>
      <c r="N7" s="126"/>
      <c r="P7" s="126"/>
      <c r="Q7" s="126"/>
      <c r="R7" s="126"/>
      <c r="S7" s="126"/>
      <c r="T7" s="126"/>
    </row>
    <row r="8" spans="1:20" x14ac:dyDescent="0.25">
      <c r="A8" s="127" t="s">
        <v>1287</v>
      </c>
      <c r="B8" s="128" t="e">
        <f>'P&amp;L_2014-2025'!#REF!</f>
        <v>#REF!</v>
      </c>
      <c r="C8" s="128" t="e">
        <f>'P&amp;L_2014-2025'!#REF!</f>
        <v>#REF!</v>
      </c>
      <c r="D8" s="128" t="e">
        <f>'P&amp;L_2014-2025'!#REF!</f>
        <v>#REF!</v>
      </c>
      <c r="E8" s="128" t="e">
        <f>'P&amp;L_2014-2025'!#REF!</f>
        <v>#REF!</v>
      </c>
      <c r="F8" s="128" t="e">
        <f>'P&amp;L_2014-2025'!#REF!</f>
        <v>#REF!</v>
      </c>
      <c r="G8" s="128" t="e">
        <f>'P&amp;L_2014-2025'!#REF!</f>
        <v>#REF!</v>
      </c>
      <c r="H8" s="128" t="e">
        <f>'P&amp;L_2014-2025'!#REF!</f>
        <v>#REF!</v>
      </c>
      <c r="I8" s="128" t="e">
        <f>'P&amp;L_2014-2025'!#REF!</f>
        <v>#REF!</v>
      </c>
      <c r="J8" s="128" t="e">
        <f>'P&amp;L_2014-2025'!#REF!</f>
        <v>#REF!</v>
      </c>
      <c r="K8" s="128" t="e">
        <f>'P&amp;L_2014-2025'!#REF!</f>
        <v>#REF!</v>
      </c>
      <c r="L8" s="128" t="e">
        <f>'P&amp;L_2014-2025'!#REF!</f>
        <v>#REF!</v>
      </c>
      <c r="N8" s="128" t="e">
        <f t="shared" ref="N8:N14" si="0">SUM(B8:M8)</f>
        <v>#REF!</v>
      </c>
      <c r="P8" s="128" t="e">
        <f t="shared" ref="P8:P14" si="1">B8+C8+D8</f>
        <v>#REF!</v>
      </c>
      <c r="Q8" s="128" t="e">
        <f t="shared" ref="Q8:Q14" si="2">E8+F8+G8</f>
        <v>#REF!</v>
      </c>
      <c r="R8" s="128" t="e">
        <f t="shared" ref="R8:R14" si="3">H8+I8+J8</f>
        <v>#REF!</v>
      </c>
      <c r="S8" s="128" t="e">
        <f t="shared" ref="S8:S14" si="4">K8+L8</f>
        <v>#REF!</v>
      </c>
      <c r="T8" s="128" t="e">
        <f t="shared" ref="T8:T14" si="5">SUM(P8:S8)</f>
        <v>#REF!</v>
      </c>
    </row>
    <row r="9" spans="1:20" x14ac:dyDescent="0.25">
      <c r="A9" s="127" t="s">
        <v>1288</v>
      </c>
      <c r="B9" s="128">
        <f>-BS!I16</f>
        <v>-1995348</v>
      </c>
      <c r="C9" s="128">
        <f>-BS!O16</f>
        <v>-2545644.352</v>
      </c>
      <c r="D9" s="128" t="e">
        <f>-BS!#REF!</f>
        <v>#REF!</v>
      </c>
      <c r="E9" s="128" t="e">
        <f>-BS!#REF!</f>
        <v>#REF!</v>
      </c>
      <c r="F9" s="128" t="e">
        <f>-BS!#REF!</f>
        <v>#REF!</v>
      </c>
      <c r="G9" s="128" t="e">
        <f>-BS!#REF!</f>
        <v>#REF!</v>
      </c>
      <c r="H9" s="128" t="e">
        <f>-BS!#REF!</f>
        <v>#REF!</v>
      </c>
      <c r="I9" s="128" t="e">
        <f>-BS!#REF!</f>
        <v>#REF!</v>
      </c>
      <c r="J9" s="128" t="e">
        <f>-BS!#REF!</f>
        <v>#REF!</v>
      </c>
      <c r="K9" s="128" t="e">
        <f>-BS!#REF!</f>
        <v>#REF!</v>
      </c>
      <c r="L9" s="128" t="e">
        <f>-BS!#REF!</f>
        <v>#REF!</v>
      </c>
      <c r="N9" s="128" t="e">
        <f t="shared" si="0"/>
        <v>#REF!</v>
      </c>
      <c r="P9" s="128" t="e">
        <f t="shared" si="1"/>
        <v>#REF!</v>
      </c>
      <c r="Q9" s="128" t="e">
        <f t="shared" si="2"/>
        <v>#REF!</v>
      </c>
      <c r="R9" s="128" t="e">
        <f t="shared" si="3"/>
        <v>#REF!</v>
      </c>
      <c r="S9" s="128" t="e">
        <f t="shared" si="4"/>
        <v>#REF!</v>
      </c>
      <c r="T9" s="128" t="e">
        <f t="shared" si="5"/>
        <v>#REF!</v>
      </c>
    </row>
    <row r="10" spans="1:20" x14ac:dyDescent="0.25">
      <c r="A10" s="127" t="s">
        <v>1289</v>
      </c>
      <c r="B10" s="128"/>
      <c r="C10" s="128"/>
      <c r="D10" s="128"/>
      <c r="E10" s="128"/>
      <c r="F10" s="128"/>
      <c r="G10" s="128"/>
      <c r="H10" s="128"/>
      <c r="I10" s="128"/>
      <c r="J10" s="128"/>
      <c r="K10" s="128"/>
      <c r="L10" s="128"/>
      <c r="N10" s="128">
        <f t="shared" si="0"/>
        <v>0</v>
      </c>
      <c r="P10" s="128">
        <f t="shared" si="1"/>
        <v>0</v>
      </c>
      <c r="Q10" s="128">
        <f t="shared" si="2"/>
        <v>0</v>
      </c>
      <c r="R10" s="128">
        <f t="shared" si="3"/>
        <v>0</v>
      </c>
      <c r="S10" s="128">
        <f t="shared" si="4"/>
        <v>0</v>
      </c>
      <c r="T10" s="128">
        <f t="shared" si="5"/>
        <v>0</v>
      </c>
    </row>
    <row r="11" spans="1:20" x14ac:dyDescent="0.25">
      <c r="A11" s="127" t="s">
        <v>1290</v>
      </c>
      <c r="B11" s="128" t="e">
        <f>'P&amp;L_2014-2025'!#REF!</f>
        <v>#REF!</v>
      </c>
      <c r="C11" s="128" t="e">
        <f>'P&amp;L_2014-2025'!#REF!</f>
        <v>#REF!</v>
      </c>
      <c r="D11" s="128" t="e">
        <f>'P&amp;L_2014-2025'!#REF!</f>
        <v>#REF!</v>
      </c>
      <c r="E11" s="128" t="e">
        <f>'P&amp;L_2014-2025'!#REF!</f>
        <v>#REF!</v>
      </c>
      <c r="F11" s="128" t="e">
        <f>'P&amp;L_2014-2025'!#REF!</f>
        <v>#REF!</v>
      </c>
      <c r="G11" s="128" t="e">
        <f>'P&amp;L_2014-2025'!#REF!</f>
        <v>#REF!</v>
      </c>
      <c r="H11" s="128" t="e">
        <f>'P&amp;L_2014-2025'!#REF!</f>
        <v>#REF!</v>
      </c>
      <c r="I11" s="128" t="e">
        <f>'P&amp;L_2014-2025'!#REF!</f>
        <v>#REF!</v>
      </c>
      <c r="J11" s="128" t="e">
        <f>'P&amp;L_2014-2025'!#REF!</f>
        <v>#REF!</v>
      </c>
      <c r="K11" s="128" t="e">
        <f>'P&amp;L_2014-2025'!#REF!</f>
        <v>#REF!</v>
      </c>
      <c r="L11" s="128" t="e">
        <f>'P&amp;L_2014-2025'!#REF!</f>
        <v>#REF!</v>
      </c>
      <c r="N11" s="128" t="e">
        <f t="shared" si="0"/>
        <v>#REF!</v>
      </c>
      <c r="P11" s="128" t="e">
        <f t="shared" si="1"/>
        <v>#REF!</v>
      </c>
      <c r="Q11" s="128" t="e">
        <f t="shared" si="2"/>
        <v>#REF!</v>
      </c>
      <c r="R11" s="128" t="e">
        <f t="shared" si="3"/>
        <v>#REF!</v>
      </c>
      <c r="S11" s="128" t="e">
        <f t="shared" si="4"/>
        <v>#REF!</v>
      </c>
      <c r="T11" s="128" t="e">
        <f t="shared" si="5"/>
        <v>#REF!</v>
      </c>
    </row>
    <row r="12" spans="1:20" x14ac:dyDescent="0.25">
      <c r="A12" s="127" t="s">
        <v>1291</v>
      </c>
      <c r="B12" s="128">
        <f>BS!I32</f>
        <v>4294641</v>
      </c>
      <c r="C12" s="128">
        <f>BS!O32</f>
        <v>4431984.92</v>
      </c>
      <c r="D12" s="128" t="e">
        <f>BS!#REF!</f>
        <v>#REF!</v>
      </c>
      <c r="E12" s="128" t="e">
        <f>BS!#REF!</f>
        <v>#REF!</v>
      </c>
      <c r="F12" s="128" t="e">
        <f>BS!#REF!</f>
        <v>#REF!</v>
      </c>
      <c r="G12" s="128" t="e">
        <f>BS!#REF!</f>
        <v>#REF!</v>
      </c>
      <c r="H12" s="128" t="e">
        <f>BS!#REF!</f>
        <v>#REF!</v>
      </c>
      <c r="I12" s="128" t="e">
        <f>BS!#REF!</f>
        <v>#REF!</v>
      </c>
      <c r="J12" s="128" t="e">
        <f>BS!#REF!</f>
        <v>#REF!</v>
      </c>
      <c r="K12" s="128" t="e">
        <f>BS!#REF!</f>
        <v>#REF!</v>
      </c>
      <c r="L12" s="128" t="e">
        <f>BS!#REF!</f>
        <v>#REF!</v>
      </c>
      <c r="N12" s="128" t="e">
        <f t="shared" si="0"/>
        <v>#REF!</v>
      </c>
      <c r="P12" s="128" t="e">
        <f t="shared" si="1"/>
        <v>#REF!</v>
      </c>
      <c r="Q12" s="128" t="e">
        <f t="shared" si="2"/>
        <v>#REF!</v>
      </c>
      <c r="R12" s="128" t="e">
        <f t="shared" si="3"/>
        <v>#REF!</v>
      </c>
      <c r="S12" s="128" t="e">
        <f t="shared" si="4"/>
        <v>#REF!</v>
      </c>
      <c r="T12" s="128" t="e">
        <f t="shared" si="5"/>
        <v>#REF!</v>
      </c>
    </row>
    <row r="13" spans="1:20" x14ac:dyDescent="0.25">
      <c r="A13" s="127" t="s">
        <v>1292</v>
      </c>
      <c r="B13" s="128">
        <f>BS!I33</f>
        <v>4120000</v>
      </c>
      <c r="C13" s="128">
        <f>BS!O33</f>
        <v>4862172.949</v>
      </c>
      <c r="D13" s="128" t="e">
        <f>BS!#REF!</f>
        <v>#REF!</v>
      </c>
      <c r="E13" s="128" t="e">
        <f>BS!#REF!</f>
        <v>#REF!</v>
      </c>
      <c r="F13" s="128" t="e">
        <f>BS!#REF!</f>
        <v>#REF!</v>
      </c>
      <c r="G13" s="128" t="e">
        <f>BS!#REF!</f>
        <v>#REF!</v>
      </c>
      <c r="H13" s="128" t="e">
        <f>BS!#REF!</f>
        <v>#REF!</v>
      </c>
      <c r="I13" s="128" t="e">
        <f>BS!#REF!</f>
        <v>#REF!</v>
      </c>
      <c r="J13" s="128" t="e">
        <f>BS!#REF!</f>
        <v>#REF!</v>
      </c>
      <c r="K13" s="128" t="e">
        <f>BS!#REF!</f>
        <v>#REF!</v>
      </c>
      <c r="L13" s="128" t="e">
        <f>BS!#REF!</f>
        <v>#REF!</v>
      </c>
      <c r="N13" s="128" t="e">
        <f t="shared" si="0"/>
        <v>#REF!</v>
      </c>
      <c r="P13" s="128" t="e">
        <f t="shared" si="1"/>
        <v>#REF!</v>
      </c>
      <c r="Q13" s="128" t="e">
        <f t="shared" si="2"/>
        <v>#REF!</v>
      </c>
      <c r="R13" s="128" t="e">
        <f t="shared" si="3"/>
        <v>#REF!</v>
      </c>
      <c r="S13" s="128" t="e">
        <f t="shared" si="4"/>
        <v>#REF!</v>
      </c>
      <c r="T13" s="128" t="e">
        <f t="shared" si="5"/>
        <v>#REF!</v>
      </c>
    </row>
    <row r="14" spans="1:20" x14ac:dyDescent="0.25">
      <c r="A14" s="127" t="s">
        <v>1293</v>
      </c>
      <c r="B14" s="128" t="e">
        <f>'P&amp;L_2014-2025'!#REF!</f>
        <v>#REF!</v>
      </c>
      <c r="C14" s="128" t="e">
        <f>'P&amp;L_2014-2025'!#REF!</f>
        <v>#REF!</v>
      </c>
      <c r="D14" s="128" t="e">
        <f>'P&amp;L_2014-2025'!#REF!</f>
        <v>#REF!</v>
      </c>
      <c r="E14" s="128" t="e">
        <f>'P&amp;L_2014-2025'!#REF!</f>
        <v>#REF!</v>
      </c>
      <c r="F14" s="128" t="e">
        <f>'P&amp;L_2014-2025'!#REF!</f>
        <v>#REF!</v>
      </c>
      <c r="G14" s="128" t="e">
        <f>'P&amp;L_2014-2025'!#REF!</f>
        <v>#REF!</v>
      </c>
      <c r="H14" s="128" t="e">
        <f>'P&amp;L_2014-2025'!#REF!</f>
        <v>#REF!</v>
      </c>
      <c r="I14" s="128" t="e">
        <f>'P&amp;L_2014-2025'!#REF!</f>
        <v>#REF!</v>
      </c>
      <c r="J14" s="128" t="e">
        <f>'P&amp;L_2014-2025'!#REF!</f>
        <v>#REF!</v>
      </c>
      <c r="K14" s="128" t="e">
        <f>'P&amp;L_2014-2025'!#REF!</f>
        <v>#REF!</v>
      </c>
      <c r="L14" s="128" t="e">
        <f>'P&amp;L_2014-2025'!#REF!</f>
        <v>#REF!</v>
      </c>
      <c r="N14" s="128" t="e">
        <f t="shared" si="0"/>
        <v>#REF!</v>
      </c>
      <c r="P14" s="128" t="e">
        <f t="shared" si="1"/>
        <v>#REF!</v>
      </c>
      <c r="Q14" s="128" t="e">
        <f t="shared" si="2"/>
        <v>#REF!</v>
      </c>
      <c r="R14" s="128" t="e">
        <f t="shared" si="3"/>
        <v>#REF!</v>
      </c>
      <c r="S14" s="128" t="e">
        <f t="shared" si="4"/>
        <v>#REF!</v>
      </c>
      <c r="T14" s="128" t="e">
        <f t="shared" si="5"/>
        <v>#REF!</v>
      </c>
    </row>
    <row r="15" spans="1:20" ht="6.6" customHeight="1" x14ac:dyDescent="0.25">
      <c r="A15" s="127"/>
      <c r="B15" s="129"/>
      <c r="C15" s="129"/>
      <c r="D15" s="129"/>
      <c r="E15" s="129"/>
      <c r="F15" s="129"/>
      <c r="G15" s="129"/>
      <c r="H15" s="129"/>
      <c r="I15" s="129"/>
      <c r="J15" s="129"/>
      <c r="K15" s="129"/>
      <c r="L15" s="129"/>
      <c r="N15" s="129"/>
      <c r="P15" s="129"/>
      <c r="Q15" s="129"/>
      <c r="R15" s="129"/>
      <c r="S15" s="129"/>
      <c r="T15" s="129"/>
    </row>
    <row r="16" spans="1:20" x14ac:dyDescent="0.25">
      <c r="A16" s="125" t="s">
        <v>1294</v>
      </c>
      <c r="B16" s="126" t="e">
        <f t="shared" ref="B16:L16" si="6">SUM(B6:B15)</f>
        <v>#REF!</v>
      </c>
      <c r="C16" s="126" t="e">
        <f t="shared" si="6"/>
        <v>#REF!</v>
      </c>
      <c r="D16" s="126" t="e">
        <f t="shared" si="6"/>
        <v>#REF!</v>
      </c>
      <c r="E16" s="126" t="e">
        <f t="shared" si="6"/>
        <v>#REF!</v>
      </c>
      <c r="F16" s="126" t="e">
        <f t="shared" si="6"/>
        <v>#REF!</v>
      </c>
      <c r="G16" s="126" t="e">
        <f t="shared" si="6"/>
        <v>#REF!</v>
      </c>
      <c r="H16" s="126" t="e">
        <f t="shared" si="6"/>
        <v>#REF!</v>
      </c>
      <c r="I16" s="126" t="e">
        <f t="shared" si="6"/>
        <v>#REF!</v>
      </c>
      <c r="J16" s="126" t="e">
        <f t="shared" si="6"/>
        <v>#REF!</v>
      </c>
      <c r="K16" s="126" t="e">
        <f t="shared" si="6"/>
        <v>#REF!</v>
      </c>
      <c r="L16" s="126" t="e">
        <f t="shared" si="6"/>
        <v>#REF!</v>
      </c>
      <c r="N16" s="126" t="e">
        <f>SUM(N6:N15)</f>
        <v>#REF!</v>
      </c>
      <c r="P16" s="126" t="e">
        <f>SUM(P6:P15)</f>
        <v>#REF!</v>
      </c>
      <c r="Q16" s="126" t="e">
        <f>SUM(Q6:Q15)</f>
        <v>#REF!</v>
      </c>
      <c r="R16" s="126" t="e">
        <f>SUM(R6:R15)</f>
        <v>#REF!</v>
      </c>
      <c r="S16" s="126" t="e">
        <f>SUM(S6:S15)</f>
        <v>#REF!</v>
      </c>
      <c r="T16" s="126" t="e">
        <f>SUM(T6:T15)</f>
        <v>#REF!</v>
      </c>
    </row>
    <row r="17" spans="1:20" x14ac:dyDescent="0.25">
      <c r="A17" s="125" t="s">
        <v>1295</v>
      </c>
      <c r="B17" s="126"/>
      <c r="C17" s="126"/>
      <c r="D17" s="126"/>
      <c r="E17" s="126"/>
      <c r="F17" s="126"/>
      <c r="G17" s="126"/>
      <c r="H17" s="126"/>
      <c r="I17" s="126"/>
      <c r="J17" s="126"/>
      <c r="K17" s="126"/>
      <c r="L17" s="126"/>
      <c r="N17" s="126"/>
      <c r="P17" s="126"/>
      <c r="Q17" s="126"/>
      <c r="R17" s="126"/>
      <c r="S17" s="126"/>
      <c r="T17" s="126"/>
    </row>
    <row r="18" spans="1:20" x14ac:dyDescent="0.25">
      <c r="A18" s="127" t="s">
        <v>1296</v>
      </c>
      <c r="B18" s="128" t="e">
        <f>-BS!I10-B11</f>
        <v>#REF!</v>
      </c>
      <c r="C18" s="128" t="e">
        <f>-BS!O10-C11</f>
        <v>#REF!</v>
      </c>
      <c r="D18" s="128" t="e">
        <f>-BS!#REF!-D11</f>
        <v>#REF!</v>
      </c>
      <c r="E18" s="128" t="e">
        <f>-BS!#REF!-E11</f>
        <v>#REF!</v>
      </c>
      <c r="F18" s="128" t="e">
        <f>-BS!#REF!-F11</f>
        <v>#REF!</v>
      </c>
      <c r="G18" s="128" t="e">
        <f>-BS!#REF!-G11</f>
        <v>#REF!</v>
      </c>
      <c r="H18" s="128" t="e">
        <f>-BS!#REF!-H11</f>
        <v>#REF!</v>
      </c>
      <c r="I18" s="128" t="e">
        <f>-BS!#REF!-I11</f>
        <v>#REF!</v>
      </c>
      <c r="J18" s="128" t="e">
        <f>-BS!#REF!-J11</f>
        <v>#REF!</v>
      </c>
      <c r="K18" s="128" t="e">
        <f>-BS!#REF!-K11</f>
        <v>#REF!</v>
      </c>
      <c r="L18" s="128" t="e">
        <f>-BS!#REF!-L11</f>
        <v>#REF!</v>
      </c>
      <c r="N18" s="128" t="e">
        <f>SUM(B18:M18)</f>
        <v>#REF!</v>
      </c>
      <c r="P18" s="128" t="e">
        <f>B18+C18+D18</f>
        <v>#REF!</v>
      </c>
      <c r="Q18" s="128" t="e">
        <f>E18+F18+G18</f>
        <v>#REF!</v>
      </c>
      <c r="R18" s="128" t="e">
        <f>H18+I18+J18</f>
        <v>#REF!</v>
      </c>
      <c r="S18" s="128" t="e">
        <f t="shared" ref="S18:S24" si="7">K18+L18</f>
        <v>#REF!</v>
      </c>
      <c r="T18" s="128" t="e">
        <f>SUM(P18:S18)</f>
        <v>#REF!</v>
      </c>
    </row>
    <row r="19" spans="1:20" x14ac:dyDescent="0.25">
      <c r="A19" s="127" t="s">
        <v>1297</v>
      </c>
      <c r="B19" s="128">
        <f>-BS!I9</f>
        <v>-8522666.029000001</v>
      </c>
      <c r="C19" s="128">
        <f>-BS!O9</f>
        <v>-10384902.995000001</v>
      </c>
      <c r="D19" s="128" t="e">
        <f>-BS!#REF!</f>
        <v>#REF!</v>
      </c>
      <c r="E19" s="128" t="e">
        <f>-BS!#REF!</f>
        <v>#REF!</v>
      </c>
      <c r="F19" s="128" t="e">
        <f>-BS!#REF!</f>
        <v>#REF!</v>
      </c>
      <c r="G19" s="128" t="e">
        <f>-BS!#REF!</f>
        <v>#REF!</v>
      </c>
      <c r="H19" s="128" t="e">
        <f>-BS!#REF!</f>
        <v>#REF!</v>
      </c>
      <c r="I19" s="128" t="e">
        <f>-BS!#REF!</f>
        <v>#REF!</v>
      </c>
      <c r="J19" s="128" t="e">
        <f>-BS!#REF!</f>
        <v>#REF!</v>
      </c>
      <c r="K19" s="128" t="e">
        <f>-BS!#REF!</f>
        <v>#REF!</v>
      </c>
      <c r="L19" s="128" t="e">
        <f>-BS!#REF!</f>
        <v>#REF!</v>
      </c>
      <c r="N19" s="128" t="e">
        <f>SUM(B19:M19)</f>
        <v>#REF!</v>
      </c>
      <c r="P19" s="128" t="e">
        <f>B19+C19+D19</f>
        <v>#REF!</v>
      </c>
      <c r="Q19" s="128" t="e">
        <f>E19+F19+G19</f>
        <v>#REF!</v>
      </c>
      <c r="R19" s="128" t="e">
        <f>H19+I19+J19</f>
        <v>#REF!</v>
      </c>
      <c r="S19" s="128" t="e">
        <f t="shared" si="7"/>
        <v>#REF!</v>
      </c>
      <c r="T19" s="128" t="e">
        <f>SUM(P19:S19)</f>
        <v>#REF!</v>
      </c>
    </row>
    <row r="20" spans="1:20" x14ac:dyDescent="0.25">
      <c r="A20" s="127" t="s">
        <v>736</v>
      </c>
      <c r="B20" s="128">
        <f>-BS!I14</f>
        <v>0</v>
      </c>
      <c r="C20" s="128">
        <f>-BS!O14</f>
        <v>0</v>
      </c>
      <c r="D20" s="128" t="e">
        <f>-BS!#REF!</f>
        <v>#REF!</v>
      </c>
      <c r="E20" s="128" t="e">
        <f>-BS!#REF!</f>
        <v>#REF!</v>
      </c>
      <c r="F20" s="128" t="e">
        <f>-BS!#REF!</f>
        <v>#REF!</v>
      </c>
      <c r="G20" s="128" t="e">
        <f>-BS!#REF!</f>
        <v>#REF!</v>
      </c>
      <c r="H20" s="128" t="e">
        <f>-BS!#REF!</f>
        <v>#REF!</v>
      </c>
      <c r="I20" s="128" t="e">
        <f>-BS!#REF!</f>
        <v>#REF!</v>
      </c>
      <c r="J20" s="128" t="e">
        <f>-BS!#REF!</f>
        <v>#REF!</v>
      </c>
      <c r="K20" s="128" t="e">
        <f>-BS!#REF!</f>
        <v>#REF!</v>
      </c>
      <c r="L20" s="128" t="e">
        <f>-BS!#REF!</f>
        <v>#REF!</v>
      </c>
      <c r="N20" s="128" t="e">
        <f>SUM(B20:M20)</f>
        <v>#REF!</v>
      </c>
      <c r="P20" s="128" t="e">
        <f>B20+C20+D20</f>
        <v>#REF!</v>
      </c>
      <c r="Q20" s="128" t="e">
        <f>E20+F20+G20</f>
        <v>#REF!</v>
      </c>
      <c r="R20" s="128" t="e">
        <f>H20+I20+J20</f>
        <v>#REF!</v>
      </c>
      <c r="S20" s="128" t="e">
        <f t="shared" si="7"/>
        <v>#REF!</v>
      </c>
      <c r="T20" s="128" t="e">
        <f>SUM(P20:S20)</f>
        <v>#REF!</v>
      </c>
    </row>
    <row r="21" spans="1:20" x14ac:dyDescent="0.25">
      <c r="A21" s="127" t="s">
        <v>739</v>
      </c>
      <c r="B21" s="128">
        <f>-BS!I8</f>
        <v>-40286632.229000002</v>
      </c>
      <c r="C21" s="128">
        <f>-BS!O8</f>
        <v>-34614827.501000002</v>
      </c>
      <c r="D21" s="128" t="e">
        <f>-BS!#REF!</f>
        <v>#REF!</v>
      </c>
      <c r="E21" s="128" t="e">
        <f>-BS!#REF!</f>
        <v>#REF!</v>
      </c>
      <c r="F21" s="128" t="e">
        <f>-BS!#REF!</f>
        <v>#REF!</v>
      </c>
      <c r="G21" s="128" t="e">
        <f>-BS!#REF!</f>
        <v>#REF!</v>
      </c>
      <c r="H21" s="128" t="e">
        <f>-BS!#REF!</f>
        <v>#REF!</v>
      </c>
      <c r="I21" s="128" t="e">
        <f>-BS!#REF!</f>
        <v>#REF!</v>
      </c>
      <c r="J21" s="128" t="e">
        <f>-BS!#REF!</f>
        <v>#REF!</v>
      </c>
      <c r="K21" s="128" t="e">
        <f>-BS!#REF!</f>
        <v>#REF!</v>
      </c>
      <c r="L21" s="128" t="e">
        <f>-BS!#REF!</f>
        <v>#REF!</v>
      </c>
      <c r="N21" s="128" t="e">
        <f>SUM(B21:M21)</f>
        <v>#REF!</v>
      </c>
      <c r="P21" s="128" t="e">
        <f>B21+C21+D21</f>
        <v>#REF!</v>
      </c>
      <c r="Q21" s="128" t="e">
        <f>E21+F21+G21</f>
        <v>#REF!</v>
      </c>
      <c r="R21" s="128" t="e">
        <f>H21+I21+J21</f>
        <v>#REF!</v>
      </c>
      <c r="S21" s="128" t="e">
        <f t="shared" si="7"/>
        <v>#REF!</v>
      </c>
      <c r="T21" s="128" t="e">
        <f>SUM(P21:S21)</f>
        <v>#REF!</v>
      </c>
    </row>
    <row r="22" spans="1:20" x14ac:dyDescent="0.25">
      <c r="A22" s="127" t="s">
        <v>1298</v>
      </c>
      <c r="B22" s="128">
        <f>BS!I31</f>
        <v>502289.05</v>
      </c>
      <c r="C22" s="128">
        <f>BS!O31</f>
        <v>30600617.371999998</v>
      </c>
      <c r="D22" s="128" t="e">
        <f>BS!#REF!</f>
        <v>#REF!</v>
      </c>
      <c r="E22" s="128" t="e">
        <f>BS!#REF!</f>
        <v>#REF!</v>
      </c>
      <c r="F22" s="128" t="e">
        <f>BS!#REF!</f>
        <v>#REF!</v>
      </c>
      <c r="G22" s="128" t="e">
        <f>BS!#REF!</f>
        <v>#REF!</v>
      </c>
      <c r="H22" s="128" t="e">
        <f>BS!#REF!</f>
        <v>#REF!</v>
      </c>
      <c r="I22" s="128" t="e">
        <f>BS!#REF!</f>
        <v>#REF!</v>
      </c>
      <c r="J22" s="128" t="e">
        <f>BS!#REF!</f>
        <v>#REF!</v>
      </c>
      <c r="K22" s="128" t="e">
        <f>BS!#REF!</f>
        <v>#REF!</v>
      </c>
      <c r="L22" s="128" t="e">
        <f>BS!#REF!</f>
        <v>#REF!</v>
      </c>
      <c r="N22" s="128" t="e">
        <f>SUM(B22:M22)</f>
        <v>#REF!</v>
      </c>
      <c r="P22" s="128" t="e">
        <f>B22+C22+D22</f>
        <v>#REF!</v>
      </c>
      <c r="Q22" s="128" t="e">
        <f>E22+F22+G22</f>
        <v>#REF!</v>
      </c>
      <c r="R22" s="128" t="e">
        <f>H22+I22+J22</f>
        <v>#REF!</v>
      </c>
      <c r="S22" s="128" t="e">
        <f t="shared" si="7"/>
        <v>#REF!</v>
      </c>
      <c r="T22" s="128" t="e">
        <f>SUM(P22:S22)</f>
        <v>#REF!</v>
      </c>
    </row>
    <row r="23" spans="1:20" x14ac:dyDescent="0.25">
      <c r="A23" s="127" t="s">
        <v>1299</v>
      </c>
      <c r="B23" s="128"/>
      <c r="C23" s="128"/>
      <c r="D23" s="128"/>
      <c r="E23" s="128"/>
      <c r="F23" s="128"/>
      <c r="G23" s="128"/>
      <c r="H23" s="128"/>
      <c r="I23" s="128"/>
      <c r="J23" s="128"/>
      <c r="K23" s="128"/>
      <c r="L23" s="128"/>
      <c r="N23" s="128"/>
      <c r="P23" s="128"/>
      <c r="Q23" s="128"/>
      <c r="R23" s="128"/>
      <c r="S23" s="128">
        <f t="shared" si="7"/>
        <v>0</v>
      </c>
      <c r="T23" s="128"/>
    </row>
    <row r="24" spans="1:20" x14ac:dyDescent="0.25">
      <c r="A24" s="127" t="s">
        <v>1300</v>
      </c>
      <c r="B24" s="128">
        <f>BS!I26</f>
        <v>6947242.0020000003</v>
      </c>
      <c r="C24" s="128">
        <f>BS!O26</f>
        <v>24407375.57</v>
      </c>
      <c r="D24" s="128" t="e">
        <f>BS!#REF!</f>
        <v>#REF!</v>
      </c>
      <c r="E24" s="128" t="e">
        <f>BS!#REF!</f>
        <v>#REF!</v>
      </c>
      <c r="F24" s="128" t="e">
        <f>BS!#REF!</f>
        <v>#REF!</v>
      </c>
      <c r="G24" s="128" t="e">
        <f>BS!#REF!</f>
        <v>#REF!</v>
      </c>
      <c r="H24" s="128" t="e">
        <f>BS!#REF!</f>
        <v>#REF!</v>
      </c>
      <c r="I24" s="128" t="e">
        <f>BS!#REF!</f>
        <v>#REF!</v>
      </c>
      <c r="J24" s="128" t="e">
        <f>BS!#REF!</f>
        <v>#REF!</v>
      </c>
      <c r="K24" s="128" t="e">
        <f>BS!#REF!</f>
        <v>#REF!</v>
      </c>
      <c r="L24" s="128" t="e">
        <f>BS!#REF!</f>
        <v>#REF!</v>
      </c>
      <c r="N24" s="128" t="e">
        <f>SUM(B24:M24)</f>
        <v>#REF!</v>
      </c>
      <c r="P24" s="128" t="e">
        <f>B24+C24+D24</f>
        <v>#REF!</v>
      </c>
      <c r="Q24" s="128" t="e">
        <f>E24+F24+G24</f>
        <v>#REF!</v>
      </c>
      <c r="R24" s="128" t="e">
        <f>H24+I24+J24</f>
        <v>#REF!</v>
      </c>
      <c r="S24" s="128" t="e">
        <f t="shared" si="7"/>
        <v>#REF!</v>
      </c>
      <c r="T24" s="128" t="e">
        <f>SUM(P24:S24)</f>
        <v>#REF!</v>
      </c>
    </row>
    <row r="25" spans="1:20" ht="6.6" customHeight="1" x14ac:dyDescent="0.25">
      <c r="A25" s="130"/>
      <c r="B25" s="131"/>
      <c r="C25" s="131"/>
      <c r="D25" s="131"/>
      <c r="E25" s="131"/>
      <c r="F25" s="131"/>
      <c r="G25" s="131"/>
      <c r="H25" s="131"/>
      <c r="I25" s="131"/>
      <c r="J25" s="131"/>
      <c r="K25" s="131"/>
      <c r="L25" s="131"/>
      <c r="N25" s="131"/>
      <c r="P25" s="131"/>
      <c r="Q25" s="131"/>
      <c r="R25" s="131"/>
      <c r="S25" s="131"/>
      <c r="T25" s="131"/>
    </row>
    <row r="26" spans="1:20" x14ac:dyDescent="0.25">
      <c r="A26" s="125" t="s">
        <v>1301</v>
      </c>
      <c r="B26" s="126" t="e">
        <f t="shared" ref="B26:L26" si="8">SUM(B16:B24)</f>
        <v>#REF!</v>
      </c>
      <c r="C26" s="126" t="e">
        <f t="shared" si="8"/>
        <v>#REF!</v>
      </c>
      <c r="D26" s="126" t="e">
        <f t="shared" si="8"/>
        <v>#REF!</v>
      </c>
      <c r="E26" s="126" t="e">
        <f t="shared" si="8"/>
        <v>#REF!</v>
      </c>
      <c r="F26" s="126" t="e">
        <f t="shared" si="8"/>
        <v>#REF!</v>
      </c>
      <c r="G26" s="126" t="e">
        <f t="shared" si="8"/>
        <v>#REF!</v>
      </c>
      <c r="H26" s="126" t="e">
        <f t="shared" si="8"/>
        <v>#REF!</v>
      </c>
      <c r="I26" s="126" t="e">
        <f t="shared" si="8"/>
        <v>#REF!</v>
      </c>
      <c r="J26" s="126" t="e">
        <f t="shared" si="8"/>
        <v>#REF!</v>
      </c>
      <c r="K26" s="126" t="e">
        <f t="shared" si="8"/>
        <v>#REF!</v>
      </c>
      <c r="L26" s="126" t="e">
        <f t="shared" si="8"/>
        <v>#REF!</v>
      </c>
      <c r="N26" s="126" t="e">
        <f>SUM(N16:N24)</f>
        <v>#REF!</v>
      </c>
      <c r="P26" s="126" t="e">
        <f>SUM(P16:P24)</f>
        <v>#REF!</v>
      </c>
      <c r="Q26" s="126" t="e">
        <f>SUM(Q16:Q24)</f>
        <v>#REF!</v>
      </c>
      <c r="R26" s="126" t="e">
        <f>SUM(R16:R24)</f>
        <v>#REF!</v>
      </c>
      <c r="S26" s="126" t="e">
        <f>SUM(S16:S24)</f>
        <v>#REF!</v>
      </c>
      <c r="T26" s="126" t="e">
        <f>SUM(T16:T24)</f>
        <v>#REF!</v>
      </c>
    </row>
    <row r="27" spans="1:20" ht="9.6" customHeight="1" x14ac:dyDescent="0.25">
      <c r="A27" s="125"/>
      <c r="B27" s="126"/>
      <c r="C27" s="126"/>
      <c r="D27" s="126"/>
      <c r="E27" s="126"/>
      <c r="F27" s="126"/>
      <c r="G27" s="126"/>
      <c r="H27" s="126"/>
      <c r="I27" s="126"/>
      <c r="J27" s="126"/>
      <c r="K27" s="126"/>
      <c r="L27" s="126"/>
      <c r="N27" s="126"/>
      <c r="P27" s="126"/>
      <c r="Q27" s="126"/>
      <c r="R27" s="126"/>
      <c r="S27" s="126"/>
      <c r="T27" s="126"/>
    </row>
    <row r="28" spans="1:20" x14ac:dyDescent="0.25">
      <c r="A28" s="127" t="s">
        <v>1302</v>
      </c>
      <c r="B28" s="126"/>
      <c r="C28" s="126"/>
      <c r="D28" s="126"/>
      <c r="E28" s="126"/>
      <c r="F28" s="126"/>
      <c r="G28" s="126"/>
      <c r="H28" s="126"/>
      <c r="I28" s="126"/>
      <c r="J28" s="126"/>
      <c r="K28" s="126"/>
      <c r="L28" s="126"/>
      <c r="N28" s="126"/>
      <c r="P28" s="126"/>
      <c r="Q28" s="126"/>
      <c r="R28" s="126"/>
      <c r="S28" s="126"/>
      <c r="T28" s="126"/>
    </row>
    <row r="29" spans="1:20" x14ac:dyDescent="0.25">
      <c r="A29" s="127" t="s">
        <v>1303</v>
      </c>
      <c r="B29" s="128">
        <f>BS!I25</f>
        <v>983057</v>
      </c>
      <c r="C29" s="128">
        <f>BS!O25</f>
        <v>0</v>
      </c>
      <c r="D29" s="128" t="e">
        <f>BS!#REF!</f>
        <v>#REF!</v>
      </c>
      <c r="E29" s="128" t="e">
        <f>BS!#REF!</f>
        <v>#REF!</v>
      </c>
      <c r="F29" s="128" t="e">
        <f>BS!#REF!</f>
        <v>#REF!</v>
      </c>
      <c r="G29" s="128" t="e">
        <f>BS!#REF!</f>
        <v>#REF!</v>
      </c>
      <c r="H29" s="128" t="e">
        <f>BS!#REF!</f>
        <v>#REF!</v>
      </c>
      <c r="I29" s="128" t="e">
        <f>BS!#REF!</f>
        <v>#REF!</v>
      </c>
      <c r="J29" s="128" t="e">
        <f>BS!#REF!</f>
        <v>#REF!</v>
      </c>
      <c r="K29" s="128" t="e">
        <f>BS!#REF!</f>
        <v>#REF!</v>
      </c>
      <c r="L29" s="128" t="e">
        <f>BS!#REF!</f>
        <v>#REF!</v>
      </c>
      <c r="N29" s="128" t="e">
        <f>SUM(B29:M29)</f>
        <v>#REF!</v>
      </c>
      <c r="P29" s="128" t="e">
        <f>B29+C29+D29</f>
        <v>#REF!</v>
      </c>
      <c r="Q29" s="128" t="e">
        <f>E29+F29+G29</f>
        <v>#REF!</v>
      </c>
      <c r="R29" s="128" t="e">
        <f>H29+I29+J29</f>
        <v>#REF!</v>
      </c>
      <c r="S29" s="128" t="e">
        <f>K29+L29</f>
        <v>#REF!</v>
      </c>
      <c r="T29" s="128" t="e">
        <f>SUM(P29:S29)</f>
        <v>#REF!</v>
      </c>
    </row>
    <row r="30" spans="1:20" x14ac:dyDescent="0.25">
      <c r="A30" s="127" t="s">
        <v>1304</v>
      </c>
      <c r="B30" s="126"/>
      <c r="C30" s="126"/>
      <c r="D30" s="126"/>
      <c r="E30" s="126"/>
      <c r="F30" s="126"/>
      <c r="G30" s="126"/>
      <c r="H30" s="126"/>
      <c r="I30" s="126"/>
      <c r="J30" s="126"/>
      <c r="K30" s="126"/>
      <c r="L30" s="126"/>
      <c r="N30" s="126"/>
      <c r="P30" s="126"/>
      <c r="Q30" s="126"/>
      <c r="R30" s="126"/>
      <c r="S30" s="126">
        <f>K30+L30</f>
        <v>0</v>
      </c>
      <c r="T30" s="126"/>
    </row>
    <row r="31" spans="1:20" x14ac:dyDescent="0.25">
      <c r="A31" s="127" t="s">
        <v>1305</v>
      </c>
      <c r="B31" s="126"/>
      <c r="C31" s="126"/>
      <c r="D31" s="126"/>
      <c r="E31" s="126"/>
      <c r="F31" s="126"/>
      <c r="G31" s="126"/>
      <c r="H31" s="126"/>
      <c r="I31" s="126"/>
      <c r="J31" s="126"/>
      <c r="K31" s="126"/>
      <c r="L31" s="126"/>
      <c r="N31" s="126"/>
      <c r="P31" s="126"/>
      <c r="Q31" s="126"/>
      <c r="R31" s="126"/>
      <c r="S31" s="126">
        <f>K31+L31</f>
        <v>0</v>
      </c>
      <c r="T31" s="126"/>
    </row>
    <row r="32" spans="1:20" x14ac:dyDescent="0.25">
      <c r="B32" s="132"/>
      <c r="C32" s="132"/>
      <c r="D32" s="132"/>
      <c r="E32" s="132"/>
      <c r="F32" s="132"/>
      <c r="G32" s="132"/>
      <c r="H32" s="132"/>
      <c r="I32" s="132"/>
      <c r="J32" s="132"/>
      <c r="K32" s="132"/>
      <c r="L32" s="132"/>
      <c r="N32" s="132"/>
      <c r="P32" s="132"/>
      <c r="Q32" s="132"/>
      <c r="R32" s="132"/>
      <c r="S32" s="132"/>
      <c r="T32" s="132"/>
    </row>
    <row r="33" spans="1:20" x14ac:dyDescent="0.25">
      <c r="A33" s="125" t="s">
        <v>1306</v>
      </c>
      <c r="B33" s="133" t="e">
        <f t="shared" ref="B33:L33" si="9">SUM(B26:B31)</f>
        <v>#REF!</v>
      </c>
      <c r="C33" s="133" t="e">
        <f t="shared" si="9"/>
        <v>#REF!</v>
      </c>
      <c r="D33" s="133" t="e">
        <f t="shared" si="9"/>
        <v>#REF!</v>
      </c>
      <c r="E33" s="133" t="e">
        <f t="shared" si="9"/>
        <v>#REF!</v>
      </c>
      <c r="F33" s="133" t="e">
        <f t="shared" si="9"/>
        <v>#REF!</v>
      </c>
      <c r="G33" s="133" t="e">
        <f t="shared" si="9"/>
        <v>#REF!</v>
      </c>
      <c r="H33" s="133" t="e">
        <f t="shared" si="9"/>
        <v>#REF!</v>
      </c>
      <c r="I33" s="133" t="e">
        <f t="shared" si="9"/>
        <v>#REF!</v>
      </c>
      <c r="J33" s="133" t="e">
        <f t="shared" si="9"/>
        <v>#REF!</v>
      </c>
      <c r="K33" s="133" t="e">
        <f t="shared" si="9"/>
        <v>#REF!</v>
      </c>
      <c r="L33" s="133" t="e">
        <f t="shared" si="9"/>
        <v>#REF!</v>
      </c>
      <c r="N33" s="133" t="e">
        <f>SUM(N26:N31)</f>
        <v>#REF!</v>
      </c>
      <c r="P33" s="134" t="e">
        <f>SUM(P26:P31)</f>
        <v>#REF!</v>
      </c>
      <c r="Q33" s="134" t="e">
        <f>SUM(Q26:Q31)</f>
        <v>#REF!</v>
      </c>
      <c r="R33" s="134" t="e">
        <f>SUM(R26:R31)</f>
        <v>#REF!</v>
      </c>
      <c r="S33" s="134" t="e">
        <f>SUM(S26:S31)</f>
        <v>#REF!</v>
      </c>
      <c r="T33" s="135" t="e">
        <f>SUM(T26:T31)</f>
        <v>#REF!</v>
      </c>
    </row>
    <row r="34" spans="1:20" x14ac:dyDescent="0.25">
      <c r="A34" s="136"/>
      <c r="B34" s="126"/>
      <c r="C34" s="126"/>
      <c r="D34" s="126"/>
      <c r="E34" s="126"/>
      <c r="F34" s="126"/>
      <c r="G34" s="126"/>
      <c r="H34" s="126"/>
      <c r="I34" s="126"/>
      <c r="J34" s="126"/>
      <c r="K34" s="126"/>
      <c r="L34" s="126"/>
      <c r="N34" s="126"/>
      <c r="P34" s="126"/>
      <c r="Q34" s="126"/>
      <c r="R34" s="126"/>
      <c r="S34" s="126"/>
      <c r="T34" s="126"/>
    </row>
    <row r="35" spans="1:20" x14ac:dyDescent="0.25">
      <c r="A35" s="125" t="s">
        <v>317</v>
      </c>
      <c r="B35" s="126"/>
      <c r="C35" s="126"/>
      <c r="D35" s="126"/>
      <c r="E35" s="126"/>
      <c r="F35" s="126"/>
      <c r="G35" s="126"/>
      <c r="H35" s="126"/>
      <c r="I35" s="126"/>
      <c r="J35" s="126"/>
      <c r="K35" s="126"/>
      <c r="L35" s="126"/>
      <c r="N35" s="126"/>
      <c r="P35" s="126"/>
      <c r="Q35" s="126"/>
      <c r="R35" s="126"/>
      <c r="S35" s="126"/>
      <c r="T35" s="126"/>
    </row>
    <row r="36" spans="1:20" x14ac:dyDescent="0.25">
      <c r="A36" s="127" t="s">
        <v>1307</v>
      </c>
      <c r="B36" s="75" t="e">
        <f>-BS!I15-B8</f>
        <v>#REF!</v>
      </c>
      <c r="C36" s="75" t="e">
        <f>-BS!O15-C8</f>
        <v>#REF!</v>
      </c>
      <c r="D36" s="75" t="e">
        <f>-BS!#REF!-D8</f>
        <v>#REF!</v>
      </c>
      <c r="E36" s="75" t="e">
        <f>-BS!#REF!-E8</f>
        <v>#REF!</v>
      </c>
      <c r="F36" s="75" t="e">
        <f>-BS!#REF!-F8</f>
        <v>#REF!</v>
      </c>
      <c r="G36" s="75" t="e">
        <f>-BS!#REF!-G8</f>
        <v>#REF!</v>
      </c>
      <c r="H36" s="75" t="e">
        <f>-BS!#REF!-H8</f>
        <v>#REF!</v>
      </c>
      <c r="I36" s="75" t="e">
        <f>-BS!#REF!-I8</f>
        <v>#REF!</v>
      </c>
      <c r="J36" s="75" t="e">
        <f>-BS!#REF!-J8</f>
        <v>#REF!</v>
      </c>
      <c r="K36" s="75" t="e">
        <f>-BS!#REF!-K8</f>
        <v>#REF!</v>
      </c>
      <c r="L36" s="75" t="e">
        <f>-BS!#REF!-L8</f>
        <v>#REF!</v>
      </c>
      <c r="N36" s="75" t="e">
        <f>SUM(B36:M36)</f>
        <v>#REF!</v>
      </c>
      <c r="P36" s="75" t="e">
        <f>B36+C36+D36</f>
        <v>#REF!</v>
      </c>
      <c r="Q36" s="75" t="e">
        <f>E36+F36+G36</f>
        <v>#REF!</v>
      </c>
      <c r="R36" s="75" t="e">
        <f>H36+I36+J36</f>
        <v>#REF!</v>
      </c>
      <c r="S36" s="75" t="e">
        <f>K36+L36</f>
        <v>#REF!</v>
      </c>
      <c r="T36" s="75" t="e">
        <f>SUM(P36:S36)</f>
        <v>#REF!</v>
      </c>
    </row>
    <row r="37" spans="1:20" x14ac:dyDescent="0.25">
      <c r="A37" s="127" t="s">
        <v>735</v>
      </c>
      <c r="B37" s="75">
        <f>-BS!I16-B9</f>
        <v>0</v>
      </c>
      <c r="C37" s="75">
        <f>-BS!O16-C9</f>
        <v>0</v>
      </c>
      <c r="D37" s="75" t="e">
        <f>-BS!#REF!-D9</f>
        <v>#REF!</v>
      </c>
      <c r="E37" s="75" t="e">
        <f>-BS!#REF!-E9</f>
        <v>#REF!</v>
      </c>
      <c r="F37" s="75" t="e">
        <f>-BS!#REF!-F9</f>
        <v>#REF!</v>
      </c>
      <c r="G37" s="75" t="e">
        <f>-BS!#REF!-G9</f>
        <v>#REF!</v>
      </c>
      <c r="H37" s="75" t="e">
        <f>-BS!#REF!-H9</f>
        <v>#REF!</v>
      </c>
      <c r="I37" s="75" t="e">
        <f>-BS!#REF!-I9</f>
        <v>#REF!</v>
      </c>
      <c r="J37" s="75" t="e">
        <f>-BS!#REF!-J9</f>
        <v>#REF!</v>
      </c>
      <c r="K37" s="75" t="e">
        <f>-BS!#REF!-K9</f>
        <v>#REF!</v>
      </c>
      <c r="L37" s="75" t="e">
        <f>-BS!#REF!-L9</f>
        <v>#REF!</v>
      </c>
      <c r="N37" s="75" t="e">
        <f>SUM(B37:M37)</f>
        <v>#REF!</v>
      </c>
      <c r="P37" s="75" t="e">
        <f>B37+C37+D37</f>
        <v>#REF!</v>
      </c>
      <c r="Q37" s="75" t="e">
        <f>E37+F37+G37</f>
        <v>#REF!</v>
      </c>
      <c r="R37" s="75" t="e">
        <f>H37+I37+J37</f>
        <v>#REF!</v>
      </c>
      <c r="S37" s="75" t="e">
        <f>K37+L37</f>
        <v>#REF!</v>
      </c>
      <c r="T37" s="75" t="e">
        <f>SUM(P37:S37)</f>
        <v>#REF!</v>
      </c>
    </row>
    <row r="38" spans="1:20" x14ac:dyDescent="0.25">
      <c r="A38" s="127" t="s">
        <v>1308</v>
      </c>
      <c r="B38" s="76"/>
      <c r="C38" s="76"/>
      <c r="D38" s="76"/>
      <c r="E38" s="76"/>
      <c r="F38" s="76"/>
      <c r="G38" s="76"/>
      <c r="H38" s="76"/>
      <c r="I38" s="76"/>
      <c r="J38" s="76"/>
      <c r="K38" s="76"/>
      <c r="L38" s="76"/>
      <c r="N38" s="76"/>
      <c r="P38" s="76"/>
      <c r="Q38" s="76"/>
      <c r="R38" s="76"/>
      <c r="S38" s="76">
        <f>K38+L38</f>
        <v>0</v>
      </c>
      <c r="T38" s="76"/>
    </row>
    <row r="39" spans="1:20" ht="7.9" customHeight="1" x14ac:dyDescent="0.25">
      <c r="A39" s="136"/>
      <c r="B39" s="131"/>
      <c r="C39" s="131"/>
      <c r="D39" s="131"/>
      <c r="E39" s="131"/>
      <c r="F39" s="131"/>
      <c r="G39" s="131"/>
      <c r="H39" s="131"/>
      <c r="I39" s="131"/>
      <c r="J39" s="131"/>
      <c r="K39" s="131"/>
      <c r="L39" s="131"/>
      <c r="N39" s="131"/>
      <c r="P39" s="131"/>
      <c r="Q39" s="131"/>
      <c r="R39" s="131"/>
      <c r="S39" s="131"/>
      <c r="T39" s="131"/>
    </row>
    <row r="40" spans="1:20" x14ac:dyDescent="0.25">
      <c r="A40" s="125" t="s">
        <v>1309</v>
      </c>
      <c r="B40" s="133" t="e">
        <f t="shared" ref="B40:L40" si="10">SUM(B36:B39)</f>
        <v>#REF!</v>
      </c>
      <c r="C40" s="133" t="e">
        <f t="shared" si="10"/>
        <v>#REF!</v>
      </c>
      <c r="D40" s="133" t="e">
        <f t="shared" si="10"/>
        <v>#REF!</v>
      </c>
      <c r="E40" s="133" t="e">
        <f t="shared" si="10"/>
        <v>#REF!</v>
      </c>
      <c r="F40" s="133" t="e">
        <f t="shared" si="10"/>
        <v>#REF!</v>
      </c>
      <c r="G40" s="133" t="e">
        <f t="shared" si="10"/>
        <v>#REF!</v>
      </c>
      <c r="H40" s="133" t="e">
        <f t="shared" si="10"/>
        <v>#REF!</v>
      </c>
      <c r="I40" s="133" t="e">
        <f t="shared" si="10"/>
        <v>#REF!</v>
      </c>
      <c r="J40" s="133" t="e">
        <f t="shared" si="10"/>
        <v>#REF!</v>
      </c>
      <c r="K40" s="133" t="e">
        <f t="shared" si="10"/>
        <v>#REF!</v>
      </c>
      <c r="L40" s="133" t="e">
        <f t="shared" si="10"/>
        <v>#REF!</v>
      </c>
      <c r="N40" s="133" t="e">
        <f>SUM(N36:N39)</f>
        <v>#REF!</v>
      </c>
      <c r="P40" s="137" t="e">
        <f>SUM(P36:P39)</f>
        <v>#REF!</v>
      </c>
      <c r="Q40" s="137" t="e">
        <f>SUM(Q36:Q39)</f>
        <v>#REF!</v>
      </c>
      <c r="R40" s="137" t="e">
        <f>SUM(R36:R39)</f>
        <v>#REF!</v>
      </c>
      <c r="S40" s="137" t="e">
        <f>SUM(S36:S39)</f>
        <v>#REF!</v>
      </c>
      <c r="T40" s="137" t="e">
        <f>SUM(T36:T39)</f>
        <v>#REF!</v>
      </c>
    </row>
    <row r="41" spans="1:20" x14ac:dyDescent="0.25">
      <c r="A41" s="136"/>
      <c r="B41" s="126"/>
      <c r="C41" s="126"/>
      <c r="D41" s="126"/>
      <c r="E41" s="126"/>
      <c r="F41" s="126"/>
      <c r="G41" s="126"/>
      <c r="H41" s="126"/>
      <c r="I41" s="126"/>
      <c r="J41" s="126"/>
      <c r="K41" s="126"/>
      <c r="L41" s="126"/>
      <c r="N41" s="126"/>
      <c r="P41" s="126"/>
      <c r="Q41" s="126"/>
      <c r="R41" s="126"/>
      <c r="S41" s="126"/>
      <c r="T41" s="126"/>
    </row>
    <row r="42" spans="1:20" x14ac:dyDescent="0.25">
      <c r="A42" s="125" t="s">
        <v>324</v>
      </c>
      <c r="B42" s="126"/>
      <c r="C42" s="126"/>
      <c r="D42" s="126"/>
      <c r="E42" s="126"/>
      <c r="F42" s="126"/>
      <c r="G42" s="126"/>
      <c r="H42" s="126"/>
      <c r="I42" s="126"/>
      <c r="J42" s="126"/>
      <c r="K42" s="126"/>
      <c r="L42" s="126"/>
      <c r="N42" s="126"/>
      <c r="P42" s="126"/>
      <c r="Q42" s="126"/>
      <c r="R42" s="126"/>
      <c r="S42" s="126">
        <f t="shared" ref="S42:S47" si="11">K42+L42</f>
        <v>0</v>
      </c>
      <c r="T42" s="126"/>
    </row>
    <row r="43" spans="1:20" x14ac:dyDescent="0.25">
      <c r="A43" s="127" t="s">
        <v>1310</v>
      </c>
      <c r="B43" s="126"/>
      <c r="C43" s="126"/>
      <c r="D43" s="126"/>
      <c r="E43" s="126"/>
      <c r="F43" s="126"/>
      <c r="G43" s="126"/>
      <c r="H43" s="126"/>
      <c r="I43" s="126"/>
      <c r="J43" s="126"/>
      <c r="K43" s="126"/>
      <c r="L43" s="126"/>
      <c r="N43" s="126"/>
      <c r="P43" s="126"/>
      <c r="Q43" s="126"/>
      <c r="R43" s="126"/>
      <c r="S43" s="126">
        <f t="shared" si="11"/>
        <v>0</v>
      </c>
      <c r="T43" s="126"/>
    </row>
    <row r="44" spans="1:20" x14ac:dyDescent="0.25">
      <c r="A44" s="127" t="s">
        <v>1311</v>
      </c>
      <c r="B44" s="128">
        <f>BS!I30+BS!I24</f>
        <v>1874374</v>
      </c>
      <c r="C44" s="128">
        <f>BS!O30+BS!O24</f>
        <v>2585822.0490000001</v>
      </c>
      <c r="D44" s="128" t="e">
        <f>BS!#REF!+BS!#REF!</f>
        <v>#REF!</v>
      </c>
      <c r="E44" s="128" t="e">
        <f>BS!#REF!+BS!#REF!</f>
        <v>#REF!</v>
      </c>
      <c r="F44" s="128" t="e">
        <f>BS!#REF!+BS!#REF!</f>
        <v>#REF!</v>
      </c>
      <c r="G44" s="128" t="e">
        <f>BS!#REF!+BS!#REF!</f>
        <v>#REF!</v>
      </c>
      <c r="H44" s="128" t="e">
        <f>BS!#REF!+BS!#REF!</f>
        <v>#REF!</v>
      </c>
      <c r="I44" s="128" t="e">
        <f>BS!#REF!+BS!#REF!</f>
        <v>#REF!</v>
      </c>
      <c r="J44" s="128" t="e">
        <f>BS!#REF!+BS!#REF!</f>
        <v>#REF!</v>
      </c>
      <c r="K44" s="128" t="e">
        <f>BS!#REF!+BS!#REF!</f>
        <v>#REF!</v>
      </c>
      <c r="L44" s="128" t="e">
        <f>BS!#REF!+BS!#REF!</f>
        <v>#REF!</v>
      </c>
      <c r="N44" s="128" t="e">
        <f>SUM(B44:M44)</f>
        <v>#REF!</v>
      </c>
      <c r="P44" s="128" t="e">
        <f>B44+C44+D44</f>
        <v>#REF!</v>
      </c>
      <c r="Q44" s="128" t="e">
        <f>E44+F44+G44</f>
        <v>#REF!</v>
      </c>
      <c r="R44" s="128" t="e">
        <f>H44+I44+J44</f>
        <v>#REF!</v>
      </c>
      <c r="S44" s="128" t="e">
        <f t="shared" si="11"/>
        <v>#REF!</v>
      </c>
      <c r="T44" s="128" t="e">
        <f>SUM(P44:S44)</f>
        <v>#REF!</v>
      </c>
    </row>
    <row r="45" spans="1:20" x14ac:dyDescent="0.25">
      <c r="A45" s="127" t="s">
        <v>1312</v>
      </c>
      <c r="B45" s="128"/>
      <c r="C45" s="128"/>
      <c r="D45" s="128"/>
      <c r="E45" s="128"/>
      <c r="F45" s="128"/>
      <c r="G45" s="128"/>
      <c r="H45" s="128"/>
      <c r="I45" s="128"/>
      <c r="J45" s="128"/>
      <c r="K45" s="128"/>
      <c r="L45" s="128"/>
      <c r="N45" s="128"/>
      <c r="P45" s="128">
        <f>B45+C45+D45</f>
        <v>0</v>
      </c>
      <c r="Q45" s="128">
        <f>E45+F45+G45</f>
        <v>0</v>
      </c>
      <c r="R45" s="128">
        <f>H45+I45+J45</f>
        <v>0</v>
      </c>
      <c r="S45" s="128">
        <f t="shared" si="11"/>
        <v>0</v>
      </c>
      <c r="T45" s="128">
        <f>SUM(P45:S45)</f>
        <v>0</v>
      </c>
    </row>
    <row r="46" spans="1:20" x14ac:dyDescent="0.25">
      <c r="A46" s="127" t="s">
        <v>1313</v>
      </c>
      <c r="B46" s="128"/>
      <c r="C46" s="128"/>
      <c r="D46" s="128"/>
      <c r="E46" s="128"/>
      <c r="F46" s="128"/>
      <c r="G46" s="128"/>
      <c r="H46" s="128"/>
      <c r="I46" s="128"/>
      <c r="J46" s="128"/>
      <c r="K46" s="128"/>
      <c r="L46" s="128"/>
      <c r="N46" s="128"/>
      <c r="P46" s="128">
        <f>B46+C46+D46</f>
        <v>0</v>
      </c>
      <c r="Q46" s="128">
        <f>E46+F46+G46</f>
        <v>0</v>
      </c>
      <c r="R46" s="128">
        <f>H46+I46+J46</f>
        <v>0</v>
      </c>
      <c r="S46" s="128">
        <f t="shared" si="11"/>
        <v>0</v>
      </c>
      <c r="T46" s="128">
        <f>SUM(P46:S46)</f>
        <v>0</v>
      </c>
    </row>
    <row r="47" spans="1:20" x14ac:dyDescent="0.25">
      <c r="A47" s="127" t="s">
        <v>1314</v>
      </c>
      <c r="B47" s="128" t="e">
        <f>BS!I23-B14</f>
        <v>#REF!</v>
      </c>
      <c r="C47" s="128" t="e">
        <f>BS!O23-C14</f>
        <v>#REF!</v>
      </c>
      <c r="D47" s="128" t="e">
        <f>BS!#REF!-D14</f>
        <v>#REF!</v>
      </c>
      <c r="E47" s="128" t="e">
        <f>BS!#REF!-E14</f>
        <v>#REF!</v>
      </c>
      <c r="F47" s="128" t="e">
        <f>BS!#REF!-F14</f>
        <v>#REF!</v>
      </c>
      <c r="G47" s="128" t="e">
        <f>BS!#REF!-G14</f>
        <v>#REF!</v>
      </c>
      <c r="H47" s="128" t="e">
        <f>BS!#REF!-H14</f>
        <v>#REF!</v>
      </c>
      <c r="I47" s="128" t="e">
        <f>BS!#REF!-I14</f>
        <v>#REF!</v>
      </c>
      <c r="J47" s="128" t="e">
        <f>BS!#REF!-J14</f>
        <v>#REF!</v>
      </c>
      <c r="K47" s="128" t="e">
        <f>BS!#REF!-K14</f>
        <v>#REF!</v>
      </c>
      <c r="L47" s="128" t="e">
        <f>BS!#REF!-L14</f>
        <v>#REF!</v>
      </c>
      <c r="N47" s="128" t="e">
        <f>SUM(B47:M47)</f>
        <v>#REF!</v>
      </c>
      <c r="P47" s="128" t="e">
        <f>B47+C47+D47</f>
        <v>#REF!</v>
      </c>
      <c r="Q47" s="128" t="e">
        <f>E47+F47+G47</f>
        <v>#REF!</v>
      </c>
      <c r="R47" s="128" t="e">
        <f>H47+I47+J47</f>
        <v>#REF!</v>
      </c>
      <c r="S47" s="128" t="e">
        <f t="shared" si="11"/>
        <v>#REF!</v>
      </c>
      <c r="T47" s="128" t="e">
        <f>SUM(P47:S47)</f>
        <v>#REF!</v>
      </c>
    </row>
    <row r="49" spans="1:20" x14ac:dyDescent="0.25">
      <c r="A49" s="125" t="s">
        <v>1315</v>
      </c>
      <c r="B49" s="133" t="e">
        <f t="shared" ref="B49:L49" si="12">SUM(B43:B48)</f>
        <v>#REF!</v>
      </c>
      <c r="C49" s="133" t="e">
        <f t="shared" si="12"/>
        <v>#REF!</v>
      </c>
      <c r="D49" s="133" t="e">
        <f t="shared" si="12"/>
        <v>#REF!</v>
      </c>
      <c r="E49" s="133" t="e">
        <f t="shared" si="12"/>
        <v>#REF!</v>
      </c>
      <c r="F49" s="133" t="e">
        <f t="shared" si="12"/>
        <v>#REF!</v>
      </c>
      <c r="G49" s="133" t="e">
        <f t="shared" si="12"/>
        <v>#REF!</v>
      </c>
      <c r="H49" s="133" t="e">
        <f t="shared" si="12"/>
        <v>#REF!</v>
      </c>
      <c r="I49" s="133" t="e">
        <f t="shared" si="12"/>
        <v>#REF!</v>
      </c>
      <c r="J49" s="133" t="e">
        <f t="shared" si="12"/>
        <v>#REF!</v>
      </c>
      <c r="K49" s="133" t="e">
        <f t="shared" si="12"/>
        <v>#REF!</v>
      </c>
      <c r="L49" s="133" t="e">
        <f t="shared" si="12"/>
        <v>#REF!</v>
      </c>
      <c r="N49" s="133" t="e">
        <f>SUM(N43:N48)</f>
        <v>#REF!</v>
      </c>
      <c r="P49" s="137" t="e">
        <f>SUM(P43:P48)</f>
        <v>#REF!</v>
      </c>
      <c r="Q49" s="137" t="e">
        <f>SUM(Q43:Q48)</f>
        <v>#REF!</v>
      </c>
      <c r="R49" s="137" t="e">
        <f>SUM(R43:R48)</f>
        <v>#REF!</v>
      </c>
      <c r="S49" s="137" t="e">
        <f>SUM(S43:S48)</f>
        <v>#REF!</v>
      </c>
      <c r="T49" s="137" t="e">
        <f>SUM(T43:T48)</f>
        <v>#REF!</v>
      </c>
    </row>
    <row r="50" spans="1:20" x14ac:dyDescent="0.25">
      <c r="A50" s="125"/>
      <c r="B50" s="126"/>
      <c r="C50" s="126"/>
      <c r="D50" s="126"/>
      <c r="E50" s="126"/>
      <c r="F50" s="126"/>
      <c r="G50" s="126"/>
      <c r="H50" s="126"/>
      <c r="I50" s="126"/>
      <c r="J50" s="126"/>
      <c r="K50" s="126"/>
      <c r="L50" s="126"/>
      <c r="N50" s="126"/>
      <c r="P50" s="126"/>
      <c r="Q50" s="126"/>
      <c r="R50" s="126"/>
      <c r="S50" s="126"/>
      <c r="T50" s="126"/>
    </row>
    <row r="51" spans="1:20" x14ac:dyDescent="0.25">
      <c r="A51" s="125" t="s">
        <v>1316</v>
      </c>
      <c r="B51" s="126" t="e">
        <f t="shared" ref="B51:L51" si="13">B33+B40+B49</f>
        <v>#REF!</v>
      </c>
      <c r="C51" s="126" t="e">
        <f t="shared" si="13"/>
        <v>#REF!</v>
      </c>
      <c r="D51" s="126" t="e">
        <f t="shared" si="13"/>
        <v>#REF!</v>
      </c>
      <c r="E51" s="126" t="e">
        <f t="shared" si="13"/>
        <v>#REF!</v>
      </c>
      <c r="F51" s="126" t="e">
        <f t="shared" si="13"/>
        <v>#REF!</v>
      </c>
      <c r="G51" s="126" t="e">
        <f t="shared" si="13"/>
        <v>#REF!</v>
      </c>
      <c r="H51" s="126" t="e">
        <f t="shared" si="13"/>
        <v>#REF!</v>
      </c>
      <c r="I51" s="126" t="e">
        <f t="shared" si="13"/>
        <v>#REF!</v>
      </c>
      <c r="J51" s="126" t="e">
        <f t="shared" si="13"/>
        <v>#REF!</v>
      </c>
      <c r="K51" s="126" t="e">
        <f t="shared" si="13"/>
        <v>#REF!</v>
      </c>
      <c r="L51" s="126" t="e">
        <f t="shared" si="13"/>
        <v>#REF!</v>
      </c>
      <c r="N51" s="126" t="e">
        <f>N33+N40+N49</f>
        <v>#REF!</v>
      </c>
      <c r="P51" s="126" t="e">
        <f>P33+P40+P49</f>
        <v>#REF!</v>
      </c>
      <c r="Q51" s="126" t="e">
        <f>Q33+Q40+Q49</f>
        <v>#REF!</v>
      </c>
      <c r="R51" s="126" t="e">
        <f>R33+R40+R49</f>
        <v>#REF!</v>
      </c>
      <c r="S51" s="126" t="e">
        <f>S33+S40+S49</f>
        <v>#REF!</v>
      </c>
      <c r="T51" s="126" t="e">
        <f>T33+T40+T49</f>
        <v>#REF!</v>
      </c>
    </row>
    <row r="52" spans="1:20" ht="9" customHeight="1" x14ac:dyDescent="0.25">
      <c r="A52" s="125"/>
      <c r="B52" s="126"/>
      <c r="C52" s="126"/>
      <c r="D52" s="126"/>
      <c r="E52" s="126"/>
      <c r="F52" s="126"/>
      <c r="G52" s="126"/>
      <c r="H52" s="126"/>
      <c r="I52" s="126"/>
      <c r="J52" s="126"/>
      <c r="K52" s="126"/>
      <c r="L52" s="126"/>
      <c r="N52" s="126"/>
      <c r="P52" s="126"/>
      <c r="Q52" s="126"/>
      <c r="R52" s="126"/>
      <c r="S52" s="126"/>
      <c r="T52" s="126"/>
    </row>
    <row r="53" spans="1:20" x14ac:dyDescent="0.25">
      <c r="A53" s="136" t="s">
        <v>1317</v>
      </c>
      <c r="B53" s="126" t="e">
        <f>BS!#REF!</f>
        <v>#REF!</v>
      </c>
      <c r="C53" s="126">
        <f>BS!E7</f>
        <v>4470130.79</v>
      </c>
      <c r="D53" s="126">
        <f>BS!K7</f>
        <v>10651132.045</v>
      </c>
      <c r="E53" s="126" t="e">
        <f>BS!#REF!</f>
        <v>#REF!</v>
      </c>
      <c r="F53" s="126" t="e">
        <f>BS!#REF!</f>
        <v>#REF!</v>
      </c>
      <c r="G53" s="126" t="e">
        <f>BS!#REF!</f>
        <v>#REF!</v>
      </c>
      <c r="H53" s="126" t="e">
        <f>BS!#REF!</f>
        <v>#REF!</v>
      </c>
      <c r="I53" s="126" t="e">
        <f>BS!#REF!</f>
        <v>#REF!</v>
      </c>
      <c r="J53" s="126" t="e">
        <f>BS!#REF!</f>
        <v>#REF!</v>
      </c>
      <c r="K53" s="126" t="e">
        <f>BS!#REF!</f>
        <v>#REF!</v>
      </c>
      <c r="L53" s="126" t="e">
        <f>BS!#REF!</f>
        <v>#REF!</v>
      </c>
      <c r="N53" s="126" t="e">
        <f>B53</f>
        <v>#REF!</v>
      </c>
      <c r="P53" s="126" t="e">
        <f>B53</f>
        <v>#REF!</v>
      </c>
      <c r="Q53" s="126" t="e">
        <f>E53</f>
        <v>#REF!</v>
      </c>
      <c r="R53" s="126" t="e">
        <f>H53</f>
        <v>#REF!</v>
      </c>
      <c r="S53" s="126" t="e">
        <f>K53</f>
        <v>#REF!</v>
      </c>
      <c r="T53" s="126" t="e">
        <f>P53</f>
        <v>#REF!</v>
      </c>
    </row>
    <row r="54" spans="1:20" x14ac:dyDescent="0.25">
      <c r="A54" s="136" t="s">
        <v>1318</v>
      </c>
      <c r="B54" s="126"/>
      <c r="C54" s="126"/>
      <c r="D54" s="126"/>
      <c r="E54" s="126"/>
      <c r="F54" s="126"/>
      <c r="G54" s="126"/>
      <c r="H54" s="126"/>
      <c r="I54" s="126"/>
      <c r="J54" s="126"/>
      <c r="K54" s="126"/>
      <c r="L54" s="126"/>
      <c r="N54" s="126"/>
      <c r="P54" s="126"/>
      <c r="Q54" s="126"/>
      <c r="R54" s="126"/>
      <c r="S54" s="126"/>
      <c r="T54" s="126"/>
    </row>
    <row r="55" spans="1:20" ht="8.4499999999999993" customHeight="1" x14ac:dyDescent="0.25">
      <c r="A55" s="136"/>
      <c r="B55" s="126"/>
      <c r="C55" s="126"/>
      <c r="D55" s="126"/>
      <c r="E55" s="126"/>
      <c r="F55" s="126"/>
      <c r="G55" s="126"/>
      <c r="H55" s="126"/>
      <c r="I55" s="126"/>
      <c r="J55" s="126"/>
      <c r="K55" s="126"/>
      <c r="L55" s="126"/>
      <c r="N55" s="126"/>
      <c r="P55" s="126"/>
      <c r="Q55" s="126"/>
      <c r="R55" s="126"/>
      <c r="S55" s="126"/>
      <c r="T55" s="126"/>
    </row>
    <row r="56" spans="1:20" ht="15.75" customHeight="1" x14ac:dyDescent="0.25">
      <c r="A56" s="138" t="s">
        <v>1319</v>
      </c>
      <c r="B56" s="139" t="e">
        <f t="shared" ref="B56:L56" si="14">B51+B53+B54</f>
        <v>#REF!</v>
      </c>
      <c r="C56" s="139" t="e">
        <f t="shared" si="14"/>
        <v>#REF!</v>
      </c>
      <c r="D56" s="139" t="e">
        <f t="shared" si="14"/>
        <v>#REF!</v>
      </c>
      <c r="E56" s="139" t="e">
        <f t="shared" si="14"/>
        <v>#REF!</v>
      </c>
      <c r="F56" s="139" t="e">
        <f t="shared" si="14"/>
        <v>#REF!</v>
      </c>
      <c r="G56" s="139" t="e">
        <f t="shared" si="14"/>
        <v>#REF!</v>
      </c>
      <c r="H56" s="139" t="e">
        <f t="shared" si="14"/>
        <v>#REF!</v>
      </c>
      <c r="I56" s="139" t="e">
        <f t="shared" si="14"/>
        <v>#REF!</v>
      </c>
      <c r="J56" s="139" t="e">
        <f t="shared" si="14"/>
        <v>#REF!</v>
      </c>
      <c r="K56" s="139" t="e">
        <f t="shared" si="14"/>
        <v>#REF!</v>
      </c>
      <c r="L56" s="139" t="e">
        <f t="shared" si="14"/>
        <v>#REF!</v>
      </c>
      <c r="N56" s="139" t="e">
        <f>N51+N53+N54</f>
        <v>#REF!</v>
      </c>
      <c r="P56" s="140" t="e">
        <f>P51+P53+P54</f>
        <v>#REF!</v>
      </c>
      <c r="Q56" s="140" t="e">
        <f>Q51+Q53+Q54</f>
        <v>#REF!</v>
      </c>
      <c r="R56" s="140" t="e">
        <f>R51+R53+R54</f>
        <v>#REF!</v>
      </c>
      <c r="S56" s="140" t="e">
        <f>S51+S53+S54</f>
        <v>#REF!</v>
      </c>
      <c r="T56" s="140" t="e">
        <f>T51+T53+T54</f>
        <v>#REF!</v>
      </c>
    </row>
    <row r="57" spans="1:20" ht="15.75" customHeight="1" x14ac:dyDescent="0.25">
      <c r="A57" s="138"/>
      <c r="B57" s="126" t="e">
        <f>BS!E7-CF!B56</f>
        <v>#REF!</v>
      </c>
      <c r="C57" s="126" t="e">
        <f>BS!K7-C56</f>
        <v>#REF!</v>
      </c>
      <c r="D57" s="126" t="e">
        <f>BS!#REF!-D56</f>
        <v>#REF!</v>
      </c>
      <c r="E57" s="126" t="e">
        <f>BS!#REF!-E56</f>
        <v>#REF!</v>
      </c>
      <c r="F57" s="126" t="e">
        <f>BS!#REF!-F56</f>
        <v>#REF!</v>
      </c>
      <c r="G57" s="126" t="e">
        <f>BS!#REF!-G56</f>
        <v>#REF!</v>
      </c>
      <c r="H57" s="126" t="e">
        <f>BS!#REF!-H56</f>
        <v>#REF!</v>
      </c>
      <c r="I57" s="126" t="e">
        <f>BS!#REF!-I56</f>
        <v>#REF!</v>
      </c>
      <c r="J57" s="126" t="e">
        <f>BS!#REF!-J56</f>
        <v>#REF!</v>
      </c>
      <c r="K57" s="126" t="e">
        <f>BS!#REF!-K56</f>
        <v>#REF!</v>
      </c>
      <c r="L57" s="126" t="e">
        <f>BS!#REF!-L56</f>
        <v>#REF!</v>
      </c>
      <c r="N57" s="126" t="e">
        <f>BS!#REF!-N56</f>
        <v>#REF!</v>
      </c>
      <c r="P57" s="126" t="e">
        <f>D56-P56</f>
        <v>#REF!</v>
      </c>
      <c r="Q57" s="126" t="e">
        <f>G56-Q56</f>
        <v>#REF!</v>
      </c>
      <c r="R57" s="126" t="e">
        <f>J56-R56</f>
        <v>#REF!</v>
      </c>
      <c r="S57" s="126" t="e">
        <f>L56-S56</f>
        <v>#REF!</v>
      </c>
      <c r="T57" s="126" t="e">
        <f>N56-T56</f>
        <v>#REF!</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Q224"/>
  <sheetViews>
    <sheetView zoomScale="90" workbookViewId="0">
      <pane xSplit="2" ySplit="4" topLeftCell="C5" activePane="bottomRight" state="frozen"/>
      <selection pane="topRight"/>
      <selection pane="bottomLeft"/>
      <selection pane="bottomRight"/>
    </sheetView>
  </sheetViews>
  <sheetFormatPr defaultRowHeight="15" x14ac:dyDescent="0.25"/>
  <cols>
    <col min="1" max="1" width="9.5703125" customWidth="1"/>
    <col min="2" max="2" width="34.5703125" customWidth="1"/>
    <col min="3" max="3" width="13.28515625" customWidth="1"/>
    <col min="14" max="14" width="11.140625" customWidth="1"/>
    <col min="15" max="15" width="15" hidden="1" customWidth="1"/>
    <col min="16" max="16" width="8.85546875" customWidth="1"/>
    <col min="17" max="17" width="13.28515625" customWidth="1"/>
    <col min="28" max="28" width="12.5703125" customWidth="1"/>
    <col min="29" max="29" width="15" hidden="1" customWidth="1"/>
    <col min="30" max="30" width="3.7109375" customWidth="1"/>
    <col min="31" max="31" width="12.28515625" customWidth="1"/>
    <col min="42" max="42" width="11.140625" customWidth="1"/>
    <col min="43" max="43" width="12.28515625" hidden="1" customWidth="1"/>
  </cols>
  <sheetData>
    <row r="1" spans="1:43" x14ac:dyDescent="0.25">
      <c r="A1" s="141" t="s">
        <v>1207</v>
      </c>
      <c r="B1" s="141"/>
    </row>
    <row r="2" spans="1:43" x14ac:dyDescent="0.25">
      <c r="A2" s="141" t="s">
        <v>1320</v>
      </c>
      <c r="B2" s="141"/>
    </row>
    <row r="3" spans="1:43" x14ac:dyDescent="0.25">
      <c r="A3" s="141" t="str">
        <f>BS!A3</f>
        <v>31 December 2025</v>
      </c>
      <c r="B3" s="141"/>
      <c r="C3" s="142" t="s">
        <v>1321</v>
      </c>
      <c r="D3" s="142"/>
      <c r="E3" s="142"/>
      <c r="F3" s="142"/>
      <c r="G3" s="142"/>
      <c r="H3" s="142"/>
      <c r="I3" s="142"/>
      <c r="J3" s="142"/>
      <c r="K3" s="142"/>
      <c r="L3" s="142"/>
      <c r="M3" s="142"/>
      <c r="N3" s="142"/>
      <c r="O3" s="142"/>
      <c r="Q3" s="142" t="s">
        <v>1251</v>
      </c>
      <c r="R3" s="142"/>
      <c r="S3" s="142"/>
      <c r="T3" s="142"/>
      <c r="U3" s="142"/>
      <c r="V3" s="142"/>
      <c r="W3" s="142"/>
      <c r="X3" s="142"/>
      <c r="Y3" s="142"/>
      <c r="Z3" s="142"/>
      <c r="AA3" s="142"/>
      <c r="AB3" s="142"/>
      <c r="AC3" s="142"/>
      <c r="AE3" s="142" t="s">
        <v>440</v>
      </c>
      <c r="AF3" s="142"/>
      <c r="AG3" s="142"/>
      <c r="AH3" s="142"/>
      <c r="AI3" s="142"/>
      <c r="AJ3" s="142"/>
      <c r="AK3" s="142"/>
      <c r="AL3" s="142"/>
      <c r="AM3" s="142"/>
      <c r="AN3" s="142"/>
      <c r="AO3" s="142"/>
      <c r="AP3" s="142"/>
      <c r="AQ3" s="142"/>
    </row>
    <row r="4" spans="1:43" x14ac:dyDescent="0.25">
      <c r="C4" s="143" t="s">
        <v>1270</v>
      </c>
      <c r="D4" s="143" t="s">
        <v>1271</v>
      </c>
      <c r="E4" s="143" t="s">
        <v>1272</v>
      </c>
      <c r="F4" s="143" t="s">
        <v>1273</v>
      </c>
      <c r="G4" s="143" t="s">
        <v>1274</v>
      </c>
      <c r="H4" s="143" t="s">
        <v>1275</v>
      </c>
      <c r="I4" s="143" t="s">
        <v>1276</v>
      </c>
      <c r="J4" s="143" t="s">
        <v>1277</v>
      </c>
      <c r="K4" s="143" t="s">
        <v>1278</v>
      </c>
      <c r="L4" s="143" t="s">
        <v>1279</v>
      </c>
      <c r="M4" s="143" t="s">
        <v>1280</v>
      </c>
      <c r="N4" s="143" t="s">
        <v>1322</v>
      </c>
      <c r="O4" s="143" t="s">
        <v>1323</v>
      </c>
      <c r="Q4" s="143" t="s">
        <v>1270</v>
      </c>
      <c r="R4" s="143" t="s">
        <v>1271</v>
      </c>
      <c r="S4" s="143" t="s">
        <v>1272</v>
      </c>
      <c r="T4" s="143" t="s">
        <v>1273</v>
      </c>
      <c r="U4" s="143" t="s">
        <v>1274</v>
      </c>
      <c r="V4" s="143" t="s">
        <v>1275</v>
      </c>
      <c r="W4" s="143" t="s">
        <v>1276</v>
      </c>
      <c r="X4" s="143" t="s">
        <v>1277</v>
      </c>
      <c r="Y4" s="143" t="s">
        <v>1278</v>
      </c>
      <c r="Z4" s="143" t="s">
        <v>1279</v>
      </c>
      <c r="AA4" s="143" t="s">
        <v>1280</v>
      </c>
      <c r="AB4" s="143" t="s">
        <v>1322</v>
      </c>
      <c r="AC4" s="143" t="s">
        <v>1323</v>
      </c>
      <c r="AE4" s="143" t="s">
        <v>1270</v>
      </c>
      <c r="AF4" s="143" t="s">
        <v>1271</v>
      </c>
      <c r="AG4" s="143" t="s">
        <v>1272</v>
      </c>
      <c r="AH4" s="143" t="s">
        <v>1273</v>
      </c>
      <c r="AI4" s="143" t="s">
        <v>1274</v>
      </c>
      <c r="AJ4" s="143" t="s">
        <v>1275</v>
      </c>
      <c r="AK4" s="143" t="s">
        <v>1276</v>
      </c>
      <c r="AL4" s="143" t="s">
        <v>1277</v>
      </c>
      <c r="AM4" s="143" t="s">
        <v>1278</v>
      </c>
      <c r="AN4" s="143" t="s">
        <v>1279</v>
      </c>
      <c r="AO4" s="143" t="s">
        <v>1280</v>
      </c>
      <c r="AP4" s="143" t="s">
        <v>1322</v>
      </c>
      <c r="AQ4" s="143" t="s">
        <v>1323</v>
      </c>
    </row>
    <row r="6" spans="1:43" x14ac:dyDescent="0.25">
      <c r="A6" s="41" t="s">
        <v>1319</v>
      </c>
    </row>
    <row r="7" spans="1:43" x14ac:dyDescent="0.25">
      <c r="A7" s="42">
        <v>130001</v>
      </c>
      <c r="B7" s="43" t="s">
        <v>838</v>
      </c>
      <c r="C7" s="44" t="e">
        <f t="shared" ref="C7:C25" si="0">Q7+AE7</f>
        <v>#REF!</v>
      </c>
      <c r="D7" s="44" t="e">
        <f t="shared" ref="D7:D25" si="1">R7+AF7</f>
        <v>#REF!</v>
      </c>
      <c r="E7" s="44" t="e">
        <f t="shared" ref="E7:E25" si="2">S7+AG7</f>
        <v>#REF!</v>
      </c>
      <c r="F7" s="44" t="e">
        <f t="shared" ref="F7:F25" si="3">T7+AH7</f>
        <v>#REF!</v>
      </c>
      <c r="G7" s="44" t="e">
        <f t="shared" ref="G7:G25" si="4">U7+AI7</f>
        <v>#REF!</v>
      </c>
      <c r="H7" s="44" t="e">
        <f t="shared" ref="H7:H25" si="5">V7+AJ7</f>
        <v>#REF!</v>
      </c>
      <c r="I7" s="44" t="e">
        <f t="shared" ref="I7:I25" si="6">W7+AK7</f>
        <v>#REF!</v>
      </c>
      <c r="J7" s="44" t="e">
        <f t="shared" ref="J7:J25" si="7">X7+AL7</f>
        <v>#REF!</v>
      </c>
      <c r="K7" s="44" t="e">
        <f t="shared" ref="K7:K25" si="8">Y7+AM7</f>
        <v>#REF!</v>
      </c>
      <c r="L7" s="44" t="e">
        <f t="shared" ref="L7:L25" si="9">Z7+AN7</f>
        <v>#REF!</v>
      </c>
      <c r="M7" s="44" t="e">
        <f t="shared" ref="M7:M25" si="10">AA7+AO7</f>
        <v>#REF!</v>
      </c>
      <c r="N7" s="44">
        <f t="shared" ref="N7:N25" si="11">AB7+AP7</f>
        <v>0</v>
      </c>
      <c r="Q7" s="44" t="e">
        <f>SUMIF(#REF!,$A7,#REF!)</f>
        <v>#REF!</v>
      </c>
      <c r="R7" s="44">
        <f>SUMIF(ALIF_Y2014!$A:$A,$A7,ALIF_Y2014!$F:$F)</f>
        <v>7283978.5010000002</v>
      </c>
      <c r="S7" s="44">
        <f>SUMIF(ALIF_Y2015!$A:$A,$A7,ALIF_Y2015!$F:$F)</f>
        <v>2480104.2799999998</v>
      </c>
      <c r="T7" s="44">
        <f>SUMIF(ALIF_Y2016!$A:$A,$A7,ALIF_Y2016!$F:$F)</f>
        <v>2109690.5099999998</v>
      </c>
      <c r="U7" s="44">
        <f>SUMIF(ALIF_Y2017!$A:$A,$A7,ALIF_Y2017!$F:$F)</f>
        <v>2591031.906</v>
      </c>
      <c r="V7" s="44">
        <f>SUMIF(ALIF_Y2018!$A:$A,$A7,ALIF_Y2018!$F:$F)</f>
        <v>2068549.69</v>
      </c>
      <c r="W7" s="44">
        <f>SUMIF(ALIF_Y2019!$A:$A,$A7,ALIF_Y2019!$F:$F)</f>
        <v>1482460.22</v>
      </c>
      <c r="X7" s="44">
        <f>SUMIF(ALIF_Y2020!$A:$A,$A7,ALIF_Y2020!$F:$F)</f>
        <v>-0.41</v>
      </c>
      <c r="Y7" s="44">
        <f>SUMIF(ALIF_Y2021!$A:$A,$A7,ALIF_Y2021!$F:$F)</f>
        <v>254890.07</v>
      </c>
      <c r="Z7" s="44">
        <f>SUMIF(ALIF_Y2022!$A:$A,$A7,ALIF_Y2022!$F:$F)</f>
        <v>0</v>
      </c>
      <c r="AA7" s="44">
        <f>SUMIF(ALIF_Y2023!$A:$A,$A7,ALIF_Y2023!$F:$F)</f>
        <v>0</v>
      </c>
      <c r="AE7" s="44" t="e">
        <f>SUMIF(#REF!,$A7,#REF!)</f>
        <v>#REF!</v>
      </c>
      <c r="AF7" s="44" t="e">
        <f>SUMIF(#REF!,$A7,#REF!)</f>
        <v>#REF!</v>
      </c>
      <c r="AG7" s="44" t="e">
        <f>SUMIF(#REF!,$A7,#REF!)</f>
        <v>#REF!</v>
      </c>
      <c r="AH7" s="44" t="e">
        <f>SUMIF(#REF!,$A7,#REF!)</f>
        <v>#REF!</v>
      </c>
      <c r="AI7" s="44" t="e">
        <f>SUMIF(#REF!,$A7,#REF!)</f>
        <v>#REF!</v>
      </c>
      <c r="AJ7" s="44" t="e">
        <f>SUMIF(#REF!,$A7,#REF!)</f>
        <v>#REF!</v>
      </c>
      <c r="AK7" s="44" t="e">
        <f>SUMIF(#REF!,$A7,#REF!)</f>
        <v>#REF!</v>
      </c>
      <c r="AL7" s="44" t="e">
        <f>SUMIF(#REF!,$A7,#REF!)</f>
        <v>#REF!</v>
      </c>
      <c r="AM7" s="44" t="e">
        <f>SUMIF(#REF!,$A7,#REF!)</f>
        <v>#REF!</v>
      </c>
      <c r="AN7" s="44" t="e">
        <f>SUMIF(#REF!,$A7,#REF!)</f>
        <v>#REF!</v>
      </c>
      <c r="AO7" s="44" t="e">
        <f>SUMIF(#REF!,$A7,#REF!)</f>
        <v>#REF!</v>
      </c>
    </row>
    <row r="8" spans="1:43" x14ac:dyDescent="0.25">
      <c r="A8" s="42">
        <v>130002</v>
      </c>
      <c r="B8" s="43" t="s">
        <v>1205</v>
      </c>
      <c r="C8" s="44" t="e">
        <f t="shared" si="0"/>
        <v>#REF!</v>
      </c>
      <c r="D8" s="44" t="e">
        <f t="shared" si="1"/>
        <v>#REF!</v>
      </c>
      <c r="E8" s="44" t="e">
        <f t="shared" si="2"/>
        <v>#REF!</v>
      </c>
      <c r="F8" s="44" t="e">
        <f t="shared" si="3"/>
        <v>#REF!</v>
      </c>
      <c r="G8" s="44" t="e">
        <f t="shared" si="4"/>
        <v>#REF!</v>
      </c>
      <c r="H8" s="44" t="e">
        <f t="shared" si="5"/>
        <v>#REF!</v>
      </c>
      <c r="I8" s="44" t="e">
        <f t="shared" si="6"/>
        <v>#REF!</v>
      </c>
      <c r="J8" s="44" t="e">
        <f t="shared" si="7"/>
        <v>#REF!</v>
      </c>
      <c r="K8" s="44" t="e">
        <f t="shared" si="8"/>
        <v>#REF!</v>
      </c>
      <c r="L8" s="44" t="e">
        <f t="shared" si="9"/>
        <v>#REF!</v>
      </c>
      <c r="M8" s="44" t="e">
        <f t="shared" si="10"/>
        <v>#REF!</v>
      </c>
      <c r="N8" s="44">
        <f t="shared" si="11"/>
        <v>0</v>
      </c>
      <c r="Q8" s="44" t="e">
        <f>SUMIF(#REF!,$A8,#REF!)</f>
        <v>#REF!</v>
      </c>
      <c r="R8" s="44">
        <f>SUMIF(ALIF_Y2014!$A:$A,$A8,ALIF_Y2014!$F:$F)</f>
        <v>54868.49</v>
      </c>
      <c r="S8" s="44">
        <f>SUMIF(ALIF_Y2015!$A:$A,$A8,ALIF_Y2015!$F:$F)</f>
        <v>2429.1</v>
      </c>
      <c r="T8" s="44">
        <f>SUMIF(ALIF_Y2016!$A:$A,$A8,ALIF_Y2016!$F:$F)</f>
        <v>30078.2</v>
      </c>
      <c r="U8" s="44">
        <f>SUMIF(ALIF_Y2017!$A:$A,$A8,ALIF_Y2017!$F:$F)</f>
        <v>51063.64</v>
      </c>
      <c r="V8" s="44">
        <f>SUMIF(ALIF_Y2018!$A:$A,$A8,ALIF_Y2018!$F:$F)</f>
        <v>6349.32</v>
      </c>
      <c r="W8" s="44">
        <f>SUMIF(ALIF_Y2019!$A:$A,$A8,ALIF_Y2019!$F:$F)</f>
        <v>777923.25</v>
      </c>
      <c r="X8" s="44">
        <f>SUMIF(ALIF_Y2020!$A:$A,$A8,ALIF_Y2020!$F:$F)</f>
        <v>744918.4</v>
      </c>
      <c r="Y8" s="44">
        <f>SUMIF(ALIF_Y2021!$A:$A,$A8,ALIF_Y2021!$F:$F)</f>
        <v>0</v>
      </c>
      <c r="Z8" s="44">
        <f>SUMIF(ALIF_Y2022!$A:$A,$A8,ALIF_Y2022!$F:$F)</f>
        <v>0</v>
      </c>
      <c r="AA8" s="44">
        <f>SUMIF(ALIF_Y2023!$A:$A,$A8,ALIF_Y2023!$F:$F)</f>
        <v>0</v>
      </c>
      <c r="AE8" s="44" t="e">
        <f>SUMIF(#REF!,$A8,#REF!)</f>
        <v>#REF!</v>
      </c>
      <c r="AF8" s="44" t="e">
        <f>SUMIF(#REF!,$A8,#REF!)</f>
        <v>#REF!</v>
      </c>
      <c r="AG8" s="44" t="e">
        <f>SUMIF(#REF!,$A8,#REF!)</f>
        <v>#REF!</v>
      </c>
      <c r="AH8" s="44" t="e">
        <f>SUMIF(#REF!,$A8,#REF!)</f>
        <v>#REF!</v>
      </c>
      <c r="AI8" s="44" t="e">
        <f>SUMIF(#REF!,$A8,#REF!)</f>
        <v>#REF!</v>
      </c>
      <c r="AJ8" s="44" t="e">
        <f>SUMIF(#REF!,$A8,#REF!)</f>
        <v>#REF!</v>
      </c>
      <c r="AK8" s="44" t="e">
        <f>SUMIF(#REF!,$A8,#REF!)</f>
        <v>#REF!</v>
      </c>
      <c r="AL8" s="44" t="e">
        <f>SUMIF(#REF!,$A8,#REF!)</f>
        <v>#REF!</v>
      </c>
      <c r="AM8" s="44" t="e">
        <f>SUMIF(#REF!,$A8,#REF!)</f>
        <v>#REF!</v>
      </c>
      <c r="AN8" s="44" t="e">
        <f>SUMIF(#REF!,$A8,#REF!)</f>
        <v>#REF!</v>
      </c>
      <c r="AO8" s="44" t="e">
        <f>SUMIF(#REF!,$A8,#REF!)</f>
        <v>#REF!</v>
      </c>
    </row>
    <row r="9" spans="1:43" x14ac:dyDescent="0.25">
      <c r="A9" s="42">
        <v>130003</v>
      </c>
      <c r="B9" s="43" t="s">
        <v>840</v>
      </c>
      <c r="C9" s="44" t="e">
        <f t="shared" si="0"/>
        <v>#REF!</v>
      </c>
      <c r="D9" s="44" t="e">
        <f t="shared" si="1"/>
        <v>#REF!</v>
      </c>
      <c r="E9" s="44" t="e">
        <f t="shared" si="2"/>
        <v>#REF!</v>
      </c>
      <c r="F9" s="44" t="e">
        <f t="shared" si="3"/>
        <v>#REF!</v>
      </c>
      <c r="G9" s="44" t="e">
        <f t="shared" si="4"/>
        <v>#REF!</v>
      </c>
      <c r="H9" s="44" t="e">
        <f t="shared" si="5"/>
        <v>#REF!</v>
      </c>
      <c r="I9" s="44" t="e">
        <f t="shared" si="6"/>
        <v>#REF!</v>
      </c>
      <c r="J9" s="44" t="e">
        <f t="shared" si="7"/>
        <v>#REF!</v>
      </c>
      <c r="K9" s="44" t="e">
        <f t="shared" si="8"/>
        <v>#REF!</v>
      </c>
      <c r="L9" s="44" t="e">
        <f t="shared" si="9"/>
        <v>#REF!</v>
      </c>
      <c r="M9" s="44" t="e">
        <f t="shared" si="10"/>
        <v>#REF!</v>
      </c>
      <c r="N9" s="44">
        <f t="shared" si="11"/>
        <v>0</v>
      </c>
      <c r="Q9" s="44" t="e">
        <f>SUMIF(#REF!,$A9,#REF!)</f>
        <v>#REF!</v>
      </c>
      <c r="R9" s="44">
        <f>SUMIF(ALIF_Y2014!$A:$A,$A9,ALIF_Y2014!$F:$F)</f>
        <v>0</v>
      </c>
      <c r="S9" s="44">
        <f>SUMIF(ALIF_Y2015!$A:$A,$A9,ALIF_Y2015!$F:$F)</f>
        <v>0</v>
      </c>
      <c r="T9" s="44">
        <f>SUMIF(ALIF_Y2016!$A:$A,$A9,ALIF_Y2016!$F:$F)</f>
        <v>0</v>
      </c>
      <c r="U9" s="44">
        <f>SUMIF(ALIF_Y2017!$A:$A,$A9,ALIF_Y2017!$F:$F)</f>
        <v>0</v>
      </c>
      <c r="V9" s="44">
        <f>SUMIF(ALIF_Y2018!$A:$A,$A9,ALIF_Y2018!$F:$F)</f>
        <v>0</v>
      </c>
      <c r="W9" s="44">
        <f>SUMIF(ALIF_Y2019!$A:$A,$A9,ALIF_Y2019!$F:$F)</f>
        <v>0</v>
      </c>
      <c r="X9" s="44">
        <f>SUMIF(ALIF_Y2020!$A:$A,$A9,ALIF_Y2020!$F:$F)</f>
        <v>0</v>
      </c>
      <c r="Y9" s="44">
        <f>SUMIF(ALIF_Y2021!$A:$A,$A9,ALIF_Y2021!$F:$F)</f>
        <v>0</v>
      </c>
      <c r="Z9" s="44">
        <f>SUMIF(ALIF_Y2022!$A:$A,$A9,ALIF_Y2022!$F:$F)</f>
        <v>0</v>
      </c>
      <c r="AA9" s="44">
        <f>SUMIF(ALIF_Y2023!$A:$A,$A9,ALIF_Y2023!$F:$F)</f>
        <v>0</v>
      </c>
      <c r="AE9" s="44" t="e">
        <f>SUMIF(#REF!,$A9,#REF!)</f>
        <v>#REF!</v>
      </c>
      <c r="AF9" s="44" t="e">
        <f>SUMIF(#REF!,$A9,#REF!)</f>
        <v>#REF!</v>
      </c>
      <c r="AG9" s="44" t="e">
        <f>SUMIF(#REF!,$A9,#REF!)</f>
        <v>#REF!</v>
      </c>
      <c r="AH9" s="44" t="e">
        <f>SUMIF(#REF!,$A9,#REF!)</f>
        <v>#REF!</v>
      </c>
      <c r="AI9" s="44" t="e">
        <f>SUMIF(#REF!,$A9,#REF!)</f>
        <v>#REF!</v>
      </c>
      <c r="AJ9" s="44" t="e">
        <f>SUMIF(#REF!,$A9,#REF!)</f>
        <v>#REF!</v>
      </c>
      <c r="AK9" s="44" t="e">
        <f>SUMIF(#REF!,$A9,#REF!)</f>
        <v>#REF!</v>
      </c>
      <c r="AL9" s="44" t="e">
        <f>SUMIF(#REF!,$A9,#REF!)</f>
        <v>#REF!</v>
      </c>
      <c r="AM9" s="44" t="e">
        <f>SUMIF(#REF!,$A9,#REF!)</f>
        <v>#REF!</v>
      </c>
      <c r="AN9" s="44" t="e">
        <f>SUMIF(#REF!,$A9,#REF!)</f>
        <v>#REF!</v>
      </c>
      <c r="AO9" s="44" t="e">
        <f>SUMIF(#REF!,$A9,#REF!)</f>
        <v>#REF!</v>
      </c>
    </row>
    <row r="10" spans="1:43" x14ac:dyDescent="0.25">
      <c r="A10" s="42">
        <v>130004</v>
      </c>
      <c r="B10" s="43" t="s">
        <v>841</v>
      </c>
      <c r="C10" s="44" t="e">
        <f t="shared" si="0"/>
        <v>#REF!</v>
      </c>
      <c r="D10" s="44" t="e">
        <f t="shared" si="1"/>
        <v>#REF!</v>
      </c>
      <c r="E10" s="44" t="e">
        <f t="shared" si="2"/>
        <v>#REF!</v>
      </c>
      <c r="F10" s="44" t="e">
        <f t="shared" si="3"/>
        <v>#REF!</v>
      </c>
      <c r="G10" s="44" t="e">
        <f t="shared" si="4"/>
        <v>#REF!</v>
      </c>
      <c r="H10" s="44" t="e">
        <f t="shared" si="5"/>
        <v>#REF!</v>
      </c>
      <c r="I10" s="44" t="e">
        <f t="shared" si="6"/>
        <v>#REF!</v>
      </c>
      <c r="J10" s="44" t="e">
        <f t="shared" si="7"/>
        <v>#REF!</v>
      </c>
      <c r="K10" s="44" t="e">
        <f t="shared" si="8"/>
        <v>#REF!</v>
      </c>
      <c r="L10" s="44" t="e">
        <f t="shared" si="9"/>
        <v>#REF!</v>
      </c>
      <c r="M10" s="44" t="e">
        <f t="shared" si="10"/>
        <v>#REF!</v>
      </c>
      <c r="N10" s="44">
        <f t="shared" si="11"/>
        <v>0</v>
      </c>
      <c r="Q10" s="44" t="e">
        <f>SUMIF(#REF!,$A10,#REF!)</f>
        <v>#REF!</v>
      </c>
      <c r="R10" s="44">
        <f>SUMIF(ALIF_Y2014!$A:$A,$A10,ALIF_Y2014!$F:$F)</f>
        <v>2446274.11</v>
      </c>
      <c r="S10" s="44">
        <f>SUMIF(ALIF_Y2015!$A:$A,$A10,ALIF_Y2015!$F:$F)</f>
        <v>669960.12</v>
      </c>
      <c r="T10" s="44">
        <f>SUMIF(ALIF_Y2016!$A:$A,$A10,ALIF_Y2016!$F:$F)</f>
        <v>623354.35</v>
      </c>
      <c r="U10" s="44">
        <f>SUMIF(ALIF_Y2017!$A:$A,$A10,ALIF_Y2017!$F:$F)</f>
        <v>2170226.4300000002</v>
      </c>
      <c r="V10" s="44">
        <f>SUMIF(ALIF_Y2018!$A:$A,$A10,ALIF_Y2018!$F:$F)</f>
        <v>281961.51</v>
      </c>
      <c r="W10" s="44">
        <f>SUMIF(ALIF_Y2019!$A:$A,$A10,ALIF_Y2019!$F:$F)</f>
        <v>144938.85</v>
      </c>
      <c r="X10" s="44">
        <f>SUMIF(ALIF_Y2020!$A:$A,$A10,ALIF_Y2020!$F:$F)</f>
        <v>108178.8</v>
      </c>
      <c r="Y10" s="44">
        <f>SUMIF(ALIF_Y2021!$A:$A,$A10,ALIF_Y2021!$F:$F)</f>
        <v>31128.799999999999</v>
      </c>
      <c r="Z10" s="44">
        <f>SUMIF(ALIF_Y2022!$A:$A,$A10,ALIF_Y2022!$F:$F)</f>
        <v>15028.8</v>
      </c>
      <c r="AA10" s="44">
        <f>SUMIF(ALIF_Y2023!$A:$A,$A10,ALIF_Y2023!$F:$F)</f>
        <v>0</v>
      </c>
      <c r="AE10" s="44" t="e">
        <f>SUMIF(#REF!,$A10,#REF!)</f>
        <v>#REF!</v>
      </c>
      <c r="AF10" s="44" t="e">
        <f>SUMIF(#REF!,$A10,#REF!)</f>
        <v>#REF!</v>
      </c>
      <c r="AG10" s="44" t="e">
        <f>SUMIF(#REF!,$A10,#REF!)</f>
        <v>#REF!</v>
      </c>
      <c r="AH10" s="44" t="e">
        <f>SUMIF(#REF!,$A10,#REF!)</f>
        <v>#REF!</v>
      </c>
      <c r="AI10" s="44" t="e">
        <f>SUMIF(#REF!,$A10,#REF!)</f>
        <v>#REF!</v>
      </c>
      <c r="AJ10" s="44" t="e">
        <f>SUMIF(#REF!,$A10,#REF!)</f>
        <v>#REF!</v>
      </c>
      <c r="AK10" s="44" t="e">
        <f>SUMIF(#REF!,$A10,#REF!)</f>
        <v>#REF!</v>
      </c>
      <c r="AL10" s="44" t="e">
        <f>SUMIF(#REF!,$A10,#REF!)</f>
        <v>#REF!</v>
      </c>
      <c r="AM10" s="44" t="e">
        <f>SUMIF(#REF!,$A10,#REF!)</f>
        <v>#REF!</v>
      </c>
      <c r="AN10" s="44" t="e">
        <f>SUMIF(#REF!,$A10,#REF!)</f>
        <v>#REF!</v>
      </c>
      <c r="AO10" s="44" t="e">
        <f>SUMIF(#REF!,$A10,#REF!)</f>
        <v>#REF!</v>
      </c>
    </row>
    <row r="11" spans="1:43" x14ac:dyDescent="0.25">
      <c r="A11" s="42">
        <v>130005</v>
      </c>
      <c r="B11" s="43" t="s">
        <v>842</v>
      </c>
      <c r="C11" s="44" t="e">
        <f t="shared" si="0"/>
        <v>#REF!</v>
      </c>
      <c r="D11" s="44" t="e">
        <f t="shared" si="1"/>
        <v>#REF!</v>
      </c>
      <c r="E11" s="44" t="e">
        <f t="shared" si="2"/>
        <v>#REF!</v>
      </c>
      <c r="F11" s="44" t="e">
        <f t="shared" si="3"/>
        <v>#REF!</v>
      </c>
      <c r="G11" s="44" t="e">
        <f t="shared" si="4"/>
        <v>#REF!</v>
      </c>
      <c r="H11" s="44" t="e">
        <f t="shared" si="5"/>
        <v>#REF!</v>
      </c>
      <c r="I11" s="44" t="e">
        <f t="shared" si="6"/>
        <v>#REF!</v>
      </c>
      <c r="J11" s="44" t="e">
        <f t="shared" si="7"/>
        <v>#REF!</v>
      </c>
      <c r="K11" s="44" t="e">
        <f t="shared" si="8"/>
        <v>#REF!</v>
      </c>
      <c r="L11" s="44" t="e">
        <f t="shared" si="9"/>
        <v>#REF!</v>
      </c>
      <c r="M11" s="44" t="e">
        <f t="shared" si="10"/>
        <v>#REF!</v>
      </c>
      <c r="N11" s="44">
        <f t="shared" si="11"/>
        <v>0</v>
      </c>
      <c r="Q11" s="44" t="e">
        <f>SUMIF(#REF!,$A11,#REF!)</f>
        <v>#REF!</v>
      </c>
      <c r="R11" s="44">
        <f>SUMIF(ALIF_Y2014!$A:$A,$A11,ALIF_Y2014!$F:$F)</f>
        <v>173876.8</v>
      </c>
      <c r="S11" s="44">
        <f>SUMIF(ALIF_Y2015!$A:$A,$A11,ALIF_Y2015!$F:$F)</f>
        <v>72019.39</v>
      </c>
      <c r="T11" s="44">
        <f>SUMIF(ALIF_Y2016!$A:$A,$A11,ALIF_Y2016!$F:$F)</f>
        <v>5311.27</v>
      </c>
      <c r="U11" s="44">
        <f>SUMIF(ALIF_Y2017!$A:$A,$A11,ALIF_Y2017!$F:$F)</f>
        <v>1196050.98</v>
      </c>
      <c r="V11" s="44">
        <f>SUMIF(ALIF_Y2018!$A:$A,$A11,ALIF_Y2018!$F:$F)</f>
        <v>0</v>
      </c>
      <c r="W11" s="44">
        <f>SUMIF(ALIF_Y2019!$A:$A,$A11,ALIF_Y2019!$F:$F)</f>
        <v>0</v>
      </c>
      <c r="X11" s="44">
        <f>SUMIF(ALIF_Y2020!$A:$A,$A11,ALIF_Y2020!$F:$F)</f>
        <v>0</v>
      </c>
      <c r="Y11" s="44">
        <f>SUMIF(ALIF_Y2021!$A:$A,$A11,ALIF_Y2021!$F:$F)</f>
        <v>0</v>
      </c>
      <c r="Z11" s="44">
        <f>SUMIF(ALIF_Y2022!$A:$A,$A11,ALIF_Y2022!$F:$F)</f>
        <v>0</v>
      </c>
      <c r="AA11" s="44">
        <f>SUMIF(ALIF_Y2023!$A:$A,$A11,ALIF_Y2023!$F:$F)</f>
        <v>0</v>
      </c>
      <c r="AE11" s="44" t="e">
        <f>SUMIF(#REF!,$A11,#REF!)</f>
        <v>#REF!</v>
      </c>
      <c r="AF11" s="44" t="e">
        <f>SUMIF(#REF!,$A11,#REF!)</f>
        <v>#REF!</v>
      </c>
      <c r="AG11" s="44" t="e">
        <f>SUMIF(#REF!,$A11,#REF!)</f>
        <v>#REF!</v>
      </c>
      <c r="AH11" s="44" t="e">
        <f>SUMIF(#REF!,$A11,#REF!)</f>
        <v>#REF!</v>
      </c>
      <c r="AI11" s="44" t="e">
        <f>SUMIF(#REF!,$A11,#REF!)</f>
        <v>#REF!</v>
      </c>
      <c r="AJ11" s="44" t="e">
        <f>SUMIF(#REF!,$A11,#REF!)</f>
        <v>#REF!</v>
      </c>
      <c r="AK11" s="44" t="e">
        <f>SUMIF(#REF!,$A11,#REF!)</f>
        <v>#REF!</v>
      </c>
      <c r="AL11" s="44" t="e">
        <f>SUMIF(#REF!,$A11,#REF!)</f>
        <v>#REF!</v>
      </c>
      <c r="AM11" s="44" t="e">
        <f>SUMIF(#REF!,$A11,#REF!)</f>
        <v>#REF!</v>
      </c>
      <c r="AN11" s="44" t="e">
        <f>SUMIF(#REF!,$A11,#REF!)</f>
        <v>#REF!</v>
      </c>
      <c r="AO11" s="44" t="e">
        <f>SUMIF(#REF!,$A11,#REF!)</f>
        <v>#REF!</v>
      </c>
    </row>
    <row r="12" spans="1:43" x14ac:dyDescent="0.25">
      <c r="A12" s="42">
        <v>130006</v>
      </c>
      <c r="B12" s="43" t="s">
        <v>843</v>
      </c>
      <c r="C12" s="44" t="e">
        <f t="shared" si="0"/>
        <v>#REF!</v>
      </c>
      <c r="D12" s="44" t="e">
        <f t="shared" si="1"/>
        <v>#REF!</v>
      </c>
      <c r="E12" s="44" t="e">
        <f t="shared" si="2"/>
        <v>#REF!</v>
      </c>
      <c r="F12" s="44" t="e">
        <f t="shared" si="3"/>
        <v>#REF!</v>
      </c>
      <c r="G12" s="44" t="e">
        <f t="shared" si="4"/>
        <v>#REF!</v>
      </c>
      <c r="H12" s="44" t="e">
        <f t="shared" si="5"/>
        <v>#REF!</v>
      </c>
      <c r="I12" s="44" t="e">
        <f t="shared" si="6"/>
        <v>#REF!</v>
      </c>
      <c r="J12" s="44" t="e">
        <f t="shared" si="7"/>
        <v>#REF!</v>
      </c>
      <c r="K12" s="44" t="e">
        <f t="shared" si="8"/>
        <v>#REF!</v>
      </c>
      <c r="L12" s="44" t="e">
        <f t="shared" si="9"/>
        <v>#REF!</v>
      </c>
      <c r="M12" s="44" t="e">
        <f t="shared" si="10"/>
        <v>#REF!</v>
      </c>
      <c r="N12" s="44">
        <f t="shared" si="11"/>
        <v>0</v>
      </c>
      <c r="Q12" s="44" t="e">
        <f>SUMIF(#REF!,$A12,#REF!)</f>
        <v>#REF!</v>
      </c>
      <c r="R12" s="44">
        <f>SUMIF(ALIF_Y2014!$A:$A,$A12,ALIF_Y2014!$F:$F)</f>
        <v>268845.77</v>
      </c>
      <c r="S12" s="44">
        <f>SUMIF(ALIF_Y2015!$A:$A,$A12,ALIF_Y2015!$F:$F)</f>
        <v>127521.81</v>
      </c>
      <c r="T12" s="44">
        <f>SUMIF(ALIF_Y2016!$A:$A,$A12,ALIF_Y2016!$F:$F)</f>
        <v>18521.5</v>
      </c>
      <c r="U12" s="44">
        <f>SUMIF(ALIF_Y2017!$A:$A,$A12,ALIF_Y2017!$F:$F)</f>
        <v>91646.45</v>
      </c>
      <c r="V12" s="44">
        <f>SUMIF(ALIF_Y2018!$A:$A,$A12,ALIF_Y2018!$F:$F)</f>
        <v>26670.35</v>
      </c>
      <c r="W12" s="44">
        <f>SUMIF(ALIF_Y2019!$A:$A,$A12,ALIF_Y2019!$F:$F)</f>
        <v>115009.41</v>
      </c>
      <c r="X12" s="44">
        <f>SUMIF(ALIF_Y2020!$A:$A,$A12,ALIF_Y2020!$F:$F)</f>
        <v>89237.65</v>
      </c>
      <c r="Y12" s="44">
        <f>SUMIF(ALIF_Y2021!$A:$A,$A12,ALIF_Y2021!$F:$F)</f>
        <v>221073.65</v>
      </c>
      <c r="Z12" s="44">
        <f>SUMIF(ALIF_Y2022!$A:$A,$A12,ALIF_Y2022!$F:$F)</f>
        <v>0</v>
      </c>
      <c r="AA12" s="44">
        <f>SUMIF(ALIF_Y2023!$A:$A,$A12,ALIF_Y2023!$F:$F)</f>
        <v>0</v>
      </c>
      <c r="AE12" s="44" t="e">
        <f>SUMIF(#REF!,$A12,#REF!)</f>
        <v>#REF!</v>
      </c>
      <c r="AF12" s="44" t="e">
        <f>SUMIF(#REF!,$A12,#REF!)</f>
        <v>#REF!</v>
      </c>
      <c r="AG12" s="44" t="e">
        <f>SUMIF(#REF!,$A12,#REF!)</f>
        <v>#REF!</v>
      </c>
      <c r="AH12" s="44" t="e">
        <f>SUMIF(#REF!,$A12,#REF!)</f>
        <v>#REF!</v>
      </c>
      <c r="AI12" s="44" t="e">
        <f>SUMIF(#REF!,$A12,#REF!)</f>
        <v>#REF!</v>
      </c>
      <c r="AJ12" s="44" t="e">
        <f>SUMIF(#REF!,$A12,#REF!)</f>
        <v>#REF!</v>
      </c>
      <c r="AK12" s="44" t="e">
        <f>SUMIF(#REF!,$A12,#REF!)</f>
        <v>#REF!</v>
      </c>
      <c r="AL12" s="44" t="e">
        <f>SUMIF(#REF!,$A12,#REF!)</f>
        <v>#REF!</v>
      </c>
      <c r="AM12" s="44" t="e">
        <f>SUMIF(#REF!,$A12,#REF!)</f>
        <v>#REF!</v>
      </c>
      <c r="AN12" s="44" t="e">
        <f>SUMIF(#REF!,$A12,#REF!)</f>
        <v>#REF!</v>
      </c>
      <c r="AO12" s="44" t="e">
        <f>SUMIF(#REF!,$A12,#REF!)</f>
        <v>#REF!</v>
      </c>
    </row>
    <row r="13" spans="1:43" x14ac:dyDescent="0.25">
      <c r="A13" s="42">
        <v>130007</v>
      </c>
      <c r="B13" s="43" t="s">
        <v>844</v>
      </c>
      <c r="C13" s="44" t="e">
        <f t="shared" si="0"/>
        <v>#REF!</v>
      </c>
      <c r="D13" s="44" t="e">
        <f t="shared" si="1"/>
        <v>#REF!</v>
      </c>
      <c r="E13" s="44" t="e">
        <f t="shared" si="2"/>
        <v>#REF!</v>
      </c>
      <c r="F13" s="44" t="e">
        <f t="shared" si="3"/>
        <v>#REF!</v>
      </c>
      <c r="G13" s="44" t="e">
        <f t="shared" si="4"/>
        <v>#REF!</v>
      </c>
      <c r="H13" s="44" t="e">
        <f t="shared" si="5"/>
        <v>#REF!</v>
      </c>
      <c r="I13" s="44" t="e">
        <f t="shared" si="6"/>
        <v>#REF!</v>
      </c>
      <c r="J13" s="44" t="e">
        <f t="shared" si="7"/>
        <v>#REF!</v>
      </c>
      <c r="K13" s="44" t="e">
        <f t="shared" si="8"/>
        <v>#REF!</v>
      </c>
      <c r="L13" s="44" t="e">
        <f t="shared" si="9"/>
        <v>#REF!</v>
      </c>
      <c r="M13" s="44" t="e">
        <f t="shared" si="10"/>
        <v>#REF!</v>
      </c>
      <c r="N13" s="44">
        <f t="shared" si="11"/>
        <v>0</v>
      </c>
      <c r="Q13" s="44" t="e">
        <f>SUMIF(#REF!,$A13,#REF!)</f>
        <v>#REF!</v>
      </c>
      <c r="R13" s="44">
        <f>SUMIF(ALIF_Y2014!$A:$A,$A13,ALIF_Y2014!$F:$F)</f>
        <v>530312.98</v>
      </c>
      <c r="S13" s="44">
        <f>SUMIF(ALIF_Y2015!$A:$A,$A13,ALIF_Y2015!$F:$F)</f>
        <v>1042740.7</v>
      </c>
      <c r="T13" s="44">
        <f>SUMIF(ALIF_Y2016!$A:$A,$A13,ALIF_Y2016!$F:$F)</f>
        <v>1782205.82</v>
      </c>
      <c r="U13" s="44">
        <f>SUMIF(ALIF_Y2017!$A:$A,$A13,ALIF_Y2017!$F:$F)</f>
        <v>812449.21699999995</v>
      </c>
      <c r="V13" s="44">
        <f>SUMIF(ALIF_Y2018!$A:$A,$A13,ALIF_Y2018!$F:$F)</f>
        <v>1634615.09</v>
      </c>
      <c r="W13" s="44">
        <f>SUMIF(ALIF_Y2019!$A:$A,$A13,ALIF_Y2019!$F:$F)</f>
        <v>1132000.1299999999</v>
      </c>
      <c r="X13" s="44">
        <f>SUMIF(ALIF_Y2020!$A:$A,$A13,ALIF_Y2020!$F:$F)</f>
        <v>271627.56</v>
      </c>
      <c r="Y13" s="44">
        <f>SUMIF(ALIF_Y2021!$A:$A,$A13,ALIF_Y2021!$F:$F)</f>
        <v>975113.48</v>
      </c>
      <c r="Z13" s="44">
        <f>SUMIF(ALIF_Y2022!$A:$A,$A13,ALIF_Y2022!$F:$F)</f>
        <v>1397141.99</v>
      </c>
      <c r="AA13" s="44">
        <f>SUMIF(ALIF_Y2023!$A:$A,$A13,ALIF_Y2023!$F:$F)</f>
        <v>0</v>
      </c>
      <c r="AE13" s="44" t="e">
        <f>SUMIF(#REF!,$A13,#REF!)</f>
        <v>#REF!</v>
      </c>
      <c r="AF13" s="44" t="e">
        <f>SUMIF(#REF!,$A13,#REF!)</f>
        <v>#REF!</v>
      </c>
      <c r="AG13" s="44" t="e">
        <f>SUMIF(#REF!,$A13,#REF!)</f>
        <v>#REF!</v>
      </c>
      <c r="AH13" s="44" t="e">
        <f>SUMIF(#REF!,$A13,#REF!)</f>
        <v>#REF!</v>
      </c>
      <c r="AI13" s="44" t="e">
        <f>SUMIF(#REF!,$A13,#REF!)</f>
        <v>#REF!</v>
      </c>
      <c r="AJ13" s="44" t="e">
        <f>SUMIF(#REF!,$A13,#REF!)</f>
        <v>#REF!</v>
      </c>
      <c r="AK13" s="44" t="e">
        <f>SUMIF(#REF!,$A13,#REF!)</f>
        <v>#REF!</v>
      </c>
      <c r="AL13" s="44" t="e">
        <f>SUMIF(#REF!,$A13,#REF!)</f>
        <v>#REF!</v>
      </c>
      <c r="AM13" s="44" t="e">
        <f>SUMIF(#REF!,$A13,#REF!)</f>
        <v>#REF!</v>
      </c>
      <c r="AN13" s="44" t="e">
        <f>SUMIF(#REF!,$A13,#REF!)</f>
        <v>#REF!</v>
      </c>
      <c r="AO13" s="44" t="e">
        <f>SUMIF(#REF!,$A13,#REF!)</f>
        <v>#REF!</v>
      </c>
    </row>
    <row r="14" spans="1:43" x14ac:dyDescent="0.25">
      <c r="A14" s="42">
        <v>130008</v>
      </c>
      <c r="B14" s="43" t="s">
        <v>845</v>
      </c>
      <c r="C14" s="44" t="e">
        <f t="shared" si="0"/>
        <v>#REF!</v>
      </c>
      <c r="D14" s="44" t="e">
        <f t="shared" si="1"/>
        <v>#REF!</v>
      </c>
      <c r="E14" s="44" t="e">
        <f t="shared" si="2"/>
        <v>#REF!</v>
      </c>
      <c r="F14" s="44" t="e">
        <f t="shared" si="3"/>
        <v>#REF!</v>
      </c>
      <c r="G14" s="44" t="e">
        <f t="shared" si="4"/>
        <v>#REF!</v>
      </c>
      <c r="H14" s="44" t="e">
        <f t="shared" si="5"/>
        <v>#REF!</v>
      </c>
      <c r="I14" s="44" t="e">
        <f t="shared" si="6"/>
        <v>#REF!</v>
      </c>
      <c r="J14" s="44" t="e">
        <f t="shared" si="7"/>
        <v>#REF!</v>
      </c>
      <c r="K14" s="44" t="e">
        <f t="shared" si="8"/>
        <v>#REF!</v>
      </c>
      <c r="L14" s="44" t="e">
        <f t="shared" si="9"/>
        <v>#REF!</v>
      </c>
      <c r="M14" s="44" t="e">
        <f t="shared" si="10"/>
        <v>#REF!</v>
      </c>
      <c r="N14" s="44">
        <f t="shared" si="11"/>
        <v>0</v>
      </c>
      <c r="Q14" s="44" t="e">
        <f>SUMIF(#REF!,$A14,#REF!)</f>
        <v>#REF!</v>
      </c>
      <c r="R14" s="44">
        <f>SUMIF(ALIF_Y2014!$A:$A,$A14,ALIF_Y2014!$F:$F)</f>
        <v>272978.02</v>
      </c>
      <c r="S14" s="44">
        <f>SUMIF(ALIF_Y2015!$A:$A,$A14,ALIF_Y2015!$F:$F)</f>
        <v>16963.79</v>
      </c>
      <c r="T14" s="44">
        <f>SUMIF(ALIF_Y2016!$A:$A,$A14,ALIF_Y2016!$F:$F)</f>
        <v>52027.55</v>
      </c>
      <c r="U14" s="44">
        <f>SUMIF(ALIF_Y2017!$A:$A,$A14,ALIF_Y2017!$F:$F)</f>
        <v>298807.52</v>
      </c>
      <c r="V14" s="44">
        <f>SUMIF(ALIF_Y2018!$A:$A,$A14,ALIF_Y2018!$F:$F)</f>
        <v>4769151.58</v>
      </c>
      <c r="W14" s="44">
        <f>SUMIF(ALIF_Y2019!$A:$A,$A14,ALIF_Y2019!$F:$F)</f>
        <v>1609557.15</v>
      </c>
      <c r="X14" s="44">
        <f>SUMIF(ALIF_Y2020!$A:$A,$A14,ALIF_Y2020!$F:$F)</f>
        <v>1334479.27</v>
      </c>
      <c r="Y14" s="44">
        <f>SUMIF(ALIF_Y2021!$A:$A,$A14,ALIF_Y2021!$F:$F)</f>
        <v>563831.72</v>
      </c>
      <c r="Z14" s="44">
        <f>SUMIF(ALIF_Y2022!$A:$A,$A14,ALIF_Y2022!$F:$F)</f>
        <v>125346.061</v>
      </c>
      <c r="AA14" s="44">
        <f>SUMIF(ALIF_Y2023!$A:$A,$A14,ALIF_Y2023!$F:$F)</f>
        <v>252733.8</v>
      </c>
      <c r="AE14" s="44" t="e">
        <f>SUMIF(#REF!,$A14,#REF!)</f>
        <v>#REF!</v>
      </c>
      <c r="AF14" s="44" t="e">
        <f>SUMIF(#REF!,$A14,#REF!)</f>
        <v>#REF!</v>
      </c>
      <c r="AG14" s="44" t="e">
        <f>SUMIF(#REF!,$A14,#REF!)</f>
        <v>#REF!</v>
      </c>
      <c r="AH14" s="44" t="e">
        <f>SUMIF(#REF!,$A14,#REF!)</f>
        <v>#REF!</v>
      </c>
      <c r="AI14" s="44" t="e">
        <f>SUMIF(#REF!,$A14,#REF!)</f>
        <v>#REF!</v>
      </c>
      <c r="AJ14" s="44" t="e">
        <f>SUMIF(#REF!,$A14,#REF!)</f>
        <v>#REF!</v>
      </c>
      <c r="AK14" s="44" t="e">
        <f>SUMIF(#REF!,$A14,#REF!)</f>
        <v>#REF!</v>
      </c>
      <c r="AL14" s="44" t="e">
        <f>SUMIF(#REF!,$A14,#REF!)</f>
        <v>#REF!</v>
      </c>
      <c r="AM14" s="44" t="e">
        <f>SUMIF(#REF!,$A14,#REF!)</f>
        <v>#REF!</v>
      </c>
      <c r="AN14" s="44" t="e">
        <f>SUMIF(#REF!,$A14,#REF!)</f>
        <v>#REF!</v>
      </c>
      <c r="AO14" s="44" t="e">
        <f>SUMIF(#REF!,$A14,#REF!)</f>
        <v>#REF!</v>
      </c>
    </row>
    <row r="15" spans="1:43" x14ac:dyDescent="0.25">
      <c r="A15" s="42">
        <v>130009</v>
      </c>
      <c r="B15" s="43" t="s">
        <v>846</v>
      </c>
      <c r="C15" s="44" t="e">
        <f t="shared" si="0"/>
        <v>#REF!</v>
      </c>
      <c r="D15" s="44" t="e">
        <f t="shared" si="1"/>
        <v>#REF!</v>
      </c>
      <c r="E15" s="44" t="e">
        <f t="shared" si="2"/>
        <v>#REF!</v>
      </c>
      <c r="F15" s="44" t="e">
        <f t="shared" si="3"/>
        <v>#REF!</v>
      </c>
      <c r="G15" s="44" t="e">
        <f t="shared" si="4"/>
        <v>#REF!</v>
      </c>
      <c r="H15" s="44" t="e">
        <f t="shared" si="5"/>
        <v>#REF!</v>
      </c>
      <c r="I15" s="44" t="e">
        <f t="shared" si="6"/>
        <v>#REF!</v>
      </c>
      <c r="J15" s="44" t="e">
        <f t="shared" si="7"/>
        <v>#REF!</v>
      </c>
      <c r="K15" s="44" t="e">
        <f t="shared" si="8"/>
        <v>#REF!</v>
      </c>
      <c r="L15" s="44" t="e">
        <f t="shared" si="9"/>
        <v>#REF!</v>
      </c>
      <c r="M15" s="44" t="e">
        <f t="shared" si="10"/>
        <v>#REF!</v>
      </c>
      <c r="N15" s="44">
        <f t="shared" si="11"/>
        <v>0</v>
      </c>
      <c r="Q15" s="44" t="e">
        <f>SUMIF(#REF!,$A15,#REF!)</f>
        <v>#REF!</v>
      </c>
      <c r="R15" s="44">
        <f>SUMIF(ALIF_Y2014!$A:$A,$A15,ALIF_Y2014!$F:$F)</f>
        <v>0</v>
      </c>
      <c r="S15" s="44">
        <f>SUMIF(ALIF_Y2015!$A:$A,$A15,ALIF_Y2015!$F:$F)</f>
        <v>0</v>
      </c>
      <c r="T15" s="44">
        <f>SUMIF(ALIF_Y2016!$A:$A,$A15,ALIF_Y2016!$F:$F)</f>
        <v>0</v>
      </c>
      <c r="U15" s="44">
        <f>SUMIF(ALIF_Y2017!$A:$A,$A15,ALIF_Y2017!$F:$F)</f>
        <v>0</v>
      </c>
      <c r="V15" s="44">
        <f>SUMIF(ALIF_Y2018!$A:$A,$A15,ALIF_Y2018!$F:$F)</f>
        <v>0</v>
      </c>
      <c r="W15" s="44">
        <f>SUMIF(ALIF_Y2019!$A:$A,$A15,ALIF_Y2019!$F:$F)</f>
        <v>883583.5</v>
      </c>
      <c r="X15" s="44">
        <f>SUMIF(ALIF_Y2020!$A:$A,$A15,ALIF_Y2020!$F:$F)</f>
        <v>481793.78</v>
      </c>
      <c r="Y15" s="44">
        <f>SUMIF(ALIF_Y2021!$A:$A,$A15,ALIF_Y2021!$F:$F)</f>
        <v>752895.54099999997</v>
      </c>
      <c r="Z15" s="44">
        <f>SUMIF(ALIF_Y2022!$A:$A,$A15,ALIF_Y2022!$F:$F)</f>
        <v>4424114.9989999998</v>
      </c>
      <c r="AA15" s="44">
        <f>SUMIF(ALIF_Y2023!$A:$A,$A15,ALIF_Y2023!$F:$F)</f>
        <v>575464.68000000005</v>
      </c>
      <c r="AE15" s="44" t="e">
        <f>SUMIF(#REF!,$A15,#REF!)</f>
        <v>#REF!</v>
      </c>
      <c r="AF15" s="44" t="e">
        <f>SUMIF(#REF!,$A15,#REF!)</f>
        <v>#REF!</v>
      </c>
      <c r="AG15" s="44" t="e">
        <f>SUMIF(#REF!,$A15,#REF!)</f>
        <v>#REF!</v>
      </c>
      <c r="AH15" s="44" t="e">
        <f>SUMIF(#REF!,$A15,#REF!)</f>
        <v>#REF!</v>
      </c>
      <c r="AI15" s="44" t="e">
        <f>SUMIF(#REF!,$A15,#REF!)</f>
        <v>#REF!</v>
      </c>
      <c r="AJ15" s="44" t="e">
        <f>SUMIF(#REF!,$A15,#REF!)</f>
        <v>#REF!</v>
      </c>
      <c r="AK15" s="44" t="e">
        <f>SUMIF(#REF!,$A15,#REF!)</f>
        <v>#REF!</v>
      </c>
      <c r="AL15" s="44" t="e">
        <f>SUMIF(#REF!,$A15,#REF!)</f>
        <v>#REF!</v>
      </c>
      <c r="AM15" s="44" t="e">
        <f>SUMIF(#REF!,$A15,#REF!)</f>
        <v>#REF!</v>
      </c>
      <c r="AN15" s="44" t="e">
        <f>SUMIF(#REF!,$A15,#REF!)</f>
        <v>#REF!</v>
      </c>
      <c r="AO15" s="44" t="e">
        <f>SUMIF(#REF!,$A15,#REF!)</f>
        <v>#REF!</v>
      </c>
    </row>
    <row r="16" spans="1:43" x14ac:dyDescent="0.25">
      <c r="A16" s="42">
        <v>130010</v>
      </c>
      <c r="B16" s="43" t="s">
        <v>847</v>
      </c>
      <c r="C16" s="44" t="e">
        <f t="shared" si="0"/>
        <v>#REF!</v>
      </c>
      <c r="D16" s="44" t="e">
        <f t="shared" si="1"/>
        <v>#REF!</v>
      </c>
      <c r="E16" s="44" t="e">
        <f t="shared" si="2"/>
        <v>#REF!</v>
      </c>
      <c r="F16" s="44" t="e">
        <f t="shared" si="3"/>
        <v>#REF!</v>
      </c>
      <c r="G16" s="44" t="e">
        <f t="shared" si="4"/>
        <v>#REF!</v>
      </c>
      <c r="H16" s="44" t="e">
        <f t="shared" si="5"/>
        <v>#REF!</v>
      </c>
      <c r="I16" s="44" t="e">
        <f t="shared" si="6"/>
        <v>#REF!</v>
      </c>
      <c r="J16" s="44" t="e">
        <f t="shared" si="7"/>
        <v>#REF!</v>
      </c>
      <c r="K16" s="44" t="e">
        <f t="shared" si="8"/>
        <v>#REF!</v>
      </c>
      <c r="L16" s="44" t="e">
        <f t="shared" si="9"/>
        <v>#REF!</v>
      </c>
      <c r="M16" s="44" t="e">
        <f t="shared" si="10"/>
        <v>#REF!</v>
      </c>
      <c r="N16" s="44">
        <f t="shared" si="11"/>
        <v>0</v>
      </c>
      <c r="Q16" s="44" t="e">
        <f>SUMIF(#REF!,$A16,#REF!)</f>
        <v>#REF!</v>
      </c>
      <c r="R16" s="44">
        <f>SUMIF(ALIF_Y2014!$A:$A,$A16,ALIF_Y2014!$F:$F)</f>
        <v>0</v>
      </c>
      <c r="S16" s="44">
        <f>SUMIF(ALIF_Y2015!$A:$A,$A16,ALIF_Y2015!$F:$F)</f>
        <v>0</v>
      </c>
      <c r="T16" s="44">
        <f>SUMIF(ALIF_Y2016!$A:$A,$A16,ALIF_Y2016!$F:$F)</f>
        <v>0</v>
      </c>
      <c r="U16" s="44">
        <f>SUMIF(ALIF_Y2017!$A:$A,$A16,ALIF_Y2017!$F:$F)</f>
        <v>0</v>
      </c>
      <c r="V16" s="44">
        <f>SUMIF(ALIF_Y2018!$A:$A,$A16,ALIF_Y2018!$F:$F)</f>
        <v>0</v>
      </c>
      <c r="W16" s="44">
        <f>SUMIF(ALIF_Y2019!$A:$A,$A16,ALIF_Y2019!$F:$F)</f>
        <v>419127.51</v>
      </c>
      <c r="X16" s="44">
        <f>SUMIF(ALIF_Y2020!$A:$A,$A16,ALIF_Y2020!$F:$F)</f>
        <v>14548085.07</v>
      </c>
      <c r="Y16" s="44">
        <f>SUMIF(ALIF_Y2021!$A:$A,$A16,ALIF_Y2021!$F:$F)</f>
        <v>728505.90399999998</v>
      </c>
      <c r="Z16" s="44">
        <f>SUMIF(ALIF_Y2022!$A:$A,$A16,ALIF_Y2022!$F:$F)</f>
        <v>4858085.3859999999</v>
      </c>
      <c r="AA16" s="44">
        <f>SUMIF(ALIF_Y2023!$A:$A,$A16,ALIF_Y2023!$F:$F)</f>
        <v>912741.95</v>
      </c>
      <c r="AE16" s="44" t="e">
        <f>SUMIF(#REF!,$A16,#REF!)</f>
        <v>#REF!</v>
      </c>
      <c r="AF16" s="44" t="e">
        <f>SUMIF(#REF!,$A16,#REF!)</f>
        <v>#REF!</v>
      </c>
      <c r="AG16" s="44" t="e">
        <f>SUMIF(#REF!,$A16,#REF!)</f>
        <v>#REF!</v>
      </c>
      <c r="AH16" s="44" t="e">
        <f>SUMIF(#REF!,$A16,#REF!)</f>
        <v>#REF!</v>
      </c>
      <c r="AI16" s="44" t="e">
        <f>SUMIF(#REF!,$A16,#REF!)</f>
        <v>#REF!</v>
      </c>
      <c r="AJ16" s="44" t="e">
        <f>SUMIF(#REF!,$A16,#REF!)</f>
        <v>#REF!</v>
      </c>
      <c r="AK16" s="44" t="e">
        <f>SUMIF(#REF!,$A16,#REF!)</f>
        <v>#REF!</v>
      </c>
      <c r="AL16" s="44" t="e">
        <f>SUMIF(#REF!,$A16,#REF!)</f>
        <v>#REF!</v>
      </c>
      <c r="AM16" s="44" t="e">
        <f>SUMIF(#REF!,$A16,#REF!)</f>
        <v>#REF!</v>
      </c>
      <c r="AN16" s="44" t="e">
        <f>SUMIF(#REF!,$A16,#REF!)</f>
        <v>#REF!</v>
      </c>
      <c r="AO16" s="44" t="e">
        <f>SUMIF(#REF!,$A16,#REF!)</f>
        <v>#REF!</v>
      </c>
    </row>
    <row r="17" spans="1:42" x14ac:dyDescent="0.25">
      <c r="A17" s="42">
        <v>130011</v>
      </c>
      <c r="B17" s="43" t="s">
        <v>848</v>
      </c>
      <c r="C17" s="44" t="e">
        <f t="shared" si="0"/>
        <v>#REF!</v>
      </c>
      <c r="D17" s="44" t="e">
        <f t="shared" si="1"/>
        <v>#REF!</v>
      </c>
      <c r="E17" s="44" t="e">
        <f t="shared" si="2"/>
        <v>#REF!</v>
      </c>
      <c r="F17" s="44" t="e">
        <f t="shared" si="3"/>
        <v>#REF!</v>
      </c>
      <c r="G17" s="44" t="e">
        <f t="shared" si="4"/>
        <v>#REF!</v>
      </c>
      <c r="H17" s="44" t="e">
        <f t="shared" si="5"/>
        <v>#REF!</v>
      </c>
      <c r="I17" s="44" t="e">
        <f t="shared" si="6"/>
        <v>#REF!</v>
      </c>
      <c r="J17" s="44" t="e">
        <f t="shared" si="7"/>
        <v>#REF!</v>
      </c>
      <c r="K17" s="44" t="e">
        <f t="shared" si="8"/>
        <v>#REF!</v>
      </c>
      <c r="L17" s="44" t="e">
        <f t="shared" si="9"/>
        <v>#REF!</v>
      </c>
      <c r="M17" s="44" t="e">
        <f t="shared" si="10"/>
        <v>#REF!</v>
      </c>
      <c r="N17" s="44">
        <f t="shared" si="11"/>
        <v>0</v>
      </c>
      <c r="Q17" s="44" t="e">
        <f>SUMIF(#REF!,$A17,#REF!)</f>
        <v>#REF!</v>
      </c>
      <c r="R17" s="44">
        <f>SUMIF(ALIF_Y2014!$A:$A,$A17,ALIF_Y2014!$F:$F)</f>
        <v>0</v>
      </c>
      <c r="S17" s="44">
        <f>SUMIF(ALIF_Y2015!$A:$A,$A17,ALIF_Y2015!$F:$F)</f>
        <v>0</v>
      </c>
      <c r="T17" s="44">
        <f>SUMIF(ALIF_Y2016!$A:$A,$A17,ALIF_Y2016!$F:$F)</f>
        <v>0</v>
      </c>
      <c r="U17" s="44">
        <f>SUMIF(ALIF_Y2017!$A:$A,$A17,ALIF_Y2017!$F:$F)</f>
        <v>0</v>
      </c>
      <c r="V17" s="44">
        <f>SUMIF(ALIF_Y2018!$A:$A,$A17,ALIF_Y2018!$F:$F)</f>
        <v>0</v>
      </c>
      <c r="W17" s="44">
        <f>SUMIF(ALIF_Y2019!$A:$A,$A17,ALIF_Y2019!$F:$F)</f>
        <v>0</v>
      </c>
      <c r="X17" s="44">
        <f>SUMIF(ALIF_Y2020!$A:$A,$A17,ALIF_Y2020!$F:$F)</f>
        <v>10099447.390000001</v>
      </c>
      <c r="Y17" s="44">
        <f>SUMIF(ALIF_Y2021!$A:$A,$A17,ALIF_Y2021!$F:$F)</f>
        <v>1837850.2420000001</v>
      </c>
      <c r="Z17" s="44">
        <f>SUMIF(ALIF_Y2022!$A:$A,$A17,ALIF_Y2022!$F:$F)</f>
        <v>1029152.88</v>
      </c>
      <c r="AA17" s="44">
        <f>SUMIF(ALIF_Y2023!$A:$A,$A17,ALIF_Y2023!$F:$F)</f>
        <v>371638.27</v>
      </c>
      <c r="AE17" s="44" t="e">
        <f>SUMIF(#REF!,$A17,#REF!)</f>
        <v>#REF!</v>
      </c>
      <c r="AF17" s="44" t="e">
        <f>SUMIF(#REF!,$A17,#REF!)</f>
        <v>#REF!</v>
      </c>
      <c r="AG17" s="44" t="e">
        <f>SUMIF(#REF!,$A17,#REF!)</f>
        <v>#REF!</v>
      </c>
      <c r="AH17" s="44" t="e">
        <f>SUMIF(#REF!,$A17,#REF!)</f>
        <v>#REF!</v>
      </c>
      <c r="AI17" s="44" t="e">
        <f>SUMIF(#REF!,$A17,#REF!)</f>
        <v>#REF!</v>
      </c>
      <c r="AJ17" s="44" t="e">
        <f>SUMIF(#REF!,$A17,#REF!)</f>
        <v>#REF!</v>
      </c>
      <c r="AK17" s="44" t="e">
        <f>SUMIF(#REF!,$A17,#REF!)</f>
        <v>#REF!</v>
      </c>
      <c r="AL17" s="44" t="e">
        <f>SUMIF(#REF!,$A17,#REF!)</f>
        <v>#REF!</v>
      </c>
      <c r="AM17" s="44" t="e">
        <f>SUMIF(#REF!,$A17,#REF!)</f>
        <v>#REF!</v>
      </c>
      <c r="AN17" s="44" t="e">
        <f>SUMIF(#REF!,$A17,#REF!)</f>
        <v>#REF!</v>
      </c>
      <c r="AO17" s="44" t="e">
        <f>SUMIF(#REF!,$A17,#REF!)</f>
        <v>#REF!</v>
      </c>
    </row>
    <row r="18" spans="1:42" x14ac:dyDescent="0.25">
      <c r="A18" s="42">
        <v>130012</v>
      </c>
      <c r="B18" s="43" t="s">
        <v>849</v>
      </c>
      <c r="C18" s="44" t="e">
        <f t="shared" si="0"/>
        <v>#REF!</v>
      </c>
      <c r="D18" s="44" t="e">
        <f t="shared" si="1"/>
        <v>#REF!</v>
      </c>
      <c r="E18" s="44" t="e">
        <f t="shared" si="2"/>
        <v>#REF!</v>
      </c>
      <c r="F18" s="44" t="e">
        <f t="shared" si="3"/>
        <v>#REF!</v>
      </c>
      <c r="G18" s="44" t="e">
        <f t="shared" si="4"/>
        <v>#REF!</v>
      </c>
      <c r="H18" s="44" t="e">
        <f t="shared" si="5"/>
        <v>#REF!</v>
      </c>
      <c r="I18" s="44" t="e">
        <f t="shared" si="6"/>
        <v>#REF!</v>
      </c>
      <c r="J18" s="44" t="e">
        <f t="shared" si="7"/>
        <v>#REF!</v>
      </c>
      <c r="K18" s="44" t="e">
        <f t="shared" si="8"/>
        <v>#REF!</v>
      </c>
      <c r="L18" s="44" t="e">
        <f t="shared" si="9"/>
        <v>#REF!</v>
      </c>
      <c r="M18" s="44" t="e">
        <f t="shared" si="10"/>
        <v>#REF!</v>
      </c>
      <c r="N18" s="44">
        <f t="shared" si="11"/>
        <v>0</v>
      </c>
      <c r="Q18" s="44" t="e">
        <f>SUMIF(#REF!,$A18,#REF!)</f>
        <v>#REF!</v>
      </c>
      <c r="R18" s="44">
        <f>SUMIF(ALIF_Y2014!$A:$A,$A18,ALIF_Y2014!$F:$F)</f>
        <v>0</v>
      </c>
      <c r="S18" s="44">
        <f>SUMIF(ALIF_Y2015!$A:$A,$A18,ALIF_Y2015!$F:$F)</f>
        <v>0</v>
      </c>
      <c r="T18" s="44">
        <f>SUMIF(ALIF_Y2016!$A:$A,$A18,ALIF_Y2016!$F:$F)</f>
        <v>0</v>
      </c>
      <c r="U18" s="44">
        <f>SUMIF(ALIF_Y2017!$A:$A,$A18,ALIF_Y2017!$F:$F)</f>
        <v>0</v>
      </c>
      <c r="V18" s="44">
        <f>SUMIF(ALIF_Y2018!$A:$A,$A18,ALIF_Y2018!$F:$F)</f>
        <v>0</v>
      </c>
      <c r="W18" s="44">
        <f>SUMIF(ALIF_Y2019!$A:$A,$A18,ALIF_Y2019!$F:$F)</f>
        <v>0</v>
      </c>
      <c r="X18" s="44">
        <f>SUMIF(ALIF_Y2020!$A:$A,$A18,ALIF_Y2020!$F:$F)</f>
        <v>12249437.208000001</v>
      </c>
      <c r="Y18" s="44">
        <f>SUMIF(ALIF_Y2021!$A:$A,$A18,ALIF_Y2021!$F:$F)</f>
        <v>2278838.6170000001</v>
      </c>
      <c r="Z18" s="44">
        <f>SUMIF(ALIF_Y2022!$A:$A,$A18,ALIF_Y2022!$F:$F)</f>
        <v>1252439.537</v>
      </c>
      <c r="AA18" s="44">
        <f>SUMIF(ALIF_Y2023!$A:$A,$A18,ALIF_Y2023!$F:$F)</f>
        <v>925749.64</v>
      </c>
      <c r="AE18" s="44" t="e">
        <f>SUMIF(#REF!,$A18,#REF!)</f>
        <v>#REF!</v>
      </c>
      <c r="AF18" s="44" t="e">
        <f>SUMIF(#REF!,$A18,#REF!)</f>
        <v>#REF!</v>
      </c>
      <c r="AG18" s="44" t="e">
        <f>SUMIF(#REF!,$A18,#REF!)</f>
        <v>#REF!</v>
      </c>
      <c r="AH18" s="44" t="e">
        <f>SUMIF(#REF!,$A18,#REF!)</f>
        <v>#REF!</v>
      </c>
      <c r="AI18" s="44" t="e">
        <f>SUMIF(#REF!,$A18,#REF!)</f>
        <v>#REF!</v>
      </c>
      <c r="AJ18" s="44" t="e">
        <f>SUMIF(#REF!,$A18,#REF!)</f>
        <v>#REF!</v>
      </c>
      <c r="AK18" s="44" t="e">
        <f>SUMIF(#REF!,$A18,#REF!)</f>
        <v>#REF!</v>
      </c>
      <c r="AL18" s="44" t="e">
        <f>SUMIF(#REF!,$A18,#REF!)</f>
        <v>#REF!</v>
      </c>
      <c r="AM18" s="44" t="e">
        <f>SUMIF(#REF!,$A18,#REF!)</f>
        <v>#REF!</v>
      </c>
      <c r="AN18" s="44" t="e">
        <f>SUMIF(#REF!,$A18,#REF!)</f>
        <v>#REF!</v>
      </c>
      <c r="AO18" s="44" t="e">
        <f>SUMIF(#REF!,$A18,#REF!)</f>
        <v>#REF!</v>
      </c>
    </row>
    <row r="19" spans="1:42" x14ac:dyDescent="0.25">
      <c r="A19" s="42">
        <v>130013</v>
      </c>
      <c r="B19" s="43" t="s">
        <v>1206</v>
      </c>
      <c r="C19" s="44" t="e">
        <f t="shared" si="0"/>
        <v>#REF!</v>
      </c>
      <c r="D19" s="44" t="e">
        <f t="shared" si="1"/>
        <v>#REF!</v>
      </c>
      <c r="E19" s="44" t="e">
        <f t="shared" si="2"/>
        <v>#REF!</v>
      </c>
      <c r="F19" s="44" t="e">
        <f t="shared" si="3"/>
        <v>#REF!</v>
      </c>
      <c r="G19" s="44" t="e">
        <f t="shared" si="4"/>
        <v>#REF!</v>
      </c>
      <c r="H19" s="44" t="e">
        <f t="shared" si="5"/>
        <v>#REF!</v>
      </c>
      <c r="I19" s="44" t="e">
        <f t="shared" si="6"/>
        <v>#REF!</v>
      </c>
      <c r="J19" s="44" t="e">
        <f t="shared" si="7"/>
        <v>#REF!</v>
      </c>
      <c r="K19" s="44" t="e">
        <f t="shared" si="8"/>
        <v>#REF!</v>
      </c>
      <c r="L19" s="44" t="e">
        <f t="shared" si="9"/>
        <v>#REF!</v>
      </c>
      <c r="M19" s="44" t="e">
        <f t="shared" si="10"/>
        <v>#REF!</v>
      </c>
      <c r="N19" s="44">
        <f t="shared" si="11"/>
        <v>0</v>
      </c>
      <c r="Q19" s="44" t="e">
        <f>SUMIF(#REF!,$A19,#REF!)</f>
        <v>#REF!</v>
      </c>
      <c r="R19" s="44">
        <f>SUMIF(ALIF_Y2014!$A:$A,$A19,ALIF_Y2014!$F:$F)</f>
        <v>0</v>
      </c>
      <c r="S19" s="44">
        <f>SUMIF(ALIF_Y2015!$A:$A,$A19,ALIF_Y2015!$F:$F)</f>
        <v>0</v>
      </c>
      <c r="T19" s="44">
        <f>SUMIF(ALIF_Y2016!$A:$A,$A19,ALIF_Y2016!$F:$F)</f>
        <v>0</v>
      </c>
      <c r="U19" s="44">
        <f>SUMIF(ALIF_Y2017!$A:$A,$A19,ALIF_Y2017!$F:$F)</f>
        <v>0</v>
      </c>
      <c r="V19" s="44">
        <f>SUMIF(ALIF_Y2018!$A:$A,$A19,ALIF_Y2018!$F:$F)</f>
        <v>0</v>
      </c>
      <c r="W19" s="44">
        <f>SUMIF(ALIF_Y2019!$A:$A,$A19,ALIF_Y2019!$F:$F)</f>
        <v>0</v>
      </c>
      <c r="X19" s="44">
        <f>SUMIF(ALIF_Y2020!$A:$A,$A19,ALIF_Y2020!$F:$F)</f>
        <v>801234.04299999995</v>
      </c>
      <c r="Y19" s="44">
        <f>SUMIF(ALIF_Y2021!$A:$A,$A19,ALIF_Y2021!$F:$F)</f>
        <v>2979550.361</v>
      </c>
      <c r="Z19" s="44">
        <f>SUMIF(ALIF_Y2022!$A:$A,$A19,ALIF_Y2022!$F:$F)</f>
        <v>300937.83799999999</v>
      </c>
      <c r="AA19" s="44">
        <f>SUMIF(ALIF_Y2023!$A:$A,$A19,ALIF_Y2023!$F:$F)</f>
        <v>237620.27900000001</v>
      </c>
      <c r="AE19" s="44" t="e">
        <f>SUMIF(#REF!,$A19,#REF!)</f>
        <v>#REF!</v>
      </c>
      <c r="AF19" s="44" t="e">
        <f>SUMIF(#REF!,$A19,#REF!)</f>
        <v>#REF!</v>
      </c>
      <c r="AG19" s="44" t="e">
        <f>SUMIF(#REF!,$A19,#REF!)</f>
        <v>#REF!</v>
      </c>
      <c r="AH19" s="44" t="e">
        <f>SUMIF(#REF!,$A19,#REF!)</f>
        <v>#REF!</v>
      </c>
      <c r="AI19" s="44" t="e">
        <f>SUMIF(#REF!,$A19,#REF!)</f>
        <v>#REF!</v>
      </c>
      <c r="AJ19" s="44" t="e">
        <f>SUMIF(#REF!,$A19,#REF!)</f>
        <v>#REF!</v>
      </c>
      <c r="AK19" s="44" t="e">
        <f>SUMIF(#REF!,$A19,#REF!)</f>
        <v>#REF!</v>
      </c>
      <c r="AL19" s="44" t="e">
        <f>SUMIF(#REF!,$A19,#REF!)</f>
        <v>#REF!</v>
      </c>
      <c r="AM19" s="44" t="e">
        <f>SUMIF(#REF!,$A19,#REF!)</f>
        <v>#REF!</v>
      </c>
      <c r="AN19" s="44" t="e">
        <f>SUMIF(#REF!,$A19,#REF!)</f>
        <v>#REF!</v>
      </c>
      <c r="AO19" s="44" t="e">
        <f>SUMIF(#REF!,$A19,#REF!)</f>
        <v>#REF!</v>
      </c>
    </row>
    <row r="20" spans="1:42" x14ac:dyDescent="0.25">
      <c r="A20" s="42">
        <v>130014</v>
      </c>
      <c r="B20" s="43" t="s">
        <v>851</v>
      </c>
      <c r="C20" s="44" t="e">
        <f t="shared" si="0"/>
        <v>#REF!</v>
      </c>
      <c r="D20" s="44" t="e">
        <f t="shared" si="1"/>
        <v>#REF!</v>
      </c>
      <c r="E20" s="44" t="e">
        <f t="shared" si="2"/>
        <v>#REF!</v>
      </c>
      <c r="F20" s="44" t="e">
        <f t="shared" si="3"/>
        <v>#REF!</v>
      </c>
      <c r="G20" s="44" t="e">
        <f t="shared" si="4"/>
        <v>#REF!</v>
      </c>
      <c r="H20" s="44" t="e">
        <f t="shared" si="5"/>
        <v>#REF!</v>
      </c>
      <c r="I20" s="44" t="e">
        <f t="shared" si="6"/>
        <v>#REF!</v>
      </c>
      <c r="J20" s="44" t="e">
        <f t="shared" si="7"/>
        <v>#REF!</v>
      </c>
      <c r="K20" s="44" t="e">
        <f t="shared" si="8"/>
        <v>#REF!</v>
      </c>
      <c r="L20" s="44" t="e">
        <f t="shared" si="9"/>
        <v>#REF!</v>
      </c>
      <c r="M20" s="44" t="e">
        <f t="shared" si="10"/>
        <v>#REF!</v>
      </c>
      <c r="N20" s="44">
        <f t="shared" si="11"/>
        <v>0</v>
      </c>
      <c r="Q20" s="44" t="e">
        <f>SUMIF(#REF!,$A20,#REF!)</f>
        <v>#REF!</v>
      </c>
      <c r="R20" s="44">
        <f>SUMIF(ALIF_Y2014!$A:$A,$A20,ALIF_Y2014!$F:$F)</f>
        <v>0</v>
      </c>
      <c r="S20" s="44">
        <f>SUMIF(ALIF_Y2015!$A:$A,$A20,ALIF_Y2015!$F:$F)</f>
        <v>0</v>
      </c>
      <c r="T20" s="44">
        <f>SUMIF(ALIF_Y2016!$A:$A,$A20,ALIF_Y2016!$F:$F)</f>
        <v>0</v>
      </c>
      <c r="U20" s="44">
        <f>SUMIF(ALIF_Y2017!$A:$A,$A20,ALIF_Y2017!$F:$F)</f>
        <v>0</v>
      </c>
      <c r="V20" s="44">
        <f>SUMIF(ALIF_Y2018!$A:$A,$A20,ALIF_Y2018!$F:$F)</f>
        <v>0</v>
      </c>
      <c r="W20" s="44">
        <f>SUMIF(ALIF_Y2019!$A:$A,$A20,ALIF_Y2019!$F:$F)</f>
        <v>0</v>
      </c>
      <c r="X20" s="44">
        <f>SUMIF(ALIF_Y2020!$A:$A,$A20,ALIF_Y2020!$F:$F)</f>
        <v>0</v>
      </c>
      <c r="Y20" s="44">
        <f>SUMIF(ALIF_Y2021!$A:$A,$A20,ALIF_Y2021!$F:$F)</f>
        <v>18749.75</v>
      </c>
      <c r="Z20" s="44">
        <f>SUMIF(ALIF_Y2022!$A:$A,$A20,ALIF_Y2022!$F:$F)</f>
        <v>275731.75</v>
      </c>
      <c r="AA20" s="44">
        <f>SUMIF(ALIF_Y2023!$A:$A,$A20,ALIF_Y2023!$F:$F)</f>
        <v>375236.25</v>
      </c>
      <c r="AE20" s="44" t="e">
        <f>SUMIF(#REF!,$A20,#REF!)</f>
        <v>#REF!</v>
      </c>
      <c r="AF20" s="44" t="e">
        <f>SUMIF(#REF!,$A20,#REF!)</f>
        <v>#REF!</v>
      </c>
      <c r="AG20" s="44" t="e">
        <f>SUMIF(#REF!,$A20,#REF!)</f>
        <v>#REF!</v>
      </c>
      <c r="AH20" s="44" t="e">
        <f>SUMIF(#REF!,$A20,#REF!)</f>
        <v>#REF!</v>
      </c>
      <c r="AI20" s="44" t="e">
        <f>SUMIF(#REF!,$A20,#REF!)</f>
        <v>#REF!</v>
      </c>
      <c r="AJ20" s="44" t="e">
        <f>SUMIF(#REF!,$A20,#REF!)</f>
        <v>#REF!</v>
      </c>
      <c r="AK20" s="44" t="e">
        <f>SUMIF(#REF!,$A20,#REF!)</f>
        <v>#REF!</v>
      </c>
      <c r="AL20" s="44" t="e">
        <f>SUMIF(#REF!,$A20,#REF!)</f>
        <v>#REF!</v>
      </c>
      <c r="AM20" s="44" t="e">
        <f>SUMIF(#REF!,$A20,#REF!)</f>
        <v>#REF!</v>
      </c>
      <c r="AN20" s="44" t="e">
        <f>SUMIF(#REF!,$A20,#REF!)</f>
        <v>#REF!</v>
      </c>
      <c r="AO20" s="44" t="e">
        <f>SUMIF(#REF!,$A20,#REF!)</f>
        <v>#REF!</v>
      </c>
    </row>
    <row r="21" spans="1:42" x14ac:dyDescent="0.25">
      <c r="A21" s="42">
        <v>130015</v>
      </c>
      <c r="B21" s="43" t="s">
        <v>852</v>
      </c>
      <c r="C21" s="44" t="e">
        <f t="shared" si="0"/>
        <v>#REF!</v>
      </c>
      <c r="D21" s="44" t="e">
        <f t="shared" si="1"/>
        <v>#REF!</v>
      </c>
      <c r="E21" s="44" t="e">
        <f t="shared" si="2"/>
        <v>#REF!</v>
      </c>
      <c r="F21" s="44" t="e">
        <f t="shared" si="3"/>
        <v>#REF!</v>
      </c>
      <c r="G21" s="44" t="e">
        <f t="shared" si="4"/>
        <v>#REF!</v>
      </c>
      <c r="H21" s="44" t="e">
        <f t="shared" si="5"/>
        <v>#REF!</v>
      </c>
      <c r="I21" s="44" t="e">
        <f t="shared" si="6"/>
        <v>#REF!</v>
      </c>
      <c r="J21" s="44" t="e">
        <f t="shared" si="7"/>
        <v>#REF!</v>
      </c>
      <c r="K21" s="44" t="e">
        <f t="shared" si="8"/>
        <v>#REF!</v>
      </c>
      <c r="L21" s="44" t="e">
        <f t="shared" si="9"/>
        <v>#REF!</v>
      </c>
      <c r="M21" s="44" t="e">
        <f t="shared" si="10"/>
        <v>#REF!</v>
      </c>
      <c r="N21" s="44">
        <f t="shared" si="11"/>
        <v>0</v>
      </c>
      <c r="Q21" s="44" t="e">
        <f>SUMIF(#REF!,$A21,#REF!)</f>
        <v>#REF!</v>
      </c>
      <c r="R21" s="44">
        <f>SUMIF(ALIF_Y2014!$A:$A,$A21,ALIF_Y2014!$F:$F)</f>
        <v>0</v>
      </c>
      <c r="S21" s="44">
        <f>SUMIF(ALIF_Y2015!$A:$A,$A21,ALIF_Y2015!$F:$F)</f>
        <v>0</v>
      </c>
      <c r="T21" s="44">
        <f>SUMIF(ALIF_Y2016!$A:$A,$A21,ALIF_Y2016!$F:$F)</f>
        <v>0</v>
      </c>
      <c r="U21" s="44">
        <f>SUMIF(ALIF_Y2017!$A:$A,$A21,ALIF_Y2017!$F:$F)</f>
        <v>0</v>
      </c>
      <c r="V21" s="44">
        <f>SUMIF(ALIF_Y2018!$A:$A,$A21,ALIF_Y2018!$F:$F)</f>
        <v>0</v>
      </c>
      <c r="W21" s="44">
        <f>SUMIF(ALIF_Y2019!$A:$A,$A21,ALIF_Y2019!$F:$F)</f>
        <v>0</v>
      </c>
      <c r="X21" s="44">
        <f>SUMIF(ALIF_Y2020!$A:$A,$A21,ALIF_Y2020!$F:$F)</f>
        <v>0</v>
      </c>
      <c r="Y21" s="44">
        <f>SUMIF(ALIF_Y2021!$A:$A,$A21,ALIF_Y2021!$F:$F)</f>
        <v>0</v>
      </c>
      <c r="Z21" s="44">
        <f>SUMIF(ALIF_Y2022!$A:$A,$A21,ALIF_Y2022!$F:$F)</f>
        <v>0</v>
      </c>
      <c r="AA21" s="44">
        <f>SUMIF(ALIF_Y2023!$A:$A,$A21,ALIF_Y2023!$F:$F)</f>
        <v>32033.58</v>
      </c>
      <c r="AE21" s="44" t="e">
        <f>SUMIF(#REF!,$A21,#REF!)</f>
        <v>#REF!</v>
      </c>
      <c r="AF21" s="44" t="e">
        <f>SUMIF(#REF!,$A21,#REF!)</f>
        <v>#REF!</v>
      </c>
      <c r="AG21" s="44" t="e">
        <f>SUMIF(#REF!,$A21,#REF!)</f>
        <v>#REF!</v>
      </c>
      <c r="AH21" s="44" t="e">
        <f>SUMIF(#REF!,$A21,#REF!)</f>
        <v>#REF!</v>
      </c>
      <c r="AI21" s="44" t="e">
        <f>SUMIF(#REF!,$A21,#REF!)</f>
        <v>#REF!</v>
      </c>
      <c r="AJ21" s="44" t="e">
        <f>SUMIF(#REF!,$A21,#REF!)</f>
        <v>#REF!</v>
      </c>
      <c r="AK21" s="44" t="e">
        <f>SUMIF(#REF!,$A21,#REF!)</f>
        <v>#REF!</v>
      </c>
      <c r="AL21" s="44" t="e">
        <f>SUMIF(#REF!,$A21,#REF!)</f>
        <v>#REF!</v>
      </c>
      <c r="AM21" s="44" t="e">
        <f>SUMIF(#REF!,$A21,#REF!)</f>
        <v>#REF!</v>
      </c>
      <c r="AN21" s="44" t="e">
        <f>SUMIF(#REF!,$A21,#REF!)</f>
        <v>#REF!</v>
      </c>
      <c r="AO21" s="44" t="e">
        <f>SUMIF(#REF!,$A21,#REF!)</f>
        <v>#REF!</v>
      </c>
    </row>
    <row r="22" spans="1:42" x14ac:dyDescent="0.25">
      <c r="A22" s="42">
        <v>130016</v>
      </c>
      <c r="B22" s="43" t="s">
        <v>853</v>
      </c>
      <c r="C22" s="44" t="e">
        <f t="shared" si="0"/>
        <v>#REF!</v>
      </c>
      <c r="D22" s="44" t="e">
        <f t="shared" si="1"/>
        <v>#REF!</v>
      </c>
      <c r="E22" s="44" t="e">
        <f t="shared" si="2"/>
        <v>#REF!</v>
      </c>
      <c r="F22" s="44" t="e">
        <f t="shared" si="3"/>
        <v>#REF!</v>
      </c>
      <c r="G22" s="44" t="e">
        <f t="shared" si="4"/>
        <v>#REF!</v>
      </c>
      <c r="H22" s="44" t="e">
        <f t="shared" si="5"/>
        <v>#REF!</v>
      </c>
      <c r="I22" s="44" t="e">
        <f t="shared" si="6"/>
        <v>#REF!</v>
      </c>
      <c r="J22" s="44" t="e">
        <f t="shared" si="7"/>
        <v>#REF!</v>
      </c>
      <c r="K22" s="44" t="e">
        <f t="shared" si="8"/>
        <v>#REF!</v>
      </c>
      <c r="L22" s="44" t="e">
        <f t="shared" si="9"/>
        <v>#REF!</v>
      </c>
      <c r="M22" s="44" t="e">
        <f t="shared" si="10"/>
        <v>#REF!</v>
      </c>
      <c r="N22" s="44">
        <f t="shared" si="11"/>
        <v>0</v>
      </c>
      <c r="Q22" s="44" t="e">
        <f>SUMIF(#REF!,$A22,#REF!)</f>
        <v>#REF!</v>
      </c>
      <c r="R22" s="44">
        <f>SUMIF(ALIF_Y2014!$A:$A,$A22,ALIF_Y2014!$F:$F)</f>
        <v>0</v>
      </c>
      <c r="S22" s="44">
        <f>SUMIF(ALIF_Y2015!$A:$A,$A22,ALIF_Y2015!$F:$F)</f>
        <v>0</v>
      </c>
      <c r="T22" s="44">
        <f>SUMIF(ALIF_Y2016!$A:$A,$A22,ALIF_Y2016!$F:$F)</f>
        <v>0</v>
      </c>
      <c r="U22" s="44">
        <f>SUMIF(ALIF_Y2017!$A:$A,$A22,ALIF_Y2017!$F:$F)</f>
        <v>0</v>
      </c>
      <c r="V22" s="44">
        <f>SUMIF(ALIF_Y2018!$A:$A,$A22,ALIF_Y2018!$F:$F)</f>
        <v>0</v>
      </c>
      <c r="W22" s="44">
        <f>SUMIF(ALIF_Y2019!$A:$A,$A22,ALIF_Y2019!$F:$F)</f>
        <v>0</v>
      </c>
      <c r="X22" s="44">
        <f>SUMIF(ALIF_Y2020!$A:$A,$A22,ALIF_Y2020!$F:$F)</f>
        <v>0</v>
      </c>
      <c r="Y22" s="44">
        <f>SUMIF(ALIF_Y2021!$A:$A,$A22,ALIF_Y2021!$F:$F)</f>
        <v>0</v>
      </c>
      <c r="Z22" s="44">
        <f>SUMIF(ALIF_Y2022!$A:$A,$A22,ALIF_Y2022!$F:$F)</f>
        <v>0</v>
      </c>
      <c r="AA22" s="44">
        <f>SUMIF(ALIF_Y2023!$A:$A,$A22,ALIF_Y2023!$F:$F)</f>
        <v>367494.75</v>
      </c>
      <c r="AE22" s="44" t="e">
        <f>SUMIF(#REF!,$A22,#REF!)</f>
        <v>#REF!</v>
      </c>
      <c r="AF22" s="44" t="e">
        <f>SUMIF(#REF!,$A22,#REF!)</f>
        <v>#REF!</v>
      </c>
      <c r="AG22" s="44" t="e">
        <f>SUMIF(#REF!,$A22,#REF!)</f>
        <v>#REF!</v>
      </c>
      <c r="AH22" s="44" t="e">
        <f>SUMIF(#REF!,$A22,#REF!)</f>
        <v>#REF!</v>
      </c>
      <c r="AI22" s="44" t="e">
        <f>SUMIF(#REF!,$A22,#REF!)</f>
        <v>#REF!</v>
      </c>
      <c r="AJ22" s="44" t="e">
        <f>SUMIF(#REF!,$A22,#REF!)</f>
        <v>#REF!</v>
      </c>
      <c r="AK22" s="44" t="e">
        <f>SUMIF(#REF!,$A22,#REF!)</f>
        <v>#REF!</v>
      </c>
      <c r="AL22" s="44" t="e">
        <f>SUMIF(#REF!,$A22,#REF!)</f>
        <v>#REF!</v>
      </c>
      <c r="AM22" s="44" t="e">
        <f>SUMIF(#REF!,$A22,#REF!)</f>
        <v>#REF!</v>
      </c>
      <c r="AN22" s="44" t="e">
        <f>SUMIF(#REF!,$A22,#REF!)</f>
        <v>#REF!</v>
      </c>
      <c r="AO22" s="44" t="e">
        <f>SUMIF(#REF!,$A22,#REF!)</f>
        <v>#REF!</v>
      </c>
    </row>
    <row r="23" spans="1:42" x14ac:dyDescent="0.25">
      <c r="A23" s="42">
        <v>130099</v>
      </c>
      <c r="B23" s="43" t="s">
        <v>856</v>
      </c>
      <c r="C23" s="44" t="e">
        <f t="shared" si="0"/>
        <v>#REF!</v>
      </c>
      <c r="D23" s="44" t="e">
        <f t="shared" si="1"/>
        <v>#REF!</v>
      </c>
      <c r="E23" s="44" t="e">
        <f t="shared" si="2"/>
        <v>#REF!</v>
      </c>
      <c r="F23" s="44" t="e">
        <f t="shared" si="3"/>
        <v>#REF!</v>
      </c>
      <c r="G23" s="44" t="e">
        <f t="shared" si="4"/>
        <v>#REF!</v>
      </c>
      <c r="H23" s="44" t="e">
        <f t="shared" si="5"/>
        <v>#REF!</v>
      </c>
      <c r="I23" s="44" t="e">
        <f t="shared" si="6"/>
        <v>#REF!</v>
      </c>
      <c r="J23" s="44" t="e">
        <f t="shared" si="7"/>
        <v>#REF!</v>
      </c>
      <c r="K23" s="44" t="e">
        <f t="shared" si="8"/>
        <v>#REF!</v>
      </c>
      <c r="L23" s="44" t="e">
        <f t="shared" si="9"/>
        <v>#REF!</v>
      </c>
      <c r="M23" s="44" t="e">
        <f t="shared" si="10"/>
        <v>#REF!</v>
      </c>
      <c r="N23" s="44">
        <f t="shared" si="11"/>
        <v>0</v>
      </c>
      <c r="Q23" s="44" t="e">
        <f>SUMIF(#REF!,$A23,#REF!)</f>
        <v>#REF!</v>
      </c>
      <c r="R23" s="44">
        <f>SUMIF(ALIF_Y2014!$A:$A,$A23,ALIF_Y2014!$F:$F)</f>
        <v>0</v>
      </c>
      <c r="S23" s="44">
        <f>SUMIF(ALIF_Y2015!$A:$A,$A23,ALIF_Y2015!$F:$F)</f>
        <v>0</v>
      </c>
      <c r="T23" s="44">
        <f>SUMIF(ALIF_Y2016!$A:$A,$A23,ALIF_Y2016!$F:$F)</f>
        <v>0</v>
      </c>
      <c r="U23" s="44">
        <f>SUMIF(ALIF_Y2017!$A:$A,$A23,ALIF_Y2017!$F:$F)</f>
        <v>0</v>
      </c>
      <c r="V23" s="44">
        <f>SUMIF(ALIF_Y2018!$A:$A,$A23,ALIF_Y2018!$F:$F)</f>
        <v>0</v>
      </c>
      <c r="W23" s="44">
        <f>SUMIF(ALIF_Y2019!$A:$A,$A23,ALIF_Y2019!$F:$F)</f>
        <v>0</v>
      </c>
      <c r="X23" s="44">
        <f>SUMIF(ALIF_Y2020!$A:$A,$A23,ALIF_Y2020!$F:$F)</f>
        <v>0</v>
      </c>
      <c r="Y23" s="44">
        <f>SUMIF(ALIF_Y2021!$A:$A,$A23,ALIF_Y2021!$F:$F)</f>
        <v>0</v>
      </c>
      <c r="Z23" s="44">
        <f>SUMIF(ALIF_Y2022!$A:$A,$A23,ALIF_Y2022!$F:$F)</f>
        <v>0</v>
      </c>
      <c r="AA23" s="44">
        <f>SUMIF(ALIF_Y2023!$A:$A,$A23,ALIF_Y2023!$F:$F)</f>
        <v>0</v>
      </c>
      <c r="AE23" s="44" t="e">
        <f>SUMIF(#REF!,$A23,#REF!)</f>
        <v>#REF!</v>
      </c>
      <c r="AF23" s="44" t="e">
        <f>SUMIF(#REF!,$A23,#REF!)</f>
        <v>#REF!</v>
      </c>
      <c r="AG23" s="44" t="e">
        <f>SUMIF(#REF!,$A23,#REF!)</f>
        <v>#REF!</v>
      </c>
      <c r="AH23" s="44" t="e">
        <f>SUMIF(#REF!,$A23,#REF!)</f>
        <v>#REF!</v>
      </c>
      <c r="AI23" s="44" t="e">
        <f>SUMIF(#REF!,$A23,#REF!)</f>
        <v>#REF!</v>
      </c>
      <c r="AJ23" s="44" t="e">
        <f>SUMIF(#REF!,$A23,#REF!)</f>
        <v>#REF!</v>
      </c>
      <c r="AK23" s="44" t="e">
        <f>SUMIF(#REF!,$A23,#REF!)</f>
        <v>#REF!</v>
      </c>
      <c r="AL23" s="44" t="e">
        <f>SUMIF(#REF!,$A23,#REF!)</f>
        <v>#REF!</v>
      </c>
      <c r="AM23" s="44" t="e">
        <f>SUMIF(#REF!,$A23,#REF!)</f>
        <v>#REF!</v>
      </c>
      <c r="AN23" s="44" t="e">
        <f>SUMIF(#REF!,$A23,#REF!)</f>
        <v>#REF!</v>
      </c>
      <c r="AO23" s="44" t="e">
        <f>SUMIF(#REF!,$A23,#REF!)</f>
        <v>#REF!</v>
      </c>
    </row>
    <row r="24" spans="1:42" x14ac:dyDescent="0.25">
      <c r="A24" s="42">
        <v>160001</v>
      </c>
      <c r="B24" s="43" t="s">
        <v>861</v>
      </c>
      <c r="C24" s="44" t="e">
        <f t="shared" si="0"/>
        <v>#REF!</v>
      </c>
      <c r="D24" s="44" t="e">
        <f t="shared" si="1"/>
        <v>#REF!</v>
      </c>
      <c r="E24" s="44" t="e">
        <f t="shared" si="2"/>
        <v>#REF!</v>
      </c>
      <c r="F24" s="44" t="e">
        <f t="shared" si="3"/>
        <v>#REF!</v>
      </c>
      <c r="G24" s="44" t="e">
        <f t="shared" si="4"/>
        <v>#REF!</v>
      </c>
      <c r="H24" s="44" t="e">
        <f t="shared" si="5"/>
        <v>#REF!</v>
      </c>
      <c r="I24" s="44" t="e">
        <f t="shared" si="6"/>
        <v>#REF!</v>
      </c>
      <c r="J24" s="44" t="e">
        <f t="shared" si="7"/>
        <v>#REF!</v>
      </c>
      <c r="K24" s="44" t="e">
        <f t="shared" si="8"/>
        <v>#REF!</v>
      </c>
      <c r="L24" s="44" t="e">
        <f t="shared" si="9"/>
        <v>#REF!</v>
      </c>
      <c r="M24" s="44" t="e">
        <f t="shared" si="10"/>
        <v>#REF!</v>
      </c>
      <c r="N24" s="44">
        <f t="shared" si="11"/>
        <v>0</v>
      </c>
      <c r="Q24" s="44" t="e">
        <f>SUMIF(#REF!,$A24,#REF!)</f>
        <v>#REF!</v>
      </c>
      <c r="R24" s="44">
        <f>SUMIF(ALIF_Y2014!$A:$A,$A24,ALIF_Y2014!$F:$F)</f>
        <v>54844.55</v>
      </c>
      <c r="S24" s="44">
        <f>SUMIF(ALIF_Y2015!$A:$A,$A24,ALIF_Y2015!$F:$F)</f>
        <v>58391.6</v>
      </c>
      <c r="T24" s="44">
        <f>SUMIF(ALIF_Y2016!$A:$A,$A24,ALIF_Y2016!$F:$F)</f>
        <v>68465.62</v>
      </c>
      <c r="U24" s="44">
        <f>SUMIF(ALIF_Y2017!$A:$A,$A24,ALIF_Y2017!$F:$F)</f>
        <v>46000</v>
      </c>
      <c r="V24" s="44">
        <f>SUMIF(ALIF_Y2018!$A:$A,$A24,ALIF_Y2018!$F:$F)</f>
        <v>30246.880000000001</v>
      </c>
      <c r="W24" s="44">
        <f>SUMIF(ALIF_Y2019!$A:$A,$A24,ALIF_Y2019!$F:$F)</f>
        <v>25429.97</v>
      </c>
      <c r="X24" s="44">
        <f>SUMIF(ALIF_Y2020!$A:$A,$A24,ALIF_Y2020!$F:$F)</f>
        <v>16854.25</v>
      </c>
      <c r="Y24" s="44">
        <f>SUMIF(ALIF_Y2021!$A:$A,$A24,ALIF_Y2021!$F:$F)</f>
        <v>8703.91</v>
      </c>
      <c r="Z24" s="44">
        <f>SUMIF(ALIF_Y2022!$A:$A,$A24,ALIF_Y2022!$F:$F)</f>
        <v>17049.689999999999</v>
      </c>
      <c r="AA24" s="44">
        <f>SUMIF(ALIF_Y2023!$A:$A,$A24,ALIF_Y2023!$F:$F)</f>
        <v>12811.2</v>
      </c>
      <c r="AE24" s="44" t="e">
        <f>SUMIF(#REF!,$A24,#REF!)</f>
        <v>#REF!</v>
      </c>
      <c r="AF24" s="44" t="e">
        <f>SUMIF(#REF!,$A24,#REF!)</f>
        <v>#REF!</v>
      </c>
      <c r="AG24" s="44" t="e">
        <f>SUMIF(#REF!,$A24,#REF!)</f>
        <v>#REF!</v>
      </c>
      <c r="AH24" s="44" t="e">
        <f>SUMIF(#REF!,$A24,#REF!)</f>
        <v>#REF!</v>
      </c>
      <c r="AI24" s="44" t="e">
        <f>SUMIF(#REF!,$A24,#REF!)</f>
        <v>#REF!</v>
      </c>
      <c r="AJ24" s="44" t="e">
        <f>SUMIF(#REF!,$A24,#REF!)</f>
        <v>#REF!</v>
      </c>
      <c r="AK24" s="44" t="e">
        <f>SUMIF(#REF!,$A24,#REF!)</f>
        <v>#REF!</v>
      </c>
      <c r="AL24" s="44" t="e">
        <f>SUMIF(#REF!,$A24,#REF!)</f>
        <v>#REF!</v>
      </c>
      <c r="AM24" s="44" t="e">
        <f>SUMIF(#REF!,$A24,#REF!)</f>
        <v>#REF!</v>
      </c>
      <c r="AN24" s="44" t="e">
        <f>SUMIF(#REF!,$A24,#REF!)</f>
        <v>#REF!</v>
      </c>
      <c r="AO24" s="44" t="e">
        <f>SUMIF(#REF!,$A24,#REF!)</f>
        <v>#REF!</v>
      </c>
    </row>
    <row r="25" spans="1:42" x14ac:dyDescent="0.25">
      <c r="A25" s="42">
        <v>130017</v>
      </c>
      <c r="B25" s="43" t="s">
        <v>854</v>
      </c>
      <c r="C25" s="44" t="e">
        <f t="shared" si="0"/>
        <v>#REF!</v>
      </c>
      <c r="D25" s="44" t="e">
        <f t="shared" si="1"/>
        <v>#REF!</v>
      </c>
      <c r="E25" s="44" t="e">
        <f t="shared" si="2"/>
        <v>#REF!</v>
      </c>
      <c r="F25" s="44" t="e">
        <f t="shared" si="3"/>
        <v>#REF!</v>
      </c>
      <c r="G25" s="44" t="e">
        <f t="shared" si="4"/>
        <v>#REF!</v>
      </c>
      <c r="H25" s="44" t="e">
        <f t="shared" si="5"/>
        <v>#REF!</v>
      </c>
      <c r="I25" s="44" t="e">
        <f t="shared" si="6"/>
        <v>#REF!</v>
      </c>
      <c r="J25" s="44" t="e">
        <f t="shared" si="7"/>
        <v>#REF!</v>
      </c>
      <c r="K25" s="44" t="e">
        <f t="shared" si="8"/>
        <v>#REF!</v>
      </c>
      <c r="L25" s="44" t="e">
        <f t="shared" si="9"/>
        <v>#REF!</v>
      </c>
      <c r="M25" s="44" t="e">
        <f t="shared" si="10"/>
        <v>#REF!</v>
      </c>
      <c r="N25" s="44">
        <f t="shared" si="11"/>
        <v>0</v>
      </c>
      <c r="Q25" s="44" t="e">
        <f>SUMIF(#REF!,$A25,#REF!)</f>
        <v>#REF!</v>
      </c>
      <c r="R25" s="44">
        <f>SUMIF(ALIF_Y2014!$A:$A,$A25,ALIF_Y2014!$F:$F)</f>
        <v>0</v>
      </c>
      <c r="S25" s="44">
        <f>SUMIF(ALIF_Y2015!$A:$A,$A25,ALIF_Y2015!$F:$F)</f>
        <v>0</v>
      </c>
      <c r="T25" s="44">
        <f>SUMIF(ALIF_Y2016!$A:$A,$A25,ALIF_Y2016!$F:$F)</f>
        <v>0</v>
      </c>
      <c r="U25" s="44">
        <f>SUMIF(ALIF_Y2017!$A:$A,$A25,ALIF_Y2017!$F:$F)</f>
        <v>0</v>
      </c>
      <c r="V25" s="44">
        <f>SUMIF(ALIF_Y2018!$A:$A,$A25,ALIF_Y2018!$F:$F)</f>
        <v>0</v>
      </c>
      <c r="W25" s="44">
        <f>SUMIF(ALIF_Y2019!$A:$A,$A25,ALIF_Y2019!$F:$F)</f>
        <v>0</v>
      </c>
      <c r="X25" s="44">
        <f>SUMIF(ALIF_Y2020!$A:$A,$A25,ALIF_Y2020!$F:$F)</f>
        <v>0</v>
      </c>
      <c r="Y25" s="44">
        <f>SUMIF(ALIF_Y2021!$A:$A,$A25,ALIF_Y2021!$F:$F)</f>
        <v>0</v>
      </c>
      <c r="Z25" s="44">
        <f>SUMIF(ALIF_Y2022!$A:$A,$A25,ALIF_Y2022!$F:$F)</f>
        <v>0</v>
      </c>
      <c r="AA25" s="44">
        <f>SUMIF(ALIF_Y2023!$A:$A,$A25,ALIF_Y2023!$F:$F)</f>
        <v>0</v>
      </c>
      <c r="AE25" s="44" t="e">
        <f>SUMIF(#REF!,$A25,#REF!)</f>
        <v>#REF!</v>
      </c>
      <c r="AF25" s="44" t="e">
        <f>SUMIF(#REF!,$A25,#REF!)</f>
        <v>#REF!</v>
      </c>
      <c r="AG25" s="44" t="e">
        <f>SUMIF(#REF!,$A25,#REF!)</f>
        <v>#REF!</v>
      </c>
      <c r="AH25" s="44" t="e">
        <f>SUMIF(#REF!,$A25,#REF!)</f>
        <v>#REF!</v>
      </c>
      <c r="AI25" s="44" t="e">
        <f>SUMIF(#REF!,$A25,#REF!)</f>
        <v>#REF!</v>
      </c>
      <c r="AJ25" s="44" t="e">
        <f>SUMIF(#REF!,$A25,#REF!)</f>
        <v>#REF!</v>
      </c>
      <c r="AK25" s="44" t="e">
        <f>SUMIF(#REF!,$A25,#REF!)</f>
        <v>#REF!</v>
      </c>
      <c r="AL25" s="44" t="e">
        <f>SUMIF(#REF!,$A25,#REF!)</f>
        <v>#REF!</v>
      </c>
      <c r="AM25" s="44" t="e">
        <f>SUMIF(#REF!,$A25,#REF!)</f>
        <v>#REF!</v>
      </c>
      <c r="AN25" s="44" t="e">
        <f>SUMIF(#REF!,$A25,#REF!)</f>
        <v>#REF!</v>
      </c>
      <c r="AO25" s="44" t="e">
        <f>SUMIF(#REF!,$A25,#REF!)</f>
        <v>#REF!</v>
      </c>
    </row>
    <row r="26" spans="1:42" ht="7.9" customHeight="1" x14ac:dyDescent="0.25">
      <c r="C26" s="144"/>
      <c r="D26" s="144"/>
      <c r="E26" s="144"/>
      <c r="F26" s="144"/>
      <c r="G26" s="144"/>
      <c r="H26" s="144"/>
      <c r="I26" s="144"/>
      <c r="J26" s="144"/>
      <c r="K26" s="144"/>
      <c r="L26" s="144"/>
      <c r="M26" s="144"/>
      <c r="N26" s="144"/>
      <c r="Q26" s="144"/>
      <c r="R26" s="144"/>
      <c r="S26" s="144"/>
      <c r="T26" s="144"/>
      <c r="U26" s="144"/>
      <c r="V26" s="144"/>
      <c r="W26" s="144"/>
      <c r="X26" s="144"/>
      <c r="Y26" s="144"/>
      <c r="Z26" s="144"/>
      <c r="AA26" s="144"/>
      <c r="AB26" s="144"/>
      <c r="AE26" s="144"/>
      <c r="AF26" s="144"/>
      <c r="AG26" s="144"/>
      <c r="AH26" s="144"/>
      <c r="AI26" s="144"/>
      <c r="AJ26" s="144"/>
      <c r="AK26" s="144"/>
      <c r="AL26" s="144"/>
      <c r="AM26" s="144"/>
      <c r="AN26" s="144"/>
      <c r="AO26" s="144"/>
      <c r="AP26" s="144"/>
    </row>
    <row r="27" spans="1:42" x14ac:dyDescent="0.25">
      <c r="C27" s="45" t="e">
        <f t="shared" ref="C27:N27" si="12">SUM(C7:C26)</f>
        <v>#REF!</v>
      </c>
      <c r="D27" s="45" t="e">
        <f t="shared" si="12"/>
        <v>#REF!</v>
      </c>
      <c r="E27" s="45" t="e">
        <f t="shared" si="12"/>
        <v>#REF!</v>
      </c>
      <c r="F27" s="45" t="e">
        <f t="shared" si="12"/>
        <v>#REF!</v>
      </c>
      <c r="G27" s="45" t="e">
        <f t="shared" si="12"/>
        <v>#REF!</v>
      </c>
      <c r="H27" s="45" t="e">
        <f t="shared" si="12"/>
        <v>#REF!</v>
      </c>
      <c r="I27" s="45" t="e">
        <f t="shared" si="12"/>
        <v>#REF!</v>
      </c>
      <c r="J27" s="45" t="e">
        <f t="shared" si="12"/>
        <v>#REF!</v>
      </c>
      <c r="K27" s="45" t="e">
        <f t="shared" si="12"/>
        <v>#REF!</v>
      </c>
      <c r="L27" s="45" t="e">
        <f t="shared" si="12"/>
        <v>#REF!</v>
      </c>
      <c r="M27" s="45" t="e">
        <f t="shared" si="12"/>
        <v>#REF!</v>
      </c>
      <c r="N27" s="45">
        <f t="shared" si="12"/>
        <v>0</v>
      </c>
      <c r="Q27" s="45" t="e">
        <f t="shared" ref="Q27:AB27" si="13">SUM(Q7:Q26)</f>
        <v>#REF!</v>
      </c>
      <c r="R27" s="45">
        <f t="shared" si="13"/>
        <v>11085979.221000001</v>
      </c>
      <c r="S27" s="45">
        <f t="shared" si="13"/>
        <v>4470130.79</v>
      </c>
      <c r="T27" s="45">
        <f t="shared" si="13"/>
        <v>4689654.82</v>
      </c>
      <c r="U27" s="45">
        <f t="shared" si="13"/>
        <v>7257276.1430000011</v>
      </c>
      <c r="V27" s="45">
        <f t="shared" si="13"/>
        <v>8817544.4199999999</v>
      </c>
      <c r="W27" s="45">
        <f t="shared" si="13"/>
        <v>6590029.9899999993</v>
      </c>
      <c r="X27" s="45">
        <f t="shared" si="13"/>
        <v>40745293.011</v>
      </c>
      <c r="Y27" s="45">
        <f t="shared" si="13"/>
        <v>10651132.045</v>
      </c>
      <c r="Z27" s="45">
        <f t="shared" si="13"/>
        <v>13695028.931</v>
      </c>
      <c r="AA27" s="45">
        <f t="shared" si="13"/>
        <v>4063524.3990000007</v>
      </c>
      <c r="AB27" s="45">
        <f t="shared" si="13"/>
        <v>0</v>
      </c>
      <c r="AE27" s="45" t="e">
        <f t="shared" ref="AE27:AO27" si="14">SUM(AE7:AE26)</f>
        <v>#REF!</v>
      </c>
      <c r="AF27" s="45" t="e">
        <f t="shared" si="14"/>
        <v>#REF!</v>
      </c>
      <c r="AG27" s="45" t="e">
        <f t="shared" si="14"/>
        <v>#REF!</v>
      </c>
      <c r="AH27" s="45" t="e">
        <f t="shared" si="14"/>
        <v>#REF!</v>
      </c>
      <c r="AI27" s="45" t="e">
        <f t="shared" si="14"/>
        <v>#REF!</v>
      </c>
      <c r="AJ27" s="45" t="e">
        <f t="shared" si="14"/>
        <v>#REF!</v>
      </c>
      <c r="AK27" s="45" t="e">
        <f t="shared" si="14"/>
        <v>#REF!</v>
      </c>
      <c r="AL27" s="45" t="e">
        <f t="shared" si="14"/>
        <v>#REF!</v>
      </c>
      <c r="AM27" s="45" t="e">
        <f t="shared" si="14"/>
        <v>#REF!</v>
      </c>
      <c r="AN27" s="45" t="e">
        <f t="shared" si="14"/>
        <v>#REF!</v>
      </c>
      <c r="AO27" s="45" t="e">
        <f t="shared" si="14"/>
        <v>#REF!</v>
      </c>
    </row>
    <row r="29" spans="1:42" x14ac:dyDescent="0.25">
      <c r="A29" s="41" t="s">
        <v>1324</v>
      </c>
    </row>
    <row r="30" spans="1:42" x14ac:dyDescent="0.25">
      <c r="A30" s="42">
        <v>140001</v>
      </c>
      <c r="B30" s="43" t="s">
        <v>857</v>
      </c>
      <c r="C30" s="44" t="e">
        <f t="shared" ref="C30:N33" si="15">Q30+AE30</f>
        <v>#REF!</v>
      </c>
      <c r="D30" s="44" t="e">
        <f t="shared" si="15"/>
        <v>#REF!</v>
      </c>
      <c r="E30" s="44" t="e">
        <f t="shared" si="15"/>
        <v>#REF!</v>
      </c>
      <c r="F30" s="44" t="e">
        <f t="shared" si="15"/>
        <v>#REF!</v>
      </c>
      <c r="G30" s="44" t="e">
        <f t="shared" si="15"/>
        <v>#REF!</v>
      </c>
      <c r="H30" s="44" t="e">
        <f t="shared" si="15"/>
        <v>#REF!</v>
      </c>
      <c r="I30" s="44" t="e">
        <f t="shared" si="15"/>
        <v>#REF!</v>
      </c>
      <c r="J30" s="44" t="e">
        <f t="shared" si="15"/>
        <v>#REF!</v>
      </c>
      <c r="K30" s="44" t="e">
        <f t="shared" si="15"/>
        <v>#REF!</v>
      </c>
      <c r="L30" s="44" t="e">
        <f t="shared" si="15"/>
        <v>#REF!</v>
      </c>
      <c r="M30" s="44" t="e">
        <f t="shared" si="15"/>
        <v>#REF!</v>
      </c>
      <c r="N30" s="44">
        <f t="shared" si="15"/>
        <v>0</v>
      </c>
      <c r="Q30" s="44" t="e">
        <f>SUMIF(#REF!,$A30,#REF!)</f>
        <v>#REF!</v>
      </c>
      <c r="R30" s="44">
        <f>SUMIF(ALIF_Y2014!$A:$A,$A30,ALIF_Y2014!$F:$F)</f>
        <v>36187908.814999998</v>
      </c>
      <c r="S30" s="44">
        <f>SUMIF(ALIF_Y2015!$A:$A,$A30,ALIF_Y2015!$F:$F)</f>
        <v>36923559</v>
      </c>
      <c r="T30" s="44">
        <f>SUMIF(ALIF_Y2016!$A:$A,$A30,ALIF_Y2016!$F:$F)</f>
        <v>39673675.619999997</v>
      </c>
      <c r="U30" s="44">
        <f>SUMIF(ALIF_Y2017!$A:$A,$A30,ALIF_Y2017!$F:$F)</f>
        <v>39364277.743000001</v>
      </c>
      <c r="V30" s="44">
        <f>SUMIF(ALIF_Y2018!$A:$A,$A30,ALIF_Y2018!$F:$F)</f>
        <v>38308186.048</v>
      </c>
      <c r="W30" s="44">
        <f>SUMIF(ALIF_Y2019!$A:$A,$A30,ALIF_Y2019!$F:$F)</f>
        <v>43443359.329000004</v>
      </c>
      <c r="X30" s="44">
        <f>SUMIF(ALIF_Y2020!$A:$A,$A30,ALIF_Y2020!$F:$F)</f>
        <v>38933964.941</v>
      </c>
      <c r="Y30" s="44">
        <f>SUMIF(ALIF_Y2021!$A:$A,$A30,ALIF_Y2021!$F:$F)</f>
        <v>63268299.509000003</v>
      </c>
      <c r="Z30" s="44">
        <f>SUMIF(ALIF_Y2022!$A:$A,$A30,ALIF_Y2022!$F:$F)</f>
        <v>73001860.419</v>
      </c>
      <c r="AA30" s="44">
        <f>SUMIF(ALIF_Y2023!$A:$A,$A30,ALIF_Y2023!$F:$F)</f>
        <v>45463353.802000001</v>
      </c>
      <c r="AE30" s="44" t="e">
        <f>SUMIF(#REF!,$A30,#REF!)</f>
        <v>#REF!</v>
      </c>
      <c r="AF30" s="44" t="e">
        <f>SUMIF(#REF!,$A30,#REF!)</f>
        <v>#REF!</v>
      </c>
      <c r="AG30" s="44" t="e">
        <f>SUMIF(#REF!,$A30,#REF!)</f>
        <v>#REF!</v>
      </c>
      <c r="AH30" s="44" t="e">
        <f>SUMIF(#REF!,$A30,#REF!)</f>
        <v>#REF!</v>
      </c>
      <c r="AI30" s="44" t="e">
        <f>SUMIF(#REF!,$A30,#REF!)</f>
        <v>#REF!</v>
      </c>
      <c r="AJ30" s="44" t="e">
        <f>SUMIF(#REF!,$A30,#REF!)</f>
        <v>#REF!</v>
      </c>
      <c r="AK30" s="44" t="e">
        <f>SUMIF(#REF!,$A30,#REF!)</f>
        <v>#REF!</v>
      </c>
      <c r="AL30" s="44" t="e">
        <f>SUMIF(#REF!,$A30,#REF!)</f>
        <v>#REF!</v>
      </c>
      <c r="AM30" s="44" t="e">
        <f>SUMIF(#REF!,$A30,#REF!)</f>
        <v>#REF!</v>
      </c>
      <c r="AN30" s="44" t="e">
        <f>SUMIF(#REF!,$A30,#REF!)</f>
        <v>#REF!</v>
      </c>
      <c r="AO30" s="44" t="e">
        <f>SUMIF(#REF!,$A30,#REF!)</f>
        <v>#REF!</v>
      </c>
    </row>
    <row r="31" spans="1:42" x14ac:dyDescent="0.25">
      <c r="A31" s="42">
        <v>140010</v>
      </c>
      <c r="B31" s="43" t="s">
        <v>858</v>
      </c>
      <c r="C31" s="44" t="e">
        <f t="shared" si="15"/>
        <v>#REF!</v>
      </c>
      <c r="D31" s="44" t="e">
        <f t="shared" si="15"/>
        <v>#REF!</v>
      </c>
      <c r="E31" s="44" t="e">
        <f t="shared" si="15"/>
        <v>#REF!</v>
      </c>
      <c r="F31" s="44" t="e">
        <f t="shared" si="15"/>
        <v>#REF!</v>
      </c>
      <c r="G31" s="44" t="e">
        <f t="shared" si="15"/>
        <v>#REF!</v>
      </c>
      <c r="H31" s="44" t="e">
        <f t="shared" si="15"/>
        <v>#REF!</v>
      </c>
      <c r="I31" s="44" t="e">
        <f t="shared" si="15"/>
        <v>#REF!</v>
      </c>
      <c r="J31" s="44" t="e">
        <f t="shared" si="15"/>
        <v>#REF!</v>
      </c>
      <c r="K31" s="44" t="e">
        <f t="shared" si="15"/>
        <v>#REF!</v>
      </c>
      <c r="L31" s="44" t="e">
        <f t="shared" si="15"/>
        <v>#REF!</v>
      </c>
      <c r="M31" s="44" t="e">
        <f t="shared" si="15"/>
        <v>#REF!</v>
      </c>
      <c r="N31" s="44">
        <f t="shared" si="15"/>
        <v>0</v>
      </c>
      <c r="Q31" s="44" t="e">
        <f>SUMIF(#REF!,$A31,#REF!)</f>
        <v>#REF!</v>
      </c>
      <c r="R31" s="44">
        <f>SUMIF(ALIF_Y2014!$A:$A,$A31,ALIF_Y2014!$F:$F)</f>
        <v>0</v>
      </c>
      <c r="S31" s="44">
        <f>SUMIF(ALIF_Y2015!$A:$A,$A31,ALIF_Y2015!$F:$F)</f>
        <v>0</v>
      </c>
      <c r="T31" s="44">
        <f>SUMIF(ALIF_Y2016!$A:$A,$A31,ALIF_Y2016!$F:$F)</f>
        <v>0</v>
      </c>
      <c r="U31" s="44">
        <f>SUMIF(ALIF_Y2017!$A:$A,$A31,ALIF_Y2017!$F:$F)</f>
        <v>0</v>
      </c>
      <c r="V31" s="44">
        <f>SUMIF(ALIF_Y2018!$A:$A,$A31,ALIF_Y2018!$F:$F)</f>
        <v>0</v>
      </c>
      <c r="W31" s="44">
        <f>SUMIF(ALIF_Y2019!$A:$A,$A31,ALIF_Y2019!$F:$F)</f>
        <v>0</v>
      </c>
      <c r="X31" s="44">
        <f>SUMIF(ALIF_Y2020!$A:$A,$A31,ALIF_Y2020!$F:$F)</f>
        <v>0</v>
      </c>
      <c r="Y31" s="44">
        <f>SUMIF(ALIF_Y2021!$A:$A,$A31,ALIF_Y2021!$F:$F)</f>
        <v>0</v>
      </c>
      <c r="Z31" s="44">
        <f>SUMIF(ALIF_Y2022!$A:$A,$A31,ALIF_Y2022!$F:$F)</f>
        <v>0</v>
      </c>
      <c r="AA31" s="44">
        <f>SUMIF(ALIF_Y2023!$A:$A,$A31,ALIF_Y2023!$F:$F)</f>
        <v>0</v>
      </c>
      <c r="AE31" s="44" t="e">
        <f>SUMIF(#REF!,$A31,#REF!)</f>
        <v>#REF!</v>
      </c>
      <c r="AF31" s="44" t="e">
        <f>SUMIF(#REF!,$A31,#REF!)</f>
        <v>#REF!</v>
      </c>
      <c r="AG31" s="44" t="e">
        <f>SUMIF(#REF!,$A31,#REF!)</f>
        <v>#REF!</v>
      </c>
      <c r="AH31" s="44" t="e">
        <f>SUMIF(#REF!,$A31,#REF!)</f>
        <v>#REF!</v>
      </c>
      <c r="AI31" s="44" t="e">
        <f>SUMIF(#REF!,$A31,#REF!)</f>
        <v>#REF!</v>
      </c>
      <c r="AJ31" s="44" t="e">
        <f>SUMIF(#REF!,$A31,#REF!)</f>
        <v>#REF!</v>
      </c>
      <c r="AK31" s="44" t="e">
        <f>SUMIF(#REF!,$A31,#REF!)</f>
        <v>#REF!</v>
      </c>
      <c r="AL31" s="44" t="e">
        <f>SUMIF(#REF!,$A31,#REF!)</f>
        <v>#REF!</v>
      </c>
      <c r="AM31" s="44" t="e">
        <f>SUMIF(#REF!,$A31,#REF!)</f>
        <v>#REF!</v>
      </c>
      <c r="AN31" s="44" t="e">
        <f>SUMIF(#REF!,$A31,#REF!)</f>
        <v>#REF!</v>
      </c>
      <c r="AO31" s="44" t="e">
        <f>SUMIF(#REF!,$A31,#REF!)</f>
        <v>#REF!</v>
      </c>
    </row>
    <row r="32" spans="1:42" x14ac:dyDescent="0.25">
      <c r="A32" s="42">
        <v>121003</v>
      </c>
      <c r="B32" s="43" t="s">
        <v>1104</v>
      </c>
      <c r="C32" s="44" t="e">
        <f t="shared" si="15"/>
        <v>#REF!</v>
      </c>
      <c r="D32" s="44" t="e">
        <f t="shared" si="15"/>
        <v>#REF!</v>
      </c>
      <c r="E32" s="44" t="e">
        <f t="shared" si="15"/>
        <v>#REF!</v>
      </c>
      <c r="F32" s="44" t="e">
        <f t="shared" si="15"/>
        <v>#REF!</v>
      </c>
      <c r="G32" s="44" t="e">
        <f t="shared" si="15"/>
        <v>#REF!</v>
      </c>
      <c r="H32" s="44" t="e">
        <f t="shared" si="15"/>
        <v>#REF!</v>
      </c>
      <c r="I32" s="44" t="e">
        <f t="shared" si="15"/>
        <v>#REF!</v>
      </c>
      <c r="J32" s="44" t="e">
        <f t="shared" si="15"/>
        <v>#REF!</v>
      </c>
      <c r="K32" s="44" t="e">
        <f t="shared" si="15"/>
        <v>#REF!</v>
      </c>
      <c r="L32" s="44" t="e">
        <f t="shared" si="15"/>
        <v>#REF!</v>
      </c>
      <c r="M32" s="44" t="e">
        <f t="shared" si="15"/>
        <v>#REF!</v>
      </c>
      <c r="N32" s="44">
        <f t="shared" si="15"/>
        <v>0</v>
      </c>
      <c r="Q32" s="44" t="e">
        <f>SUMIF(#REF!,$A32,#REF!)</f>
        <v>#REF!</v>
      </c>
      <c r="R32" s="44">
        <f>SUMIF(ALIF_Y2014!$A:$A,$A32,ALIF_Y2014!$F:$F)</f>
        <v>0</v>
      </c>
      <c r="S32" s="44">
        <f>SUMIF(ALIF_Y2015!$A:$A,$A32,ALIF_Y2015!$F:$F)</f>
        <v>0</v>
      </c>
      <c r="T32" s="44">
        <f>SUMIF(ALIF_Y2016!$A:$A,$A32,ALIF_Y2016!$F:$F)</f>
        <v>0</v>
      </c>
      <c r="U32" s="44">
        <f>SUMIF(ALIF_Y2017!$A:$A,$A32,ALIF_Y2017!$F:$F)</f>
        <v>0</v>
      </c>
      <c r="V32" s="44">
        <f>SUMIF(ALIF_Y2018!$A:$A,$A32,ALIF_Y2018!$F:$F)</f>
        <v>0</v>
      </c>
      <c r="W32" s="44">
        <f>SUMIF(ALIF_Y2019!$A:$A,$A32,ALIF_Y2019!$F:$F)</f>
        <v>0</v>
      </c>
      <c r="X32" s="44">
        <f>SUMIF(ALIF_Y2020!$A:$A,$A32,ALIF_Y2020!$F:$F)</f>
        <v>0</v>
      </c>
      <c r="Y32" s="44">
        <f>SUMIF(ALIF_Y2021!$A:$A,$A32,ALIF_Y2021!$F:$F)</f>
        <v>0</v>
      </c>
      <c r="Z32" s="44">
        <f>SUMIF(ALIF_Y2022!$A:$A,$A32,ALIF_Y2022!$F:$F)</f>
        <v>0</v>
      </c>
      <c r="AA32" s="44">
        <f>SUMIF(ALIF_Y2023!$A:$A,$A32,ALIF_Y2023!$F:$F)</f>
        <v>0</v>
      </c>
      <c r="AE32" s="44" t="e">
        <f>SUMIF(#REF!,$A32,#REF!)</f>
        <v>#REF!</v>
      </c>
      <c r="AF32" s="44" t="e">
        <f>SUMIF(#REF!,$A32,#REF!)</f>
        <v>#REF!</v>
      </c>
      <c r="AG32" s="44" t="e">
        <f>SUMIF(#REF!,$A32,#REF!)</f>
        <v>#REF!</v>
      </c>
      <c r="AH32" s="44" t="e">
        <f>SUMIF(#REF!,$A32,#REF!)</f>
        <v>#REF!</v>
      </c>
      <c r="AI32" s="44" t="e">
        <f>SUMIF(#REF!,$A32,#REF!)</f>
        <v>#REF!</v>
      </c>
      <c r="AJ32" s="44" t="e">
        <f>SUMIF(#REF!,$A32,#REF!)</f>
        <v>#REF!</v>
      </c>
      <c r="AK32" s="44" t="e">
        <f>SUMIF(#REF!,$A32,#REF!)</f>
        <v>#REF!</v>
      </c>
      <c r="AL32" s="44" t="e">
        <f>SUMIF(#REF!,$A32,#REF!)</f>
        <v>#REF!</v>
      </c>
      <c r="AM32" s="44" t="e">
        <f>SUMIF(#REF!,$A32,#REF!)</f>
        <v>#REF!</v>
      </c>
      <c r="AN32" s="44" t="e">
        <f>SUMIF(#REF!,$A32,#REF!)</f>
        <v>#REF!</v>
      </c>
      <c r="AO32" s="44" t="e">
        <f>SUMIF(#REF!,$A32,#REF!)</f>
        <v>#REF!</v>
      </c>
    </row>
    <row r="33" spans="1:42" x14ac:dyDescent="0.25">
      <c r="A33" s="42">
        <v>260003</v>
      </c>
      <c r="B33" s="43" t="s">
        <v>924</v>
      </c>
      <c r="C33" s="44" t="e">
        <f t="shared" si="15"/>
        <v>#REF!</v>
      </c>
      <c r="D33" s="44" t="e">
        <f t="shared" si="15"/>
        <v>#REF!</v>
      </c>
      <c r="E33" s="44" t="e">
        <f t="shared" si="15"/>
        <v>#REF!</v>
      </c>
      <c r="F33" s="44" t="e">
        <f t="shared" si="15"/>
        <v>#REF!</v>
      </c>
      <c r="G33" s="44" t="e">
        <f t="shared" si="15"/>
        <v>#REF!</v>
      </c>
      <c r="H33" s="44" t="e">
        <f t="shared" si="15"/>
        <v>#REF!</v>
      </c>
      <c r="I33" s="44" t="e">
        <f t="shared" si="15"/>
        <v>#REF!</v>
      </c>
      <c r="J33" s="44" t="e">
        <f t="shared" si="15"/>
        <v>#REF!</v>
      </c>
      <c r="K33" s="44" t="e">
        <f t="shared" si="15"/>
        <v>#REF!</v>
      </c>
      <c r="L33" s="44" t="e">
        <f t="shared" si="15"/>
        <v>#REF!</v>
      </c>
      <c r="M33" s="44" t="e">
        <f t="shared" si="15"/>
        <v>#REF!</v>
      </c>
      <c r="N33" s="44">
        <f t="shared" si="15"/>
        <v>0</v>
      </c>
      <c r="Q33" s="44" t="e">
        <f>SUMIF(#REF!,$A33,#REF!)</f>
        <v>#REF!</v>
      </c>
      <c r="R33" s="44">
        <f>SUMIF(ALIF_Y2014!$A:$A,$A33,ALIF_Y2014!$F:$F)</f>
        <v>-1409581.54</v>
      </c>
      <c r="S33" s="44">
        <f>SUMIF(ALIF_Y2015!$A:$A,$A33,ALIF_Y2015!$F:$F)</f>
        <v>-1409581.54</v>
      </c>
      <c r="T33" s="44">
        <f>SUMIF(ALIF_Y2016!$A:$A,$A33,ALIF_Y2016!$F:$F)</f>
        <v>-3563173.54</v>
      </c>
      <c r="U33" s="44">
        <f>SUMIF(ALIF_Y2017!$A:$A,$A33,ALIF_Y2017!$F:$F)</f>
        <v>-3563173.54</v>
      </c>
      <c r="V33" s="44">
        <f>SUMIF(ALIF_Y2018!$A:$A,$A33,ALIF_Y2018!$F:$F)</f>
        <v>-3407320.1</v>
      </c>
      <c r="W33" s="44">
        <f>SUMIF(ALIF_Y2019!$A:$A,$A33,ALIF_Y2019!$F:$F)</f>
        <v>-3156727.1</v>
      </c>
      <c r="X33" s="44">
        <f>SUMIF(ALIF_Y2020!$A:$A,$A33,ALIF_Y2020!$F:$F)</f>
        <v>-3482088.0839999998</v>
      </c>
      <c r="Y33" s="44">
        <f>SUMIF(ALIF_Y2021!$A:$A,$A33,ALIF_Y2021!$F:$F)</f>
        <v>-3454104.6740000001</v>
      </c>
      <c r="Z33" s="44">
        <f>SUMIF(ALIF_Y2022!$A:$A,$A33,ALIF_Y2022!$F:$F)</f>
        <v>-3557438</v>
      </c>
      <c r="AA33" s="44">
        <f>SUMIF(ALIF_Y2023!$A:$A,$A33,ALIF_Y2023!$F:$F)</f>
        <v>-12488537.438999999</v>
      </c>
      <c r="AE33" s="44" t="e">
        <f>SUMIF(#REF!,$A33,#REF!)</f>
        <v>#REF!</v>
      </c>
      <c r="AF33" s="44" t="e">
        <f>SUMIF(#REF!,$A33,#REF!)</f>
        <v>#REF!</v>
      </c>
      <c r="AG33" s="44" t="e">
        <f>SUMIF(#REF!,$A33,#REF!)</f>
        <v>#REF!</v>
      </c>
      <c r="AH33" s="44" t="e">
        <f>SUMIF(#REF!,$A33,#REF!)</f>
        <v>#REF!</v>
      </c>
      <c r="AI33" s="44" t="e">
        <f>SUMIF(#REF!,$A33,#REF!)</f>
        <v>#REF!</v>
      </c>
      <c r="AJ33" s="44" t="e">
        <f>SUMIF(#REF!,$A33,#REF!)</f>
        <v>#REF!</v>
      </c>
      <c r="AK33" s="44" t="e">
        <f>SUMIF(#REF!,$A33,#REF!)</f>
        <v>#REF!</v>
      </c>
      <c r="AL33" s="44" t="e">
        <f>SUMIF(#REF!,$A33,#REF!)</f>
        <v>#REF!</v>
      </c>
      <c r="AM33" s="44" t="e">
        <f>SUMIF(#REF!,$A33,#REF!)</f>
        <v>#REF!</v>
      </c>
      <c r="AN33" s="44" t="e">
        <f>SUMIF(#REF!,$A33,#REF!)</f>
        <v>#REF!</v>
      </c>
      <c r="AO33" s="44" t="e">
        <f>SUMIF(#REF!,$A33,#REF!)</f>
        <v>#REF!</v>
      </c>
    </row>
    <row r="34" spans="1:42" ht="7.9" customHeight="1" x14ac:dyDescent="0.25">
      <c r="C34" s="144"/>
      <c r="D34" s="144"/>
      <c r="E34" s="144"/>
      <c r="F34" s="144"/>
      <c r="G34" s="144"/>
      <c r="H34" s="144"/>
      <c r="I34" s="144"/>
      <c r="J34" s="144"/>
      <c r="K34" s="144"/>
      <c r="L34" s="144"/>
      <c r="M34" s="144"/>
      <c r="N34" s="144"/>
      <c r="Q34" s="144"/>
      <c r="R34" s="144"/>
      <c r="S34" s="144"/>
      <c r="T34" s="144"/>
      <c r="U34" s="144"/>
      <c r="V34" s="144"/>
      <c r="W34" s="144"/>
      <c r="X34" s="144"/>
      <c r="Y34" s="144"/>
      <c r="Z34" s="144"/>
      <c r="AA34" s="144"/>
      <c r="AB34" s="144"/>
      <c r="AE34" s="144"/>
      <c r="AF34" s="144"/>
      <c r="AG34" s="144"/>
      <c r="AH34" s="144"/>
      <c r="AI34" s="144"/>
      <c r="AJ34" s="144"/>
      <c r="AK34" s="144"/>
      <c r="AL34" s="144"/>
      <c r="AM34" s="144"/>
      <c r="AN34" s="144"/>
      <c r="AO34" s="144"/>
      <c r="AP34" s="144"/>
    </row>
    <row r="35" spans="1:42" x14ac:dyDescent="0.25">
      <c r="C35" s="45" t="e">
        <f t="shared" ref="C35:N35" si="16">SUM(C30:C34)</f>
        <v>#REF!</v>
      </c>
      <c r="D35" s="45" t="e">
        <f t="shared" si="16"/>
        <v>#REF!</v>
      </c>
      <c r="E35" s="45" t="e">
        <f t="shared" si="16"/>
        <v>#REF!</v>
      </c>
      <c r="F35" s="45" t="e">
        <f t="shared" si="16"/>
        <v>#REF!</v>
      </c>
      <c r="G35" s="45" t="e">
        <f t="shared" si="16"/>
        <v>#REF!</v>
      </c>
      <c r="H35" s="45" t="e">
        <f t="shared" si="16"/>
        <v>#REF!</v>
      </c>
      <c r="I35" s="45" t="e">
        <f t="shared" si="16"/>
        <v>#REF!</v>
      </c>
      <c r="J35" s="45" t="e">
        <f t="shared" si="16"/>
        <v>#REF!</v>
      </c>
      <c r="K35" s="45" t="e">
        <f t="shared" si="16"/>
        <v>#REF!</v>
      </c>
      <c r="L35" s="45" t="e">
        <f t="shared" si="16"/>
        <v>#REF!</v>
      </c>
      <c r="M35" s="45" t="e">
        <f t="shared" si="16"/>
        <v>#REF!</v>
      </c>
      <c r="N35" s="45">
        <f t="shared" si="16"/>
        <v>0</v>
      </c>
      <c r="Q35" s="45" t="e">
        <f t="shared" ref="Q35:AB35" si="17">SUM(Q30:Q34)</f>
        <v>#REF!</v>
      </c>
      <c r="R35" s="45">
        <f t="shared" si="17"/>
        <v>34778327.274999999</v>
      </c>
      <c r="S35" s="45">
        <f t="shared" si="17"/>
        <v>35513977.460000001</v>
      </c>
      <c r="T35" s="45">
        <f t="shared" si="17"/>
        <v>36110502.079999998</v>
      </c>
      <c r="U35" s="45">
        <f t="shared" si="17"/>
        <v>35801104.203000002</v>
      </c>
      <c r="V35" s="45">
        <f t="shared" si="17"/>
        <v>34900865.947999999</v>
      </c>
      <c r="W35" s="45">
        <f t="shared" si="17"/>
        <v>40286632.229000002</v>
      </c>
      <c r="X35" s="45">
        <f t="shared" si="17"/>
        <v>35451876.857000001</v>
      </c>
      <c r="Y35" s="45">
        <f t="shared" si="17"/>
        <v>59814194.835000001</v>
      </c>
      <c r="Z35" s="45">
        <f t="shared" si="17"/>
        <v>69444422.419</v>
      </c>
      <c r="AA35" s="45">
        <f t="shared" si="17"/>
        <v>32974816.363000002</v>
      </c>
      <c r="AB35" s="45">
        <f t="shared" si="17"/>
        <v>0</v>
      </c>
      <c r="AE35" s="45" t="e">
        <f t="shared" ref="AE35:AO35" si="18">SUM(AE30:AE34)</f>
        <v>#REF!</v>
      </c>
      <c r="AF35" s="45" t="e">
        <f t="shared" si="18"/>
        <v>#REF!</v>
      </c>
      <c r="AG35" s="45" t="e">
        <f t="shared" si="18"/>
        <v>#REF!</v>
      </c>
      <c r="AH35" s="45" t="e">
        <f t="shared" si="18"/>
        <v>#REF!</v>
      </c>
      <c r="AI35" s="45" t="e">
        <f t="shared" si="18"/>
        <v>#REF!</v>
      </c>
      <c r="AJ35" s="45" t="e">
        <f t="shared" si="18"/>
        <v>#REF!</v>
      </c>
      <c r="AK35" s="45" t="e">
        <f t="shared" si="18"/>
        <v>#REF!</v>
      </c>
      <c r="AL35" s="45" t="e">
        <f t="shared" si="18"/>
        <v>#REF!</v>
      </c>
      <c r="AM35" s="45" t="e">
        <f t="shared" si="18"/>
        <v>#REF!</v>
      </c>
      <c r="AN35" s="45" t="e">
        <f t="shared" si="18"/>
        <v>#REF!</v>
      </c>
      <c r="AO35" s="45" t="e">
        <f t="shared" si="18"/>
        <v>#REF!</v>
      </c>
    </row>
    <row r="36" spans="1:42" x14ac:dyDescent="0.25">
      <c r="A36" s="41" t="s">
        <v>883</v>
      </c>
    </row>
    <row r="37" spans="1:42" x14ac:dyDescent="0.25">
      <c r="A37" s="42">
        <v>121001</v>
      </c>
      <c r="B37" s="43" t="s">
        <v>836</v>
      </c>
      <c r="C37" s="44" t="e">
        <f t="shared" ref="C37:C56" si="19">Q37+AE37</f>
        <v>#REF!</v>
      </c>
      <c r="D37" s="44" t="e">
        <f t="shared" ref="D37:D56" si="20">R37+AF37</f>
        <v>#REF!</v>
      </c>
      <c r="E37" s="44" t="e">
        <f t="shared" ref="E37:E56" si="21">S37+AG37</f>
        <v>#REF!</v>
      </c>
      <c r="F37" s="44" t="e">
        <f t="shared" ref="F37:F56" si="22">T37+AH37</f>
        <v>#REF!</v>
      </c>
      <c r="G37" s="44" t="e">
        <f t="shared" ref="G37:G56" si="23">U37+AI37</f>
        <v>#REF!</v>
      </c>
      <c r="H37" s="44" t="e">
        <f t="shared" ref="H37:H56" si="24">V37+AJ37</f>
        <v>#REF!</v>
      </c>
      <c r="I37" s="44" t="e">
        <f t="shared" ref="I37:I56" si="25">W37+AK37</f>
        <v>#REF!</v>
      </c>
      <c r="J37" s="44" t="e">
        <f t="shared" ref="J37:J56" si="26">X37+AL37</f>
        <v>#REF!</v>
      </c>
      <c r="K37" s="44" t="e">
        <f t="shared" ref="K37:K56" si="27">Y37+AM37</f>
        <v>#REF!</v>
      </c>
      <c r="L37" s="44" t="e">
        <f t="shared" ref="L37:L56" si="28">Z37+AN37</f>
        <v>#REF!</v>
      </c>
      <c r="M37" s="44" t="e">
        <f t="shared" ref="M37:M56" si="29">AA37+AO37</f>
        <v>#REF!</v>
      </c>
      <c r="N37" s="44">
        <f t="shared" ref="N37:N56" si="30">AB37+AP37</f>
        <v>0</v>
      </c>
      <c r="Q37" s="44" t="e">
        <f>SUMIF(#REF!,$A37,#REF!)</f>
        <v>#REF!</v>
      </c>
      <c r="R37" s="44">
        <f>SUMIF(ALIF_Y2014!$A:$A,$A37,ALIF_Y2014!$F:$F)</f>
        <v>5363766.13</v>
      </c>
      <c r="S37" s="44">
        <f>SUMIF(ALIF_Y2015!$A:$A,$A37,ALIF_Y2015!$F:$F)</f>
        <v>6677123.2829999998</v>
      </c>
      <c r="T37" s="44">
        <f>SUMIF(ALIF_Y2016!$A:$A,$A37,ALIF_Y2016!$F:$F)</f>
        <v>8098665.1299999999</v>
      </c>
      <c r="U37" s="44">
        <f>SUMIF(ALIF_Y2017!$A:$A,$A37,ALIF_Y2017!$F:$F)</f>
        <v>13762616.130000001</v>
      </c>
      <c r="V37" s="44">
        <f>SUMIF(ALIF_Y2018!$A:$A,$A37,ALIF_Y2018!$F:$F)</f>
        <v>13762616.130000001</v>
      </c>
      <c r="W37" s="44">
        <f>SUMIF(ALIF_Y2019!$A:$A,$A37,ALIF_Y2019!$F:$F)</f>
        <v>13762616.130000001</v>
      </c>
      <c r="X37" s="44">
        <f>SUMIF(ALIF_Y2020!$A:$A,$A37,ALIF_Y2020!$F:$F)</f>
        <v>13762616.130000001</v>
      </c>
      <c r="Y37" s="44">
        <f>SUMIF(ALIF_Y2021!$A:$A,$A37,ALIF_Y2021!$F:$F)</f>
        <v>13762616.130000001</v>
      </c>
      <c r="Z37" s="44">
        <f>SUMIF(ALIF_Y2022!$A:$A,$A37,ALIF_Y2022!$F:$F)</f>
        <v>13762616.130000001</v>
      </c>
      <c r="AA37" s="44">
        <f>SUMIF(ALIF_Y2023!$A:$A,$A37,ALIF_Y2023!$F:$F)</f>
        <v>13762616.130000001</v>
      </c>
      <c r="AE37" s="44" t="e">
        <f>SUMIF(#REF!,$A37,#REF!)</f>
        <v>#REF!</v>
      </c>
      <c r="AF37" s="44" t="e">
        <f>SUMIF(#REF!,$A37,#REF!)</f>
        <v>#REF!</v>
      </c>
      <c r="AG37" s="44" t="e">
        <f>SUMIF(#REF!,$A37,#REF!)</f>
        <v>#REF!</v>
      </c>
      <c r="AH37" s="44" t="e">
        <f>SUMIF(#REF!,$A37,#REF!)</f>
        <v>#REF!</v>
      </c>
      <c r="AI37" s="44" t="e">
        <f>SUMIF(#REF!,$A37,#REF!)</f>
        <v>#REF!</v>
      </c>
      <c r="AJ37" s="44" t="e">
        <f>SUMIF(#REF!,$A37,#REF!)</f>
        <v>#REF!</v>
      </c>
      <c r="AK37" s="44" t="e">
        <f>SUMIF(#REF!,$A37,#REF!)</f>
        <v>#REF!</v>
      </c>
      <c r="AL37" s="44" t="e">
        <f>SUMIF(#REF!,$A37,#REF!)</f>
        <v>#REF!</v>
      </c>
      <c r="AM37" s="44" t="e">
        <f>SUMIF(#REF!,$A37,#REF!)</f>
        <v>#REF!</v>
      </c>
      <c r="AN37" s="44" t="e">
        <f>SUMIF(#REF!,$A37,#REF!)</f>
        <v>#REF!</v>
      </c>
      <c r="AO37" s="44" t="e">
        <f>SUMIF(#REF!,$A37,#REF!)</f>
        <v>#REF!</v>
      </c>
    </row>
    <row r="38" spans="1:42" x14ac:dyDescent="0.25">
      <c r="A38" s="42">
        <v>121002</v>
      </c>
      <c r="B38" s="43" t="s">
        <v>837</v>
      </c>
      <c r="C38" s="44" t="e">
        <f t="shared" si="19"/>
        <v>#REF!</v>
      </c>
      <c r="D38" s="44" t="e">
        <f t="shared" si="20"/>
        <v>#REF!</v>
      </c>
      <c r="E38" s="44" t="e">
        <f t="shared" si="21"/>
        <v>#REF!</v>
      </c>
      <c r="F38" s="44" t="e">
        <f t="shared" si="22"/>
        <v>#REF!</v>
      </c>
      <c r="G38" s="44" t="e">
        <f t="shared" si="23"/>
        <v>#REF!</v>
      </c>
      <c r="H38" s="44" t="e">
        <f t="shared" si="24"/>
        <v>#REF!</v>
      </c>
      <c r="I38" s="44" t="e">
        <f t="shared" si="25"/>
        <v>#REF!</v>
      </c>
      <c r="J38" s="44" t="e">
        <f t="shared" si="26"/>
        <v>#REF!</v>
      </c>
      <c r="K38" s="44" t="e">
        <f t="shared" si="27"/>
        <v>#REF!</v>
      </c>
      <c r="L38" s="44" t="e">
        <f t="shared" si="28"/>
        <v>#REF!</v>
      </c>
      <c r="M38" s="44" t="e">
        <f t="shared" si="29"/>
        <v>#REF!</v>
      </c>
      <c r="N38" s="44">
        <f t="shared" si="30"/>
        <v>0</v>
      </c>
      <c r="Q38" s="44" t="e">
        <f>SUMIF(#REF!,$A38,#REF!)</f>
        <v>#REF!</v>
      </c>
      <c r="R38" s="44">
        <f>SUMIF(ALIF_Y2014!$A:$A,$A38,ALIF_Y2014!$F:$F)</f>
        <v>-3650674.13</v>
      </c>
      <c r="S38" s="44">
        <f>SUMIF(ALIF_Y2015!$A:$A,$A38,ALIF_Y2015!$F:$F)</f>
        <v>-3650674.13</v>
      </c>
      <c r="T38" s="44">
        <f>SUMIF(ALIF_Y2016!$A:$A,$A38,ALIF_Y2016!$F:$F)</f>
        <v>-8098665.1299999999</v>
      </c>
      <c r="U38" s="44">
        <f>SUMIF(ALIF_Y2017!$A:$A,$A38,ALIF_Y2017!$F:$F)</f>
        <v>-13762616.130000001</v>
      </c>
      <c r="V38" s="44">
        <f>SUMIF(ALIF_Y2018!$A:$A,$A38,ALIF_Y2018!$F:$F)</f>
        <v>-13762616.130000001</v>
      </c>
      <c r="W38" s="44">
        <f>SUMIF(ALIF_Y2019!$A:$A,$A38,ALIF_Y2019!$F:$F)</f>
        <v>-13762616.130000001</v>
      </c>
      <c r="X38" s="44">
        <f>SUMIF(ALIF_Y2020!$A:$A,$A38,ALIF_Y2020!$F:$F)</f>
        <v>-13762616.130000001</v>
      </c>
      <c r="Y38" s="44">
        <f>SUMIF(ALIF_Y2021!$A:$A,$A38,ALIF_Y2021!$F:$F)</f>
        <v>-13762616.130000001</v>
      </c>
      <c r="Z38" s="44">
        <f>SUMIF(ALIF_Y2022!$A:$A,$A38,ALIF_Y2022!$F:$F)</f>
        <v>-13762616.130000001</v>
      </c>
      <c r="AA38" s="44">
        <f>SUMIF(ALIF_Y2023!$A:$A,$A38,ALIF_Y2023!$F:$F)</f>
        <v>-13762616.130000001</v>
      </c>
      <c r="AE38" s="44" t="e">
        <f>SUMIF(#REF!,$A38,#REF!)</f>
        <v>#REF!</v>
      </c>
      <c r="AF38" s="44" t="e">
        <f>SUMIF(#REF!,$A38,#REF!)</f>
        <v>#REF!</v>
      </c>
      <c r="AG38" s="44" t="e">
        <f>SUMIF(#REF!,$A38,#REF!)</f>
        <v>#REF!</v>
      </c>
      <c r="AH38" s="44" t="e">
        <f>SUMIF(#REF!,$A38,#REF!)</f>
        <v>#REF!</v>
      </c>
      <c r="AI38" s="44" t="e">
        <f>SUMIF(#REF!,$A38,#REF!)</f>
        <v>#REF!</v>
      </c>
      <c r="AJ38" s="44" t="e">
        <f>SUMIF(#REF!,$A38,#REF!)</f>
        <v>#REF!</v>
      </c>
      <c r="AK38" s="44" t="e">
        <f>SUMIF(#REF!,$A38,#REF!)</f>
        <v>#REF!</v>
      </c>
      <c r="AL38" s="44" t="e">
        <f>SUMIF(#REF!,$A38,#REF!)</f>
        <v>#REF!</v>
      </c>
      <c r="AM38" s="44" t="e">
        <f>SUMIF(#REF!,$A38,#REF!)</f>
        <v>#REF!</v>
      </c>
      <c r="AN38" s="44" t="e">
        <f>SUMIF(#REF!,$A38,#REF!)</f>
        <v>#REF!</v>
      </c>
      <c r="AO38" s="44" t="e">
        <f>SUMIF(#REF!,$A38,#REF!)</f>
        <v>#REF!</v>
      </c>
    </row>
    <row r="39" spans="1:42" x14ac:dyDescent="0.25">
      <c r="A39" s="42">
        <v>150001</v>
      </c>
      <c r="B39" s="43" t="s">
        <v>859</v>
      </c>
      <c r="C39" s="44" t="e">
        <f t="shared" si="19"/>
        <v>#REF!</v>
      </c>
      <c r="D39" s="44" t="e">
        <f t="shared" si="20"/>
        <v>#REF!</v>
      </c>
      <c r="E39" s="44" t="e">
        <f t="shared" si="21"/>
        <v>#REF!</v>
      </c>
      <c r="F39" s="44" t="e">
        <f t="shared" si="22"/>
        <v>#REF!</v>
      </c>
      <c r="G39" s="44" t="e">
        <f t="shared" si="23"/>
        <v>#REF!</v>
      </c>
      <c r="H39" s="44" t="e">
        <f t="shared" si="24"/>
        <v>#REF!</v>
      </c>
      <c r="I39" s="44" t="e">
        <f t="shared" si="25"/>
        <v>#REF!</v>
      </c>
      <c r="J39" s="44" t="e">
        <f t="shared" si="26"/>
        <v>#REF!</v>
      </c>
      <c r="K39" s="44" t="e">
        <f t="shared" si="27"/>
        <v>#REF!</v>
      </c>
      <c r="L39" s="44" t="e">
        <f t="shared" si="28"/>
        <v>#REF!</v>
      </c>
      <c r="M39" s="44" t="e">
        <f t="shared" si="29"/>
        <v>#REF!</v>
      </c>
      <c r="N39" s="44">
        <f t="shared" si="30"/>
        <v>0</v>
      </c>
      <c r="Q39" s="44" t="e">
        <f>SUMIF(#REF!,$A39,#REF!)</f>
        <v>#REF!</v>
      </c>
      <c r="R39" s="44">
        <f>SUMIF(ALIF_Y2014!$A:$A,$A39,ALIF_Y2014!$F:$F)</f>
        <v>584170.47900000005</v>
      </c>
      <c r="S39" s="44">
        <f>SUMIF(ALIF_Y2015!$A:$A,$A39,ALIF_Y2015!$F:$F)</f>
        <v>456284.47899999999</v>
      </c>
      <c r="T39" s="44">
        <f>SUMIF(ALIF_Y2016!$A:$A,$A39,ALIF_Y2016!$F:$F)</f>
        <v>420934.68</v>
      </c>
      <c r="U39" s="44">
        <f>SUMIF(ALIF_Y2017!$A:$A,$A39,ALIF_Y2017!$F:$F)</f>
        <v>43750</v>
      </c>
      <c r="V39" s="44">
        <f>SUMIF(ALIF_Y2018!$A:$A,$A39,ALIF_Y2018!$F:$F)</f>
        <v>383368</v>
      </c>
      <c r="W39" s="44">
        <f>SUMIF(ALIF_Y2019!$A:$A,$A39,ALIF_Y2019!$F:$F)</f>
        <v>516445.74</v>
      </c>
      <c r="X39" s="44">
        <f>SUMIF(ALIF_Y2020!$A:$A,$A39,ALIF_Y2020!$F:$F)</f>
        <v>161280</v>
      </c>
      <c r="Y39" s="44">
        <f>SUMIF(ALIF_Y2021!$A:$A,$A39,ALIF_Y2021!$F:$F)</f>
        <v>37250</v>
      </c>
      <c r="Z39" s="44">
        <f>SUMIF(ALIF_Y2022!$A:$A,$A39,ALIF_Y2022!$F:$F)</f>
        <v>19000.5</v>
      </c>
      <c r="AA39" s="44">
        <f>SUMIF(ALIF_Y2023!$A:$A,$A39,ALIF_Y2023!$F:$F)</f>
        <v>131188.177</v>
      </c>
      <c r="AE39" s="44" t="e">
        <f>SUMIF(#REF!,$A39,#REF!)</f>
        <v>#REF!</v>
      </c>
      <c r="AF39" s="44" t="e">
        <f>SUMIF(#REF!,$A39,#REF!)</f>
        <v>#REF!</v>
      </c>
      <c r="AG39" s="44" t="e">
        <f>SUMIF(#REF!,$A39,#REF!)</f>
        <v>#REF!</v>
      </c>
      <c r="AH39" s="44" t="e">
        <f>SUMIF(#REF!,$A39,#REF!)</f>
        <v>#REF!</v>
      </c>
      <c r="AI39" s="44" t="e">
        <f>SUMIF(#REF!,$A39,#REF!)</f>
        <v>#REF!</v>
      </c>
      <c r="AJ39" s="44" t="e">
        <f>SUMIF(#REF!,$A39,#REF!)</f>
        <v>#REF!</v>
      </c>
      <c r="AK39" s="44" t="e">
        <f>SUMIF(#REF!,$A39,#REF!)</f>
        <v>#REF!</v>
      </c>
      <c r="AL39" s="44" t="e">
        <f>SUMIF(#REF!,$A39,#REF!)</f>
        <v>#REF!</v>
      </c>
      <c r="AM39" s="44" t="e">
        <f>SUMIF(#REF!,$A39,#REF!)</f>
        <v>#REF!</v>
      </c>
      <c r="AN39" s="44" t="e">
        <f>SUMIF(#REF!,$A39,#REF!)</f>
        <v>#REF!</v>
      </c>
      <c r="AO39" s="44" t="e">
        <f>SUMIF(#REF!,$A39,#REF!)</f>
        <v>#REF!</v>
      </c>
    </row>
    <row r="40" spans="1:42" x14ac:dyDescent="0.25">
      <c r="A40" s="42">
        <v>170005</v>
      </c>
      <c r="B40" s="43" t="s">
        <v>867</v>
      </c>
      <c r="C40" s="44" t="e">
        <f t="shared" si="19"/>
        <v>#REF!</v>
      </c>
      <c r="D40" s="44" t="e">
        <f t="shared" si="20"/>
        <v>#REF!</v>
      </c>
      <c r="E40" s="44" t="e">
        <f t="shared" si="21"/>
        <v>#REF!</v>
      </c>
      <c r="F40" s="44" t="e">
        <f t="shared" si="22"/>
        <v>#REF!</v>
      </c>
      <c r="G40" s="44" t="e">
        <f t="shared" si="23"/>
        <v>#REF!</v>
      </c>
      <c r="H40" s="44" t="e">
        <f t="shared" si="24"/>
        <v>#REF!</v>
      </c>
      <c r="I40" s="44" t="e">
        <f t="shared" si="25"/>
        <v>#REF!</v>
      </c>
      <c r="J40" s="44" t="e">
        <f t="shared" si="26"/>
        <v>#REF!</v>
      </c>
      <c r="K40" s="44" t="e">
        <f t="shared" si="27"/>
        <v>#REF!</v>
      </c>
      <c r="L40" s="44" t="e">
        <f t="shared" si="28"/>
        <v>#REF!</v>
      </c>
      <c r="M40" s="44" t="e">
        <f t="shared" si="29"/>
        <v>#REF!</v>
      </c>
      <c r="N40" s="44">
        <f t="shared" si="30"/>
        <v>0</v>
      </c>
      <c r="Q40" s="44" t="e">
        <f>SUMIF(#REF!,$A40,#REF!)</f>
        <v>#REF!</v>
      </c>
      <c r="R40" s="44">
        <f>SUMIF(ALIF_Y2014!$A:$A,$A40,ALIF_Y2014!$F:$F)</f>
        <v>0</v>
      </c>
      <c r="S40" s="44">
        <f>SUMIF(ALIF_Y2015!$A:$A,$A40,ALIF_Y2015!$F:$F)</f>
        <v>0</v>
      </c>
      <c r="T40" s="44">
        <f>SUMIF(ALIF_Y2016!$A:$A,$A40,ALIF_Y2016!$F:$F)</f>
        <v>0</v>
      </c>
      <c r="U40" s="44">
        <f>SUMIF(ALIF_Y2017!$A:$A,$A40,ALIF_Y2017!$F:$F)</f>
        <v>0</v>
      </c>
      <c r="V40" s="44">
        <f>SUMIF(ALIF_Y2018!$A:$A,$A40,ALIF_Y2018!$F:$F)</f>
        <v>0</v>
      </c>
      <c r="W40" s="44">
        <f>SUMIF(ALIF_Y2019!$A:$A,$A40,ALIF_Y2019!$F:$F)</f>
        <v>0</v>
      </c>
      <c r="X40" s="44">
        <f>SUMIF(ALIF_Y2020!$A:$A,$A40,ALIF_Y2020!$F:$F)</f>
        <v>0</v>
      </c>
      <c r="Y40" s="44">
        <f>SUMIF(ALIF_Y2021!$A:$A,$A40,ALIF_Y2021!$F:$F)</f>
        <v>0</v>
      </c>
      <c r="Z40" s="44">
        <f>SUMIF(ALIF_Y2022!$A:$A,$A40,ALIF_Y2022!$F:$F)</f>
        <v>0</v>
      </c>
      <c r="AA40" s="44">
        <f>SUMIF(ALIF_Y2023!$A:$A,$A40,ALIF_Y2023!$F:$F)</f>
        <v>0</v>
      </c>
      <c r="AE40" s="44" t="e">
        <f>SUMIF(#REF!,$A40,#REF!)</f>
        <v>#REF!</v>
      </c>
      <c r="AF40" s="44" t="e">
        <f>SUMIF(#REF!,$A40,#REF!)</f>
        <v>#REF!</v>
      </c>
      <c r="AG40" s="44" t="e">
        <f>SUMIF(#REF!,$A40,#REF!)</f>
        <v>#REF!</v>
      </c>
      <c r="AH40" s="44" t="e">
        <f>SUMIF(#REF!,$A40,#REF!)</f>
        <v>#REF!</v>
      </c>
      <c r="AI40" s="44" t="e">
        <f>SUMIF(#REF!,$A40,#REF!)</f>
        <v>#REF!</v>
      </c>
      <c r="AJ40" s="44" t="e">
        <f>SUMIF(#REF!,$A40,#REF!)</f>
        <v>#REF!</v>
      </c>
      <c r="AK40" s="44" t="e">
        <f>SUMIF(#REF!,$A40,#REF!)</f>
        <v>#REF!</v>
      </c>
      <c r="AL40" s="44" t="e">
        <f>SUMIF(#REF!,$A40,#REF!)</f>
        <v>#REF!</v>
      </c>
      <c r="AM40" s="44" t="e">
        <f>SUMIF(#REF!,$A40,#REF!)</f>
        <v>#REF!</v>
      </c>
      <c r="AN40" s="44" t="e">
        <f>SUMIF(#REF!,$A40,#REF!)</f>
        <v>#REF!</v>
      </c>
      <c r="AO40" s="44" t="e">
        <f>SUMIF(#REF!,$A40,#REF!)</f>
        <v>#REF!</v>
      </c>
    </row>
    <row r="41" spans="1:42" x14ac:dyDescent="0.25">
      <c r="A41" s="42">
        <v>170006</v>
      </c>
      <c r="B41" s="43" t="s">
        <v>868</v>
      </c>
      <c r="C41" s="44" t="e">
        <f t="shared" si="19"/>
        <v>#REF!</v>
      </c>
      <c r="D41" s="44" t="e">
        <f t="shared" si="20"/>
        <v>#REF!</v>
      </c>
      <c r="E41" s="44" t="e">
        <f t="shared" si="21"/>
        <v>#REF!</v>
      </c>
      <c r="F41" s="44" t="e">
        <f t="shared" si="22"/>
        <v>#REF!</v>
      </c>
      <c r="G41" s="44" t="e">
        <f t="shared" si="23"/>
        <v>#REF!</v>
      </c>
      <c r="H41" s="44" t="e">
        <f t="shared" si="24"/>
        <v>#REF!</v>
      </c>
      <c r="I41" s="44" t="e">
        <f t="shared" si="25"/>
        <v>#REF!</v>
      </c>
      <c r="J41" s="44" t="e">
        <f t="shared" si="26"/>
        <v>#REF!</v>
      </c>
      <c r="K41" s="44" t="e">
        <f t="shared" si="27"/>
        <v>#REF!</v>
      </c>
      <c r="L41" s="44" t="e">
        <f t="shared" si="28"/>
        <v>#REF!</v>
      </c>
      <c r="M41" s="44" t="e">
        <f t="shared" si="29"/>
        <v>#REF!</v>
      </c>
      <c r="N41" s="44">
        <f t="shared" si="30"/>
        <v>0</v>
      </c>
      <c r="Q41" s="44" t="e">
        <f>SUMIF(#REF!,$A41,#REF!)</f>
        <v>#REF!</v>
      </c>
      <c r="R41" s="44">
        <f>SUMIF(ALIF_Y2014!$A:$A,$A41,ALIF_Y2014!$F:$F)</f>
        <v>190719</v>
      </c>
      <c r="S41" s="44">
        <f>SUMIF(ALIF_Y2015!$A:$A,$A41,ALIF_Y2015!$F:$F)</f>
        <v>453316.30099999998</v>
      </c>
      <c r="T41" s="44">
        <f>SUMIF(ALIF_Y2016!$A:$A,$A41,ALIF_Y2016!$F:$F)</f>
        <v>971548.60900000005</v>
      </c>
      <c r="U41" s="44">
        <f>SUMIF(ALIF_Y2017!$A:$A,$A41,ALIF_Y2017!$F:$F)</f>
        <v>0</v>
      </c>
      <c r="V41" s="44">
        <f>SUMIF(ALIF_Y2018!$A:$A,$A41,ALIF_Y2018!$F:$F)</f>
        <v>0</v>
      </c>
      <c r="W41" s="44">
        <f>SUMIF(ALIF_Y2019!$A:$A,$A41,ALIF_Y2019!$F:$F)</f>
        <v>0</v>
      </c>
      <c r="X41" s="44">
        <f>SUMIF(ALIF_Y2020!$A:$A,$A41,ALIF_Y2020!$F:$F)</f>
        <v>0</v>
      </c>
      <c r="Y41" s="44">
        <f>SUMIF(ALIF_Y2021!$A:$A,$A41,ALIF_Y2021!$F:$F)</f>
        <v>1240226.54</v>
      </c>
      <c r="Z41" s="44">
        <f>SUMIF(ALIF_Y2022!$A:$A,$A41,ALIF_Y2022!$F:$F)</f>
        <v>18329.419999999998</v>
      </c>
      <c r="AA41" s="44">
        <f>SUMIF(ALIF_Y2023!$A:$A,$A41,ALIF_Y2023!$F:$F)</f>
        <v>0</v>
      </c>
      <c r="AE41" s="44" t="e">
        <f>SUMIF(#REF!,$A41,#REF!)</f>
        <v>#REF!</v>
      </c>
      <c r="AF41" s="44" t="e">
        <f>SUMIF(#REF!,$A41,#REF!)</f>
        <v>#REF!</v>
      </c>
      <c r="AG41" s="44" t="e">
        <f>SUMIF(#REF!,$A41,#REF!)</f>
        <v>#REF!</v>
      </c>
      <c r="AH41" s="44" t="e">
        <f>SUMIF(#REF!,$A41,#REF!)</f>
        <v>#REF!</v>
      </c>
      <c r="AI41" s="44" t="e">
        <f>SUMIF(#REF!,$A41,#REF!)</f>
        <v>#REF!</v>
      </c>
      <c r="AJ41" s="44" t="e">
        <f>SUMIF(#REF!,$A41,#REF!)</f>
        <v>#REF!</v>
      </c>
      <c r="AK41" s="44" t="e">
        <f>SUMIF(#REF!,$A41,#REF!)</f>
        <v>#REF!</v>
      </c>
      <c r="AL41" s="44" t="e">
        <f>SUMIF(#REF!,$A41,#REF!)</f>
        <v>#REF!</v>
      </c>
      <c r="AM41" s="44" t="e">
        <f>SUMIF(#REF!,$A41,#REF!)</f>
        <v>#REF!</v>
      </c>
      <c r="AN41" s="44" t="e">
        <f>SUMIF(#REF!,$A41,#REF!)</f>
        <v>#REF!</v>
      </c>
      <c r="AO41" s="44" t="e">
        <f>SUMIF(#REF!,$A41,#REF!)</f>
        <v>#REF!</v>
      </c>
    </row>
    <row r="42" spans="1:42" x14ac:dyDescent="0.25">
      <c r="A42" s="42">
        <v>170007</v>
      </c>
      <c r="B42" s="43" t="s">
        <v>869</v>
      </c>
      <c r="C42" s="44" t="e">
        <f t="shared" si="19"/>
        <v>#REF!</v>
      </c>
      <c r="D42" s="44" t="e">
        <f t="shared" si="20"/>
        <v>#REF!</v>
      </c>
      <c r="E42" s="44" t="e">
        <f t="shared" si="21"/>
        <v>#REF!</v>
      </c>
      <c r="F42" s="44" t="e">
        <f t="shared" si="22"/>
        <v>#REF!</v>
      </c>
      <c r="G42" s="44" t="e">
        <f t="shared" si="23"/>
        <v>#REF!</v>
      </c>
      <c r="H42" s="44" t="e">
        <f t="shared" si="24"/>
        <v>#REF!</v>
      </c>
      <c r="I42" s="44" t="e">
        <f t="shared" si="25"/>
        <v>#REF!</v>
      </c>
      <c r="J42" s="44" t="e">
        <f t="shared" si="26"/>
        <v>#REF!</v>
      </c>
      <c r="K42" s="44" t="e">
        <f t="shared" si="27"/>
        <v>#REF!</v>
      </c>
      <c r="L42" s="44" t="e">
        <f t="shared" si="28"/>
        <v>#REF!</v>
      </c>
      <c r="M42" s="44" t="e">
        <f t="shared" si="29"/>
        <v>#REF!</v>
      </c>
      <c r="N42" s="44">
        <f t="shared" si="30"/>
        <v>0</v>
      </c>
      <c r="Q42" s="44" t="e">
        <f>SUMIF(#REF!,$A42,#REF!)</f>
        <v>#REF!</v>
      </c>
      <c r="R42" s="44">
        <f>SUMIF(ALIF_Y2014!$A:$A,$A42,ALIF_Y2014!$F:$F)</f>
        <v>1274692.58</v>
      </c>
      <c r="S42" s="44">
        <f>SUMIF(ALIF_Y2015!$A:$A,$A42,ALIF_Y2015!$F:$F)</f>
        <v>319948.95400000003</v>
      </c>
      <c r="T42" s="44">
        <f>SUMIF(ALIF_Y2016!$A:$A,$A42,ALIF_Y2016!$F:$F)</f>
        <v>0</v>
      </c>
      <c r="U42" s="44">
        <f>SUMIF(ALIF_Y2017!$A:$A,$A42,ALIF_Y2017!$F:$F)</f>
        <v>0</v>
      </c>
      <c r="V42" s="44">
        <f>SUMIF(ALIF_Y2018!$A:$A,$A42,ALIF_Y2018!$F:$F)</f>
        <v>0</v>
      </c>
      <c r="W42" s="44">
        <f>SUMIF(ALIF_Y2019!$A:$A,$A42,ALIF_Y2019!$F:$F)</f>
        <v>0</v>
      </c>
      <c r="X42" s="44">
        <f>SUMIF(ALIF_Y2020!$A:$A,$A42,ALIF_Y2020!$F:$F)</f>
        <v>0</v>
      </c>
      <c r="Y42" s="44">
        <f>SUMIF(ALIF_Y2021!$A:$A,$A42,ALIF_Y2021!$F:$F)</f>
        <v>0</v>
      </c>
      <c r="Z42" s="44">
        <f>SUMIF(ALIF_Y2022!$A:$A,$A42,ALIF_Y2022!$F:$F)</f>
        <v>0</v>
      </c>
      <c r="AA42" s="44">
        <f>SUMIF(ALIF_Y2023!$A:$A,$A42,ALIF_Y2023!$F:$F)</f>
        <v>0</v>
      </c>
      <c r="AE42" s="44" t="e">
        <f>SUMIF(#REF!,$A42,#REF!)</f>
        <v>#REF!</v>
      </c>
      <c r="AF42" s="44" t="e">
        <f>SUMIF(#REF!,$A42,#REF!)</f>
        <v>#REF!</v>
      </c>
      <c r="AG42" s="44" t="e">
        <f>SUMIF(#REF!,$A42,#REF!)</f>
        <v>#REF!</v>
      </c>
      <c r="AH42" s="44" t="e">
        <f>SUMIF(#REF!,$A42,#REF!)</f>
        <v>#REF!</v>
      </c>
      <c r="AI42" s="44" t="e">
        <f>SUMIF(#REF!,$A42,#REF!)</f>
        <v>#REF!</v>
      </c>
      <c r="AJ42" s="44" t="e">
        <f>SUMIF(#REF!,$A42,#REF!)</f>
        <v>#REF!</v>
      </c>
      <c r="AK42" s="44" t="e">
        <f>SUMIF(#REF!,$A42,#REF!)</f>
        <v>#REF!</v>
      </c>
      <c r="AL42" s="44" t="e">
        <f>SUMIF(#REF!,$A42,#REF!)</f>
        <v>#REF!</v>
      </c>
      <c r="AM42" s="44" t="e">
        <f>SUMIF(#REF!,$A42,#REF!)</f>
        <v>#REF!</v>
      </c>
      <c r="AN42" s="44" t="e">
        <f>SUMIF(#REF!,$A42,#REF!)</f>
        <v>#REF!</v>
      </c>
      <c r="AO42" s="44" t="e">
        <f>SUMIF(#REF!,$A42,#REF!)</f>
        <v>#REF!</v>
      </c>
    </row>
    <row r="43" spans="1:42" x14ac:dyDescent="0.25">
      <c r="A43" s="42">
        <v>170008</v>
      </c>
      <c r="B43" s="43" t="s">
        <v>870</v>
      </c>
      <c r="C43" s="44" t="e">
        <f t="shared" si="19"/>
        <v>#REF!</v>
      </c>
      <c r="D43" s="44" t="e">
        <f t="shared" si="20"/>
        <v>#REF!</v>
      </c>
      <c r="E43" s="44" t="e">
        <f t="shared" si="21"/>
        <v>#REF!</v>
      </c>
      <c r="F43" s="44" t="e">
        <f t="shared" si="22"/>
        <v>#REF!</v>
      </c>
      <c r="G43" s="44" t="e">
        <f t="shared" si="23"/>
        <v>#REF!</v>
      </c>
      <c r="H43" s="44" t="e">
        <f t="shared" si="24"/>
        <v>#REF!</v>
      </c>
      <c r="I43" s="44" t="e">
        <f t="shared" si="25"/>
        <v>#REF!</v>
      </c>
      <c r="J43" s="44" t="e">
        <f t="shared" si="26"/>
        <v>#REF!</v>
      </c>
      <c r="K43" s="44" t="e">
        <f t="shared" si="27"/>
        <v>#REF!</v>
      </c>
      <c r="L43" s="44" t="e">
        <f t="shared" si="28"/>
        <v>#REF!</v>
      </c>
      <c r="M43" s="44" t="e">
        <f t="shared" si="29"/>
        <v>#REF!</v>
      </c>
      <c r="N43" s="44">
        <f t="shared" si="30"/>
        <v>0</v>
      </c>
      <c r="Q43" s="44" t="e">
        <f>SUMIF(#REF!,$A43,#REF!)</f>
        <v>#REF!</v>
      </c>
      <c r="R43" s="44">
        <f>SUMIF(ALIF_Y2014!$A:$A,$A43,ALIF_Y2014!$F:$F)</f>
        <v>0</v>
      </c>
      <c r="S43" s="44">
        <f>SUMIF(ALIF_Y2015!$A:$A,$A43,ALIF_Y2015!$F:$F)</f>
        <v>-2E-3</v>
      </c>
      <c r="T43" s="44">
        <f>SUMIF(ALIF_Y2016!$A:$A,$A43,ALIF_Y2016!$F:$F)</f>
        <v>0</v>
      </c>
      <c r="U43" s="44">
        <f>SUMIF(ALIF_Y2017!$A:$A,$A43,ALIF_Y2017!$F:$F)</f>
        <v>0</v>
      </c>
      <c r="V43" s="44">
        <f>SUMIF(ALIF_Y2018!$A:$A,$A43,ALIF_Y2018!$F:$F)</f>
        <v>0</v>
      </c>
      <c r="W43" s="44">
        <f>SUMIF(ALIF_Y2019!$A:$A,$A43,ALIF_Y2019!$F:$F)</f>
        <v>75267.740000000005</v>
      </c>
      <c r="X43" s="44">
        <f>SUMIF(ALIF_Y2020!$A:$A,$A43,ALIF_Y2020!$F:$F)</f>
        <v>0</v>
      </c>
      <c r="Y43" s="44">
        <f>SUMIF(ALIF_Y2021!$A:$A,$A43,ALIF_Y2021!$F:$F)</f>
        <v>402889.63</v>
      </c>
      <c r="Z43" s="44">
        <f>SUMIF(ALIF_Y2022!$A:$A,$A43,ALIF_Y2022!$F:$F)</f>
        <v>0</v>
      </c>
      <c r="AA43" s="44">
        <f>SUMIF(ALIF_Y2023!$A:$A,$A43,ALIF_Y2023!$F:$F)</f>
        <v>0</v>
      </c>
      <c r="AE43" s="44" t="e">
        <f>SUMIF(#REF!,$A43,#REF!)</f>
        <v>#REF!</v>
      </c>
      <c r="AF43" s="44" t="e">
        <f>SUMIF(#REF!,$A43,#REF!)</f>
        <v>#REF!</v>
      </c>
      <c r="AG43" s="44" t="e">
        <f>SUMIF(#REF!,$A43,#REF!)</f>
        <v>#REF!</v>
      </c>
      <c r="AH43" s="44" t="e">
        <f>SUMIF(#REF!,$A43,#REF!)</f>
        <v>#REF!</v>
      </c>
      <c r="AI43" s="44" t="e">
        <f>SUMIF(#REF!,$A43,#REF!)</f>
        <v>#REF!</v>
      </c>
      <c r="AJ43" s="44" t="e">
        <f>SUMIF(#REF!,$A43,#REF!)</f>
        <v>#REF!</v>
      </c>
      <c r="AK43" s="44" t="e">
        <f>SUMIF(#REF!,$A43,#REF!)</f>
        <v>#REF!</v>
      </c>
      <c r="AL43" s="44" t="e">
        <f>SUMIF(#REF!,$A43,#REF!)</f>
        <v>#REF!</v>
      </c>
      <c r="AM43" s="44" t="e">
        <f>SUMIF(#REF!,$A43,#REF!)</f>
        <v>#REF!</v>
      </c>
      <c r="AN43" s="44" t="e">
        <f>SUMIF(#REF!,$A43,#REF!)</f>
        <v>#REF!</v>
      </c>
      <c r="AO43" s="44" t="e">
        <f>SUMIF(#REF!,$A43,#REF!)</f>
        <v>#REF!</v>
      </c>
    </row>
    <row r="44" spans="1:42" x14ac:dyDescent="0.25">
      <c r="A44" s="42">
        <v>170009</v>
      </c>
      <c r="B44" s="43" t="s">
        <v>871</v>
      </c>
      <c r="C44" s="44" t="e">
        <f t="shared" si="19"/>
        <v>#REF!</v>
      </c>
      <c r="D44" s="44" t="e">
        <f t="shared" si="20"/>
        <v>#REF!</v>
      </c>
      <c r="E44" s="44" t="e">
        <f t="shared" si="21"/>
        <v>#REF!</v>
      </c>
      <c r="F44" s="44" t="e">
        <f t="shared" si="22"/>
        <v>#REF!</v>
      </c>
      <c r="G44" s="44" t="e">
        <f t="shared" si="23"/>
        <v>#REF!</v>
      </c>
      <c r="H44" s="44" t="e">
        <f t="shared" si="24"/>
        <v>#REF!</v>
      </c>
      <c r="I44" s="44" t="e">
        <f t="shared" si="25"/>
        <v>#REF!</v>
      </c>
      <c r="J44" s="44" t="e">
        <f t="shared" si="26"/>
        <v>#REF!</v>
      </c>
      <c r="K44" s="44" t="e">
        <f t="shared" si="27"/>
        <v>#REF!</v>
      </c>
      <c r="L44" s="44" t="e">
        <f t="shared" si="28"/>
        <v>#REF!</v>
      </c>
      <c r="M44" s="44" t="e">
        <f t="shared" si="29"/>
        <v>#REF!</v>
      </c>
      <c r="N44" s="44">
        <f t="shared" si="30"/>
        <v>0</v>
      </c>
      <c r="Q44" s="44" t="e">
        <f>SUMIF(#REF!,$A44,#REF!)</f>
        <v>#REF!</v>
      </c>
      <c r="R44" s="44">
        <f>SUMIF(ALIF_Y2014!$A:$A,$A44,ALIF_Y2014!$F:$F)</f>
        <v>120000.1</v>
      </c>
      <c r="S44" s="44">
        <f>SUMIF(ALIF_Y2015!$A:$A,$A44,ALIF_Y2015!$F:$F)</f>
        <v>94955</v>
      </c>
      <c r="T44" s="44">
        <f>SUMIF(ALIF_Y2016!$A:$A,$A44,ALIF_Y2016!$F:$F)</f>
        <v>59583</v>
      </c>
      <c r="U44" s="44">
        <f>SUMIF(ALIF_Y2017!$A:$A,$A44,ALIF_Y2017!$F:$F)</f>
        <v>34444.000999999997</v>
      </c>
      <c r="V44" s="44">
        <f>SUMIF(ALIF_Y2018!$A:$A,$A44,ALIF_Y2018!$F:$F)</f>
        <v>75235</v>
      </c>
      <c r="W44" s="44">
        <f>SUMIF(ALIF_Y2019!$A:$A,$A44,ALIF_Y2019!$F:$F)</f>
        <v>85513</v>
      </c>
      <c r="X44" s="44">
        <f>SUMIF(ALIF_Y2020!$A:$A,$A44,ALIF_Y2020!$F:$F)</f>
        <v>64609</v>
      </c>
      <c r="Y44" s="44">
        <f>SUMIF(ALIF_Y2021!$A:$A,$A44,ALIF_Y2021!$F:$F)</f>
        <v>33000</v>
      </c>
      <c r="Z44" s="44">
        <f>SUMIF(ALIF_Y2022!$A:$A,$A44,ALIF_Y2022!$F:$F)</f>
        <v>62777</v>
      </c>
      <c r="AA44" s="44">
        <f>SUMIF(ALIF_Y2023!$A:$A,$A44,ALIF_Y2023!$F:$F)</f>
        <v>60962</v>
      </c>
      <c r="AE44" s="44" t="e">
        <f>SUMIF(#REF!,$A44,#REF!)</f>
        <v>#REF!</v>
      </c>
      <c r="AF44" s="44" t="e">
        <f>SUMIF(#REF!,$A44,#REF!)</f>
        <v>#REF!</v>
      </c>
      <c r="AG44" s="44" t="e">
        <f>SUMIF(#REF!,$A44,#REF!)</f>
        <v>#REF!</v>
      </c>
      <c r="AH44" s="44" t="e">
        <f>SUMIF(#REF!,$A44,#REF!)</f>
        <v>#REF!</v>
      </c>
      <c r="AI44" s="44" t="e">
        <f>SUMIF(#REF!,$A44,#REF!)</f>
        <v>#REF!</v>
      </c>
      <c r="AJ44" s="44" t="e">
        <f>SUMIF(#REF!,$A44,#REF!)</f>
        <v>#REF!</v>
      </c>
      <c r="AK44" s="44" t="e">
        <f>SUMIF(#REF!,$A44,#REF!)</f>
        <v>#REF!</v>
      </c>
      <c r="AL44" s="44" t="e">
        <f>SUMIF(#REF!,$A44,#REF!)</f>
        <v>#REF!</v>
      </c>
      <c r="AM44" s="44" t="e">
        <f>SUMIF(#REF!,$A44,#REF!)</f>
        <v>#REF!</v>
      </c>
      <c r="AN44" s="44" t="e">
        <f>SUMIF(#REF!,$A44,#REF!)</f>
        <v>#REF!</v>
      </c>
      <c r="AO44" s="44" t="e">
        <f>SUMIF(#REF!,$A44,#REF!)</f>
        <v>#REF!</v>
      </c>
    </row>
    <row r="45" spans="1:42" x14ac:dyDescent="0.25">
      <c r="A45" s="42">
        <v>170010</v>
      </c>
      <c r="B45" s="43" t="s">
        <v>872</v>
      </c>
      <c r="C45" s="44" t="e">
        <f t="shared" si="19"/>
        <v>#REF!</v>
      </c>
      <c r="D45" s="44" t="e">
        <f t="shared" si="20"/>
        <v>#REF!</v>
      </c>
      <c r="E45" s="44" t="e">
        <f t="shared" si="21"/>
        <v>#REF!</v>
      </c>
      <c r="F45" s="44" t="e">
        <f t="shared" si="22"/>
        <v>#REF!</v>
      </c>
      <c r="G45" s="44" t="e">
        <f t="shared" si="23"/>
        <v>#REF!</v>
      </c>
      <c r="H45" s="44" t="e">
        <f t="shared" si="24"/>
        <v>#REF!</v>
      </c>
      <c r="I45" s="44" t="e">
        <f t="shared" si="25"/>
        <v>#REF!</v>
      </c>
      <c r="J45" s="44" t="e">
        <f t="shared" si="26"/>
        <v>#REF!</v>
      </c>
      <c r="K45" s="44" t="e">
        <f t="shared" si="27"/>
        <v>#REF!</v>
      </c>
      <c r="L45" s="44" t="e">
        <f t="shared" si="28"/>
        <v>#REF!</v>
      </c>
      <c r="M45" s="44" t="e">
        <f t="shared" si="29"/>
        <v>#REF!</v>
      </c>
      <c r="N45" s="44">
        <f t="shared" si="30"/>
        <v>0</v>
      </c>
      <c r="Q45" s="44" t="e">
        <f>SUMIF(#REF!,$A45,#REF!)</f>
        <v>#REF!</v>
      </c>
      <c r="R45" s="44">
        <f>SUMIF(ALIF_Y2014!$A:$A,$A45,ALIF_Y2014!$F:$F)</f>
        <v>0</v>
      </c>
      <c r="S45" s="44">
        <f>SUMIF(ALIF_Y2015!$A:$A,$A45,ALIF_Y2015!$F:$F)</f>
        <v>0</v>
      </c>
      <c r="T45" s="44">
        <f>SUMIF(ALIF_Y2016!$A:$A,$A45,ALIF_Y2016!$F:$F)</f>
        <v>0</v>
      </c>
      <c r="U45" s="44">
        <f>SUMIF(ALIF_Y2017!$A:$A,$A45,ALIF_Y2017!$F:$F)</f>
        <v>0</v>
      </c>
      <c r="V45" s="44">
        <f>SUMIF(ALIF_Y2018!$A:$A,$A45,ALIF_Y2018!$F:$F)</f>
        <v>0</v>
      </c>
      <c r="W45" s="44">
        <f>SUMIF(ALIF_Y2019!$A:$A,$A45,ALIF_Y2019!$F:$F)</f>
        <v>0</v>
      </c>
      <c r="X45" s="44">
        <f>SUMIF(ALIF_Y2020!$A:$A,$A45,ALIF_Y2020!$F:$F)</f>
        <v>0</v>
      </c>
      <c r="Y45" s="44">
        <f>SUMIF(ALIF_Y2021!$A:$A,$A45,ALIF_Y2021!$F:$F)</f>
        <v>0</v>
      </c>
      <c r="Z45" s="44">
        <f>SUMIF(ALIF_Y2022!$A:$A,$A45,ALIF_Y2022!$F:$F)</f>
        <v>0</v>
      </c>
      <c r="AA45" s="44">
        <f>SUMIF(ALIF_Y2023!$A:$A,$A45,ALIF_Y2023!$F:$F)</f>
        <v>0</v>
      </c>
      <c r="AE45" s="44" t="e">
        <f>SUMIF(#REF!,$A45,#REF!)</f>
        <v>#REF!</v>
      </c>
      <c r="AF45" s="44" t="e">
        <f>SUMIF(#REF!,$A45,#REF!)</f>
        <v>#REF!</v>
      </c>
      <c r="AG45" s="44" t="e">
        <f>SUMIF(#REF!,$A45,#REF!)</f>
        <v>#REF!</v>
      </c>
      <c r="AH45" s="44" t="e">
        <f>SUMIF(#REF!,$A45,#REF!)</f>
        <v>#REF!</v>
      </c>
      <c r="AI45" s="44" t="e">
        <f>SUMIF(#REF!,$A45,#REF!)</f>
        <v>#REF!</v>
      </c>
      <c r="AJ45" s="44" t="e">
        <f>SUMIF(#REF!,$A45,#REF!)</f>
        <v>#REF!</v>
      </c>
      <c r="AK45" s="44" t="e">
        <f>SUMIF(#REF!,$A45,#REF!)</f>
        <v>#REF!</v>
      </c>
      <c r="AL45" s="44" t="e">
        <f>SUMIF(#REF!,$A45,#REF!)</f>
        <v>#REF!</v>
      </c>
      <c r="AM45" s="44" t="e">
        <f>SUMIF(#REF!,$A45,#REF!)</f>
        <v>#REF!</v>
      </c>
      <c r="AN45" s="44" t="e">
        <f>SUMIF(#REF!,$A45,#REF!)</f>
        <v>#REF!</v>
      </c>
      <c r="AO45" s="44" t="e">
        <f>SUMIF(#REF!,$A45,#REF!)</f>
        <v>#REF!</v>
      </c>
    </row>
    <row r="46" spans="1:42" x14ac:dyDescent="0.25">
      <c r="A46" s="42">
        <v>170011</v>
      </c>
      <c r="B46" s="43" t="s">
        <v>873</v>
      </c>
      <c r="C46" s="44" t="e">
        <f t="shared" si="19"/>
        <v>#REF!</v>
      </c>
      <c r="D46" s="44" t="e">
        <f t="shared" si="20"/>
        <v>#REF!</v>
      </c>
      <c r="E46" s="44" t="e">
        <f t="shared" si="21"/>
        <v>#REF!</v>
      </c>
      <c r="F46" s="44" t="e">
        <f t="shared" si="22"/>
        <v>#REF!</v>
      </c>
      <c r="G46" s="44" t="e">
        <f t="shared" si="23"/>
        <v>#REF!</v>
      </c>
      <c r="H46" s="44" t="e">
        <f t="shared" si="24"/>
        <v>#REF!</v>
      </c>
      <c r="I46" s="44" t="e">
        <f t="shared" si="25"/>
        <v>#REF!</v>
      </c>
      <c r="J46" s="44" t="e">
        <f t="shared" si="26"/>
        <v>#REF!</v>
      </c>
      <c r="K46" s="44" t="e">
        <f t="shared" si="27"/>
        <v>#REF!</v>
      </c>
      <c r="L46" s="44" t="e">
        <f t="shared" si="28"/>
        <v>#REF!</v>
      </c>
      <c r="M46" s="44" t="e">
        <f t="shared" si="29"/>
        <v>#REF!</v>
      </c>
      <c r="N46" s="44">
        <f t="shared" si="30"/>
        <v>0</v>
      </c>
      <c r="Q46" s="44" t="e">
        <f>SUMIF(#REF!,$A46,#REF!)</f>
        <v>#REF!</v>
      </c>
      <c r="R46" s="44">
        <f>SUMIF(ALIF_Y2014!$A:$A,$A46,ALIF_Y2014!$F:$F)</f>
        <v>0</v>
      </c>
      <c r="S46" s="44">
        <f>SUMIF(ALIF_Y2015!$A:$A,$A46,ALIF_Y2015!$F:$F)</f>
        <v>0</v>
      </c>
      <c r="T46" s="44">
        <f>SUMIF(ALIF_Y2016!$A:$A,$A46,ALIF_Y2016!$F:$F)</f>
        <v>0</v>
      </c>
      <c r="U46" s="44">
        <f>SUMIF(ALIF_Y2017!$A:$A,$A46,ALIF_Y2017!$F:$F)</f>
        <v>0</v>
      </c>
      <c r="V46" s="44">
        <f>SUMIF(ALIF_Y2018!$A:$A,$A46,ALIF_Y2018!$F:$F)</f>
        <v>175000</v>
      </c>
      <c r="W46" s="44">
        <f>SUMIF(ALIF_Y2019!$A:$A,$A46,ALIF_Y2019!$F:$F)</f>
        <v>1453882.8</v>
      </c>
      <c r="X46" s="44">
        <f>SUMIF(ALIF_Y2020!$A:$A,$A46,ALIF_Y2020!$F:$F)</f>
        <v>0</v>
      </c>
      <c r="Y46" s="44">
        <f>SUMIF(ALIF_Y2021!$A:$A,$A46,ALIF_Y2021!$F:$F)</f>
        <v>0</v>
      </c>
      <c r="Z46" s="44">
        <f>SUMIF(ALIF_Y2022!$A:$A,$A46,ALIF_Y2022!$F:$F)</f>
        <v>0</v>
      </c>
      <c r="AA46" s="44">
        <f>SUMIF(ALIF_Y2023!$A:$A,$A46,ALIF_Y2023!$F:$F)</f>
        <v>0</v>
      </c>
      <c r="AE46" s="44" t="e">
        <f>SUMIF(#REF!,$A46,#REF!)</f>
        <v>#REF!</v>
      </c>
      <c r="AF46" s="44" t="e">
        <f>SUMIF(#REF!,$A46,#REF!)</f>
        <v>#REF!</v>
      </c>
      <c r="AG46" s="44" t="e">
        <f>SUMIF(#REF!,$A46,#REF!)</f>
        <v>#REF!</v>
      </c>
      <c r="AH46" s="44" t="e">
        <f>SUMIF(#REF!,$A46,#REF!)</f>
        <v>#REF!</v>
      </c>
      <c r="AI46" s="44" t="e">
        <f>SUMIF(#REF!,$A46,#REF!)</f>
        <v>#REF!</v>
      </c>
      <c r="AJ46" s="44" t="e">
        <f>SUMIF(#REF!,$A46,#REF!)</f>
        <v>#REF!</v>
      </c>
      <c r="AK46" s="44" t="e">
        <f>SUMIF(#REF!,$A46,#REF!)</f>
        <v>#REF!</v>
      </c>
      <c r="AL46" s="44" t="e">
        <f>SUMIF(#REF!,$A46,#REF!)</f>
        <v>#REF!</v>
      </c>
      <c r="AM46" s="44" t="e">
        <f>SUMIF(#REF!,$A46,#REF!)</f>
        <v>#REF!</v>
      </c>
      <c r="AN46" s="44" t="e">
        <f>SUMIF(#REF!,$A46,#REF!)</f>
        <v>#REF!</v>
      </c>
      <c r="AO46" s="44" t="e">
        <f>SUMIF(#REF!,$A46,#REF!)</f>
        <v>#REF!</v>
      </c>
    </row>
    <row r="47" spans="1:42" x14ac:dyDescent="0.25">
      <c r="A47" s="42">
        <v>170012</v>
      </c>
      <c r="B47" s="43" t="s">
        <v>874</v>
      </c>
      <c r="C47" s="44" t="e">
        <f t="shared" si="19"/>
        <v>#REF!</v>
      </c>
      <c r="D47" s="44" t="e">
        <f t="shared" si="20"/>
        <v>#REF!</v>
      </c>
      <c r="E47" s="44" t="e">
        <f t="shared" si="21"/>
        <v>#REF!</v>
      </c>
      <c r="F47" s="44" t="e">
        <f t="shared" si="22"/>
        <v>#REF!</v>
      </c>
      <c r="G47" s="44" t="e">
        <f t="shared" si="23"/>
        <v>#REF!</v>
      </c>
      <c r="H47" s="44" t="e">
        <f t="shared" si="24"/>
        <v>#REF!</v>
      </c>
      <c r="I47" s="44" t="e">
        <f t="shared" si="25"/>
        <v>#REF!</v>
      </c>
      <c r="J47" s="44" t="e">
        <f t="shared" si="26"/>
        <v>#REF!</v>
      </c>
      <c r="K47" s="44" t="e">
        <f t="shared" si="27"/>
        <v>#REF!</v>
      </c>
      <c r="L47" s="44" t="e">
        <f t="shared" si="28"/>
        <v>#REF!</v>
      </c>
      <c r="M47" s="44" t="e">
        <f t="shared" si="29"/>
        <v>#REF!</v>
      </c>
      <c r="N47" s="44">
        <f t="shared" si="30"/>
        <v>0</v>
      </c>
      <c r="Q47" s="44" t="e">
        <f>SUMIF(#REF!,$A47,#REF!)</f>
        <v>#REF!</v>
      </c>
      <c r="R47" s="44">
        <f>SUMIF(ALIF_Y2014!$A:$A,$A47,ALIF_Y2014!$F:$F)</f>
        <v>0</v>
      </c>
      <c r="S47" s="44">
        <f>SUMIF(ALIF_Y2015!$A:$A,$A47,ALIF_Y2015!$F:$F)</f>
        <v>0</v>
      </c>
      <c r="T47" s="44">
        <f>SUMIF(ALIF_Y2016!$A:$A,$A47,ALIF_Y2016!$F:$F)</f>
        <v>0</v>
      </c>
      <c r="U47" s="44">
        <f>SUMIF(ALIF_Y2017!$A:$A,$A47,ALIF_Y2017!$F:$F)</f>
        <v>0</v>
      </c>
      <c r="V47" s="44">
        <f>SUMIF(ALIF_Y2018!$A:$A,$A47,ALIF_Y2018!$F:$F)</f>
        <v>0</v>
      </c>
      <c r="W47" s="44">
        <f>SUMIF(ALIF_Y2019!$A:$A,$A47,ALIF_Y2019!$F:$F)</f>
        <v>214300</v>
      </c>
      <c r="X47" s="44">
        <f>SUMIF(ALIF_Y2020!$A:$A,$A47,ALIF_Y2020!$F:$F)</f>
        <v>171440</v>
      </c>
      <c r="Y47" s="44">
        <f>SUMIF(ALIF_Y2021!$A:$A,$A47,ALIF_Y2021!$F:$F)</f>
        <v>128580</v>
      </c>
      <c r="Z47" s="44">
        <f>SUMIF(ALIF_Y2022!$A:$A,$A47,ALIF_Y2022!$F:$F)</f>
        <v>-6.0000000000000001E-3</v>
      </c>
      <c r="AA47" s="44">
        <f>SUMIF(ALIF_Y2023!$A:$A,$A47,ALIF_Y2023!$F:$F)</f>
        <v>0</v>
      </c>
      <c r="AE47" s="44" t="e">
        <f>SUMIF(#REF!,$A47,#REF!)</f>
        <v>#REF!</v>
      </c>
      <c r="AF47" s="44" t="e">
        <f>SUMIF(#REF!,$A47,#REF!)</f>
        <v>#REF!</v>
      </c>
      <c r="AG47" s="44" t="e">
        <f>SUMIF(#REF!,$A47,#REF!)</f>
        <v>#REF!</v>
      </c>
      <c r="AH47" s="44" t="e">
        <f>SUMIF(#REF!,$A47,#REF!)</f>
        <v>#REF!</v>
      </c>
      <c r="AI47" s="44" t="e">
        <f>SUMIF(#REF!,$A47,#REF!)</f>
        <v>#REF!</v>
      </c>
      <c r="AJ47" s="44" t="e">
        <f>SUMIF(#REF!,$A47,#REF!)</f>
        <v>#REF!</v>
      </c>
      <c r="AK47" s="44" t="e">
        <f>SUMIF(#REF!,$A47,#REF!)</f>
        <v>#REF!</v>
      </c>
      <c r="AL47" s="44" t="e">
        <f>SUMIF(#REF!,$A47,#REF!)</f>
        <v>#REF!</v>
      </c>
      <c r="AM47" s="44" t="e">
        <f>SUMIF(#REF!,$A47,#REF!)</f>
        <v>#REF!</v>
      </c>
      <c r="AN47" s="44" t="e">
        <f>SUMIF(#REF!,$A47,#REF!)</f>
        <v>#REF!</v>
      </c>
      <c r="AO47" s="44" t="e">
        <f>SUMIF(#REF!,$A47,#REF!)</f>
        <v>#REF!</v>
      </c>
    </row>
    <row r="48" spans="1:42" x14ac:dyDescent="0.25">
      <c r="A48" s="42">
        <v>170013</v>
      </c>
      <c r="B48" s="43" t="s">
        <v>875</v>
      </c>
      <c r="C48" s="44" t="e">
        <f t="shared" si="19"/>
        <v>#REF!</v>
      </c>
      <c r="D48" s="44" t="e">
        <f t="shared" si="20"/>
        <v>#REF!</v>
      </c>
      <c r="E48" s="44" t="e">
        <f t="shared" si="21"/>
        <v>#REF!</v>
      </c>
      <c r="F48" s="44" t="e">
        <f t="shared" si="22"/>
        <v>#REF!</v>
      </c>
      <c r="G48" s="44" t="e">
        <f t="shared" si="23"/>
        <v>#REF!</v>
      </c>
      <c r="H48" s="44" t="e">
        <f t="shared" si="24"/>
        <v>#REF!</v>
      </c>
      <c r="I48" s="44" t="e">
        <f t="shared" si="25"/>
        <v>#REF!</v>
      </c>
      <c r="J48" s="44" t="e">
        <f t="shared" si="26"/>
        <v>#REF!</v>
      </c>
      <c r="K48" s="44" t="e">
        <f t="shared" si="27"/>
        <v>#REF!</v>
      </c>
      <c r="L48" s="44" t="e">
        <f t="shared" si="28"/>
        <v>#REF!</v>
      </c>
      <c r="M48" s="44" t="e">
        <f t="shared" si="29"/>
        <v>#REF!</v>
      </c>
      <c r="N48" s="44">
        <f t="shared" si="30"/>
        <v>0</v>
      </c>
      <c r="Q48" s="44" t="e">
        <f>SUMIF(#REF!,$A48,#REF!)</f>
        <v>#REF!</v>
      </c>
      <c r="R48" s="44">
        <f>SUMIF(ALIF_Y2014!$A:$A,$A48,ALIF_Y2014!$F:$F)</f>
        <v>59000</v>
      </c>
      <c r="S48" s="44">
        <f>SUMIF(ALIF_Y2015!$A:$A,$A48,ALIF_Y2015!$F:$F)</f>
        <v>59000</v>
      </c>
      <c r="T48" s="44">
        <f>SUMIF(ALIF_Y2016!$A:$A,$A48,ALIF_Y2016!$F:$F)</f>
        <v>59000</v>
      </c>
      <c r="U48" s="44">
        <f>SUMIF(ALIF_Y2017!$A:$A,$A48,ALIF_Y2017!$F:$F)</f>
        <v>59000</v>
      </c>
      <c r="V48" s="44">
        <f>SUMIF(ALIF_Y2018!$A:$A,$A48,ALIF_Y2018!$F:$F)</f>
        <v>64000</v>
      </c>
      <c r="W48" s="44">
        <f>SUMIF(ALIF_Y2019!$A:$A,$A48,ALIF_Y2019!$F:$F)</f>
        <v>67999.599000000002</v>
      </c>
      <c r="X48" s="44">
        <f>SUMIF(ALIF_Y2020!$A:$A,$A48,ALIF_Y2020!$F:$F)</f>
        <v>67999.599000000002</v>
      </c>
      <c r="Y48" s="44">
        <f>SUMIF(ALIF_Y2021!$A:$A,$A48,ALIF_Y2021!$F:$F)</f>
        <v>67999.599000000002</v>
      </c>
      <c r="Z48" s="44">
        <f>SUMIF(ALIF_Y2022!$A:$A,$A48,ALIF_Y2022!$F:$F)</f>
        <v>0</v>
      </c>
      <c r="AA48" s="44">
        <f>SUMIF(ALIF_Y2023!$A:$A,$A48,ALIF_Y2023!$F:$F)</f>
        <v>0</v>
      </c>
      <c r="AE48" s="44" t="e">
        <f>SUMIF(#REF!,$A48,#REF!)</f>
        <v>#REF!</v>
      </c>
      <c r="AF48" s="44" t="e">
        <f>SUMIF(#REF!,$A48,#REF!)</f>
        <v>#REF!</v>
      </c>
      <c r="AG48" s="44" t="e">
        <f>SUMIF(#REF!,$A48,#REF!)</f>
        <v>#REF!</v>
      </c>
      <c r="AH48" s="44" t="e">
        <f>SUMIF(#REF!,$A48,#REF!)</f>
        <v>#REF!</v>
      </c>
      <c r="AI48" s="44" t="e">
        <f>SUMIF(#REF!,$A48,#REF!)</f>
        <v>#REF!</v>
      </c>
      <c r="AJ48" s="44" t="e">
        <f>SUMIF(#REF!,$A48,#REF!)</f>
        <v>#REF!</v>
      </c>
      <c r="AK48" s="44" t="e">
        <f>SUMIF(#REF!,$A48,#REF!)</f>
        <v>#REF!</v>
      </c>
      <c r="AL48" s="44" t="e">
        <f>SUMIF(#REF!,$A48,#REF!)</f>
        <v>#REF!</v>
      </c>
      <c r="AM48" s="44" t="e">
        <f>SUMIF(#REF!,$A48,#REF!)</f>
        <v>#REF!</v>
      </c>
      <c r="AN48" s="44" t="e">
        <f>SUMIF(#REF!,$A48,#REF!)</f>
        <v>#REF!</v>
      </c>
      <c r="AO48" s="44" t="e">
        <f>SUMIF(#REF!,$A48,#REF!)</f>
        <v>#REF!</v>
      </c>
    </row>
    <row r="49" spans="1:42" x14ac:dyDescent="0.25">
      <c r="A49" s="42">
        <v>170014</v>
      </c>
      <c r="B49" s="43" t="s">
        <v>876</v>
      </c>
      <c r="C49" s="44" t="e">
        <f t="shared" si="19"/>
        <v>#REF!</v>
      </c>
      <c r="D49" s="44" t="e">
        <f t="shared" si="20"/>
        <v>#REF!</v>
      </c>
      <c r="E49" s="44" t="e">
        <f t="shared" si="21"/>
        <v>#REF!</v>
      </c>
      <c r="F49" s="44" t="e">
        <f t="shared" si="22"/>
        <v>#REF!</v>
      </c>
      <c r="G49" s="44" t="e">
        <f t="shared" si="23"/>
        <v>#REF!</v>
      </c>
      <c r="H49" s="44" t="e">
        <f t="shared" si="24"/>
        <v>#REF!</v>
      </c>
      <c r="I49" s="44" t="e">
        <f t="shared" si="25"/>
        <v>#REF!</v>
      </c>
      <c r="J49" s="44" t="e">
        <f t="shared" si="26"/>
        <v>#REF!</v>
      </c>
      <c r="K49" s="44" t="e">
        <f t="shared" si="27"/>
        <v>#REF!</v>
      </c>
      <c r="L49" s="44" t="e">
        <f t="shared" si="28"/>
        <v>#REF!</v>
      </c>
      <c r="M49" s="44" t="e">
        <f t="shared" si="29"/>
        <v>#REF!</v>
      </c>
      <c r="N49" s="44">
        <f t="shared" si="30"/>
        <v>0</v>
      </c>
      <c r="Q49" s="44" t="e">
        <f>SUMIF(#REF!,$A49,#REF!)</f>
        <v>#REF!</v>
      </c>
      <c r="R49" s="44">
        <f>SUMIF(ALIF_Y2014!$A:$A,$A49,ALIF_Y2014!$F:$F)</f>
        <v>227199</v>
      </c>
      <c r="S49" s="44">
        <f>SUMIF(ALIF_Y2015!$A:$A,$A49,ALIF_Y2015!$F:$F)</f>
        <v>227470.541</v>
      </c>
      <c r="T49" s="44">
        <f>SUMIF(ALIF_Y2016!$A:$A,$A49,ALIF_Y2016!$F:$F)</f>
        <v>314532</v>
      </c>
      <c r="U49" s="44">
        <f>SUMIF(ALIF_Y2017!$A:$A,$A49,ALIF_Y2017!$F:$F)</f>
        <v>284241.5</v>
      </c>
      <c r="V49" s="44">
        <f>SUMIF(ALIF_Y2018!$A:$A,$A49,ALIF_Y2018!$F:$F)</f>
        <v>321097</v>
      </c>
      <c r="W49" s="44">
        <f>SUMIF(ALIF_Y2019!$A:$A,$A49,ALIF_Y2019!$F:$F)</f>
        <v>335549.7</v>
      </c>
      <c r="X49" s="44">
        <f>SUMIF(ALIF_Y2020!$A:$A,$A49,ALIF_Y2020!$F:$F)</f>
        <v>291018.283</v>
      </c>
      <c r="Y49" s="44">
        <f>SUMIF(ALIF_Y2021!$A:$A,$A49,ALIF_Y2021!$F:$F)</f>
        <v>364209.5</v>
      </c>
      <c r="Z49" s="44">
        <f>SUMIF(ALIF_Y2022!$A:$A,$A49,ALIF_Y2022!$F:$F)</f>
        <v>569660.51</v>
      </c>
      <c r="AA49" s="44">
        <f>SUMIF(ALIF_Y2023!$A:$A,$A49,ALIF_Y2023!$F:$F)</f>
        <v>337938</v>
      </c>
      <c r="AE49" s="44" t="e">
        <f>SUMIF(#REF!,$A49,#REF!)</f>
        <v>#REF!</v>
      </c>
      <c r="AF49" s="44" t="e">
        <f>SUMIF(#REF!,$A49,#REF!)</f>
        <v>#REF!</v>
      </c>
      <c r="AG49" s="44" t="e">
        <f>SUMIF(#REF!,$A49,#REF!)</f>
        <v>#REF!</v>
      </c>
      <c r="AH49" s="44" t="e">
        <f>SUMIF(#REF!,$A49,#REF!)</f>
        <v>#REF!</v>
      </c>
      <c r="AI49" s="44" t="e">
        <f>SUMIF(#REF!,$A49,#REF!)</f>
        <v>#REF!</v>
      </c>
      <c r="AJ49" s="44" t="e">
        <f>SUMIF(#REF!,$A49,#REF!)</f>
        <v>#REF!</v>
      </c>
      <c r="AK49" s="44" t="e">
        <f>SUMIF(#REF!,$A49,#REF!)</f>
        <v>#REF!</v>
      </c>
      <c r="AL49" s="44" t="e">
        <f>SUMIF(#REF!,$A49,#REF!)</f>
        <v>#REF!</v>
      </c>
      <c r="AM49" s="44" t="e">
        <f>SUMIF(#REF!,$A49,#REF!)</f>
        <v>#REF!</v>
      </c>
      <c r="AN49" s="44" t="e">
        <f>SUMIF(#REF!,$A49,#REF!)</f>
        <v>#REF!</v>
      </c>
      <c r="AO49" s="44" t="e">
        <f>SUMIF(#REF!,$A49,#REF!)</f>
        <v>#REF!</v>
      </c>
    </row>
    <row r="50" spans="1:42" x14ac:dyDescent="0.25">
      <c r="A50" s="42">
        <v>170015</v>
      </c>
      <c r="B50" s="43" t="s">
        <v>877</v>
      </c>
      <c r="C50" s="44" t="e">
        <f t="shared" si="19"/>
        <v>#REF!</v>
      </c>
      <c r="D50" s="44" t="e">
        <f t="shared" si="20"/>
        <v>#REF!</v>
      </c>
      <c r="E50" s="44" t="e">
        <f t="shared" si="21"/>
        <v>#REF!</v>
      </c>
      <c r="F50" s="44" t="e">
        <f t="shared" si="22"/>
        <v>#REF!</v>
      </c>
      <c r="G50" s="44" t="e">
        <f t="shared" si="23"/>
        <v>#REF!</v>
      </c>
      <c r="H50" s="44" t="e">
        <f t="shared" si="24"/>
        <v>#REF!</v>
      </c>
      <c r="I50" s="44" t="e">
        <f t="shared" si="25"/>
        <v>#REF!</v>
      </c>
      <c r="J50" s="44" t="e">
        <f t="shared" si="26"/>
        <v>#REF!</v>
      </c>
      <c r="K50" s="44" t="e">
        <f t="shared" si="27"/>
        <v>#REF!</v>
      </c>
      <c r="L50" s="44" t="e">
        <f t="shared" si="28"/>
        <v>#REF!</v>
      </c>
      <c r="M50" s="44" t="e">
        <f t="shared" si="29"/>
        <v>#REF!</v>
      </c>
      <c r="N50" s="44">
        <f t="shared" si="30"/>
        <v>0</v>
      </c>
      <c r="Q50" s="44" t="e">
        <f>SUMIF(#REF!,$A50,#REF!)</f>
        <v>#REF!</v>
      </c>
      <c r="R50" s="44">
        <f>SUMIF(ALIF_Y2014!$A:$A,$A50,ALIF_Y2014!$F:$F)</f>
        <v>0</v>
      </c>
      <c r="S50" s="44">
        <f>SUMIF(ALIF_Y2015!$A:$A,$A50,ALIF_Y2015!$F:$F)</f>
        <v>0</v>
      </c>
      <c r="T50" s="44">
        <f>SUMIF(ALIF_Y2016!$A:$A,$A50,ALIF_Y2016!$F:$F)</f>
        <v>0</v>
      </c>
      <c r="U50" s="44">
        <f>SUMIF(ALIF_Y2017!$A:$A,$A50,ALIF_Y2017!$F:$F)</f>
        <v>0</v>
      </c>
      <c r="V50" s="44">
        <f>SUMIF(ALIF_Y2018!$A:$A,$A50,ALIF_Y2018!$F:$F)</f>
        <v>0</v>
      </c>
      <c r="W50" s="44">
        <f>SUMIF(ALIF_Y2019!$A:$A,$A50,ALIF_Y2019!$F:$F)</f>
        <v>0</v>
      </c>
      <c r="X50" s="44">
        <f>SUMIF(ALIF_Y2020!$A:$A,$A50,ALIF_Y2020!$F:$F)</f>
        <v>0</v>
      </c>
      <c r="Y50" s="44">
        <f>SUMIF(ALIF_Y2021!$A:$A,$A50,ALIF_Y2021!$F:$F)</f>
        <v>0</v>
      </c>
      <c r="Z50" s="44">
        <f>SUMIF(ALIF_Y2022!$A:$A,$A50,ALIF_Y2022!$F:$F)</f>
        <v>0</v>
      </c>
      <c r="AA50" s="44">
        <f>SUMIF(ALIF_Y2023!$A:$A,$A50,ALIF_Y2023!$F:$F)</f>
        <v>0</v>
      </c>
      <c r="AE50" s="44" t="e">
        <f>SUMIF(#REF!,$A50,#REF!)</f>
        <v>#REF!</v>
      </c>
      <c r="AF50" s="44" t="e">
        <f>SUMIF(#REF!,$A50,#REF!)</f>
        <v>#REF!</v>
      </c>
      <c r="AG50" s="44" t="e">
        <f>SUMIF(#REF!,$A50,#REF!)</f>
        <v>#REF!</v>
      </c>
      <c r="AH50" s="44" t="e">
        <f>SUMIF(#REF!,$A50,#REF!)</f>
        <v>#REF!</v>
      </c>
      <c r="AI50" s="44" t="e">
        <f>SUMIF(#REF!,$A50,#REF!)</f>
        <v>#REF!</v>
      </c>
      <c r="AJ50" s="44" t="e">
        <f>SUMIF(#REF!,$A50,#REF!)</f>
        <v>#REF!</v>
      </c>
      <c r="AK50" s="44" t="e">
        <f>SUMIF(#REF!,$A50,#REF!)</f>
        <v>#REF!</v>
      </c>
      <c r="AL50" s="44" t="e">
        <f>SUMIF(#REF!,$A50,#REF!)</f>
        <v>#REF!</v>
      </c>
      <c r="AM50" s="44" t="e">
        <f>SUMIF(#REF!,$A50,#REF!)</f>
        <v>#REF!</v>
      </c>
      <c r="AN50" s="44" t="e">
        <f>SUMIF(#REF!,$A50,#REF!)</f>
        <v>#REF!</v>
      </c>
      <c r="AO50" s="44" t="e">
        <f>SUMIF(#REF!,$A50,#REF!)</f>
        <v>#REF!</v>
      </c>
    </row>
    <row r="51" spans="1:42" x14ac:dyDescent="0.25">
      <c r="A51" s="42">
        <v>170016</v>
      </c>
      <c r="B51" s="43" t="s">
        <v>878</v>
      </c>
      <c r="C51" s="44" t="e">
        <f t="shared" si="19"/>
        <v>#REF!</v>
      </c>
      <c r="D51" s="44" t="e">
        <f t="shared" si="20"/>
        <v>#REF!</v>
      </c>
      <c r="E51" s="44" t="e">
        <f t="shared" si="21"/>
        <v>#REF!</v>
      </c>
      <c r="F51" s="44" t="e">
        <f t="shared" si="22"/>
        <v>#REF!</v>
      </c>
      <c r="G51" s="44" t="e">
        <f t="shared" si="23"/>
        <v>#REF!</v>
      </c>
      <c r="H51" s="44" t="e">
        <f t="shared" si="24"/>
        <v>#REF!</v>
      </c>
      <c r="I51" s="44" t="e">
        <f t="shared" si="25"/>
        <v>#REF!</v>
      </c>
      <c r="J51" s="44" t="e">
        <f t="shared" si="26"/>
        <v>#REF!</v>
      </c>
      <c r="K51" s="44" t="e">
        <f t="shared" si="27"/>
        <v>#REF!</v>
      </c>
      <c r="L51" s="44" t="e">
        <f t="shared" si="28"/>
        <v>#REF!</v>
      </c>
      <c r="M51" s="44" t="e">
        <f t="shared" si="29"/>
        <v>#REF!</v>
      </c>
      <c r="N51" s="44">
        <f t="shared" si="30"/>
        <v>0</v>
      </c>
      <c r="Q51" s="44" t="e">
        <f>SUMIF(#REF!,$A51,#REF!)</f>
        <v>#REF!</v>
      </c>
      <c r="R51" s="44">
        <f>SUMIF(ALIF_Y2014!$A:$A,$A51,ALIF_Y2014!$F:$F)</f>
        <v>0</v>
      </c>
      <c r="S51" s="44">
        <f>SUMIF(ALIF_Y2015!$A:$A,$A51,ALIF_Y2015!$F:$F)</f>
        <v>0</v>
      </c>
      <c r="T51" s="44">
        <f>SUMIF(ALIF_Y2016!$A:$A,$A51,ALIF_Y2016!$F:$F)</f>
        <v>0</v>
      </c>
      <c r="U51" s="44">
        <f>SUMIF(ALIF_Y2017!$A:$A,$A51,ALIF_Y2017!$F:$F)</f>
        <v>0</v>
      </c>
      <c r="V51" s="44">
        <f>SUMIF(ALIF_Y2018!$A:$A,$A51,ALIF_Y2018!$F:$F)</f>
        <v>323178</v>
      </c>
      <c r="W51" s="44">
        <f>SUMIF(ALIF_Y2019!$A:$A,$A51,ALIF_Y2019!$F:$F)</f>
        <v>0</v>
      </c>
      <c r="X51" s="44">
        <f>SUMIF(ALIF_Y2020!$A:$A,$A51,ALIF_Y2020!$F:$F)</f>
        <v>0</v>
      </c>
      <c r="Y51" s="44">
        <f>SUMIF(ALIF_Y2021!$A:$A,$A51,ALIF_Y2021!$F:$F)</f>
        <v>0</v>
      </c>
      <c r="Z51" s="44">
        <f>SUMIF(ALIF_Y2022!$A:$A,$A51,ALIF_Y2022!$F:$F)</f>
        <v>437398.6</v>
      </c>
      <c r="AA51" s="44">
        <f>SUMIF(ALIF_Y2023!$A:$A,$A51,ALIF_Y2023!$F:$F)</f>
        <v>0</v>
      </c>
      <c r="AE51" s="44" t="e">
        <f>SUMIF(#REF!,$A51,#REF!)</f>
        <v>#REF!</v>
      </c>
      <c r="AF51" s="44" t="e">
        <f>SUMIF(#REF!,$A51,#REF!)</f>
        <v>#REF!</v>
      </c>
      <c r="AG51" s="44" t="e">
        <f>SUMIF(#REF!,$A51,#REF!)</f>
        <v>#REF!</v>
      </c>
      <c r="AH51" s="44" t="e">
        <f>SUMIF(#REF!,$A51,#REF!)</f>
        <v>#REF!</v>
      </c>
      <c r="AI51" s="44" t="e">
        <f>SUMIF(#REF!,$A51,#REF!)</f>
        <v>#REF!</v>
      </c>
      <c r="AJ51" s="44" t="e">
        <f>SUMIF(#REF!,$A51,#REF!)</f>
        <v>#REF!</v>
      </c>
      <c r="AK51" s="44" t="e">
        <f>SUMIF(#REF!,$A51,#REF!)</f>
        <v>#REF!</v>
      </c>
      <c r="AL51" s="44" t="e">
        <f>SUMIF(#REF!,$A51,#REF!)</f>
        <v>#REF!</v>
      </c>
      <c r="AM51" s="44" t="e">
        <f>SUMIF(#REF!,$A51,#REF!)</f>
        <v>#REF!</v>
      </c>
      <c r="AN51" s="44" t="e">
        <f>SUMIF(#REF!,$A51,#REF!)</f>
        <v>#REF!</v>
      </c>
      <c r="AO51" s="44" t="e">
        <f>SUMIF(#REF!,$A51,#REF!)</f>
        <v>#REF!</v>
      </c>
    </row>
    <row r="52" spans="1:42" x14ac:dyDescent="0.25">
      <c r="A52" s="42">
        <v>170017</v>
      </c>
      <c r="B52" s="43" t="s">
        <v>879</v>
      </c>
      <c r="C52" s="44" t="e">
        <f t="shared" si="19"/>
        <v>#REF!</v>
      </c>
      <c r="D52" s="44" t="e">
        <f t="shared" si="20"/>
        <v>#REF!</v>
      </c>
      <c r="E52" s="44" t="e">
        <f t="shared" si="21"/>
        <v>#REF!</v>
      </c>
      <c r="F52" s="44" t="e">
        <f t="shared" si="22"/>
        <v>#REF!</v>
      </c>
      <c r="G52" s="44" t="e">
        <f t="shared" si="23"/>
        <v>#REF!</v>
      </c>
      <c r="H52" s="44" t="e">
        <f t="shared" si="24"/>
        <v>#REF!</v>
      </c>
      <c r="I52" s="44" t="e">
        <f t="shared" si="25"/>
        <v>#REF!</v>
      </c>
      <c r="J52" s="44" t="e">
        <f t="shared" si="26"/>
        <v>#REF!</v>
      </c>
      <c r="K52" s="44" t="e">
        <f t="shared" si="27"/>
        <v>#REF!</v>
      </c>
      <c r="L52" s="44" t="e">
        <f t="shared" si="28"/>
        <v>#REF!</v>
      </c>
      <c r="M52" s="44" t="e">
        <f t="shared" si="29"/>
        <v>#REF!</v>
      </c>
      <c r="N52" s="44">
        <f t="shared" si="30"/>
        <v>0</v>
      </c>
      <c r="Q52" s="44" t="e">
        <f>SUMIF(#REF!,$A52,#REF!)</f>
        <v>#REF!</v>
      </c>
      <c r="R52" s="44">
        <f>SUMIF(ALIF_Y2014!$A:$A,$A52,ALIF_Y2014!$F:$F)</f>
        <v>0</v>
      </c>
      <c r="S52" s="44">
        <f>SUMIF(ALIF_Y2015!$A:$A,$A52,ALIF_Y2015!$F:$F)</f>
        <v>0</v>
      </c>
      <c r="T52" s="44">
        <f>SUMIF(ALIF_Y2016!$A:$A,$A52,ALIF_Y2016!$F:$F)</f>
        <v>0</v>
      </c>
      <c r="U52" s="44">
        <f>SUMIF(ALIF_Y2017!$A:$A,$A52,ALIF_Y2017!$F:$F)</f>
        <v>0</v>
      </c>
      <c r="V52" s="44">
        <f>SUMIF(ALIF_Y2018!$A:$A,$A52,ALIF_Y2018!$F:$F)</f>
        <v>0</v>
      </c>
      <c r="W52" s="44">
        <f>SUMIF(ALIF_Y2019!$A:$A,$A52,ALIF_Y2019!$F:$F)</f>
        <v>0</v>
      </c>
      <c r="X52" s="44">
        <f>SUMIF(ALIF_Y2020!$A:$A,$A52,ALIF_Y2020!$F:$F)</f>
        <v>0</v>
      </c>
      <c r="Y52" s="44">
        <f>SUMIF(ALIF_Y2021!$A:$A,$A52,ALIF_Y2021!$F:$F)</f>
        <v>0</v>
      </c>
      <c r="Z52" s="44">
        <f>SUMIF(ALIF_Y2022!$A:$A,$A52,ALIF_Y2022!$F:$F)</f>
        <v>0</v>
      </c>
      <c r="AA52" s="44">
        <f>SUMIF(ALIF_Y2023!$A:$A,$A52,ALIF_Y2023!$F:$F)</f>
        <v>0</v>
      </c>
      <c r="AE52" s="44" t="e">
        <f>SUMIF(#REF!,$A52,#REF!)</f>
        <v>#REF!</v>
      </c>
      <c r="AF52" s="44" t="e">
        <f>SUMIF(#REF!,$A52,#REF!)</f>
        <v>#REF!</v>
      </c>
      <c r="AG52" s="44" t="e">
        <f>SUMIF(#REF!,$A52,#REF!)</f>
        <v>#REF!</v>
      </c>
      <c r="AH52" s="44" t="e">
        <f>SUMIF(#REF!,$A52,#REF!)</f>
        <v>#REF!</v>
      </c>
      <c r="AI52" s="44" t="e">
        <f>SUMIF(#REF!,$A52,#REF!)</f>
        <v>#REF!</v>
      </c>
      <c r="AJ52" s="44" t="e">
        <f>SUMIF(#REF!,$A52,#REF!)</f>
        <v>#REF!</v>
      </c>
      <c r="AK52" s="44" t="e">
        <f>SUMIF(#REF!,$A52,#REF!)</f>
        <v>#REF!</v>
      </c>
      <c r="AL52" s="44" t="e">
        <f>SUMIF(#REF!,$A52,#REF!)</f>
        <v>#REF!</v>
      </c>
      <c r="AM52" s="44" t="e">
        <f>SUMIF(#REF!,$A52,#REF!)</f>
        <v>#REF!</v>
      </c>
      <c r="AN52" s="44" t="e">
        <f>SUMIF(#REF!,$A52,#REF!)</f>
        <v>#REF!</v>
      </c>
      <c r="AO52" s="44" t="e">
        <f>SUMIF(#REF!,$A52,#REF!)</f>
        <v>#REF!</v>
      </c>
    </row>
    <row r="53" spans="1:42" x14ac:dyDescent="0.25">
      <c r="A53" s="42">
        <v>170018</v>
      </c>
      <c r="B53" s="43" t="s">
        <v>880</v>
      </c>
      <c r="C53" s="44" t="e">
        <f t="shared" si="19"/>
        <v>#REF!</v>
      </c>
      <c r="D53" s="44" t="e">
        <f t="shared" si="20"/>
        <v>#REF!</v>
      </c>
      <c r="E53" s="44" t="e">
        <f t="shared" si="21"/>
        <v>#REF!</v>
      </c>
      <c r="F53" s="44" t="e">
        <f t="shared" si="22"/>
        <v>#REF!</v>
      </c>
      <c r="G53" s="44" t="e">
        <f t="shared" si="23"/>
        <v>#REF!</v>
      </c>
      <c r="H53" s="44" t="e">
        <f t="shared" si="24"/>
        <v>#REF!</v>
      </c>
      <c r="I53" s="44" t="e">
        <f t="shared" si="25"/>
        <v>#REF!</v>
      </c>
      <c r="J53" s="44" t="e">
        <f t="shared" si="26"/>
        <v>#REF!</v>
      </c>
      <c r="K53" s="44" t="e">
        <f t="shared" si="27"/>
        <v>#REF!</v>
      </c>
      <c r="L53" s="44" t="e">
        <f t="shared" si="28"/>
        <v>#REF!</v>
      </c>
      <c r="M53" s="44" t="e">
        <f t="shared" si="29"/>
        <v>#REF!</v>
      </c>
      <c r="N53" s="44">
        <f t="shared" si="30"/>
        <v>0</v>
      </c>
      <c r="Q53" s="44" t="e">
        <f>SUMIF(#REF!,$A53,#REF!)</f>
        <v>#REF!</v>
      </c>
      <c r="R53" s="44">
        <f>SUMIF(ALIF_Y2014!$A:$A,$A53,ALIF_Y2014!$F:$F)</f>
        <v>0</v>
      </c>
      <c r="S53" s="44">
        <f>SUMIF(ALIF_Y2015!$A:$A,$A53,ALIF_Y2015!$F:$F)</f>
        <v>0</v>
      </c>
      <c r="T53" s="44">
        <f>SUMIF(ALIF_Y2016!$A:$A,$A53,ALIF_Y2016!$F:$F)</f>
        <v>0</v>
      </c>
      <c r="U53" s="44">
        <f>SUMIF(ALIF_Y2017!$A:$A,$A53,ALIF_Y2017!$F:$F)</f>
        <v>0</v>
      </c>
      <c r="V53" s="44">
        <f>SUMIF(ALIF_Y2018!$A:$A,$A53,ALIF_Y2018!$F:$F)</f>
        <v>0</v>
      </c>
      <c r="W53" s="44">
        <f>SUMIF(ALIF_Y2019!$A:$A,$A53,ALIF_Y2019!$F:$F)</f>
        <v>0</v>
      </c>
      <c r="X53" s="44">
        <f>SUMIF(ALIF_Y2020!$A:$A,$A53,ALIF_Y2020!$F:$F)</f>
        <v>0</v>
      </c>
      <c r="Y53" s="44">
        <f>SUMIF(ALIF_Y2021!$A:$A,$A53,ALIF_Y2021!$F:$F)</f>
        <v>0</v>
      </c>
      <c r="Z53" s="44">
        <f>SUMIF(ALIF_Y2022!$A:$A,$A53,ALIF_Y2022!$F:$F)</f>
        <v>0</v>
      </c>
      <c r="AA53" s="44">
        <f>SUMIF(ALIF_Y2023!$A:$A,$A53,ALIF_Y2023!$F:$F)</f>
        <v>0</v>
      </c>
      <c r="AE53" s="44" t="e">
        <f>SUMIF(#REF!,$A53,#REF!)</f>
        <v>#REF!</v>
      </c>
      <c r="AF53" s="44" t="e">
        <f>SUMIF(#REF!,$A53,#REF!)</f>
        <v>#REF!</v>
      </c>
      <c r="AG53" s="44" t="e">
        <f>SUMIF(#REF!,$A53,#REF!)</f>
        <v>#REF!</v>
      </c>
      <c r="AH53" s="44" t="e">
        <f>SUMIF(#REF!,$A53,#REF!)</f>
        <v>#REF!</v>
      </c>
      <c r="AI53" s="44" t="e">
        <f>SUMIF(#REF!,$A53,#REF!)</f>
        <v>#REF!</v>
      </c>
      <c r="AJ53" s="44" t="e">
        <f>SUMIF(#REF!,$A53,#REF!)</f>
        <v>#REF!</v>
      </c>
      <c r="AK53" s="44" t="e">
        <f>SUMIF(#REF!,$A53,#REF!)</f>
        <v>#REF!</v>
      </c>
      <c r="AL53" s="44" t="e">
        <f>SUMIF(#REF!,$A53,#REF!)</f>
        <v>#REF!</v>
      </c>
      <c r="AM53" s="44" t="e">
        <f>SUMIF(#REF!,$A53,#REF!)</f>
        <v>#REF!</v>
      </c>
      <c r="AN53" s="44" t="e">
        <f>SUMIF(#REF!,$A53,#REF!)</f>
        <v>#REF!</v>
      </c>
      <c r="AO53" s="44" t="e">
        <f>SUMIF(#REF!,$A53,#REF!)</f>
        <v>#REF!</v>
      </c>
    </row>
    <row r="54" spans="1:42" x14ac:dyDescent="0.25">
      <c r="A54" s="42">
        <v>170019</v>
      </c>
      <c r="B54" s="43" t="s">
        <v>881</v>
      </c>
      <c r="C54" s="44" t="e">
        <f t="shared" si="19"/>
        <v>#REF!</v>
      </c>
      <c r="D54" s="44" t="e">
        <f t="shared" si="20"/>
        <v>#REF!</v>
      </c>
      <c r="E54" s="44" t="e">
        <f t="shared" si="21"/>
        <v>#REF!</v>
      </c>
      <c r="F54" s="44" t="e">
        <f t="shared" si="22"/>
        <v>#REF!</v>
      </c>
      <c r="G54" s="44" t="e">
        <f t="shared" si="23"/>
        <v>#REF!</v>
      </c>
      <c r="H54" s="44" t="e">
        <f t="shared" si="24"/>
        <v>#REF!</v>
      </c>
      <c r="I54" s="44" t="e">
        <f t="shared" si="25"/>
        <v>#REF!</v>
      </c>
      <c r="J54" s="44" t="e">
        <f t="shared" si="26"/>
        <v>#REF!</v>
      </c>
      <c r="K54" s="44" t="e">
        <f t="shared" si="27"/>
        <v>#REF!</v>
      </c>
      <c r="L54" s="44" t="e">
        <f t="shared" si="28"/>
        <v>#REF!</v>
      </c>
      <c r="M54" s="44" t="e">
        <f t="shared" si="29"/>
        <v>#REF!</v>
      </c>
      <c r="N54" s="44">
        <f t="shared" si="30"/>
        <v>0</v>
      </c>
      <c r="Q54" s="44" t="e">
        <f>SUMIF(#REF!,$A54,#REF!)</f>
        <v>#REF!</v>
      </c>
      <c r="R54" s="44">
        <f>SUMIF(ALIF_Y2014!$A:$A,$A54,ALIF_Y2014!$F:$F)</f>
        <v>0</v>
      </c>
      <c r="S54" s="44">
        <f>SUMIF(ALIF_Y2015!$A:$A,$A54,ALIF_Y2015!$F:$F)</f>
        <v>0</v>
      </c>
      <c r="T54" s="44">
        <f>SUMIF(ALIF_Y2016!$A:$A,$A54,ALIF_Y2016!$F:$F)</f>
        <v>0</v>
      </c>
      <c r="U54" s="44">
        <f>SUMIF(ALIF_Y2017!$A:$A,$A54,ALIF_Y2017!$F:$F)</f>
        <v>0</v>
      </c>
      <c r="V54" s="44">
        <f>SUMIF(ALIF_Y2018!$A:$A,$A54,ALIF_Y2018!$F:$F)</f>
        <v>0</v>
      </c>
      <c r="W54" s="44">
        <f>SUMIF(ALIF_Y2019!$A:$A,$A54,ALIF_Y2019!$F:$F)</f>
        <v>0</v>
      </c>
      <c r="X54" s="44">
        <f>SUMIF(ALIF_Y2020!$A:$A,$A54,ALIF_Y2020!$F:$F)</f>
        <v>0</v>
      </c>
      <c r="Y54" s="44">
        <f>SUMIF(ALIF_Y2021!$A:$A,$A54,ALIF_Y2021!$F:$F)</f>
        <v>0</v>
      </c>
      <c r="Z54" s="44">
        <f>SUMIF(ALIF_Y2022!$A:$A,$A54,ALIF_Y2022!$F:$F)</f>
        <v>0</v>
      </c>
      <c r="AA54" s="44">
        <f>SUMIF(ALIF_Y2023!$A:$A,$A54,ALIF_Y2023!$F:$F)</f>
        <v>0</v>
      </c>
      <c r="AE54" s="44" t="e">
        <f>SUMIF(#REF!,$A54,#REF!)</f>
        <v>#REF!</v>
      </c>
      <c r="AF54" s="44" t="e">
        <f>SUMIF(#REF!,$A54,#REF!)</f>
        <v>#REF!</v>
      </c>
      <c r="AG54" s="44" t="e">
        <f>SUMIF(#REF!,$A54,#REF!)</f>
        <v>#REF!</v>
      </c>
      <c r="AH54" s="44" t="e">
        <f>SUMIF(#REF!,$A54,#REF!)</f>
        <v>#REF!</v>
      </c>
      <c r="AI54" s="44" t="e">
        <f>SUMIF(#REF!,$A54,#REF!)</f>
        <v>#REF!</v>
      </c>
      <c r="AJ54" s="44" t="e">
        <f>SUMIF(#REF!,$A54,#REF!)</f>
        <v>#REF!</v>
      </c>
      <c r="AK54" s="44" t="e">
        <f>SUMIF(#REF!,$A54,#REF!)</f>
        <v>#REF!</v>
      </c>
      <c r="AL54" s="44" t="e">
        <f>SUMIF(#REF!,$A54,#REF!)</f>
        <v>#REF!</v>
      </c>
      <c r="AM54" s="44" t="e">
        <f>SUMIF(#REF!,$A54,#REF!)</f>
        <v>#REF!</v>
      </c>
      <c r="AN54" s="44" t="e">
        <f>SUMIF(#REF!,$A54,#REF!)</f>
        <v>#REF!</v>
      </c>
      <c r="AO54" s="44" t="e">
        <f>SUMIF(#REF!,$A54,#REF!)</f>
        <v>#REF!</v>
      </c>
    </row>
    <row r="55" spans="1:42" x14ac:dyDescent="0.25">
      <c r="A55" s="42">
        <v>170020</v>
      </c>
      <c r="B55" s="43" t="s">
        <v>882</v>
      </c>
      <c r="C55" s="44" t="e">
        <f t="shared" si="19"/>
        <v>#REF!</v>
      </c>
      <c r="D55" s="44" t="e">
        <f t="shared" si="20"/>
        <v>#REF!</v>
      </c>
      <c r="E55" s="44" t="e">
        <f t="shared" si="21"/>
        <v>#REF!</v>
      </c>
      <c r="F55" s="44" t="e">
        <f t="shared" si="22"/>
        <v>#REF!</v>
      </c>
      <c r="G55" s="44" t="e">
        <f t="shared" si="23"/>
        <v>#REF!</v>
      </c>
      <c r="H55" s="44" t="e">
        <f t="shared" si="24"/>
        <v>#REF!</v>
      </c>
      <c r="I55" s="44" t="e">
        <f t="shared" si="25"/>
        <v>#REF!</v>
      </c>
      <c r="J55" s="44" t="e">
        <f t="shared" si="26"/>
        <v>#REF!</v>
      </c>
      <c r="K55" s="44" t="e">
        <f t="shared" si="27"/>
        <v>#REF!</v>
      </c>
      <c r="L55" s="44" t="e">
        <f t="shared" si="28"/>
        <v>#REF!</v>
      </c>
      <c r="M55" s="44" t="e">
        <f t="shared" si="29"/>
        <v>#REF!</v>
      </c>
      <c r="N55" s="44">
        <f t="shared" si="30"/>
        <v>0</v>
      </c>
      <c r="Q55" s="44" t="e">
        <f>SUMIF(#REF!,$A55,#REF!)</f>
        <v>#REF!</v>
      </c>
      <c r="R55" s="44">
        <f>SUMIF(ALIF_Y2014!$A:$A,$A55,ALIF_Y2014!$F:$F)</f>
        <v>0</v>
      </c>
      <c r="S55" s="44">
        <f>SUMIF(ALIF_Y2015!$A:$A,$A55,ALIF_Y2015!$F:$F)</f>
        <v>0</v>
      </c>
      <c r="T55" s="44">
        <f>SUMIF(ALIF_Y2016!$A:$A,$A55,ALIF_Y2016!$F:$F)</f>
        <v>0</v>
      </c>
      <c r="U55" s="44">
        <f>SUMIF(ALIF_Y2017!$A:$A,$A55,ALIF_Y2017!$F:$F)</f>
        <v>0</v>
      </c>
      <c r="V55" s="44">
        <f>SUMIF(ALIF_Y2018!$A:$A,$A55,ALIF_Y2018!$F:$F)</f>
        <v>0</v>
      </c>
      <c r="W55" s="44">
        <f>SUMIF(ALIF_Y2019!$A:$A,$A55,ALIF_Y2019!$F:$F)</f>
        <v>0</v>
      </c>
      <c r="X55" s="44">
        <f>SUMIF(ALIF_Y2020!$A:$A,$A55,ALIF_Y2020!$F:$F)</f>
        <v>0</v>
      </c>
      <c r="Y55" s="44">
        <f>SUMIF(ALIF_Y2021!$A:$A,$A55,ALIF_Y2021!$F:$F)</f>
        <v>0</v>
      </c>
      <c r="Z55" s="44">
        <f>SUMIF(ALIF_Y2022!$A:$A,$A55,ALIF_Y2022!$F:$F)</f>
        <v>0</v>
      </c>
      <c r="AA55" s="44">
        <f>SUMIF(ALIF_Y2023!$A:$A,$A55,ALIF_Y2023!$F:$F)</f>
        <v>187932.64</v>
      </c>
      <c r="AE55" s="44" t="e">
        <f>SUMIF(#REF!,$A55,#REF!)</f>
        <v>#REF!</v>
      </c>
      <c r="AF55" s="44" t="e">
        <f>SUMIF(#REF!,$A55,#REF!)</f>
        <v>#REF!</v>
      </c>
      <c r="AG55" s="44" t="e">
        <f>SUMIF(#REF!,$A55,#REF!)</f>
        <v>#REF!</v>
      </c>
      <c r="AH55" s="44" t="e">
        <f>SUMIF(#REF!,$A55,#REF!)</f>
        <v>#REF!</v>
      </c>
      <c r="AI55" s="44" t="e">
        <f>SUMIF(#REF!,$A55,#REF!)</f>
        <v>#REF!</v>
      </c>
      <c r="AJ55" s="44" t="e">
        <f>SUMIF(#REF!,$A55,#REF!)</f>
        <v>#REF!</v>
      </c>
      <c r="AK55" s="44" t="e">
        <f>SUMIF(#REF!,$A55,#REF!)</f>
        <v>#REF!</v>
      </c>
      <c r="AL55" s="44" t="e">
        <f>SUMIF(#REF!,$A55,#REF!)</f>
        <v>#REF!</v>
      </c>
      <c r="AM55" s="44" t="e">
        <f>SUMIF(#REF!,$A55,#REF!)</f>
        <v>#REF!</v>
      </c>
      <c r="AN55" s="44" t="e">
        <f>SUMIF(#REF!,$A55,#REF!)</f>
        <v>#REF!</v>
      </c>
      <c r="AO55" s="44" t="e">
        <f>SUMIF(#REF!,$A55,#REF!)</f>
        <v>#REF!</v>
      </c>
    </row>
    <row r="56" spans="1:42" x14ac:dyDescent="0.25">
      <c r="A56" s="42">
        <v>170021</v>
      </c>
      <c r="B56" s="43" t="s">
        <v>883</v>
      </c>
      <c r="C56" s="44" t="e">
        <f t="shared" si="19"/>
        <v>#REF!</v>
      </c>
      <c r="D56" s="44" t="e">
        <f t="shared" si="20"/>
        <v>#REF!</v>
      </c>
      <c r="E56" s="44" t="e">
        <f t="shared" si="21"/>
        <v>#REF!</v>
      </c>
      <c r="F56" s="44" t="e">
        <f t="shared" si="22"/>
        <v>#REF!</v>
      </c>
      <c r="G56" s="44" t="e">
        <f t="shared" si="23"/>
        <v>#REF!</v>
      </c>
      <c r="H56" s="44" t="e">
        <f t="shared" si="24"/>
        <v>#REF!</v>
      </c>
      <c r="I56" s="44" t="e">
        <f t="shared" si="25"/>
        <v>#REF!</v>
      </c>
      <c r="J56" s="44" t="e">
        <f t="shared" si="26"/>
        <v>#REF!</v>
      </c>
      <c r="K56" s="44" t="e">
        <f t="shared" si="27"/>
        <v>#REF!</v>
      </c>
      <c r="L56" s="44" t="e">
        <f t="shared" si="28"/>
        <v>#REF!</v>
      </c>
      <c r="M56" s="44" t="e">
        <f t="shared" si="29"/>
        <v>#REF!</v>
      </c>
      <c r="N56" s="44">
        <f t="shared" si="30"/>
        <v>0</v>
      </c>
      <c r="Q56" s="44" t="e">
        <f>SUMIF(#REF!,$A56,#REF!)</f>
        <v>#REF!</v>
      </c>
      <c r="R56" s="44">
        <f>SUMIF(ALIF_Y2014!$A:$A,$A56,ALIF_Y2014!$F:$F)</f>
        <v>4501835.45</v>
      </c>
      <c r="S56" s="44">
        <f>SUMIF(ALIF_Y2015!$A:$A,$A56,ALIF_Y2015!$F:$F)</f>
        <v>3062618</v>
      </c>
      <c r="T56" s="44">
        <f>SUMIF(ALIF_Y2016!$A:$A,$A56,ALIF_Y2016!$F:$F)</f>
        <v>4741163.17</v>
      </c>
      <c r="U56" s="44">
        <f>SUMIF(ALIF_Y2017!$A:$A,$A56,ALIF_Y2017!$F:$F)</f>
        <v>12679112.02</v>
      </c>
      <c r="V56" s="44">
        <f>SUMIF(ALIF_Y2018!$A:$A,$A56,ALIF_Y2018!$F:$F)</f>
        <v>9600761.3000000007</v>
      </c>
      <c r="W56" s="44">
        <f>SUMIF(ALIF_Y2019!$A:$A,$A56,ALIF_Y2019!$F:$F)</f>
        <v>5773707.4500000002</v>
      </c>
      <c r="X56" s="44">
        <f>SUMIF(ALIF_Y2020!$A:$A,$A56,ALIF_Y2020!$F:$F)</f>
        <v>2935982.66</v>
      </c>
      <c r="Y56" s="44">
        <f>SUMIF(ALIF_Y2021!$A:$A,$A56,ALIF_Y2021!$F:$F)</f>
        <v>2935982.66</v>
      </c>
      <c r="Z56" s="44">
        <f>SUMIF(ALIF_Y2022!$A:$A,$A56,ALIF_Y2022!$F:$F)</f>
        <v>0</v>
      </c>
      <c r="AA56" s="44">
        <f>SUMIF(ALIF_Y2023!$A:$A,$A56,ALIF_Y2023!$F:$F)</f>
        <v>4054218.42</v>
      </c>
      <c r="AE56" s="44" t="e">
        <f>SUMIF(#REF!,$A56,#REF!)</f>
        <v>#REF!</v>
      </c>
      <c r="AF56" s="44" t="e">
        <f>SUMIF(#REF!,$A56,#REF!)</f>
        <v>#REF!</v>
      </c>
      <c r="AG56" s="44" t="e">
        <f>SUMIF(#REF!,$A56,#REF!)</f>
        <v>#REF!</v>
      </c>
      <c r="AH56" s="44" t="e">
        <f>SUMIF(#REF!,$A56,#REF!)</f>
        <v>#REF!</v>
      </c>
      <c r="AI56" s="44" t="e">
        <f>SUMIF(#REF!,$A56,#REF!)</f>
        <v>#REF!</v>
      </c>
      <c r="AJ56" s="44" t="e">
        <f>SUMIF(#REF!,$A56,#REF!)</f>
        <v>#REF!</v>
      </c>
      <c r="AK56" s="44" t="e">
        <f>SUMIF(#REF!,$A56,#REF!)</f>
        <v>#REF!</v>
      </c>
      <c r="AL56" s="44" t="e">
        <f>SUMIF(#REF!,$A56,#REF!)</f>
        <v>#REF!</v>
      </c>
      <c r="AM56" s="44" t="e">
        <f>SUMIF(#REF!,$A56,#REF!)</f>
        <v>#REF!</v>
      </c>
      <c r="AN56" s="44" t="e">
        <f>SUMIF(#REF!,$A56,#REF!)</f>
        <v>#REF!</v>
      </c>
      <c r="AO56" s="44" t="e">
        <f>SUMIF(#REF!,$A56,#REF!)</f>
        <v>#REF!</v>
      </c>
    </row>
    <row r="57" spans="1:42" ht="7.9" customHeight="1" x14ac:dyDescent="0.25">
      <c r="C57" s="144"/>
      <c r="D57" s="144"/>
      <c r="E57" s="144"/>
      <c r="F57" s="144"/>
      <c r="G57" s="144"/>
      <c r="H57" s="144"/>
      <c r="I57" s="144"/>
      <c r="J57" s="144"/>
      <c r="K57" s="144"/>
      <c r="L57" s="144"/>
      <c r="M57" s="144"/>
      <c r="N57" s="144"/>
      <c r="Q57" s="144"/>
      <c r="R57" s="144"/>
      <c r="S57" s="144"/>
      <c r="T57" s="144"/>
      <c r="U57" s="144"/>
      <c r="V57" s="144"/>
      <c r="W57" s="144"/>
      <c r="X57" s="144"/>
      <c r="Y57" s="144"/>
      <c r="Z57" s="144"/>
      <c r="AA57" s="144"/>
      <c r="AB57" s="144"/>
      <c r="AE57" s="144"/>
      <c r="AF57" s="144"/>
      <c r="AG57" s="144"/>
      <c r="AH57" s="144"/>
      <c r="AI57" s="144"/>
      <c r="AJ57" s="144"/>
      <c r="AK57" s="144"/>
      <c r="AL57" s="144"/>
      <c r="AM57" s="144"/>
      <c r="AN57" s="144"/>
      <c r="AO57" s="144"/>
      <c r="AP57" s="144"/>
    </row>
    <row r="58" spans="1:42" x14ac:dyDescent="0.25">
      <c r="C58" s="45" t="e">
        <f t="shared" ref="C58:N58" si="31">SUM(C37:C57)</f>
        <v>#REF!</v>
      </c>
      <c r="D58" s="45" t="e">
        <f t="shared" si="31"/>
        <v>#REF!</v>
      </c>
      <c r="E58" s="45" t="e">
        <f t="shared" si="31"/>
        <v>#REF!</v>
      </c>
      <c r="F58" s="45" t="e">
        <f t="shared" si="31"/>
        <v>#REF!</v>
      </c>
      <c r="G58" s="45" t="e">
        <f t="shared" si="31"/>
        <v>#REF!</v>
      </c>
      <c r="H58" s="45" t="e">
        <f t="shared" si="31"/>
        <v>#REF!</v>
      </c>
      <c r="I58" s="45" t="e">
        <f t="shared" si="31"/>
        <v>#REF!</v>
      </c>
      <c r="J58" s="45" t="e">
        <f t="shared" si="31"/>
        <v>#REF!</v>
      </c>
      <c r="K58" s="45" t="e">
        <f t="shared" si="31"/>
        <v>#REF!</v>
      </c>
      <c r="L58" s="45" t="e">
        <f t="shared" si="31"/>
        <v>#REF!</v>
      </c>
      <c r="M58" s="45" t="e">
        <f t="shared" si="31"/>
        <v>#REF!</v>
      </c>
      <c r="N58" s="45">
        <f t="shared" si="31"/>
        <v>0</v>
      </c>
      <c r="Q58" s="45" t="e">
        <f t="shared" ref="Q58:AB58" si="32">SUM(Q37:Q57)</f>
        <v>#REF!</v>
      </c>
      <c r="R58" s="45">
        <f t="shared" si="32"/>
        <v>8670708.6090000011</v>
      </c>
      <c r="S58" s="45">
        <f t="shared" si="32"/>
        <v>7700042.426</v>
      </c>
      <c r="T58" s="45">
        <f t="shared" si="32"/>
        <v>6566761.4589999998</v>
      </c>
      <c r="U58" s="45">
        <f t="shared" si="32"/>
        <v>13100547.521</v>
      </c>
      <c r="V58" s="45">
        <f t="shared" si="32"/>
        <v>10942639.300000001</v>
      </c>
      <c r="W58" s="45">
        <f t="shared" si="32"/>
        <v>8522666.029000001</v>
      </c>
      <c r="X58" s="45">
        <f t="shared" si="32"/>
        <v>3692329.5420000004</v>
      </c>
      <c r="Y58" s="45">
        <f t="shared" si="32"/>
        <v>5210137.9289999995</v>
      </c>
      <c r="Z58" s="45">
        <f t="shared" si="32"/>
        <v>1107166.024</v>
      </c>
      <c r="AA58" s="45">
        <f t="shared" si="32"/>
        <v>4772239.2369999997</v>
      </c>
      <c r="AB58" s="45">
        <f t="shared" si="32"/>
        <v>0</v>
      </c>
      <c r="AE58" s="45" t="e">
        <f t="shared" ref="AE58:AO58" si="33">SUM(AE37:AE57)</f>
        <v>#REF!</v>
      </c>
      <c r="AF58" s="45" t="e">
        <f t="shared" si="33"/>
        <v>#REF!</v>
      </c>
      <c r="AG58" s="45" t="e">
        <f t="shared" si="33"/>
        <v>#REF!</v>
      </c>
      <c r="AH58" s="45" t="e">
        <f t="shared" si="33"/>
        <v>#REF!</v>
      </c>
      <c r="AI58" s="45" t="e">
        <f t="shared" si="33"/>
        <v>#REF!</v>
      </c>
      <c r="AJ58" s="45" t="e">
        <f t="shared" si="33"/>
        <v>#REF!</v>
      </c>
      <c r="AK58" s="45" t="e">
        <f t="shared" si="33"/>
        <v>#REF!</v>
      </c>
      <c r="AL58" s="45" t="e">
        <f t="shared" si="33"/>
        <v>#REF!</v>
      </c>
      <c r="AM58" s="45" t="e">
        <f t="shared" si="33"/>
        <v>#REF!</v>
      </c>
      <c r="AN58" s="45" t="e">
        <f t="shared" si="33"/>
        <v>#REF!</v>
      </c>
      <c r="AO58" s="45" t="e">
        <f t="shared" si="33"/>
        <v>#REF!</v>
      </c>
    </row>
    <row r="60" spans="1:42" x14ac:dyDescent="0.25">
      <c r="A60" s="41" t="s">
        <v>1325</v>
      </c>
    </row>
    <row r="61" spans="1:42" x14ac:dyDescent="0.25">
      <c r="A61" s="42">
        <v>180001</v>
      </c>
      <c r="B61" s="43" t="s">
        <v>884</v>
      </c>
      <c r="C61" s="44" t="e">
        <f t="shared" ref="C61:C79" si="34">Q61+AE61</f>
        <v>#REF!</v>
      </c>
      <c r="D61" s="44" t="e">
        <f t="shared" ref="D61:D79" si="35">R61+AF61</f>
        <v>#REF!</v>
      </c>
      <c r="E61" s="44" t="e">
        <f t="shared" ref="E61:E79" si="36">S61+AG61</f>
        <v>#REF!</v>
      </c>
      <c r="F61" s="44" t="e">
        <f t="shared" ref="F61:F79" si="37">T61+AH61</f>
        <v>#REF!</v>
      </c>
      <c r="G61" s="44" t="e">
        <f t="shared" ref="G61:G79" si="38">U61+AI61</f>
        <v>#REF!</v>
      </c>
      <c r="H61" s="44" t="e">
        <f t="shared" ref="H61:H79" si="39">V61+AJ61</f>
        <v>#REF!</v>
      </c>
      <c r="I61" s="44" t="e">
        <f t="shared" ref="I61:I79" si="40">W61+AK61</f>
        <v>#REF!</v>
      </c>
      <c r="J61" s="44" t="e">
        <f t="shared" ref="J61:J79" si="41">X61+AL61</f>
        <v>#REF!</v>
      </c>
      <c r="K61" s="44" t="e">
        <f t="shared" ref="K61:K79" si="42">Y61+AM61</f>
        <v>#REF!</v>
      </c>
      <c r="L61" s="44" t="e">
        <f t="shared" ref="L61:L79" si="43">Z61+AN61</f>
        <v>#REF!</v>
      </c>
      <c r="M61" s="44" t="e">
        <f t="shared" ref="M61:M79" si="44">AA61+AO61</f>
        <v>#REF!</v>
      </c>
      <c r="N61" s="44">
        <f t="shared" ref="N61:N79" si="45">AB61+AP61</f>
        <v>0</v>
      </c>
      <c r="Q61" s="44" t="e">
        <f>SUMIF(#REF!,$A61,#REF!)</f>
        <v>#REF!</v>
      </c>
      <c r="R61" s="44">
        <f>SUMIF(ALIF_Y2014!$A:$A,$A61,ALIF_Y2014!$F:$F)</f>
        <v>156339.99</v>
      </c>
      <c r="S61" s="44">
        <f>SUMIF(ALIF_Y2015!$A:$A,$A61,ALIF_Y2015!$F:$F)</f>
        <v>180341.72399999999</v>
      </c>
      <c r="T61" s="44">
        <f>SUMIF(ALIF_Y2016!$A:$A,$A61,ALIF_Y2016!$F:$F)</f>
        <v>0</v>
      </c>
      <c r="U61" s="44">
        <f>SUMIF(ALIF_Y2017!$A:$A,$A61,ALIF_Y2017!$F:$F)</f>
        <v>0</v>
      </c>
      <c r="V61" s="44">
        <f>SUMIF(ALIF_Y2018!$A:$A,$A61,ALIF_Y2018!$F:$F)</f>
        <v>0</v>
      </c>
      <c r="W61" s="44">
        <f>SUMIF(ALIF_Y2019!$A:$A,$A61,ALIF_Y2019!$F:$F)</f>
        <v>0</v>
      </c>
      <c r="X61" s="44">
        <f>SUMIF(ALIF_Y2020!$A:$A,$A61,ALIF_Y2020!$F:$F)</f>
        <v>460574.58399999997</v>
      </c>
      <c r="Y61" s="44">
        <f>SUMIF(ALIF_Y2021!$A:$A,$A61,ALIF_Y2021!$F:$F)</f>
        <v>472084.609</v>
      </c>
      <c r="Z61" s="44">
        <f>SUMIF(ALIF_Y2022!$A:$A,$A61,ALIF_Y2022!$F:$F)</f>
        <v>579715.09400000004</v>
      </c>
      <c r="AA61" s="44">
        <f>SUMIF(ALIF_Y2023!$A:$A,$A61,ALIF_Y2023!$F:$F)</f>
        <v>393596.77299999999</v>
      </c>
      <c r="AE61" s="44" t="e">
        <f>SUMIF(#REF!,$A61,#REF!)</f>
        <v>#REF!</v>
      </c>
      <c r="AF61" s="44" t="e">
        <f>SUMIF(#REF!,$A61,#REF!)</f>
        <v>#REF!</v>
      </c>
      <c r="AG61" s="44" t="e">
        <f>SUMIF(#REF!,$A61,#REF!)</f>
        <v>#REF!</v>
      </c>
      <c r="AH61" s="44" t="e">
        <f>SUMIF(#REF!,$A61,#REF!)</f>
        <v>#REF!</v>
      </c>
      <c r="AI61" s="44" t="e">
        <f>SUMIF(#REF!,$A61,#REF!)</f>
        <v>#REF!</v>
      </c>
      <c r="AJ61" s="44" t="e">
        <f>SUMIF(#REF!,$A61,#REF!)</f>
        <v>#REF!</v>
      </c>
      <c r="AK61" s="44" t="e">
        <f>SUMIF(#REF!,$A61,#REF!)</f>
        <v>#REF!</v>
      </c>
      <c r="AL61" s="44" t="e">
        <f>SUMIF(#REF!,$A61,#REF!)</f>
        <v>#REF!</v>
      </c>
      <c r="AM61" s="44" t="e">
        <f>SUMIF(#REF!,$A61,#REF!)</f>
        <v>#REF!</v>
      </c>
      <c r="AN61" s="44" t="e">
        <f>SUMIF(#REF!,$A61,#REF!)</f>
        <v>#REF!</v>
      </c>
      <c r="AO61" s="44" t="e">
        <f>SUMIF(#REF!,$A61,#REF!)</f>
        <v>#REF!</v>
      </c>
    </row>
    <row r="62" spans="1:42" x14ac:dyDescent="0.25">
      <c r="A62" s="42">
        <v>180002</v>
      </c>
      <c r="B62" s="43" t="s">
        <v>885</v>
      </c>
      <c r="C62" s="44" t="e">
        <f t="shared" si="34"/>
        <v>#REF!</v>
      </c>
      <c r="D62" s="44" t="e">
        <f t="shared" si="35"/>
        <v>#REF!</v>
      </c>
      <c r="E62" s="44" t="e">
        <f t="shared" si="36"/>
        <v>#REF!</v>
      </c>
      <c r="F62" s="44" t="e">
        <f t="shared" si="37"/>
        <v>#REF!</v>
      </c>
      <c r="G62" s="44" t="e">
        <f t="shared" si="38"/>
        <v>#REF!</v>
      </c>
      <c r="H62" s="44" t="e">
        <f t="shared" si="39"/>
        <v>#REF!</v>
      </c>
      <c r="I62" s="44" t="e">
        <f t="shared" si="40"/>
        <v>#REF!</v>
      </c>
      <c r="J62" s="44" t="e">
        <f t="shared" si="41"/>
        <v>#REF!</v>
      </c>
      <c r="K62" s="44" t="e">
        <f t="shared" si="42"/>
        <v>#REF!</v>
      </c>
      <c r="L62" s="44" t="e">
        <f t="shared" si="43"/>
        <v>#REF!</v>
      </c>
      <c r="M62" s="44" t="e">
        <f t="shared" si="44"/>
        <v>#REF!</v>
      </c>
      <c r="N62" s="44">
        <f t="shared" si="45"/>
        <v>0</v>
      </c>
      <c r="Q62" s="44" t="e">
        <f>SUMIF(#REF!,$A62,#REF!)</f>
        <v>#REF!</v>
      </c>
      <c r="R62" s="44">
        <f>SUMIF(ALIF_Y2014!$A:$A,$A62,ALIF_Y2014!$F:$F)</f>
        <v>0</v>
      </c>
      <c r="S62" s="44">
        <f>SUMIF(ALIF_Y2015!$A:$A,$A62,ALIF_Y2015!$F:$F)</f>
        <v>0</v>
      </c>
      <c r="T62" s="44">
        <f>SUMIF(ALIF_Y2016!$A:$A,$A62,ALIF_Y2016!$F:$F)</f>
        <v>0</v>
      </c>
      <c r="U62" s="44">
        <f>SUMIF(ALIF_Y2017!$A:$A,$A62,ALIF_Y2017!$F:$F)</f>
        <v>0</v>
      </c>
      <c r="V62" s="44">
        <f>SUMIF(ALIF_Y2018!$A:$A,$A62,ALIF_Y2018!$F:$F)</f>
        <v>0</v>
      </c>
      <c r="W62" s="44">
        <f>SUMIF(ALIF_Y2019!$A:$A,$A62,ALIF_Y2019!$F:$F)</f>
        <v>0</v>
      </c>
      <c r="X62" s="44">
        <f>SUMIF(ALIF_Y2020!$A:$A,$A62,ALIF_Y2020!$F:$F)</f>
        <v>0</v>
      </c>
      <c r="Y62" s="44">
        <f>SUMIF(ALIF_Y2021!$A:$A,$A62,ALIF_Y2021!$F:$F)</f>
        <v>0</v>
      </c>
      <c r="Z62" s="44">
        <f>SUMIF(ALIF_Y2022!$A:$A,$A62,ALIF_Y2022!$F:$F)</f>
        <v>0</v>
      </c>
      <c r="AA62" s="44">
        <f>SUMIF(ALIF_Y2023!$A:$A,$A62,ALIF_Y2023!$F:$F)</f>
        <v>0</v>
      </c>
      <c r="AE62" s="44" t="e">
        <f>SUMIF(#REF!,$A62,#REF!)</f>
        <v>#REF!</v>
      </c>
      <c r="AF62" s="44" t="e">
        <f>SUMIF(#REF!,$A62,#REF!)</f>
        <v>#REF!</v>
      </c>
      <c r="AG62" s="44" t="e">
        <f>SUMIF(#REF!,$A62,#REF!)</f>
        <v>#REF!</v>
      </c>
      <c r="AH62" s="44" t="e">
        <f>SUMIF(#REF!,$A62,#REF!)</f>
        <v>#REF!</v>
      </c>
      <c r="AI62" s="44" t="e">
        <f>SUMIF(#REF!,$A62,#REF!)</f>
        <v>#REF!</v>
      </c>
      <c r="AJ62" s="44" t="e">
        <f>SUMIF(#REF!,$A62,#REF!)</f>
        <v>#REF!</v>
      </c>
      <c r="AK62" s="44" t="e">
        <f>SUMIF(#REF!,$A62,#REF!)</f>
        <v>#REF!</v>
      </c>
      <c r="AL62" s="44" t="e">
        <f>SUMIF(#REF!,$A62,#REF!)</f>
        <v>#REF!</v>
      </c>
      <c r="AM62" s="44" t="e">
        <f>SUMIF(#REF!,$A62,#REF!)</f>
        <v>#REF!</v>
      </c>
      <c r="AN62" s="44" t="e">
        <f>SUMIF(#REF!,$A62,#REF!)</f>
        <v>#REF!</v>
      </c>
      <c r="AO62" s="44" t="e">
        <f>SUMIF(#REF!,$A62,#REF!)</f>
        <v>#REF!</v>
      </c>
    </row>
    <row r="63" spans="1:42" x14ac:dyDescent="0.25">
      <c r="A63" s="42">
        <v>180003</v>
      </c>
      <c r="B63" s="43" t="s">
        <v>886</v>
      </c>
      <c r="C63" s="44" t="e">
        <f t="shared" si="34"/>
        <v>#REF!</v>
      </c>
      <c r="D63" s="44" t="e">
        <f t="shared" si="35"/>
        <v>#REF!</v>
      </c>
      <c r="E63" s="44" t="e">
        <f t="shared" si="36"/>
        <v>#REF!</v>
      </c>
      <c r="F63" s="44" t="e">
        <f t="shared" si="37"/>
        <v>#REF!</v>
      </c>
      <c r="G63" s="44" t="e">
        <f t="shared" si="38"/>
        <v>#REF!</v>
      </c>
      <c r="H63" s="44" t="e">
        <f t="shared" si="39"/>
        <v>#REF!</v>
      </c>
      <c r="I63" s="44" t="e">
        <f t="shared" si="40"/>
        <v>#REF!</v>
      </c>
      <c r="J63" s="44" t="e">
        <f t="shared" si="41"/>
        <v>#REF!</v>
      </c>
      <c r="K63" s="44" t="e">
        <f t="shared" si="42"/>
        <v>#REF!</v>
      </c>
      <c r="L63" s="44" t="e">
        <f t="shared" si="43"/>
        <v>#REF!</v>
      </c>
      <c r="M63" s="44" t="e">
        <f t="shared" si="44"/>
        <v>#REF!</v>
      </c>
      <c r="N63" s="44">
        <f t="shared" si="45"/>
        <v>0</v>
      </c>
      <c r="Q63" s="44" t="e">
        <f>SUMIF(#REF!,$A63,#REF!)</f>
        <v>#REF!</v>
      </c>
      <c r="R63" s="44">
        <f>SUMIF(ALIF_Y2014!$A:$A,$A63,ALIF_Y2014!$F:$F)</f>
        <v>653513.32999999996</v>
      </c>
      <c r="S63" s="44">
        <f>SUMIF(ALIF_Y2015!$A:$A,$A63,ALIF_Y2015!$F:$F)</f>
        <v>1662493.5430000001</v>
      </c>
      <c r="T63" s="44">
        <f>SUMIF(ALIF_Y2016!$A:$A,$A63,ALIF_Y2016!$F:$F)</f>
        <v>3495512.389</v>
      </c>
      <c r="U63" s="44">
        <f>SUMIF(ALIF_Y2017!$A:$A,$A63,ALIF_Y2017!$F:$F)</f>
        <v>3299573.9649999999</v>
      </c>
      <c r="V63" s="44">
        <f>SUMIF(ALIF_Y2018!$A:$A,$A63,ALIF_Y2018!$F:$F)</f>
        <v>6617901.977</v>
      </c>
      <c r="W63" s="44">
        <f>SUMIF(ALIF_Y2019!$A:$A,$A63,ALIF_Y2019!$F:$F)</f>
        <v>9335439.2479999997</v>
      </c>
      <c r="X63" s="44">
        <f>SUMIF(ALIF_Y2020!$A:$A,$A63,ALIF_Y2020!$F:$F)</f>
        <v>9861152.8129999992</v>
      </c>
      <c r="Y63" s="44">
        <f>SUMIF(ALIF_Y2021!$A:$A,$A63,ALIF_Y2021!$F:$F)</f>
        <v>8204122.3789999997</v>
      </c>
      <c r="Z63" s="44">
        <f>SUMIF(ALIF_Y2022!$A:$A,$A63,ALIF_Y2022!$F:$F)</f>
        <v>8453179.3629999999</v>
      </c>
      <c r="AA63" s="44">
        <f>SUMIF(ALIF_Y2023!$A:$A,$A63,ALIF_Y2023!$F:$F)</f>
        <v>7034865.0970000001</v>
      </c>
      <c r="AE63" s="44" t="e">
        <f>SUMIF(#REF!,$A63,#REF!)</f>
        <v>#REF!</v>
      </c>
      <c r="AF63" s="44" t="e">
        <f>SUMIF(#REF!,$A63,#REF!)</f>
        <v>#REF!</v>
      </c>
      <c r="AG63" s="44" t="e">
        <f>SUMIF(#REF!,$A63,#REF!)</f>
        <v>#REF!</v>
      </c>
      <c r="AH63" s="44" t="e">
        <f>SUMIF(#REF!,$A63,#REF!)</f>
        <v>#REF!</v>
      </c>
      <c r="AI63" s="44" t="e">
        <f>SUMIF(#REF!,$A63,#REF!)</f>
        <v>#REF!</v>
      </c>
      <c r="AJ63" s="44" t="e">
        <f>SUMIF(#REF!,$A63,#REF!)</f>
        <v>#REF!</v>
      </c>
      <c r="AK63" s="44" t="e">
        <f>SUMIF(#REF!,$A63,#REF!)</f>
        <v>#REF!</v>
      </c>
      <c r="AL63" s="44" t="e">
        <f>SUMIF(#REF!,$A63,#REF!)</f>
        <v>#REF!</v>
      </c>
      <c r="AM63" s="44" t="e">
        <f>SUMIF(#REF!,$A63,#REF!)</f>
        <v>#REF!</v>
      </c>
      <c r="AN63" s="44" t="e">
        <f>SUMIF(#REF!,$A63,#REF!)</f>
        <v>#REF!</v>
      </c>
      <c r="AO63" s="44" t="e">
        <f>SUMIF(#REF!,$A63,#REF!)</f>
        <v>#REF!</v>
      </c>
    </row>
    <row r="64" spans="1:42" x14ac:dyDescent="0.25">
      <c r="A64" s="42">
        <v>180004</v>
      </c>
      <c r="B64" s="43" t="s">
        <v>887</v>
      </c>
      <c r="C64" s="44" t="e">
        <f t="shared" si="34"/>
        <v>#REF!</v>
      </c>
      <c r="D64" s="44" t="e">
        <f t="shared" si="35"/>
        <v>#REF!</v>
      </c>
      <c r="E64" s="44" t="e">
        <f t="shared" si="36"/>
        <v>#REF!</v>
      </c>
      <c r="F64" s="44" t="e">
        <f t="shared" si="37"/>
        <v>#REF!</v>
      </c>
      <c r="G64" s="44" t="e">
        <f t="shared" si="38"/>
        <v>#REF!</v>
      </c>
      <c r="H64" s="44" t="e">
        <f t="shared" si="39"/>
        <v>#REF!</v>
      </c>
      <c r="I64" s="44" t="e">
        <f t="shared" si="40"/>
        <v>#REF!</v>
      </c>
      <c r="J64" s="44" t="e">
        <f t="shared" si="41"/>
        <v>#REF!</v>
      </c>
      <c r="K64" s="44" t="e">
        <f t="shared" si="42"/>
        <v>#REF!</v>
      </c>
      <c r="L64" s="44" t="e">
        <f t="shared" si="43"/>
        <v>#REF!</v>
      </c>
      <c r="M64" s="44" t="e">
        <f t="shared" si="44"/>
        <v>#REF!</v>
      </c>
      <c r="N64" s="44">
        <f t="shared" si="45"/>
        <v>0</v>
      </c>
      <c r="Q64" s="44" t="e">
        <f>SUMIF(#REF!,$A64,#REF!)</f>
        <v>#REF!</v>
      </c>
      <c r="R64" s="44">
        <f>SUMIF(ALIF_Y2014!$A:$A,$A64,ALIF_Y2014!$F:$F)</f>
        <v>7043113.4110000003</v>
      </c>
      <c r="S64" s="44">
        <f>SUMIF(ALIF_Y2015!$A:$A,$A64,ALIF_Y2015!$F:$F)</f>
        <v>3346088.281</v>
      </c>
      <c r="T64" s="44">
        <f>SUMIF(ALIF_Y2016!$A:$A,$A64,ALIF_Y2016!$F:$F)</f>
        <v>2005087.6440000001</v>
      </c>
      <c r="U64" s="44">
        <f>SUMIF(ALIF_Y2017!$A:$A,$A64,ALIF_Y2017!$F:$F)</f>
        <v>5349660.4009999996</v>
      </c>
      <c r="V64" s="44">
        <f>SUMIF(ALIF_Y2018!$A:$A,$A64,ALIF_Y2018!$F:$F)</f>
        <v>17461290.598000001</v>
      </c>
      <c r="W64" s="44">
        <f>SUMIF(ALIF_Y2019!$A:$A,$A64,ALIF_Y2019!$F:$F)</f>
        <v>10353608.835999999</v>
      </c>
      <c r="X64" s="44">
        <f>SUMIF(ALIF_Y2020!$A:$A,$A64,ALIF_Y2020!$F:$F)</f>
        <v>6375063.9330000002</v>
      </c>
      <c r="Y64" s="44">
        <f>SUMIF(ALIF_Y2021!$A:$A,$A64,ALIF_Y2021!$F:$F)</f>
        <v>21414671.879000001</v>
      </c>
      <c r="Z64" s="44">
        <f>SUMIF(ALIF_Y2022!$A:$A,$A64,ALIF_Y2022!$F:$F)</f>
        <v>24628808.791000001</v>
      </c>
      <c r="AA64" s="44">
        <f>SUMIF(ALIF_Y2023!$A:$A,$A64,ALIF_Y2023!$F:$F)</f>
        <v>12721521.119999999</v>
      </c>
      <c r="AE64" s="44" t="e">
        <f>SUMIF(#REF!,$A64,#REF!)</f>
        <v>#REF!</v>
      </c>
      <c r="AF64" s="44" t="e">
        <f>SUMIF(#REF!,$A64,#REF!)</f>
        <v>#REF!</v>
      </c>
      <c r="AG64" s="44" t="e">
        <f>SUMIF(#REF!,$A64,#REF!)</f>
        <v>#REF!</v>
      </c>
      <c r="AH64" s="44" t="e">
        <f>SUMIF(#REF!,$A64,#REF!)</f>
        <v>#REF!</v>
      </c>
      <c r="AI64" s="44" t="e">
        <f>SUMIF(#REF!,$A64,#REF!)</f>
        <v>#REF!</v>
      </c>
      <c r="AJ64" s="44" t="e">
        <f>SUMIF(#REF!,$A64,#REF!)</f>
        <v>#REF!</v>
      </c>
      <c r="AK64" s="44" t="e">
        <f>SUMIF(#REF!,$A64,#REF!)</f>
        <v>#REF!</v>
      </c>
      <c r="AL64" s="44" t="e">
        <f>SUMIF(#REF!,$A64,#REF!)</f>
        <v>#REF!</v>
      </c>
      <c r="AM64" s="44" t="e">
        <f>SUMIF(#REF!,$A64,#REF!)</f>
        <v>#REF!</v>
      </c>
      <c r="AN64" s="44" t="e">
        <f>SUMIF(#REF!,$A64,#REF!)</f>
        <v>#REF!</v>
      </c>
      <c r="AO64" s="44" t="e">
        <f>SUMIF(#REF!,$A64,#REF!)</f>
        <v>#REF!</v>
      </c>
    </row>
    <row r="65" spans="1:42" x14ac:dyDescent="0.25">
      <c r="A65" s="42">
        <v>180005</v>
      </c>
      <c r="B65" s="43" t="s">
        <v>888</v>
      </c>
      <c r="C65" s="44" t="e">
        <f t="shared" si="34"/>
        <v>#REF!</v>
      </c>
      <c r="D65" s="44" t="e">
        <f t="shared" si="35"/>
        <v>#REF!</v>
      </c>
      <c r="E65" s="44" t="e">
        <f t="shared" si="36"/>
        <v>#REF!</v>
      </c>
      <c r="F65" s="44" t="e">
        <f t="shared" si="37"/>
        <v>#REF!</v>
      </c>
      <c r="G65" s="44" t="e">
        <f t="shared" si="38"/>
        <v>#REF!</v>
      </c>
      <c r="H65" s="44" t="e">
        <f t="shared" si="39"/>
        <v>#REF!</v>
      </c>
      <c r="I65" s="44" t="e">
        <f t="shared" si="40"/>
        <v>#REF!</v>
      </c>
      <c r="J65" s="44" t="e">
        <f t="shared" si="41"/>
        <v>#REF!</v>
      </c>
      <c r="K65" s="44" t="e">
        <f t="shared" si="42"/>
        <v>#REF!</v>
      </c>
      <c r="L65" s="44" t="e">
        <f t="shared" si="43"/>
        <v>#REF!</v>
      </c>
      <c r="M65" s="44" t="e">
        <f t="shared" si="44"/>
        <v>#REF!</v>
      </c>
      <c r="N65" s="44">
        <f t="shared" si="45"/>
        <v>0</v>
      </c>
      <c r="Q65" s="44" t="e">
        <f>SUMIF(#REF!,$A65,#REF!)</f>
        <v>#REF!</v>
      </c>
      <c r="R65" s="44">
        <f>SUMIF(ALIF_Y2014!$A:$A,$A65,ALIF_Y2014!$F:$F)</f>
        <v>5804758.5659999996</v>
      </c>
      <c r="S65" s="44">
        <f>SUMIF(ALIF_Y2015!$A:$A,$A65,ALIF_Y2015!$F:$F)</f>
        <v>5751580.5860000001</v>
      </c>
      <c r="T65" s="44">
        <f>SUMIF(ALIF_Y2016!$A:$A,$A65,ALIF_Y2016!$F:$F)</f>
        <v>1175699.1090000002</v>
      </c>
      <c r="U65" s="44">
        <f>SUMIF(ALIF_Y2017!$A:$A,$A65,ALIF_Y2017!$F:$F)</f>
        <v>2403224.9559999998</v>
      </c>
      <c r="V65" s="44">
        <f>SUMIF(ALIF_Y2018!$A:$A,$A65,ALIF_Y2018!$F:$F)</f>
        <v>13671938.976</v>
      </c>
      <c r="W65" s="44">
        <f>SUMIF(ALIF_Y2019!$A:$A,$A65,ALIF_Y2019!$F:$F)</f>
        <v>14923756.469000001</v>
      </c>
      <c r="X65" s="44">
        <f>SUMIF(ALIF_Y2020!$A:$A,$A65,ALIF_Y2020!$F:$F)</f>
        <v>13945865.502</v>
      </c>
      <c r="Y65" s="44">
        <f>SUMIF(ALIF_Y2021!$A:$A,$A65,ALIF_Y2021!$F:$F)</f>
        <v>10850303.380999999</v>
      </c>
      <c r="Z65" s="44">
        <f>SUMIF(ALIF_Y2022!$A:$A,$A65,ALIF_Y2022!$F:$F)</f>
        <v>22323654.041999999</v>
      </c>
      <c r="AA65" s="44">
        <f>SUMIF(ALIF_Y2023!$A:$A,$A65,ALIF_Y2023!$F:$F)</f>
        <v>6421066.4900000002</v>
      </c>
      <c r="AE65" s="44" t="e">
        <f>SUMIF(#REF!,$A65,#REF!)</f>
        <v>#REF!</v>
      </c>
      <c r="AF65" s="44" t="e">
        <f>SUMIF(#REF!,$A65,#REF!)</f>
        <v>#REF!</v>
      </c>
      <c r="AG65" s="44" t="e">
        <f>SUMIF(#REF!,$A65,#REF!)</f>
        <v>#REF!</v>
      </c>
      <c r="AH65" s="44" t="e">
        <f>SUMIF(#REF!,$A65,#REF!)</f>
        <v>#REF!</v>
      </c>
      <c r="AI65" s="44" t="e">
        <f>SUMIF(#REF!,$A65,#REF!)</f>
        <v>#REF!</v>
      </c>
      <c r="AJ65" s="44" t="e">
        <f>SUMIF(#REF!,$A65,#REF!)</f>
        <v>#REF!</v>
      </c>
      <c r="AK65" s="44" t="e">
        <f>SUMIF(#REF!,$A65,#REF!)</f>
        <v>#REF!</v>
      </c>
      <c r="AL65" s="44" t="e">
        <f>SUMIF(#REF!,$A65,#REF!)</f>
        <v>#REF!</v>
      </c>
      <c r="AM65" s="44" t="e">
        <f>SUMIF(#REF!,$A65,#REF!)</f>
        <v>#REF!</v>
      </c>
      <c r="AN65" s="44" t="e">
        <f>SUMIF(#REF!,$A65,#REF!)</f>
        <v>#REF!</v>
      </c>
      <c r="AO65" s="44" t="e">
        <f>SUMIF(#REF!,$A65,#REF!)</f>
        <v>#REF!</v>
      </c>
    </row>
    <row r="66" spans="1:42" x14ac:dyDescent="0.25">
      <c r="A66" s="42">
        <v>180006</v>
      </c>
      <c r="B66" s="43" t="s">
        <v>889</v>
      </c>
      <c r="C66" s="44" t="e">
        <f t="shared" si="34"/>
        <v>#REF!</v>
      </c>
      <c r="D66" s="44" t="e">
        <f t="shared" si="35"/>
        <v>#REF!</v>
      </c>
      <c r="E66" s="44" t="e">
        <f t="shared" si="36"/>
        <v>#REF!</v>
      </c>
      <c r="F66" s="44" t="e">
        <f t="shared" si="37"/>
        <v>#REF!</v>
      </c>
      <c r="G66" s="44" t="e">
        <f t="shared" si="38"/>
        <v>#REF!</v>
      </c>
      <c r="H66" s="44" t="e">
        <f t="shared" si="39"/>
        <v>#REF!</v>
      </c>
      <c r="I66" s="44" t="e">
        <f t="shared" si="40"/>
        <v>#REF!</v>
      </c>
      <c r="J66" s="44" t="e">
        <f t="shared" si="41"/>
        <v>#REF!</v>
      </c>
      <c r="K66" s="44" t="e">
        <f t="shared" si="42"/>
        <v>#REF!</v>
      </c>
      <c r="L66" s="44" t="e">
        <f t="shared" si="43"/>
        <v>#REF!</v>
      </c>
      <c r="M66" s="44" t="e">
        <f t="shared" si="44"/>
        <v>#REF!</v>
      </c>
      <c r="N66" s="44">
        <f t="shared" si="45"/>
        <v>0</v>
      </c>
      <c r="Q66" s="44" t="e">
        <f>SUMIF(#REF!,$A66,#REF!)</f>
        <v>#REF!</v>
      </c>
      <c r="R66" s="44">
        <f>SUMIF(ALIF_Y2014!$A:$A,$A66,ALIF_Y2014!$F:$F)</f>
        <v>673548.34199999995</v>
      </c>
      <c r="S66" s="44">
        <f>SUMIF(ALIF_Y2015!$A:$A,$A66,ALIF_Y2015!$F:$F)</f>
        <v>1294747.0009999999</v>
      </c>
      <c r="T66" s="44">
        <f>SUMIF(ALIF_Y2016!$A:$A,$A66,ALIF_Y2016!$F:$F)</f>
        <v>1169678.9839999999</v>
      </c>
      <c r="U66" s="44">
        <f>SUMIF(ALIF_Y2017!$A:$A,$A66,ALIF_Y2017!$F:$F)</f>
        <v>425239.42300000001</v>
      </c>
      <c r="V66" s="44">
        <f>SUMIF(ALIF_Y2018!$A:$A,$A66,ALIF_Y2018!$F:$F)</f>
        <v>3405824.1009999998</v>
      </c>
      <c r="W66" s="44">
        <f>SUMIF(ALIF_Y2019!$A:$A,$A66,ALIF_Y2019!$F:$F)</f>
        <v>1669803.713</v>
      </c>
      <c r="X66" s="44">
        <f>SUMIF(ALIF_Y2020!$A:$A,$A66,ALIF_Y2020!$F:$F)</f>
        <v>378972.29800000001</v>
      </c>
      <c r="Y66" s="44">
        <f>SUMIF(ALIF_Y2021!$A:$A,$A66,ALIF_Y2021!$F:$F)</f>
        <v>606028.99699999997</v>
      </c>
      <c r="Z66" s="44">
        <f>SUMIF(ALIF_Y2022!$A:$A,$A66,ALIF_Y2022!$F:$F)</f>
        <v>1300362.7749999999</v>
      </c>
      <c r="AA66" s="44">
        <f>SUMIF(ALIF_Y2023!$A:$A,$A66,ALIF_Y2023!$F:$F)</f>
        <v>485139.35100000002</v>
      </c>
      <c r="AE66" s="44" t="e">
        <f>SUMIF(#REF!,$A66,#REF!)</f>
        <v>#REF!</v>
      </c>
      <c r="AF66" s="44" t="e">
        <f>SUMIF(#REF!,$A66,#REF!)</f>
        <v>#REF!</v>
      </c>
      <c r="AG66" s="44" t="e">
        <f>SUMIF(#REF!,$A66,#REF!)</f>
        <v>#REF!</v>
      </c>
      <c r="AH66" s="44" t="e">
        <f>SUMIF(#REF!,$A66,#REF!)</f>
        <v>#REF!</v>
      </c>
      <c r="AI66" s="44" t="e">
        <f>SUMIF(#REF!,$A66,#REF!)</f>
        <v>#REF!</v>
      </c>
      <c r="AJ66" s="44" t="e">
        <f>SUMIF(#REF!,$A66,#REF!)</f>
        <v>#REF!</v>
      </c>
      <c r="AK66" s="44" t="e">
        <f>SUMIF(#REF!,$A66,#REF!)</f>
        <v>#REF!</v>
      </c>
      <c r="AL66" s="44" t="e">
        <f>SUMIF(#REF!,$A66,#REF!)</f>
        <v>#REF!</v>
      </c>
      <c r="AM66" s="44" t="e">
        <f>SUMIF(#REF!,$A66,#REF!)</f>
        <v>#REF!</v>
      </c>
      <c r="AN66" s="44" t="e">
        <f>SUMIF(#REF!,$A66,#REF!)</f>
        <v>#REF!</v>
      </c>
      <c r="AO66" s="44" t="e">
        <f>SUMIF(#REF!,$A66,#REF!)</f>
        <v>#REF!</v>
      </c>
    </row>
    <row r="67" spans="1:42" x14ac:dyDescent="0.25">
      <c r="A67" s="42">
        <v>180007</v>
      </c>
      <c r="B67" s="43" t="s">
        <v>890</v>
      </c>
      <c r="C67" s="44" t="e">
        <f t="shared" si="34"/>
        <v>#REF!</v>
      </c>
      <c r="D67" s="44" t="e">
        <f t="shared" si="35"/>
        <v>#REF!</v>
      </c>
      <c r="E67" s="44" t="e">
        <f t="shared" si="36"/>
        <v>#REF!</v>
      </c>
      <c r="F67" s="44" t="e">
        <f t="shared" si="37"/>
        <v>#REF!</v>
      </c>
      <c r="G67" s="44" t="e">
        <f t="shared" si="38"/>
        <v>#REF!</v>
      </c>
      <c r="H67" s="44" t="e">
        <f t="shared" si="39"/>
        <v>#REF!</v>
      </c>
      <c r="I67" s="44" t="e">
        <f t="shared" si="40"/>
        <v>#REF!</v>
      </c>
      <c r="J67" s="44" t="e">
        <f t="shared" si="41"/>
        <v>#REF!</v>
      </c>
      <c r="K67" s="44" t="e">
        <f t="shared" si="42"/>
        <v>#REF!</v>
      </c>
      <c r="L67" s="44" t="e">
        <f t="shared" si="43"/>
        <v>#REF!</v>
      </c>
      <c r="M67" s="44" t="e">
        <f t="shared" si="44"/>
        <v>#REF!</v>
      </c>
      <c r="N67" s="44">
        <f t="shared" si="45"/>
        <v>0</v>
      </c>
      <c r="Q67" s="44" t="e">
        <f>SUMIF(#REF!,$A67,#REF!)</f>
        <v>#REF!</v>
      </c>
      <c r="R67" s="44">
        <f>SUMIF(ALIF_Y2014!$A:$A,$A67,ALIF_Y2014!$F:$F)</f>
        <v>2013760.004</v>
      </c>
      <c r="S67" s="44">
        <f>SUMIF(ALIF_Y2015!$A:$A,$A67,ALIF_Y2015!$F:$F)</f>
        <v>1532382.561</v>
      </c>
      <c r="T67" s="44">
        <f>SUMIF(ALIF_Y2016!$A:$A,$A67,ALIF_Y2016!$F:$F)</f>
        <v>2977379.26</v>
      </c>
      <c r="U67" s="44">
        <f>SUMIF(ALIF_Y2017!$A:$A,$A67,ALIF_Y2017!$F:$F)</f>
        <v>1090998.24</v>
      </c>
      <c r="V67" s="44">
        <f>SUMIF(ALIF_Y2018!$A:$A,$A67,ALIF_Y2018!$F:$F)</f>
        <v>1973924.3</v>
      </c>
      <c r="W67" s="44">
        <f>SUMIF(ALIF_Y2019!$A:$A,$A67,ALIF_Y2019!$F:$F)</f>
        <v>4219396.8190000001</v>
      </c>
      <c r="X67" s="44">
        <f>SUMIF(ALIF_Y2020!$A:$A,$A67,ALIF_Y2020!$F:$F)</f>
        <v>1119777.0859999999</v>
      </c>
      <c r="Y67" s="44">
        <f>SUMIF(ALIF_Y2021!$A:$A,$A67,ALIF_Y2021!$F:$F)</f>
        <v>2466116.929</v>
      </c>
      <c r="Z67" s="44">
        <f>SUMIF(ALIF_Y2022!$A:$A,$A67,ALIF_Y2022!$F:$F)</f>
        <v>6583839.9369999999</v>
      </c>
      <c r="AA67" s="44">
        <f>SUMIF(ALIF_Y2023!$A:$A,$A67,ALIF_Y2023!$F:$F)</f>
        <v>144366.50099999999</v>
      </c>
      <c r="AE67" s="44" t="e">
        <f>SUMIF(#REF!,$A67,#REF!)</f>
        <v>#REF!</v>
      </c>
      <c r="AF67" s="44" t="e">
        <f>SUMIF(#REF!,$A67,#REF!)</f>
        <v>#REF!</v>
      </c>
      <c r="AG67" s="44" t="e">
        <f>SUMIF(#REF!,$A67,#REF!)</f>
        <v>#REF!</v>
      </c>
      <c r="AH67" s="44" t="e">
        <f>SUMIF(#REF!,$A67,#REF!)</f>
        <v>#REF!</v>
      </c>
      <c r="AI67" s="44" t="e">
        <f>SUMIF(#REF!,$A67,#REF!)</f>
        <v>#REF!</v>
      </c>
      <c r="AJ67" s="44" t="e">
        <f>SUMIF(#REF!,$A67,#REF!)</f>
        <v>#REF!</v>
      </c>
      <c r="AK67" s="44" t="e">
        <f>SUMIF(#REF!,$A67,#REF!)</f>
        <v>#REF!</v>
      </c>
      <c r="AL67" s="44" t="e">
        <f>SUMIF(#REF!,$A67,#REF!)</f>
        <v>#REF!</v>
      </c>
      <c r="AM67" s="44" t="e">
        <f>SUMIF(#REF!,$A67,#REF!)</f>
        <v>#REF!</v>
      </c>
      <c r="AN67" s="44" t="e">
        <f>SUMIF(#REF!,$A67,#REF!)</f>
        <v>#REF!</v>
      </c>
      <c r="AO67" s="44" t="e">
        <f>SUMIF(#REF!,$A67,#REF!)</f>
        <v>#REF!</v>
      </c>
    </row>
    <row r="68" spans="1:42" x14ac:dyDescent="0.25">
      <c r="A68" s="42">
        <v>180008</v>
      </c>
      <c r="B68" s="43" t="s">
        <v>891</v>
      </c>
      <c r="C68" s="44" t="e">
        <f t="shared" si="34"/>
        <v>#REF!</v>
      </c>
      <c r="D68" s="44" t="e">
        <f t="shared" si="35"/>
        <v>#REF!</v>
      </c>
      <c r="E68" s="44" t="e">
        <f t="shared" si="36"/>
        <v>#REF!</v>
      </c>
      <c r="F68" s="44" t="e">
        <f t="shared" si="37"/>
        <v>#REF!</v>
      </c>
      <c r="G68" s="44" t="e">
        <f t="shared" si="38"/>
        <v>#REF!</v>
      </c>
      <c r="H68" s="44" t="e">
        <f t="shared" si="39"/>
        <v>#REF!</v>
      </c>
      <c r="I68" s="44" t="e">
        <f t="shared" si="40"/>
        <v>#REF!</v>
      </c>
      <c r="J68" s="44" t="e">
        <f t="shared" si="41"/>
        <v>#REF!</v>
      </c>
      <c r="K68" s="44" t="e">
        <f t="shared" si="42"/>
        <v>#REF!</v>
      </c>
      <c r="L68" s="44" t="e">
        <f t="shared" si="43"/>
        <v>#REF!</v>
      </c>
      <c r="M68" s="44" t="e">
        <f t="shared" si="44"/>
        <v>#REF!</v>
      </c>
      <c r="N68" s="44">
        <f t="shared" si="45"/>
        <v>0</v>
      </c>
      <c r="Q68" s="44" t="e">
        <f>SUMIF(#REF!,$A68,#REF!)</f>
        <v>#REF!</v>
      </c>
      <c r="R68" s="44">
        <f>SUMIF(ALIF_Y2014!$A:$A,$A68,ALIF_Y2014!$F:$F)</f>
        <v>1442056.1510000001</v>
      </c>
      <c r="S68" s="44">
        <f>SUMIF(ALIF_Y2015!$A:$A,$A68,ALIF_Y2015!$F:$F)</f>
        <v>1499877.777</v>
      </c>
      <c r="T68" s="44">
        <f>SUMIF(ALIF_Y2016!$A:$A,$A68,ALIF_Y2016!$F:$F)</f>
        <v>1400127.8160000001</v>
      </c>
      <c r="U68" s="44">
        <f>SUMIF(ALIF_Y2017!$A:$A,$A68,ALIF_Y2017!$F:$F)</f>
        <v>1568037.8160000001</v>
      </c>
      <c r="V68" s="44">
        <f>SUMIF(ALIF_Y2018!$A:$A,$A68,ALIF_Y2018!$F:$F)</f>
        <v>1868994.2479999999</v>
      </c>
      <c r="W68" s="44">
        <f>SUMIF(ALIF_Y2019!$A:$A,$A68,ALIF_Y2019!$F:$F)</f>
        <v>1599925.6640000001</v>
      </c>
      <c r="X68" s="44">
        <f>SUMIF(ALIF_Y2020!$A:$A,$A68,ALIF_Y2020!$F:$F)</f>
        <v>0</v>
      </c>
      <c r="Y68" s="44">
        <f>SUMIF(ALIF_Y2021!$A:$A,$A68,ALIF_Y2021!$F:$F)</f>
        <v>0</v>
      </c>
      <c r="Z68" s="44">
        <f>SUMIF(ALIF_Y2022!$A:$A,$A68,ALIF_Y2022!$F:$F)</f>
        <v>0</v>
      </c>
      <c r="AA68" s="44">
        <f>SUMIF(ALIF_Y2023!$A:$A,$A68,ALIF_Y2023!$F:$F)</f>
        <v>0</v>
      </c>
      <c r="AE68" s="44" t="e">
        <f>SUMIF(#REF!,$A68,#REF!)</f>
        <v>#REF!</v>
      </c>
      <c r="AF68" s="44" t="e">
        <f>SUMIF(#REF!,$A68,#REF!)</f>
        <v>#REF!</v>
      </c>
      <c r="AG68" s="44" t="e">
        <f>SUMIF(#REF!,$A68,#REF!)</f>
        <v>#REF!</v>
      </c>
      <c r="AH68" s="44" t="e">
        <f>SUMIF(#REF!,$A68,#REF!)</f>
        <v>#REF!</v>
      </c>
      <c r="AI68" s="44" t="e">
        <f>SUMIF(#REF!,$A68,#REF!)</f>
        <v>#REF!</v>
      </c>
      <c r="AJ68" s="44" t="e">
        <f>SUMIF(#REF!,$A68,#REF!)</f>
        <v>#REF!</v>
      </c>
      <c r="AK68" s="44" t="e">
        <f>SUMIF(#REF!,$A68,#REF!)</f>
        <v>#REF!</v>
      </c>
      <c r="AL68" s="44" t="e">
        <f>SUMIF(#REF!,$A68,#REF!)</f>
        <v>#REF!</v>
      </c>
      <c r="AM68" s="44" t="e">
        <f>SUMIF(#REF!,$A68,#REF!)</f>
        <v>#REF!</v>
      </c>
      <c r="AN68" s="44" t="e">
        <f>SUMIF(#REF!,$A68,#REF!)</f>
        <v>#REF!</v>
      </c>
      <c r="AO68" s="44" t="e">
        <f>SUMIF(#REF!,$A68,#REF!)</f>
        <v>#REF!</v>
      </c>
    </row>
    <row r="69" spans="1:42" x14ac:dyDescent="0.25">
      <c r="A69" s="42">
        <v>180009</v>
      </c>
      <c r="B69" s="43" t="s">
        <v>892</v>
      </c>
      <c r="C69" s="44" t="e">
        <f t="shared" si="34"/>
        <v>#REF!</v>
      </c>
      <c r="D69" s="44" t="e">
        <f t="shared" si="35"/>
        <v>#REF!</v>
      </c>
      <c r="E69" s="44" t="e">
        <f t="shared" si="36"/>
        <v>#REF!</v>
      </c>
      <c r="F69" s="44" t="e">
        <f t="shared" si="37"/>
        <v>#REF!</v>
      </c>
      <c r="G69" s="44" t="e">
        <f t="shared" si="38"/>
        <v>#REF!</v>
      </c>
      <c r="H69" s="44" t="e">
        <f t="shared" si="39"/>
        <v>#REF!</v>
      </c>
      <c r="I69" s="44" t="e">
        <f t="shared" si="40"/>
        <v>#REF!</v>
      </c>
      <c r="J69" s="44" t="e">
        <f t="shared" si="41"/>
        <v>#REF!</v>
      </c>
      <c r="K69" s="44" t="e">
        <f t="shared" si="42"/>
        <v>#REF!</v>
      </c>
      <c r="L69" s="44" t="e">
        <f t="shared" si="43"/>
        <v>#REF!</v>
      </c>
      <c r="M69" s="44" t="e">
        <f t="shared" si="44"/>
        <v>#REF!</v>
      </c>
      <c r="N69" s="44">
        <f t="shared" si="45"/>
        <v>0</v>
      </c>
      <c r="Q69" s="44" t="e">
        <f>SUMIF(#REF!,$A69,#REF!)</f>
        <v>#REF!</v>
      </c>
      <c r="R69" s="44">
        <f>SUMIF(ALIF_Y2014!$A:$A,$A69,ALIF_Y2014!$F:$F)</f>
        <v>1</v>
      </c>
      <c r="S69" s="44">
        <f>SUMIF(ALIF_Y2015!$A:$A,$A69,ALIF_Y2015!$F:$F)</f>
        <v>0</v>
      </c>
      <c r="T69" s="44">
        <f>SUMIF(ALIF_Y2016!$A:$A,$A69,ALIF_Y2016!$F:$F)</f>
        <v>6916688.2850000001</v>
      </c>
      <c r="U69" s="44">
        <f>SUMIF(ALIF_Y2017!$A:$A,$A69,ALIF_Y2017!$F:$F)</f>
        <v>-0.02</v>
      </c>
      <c r="V69" s="44">
        <f>SUMIF(ALIF_Y2018!$A:$A,$A69,ALIF_Y2018!$F:$F)</f>
        <v>-4.0000000000000001E-3</v>
      </c>
      <c r="W69" s="44">
        <f>SUMIF(ALIF_Y2019!$A:$A,$A69,ALIF_Y2019!$F:$F)</f>
        <v>0</v>
      </c>
      <c r="X69" s="44">
        <f>SUMIF(ALIF_Y2020!$A:$A,$A69,ALIF_Y2020!$F:$F)</f>
        <v>0</v>
      </c>
      <c r="Y69" s="44">
        <f>SUMIF(ALIF_Y2021!$A:$A,$A69,ALIF_Y2021!$F:$F)</f>
        <v>0</v>
      </c>
      <c r="Z69" s="44">
        <f>SUMIF(ALIF_Y2022!$A:$A,$A69,ALIF_Y2022!$F:$F)</f>
        <v>0</v>
      </c>
      <c r="AA69" s="44">
        <f>SUMIF(ALIF_Y2023!$A:$A,$A69,ALIF_Y2023!$F:$F)</f>
        <v>0</v>
      </c>
      <c r="AE69" s="44" t="e">
        <f>SUMIF(#REF!,$A69,#REF!)</f>
        <v>#REF!</v>
      </c>
      <c r="AF69" s="44" t="e">
        <f>SUMIF(#REF!,$A69,#REF!)</f>
        <v>#REF!</v>
      </c>
      <c r="AG69" s="44" t="e">
        <f>SUMIF(#REF!,$A69,#REF!)</f>
        <v>#REF!</v>
      </c>
      <c r="AH69" s="44" t="e">
        <f>SUMIF(#REF!,$A69,#REF!)</f>
        <v>#REF!</v>
      </c>
      <c r="AI69" s="44" t="e">
        <f>SUMIF(#REF!,$A69,#REF!)</f>
        <v>#REF!</v>
      </c>
      <c r="AJ69" s="44" t="e">
        <f>SUMIF(#REF!,$A69,#REF!)</f>
        <v>#REF!</v>
      </c>
      <c r="AK69" s="44" t="e">
        <f>SUMIF(#REF!,$A69,#REF!)</f>
        <v>#REF!</v>
      </c>
      <c r="AL69" s="44" t="e">
        <f>SUMIF(#REF!,$A69,#REF!)</f>
        <v>#REF!</v>
      </c>
      <c r="AM69" s="44" t="e">
        <f>SUMIF(#REF!,$A69,#REF!)</f>
        <v>#REF!</v>
      </c>
      <c r="AN69" s="44" t="e">
        <f>SUMIF(#REF!,$A69,#REF!)</f>
        <v>#REF!</v>
      </c>
      <c r="AO69" s="44" t="e">
        <f>SUMIF(#REF!,$A69,#REF!)</f>
        <v>#REF!</v>
      </c>
    </row>
    <row r="70" spans="1:42" x14ac:dyDescent="0.25">
      <c r="A70" s="42">
        <v>180010</v>
      </c>
      <c r="B70" s="43" t="s">
        <v>893</v>
      </c>
      <c r="C70" s="44" t="e">
        <f t="shared" si="34"/>
        <v>#REF!</v>
      </c>
      <c r="D70" s="44" t="e">
        <f t="shared" si="35"/>
        <v>#REF!</v>
      </c>
      <c r="E70" s="44" t="e">
        <f t="shared" si="36"/>
        <v>#REF!</v>
      </c>
      <c r="F70" s="44" t="e">
        <f t="shared" si="37"/>
        <v>#REF!</v>
      </c>
      <c r="G70" s="44" t="e">
        <f t="shared" si="38"/>
        <v>#REF!</v>
      </c>
      <c r="H70" s="44" t="e">
        <f t="shared" si="39"/>
        <v>#REF!</v>
      </c>
      <c r="I70" s="44" t="e">
        <f t="shared" si="40"/>
        <v>#REF!</v>
      </c>
      <c r="J70" s="44" t="e">
        <f t="shared" si="41"/>
        <v>#REF!</v>
      </c>
      <c r="K70" s="44" t="e">
        <f t="shared" si="42"/>
        <v>#REF!</v>
      </c>
      <c r="L70" s="44" t="e">
        <f t="shared" si="43"/>
        <v>#REF!</v>
      </c>
      <c r="M70" s="44" t="e">
        <f t="shared" si="44"/>
        <v>#REF!</v>
      </c>
      <c r="N70" s="44">
        <f t="shared" si="45"/>
        <v>0</v>
      </c>
      <c r="Q70" s="44" t="e">
        <f>SUMIF(#REF!,$A70,#REF!)</f>
        <v>#REF!</v>
      </c>
      <c r="R70" s="44">
        <f>SUMIF(ALIF_Y2014!$A:$A,$A70,ALIF_Y2014!$F:$F)</f>
        <v>1212335.835</v>
      </c>
      <c r="S70" s="44">
        <f>SUMIF(ALIF_Y2015!$A:$A,$A70,ALIF_Y2015!$F:$F)</f>
        <v>1327453.811</v>
      </c>
      <c r="T70" s="44">
        <f>SUMIF(ALIF_Y2016!$A:$A,$A70,ALIF_Y2016!$F:$F)</f>
        <v>1398956.7789999999</v>
      </c>
      <c r="U70" s="44">
        <f>SUMIF(ALIF_Y2017!$A:$A,$A70,ALIF_Y2017!$F:$F)</f>
        <v>1731640.504</v>
      </c>
      <c r="V70" s="44">
        <f>SUMIF(ALIF_Y2018!$A:$A,$A70,ALIF_Y2018!$F:$F)</f>
        <v>3284487.0350000001</v>
      </c>
      <c r="W70" s="44">
        <f>SUMIF(ALIF_Y2019!$A:$A,$A70,ALIF_Y2019!$F:$F)</f>
        <v>4243921.3739999998</v>
      </c>
      <c r="X70" s="44">
        <f>SUMIF(ALIF_Y2020!$A:$A,$A70,ALIF_Y2020!$F:$F)</f>
        <v>2923428.2549999999</v>
      </c>
      <c r="Y70" s="44">
        <f>SUMIF(ALIF_Y2021!$A:$A,$A70,ALIF_Y2021!$F:$F)</f>
        <v>3671446.071</v>
      </c>
      <c r="Z70" s="44">
        <f>SUMIF(ALIF_Y2022!$A:$A,$A70,ALIF_Y2022!$F:$F)</f>
        <v>3804138.2889999999</v>
      </c>
      <c r="AA70" s="44">
        <f>SUMIF(ALIF_Y2023!$A:$A,$A70,ALIF_Y2023!$F:$F)</f>
        <v>2205127.1439999999</v>
      </c>
      <c r="AE70" s="44" t="e">
        <f>SUMIF(#REF!,$A70,#REF!)</f>
        <v>#REF!</v>
      </c>
      <c r="AF70" s="44" t="e">
        <f>SUMIF(#REF!,$A70,#REF!)</f>
        <v>#REF!</v>
      </c>
      <c r="AG70" s="44" t="e">
        <f>SUMIF(#REF!,$A70,#REF!)</f>
        <v>#REF!</v>
      </c>
      <c r="AH70" s="44" t="e">
        <f>SUMIF(#REF!,$A70,#REF!)</f>
        <v>#REF!</v>
      </c>
      <c r="AI70" s="44" t="e">
        <f>SUMIF(#REF!,$A70,#REF!)</f>
        <v>#REF!</v>
      </c>
      <c r="AJ70" s="44" t="e">
        <f>SUMIF(#REF!,$A70,#REF!)</f>
        <v>#REF!</v>
      </c>
      <c r="AK70" s="44" t="e">
        <f>SUMIF(#REF!,$A70,#REF!)</f>
        <v>#REF!</v>
      </c>
      <c r="AL70" s="44" t="e">
        <f>SUMIF(#REF!,$A70,#REF!)</f>
        <v>#REF!</v>
      </c>
      <c r="AM70" s="44" t="e">
        <f>SUMIF(#REF!,$A70,#REF!)</f>
        <v>#REF!</v>
      </c>
      <c r="AN70" s="44" t="e">
        <f>SUMIF(#REF!,$A70,#REF!)</f>
        <v>#REF!</v>
      </c>
      <c r="AO70" s="44" t="e">
        <f>SUMIF(#REF!,$A70,#REF!)</f>
        <v>#REF!</v>
      </c>
    </row>
    <row r="71" spans="1:42" x14ac:dyDescent="0.25">
      <c r="A71" s="42">
        <v>180011</v>
      </c>
      <c r="B71" s="43" t="s">
        <v>894</v>
      </c>
      <c r="C71" s="44" t="e">
        <f t="shared" si="34"/>
        <v>#REF!</v>
      </c>
      <c r="D71" s="44" t="e">
        <f t="shared" si="35"/>
        <v>#REF!</v>
      </c>
      <c r="E71" s="44" t="e">
        <f t="shared" si="36"/>
        <v>#REF!</v>
      </c>
      <c r="F71" s="44" t="e">
        <f t="shared" si="37"/>
        <v>#REF!</v>
      </c>
      <c r="G71" s="44" t="e">
        <f t="shared" si="38"/>
        <v>#REF!</v>
      </c>
      <c r="H71" s="44" t="e">
        <f t="shared" si="39"/>
        <v>#REF!</v>
      </c>
      <c r="I71" s="44" t="e">
        <f t="shared" si="40"/>
        <v>#REF!</v>
      </c>
      <c r="J71" s="44" t="e">
        <f t="shared" si="41"/>
        <v>#REF!</v>
      </c>
      <c r="K71" s="44" t="e">
        <f t="shared" si="42"/>
        <v>#REF!</v>
      </c>
      <c r="L71" s="44" t="e">
        <f t="shared" si="43"/>
        <v>#REF!</v>
      </c>
      <c r="M71" s="44" t="e">
        <f t="shared" si="44"/>
        <v>#REF!</v>
      </c>
      <c r="N71" s="44">
        <f t="shared" si="45"/>
        <v>0</v>
      </c>
      <c r="Q71" s="44" t="e">
        <f>SUMIF(#REF!,$A71,#REF!)</f>
        <v>#REF!</v>
      </c>
      <c r="R71" s="44">
        <f>SUMIF(ALIF_Y2014!$A:$A,$A71,ALIF_Y2014!$F:$F)</f>
        <v>5822773.6179999998</v>
      </c>
      <c r="S71" s="44">
        <f>SUMIF(ALIF_Y2015!$A:$A,$A71,ALIF_Y2015!$F:$F)</f>
        <v>3798456.87</v>
      </c>
      <c r="T71" s="44">
        <f>SUMIF(ALIF_Y2016!$A:$A,$A71,ALIF_Y2016!$F:$F)</f>
        <v>3693398.7229999998</v>
      </c>
      <c r="U71" s="44">
        <f>SUMIF(ALIF_Y2017!$A:$A,$A71,ALIF_Y2017!$F:$F)</f>
        <v>3759293.67</v>
      </c>
      <c r="V71" s="44">
        <f>SUMIF(ALIF_Y2018!$A:$A,$A71,ALIF_Y2018!$F:$F)</f>
        <v>5990529.9390000002</v>
      </c>
      <c r="W71" s="44">
        <f>SUMIF(ALIF_Y2019!$A:$A,$A71,ALIF_Y2019!$F:$F)</f>
        <v>4916871.9639999997</v>
      </c>
      <c r="X71" s="44">
        <f>SUMIF(ALIF_Y2020!$A:$A,$A71,ALIF_Y2020!$F:$F)</f>
        <v>2860145.8280000002</v>
      </c>
      <c r="Y71" s="44">
        <f>SUMIF(ALIF_Y2021!$A:$A,$A71,ALIF_Y2021!$F:$F)</f>
        <v>4353614.0590000004</v>
      </c>
      <c r="Z71" s="44">
        <f>SUMIF(ALIF_Y2022!$A:$A,$A71,ALIF_Y2022!$F:$F)</f>
        <v>15057738.582</v>
      </c>
      <c r="AA71" s="44">
        <f>SUMIF(ALIF_Y2023!$A:$A,$A71,ALIF_Y2023!$F:$F)</f>
        <v>9655616.7899999991</v>
      </c>
      <c r="AE71" s="44" t="e">
        <f>SUMIF(#REF!,$A71,#REF!)</f>
        <v>#REF!</v>
      </c>
      <c r="AF71" s="44" t="e">
        <f>SUMIF(#REF!,$A71,#REF!)</f>
        <v>#REF!</v>
      </c>
      <c r="AG71" s="44" t="e">
        <f>SUMIF(#REF!,$A71,#REF!)</f>
        <v>#REF!</v>
      </c>
      <c r="AH71" s="44" t="e">
        <f>SUMIF(#REF!,$A71,#REF!)</f>
        <v>#REF!</v>
      </c>
      <c r="AI71" s="44" t="e">
        <f>SUMIF(#REF!,$A71,#REF!)</f>
        <v>#REF!</v>
      </c>
      <c r="AJ71" s="44" t="e">
        <f>SUMIF(#REF!,$A71,#REF!)</f>
        <v>#REF!</v>
      </c>
      <c r="AK71" s="44" t="e">
        <f>SUMIF(#REF!,$A71,#REF!)</f>
        <v>#REF!</v>
      </c>
      <c r="AL71" s="44" t="e">
        <f>SUMIF(#REF!,$A71,#REF!)</f>
        <v>#REF!</v>
      </c>
      <c r="AM71" s="44" t="e">
        <f>SUMIF(#REF!,$A71,#REF!)</f>
        <v>#REF!</v>
      </c>
      <c r="AN71" s="44" t="e">
        <f>SUMIF(#REF!,$A71,#REF!)</f>
        <v>#REF!</v>
      </c>
      <c r="AO71" s="44" t="e">
        <f>SUMIF(#REF!,$A71,#REF!)</f>
        <v>#REF!</v>
      </c>
    </row>
    <row r="72" spans="1:42" x14ac:dyDescent="0.25">
      <c r="A72" s="42">
        <v>180012</v>
      </c>
      <c r="B72" s="43" t="s">
        <v>895</v>
      </c>
      <c r="C72" s="44" t="e">
        <f t="shared" si="34"/>
        <v>#REF!</v>
      </c>
      <c r="D72" s="44" t="e">
        <f t="shared" si="35"/>
        <v>#REF!</v>
      </c>
      <c r="E72" s="44" t="e">
        <f t="shared" si="36"/>
        <v>#REF!</v>
      </c>
      <c r="F72" s="44" t="e">
        <f t="shared" si="37"/>
        <v>#REF!</v>
      </c>
      <c r="G72" s="44" t="e">
        <f t="shared" si="38"/>
        <v>#REF!</v>
      </c>
      <c r="H72" s="44" t="e">
        <f t="shared" si="39"/>
        <v>#REF!</v>
      </c>
      <c r="I72" s="44" t="e">
        <f t="shared" si="40"/>
        <v>#REF!</v>
      </c>
      <c r="J72" s="44" t="e">
        <f t="shared" si="41"/>
        <v>#REF!</v>
      </c>
      <c r="K72" s="44" t="e">
        <f t="shared" si="42"/>
        <v>#REF!</v>
      </c>
      <c r="L72" s="44" t="e">
        <f t="shared" si="43"/>
        <v>#REF!</v>
      </c>
      <c r="M72" s="44" t="e">
        <f t="shared" si="44"/>
        <v>#REF!</v>
      </c>
      <c r="N72" s="44">
        <f t="shared" si="45"/>
        <v>0</v>
      </c>
      <c r="Q72" s="44" t="e">
        <f>SUMIF(#REF!,$A72,#REF!)</f>
        <v>#REF!</v>
      </c>
      <c r="R72" s="44">
        <f>SUMIF(ALIF_Y2014!$A:$A,$A72,ALIF_Y2014!$F:$F)</f>
        <v>3491023.5520000001</v>
      </c>
      <c r="S72" s="44">
        <f>SUMIF(ALIF_Y2015!$A:$A,$A72,ALIF_Y2015!$F:$F)</f>
        <v>2714441.9569999999</v>
      </c>
      <c r="T72" s="44">
        <f>SUMIF(ALIF_Y2016!$A:$A,$A72,ALIF_Y2016!$F:$F)</f>
        <v>2233950.0639999998</v>
      </c>
      <c r="U72" s="44">
        <f>SUMIF(ALIF_Y2017!$A:$A,$A72,ALIF_Y2017!$F:$F)</f>
        <v>1969194.7039999999</v>
      </c>
      <c r="V72" s="44">
        <f>SUMIF(ALIF_Y2018!$A:$A,$A72,ALIF_Y2018!$F:$F)</f>
        <v>4155373.4410000001</v>
      </c>
      <c r="W72" s="44">
        <f>SUMIF(ALIF_Y2019!$A:$A,$A72,ALIF_Y2019!$F:$F)</f>
        <v>6324009.8049999997</v>
      </c>
      <c r="X72" s="44">
        <f>SUMIF(ALIF_Y2020!$A:$A,$A72,ALIF_Y2020!$F:$F)</f>
        <v>3169104.6669999999</v>
      </c>
      <c r="Y72" s="44">
        <f>SUMIF(ALIF_Y2021!$A:$A,$A72,ALIF_Y2021!$F:$F)</f>
        <v>3568332.1370000001</v>
      </c>
      <c r="Z72" s="44">
        <f>SUMIF(ALIF_Y2022!$A:$A,$A72,ALIF_Y2022!$F:$F)</f>
        <v>5027391.8600000003</v>
      </c>
      <c r="AA72" s="44">
        <f>SUMIF(ALIF_Y2023!$A:$A,$A72,ALIF_Y2023!$F:$F)</f>
        <v>1499189.071</v>
      </c>
      <c r="AE72" s="44" t="e">
        <f>SUMIF(#REF!,$A72,#REF!)</f>
        <v>#REF!</v>
      </c>
      <c r="AF72" s="44" t="e">
        <f>SUMIF(#REF!,$A72,#REF!)</f>
        <v>#REF!</v>
      </c>
      <c r="AG72" s="44" t="e">
        <f>SUMIF(#REF!,$A72,#REF!)</f>
        <v>#REF!</v>
      </c>
      <c r="AH72" s="44" t="e">
        <f>SUMIF(#REF!,$A72,#REF!)</f>
        <v>#REF!</v>
      </c>
      <c r="AI72" s="44" t="e">
        <f>SUMIF(#REF!,$A72,#REF!)</f>
        <v>#REF!</v>
      </c>
      <c r="AJ72" s="44" t="e">
        <f>SUMIF(#REF!,$A72,#REF!)</f>
        <v>#REF!</v>
      </c>
      <c r="AK72" s="44" t="e">
        <f>SUMIF(#REF!,$A72,#REF!)</f>
        <v>#REF!</v>
      </c>
      <c r="AL72" s="44" t="e">
        <f>SUMIF(#REF!,$A72,#REF!)</f>
        <v>#REF!</v>
      </c>
      <c r="AM72" s="44" t="e">
        <f>SUMIF(#REF!,$A72,#REF!)</f>
        <v>#REF!</v>
      </c>
      <c r="AN72" s="44" t="e">
        <f>SUMIF(#REF!,$A72,#REF!)</f>
        <v>#REF!</v>
      </c>
      <c r="AO72" s="44" t="e">
        <f>SUMIF(#REF!,$A72,#REF!)</f>
        <v>#REF!</v>
      </c>
    </row>
    <row r="73" spans="1:42" x14ac:dyDescent="0.25">
      <c r="A73" s="42">
        <v>180013</v>
      </c>
      <c r="B73" s="43" t="s">
        <v>896</v>
      </c>
      <c r="C73" s="44" t="e">
        <f t="shared" si="34"/>
        <v>#REF!</v>
      </c>
      <c r="D73" s="44" t="e">
        <f t="shared" si="35"/>
        <v>#REF!</v>
      </c>
      <c r="E73" s="44" t="e">
        <f t="shared" si="36"/>
        <v>#REF!</v>
      </c>
      <c r="F73" s="44" t="e">
        <f t="shared" si="37"/>
        <v>#REF!</v>
      </c>
      <c r="G73" s="44" t="e">
        <f t="shared" si="38"/>
        <v>#REF!</v>
      </c>
      <c r="H73" s="44" t="e">
        <f t="shared" si="39"/>
        <v>#REF!</v>
      </c>
      <c r="I73" s="44" t="e">
        <f t="shared" si="40"/>
        <v>#REF!</v>
      </c>
      <c r="J73" s="44" t="e">
        <f t="shared" si="41"/>
        <v>#REF!</v>
      </c>
      <c r="K73" s="44" t="e">
        <f t="shared" si="42"/>
        <v>#REF!</v>
      </c>
      <c r="L73" s="44" t="e">
        <f t="shared" si="43"/>
        <v>#REF!</v>
      </c>
      <c r="M73" s="44" t="e">
        <f t="shared" si="44"/>
        <v>#REF!</v>
      </c>
      <c r="N73" s="44">
        <f t="shared" si="45"/>
        <v>0</v>
      </c>
      <c r="Q73" s="44" t="e">
        <f>SUMIF(#REF!,$A73,#REF!)</f>
        <v>#REF!</v>
      </c>
      <c r="R73" s="44">
        <f>SUMIF(ALIF_Y2014!$A:$A,$A73,ALIF_Y2014!$F:$F)</f>
        <v>5752152.5599999996</v>
      </c>
      <c r="S73" s="44">
        <f>SUMIF(ALIF_Y2015!$A:$A,$A73,ALIF_Y2015!$F:$F)</f>
        <v>5304869.8890000004</v>
      </c>
      <c r="T73" s="44">
        <f>SUMIF(ALIF_Y2016!$A:$A,$A73,ALIF_Y2016!$F:$F)</f>
        <v>6125291.1440000003</v>
      </c>
      <c r="U73" s="44">
        <f>SUMIF(ALIF_Y2017!$A:$A,$A73,ALIF_Y2017!$F:$F)</f>
        <v>4435009.0870000003</v>
      </c>
      <c r="V73" s="44">
        <f>SUMIF(ALIF_Y2018!$A:$A,$A73,ALIF_Y2018!$F:$F)</f>
        <v>8323970.4850000003</v>
      </c>
      <c r="W73" s="44">
        <f>SUMIF(ALIF_Y2019!$A:$A,$A73,ALIF_Y2019!$F:$F)</f>
        <v>6599030.142</v>
      </c>
      <c r="X73" s="44">
        <f>SUMIF(ALIF_Y2020!$A:$A,$A73,ALIF_Y2020!$F:$F)</f>
        <v>6716635.6349999998</v>
      </c>
      <c r="Y73" s="44">
        <f>SUMIF(ALIF_Y2021!$A:$A,$A73,ALIF_Y2021!$F:$F)</f>
        <v>5032954.7170000002</v>
      </c>
      <c r="Z73" s="44">
        <f>SUMIF(ALIF_Y2022!$A:$A,$A73,ALIF_Y2022!$F:$F)</f>
        <v>5656636.4230000004</v>
      </c>
      <c r="AA73" s="44">
        <f>SUMIF(ALIF_Y2023!$A:$A,$A73,ALIF_Y2023!$F:$F)</f>
        <v>4851116.2259999998</v>
      </c>
      <c r="AE73" s="44" t="e">
        <f>SUMIF(#REF!,$A73,#REF!)</f>
        <v>#REF!</v>
      </c>
      <c r="AF73" s="44" t="e">
        <f>SUMIF(#REF!,$A73,#REF!)</f>
        <v>#REF!</v>
      </c>
      <c r="AG73" s="44" t="e">
        <f>SUMIF(#REF!,$A73,#REF!)</f>
        <v>#REF!</v>
      </c>
      <c r="AH73" s="44" t="e">
        <f>SUMIF(#REF!,$A73,#REF!)</f>
        <v>#REF!</v>
      </c>
      <c r="AI73" s="44" t="e">
        <f>SUMIF(#REF!,$A73,#REF!)</f>
        <v>#REF!</v>
      </c>
      <c r="AJ73" s="44" t="e">
        <f>SUMIF(#REF!,$A73,#REF!)</f>
        <v>#REF!</v>
      </c>
      <c r="AK73" s="44" t="e">
        <f>SUMIF(#REF!,$A73,#REF!)</f>
        <v>#REF!</v>
      </c>
      <c r="AL73" s="44" t="e">
        <f>SUMIF(#REF!,$A73,#REF!)</f>
        <v>#REF!</v>
      </c>
      <c r="AM73" s="44" t="e">
        <f>SUMIF(#REF!,$A73,#REF!)</f>
        <v>#REF!</v>
      </c>
      <c r="AN73" s="44" t="e">
        <f>SUMIF(#REF!,$A73,#REF!)</f>
        <v>#REF!</v>
      </c>
      <c r="AO73" s="44" t="e">
        <f>SUMIF(#REF!,$A73,#REF!)</f>
        <v>#REF!</v>
      </c>
    </row>
    <row r="74" spans="1:42" x14ac:dyDescent="0.25">
      <c r="A74" s="42">
        <v>180014</v>
      </c>
      <c r="B74" s="43" t="s">
        <v>897</v>
      </c>
      <c r="C74" s="44" t="e">
        <f t="shared" si="34"/>
        <v>#REF!</v>
      </c>
      <c r="D74" s="44" t="e">
        <f t="shared" si="35"/>
        <v>#REF!</v>
      </c>
      <c r="E74" s="44" t="e">
        <f t="shared" si="36"/>
        <v>#REF!</v>
      </c>
      <c r="F74" s="44" t="e">
        <f t="shared" si="37"/>
        <v>#REF!</v>
      </c>
      <c r="G74" s="44" t="e">
        <f t="shared" si="38"/>
        <v>#REF!</v>
      </c>
      <c r="H74" s="44" t="e">
        <f t="shared" si="39"/>
        <v>#REF!</v>
      </c>
      <c r="I74" s="44" t="e">
        <f t="shared" si="40"/>
        <v>#REF!</v>
      </c>
      <c r="J74" s="44" t="e">
        <f t="shared" si="41"/>
        <v>#REF!</v>
      </c>
      <c r="K74" s="44" t="e">
        <f t="shared" si="42"/>
        <v>#REF!</v>
      </c>
      <c r="L74" s="44" t="e">
        <f t="shared" si="43"/>
        <v>#REF!</v>
      </c>
      <c r="M74" s="44" t="e">
        <f t="shared" si="44"/>
        <v>#REF!</v>
      </c>
      <c r="N74" s="44">
        <f t="shared" si="45"/>
        <v>0</v>
      </c>
      <c r="Q74" s="44" t="e">
        <f>SUMIF(#REF!,$A74,#REF!)</f>
        <v>#REF!</v>
      </c>
      <c r="R74" s="44">
        <f>SUMIF(ALIF_Y2014!$A:$A,$A74,ALIF_Y2014!$F:$F)</f>
        <v>0</v>
      </c>
      <c r="S74" s="44">
        <f>SUMIF(ALIF_Y2015!$A:$A,$A74,ALIF_Y2015!$F:$F)</f>
        <v>0</v>
      </c>
      <c r="T74" s="44">
        <f>SUMIF(ALIF_Y2016!$A:$A,$A74,ALIF_Y2016!$F:$F)</f>
        <v>-79231.839999999997</v>
      </c>
      <c r="U74" s="44">
        <f>SUMIF(ALIF_Y2017!$A:$A,$A74,ALIF_Y2017!$F:$F)</f>
        <v>759475.83</v>
      </c>
      <c r="V74" s="44">
        <f>SUMIF(ALIF_Y2018!$A:$A,$A74,ALIF_Y2018!$F:$F)</f>
        <v>0</v>
      </c>
      <c r="W74" s="44">
        <f>SUMIF(ALIF_Y2019!$A:$A,$A74,ALIF_Y2019!$F:$F)</f>
        <v>0</v>
      </c>
      <c r="X74" s="44">
        <f>SUMIF(ALIF_Y2020!$A:$A,$A74,ALIF_Y2020!$F:$F)</f>
        <v>0</v>
      </c>
      <c r="Y74" s="44">
        <f>SUMIF(ALIF_Y2021!$A:$A,$A74,ALIF_Y2021!$F:$F)</f>
        <v>0</v>
      </c>
      <c r="Z74" s="44">
        <f>SUMIF(ALIF_Y2022!$A:$A,$A74,ALIF_Y2022!$F:$F)</f>
        <v>-0.01</v>
      </c>
      <c r="AA74" s="44">
        <f>SUMIF(ALIF_Y2023!$A:$A,$A74,ALIF_Y2023!$F:$F)</f>
        <v>0</v>
      </c>
      <c r="AE74" s="44" t="e">
        <f>SUMIF(#REF!,$A74,#REF!)</f>
        <v>#REF!</v>
      </c>
      <c r="AF74" s="44" t="e">
        <f>SUMIF(#REF!,$A74,#REF!)</f>
        <v>#REF!</v>
      </c>
      <c r="AG74" s="44" t="e">
        <f>SUMIF(#REF!,$A74,#REF!)</f>
        <v>#REF!</v>
      </c>
      <c r="AH74" s="44" t="e">
        <f>SUMIF(#REF!,$A74,#REF!)</f>
        <v>#REF!</v>
      </c>
      <c r="AI74" s="44" t="e">
        <f>SUMIF(#REF!,$A74,#REF!)</f>
        <v>#REF!</v>
      </c>
      <c r="AJ74" s="44" t="e">
        <f>SUMIF(#REF!,$A74,#REF!)</f>
        <v>#REF!</v>
      </c>
      <c r="AK74" s="44" t="e">
        <f>SUMIF(#REF!,$A74,#REF!)</f>
        <v>#REF!</v>
      </c>
      <c r="AL74" s="44" t="e">
        <f>SUMIF(#REF!,$A74,#REF!)</f>
        <v>#REF!</v>
      </c>
      <c r="AM74" s="44" t="e">
        <f>SUMIF(#REF!,$A74,#REF!)</f>
        <v>#REF!</v>
      </c>
      <c r="AN74" s="44" t="e">
        <f>SUMIF(#REF!,$A74,#REF!)</f>
        <v>#REF!</v>
      </c>
      <c r="AO74" s="44" t="e">
        <f>SUMIF(#REF!,$A74,#REF!)</f>
        <v>#REF!</v>
      </c>
    </row>
    <row r="75" spans="1:42" x14ac:dyDescent="0.25">
      <c r="A75" s="42">
        <v>180096</v>
      </c>
      <c r="B75" s="43" t="s">
        <v>898</v>
      </c>
      <c r="C75" s="44" t="e">
        <f t="shared" si="34"/>
        <v>#REF!</v>
      </c>
      <c r="D75" s="44" t="e">
        <f t="shared" si="35"/>
        <v>#REF!</v>
      </c>
      <c r="E75" s="44" t="e">
        <f t="shared" si="36"/>
        <v>#REF!</v>
      </c>
      <c r="F75" s="44" t="e">
        <f t="shared" si="37"/>
        <v>#REF!</v>
      </c>
      <c r="G75" s="44" t="e">
        <f t="shared" si="38"/>
        <v>#REF!</v>
      </c>
      <c r="H75" s="44" t="e">
        <f t="shared" si="39"/>
        <v>#REF!</v>
      </c>
      <c r="I75" s="44" t="e">
        <f t="shared" si="40"/>
        <v>#REF!</v>
      </c>
      <c r="J75" s="44" t="e">
        <f t="shared" si="41"/>
        <v>#REF!</v>
      </c>
      <c r="K75" s="44" t="e">
        <f t="shared" si="42"/>
        <v>#REF!</v>
      </c>
      <c r="L75" s="44" t="e">
        <f t="shared" si="43"/>
        <v>#REF!</v>
      </c>
      <c r="M75" s="44" t="e">
        <f t="shared" si="44"/>
        <v>#REF!</v>
      </c>
      <c r="N75" s="44">
        <f t="shared" si="45"/>
        <v>0</v>
      </c>
      <c r="Q75" s="44" t="e">
        <f>SUMIF(#REF!,$A75,#REF!)</f>
        <v>#REF!</v>
      </c>
      <c r="R75" s="44">
        <f>SUMIF(ALIF_Y2014!$A:$A,$A75,ALIF_Y2014!$F:$F)</f>
        <v>0</v>
      </c>
      <c r="S75" s="44">
        <f>SUMIF(ALIF_Y2015!$A:$A,$A75,ALIF_Y2015!$F:$F)</f>
        <v>0</v>
      </c>
      <c r="T75" s="44">
        <f>SUMIF(ALIF_Y2016!$A:$A,$A75,ALIF_Y2016!$F:$F)</f>
        <v>166734.068</v>
      </c>
      <c r="U75" s="44">
        <f>SUMIF(ALIF_Y2017!$A:$A,$A75,ALIF_Y2017!$F:$F)</f>
        <v>177283.36499999999</v>
      </c>
      <c r="V75" s="44">
        <f>SUMIF(ALIF_Y2018!$A:$A,$A75,ALIF_Y2018!$F:$F)</f>
        <v>-2E-3</v>
      </c>
      <c r="W75" s="44">
        <f>SUMIF(ALIF_Y2019!$A:$A,$A75,ALIF_Y2019!$F:$F)</f>
        <v>0</v>
      </c>
      <c r="X75" s="44">
        <f>SUMIF(ALIF_Y2020!$A:$A,$A75,ALIF_Y2020!$F:$F)</f>
        <v>0</v>
      </c>
      <c r="Y75" s="44">
        <f>SUMIF(ALIF_Y2021!$A:$A,$A75,ALIF_Y2021!$F:$F)</f>
        <v>0</v>
      </c>
      <c r="Z75" s="44">
        <f>SUMIF(ALIF_Y2022!$A:$A,$A75,ALIF_Y2022!$F:$F)</f>
        <v>0</v>
      </c>
      <c r="AA75" s="44">
        <f>SUMIF(ALIF_Y2023!$A:$A,$A75,ALIF_Y2023!$F:$F)</f>
        <v>0</v>
      </c>
      <c r="AE75" s="44" t="e">
        <f>SUMIF(#REF!,$A75,#REF!)</f>
        <v>#REF!</v>
      </c>
      <c r="AF75" s="44" t="e">
        <f>SUMIF(#REF!,$A75,#REF!)</f>
        <v>#REF!</v>
      </c>
      <c r="AG75" s="44" t="e">
        <f>SUMIF(#REF!,$A75,#REF!)</f>
        <v>#REF!</v>
      </c>
      <c r="AH75" s="44" t="e">
        <f>SUMIF(#REF!,$A75,#REF!)</f>
        <v>#REF!</v>
      </c>
      <c r="AI75" s="44" t="e">
        <f>SUMIF(#REF!,$A75,#REF!)</f>
        <v>#REF!</v>
      </c>
      <c r="AJ75" s="44" t="e">
        <f>SUMIF(#REF!,$A75,#REF!)</f>
        <v>#REF!</v>
      </c>
      <c r="AK75" s="44" t="e">
        <f>SUMIF(#REF!,$A75,#REF!)</f>
        <v>#REF!</v>
      </c>
      <c r="AL75" s="44" t="e">
        <f>SUMIF(#REF!,$A75,#REF!)</f>
        <v>#REF!</v>
      </c>
      <c r="AM75" s="44" t="e">
        <f>SUMIF(#REF!,$A75,#REF!)</f>
        <v>#REF!</v>
      </c>
      <c r="AN75" s="44" t="e">
        <f>SUMIF(#REF!,$A75,#REF!)</f>
        <v>#REF!</v>
      </c>
      <c r="AO75" s="44" t="e">
        <f>SUMIF(#REF!,$A75,#REF!)</f>
        <v>#REF!</v>
      </c>
    </row>
    <row r="76" spans="1:42" x14ac:dyDescent="0.25">
      <c r="A76" s="42">
        <v>180097</v>
      </c>
      <c r="B76" s="43" t="s">
        <v>899</v>
      </c>
      <c r="C76" s="44" t="e">
        <f t="shared" si="34"/>
        <v>#REF!</v>
      </c>
      <c r="D76" s="44" t="e">
        <f t="shared" si="35"/>
        <v>#REF!</v>
      </c>
      <c r="E76" s="44" t="e">
        <f t="shared" si="36"/>
        <v>#REF!</v>
      </c>
      <c r="F76" s="44" t="e">
        <f t="shared" si="37"/>
        <v>#REF!</v>
      </c>
      <c r="G76" s="44" t="e">
        <f t="shared" si="38"/>
        <v>#REF!</v>
      </c>
      <c r="H76" s="44" t="e">
        <f t="shared" si="39"/>
        <v>#REF!</v>
      </c>
      <c r="I76" s="44" t="e">
        <f t="shared" si="40"/>
        <v>#REF!</v>
      </c>
      <c r="J76" s="44" t="e">
        <f t="shared" si="41"/>
        <v>#REF!</v>
      </c>
      <c r="K76" s="44" t="e">
        <f t="shared" si="42"/>
        <v>#REF!</v>
      </c>
      <c r="L76" s="44" t="e">
        <f t="shared" si="43"/>
        <v>#REF!</v>
      </c>
      <c r="M76" s="44" t="e">
        <f t="shared" si="44"/>
        <v>#REF!</v>
      </c>
      <c r="N76" s="44">
        <f t="shared" si="45"/>
        <v>0</v>
      </c>
      <c r="Q76" s="44" t="e">
        <f>SUMIF(#REF!,$A76,#REF!)</f>
        <v>#REF!</v>
      </c>
      <c r="R76" s="44">
        <f>SUMIF(ALIF_Y2014!$A:$A,$A76,ALIF_Y2014!$F:$F)</f>
        <v>0</v>
      </c>
      <c r="S76" s="44">
        <f>SUMIF(ALIF_Y2015!$A:$A,$A76,ALIF_Y2015!$F:$F)</f>
        <v>0</v>
      </c>
      <c r="T76" s="44">
        <f>SUMIF(ALIF_Y2016!$A:$A,$A76,ALIF_Y2016!$F:$F)</f>
        <v>0</v>
      </c>
      <c r="U76" s="44">
        <f>SUMIF(ALIF_Y2017!$A:$A,$A76,ALIF_Y2017!$F:$F)</f>
        <v>0</v>
      </c>
      <c r="V76" s="44">
        <f>SUMIF(ALIF_Y2018!$A:$A,$A76,ALIF_Y2018!$F:$F)</f>
        <v>0</v>
      </c>
      <c r="W76" s="44">
        <f>SUMIF(ALIF_Y2019!$A:$A,$A76,ALIF_Y2019!$F:$F)</f>
        <v>0</v>
      </c>
      <c r="X76" s="44">
        <f>SUMIF(ALIF_Y2020!$A:$A,$A76,ALIF_Y2020!$F:$F)</f>
        <v>0</v>
      </c>
      <c r="Y76" s="44">
        <f>SUMIF(ALIF_Y2021!$A:$A,$A76,ALIF_Y2021!$F:$F)</f>
        <v>0</v>
      </c>
      <c r="Z76" s="44">
        <f>SUMIF(ALIF_Y2022!$A:$A,$A76,ALIF_Y2022!$F:$F)</f>
        <v>0</v>
      </c>
      <c r="AA76" s="44">
        <f>SUMIF(ALIF_Y2023!$A:$A,$A76,ALIF_Y2023!$F:$F)</f>
        <v>0</v>
      </c>
      <c r="AE76" s="44" t="e">
        <f>SUMIF(#REF!,$A76,#REF!)</f>
        <v>#REF!</v>
      </c>
      <c r="AF76" s="44" t="e">
        <f>SUMIF(#REF!,$A76,#REF!)</f>
        <v>#REF!</v>
      </c>
      <c r="AG76" s="44" t="e">
        <f>SUMIF(#REF!,$A76,#REF!)</f>
        <v>#REF!</v>
      </c>
      <c r="AH76" s="44" t="e">
        <f>SUMIF(#REF!,$A76,#REF!)</f>
        <v>#REF!</v>
      </c>
      <c r="AI76" s="44" t="e">
        <f>SUMIF(#REF!,$A76,#REF!)</f>
        <v>#REF!</v>
      </c>
      <c r="AJ76" s="44" t="e">
        <f>SUMIF(#REF!,$A76,#REF!)</f>
        <v>#REF!</v>
      </c>
      <c r="AK76" s="44" t="e">
        <f>SUMIF(#REF!,$A76,#REF!)</f>
        <v>#REF!</v>
      </c>
      <c r="AL76" s="44" t="e">
        <f>SUMIF(#REF!,$A76,#REF!)</f>
        <v>#REF!</v>
      </c>
      <c r="AM76" s="44" t="e">
        <f>SUMIF(#REF!,$A76,#REF!)</f>
        <v>#REF!</v>
      </c>
      <c r="AN76" s="44" t="e">
        <f>SUMIF(#REF!,$A76,#REF!)</f>
        <v>#REF!</v>
      </c>
      <c r="AO76" s="44" t="e">
        <f>SUMIF(#REF!,$A76,#REF!)</f>
        <v>#REF!</v>
      </c>
    </row>
    <row r="77" spans="1:42" x14ac:dyDescent="0.25">
      <c r="A77" s="42">
        <v>180098</v>
      </c>
      <c r="B77" s="43" t="s">
        <v>900</v>
      </c>
      <c r="C77" s="44" t="e">
        <f t="shared" si="34"/>
        <v>#REF!</v>
      </c>
      <c r="D77" s="44" t="e">
        <f t="shared" si="35"/>
        <v>#REF!</v>
      </c>
      <c r="E77" s="44" t="e">
        <f t="shared" si="36"/>
        <v>#REF!</v>
      </c>
      <c r="F77" s="44" t="e">
        <f t="shared" si="37"/>
        <v>#REF!</v>
      </c>
      <c r="G77" s="44" t="e">
        <f t="shared" si="38"/>
        <v>#REF!</v>
      </c>
      <c r="H77" s="44" t="e">
        <f t="shared" si="39"/>
        <v>#REF!</v>
      </c>
      <c r="I77" s="44" t="e">
        <f t="shared" si="40"/>
        <v>#REF!</v>
      </c>
      <c r="J77" s="44" t="e">
        <f t="shared" si="41"/>
        <v>#REF!</v>
      </c>
      <c r="K77" s="44" t="e">
        <f t="shared" si="42"/>
        <v>#REF!</v>
      </c>
      <c r="L77" s="44" t="e">
        <f t="shared" si="43"/>
        <v>#REF!</v>
      </c>
      <c r="M77" s="44" t="e">
        <f t="shared" si="44"/>
        <v>#REF!</v>
      </c>
      <c r="N77" s="44">
        <f t="shared" si="45"/>
        <v>0</v>
      </c>
      <c r="Q77" s="44" t="e">
        <f>SUMIF(#REF!,$A77,#REF!)</f>
        <v>#REF!</v>
      </c>
      <c r="R77" s="44">
        <f>SUMIF(ALIF_Y2014!$A:$A,$A77,ALIF_Y2014!$F:$F)</f>
        <v>0</v>
      </c>
      <c r="S77" s="44">
        <f>SUMIF(ALIF_Y2015!$A:$A,$A77,ALIF_Y2015!$F:$F)</f>
        <v>0</v>
      </c>
      <c r="T77" s="44">
        <f>SUMIF(ALIF_Y2016!$A:$A,$A77,ALIF_Y2016!$F:$F)</f>
        <v>0</v>
      </c>
      <c r="U77" s="44">
        <f>SUMIF(ALIF_Y2017!$A:$A,$A77,ALIF_Y2017!$F:$F)</f>
        <v>0</v>
      </c>
      <c r="V77" s="44">
        <f>SUMIF(ALIF_Y2018!$A:$A,$A77,ALIF_Y2018!$F:$F)</f>
        <v>0</v>
      </c>
      <c r="W77" s="44">
        <f>SUMIF(ALIF_Y2019!$A:$A,$A77,ALIF_Y2019!$F:$F)</f>
        <v>-5.0000000000000001E-3</v>
      </c>
      <c r="X77" s="44">
        <f>SUMIF(ALIF_Y2020!$A:$A,$A77,ALIF_Y2020!$F:$F)</f>
        <v>0</v>
      </c>
      <c r="Y77" s="44">
        <f>SUMIF(ALIF_Y2021!$A:$A,$A77,ALIF_Y2021!$F:$F)</f>
        <v>0</v>
      </c>
      <c r="Z77" s="44">
        <f>SUMIF(ALIF_Y2022!$A:$A,$A77,ALIF_Y2022!$F:$F)</f>
        <v>1E-3</v>
      </c>
      <c r="AA77" s="44">
        <f>SUMIF(ALIF_Y2023!$A:$A,$A77,ALIF_Y2023!$F:$F)</f>
        <v>1E-3</v>
      </c>
      <c r="AE77" s="44" t="e">
        <f>SUMIF(#REF!,$A77,#REF!)</f>
        <v>#REF!</v>
      </c>
      <c r="AF77" s="44" t="e">
        <f>SUMIF(#REF!,$A77,#REF!)</f>
        <v>#REF!</v>
      </c>
      <c r="AG77" s="44" t="e">
        <f>SUMIF(#REF!,$A77,#REF!)</f>
        <v>#REF!</v>
      </c>
      <c r="AH77" s="44" t="e">
        <f>SUMIF(#REF!,$A77,#REF!)</f>
        <v>#REF!</v>
      </c>
      <c r="AI77" s="44" t="e">
        <f>SUMIF(#REF!,$A77,#REF!)</f>
        <v>#REF!</v>
      </c>
      <c r="AJ77" s="44" t="e">
        <f>SUMIF(#REF!,$A77,#REF!)</f>
        <v>#REF!</v>
      </c>
      <c r="AK77" s="44" t="e">
        <f>SUMIF(#REF!,$A77,#REF!)</f>
        <v>#REF!</v>
      </c>
      <c r="AL77" s="44" t="e">
        <f>SUMIF(#REF!,$A77,#REF!)</f>
        <v>#REF!</v>
      </c>
      <c r="AM77" s="44" t="e">
        <f>SUMIF(#REF!,$A77,#REF!)</f>
        <v>#REF!</v>
      </c>
      <c r="AN77" s="44" t="e">
        <f>SUMIF(#REF!,$A77,#REF!)</f>
        <v>#REF!</v>
      </c>
      <c r="AO77" s="44" t="e">
        <f>SUMIF(#REF!,$A77,#REF!)</f>
        <v>#REF!</v>
      </c>
    </row>
    <row r="78" spans="1:42" x14ac:dyDescent="0.25">
      <c r="A78" s="42">
        <v>180099</v>
      </c>
      <c r="B78" s="43" t="s">
        <v>901</v>
      </c>
      <c r="C78" s="44" t="e">
        <f t="shared" si="34"/>
        <v>#REF!</v>
      </c>
      <c r="D78" s="44" t="e">
        <f t="shared" si="35"/>
        <v>#REF!</v>
      </c>
      <c r="E78" s="44" t="e">
        <f t="shared" si="36"/>
        <v>#REF!</v>
      </c>
      <c r="F78" s="44" t="e">
        <f t="shared" si="37"/>
        <v>#REF!</v>
      </c>
      <c r="G78" s="44" t="e">
        <f t="shared" si="38"/>
        <v>#REF!</v>
      </c>
      <c r="H78" s="44" t="e">
        <f t="shared" si="39"/>
        <v>#REF!</v>
      </c>
      <c r="I78" s="44" t="e">
        <f t="shared" si="40"/>
        <v>#REF!</v>
      </c>
      <c r="J78" s="44" t="e">
        <f t="shared" si="41"/>
        <v>#REF!</v>
      </c>
      <c r="K78" s="44" t="e">
        <f t="shared" si="42"/>
        <v>#REF!</v>
      </c>
      <c r="L78" s="44" t="e">
        <f t="shared" si="43"/>
        <v>#REF!</v>
      </c>
      <c r="M78" s="44" t="e">
        <f t="shared" si="44"/>
        <v>#REF!</v>
      </c>
      <c r="N78" s="44">
        <f t="shared" si="45"/>
        <v>0</v>
      </c>
      <c r="Q78" s="44" t="e">
        <f>SUMIF(#REF!,$A78,#REF!)</f>
        <v>#REF!</v>
      </c>
      <c r="R78" s="44">
        <f>SUMIF(ALIF_Y2014!$A:$A,$A78,ALIF_Y2014!$F:$F)</f>
        <v>0</v>
      </c>
      <c r="S78" s="44">
        <f>SUMIF(ALIF_Y2015!$A:$A,$A78,ALIF_Y2015!$F:$F)</f>
        <v>0</v>
      </c>
      <c r="T78" s="44">
        <f>SUMIF(ALIF_Y2016!$A:$A,$A78,ALIF_Y2016!$F:$F)</f>
        <v>0</v>
      </c>
      <c r="U78" s="44">
        <f>SUMIF(ALIF_Y2017!$A:$A,$A78,ALIF_Y2017!$F:$F)</f>
        <v>0</v>
      </c>
      <c r="V78" s="44">
        <f>SUMIF(ALIF_Y2018!$A:$A,$A78,ALIF_Y2018!$F:$F)</f>
        <v>0</v>
      </c>
      <c r="W78" s="44">
        <f>SUMIF(ALIF_Y2019!$A:$A,$A78,ALIF_Y2019!$F:$F)</f>
        <v>5.0000000000000001E-3</v>
      </c>
      <c r="X78" s="44">
        <f>SUMIF(ALIF_Y2020!$A:$A,$A78,ALIF_Y2020!$F:$F)</f>
        <v>0</v>
      </c>
      <c r="Y78" s="44">
        <f>SUMIF(ALIF_Y2021!$A:$A,$A78,ALIF_Y2021!$F:$F)</f>
        <v>0</v>
      </c>
      <c r="Z78" s="44">
        <f>SUMIF(ALIF_Y2022!$A:$A,$A78,ALIF_Y2022!$F:$F)</f>
        <v>0</v>
      </c>
      <c r="AA78" s="44">
        <f>SUMIF(ALIF_Y2023!$A:$A,$A78,ALIF_Y2023!$F:$F)</f>
        <v>0</v>
      </c>
      <c r="AE78" s="44" t="e">
        <f>SUMIF(#REF!,$A78,#REF!)</f>
        <v>#REF!</v>
      </c>
      <c r="AF78" s="44" t="e">
        <f>SUMIF(#REF!,$A78,#REF!)</f>
        <v>#REF!</v>
      </c>
      <c r="AG78" s="44" t="e">
        <f>SUMIF(#REF!,$A78,#REF!)</f>
        <v>#REF!</v>
      </c>
      <c r="AH78" s="44" t="e">
        <f>SUMIF(#REF!,$A78,#REF!)</f>
        <v>#REF!</v>
      </c>
      <c r="AI78" s="44" t="e">
        <f>SUMIF(#REF!,$A78,#REF!)</f>
        <v>#REF!</v>
      </c>
      <c r="AJ78" s="44" t="e">
        <f>SUMIF(#REF!,$A78,#REF!)</f>
        <v>#REF!</v>
      </c>
      <c r="AK78" s="44" t="e">
        <f>SUMIF(#REF!,$A78,#REF!)</f>
        <v>#REF!</v>
      </c>
      <c r="AL78" s="44" t="e">
        <f>SUMIF(#REF!,$A78,#REF!)</f>
        <v>#REF!</v>
      </c>
      <c r="AM78" s="44" t="e">
        <f>SUMIF(#REF!,$A78,#REF!)</f>
        <v>#REF!</v>
      </c>
      <c r="AN78" s="44" t="e">
        <f>SUMIF(#REF!,$A78,#REF!)</f>
        <v>#REF!</v>
      </c>
      <c r="AO78" s="44" t="e">
        <f>SUMIF(#REF!,$A78,#REF!)</f>
        <v>#REF!</v>
      </c>
    </row>
    <row r="79" spans="1:42" x14ac:dyDescent="0.25">
      <c r="A79" s="42">
        <v>260004</v>
      </c>
      <c r="B79" s="43" t="s">
        <v>925</v>
      </c>
      <c r="C79" s="44" t="e">
        <f t="shared" si="34"/>
        <v>#REF!</v>
      </c>
      <c r="D79" s="44" t="e">
        <f t="shared" si="35"/>
        <v>#REF!</v>
      </c>
      <c r="E79" s="44" t="e">
        <f t="shared" si="36"/>
        <v>#REF!</v>
      </c>
      <c r="F79" s="44" t="e">
        <f t="shared" si="37"/>
        <v>#REF!</v>
      </c>
      <c r="G79" s="44" t="e">
        <f t="shared" si="38"/>
        <v>#REF!</v>
      </c>
      <c r="H79" s="44" t="e">
        <f t="shared" si="39"/>
        <v>#REF!</v>
      </c>
      <c r="I79" s="44" t="e">
        <f t="shared" si="40"/>
        <v>#REF!</v>
      </c>
      <c r="J79" s="44" t="e">
        <f t="shared" si="41"/>
        <v>#REF!</v>
      </c>
      <c r="K79" s="44" t="e">
        <f t="shared" si="42"/>
        <v>#REF!</v>
      </c>
      <c r="L79" s="44" t="e">
        <f t="shared" si="43"/>
        <v>#REF!</v>
      </c>
      <c r="M79" s="44" t="e">
        <f t="shared" si="44"/>
        <v>#REF!</v>
      </c>
      <c r="N79" s="44">
        <f t="shared" si="45"/>
        <v>0</v>
      </c>
      <c r="Q79" s="44" t="e">
        <f>SUMIF(#REF!,$A79,#REF!)</f>
        <v>#REF!</v>
      </c>
      <c r="R79" s="44">
        <f>SUMIF(ALIF_Y2014!$A:$A,$A79,ALIF_Y2014!$F:$F)</f>
        <v>0</v>
      </c>
      <c r="S79" s="44">
        <f>SUMIF(ALIF_Y2015!$A:$A,$A79,ALIF_Y2015!$F:$F)</f>
        <v>0</v>
      </c>
      <c r="T79" s="44">
        <f>SUMIF(ALIF_Y2016!$A:$A,$A79,ALIF_Y2016!$F:$F)</f>
        <v>-1121501.433</v>
      </c>
      <c r="U79" s="44">
        <f>SUMIF(ALIF_Y2017!$A:$A,$A79,ALIF_Y2017!$F:$F)</f>
        <v>-1121501.433</v>
      </c>
      <c r="V79" s="44">
        <f>SUMIF(ALIF_Y2018!$A:$A,$A79,ALIF_Y2018!$F:$F)</f>
        <v>-1121501.433</v>
      </c>
      <c r="W79" s="44">
        <f>SUMIF(ALIF_Y2019!$A:$A,$A79,ALIF_Y2019!$F:$F)</f>
        <v>-849296.43299999996</v>
      </c>
      <c r="X79" s="44">
        <f>SUMIF(ALIF_Y2020!$A:$A,$A79,ALIF_Y2020!$F:$F)</f>
        <v>-2000000</v>
      </c>
      <c r="Y79" s="44">
        <f>SUMIF(ALIF_Y2021!$A:$A,$A79,ALIF_Y2021!$F:$F)</f>
        <v>0</v>
      </c>
      <c r="Z79" s="44">
        <f>SUMIF(ALIF_Y2022!$A:$A,$A79,ALIF_Y2022!$F:$F)</f>
        <v>0</v>
      </c>
      <c r="AA79" s="44">
        <f>SUMIF(ALIF_Y2023!$A:$A,$A79,ALIF_Y2023!$F:$F)</f>
        <v>0</v>
      </c>
      <c r="AE79" s="44" t="e">
        <f>SUMIF(#REF!,$A79,#REF!)</f>
        <v>#REF!</v>
      </c>
      <c r="AF79" s="44" t="e">
        <f>SUMIF(#REF!,$A79,#REF!)</f>
        <v>#REF!</v>
      </c>
      <c r="AG79" s="44" t="e">
        <f>SUMIF(#REF!,$A79,#REF!)</f>
        <v>#REF!</v>
      </c>
      <c r="AH79" s="44" t="e">
        <f>SUMIF(#REF!,$A79,#REF!)</f>
        <v>#REF!</v>
      </c>
      <c r="AI79" s="44" t="e">
        <f>SUMIF(#REF!,$A79,#REF!)</f>
        <v>#REF!</v>
      </c>
      <c r="AJ79" s="44" t="e">
        <f>SUMIF(#REF!,$A79,#REF!)</f>
        <v>#REF!</v>
      </c>
      <c r="AK79" s="44" t="e">
        <f>SUMIF(#REF!,$A79,#REF!)</f>
        <v>#REF!</v>
      </c>
      <c r="AL79" s="44" t="e">
        <f>SUMIF(#REF!,$A79,#REF!)</f>
        <v>#REF!</v>
      </c>
      <c r="AM79" s="44" t="e">
        <f>SUMIF(#REF!,$A79,#REF!)</f>
        <v>#REF!</v>
      </c>
      <c r="AN79" s="44" t="e">
        <f>SUMIF(#REF!,$A79,#REF!)</f>
        <v>#REF!</v>
      </c>
      <c r="AO79" s="44" t="e">
        <f>SUMIF(#REF!,$A79,#REF!)</f>
        <v>#REF!</v>
      </c>
    </row>
    <row r="80" spans="1:42" ht="7.9" customHeight="1" x14ac:dyDescent="0.25">
      <c r="C80" s="144"/>
      <c r="D80" s="144"/>
      <c r="E80" s="144"/>
      <c r="F80" s="144"/>
      <c r="G80" s="144"/>
      <c r="H80" s="144"/>
      <c r="I80" s="144"/>
      <c r="J80" s="144"/>
      <c r="K80" s="144"/>
      <c r="L80" s="144"/>
      <c r="M80" s="144"/>
      <c r="N80" s="144"/>
      <c r="Q80" s="144"/>
      <c r="R80" s="144"/>
      <c r="S80" s="144"/>
      <c r="T80" s="144"/>
      <c r="U80" s="144"/>
      <c r="V80" s="144"/>
      <c r="W80" s="144"/>
      <c r="X80" s="144"/>
      <c r="Y80" s="144"/>
      <c r="Z80" s="144"/>
      <c r="AA80" s="144"/>
      <c r="AB80" s="144"/>
      <c r="AE80" s="144"/>
      <c r="AF80" s="144"/>
      <c r="AG80" s="144"/>
      <c r="AH80" s="144"/>
      <c r="AI80" s="144"/>
      <c r="AJ80" s="144"/>
      <c r="AK80" s="144"/>
      <c r="AL80" s="144"/>
      <c r="AM80" s="144"/>
      <c r="AN80" s="144"/>
      <c r="AO80" s="144"/>
      <c r="AP80" s="144"/>
    </row>
    <row r="81" spans="1:42" x14ac:dyDescent="0.25">
      <c r="A81" s="41"/>
      <c r="C81" s="45" t="e">
        <f t="shared" ref="C81:N81" si="46">SUM(C61:C80)</f>
        <v>#REF!</v>
      </c>
      <c r="D81" s="45" t="e">
        <f t="shared" si="46"/>
        <v>#REF!</v>
      </c>
      <c r="E81" s="45" t="e">
        <f t="shared" si="46"/>
        <v>#REF!</v>
      </c>
      <c r="F81" s="45" t="e">
        <f t="shared" si="46"/>
        <v>#REF!</v>
      </c>
      <c r="G81" s="45" t="e">
        <f t="shared" si="46"/>
        <v>#REF!</v>
      </c>
      <c r="H81" s="45" t="e">
        <f t="shared" si="46"/>
        <v>#REF!</v>
      </c>
      <c r="I81" s="45" t="e">
        <f t="shared" si="46"/>
        <v>#REF!</v>
      </c>
      <c r="J81" s="45" t="e">
        <f t="shared" si="46"/>
        <v>#REF!</v>
      </c>
      <c r="K81" s="45" t="e">
        <f t="shared" si="46"/>
        <v>#REF!</v>
      </c>
      <c r="L81" s="45" t="e">
        <f t="shared" si="46"/>
        <v>#REF!</v>
      </c>
      <c r="M81" s="45" t="e">
        <f t="shared" si="46"/>
        <v>#REF!</v>
      </c>
      <c r="N81" s="45">
        <f t="shared" si="46"/>
        <v>0</v>
      </c>
      <c r="Q81" s="45" t="e">
        <f t="shared" ref="Q81:AB81" si="47">SUM(Q61:Q80)</f>
        <v>#REF!</v>
      </c>
      <c r="R81" s="45">
        <f t="shared" si="47"/>
        <v>34065376.359000005</v>
      </c>
      <c r="S81" s="45">
        <f t="shared" si="47"/>
        <v>28412734</v>
      </c>
      <c r="T81" s="45">
        <f t="shared" si="47"/>
        <v>31557770.992000002</v>
      </c>
      <c r="U81" s="45">
        <f t="shared" si="47"/>
        <v>25847130.508000001</v>
      </c>
      <c r="V81" s="45">
        <f t="shared" si="47"/>
        <v>65632733.660999998</v>
      </c>
      <c r="W81" s="45">
        <f t="shared" si="47"/>
        <v>63336467.600999996</v>
      </c>
      <c r="X81" s="45">
        <f t="shared" si="47"/>
        <v>45810720.601000004</v>
      </c>
      <c r="Y81" s="45">
        <f t="shared" si="47"/>
        <v>60639675.158</v>
      </c>
      <c r="Z81" s="45">
        <f t="shared" si="47"/>
        <v>93415465.147000015</v>
      </c>
      <c r="AA81" s="45">
        <f t="shared" si="47"/>
        <v>45411604.563999996</v>
      </c>
      <c r="AB81" s="45">
        <f t="shared" si="47"/>
        <v>0</v>
      </c>
      <c r="AE81" s="45" t="e">
        <f t="shared" ref="AE81:AO81" si="48">SUM(AE61:AE80)</f>
        <v>#REF!</v>
      </c>
      <c r="AF81" s="45" t="e">
        <f t="shared" si="48"/>
        <v>#REF!</v>
      </c>
      <c r="AG81" s="45" t="e">
        <f t="shared" si="48"/>
        <v>#REF!</v>
      </c>
      <c r="AH81" s="45" t="e">
        <f t="shared" si="48"/>
        <v>#REF!</v>
      </c>
      <c r="AI81" s="45" t="e">
        <f t="shared" si="48"/>
        <v>#REF!</v>
      </c>
      <c r="AJ81" s="45" t="e">
        <f t="shared" si="48"/>
        <v>#REF!</v>
      </c>
      <c r="AK81" s="45" t="e">
        <f t="shared" si="48"/>
        <v>#REF!</v>
      </c>
      <c r="AL81" s="45" t="e">
        <f t="shared" si="48"/>
        <v>#REF!</v>
      </c>
      <c r="AM81" s="45" t="e">
        <f t="shared" si="48"/>
        <v>#REF!</v>
      </c>
      <c r="AN81" s="45" t="e">
        <f t="shared" si="48"/>
        <v>#REF!</v>
      </c>
      <c r="AO81" s="45" t="e">
        <f t="shared" si="48"/>
        <v>#REF!</v>
      </c>
    </row>
    <row r="82" spans="1:42" x14ac:dyDescent="0.25">
      <c r="A82" s="41"/>
    </row>
    <row r="83" spans="1:42" x14ac:dyDescent="0.25">
      <c r="A83" s="41" t="s">
        <v>1326</v>
      </c>
    </row>
    <row r="84" spans="1:42" x14ac:dyDescent="0.25">
      <c r="A84" s="41"/>
    </row>
    <row r="85" spans="1:42" x14ac:dyDescent="0.25">
      <c r="A85" s="41"/>
    </row>
    <row r="86" spans="1:42" x14ac:dyDescent="0.25">
      <c r="A86" s="41" t="s">
        <v>1327</v>
      </c>
    </row>
    <row r="87" spans="1:42" x14ac:dyDescent="0.25">
      <c r="A87" s="42">
        <v>110001</v>
      </c>
      <c r="B87" s="43" t="s">
        <v>818</v>
      </c>
      <c r="C87" s="44" t="e">
        <f t="shared" ref="C87:N93" si="49">Q87+AE87</f>
        <v>#REF!</v>
      </c>
      <c r="D87" s="44" t="e">
        <f t="shared" si="49"/>
        <v>#REF!</v>
      </c>
      <c r="E87" s="44" t="e">
        <f t="shared" si="49"/>
        <v>#REF!</v>
      </c>
      <c r="F87" s="44" t="e">
        <f t="shared" si="49"/>
        <v>#REF!</v>
      </c>
      <c r="G87" s="44" t="e">
        <f t="shared" si="49"/>
        <v>#REF!</v>
      </c>
      <c r="H87" s="44" t="e">
        <f t="shared" si="49"/>
        <v>#REF!</v>
      </c>
      <c r="I87" s="44" t="e">
        <f t="shared" si="49"/>
        <v>#REF!</v>
      </c>
      <c r="J87" s="44" t="e">
        <f t="shared" si="49"/>
        <v>#REF!</v>
      </c>
      <c r="K87" s="44" t="e">
        <f t="shared" si="49"/>
        <v>#REF!</v>
      </c>
      <c r="L87" s="44" t="e">
        <f t="shared" si="49"/>
        <v>#REF!</v>
      </c>
      <c r="M87" s="44" t="e">
        <f t="shared" si="49"/>
        <v>#REF!</v>
      </c>
      <c r="N87" s="44">
        <f t="shared" si="49"/>
        <v>0</v>
      </c>
      <c r="Q87" s="44" t="e">
        <f>SUMIF(#REF!,$A87,#REF!)</f>
        <v>#REF!</v>
      </c>
      <c r="R87" s="44">
        <f>SUMIF(ALIF_Y2014!$A:$A,$A87,ALIF_Y2014!$F:$F)</f>
        <v>0</v>
      </c>
      <c r="S87" s="44">
        <f>SUMIF(ALIF_Y2015!$A:$A,$A87,ALIF_Y2015!$F:$F)</f>
        <v>0</v>
      </c>
      <c r="T87" s="44">
        <f>SUMIF(ALIF_Y2016!$A:$A,$A87,ALIF_Y2016!$F:$F)</f>
        <v>0</v>
      </c>
      <c r="U87" s="44">
        <f>SUMIF(ALIF_Y2017!$A:$A,$A87,ALIF_Y2017!$F:$F)</f>
        <v>0</v>
      </c>
      <c r="V87" s="44">
        <f>SUMIF(ALIF_Y2018!$A:$A,$A87,ALIF_Y2018!$F:$F)</f>
        <v>0</v>
      </c>
      <c r="W87" s="44">
        <f>SUMIF(ALIF_Y2019!$A:$A,$A87,ALIF_Y2019!$F:$F)</f>
        <v>0</v>
      </c>
      <c r="X87" s="44">
        <f>SUMIF(ALIF_Y2020!$A:$A,$A87,ALIF_Y2020!$F:$F)</f>
        <v>0</v>
      </c>
      <c r="Y87" s="44">
        <f>SUMIF(ALIF_Y2021!$A:$A,$A87,ALIF_Y2021!$F:$F)</f>
        <v>0</v>
      </c>
      <c r="Z87" s="44">
        <f>SUMIF(ALIF_Y2022!$A:$A,$A87,ALIF_Y2022!$F:$F)</f>
        <v>0</v>
      </c>
      <c r="AA87" s="44">
        <f>SUMIF(ALIF_Y2023!$A:$A,$A87,ALIF_Y2023!$F:$F)</f>
        <v>0</v>
      </c>
      <c r="AE87" s="44" t="e">
        <f>SUMIF(#REF!,$A87,#REF!)</f>
        <v>#REF!</v>
      </c>
      <c r="AF87" s="44" t="e">
        <f>SUMIF(#REF!,$A87,#REF!)</f>
        <v>#REF!</v>
      </c>
      <c r="AG87" s="44" t="e">
        <f>SUMIF(#REF!,$A87,#REF!)</f>
        <v>#REF!</v>
      </c>
      <c r="AH87" s="44" t="e">
        <f>SUMIF(#REF!,$A87,#REF!)</f>
        <v>#REF!</v>
      </c>
      <c r="AI87" s="44" t="e">
        <f>SUMIF(#REF!,$A87,#REF!)</f>
        <v>#REF!</v>
      </c>
      <c r="AJ87" s="44" t="e">
        <f>SUMIF(#REF!,$A87,#REF!)</f>
        <v>#REF!</v>
      </c>
      <c r="AK87" s="44" t="e">
        <f>SUMIF(#REF!,$A87,#REF!)</f>
        <v>#REF!</v>
      </c>
      <c r="AL87" s="44" t="e">
        <f>SUMIF(#REF!,$A87,#REF!)</f>
        <v>#REF!</v>
      </c>
      <c r="AM87" s="44" t="e">
        <f>SUMIF(#REF!,$A87,#REF!)</f>
        <v>#REF!</v>
      </c>
      <c r="AN87" s="44" t="e">
        <f>SUMIF(#REF!,$A87,#REF!)</f>
        <v>#REF!</v>
      </c>
      <c r="AO87" s="44" t="e">
        <f>SUMIF(#REF!,$A87,#REF!)</f>
        <v>#REF!</v>
      </c>
    </row>
    <row r="88" spans="1:42" x14ac:dyDescent="0.25">
      <c r="A88" s="42">
        <v>110002</v>
      </c>
      <c r="B88" s="43" t="s">
        <v>819</v>
      </c>
      <c r="C88" s="44" t="e">
        <f t="shared" si="49"/>
        <v>#REF!</v>
      </c>
      <c r="D88" s="44" t="e">
        <f t="shared" si="49"/>
        <v>#REF!</v>
      </c>
      <c r="E88" s="44" t="e">
        <f t="shared" si="49"/>
        <v>#REF!</v>
      </c>
      <c r="F88" s="44" t="e">
        <f t="shared" si="49"/>
        <v>#REF!</v>
      </c>
      <c r="G88" s="44" t="e">
        <f t="shared" si="49"/>
        <v>#REF!</v>
      </c>
      <c r="H88" s="44" t="e">
        <f t="shared" si="49"/>
        <v>#REF!</v>
      </c>
      <c r="I88" s="44" t="e">
        <f t="shared" si="49"/>
        <v>#REF!</v>
      </c>
      <c r="J88" s="44" t="e">
        <f t="shared" si="49"/>
        <v>#REF!</v>
      </c>
      <c r="K88" s="44" t="e">
        <f t="shared" si="49"/>
        <v>#REF!</v>
      </c>
      <c r="L88" s="44" t="e">
        <f t="shared" si="49"/>
        <v>#REF!</v>
      </c>
      <c r="M88" s="44" t="e">
        <f t="shared" si="49"/>
        <v>#REF!</v>
      </c>
      <c r="N88" s="44">
        <f t="shared" si="49"/>
        <v>0</v>
      </c>
      <c r="Q88" s="44" t="e">
        <f>SUMIF(#REF!,$A88,#REF!)</f>
        <v>#REF!</v>
      </c>
      <c r="R88" s="44">
        <f>SUMIF(ALIF_Y2014!$A:$A,$A88,ALIF_Y2014!$F:$F)</f>
        <v>249682</v>
      </c>
      <c r="S88" s="44">
        <f>SUMIF(ALIF_Y2015!$A:$A,$A88,ALIF_Y2015!$F:$F)</f>
        <v>249682</v>
      </c>
      <c r="T88" s="44">
        <f>SUMIF(ALIF_Y2016!$A:$A,$A88,ALIF_Y2016!$F:$F)</f>
        <v>249682</v>
      </c>
      <c r="U88" s="44">
        <f>SUMIF(ALIF_Y2017!$A:$A,$A88,ALIF_Y2017!$F:$F)</f>
        <v>249682</v>
      </c>
      <c r="V88" s="44">
        <f>SUMIF(ALIF_Y2018!$A:$A,$A88,ALIF_Y2018!$F:$F)</f>
        <v>106504996.56999999</v>
      </c>
      <c r="W88" s="44">
        <f>SUMIF(ALIF_Y2019!$A:$A,$A88,ALIF_Y2019!$F:$F)</f>
        <v>106504996.56999999</v>
      </c>
      <c r="X88" s="44">
        <f>SUMIF(ALIF_Y2020!$A:$A,$A88,ALIF_Y2020!$F:$F)</f>
        <v>106504996.56999999</v>
      </c>
      <c r="Y88" s="44">
        <f>SUMIF(ALIF_Y2021!$A:$A,$A88,ALIF_Y2021!$F:$F)</f>
        <v>106504996.56999999</v>
      </c>
      <c r="Z88" s="44">
        <f>SUMIF(ALIF_Y2022!$A:$A,$A88,ALIF_Y2022!$F:$F)</f>
        <v>106504996.56999999</v>
      </c>
      <c r="AA88" s="44">
        <f>SUMIF(ALIF_Y2023!$A:$A,$A88,ALIF_Y2023!$F:$F)</f>
        <v>106504996.56999999</v>
      </c>
      <c r="AE88" s="44" t="e">
        <f>SUMIF(#REF!,$A88,#REF!)</f>
        <v>#REF!</v>
      </c>
      <c r="AF88" s="44" t="e">
        <f>SUMIF(#REF!,$A88,#REF!)</f>
        <v>#REF!</v>
      </c>
      <c r="AG88" s="44" t="e">
        <f>SUMIF(#REF!,$A88,#REF!)</f>
        <v>#REF!</v>
      </c>
      <c r="AH88" s="44" t="e">
        <f>SUMIF(#REF!,$A88,#REF!)</f>
        <v>#REF!</v>
      </c>
      <c r="AI88" s="44" t="e">
        <f>SUMIF(#REF!,$A88,#REF!)</f>
        <v>#REF!</v>
      </c>
      <c r="AJ88" s="44" t="e">
        <f>SUMIF(#REF!,$A88,#REF!)</f>
        <v>#REF!</v>
      </c>
      <c r="AK88" s="44" t="e">
        <f>SUMIF(#REF!,$A88,#REF!)</f>
        <v>#REF!</v>
      </c>
      <c r="AL88" s="44" t="e">
        <f>SUMIF(#REF!,$A88,#REF!)</f>
        <v>#REF!</v>
      </c>
      <c r="AM88" s="44" t="e">
        <f>SUMIF(#REF!,$A88,#REF!)</f>
        <v>#REF!</v>
      </c>
      <c r="AN88" s="44" t="e">
        <f>SUMIF(#REF!,$A88,#REF!)</f>
        <v>#REF!</v>
      </c>
      <c r="AO88" s="44" t="e">
        <f>SUMIF(#REF!,$A88,#REF!)</f>
        <v>#REF!</v>
      </c>
    </row>
    <row r="89" spans="1:42" x14ac:dyDescent="0.25">
      <c r="A89" s="42">
        <v>110003</v>
      </c>
      <c r="B89" s="43" t="s">
        <v>820</v>
      </c>
      <c r="C89" s="44" t="e">
        <f t="shared" si="49"/>
        <v>#REF!</v>
      </c>
      <c r="D89" s="44" t="e">
        <f t="shared" si="49"/>
        <v>#REF!</v>
      </c>
      <c r="E89" s="44" t="e">
        <f t="shared" si="49"/>
        <v>#REF!</v>
      </c>
      <c r="F89" s="44" t="e">
        <f t="shared" si="49"/>
        <v>#REF!</v>
      </c>
      <c r="G89" s="44" t="e">
        <f t="shared" si="49"/>
        <v>#REF!</v>
      </c>
      <c r="H89" s="44" t="e">
        <f t="shared" si="49"/>
        <v>#REF!</v>
      </c>
      <c r="I89" s="44" t="e">
        <f t="shared" si="49"/>
        <v>#REF!</v>
      </c>
      <c r="J89" s="44" t="e">
        <f t="shared" si="49"/>
        <v>#REF!</v>
      </c>
      <c r="K89" s="44" t="e">
        <f t="shared" si="49"/>
        <v>#REF!</v>
      </c>
      <c r="L89" s="44" t="e">
        <f t="shared" si="49"/>
        <v>#REF!</v>
      </c>
      <c r="M89" s="44" t="e">
        <f t="shared" si="49"/>
        <v>#REF!</v>
      </c>
      <c r="N89" s="44">
        <f t="shared" si="49"/>
        <v>0</v>
      </c>
      <c r="Q89" s="44" t="e">
        <f>SUMIF(#REF!,$A89,#REF!)</f>
        <v>#REF!</v>
      </c>
      <c r="R89" s="44">
        <f>SUMIF(ALIF_Y2014!$A:$A,$A89,ALIF_Y2014!$F:$F)</f>
        <v>1765393.75</v>
      </c>
      <c r="S89" s="44">
        <f>SUMIF(ALIF_Y2015!$A:$A,$A89,ALIF_Y2015!$F:$F)</f>
        <v>1773233.75</v>
      </c>
      <c r="T89" s="44">
        <f>SUMIF(ALIF_Y2016!$A:$A,$A89,ALIF_Y2016!$F:$F)</f>
        <v>1773233.75</v>
      </c>
      <c r="U89" s="44">
        <f>SUMIF(ALIF_Y2017!$A:$A,$A89,ALIF_Y2017!$F:$F)</f>
        <v>1773233.75</v>
      </c>
      <c r="V89" s="44">
        <f>SUMIF(ALIF_Y2018!$A:$A,$A89,ALIF_Y2018!$F:$F)</f>
        <v>1824603.75</v>
      </c>
      <c r="W89" s="44">
        <f>SUMIF(ALIF_Y2019!$A:$A,$A89,ALIF_Y2019!$F:$F)</f>
        <v>1920201.75</v>
      </c>
      <c r="X89" s="44">
        <f>SUMIF(ALIF_Y2020!$A:$A,$A89,ALIF_Y2020!$F:$F)</f>
        <v>1765393.75</v>
      </c>
      <c r="Y89" s="44">
        <f>SUMIF(ALIF_Y2021!$A:$A,$A89,ALIF_Y2021!$F:$F)</f>
        <v>1765393.75</v>
      </c>
      <c r="Z89" s="44">
        <f>SUMIF(ALIF_Y2022!$A:$A,$A89,ALIF_Y2022!$F:$F)</f>
        <v>1765393.75</v>
      </c>
      <c r="AA89" s="44">
        <f>SUMIF(ALIF_Y2023!$A:$A,$A89,ALIF_Y2023!$F:$F)</f>
        <v>1765393.75</v>
      </c>
      <c r="AE89" s="44" t="e">
        <f>SUMIF(#REF!,$A89,#REF!)</f>
        <v>#REF!</v>
      </c>
      <c r="AF89" s="44" t="e">
        <f>SUMIF(#REF!,$A89,#REF!)</f>
        <v>#REF!</v>
      </c>
      <c r="AG89" s="44" t="e">
        <f>SUMIF(#REF!,$A89,#REF!)</f>
        <v>#REF!</v>
      </c>
      <c r="AH89" s="44" t="e">
        <f>SUMIF(#REF!,$A89,#REF!)</f>
        <v>#REF!</v>
      </c>
      <c r="AI89" s="44" t="e">
        <f>SUMIF(#REF!,$A89,#REF!)</f>
        <v>#REF!</v>
      </c>
      <c r="AJ89" s="44" t="e">
        <f>SUMIF(#REF!,$A89,#REF!)</f>
        <v>#REF!</v>
      </c>
      <c r="AK89" s="44" t="e">
        <f>SUMIF(#REF!,$A89,#REF!)</f>
        <v>#REF!</v>
      </c>
      <c r="AL89" s="44" t="e">
        <f>SUMIF(#REF!,$A89,#REF!)</f>
        <v>#REF!</v>
      </c>
      <c r="AM89" s="44" t="e">
        <f>SUMIF(#REF!,$A89,#REF!)</f>
        <v>#REF!</v>
      </c>
      <c r="AN89" s="44" t="e">
        <f>SUMIF(#REF!,$A89,#REF!)</f>
        <v>#REF!</v>
      </c>
      <c r="AO89" s="44" t="e">
        <f>SUMIF(#REF!,$A89,#REF!)</f>
        <v>#REF!</v>
      </c>
    </row>
    <row r="90" spans="1:42" x14ac:dyDescent="0.25">
      <c r="A90" s="42">
        <v>110004</v>
      </c>
      <c r="B90" s="43" t="s">
        <v>821</v>
      </c>
      <c r="C90" s="44" t="e">
        <f t="shared" si="49"/>
        <v>#REF!</v>
      </c>
      <c r="D90" s="44" t="e">
        <f t="shared" si="49"/>
        <v>#REF!</v>
      </c>
      <c r="E90" s="44" t="e">
        <f t="shared" si="49"/>
        <v>#REF!</v>
      </c>
      <c r="F90" s="44" t="e">
        <f t="shared" si="49"/>
        <v>#REF!</v>
      </c>
      <c r="G90" s="44" t="e">
        <f t="shared" si="49"/>
        <v>#REF!</v>
      </c>
      <c r="H90" s="44" t="e">
        <f t="shared" si="49"/>
        <v>#REF!</v>
      </c>
      <c r="I90" s="44" t="e">
        <f t="shared" si="49"/>
        <v>#REF!</v>
      </c>
      <c r="J90" s="44" t="e">
        <f t="shared" si="49"/>
        <v>#REF!</v>
      </c>
      <c r="K90" s="44" t="e">
        <f t="shared" si="49"/>
        <v>#REF!</v>
      </c>
      <c r="L90" s="44" t="e">
        <f t="shared" si="49"/>
        <v>#REF!</v>
      </c>
      <c r="M90" s="44" t="e">
        <f t="shared" si="49"/>
        <v>#REF!</v>
      </c>
      <c r="N90" s="44">
        <f t="shared" si="49"/>
        <v>0</v>
      </c>
      <c r="Q90" s="44" t="e">
        <f>SUMIF(#REF!,$A90,#REF!)</f>
        <v>#REF!</v>
      </c>
      <c r="R90" s="44">
        <f>SUMIF(ALIF_Y2014!$A:$A,$A90,ALIF_Y2014!$F:$F)</f>
        <v>38561940.795000002</v>
      </c>
      <c r="S90" s="44">
        <f>SUMIF(ALIF_Y2015!$A:$A,$A90,ALIF_Y2015!$F:$F)</f>
        <v>39518810.888999999</v>
      </c>
      <c r="T90" s="44">
        <f>SUMIF(ALIF_Y2016!$A:$A,$A90,ALIF_Y2016!$F:$F)</f>
        <v>39914308.471000001</v>
      </c>
      <c r="U90" s="44">
        <f>SUMIF(ALIF_Y2017!$A:$A,$A90,ALIF_Y2017!$F:$F)</f>
        <v>43898751.101000004</v>
      </c>
      <c r="V90" s="44">
        <f>SUMIF(ALIF_Y2018!$A:$A,$A90,ALIF_Y2018!$F:$F)</f>
        <v>62879992.733999997</v>
      </c>
      <c r="W90" s="44">
        <f>SUMIF(ALIF_Y2019!$A:$A,$A90,ALIF_Y2019!$F:$F)</f>
        <v>66375893.005999997</v>
      </c>
      <c r="X90" s="44">
        <f>SUMIF(ALIF_Y2020!$A:$A,$A90,ALIF_Y2020!$F:$F)</f>
        <v>71133085.783000007</v>
      </c>
      <c r="Y90" s="44">
        <f>SUMIF(ALIF_Y2021!$A:$A,$A90,ALIF_Y2021!$F:$F)</f>
        <v>72216302.398000002</v>
      </c>
      <c r="Z90" s="44">
        <f>SUMIF(ALIF_Y2022!$A:$A,$A90,ALIF_Y2022!$F:$F)</f>
        <v>80282872.049999997</v>
      </c>
      <c r="AA90" s="44">
        <f>SUMIF(ALIF_Y2023!$A:$A,$A90,ALIF_Y2023!$F:$F)</f>
        <v>72478281.030000001</v>
      </c>
      <c r="AE90" s="44" t="e">
        <f>SUMIF(#REF!,$A90,#REF!)</f>
        <v>#REF!</v>
      </c>
      <c r="AF90" s="44" t="e">
        <f>SUMIF(#REF!,$A90,#REF!)</f>
        <v>#REF!</v>
      </c>
      <c r="AG90" s="44" t="e">
        <f>SUMIF(#REF!,$A90,#REF!)</f>
        <v>#REF!</v>
      </c>
      <c r="AH90" s="44" t="e">
        <f>SUMIF(#REF!,$A90,#REF!)</f>
        <v>#REF!</v>
      </c>
      <c r="AI90" s="44" t="e">
        <f>SUMIF(#REF!,$A90,#REF!)</f>
        <v>#REF!</v>
      </c>
      <c r="AJ90" s="44" t="e">
        <f>SUMIF(#REF!,$A90,#REF!)</f>
        <v>#REF!</v>
      </c>
      <c r="AK90" s="44" t="e">
        <f>SUMIF(#REF!,$A90,#REF!)</f>
        <v>#REF!</v>
      </c>
      <c r="AL90" s="44" t="e">
        <f>SUMIF(#REF!,$A90,#REF!)</f>
        <v>#REF!</v>
      </c>
      <c r="AM90" s="44" t="e">
        <f>SUMIF(#REF!,$A90,#REF!)</f>
        <v>#REF!</v>
      </c>
      <c r="AN90" s="44" t="e">
        <f>SUMIF(#REF!,$A90,#REF!)</f>
        <v>#REF!</v>
      </c>
      <c r="AO90" s="44" t="e">
        <f>SUMIF(#REF!,$A90,#REF!)</f>
        <v>#REF!</v>
      </c>
    </row>
    <row r="91" spans="1:42" x14ac:dyDescent="0.25">
      <c r="A91" s="42">
        <v>110006</v>
      </c>
      <c r="B91" s="43" t="s">
        <v>822</v>
      </c>
      <c r="C91" s="44" t="e">
        <f t="shared" si="49"/>
        <v>#REF!</v>
      </c>
      <c r="D91" s="44" t="e">
        <f t="shared" si="49"/>
        <v>#REF!</v>
      </c>
      <c r="E91" s="44" t="e">
        <f t="shared" si="49"/>
        <v>#REF!</v>
      </c>
      <c r="F91" s="44" t="e">
        <f t="shared" si="49"/>
        <v>#REF!</v>
      </c>
      <c r="G91" s="44" t="e">
        <f t="shared" si="49"/>
        <v>#REF!</v>
      </c>
      <c r="H91" s="44" t="e">
        <f t="shared" si="49"/>
        <v>#REF!</v>
      </c>
      <c r="I91" s="44" t="e">
        <f t="shared" si="49"/>
        <v>#REF!</v>
      </c>
      <c r="J91" s="44" t="e">
        <f t="shared" si="49"/>
        <v>#REF!</v>
      </c>
      <c r="K91" s="44" t="e">
        <f t="shared" si="49"/>
        <v>#REF!</v>
      </c>
      <c r="L91" s="44" t="e">
        <f t="shared" si="49"/>
        <v>#REF!</v>
      </c>
      <c r="M91" s="44" t="e">
        <f t="shared" si="49"/>
        <v>#REF!</v>
      </c>
      <c r="N91" s="44">
        <f t="shared" si="49"/>
        <v>0</v>
      </c>
      <c r="Q91" s="44" t="e">
        <f>SUMIF(#REF!,$A91,#REF!)</f>
        <v>#REF!</v>
      </c>
      <c r="R91" s="44">
        <f>SUMIF(ALIF_Y2014!$A:$A,$A91,ALIF_Y2014!$F:$F)</f>
        <v>1446052.15</v>
      </c>
      <c r="S91" s="44">
        <f>SUMIF(ALIF_Y2015!$A:$A,$A91,ALIF_Y2015!$F:$F)</f>
        <v>1446052.15</v>
      </c>
      <c r="T91" s="44">
        <f>SUMIF(ALIF_Y2016!$A:$A,$A91,ALIF_Y2016!$F:$F)</f>
        <v>1548852.15</v>
      </c>
      <c r="U91" s="44">
        <f>SUMIF(ALIF_Y2017!$A:$A,$A91,ALIF_Y2017!$F:$F)</f>
        <v>1891752.15</v>
      </c>
      <c r="V91" s="44">
        <f>SUMIF(ALIF_Y2018!$A:$A,$A91,ALIF_Y2018!$F:$F)</f>
        <v>2495208.4550000001</v>
      </c>
      <c r="W91" s="44">
        <f>SUMIF(ALIF_Y2019!$A:$A,$A91,ALIF_Y2019!$F:$F)</f>
        <v>2791352.0630000001</v>
      </c>
      <c r="X91" s="44">
        <f>SUMIF(ALIF_Y2020!$A:$A,$A91,ALIF_Y2020!$F:$F)</f>
        <v>2602761.003</v>
      </c>
      <c r="Y91" s="44">
        <f>SUMIF(ALIF_Y2021!$A:$A,$A91,ALIF_Y2021!$F:$F)</f>
        <v>2675451.003</v>
      </c>
      <c r="Z91" s="44">
        <f>SUMIF(ALIF_Y2022!$A:$A,$A91,ALIF_Y2022!$F:$F)</f>
        <v>3033459.699</v>
      </c>
      <c r="AA91" s="44">
        <f>SUMIF(ALIF_Y2023!$A:$A,$A91,ALIF_Y2023!$F:$F)</f>
        <v>3090755.699</v>
      </c>
      <c r="AE91" s="44" t="e">
        <f>SUMIF(#REF!,$A91,#REF!)</f>
        <v>#REF!</v>
      </c>
      <c r="AF91" s="44" t="e">
        <f>SUMIF(#REF!,$A91,#REF!)</f>
        <v>#REF!</v>
      </c>
      <c r="AG91" s="44" t="e">
        <f>SUMIF(#REF!,$A91,#REF!)</f>
        <v>#REF!</v>
      </c>
      <c r="AH91" s="44" t="e">
        <f>SUMIF(#REF!,$A91,#REF!)</f>
        <v>#REF!</v>
      </c>
      <c r="AI91" s="44" t="e">
        <f>SUMIF(#REF!,$A91,#REF!)</f>
        <v>#REF!</v>
      </c>
      <c r="AJ91" s="44" t="e">
        <f>SUMIF(#REF!,$A91,#REF!)</f>
        <v>#REF!</v>
      </c>
      <c r="AK91" s="44" t="e">
        <f>SUMIF(#REF!,$A91,#REF!)</f>
        <v>#REF!</v>
      </c>
      <c r="AL91" s="44" t="e">
        <f>SUMIF(#REF!,$A91,#REF!)</f>
        <v>#REF!</v>
      </c>
      <c r="AM91" s="44" t="e">
        <f>SUMIF(#REF!,$A91,#REF!)</f>
        <v>#REF!</v>
      </c>
      <c r="AN91" s="44" t="e">
        <f>SUMIF(#REF!,$A91,#REF!)</f>
        <v>#REF!</v>
      </c>
      <c r="AO91" s="44" t="e">
        <f>SUMIF(#REF!,$A91,#REF!)</f>
        <v>#REF!</v>
      </c>
    </row>
    <row r="92" spans="1:42" x14ac:dyDescent="0.25">
      <c r="A92" s="42">
        <v>110007</v>
      </c>
      <c r="B92" s="43" t="s">
        <v>823</v>
      </c>
      <c r="C92" s="44" t="e">
        <f t="shared" si="49"/>
        <v>#REF!</v>
      </c>
      <c r="D92" s="44" t="e">
        <f t="shared" si="49"/>
        <v>#REF!</v>
      </c>
      <c r="E92" s="44" t="e">
        <f t="shared" si="49"/>
        <v>#REF!</v>
      </c>
      <c r="F92" s="44" t="e">
        <f t="shared" si="49"/>
        <v>#REF!</v>
      </c>
      <c r="G92" s="44" t="e">
        <f t="shared" si="49"/>
        <v>#REF!</v>
      </c>
      <c r="H92" s="44" t="e">
        <f t="shared" si="49"/>
        <v>#REF!</v>
      </c>
      <c r="I92" s="44" t="e">
        <f t="shared" si="49"/>
        <v>#REF!</v>
      </c>
      <c r="J92" s="44" t="e">
        <f t="shared" si="49"/>
        <v>#REF!</v>
      </c>
      <c r="K92" s="44" t="e">
        <f t="shared" si="49"/>
        <v>#REF!</v>
      </c>
      <c r="L92" s="44" t="e">
        <f t="shared" si="49"/>
        <v>#REF!</v>
      </c>
      <c r="M92" s="44" t="e">
        <f t="shared" si="49"/>
        <v>#REF!</v>
      </c>
      <c r="N92" s="44">
        <f t="shared" si="49"/>
        <v>0</v>
      </c>
      <c r="Q92" s="44" t="e">
        <f>SUMIF(#REF!,$A92,#REF!)</f>
        <v>#REF!</v>
      </c>
      <c r="R92" s="44">
        <f>SUMIF(ALIF_Y2014!$A:$A,$A92,ALIF_Y2014!$F:$F)</f>
        <v>798523.45</v>
      </c>
      <c r="S92" s="44">
        <f>SUMIF(ALIF_Y2015!$A:$A,$A92,ALIF_Y2015!$F:$F)</f>
        <v>798523.45</v>
      </c>
      <c r="T92" s="44">
        <f>SUMIF(ALIF_Y2016!$A:$A,$A92,ALIF_Y2016!$F:$F)</f>
        <v>798523.45</v>
      </c>
      <c r="U92" s="44">
        <f>SUMIF(ALIF_Y2017!$A:$A,$A92,ALIF_Y2017!$F:$F)</f>
        <v>798523.45</v>
      </c>
      <c r="V92" s="44">
        <f>SUMIF(ALIF_Y2018!$A:$A,$A92,ALIF_Y2018!$F:$F)</f>
        <v>876515.95</v>
      </c>
      <c r="W92" s="44">
        <f>SUMIF(ALIF_Y2019!$A:$A,$A92,ALIF_Y2019!$F:$F)</f>
        <v>876515.95</v>
      </c>
      <c r="X92" s="44">
        <f>SUMIF(ALIF_Y2020!$A:$A,$A92,ALIF_Y2020!$F:$F)</f>
        <v>1191638.95</v>
      </c>
      <c r="Y92" s="44">
        <f>SUMIF(ALIF_Y2021!$A:$A,$A92,ALIF_Y2021!$F:$F)</f>
        <v>2056841.15</v>
      </c>
      <c r="Z92" s="44">
        <f>SUMIF(ALIF_Y2022!$A:$A,$A92,ALIF_Y2022!$F:$F)</f>
        <v>2100287.898</v>
      </c>
      <c r="AA92" s="44">
        <f>SUMIF(ALIF_Y2023!$A:$A,$A92,ALIF_Y2023!$F:$F)</f>
        <v>2100287.898</v>
      </c>
      <c r="AE92" s="44" t="e">
        <f>SUMIF(#REF!,$A92,#REF!)</f>
        <v>#REF!</v>
      </c>
      <c r="AF92" s="44" t="e">
        <f>SUMIF(#REF!,$A92,#REF!)</f>
        <v>#REF!</v>
      </c>
      <c r="AG92" s="44" t="e">
        <f>SUMIF(#REF!,$A92,#REF!)</f>
        <v>#REF!</v>
      </c>
      <c r="AH92" s="44" t="e">
        <f>SUMIF(#REF!,$A92,#REF!)</f>
        <v>#REF!</v>
      </c>
      <c r="AI92" s="44" t="e">
        <f>SUMIF(#REF!,$A92,#REF!)</f>
        <v>#REF!</v>
      </c>
      <c r="AJ92" s="44" t="e">
        <f>SUMIF(#REF!,$A92,#REF!)</f>
        <v>#REF!</v>
      </c>
      <c r="AK92" s="44" t="e">
        <f>SUMIF(#REF!,$A92,#REF!)</f>
        <v>#REF!</v>
      </c>
      <c r="AL92" s="44" t="e">
        <f>SUMIF(#REF!,$A92,#REF!)</f>
        <v>#REF!</v>
      </c>
      <c r="AM92" s="44" t="e">
        <f>SUMIF(#REF!,$A92,#REF!)</f>
        <v>#REF!</v>
      </c>
      <c r="AN92" s="44" t="e">
        <f>SUMIF(#REF!,$A92,#REF!)</f>
        <v>#REF!</v>
      </c>
      <c r="AO92" s="44" t="e">
        <f>SUMIF(#REF!,$A92,#REF!)</f>
        <v>#REF!</v>
      </c>
    </row>
    <row r="93" spans="1:42" x14ac:dyDescent="0.25">
      <c r="A93" s="42">
        <v>110008</v>
      </c>
      <c r="B93" s="43" t="s">
        <v>824</v>
      </c>
      <c r="C93" s="44" t="e">
        <f t="shared" si="49"/>
        <v>#REF!</v>
      </c>
      <c r="D93" s="44" t="e">
        <f t="shared" si="49"/>
        <v>#REF!</v>
      </c>
      <c r="E93" s="44" t="e">
        <f t="shared" si="49"/>
        <v>#REF!</v>
      </c>
      <c r="F93" s="44" t="e">
        <f t="shared" si="49"/>
        <v>#REF!</v>
      </c>
      <c r="G93" s="44" t="e">
        <f t="shared" si="49"/>
        <v>#REF!</v>
      </c>
      <c r="H93" s="44" t="e">
        <f t="shared" si="49"/>
        <v>#REF!</v>
      </c>
      <c r="I93" s="44" t="e">
        <f t="shared" si="49"/>
        <v>#REF!</v>
      </c>
      <c r="J93" s="44" t="e">
        <f t="shared" si="49"/>
        <v>#REF!</v>
      </c>
      <c r="K93" s="44" t="e">
        <f t="shared" si="49"/>
        <v>#REF!</v>
      </c>
      <c r="L93" s="44" t="e">
        <f t="shared" si="49"/>
        <v>#REF!</v>
      </c>
      <c r="M93" s="44" t="e">
        <f t="shared" si="49"/>
        <v>#REF!</v>
      </c>
      <c r="N93" s="44">
        <f t="shared" si="49"/>
        <v>0</v>
      </c>
      <c r="Q93" s="44" t="e">
        <f>SUMIF(#REF!,$A93,#REF!)</f>
        <v>#REF!</v>
      </c>
      <c r="R93" s="44">
        <f>SUMIF(ALIF_Y2014!$A:$A,$A93,ALIF_Y2014!$F:$F)</f>
        <v>191765.4</v>
      </c>
      <c r="S93" s="44">
        <f>SUMIF(ALIF_Y2015!$A:$A,$A93,ALIF_Y2015!$F:$F)</f>
        <v>191765.4</v>
      </c>
      <c r="T93" s="44">
        <f>SUMIF(ALIF_Y2016!$A:$A,$A93,ALIF_Y2016!$F:$F)</f>
        <v>191765.4</v>
      </c>
      <c r="U93" s="44">
        <f>SUMIF(ALIF_Y2017!$A:$A,$A93,ALIF_Y2017!$F:$F)</f>
        <v>191765.4</v>
      </c>
      <c r="V93" s="44">
        <f>SUMIF(ALIF_Y2018!$A:$A,$A93,ALIF_Y2018!$F:$F)</f>
        <v>533547.4</v>
      </c>
      <c r="W93" s="44">
        <f>SUMIF(ALIF_Y2019!$A:$A,$A93,ALIF_Y2019!$F:$F)</f>
        <v>616788.348</v>
      </c>
      <c r="X93" s="44">
        <f>SUMIF(ALIF_Y2020!$A:$A,$A93,ALIF_Y2020!$F:$F)</f>
        <v>961301.67799999996</v>
      </c>
      <c r="Y93" s="44">
        <f>SUMIF(ALIF_Y2021!$A:$A,$A93,ALIF_Y2021!$F:$F)</f>
        <v>1015678.496</v>
      </c>
      <c r="Z93" s="44">
        <f>SUMIF(ALIF_Y2022!$A:$A,$A93,ALIF_Y2022!$F:$F)</f>
        <v>1101801</v>
      </c>
      <c r="AA93" s="44">
        <f>SUMIF(ALIF_Y2023!$A:$A,$A93,ALIF_Y2023!$F:$F)</f>
        <v>1101801</v>
      </c>
      <c r="AE93" s="44" t="e">
        <f>SUMIF(#REF!,$A93,#REF!)</f>
        <v>#REF!</v>
      </c>
      <c r="AF93" s="44" t="e">
        <f>SUMIF(#REF!,$A93,#REF!)</f>
        <v>#REF!</v>
      </c>
      <c r="AG93" s="44" t="e">
        <f>SUMIF(#REF!,$A93,#REF!)</f>
        <v>#REF!</v>
      </c>
      <c r="AH93" s="44" t="e">
        <f>SUMIF(#REF!,$A93,#REF!)</f>
        <v>#REF!</v>
      </c>
      <c r="AI93" s="44" t="e">
        <f>SUMIF(#REF!,$A93,#REF!)</f>
        <v>#REF!</v>
      </c>
      <c r="AJ93" s="44" t="e">
        <f>SUMIF(#REF!,$A93,#REF!)</f>
        <v>#REF!</v>
      </c>
      <c r="AK93" s="44" t="e">
        <f>SUMIF(#REF!,$A93,#REF!)</f>
        <v>#REF!</v>
      </c>
      <c r="AL93" s="44" t="e">
        <f>SUMIF(#REF!,$A93,#REF!)</f>
        <v>#REF!</v>
      </c>
      <c r="AM93" s="44" t="e">
        <f>SUMIF(#REF!,$A93,#REF!)</f>
        <v>#REF!</v>
      </c>
      <c r="AN93" s="44" t="e">
        <f>SUMIF(#REF!,$A93,#REF!)</f>
        <v>#REF!</v>
      </c>
      <c r="AO93" s="44" t="e">
        <f>SUMIF(#REF!,$A93,#REF!)</f>
        <v>#REF!</v>
      </c>
    </row>
    <row r="94" spans="1:42" ht="7.9" customHeight="1" x14ac:dyDescent="0.25">
      <c r="C94" s="144"/>
      <c r="D94" s="144"/>
      <c r="E94" s="144"/>
      <c r="F94" s="144"/>
      <c r="G94" s="144"/>
      <c r="H94" s="144"/>
      <c r="I94" s="144"/>
      <c r="J94" s="144"/>
      <c r="K94" s="144"/>
      <c r="L94" s="144"/>
      <c r="M94" s="144"/>
      <c r="N94" s="144"/>
      <c r="Q94" s="144"/>
      <c r="R94" s="144"/>
      <c r="S94" s="144"/>
      <c r="T94" s="144"/>
      <c r="U94" s="144"/>
      <c r="V94" s="144"/>
      <c r="W94" s="144"/>
      <c r="X94" s="144"/>
      <c r="Y94" s="144"/>
      <c r="Z94" s="144"/>
      <c r="AA94" s="144"/>
      <c r="AB94" s="144"/>
      <c r="AE94" s="144"/>
      <c r="AF94" s="144"/>
      <c r="AG94" s="144"/>
      <c r="AH94" s="144"/>
      <c r="AI94" s="144"/>
      <c r="AJ94" s="144"/>
      <c r="AK94" s="144"/>
      <c r="AL94" s="144"/>
      <c r="AM94" s="144"/>
      <c r="AN94" s="144"/>
      <c r="AO94" s="144"/>
      <c r="AP94" s="144"/>
    </row>
    <row r="95" spans="1:42" x14ac:dyDescent="0.25">
      <c r="A95" s="42"/>
      <c r="C95" s="45" t="e">
        <f t="shared" ref="C95:N95" si="50">SUM(C87:C94)</f>
        <v>#REF!</v>
      </c>
      <c r="D95" s="45" t="e">
        <f t="shared" si="50"/>
        <v>#REF!</v>
      </c>
      <c r="E95" s="45" t="e">
        <f t="shared" si="50"/>
        <v>#REF!</v>
      </c>
      <c r="F95" s="45" t="e">
        <f t="shared" si="50"/>
        <v>#REF!</v>
      </c>
      <c r="G95" s="45" t="e">
        <f t="shared" si="50"/>
        <v>#REF!</v>
      </c>
      <c r="H95" s="45" t="e">
        <f t="shared" si="50"/>
        <v>#REF!</v>
      </c>
      <c r="I95" s="45" t="e">
        <f t="shared" si="50"/>
        <v>#REF!</v>
      </c>
      <c r="J95" s="45" t="e">
        <f t="shared" si="50"/>
        <v>#REF!</v>
      </c>
      <c r="K95" s="45" t="e">
        <f t="shared" si="50"/>
        <v>#REF!</v>
      </c>
      <c r="L95" s="45" t="e">
        <f t="shared" si="50"/>
        <v>#REF!</v>
      </c>
      <c r="M95" s="45" t="e">
        <f t="shared" si="50"/>
        <v>#REF!</v>
      </c>
      <c r="N95" s="45">
        <f t="shared" si="50"/>
        <v>0</v>
      </c>
      <c r="Q95" s="45" t="e">
        <f t="shared" ref="Q95:AB95" si="51">SUM(Q87:Q94)</f>
        <v>#REF!</v>
      </c>
      <c r="R95" s="45">
        <f t="shared" si="51"/>
        <v>43013357.545000002</v>
      </c>
      <c r="S95" s="45">
        <f t="shared" si="51"/>
        <v>43978067.638999999</v>
      </c>
      <c r="T95" s="45">
        <f t="shared" si="51"/>
        <v>44476365.221000001</v>
      </c>
      <c r="U95" s="45">
        <f t="shared" si="51"/>
        <v>48803707.851000004</v>
      </c>
      <c r="V95" s="45">
        <f t="shared" si="51"/>
        <v>175114864.859</v>
      </c>
      <c r="W95" s="45">
        <f t="shared" si="51"/>
        <v>179085747.68699995</v>
      </c>
      <c r="X95" s="45">
        <f t="shared" si="51"/>
        <v>184159177.73399997</v>
      </c>
      <c r="Y95" s="45">
        <f t="shared" si="51"/>
        <v>186234663.36699998</v>
      </c>
      <c r="Z95" s="45">
        <f t="shared" si="51"/>
        <v>194788810.96700001</v>
      </c>
      <c r="AA95" s="45">
        <f t="shared" si="51"/>
        <v>187041515.947</v>
      </c>
      <c r="AB95" s="45">
        <f t="shared" si="51"/>
        <v>0</v>
      </c>
      <c r="AE95" s="45" t="e">
        <f t="shared" ref="AE95:AP95" si="52">SUM(AE87:AE94)</f>
        <v>#REF!</v>
      </c>
      <c r="AF95" s="45" t="e">
        <f t="shared" si="52"/>
        <v>#REF!</v>
      </c>
      <c r="AG95" s="45" t="e">
        <f t="shared" si="52"/>
        <v>#REF!</v>
      </c>
      <c r="AH95" s="45" t="e">
        <f t="shared" si="52"/>
        <v>#REF!</v>
      </c>
      <c r="AI95" s="45" t="e">
        <f t="shared" si="52"/>
        <v>#REF!</v>
      </c>
      <c r="AJ95" s="45" t="e">
        <f t="shared" si="52"/>
        <v>#REF!</v>
      </c>
      <c r="AK95" s="45" t="e">
        <f t="shared" si="52"/>
        <v>#REF!</v>
      </c>
      <c r="AL95" s="45" t="e">
        <f t="shared" si="52"/>
        <v>#REF!</v>
      </c>
      <c r="AM95" s="45" t="e">
        <f t="shared" si="52"/>
        <v>#REF!</v>
      </c>
      <c r="AN95" s="45" t="e">
        <f t="shared" si="52"/>
        <v>#REF!</v>
      </c>
      <c r="AO95" s="45" t="e">
        <f t="shared" si="52"/>
        <v>#REF!</v>
      </c>
      <c r="AP95" s="45">
        <f t="shared" si="52"/>
        <v>0</v>
      </c>
    </row>
    <row r="96" spans="1:42" x14ac:dyDescent="0.25">
      <c r="A96" s="42"/>
    </row>
    <row r="97" spans="1:42" x14ac:dyDescent="0.25">
      <c r="A97" s="42">
        <v>120001</v>
      </c>
      <c r="B97" s="43" t="s">
        <v>829</v>
      </c>
      <c r="C97" s="44" t="e">
        <f t="shared" ref="C97:N102" si="53">Q97+AE97</f>
        <v>#REF!</v>
      </c>
      <c r="D97" s="44" t="e">
        <f t="shared" si="53"/>
        <v>#REF!</v>
      </c>
      <c r="E97" s="44" t="e">
        <f t="shared" si="53"/>
        <v>#REF!</v>
      </c>
      <c r="F97" s="44" t="e">
        <f t="shared" si="53"/>
        <v>#REF!</v>
      </c>
      <c r="G97" s="44" t="e">
        <f t="shared" si="53"/>
        <v>#REF!</v>
      </c>
      <c r="H97" s="44" t="e">
        <f t="shared" si="53"/>
        <v>#REF!</v>
      </c>
      <c r="I97" s="44" t="e">
        <f t="shared" si="53"/>
        <v>#REF!</v>
      </c>
      <c r="J97" s="44" t="e">
        <f t="shared" si="53"/>
        <v>#REF!</v>
      </c>
      <c r="K97" s="44" t="e">
        <f t="shared" si="53"/>
        <v>#REF!</v>
      </c>
      <c r="L97" s="44" t="e">
        <f t="shared" si="53"/>
        <v>#REF!</v>
      </c>
      <c r="M97" s="44" t="e">
        <f t="shared" si="53"/>
        <v>#REF!</v>
      </c>
      <c r="N97" s="44">
        <f t="shared" si="53"/>
        <v>0</v>
      </c>
      <c r="Q97" s="44" t="e">
        <f>SUMIF(#REF!,$A97,#REF!)</f>
        <v>#REF!</v>
      </c>
      <c r="R97" s="44">
        <f>SUMIF(ALIF_Y2014!$A:$A,$A97,ALIF_Y2014!$F:$F)</f>
        <v>-227682.83</v>
      </c>
      <c r="S97" s="44">
        <f>SUMIF(ALIF_Y2015!$A:$A,$A97,ALIF_Y2015!$F:$F)</f>
        <v>-242695.31099999999</v>
      </c>
      <c r="T97" s="44">
        <f>SUMIF(ALIF_Y2016!$A:$A,$A97,ALIF_Y2016!$F:$F)</f>
        <v>-249150.337</v>
      </c>
      <c r="U97" s="44">
        <f>SUMIF(ALIF_Y2017!$A:$A,$A97,ALIF_Y2017!$F:$F)</f>
        <v>-249682.00700000001</v>
      </c>
      <c r="V97" s="44">
        <f>SUMIF(ALIF_Y2018!$A:$A,$A97,ALIF_Y2018!$F:$F)</f>
        <v>-694867.68700000003</v>
      </c>
      <c r="W97" s="44">
        <f>SUMIF(ALIF_Y2019!$A:$A,$A97,ALIF_Y2019!$F:$F)</f>
        <v>-2186446.301</v>
      </c>
      <c r="X97" s="44">
        <f>SUMIF(ALIF_Y2020!$A:$A,$A97,ALIF_Y2020!$F:$F)</f>
        <v>-3753290.4920000001</v>
      </c>
      <c r="Y97" s="44">
        <f>SUMIF(ALIF_Y2021!$A:$A,$A97,ALIF_Y2021!$F:$F)</f>
        <v>-5320134.68</v>
      </c>
      <c r="Z97" s="44">
        <f>SUMIF(ALIF_Y2022!$A:$A,$A97,ALIF_Y2022!$F:$F)</f>
        <v>-6886978.8799999999</v>
      </c>
      <c r="AA97" s="44">
        <f>SUMIF(ALIF_Y2023!$A:$A,$A97,ALIF_Y2023!$F:$F)</f>
        <v>-8453823.0800000001</v>
      </c>
      <c r="AE97" s="44" t="e">
        <f>SUMIF(#REF!,$A97,#REF!)</f>
        <v>#REF!</v>
      </c>
      <c r="AF97" s="44" t="e">
        <f>SUMIF(#REF!,$A97,#REF!)</f>
        <v>#REF!</v>
      </c>
      <c r="AG97" s="44" t="e">
        <f>SUMIF(#REF!,$A97,#REF!)</f>
        <v>#REF!</v>
      </c>
      <c r="AH97" s="44" t="e">
        <f>SUMIF(#REF!,$A97,#REF!)</f>
        <v>#REF!</v>
      </c>
      <c r="AI97" s="44" t="e">
        <f>SUMIF(#REF!,$A97,#REF!)</f>
        <v>#REF!</v>
      </c>
      <c r="AJ97" s="44" t="e">
        <f>SUMIF(#REF!,$A97,#REF!)</f>
        <v>#REF!</v>
      </c>
      <c r="AK97" s="44" t="e">
        <f>SUMIF(#REF!,$A97,#REF!)</f>
        <v>#REF!</v>
      </c>
      <c r="AL97" s="44" t="e">
        <f>SUMIF(#REF!,$A97,#REF!)</f>
        <v>#REF!</v>
      </c>
      <c r="AM97" s="44" t="e">
        <f>SUMIF(#REF!,$A97,#REF!)</f>
        <v>#REF!</v>
      </c>
      <c r="AN97" s="44" t="e">
        <f>SUMIF(#REF!,$A97,#REF!)</f>
        <v>#REF!</v>
      </c>
      <c r="AO97" s="44" t="e">
        <f>SUMIF(#REF!,$A97,#REF!)</f>
        <v>#REF!</v>
      </c>
    </row>
    <row r="98" spans="1:42" x14ac:dyDescent="0.25">
      <c r="A98" s="42">
        <v>120002</v>
      </c>
      <c r="B98" s="43" t="s">
        <v>830</v>
      </c>
      <c r="C98" s="44" t="e">
        <f t="shared" si="53"/>
        <v>#REF!</v>
      </c>
      <c r="D98" s="44" t="e">
        <f t="shared" si="53"/>
        <v>#REF!</v>
      </c>
      <c r="E98" s="44" t="e">
        <f t="shared" si="53"/>
        <v>#REF!</v>
      </c>
      <c r="F98" s="44" t="e">
        <f t="shared" si="53"/>
        <v>#REF!</v>
      </c>
      <c r="G98" s="44" t="e">
        <f t="shared" si="53"/>
        <v>#REF!</v>
      </c>
      <c r="H98" s="44" t="e">
        <f t="shared" si="53"/>
        <v>#REF!</v>
      </c>
      <c r="I98" s="44" t="e">
        <f t="shared" si="53"/>
        <v>#REF!</v>
      </c>
      <c r="J98" s="44" t="e">
        <f t="shared" si="53"/>
        <v>#REF!</v>
      </c>
      <c r="K98" s="44" t="e">
        <f t="shared" si="53"/>
        <v>#REF!</v>
      </c>
      <c r="L98" s="44" t="e">
        <f t="shared" si="53"/>
        <v>#REF!</v>
      </c>
      <c r="M98" s="44" t="e">
        <f t="shared" si="53"/>
        <v>#REF!</v>
      </c>
      <c r="N98" s="44">
        <f t="shared" si="53"/>
        <v>0</v>
      </c>
      <c r="Q98" s="44" t="e">
        <f>SUMIF(#REF!,$A98,#REF!)</f>
        <v>#REF!</v>
      </c>
      <c r="R98" s="44">
        <f>SUMIF(ALIF_Y2014!$A:$A,$A98,ALIF_Y2014!$F:$F)</f>
        <v>-1715968.22</v>
      </c>
      <c r="S98" s="44">
        <f>SUMIF(ALIF_Y2015!$A:$A,$A98,ALIF_Y2015!$F:$F)</f>
        <v>-1760033.9739999999</v>
      </c>
      <c r="T98" s="44">
        <f>SUMIF(ALIF_Y2016!$A:$A,$A98,ALIF_Y2016!$F:$F)</f>
        <v>-1767393.959</v>
      </c>
      <c r="U98" s="44">
        <f>SUMIF(ALIF_Y2017!$A:$A,$A98,ALIF_Y2017!$F:$F)</f>
        <v>-1769803.922</v>
      </c>
      <c r="V98" s="44">
        <f>SUMIF(ALIF_Y2018!$A:$A,$A98,ALIF_Y2018!$F:$F)</f>
        <v>-1782181.44</v>
      </c>
      <c r="W98" s="44">
        <f>SUMIF(ALIF_Y2019!$A:$A,$A98,ALIF_Y2019!$F:$F)</f>
        <v>-1796679.77</v>
      </c>
      <c r="X98" s="44">
        <f>SUMIF(ALIF_Y2020!$A:$A,$A98,ALIF_Y2020!$F:$F)</f>
        <v>-1765393.774</v>
      </c>
      <c r="Y98" s="44">
        <f>SUMIF(ALIF_Y2021!$A:$A,$A98,ALIF_Y2021!$F:$F)</f>
        <v>-1765393.774</v>
      </c>
      <c r="Z98" s="44">
        <f>SUMIF(ALIF_Y2022!$A:$A,$A98,ALIF_Y2022!$F:$F)</f>
        <v>-1765393.774</v>
      </c>
      <c r="AA98" s="44">
        <f>SUMIF(ALIF_Y2023!$A:$A,$A98,ALIF_Y2023!$F:$F)</f>
        <v>-1765393.774</v>
      </c>
      <c r="AE98" s="44" t="e">
        <f>SUMIF(#REF!,$A98,#REF!)</f>
        <v>#REF!</v>
      </c>
      <c r="AF98" s="44" t="e">
        <f>SUMIF(#REF!,$A98,#REF!)</f>
        <v>#REF!</v>
      </c>
      <c r="AG98" s="44" t="e">
        <f>SUMIF(#REF!,$A98,#REF!)</f>
        <v>#REF!</v>
      </c>
      <c r="AH98" s="44" t="e">
        <f>SUMIF(#REF!,$A98,#REF!)</f>
        <v>#REF!</v>
      </c>
      <c r="AI98" s="44" t="e">
        <f>SUMIF(#REF!,$A98,#REF!)</f>
        <v>#REF!</v>
      </c>
      <c r="AJ98" s="44" t="e">
        <f>SUMIF(#REF!,$A98,#REF!)</f>
        <v>#REF!</v>
      </c>
      <c r="AK98" s="44" t="e">
        <f>SUMIF(#REF!,$A98,#REF!)</f>
        <v>#REF!</v>
      </c>
      <c r="AL98" s="44" t="e">
        <f>SUMIF(#REF!,$A98,#REF!)</f>
        <v>#REF!</v>
      </c>
      <c r="AM98" s="44" t="e">
        <f>SUMIF(#REF!,$A98,#REF!)</f>
        <v>#REF!</v>
      </c>
      <c r="AN98" s="44" t="e">
        <f>SUMIF(#REF!,$A98,#REF!)</f>
        <v>#REF!</v>
      </c>
      <c r="AO98" s="44" t="e">
        <f>SUMIF(#REF!,$A98,#REF!)</f>
        <v>#REF!</v>
      </c>
    </row>
    <row r="99" spans="1:42" x14ac:dyDescent="0.25">
      <c r="A99" s="42">
        <v>120003</v>
      </c>
      <c r="B99" s="43" t="s">
        <v>831</v>
      </c>
      <c r="C99" s="44" t="e">
        <f t="shared" si="53"/>
        <v>#REF!</v>
      </c>
      <c r="D99" s="44" t="e">
        <f t="shared" si="53"/>
        <v>#REF!</v>
      </c>
      <c r="E99" s="44" t="e">
        <f t="shared" si="53"/>
        <v>#REF!</v>
      </c>
      <c r="F99" s="44" t="e">
        <f t="shared" si="53"/>
        <v>#REF!</v>
      </c>
      <c r="G99" s="44" t="e">
        <f t="shared" si="53"/>
        <v>#REF!</v>
      </c>
      <c r="H99" s="44" t="e">
        <f t="shared" si="53"/>
        <v>#REF!</v>
      </c>
      <c r="I99" s="44" t="e">
        <f t="shared" si="53"/>
        <v>#REF!</v>
      </c>
      <c r="J99" s="44" t="e">
        <f t="shared" si="53"/>
        <v>#REF!</v>
      </c>
      <c r="K99" s="44" t="e">
        <f t="shared" si="53"/>
        <v>#REF!</v>
      </c>
      <c r="L99" s="44" t="e">
        <f t="shared" si="53"/>
        <v>#REF!</v>
      </c>
      <c r="M99" s="44" t="e">
        <f t="shared" si="53"/>
        <v>#REF!</v>
      </c>
      <c r="N99" s="44">
        <f t="shared" si="53"/>
        <v>0</v>
      </c>
      <c r="Q99" s="44" t="e">
        <f>SUMIF(#REF!,$A99,#REF!)</f>
        <v>#REF!</v>
      </c>
      <c r="R99" s="44">
        <f>SUMIF(ALIF_Y2014!$A:$A,$A99,ALIF_Y2014!$F:$F)</f>
        <v>-20403680.359999999</v>
      </c>
      <c r="S99" s="44">
        <f>SUMIF(ALIF_Y2015!$A:$A,$A99,ALIF_Y2015!$F:$F)</f>
        <v>-23854970.600000001</v>
      </c>
      <c r="T99" s="44">
        <f>SUMIF(ALIF_Y2016!$A:$A,$A99,ALIF_Y2016!$F:$F)</f>
        <v>-27289886.682999998</v>
      </c>
      <c r="U99" s="44">
        <f>SUMIF(ALIF_Y2017!$A:$A,$A99,ALIF_Y2017!$F:$F)</f>
        <v>-30823321.811999999</v>
      </c>
      <c r="V99" s="44">
        <f>SUMIF(ALIF_Y2018!$A:$A,$A99,ALIF_Y2018!$F:$F)</f>
        <v>-34787312.380000003</v>
      </c>
      <c r="W99" s="44">
        <f>SUMIF(ALIF_Y2019!$A:$A,$A99,ALIF_Y2019!$F:$F)</f>
        <v>-38426515.730999999</v>
      </c>
      <c r="X99" s="44">
        <f>SUMIF(ALIF_Y2020!$A:$A,$A99,ALIF_Y2020!$F:$F)</f>
        <v>-36593196.344999999</v>
      </c>
      <c r="Y99" s="44">
        <f>SUMIF(ALIF_Y2021!$A:$A,$A99,ALIF_Y2021!$F:$F)</f>
        <v>-40039866.482000001</v>
      </c>
      <c r="Z99" s="44">
        <f>SUMIF(ALIF_Y2022!$A:$A,$A99,ALIF_Y2022!$F:$F)</f>
        <v>-43870447.883000001</v>
      </c>
      <c r="AA99" s="44">
        <f>SUMIF(ALIF_Y2023!$A:$A,$A99,ALIF_Y2023!$F:$F)</f>
        <v>-41530054.737999998</v>
      </c>
      <c r="AE99" s="44" t="e">
        <f>SUMIF(#REF!,$A99,#REF!)</f>
        <v>#REF!</v>
      </c>
      <c r="AF99" s="44" t="e">
        <f>SUMIF(#REF!,$A99,#REF!)</f>
        <v>#REF!</v>
      </c>
      <c r="AG99" s="44" t="e">
        <f>SUMIF(#REF!,$A99,#REF!)</f>
        <v>#REF!</v>
      </c>
      <c r="AH99" s="44" t="e">
        <f>SUMIF(#REF!,$A99,#REF!)</f>
        <v>#REF!</v>
      </c>
      <c r="AI99" s="44" t="e">
        <f>SUMIF(#REF!,$A99,#REF!)</f>
        <v>#REF!</v>
      </c>
      <c r="AJ99" s="44" t="e">
        <f>SUMIF(#REF!,$A99,#REF!)</f>
        <v>#REF!</v>
      </c>
      <c r="AK99" s="44" t="e">
        <f>SUMIF(#REF!,$A99,#REF!)</f>
        <v>#REF!</v>
      </c>
      <c r="AL99" s="44" t="e">
        <f>SUMIF(#REF!,$A99,#REF!)</f>
        <v>#REF!</v>
      </c>
      <c r="AM99" s="44" t="e">
        <f>SUMIF(#REF!,$A99,#REF!)</f>
        <v>#REF!</v>
      </c>
      <c r="AN99" s="44" t="e">
        <f>SUMIF(#REF!,$A99,#REF!)</f>
        <v>#REF!</v>
      </c>
      <c r="AO99" s="44" t="e">
        <f>SUMIF(#REF!,$A99,#REF!)</f>
        <v>#REF!</v>
      </c>
    </row>
    <row r="100" spans="1:42" x14ac:dyDescent="0.25">
      <c r="A100" s="42">
        <v>120005</v>
      </c>
      <c r="B100" s="43" t="s">
        <v>832</v>
      </c>
      <c r="C100" s="44" t="e">
        <f t="shared" si="53"/>
        <v>#REF!</v>
      </c>
      <c r="D100" s="44" t="e">
        <f t="shared" si="53"/>
        <v>#REF!</v>
      </c>
      <c r="E100" s="44" t="e">
        <f t="shared" si="53"/>
        <v>#REF!</v>
      </c>
      <c r="F100" s="44" t="e">
        <f t="shared" si="53"/>
        <v>#REF!</v>
      </c>
      <c r="G100" s="44" t="e">
        <f t="shared" si="53"/>
        <v>#REF!</v>
      </c>
      <c r="H100" s="44" t="e">
        <f t="shared" si="53"/>
        <v>#REF!</v>
      </c>
      <c r="I100" s="44" t="e">
        <f t="shared" si="53"/>
        <v>#REF!</v>
      </c>
      <c r="J100" s="44" t="e">
        <f t="shared" si="53"/>
        <v>#REF!</v>
      </c>
      <c r="K100" s="44" t="e">
        <f t="shared" si="53"/>
        <v>#REF!</v>
      </c>
      <c r="L100" s="44" t="e">
        <f t="shared" si="53"/>
        <v>#REF!</v>
      </c>
      <c r="M100" s="44" t="e">
        <f t="shared" si="53"/>
        <v>#REF!</v>
      </c>
      <c r="N100" s="44">
        <f t="shared" si="53"/>
        <v>0</v>
      </c>
      <c r="Q100" s="44" t="e">
        <f>SUMIF(#REF!,$A100,#REF!)</f>
        <v>#REF!</v>
      </c>
      <c r="R100" s="44">
        <f>SUMIF(ALIF_Y2014!$A:$A,$A100,ALIF_Y2014!$F:$F)</f>
        <v>-1053780.57</v>
      </c>
      <c r="S100" s="44">
        <f>SUMIF(ALIF_Y2015!$A:$A,$A100,ALIF_Y2015!$F:$F)</f>
        <v>-1243715.98</v>
      </c>
      <c r="T100" s="44">
        <f>SUMIF(ALIF_Y2016!$A:$A,$A100,ALIF_Y2016!$F:$F)</f>
        <v>-1332799.317</v>
      </c>
      <c r="U100" s="44">
        <f>SUMIF(ALIF_Y2017!$A:$A,$A100,ALIF_Y2017!$F:$F)</f>
        <v>-1421470.1470000001</v>
      </c>
      <c r="V100" s="44">
        <f>SUMIF(ALIF_Y2018!$A:$A,$A100,ALIF_Y2018!$F:$F)</f>
        <v>-1571590.63</v>
      </c>
      <c r="W100" s="44">
        <f>SUMIF(ALIF_Y2019!$A:$A,$A100,ALIF_Y2019!$F:$F)</f>
        <v>-1767725.9750000001</v>
      </c>
      <c r="X100" s="44">
        <f>SUMIF(ALIF_Y2020!$A:$A,$A100,ALIF_Y2020!$F:$F)</f>
        <v>-1917847.0859999999</v>
      </c>
      <c r="Y100" s="44">
        <f>SUMIF(ALIF_Y2021!$A:$A,$A100,ALIF_Y2021!$F:$F)</f>
        <v>-2024836.368</v>
      </c>
      <c r="Z100" s="44">
        <f>SUMIF(ALIF_Y2022!$A:$A,$A100,ALIF_Y2022!$F:$F)</f>
        <v>-2184859.4500000002</v>
      </c>
      <c r="AA100" s="44">
        <f>SUMIF(ALIF_Y2023!$A:$A,$A100,ALIF_Y2023!$F:$F)</f>
        <v>-2378006.81</v>
      </c>
      <c r="AE100" s="44" t="e">
        <f>SUMIF(#REF!,$A100,#REF!)</f>
        <v>#REF!</v>
      </c>
      <c r="AF100" s="44" t="e">
        <f>SUMIF(#REF!,$A100,#REF!)</f>
        <v>#REF!</v>
      </c>
      <c r="AG100" s="44" t="e">
        <f>SUMIF(#REF!,$A100,#REF!)</f>
        <v>#REF!</v>
      </c>
      <c r="AH100" s="44" t="e">
        <f>SUMIF(#REF!,$A100,#REF!)</f>
        <v>#REF!</v>
      </c>
      <c r="AI100" s="44" t="e">
        <f>SUMIF(#REF!,$A100,#REF!)</f>
        <v>#REF!</v>
      </c>
      <c r="AJ100" s="44" t="e">
        <f>SUMIF(#REF!,$A100,#REF!)</f>
        <v>#REF!</v>
      </c>
      <c r="AK100" s="44" t="e">
        <f>SUMIF(#REF!,$A100,#REF!)</f>
        <v>#REF!</v>
      </c>
      <c r="AL100" s="44" t="e">
        <f>SUMIF(#REF!,$A100,#REF!)</f>
        <v>#REF!</v>
      </c>
      <c r="AM100" s="44" t="e">
        <f>SUMIF(#REF!,$A100,#REF!)</f>
        <v>#REF!</v>
      </c>
      <c r="AN100" s="44" t="e">
        <f>SUMIF(#REF!,$A100,#REF!)</f>
        <v>#REF!</v>
      </c>
      <c r="AO100" s="44" t="e">
        <f>SUMIF(#REF!,$A100,#REF!)</f>
        <v>#REF!</v>
      </c>
    </row>
    <row r="101" spans="1:42" x14ac:dyDescent="0.25">
      <c r="A101" s="42">
        <v>120006</v>
      </c>
      <c r="B101" s="43" t="s">
        <v>833</v>
      </c>
      <c r="C101" s="44" t="e">
        <f t="shared" si="53"/>
        <v>#REF!</v>
      </c>
      <c r="D101" s="44" t="e">
        <f t="shared" si="53"/>
        <v>#REF!</v>
      </c>
      <c r="E101" s="44" t="e">
        <f t="shared" si="53"/>
        <v>#REF!</v>
      </c>
      <c r="F101" s="44" t="e">
        <f t="shared" si="53"/>
        <v>#REF!</v>
      </c>
      <c r="G101" s="44" t="e">
        <f t="shared" si="53"/>
        <v>#REF!</v>
      </c>
      <c r="H101" s="44" t="e">
        <f t="shared" si="53"/>
        <v>#REF!</v>
      </c>
      <c r="I101" s="44" t="e">
        <f t="shared" si="53"/>
        <v>#REF!</v>
      </c>
      <c r="J101" s="44" t="e">
        <f t="shared" si="53"/>
        <v>#REF!</v>
      </c>
      <c r="K101" s="44" t="e">
        <f t="shared" si="53"/>
        <v>#REF!</v>
      </c>
      <c r="L101" s="44" t="e">
        <f t="shared" si="53"/>
        <v>#REF!</v>
      </c>
      <c r="M101" s="44" t="e">
        <f t="shared" si="53"/>
        <v>#REF!</v>
      </c>
      <c r="N101" s="44">
        <f t="shared" si="53"/>
        <v>0</v>
      </c>
      <c r="Q101" s="44" t="e">
        <f>SUMIF(#REF!,$A101,#REF!)</f>
        <v>#REF!</v>
      </c>
      <c r="R101" s="44">
        <f>SUMIF(ALIF_Y2014!$A:$A,$A101,ALIF_Y2014!$F:$F)</f>
        <v>-69116.08</v>
      </c>
      <c r="S101" s="44">
        <f>SUMIF(ALIF_Y2015!$A:$A,$A101,ALIF_Y2015!$F:$F)</f>
        <v>-255844.21</v>
      </c>
      <c r="T101" s="44">
        <f>SUMIF(ALIF_Y2016!$A:$A,$A101,ALIF_Y2016!$F:$F)</f>
        <v>-439911.33799999999</v>
      </c>
      <c r="U101" s="44">
        <f>SUMIF(ALIF_Y2017!$A:$A,$A101,ALIF_Y2017!$F:$F)</f>
        <v>-619613.80299999996</v>
      </c>
      <c r="V101" s="44">
        <f>SUMIF(ALIF_Y2018!$A:$A,$A101,ALIF_Y2018!$F:$F)</f>
        <v>-812734.49100000004</v>
      </c>
      <c r="W101" s="44">
        <f>SUMIF(ALIF_Y2019!$A:$A,$A101,ALIF_Y2019!$F:$F)</f>
        <v>-832232.89099999995</v>
      </c>
      <c r="X101" s="44">
        <f>SUMIF(ALIF_Y2020!$A:$A,$A101,ALIF_Y2020!$F:$F)</f>
        <v>-928574.01399999997</v>
      </c>
      <c r="Y101" s="44">
        <f>SUMIF(ALIF_Y2021!$A:$A,$A101,ALIF_Y2021!$F:$F)</f>
        <v>-1048090.056</v>
      </c>
      <c r="Z101" s="44">
        <f>SUMIF(ALIF_Y2022!$A:$A,$A101,ALIF_Y2022!$F:$F)</f>
        <v>-1338351.8049999999</v>
      </c>
      <c r="AA101" s="44">
        <f>SUMIF(ALIF_Y2023!$A:$A,$A101,ALIF_Y2023!$F:$F)</f>
        <v>-1629306.473</v>
      </c>
      <c r="AE101" s="44" t="e">
        <f>SUMIF(#REF!,$A101,#REF!)</f>
        <v>#REF!</v>
      </c>
      <c r="AF101" s="44" t="e">
        <f>SUMIF(#REF!,$A101,#REF!)</f>
        <v>#REF!</v>
      </c>
      <c r="AG101" s="44" t="e">
        <f>SUMIF(#REF!,$A101,#REF!)</f>
        <v>#REF!</v>
      </c>
      <c r="AH101" s="44" t="e">
        <f>SUMIF(#REF!,$A101,#REF!)</f>
        <v>#REF!</v>
      </c>
      <c r="AI101" s="44" t="e">
        <f>SUMIF(#REF!,$A101,#REF!)</f>
        <v>#REF!</v>
      </c>
      <c r="AJ101" s="44" t="e">
        <f>SUMIF(#REF!,$A101,#REF!)</f>
        <v>#REF!</v>
      </c>
      <c r="AK101" s="44" t="e">
        <f>SUMIF(#REF!,$A101,#REF!)</f>
        <v>#REF!</v>
      </c>
      <c r="AL101" s="44" t="e">
        <f>SUMIF(#REF!,$A101,#REF!)</f>
        <v>#REF!</v>
      </c>
      <c r="AM101" s="44" t="e">
        <f>SUMIF(#REF!,$A101,#REF!)</f>
        <v>#REF!</v>
      </c>
      <c r="AN101" s="44" t="e">
        <f>SUMIF(#REF!,$A101,#REF!)</f>
        <v>#REF!</v>
      </c>
      <c r="AO101" s="44" t="e">
        <f>SUMIF(#REF!,$A101,#REF!)</f>
        <v>#REF!</v>
      </c>
    </row>
    <row r="102" spans="1:42" x14ac:dyDescent="0.25">
      <c r="A102" s="42">
        <v>120007</v>
      </c>
      <c r="B102" s="43" t="s">
        <v>834</v>
      </c>
      <c r="C102" s="44" t="e">
        <f t="shared" si="53"/>
        <v>#REF!</v>
      </c>
      <c r="D102" s="44" t="e">
        <f t="shared" si="53"/>
        <v>#REF!</v>
      </c>
      <c r="E102" s="44" t="e">
        <f t="shared" si="53"/>
        <v>#REF!</v>
      </c>
      <c r="F102" s="44" t="e">
        <f t="shared" si="53"/>
        <v>#REF!</v>
      </c>
      <c r="G102" s="44" t="e">
        <f t="shared" si="53"/>
        <v>#REF!</v>
      </c>
      <c r="H102" s="44" t="e">
        <f t="shared" si="53"/>
        <v>#REF!</v>
      </c>
      <c r="I102" s="44" t="e">
        <f t="shared" si="53"/>
        <v>#REF!</v>
      </c>
      <c r="J102" s="44" t="e">
        <f t="shared" si="53"/>
        <v>#REF!</v>
      </c>
      <c r="K102" s="44" t="e">
        <f t="shared" si="53"/>
        <v>#REF!</v>
      </c>
      <c r="L102" s="44" t="e">
        <f t="shared" si="53"/>
        <v>#REF!</v>
      </c>
      <c r="M102" s="44" t="e">
        <f t="shared" si="53"/>
        <v>#REF!</v>
      </c>
      <c r="N102" s="44">
        <f t="shared" si="53"/>
        <v>0</v>
      </c>
      <c r="Q102" s="44" t="e">
        <f>SUMIF(#REF!,$A102,#REF!)</f>
        <v>#REF!</v>
      </c>
      <c r="R102" s="44">
        <f>SUMIF(ALIF_Y2014!$A:$A,$A102,ALIF_Y2014!$F:$F)</f>
        <v>-154323.31899999999</v>
      </c>
      <c r="S102" s="44">
        <f>SUMIF(ALIF_Y2015!$A:$A,$A102,ALIF_Y2015!$F:$F)</f>
        <v>-167396.32199999999</v>
      </c>
      <c r="T102" s="44">
        <f>SUMIF(ALIF_Y2016!$A:$A,$A102,ALIF_Y2016!$F:$F)</f>
        <v>-176382.90299999999</v>
      </c>
      <c r="U102" s="44">
        <f>SUMIF(ALIF_Y2017!$A:$A,$A102,ALIF_Y2017!$F:$F)</f>
        <v>-182314.43299999999</v>
      </c>
      <c r="V102" s="44">
        <f>SUMIF(ALIF_Y2018!$A:$A,$A102,ALIF_Y2018!$F:$F)</f>
        <v>-221019.97700000001</v>
      </c>
      <c r="W102" s="44">
        <f>SUMIF(ALIF_Y2019!$A:$A,$A102,ALIF_Y2019!$F:$F)</f>
        <v>-264210.005</v>
      </c>
      <c r="X102" s="44">
        <f>SUMIF(ALIF_Y2020!$A:$A,$A102,ALIF_Y2020!$F:$F)</f>
        <v>-320357.62</v>
      </c>
      <c r="Y102" s="44">
        <f>SUMIF(ALIF_Y2021!$A:$A,$A102,ALIF_Y2021!$F:$F)</f>
        <v>-396808.4</v>
      </c>
      <c r="Z102" s="44">
        <f>SUMIF(ALIF_Y2022!$A:$A,$A102,ALIF_Y2022!$F:$F)</f>
        <v>-479538.73200000002</v>
      </c>
      <c r="AA102" s="44">
        <f>SUMIF(ALIF_Y2023!$A:$A,$A102,ALIF_Y2023!$F:$F)</f>
        <v>-567470.49600000004</v>
      </c>
      <c r="AE102" s="44" t="e">
        <f>SUMIF(#REF!,$A102,#REF!)</f>
        <v>#REF!</v>
      </c>
      <c r="AF102" s="44" t="e">
        <f>SUMIF(#REF!,$A102,#REF!)</f>
        <v>#REF!</v>
      </c>
      <c r="AG102" s="44" t="e">
        <f>SUMIF(#REF!,$A102,#REF!)</f>
        <v>#REF!</v>
      </c>
      <c r="AH102" s="44" t="e">
        <f>SUMIF(#REF!,$A102,#REF!)</f>
        <v>#REF!</v>
      </c>
      <c r="AI102" s="44" t="e">
        <f>SUMIF(#REF!,$A102,#REF!)</f>
        <v>#REF!</v>
      </c>
      <c r="AJ102" s="44" t="e">
        <f>SUMIF(#REF!,$A102,#REF!)</f>
        <v>#REF!</v>
      </c>
      <c r="AK102" s="44" t="e">
        <f>SUMIF(#REF!,$A102,#REF!)</f>
        <v>#REF!</v>
      </c>
      <c r="AL102" s="44" t="e">
        <f>SUMIF(#REF!,$A102,#REF!)</f>
        <v>#REF!</v>
      </c>
      <c r="AM102" s="44" t="e">
        <f>SUMIF(#REF!,$A102,#REF!)</f>
        <v>#REF!</v>
      </c>
      <c r="AN102" s="44" t="e">
        <f>SUMIF(#REF!,$A102,#REF!)</f>
        <v>#REF!</v>
      </c>
      <c r="AO102" s="44" t="e">
        <f>SUMIF(#REF!,$A102,#REF!)</f>
        <v>#REF!</v>
      </c>
    </row>
    <row r="103" spans="1:42" ht="7.9" customHeight="1" x14ac:dyDescent="0.25">
      <c r="C103" s="144"/>
      <c r="D103" s="144"/>
      <c r="E103" s="144"/>
      <c r="F103" s="144"/>
      <c r="G103" s="144"/>
      <c r="H103" s="144"/>
      <c r="I103" s="144"/>
      <c r="J103" s="144"/>
      <c r="K103" s="144"/>
      <c r="L103" s="144"/>
      <c r="M103" s="144"/>
      <c r="N103" s="144"/>
      <c r="Q103" s="144"/>
      <c r="R103" s="144"/>
      <c r="S103" s="144"/>
      <c r="T103" s="144"/>
      <c r="U103" s="144"/>
      <c r="V103" s="144"/>
      <c r="W103" s="144"/>
      <c r="X103" s="144"/>
      <c r="Y103" s="144"/>
      <c r="Z103" s="144"/>
      <c r="AA103" s="144"/>
      <c r="AB103" s="144"/>
      <c r="AE103" s="144"/>
      <c r="AF103" s="144"/>
      <c r="AG103" s="144"/>
      <c r="AH103" s="144"/>
      <c r="AI103" s="144"/>
      <c r="AJ103" s="144"/>
      <c r="AK103" s="144"/>
      <c r="AL103" s="144"/>
      <c r="AM103" s="144"/>
      <c r="AN103" s="144"/>
      <c r="AO103" s="144"/>
      <c r="AP103" s="144"/>
    </row>
    <row r="104" spans="1:42" x14ac:dyDescent="0.25">
      <c r="A104" s="42"/>
      <c r="C104" s="45" t="e">
        <f t="shared" ref="C104:N104" si="54">SUM(C97:C103)</f>
        <v>#REF!</v>
      </c>
      <c r="D104" s="45" t="e">
        <f t="shared" si="54"/>
        <v>#REF!</v>
      </c>
      <c r="E104" s="45" t="e">
        <f t="shared" si="54"/>
        <v>#REF!</v>
      </c>
      <c r="F104" s="45" t="e">
        <f t="shared" si="54"/>
        <v>#REF!</v>
      </c>
      <c r="G104" s="45" t="e">
        <f t="shared" si="54"/>
        <v>#REF!</v>
      </c>
      <c r="H104" s="45" t="e">
        <f t="shared" si="54"/>
        <v>#REF!</v>
      </c>
      <c r="I104" s="45" t="e">
        <f t="shared" si="54"/>
        <v>#REF!</v>
      </c>
      <c r="J104" s="45" t="e">
        <f t="shared" si="54"/>
        <v>#REF!</v>
      </c>
      <c r="K104" s="45" t="e">
        <f t="shared" si="54"/>
        <v>#REF!</v>
      </c>
      <c r="L104" s="45" t="e">
        <f t="shared" si="54"/>
        <v>#REF!</v>
      </c>
      <c r="M104" s="45" t="e">
        <f t="shared" si="54"/>
        <v>#REF!</v>
      </c>
      <c r="N104" s="45">
        <f t="shared" si="54"/>
        <v>0</v>
      </c>
      <c r="Q104" s="45" t="e">
        <f t="shared" ref="Q104:AB104" si="55">SUM(Q97:Q103)</f>
        <v>#REF!</v>
      </c>
      <c r="R104" s="45">
        <f t="shared" si="55"/>
        <v>-23624551.378999997</v>
      </c>
      <c r="S104" s="45">
        <f t="shared" si="55"/>
        <v>-27524656.397000004</v>
      </c>
      <c r="T104" s="45">
        <f t="shared" si="55"/>
        <v>-31255524.537</v>
      </c>
      <c r="U104" s="45">
        <f t="shared" si="55"/>
        <v>-35066206.124000005</v>
      </c>
      <c r="V104" s="45">
        <f t="shared" si="55"/>
        <v>-39869706.604999997</v>
      </c>
      <c r="W104" s="45">
        <f t="shared" si="55"/>
        <v>-45273810.673000008</v>
      </c>
      <c r="X104" s="45">
        <f t="shared" si="55"/>
        <v>-45278659.331</v>
      </c>
      <c r="Y104" s="45">
        <f t="shared" si="55"/>
        <v>-50595129.760000005</v>
      </c>
      <c r="Z104" s="45">
        <f t="shared" si="55"/>
        <v>-56525570.524000004</v>
      </c>
      <c r="AA104" s="45">
        <f t="shared" si="55"/>
        <v>-56324055.370999999</v>
      </c>
      <c r="AB104" s="45">
        <f t="shared" si="55"/>
        <v>0</v>
      </c>
      <c r="AE104" s="45" t="e">
        <f t="shared" ref="AE104:AP104" si="56">SUM(AE97:AE103)</f>
        <v>#REF!</v>
      </c>
      <c r="AF104" s="45" t="e">
        <f t="shared" si="56"/>
        <v>#REF!</v>
      </c>
      <c r="AG104" s="45" t="e">
        <f t="shared" si="56"/>
        <v>#REF!</v>
      </c>
      <c r="AH104" s="45" t="e">
        <f t="shared" si="56"/>
        <v>#REF!</v>
      </c>
      <c r="AI104" s="45" t="e">
        <f t="shared" si="56"/>
        <v>#REF!</v>
      </c>
      <c r="AJ104" s="45" t="e">
        <f t="shared" si="56"/>
        <v>#REF!</v>
      </c>
      <c r="AK104" s="45" t="e">
        <f t="shared" si="56"/>
        <v>#REF!</v>
      </c>
      <c r="AL104" s="45" t="e">
        <f t="shared" si="56"/>
        <v>#REF!</v>
      </c>
      <c r="AM104" s="45" t="e">
        <f t="shared" si="56"/>
        <v>#REF!</v>
      </c>
      <c r="AN104" s="45" t="e">
        <f t="shared" si="56"/>
        <v>#REF!</v>
      </c>
      <c r="AO104" s="45" t="e">
        <f t="shared" si="56"/>
        <v>#REF!</v>
      </c>
      <c r="AP104" s="45">
        <f t="shared" si="56"/>
        <v>0</v>
      </c>
    </row>
    <row r="105" spans="1:42" x14ac:dyDescent="0.25">
      <c r="A105" s="42"/>
    </row>
    <row r="106" spans="1:42" x14ac:dyDescent="0.25">
      <c r="A106" s="42">
        <v>111010</v>
      </c>
      <c r="B106" s="43" t="s">
        <v>826</v>
      </c>
      <c r="C106" s="44" t="e">
        <f t="shared" ref="C106:N108" si="57">Q106+AE106</f>
        <v>#REF!</v>
      </c>
      <c r="D106" s="44" t="e">
        <f t="shared" si="57"/>
        <v>#REF!</v>
      </c>
      <c r="E106" s="44" t="e">
        <f t="shared" si="57"/>
        <v>#REF!</v>
      </c>
      <c r="F106" s="44" t="e">
        <f t="shared" si="57"/>
        <v>#REF!</v>
      </c>
      <c r="G106" s="44" t="e">
        <f t="shared" si="57"/>
        <v>#REF!</v>
      </c>
      <c r="H106" s="44" t="e">
        <f t="shared" si="57"/>
        <v>#REF!</v>
      </c>
      <c r="I106" s="44" t="e">
        <f t="shared" si="57"/>
        <v>#REF!</v>
      </c>
      <c r="J106" s="44" t="e">
        <f t="shared" si="57"/>
        <v>#REF!</v>
      </c>
      <c r="K106" s="44" t="e">
        <f t="shared" si="57"/>
        <v>#REF!</v>
      </c>
      <c r="L106" s="44" t="e">
        <f t="shared" si="57"/>
        <v>#REF!</v>
      </c>
      <c r="M106" s="44" t="e">
        <f t="shared" si="57"/>
        <v>#REF!</v>
      </c>
      <c r="N106" s="44">
        <f t="shared" si="57"/>
        <v>0</v>
      </c>
      <c r="Q106" s="44" t="e">
        <f>SUMIF(#REF!,$A106,#REF!)</f>
        <v>#REF!</v>
      </c>
      <c r="R106" s="44">
        <f>SUMIF(ALIF_Y2014!$A:$A,$A106,ALIF_Y2014!$F:$F)</f>
        <v>0</v>
      </c>
      <c r="S106" s="44">
        <f>SUMIF(ALIF_Y2015!$A:$A,$A106,ALIF_Y2015!$F:$F)</f>
        <v>0</v>
      </c>
      <c r="T106" s="44">
        <f>SUMIF(ALIF_Y2016!$A:$A,$A106,ALIF_Y2016!$F:$F)</f>
        <v>0</v>
      </c>
      <c r="U106" s="44">
        <f>SUMIF(ALIF_Y2017!$A:$A,$A106,ALIF_Y2017!$F:$F)</f>
        <v>0</v>
      </c>
      <c r="V106" s="44">
        <f>SUMIF(ALIF_Y2018!$A:$A,$A106,ALIF_Y2018!$F:$F)</f>
        <v>0</v>
      </c>
      <c r="W106" s="44">
        <f>SUMIF(ALIF_Y2019!$A:$A,$A106,ALIF_Y2019!$F:$F)</f>
        <v>0</v>
      </c>
      <c r="X106" s="44">
        <f>SUMIF(ALIF_Y2020!$A:$A,$A106,ALIF_Y2020!$F:$F)</f>
        <v>0</v>
      </c>
      <c r="Y106" s="44">
        <f>SUMIF(ALIF_Y2021!$A:$A,$A106,ALIF_Y2021!$F:$F)</f>
        <v>0</v>
      </c>
      <c r="Z106" s="44">
        <f>SUMIF(ALIF_Y2022!$A:$A,$A106,ALIF_Y2022!$F:$F)</f>
        <v>0</v>
      </c>
      <c r="AA106" s="44">
        <f>SUMIF(ALIF_Y2023!$A:$A,$A106,ALIF_Y2023!$F:$F)</f>
        <v>0</v>
      </c>
      <c r="AE106" s="44" t="e">
        <f>SUMIF(#REF!,$A106,#REF!)</f>
        <v>#REF!</v>
      </c>
      <c r="AF106" s="44" t="e">
        <f>SUMIF(#REF!,$A106,#REF!)</f>
        <v>#REF!</v>
      </c>
      <c r="AG106" s="44" t="e">
        <f>SUMIF(#REF!,$A106,#REF!)</f>
        <v>#REF!</v>
      </c>
      <c r="AH106" s="44" t="e">
        <f>SUMIF(#REF!,$A106,#REF!)</f>
        <v>#REF!</v>
      </c>
      <c r="AI106" s="44" t="e">
        <f>SUMIF(#REF!,$A106,#REF!)</f>
        <v>#REF!</v>
      </c>
      <c r="AJ106" s="44" t="e">
        <f>SUMIF(#REF!,$A106,#REF!)</f>
        <v>#REF!</v>
      </c>
      <c r="AK106" s="44" t="e">
        <f>SUMIF(#REF!,$A106,#REF!)</f>
        <v>#REF!</v>
      </c>
      <c r="AL106" s="44" t="e">
        <f>SUMIF(#REF!,$A106,#REF!)</f>
        <v>#REF!</v>
      </c>
      <c r="AM106" s="44" t="e">
        <f>SUMIF(#REF!,$A106,#REF!)</f>
        <v>#REF!</v>
      </c>
      <c r="AN106" s="44" t="e">
        <f>SUMIF(#REF!,$A106,#REF!)</f>
        <v>#REF!</v>
      </c>
      <c r="AO106" s="44" t="e">
        <f>SUMIF(#REF!,$A106,#REF!)</f>
        <v>#REF!</v>
      </c>
    </row>
    <row r="107" spans="1:42" x14ac:dyDescent="0.25">
      <c r="A107" s="42">
        <v>111013</v>
      </c>
      <c r="B107" s="43" t="s">
        <v>827</v>
      </c>
      <c r="C107" s="44" t="e">
        <f t="shared" si="57"/>
        <v>#REF!</v>
      </c>
      <c r="D107" s="44" t="e">
        <f t="shared" si="57"/>
        <v>#REF!</v>
      </c>
      <c r="E107" s="44" t="e">
        <f t="shared" si="57"/>
        <v>#REF!</v>
      </c>
      <c r="F107" s="44" t="e">
        <f t="shared" si="57"/>
        <v>#REF!</v>
      </c>
      <c r="G107" s="44" t="e">
        <f t="shared" si="57"/>
        <v>#REF!</v>
      </c>
      <c r="H107" s="44" t="e">
        <f t="shared" si="57"/>
        <v>#REF!</v>
      </c>
      <c r="I107" s="44" t="e">
        <f t="shared" si="57"/>
        <v>#REF!</v>
      </c>
      <c r="J107" s="44" t="e">
        <f t="shared" si="57"/>
        <v>#REF!</v>
      </c>
      <c r="K107" s="44" t="e">
        <f t="shared" si="57"/>
        <v>#REF!</v>
      </c>
      <c r="L107" s="44" t="e">
        <f t="shared" si="57"/>
        <v>#REF!</v>
      </c>
      <c r="M107" s="44" t="e">
        <f t="shared" si="57"/>
        <v>#REF!</v>
      </c>
      <c r="N107" s="44">
        <f t="shared" si="57"/>
        <v>0</v>
      </c>
      <c r="Q107" s="44" t="e">
        <f>SUMIF(#REF!,$A107,#REF!)</f>
        <v>#REF!</v>
      </c>
      <c r="R107" s="44">
        <f>SUMIF(ALIF_Y2014!$A:$A,$A107,ALIF_Y2014!$F:$F)</f>
        <v>0</v>
      </c>
      <c r="S107" s="44">
        <f>SUMIF(ALIF_Y2015!$A:$A,$A107,ALIF_Y2015!$F:$F)</f>
        <v>10769234.605</v>
      </c>
      <c r="T107" s="44">
        <f>SUMIF(ALIF_Y2016!$A:$A,$A107,ALIF_Y2016!$F:$F)</f>
        <v>99946347.437000006</v>
      </c>
      <c r="U107" s="44">
        <f>SUMIF(ALIF_Y2017!$A:$A,$A107,ALIF_Y2017!$F:$F)</f>
        <v>102265401.13600001</v>
      </c>
      <c r="V107" s="44">
        <f>SUMIF(ALIF_Y2018!$A:$A,$A107,ALIF_Y2018!$F:$F)</f>
        <v>5140198.9610000001</v>
      </c>
      <c r="W107" s="44">
        <f>SUMIF(ALIF_Y2019!$A:$A,$A107,ALIF_Y2019!$F:$F)</f>
        <v>8976734.1539999992</v>
      </c>
      <c r="X107" s="44">
        <f>SUMIF(ALIF_Y2020!$A:$A,$A107,ALIF_Y2020!$F:$F)</f>
        <v>0</v>
      </c>
      <c r="Y107" s="44">
        <f>SUMIF(ALIF_Y2021!$A:$A,$A107,ALIF_Y2021!$F:$F)</f>
        <v>0</v>
      </c>
      <c r="Z107" s="44">
        <f>SUMIF(ALIF_Y2022!$A:$A,$A107,ALIF_Y2022!$F:$F)</f>
        <v>0</v>
      </c>
      <c r="AA107" s="44">
        <f>SUMIF(ALIF_Y2023!$A:$A,$A107,ALIF_Y2023!$F:$F)</f>
        <v>569470.01699999999</v>
      </c>
      <c r="AE107" s="44" t="e">
        <f>SUMIF(#REF!,$A107,#REF!)</f>
        <v>#REF!</v>
      </c>
      <c r="AF107" s="44" t="e">
        <f>SUMIF(#REF!,$A107,#REF!)</f>
        <v>#REF!</v>
      </c>
      <c r="AG107" s="44" t="e">
        <f>SUMIF(#REF!,$A107,#REF!)</f>
        <v>#REF!</v>
      </c>
      <c r="AH107" s="44" t="e">
        <f>SUMIF(#REF!,$A107,#REF!)</f>
        <v>#REF!</v>
      </c>
      <c r="AI107" s="44" t="e">
        <f>SUMIF(#REF!,$A107,#REF!)</f>
        <v>#REF!</v>
      </c>
      <c r="AJ107" s="44" t="e">
        <f>SUMIF(#REF!,$A107,#REF!)</f>
        <v>#REF!</v>
      </c>
      <c r="AK107" s="44" t="e">
        <f>SUMIF(#REF!,$A107,#REF!)</f>
        <v>#REF!</v>
      </c>
      <c r="AL107" s="44" t="e">
        <f>SUMIF(#REF!,$A107,#REF!)</f>
        <v>#REF!</v>
      </c>
      <c r="AM107" s="44" t="e">
        <f>SUMIF(#REF!,$A107,#REF!)</f>
        <v>#REF!</v>
      </c>
      <c r="AN107" s="44" t="e">
        <f>SUMIF(#REF!,$A107,#REF!)</f>
        <v>#REF!</v>
      </c>
      <c r="AO107" s="44" t="e">
        <f>SUMIF(#REF!,$A107,#REF!)</f>
        <v>#REF!</v>
      </c>
    </row>
    <row r="108" spans="1:42" x14ac:dyDescent="0.25">
      <c r="A108" s="42">
        <v>111099</v>
      </c>
      <c r="B108" s="43" t="s">
        <v>828</v>
      </c>
      <c r="C108" s="44" t="e">
        <f t="shared" si="57"/>
        <v>#REF!</v>
      </c>
      <c r="D108" s="44" t="e">
        <f t="shared" si="57"/>
        <v>#REF!</v>
      </c>
      <c r="E108" s="44" t="e">
        <f t="shared" si="57"/>
        <v>#REF!</v>
      </c>
      <c r="F108" s="44" t="e">
        <f t="shared" si="57"/>
        <v>#REF!</v>
      </c>
      <c r="G108" s="44" t="e">
        <f t="shared" si="57"/>
        <v>#REF!</v>
      </c>
      <c r="H108" s="44" t="e">
        <f t="shared" si="57"/>
        <v>#REF!</v>
      </c>
      <c r="I108" s="44" t="e">
        <f t="shared" si="57"/>
        <v>#REF!</v>
      </c>
      <c r="J108" s="44" t="e">
        <f t="shared" si="57"/>
        <v>#REF!</v>
      </c>
      <c r="K108" s="44" t="e">
        <f t="shared" si="57"/>
        <v>#REF!</v>
      </c>
      <c r="L108" s="44" t="e">
        <f t="shared" si="57"/>
        <v>#REF!</v>
      </c>
      <c r="M108" s="44" t="e">
        <f t="shared" si="57"/>
        <v>#REF!</v>
      </c>
      <c r="N108" s="44">
        <f t="shared" si="57"/>
        <v>0</v>
      </c>
      <c r="Q108" s="44" t="e">
        <f>SUMIF(#REF!,$A108,#REF!)</f>
        <v>#REF!</v>
      </c>
      <c r="R108" s="44">
        <f>SUMIF(ALIF_Y2014!$A:$A,$A108,ALIF_Y2014!$F:$F)</f>
        <v>0</v>
      </c>
      <c r="S108" s="44">
        <f>SUMIF(ALIF_Y2015!$A:$A,$A108,ALIF_Y2015!$F:$F)</f>
        <v>0</v>
      </c>
      <c r="T108" s="44">
        <f>SUMIF(ALIF_Y2016!$A:$A,$A108,ALIF_Y2016!$F:$F)</f>
        <v>0</v>
      </c>
      <c r="U108" s="44">
        <f>SUMIF(ALIF_Y2017!$A:$A,$A108,ALIF_Y2017!$F:$F)</f>
        <v>0</v>
      </c>
      <c r="V108" s="44">
        <f>SUMIF(ALIF_Y2018!$A:$A,$A108,ALIF_Y2018!$F:$F)</f>
        <v>0</v>
      </c>
      <c r="W108" s="44">
        <f>SUMIF(ALIF_Y2019!$A:$A,$A108,ALIF_Y2019!$F:$F)</f>
        <v>0</v>
      </c>
      <c r="X108" s="44">
        <f>SUMIF(ALIF_Y2020!$A:$A,$A108,ALIF_Y2020!$F:$F)</f>
        <v>0</v>
      </c>
      <c r="Y108" s="44">
        <f>SUMIF(ALIF_Y2021!$A:$A,$A108,ALIF_Y2021!$F:$F)</f>
        <v>0</v>
      </c>
      <c r="Z108" s="44">
        <f>SUMIF(ALIF_Y2022!$A:$A,$A108,ALIF_Y2022!$F:$F)</f>
        <v>0</v>
      </c>
      <c r="AA108" s="44">
        <f>SUMIF(ALIF_Y2023!$A:$A,$A108,ALIF_Y2023!$F:$F)</f>
        <v>0</v>
      </c>
      <c r="AE108" s="44" t="e">
        <f>SUMIF(#REF!,$A108,#REF!)</f>
        <v>#REF!</v>
      </c>
      <c r="AF108" s="44" t="e">
        <f>SUMIF(#REF!,$A108,#REF!)</f>
        <v>#REF!</v>
      </c>
      <c r="AG108" s="44" t="e">
        <f>SUMIF(#REF!,$A108,#REF!)</f>
        <v>#REF!</v>
      </c>
      <c r="AH108" s="44" t="e">
        <f>SUMIF(#REF!,$A108,#REF!)</f>
        <v>#REF!</v>
      </c>
      <c r="AI108" s="44" t="e">
        <f>SUMIF(#REF!,$A108,#REF!)</f>
        <v>#REF!</v>
      </c>
      <c r="AJ108" s="44" t="e">
        <f>SUMIF(#REF!,$A108,#REF!)</f>
        <v>#REF!</v>
      </c>
      <c r="AK108" s="44" t="e">
        <f>SUMIF(#REF!,$A108,#REF!)</f>
        <v>#REF!</v>
      </c>
      <c r="AL108" s="44" t="e">
        <f>SUMIF(#REF!,$A108,#REF!)</f>
        <v>#REF!</v>
      </c>
      <c r="AM108" s="44" t="e">
        <f>SUMIF(#REF!,$A108,#REF!)</f>
        <v>#REF!</v>
      </c>
      <c r="AN108" s="44" t="e">
        <f>SUMIF(#REF!,$A108,#REF!)</f>
        <v>#REF!</v>
      </c>
      <c r="AO108" s="44" t="e">
        <f>SUMIF(#REF!,$A108,#REF!)</f>
        <v>#REF!</v>
      </c>
    </row>
    <row r="109" spans="1:42" ht="7.9" customHeight="1" x14ac:dyDescent="0.25">
      <c r="C109" s="144"/>
      <c r="D109" s="144"/>
      <c r="E109" s="144"/>
      <c r="F109" s="144"/>
      <c r="G109" s="144"/>
      <c r="H109" s="144"/>
      <c r="I109" s="144"/>
      <c r="J109" s="144"/>
      <c r="K109" s="144"/>
      <c r="L109" s="144"/>
      <c r="M109" s="144"/>
      <c r="N109" s="144"/>
      <c r="Q109" s="144"/>
      <c r="R109" s="144"/>
      <c r="S109" s="144"/>
      <c r="T109" s="144"/>
      <c r="U109" s="144"/>
      <c r="V109" s="144"/>
      <c r="W109" s="144"/>
      <c r="X109" s="144"/>
      <c r="Y109" s="144"/>
      <c r="Z109" s="144"/>
      <c r="AA109" s="144"/>
      <c r="AB109" s="144"/>
      <c r="AE109" s="144"/>
      <c r="AF109" s="144"/>
      <c r="AG109" s="144"/>
      <c r="AH109" s="144"/>
      <c r="AI109" s="144"/>
      <c r="AJ109" s="144"/>
      <c r="AK109" s="144"/>
      <c r="AL109" s="144"/>
      <c r="AM109" s="144"/>
      <c r="AN109" s="144"/>
      <c r="AO109" s="144"/>
      <c r="AP109" s="144"/>
    </row>
    <row r="110" spans="1:42" x14ac:dyDescent="0.25">
      <c r="A110" s="42"/>
      <c r="C110" s="45" t="e">
        <f t="shared" ref="C110:N110" si="58">SUM(C106:C109)</f>
        <v>#REF!</v>
      </c>
      <c r="D110" s="45" t="e">
        <f t="shared" si="58"/>
        <v>#REF!</v>
      </c>
      <c r="E110" s="45" t="e">
        <f t="shared" si="58"/>
        <v>#REF!</v>
      </c>
      <c r="F110" s="45" t="e">
        <f t="shared" si="58"/>
        <v>#REF!</v>
      </c>
      <c r="G110" s="45" t="e">
        <f t="shared" si="58"/>
        <v>#REF!</v>
      </c>
      <c r="H110" s="45" t="e">
        <f t="shared" si="58"/>
        <v>#REF!</v>
      </c>
      <c r="I110" s="45" t="e">
        <f t="shared" si="58"/>
        <v>#REF!</v>
      </c>
      <c r="J110" s="45" t="e">
        <f t="shared" si="58"/>
        <v>#REF!</v>
      </c>
      <c r="K110" s="45" t="e">
        <f t="shared" si="58"/>
        <v>#REF!</v>
      </c>
      <c r="L110" s="45" t="e">
        <f t="shared" si="58"/>
        <v>#REF!</v>
      </c>
      <c r="M110" s="45" t="e">
        <f t="shared" si="58"/>
        <v>#REF!</v>
      </c>
      <c r="N110" s="45">
        <f t="shared" si="58"/>
        <v>0</v>
      </c>
      <c r="Q110" s="45" t="e">
        <f t="shared" ref="Q110:AB110" si="59">SUM(Q106:Q109)</f>
        <v>#REF!</v>
      </c>
      <c r="R110" s="45">
        <f t="shared" si="59"/>
        <v>0</v>
      </c>
      <c r="S110" s="45">
        <f t="shared" si="59"/>
        <v>10769234.605</v>
      </c>
      <c r="T110" s="45">
        <f t="shared" si="59"/>
        <v>99946347.437000006</v>
      </c>
      <c r="U110" s="45">
        <f t="shared" si="59"/>
        <v>102265401.13600001</v>
      </c>
      <c r="V110" s="45">
        <f t="shared" si="59"/>
        <v>5140198.9610000001</v>
      </c>
      <c r="W110" s="45">
        <f t="shared" si="59"/>
        <v>8976734.1539999992</v>
      </c>
      <c r="X110" s="45">
        <f t="shared" si="59"/>
        <v>0</v>
      </c>
      <c r="Y110" s="45">
        <f t="shared" si="59"/>
        <v>0</v>
      </c>
      <c r="Z110" s="45">
        <f t="shared" si="59"/>
        <v>0</v>
      </c>
      <c r="AA110" s="45">
        <f t="shared" si="59"/>
        <v>569470.01699999999</v>
      </c>
      <c r="AB110" s="45">
        <f t="shared" si="59"/>
        <v>0</v>
      </c>
      <c r="AE110" s="45" t="e">
        <f t="shared" ref="AE110:AP110" si="60">SUM(AE106:AE109)</f>
        <v>#REF!</v>
      </c>
      <c r="AF110" s="45" t="e">
        <f t="shared" si="60"/>
        <v>#REF!</v>
      </c>
      <c r="AG110" s="45" t="e">
        <f t="shared" si="60"/>
        <v>#REF!</v>
      </c>
      <c r="AH110" s="45" t="e">
        <f t="shared" si="60"/>
        <v>#REF!</v>
      </c>
      <c r="AI110" s="45" t="e">
        <f t="shared" si="60"/>
        <v>#REF!</v>
      </c>
      <c r="AJ110" s="45" t="e">
        <f t="shared" si="60"/>
        <v>#REF!</v>
      </c>
      <c r="AK110" s="45" t="e">
        <f t="shared" si="60"/>
        <v>#REF!</v>
      </c>
      <c r="AL110" s="45" t="e">
        <f t="shared" si="60"/>
        <v>#REF!</v>
      </c>
      <c r="AM110" s="45" t="e">
        <f t="shared" si="60"/>
        <v>#REF!</v>
      </c>
      <c r="AN110" s="45" t="e">
        <f t="shared" si="60"/>
        <v>#REF!</v>
      </c>
      <c r="AO110" s="45" t="e">
        <f t="shared" si="60"/>
        <v>#REF!</v>
      </c>
      <c r="AP110" s="45">
        <f t="shared" si="60"/>
        <v>0</v>
      </c>
    </row>
    <row r="111" spans="1:42" x14ac:dyDescent="0.25">
      <c r="A111" s="41"/>
    </row>
    <row r="112" spans="1:42" x14ac:dyDescent="0.25">
      <c r="A112" s="41"/>
      <c r="B112" s="41" t="s">
        <v>1328</v>
      </c>
      <c r="C112" s="45" t="e">
        <f t="shared" ref="C112:N112" si="61">C95+C104+C110</f>
        <v>#REF!</v>
      </c>
      <c r="D112" s="45" t="e">
        <f t="shared" si="61"/>
        <v>#REF!</v>
      </c>
      <c r="E112" s="45" t="e">
        <f t="shared" si="61"/>
        <v>#REF!</v>
      </c>
      <c r="F112" s="45" t="e">
        <f t="shared" si="61"/>
        <v>#REF!</v>
      </c>
      <c r="G112" s="45" t="e">
        <f t="shared" si="61"/>
        <v>#REF!</v>
      </c>
      <c r="H112" s="45" t="e">
        <f t="shared" si="61"/>
        <v>#REF!</v>
      </c>
      <c r="I112" s="45" t="e">
        <f t="shared" si="61"/>
        <v>#REF!</v>
      </c>
      <c r="J112" s="45" t="e">
        <f t="shared" si="61"/>
        <v>#REF!</v>
      </c>
      <c r="K112" s="45" t="e">
        <f t="shared" si="61"/>
        <v>#REF!</v>
      </c>
      <c r="L112" s="45" t="e">
        <f t="shared" si="61"/>
        <v>#REF!</v>
      </c>
      <c r="M112" s="45" t="e">
        <f t="shared" si="61"/>
        <v>#REF!</v>
      </c>
      <c r="N112" s="45">
        <f t="shared" si="61"/>
        <v>0</v>
      </c>
      <c r="Q112" s="45" t="e">
        <f t="shared" ref="Q112:AB112" si="62">SUM(Q87:Q111)</f>
        <v>#REF!</v>
      </c>
      <c r="R112" s="45">
        <f t="shared" si="62"/>
        <v>38777612.332000017</v>
      </c>
      <c r="S112" s="45">
        <f t="shared" si="62"/>
        <v>54445291.693999991</v>
      </c>
      <c r="T112" s="45">
        <f t="shared" si="62"/>
        <v>226334376.24200001</v>
      </c>
      <c r="U112" s="45">
        <f t="shared" si="62"/>
        <v>232005805.72600001</v>
      </c>
      <c r="V112" s="45">
        <f t="shared" si="62"/>
        <v>280770714.43000007</v>
      </c>
      <c r="W112" s="45">
        <f t="shared" si="62"/>
        <v>285577342.33599991</v>
      </c>
      <c r="X112" s="45">
        <f t="shared" si="62"/>
        <v>277761036.80599999</v>
      </c>
      <c r="Y112" s="45">
        <f t="shared" si="62"/>
        <v>271279067.21400005</v>
      </c>
      <c r="Z112" s="45">
        <f t="shared" si="62"/>
        <v>276526480.88600004</v>
      </c>
      <c r="AA112" s="45">
        <f t="shared" si="62"/>
        <v>262573861.18600005</v>
      </c>
      <c r="AB112" s="45">
        <f t="shared" si="62"/>
        <v>0</v>
      </c>
      <c r="AE112" s="45" t="e">
        <f t="shared" ref="AE112:AP112" si="63">SUM(AE87:AE111)</f>
        <v>#REF!</v>
      </c>
      <c r="AF112" s="45" t="e">
        <f t="shared" si="63"/>
        <v>#REF!</v>
      </c>
      <c r="AG112" s="45" t="e">
        <f t="shared" si="63"/>
        <v>#REF!</v>
      </c>
      <c r="AH112" s="45" t="e">
        <f t="shared" si="63"/>
        <v>#REF!</v>
      </c>
      <c r="AI112" s="45" t="e">
        <f t="shared" si="63"/>
        <v>#REF!</v>
      </c>
      <c r="AJ112" s="45" t="e">
        <f t="shared" si="63"/>
        <v>#REF!</v>
      </c>
      <c r="AK112" s="45" t="e">
        <f t="shared" si="63"/>
        <v>#REF!</v>
      </c>
      <c r="AL112" s="45" t="e">
        <f t="shared" si="63"/>
        <v>#REF!</v>
      </c>
      <c r="AM112" s="45" t="e">
        <f t="shared" si="63"/>
        <v>#REF!</v>
      </c>
      <c r="AN112" s="45" t="e">
        <f t="shared" si="63"/>
        <v>#REF!</v>
      </c>
      <c r="AO112" s="45" t="e">
        <f t="shared" si="63"/>
        <v>#REF!</v>
      </c>
      <c r="AP112" s="45">
        <f t="shared" si="63"/>
        <v>0</v>
      </c>
    </row>
    <row r="113" spans="1:42" x14ac:dyDescent="0.25">
      <c r="A113" s="41"/>
    </row>
    <row r="115" spans="1:42" x14ac:dyDescent="0.25">
      <c r="A115" s="41" t="s">
        <v>1329</v>
      </c>
    </row>
    <row r="116" spans="1:42" x14ac:dyDescent="0.25">
      <c r="A116" s="42">
        <v>111009</v>
      </c>
      <c r="B116" s="43" t="s">
        <v>825</v>
      </c>
      <c r="C116" s="44" t="e">
        <f t="shared" ref="C116:N117" si="64">Q116+AE116</f>
        <v>#REF!</v>
      </c>
      <c r="D116" s="44" t="e">
        <f t="shared" si="64"/>
        <v>#REF!</v>
      </c>
      <c r="E116" s="44" t="e">
        <f t="shared" si="64"/>
        <v>#REF!</v>
      </c>
      <c r="F116" s="44" t="e">
        <f t="shared" si="64"/>
        <v>#REF!</v>
      </c>
      <c r="G116" s="44" t="e">
        <f t="shared" si="64"/>
        <v>#REF!</v>
      </c>
      <c r="H116" s="44" t="e">
        <f t="shared" si="64"/>
        <v>#REF!</v>
      </c>
      <c r="I116" s="44" t="e">
        <f t="shared" si="64"/>
        <v>#REF!</v>
      </c>
      <c r="J116" s="44" t="e">
        <f t="shared" si="64"/>
        <v>#REF!</v>
      </c>
      <c r="K116" s="44" t="e">
        <f t="shared" si="64"/>
        <v>#REF!</v>
      </c>
      <c r="L116" s="44" t="e">
        <f t="shared" si="64"/>
        <v>#REF!</v>
      </c>
      <c r="M116" s="44" t="e">
        <f t="shared" si="64"/>
        <v>#REF!</v>
      </c>
      <c r="N116" s="44">
        <f t="shared" si="64"/>
        <v>0</v>
      </c>
      <c r="Q116" s="44" t="e">
        <f>SUMIF(#REF!,$A116,#REF!)</f>
        <v>#REF!</v>
      </c>
      <c r="R116" s="44">
        <f>SUMIF(ALIF_Y2014!$A:$A,$A116,ALIF_Y2014!$F:$F)</f>
        <v>0</v>
      </c>
      <c r="S116" s="44">
        <f>SUMIF(ALIF_Y2015!$A:$A,$A116,ALIF_Y2015!$F:$F)</f>
        <v>0</v>
      </c>
      <c r="T116" s="44">
        <f>SUMIF(ALIF_Y2016!$A:$A,$A116,ALIF_Y2016!$F:$F)</f>
        <v>0</v>
      </c>
      <c r="U116" s="44">
        <f>SUMIF(ALIF_Y2017!$A:$A,$A116,ALIF_Y2017!$F:$F)</f>
        <v>0</v>
      </c>
      <c r="V116" s="44">
        <f>SUMIF(ALIF_Y2018!$A:$A,$A116,ALIF_Y2018!$F:$F)</f>
        <v>0</v>
      </c>
      <c r="W116" s="44">
        <f>SUMIF(ALIF_Y2019!$A:$A,$A116,ALIF_Y2019!$F:$F)</f>
        <v>2020135</v>
      </c>
      <c r="X116" s="44">
        <f>SUMIF(ALIF_Y2020!$A:$A,$A116,ALIF_Y2020!$F:$F)</f>
        <v>2020135</v>
      </c>
      <c r="Y116" s="44">
        <f>SUMIF(ALIF_Y2021!$A:$A,$A116,ALIF_Y2021!$F:$F)</f>
        <v>2020135</v>
      </c>
      <c r="Z116" s="44">
        <f>SUMIF(ALIF_Y2022!$A:$A,$A116,ALIF_Y2022!$F:$F)</f>
        <v>2020135</v>
      </c>
      <c r="AA116" s="44">
        <f>SUMIF(ALIF_Y2023!$A:$A,$A116,ALIF_Y2023!$F:$F)</f>
        <v>2020135</v>
      </c>
      <c r="AE116" s="44" t="e">
        <f>SUMIF(#REF!,$A116,#REF!)</f>
        <v>#REF!</v>
      </c>
      <c r="AF116" s="44" t="e">
        <f>SUMIF(#REF!,$A116,#REF!)</f>
        <v>#REF!</v>
      </c>
      <c r="AG116" s="44" t="e">
        <f>SUMIF(#REF!,$A116,#REF!)</f>
        <v>#REF!</v>
      </c>
      <c r="AH116" s="44" t="e">
        <f>SUMIF(#REF!,$A116,#REF!)</f>
        <v>#REF!</v>
      </c>
      <c r="AI116" s="44" t="e">
        <f>SUMIF(#REF!,$A116,#REF!)</f>
        <v>#REF!</v>
      </c>
      <c r="AJ116" s="44" t="e">
        <f>SUMIF(#REF!,$A116,#REF!)</f>
        <v>#REF!</v>
      </c>
      <c r="AK116" s="44" t="e">
        <f>SUMIF(#REF!,$A116,#REF!)</f>
        <v>#REF!</v>
      </c>
      <c r="AL116" s="44" t="e">
        <f>SUMIF(#REF!,$A116,#REF!)</f>
        <v>#REF!</v>
      </c>
      <c r="AM116" s="44" t="e">
        <f>SUMIF(#REF!,$A116,#REF!)</f>
        <v>#REF!</v>
      </c>
      <c r="AN116" s="44" t="e">
        <f>SUMIF(#REF!,$A116,#REF!)</f>
        <v>#REF!</v>
      </c>
      <c r="AO116" s="44" t="e">
        <f>SUMIF(#REF!,$A116,#REF!)</f>
        <v>#REF!</v>
      </c>
    </row>
    <row r="117" spans="1:42" x14ac:dyDescent="0.25">
      <c r="A117" s="42">
        <v>120008</v>
      </c>
      <c r="B117" s="43" t="s">
        <v>835</v>
      </c>
      <c r="C117" s="44" t="e">
        <f t="shared" si="64"/>
        <v>#REF!</v>
      </c>
      <c r="D117" s="44" t="e">
        <f t="shared" si="64"/>
        <v>#REF!</v>
      </c>
      <c r="E117" s="44" t="e">
        <f t="shared" si="64"/>
        <v>#REF!</v>
      </c>
      <c r="F117" s="44" t="e">
        <f t="shared" si="64"/>
        <v>#REF!</v>
      </c>
      <c r="G117" s="44" t="e">
        <f t="shared" si="64"/>
        <v>#REF!</v>
      </c>
      <c r="H117" s="44" t="e">
        <f t="shared" si="64"/>
        <v>#REF!</v>
      </c>
      <c r="I117" s="44" t="e">
        <f t="shared" si="64"/>
        <v>#REF!</v>
      </c>
      <c r="J117" s="44" t="e">
        <f t="shared" si="64"/>
        <v>#REF!</v>
      </c>
      <c r="K117" s="44" t="e">
        <f t="shared" si="64"/>
        <v>#REF!</v>
      </c>
      <c r="L117" s="44" t="e">
        <f t="shared" si="64"/>
        <v>#REF!</v>
      </c>
      <c r="M117" s="44" t="e">
        <f t="shared" si="64"/>
        <v>#REF!</v>
      </c>
      <c r="N117" s="44">
        <f t="shared" si="64"/>
        <v>0</v>
      </c>
      <c r="Q117" s="44" t="e">
        <f>SUMIF(#REF!,$A117,#REF!)</f>
        <v>#REF!</v>
      </c>
      <c r="R117" s="44">
        <f>SUMIF(ALIF_Y2014!$A:$A,$A117,ALIF_Y2014!$F:$F)</f>
        <v>0</v>
      </c>
      <c r="S117" s="44">
        <f>SUMIF(ALIF_Y2015!$A:$A,$A117,ALIF_Y2015!$F:$F)</f>
        <v>0</v>
      </c>
      <c r="T117" s="44">
        <f>SUMIF(ALIF_Y2016!$A:$A,$A117,ALIF_Y2016!$F:$F)</f>
        <v>0</v>
      </c>
      <c r="U117" s="44">
        <f>SUMIF(ALIF_Y2017!$A:$A,$A117,ALIF_Y2017!$F:$F)</f>
        <v>0</v>
      </c>
      <c r="V117" s="44">
        <f>SUMIF(ALIF_Y2018!$A:$A,$A117,ALIF_Y2018!$F:$F)</f>
        <v>0</v>
      </c>
      <c r="W117" s="44">
        <f>SUMIF(ALIF_Y2019!$A:$A,$A117,ALIF_Y2019!$F:$F)</f>
        <v>-24787</v>
      </c>
      <c r="X117" s="44">
        <f>SUMIF(ALIF_Y2020!$A:$A,$A117,ALIF_Y2020!$F:$F)</f>
        <v>-173509.508</v>
      </c>
      <c r="Y117" s="44">
        <f>SUMIF(ALIF_Y2021!$A:$A,$A117,ALIF_Y2021!$F:$F)</f>
        <v>-333622.50799999997</v>
      </c>
      <c r="Z117" s="44">
        <f>SUMIF(ALIF_Y2022!$A:$A,$A117,ALIF_Y2022!$F:$F)</f>
        <v>-482953.92099999997</v>
      </c>
      <c r="AA117" s="44">
        <f>SUMIF(ALIF_Y2023!$A:$A,$A117,ALIF_Y2023!$F:$F)</f>
        <v>-645860.91700000002</v>
      </c>
      <c r="AE117" s="44" t="e">
        <f>SUMIF(#REF!,$A117,#REF!)</f>
        <v>#REF!</v>
      </c>
      <c r="AF117" s="44" t="e">
        <f>SUMIF(#REF!,$A117,#REF!)</f>
        <v>#REF!</v>
      </c>
      <c r="AG117" s="44" t="e">
        <f>SUMIF(#REF!,$A117,#REF!)</f>
        <v>#REF!</v>
      </c>
      <c r="AH117" s="44" t="e">
        <f>SUMIF(#REF!,$A117,#REF!)</f>
        <v>#REF!</v>
      </c>
      <c r="AI117" s="44" t="e">
        <f>SUMIF(#REF!,$A117,#REF!)</f>
        <v>#REF!</v>
      </c>
      <c r="AJ117" s="44" t="e">
        <f>SUMIF(#REF!,$A117,#REF!)</f>
        <v>#REF!</v>
      </c>
      <c r="AK117" s="44" t="e">
        <f>SUMIF(#REF!,$A117,#REF!)</f>
        <v>#REF!</v>
      </c>
      <c r="AL117" s="44" t="e">
        <f>SUMIF(#REF!,$A117,#REF!)</f>
        <v>#REF!</v>
      </c>
      <c r="AM117" s="44" t="e">
        <f>SUMIF(#REF!,$A117,#REF!)</f>
        <v>#REF!</v>
      </c>
      <c r="AN117" s="44" t="e">
        <f>SUMIF(#REF!,$A117,#REF!)</f>
        <v>#REF!</v>
      </c>
      <c r="AO117" s="44" t="e">
        <f>SUMIF(#REF!,$A117,#REF!)</f>
        <v>#REF!</v>
      </c>
    </row>
    <row r="118" spans="1:42" ht="7.9" customHeight="1" x14ac:dyDescent="0.25">
      <c r="C118" s="144"/>
      <c r="D118" s="144"/>
      <c r="E118" s="144"/>
      <c r="F118" s="144"/>
      <c r="G118" s="144"/>
      <c r="H118" s="144"/>
      <c r="I118" s="144"/>
      <c r="J118" s="144"/>
      <c r="K118" s="144"/>
      <c r="L118" s="144"/>
      <c r="M118" s="144"/>
      <c r="N118" s="144"/>
      <c r="Q118" s="144"/>
      <c r="R118" s="144"/>
      <c r="S118" s="144"/>
      <c r="T118" s="144"/>
      <c r="U118" s="144"/>
      <c r="V118" s="144"/>
      <c r="W118" s="144"/>
      <c r="X118" s="144"/>
      <c r="Y118" s="144"/>
      <c r="Z118" s="144"/>
      <c r="AA118" s="144"/>
      <c r="AB118" s="144"/>
      <c r="AE118" s="144"/>
      <c r="AF118" s="144"/>
      <c r="AG118" s="144"/>
      <c r="AH118" s="144"/>
      <c r="AI118" s="144"/>
      <c r="AJ118" s="144"/>
      <c r="AK118" s="144"/>
      <c r="AL118" s="144"/>
      <c r="AM118" s="144"/>
      <c r="AN118" s="144"/>
      <c r="AO118" s="144"/>
      <c r="AP118" s="144"/>
    </row>
    <row r="119" spans="1:42" x14ac:dyDescent="0.25">
      <c r="A119" s="41"/>
      <c r="C119" s="45" t="e">
        <f t="shared" ref="C119:N119" si="65">SUM(C116:C118)</f>
        <v>#REF!</v>
      </c>
      <c r="D119" s="45" t="e">
        <f t="shared" si="65"/>
        <v>#REF!</v>
      </c>
      <c r="E119" s="45" t="e">
        <f t="shared" si="65"/>
        <v>#REF!</v>
      </c>
      <c r="F119" s="45" t="e">
        <f t="shared" si="65"/>
        <v>#REF!</v>
      </c>
      <c r="G119" s="45" t="e">
        <f t="shared" si="65"/>
        <v>#REF!</v>
      </c>
      <c r="H119" s="45" t="e">
        <f t="shared" si="65"/>
        <v>#REF!</v>
      </c>
      <c r="I119" s="45" t="e">
        <f t="shared" si="65"/>
        <v>#REF!</v>
      </c>
      <c r="J119" s="45" t="e">
        <f t="shared" si="65"/>
        <v>#REF!</v>
      </c>
      <c r="K119" s="45" t="e">
        <f t="shared" si="65"/>
        <v>#REF!</v>
      </c>
      <c r="L119" s="45" t="e">
        <f t="shared" si="65"/>
        <v>#REF!</v>
      </c>
      <c r="M119" s="45" t="e">
        <f t="shared" si="65"/>
        <v>#REF!</v>
      </c>
      <c r="N119" s="45">
        <f t="shared" si="65"/>
        <v>0</v>
      </c>
      <c r="Q119" s="45" t="e">
        <f t="shared" ref="Q119:AB119" si="66">SUM(Q116:Q118)</f>
        <v>#REF!</v>
      </c>
      <c r="R119" s="45">
        <f t="shared" si="66"/>
        <v>0</v>
      </c>
      <c r="S119" s="45">
        <f t="shared" si="66"/>
        <v>0</v>
      </c>
      <c r="T119" s="45">
        <f t="shared" si="66"/>
        <v>0</v>
      </c>
      <c r="U119" s="45">
        <f t="shared" si="66"/>
        <v>0</v>
      </c>
      <c r="V119" s="45">
        <f t="shared" si="66"/>
        <v>0</v>
      </c>
      <c r="W119" s="45">
        <f t="shared" si="66"/>
        <v>1995348</v>
      </c>
      <c r="X119" s="45">
        <f t="shared" si="66"/>
        <v>1846625.4920000001</v>
      </c>
      <c r="Y119" s="45">
        <f t="shared" si="66"/>
        <v>1686512.4920000001</v>
      </c>
      <c r="Z119" s="45">
        <f t="shared" si="66"/>
        <v>1537181.0789999999</v>
      </c>
      <c r="AA119" s="45">
        <f t="shared" si="66"/>
        <v>1374274.0830000001</v>
      </c>
      <c r="AB119" s="45">
        <f t="shared" si="66"/>
        <v>0</v>
      </c>
      <c r="AE119" s="45" t="e">
        <f t="shared" ref="AE119:AO119" si="67">SUM(AE116:AE118)</f>
        <v>#REF!</v>
      </c>
      <c r="AF119" s="45" t="e">
        <f t="shared" si="67"/>
        <v>#REF!</v>
      </c>
      <c r="AG119" s="45" t="e">
        <f t="shared" si="67"/>
        <v>#REF!</v>
      </c>
      <c r="AH119" s="45" t="e">
        <f t="shared" si="67"/>
        <v>#REF!</v>
      </c>
      <c r="AI119" s="45" t="e">
        <f t="shared" si="67"/>
        <v>#REF!</v>
      </c>
      <c r="AJ119" s="45" t="e">
        <f t="shared" si="67"/>
        <v>#REF!</v>
      </c>
      <c r="AK119" s="45" t="e">
        <f t="shared" si="67"/>
        <v>#REF!</v>
      </c>
      <c r="AL119" s="45" t="e">
        <f t="shared" si="67"/>
        <v>#REF!</v>
      </c>
      <c r="AM119" s="45" t="e">
        <f t="shared" si="67"/>
        <v>#REF!</v>
      </c>
      <c r="AN119" s="45" t="e">
        <f t="shared" si="67"/>
        <v>#REF!</v>
      </c>
      <c r="AO119" s="45" t="e">
        <f t="shared" si="67"/>
        <v>#REF!</v>
      </c>
    </row>
    <row r="120" spans="1:42" x14ac:dyDescent="0.25">
      <c r="A120" s="41"/>
      <c r="Q120" s="45"/>
      <c r="R120" s="45"/>
      <c r="S120" s="45"/>
      <c r="T120" s="45"/>
      <c r="U120" s="45"/>
      <c r="V120" s="45"/>
      <c r="W120" s="45"/>
      <c r="X120" s="45"/>
      <c r="Y120" s="45"/>
      <c r="Z120" s="45"/>
      <c r="AA120" s="45"/>
      <c r="AB120" s="45"/>
      <c r="AE120" s="45"/>
      <c r="AF120" s="45"/>
      <c r="AG120" s="45"/>
      <c r="AH120" s="45"/>
      <c r="AI120" s="45"/>
      <c r="AJ120" s="45"/>
      <c r="AK120" s="45"/>
      <c r="AL120" s="45"/>
      <c r="AM120" s="45"/>
      <c r="AN120" s="45"/>
      <c r="AO120" s="45"/>
    </row>
    <row r="121" spans="1:42" x14ac:dyDescent="0.25">
      <c r="A121" s="41" t="s">
        <v>1330</v>
      </c>
      <c r="Q121" s="45"/>
      <c r="R121" s="45"/>
      <c r="S121" s="45"/>
      <c r="T121" s="45"/>
      <c r="U121" s="45"/>
      <c r="V121" s="45"/>
      <c r="W121" s="45"/>
      <c r="X121" s="45"/>
      <c r="Y121" s="45"/>
      <c r="Z121" s="45"/>
      <c r="AA121" s="45"/>
      <c r="AB121" s="45"/>
      <c r="AE121" s="45"/>
      <c r="AF121" s="45"/>
      <c r="AG121" s="45"/>
      <c r="AH121" s="45"/>
      <c r="AI121" s="45"/>
      <c r="AJ121" s="45"/>
      <c r="AK121" s="45"/>
      <c r="AL121" s="45"/>
      <c r="AM121" s="45"/>
      <c r="AN121" s="45"/>
      <c r="AO121" s="45"/>
    </row>
    <row r="122" spans="1:42" x14ac:dyDescent="0.25">
      <c r="A122" s="42">
        <v>170000</v>
      </c>
      <c r="B122" s="43" t="s">
        <v>862</v>
      </c>
      <c r="C122" s="44" t="e">
        <f t="shared" ref="C122:C133" si="68">Q122+AE122</f>
        <v>#REF!</v>
      </c>
      <c r="D122" s="44" t="e">
        <f t="shared" ref="D122:D133" si="69">R122+AF122</f>
        <v>#REF!</v>
      </c>
      <c r="E122" s="44" t="e">
        <f t="shared" ref="E122:E133" si="70">S122+AG122</f>
        <v>#REF!</v>
      </c>
      <c r="F122" s="44" t="e">
        <f t="shared" ref="F122:F133" si="71">T122+AH122</f>
        <v>#REF!</v>
      </c>
      <c r="G122" s="44" t="e">
        <f t="shared" ref="G122:G133" si="72">U122+AI122</f>
        <v>#REF!</v>
      </c>
      <c r="H122" s="44" t="e">
        <f t="shared" ref="H122:H133" si="73">V122+AJ122</f>
        <v>#REF!</v>
      </c>
      <c r="I122" s="44" t="e">
        <f t="shared" ref="I122:I133" si="74">W122+AK122</f>
        <v>#REF!</v>
      </c>
      <c r="J122" s="44" t="e">
        <f t="shared" ref="J122:J133" si="75">X122+AL122</f>
        <v>#REF!</v>
      </c>
      <c r="K122" s="44" t="e">
        <f t="shared" ref="K122:K133" si="76">Y122+AM122</f>
        <v>#REF!</v>
      </c>
      <c r="L122" s="44" t="e">
        <f t="shared" ref="L122:L133" si="77">Z122+AN122</f>
        <v>#REF!</v>
      </c>
      <c r="M122" s="44" t="e">
        <f t="shared" ref="M122:M133" si="78">AA122+AO122</f>
        <v>#REF!</v>
      </c>
      <c r="N122" s="44">
        <f t="shared" ref="N122:N133" si="79">AB122+AP122</f>
        <v>0</v>
      </c>
      <c r="Q122" s="44" t="e">
        <f>-SUMIF(#REF!,$A122,#REF!)</f>
        <v>#REF!</v>
      </c>
      <c r="R122" s="44">
        <f>-SUMIF(ALIF_Y2014!$A:$A,$A122,ALIF_Y2014!$F:$F)</f>
        <v>-88433.574999999997</v>
      </c>
      <c r="S122" s="44">
        <f>-SUMIF(ALIF_Y2015!$A:$A,$A122,ALIF_Y2015!$F:$F)</f>
        <v>-122637.079</v>
      </c>
      <c r="T122" s="44">
        <f>-SUMIF(ALIF_Y2016!$A:$A,$A122,ALIF_Y2016!$F:$F)</f>
        <v>-366799.283</v>
      </c>
      <c r="U122" s="44">
        <f>-SUMIF(ALIF_Y2017!$A:$A,$A122,ALIF_Y2017!$F:$F)</f>
        <v>-3.0000000000000001E-3</v>
      </c>
      <c r="V122" s="44">
        <f>-SUMIF(ALIF_Y2018!$A:$A,$A122,ALIF_Y2018!$F:$F)</f>
        <v>-821440.45499999996</v>
      </c>
      <c r="W122" s="44">
        <f>-SUMIF(ALIF_Y2019!$A:$A,$A122,ALIF_Y2019!$F:$F)</f>
        <v>-54888.516000000003</v>
      </c>
      <c r="X122" s="44">
        <f>-SUMIF(ALIF_Y2020!$A:$A,$A122,ALIF_Y2020!$F:$F)</f>
        <v>0</v>
      </c>
      <c r="Y122" s="44">
        <f>-SUMIF(ALIF_Y2021!$A:$A,$A122,ALIF_Y2021!$F:$F)</f>
        <v>0</v>
      </c>
      <c r="Z122" s="44">
        <f>-SUMIF(ALIF_Y2022!$A:$A,$A122,ALIF_Y2022!$F:$F)</f>
        <v>-717348.08100000001</v>
      </c>
      <c r="AA122" s="44">
        <f>-SUMIF(ALIF_Y2023!$A:$A,$A122,ALIF_Y2023!$F:$F)</f>
        <v>-828992.36600000004</v>
      </c>
      <c r="AE122" s="44" t="e">
        <f>-SUMIF(#REF!,$A122,#REF!)</f>
        <v>#REF!</v>
      </c>
      <c r="AF122" s="44" t="e">
        <f>-SUMIF(#REF!,$A122,#REF!)</f>
        <v>#REF!</v>
      </c>
      <c r="AG122" s="44" t="e">
        <f>-SUMIF(#REF!,$A122,#REF!)</f>
        <v>#REF!</v>
      </c>
      <c r="AH122" s="44" t="e">
        <f>-SUMIF(#REF!,$A122,#REF!)</f>
        <v>#REF!</v>
      </c>
      <c r="AI122" s="44" t="e">
        <f>-SUMIF(#REF!,$A122,#REF!)</f>
        <v>#REF!</v>
      </c>
      <c r="AJ122" s="44" t="e">
        <f>-SUMIF(#REF!,$A122,#REF!)</f>
        <v>#REF!</v>
      </c>
      <c r="AK122" s="44" t="e">
        <f>-SUMIF(#REF!,$A122,#REF!)</f>
        <v>#REF!</v>
      </c>
      <c r="AL122" s="44" t="e">
        <f>-SUMIF(#REF!,$A122,#REF!)</f>
        <v>#REF!</v>
      </c>
      <c r="AM122" s="44" t="e">
        <f>-SUMIF(#REF!,$A122,#REF!)</f>
        <v>#REF!</v>
      </c>
      <c r="AN122" s="44" t="e">
        <f>-SUMIF(#REF!,$A122,#REF!)</f>
        <v>#REF!</v>
      </c>
      <c r="AO122" s="44" t="e">
        <f>-SUMIF(#REF!,$A122,#REF!)</f>
        <v>#REF!</v>
      </c>
    </row>
    <row r="123" spans="1:42" x14ac:dyDescent="0.25">
      <c r="A123" s="42">
        <v>170001</v>
      </c>
      <c r="B123" s="43" t="s">
        <v>863</v>
      </c>
      <c r="C123" s="44" t="e">
        <f t="shared" si="68"/>
        <v>#REF!</v>
      </c>
      <c r="D123" s="44" t="e">
        <f t="shared" si="69"/>
        <v>#REF!</v>
      </c>
      <c r="E123" s="44" t="e">
        <f t="shared" si="70"/>
        <v>#REF!</v>
      </c>
      <c r="F123" s="44" t="e">
        <f t="shared" si="71"/>
        <v>#REF!</v>
      </c>
      <c r="G123" s="44" t="e">
        <f t="shared" si="72"/>
        <v>#REF!</v>
      </c>
      <c r="H123" s="44" t="e">
        <f t="shared" si="73"/>
        <v>#REF!</v>
      </c>
      <c r="I123" s="44" t="e">
        <f t="shared" si="74"/>
        <v>#REF!</v>
      </c>
      <c r="J123" s="44" t="e">
        <f t="shared" si="75"/>
        <v>#REF!</v>
      </c>
      <c r="K123" s="44" t="e">
        <f t="shared" si="76"/>
        <v>#REF!</v>
      </c>
      <c r="L123" s="44" t="e">
        <f t="shared" si="77"/>
        <v>#REF!</v>
      </c>
      <c r="M123" s="44" t="e">
        <f t="shared" si="78"/>
        <v>#REF!</v>
      </c>
      <c r="N123" s="44">
        <f t="shared" si="79"/>
        <v>0</v>
      </c>
      <c r="Q123" s="44" t="e">
        <f>-SUMIF(#REF!,$A123,#REF!)</f>
        <v>#REF!</v>
      </c>
      <c r="R123" s="44">
        <f>-SUMIF(ALIF_Y2014!$A:$A,$A123,ALIF_Y2014!$F:$F)</f>
        <v>0</v>
      </c>
      <c r="S123" s="44">
        <f>-SUMIF(ALIF_Y2015!$A:$A,$A123,ALIF_Y2015!$F:$F)</f>
        <v>0</v>
      </c>
      <c r="T123" s="44">
        <f>-SUMIF(ALIF_Y2016!$A:$A,$A123,ALIF_Y2016!$F:$F)</f>
        <v>0</v>
      </c>
      <c r="U123" s="44">
        <f>-SUMIF(ALIF_Y2017!$A:$A,$A123,ALIF_Y2017!$F:$F)</f>
        <v>0</v>
      </c>
      <c r="V123" s="44">
        <f>-SUMIF(ALIF_Y2018!$A:$A,$A123,ALIF_Y2018!$F:$F)</f>
        <v>0</v>
      </c>
      <c r="W123" s="44">
        <f>-SUMIF(ALIF_Y2019!$A:$A,$A123,ALIF_Y2019!$F:$F)</f>
        <v>-871721.21</v>
      </c>
      <c r="X123" s="44">
        <f>-SUMIF(ALIF_Y2020!$A:$A,$A123,ALIF_Y2020!$F:$F)</f>
        <v>-667490.804</v>
      </c>
      <c r="Y123" s="44">
        <f>-SUMIF(ALIF_Y2021!$A:$A,$A123,ALIF_Y2021!$F:$F)</f>
        <v>0</v>
      </c>
      <c r="Z123" s="44">
        <f>-SUMIF(ALIF_Y2022!$A:$A,$A123,ALIF_Y2022!$F:$F)</f>
        <v>-1188833.976</v>
      </c>
      <c r="AA123" s="44">
        <f>-SUMIF(ALIF_Y2023!$A:$A,$A123,ALIF_Y2023!$F:$F)</f>
        <v>-845009.73199999996</v>
      </c>
      <c r="AE123" s="44" t="e">
        <f>-SUMIF(#REF!,$A123,#REF!)</f>
        <v>#REF!</v>
      </c>
      <c r="AF123" s="44" t="e">
        <f>-SUMIF(#REF!,$A123,#REF!)</f>
        <v>#REF!</v>
      </c>
      <c r="AG123" s="44" t="e">
        <f>-SUMIF(#REF!,$A123,#REF!)</f>
        <v>#REF!</v>
      </c>
      <c r="AH123" s="44" t="e">
        <f>-SUMIF(#REF!,$A123,#REF!)</f>
        <v>#REF!</v>
      </c>
      <c r="AI123" s="44" t="e">
        <f>-SUMIF(#REF!,$A123,#REF!)</f>
        <v>#REF!</v>
      </c>
      <c r="AJ123" s="44" t="e">
        <f>-SUMIF(#REF!,$A123,#REF!)</f>
        <v>#REF!</v>
      </c>
      <c r="AK123" s="44" t="e">
        <f>-SUMIF(#REF!,$A123,#REF!)</f>
        <v>#REF!</v>
      </c>
      <c r="AL123" s="44" t="e">
        <f>-SUMIF(#REF!,$A123,#REF!)</f>
        <v>#REF!</v>
      </c>
      <c r="AM123" s="44" t="e">
        <f>-SUMIF(#REF!,$A123,#REF!)</f>
        <v>#REF!</v>
      </c>
      <c r="AN123" s="44" t="e">
        <f>-SUMIF(#REF!,$A123,#REF!)</f>
        <v>#REF!</v>
      </c>
      <c r="AO123" s="44" t="e">
        <f>-SUMIF(#REF!,$A123,#REF!)</f>
        <v>#REF!</v>
      </c>
    </row>
    <row r="124" spans="1:42" x14ac:dyDescent="0.25">
      <c r="A124" s="42">
        <v>170002</v>
      </c>
      <c r="B124" s="43" t="s">
        <v>864</v>
      </c>
      <c r="C124" s="44" t="e">
        <f t="shared" si="68"/>
        <v>#REF!</v>
      </c>
      <c r="D124" s="44" t="e">
        <f t="shared" si="69"/>
        <v>#REF!</v>
      </c>
      <c r="E124" s="44" t="e">
        <f t="shared" si="70"/>
        <v>#REF!</v>
      </c>
      <c r="F124" s="44" t="e">
        <f t="shared" si="71"/>
        <v>#REF!</v>
      </c>
      <c r="G124" s="44" t="e">
        <f t="shared" si="72"/>
        <v>#REF!</v>
      </c>
      <c r="H124" s="44" t="e">
        <f t="shared" si="73"/>
        <v>#REF!</v>
      </c>
      <c r="I124" s="44" t="e">
        <f t="shared" si="74"/>
        <v>#REF!</v>
      </c>
      <c r="J124" s="44" t="e">
        <f t="shared" si="75"/>
        <v>#REF!</v>
      </c>
      <c r="K124" s="44" t="e">
        <f t="shared" si="76"/>
        <v>#REF!</v>
      </c>
      <c r="L124" s="44" t="e">
        <f t="shared" si="77"/>
        <v>#REF!</v>
      </c>
      <c r="M124" s="44" t="e">
        <f t="shared" si="78"/>
        <v>#REF!</v>
      </c>
      <c r="N124" s="44">
        <f t="shared" si="79"/>
        <v>0</v>
      </c>
      <c r="Q124" s="44" t="e">
        <f>-SUMIF(#REF!,$A124,#REF!)</f>
        <v>#REF!</v>
      </c>
      <c r="R124" s="44">
        <f>-SUMIF(ALIF_Y2014!$A:$A,$A124,ALIF_Y2014!$F:$F)</f>
        <v>0</v>
      </c>
      <c r="S124" s="44">
        <f>-SUMIF(ALIF_Y2015!$A:$A,$A124,ALIF_Y2015!$F:$F)</f>
        <v>0</v>
      </c>
      <c r="T124" s="44">
        <f>-SUMIF(ALIF_Y2016!$A:$A,$A124,ALIF_Y2016!$F:$F)</f>
        <v>0</v>
      </c>
      <c r="U124" s="44">
        <f>-SUMIF(ALIF_Y2017!$A:$A,$A124,ALIF_Y2017!$F:$F)</f>
        <v>0</v>
      </c>
      <c r="V124" s="44">
        <f>-SUMIF(ALIF_Y2018!$A:$A,$A124,ALIF_Y2018!$F:$F)</f>
        <v>-899145</v>
      </c>
      <c r="W124" s="44">
        <f>-SUMIF(ALIF_Y2019!$A:$A,$A124,ALIF_Y2019!$F:$F)</f>
        <v>-221469.87</v>
      </c>
      <c r="X124" s="44">
        <f>-SUMIF(ALIF_Y2020!$A:$A,$A124,ALIF_Y2020!$F:$F)</f>
        <v>-336418.50099999999</v>
      </c>
      <c r="Y124" s="44">
        <f>-SUMIF(ALIF_Y2021!$A:$A,$A124,ALIF_Y2021!$F:$F)</f>
        <v>0</v>
      </c>
      <c r="Z124" s="44">
        <f>-SUMIF(ALIF_Y2022!$A:$A,$A124,ALIF_Y2022!$F:$F)</f>
        <v>-682659.36300000001</v>
      </c>
      <c r="AA124" s="44">
        <f>-SUMIF(ALIF_Y2023!$A:$A,$A124,ALIF_Y2023!$F:$F)</f>
        <v>-692621.20400000003</v>
      </c>
      <c r="AE124" s="44" t="e">
        <f>-SUMIF(#REF!,$A124,#REF!)</f>
        <v>#REF!</v>
      </c>
      <c r="AF124" s="44" t="e">
        <f>-SUMIF(#REF!,$A124,#REF!)</f>
        <v>#REF!</v>
      </c>
      <c r="AG124" s="44" t="e">
        <f>-SUMIF(#REF!,$A124,#REF!)</f>
        <v>#REF!</v>
      </c>
      <c r="AH124" s="44" t="e">
        <f>-SUMIF(#REF!,$A124,#REF!)</f>
        <v>#REF!</v>
      </c>
      <c r="AI124" s="44" t="e">
        <f>-SUMIF(#REF!,$A124,#REF!)</f>
        <v>#REF!</v>
      </c>
      <c r="AJ124" s="44" t="e">
        <f>-SUMIF(#REF!,$A124,#REF!)</f>
        <v>#REF!</v>
      </c>
      <c r="AK124" s="44" t="e">
        <f>-SUMIF(#REF!,$A124,#REF!)</f>
        <v>#REF!</v>
      </c>
      <c r="AL124" s="44" t="e">
        <f>-SUMIF(#REF!,$A124,#REF!)</f>
        <v>#REF!</v>
      </c>
      <c r="AM124" s="44" t="e">
        <f>-SUMIF(#REF!,$A124,#REF!)</f>
        <v>#REF!</v>
      </c>
      <c r="AN124" s="44" t="e">
        <f>-SUMIF(#REF!,$A124,#REF!)</f>
        <v>#REF!</v>
      </c>
      <c r="AO124" s="44" t="e">
        <f>-SUMIF(#REF!,$A124,#REF!)</f>
        <v>#REF!</v>
      </c>
    </row>
    <row r="125" spans="1:42" x14ac:dyDescent="0.25">
      <c r="A125" s="42">
        <v>170003</v>
      </c>
      <c r="B125" s="43" t="s">
        <v>865</v>
      </c>
      <c r="C125" s="44" t="e">
        <f t="shared" si="68"/>
        <v>#REF!</v>
      </c>
      <c r="D125" s="44" t="e">
        <f t="shared" si="69"/>
        <v>#REF!</v>
      </c>
      <c r="E125" s="44" t="e">
        <f t="shared" si="70"/>
        <v>#REF!</v>
      </c>
      <c r="F125" s="44" t="e">
        <f t="shared" si="71"/>
        <v>#REF!</v>
      </c>
      <c r="G125" s="44" t="e">
        <f t="shared" si="72"/>
        <v>#REF!</v>
      </c>
      <c r="H125" s="44" t="e">
        <f t="shared" si="73"/>
        <v>#REF!</v>
      </c>
      <c r="I125" s="44" t="e">
        <f t="shared" si="74"/>
        <v>#REF!</v>
      </c>
      <c r="J125" s="44" t="e">
        <f t="shared" si="75"/>
        <v>#REF!</v>
      </c>
      <c r="K125" s="44" t="e">
        <f t="shared" si="76"/>
        <v>#REF!</v>
      </c>
      <c r="L125" s="44" t="e">
        <f t="shared" si="77"/>
        <v>#REF!</v>
      </c>
      <c r="M125" s="44" t="e">
        <f t="shared" si="78"/>
        <v>#REF!</v>
      </c>
      <c r="N125" s="44">
        <f t="shared" si="79"/>
        <v>0</v>
      </c>
      <c r="Q125" s="44" t="e">
        <f>-SUMIF(#REF!,$A125,#REF!)</f>
        <v>#REF!</v>
      </c>
      <c r="R125" s="44">
        <f>-SUMIF(ALIF_Y2014!$A:$A,$A125,ALIF_Y2014!$F:$F)</f>
        <v>-209891.57</v>
      </c>
      <c r="S125" s="44">
        <f>-SUMIF(ALIF_Y2015!$A:$A,$A125,ALIF_Y2015!$F:$F)</f>
        <v>-58936.4</v>
      </c>
      <c r="T125" s="44">
        <f>-SUMIF(ALIF_Y2016!$A:$A,$A125,ALIF_Y2016!$F:$F)</f>
        <v>-29088.487000000001</v>
      </c>
      <c r="U125" s="44">
        <f>-SUMIF(ALIF_Y2017!$A:$A,$A125,ALIF_Y2017!$F:$F)</f>
        <v>3.0000000000000001E-3</v>
      </c>
      <c r="V125" s="44">
        <f>-SUMIF(ALIF_Y2018!$A:$A,$A125,ALIF_Y2018!$F:$F)</f>
        <v>0</v>
      </c>
      <c r="W125" s="44">
        <f>-SUMIF(ALIF_Y2019!$A:$A,$A125,ALIF_Y2019!$F:$F)</f>
        <v>0</v>
      </c>
      <c r="X125" s="44">
        <f>-SUMIF(ALIF_Y2020!$A:$A,$A125,ALIF_Y2020!$F:$F)</f>
        <v>0</v>
      </c>
      <c r="Y125" s="44">
        <f>-SUMIF(ALIF_Y2021!$A:$A,$A125,ALIF_Y2021!$F:$F)</f>
        <v>0</v>
      </c>
      <c r="Z125" s="44">
        <f>-SUMIF(ALIF_Y2022!$A:$A,$A125,ALIF_Y2022!$F:$F)</f>
        <v>0</v>
      </c>
      <c r="AA125" s="44">
        <f>-SUMIF(ALIF_Y2023!$A:$A,$A125,ALIF_Y2023!$F:$F)</f>
        <v>0</v>
      </c>
      <c r="AE125" s="44" t="e">
        <f>-SUMIF(#REF!,$A125,#REF!)</f>
        <v>#REF!</v>
      </c>
      <c r="AF125" s="44" t="e">
        <f>-SUMIF(#REF!,$A125,#REF!)</f>
        <v>#REF!</v>
      </c>
      <c r="AG125" s="44" t="e">
        <f>-SUMIF(#REF!,$A125,#REF!)</f>
        <v>#REF!</v>
      </c>
      <c r="AH125" s="44" t="e">
        <f>-SUMIF(#REF!,$A125,#REF!)</f>
        <v>#REF!</v>
      </c>
      <c r="AI125" s="44" t="e">
        <f>-SUMIF(#REF!,$A125,#REF!)</f>
        <v>#REF!</v>
      </c>
      <c r="AJ125" s="44" t="e">
        <f>-SUMIF(#REF!,$A125,#REF!)</f>
        <v>#REF!</v>
      </c>
      <c r="AK125" s="44" t="e">
        <f>-SUMIF(#REF!,$A125,#REF!)</f>
        <v>#REF!</v>
      </c>
      <c r="AL125" s="44" t="e">
        <f>-SUMIF(#REF!,$A125,#REF!)</f>
        <v>#REF!</v>
      </c>
      <c r="AM125" s="44" t="e">
        <f>-SUMIF(#REF!,$A125,#REF!)</f>
        <v>#REF!</v>
      </c>
      <c r="AN125" s="44" t="e">
        <f>-SUMIF(#REF!,$A125,#REF!)</f>
        <v>#REF!</v>
      </c>
      <c r="AO125" s="44" t="e">
        <f>-SUMIF(#REF!,$A125,#REF!)</f>
        <v>#REF!</v>
      </c>
    </row>
    <row r="126" spans="1:42" x14ac:dyDescent="0.25">
      <c r="A126" s="42">
        <v>170004</v>
      </c>
      <c r="B126" s="43" t="s">
        <v>866</v>
      </c>
      <c r="C126" s="44" t="e">
        <f t="shared" si="68"/>
        <v>#REF!</v>
      </c>
      <c r="D126" s="44" t="e">
        <f t="shared" si="69"/>
        <v>#REF!</v>
      </c>
      <c r="E126" s="44" t="e">
        <f t="shared" si="70"/>
        <v>#REF!</v>
      </c>
      <c r="F126" s="44" t="e">
        <f t="shared" si="71"/>
        <v>#REF!</v>
      </c>
      <c r="G126" s="44" t="e">
        <f t="shared" si="72"/>
        <v>#REF!</v>
      </c>
      <c r="H126" s="44" t="e">
        <f t="shared" si="73"/>
        <v>#REF!</v>
      </c>
      <c r="I126" s="44" t="e">
        <f t="shared" si="74"/>
        <v>#REF!</v>
      </c>
      <c r="J126" s="44" t="e">
        <f t="shared" si="75"/>
        <v>#REF!</v>
      </c>
      <c r="K126" s="44" t="e">
        <f t="shared" si="76"/>
        <v>#REF!</v>
      </c>
      <c r="L126" s="44" t="e">
        <f t="shared" si="77"/>
        <v>#REF!</v>
      </c>
      <c r="M126" s="44" t="e">
        <f t="shared" si="78"/>
        <v>#REF!</v>
      </c>
      <c r="N126" s="44">
        <f t="shared" si="79"/>
        <v>0</v>
      </c>
      <c r="Q126" s="44" t="e">
        <f>-SUMIF(#REF!,$A126,#REF!)</f>
        <v>#REF!</v>
      </c>
      <c r="R126" s="44">
        <f>-SUMIF(ALIF_Y2014!$A:$A,$A126,ALIF_Y2014!$F:$F)</f>
        <v>0</v>
      </c>
      <c r="S126" s="44">
        <f>-SUMIF(ALIF_Y2015!$A:$A,$A126,ALIF_Y2015!$F:$F)</f>
        <v>-13828.647999999999</v>
      </c>
      <c r="T126" s="44">
        <f>-SUMIF(ALIF_Y2016!$A:$A,$A126,ALIF_Y2016!$F:$F)</f>
        <v>0</v>
      </c>
      <c r="U126" s="44">
        <f>-SUMIF(ALIF_Y2017!$A:$A,$A126,ALIF_Y2017!$F:$F)</f>
        <v>0</v>
      </c>
      <c r="V126" s="44">
        <f>-SUMIF(ALIF_Y2018!$A:$A,$A126,ALIF_Y2018!$F:$F)</f>
        <v>0</v>
      </c>
      <c r="W126" s="44">
        <f>-SUMIF(ALIF_Y2019!$A:$A,$A126,ALIF_Y2019!$F:$F)</f>
        <v>0</v>
      </c>
      <c r="X126" s="44">
        <f>-SUMIF(ALIF_Y2020!$A:$A,$A126,ALIF_Y2020!$F:$F)</f>
        <v>0</v>
      </c>
      <c r="Y126" s="44">
        <f>-SUMIF(ALIF_Y2021!$A:$A,$A126,ALIF_Y2021!$F:$F)</f>
        <v>0</v>
      </c>
      <c r="Z126" s="44">
        <f>-SUMIF(ALIF_Y2022!$A:$A,$A126,ALIF_Y2022!$F:$F)</f>
        <v>0</v>
      </c>
      <c r="AA126" s="44">
        <f>-SUMIF(ALIF_Y2023!$A:$A,$A126,ALIF_Y2023!$F:$F)</f>
        <v>0</v>
      </c>
      <c r="AE126" s="44" t="e">
        <f>-SUMIF(#REF!,$A126,#REF!)</f>
        <v>#REF!</v>
      </c>
      <c r="AF126" s="44" t="e">
        <f>-SUMIF(#REF!,$A126,#REF!)</f>
        <v>#REF!</v>
      </c>
      <c r="AG126" s="44" t="e">
        <f>-SUMIF(#REF!,$A126,#REF!)</f>
        <v>#REF!</v>
      </c>
      <c r="AH126" s="44" t="e">
        <f>-SUMIF(#REF!,$A126,#REF!)</f>
        <v>#REF!</v>
      </c>
      <c r="AI126" s="44" t="e">
        <f>-SUMIF(#REF!,$A126,#REF!)</f>
        <v>#REF!</v>
      </c>
      <c r="AJ126" s="44" t="e">
        <f>-SUMIF(#REF!,$A126,#REF!)</f>
        <v>#REF!</v>
      </c>
      <c r="AK126" s="44" t="e">
        <f>-SUMIF(#REF!,$A126,#REF!)</f>
        <v>#REF!</v>
      </c>
      <c r="AL126" s="44" t="e">
        <f>-SUMIF(#REF!,$A126,#REF!)</f>
        <v>#REF!</v>
      </c>
      <c r="AM126" s="44" t="e">
        <f>-SUMIF(#REF!,$A126,#REF!)</f>
        <v>#REF!</v>
      </c>
      <c r="AN126" s="44" t="e">
        <f>-SUMIF(#REF!,$A126,#REF!)</f>
        <v>#REF!</v>
      </c>
      <c r="AO126" s="44" t="e">
        <f>-SUMIF(#REF!,$A126,#REF!)</f>
        <v>#REF!</v>
      </c>
    </row>
    <row r="127" spans="1:42" x14ac:dyDescent="0.25">
      <c r="A127" s="42">
        <v>220001</v>
      </c>
      <c r="B127" s="43" t="s">
        <v>904</v>
      </c>
      <c r="C127" s="44" t="e">
        <f t="shared" si="68"/>
        <v>#REF!</v>
      </c>
      <c r="D127" s="44" t="e">
        <f t="shared" si="69"/>
        <v>#REF!</v>
      </c>
      <c r="E127" s="44" t="e">
        <f t="shared" si="70"/>
        <v>#REF!</v>
      </c>
      <c r="F127" s="44" t="e">
        <f t="shared" si="71"/>
        <v>#REF!</v>
      </c>
      <c r="G127" s="44" t="e">
        <f t="shared" si="72"/>
        <v>#REF!</v>
      </c>
      <c r="H127" s="44" t="e">
        <f t="shared" si="73"/>
        <v>#REF!</v>
      </c>
      <c r="I127" s="44" t="e">
        <f t="shared" si="74"/>
        <v>#REF!</v>
      </c>
      <c r="J127" s="44" t="e">
        <f t="shared" si="75"/>
        <v>#REF!</v>
      </c>
      <c r="K127" s="44" t="e">
        <f t="shared" si="76"/>
        <v>#REF!</v>
      </c>
      <c r="L127" s="44" t="e">
        <f t="shared" si="77"/>
        <v>#REF!</v>
      </c>
      <c r="M127" s="44" t="e">
        <f t="shared" si="78"/>
        <v>#REF!</v>
      </c>
      <c r="N127" s="44">
        <f t="shared" si="79"/>
        <v>0</v>
      </c>
      <c r="Q127" s="44" t="e">
        <f>-SUMIF(#REF!,$A127,#REF!)</f>
        <v>#REF!</v>
      </c>
      <c r="R127" s="44">
        <f>-SUMIF(ALIF_Y2014!$A:$A,$A127,ALIF_Y2014!$F:$F)</f>
        <v>0</v>
      </c>
      <c r="S127" s="44">
        <f>-SUMIF(ALIF_Y2015!$A:$A,$A127,ALIF_Y2015!$F:$F)</f>
        <v>0</v>
      </c>
      <c r="T127" s="44">
        <f>-SUMIF(ALIF_Y2016!$A:$A,$A127,ALIF_Y2016!$F:$F)</f>
        <v>0</v>
      </c>
      <c r="U127" s="44">
        <f>-SUMIF(ALIF_Y2017!$A:$A,$A127,ALIF_Y2017!$F:$F)</f>
        <v>0</v>
      </c>
      <c r="V127" s="44">
        <f>-SUMIF(ALIF_Y2018!$A:$A,$A127,ALIF_Y2018!$F:$F)</f>
        <v>0</v>
      </c>
      <c r="W127" s="44">
        <f>-SUMIF(ALIF_Y2019!$A:$A,$A127,ALIF_Y2019!$F:$F)</f>
        <v>0</v>
      </c>
      <c r="X127" s="44">
        <f>-SUMIF(ALIF_Y2020!$A:$A,$A127,ALIF_Y2020!$F:$F)</f>
        <v>0</v>
      </c>
      <c r="Y127" s="44">
        <f>-SUMIF(ALIF_Y2021!$A:$A,$A127,ALIF_Y2021!$F:$F)</f>
        <v>0</v>
      </c>
      <c r="Z127" s="44">
        <f>-SUMIF(ALIF_Y2022!$A:$A,$A127,ALIF_Y2022!$F:$F)</f>
        <v>0</v>
      </c>
      <c r="AA127" s="44">
        <f>-SUMIF(ALIF_Y2023!$A:$A,$A127,ALIF_Y2023!$F:$F)</f>
        <v>0</v>
      </c>
      <c r="AE127" s="44" t="e">
        <f>-SUMIF(#REF!,$A127,#REF!)</f>
        <v>#REF!</v>
      </c>
      <c r="AF127" s="44" t="e">
        <f>-SUMIF(#REF!,$A127,#REF!)</f>
        <v>#REF!</v>
      </c>
      <c r="AG127" s="44" t="e">
        <f>-SUMIF(#REF!,$A127,#REF!)</f>
        <v>#REF!</v>
      </c>
      <c r="AH127" s="44" t="e">
        <f>-SUMIF(#REF!,$A127,#REF!)</f>
        <v>#REF!</v>
      </c>
      <c r="AI127" s="44" t="e">
        <f>-SUMIF(#REF!,$A127,#REF!)</f>
        <v>#REF!</v>
      </c>
      <c r="AJ127" s="44" t="e">
        <f>-SUMIF(#REF!,$A127,#REF!)</f>
        <v>#REF!</v>
      </c>
      <c r="AK127" s="44" t="e">
        <f>-SUMIF(#REF!,$A127,#REF!)</f>
        <v>#REF!</v>
      </c>
      <c r="AL127" s="44" t="e">
        <f>-SUMIF(#REF!,$A127,#REF!)</f>
        <v>#REF!</v>
      </c>
      <c r="AM127" s="44" t="e">
        <f>-SUMIF(#REF!,$A127,#REF!)</f>
        <v>#REF!</v>
      </c>
      <c r="AN127" s="44" t="e">
        <f>-SUMIF(#REF!,$A127,#REF!)</f>
        <v>#REF!</v>
      </c>
      <c r="AO127" s="44" t="e">
        <f>-SUMIF(#REF!,$A127,#REF!)</f>
        <v>#REF!</v>
      </c>
    </row>
    <row r="128" spans="1:42" x14ac:dyDescent="0.25">
      <c r="A128" s="42">
        <v>220002</v>
      </c>
      <c r="B128" s="43" t="s">
        <v>905</v>
      </c>
      <c r="C128" s="44" t="e">
        <f t="shared" si="68"/>
        <v>#REF!</v>
      </c>
      <c r="D128" s="44" t="e">
        <f t="shared" si="69"/>
        <v>#REF!</v>
      </c>
      <c r="E128" s="44" t="e">
        <f t="shared" si="70"/>
        <v>#REF!</v>
      </c>
      <c r="F128" s="44" t="e">
        <f t="shared" si="71"/>
        <v>#REF!</v>
      </c>
      <c r="G128" s="44" t="e">
        <f t="shared" si="72"/>
        <v>#REF!</v>
      </c>
      <c r="H128" s="44" t="e">
        <f t="shared" si="73"/>
        <v>#REF!</v>
      </c>
      <c r="I128" s="44" t="e">
        <f t="shared" si="74"/>
        <v>#REF!</v>
      </c>
      <c r="J128" s="44" t="e">
        <f t="shared" si="75"/>
        <v>#REF!</v>
      </c>
      <c r="K128" s="44" t="e">
        <f t="shared" si="76"/>
        <v>#REF!</v>
      </c>
      <c r="L128" s="44" t="e">
        <f t="shared" si="77"/>
        <v>#REF!</v>
      </c>
      <c r="M128" s="44" t="e">
        <f t="shared" si="78"/>
        <v>#REF!</v>
      </c>
      <c r="N128" s="44">
        <f t="shared" si="79"/>
        <v>0</v>
      </c>
      <c r="Q128" s="44" t="e">
        <f>-SUMIF(#REF!,$A128,#REF!)</f>
        <v>#REF!</v>
      </c>
      <c r="R128" s="44">
        <f>-SUMIF(ALIF_Y2014!$A:$A,$A128,ALIF_Y2014!$F:$F)</f>
        <v>15001098.75</v>
      </c>
      <c r="S128" s="44">
        <f>-SUMIF(ALIF_Y2015!$A:$A,$A128,ALIF_Y2015!$F:$F)</f>
        <v>3542909.64</v>
      </c>
      <c r="T128" s="44">
        <f>-SUMIF(ALIF_Y2016!$A:$A,$A128,ALIF_Y2016!$F:$F)</f>
        <v>4564727.9000000004</v>
      </c>
      <c r="U128" s="44">
        <f>-SUMIF(ALIF_Y2017!$A:$A,$A128,ALIF_Y2017!$F:$F)</f>
        <v>0</v>
      </c>
      <c r="V128" s="44">
        <f>-SUMIF(ALIF_Y2018!$A:$A,$A128,ALIF_Y2018!$F:$F)</f>
        <v>0</v>
      </c>
      <c r="W128" s="44">
        <f>-SUMIF(ALIF_Y2019!$A:$A,$A128,ALIF_Y2019!$F:$F)</f>
        <v>0</v>
      </c>
      <c r="X128" s="44">
        <f>-SUMIF(ALIF_Y2020!$A:$A,$A128,ALIF_Y2020!$F:$F)</f>
        <v>0</v>
      </c>
      <c r="Y128" s="44">
        <f>-SUMIF(ALIF_Y2021!$A:$A,$A128,ALIF_Y2021!$F:$F)</f>
        <v>0</v>
      </c>
      <c r="Z128" s="44">
        <f>-SUMIF(ALIF_Y2022!$A:$A,$A128,ALIF_Y2022!$F:$F)</f>
        <v>0</v>
      </c>
      <c r="AA128" s="44">
        <f>-SUMIF(ALIF_Y2023!$A:$A,$A128,ALIF_Y2023!$F:$F)</f>
        <v>0</v>
      </c>
      <c r="AE128" s="44" t="e">
        <f>-SUMIF(#REF!,$A128,#REF!)</f>
        <v>#REF!</v>
      </c>
      <c r="AF128" s="44" t="e">
        <f>-SUMIF(#REF!,$A128,#REF!)</f>
        <v>#REF!</v>
      </c>
      <c r="AG128" s="44" t="e">
        <f>-SUMIF(#REF!,$A128,#REF!)</f>
        <v>#REF!</v>
      </c>
      <c r="AH128" s="44" t="e">
        <f>-SUMIF(#REF!,$A128,#REF!)</f>
        <v>#REF!</v>
      </c>
      <c r="AI128" s="44" t="e">
        <f>-SUMIF(#REF!,$A128,#REF!)</f>
        <v>#REF!</v>
      </c>
      <c r="AJ128" s="44" t="e">
        <f>-SUMIF(#REF!,$A128,#REF!)</f>
        <v>#REF!</v>
      </c>
      <c r="AK128" s="44" t="e">
        <f>-SUMIF(#REF!,$A128,#REF!)</f>
        <v>#REF!</v>
      </c>
      <c r="AL128" s="44" t="e">
        <f>-SUMIF(#REF!,$A128,#REF!)</f>
        <v>#REF!</v>
      </c>
      <c r="AM128" s="44" t="e">
        <f>-SUMIF(#REF!,$A128,#REF!)</f>
        <v>#REF!</v>
      </c>
      <c r="AN128" s="44" t="e">
        <f>-SUMIF(#REF!,$A128,#REF!)</f>
        <v>#REF!</v>
      </c>
      <c r="AO128" s="44" t="e">
        <f>-SUMIF(#REF!,$A128,#REF!)</f>
        <v>#REF!</v>
      </c>
    </row>
    <row r="129" spans="1:42" x14ac:dyDescent="0.25">
      <c r="A129" s="42">
        <v>220003</v>
      </c>
      <c r="B129" s="43" t="s">
        <v>906</v>
      </c>
      <c r="C129" s="44" t="e">
        <f t="shared" si="68"/>
        <v>#REF!</v>
      </c>
      <c r="D129" s="44" t="e">
        <f t="shared" si="69"/>
        <v>#REF!</v>
      </c>
      <c r="E129" s="44" t="e">
        <f t="shared" si="70"/>
        <v>#REF!</v>
      </c>
      <c r="F129" s="44" t="e">
        <f t="shared" si="71"/>
        <v>#REF!</v>
      </c>
      <c r="G129" s="44" t="e">
        <f t="shared" si="72"/>
        <v>#REF!</v>
      </c>
      <c r="H129" s="44" t="e">
        <f t="shared" si="73"/>
        <v>#REF!</v>
      </c>
      <c r="I129" s="44" t="e">
        <f t="shared" si="74"/>
        <v>#REF!</v>
      </c>
      <c r="J129" s="44" t="e">
        <f t="shared" si="75"/>
        <v>#REF!</v>
      </c>
      <c r="K129" s="44" t="e">
        <f t="shared" si="76"/>
        <v>#REF!</v>
      </c>
      <c r="L129" s="44" t="e">
        <f t="shared" si="77"/>
        <v>#REF!</v>
      </c>
      <c r="M129" s="44" t="e">
        <f t="shared" si="78"/>
        <v>#REF!</v>
      </c>
      <c r="N129" s="44">
        <f t="shared" si="79"/>
        <v>0</v>
      </c>
      <c r="Q129" s="44" t="e">
        <f>-SUMIF(#REF!,$A129,#REF!)</f>
        <v>#REF!</v>
      </c>
      <c r="R129" s="44">
        <f>-SUMIF(ALIF_Y2014!$A:$A,$A129,ALIF_Y2014!$F:$F)</f>
        <v>0</v>
      </c>
      <c r="S129" s="44">
        <f>-SUMIF(ALIF_Y2015!$A:$A,$A129,ALIF_Y2015!$F:$F)</f>
        <v>0</v>
      </c>
      <c r="T129" s="44">
        <f>-SUMIF(ALIF_Y2016!$A:$A,$A129,ALIF_Y2016!$F:$F)</f>
        <v>0</v>
      </c>
      <c r="U129" s="44">
        <f>-SUMIF(ALIF_Y2017!$A:$A,$A129,ALIF_Y2017!$F:$F)</f>
        <v>0</v>
      </c>
      <c r="V129" s="44">
        <f>-SUMIF(ALIF_Y2018!$A:$A,$A129,ALIF_Y2018!$F:$F)</f>
        <v>0</v>
      </c>
      <c r="W129" s="44">
        <f>-SUMIF(ALIF_Y2019!$A:$A,$A129,ALIF_Y2019!$F:$F)</f>
        <v>0</v>
      </c>
      <c r="X129" s="44">
        <f>-SUMIF(ALIF_Y2020!$A:$A,$A129,ALIF_Y2020!$F:$F)</f>
        <v>0</v>
      </c>
      <c r="Y129" s="44">
        <f>-SUMIF(ALIF_Y2021!$A:$A,$A129,ALIF_Y2021!$F:$F)</f>
        <v>0</v>
      </c>
      <c r="Z129" s="44">
        <f>-SUMIF(ALIF_Y2022!$A:$A,$A129,ALIF_Y2022!$F:$F)</f>
        <v>0</v>
      </c>
      <c r="AA129" s="44">
        <f>-SUMIF(ALIF_Y2023!$A:$A,$A129,ALIF_Y2023!$F:$F)</f>
        <v>0</v>
      </c>
      <c r="AE129" s="44" t="e">
        <f>-SUMIF(#REF!,$A129,#REF!)</f>
        <v>#REF!</v>
      </c>
      <c r="AF129" s="44" t="e">
        <f>-SUMIF(#REF!,$A129,#REF!)</f>
        <v>#REF!</v>
      </c>
      <c r="AG129" s="44" t="e">
        <f>-SUMIF(#REF!,$A129,#REF!)</f>
        <v>#REF!</v>
      </c>
      <c r="AH129" s="44" t="e">
        <f>-SUMIF(#REF!,$A129,#REF!)</f>
        <v>#REF!</v>
      </c>
      <c r="AI129" s="44" t="e">
        <f>-SUMIF(#REF!,$A129,#REF!)</f>
        <v>#REF!</v>
      </c>
      <c r="AJ129" s="44" t="e">
        <f>-SUMIF(#REF!,$A129,#REF!)</f>
        <v>#REF!</v>
      </c>
      <c r="AK129" s="44" t="e">
        <f>-SUMIF(#REF!,$A129,#REF!)</f>
        <v>#REF!</v>
      </c>
      <c r="AL129" s="44" t="e">
        <f>-SUMIF(#REF!,$A129,#REF!)</f>
        <v>#REF!</v>
      </c>
      <c r="AM129" s="44" t="e">
        <f>-SUMIF(#REF!,$A129,#REF!)</f>
        <v>#REF!</v>
      </c>
      <c r="AN129" s="44" t="e">
        <f>-SUMIF(#REF!,$A129,#REF!)</f>
        <v>#REF!</v>
      </c>
      <c r="AO129" s="44" t="e">
        <f>-SUMIF(#REF!,$A129,#REF!)</f>
        <v>#REF!</v>
      </c>
    </row>
    <row r="130" spans="1:42" x14ac:dyDescent="0.25">
      <c r="A130" s="42">
        <v>220004</v>
      </c>
      <c r="B130" s="43" t="s">
        <v>907</v>
      </c>
      <c r="C130" s="44" t="e">
        <f t="shared" si="68"/>
        <v>#REF!</v>
      </c>
      <c r="D130" s="44" t="e">
        <f t="shared" si="69"/>
        <v>#REF!</v>
      </c>
      <c r="E130" s="44" t="e">
        <f t="shared" si="70"/>
        <v>#REF!</v>
      </c>
      <c r="F130" s="44" t="e">
        <f t="shared" si="71"/>
        <v>#REF!</v>
      </c>
      <c r="G130" s="44" t="e">
        <f t="shared" si="72"/>
        <v>#REF!</v>
      </c>
      <c r="H130" s="44" t="e">
        <f t="shared" si="73"/>
        <v>#REF!</v>
      </c>
      <c r="I130" s="44" t="e">
        <f t="shared" si="74"/>
        <v>#REF!</v>
      </c>
      <c r="J130" s="44" t="e">
        <f t="shared" si="75"/>
        <v>#REF!</v>
      </c>
      <c r="K130" s="44" t="e">
        <f t="shared" si="76"/>
        <v>#REF!</v>
      </c>
      <c r="L130" s="44" t="e">
        <f t="shared" si="77"/>
        <v>#REF!</v>
      </c>
      <c r="M130" s="44" t="e">
        <f t="shared" si="78"/>
        <v>#REF!</v>
      </c>
      <c r="N130" s="44">
        <f t="shared" si="79"/>
        <v>0</v>
      </c>
      <c r="Q130" s="44" t="e">
        <f>-SUMIF(#REF!,$A130,#REF!)</f>
        <v>#REF!</v>
      </c>
      <c r="R130" s="44">
        <f>-SUMIF(ALIF_Y2014!$A:$A,$A130,ALIF_Y2014!$F:$F)</f>
        <v>10194888.789999999</v>
      </c>
      <c r="S130" s="44">
        <f>-SUMIF(ALIF_Y2015!$A:$A,$A130,ALIF_Y2015!$F:$F)</f>
        <v>8628490.9989999998</v>
      </c>
      <c r="T130" s="44">
        <f>-SUMIF(ALIF_Y2016!$A:$A,$A130,ALIF_Y2016!$F:$F)</f>
        <v>21983731.100000001</v>
      </c>
      <c r="U130" s="44">
        <f>-SUMIF(ALIF_Y2017!$A:$A,$A130,ALIF_Y2017!$F:$F)</f>
        <v>0</v>
      </c>
      <c r="V130" s="44">
        <f>-SUMIF(ALIF_Y2018!$A:$A,$A130,ALIF_Y2018!$F:$F)</f>
        <v>42806538.75</v>
      </c>
      <c r="W130" s="44">
        <f>-SUMIF(ALIF_Y2019!$A:$A,$A130,ALIF_Y2019!$F:$F)</f>
        <v>8323255.0099999998</v>
      </c>
      <c r="X130" s="44">
        <f>-SUMIF(ALIF_Y2020!$A:$A,$A130,ALIF_Y2020!$F:$F)</f>
        <v>0</v>
      </c>
      <c r="Y130" s="44">
        <f>-SUMIF(ALIF_Y2021!$A:$A,$A130,ALIF_Y2021!$F:$F)</f>
        <v>34821818.277000003</v>
      </c>
      <c r="Z130" s="44">
        <f>-SUMIF(ALIF_Y2022!$A:$A,$A130,ALIF_Y2022!$F:$F)</f>
        <v>36611517.880999997</v>
      </c>
      <c r="AA130" s="44">
        <f>-SUMIF(ALIF_Y2023!$A:$A,$A130,ALIF_Y2023!$F:$F)</f>
        <v>25134408.640000001</v>
      </c>
      <c r="AE130" s="44" t="e">
        <f>-SUMIF(#REF!,$A130,#REF!)</f>
        <v>#REF!</v>
      </c>
      <c r="AF130" s="44" t="e">
        <f>-SUMIF(#REF!,$A130,#REF!)</f>
        <v>#REF!</v>
      </c>
      <c r="AG130" s="44" t="e">
        <f>-SUMIF(#REF!,$A130,#REF!)</f>
        <v>#REF!</v>
      </c>
      <c r="AH130" s="44" t="e">
        <f>-SUMIF(#REF!,$A130,#REF!)</f>
        <v>#REF!</v>
      </c>
      <c r="AI130" s="44" t="e">
        <f>-SUMIF(#REF!,$A130,#REF!)</f>
        <v>#REF!</v>
      </c>
      <c r="AJ130" s="44" t="e">
        <f>-SUMIF(#REF!,$A130,#REF!)</f>
        <v>#REF!</v>
      </c>
      <c r="AK130" s="44" t="e">
        <f>-SUMIF(#REF!,$A130,#REF!)</f>
        <v>#REF!</v>
      </c>
      <c r="AL130" s="44" t="e">
        <f>-SUMIF(#REF!,$A130,#REF!)</f>
        <v>#REF!</v>
      </c>
      <c r="AM130" s="44" t="e">
        <f>-SUMIF(#REF!,$A130,#REF!)</f>
        <v>#REF!</v>
      </c>
      <c r="AN130" s="44" t="e">
        <f>-SUMIF(#REF!,$A130,#REF!)</f>
        <v>#REF!</v>
      </c>
      <c r="AO130" s="44" t="e">
        <f>-SUMIF(#REF!,$A130,#REF!)</f>
        <v>#REF!</v>
      </c>
    </row>
    <row r="131" spans="1:42" x14ac:dyDescent="0.25">
      <c r="A131" s="42">
        <v>220005</v>
      </c>
      <c r="B131" s="43" t="s">
        <v>908</v>
      </c>
      <c r="C131" s="44" t="e">
        <f t="shared" si="68"/>
        <v>#REF!</v>
      </c>
      <c r="D131" s="44" t="e">
        <f t="shared" si="69"/>
        <v>#REF!</v>
      </c>
      <c r="E131" s="44" t="e">
        <f t="shared" si="70"/>
        <v>#REF!</v>
      </c>
      <c r="F131" s="44" t="e">
        <f t="shared" si="71"/>
        <v>#REF!</v>
      </c>
      <c r="G131" s="44" t="e">
        <f t="shared" si="72"/>
        <v>#REF!</v>
      </c>
      <c r="H131" s="44" t="e">
        <f t="shared" si="73"/>
        <v>#REF!</v>
      </c>
      <c r="I131" s="44" t="e">
        <f t="shared" si="74"/>
        <v>#REF!</v>
      </c>
      <c r="J131" s="44" t="e">
        <f t="shared" si="75"/>
        <v>#REF!</v>
      </c>
      <c r="K131" s="44" t="e">
        <f t="shared" si="76"/>
        <v>#REF!</v>
      </c>
      <c r="L131" s="44" t="e">
        <f t="shared" si="77"/>
        <v>#REF!</v>
      </c>
      <c r="M131" s="44" t="e">
        <f t="shared" si="78"/>
        <v>#REF!</v>
      </c>
      <c r="N131" s="44">
        <f t="shared" si="79"/>
        <v>0</v>
      </c>
      <c r="Q131" s="44" t="e">
        <f>-SUMIF(#REF!,$A131,#REF!)</f>
        <v>#REF!</v>
      </c>
      <c r="R131" s="44">
        <f>-SUMIF(ALIF_Y2014!$A:$A,$A131,ALIF_Y2014!$F:$F)</f>
        <v>0</v>
      </c>
      <c r="S131" s="44">
        <f>-SUMIF(ALIF_Y2015!$A:$A,$A131,ALIF_Y2015!$F:$F)</f>
        <v>0</v>
      </c>
      <c r="T131" s="44">
        <f>-SUMIF(ALIF_Y2016!$A:$A,$A131,ALIF_Y2016!$F:$F)</f>
        <v>0</v>
      </c>
      <c r="U131" s="44">
        <f>-SUMIF(ALIF_Y2017!$A:$A,$A131,ALIF_Y2017!$F:$F)</f>
        <v>0</v>
      </c>
      <c r="V131" s="44">
        <f>-SUMIF(ALIF_Y2018!$A:$A,$A131,ALIF_Y2018!$F:$F)</f>
        <v>19749145</v>
      </c>
      <c r="W131" s="44">
        <f>-SUMIF(ALIF_Y2019!$A:$A,$A131,ALIF_Y2019!$F:$F)</f>
        <v>24159339.420000002</v>
      </c>
      <c r="X131" s="44">
        <f>-SUMIF(ALIF_Y2020!$A:$A,$A131,ALIF_Y2020!$F:$F)</f>
        <v>23573959.894000001</v>
      </c>
      <c r="Y131" s="44">
        <f>-SUMIF(ALIF_Y2021!$A:$A,$A131,ALIF_Y2021!$F:$F)</f>
        <v>26738909.774</v>
      </c>
      <c r="Z131" s="44">
        <f>-SUMIF(ALIF_Y2022!$A:$A,$A131,ALIF_Y2022!$F:$F)</f>
        <v>59089378.502999999</v>
      </c>
      <c r="AA131" s="44">
        <f>-SUMIF(ALIF_Y2023!$A:$A,$A131,ALIF_Y2023!$F:$F)</f>
        <v>5385922.5</v>
      </c>
      <c r="AE131" s="44" t="e">
        <f>-SUMIF(#REF!,$A131,#REF!)</f>
        <v>#REF!</v>
      </c>
      <c r="AF131" s="44" t="e">
        <f>-SUMIF(#REF!,$A131,#REF!)</f>
        <v>#REF!</v>
      </c>
      <c r="AG131" s="44" t="e">
        <f>-SUMIF(#REF!,$A131,#REF!)</f>
        <v>#REF!</v>
      </c>
      <c r="AH131" s="44" t="e">
        <f>-SUMIF(#REF!,$A131,#REF!)</f>
        <v>#REF!</v>
      </c>
      <c r="AI131" s="44" t="e">
        <f>-SUMIF(#REF!,$A131,#REF!)</f>
        <v>#REF!</v>
      </c>
      <c r="AJ131" s="44" t="e">
        <f>-SUMIF(#REF!,$A131,#REF!)</f>
        <v>#REF!</v>
      </c>
      <c r="AK131" s="44" t="e">
        <f>-SUMIF(#REF!,$A131,#REF!)</f>
        <v>#REF!</v>
      </c>
      <c r="AL131" s="44" t="e">
        <f>-SUMIF(#REF!,$A131,#REF!)</f>
        <v>#REF!</v>
      </c>
      <c r="AM131" s="44" t="e">
        <f>-SUMIF(#REF!,$A131,#REF!)</f>
        <v>#REF!</v>
      </c>
      <c r="AN131" s="44" t="e">
        <f>-SUMIF(#REF!,$A131,#REF!)</f>
        <v>#REF!</v>
      </c>
      <c r="AO131" s="44" t="e">
        <f>-SUMIF(#REF!,$A131,#REF!)</f>
        <v>#REF!</v>
      </c>
    </row>
    <row r="132" spans="1:42" x14ac:dyDescent="0.25">
      <c r="A132" s="42">
        <v>220006</v>
      </c>
      <c r="B132" s="43" t="s">
        <v>909</v>
      </c>
      <c r="C132" s="44" t="e">
        <f t="shared" si="68"/>
        <v>#REF!</v>
      </c>
      <c r="D132" s="44" t="e">
        <f t="shared" si="69"/>
        <v>#REF!</v>
      </c>
      <c r="E132" s="44" t="e">
        <f t="shared" si="70"/>
        <v>#REF!</v>
      </c>
      <c r="F132" s="44" t="e">
        <f t="shared" si="71"/>
        <v>#REF!</v>
      </c>
      <c r="G132" s="44" t="e">
        <f t="shared" si="72"/>
        <v>#REF!</v>
      </c>
      <c r="H132" s="44" t="e">
        <f t="shared" si="73"/>
        <v>#REF!</v>
      </c>
      <c r="I132" s="44" t="e">
        <f t="shared" si="74"/>
        <v>#REF!</v>
      </c>
      <c r="J132" s="44" t="e">
        <f t="shared" si="75"/>
        <v>#REF!</v>
      </c>
      <c r="K132" s="44" t="e">
        <f t="shared" si="76"/>
        <v>#REF!</v>
      </c>
      <c r="L132" s="44" t="e">
        <f t="shared" si="77"/>
        <v>#REF!</v>
      </c>
      <c r="M132" s="44" t="e">
        <f t="shared" si="78"/>
        <v>#REF!</v>
      </c>
      <c r="N132" s="44">
        <f t="shared" si="79"/>
        <v>0</v>
      </c>
      <c r="Q132" s="44" t="e">
        <f>-SUMIF(#REF!,$A132,#REF!)</f>
        <v>#REF!</v>
      </c>
      <c r="R132" s="44">
        <f>-SUMIF(ALIF_Y2014!$A:$A,$A132,ALIF_Y2014!$F:$F)</f>
        <v>0</v>
      </c>
      <c r="S132" s="44">
        <f>-SUMIF(ALIF_Y2015!$A:$A,$A132,ALIF_Y2015!$F:$F)</f>
        <v>0</v>
      </c>
      <c r="T132" s="44">
        <f>-SUMIF(ALIF_Y2016!$A:$A,$A132,ALIF_Y2016!$F:$F)</f>
        <v>0</v>
      </c>
      <c r="U132" s="44">
        <f>-SUMIF(ALIF_Y2017!$A:$A,$A132,ALIF_Y2017!$F:$F)</f>
        <v>0</v>
      </c>
      <c r="V132" s="44">
        <f>-SUMIF(ALIF_Y2018!$A:$A,$A132,ALIF_Y2018!$F:$F)</f>
        <v>0</v>
      </c>
      <c r="W132" s="44">
        <f>-SUMIF(ALIF_Y2019!$A:$A,$A132,ALIF_Y2019!$F:$F)</f>
        <v>36223842.005999997</v>
      </c>
      <c r="X132" s="44">
        <f>-SUMIF(ALIF_Y2020!$A:$A,$A132,ALIF_Y2020!$F:$F)</f>
        <v>64499587.656000003</v>
      </c>
      <c r="Y132" s="44">
        <f>-SUMIF(ALIF_Y2021!$A:$A,$A132,ALIF_Y2021!$F:$F)</f>
        <v>31884129.958000001</v>
      </c>
      <c r="Z132" s="44">
        <f>-SUMIF(ALIF_Y2022!$A:$A,$A132,ALIF_Y2022!$F:$F)</f>
        <v>36069107.965999998</v>
      </c>
      <c r="AA132" s="44">
        <f>-SUMIF(ALIF_Y2023!$A:$A,$A132,ALIF_Y2023!$F:$F)</f>
        <v>55545535.424000002</v>
      </c>
      <c r="AE132" s="44" t="e">
        <f>-SUMIF(#REF!,$A132,#REF!)</f>
        <v>#REF!</v>
      </c>
      <c r="AF132" s="44" t="e">
        <f>-SUMIF(#REF!,$A132,#REF!)</f>
        <v>#REF!</v>
      </c>
      <c r="AG132" s="44" t="e">
        <f>-SUMIF(#REF!,$A132,#REF!)</f>
        <v>#REF!</v>
      </c>
      <c r="AH132" s="44" t="e">
        <f>-SUMIF(#REF!,$A132,#REF!)</f>
        <v>#REF!</v>
      </c>
      <c r="AI132" s="44" t="e">
        <f>-SUMIF(#REF!,$A132,#REF!)</f>
        <v>#REF!</v>
      </c>
      <c r="AJ132" s="44" t="e">
        <f>-SUMIF(#REF!,$A132,#REF!)</f>
        <v>#REF!</v>
      </c>
      <c r="AK132" s="44" t="e">
        <f>-SUMIF(#REF!,$A132,#REF!)</f>
        <v>#REF!</v>
      </c>
      <c r="AL132" s="44" t="e">
        <f>-SUMIF(#REF!,$A132,#REF!)</f>
        <v>#REF!</v>
      </c>
      <c r="AM132" s="44" t="e">
        <f>-SUMIF(#REF!,$A132,#REF!)</f>
        <v>#REF!</v>
      </c>
      <c r="AN132" s="44" t="e">
        <f>-SUMIF(#REF!,$A132,#REF!)</f>
        <v>#REF!</v>
      </c>
      <c r="AO132" s="44" t="e">
        <f>-SUMIF(#REF!,$A132,#REF!)</f>
        <v>#REF!</v>
      </c>
    </row>
    <row r="133" spans="1:42" x14ac:dyDescent="0.25">
      <c r="A133" s="42">
        <v>220007</v>
      </c>
      <c r="B133" s="43" t="s">
        <v>910</v>
      </c>
      <c r="C133" s="44" t="e">
        <f t="shared" si="68"/>
        <v>#REF!</v>
      </c>
      <c r="D133" s="44" t="e">
        <f t="shared" si="69"/>
        <v>#REF!</v>
      </c>
      <c r="E133" s="44" t="e">
        <f t="shared" si="70"/>
        <v>#REF!</v>
      </c>
      <c r="F133" s="44" t="e">
        <f t="shared" si="71"/>
        <v>#REF!</v>
      </c>
      <c r="G133" s="44" t="e">
        <f t="shared" si="72"/>
        <v>#REF!</v>
      </c>
      <c r="H133" s="44" t="e">
        <f t="shared" si="73"/>
        <v>#REF!</v>
      </c>
      <c r="I133" s="44" t="e">
        <f t="shared" si="74"/>
        <v>#REF!</v>
      </c>
      <c r="J133" s="44" t="e">
        <f t="shared" si="75"/>
        <v>#REF!</v>
      </c>
      <c r="K133" s="44" t="e">
        <f t="shared" si="76"/>
        <v>#REF!</v>
      </c>
      <c r="L133" s="44" t="e">
        <f t="shared" si="77"/>
        <v>#REF!</v>
      </c>
      <c r="M133" s="44" t="e">
        <f t="shared" si="78"/>
        <v>#REF!</v>
      </c>
      <c r="N133" s="44">
        <f t="shared" si="79"/>
        <v>0</v>
      </c>
      <c r="Q133" s="44" t="e">
        <f>-SUMIF(#REF!,$A133,#REF!)</f>
        <v>#REF!</v>
      </c>
      <c r="R133" s="44">
        <f>-SUMIF(ALIF_Y2014!$A:$A,$A133,ALIF_Y2014!$F:$F)</f>
        <v>0</v>
      </c>
      <c r="S133" s="44">
        <f>-SUMIF(ALIF_Y2015!$A:$A,$A133,ALIF_Y2015!$F:$F)</f>
        <v>0</v>
      </c>
      <c r="T133" s="44">
        <f>-SUMIF(ALIF_Y2016!$A:$A,$A133,ALIF_Y2016!$F:$F)</f>
        <v>0</v>
      </c>
      <c r="U133" s="44">
        <f>-SUMIF(ALIF_Y2017!$A:$A,$A133,ALIF_Y2017!$F:$F)</f>
        <v>0</v>
      </c>
      <c r="V133" s="44">
        <f>-SUMIF(ALIF_Y2018!$A:$A,$A133,ALIF_Y2018!$F:$F)</f>
        <v>0</v>
      </c>
      <c r="W133" s="44">
        <f>-SUMIF(ALIF_Y2019!$A:$A,$A133,ALIF_Y2019!$F:$F)</f>
        <v>0</v>
      </c>
      <c r="X133" s="44">
        <f>-SUMIF(ALIF_Y2020!$A:$A,$A133,ALIF_Y2020!$F:$F)</f>
        <v>0</v>
      </c>
      <c r="Y133" s="44">
        <f>-SUMIF(ALIF_Y2021!$A:$A,$A133,ALIF_Y2021!$F:$F)</f>
        <v>0</v>
      </c>
      <c r="Z133" s="44">
        <f>-SUMIF(ALIF_Y2022!$A:$A,$A133,ALIF_Y2022!$F:$F)</f>
        <v>0</v>
      </c>
      <c r="AA133" s="44">
        <f>-SUMIF(ALIF_Y2023!$A:$A,$A133,ALIF_Y2023!$F:$F)</f>
        <v>0</v>
      </c>
      <c r="AE133" s="44" t="e">
        <f>-SUMIF(#REF!,$A133,#REF!)</f>
        <v>#REF!</v>
      </c>
      <c r="AF133" s="44" t="e">
        <f>-SUMIF(#REF!,$A133,#REF!)</f>
        <v>#REF!</v>
      </c>
      <c r="AG133" s="44" t="e">
        <f>-SUMIF(#REF!,$A133,#REF!)</f>
        <v>#REF!</v>
      </c>
      <c r="AH133" s="44" t="e">
        <f>-SUMIF(#REF!,$A133,#REF!)</f>
        <v>#REF!</v>
      </c>
      <c r="AI133" s="44" t="e">
        <f>-SUMIF(#REF!,$A133,#REF!)</f>
        <v>#REF!</v>
      </c>
      <c r="AJ133" s="44" t="e">
        <f>-SUMIF(#REF!,$A133,#REF!)</f>
        <v>#REF!</v>
      </c>
      <c r="AK133" s="44" t="e">
        <f>-SUMIF(#REF!,$A133,#REF!)</f>
        <v>#REF!</v>
      </c>
      <c r="AL133" s="44" t="e">
        <f>-SUMIF(#REF!,$A133,#REF!)</f>
        <v>#REF!</v>
      </c>
      <c r="AM133" s="44" t="e">
        <f>-SUMIF(#REF!,$A133,#REF!)</f>
        <v>#REF!</v>
      </c>
      <c r="AN133" s="44" t="e">
        <f>-SUMIF(#REF!,$A133,#REF!)</f>
        <v>#REF!</v>
      </c>
      <c r="AO133" s="44" t="e">
        <f>-SUMIF(#REF!,$A133,#REF!)</f>
        <v>#REF!</v>
      </c>
    </row>
    <row r="134" spans="1:42" ht="7.9" customHeight="1" x14ac:dyDescent="0.25">
      <c r="C134" s="144"/>
      <c r="D134" s="144"/>
      <c r="E134" s="144"/>
      <c r="F134" s="144"/>
      <c r="G134" s="144"/>
      <c r="H134" s="144"/>
      <c r="I134" s="144"/>
      <c r="J134" s="144"/>
      <c r="K134" s="144"/>
      <c r="L134" s="144"/>
      <c r="M134" s="144"/>
      <c r="N134" s="144"/>
      <c r="Q134" s="144"/>
      <c r="R134" s="144"/>
      <c r="S134" s="144"/>
      <c r="T134" s="144"/>
      <c r="U134" s="144"/>
      <c r="V134" s="144"/>
      <c r="W134" s="144"/>
      <c r="X134" s="144"/>
      <c r="Y134" s="144"/>
      <c r="Z134" s="144"/>
      <c r="AA134" s="144"/>
      <c r="AB134" s="144"/>
      <c r="AE134" s="144"/>
      <c r="AF134" s="144"/>
      <c r="AG134" s="144"/>
      <c r="AH134" s="144"/>
      <c r="AI134" s="144"/>
      <c r="AJ134" s="144"/>
      <c r="AK134" s="144"/>
      <c r="AL134" s="144"/>
      <c r="AM134" s="144"/>
      <c r="AN134" s="144"/>
      <c r="AO134" s="144"/>
      <c r="AP134" s="144"/>
    </row>
    <row r="135" spans="1:42" x14ac:dyDescent="0.25">
      <c r="A135" s="41"/>
      <c r="C135" s="45" t="e">
        <f t="shared" ref="C135:N135" si="80">SUM(C122:C134)</f>
        <v>#REF!</v>
      </c>
      <c r="D135" s="45" t="e">
        <f t="shared" si="80"/>
        <v>#REF!</v>
      </c>
      <c r="E135" s="45" t="e">
        <f t="shared" si="80"/>
        <v>#REF!</v>
      </c>
      <c r="F135" s="45" t="e">
        <f t="shared" si="80"/>
        <v>#REF!</v>
      </c>
      <c r="G135" s="45" t="e">
        <f t="shared" si="80"/>
        <v>#REF!</v>
      </c>
      <c r="H135" s="45" t="e">
        <f t="shared" si="80"/>
        <v>#REF!</v>
      </c>
      <c r="I135" s="45" t="e">
        <f t="shared" si="80"/>
        <v>#REF!</v>
      </c>
      <c r="J135" s="45" t="e">
        <f t="shared" si="80"/>
        <v>#REF!</v>
      </c>
      <c r="K135" s="45" t="e">
        <f t="shared" si="80"/>
        <v>#REF!</v>
      </c>
      <c r="L135" s="45" t="e">
        <f t="shared" si="80"/>
        <v>#REF!</v>
      </c>
      <c r="M135" s="45" t="e">
        <f t="shared" si="80"/>
        <v>#REF!</v>
      </c>
      <c r="N135" s="45">
        <f t="shared" si="80"/>
        <v>0</v>
      </c>
      <c r="Q135" s="45" t="e">
        <f t="shared" ref="Q135:AB135" si="81">SUM(Q122:Q134)</f>
        <v>#REF!</v>
      </c>
      <c r="R135" s="45">
        <f t="shared" si="81"/>
        <v>24897662.395</v>
      </c>
      <c r="S135" s="45">
        <f t="shared" si="81"/>
        <v>11975998.512</v>
      </c>
      <c r="T135" s="45">
        <f t="shared" si="81"/>
        <v>26152571.23</v>
      </c>
      <c r="U135" s="45">
        <f t="shared" si="81"/>
        <v>0</v>
      </c>
      <c r="V135" s="45">
        <f t="shared" si="81"/>
        <v>60835098.295000002</v>
      </c>
      <c r="W135" s="45">
        <f t="shared" si="81"/>
        <v>67558356.840000004</v>
      </c>
      <c r="X135" s="45">
        <f t="shared" si="81"/>
        <v>87069638.245000005</v>
      </c>
      <c r="Y135" s="45">
        <f t="shared" si="81"/>
        <v>93444858.009000003</v>
      </c>
      <c r="Z135" s="45">
        <f t="shared" si="81"/>
        <v>129181162.92999998</v>
      </c>
      <c r="AA135" s="45">
        <f t="shared" si="81"/>
        <v>83699243.261999995</v>
      </c>
      <c r="AB135" s="45">
        <f t="shared" si="81"/>
        <v>0</v>
      </c>
      <c r="AE135" s="45" t="e">
        <f t="shared" ref="AE135:AO135" si="82">SUM(AE122:AE134)</f>
        <v>#REF!</v>
      </c>
      <c r="AF135" s="45" t="e">
        <f t="shared" si="82"/>
        <v>#REF!</v>
      </c>
      <c r="AG135" s="45" t="e">
        <f t="shared" si="82"/>
        <v>#REF!</v>
      </c>
      <c r="AH135" s="45" t="e">
        <f t="shared" si="82"/>
        <v>#REF!</v>
      </c>
      <c r="AI135" s="45" t="e">
        <f t="shared" si="82"/>
        <v>#REF!</v>
      </c>
      <c r="AJ135" s="45" t="e">
        <f t="shared" si="82"/>
        <v>#REF!</v>
      </c>
      <c r="AK135" s="45" t="e">
        <f t="shared" si="82"/>
        <v>#REF!</v>
      </c>
      <c r="AL135" s="45" t="e">
        <f t="shared" si="82"/>
        <v>#REF!</v>
      </c>
      <c r="AM135" s="45" t="e">
        <f t="shared" si="82"/>
        <v>#REF!</v>
      </c>
      <c r="AN135" s="45" t="e">
        <f t="shared" si="82"/>
        <v>#REF!</v>
      </c>
      <c r="AO135" s="45" t="e">
        <f t="shared" si="82"/>
        <v>#REF!</v>
      </c>
    </row>
    <row r="136" spans="1:42" x14ac:dyDescent="0.25">
      <c r="A136" s="41"/>
      <c r="Q136" s="45"/>
      <c r="R136" s="45"/>
      <c r="S136" s="45"/>
      <c r="T136" s="45"/>
      <c r="U136" s="45"/>
      <c r="V136" s="45"/>
      <c r="W136" s="45"/>
      <c r="X136" s="45"/>
      <c r="Y136" s="45"/>
      <c r="Z136" s="45"/>
      <c r="AA136" s="45"/>
      <c r="AB136" s="45"/>
      <c r="AE136" s="45"/>
      <c r="AF136" s="45"/>
      <c r="AG136" s="45"/>
      <c r="AH136" s="45"/>
      <c r="AI136" s="45"/>
      <c r="AJ136" s="45"/>
      <c r="AK136" s="45"/>
      <c r="AL136" s="45"/>
      <c r="AM136" s="45"/>
      <c r="AN136" s="45"/>
      <c r="AO136" s="45"/>
    </row>
    <row r="137" spans="1:42" x14ac:dyDescent="0.25">
      <c r="A137" s="41" t="s">
        <v>1331</v>
      </c>
      <c r="Q137" s="45"/>
      <c r="R137" s="45"/>
      <c r="S137" s="45"/>
      <c r="T137" s="45"/>
      <c r="U137" s="45"/>
      <c r="V137" s="45"/>
      <c r="W137" s="45"/>
      <c r="X137" s="45"/>
      <c r="Y137" s="45"/>
      <c r="Z137" s="45"/>
      <c r="AA137" s="45"/>
      <c r="AB137" s="45"/>
      <c r="AE137" s="45"/>
      <c r="AF137" s="45"/>
      <c r="AG137" s="45"/>
      <c r="AH137" s="45"/>
      <c r="AI137" s="45"/>
      <c r="AJ137" s="45"/>
      <c r="AK137" s="45"/>
      <c r="AL137" s="45"/>
      <c r="AM137" s="45"/>
      <c r="AN137" s="45"/>
      <c r="AO137" s="45"/>
    </row>
    <row r="138" spans="1:42" x14ac:dyDescent="0.25">
      <c r="A138" s="42">
        <v>210001</v>
      </c>
      <c r="B138" s="43" t="s">
        <v>902</v>
      </c>
      <c r="C138" s="44" t="e">
        <f t="shared" ref="C138:C151" si="83">Q138+AE138</f>
        <v>#REF!</v>
      </c>
      <c r="D138" s="44" t="e">
        <f t="shared" ref="D138:D151" si="84">R138+AF138</f>
        <v>#REF!</v>
      </c>
      <c r="E138" s="44" t="e">
        <f t="shared" ref="E138:E151" si="85">S138+AG138</f>
        <v>#REF!</v>
      </c>
      <c r="F138" s="44" t="e">
        <f t="shared" ref="F138:F151" si="86">T138+AH138</f>
        <v>#REF!</v>
      </c>
      <c r="G138" s="44" t="e">
        <f t="shared" ref="G138:G151" si="87">U138+AI138</f>
        <v>#REF!</v>
      </c>
      <c r="H138" s="44" t="e">
        <f t="shared" ref="H138:H151" si="88">V138+AJ138</f>
        <v>#REF!</v>
      </c>
      <c r="I138" s="44" t="e">
        <f t="shared" ref="I138:I151" si="89">W138+AK138</f>
        <v>#REF!</v>
      </c>
      <c r="J138" s="44" t="e">
        <f t="shared" ref="J138:J151" si="90">X138+AL138</f>
        <v>#REF!</v>
      </c>
      <c r="K138" s="44" t="e">
        <f t="shared" ref="K138:K151" si="91">Y138+AM138</f>
        <v>#REF!</v>
      </c>
      <c r="L138" s="44" t="e">
        <f t="shared" ref="L138:L151" si="92">Z138+AN138</f>
        <v>#REF!</v>
      </c>
      <c r="M138" s="44" t="e">
        <f t="shared" ref="M138:M151" si="93">AA138+AO138</f>
        <v>#REF!</v>
      </c>
      <c r="N138" s="44">
        <f t="shared" ref="N138:N151" si="94">AB138+AP138</f>
        <v>0</v>
      </c>
      <c r="Q138" s="44" t="e">
        <f>-SUMIF(#REF!,$A138,#REF!)</f>
        <v>#REF!</v>
      </c>
      <c r="R138" s="44">
        <f>-SUMIF(ALIF_Y2014!$A:$A,$A138,ALIF_Y2014!$F:$F)</f>
        <v>3017763.09</v>
      </c>
      <c r="S138" s="44">
        <f>-SUMIF(ALIF_Y2015!$A:$A,$A138,ALIF_Y2015!$F:$F)</f>
        <v>2844799.6</v>
      </c>
      <c r="T138" s="44">
        <f>-SUMIF(ALIF_Y2016!$A:$A,$A138,ALIF_Y2016!$F:$F)</f>
        <v>3400740.0929999999</v>
      </c>
      <c r="U138" s="44">
        <f>-SUMIF(ALIF_Y2017!$A:$A,$A138,ALIF_Y2017!$F:$F)</f>
        <v>3405415.5739999991</v>
      </c>
      <c r="V138" s="44">
        <f>-SUMIF(ALIF_Y2018!$A:$A,$A138,ALIF_Y2018!$F:$F)</f>
        <v>7673560.5650000004</v>
      </c>
      <c r="W138" s="44">
        <f>-SUMIF(ALIF_Y2019!$A:$A,$A138,ALIF_Y2019!$F:$F)</f>
        <v>4083556.966</v>
      </c>
      <c r="X138" s="44">
        <f>-SUMIF(ALIF_Y2020!$A:$A,$A138,ALIF_Y2020!$F:$F)</f>
        <v>1587370.8970000001</v>
      </c>
      <c r="Y138" s="44">
        <f>-SUMIF(ALIF_Y2021!$A:$A,$A138,ALIF_Y2021!$F:$F)</f>
        <v>-1991955.5389999999</v>
      </c>
      <c r="Z138" s="44">
        <f>-SUMIF(ALIF_Y2022!$A:$A,$A138,ALIF_Y2022!$F:$F)</f>
        <v>-327947.576</v>
      </c>
      <c r="AA138" s="44">
        <f>-SUMIF(ALIF_Y2023!$A:$A,$A138,ALIF_Y2023!$F:$F)</f>
        <v>3341656.193</v>
      </c>
      <c r="AE138" s="44" t="e">
        <f>-SUMIF(#REF!,$A138,#REF!)</f>
        <v>#REF!</v>
      </c>
      <c r="AF138" s="44" t="e">
        <f>-SUMIF(#REF!,$A138,#REF!)</f>
        <v>#REF!</v>
      </c>
      <c r="AG138" s="44" t="e">
        <f>-SUMIF(#REF!,$A138,#REF!)</f>
        <v>#REF!</v>
      </c>
      <c r="AH138" s="44" t="e">
        <f>-SUMIF(#REF!,$A138,#REF!)</f>
        <v>#REF!</v>
      </c>
      <c r="AI138" s="44" t="e">
        <f>-SUMIF(#REF!,$A138,#REF!)</f>
        <v>#REF!</v>
      </c>
      <c r="AJ138" s="44" t="e">
        <f>-SUMIF(#REF!,$A138,#REF!)</f>
        <v>#REF!</v>
      </c>
      <c r="AK138" s="44" t="e">
        <f>-SUMIF(#REF!,$A138,#REF!)</f>
        <v>#REF!</v>
      </c>
      <c r="AL138" s="44" t="e">
        <f>-SUMIF(#REF!,$A138,#REF!)</f>
        <v>#REF!</v>
      </c>
      <c r="AM138" s="44" t="e">
        <f>-SUMIF(#REF!,$A138,#REF!)</f>
        <v>#REF!</v>
      </c>
      <c r="AN138" s="44" t="e">
        <f>-SUMIF(#REF!,$A138,#REF!)</f>
        <v>#REF!</v>
      </c>
      <c r="AO138" s="44" t="e">
        <f>-SUMIF(#REF!,$A138,#REF!)</f>
        <v>#REF!</v>
      </c>
    </row>
    <row r="139" spans="1:42" x14ac:dyDescent="0.25">
      <c r="A139" s="42">
        <v>210002</v>
      </c>
      <c r="B139" s="43" t="s">
        <v>903</v>
      </c>
      <c r="C139" s="44" t="e">
        <f t="shared" si="83"/>
        <v>#REF!</v>
      </c>
      <c r="D139" s="44" t="e">
        <f t="shared" si="84"/>
        <v>#REF!</v>
      </c>
      <c r="E139" s="44" t="e">
        <f t="shared" si="85"/>
        <v>#REF!</v>
      </c>
      <c r="F139" s="44" t="e">
        <f t="shared" si="86"/>
        <v>#REF!</v>
      </c>
      <c r="G139" s="44" t="e">
        <f t="shared" si="87"/>
        <v>#REF!</v>
      </c>
      <c r="H139" s="44" t="e">
        <f t="shared" si="88"/>
        <v>#REF!</v>
      </c>
      <c r="I139" s="44" t="e">
        <f t="shared" si="89"/>
        <v>#REF!</v>
      </c>
      <c r="J139" s="44" t="e">
        <f t="shared" si="90"/>
        <v>#REF!</v>
      </c>
      <c r="K139" s="44" t="e">
        <f t="shared" si="91"/>
        <v>#REF!</v>
      </c>
      <c r="L139" s="44" t="e">
        <f t="shared" si="92"/>
        <v>#REF!</v>
      </c>
      <c r="M139" s="44" t="e">
        <f t="shared" si="93"/>
        <v>#REF!</v>
      </c>
      <c r="N139" s="44">
        <f t="shared" si="94"/>
        <v>0</v>
      </c>
      <c r="Q139" s="44" t="e">
        <f>-SUMIF(#REF!,$A139,#REF!)</f>
        <v>#REF!</v>
      </c>
      <c r="R139" s="44">
        <f>-SUMIF(ALIF_Y2014!$A:$A,$A139,ALIF_Y2014!$F:$F)</f>
        <v>-1910502.09</v>
      </c>
      <c r="S139" s="44">
        <f>-SUMIF(ALIF_Y2015!$A:$A,$A139,ALIF_Y2015!$F:$F)</f>
        <v>3155366.4</v>
      </c>
      <c r="T139" s="44">
        <f>-SUMIF(ALIF_Y2016!$A:$A,$A139,ALIF_Y2016!$F:$F)</f>
        <v>1993720.899</v>
      </c>
      <c r="U139" s="44">
        <f>-SUMIF(ALIF_Y2017!$A:$A,$A139,ALIF_Y2017!$F:$F)</f>
        <v>3454413.4240000001</v>
      </c>
      <c r="V139" s="44">
        <f>-SUMIF(ALIF_Y2018!$A:$A,$A139,ALIF_Y2018!$F:$F)</f>
        <v>3502984.73</v>
      </c>
      <c r="W139" s="44">
        <f>-SUMIF(ALIF_Y2019!$A:$A,$A139,ALIF_Y2019!$F:$F)</f>
        <v>4136245.906</v>
      </c>
      <c r="X139" s="44">
        <f>-SUMIF(ALIF_Y2020!$A:$A,$A139,ALIF_Y2020!$F:$F)</f>
        <v>6187965.9749999996</v>
      </c>
      <c r="Y139" s="44">
        <f>-SUMIF(ALIF_Y2021!$A:$A,$A139,ALIF_Y2021!$F:$F)</f>
        <v>3053002.9160000002</v>
      </c>
      <c r="Z139" s="44">
        <f>-SUMIF(ALIF_Y2022!$A:$A,$A139,ALIF_Y2022!$F:$F)</f>
        <v>5604504.5329999998</v>
      </c>
      <c r="AA139" s="44">
        <f>-SUMIF(ALIF_Y2023!$A:$A,$A139,ALIF_Y2023!$F:$F)</f>
        <v>2233341.199</v>
      </c>
      <c r="AE139" s="44" t="e">
        <f>-SUMIF(#REF!,$A139,#REF!)</f>
        <v>#REF!</v>
      </c>
      <c r="AF139" s="44" t="e">
        <f>-SUMIF(#REF!,$A139,#REF!)</f>
        <v>#REF!</v>
      </c>
      <c r="AG139" s="44" t="e">
        <f>-SUMIF(#REF!,$A139,#REF!)</f>
        <v>#REF!</v>
      </c>
      <c r="AH139" s="44" t="e">
        <f>-SUMIF(#REF!,$A139,#REF!)</f>
        <v>#REF!</v>
      </c>
      <c r="AI139" s="44" t="e">
        <f>-SUMIF(#REF!,$A139,#REF!)</f>
        <v>#REF!</v>
      </c>
      <c r="AJ139" s="44" t="e">
        <f>-SUMIF(#REF!,$A139,#REF!)</f>
        <v>#REF!</v>
      </c>
      <c r="AK139" s="44" t="e">
        <f>-SUMIF(#REF!,$A139,#REF!)</f>
        <v>#REF!</v>
      </c>
      <c r="AL139" s="44" t="e">
        <f>-SUMIF(#REF!,$A139,#REF!)</f>
        <v>#REF!</v>
      </c>
      <c r="AM139" s="44" t="e">
        <f>-SUMIF(#REF!,$A139,#REF!)</f>
        <v>#REF!</v>
      </c>
      <c r="AN139" s="44" t="e">
        <f>-SUMIF(#REF!,$A139,#REF!)</f>
        <v>#REF!</v>
      </c>
      <c r="AO139" s="44" t="e">
        <f>-SUMIF(#REF!,$A139,#REF!)</f>
        <v>#REF!</v>
      </c>
    </row>
    <row r="140" spans="1:42" x14ac:dyDescent="0.25">
      <c r="A140" s="42">
        <v>230001</v>
      </c>
      <c r="B140" s="43" t="s">
        <v>911</v>
      </c>
      <c r="C140" s="44" t="e">
        <f t="shared" si="83"/>
        <v>#REF!</v>
      </c>
      <c r="D140" s="44" t="e">
        <f t="shared" si="84"/>
        <v>#REF!</v>
      </c>
      <c r="E140" s="44" t="e">
        <f t="shared" si="85"/>
        <v>#REF!</v>
      </c>
      <c r="F140" s="44" t="e">
        <f t="shared" si="86"/>
        <v>#REF!</v>
      </c>
      <c r="G140" s="44" t="e">
        <f t="shared" si="87"/>
        <v>#REF!</v>
      </c>
      <c r="H140" s="44" t="e">
        <f t="shared" si="88"/>
        <v>#REF!</v>
      </c>
      <c r="I140" s="44" t="e">
        <f t="shared" si="89"/>
        <v>#REF!</v>
      </c>
      <c r="J140" s="44" t="e">
        <f t="shared" si="90"/>
        <v>#REF!</v>
      </c>
      <c r="K140" s="44" t="e">
        <f t="shared" si="91"/>
        <v>#REF!</v>
      </c>
      <c r="L140" s="44" t="e">
        <f t="shared" si="92"/>
        <v>#REF!</v>
      </c>
      <c r="M140" s="44" t="e">
        <f t="shared" si="93"/>
        <v>#REF!</v>
      </c>
      <c r="N140" s="44">
        <f t="shared" si="94"/>
        <v>0</v>
      </c>
      <c r="Q140" s="44" t="e">
        <f>-SUMIF(#REF!,$A140,#REF!)</f>
        <v>#REF!</v>
      </c>
      <c r="R140" s="44">
        <f>-SUMIF(ALIF_Y2014!$A:$A,$A140,ALIF_Y2014!$F:$F)</f>
        <v>0</v>
      </c>
      <c r="S140" s="44">
        <f>-SUMIF(ALIF_Y2015!$A:$A,$A140,ALIF_Y2015!$F:$F)</f>
        <v>0</v>
      </c>
      <c r="T140" s="44">
        <f>-SUMIF(ALIF_Y2016!$A:$A,$A140,ALIF_Y2016!$F:$F)</f>
        <v>2E-3</v>
      </c>
      <c r="U140" s="44">
        <f>-SUMIF(ALIF_Y2017!$A:$A,$A140,ALIF_Y2017!$F:$F)</f>
        <v>0</v>
      </c>
      <c r="V140" s="44">
        <f>-SUMIF(ALIF_Y2018!$A:$A,$A140,ALIF_Y2018!$F:$F)</f>
        <v>0</v>
      </c>
      <c r="W140" s="44">
        <f>-SUMIF(ALIF_Y2019!$A:$A,$A140,ALIF_Y2019!$F:$F)</f>
        <v>-518372.10499999998</v>
      </c>
      <c r="X140" s="44">
        <f>-SUMIF(ALIF_Y2020!$A:$A,$A140,ALIF_Y2020!$F:$F)</f>
        <v>0</v>
      </c>
      <c r="Y140" s="44">
        <f>-SUMIF(ALIF_Y2021!$A:$A,$A140,ALIF_Y2021!$F:$F)</f>
        <v>0</v>
      </c>
      <c r="Z140" s="44">
        <f>-SUMIF(ALIF_Y2022!$A:$A,$A140,ALIF_Y2022!$F:$F)</f>
        <v>0</v>
      </c>
      <c r="AA140" s="44">
        <f>-SUMIF(ALIF_Y2023!$A:$A,$A140,ALIF_Y2023!$F:$F)</f>
        <v>0</v>
      </c>
      <c r="AE140" s="44" t="e">
        <f>-SUMIF(#REF!,$A140,#REF!)</f>
        <v>#REF!</v>
      </c>
      <c r="AF140" s="44" t="e">
        <f>-SUMIF(#REF!,$A140,#REF!)</f>
        <v>#REF!</v>
      </c>
      <c r="AG140" s="44" t="e">
        <f>-SUMIF(#REF!,$A140,#REF!)</f>
        <v>#REF!</v>
      </c>
      <c r="AH140" s="44" t="e">
        <f>-SUMIF(#REF!,$A140,#REF!)</f>
        <v>#REF!</v>
      </c>
      <c r="AI140" s="44" t="e">
        <f>-SUMIF(#REF!,$A140,#REF!)</f>
        <v>#REF!</v>
      </c>
      <c r="AJ140" s="44" t="e">
        <f>-SUMIF(#REF!,$A140,#REF!)</f>
        <v>#REF!</v>
      </c>
      <c r="AK140" s="44" t="e">
        <f>-SUMIF(#REF!,$A140,#REF!)</f>
        <v>#REF!</v>
      </c>
      <c r="AL140" s="44" t="e">
        <f>-SUMIF(#REF!,$A140,#REF!)</f>
        <v>#REF!</v>
      </c>
      <c r="AM140" s="44" t="e">
        <f>-SUMIF(#REF!,$A140,#REF!)</f>
        <v>#REF!</v>
      </c>
      <c r="AN140" s="44" t="e">
        <f>-SUMIF(#REF!,$A140,#REF!)</f>
        <v>#REF!</v>
      </c>
      <c r="AO140" s="44" t="e">
        <f>-SUMIF(#REF!,$A140,#REF!)</f>
        <v>#REF!</v>
      </c>
    </row>
    <row r="141" spans="1:42" x14ac:dyDescent="0.25">
      <c r="A141" s="42">
        <v>240001</v>
      </c>
      <c r="B141" s="43" t="s">
        <v>912</v>
      </c>
      <c r="C141" s="44" t="e">
        <f t="shared" si="83"/>
        <v>#REF!</v>
      </c>
      <c r="D141" s="44" t="e">
        <f t="shared" si="84"/>
        <v>#REF!</v>
      </c>
      <c r="E141" s="44" t="e">
        <f t="shared" si="85"/>
        <v>#REF!</v>
      </c>
      <c r="F141" s="44" t="e">
        <f t="shared" si="86"/>
        <v>#REF!</v>
      </c>
      <c r="G141" s="44" t="e">
        <f t="shared" si="87"/>
        <v>#REF!</v>
      </c>
      <c r="H141" s="44" t="e">
        <f t="shared" si="88"/>
        <v>#REF!</v>
      </c>
      <c r="I141" s="44" t="e">
        <f t="shared" si="89"/>
        <v>#REF!</v>
      </c>
      <c r="J141" s="44" t="e">
        <f t="shared" si="90"/>
        <v>#REF!</v>
      </c>
      <c r="K141" s="44" t="e">
        <f t="shared" si="91"/>
        <v>#REF!</v>
      </c>
      <c r="L141" s="44" t="e">
        <f t="shared" si="92"/>
        <v>#REF!</v>
      </c>
      <c r="M141" s="44" t="e">
        <f t="shared" si="93"/>
        <v>#REF!</v>
      </c>
      <c r="N141" s="44">
        <f t="shared" si="94"/>
        <v>0</v>
      </c>
      <c r="Q141" s="44" t="e">
        <f>-SUMIF(#REF!,$A141,#REF!)</f>
        <v>#REF!</v>
      </c>
      <c r="R141" s="44">
        <f>-SUMIF(ALIF_Y2014!$A:$A,$A141,ALIF_Y2014!$F:$F)</f>
        <v>-4.0000000000000001E-3</v>
      </c>
      <c r="S141" s="44">
        <f>-SUMIF(ALIF_Y2015!$A:$A,$A141,ALIF_Y2015!$F:$F)</f>
        <v>0</v>
      </c>
      <c r="T141" s="44">
        <f>-SUMIF(ALIF_Y2016!$A:$A,$A141,ALIF_Y2016!$F:$F)</f>
        <v>6.0000000000000001E-3</v>
      </c>
      <c r="U141" s="44">
        <f>-SUMIF(ALIF_Y2017!$A:$A,$A141,ALIF_Y2017!$F:$F)</f>
        <v>0</v>
      </c>
      <c r="V141" s="44">
        <f>-SUMIF(ALIF_Y2018!$A:$A,$A141,ALIF_Y2018!$F:$F)</f>
        <v>0</v>
      </c>
      <c r="W141" s="44">
        <f>-SUMIF(ALIF_Y2019!$A:$A,$A141,ALIF_Y2019!$F:$F)</f>
        <v>-3.0000000000000001E-3</v>
      </c>
      <c r="X141" s="44">
        <f>-SUMIF(ALIF_Y2020!$A:$A,$A141,ALIF_Y2020!$F:$F)</f>
        <v>0</v>
      </c>
      <c r="Y141" s="44">
        <f>-SUMIF(ALIF_Y2021!$A:$A,$A141,ALIF_Y2021!$F:$F)</f>
        <v>0</v>
      </c>
      <c r="Z141" s="44">
        <f>-SUMIF(ALIF_Y2022!$A:$A,$A141,ALIF_Y2022!$F:$F)</f>
        <v>0</v>
      </c>
      <c r="AA141" s="44">
        <f>-SUMIF(ALIF_Y2023!$A:$A,$A141,ALIF_Y2023!$F:$F)</f>
        <v>-67499.61</v>
      </c>
      <c r="AE141" s="44" t="e">
        <f>-SUMIF(#REF!,$A141,#REF!)</f>
        <v>#REF!</v>
      </c>
      <c r="AF141" s="44" t="e">
        <f>-SUMIF(#REF!,$A141,#REF!)</f>
        <v>#REF!</v>
      </c>
      <c r="AG141" s="44" t="e">
        <f>-SUMIF(#REF!,$A141,#REF!)</f>
        <v>#REF!</v>
      </c>
      <c r="AH141" s="44" t="e">
        <f>-SUMIF(#REF!,$A141,#REF!)</f>
        <v>#REF!</v>
      </c>
      <c r="AI141" s="44" t="e">
        <f>-SUMIF(#REF!,$A141,#REF!)</f>
        <v>#REF!</v>
      </c>
      <c r="AJ141" s="44" t="e">
        <f>-SUMIF(#REF!,$A141,#REF!)</f>
        <v>#REF!</v>
      </c>
      <c r="AK141" s="44" t="e">
        <f>-SUMIF(#REF!,$A141,#REF!)</f>
        <v>#REF!</v>
      </c>
      <c r="AL141" s="44" t="e">
        <f>-SUMIF(#REF!,$A141,#REF!)</f>
        <v>#REF!</v>
      </c>
      <c r="AM141" s="44" t="e">
        <f>-SUMIF(#REF!,$A141,#REF!)</f>
        <v>#REF!</v>
      </c>
      <c r="AN141" s="44" t="e">
        <f>-SUMIF(#REF!,$A141,#REF!)</f>
        <v>#REF!</v>
      </c>
      <c r="AO141" s="44" t="e">
        <f>-SUMIF(#REF!,$A141,#REF!)</f>
        <v>#REF!</v>
      </c>
    </row>
    <row r="142" spans="1:42" x14ac:dyDescent="0.25">
      <c r="A142" s="42">
        <v>240002</v>
      </c>
      <c r="B142" s="43" t="s">
        <v>913</v>
      </c>
      <c r="C142" s="44" t="e">
        <f t="shared" si="83"/>
        <v>#REF!</v>
      </c>
      <c r="D142" s="44" t="e">
        <f t="shared" si="84"/>
        <v>#REF!</v>
      </c>
      <c r="E142" s="44" t="e">
        <f t="shared" si="85"/>
        <v>#REF!</v>
      </c>
      <c r="F142" s="44" t="e">
        <f t="shared" si="86"/>
        <v>#REF!</v>
      </c>
      <c r="G142" s="44" t="e">
        <f t="shared" si="87"/>
        <v>#REF!</v>
      </c>
      <c r="H142" s="44" t="e">
        <f t="shared" si="88"/>
        <v>#REF!</v>
      </c>
      <c r="I142" s="44" t="e">
        <f t="shared" si="89"/>
        <v>#REF!</v>
      </c>
      <c r="J142" s="44" t="e">
        <f t="shared" si="90"/>
        <v>#REF!</v>
      </c>
      <c r="K142" s="44" t="e">
        <f t="shared" si="91"/>
        <v>#REF!</v>
      </c>
      <c r="L142" s="44" t="e">
        <f t="shared" si="92"/>
        <v>#REF!</v>
      </c>
      <c r="M142" s="44" t="e">
        <f t="shared" si="93"/>
        <v>#REF!</v>
      </c>
      <c r="N142" s="44">
        <f t="shared" si="94"/>
        <v>0</v>
      </c>
      <c r="Q142" s="44" t="e">
        <f>-SUMIF(#REF!,$A142,#REF!)</f>
        <v>#REF!</v>
      </c>
      <c r="R142" s="44">
        <f>-SUMIF(ALIF_Y2014!$A:$A,$A142,ALIF_Y2014!$F:$F)</f>
        <v>0</v>
      </c>
      <c r="S142" s="44">
        <f>-SUMIF(ALIF_Y2015!$A:$A,$A142,ALIF_Y2015!$F:$F)</f>
        <v>-648727</v>
      </c>
      <c r="T142" s="44">
        <f>-SUMIF(ALIF_Y2016!$A:$A,$A142,ALIF_Y2016!$F:$F)</f>
        <v>0</v>
      </c>
      <c r="U142" s="44">
        <f>-SUMIF(ALIF_Y2017!$A:$A,$A142,ALIF_Y2017!$F:$F)</f>
        <v>0</v>
      </c>
      <c r="V142" s="44">
        <f>-SUMIF(ALIF_Y2018!$A:$A,$A142,ALIF_Y2018!$F:$F)</f>
        <v>-845508</v>
      </c>
      <c r="W142" s="44">
        <f>-SUMIF(ALIF_Y2019!$A:$A,$A142,ALIF_Y2019!$F:$F)</f>
        <v>0</v>
      </c>
      <c r="X142" s="44">
        <f>-SUMIF(ALIF_Y2020!$A:$A,$A142,ALIF_Y2020!$F:$F)</f>
        <v>0</v>
      </c>
      <c r="Y142" s="44">
        <f>-SUMIF(ALIF_Y2021!$A:$A,$A142,ALIF_Y2021!$F:$F)</f>
        <v>0</v>
      </c>
      <c r="Z142" s="44">
        <f>-SUMIF(ALIF_Y2022!$A:$A,$A142,ALIF_Y2022!$F:$F)</f>
        <v>0</v>
      </c>
      <c r="AA142" s="44">
        <f>-SUMIF(ALIF_Y2023!$A:$A,$A142,ALIF_Y2023!$F:$F)</f>
        <v>0</v>
      </c>
      <c r="AE142" s="44" t="e">
        <f>-SUMIF(#REF!,$A142,#REF!)</f>
        <v>#REF!</v>
      </c>
      <c r="AF142" s="44" t="e">
        <f>-SUMIF(#REF!,$A142,#REF!)</f>
        <v>#REF!</v>
      </c>
      <c r="AG142" s="44" t="e">
        <f>-SUMIF(#REF!,$A142,#REF!)</f>
        <v>#REF!</v>
      </c>
      <c r="AH142" s="44" t="e">
        <f>-SUMIF(#REF!,$A142,#REF!)</f>
        <v>#REF!</v>
      </c>
      <c r="AI142" s="44" t="e">
        <f>-SUMIF(#REF!,$A142,#REF!)</f>
        <v>#REF!</v>
      </c>
      <c r="AJ142" s="44" t="e">
        <f>-SUMIF(#REF!,$A142,#REF!)</f>
        <v>#REF!</v>
      </c>
      <c r="AK142" s="44" t="e">
        <f>-SUMIF(#REF!,$A142,#REF!)</f>
        <v>#REF!</v>
      </c>
      <c r="AL142" s="44" t="e">
        <f>-SUMIF(#REF!,$A142,#REF!)</f>
        <v>#REF!</v>
      </c>
      <c r="AM142" s="44" t="e">
        <f>-SUMIF(#REF!,$A142,#REF!)</f>
        <v>#REF!</v>
      </c>
      <c r="AN142" s="44" t="e">
        <f>-SUMIF(#REF!,$A142,#REF!)</f>
        <v>#REF!</v>
      </c>
      <c r="AO142" s="44" t="e">
        <f>-SUMIF(#REF!,$A142,#REF!)</f>
        <v>#REF!</v>
      </c>
    </row>
    <row r="143" spans="1:42" x14ac:dyDescent="0.25">
      <c r="A143" s="42">
        <v>250001</v>
      </c>
      <c r="B143" s="43" t="s">
        <v>915</v>
      </c>
      <c r="C143" s="44" t="e">
        <f t="shared" si="83"/>
        <v>#REF!</v>
      </c>
      <c r="D143" s="44" t="e">
        <f t="shared" si="84"/>
        <v>#REF!</v>
      </c>
      <c r="E143" s="44" t="e">
        <f t="shared" si="85"/>
        <v>#REF!</v>
      </c>
      <c r="F143" s="44" t="e">
        <f t="shared" si="86"/>
        <v>#REF!</v>
      </c>
      <c r="G143" s="44" t="e">
        <f t="shared" si="87"/>
        <v>#REF!</v>
      </c>
      <c r="H143" s="44" t="e">
        <f t="shared" si="88"/>
        <v>#REF!</v>
      </c>
      <c r="I143" s="44" t="e">
        <f t="shared" si="89"/>
        <v>#REF!</v>
      </c>
      <c r="J143" s="44" t="e">
        <f t="shared" si="90"/>
        <v>#REF!</v>
      </c>
      <c r="K143" s="44" t="e">
        <f t="shared" si="91"/>
        <v>#REF!</v>
      </c>
      <c r="L143" s="44" t="e">
        <f t="shared" si="92"/>
        <v>#REF!</v>
      </c>
      <c r="M143" s="44" t="e">
        <f t="shared" si="93"/>
        <v>#REF!</v>
      </c>
      <c r="N143" s="44">
        <f t="shared" si="94"/>
        <v>0</v>
      </c>
      <c r="Q143" s="44" t="e">
        <f>-SUMIF(#REF!,$A143,#REF!)</f>
        <v>#REF!</v>
      </c>
      <c r="R143" s="44">
        <f>-SUMIF(ALIF_Y2014!$A:$A,$A143,ALIF_Y2014!$F:$F)</f>
        <v>0</v>
      </c>
      <c r="S143" s="44">
        <f>-SUMIF(ALIF_Y2015!$A:$A,$A143,ALIF_Y2015!$F:$F)</f>
        <v>0</v>
      </c>
      <c r="T143" s="44">
        <f>-SUMIF(ALIF_Y2016!$A:$A,$A143,ALIF_Y2016!$F:$F)</f>
        <v>0</v>
      </c>
      <c r="U143" s="44">
        <f>-SUMIF(ALIF_Y2017!$A:$A,$A143,ALIF_Y2017!$F:$F)</f>
        <v>0</v>
      </c>
      <c r="V143" s="44">
        <f>-SUMIF(ALIF_Y2018!$A:$A,$A143,ALIF_Y2018!$F:$F)</f>
        <v>0</v>
      </c>
      <c r="W143" s="44">
        <f>-SUMIF(ALIF_Y2019!$A:$A,$A143,ALIF_Y2019!$F:$F)</f>
        <v>0</v>
      </c>
      <c r="X143" s="44">
        <f>-SUMIF(ALIF_Y2020!$A:$A,$A143,ALIF_Y2020!$F:$F)</f>
        <v>0</v>
      </c>
      <c r="Y143" s="44">
        <f>-SUMIF(ALIF_Y2021!$A:$A,$A143,ALIF_Y2021!$F:$F)</f>
        <v>0</v>
      </c>
      <c r="Z143" s="44">
        <f>-SUMIF(ALIF_Y2022!$A:$A,$A143,ALIF_Y2022!$F:$F)</f>
        <v>0</v>
      </c>
      <c r="AA143" s="44">
        <f>-SUMIF(ALIF_Y2023!$A:$A,$A143,ALIF_Y2023!$F:$F)</f>
        <v>0</v>
      </c>
      <c r="AE143" s="44" t="e">
        <f>-SUMIF(#REF!,$A143,#REF!)</f>
        <v>#REF!</v>
      </c>
      <c r="AF143" s="44" t="e">
        <f>-SUMIF(#REF!,$A143,#REF!)</f>
        <v>#REF!</v>
      </c>
      <c r="AG143" s="44" t="e">
        <f>-SUMIF(#REF!,$A143,#REF!)</f>
        <v>#REF!</v>
      </c>
      <c r="AH143" s="44" t="e">
        <f>-SUMIF(#REF!,$A143,#REF!)</f>
        <v>#REF!</v>
      </c>
      <c r="AI143" s="44" t="e">
        <f>-SUMIF(#REF!,$A143,#REF!)</f>
        <v>#REF!</v>
      </c>
      <c r="AJ143" s="44" t="e">
        <f>-SUMIF(#REF!,$A143,#REF!)</f>
        <v>#REF!</v>
      </c>
      <c r="AK143" s="44" t="e">
        <f>-SUMIF(#REF!,$A143,#REF!)</f>
        <v>#REF!</v>
      </c>
      <c r="AL143" s="44" t="e">
        <f>-SUMIF(#REF!,$A143,#REF!)</f>
        <v>#REF!</v>
      </c>
      <c r="AM143" s="44" t="e">
        <f>-SUMIF(#REF!,$A143,#REF!)</f>
        <v>#REF!</v>
      </c>
      <c r="AN143" s="44" t="e">
        <f>-SUMIF(#REF!,$A143,#REF!)</f>
        <v>#REF!</v>
      </c>
      <c r="AO143" s="44" t="e">
        <f>-SUMIF(#REF!,$A143,#REF!)</f>
        <v>#REF!</v>
      </c>
    </row>
    <row r="144" spans="1:42" x14ac:dyDescent="0.25">
      <c r="A144" s="42">
        <v>250002</v>
      </c>
      <c r="B144" s="43" t="s">
        <v>916</v>
      </c>
      <c r="C144" s="44" t="e">
        <f t="shared" si="83"/>
        <v>#REF!</v>
      </c>
      <c r="D144" s="44" t="e">
        <f t="shared" si="84"/>
        <v>#REF!</v>
      </c>
      <c r="E144" s="44" t="e">
        <f t="shared" si="85"/>
        <v>#REF!</v>
      </c>
      <c r="F144" s="44" t="e">
        <f t="shared" si="86"/>
        <v>#REF!</v>
      </c>
      <c r="G144" s="44" t="e">
        <f t="shared" si="87"/>
        <v>#REF!</v>
      </c>
      <c r="H144" s="44" t="e">
        <f t="shared" si="88"/>
        <v>#REF!</v>
      </c>
      <c r="I144" s="44" t="e">
        <f t="shared" si="89"/>
        <v>#REF!</v>
      </c>
      <c r="J144" s="44" t="e">
        <f t="shared" si="90"/>
        <v>#REF!</v>
      </c>
      <c r="K144" s="44" t="e">
        <f t="shared" si="91"/>
        <v>#REF!</v>
      </c>
      <c r="L144" s="44" t="e">
        <f t="shared" si="92"/>
        <v>#REF!</v>
      </c>
      <c r="M144" s="44" t="e">
        <f t="shared" si="93"/>
        <v>#REF!</v>
      </c>
      <c r="N144" s="44">
        <f t="shared" si="94"/>
        <v>0</v>
      </c>
      <c r="Q144" s="44" t="e">
        <f>-SUMIF(#REF!,$A144,#REF!)</f>
        <v>#REF!</v>
      </c>
      <c r="R144" s="44">
        <f>-SUMIF(ALIF_Y2014!$A:$A,$A144,ALIF_Y2014!$F:$F)</f>
        <v>150000</v>
      </c>
      <c r="S144" s="44">
        <f>-SUMIF(ALIF_Y2015!$A:$A,$A144,ALIF_Y2015!$F:$F)</f>
        <v>150000</v>
      </c>
      <c r="T144" s="44">
        <f>-SUMIF(ALIF_Y2016!$A:$A,$A144,ALIF_Y2016!$F:$F)</f>
        <v>0</v>
      </c>
      <c r="U144" s="44">
        <f>-SUMIF(ALIF_Y2017!$A:$A,$A144,ALIF_Y2017!$F:$F)</f>
        <v>0</v>
      </c>
      <c r="V144" s="44">
        <f>-SUMIF(ALIF_Y2018!$A:$A,$A144,ALIF_Y2018!$F:$F)</f>
        <v>0</v>
      </c>
      <c r="W144" s="44">
        <f>-SUMIF(ALIF_Y2019!$A:$A,$A144,ALIF_Y2019!$F:$F)</f>
        <v>0</v>
      </c>
      <c r="X144" s="44">
        <f>-SUMIF(ALIF_Y2020!$A:$A,$A144,ALIF_Y2020!$F:$F)</f>
        <v>0</v>
      </c>
      <c r="Y144" s="44">
        <f>-SUMIF(ALIF_Y2021!$A:$A,$A144,ALIF_Y2021!$F:$F)</f>
        <v>0</v>
      </c>
      <c r="Z144" s="44">
        <f>-SUMIF(ALIF_Y2022!$A:$A,$A144,ALIF_Y2022!$F:$F)</f>
        <v>0</v>
      </c>
      <c r="AA144" s="44">
        <f>-SUMIF(ALIF_Y2023!$A:$A,$A144,ALIF_Y2023!$F:$F)</f>
        <v>0</v>
      </c>
      <c r="AE144" s="44" t="e">
        <f>-SUMIF(#REF!,$A144,#REF!)</f>
        <v>#REF!</v>
      </c>
      <c r="AF144" s="44" t="e">
        <f>-SUMIF(#REF!,$A144,#REF!)</f>
        <v>#REF!</v>
      </c>
      <c r="AG144" s="44" t="e">
        <f>-SUMIF(#REF!,$A144,#REF!)</f>
        <v>#REF!</v>
      </c>
      <c r="AH144" s="44" t="e">
        <f>-SUMIF(#REF!,$A144,#REF!)</f>
        <v>#REF!</v>
      </c>
      <c r="AI144" s="44" t="e">
        <f>-SUMIF(#REF!,$A144,#REF!)</f>
        <v>#REF!</v>
      </c>
      <c r="AJ144" s="44" t="e">
        <f>-SUMIF(#REF!,$A144,#REF!)</f>
        <v>#REF!</v>
      </c>
      <c r="AK144" s="44" t="e">
        <f>-SUMIF(#REF!,$A144,#REF!)</f>
        <v>#REF!</v>
      </c>
      <c r="AL144" s="44" t="e">
        <f>-SUMIF(#REF!,$A144,#REF!)</f>
        <v>#REF!</v>
      </c>
      <c r="AM144" s="44" t="e">
        <f>-SUMIF(#REF!,$A144,#REF!)</f>
        <v>#REF!</v>
      </c>
      <c r="AN144" s="44" t="e">
        <f>-SUMIF(#REF!,$A144,#REF!)</f>
        <v>#REF!</v>
      </c>
      <c r="AO144" s="44" t="e">
        <f>-SUMIF(#REF!,$A144,#REF!)</f>
        <v>#REF!</v>
      </c>
    </row>
    <row r="145" spans="1:42" x14ac:dyDescent="0.25">
      <c r="A145" s="42">
        <v>250004</v>
      </c>
      <c r="B145" s="43" t="s">
        <v>918</v>
      </c>
      <c r="C145" s="44" t="e">
        <f t="shared" si="83"/>
        <v>#REF!</v>
      </c>
      <c r="D145" s="44" t="e">
        <f t="shared" si="84"/>
        <v>#REF!</v>
      </c>
      <c r="E145" s="44" t="e">
        <f t="shared" si="85"/>
        <v>#REF!</v>
      </c>
      <c r="F145" s="44" t="e">
        <f t="shared" si="86"/>
        <v>#REF!</v>
      </c>
      <c r="G145" s="44" t="e">
        <f t="shared" si="87"/>
        <v>#REF!</v>
      </c>
      <c r="H145" s="44" t="e">
        <f t="shared" si="88"/>
        <v>#REF!</v>
      </c>
      <c r="I145" s="44" t="e">
        <f t="shared" si="89"/>
        <v>#REF!</v>
      </c>
      <c r="J145" s="44" t="e">
        <f t="shared" si="90"/>
        <v>#REF!</v>
      </c>
      <c r="K145" s="44" t="e">
        <f t="shared" si="91"/>
        <v>#REF!</v>
      </c>
      <c r="L145" s="44" t="e">
        <f t="shared" si="92"/>
        <v>#REF!</v>
      </c>
      <c r="M145" s="44" t="e">
        <f t="shared" si="93"/>
        <v>#REF!</v>
      </c>
      <c r="N145" s="44">
        <f t="shared" si="94"/>
        <v>0</v>
      </c>
      <c r="Q145" s="44" t="e">
        <f>-SUMIF(#REF!,$A145,#REF!)</f>
        <v>#REF!</v>
      </c>
      <c r="R145" s="44">
        <f>-SUMIF(ALIF_Y2014!$A:$A,$A145,ALIF_Y2014!$F:$F)</f>
        <v>1200000</v>
      </c>
      <c r="S145" s="44">
        <f>-SUMIF(ALIF_Y2015!$A:$A,$A145,ALIF_Y2015!$F:$F)</f>
        <v>720000</v>
      </c>
      <c r="T145" s="44">
        <f>-SUMIF(ALIF_Y2016!$A:$A,$A145,ALIF_Y2016!$F:$F)</f>
        <v>0</v>
      </c>
      <c r="U145" s="44">
        <f>-SUMIF(ALIF_Y2017!$A:$A,$A145,ALIF_Y2017!$F:$F)</f>
        <v>0</v>
      </c>
      <c r="V145" s="44">
        <f>-SUMIF(ALIF_Y2018!$A:$A,$A145,ALIF_Y2018!$F:$F)</f>
        <v>0</v>
      </c>
      <c r="W145" s="44">
        <f>-SUMIF(ALIF_Y2019!$A:$A,$A145,ALIF_Y2019!$F:$F)</f>
        <v>0</v>
      </c>
      <c r="X145" s="44">
        <f>-SUMIF(ALIF_Y2020!$A:$A,$A145,ALIF_Y2020!$F:$F)</f>
        <v>0</v>
      </c>
      <c r="Y145" s="44">
        <f>-SUMIF(ALIF_Y2021!$A:$A,$A145,ALIF_Y2021!$F:$F)</f>
        <v>1108800</v>
      </c>
      <c r="Z145" s="44">
        <f>-SUMIF(ALIF_Y2022!$A:$A,$A145,ALIF_Y2022!$F:$F)</f>
        <v>0</v>
      </c>
      <c r="AA145" s="44">
        <f>-SUMIF(ALIF_Y2023!$A:$A,$A145,ALIF_Y2023!$F:$F)</f>
        <v>0</v>
      </c>
      <c r="AE145" s="44" t="e">
        <f>-SUMIF(#REF!,$A145,#REF!)</f>
        <v>#REF!</v>
      </c>
      <c r="AF145" s="44" t="e">
        <f>-SUMIF(#REF!,$A145,#REF!)</f>
        <v>#REF!</v>
      </c>
      <c r="AG145" s="44" t="e">
        <f>-SUMIF(#REF!,$A145,#REF!)</f>
        <v>#REF!</v>
      </c>
      <c r="AH145" s="44" t="e">
        <f>-SUMIF(#REF!,$A145,#REF!)</f>
        <v>#REF!</v>
      </c>
      <c r="AI145" s="44" t="e">
        <f>-SUMIF(#REF!,$A145,#REF!)</f>
        <v>#REF!</v>
      </c>
      <c r="AJ145" s="44" t="e">
        <f>-SUMIF(#REF!,$A145,#REF!)</f>
        <v>#REF!</v>
      </c>
      <c r="AK145" s="44" t="e">
        <f>-SUMIF(#REF!,$A145,#REF!)</f>
        <v>#REF!</v>
      </c>
      <c r="AL145" s="44" t="e">
        <f>-SUMIF(#REF!,$A145,#REF!)</f>
        <v>#REF!</v>
      </c>
      <c r="AM145" s="44" t="e">
        <f>-SUMIF(#REF!,$A145,#REF!)</f>
        <v>#REF!</v>
      </c>
      <c r="AN145" s="44" t="e">
        <f>-SUMIF(#REF!,$A145,#REF!)</f>
        <v>#REF!</v>
      </c>
      <c r="AO145" s="44" t="e">
        <f>-SUMIF(#REF!,$A145,#REF!)</f>
        <v>#REF!</v>
      </c>
    </row>
    <row r="146" spans="1:42" x14ac:dyDescent="0.25">
      <c r="A146" s="42">
        <v>250005</v>
      </c>
      <c r="B146" s="43" t="s">
        <v>919</v>
      </c>
      <c r="C146" s="44" t="e">
        <f t="shared" si="83"/>
        <v>#REF!</v>
      </c>
      <c r="D146" s="44" t="e">
        <f t="shared" si="84"/>
        <v>#REF!</v>
      </c>
      <c r="E146" s="44" t="e">
        <f t="shared" si="85"/>
        <v>#REF!</v>
      </c>
      <c r="F146" s="44" t="e">
        <f t="shared" si="86"/>
        <v>#REF!</v>
      </c>
      <c r="G146" s="44" t="e">
        <f t="shared" si="87"/>
        <v>#REF!</v>
      </c>
      <c r="H146" s="44" t="e">
        <f t="shared" si="88"/>
        <v>#REF!</v>
      </c>
      <c r="I146" s="44" t="e">
        <f t="shared" si="89"/>
        <v>#REF!</v>
      </c>
      <c r="J146" s="44" t="e">
        <f t="shared" si="90"/>
        <v>#REF!</v>
      </c>
      <c r="K146" s="44" t="e">
        <f t="shared" si="91"/>
        <v>#REF!</v>
      </c>
      <c r="L146" s="44" t="e">
        <f t="shared" si="92"/>
        <v>#REF!</v>
      </c>
      <c r="M146" s="44" t="e">
        <f t="shared" si="93"/>
        <v>#REF!</v>
      </c>
      <c r="N146" s="44">
        <f t="shared" si="94"/>
        <v>0</v>
      </c>
      <c r="Q146" s="44" t="e">
        <f>-SUMIF(#REF!,$A146,#REF!)</f>
        <v>#REF!</v>
      </c>
      <c r="R146" s="44">
        <f>-SUMIF(ALIF_Y2014!$A:$A,$A146,ALIF_Y2014!$F:$F)</f>
        <v>50000</v>
      </c>
      <c r="S146" s="44">
        <f>-SUMIF(ALIF_Y2015!$A:$A,$A146,ALIF_Y2015!$F:$F)</f>
        <v>62000</v>
      </c>
      <c r="T146" s="44">
        <f>-SUMIF(ALIF_Y2016!$A:$A,$A146,ALIF_Y2016!$F:$F)</f>
        <v>50000</v>
      </c>
      <c r="U146" s="44">
        <f>-SUMIF(ALIF_Y2017!$A:$A,$A146,ALIF_Y2017!$F:$F)</f>
        <v>55000</v>
      </c>
      <c r="V146" s="44">
        <f>-SUMIF(ALIF_Y2018!$A:$A,$A146,ALIF_Y2018!$F:$F)</f>
        <v>118000</v>
      </c>
      <c r="W146" s="44">
        <f>-SUMIF(ALIF_Y2019!$A:$A,$A146,ALIF_Y2019!$F:$F)</f>
        <v>66150</v>
      </c>
      <c r="X146" s="44">
        <f>-SUMIF(ALIF_Y2020!$A:$A,$A146,ALIF_Y2020!$F:$F)</f>
        <v>28500</v>
      </c>
      <c r="Y146" s="44">
        <f>-SUMIF(ALIF_Y2021!$A:$A,$A146,ALIF_Y2021!$F:$F)</f>
        <v>2673047.75</v>
      </c>
      <c r="Z146" s="44">
        <f>-SUMIF(ALIF_Y2022!$A:$A,$A146,ALIF_Y2022!$F:$F)</f>
        <v>0</v>
      </c>
      <c r="AA146" s="44">
        <f>-SUMIF(ALIF_Y2023!$A:$A,$A146,ALIF_Y2023!$F:$F)</f>
        <v>0</v>
      </c>
      <c r="AE146" s="44" t="e">
        <f>-SUMIF(#REF!,$A146,#REF!)</f>
        <v>#REF!</v>
      </c>
      <c r="AF146" s="44" t="e">
        <f>-SUMIF(#REF!,$A146,#REF!)</f>
        <v>#REF!</v>
      </c>
      <c r="AG146" s="44" t="e">
        <f>-SUMIF(#REF!,$A146,#REF!)</f>
        <v>#REF!</v>
      </c>
      <c r="AH146" s="44" t="e">
        <f>-SUMIF(#REF!,$A146,#REF!)</f>
        <v>#REF!</v>
      </c>
      <c r="AI146" s="44" t="e">
        <f>-SUMIF(#REF!,$A146,#REF!)</f>
        <v>#REF!</v>
      </c>
      <c r="AJ146" s="44" t="e">
        <f>-SUMIF(#REF!,$A146,#REF!)</f>
        <v>#REF!</v>
      </c>
      <c r="AK146" s="44" t="e">
        <f>-SUMIF(#REF!,$A146,#REF!)</f>
        <v>#REF!</v>
      </c>
      <c r="AL146" s="44" t="e">
        <f>-SUMIF(#REF!,$A146,#REF!)</f>
        <v>#REF!</v>
      </c>
      <c r="AM146" s="44" t="e">
        <f>-SUMIF(#REF!,$A146,#REF!)</f>
        <v>#REF!</v>
      </c>
      <c r="AN146" s="44" t="e">
        <f>-SUMIF(#REF!,$A146,#REF!)</f>
        <v>#REF!</v>
      </c>
      <c r="AO146" s="44" t="e">
        <f>-SUMIF(#REF!,$A146,#REF!)</f>
        <v>#REF!</v>
      </c>
    </row>
    <row r="147" spans="1:42" x14ac:dyDescent="0.25">
      <c r="A147" s="42">
        <v>250006</v>
      </c>
      <c r="B147" s="43" t="s">
        <v>920</v>
      </c>
      <c r="C147" s="44" t="e">
        <f t="shared" si="83"/>
        <v>#REF!</v>
      </c>
      <c r="D147" s="44" t="e">
        <f t="shared" si="84"/>
        <v>#REF!</v>
      </c>
      <c r="E147" s="44" t="e">
        <f t="shared" si="85"/>
        <v>#REF!</v>
      </c>
      <c r="F147" s="44" t="e">
        <f t="shared" si="86"/>
        <v>#REF!</v>
      </c>
      <c r="G147" s="44" t="e">
        <f t="shared" si="87"/>
        <v>#REF!</v>
      </c>
      <c r="H147" s="44" t="e">
        <f t="shared" si="88"/>
        <v>#REF!</v>
      </c>
      <c r="I147" s="44" t="e">
        <f t="shared" si="89"/>
        <v>#REF!</v>
      </c>
      <c r="J147" s="44" t="e">
        <f t="shared" si="90"/>
        <v>#REF!</v>
      </c>
      <c r="K147" s="44" t="e">
        <f t="shared" si="91"/>
        <v>#REF!</v>
      </c>
      <c r="L147" s="44" t="e">
        <f t="shared" si="92"/>
        <v>#REF!</v>
      </c>
      <c r="M147" s="44" t="e">
        <f t="shared" si="93"/>
        <v>#REF!</v>
      </c>
      <c r="N147" s="44">
        <f t="shared" si="94"/>
        <v>0</v>
      </c>
      <c r="Q147" s="44" t="e">
        <f>-SUMIF(#REF!,$A147,#REF!)</f>
        <v>#REF!</v>
      </c>
      <c r="R147" s="44">
        <f>-SUMIF(ALIF_Y2014!$A:$A,$A147,ALIF_Y2014!$F:$F)</f>
        <v>0</v>
      </c>
      <c r="S147" s="44">
        <f>-SUMIF(ALIF_Y2015!$A:$A,$A147,ALIF_Y2015!$F:$F)</f>
        <v>0</v>
      </c>
      <c r="T147" s="44">
        <f>-SUMIF(ALIF_Y2016!$A:$A,$A147,ALIF_Y2016!$F:$F)</f>
        <v>0</v>
      </c>
      <c r="U147" s="44">
        <f>-SUMIF(ALIF_Y2017!$A:$A,$A147,ALIF_Y2017!$F:$F)</f>
        <v>0</v>
      </c>
      <c r="V147" s="44">
        <f>-SUMIF(ALIF_Y2018!$A:$A,$A147,ALIF_Y2018!$F:$F)</f>
        <v>0</v>
      </c>
      <c r="W147" s="44">
        <f>-SUMIF(ALIF_Y2019!$A:$A,$A147,ALIF_Y2019!$F:$F)</f>
        <v>0</v>
      </c>
      <c r="X147" s="44">
        <f>-SUMIF(ALIF_Y2020!$A:$A,$A147,ALIF_Y2020!$F:$F)</f>
        <v>388008.67</v>
      </c>
      <c r="Y147" s="44">
        <f>-SUMIF(ALIF_Y2021!$A:$A,$A147,ALIF_Y2021!$F:$F)</f>
        <v>449149.70500000002</v>
      </c>
      <c r="Z147" s="44">
        <f>-SUMIF(ALIF_Y2022!$A:$A,$A147,ALIF_Y2022!$F:$F)</f>
        <v>0</v>
      </c>
      <c r="AA147" s="44">
        <f>-SUMIF(ALIF_Y2023!$A:$A,$A147,ALIF_Y2023!$F:$F)</f>
        <v>0</v>
      </c>
      <c r="AE147" s="44" t="e">
        <f>-SUMIF(#REF!,$A147,#REF!)</f>
        <v>#REF!</v>
      </c>
      <c r="AF147" s="44" t="e">
        <f>-SUMIF(#REF!,$A147,#REF!)</f>
        <v>#REF!</v>
      </c>
      <c r="AG147" s="44" t="e">
        <f>-SUMIF(#REF!,$A147,#REF!)</f>
        <v>#REF!</v>
      </c>
      <c r="AH147" s="44" t="e">
        <f>-SUMIF(#REF!,$A147,#REF!)</f>
        <v>#REF!</v>
      </c>
      <c r="AI147" s="44" t="e">
        <f>-SUMIF(#REF!,$A147,#REF!)</f>
        <v>#REF!</v>
      </c>
      <c r="AJ147" s="44" t="e">
        <f>-SUMIF(#REF!,$A147,#REF!)</f>
        <v>#REF!</v>
      </c>
      <c r="AK147" s="44" t="e">
        <f>-SUMIF(#REF!,$A147,#REF!)</f>
        <v>#REF!</v>
      </c>
      <c r="AL147" s="44" t="e">
        <f>-SUMIF(#REF!,$A147,#REF!)</f>
        <v>#REF!</v>
      </c>
      <c r="AM147" s="44" t="e">
        <f>-SUMIF(#REF!,$A147,#REF!)</f>
        <v>#REF!</v>
      </c>
      <c r="AN147" s="44" t="e">
        <f>-SUMIF(#REF!,$A147,#REF!)</f>
        <v>#REF!</v>
      </c>
      <c r="AO147" s="44" t="e">
        <f>-SUMIF(#REF!,$A147,#REF!)</f>
        <v>#REF!</v>
      </c>
    </row>
    <row r="148" spans="1:42" x14ac:dyDescent="0.25">
      <c r="A148" s="42">
        <v>260006</v>
      </c>
      <c r="B148" s="43" t="s">
        <v>927</v>
      </c>
      <c r="C148" s="44" t="e">
        <f t="shared" si="83"/>
        <v>#REF!</v>
      </c>
      <c r="D148" s="44" t="e">
        <f t="shared" si="84"/>
        <v>#REF!</v>
      </c>
      <c r="E148" s="44" t="e">
        <f t="shared" si="85"/>
        <v>#REF!</v>
      </c>
      <c r="F148" s="44" t="e">
        <f t="shared" si="86"/>
        <v>#REF!</v>
      </c>
      <c r="G148" s="44" t="e">
        <f t="shared" si="87"/>
        <v>#REF!</v>
      </c>
      <c r="H148" s="44" t="e">
        <f t="shared" si="88"/>
        <v>#REF!</v>
      </c>
      <c r="I148" s="44" t="e">
        <f t="shared" si="89"/>
        <v>#REF!</v>
      </c>
      <c r="J148" s="44" t="e">
        <f t="shared" si="90"/>
        <v>#REF!</v>
      </c>
      <c r="K148" s="44" t="e">
        <f t="shared" si="91"/>
        <v>#REF!</v>
      </c>
      <c r="L148" s="44" t="e">
        <f t="shared" si="92"/>
        <v>#REF!</v>
      </c>
      <c r="M148" s="44" t="e">
        <f t="shared" si="93"/>
        <v>#REF!</v>
      </c>
      <c r="N148" s="44">
        <f t="shared" si="94"/>
        <v>0</v>
      </c>
      <c r="Q148" s="44" t="e">
        <f>-SUMIF(#REF!,$A148,#REF!)</f>
        <v>#REF!</v>
      </c>
      <c r="R148" s="44">
        <f>-SUMIF(ALIF_Y2014!$A:$A,$A148,ALIF_Y2014!$F:$F)</f>
        <v>0</v>
      </c>
      <c r="S148" s="44">
        <f>-SUMIF(ALIF_Y2015!$A:$A,$A148,ALIF_Y2015!$F:$F)</f>
        <v>0</v>
      </c>
      <c r="T148" s="44">
        <f>-SUMIF(ALIF_Y2016!$A:$A,$A148,ALIF_Y2016!$F:$F)</f>
        <v>0</v>
      </c>
      <c r="U148" s="44">
        <f>-SUMIF(ALIF_Y2017!$A:$A,$A148,ALIF_Y2017!$F:$F)</f>
        <v>0</v>
      </c>
      <c r="V148" s="44">
        <f>-SUMIF(ALIF_Y2018!$A:$A,$A148,ALIF_Y2018!$F:$F)</f>
        <v>0</v>
      </c>
      <c r="W148" s="44">
        <f>-SUMIF(ALIF_Y2019!$A:$A,$A148,ALIF_Y2019!$F:$F)</f>
        <v>0</v>
      </c>
      <c r="X148" s="44">
        <f>-SUMIF(ALIF_Y2020!$A:$A,$A148,ALIF_Y2020!$F:$F)</f>
        <v>0</v>
      </c>
      <c r="Y148" s="44">
        <f>-SUMIF(ALIF_Y2021!$A:$A,$A148,ALIF_Y2021!$F:$F)</f>
        <v>0</v>
      </c>
      <c r="Z148" s="44">
        <f>-SUMIF(ALIF_Y2022!$A:$A,$A148,ALIF_Y2022!$F:$F)</f>
        <v>0</v>
      </c>
      <c r="AA148" s="44">
        <f>-SUMIF(ALIF_Y2023!$A:$A,$A148,ALIF_Y2023!$F:$F)</f>
        <v>0</v>
      </c>
      <c r="AE148" s="44" t="e">
        <f>-SUMIF(#REF!,$A148,#REF!)</f>
        <v>#REF!</v>
      </c>
      <c r="AF148" s="44" t="e">
        <f>-SUMIF(#REF!,$A148,#REF!)</f>
        <v>#REF!</v>
      </c>
      <c r="AG148" s="44" t="e">
        <f>-SUMIF(#REF!,$A148,#REF!)</f>
        <v>#REF!</v>
      </c>
      <c r="AH148" s="44" t="e">
        <f>-SUMIF(#REF!,$A148,#REF!)</f>
        <v>#REF!</v>
      </c>
      <c r="AI148" s="44" t="e">
        <f>-SUMIF(#REF!,$A148,#REF!)</f>
        <v>#REF!</v>
      </c>
      <c r="AJ148" s="44" t="e">
        <f>-SUMIF(#REF!,$A148,#REF!)</f>
        <v>#REF!</v>
      </c>
      <c r="AK148" s="44" t="e">
        <f>-SUMIF(#REF!,$A148,#REF!)</f>
        <v>#REF!</v>
      </c>
      <c r="AL148" s="44" t="e">
        <f>-SUMIF(#REF!,$A148,#REF!)</f>
        <v>#REF!</v>
      </c>
      <c r="AM148" s="44" t="e">
        <f>-SUMIF(#REF!,$A148,#REF!)</f>
        <v>#REF!</v>
      </c>
      <c r="AN148" s="44" t="e">
        <f>-SUMIF(#REF!,$A148,#REF!)</f>
        <v>#REF!</v>
      </c>
      <c r="AO148" s="44" t="e">
        <f>-SUMIF(#REF!,$A148,#REF!)</f>
        <v>#REF!</v>
      </c>
    </row>
    <row r="149" spans="1:42" x14ac:dyDescent="0.25">
      <c r="A149" s="42">
        <v>270002</v>
      </c>
      <c r="B149" s="43" t="s">
        <v>930</v>
      </c>
      <c r="C149" s="44" t="e">
        <f t="shared" si="83"/>
        <v>#REF!</v>
      </c>
      <c r="D149" s="44" t="e">
        <f t="shared" si="84"/>
        <v>#REF!</v>
      </c>
      <c r="E149" s="44" t="e">
        <f t="shared" si="85"/>
        <v>#REF!</v>
      </c>
      <c r="F149" s="44" t="e">
        <f t="shared" si="86"/>
        <v>#REF!</v>
      </c>
      <c r="G149" s="44" t="e">
        <f t="shared" si="87"/>
        <v>#REF!</v>
      </c>
      <c r="H149" s="44" t="e">
        <f t="shared" si="88"/>
        <v>#REF!</v>
      </c>
      <c r="I149" s="44" t="e">
        <f t="shared" si="89"/>
        <v>#REF!</v>
      </c>
      <c r="J149" s="44" t="e">
        <f t="shared" si="90"/>
        <v>#REF!</v>
      </c>
      <c r="K149" s="44" t="e">
        <f t="shared" si="91"/>
        <v>#REF!</v>
      </c>
      <c r="L149" s="44" t="e">
        <f t="shared" si="92"/>
        <v>#REF!</v>
      </c>
      <c r="M149" s="44" t="e">
        <f t="shared" si="93"/>
        <v>#REF!</v>
      </c>
      <c r="N149" s="44">
        <f t="shared" si="94"/>
        <v>0</v>
      </c>
      <c r="Q149" s="44" t="e">
        <f>-SUMIF(#REF!,$A149,#REF!)</f>
        <v>#REF!</v>
      </c>
      <c r="R149" s="44">
        <f>-SUMIF(ALIF_Y2014!$A:$A,$A149,ALIF_Y2014!$F:$F)</f>
        <v>0</v>
      </c>
      <c r="S149" s="44">
        <f>-SUMIF(ALIF_Y2015!$A:$A,$A149,ALIF_Y2015!$F:$F)</f>
        <v>0</v>
      </c>
      <c r="T149" s="44">
        <f>-SUMIF(ALIF_Y2016!$A:$A,$A149,ALIF_Y2016!$F:$F)</f>
        <v>0</v>
      </c>
      <c r="U149" s="44">
        <f>-SUMIF(ALIF_Y2017!$A:$A,$A149,ALIF_Y2017!$F:$F)</f>
        <v>0</v>
      </c>
      <c r="V149" s="44">
        <f>-SUMIF(ALIF_Y2018!$A:$A,$A149,ALIF_Y2018!$F:$F)</f>
        <v>0</v>
      </c>
      <c r="W149" s="44">
        <f>-SUMIF(ALIF_Y2019!$A:$A,$A149,ALIF_Y2019!$F:$F)</f>
        <v>0</v>
      </c>
      <c r="X149" s="44">
        <f>-SUMIF(ALIF_Y2020!$A:$A,$A149,ALIF_Y2020!$F:$F)</f>
        <v>0</v>
      </c>
      <c r="Y149" s="44">
        <f>-SUMIF(ALIF_Y2021!$A:$A,$A149,ALIF_Y2021!$F:$F)</f>
        <v>0</v>
      </c>
      <c r="Z149" s="44">
        <f>-SUMIF(ALIF_Y2022!$A:$A,$A149,ALIF_Y2022!$F:$F)</f>
        <v>0</v>
      </c>
      <c r="AA149" s="44">
        <f>-SUMIF(ALIF_Y2023!$A:$A,$A149,ALIF_Y2023!$F:$F)</f>
        <v>0</v>
      </c>
      <c r="AE149" s="44" t="e">
        <f>-SUMIF(#REF!,$A149,#REF!)</f>
        <v>#REF!</v>
      </c>
      <c r="AF149" s="44" t="e">
        <f>-SUMIF(#REF!,$A149,#REF!)</f>
        <v>#REF!</v>
      </c>
      <c r="AG149" s="44" t="e">
        <f>-SUMIF(#REF!,$A149,#REF!)</f>
        <v>#REF!</v>
      </c>
      <c r="AH149" s="44" t="e">
        <f>-SUMIF(#REF!,$A149,#REF!)</f>
        <v>#REF!</v>
      </c>
      <c r="AI149" s="44" t="e">
        <f>-SUMIF(#REF!,$A149,#REF!)</f>
        <v>#REF!</v>
      </c>
      <c r="AJ149" s="44" t="e">
        <f>-SUMIF(#REF!,$A149,#REF!)</f>
        <v>#REF!</v>
      </c>
      <c r="AK149" s="44" t="e">
        <f>-SUMIF(#REF!,$A149,#REF!)</f>
        <v>#REF!</v>
      </c>
      <c r="AL149" s="44" t="e">
        <f>-SUMIF(#REF!,$A149,#REF!)</f>
        <v>#REF!</v>
      </c>
      <c r="AM149" s="44" t="e">
        <f>-SUMIF(#REF!,$A149,#REF!)</f>
        <v>#REF!</v>
      </c>
      <c r="AN149" s="44" t="e">
        <f>-SUMIF(#REF!,$A149,#REF!)</f>
        <v>#REF!</v>
      </c>
      <c r="AO149" s="44" t="e">
        <f>-SUMIF(#REF!,$A149,#REF!)</f>
        <v>#REF!</v>
      </c>
    </row>
    <row r="150" spans="1:42" x14ac:dyDescent="0.25">
      <c r="A150" s="42">
        <v>270003</v>
      </c>
      <c r="B150" s="43" t="s">
        <v>931</v>
      </c>
      <c r="C150" s="44" t="e">
        <f t="shared" si="83"/>
        <v>#REF!</v>
      </c>
      <c r="D150" s="44" t="e">
        <f t="shared" si="84"/>
        <v>#REF!</v>
      </c>
      <c r="E150" s="44" t="e">
        <f t="shared" si="85"/>
        <v>#REF!</v>
      </c>
      <c r="F150" s="44" t="e">
        <f t="shared" si="86"/>
        <v>#REF!</v>
      </c>
      <c r="G150" s="44" t="e">
        <f t="shared" si="87"/>
        <v>#REF!</v>
      </c>
      <c r="H150" s="44" t="e">
        <f t="shared" si="88"/>
        <v>#REF!</v>
      </c>
      <c r="I150" s="44" t="e">
        <f t="shared" si="89"/>
        <v>#REF!</v>
      </c>
      <c r="J150" s="44" t="e">
        <f t="shared" si="90"/>
        <v>#REF!</v>
      </c>
      <c r="K150" s="44" t="e">
        <f t="shared" si="91"/>
        <v>#REF!</v>
      </c>
      <c r="L150" s="44" t="e">
        <f t="shared" si="92"/>
        <v>#REF!</v>
      </c>
      <c r="M150" s="44" t="e">
        <f t="shared" si="93"/>
        <v>#REF!</v>
      </c>
      <c r="N150" s="44">
        <f t="shared" si="94"/>
        <v>0</v>
      </c>
      <c r="Q150" s="44" t="e">
        <f>-SUMIF(#REF!,$A150,#REF!)</f>
        <v>#REF!</v>
      </c>
      <c r="R150" s="44">
        <f>-SUMIF(ALIF_Y2014!$A:$A,$A150,ALIF_Y2014!$F:$F)</f>
        <v>0</v>
      </c>
      <c r="S150" s="44">
        <f>-SUMIF(ALIF_Y2015!$A:$A,$A150,ALIF_Y2015!$F:$F)</f>
        <v>0</v>
      </c>
      <c r="T150" s="44">
        <f>-SUMIF(ALIF_Y2016!$A:$A,$A150,ALIF_Y2016!$F:$F)</f>
        <v>0</v>
      </c>
      <c r="U150" s="44">
        <f>-SUMIF(ALIF_Y2017!$A:$A,$A150,ALIF_Y2017!$F:$F)</f>
        <v>0</v>
      </c>
      <c r="V150" s="44">
        <f>-SUMIF(ALIF_Y2018!$A:$A,$A150,ALIF_Y2018!$F:$F)</f>
        <v>0</v>
      </c>
      <c r="W150" s="44">
        <f>-SUMIF(ALIF_Y2019!$A:$A,$A150,ALIF_Y2019!$F:$F)</f>
        <v>-820338.76199999999</v>
      </c>
      <c r="X150" s="44">
        <f>-SUMIF(ALIF_Y2020!$A:$A,$A150,ALIF_Y2020!$F:$F)</f>
        <v>0</v>
      </c>
      <c r="Y150" s="44">
        <f>-SUMIF(ALIF_Y2021!$A:$A,$A150,ALIF_Y2021!$F:$F)</f>
        <v>0</v>
      </c>
      <c r="Z150" s="44">
        <f>-SUMIF(ALIF_Y2022!$A:$A,$A150,ALIF_Y2022!$F:$F)</f>
        <v>0</v>
      </c>
      <c r="AA150" s="44">
        <f>-SUMIF(ALIF_Y2023!$A:$A,$A150,ALIF_Y2023!$F:$F)</f>
        <v>0</v>
      </c>
      <c r="AE150" s="44" t="e">
        <f>-SUMIF(#REF!,$A150,#REF!)</f>
        <v>#REF!</v>
      </c>
      <c r="AF150" s="44" t="e">
        <f>-SUMIF(#REF!,$A150,#REF!)</f>
        <v>#REF!</v>
      </c>
      <c r="AG150" s="44" t="e">
        <f>-SUMIF(#REF!,$A150,#REF!)</f>
        <v>#REF!</v>
      </c>
      <c r="AH150" s="44" t="e">
        <f>-SUMIF(#REF!,$A150,#REF!)</f>
        <v>#REF!</v>
      </c>
      <c r="AI150" s="44" t="e">
        <f>-SUMIF(#REF!,$A150,#REF!)</f>
        <v>#REF!</v>
      </c>
      <c r="AJ150" s="44" t="e">
        <f>-SUMIF(#REF!,$A150,#REF!)</f>
        <v>#REF!</v>
      </c>
      <c r="AK150" s="44" t="e">
        <f>-SUMIF(#REF!,$A150,#REF!)</f>
        <v>#REF!</v>
      </c>
      <c r="AL150" s="44" t="e">
        <f>-SUMIF(#REF!,$A150,#REF!)</f>
        <v>#REF!</v>
      </c>
      <c r="AM150" s="44" t="e">
        <f>-SUMIF(#REF!,$A150,#REF!)</f>
        <v>#REF!</v>
      </c>
      <c r="AN150" s="44" t="e">
        <f>-SUMIF(#REF!,$A150,#REF!)</f>
        <v>#REF!</v>
      </c>
      <c r="AO150" s="44" t="e">
        <f>-SUMIF(#REF!,$A150,#REF!)</f>
        <v>#REF!</v>
      </c>
    </row>
    <row r="151" spans="1:42" x14ac:dyDescent="0.25">
      <c r="A151" s="42">
        <v>270004</v>
      </c>
      <c r="B151" s="43" t="s">
        <v>932</v>
      </c>
      <c r="C151" s="44" t="e">
        <f t="shared" si="83"/>
        <v>#REF!</v>
      </c>
      <c r="D151" s="44" t="e">
        <f t="shared" si="84"/>
        <v>#REF!</v>
      </c>
      <c r="E151" s="44" t="e">
        <f t="shared" si="85"/>
        <v>#REF!</v>
      </c>
      <c r="F151" s="44" t="e">
        <f t="shared" si="86"/>
        <v>#REF!</v>
      </c>
      <c r="G151" s="44" t="e">
        <f t="shared" si="87"/>
        <v>#REF!</v>
      </c>
      <c r="H151" s="44" t="e">
        <f t="shared" si="88"/>
        <v>#REF!</v>
      </c>
      <c r="I151" s="44" t="e">
        <f t="shared" si="89"/>
        <v>#REF!</v>
      </c>
      <c r="J151" s="44" t="e">
        <f t="shared" si="90"/>
        <v>#REF!</v>
      </c>
      <c r="K151" s="44" t="e">
        <f t="shared" si="91"/>
        <v>#REF!</v>
      </c>
      <c r="L151" s="44" t="e">
        <f t="shared" si="92"/>
        <v>#REF!</v>
      </c>
      <c r="M151" s="44" t="e">
        <f t="shared" si="93"/>
        <v>#REF!</v>
      </c>
      <c r="N151" s="44">
        <f t="shared" si="94"/>
        <v>0</v>
      </c>
      <c r="Q151" s="44" t="e">
        <f>-SUMIF(#REF!,$A151,#REF!)</f>
        <v>#REF!</v>
      </c>
      <c r="R151" s="44">
        <f>-SUMIF(ALIF_Y2014!$A:$A,$A151,ALIF_Y2014!$F:$F)</f>
        <v>0</v>
      </c>
      <c r="S151" s="44">
        <f>-SUMIF(ALIF_Y2015!$A:$A,$A151,ALIF_Y2015!$F:$F)</f>
        <v>0</v>
      </c>
      <c r="T151" s="44">
        <f>-SUMIF(ALIF_Y2016!$A:$A,$A151,ALIF_Y2016!$F:$F)</f>
        <v>0</v>
      </c>
      <c r="U151" s="44">
        <f>-SUMIF(ALIF_Y2017!$A:$A,$A151,ALIF_Y2017!$F:$F)</f>
        <v>0</v>
      </c>
      <c r="V151" s="44">
        <f>-SUMIF(ALIF_Y2018!$A:$A,$A151,ALIF_Y2018!$F:$F)</f>
        <v>-2109330.298</v>
      </c>
      <c r="W151" s="44">
        <f>-SUMIF(ALIF_Y2019!$A:$A,$A151,ALIF_Y2019!$F:$F)</f>
        <v>0</v>
      </c>
      <c r="X151" s="44">
        <f>-SUMIF(ALIF_Y2020!$A:$A,$A151,ALIF_Y2020!$F:$F)</f>
        <v>1563447.46</v>
      </c>
      <c r="Y151" s="44">
        <f>-SUMIF(ALIF_Y2021!$A:$A,$A151,ALIF_Y2021!$F:$F)</f>
        <v>1225557.3500000001</v>
      </c>
      <c r="Z151" s="44">
        <f>-SUMIF(ALIF_Y2022!$A:$A,$A151,ALIF_Y2022!$F:$F)</f>
        <v>1160277.96</v>
      </c>
      <c r="AA151" s="44">
        <f>-SUMIF(ALIF_Y2023!$A:$A,$A151,ALIF_Y2023!$F:$F)</f>
        <v>1065153.22</v>
      </c>
      <c r="AE151" s="44" t="e">
        <f>-SUMIF(#REF!,$A151,#REF!)</f>
        <v>#REF!</v>
      </c>
      <c r="AF151" s="44" t="e">
        <f>-SUMIF(#REF!,$A151,#REF!)</f>
        <v>#REF!</v>
      </c>
      <c r="AG151" s="44" t="e">
        <f>-SUMIF(#REF!,$A151,#REF!)</f>
        <v>#REF!</v>
      </c>
      <c r="AH151" s="44" t="e">
        <f>-SUMIF(#REF!,$A151,#REF!)</f>
        <v>#REF!</v>
      </c>
      <c r="AI151" s="44" t="e">
        <f>-SUMIF(#REF!,$A151,#REF!)</f>
        <v>#REF!</v>
      </c>
      <c r="AJ151" s="44" t="e">
        <f>-SUMIF(#REF!,$A151,#REF!)</f>
        <v>#REF!</v>
      </c>
      <c r="AK151" s="44" t="e">
        <f>-SUMIF(#REF!,$A151,#REF!)</f>
        <v>#REF!</v>
      </c>
      <c r="AL151" s="44" t="e">
        <f>-SUMIF(#REF!,$A151,#REF!)</f>
        <v>#REF!</v>
      </c>
      <c r="AM151" s="44" t="e">
        <f>-SUMIF(#REF!,$A151,#REF!)</f>
        <v>#REF!</v>
      </c>
      <c r="AN151" s="44" t="e">
        <f>-SUMIF(#REF!,$A151,#REF!)</f>
        <v>#REF!</v>
      </c>
      <c r="AO151" s="44" t="e">
        <f>-SUMIF(#REF!,$A151,#REF!)</f>
        <v>#REF!</v>
      </c>
    </row>
    <row r="152" spans="1:42" ht="7.9" customHeight="1" x14ac:dyDescent="0.25">
      <c r="C152" s="144"/>
      <c r="D152" s="144"/>
      <c r="E152" s="144"/>
      <c r="F152" s="144"/>
      <c r="G152" s="144"/>
      <c r="H152" s="144"/>
      <c r="I152" s="144"/>
      <c r="J152" s="144"/>
      <c r="K152" s="144"/>
      <c r="L152" s="144"/>
      <c r="M152" s="144"/>
      <c r="N152" s="144"/>
      <c r="Q152" s="144"/>
      <c r="R152" s="144"/>
      <c r="S152" s="144"/>
      <c r="T152" s="144"/>
      <c r="U152" s="144"/>
      <c r="V152" s="144"/>
      <c r="W152" s="144"/>
      <c r="X152" s="144"/>
      <c r="Y152" s="144"/>
      <c r="Z152" s="144"/>
      <c r="AA152" s="144"/>
      <c r="AB152" s="144"/>
      <c r="AE152" s="144"/>
      <c r="AF152" s="144"/>
      <c r="AG152" s="144"/>
      <c r="AH152" s="144"/>
      <c r="AI152" s="144"/>
      <c r="AJ152" s="144"/>
      <c r="AK152" s="144"/>
      <c r="AL152" s="144"/>
      <c r="AM152" s="144"/>
      <c r="AN152" s="144"/>
      <c r="AO152" s="144"/>
      <c r="AP152" s="144"/>
    </row>
    <row r="153" spans="1:42" x14ac:dyDescent="0.25">
      <c r="A153" s="41"/>
      <c r="C153" s="45" t="e">
        <f t="shared" ref="C153:N153" si="95">SUM(C138:C152)</f>
        <v>#REF!</v>
      </c>
      <c r="D153" s="45" t="e">
        <f t="shared" si="95"/>
        <v>#REF!</v>
      </c>
      <c r="E153" s="45" t="e">
        <f t="shared" si="95"/>
        <v>#REF!</v>
      </c>
      <c r="F153" s="45" t="e">
        <f t="shared" si="95"/>
        <v>#REF!</v>
      </c>
      <c r="G153" s="45" t="e">
        <f t="shared" si="95"/>
        <v>#REF!</v>
      </c>
      <c r="H153" s="45" t="e">
        <f t="shared" si="95"/>
        <v>#REF!</v>
      </c>
      <c r="I153" s="45" t="e">
        <f t="shared" si="95"/>
        <v>#REF!</v>
      </c>
      <c r="J153" s="45" t="e">
        <f t="shared" si="95"/>
        <v>#REF!</v>
      </c>
      <c r="K153" s="45" t="e">
        <f t="shared" si="95"/>
        <v>#REF!</v>
      </c>
      <c r="L153" s="45" t="e">
        <f t="shared" si="95"/>
        <v>#REF!</v>
      </c>
      <c r="M153" s="45" t="e">
        <f t="shared" si="95"/>
        <v>#REF!</v>
      </c>
      <c r="N153" s="45">
        <f t="shared" si="95"/>
        <v>0</v>
      </c>
      <c r="Q153" s="45" t="e">
        <f t="shared" ref="Q153:AB153" si="96">SUM(Q138:Q152)</f>
        <v>#REF!</v>
      </c>
      <c r="R153" s="45">
        <f t="shared" si="96"/>
        <v>2507260.9959999998</v>
      </c>
      <c r="S153" s="45">
        <f t="shared" si="96"/>
        <v>6283439</v>
      </c>
      <c r="T153" s="45">
        <f t="shared" si="96"/>
        <v>5444461</v>
      </c>
      <c r="U153" s="45">
        <f t="shared" si="96"/>
        <v>6914828.9979999997</v>
      </c>
      <c r="V153" s="45">
        <f t="shared" si="96"/>
        <v>8339706.9969999995</v>
      </c>
      <c r="W153" s="45">
        <f t="shared" si="96"/>
        <v>6947242.0019999994</v>
      </c>
      <c r="X153" s="45">
        <f t="shared" si="96"/>
        <v>9755293.0020000003</v>
      </c>
      <c r="Y153" s="45">
        <f t="shared" si="96"/>
        <v>6517602.182</v>
      </c>
      <c r="Z153" s="45">
        <f t="shared" si="96"/>
        <v>6436834.9169999994</v>
      </c>
      <c r="AA153" s="45">
        <f t="shared" si="96"/>
        <v>6572651.0019999994</v>
      </c>
      <c r="AB153" s="45">
        <f t="shared" si="96"/>
        <v>0</v>
      </c>
      <c r="AE153" s="45" t="e">
        <f t="shared" ref="AE153:AO153" si="97">SUM(AE138:AE152)</f>
        <v>#REF!</v>
      </c>
      <c r="AF153" s="45" t="e">
        <f t="shared" si="97"/>
        <v>#REF!</v>
      </c>
      <c r="AG153" s="45" t="e">
        <f t="shared" si="97"/>
        <v>#REF!</v>
      </c>
      <c r="AH153" s="45" t="e">
        <f t="shared" si="97"/>
        <v>#REF!</v>
      </c>
      <c r="AI153" s="45" t="e">
        <f t="shared" si="97"/>
        <v>#REF!</v>
      </c>
      <c r="AJ153" s="45" t="e">
        <f t="shared" si="97"/>
        <v>#REF!</v>
      </c>
      <c r="AK153" s="45" t="e">
        <f t="shared" si="97"/>
        <v>#REF!</v>
      </c>
      <c r="AL153" s="45" t="e">
        <f t="shared" si="97"/>
        <v>#REF!</v>
      </c>
      <c r="AM153" s="45" t="e">
        <f t="shared" si="97"/>
        <v>#REF!</v>
      </c>
      <c r="AN153" s="45" t="e">
        <f t="shared" si="97"/>
        <v>#REF!</v>
      </c>
      <c r="AO153" s="45" t="e">
        <f t="shared" si="97"/>
        <v>#REF!</v>
      </c>
    </row>
    <row r="154" spans="1:42" x14ac:dyDescent="0.25">
      <c r="A154" s="41"/>
      <c r="Q154" s="45"/>
      <c r="R154" s="45"/>
      <c r="S154" s="45"/>
      <c r="T154" s="45"/>
      <c r="U154" s="45"/>
      <c r="V154" s="45"/>
      <c r="W154" s="45"/>
      <c r="X154" s="45"/>
      <c r="Y154" s="45"/>
      <c r="Z154" s="45"/>
      <c r="AA154" s="45"/>
      <c r="AB154" s="45"/>
      <c r="AE154" s="45"/>
      <c r="AF154" s="45"/>
      <c r="AG154" s="45"/>
      <c r="AH154" s="45"/>
      <c r="AI154" s="45"/>
      <c r="AJ154" s="45"/>
      <c r="AK154" s="45"/>
      <c r="AL154" s="45"/>
      <c r="AM154" s="45"/>
      <c r="AN154" s="45"/>
      <c r="AO154" s="45"/>
    </row>
    <row r="155" spans="1:42" x14ac:dyDescent="0.25">
      <c r="A155" s="41" t="s">
        <v>1332</v>
      </c>
      <c r="Q155" s="45"/>
      <c r="R155" s="45"/>
      <c r="S155" s="45"/>
      <c r="T155" s="45"/>
      <c r="U155" s="45"/>
      <c r="V155" s="45"/>
      <c r="W155" s="45"/>
      <c r="X155" s="45"/>
      <c r="Y155" s="45"/>
      <c r="Z155" s="45"/>
      <c r="AA155" s="45"/>
      <c r="AB155" s="45"/>
      <c r="AE155" s="45"/>
      <c r="AF155" s="45"/>
      <c r="AG155" s="45"/>
      <c r="AH155" s="45"/>
      <c r="AI155" s="45"/>
      <c r="AJ155" s="45"/>
      <c r="AK155" s="45"/>
      <c r="AL155" s="45"/>
      <c r="AM155" s="45"/>
      <c r="AN155" s="45"/>
      <c r="AO155" s="45"/>
    </row>
    <row r="156" spans="1:42" x14ac:dyDescent="0.25">
      <c r="A156" s="42">
        <v>240003</v>
      </c>
      <c r="B156" s="43" t="s">
        <v>914</v>
      </c>
      <c r="C156" s="44" t="e">
        <f t="shared" ref="C156:N156" si="98">Q156+AE156</f>
        <v>#REF!</v>
      </c>
      <c r="D156" s="44" t="e">
        <f t="shared" si="98"/>
        <v>#REF!</v>
      </c>
      <c r="E156" s="44" t="e">
        <f t="shared" si="98"/>
        <v>#REF!</v>
      </c>
      <c r="F156" s="44" t="e">
        <f t="shared" si="98"/>
        <v>#REF!</v>
      </c>
      <c r="G156" s="44" t="e">
        <f t="shared" si="98"/>
        <v>#REF!</v>
      </c>
      <c r="H156" s="44" t="e">
        <f t="shared" si="98"/>
        <v>#REF!</v>
      </c>
      <c r="I156" s="44" t="e">
        <f t="shared" si="98"/>
        <v>#REF!</v>
      </c>
      <c r="J156" s="44" t="e">
        <f t="shared" si="98"/>
        <v>#REF!</v>
      </c>
      <c r="K156" s="44" t="e">
        <f t="shared" si="98"/>
        <v>#REF!</v>
      </c>
      <c r="L156" s="44" t="e">
        <f t="shared" si="98"/>
        <v>#REF!</v>
      </c>
      <c r="M156" s="44" t="e">
        <f t="shared" si="98"/>
        <v>#REF!</v>
      </c>
      <c r="N156" s="44">
        <f t="shared" si="98"/>
        <v>0</v>
      </c>
      <c r="Q156" s="44" t="e">
        <f>-SUMIF(#REF!,$A156,#REF!)</f>
        <v>#REF!</v>
      </c>
      <c r="R156" s="44">
        <f>-SUMIF(ALIF_Y2014!$A:$A,$A156,ALIF_Y2014!$F:$F)</f>
        <v>0</v>
      </c>
      <c r="S156" s="44">
        <f>-SUMIF(ALIF_Y2015!$A:$A,$A156,ALIF_Y2015!$F:$F)</f>
        <v>0</v>
      </c>
      <c r="T156" s="44">
        <f>-SUMIF(ALIF_Y2016!$A:$A,$A156,ALIF_Y2016!$F:$F)</f>
        <v>0</v>
      </c>
      <c r="U156" s="44">
        <f>-SUMIF(ALIF_Y2017!$A:$A,$A156,ALIF_Y2017!$F:$F)</f>
        <v>0</v>
      </c>
      <c r="V156" s="44">
        <f>-SUMIF(ALIF_Y2018!$A:$A,$A156,ALIF_Y2018!$F:$F)</f>
        <v>0</v>
      </c>
      <c r="W156" s="44">
        <f>-SUMIF(ALIF_Y2019!$A:$A,$A156,ALIF_Y2019!$F:$F)</f>
        <v>1874374</v>
      </c>
      <c r="X156" s="44">
        <f>-SUMIF(ALIF_Y2020!$A:$A,$A156,ALIF_Y2020!$F:$F)</f>
        <v>1823243.5660000001</v>
      </c>
      <c r="Y156" s="44">
        <f>-SUMIF(ALIF_Y2021!$A:$A,$A156,ALIF_Y2021!$F:$F)</f>
        <v>1711827.0260000001</v>
      </c>
      <c r="Z156" s="44">
        <f>-SUMIF(ALIF_Y2022!$A:$A,$A156,ALIF_Y2022!$F:$F)</f>
        <v>1596797.0260000001</v>
      </c>
      <c r="AA156" s="44">
        <f>-SUMIF(ALIF_Y2023!$A:$A,$A156,ALIF_Y2023!$F:$F)</f>
        <v>1505845.0689999999</v>
      </c>
      <c r="AE156" s="44" t="e">
        <f>-SUMIF(#REF!,$A156,#REF!)</f>
        <v>#REF!</v>
      </c>
      <c r="AF156" s="44" t="e">
        <f>-SUMIF(#REF!,$A156,#REF!)</f>
        <v>#REF!</v>
      </c>
      <c r="AG156" s="44" t="e">
        <f>-SUMIF(#REF!,$A156,#REF!)</f>
        <v>#REF!</v>
      </c>
      <c r="AH156" s="44" t="e">
        <f>-SUMIF(#REF!,$A156,#REF!)</f>
        <v>#REF!</v>
      </c>
      <c r="AI156" s="44" t="e">
        <f>-SUMIF(#REF!,$A156,#REF!)</f>
        <v>#REF!</v>
      </c>
      <c r="AJ156" s="44" t="e">
        <f>-SUMIF(#REF!,$A156,#REF!)</f>
        <v>#REF!</v>
      </c>
      <c r="AK156" s="44" t="e">
        <f>-SUMIF(#REF!,$A156,#REF!)</f>
        <v>#REF!</v>
      </c>
      <c r="AL156" s="44" t="e">
        <f>-SUMIF(#REF!,$A156,#REF!)</f>
        <v>#REF!</v>
      </c>
      <c r="AM156" s="44" t="e">
        <f>-SUMIF(#REF!,$A156,#REF!)</f>
        <v>#REF!</v>
      </c>
      <c r="AN156" s="44" t="e">
        <f>-SUMIF(#REF!,$A156,#REF!)</f>
        <v>#REF!</v>
      </c>
      <c r="AO156" s="44" t="e">
        <f>-SUMIF(#REF!,$A156,#REF!)</f>
        <v>#REF!</v>
      </c>
    </row>
    <row r="157" spans="1:42" ht="7.9" customHeight="1" x14ac:dyDescent="0.25">
      <c r="C157" s="144"/>
      <c r="D157" s="144"/>
      <c r="E157" s="144"/>
      <c r="F157" s="144"/>
      <c r="G157" s="144"/>
      <c r="H157" s="144"/>
      <c r="I157" s="144"/>
      <c r="J157" s="144"/>
      <c r="K157" s="144"/>
      <c r="L157" s="144"/>
      <c r="M157" s="144"/>
      <c r="N157" s="144"/>
      <c r="Q157" s="144"/>
      <c r="R157" s="144"/>
      <c r="S157" s="144"/>
      <c r="T157" s="144"/>
      <c r="U157" s="144"/>
      <c r="V157" s="144"/>
      <c r="W157" s="144"/>
      <c r="X157" s="144"/>
      <c r="Y157" s="144"/>
      <c r="Z157" s="144"/>
      <c r="AA157" s="144"/>
      <c r="AB157" s="144"/>
      <c r="AE157" s="144"/>
      <c r="AF157" s="144"/>
      <c r="AG157" s="144"/>
      <c r="AH157" s="144"/>
      <c r="AI157" s="144"/>
      <c r="AJ157" s="144"/>
      <c r="AK157" s="144"/>
      <c r="AL157" s="144"/>
      <c r="AM157" s="144"/>
      <c r="AN157" s="144"/>
      <c r="AO157" s="144"/>
      <c r="AP157" s="144"/>
    </row>
    <row r="158" spans="1:42" x14ac:dyDescent="0.25">
      <c r="A158" s="41"/>
      <c r="C158" s="45" t="e">
        <f t="shared" ref="C158:N158" si="99">SUM(C156:C157)</f>
        <v>#REF!</v>
      </c>
      <c r="D158" s="45" t="e">
        <f t="shared" si="99"/>
        <v>#REF!</v>
      </c>
      <c r="E158" s="45" t="e">
        <f t="shared" si="99"/>
        <v>#REF!</v>
      </c>
      <c r="F158" s="45" t="e">
        <f t="shared" si="99"/>
        <v>#REF!</v>
      </c>
      <c r="G158" s="45" t="e">
        <f t="shared" si="99"/>
        <v>#REF!</v>
      </c>
      <c r="H158" s="45" t="e">
        <f t="shared" si="99"/>
        <v>#REF!</v>
      </c>
      <c r="I158" s="45" t="e">
        <f t="shared" si="99"/>
        <v>#REF!</v>
      </c>
      <c r="J158" s="45" t="e">
        <f t="shared" si="99"/>
        <v>#REF!</v>
      </c>
      <c r="K158" s="45" t="e">
        <f t="shared" si="99"/>
        <v>#REF!</v>
      </c>
      <c r="L158" s="45" t="e">
        <f t="shared" si="99"/>
        <v>#REF!</v>
      </c>
      <c r="M158" s="45" t="e">
        <f t="shared" si="99"/>
        <v>#REF!</v>
      </c>
      <c r="N158" s="45">
        <f t="shared" si="99"/>
        <v>0</v>
      </c>
      <c r="Q158" s="45" t="e">
        <f t="shared" ref="Q158:AB158" si="100">SUM(Q156:Q157)</f>
        <v>#REF!</v>
      </c>
      <c r="R158" s="45">
        <f t="shared" si="100"/>
        <v>0</v>
      </c>
      <c r="S158" s="45">
        <f t="shared" si="100"/>
        <v>0</v>
      </c>
      <c r="T158" s="45">
        <f t="shared" si="100"/>
        <v>0</v>
      </c>
      <c r="U158" s="45">
        <f t="shared" si="100"/>
        <v>0</v>
      </c>
      <c r="V158" s="45">
        <f t="shared" si="100"/>
        <v>0</v>
      </c>
      <c r="W158" s="45">
        <f t="shared" si="100"/>
        <v>1874374</v>
      </c>
      <c r="X158" s="45">
        <f t="shared" si="100"/>
        <v>1823243.5660000001</v>
      </c>
      <c r="Y158" s="45">
        <f t="shared" si="100"/>
        <v>1711827.0260000001</v>
      </c>
      <c r="Z158" s="45">
        <f t="shared" si="100"/>
        <v>1596797.0260000001</v>
      </c>
      <c r="AA158" s="45">
        <f t="shared" si="100"/>
        <v>1505845.0689999999</v>
      </c>
      <c r="AB158" s="45">
        <f t="shared" si="100"/>
        <v>0</v>
      </c>
      <c r="AE158" s="45" t="e">
        <f t="shared" ref="AE158:AO158" si="101">SUM(AE156:AE157)</f>
        <v>#REF!</v>
      </c>
      <c r="AF158" s="45" t="e">
        <f t="shared" si="101"/>
        <v>#REF!</v>
      </c>
      <c r="AG158" s="45" t="e">
        <f t="shared" si="101"/>
        <v>#REF!</v>
      </c>
      <c r="AH158" s="45" t="e">
        <f t="shared" si="101"/>
        <v>#REF!</v>
      </c>
      <c r="AI158" s="45" t="e">
        <f t="shared" si="101"/>
        <v>#REF!</v>
      </c>
      <c r="AJ158" s="45" t="e">
        <f t="shared" si="101"/>
        <v>#REF!</v>
      </c>
      <c r="AK158" s="45" t="e">
        <f t="shared" si="101"/>
        <v>#REF!</v>
      </c>
      <c r="AL158" s="45" t="e">
        <f t="shared" si="101"/>
        <v>#REF!</v>
      </c>
      <c r="AM158" s="45" t="e">
        <f t="shared" si="101"/>
        <v>#REF!</v>
      </c>
      <c r="AN158" s="45" t="e">
        <f t="shared" si="101"/>
        <v>#REF!</v>
      </c>
      <c r="AO158" s="45" t="e">
        <f t="shared" si="101"/>
        <v>#REF!</v>
      </c>
    </row>
    <row r="159" spans="1:42" x14ac:dyDescent="0.25">
      <c r="A159" s="41"/>
      <c r="Q159" s="45"/>
      <c r="R159" s="45"/>
      <c r="S159" s="45"/>
      <c r="T159" s="45"/>
      <c r="U159" s="45"/>
      <c r="V159" s="45"/>
      <c r="W159" s="45"/>
      <c r="X159" s="45"/>
      <c r="Y159" s="45"/>
      <c r="Z159" s="45"/>
      <c r="AA159" s="45"/>
      <c r="AB159" s="45"/>
      <c r="AE159" s="45"/>
      <c r="AF159" s="45"/>
      <c r="AG159" s="45"/>
      <c r="AH159" s="45"/>
      <c r="AI159" s="45"/>
      <c r="AJ159" s="45"/>
      <c r="AK159" s="45"/>
      <c r="AL159" s="45"/>
      <c r="AM159" s="45"/>
      <c r="AN159" s="45"/>
      <c r="AO159" s="45"/>
    </row>
    <row r="160" spans="1:42" x14ac:dyDescent="0.25">
      <c r="A160" s="41" t="s">
        <v>1333</v>
      </c>
      <c r="Q160" s="45"/>
      <c r="R160" s="45"/>
      <c r="S160" s="45"/>
      <c r="T160" s="45"/>
      <c r="U160" s="45"/>
      <c r="V160" s="45"/>
      <c r="W160" s="45"/>
      <c r="X160" s="45"/>
      <c r="Y160" s="45"/>
      <c r="Z160" s="45"/>
      <c r="AA160" s="45"/>
      <c r="AB160" s="45"/>
      <c r="AE160" s="45"/>
      <c r="AF160" s="45"/>
      <c r="AG160" s="45"/>
      <c r="AH160" s="45"/>
      <c r="AI160" s="45"/>
      <c r="AJ160" s="45"/>
      <c r="AK160" s="45"/>
      <c r="AL160" s="45"/>
      <c r="AM160" s="45"/>
      <c r="AN160" s="45"/>
      <c r="AO160" s="45"/>
    </row>
    <row r="161" spans="1:42" x14ac:dyDescent="0.25">
      <c r="A161" s="42">
        <v>270001</v>
      </c>
      <c r="B161" s="43" t="s">
        <v>929</v>
      </c>
      <c r="C161" s="44" t="e">
        <f t="shared" ref="C161:N164" si="102">Q161+AE161</f>
        <v>#REF!</v>
      </c>
      <c r="D161" s="44" t="e">
        <f t="shared" si="102"/>
        <v>#REF!</v>
      </c>
      <c r="E161" s="44" t="e">
        <f t="shared" si="102"/>
        <v>#REF!</v>
      </c>
      <c r="F161" s="44" t="e">
        <f t="shared" si="102"/>
        <v>#REF!</v>
      </c>
      <c r="G161" s="44" t="e">
        <f t="shared" si="102"/>
        <v>#REF!</v>
      </c>
      <c r="H161" s="44" t="e">
        <f t="shared" si="102"/>
        <v>#REF!</v>
      </c>
      <c r="I161" s="44" t="e">
        <f t="shared" si="102"/>
        <v>#REF!</v>
      </c>
      <c r="J161" s="44" t="e">
        <f t="shared" si="102"/>
        <v>#REF!</v>
      </c>
      <c r="K161" s="44" t="e">
        <f t="shared" si="102"/>
        <v>#REF!</v>
      </c>
      <c r="L161" s="44" t="e">
        <f t="shared" si="102"/>
        <v>#REF!</v>
      </c>
      <c r="M161" s="44" t="e">
        <f t="shared" si="102"/>
        <v>#REF!</v>
      </c>
      <c r="N161" s="44">
        <f t="shared" si="102"/>
        <v>0</v>
      </c>
      <c r="Q161" s="44" t="e">
        <f>-SUMIF(#REF!,$A161,#REF!)</f>
        <v>#REF!</v>
      </c>
      <c r="R161" s="44">
        <f>-SUMIF(ALIF_Y2014!$A:$A,$A161,ALIF_Y2014!$F:$F)</f>
        <v>0</v>
      </c>
      <c r="S161" s="44">
        <f>-SUMIF(ALIF_Y2015!$A:$A,$A161,ALIF_Y2015!$F:$F)</f>
        <v>0</v>
      </c>
      <c r="T161" s="44">
        <f>-SUMIF(ALIF_Y2016!$A:$A,$A161,ALIF_Y2016!$F:$F)</f>
        <v>0</v>
      </c>
      <c r="U161" s="44">
        <f>-SUMIF(ALIF_Y2017!$A:$A,$A161,ALIF_Y2017!$F:$F)</f>
        <v>31714781.920000002</v>
      </c>
      <c r="V161" s="44">
        <f>-SUMIF(ALIF_Y2018!$A:$A,$A161,ALIF_Y2018!$F:$F)</f>
        <v>7696296.1699999999</v>
      </c>
      <c r="W161" s="44">
        <f>-SUMIF(ALIF_Y2019!$A:$A,$A161,ALIF_Y2019!$F:$F)</f>
        <v>502289.05</v>
      </c>
      <c r="X161" s="44">
        <f>-SUMIF(ALIF_Y2020!$A:$A,$A161,ALIF_Y2020!$F:$F)</f>
        <v>-166370.04999999999</v>
      </c>
      <c r="Y161" s="44">
        <f>-SUMIF(ALIF_Y2021!$A:$A,$A161,ALIF_Y2021!$F:$F)</f>
        <v>-146154.65599999999</v>
      </c>
      <c r="Z161" s="44">
        <f>-SUMIF(ALIF_Y2022!$A:$A,$A161,ALIF_Y2022!$F:$F)</f>
        <v>1098996.6040000001</v>
      </c>
      <c r="AA161" s="44">
        <f>-SUMIF(ALIF_Y2023!$A:$A,$A161,ALIF_Y2023!$F:$F)</f>
        <v>3776163</v>
      </c>
      <c r="AE161" s="44" t="e">
        <f>-SUMIF(#REF!,$A161,#REF!)</f>
        <v>#REF!</v>
      </c>
      <c r="AF161" s="44" t="e">
        <f>-SUMIF(#REF!,$A161,#REF!)</f>
        <v>#REF!</v>
      </c>
      <c r="AG161" s="44" t="e">
        <f>-SUMIF(#REF!,$A161,#REF!)</f>
        <v>#REF!</v>
      </c>
      <c r="AH161" s="44" t="e">
        <f>-SUMIF(#REF!,$A161,#REF!)</f>
        <v>#REF!</v>
      </c>
      <c r="AI161" s="44" t="e">
        <f>-SUMIF(#REF!,$A161,#REF!)</f>
        <v>#REF!</v>
      </c>
      <c r="AJ161" s="44" t="e">
        <f>-SUMIF(#REF!,$A161,#REF!)</f>
        <v>#REF!</v>
      </c>
      <c r="AK161" s="44" t="e">
        <f>-SUMIF(#REF!,$A161,#REF!)</f>
        <v>#REF!</v>
      </c>
      <c r="AL161" s="44" t="e">
        <f>-SUMIF(#REF!,$A161,#REF!)</f>
        <v>#REF!</v>
      </c>
      <c r="AM161" s="44" t="e">
        <f>-SUMIF(#REF!,$A161,#REF!)</f>
        <v>#REF!</v>
      </c>
      <c r="AN161" s="44" t="e">
        <f>-SUMIF(#REF!,$A161,#REF!)</f>
        <v>#REF!</v>
      </c>
      <c r="AO161" s="44" t="e">
        <f>-SUMIF(#REF!,$A161,#REF!)</f>
        <v>#REF!</v>
      </c>
    </row>
    <row r="162" spans="1:42" x14ac:dyDescent="0.25">
      <c r="A162" s="42">
        <v>270005</v>
      </c>
      <c r="B162" s="43" t="s">
        <v>933</v>
      </c>
      <c r="C162" s="44" t="e">
        <f t="shared" si="102"/>
        <v>#REF!</v>
      </c>
      <c r="D162" s="44" t="e">
        <f t="shared" si="102"/>
        <v>#REF!</v>
      </c>
      <c r="E162" s="44" t="e">
        <f t="shared" si="102"/>
        <v>#REF!</v>
      </c>
      <c r="F162" s="44" t="e">
        <f t="shared" si="102"/>
        <v>#REF!</v>
      </c>
      <c r="G162" s="44" t="e">
        <f t="shared" si="102"/>
        <v>#REF!</v>
      </c>
      <c r="H162" s="44" t="e">
        <f t="shared" si="102"/>
        <v>#REF!</v>
      </c>
      <c r="I162" s="44" t="e">
        <f t="shared" si="102"/>
        <v>#REF!</v>
      </c>
      <c r="J162" s="44" t="e">
        <f t="shared" si="102"/>
        <v>#REF!</v>
      </c>
      <c r="K162" s="44" t="e">
        <f t="shared" si="102"/>
        <v>#REF!</v>
      </c>
      <c r="L162" s="44" t="e">
        <f t="shared" si="102"/>
        <v>#REF!</v>
      </c>
      <c r="M162" s="44" t="e">
        <f t="shared" si="102"/>
        <v>#REF!</v>
      </c>
      <c r="N162" s="44">
        <f t="shared" si="102"/>
        <v>0</v>
      </c>
      <c r="Q162" s="44" t="e">
        <f>-SUMIF(#REF!,$A162,#REF!)</f>
        <v>#REF!</v>
      </c>
      <c r="R162" s="44">
        <f>-SUMIF(ALIF_Y2014!$A:$A,$A162,ALIF_Y2014!$F:$F)</f>
        <v>0</v>
      </c>
      <c r="S162" s="44">
        <f>-SUMIF(ALIF_Y2015!$A:$A,$A162,ALIF_Y2015!$F:$F)</f>
        <v>0</v>
      </c>
      <c r="T162" s="44">
        <f>-SUMIF(ALIF_Y2016!$A:$A,$A162,ALIF_Y2016!$F:$F)</f>
        <v>0</v>
      </c>
      <c r="U162" s="44">
        <f>-SUMIF(ALIF_Y2017!$A:$A,$A162,ALIF_Y2017!$F:$F)</f>
        <v>0</v>
      </c>
      <c r="V162" s="44">
        <f>-SUMIF(ALIF_Y2018!$A:$A,$A162,ALIF_Y2018!$F:$F)</f>
        <v>0</v>
      </c>
      <c r="W162" s="44">
        <f>-SUMIF(ALIF_Y2019!$A:$A,$A162,ALIF_Y2019!$F:$F)</f>
        <v>0</v>
      </c>
      <c r="X162" s="44">
        <f>-SUMIF(ALIF_Y2020!$A:$A,$A162,ALIF_Y2020!$F:$F)</f>
        <v>0</v>
      </c>
      <c r="Y162" s="44">
        <f>-SUMIF(ALIF_Y2021!$A:$A,$A162,ALIF_Y2021!$F:$F)</f>
        <v>0</v>
      </c>
      <c r="Z162" s="44">
        <f>-SUMIF(ALIF_Y2022!$A:$A,$A162,ALIF_Y2022!$F:$F)</f>
        <v>0</v>
      </c>
      <c r="AA162" s="44">
        <f>-SUMIF(ALIF_Y2023!$A:$A,$A162,ALIF_Y2023!$F:$F)</f>
        <v>-20699522.736000001</v>
      </c>
      <c r="AE162" s="44" t="e">
        <f>-SUMIF(#REF!,$A162,#REF!)</f>
        <v>#REF!</v>
      </c>
      <c r="AF162" s="44" t="e">
        <f>-SUMIF(#REF!,$A162,#REF!)</f>
        <v>#REF!</v>
      </c>
      <c r="AG162" s="44" t="e">
        <f>-SUMIF(#REF!,$A162,#REF!)</f>
        <v>#REF!</v>
      </c>
      <c r="AH162" s="44" t="e">
        <f>-SUMIF(#REF!,$A162,#REF!)</f>
        <v>#REF!</v>
      </c>
      <c r="AI162" s="44" t="e">
        <f>-SUMIF(#REF!,$A162,#REF!)</f>
        <v>#REF!</v>
      </c>
      <c r="AJ162" s="44" t="e">
        <f>-SUMIF(#REF!,$A162,#REF!)</f>
        <v>#REF!</v>
      </c>
      <c r="AK162" s="44" t="e">
        <f>-SUMIF(#REF!,$A162,#REF!)</f>
        <v>#REF!</v>
      </c>
      <c r="AL162" s="44" t="e">
        <f>-SUMIF(#REF!,$A162,#REF!)</f>
        <v>#REF!</v>
      </c>
      <c r="AM162" s="44" t="e">
        <f>-SUMIF(#REF!,$A162,#REF!)</f>
        <v>#REF!</v>
      </c>
      <c r="AN162" s="44" t="e">
        <f>-SUMIF(#REF!,$A162,#REF!)</f>
        <v>#REF!</v>
      </c>
      <c r="AO162" s="44" t="e">
        <f>-SUMIF(#REF!,$A162,#REF!)</f>
        <v>#REF!</v>
      </c>
    </row>
    <row r="163" spans="1:42" x14ac:dyDescent="0.25">
      <c r="A163" s="42">
        <v>800001</v>
      </c>
      <c r="B163" s="43" t="s">
        <v>1099</v>
      </c>
      <c r="C163" s="44" t="e">
        <f t="shared" si="102"/>
        <v>#REF!</v>
      </c>
      <c r="D163" s="44" t="e">
        <f t="shared" si="102"/>
        <v>#REF!</v>
      </c>
      <c r="E163" s="44" t="e">
        <f t="shared" si="102"/>
        <v>#REF!</v>
      </c>
      <c r="F163" s="44" t="e">
        <f t="shared" si="102"/>
        <v>#REF!</v>
      </c>
      <c r="G163" s="44" t="e">
        <f t="shared" si="102"/>
        <v>#REF!</v>
      </c>
      <c r="H163" s="44" t="e">
        <f t="shared" si="102"/>
        <v>#REF!</v>
      </c>
      <c r="I163" s="44" t="e">
        <f t="shared" si="102"/>
        <v>#REF!</v>
      </c>
      <c r="J163" s="44" t="e">
        <f t="shared" si="102"/>
        <v>#REF!</v>
      </c>
      <c r="K163" s="44" t="e">
        <f t="shared" si="102"/>
        <v>#REF!</v>
      </c>
      <c r="L163" s="44" t="e">
        <f t="shared" si="102"/>
        <v>#REF!</v>
      </c>
      <c r="M163" s="44" t="e">
        <f t="shared" si="102"/>
        <v>#REF!</v>
      </c>
      <c r="N163" s="44">
        <f t="shared" si="102"/>
        <v>0</v>
      </c>
      <c r="Q163" s="44" t="e">
        <f>-SUMIF(#REF!,$A163,#REF!)</f>
        <v>#REF!</v>
      </c>
      <c r="R163" s="44">
        <f>-SUMIF(ALIF_Y2014!$A:$A,$A163,ALIF_Y2014!$F:$F)</f>
        <v>0</v>
      </c>
      <c r="S163" s="44">
        <f>-SUMIF(ALIF_Y2015!$A:$A,$A163,ALIF_Y2015!$F:$F)</f>
        <v>0</v>
      </c>
      <c r="T163" s="44">
        <f>-SUMIF(ALIF_Y2016!$A:$A,$A163,ALIF_Y2016!$F:$F)</f>
        <v>0</v>
      </c>
      <c r="U163" s="44">
        <f>-SUMIF(ALIF_Y2017!$A:$A,$A163,ALIF_Y2017!$F:$F)</f>
        <v>0</v>
      </c>
      <c r="V163" s="44">
        <f>-SUMIF(ALIF_Y2018!$A:$A,$A163,ALIF_Y2018!$F:$F)</f>
        <v>0</v>
      </c>
      <c r="W163" s="44">
        <f>-SUMIF(ALIF_Y2019!$A:$A,$A163,ALIF_Y2019!$F:$F)</f>
        <v>0</v>
      </c>
      <c r="X163" s="44">
        <f>-SUMIF(ALIF_Y2020!$A:$A,$A163,ALIF_Y2020!$F:$F)</f>
        <v>444285</v>
      </c>
      <c r="Y163" s="44">
        <f>-SUMIF(ALIF_Y2021!$A:$A,$A163,ALIF_Y2021!$F:$F)</f>
        <v>0</v>
      </c>
      <c r="Z163" s="44">
        <f>-SUMIF(ALIF_Y2022!$A:$A,$A163,ALIF_Y2022!$F:$F)</f>
        <v>0</v>
      </c>
      <c r="AA163" s="44">
        <f>-SUMIF(ALIF_Y2023!$A:$A,$A163,ALIF_Y2023!$F:$F)</f>
        <v>0</v>
      </c>
      <c r="AE163" s="44" t="e">
        <f>-SUMIF(#REF!,$A163,#REF!)</f>
        <v>#REF!</v>
      </c>
      <c r="AF163" s="44" t="e">
        <f>-SUMIF(#REF!,$A163,#REF!)</f>
        <v>#REF!</v>
      </c>
      <c r="AG163" s="44" t="e">
        <f>-SUMIF(#REF!,$A163,#REF!)</f>
        <v>#REF!</v>
      </c>
      <c r="AH163" s="44" t="e">
        <f>-SUMIF(#REF!,$A163,#REF!)</f>
        <v>#REF!</v>
      </c>
      <c r="AI163" s="44" t="e">
        <f>-SUMIF(#REF!,$A163,#REF!)</f>
        <v>#REF!</v>
      </c>
      <c r="AJ163" s="44" t="e">
        <f>-SUMIF(#REF!,$A163,#REF!)</f>
        <v>#REF!</v>
      </c>
      <c r="AK163" s="44" t="e">
        <f>-SUMIF(#REF!,$A163,#REF!)</f>
        <v>#REF!</v>
      </c>
      <c r="AL163" s="44" t="e">
        <f>-SUMIF(#REF!,$A163,#REF!)</f>
        <v>#REF!</v>
      </c>
      <c r="AM163" s="44" t="e">
        <f>-SUMIF(#REF!,$A163,#REF!)</f>
        <v>#REF!</v>
      </c>
      <c r="AN163" s="44" t="e">
        <f>-SUMIF(#REF!,$A163,#REF!)</f>
        <v>#REF!</v>
      </c>
      <c r="AO163" s="44" t="e">
        <f>-SUMIF(#REF!,$A163,#REF!)</f>
        <v>#REF!</v>
      </c>
    </row>
    <row r="164" spans="1:42" x14ac:dyDescent="0.25">
      <c r="A164" s="42">
        <v>800002</v>
      </c>
      <c r="B164" s="43" t="s">
        <v>1100</v>
      </c>
      <c r="C164" s="44" t="e">
        <f t="shared" si="102"/>
        <v>#REF!</v>
      </c>
      <c r="D164" s="44" t="e">
        <f t="shared" si="102"/>
        <v>#REF!</v>
      </c>
      <c r="E164" s="44" t="e">
        <f t="shared" si="102"/>
        <v>#REF!</v>
      </c>
      <c r="F164" s="44" t="e">
        <f t="shared" si="102"/>
        <v>#REF!</v>
      </c>
      <c r="G164" s="44" t="e">
        <f t="shared" si="102"/>
        <v>#REF!</v>
      </c>
      <c r="H164" s="44" t="e">
        <f t="shared" si="102"/>
        <v>#REF!</v>
      </c>
      <c r="I164" s="44" t="e">
        <f t="shared" si="102"/>
        <v>#REF!</v>
      </c>
      <c r="J164" s="44" t="e">
        <f t="shared" si="102"/>
        <v>#REF!</v>
      </c>
      <c r="K164" s="44" t="e">
        <f t="shared" si="102"/>
        <v>#REF!</v>
      </c>
      <c r="L164" s="44" t="e">
        <f t="shared" si="102"/>
        <v>#REF!</v>
      </c>
      <c r="M164" s="44" t="e">
        <f t="shared" si="102"/>
        <v>#REF!</v>
      </c>
      <c r="N164" s="44">
        <f t="shared" si="102"/>
        <v>0</v>
      </c>
      <c r="Q164" s="44" t="e">
        <f>-SUMIF(#REF!,$A164,#REF!)</f>
        <v>#REF!</v>
      </c>
      <c r="R164" s="44">
        <f>-SUMIF(ALIF_Y2014!$A:$A,$A164,ALIF_Y2014!$F:$F)</f>
        <v>0</v>
      </c>
      <c r="S164" s="44">
        <f>-SUMIF(ALIF_Y2015!$A:$A,$A164,ALIF_Y2015!$F:$F)</f>
        <v>0</v>
      </c>
      <c r="T164" s="44">
        <f>-SUMIF(ALIF_Y2016!$A:$A,$A164,ALIF_Y2016!$F:$F)</f>
        <v>0</v>
      </c>
      <c r="U164" s="44">
        <f>-SUMIF(ALIF_Y2017!$A:$A,$A164,ALIF_Y2017!$F:$F)</f>
        <v>0</v>
      </c>
      <c r="V164" s="44">
        <f>-SUMIF(ALIF_Y2018!$A:$A,$A164,ALIF_Y2018!$F:$F)</f>
        <v>0</v>
      </c>
      <c r="W164" s="44">
        <f>-SUMIF(ALIF_Y2019!$A:$A,$A164,ALIF_Y2019!$F:$F)</f>
        <v>0</v>
      </c>
      <c r="X164" s="44">
        <f>-SUMIF(ALIF_Y2020!$A:$A,$A164,ALIF_Y2020!$F:$F)</f>
        <v>0</v>
      </c>
      <c r="Y164" s="44">
        <f>-SUMIF(ALIF_Y2021!$A:$A,$A164,ALIF_Y2021!$F:$F)</f>
        <v>0</v>
      </c>
      <c r="Z164" s="44">
        <f>-SUMIF(ALIF_Y2022!$A:$A,$A164,ALIF_Y2022!$F:$F)</f>
        <v>-700886</v>
      </c>
      <c r="AA164" s="44">
        <f>-SUMIF(ALIF_Y2023!$A:$A,$A164,ALIF_Y2023!$F:$F)</f>
        <v>0</v>
      </c>
      <c r="AE164" s="44" t="e">
        <f>-SUMIF(#REF!,$A164,#REF!)</f>
        <v>#REF!</v>
      </c>
      <c r="AF164" s="44" t="e">
        <f>-SUMIF(#REF!,$A164,#REF!)</f>
        <v>#REF!</v>
      </c>
      <c r="AG164" s="44" t="e">
        <f>-SUMIF(#REF!,$A164,#REF!)</f>
        <v>#REF!</v>
      </c>
      <c r="AH164" s="44" t="e">
        <f>-SUMIF(#REF!,$A164,#REF!)</f>
        <v>#REF!</v>
      </c>
      <c r="AI164" s="44" t="e">
        <f>-SUMIF(#REF!,$A164,#REF!)</f>
        <v>#REF!</v>
      </c>
      <c r="AJ164" s="44" t="e">
        <f>-SUMIF(#REF!,$A164,#REF!)</f>
        <v>#REF!</v>
      </c>
      <c r="AK164" s="44" t="e">
        <f>-SUMIF(#REF!,$A164,#REF!)</f>
        <v>#REF!</v>
      </c>
      <c r="AL164" s="44" t="e">
        <f>-SUMIF(#REF!,$A164,#REF!)</f>
        <v>#REF!</v>
      </c>
      <c r="AM164" s="44" t="e">
        <f>-SUMIF(#REF!,$A164,#REF!)</f>
        <v>#REF!</v>
      </c>
      <c r="AN164" s="44" t="e">
        <f>-SUMIF(#REF!,$A164,#REF!)</f>
        <v>#REF!</v>
      </c>
      <c r="AO164" s="44" t="e">
        <f>-SUMIF(#REF!,$A164,#REF!)</f>
        <v>#REF!</v>
      </c>
    </row>
    <row r="165" spans="1:42" ht="7.9" customHeight="1" x14ac:dyDescent="0.25">
      <c r="C165" s="144"/>
      <c r="D165" s="144"/>
      <c r="E165" s="144"/>
      <c r="F165" s="144"/>
      <c r="G165" s="144"/>
      <c r="H165" s="144"/>
      <c r="I165" s="144"/>
      <c r="J165" s="144"/>
      <c r="K165" s="144"/>
      <c r="L165" s="144"/>
      <c r="M165" s="144"/>
      <c r="N165" s="144"/>
      <c r="Q165" s="144"/>
      <c r="R165" s="144"/>
      <c r="S165" s="144"/>
      <c r="T165" s="144"/>
      <c r="U165" s="144"/>
      <c r="V165" s="144"/>
      <c r="W165" s="144"/>
      <c r="X165" s="144"/>
      <c r="Y165" s="144"/>
      <c r="Z165" s="144"/>
      <c r="AA165" s="144"/>
      <c r="AB165" s="144"/>
      <c r="AE165" s="144"/>
      <c r="AF165" s="144"/>
      <c r="AG165" s="144"/>
      <c r="AH165" s="144"/>
      <c r="AI165" s="144"/>
      <c r="AJ165" s="144"/>
      <c r="AK165" s="144"/>
      <c r="AL165" s="144"/>
      <c r="AM165" s="144"/>
      <c r="AN165" s="144"/>
      <c r="AO165" s="144"/>
      <c r="AP165" s="144"/>
    </row>
    <row r="166" spans="1:42" x14ac:dyDescent="0.25">
      <c r="A166" s="41"/>
      <c r="C166" s="45" t="e">
        <f t="shared" ref="C166:N166" si="103">SUM(C161:C165)</f>
        <v>#REF!</v>
      </c>
      <c r="D166" s="45" t="e">
        <f t="shared" si="103"/>
        <v>#REF!</v>
      </c>
      <c r="E166" s="45" t="e">
        <f t="shared" si="103"/>
        <v>#REF!</v>
      </c>
      <c r="F166" s="45" t="e">
        <f t="shared" si="103"/>
        <v>#REF!</v>
      </c>
      <c r="G166" s="45" t="e">
        <f t="shared" si="103"/>
        <v>#REF!</v>
      </c>
      <c r="H166" s="45" t="e">
        <f t="shared" si="103"/>
        <v>#REF!</v>
      </c>
      <c r="I166" s="45" t="e">
        <f t="shared" si="103"/>
        <v>#REF!</v>
      </c>
      <c r="J166" s="45" t="e">
        <f t="shared" si="103"/>
        <v>#REF!</v>
      </c>
      <c r="K166" s="45" t="e">
        <f t="shared" si="103"/>
        <v>#REF!</v>
      </c>
      <c r="L166" s="45" t="e">
        <f t="shared" si="103"/>
        <v>#REF!</v>
      </c>
      <c r="M166" s="45" t="e">
        <f t="shared" si="103"/>
        <v>#REF!</v>
      </c>
      <c r="N166" s="45">
        <f t="shared" si="103"/>
        <v>0</v>
      </c>
      <c r="Q166" s="45" t="e">
        <f t="shared" ref="Q166:AB166" si="104">SUM(Q161:Q165)</f>
        <v>#REF!</v>
      </c>
      <c r="R166" s="45">
        <f t="shared" si="104"/>
        <v>0</v>
      </c>
      <c r="S166" s="45">
        <f t="shared" si="104"/>
        <v>0</v>
      </c>
      <c r="T166" s="45">
        <f t="shared" si="104"/>
        <v>0</v>
      </c>
      <c r="U166" s="45">
        <f t="shared" si="104"/>
        <v>31714781.920000002</v>
      </c>
      <c r="V166" s="45">
        <f t="shared" si="104"/>
        <v>7696296.1699999999</v>
      </c>
      <c r="W166" s="45">
        <f t="shared" si="104"/>
        <v>502289.05</v>
      </c>
      <c r="X166" s="45">
        <f t="shared" si="104"/>
        <v>277914.95</v>
      </c>
      <c r="Y166" s="45">
        <f t="shared" si="104"/>
        <v>-146154.65599999999</v>
      </c>
      <c r="Z166" s="45">
        <f t="shared" si="104"/>
        <v>398110.60400000005</v>
      </c>
      <c r="AA166" s="45">
        <f t="shared" si="104"/>
        <v>-16923359.736000001</v>
      </c>
      <c r="AB166" s="45">
        <f t="shared" si="104"/>
        <v>0</v>
      </c>
      <c r="AE166" s="45" t="e">
        <f t="shared" ref="AE166:AO166" si="105">SUM(AE161:AE165)</f>
        <v>#REF!</v>
      </c>
      <c r="AF166" s="45" t="e">
        <f t="shared" si="105"/>
        <v>#REF!</v>
      </c>
      <c r="AG166" s="45" t="e">
        <f t="shared" si="105"/>
        <v>#REF!</v>
      </c>
      <c r="AH166" s="45" t="e">
        <f t="shared" si="105"/>
        <v>#REF!</v>
      </c>
      <c r="AI166" s="45" t="e">
        <f t="shared" si="105"/>
        <v>#REF!</v>
      </c>
      <c r="AJ166" s="45" t="e">
        <f t="shared" si="105"/>
        <v>#REF!</v>
      </c>
      <c r="AK166" s="45" t="e">
        <f t="shared" si="105"/>
        <v>#REF!</v>
      </c>
      <c r="AL166" s="45" t="e">
        <f t="shared" si="105"/>
        <v>#REF!</v>
      </c>
      <c r="AM166" s="45" t="e">
        <f t="shared" si="105"/>
        <v>#REF!</v>
      </c>
      <c r="AN166" s="45" t="e">
        <f t="shared" si="105"/>
        <v>#REF!</v>
      </c>
      <c r="AO166" s="45" t="e">
        <f t="shared" si="105"/>
        <v>#REF!</v>
      </c>
    </row>
    <row r="167" spans="1:42" x14ac:dyDescent="0.25">
      <c r="A167" s="41"/>
      <c r="Q167" s="45"/>
      <c r="R167" s="45"/>
      <c r="S167" s="45"/>
      <c r="T167" s="45"/>
      <c r="U167" s="45"/>
      <c r="V167" s="45"/>
      <c r="W167" s="45"/>
      <c r="X167" s="45"/>
      <c r="Y167" s="45"/>
      <c r="Z167" s="45"/>
      <c r="AA167" s="45"/>
      <c r="AB167" s="45"/>
      <c r="AE167" s="45"/>
      <c r="AF167" s="45"/>
      <c r="AG167" s="45"/>
      <c r="AH167" s="45"/>
      <c r="AI167" s="45"/>
      <c r="AJ167" s="45"/>
      <c r="AK167" s="45"/>
      <c r="AL167" s="45"/>
      <c r="AM167" s="45"/>
      <c r="AN167" s="45"/>
      <c r="AO167" s="45"/>
    </row>
    <row r="168" spans="1:42" x14ac:dyDescent="0.25">
      <c r="A168" s="41" t="s">
        <v>1334</v>
      </c>
      <c r="Q168" s="45"/>
      <c r="R168" s="45"/>
      <c r="S168" s="45"/>
      <c r="T168" s="45"/>
      <c r="U168" s="45"/>
      <c r="V168" s="45"/>
      <c r="W168" s="45"/>
      <c r="X168" s="45"/>
      <c r="Y168" s="45"/>
      <c r="Z168" s="45"/>
      <c r="AA168" s="45"/>
      <c r="AB168" s="45"/>
      <c r="AE168" s="45"/>
      <c r="AF168" s="45"/>
      <c r="AG168" s="45"/>
      <c r="AH168" s="45"/>
      <c r="AI168" s="45"/>
      <c r="AJ168" s="45"/>
      <c r="AK168" s="45"/>
      <c r="AL168" s="45"/>
      <c r="AM168" s="45"/>
      <c r="AN168" s="45"/>
      <c r="AO168" s="45"/>
    </row>
    <row r="169" spans="1:42" x14ac:dyDescent="0.25">
      <c r="A169" s="42">
        <v>150002</v>
      </c>
      <c r="B169" s="43" t="s">
        <v>860</v>
      </c>
      <c r="C169" s="44" t="e">
        <f t="shared" ref="C169:N170" si="106">Q169+AE169</f>
        <v>#REF!</v>
      </c>
      <c r="D169" s="44" t="e">
        <f t="shared" si="106"/>
        <v>#REF!</v>
      </c>
      <c r="E169" s="44" t="e">
        <f t="shared" si="106"/>
        <v>#REF!</v>
      </c>
      <c r="F169" s="44" t="e">
        <f t="shared" si="106"/>
        <v>#REF!</v>
      </c>
      <c r="G169" s="44" t="e">
        <f t="shared" si="106"/>
        <v>#REF!</v>
      </c>
      <c r="H169" s="44" t="e">
        <f t="shared" si="106"/>
        <v>#REF!</v>
      </c>
      <c r="I169" s="44" t="e">
        <f t="shared" si="106"/>
        <v>#REF!</v>
      </c>
      <c r="J169" s="44" t="e">
        <f t="shared" si="106"/>
        <v>#REF!</v>
      </c>
      <c r="K169" s="44" t="e">
        <f t="shared" si="106"/>
        <v>#REF!</v>
      </c>
      <c r="L169" s="44" t="e">
        <f t="shared" si="106"/>
        <v>#REF!</v>
      </c>
      <c r="M169" s="44" t="e">
        <f t="shared" si="106"/>
        <v>#REF!</v>
      </c>
      <c r="N169" s="44">
        <f t="shared" si="106"/>
        <v>0</v>
      </c>
      <c r="Q169" s="44" t="e">
        <f>-SUMIF(#REF!,$A169,#REF!)</f>
        <v>#REF!</v>
      </c>
      <c r="R169" s="44">
        <f>-SUMIF(ALIF_Y2014!$A:$A,$A169,ALIF_Y2014!$F:$F)</f>
        <v>0</v>
      </c>
      <c r="S169" s="44">
        <f>-SUMIF(ALIF_Y2015!$A:$A,$A169,ALIF_Y2015!$F:$F)</f>
        <v>0</v>
      </c>
      <c r="T169" s="44">
        <f>-SUMIF(ALIF_Y2016!$A:$A,$A169,ALIF_Y2016!$F:$F)</f>
        <v>0</v>
      </c>
      <c r="U169" s="44">
        <f>-SUMIF(ALIF_Y2017!$A:$A,$A169,ALIF_Y2017!$F:$F)</f>
        <v>0</v>
      </c>
      <c r="V169" s="44">
        <f>-SUMIF(ALIF_Y2018!$A:$A,$A169,ALIF_Y2018!$F:$F)</f>
        <v>0</v>
      </c>
      <c r="W169" s="44">
        <f>-SUMIF(ALIF_Y2019!$A:$A,$A169,ALIF_Y2019!$F:$F)</f>
        <v>0</v>
      </c>
      <c r="X169" s="44">
        <f>-SUMIF(ALIF_Y2020!$A:$A,$A169,ALIF_Y2020!$F:$F)</f>
        <v>-3107455</v>
      </c>
      <c r="Y169" s="44">
        <f>-SUMIF(ALIF_Y2021!$A:$A,$A169,ALIF_Y2021!$F:$F)</f>
        <v>-2388782</v>
      </c>
      <c r="Z169" s="44">
        <f>-SUMIF(ALIF_Y2022!$A:$A,$A169,ALIF_Y2022!$F:$F)</f>
        <v>-2374238</v>
      </c>
      <c r="AA169" s="44">
        <f>-SUMIF(ALIF_Y2023!$A:$A,$A169,ALIF_Y2023!$F:$F)</f>
        <v>-2371988</v>
      </c>
      <c r="AE169" s="44" t="e">
        <f>-SUMIF(#REF!,$A169,#REF!)</f>
        <v>#REF!</v>
      </c>
      <c r="AF169" s="44" t="e">
        <f>-SUMIF(#REF!,$A169,#REF!)</f>
        <v>#REF!</v>
      </c>
      <c r="AG169" s="44" t="e">
        <f>-SUMIF(#REF!,$A169,#REF!)</f>
        <v>#REF!</v>
      </c>
      <c r="AH169" s="44" t="e">
        <f>-SUMIF(#REF!,$A169,#REF!)</f>
        <v>#REF!</v>
      </c>
      <c r="AI169" s="44" t="e">
        <f>-SUMIF(#REF!,$A169,#REF!)</f>
        <v>#REF!</v>
      </c>
      <c r="AJ169" s="44" t="e">
        <f>-SUMIF(#REF!,$A169,#REF!)</f>
        <v>#REF!</v>
      </c>
      <c r="AK169" s="44" t="e">
        <f>-SUMIF(#REF!,$A169,#REF!)</f>
        <v>#REF!</v>
      </c>
      <c r="AL169" s="44" t="e">
        <f>-SUMIF(#REF!,$A169,#REF!)</f>
        <v>#REF!</v>
      </c>
      <c r="AM169" s="44" t="e">
        <f>-SUMIF(#REF!,$A169,#REF!)</f>
        <v>#REF!</v>
      </c>
      <c r="AN169" s="44" t="e">
        <f>-SUMIF(#REF!,$A169,#REF!)</f>
        <v>#REF!</v>
      </c>
      <c r="AO169" s="44" t="e">
        <f>-SUMIF(#REF!,$A169,#REF!)</f>
        <v>#REF!</v>
      </c>
    </row>
    <row r="170" spans="1:42" x14ac:dyDescent="0.25">
      <c r="A170" s="42">
        <v>260002</v>
      </c>
      <c r="B170" s="43" t="s">
        <v>923</v>
      </c>
      <c r="C170" s="44" t="e">
        <f t="shared" si="106"/>
        <v>#REF!</v>
      </c>
      <c r="D170" s="44" t="e">
        <f t="shared" si="106"/>
        <v>#REF!</v>
      </c>
      <c r="E170" s="44" t="e">
        <f t="shared" si="106"/>
        <v>#REF!</v>
      </c>
      <c r="F170" s="44" t="e">
        <f t="shared" si="106"/>
        <v>#REF!</v>
      </c>
      <c r="G170" s="44" t="e">
        <f t="shared" si="106"/>
        <v>#REF!</v>
      </c>
      <c r="H170" s="44" t="e">
        <f t="shared" si="106"/>
        <v>#REF!</v>
      </c>
      <c r="I170" s="44" t="e">
        <f t="shared" si="106"/>
        <v>#REF!</v>
      </c>
      <c r="J170" s="44" t="e">
        <f t="shared" si="106"/>
        <v>#REF!</v>
      </c>
      <c r="K170" s="44" t="e">
        <f t="shared" si="106"/>
        <v>#REF!</v>
      </c>
      <c r="L170" s="44" t="e">
        <f t="shared" si="106"/>
        <v>#REF!</v>
      </c>
      <c r="M170" s="44" t="e">
        <f t="shared" si="106"/>
        <v>#REF!</v>
      </c>
      <c r="N170" s="44">
        <f t="shared" si="106"/>
        <v>0</v>
      </c>
      <c r="Q170" s="44" t="e">
        <f>-SUMIF(#REF!,$A170,#REF!)</f>
        <v>#REF!</v>
      </c>
      <c r="R170" s="44">
        <f>-SUMIF(ALIF_Y2014!$A:$A,$A170,ALIF_Y2014!$F:$F)</f>
        <v>2925857.71</v>
      </c>
      <c r="S170" s="44">
        <f>-SUMIF(ALIF_Y2015!$A:$A,$A170,ALIF_Y2015!$F:$F)</f>
        <v>2992687.9419999998</v>
      </c>
      <c r="T170" s="44">
        <f>-SUMIF(ALIF_Y2016!$A:$A,$A170,ALIF_Y2016!$F:$F)</f>
        <v>4649375</v>
      </c>
      <c r="U170" s="44">
        <f>-SUMIF(ALIF_Y2017!$A:$A,$A170,ALIF_Y2017!$F:$F)</f>
        <v>4847761</v>
      </c>
      <c r="V170" s="44">
        <f>-SUMIF(ALIF_Y2018!$A:$A,$A170,ALIF_Y2018!$F:$F)</f>
        <v>4633898</v>
      </c>
      <c r="W170" s="44">
        <f>-SUMIF(ALIF_Y2019!$A:$A,$A170,ALIF_Y2019!$F:$F)</f>
        <v>4294641</v>
      </c>
      <c r="X170" s="44">
        <f>-SUMIF(ALIF_Y2020!$A:$A,$A170,ALIF_Y2020!$F:$F)</f>
        <v>7512895</v>
      </c>
      <c r="Y170" s="44">
        <f>-SUMIF(ALIF_Y2021!$A:$A,$A170,ALIF_Y2021!$F:$F)</f>
        <v>6280744</v>
      </c>
      <c r="Z170" s="44">
        <f>-SUMIF(ALIF_Y2022!$A:$A,$A170,ALIF_Y2022!$F:$F)</f>
        <v>6809005</v>
      </c>
      <c r="AA170" s="44">
        <f>-SUMIF(ALIF_Y2023!$A:$A,$A170,ALIF_Y2023!$F:$F)</f>
        <v>8171258.3200000003</v>
      </c>
      <c r="AE170" s="44" t="e">
        <f>-SUMIF(#REF!,$A170,#REF!)</f>
        <v>#REF!</v>
      </c>
      <c r="AF170" s="44" t="e">
        <f>-SUMIF(#REF!,$A170,#REF!)</f>
        <v>#REF!</v>
      </c>
      <c r="AG170" s="44" t="e">
        <f>-SUMIF(#REF!,$A170,#REF!)</f>
        <v>#REF!</v>
      </c>
      <c r="AH170" s="44" t="e">
        <f>-SUMIF(#REF!,$A170,#REF!)</f>
        <v>#REF!</v>
      </c>
      <c r="AI170" s="44" t="e">
        <f>-SUMIF(#REF!,$A170,#REF!)</f>
        <v>#REF!</v>
      </c>
      <c r="AJ170" s="44" t="e">
        <f>-SUMIF(#REF!,$A170,#REF!)</f>
        <v>#REF!</v>
      </c>
      <c r="AK170" s="44" t="e">
        <f>-SUMIF(#REF!,$A170,#REF!)</f>
        <v>#REF!</v>
      </c>
      <c r="AL170" s="44" t="e">
        <f>-SUMIF(#REF!,$A170,#REF!)</f>
        <v>#REF!</v>
      </c>
      <c r="AM170" s="44" t="e">
        <f>-SUMIF(#REF!,$A170,#REF!)</f>
        <v>#REF!</v>
      </c>
      <c r="AN170" s="44" t="e">
        <f>-SUMIF(#REF!,$A170,#REF!)</f>
        <v>#REF!</v>
      </c>
      <c r="AO170" s="44" t="e">
        <f>-SUMIF(#REF!,$A170,#REF!)</f>
        <v>#REF!</v>
      </c>
    </row>
    <row r="171" spans="1:42" ht="7.9" customHeight="1" x14ac:dyDescent="0.25">
      <c r="C171" s="144"/>
      <c r="D171" s="144"/>
      <c r="E171" s="144"/>
      <c r="F171" s="144"/>
      <c r="G171" s="144"/>
      <c r="H171" s="144"/>
      <c r="I171" s="144"/>
      <c r="J171" s="144"/>
      <c r="K171" s="144"/>
      <c r="L171" s="144"/>
      <c r="M171" s="144"/>
      <c r="N171" s="144"/>
      <c r="Q171" s="144"/>
      <c r="R171" s="144"/>
      <c r="S171" s="144"/>
      <c r="T171" s="144"/>
      <c r="U171" s="144"/>
      <c r="V171" s="144"/>
      <c r="W171" s="144"/>
      <c r="X171" s="144"/>
      <c r="Y171" s="144"/>
      <c r="Z171" s="144"/>
      <c r="AA171" s="144"/>
      <c r="AB171" s="144"/>
      <c r="AE171" s="144"/>
      <c r="AF171" s="144"/>
      <c r="AG171" s="144"/>
      <c r="AH171" s="144"/>
      <c r="AI171" s="144"/>
      <c r="AJ171" s="144"/>
      <c r="AK171" s="144"/>
      <c r="AL171" s="144"/>
      <c r="AM171" s="144"/>
      <c r="AN171" s="144"/>
      <c r="AO171" s="144"/>
      <c r="AP171" s="144"/>
    </row>
    <row r="172" spans="1:42" x14ac:dyDescent="0.25">
      <c r="A172" s="41"/>
      <c r="C172" s="45" t="e">
        <f t="shared" ref="C172:N172" si="107">SUM(C169:C171)</f>
        <v>#REF!</v>
      </c>
      <c r="D172" s="45" t="e">
        <f t="shared" si="107"/>
        <v>#REF!</v>
      </c>
      <c r="E172" s="45" t="e">
        <f t="shared" si="107"/>
        <v>#REF!</v>
      </c>
      <c r="F172" s="45" t="e">
        <f t="shared" si="107"/>
        <v>#REF!</v>
      </c>
      <c r="G172" s="45" t="e">
        <f t="shared" si="107"/>
        <v>#REF!</v>
      </c>
      <c r="H172" s="45" t="e">
        <f t="shared" si="107"/>
        <v>#REF!</v>
      </c>
      <c r="I172" s="45" t="e">
        <f t="shared" si="107"/>
        <v>#REF!</v>
      </c>
      <c r="J172" s="45" t="e">
        <f t="shared" si="107"/>
        <v>#REF!</v>
      </c>
      <c r="K172" s="45" t="e">
        <f t="shared" si="107"/>
        <v>#REF!</v>
      </c>
      <c r="L172" s="45" t="e">
        <f t="shared" si="107"/>
        <v>#REF!</v>
      </c>
      <c r="M172" s="45" t="e">
        <f t="shared" si="107"/>
        <v>#REF!</v>
      </c>
      <c r="N172" s="45">
        <f t="shared" si="107"/>
        <v>0</v>
      </c>
      <c r="Q172" s="45" t="e">
        <f t="shared" ref="Q172:AB172" si="108">SUM(Q169:Q171)</f>
        <v>#REF!</v>
      </c>
      <c r="R172" s="45">
        <f t="shared" si="108"/>
        <v>2925857.71</v>
      </c>
      <c r="S172" s="45">
        <f t="shared" si="108"/>
        <v>2992687.9419999998</v>
      </c>
      <c r="T172" s="45">
        <f t="shared" si="108"/>
        <v>4649375</v>
      </c>
      <c r="U172" s="45">
        <f t="shared" si="108"/>
        <v>4847761</v>
      </c>
      <c r="V172" s="45">
        <f t="shared" si="108"/>
        <v>4633898</v>
      </c>
      <c r="W172" s="45">
        <f t="shared" si="108"/>
        <v>4294641</v>
      </c>
      <c r="X172" s="45">
        <f t="shared" si="108"/>
        <v>4405440</v>
      </c>
      <c r="Y172" s="45">
        <f t="shared" si="108"/>
        <v>3891962</v>
      </c>
      <c r="Z172" s="45">
        <f t="shared" si="108"/>
        <v>4434767</v>
      </c>
      <c r="AA172" s="45">
        <f t="shared" si="108"/>
        <v>5799270.3200000003</v>
      </c>
      <c r="AB172" s="45">
        <f t="shared" si="108"/>
        <v>0</v>
      </c>
      <c r="AE172" s="45" t="e">
        <f t="shared" ref="AE172:AO172" si="109">SUM(AE169:AE171)</f>
        <v>#REF!</v>
      </c>
      <c r="AF172" s="45" t="e">
        <f t="shared" si="109"/>
        <v>#REF!</v>
      </c>
      <c r="AG172" s="45" t="e">
        <f t="shared" si="109"/>
        <v>#REF!</v>
      </c>
      <c r="AH172" s="45" t="e">
        <f t="shared" si="109"/>
        <v>#REF!</v>
      </c>
      <c r="AI172" s="45" t="e">
        <f t="shared" si="109"/>
        <v>#REF!</v>
      </c>
      <c r="AJ172" s="45" t="e">
        <f t="shared" si="109"/>
        <v>#REF!</v>
      </c>
      <c r="AK172" s="45" t="e">
        <f t="shared" si="109"/>
        <v>#REF!</v>
      </c>
      <c r="AL172" s="45" t="e">
        <f t="shared" si="109"/>
        <v>#REF!</v>
      </c>
      <c r="AM172" s="45" t="e">
        <f t="shared" si="109"/>
        <v>#REF!</v>
      </c>
      <c r="AN172" s="45" t="e">
        <f t="shared" si="109"/>
        <v>#REF!</v>
      </c>
      <c r="AO172" s="45" t="e">
        <f t="shared" si="109"/>
        <v>#REF!</v>
      </c>
    </row>
    <row r="173" spans="1:42" x14ac:dyDescent="0.25">
      <c r="A173" s="41"/>
      <c r="Q173" s="45"/>
      <c r="R173" s="45"/>
      <c r="S173" s="45"/>
      <c r="T173" s="45"/>
      <c r="U173" s="45"/>
      <c r="V173" s="45"/>
      <c r="W173" s="45"/>
      <c r="X173" s="45"/>
      <c r="Y173" s="45"/>
      <c r="Z173" s="45"/>
      <c r="AA173" s="45"/>
      <c r="AB173" s="45"/>
      <c r="AE173" s="45"/>
      <c r="AF173" s="45"/>
      <c r="AG173" s="45"/>
      <c r="AH173" s="45"/>
      <c r="AI173" s="45"/>
      <c r="AJ173" s="45"/>
      <c r="AK173" s="45"/>
      <c r="AL173" s="45"/>
      <c r="AM173" s="45"/>
      <c r="AN173" s="45"/>
      <c r="AO173" s="45"/>
    </row>
    <row r="174" spans="1:42" x14ac:dyDescent="0.25">
      <c r="A174" s="41" t="s">
        <v>1335</v>
      </c>
      <c r="Q174" s="45"/>
      <c r="R174" s="45"/>
      <c r="S174" s="45"/>
      <c r="T174" s="45"/>
      <c r="U174" s="45"/>
      <c r="V174" s="45"/>
      <c r="W174" s="45"/>
      <c r="X174" s="45"/>
      <c r="Y174" s="45"/>
      <c r="Z174" s="45"/>
      <c r="AA174" s="45"/>
      <c r="AB174" s="45"/>
      <c r="AE174" s="45"/>
      <c r="AF174" s="45"/>
      <c r="AG174" s="45"/>
      <c r="AH174" s="45"/>
      <c r="AI174" s="45"/>
      <c r="AJ174" s="45"/>
      <c r="AK174" s="45"/>
      <c r="AL174" s="45"/>
      <c r="AM174" s="45"/>
      <c r="AN174" s="45"/>
      <c r="AO174" s="45"/>
    </row>
    <row r="175" spans="1:42" x14ac:dyDescent="0.25">
      <c r="A175" s="42">
        <v>260005</v>
      </c>
      <c r="B175" s="43" t="s">
        <v>926</v>
      </c>
      <c r="C175" s="44" t="e">
        <f t="shared" ref="C175:N175" si="110">Q175+AE175</f>
        <v>#REF!</v>
      </c>
      <c r="D175" s="44" t="e">
        <f t="shared" si="110"/>
        <v>#REF!</v>
      </c>
      <c r="E175" s="44" t="e">
        <f t="shared" si="110"/>
        <v>#REF!</v>
      </c>
      <c r="F175" s="44" t="e">
        <f t="shared" si="110"/>
        <v>#REF!</v>
      </c>
      <c r="G175" s="44" t="e">
        <f t="shared" si="110"/>
        <v>#REF!</v>
      </c>
      <c r="H175" s="44" t="e">
        <f t="shared" si="110"/>
        <v>#REF!</v>
      </c>
      <c r="I175" s="44" t="e">
        <f t="shared" si="110"/>
        <v>#REF!</v>
      </c>
      <c r="J175" s="44" t="e">
        <f t="shared" si="110"/>
        <v>#REF!</v>
      </c>
      <c r="K175" s="44" t="e">
        <f t="shared" si="110"/>
        <v>#REF!</v>
      </c>
      <c r="L175" s="44" t="e">
        <f t="shared" si="110"/>
        <v>#REF!</v>
      </c>
      <c r="M175" s="44" t="e">
        <f t="shared" si="110"/>
        <v>#REF!</v>
      </c>
      <c r="N175" s="44">
        <f t="shared" si="110"/>
        <v>0</v>
      </c>
      <c r="Q175" s="44" t="e">
        <f>-SUMIF(#REF!,$A175,#REF!)</f>
        <v>#REF!</v>
      </c>
      <c r="R175" s="44">
        <f>-SUMIF(ALIF_Y2014!$A:$A,$A175,ALIF_Y2014!$F:$F)</f>
        <v>0</v>
      </c>
      <c r="S175" s="44">
        <f>-SUMIF(ALIF_Y2015!$A:$A,$A175,ALIF_Y2015!$F:$F)</f>
        <v>0</v>
      </c>
      <c r="T175" s="44">
        <f>-SUMIF(ALIF_Y2016!$A:$A,$A175,ALIF_Y2016!$F:$F)</f>
        <v>0</v>
      </c>
      <c r="U175" s="44">
        <f>-SUMIF(ALIF_Y2017!$A:$A,$A175,ALIF_Y2017!$F:$F)</f>
        <v>0</v>
      </c>
      <c r="V175" s="44">
        <f>-SUMIF(ALIF_Y2018!$A:$A,$A175,ALIF_Y2018!$F:$F)</f>
        <v>4000000</v>
      </c>
      <c r="W175" s="44">
        <f>-SUMIF(ALIF_Y2019!$A:$A,$A175,ALIF_Y2019!$F:$F)</f>
        <v>4120000</v>
      </c>
      <c r="X175" s="44">
        <f>-SUMIF(ALIF_Y2020!$A:$A,$A175,ALIF_Y2020!$F:$F)</f>
        <v>4214760</v>
      </c>
      <c r="Y175" s="44">
        <f>-SUMIF(ALIF_Y2021!$A:$A,$A175,ALIF_Y2021!$F:$F)</f>
        <v>4329893.1940000001</v>
      </c>
      <c r="Z175" s="44">
        <f>-SUMIF(ALIF_Y2022!$A:$A,$A175,ALIF_Y2022!$F:$F)</f>
        <v>4426579.7149999999</v>
      </c>
      <c r="AA175" s="44">
        <f>-SUMIF(ALIF_Y2023!$A:$A,$A175,ALIF_Y2023!$F:$F)</f>
        <v>4698371.7089999998</v>
      </c>
      <c r="AE175" s="44" t="e">
        <f>-SUMIF(#REF!,$A175,#REF!)</f>
        <v>#REF!</v>
      </c>
      <c r="AF175" s="44" t="e">
        <f>-SUMIF(#REF!,$A175,#REF!)</f>
        <v>#REF!</v>
      </c>
      <c r="AG175" s="44" t="e">
        <f>-SUMIF(#REF!,$A175,#REF!)</f>
        <v>#REF!</v>
      </c>
      <c r="AH175" s="44" t="e">
        <f>-SUMIF(#REF!,$A175,#REF!)</f>
        <v>#REF!</v>
      </c>
      <c r="AI175" s="44" t="e">
        <f>-SUMIF(#REF!,$A175,#REF!)</f>
        <v>#REF!</v>
      </c>
      <c r="AJ175" s="44" t="e">
        <f>-SUMIF(#REF!,$A175,#REF!)</f>
        <v>#REF!</v>
      </c>
      <c r="AK175" s="44" t="e">
        <f>-SUMIF(#REF!,$A175,#REF!)</f>
        <v>#REF!</v>
      </c>
      <c r="AL175" s="44" t="e">
        <f>-SUMIF(#REF!,$A175,#REF!)</f>
        <v>#REF!</v>
      </c>
      <c r="AM175" s="44" t="e">
        <f>-SUMIF(#REF!,$A175,#REF!)</f>
        <v>#REF!</v>
      </c>
      <c r="AN175" s="44" t="e">
        <f>-SUMIF(#REF!,$A175,#REF!)</f>
        <v>#REF!</v>
      </c>
      <c r="AO175" s="44" t="e">
        <f>-SUMIF(#REF!,$A175,#REF!)</f>
        <v>#REF!</v>
      </c>
    </row>
    <row r="176" spans="1:42" ht="7.9" customHeight="1" x14ac:dyDescent="0.25">
      <c r="C176" s="144"/>
      <c r="D176" s="144"/>
      <c r="E176" s="144"/>
      <c r="F176" s="144"/>
      <c r="G176" s="144"/>
      <c r="H176" s="144"/>
      <c r="I176" s="144"/>
      <c r="J176" s="144"/>
      <c r="K176" s="144"/>
      <c r="L176" s="144"/>
      <c r="M176" s="144"/>
      <c r="N176" s="144"/>
      <c r="Q176" s="144"/>
      <c r="R176" s="144"/>
      <c r="S176" s="144"/>
      <c r="T176" s="144"/>
      <c r="U176" s="144"/>
      <c r="V176" s="144"/>
      <c r="W176" s="144"/>
      <c r="X176" s="144"/>
      <c r="Y176" s="144"/>
      <c r="Z176" s="144"/>
      <c r="AA176" s="144"/>
      <c r="AB176" s="144"/>
      <c r="AE176" s="144"/>
      <c r="AF176" s="144"/>
      <c r="AG176" s="144"/>
      <c r="AH176" s="144"/>
      <c r="AI176" s="144"/>
      <c r="AJ176" s="144"/>
      <c r="AK176" s="144"/>
      <c r="AL176" s="144"/>
      <c r="AM176" s="144"/>
      <c r="AN176" s="144"/>
      <c r="AO176" s="144"/>
      <c r="AP176" s="144"/>
    </row>
    <row r="177" spans="1:42" x14ac:dyDescent="0.25">
      <c r="A177" s="41"/>
      <c r="C177" s="45" t="e">
        <f t="shared" ref="C177:N177" si="111">SUM(C174:C176)</f>
        <v>#REF!</v>
      </c>
      <c r="D177" s="45" t="e">
        <f t="shared" si="111"/>
        <v>#REF!</v>
      </c>
      <c r="E177" s="45" t="e">
        <f t="shared" si="111"/>
        <v>#REF!</v>
      </c>
      <c r="F177" s="45" t="e">
        <f t="shared" si="111"/>
        <v>#REF!</v>
      </c>
      <c r="G177" s="45" t="e">
        <f t="shared" si="111"/>
        <v>#REF!</v>
      </c>
      <c r="H177" s="45" t="e">
        <f t="shared" si="111"/>
        <v>#REF!</v>
      </c>
      <c r="I177" s="45" t="e">
        <f t="shared" si="111"/>
        <v>#REF!</v>
      </c>
      <c r="J177" s="45" t="e">
        <f t="shared" si="111"/>
        <v>#REF!</v>
      </c>
      <c r="K177" s="45" t="e">
        <f t="shared" si="111"/>
        <v>#REF!</v>
      </c>
      <c r="L177" s="45" t="e">
        <f t="shared" si="111"/>
        <v>#REF!</v>
      </c>
      <c r="M177" s="45" t="e">
        <f t="shared" si="111"/>
        <v>#REF!</v>
      </c>
      <c r="N177" s="45">
        <f t="shared" si="111"/>
        <v>0</v>
      </c>
      <c r="Q177" s="45" t="e">
        <f t="shared" ref="Q177:AB177" si="112">SUM(Q174:Q176)</f>
        <v>#REF!</v>
      </c>
      <c r="R177" s="45">
        <f t="shared" si="112"/>
        <v>0</v>
      </c>
      <c r="S177" s="45">
        <f t="shared" si="112"/>
        <v>0</v>
      </c>
      <c r="T177" s="45">
        <f t="shared" si="112"/>
        <v>0</v>
      </c>
      <c r="U177" s="45">
        <f t="shared" si="112"/>
        <v>0</v>
      </c>
      <c r="V177" s="45">
        <f t="shared" si="112"/>
        <v>4000000</v>
      </c>
      <c r="W177" s="45">
        <f t="shared" si="112"/>
        <v>4120000</v>
      </c>
      <c r="X177" s="45">
        <f t="shared" si="112"/>
        <v>4214760</v>
      </c>
      <c r="Y177" s="45">
        <f t="shared" si="112"/>
        <v>4329893.1940000001</v>
      </c>
      <c r="Z177" s="45">
        <f t="shared" si="112"/>
        <v>4426579.7149999999</v>
      </c>
      <c r="AA177" s="45">
        <f t="shared" si="112"/>
        <v>4698371.7089999998</v>
      </c>
      <c r="AB177" s="45">
        <f t="shared" si="112"/>
        <v>0</v>
      </c>
      <c r="AE177" s="45" t="e">
        <f t="shared" ref="AE177:AO177" si="113">SUM(AE174:AE176)</f>
        <v>#REF!</v>
      </c>
      <c r="AF177" s="45" t="e">
        <f t="shared" si="113"/>
        <v>#REF!</v>
      </c>
      <c r="AG177" s="45" t="e">
        <f t="shared" si="113"/>
        <v>#REF!</v>
      </c>
      <c r="AH177" s="45" t="e">
        <f t="shared" si="113"/>
        <v>#REF!</v>
      </c>
      <c r="AI177" s="45" t="e">
        <f t="shared" si="113"/>
        <v>#REF!</v>
      </c>
      <c r="AJ177" s="45" t="e">
        <f t="shared" si="113"/>
        <v>#REF!</v>
      </c>
      <c r="AK177" s="45" t="e">
        <f t="shared" si="113"/>
        <v>#REF!</v>
      </c>
      <c r="AL177" s="45" t="e">
        <f t="shared" si="113"/>
        <v>#REF!</v>
      </c>
      <c r="AM177" s="45" t="e">
        <f t="shared" si="113"/>
        <v>#REF!</v>
      </c>
      <c r="AN177" s="45" t="e">
        <f t="shared" si="113"/>
        <v>#REF!</v>
      </c>
      <c r="AO177" s="45" t="e">
        <f t="shared" si="113"/>
        <v>#REF!</v>
      </c>
    </row>
    <row r="178" spans="1:42" x14ac:dyDescent="0.25">
      <c r="A178" s="41"/>
      <c r="Q178" s="45"/>
      <c r="R178" s="45"/>
      <c r="S178" s="45"/>
      <c r="T178" s="45"/>
      <c r="U178" s="45"/>
      <c r="V178" s="45"/>
      <c r="W178" s="45"/>
      <c r="X178" s="45"/>
      <c r="Y178" s="45"/>
      <c r="Z178" s="45"/>
      <c r="AA178" s="45"/>
      <c r="AB178" s="45"/>
      <c r="AE178" s="45"/>
      <c r="AF178" s="45"/>
      <c r="AG178" s="45"/>
      <c r="AH178" s="45"/>
      <c r="AI178" s="45"/>
      <c r="AJ178" s="45"/>
      <c r="AK178" s="45"/>
      <c r="AL178" s="45"/>
      <c r="AM178" s="45"/>
      <c r="AN178" s="45"/>
      <c r="AO178" s="45"/>
    </row>
    <row r="179" spans="1:42" x14ac:dyDescent="0.25">
      <c r="A179" s="41" t="s">
        <v>1336</v>
      </c>
    </row>
    <row r="180" spans="1:42" x14ac:dyDescent="0.25">
      <c r="A180" s="42">
        <v>410001</v>
      </c>
      <c r="B180" s="43" t="s">
        <v>938</v>
      </c>
      <c r="C180" s="44" t="e">
        <f t="shared" ref="C180:N186" si="114">Q180+AE180</f>
        <v>#REF!</v>
      </c>
      <c r="D180" s="44" t="e">
        <f t="shared" si="114"/>
        <v>#REF!</v>
      </c>
      <c r="E180" s="44" t="e">
        <f t="shared" si="114"/>
        <v>#REF!</v>
      </c>
      <c r="F180" s="44" t="e">
        <f t="shared" si="114"/>
        <v>#REF!</v>
      </c>
      <c r="G180" s="44" t="e">
        <f t="shared" si="114"/>
        <v>#REF!</v>
      </c>
      <c r="H180" s="44" t="e">
        <f t="shared" si="114"/>
        <v>#REF!</v>
      </c>
      <c r="I180" s="44" t="e">
        <f t="shared" si="114"/>
        <v>#REF!</v>
      </c>
      <c r="J180" s="44" t="e">
        <f t="shared" si="114"/>
        <v>#REF!</v>
      </c>
      <c r="K180" s="44" t="e">
        <f t="shared" si="114"/>
        <v>#REF!</v>
      </c>
      <c r="L180" s="44" t="e">
        <f t="shared" si="114"/>
        <v>#REF!</v>
      </c>
      <c r="M180" s="44" t="e">
        <f t="shared" si="114"/>
        <v>#REF!</v>
      </c>
      <c r="N180" s="44" t="e">
        <f t="shared" si="114"/>
        <v>#REF!</v>
      </c>
      <c r="Q180" s="44" t="e">
        <f>-SUMIF(#REF!,$A180,#REF!)</f>
        <v>#REF!</v>
      </c>
      <c r="R180" s="44">
        <f>-SUMIF(ALIF_Y2014!$A:$A,$A180,ALIF_Y2014!$F:$F)</f>
        <v>138694271.65186799</v>
      </c>
      <c r="S180" s="44">
        <f>-SUMIF(ALIF_Y2015!$A:$A,$A180,ALIF_Y2015!$F:$F)</f>
        <v>109880263.3243669</v>
      </c>
      <c r="T180" s="44">
        <f>-SUMIF(ALIF_Y2016!$A:$A,$A180,ALIF_Y2016!$F:$F)</f>
        <v>88089958.155328989</v>
      </c>
      <c r="U180" s="44">
        <f>-SUMIF(ALIF_Y2017!$A:$A,$A180,ALIF_Y2017!$F:$F)</f>
        <v>93677879.411868006</v>
      </c>
      <c r="V180" s="44">
        <f>-SUMIF(ALIF_Y2018!$A:$A,$A180,ALIF_Y2018!$F:$F)</f>
        <v>107826419.45039001</v>
      </c>
      <c r="W180" s="44">
        <f>-SUMIF(ALIF_Y2019!$A:$A,$A180,ALIF_Y2019!$F:$F)</f>
        <v>146951657.34141198</v>
      </c>
      <c r="X180" s="44">
        <f>-SUMIF(ALIF_Y2020!$A:$A,$A180,ALIF_Y2020!$F:$F)</f>
        <v>126986507.64854398</v>
      </c>
      <c r="Y180" s="44">
        <f>-SUMIF(ALIF_Y2021!$A:$A,$A180,ALIF_Y2021!$F:$F)</f>
        <v>182178130.77999899</v>
      </c>
      <c r="Z180" s="44">
        <f>-SUMIF(ALIF_Y2022!$A:$A,$A180,ALIF_Y2022!$F:$F)</f>
        <v>221605750.68741697</v>
      </c>
      <c r="AA180" s="44">
        <f>-SUMIF(ALIF_Y2023!$A:$A,$A180,ALIF_Y2023!$F:$F)</f>
        <v>104691191.84482999</v>
      </c>
      <c r="AE180" s="44" t="e">
        <f>-SUMIF(#REF!,$A180,#REF!)</f>
        <v>#REF!</v>
      </c>
      <c r="AF180" s="44" t="e">
        <f>-SUMIF(#REF!,$A180,#REF!)</f>
        <v>#REF!</v>
      </c>
      <c r="AG180" s="44" t="e">
        <f>-SUMIF(#REF!,$A180,#REF!)</f>
        <v>#REF!</v>
      </c>
      <c r="AH180" s="44" t="e">
        <f>-SUMIF(#REF!,$A180,#REF!)</f>
        <v>#REF!</v>
      </c>
      <c r="AI180" s="44" t="e">
        <f>-SUMIF(#REF!,$A180,#REF!)</f>
        <v>#REF!</v>
      </c>
      <c r="AJ180" s="44" t="e">
        <f>-SUMIF(#REF!,$A180,#REF!)</f>
        <v>#REF!</v>
      </c>
      <c r="AK180" s="44" t="e">
        <f>-SUMIF(#REF!,$A180,#REF!)</f>
        <v>#REF!</v>
      </c>
      <c r="AL180" s="44" t="e">
        <f>-SUMIF(#REF!,$A180,#REF!)</f>
        <v>#REF!</v>
      </c>
      <c r="AM180" s="44" t="e">
        <f>-SUMIF(#REF!,$A180,#REF!)</f>
        <v>#REF!</v>
      </c>
      <c r="AN180" s="44" t="e">
        <f>-SUMIF(#REF!,$A180,#REF!)</f>
        <v>#REF!</v>
      </c>
      <c r="AO180" s="44" t="e">
        <f>-SUMIF(#REF!,$A180,#REF!)</f>
        <v>#REF!</v>
      </c>
      <c r="AP180" s="44" t="e">
        <f>-SUMIF(#REF!,$A180,#REF!)</f>
        <v>#REF!</v>
      </c>
    </row>
    <row r="181" spans="1:42" x14ac:dyDescent="0.25">
      <c r="A181" s="42">
        <v>410002</v>
      </c>
      <c r="B181" s="43" t="s">
        <v>939</v>
      </c>
      <c r="C181" s="44" t="e">
        <f t="shared" si="114"/>
        <v>#REF!</v>
      </c>
      <c r="D181" s="44" t="e">
        <f t="shared" si="114"/>
        <v>#REF!</v>
      </c>
      <c r="E181" s="44" t="e">
        <f t="shared" si="114"/>
        <v>#REF!</v>
      </c>
      <c r="F181" s="44" t="e">
        <f t="shared" si="114"/>
        <v>#REF!</v>
      </c>
      <c r="G181" s="44" t="e">
        <f t="shared" si="114"/>
        <v>#REF!</v>
      </c>
      <c r="H181" s="44" t="e">
        <f t="shared" si="114"/>
        <v>#REF!</v>
      </c>
      <c r="I181" s="44" t="e">
        <f t="shared" si="114"/>
        <v>#REF!</v>
      </c>
      <c r="J181" s="44" t="e">
        <f t="shared" si="114"/>
        <v>#REF!</v>
      </c>
      <c r="K181" s="44" t="e">
        <f t="shared" si="114"/>
        <v>#REF!</v>
      </c>
      <c r="L181" s="44" t="e">
        <f t="shared" si="114"/>
        <v>#REF!</v>
      </c>
      <c r="M181" s="44" t="e">
        <f t="shared" si="114"/>
        <v>#REF!</v>
      </c>
      <c r="N181" s="44" t="e">
        <f t="shared" si="114"/>
        <v>#REF!</v>
      </c>
      <c r="Q181" s="44" t="e">
        <f>-SUMIF(#REF!,$A181,#REF!)</f>
        <v>#REF!</v>
      </c>
      <c r="R181" s="44">
        <f>-SUMIF(ALIF_Y2014!$A:$A,$A181,ALIF_Y2014!$F:$F)</f>
        <v>-4887005.6909999996</v>
      </c>
      <c r="S181" s="44">
        <f>-SUMIF(ALIF_Y2015!$A:$A,$A181,ALIF_Y2015!$F:$F)</f>
        <v>-415859.38699999999</v>
      </c>
      <c r="T181" s="44">
        <f>-SUMIF(ALIF_Y2016!$A:$A,$A181,ALIF_Y2016!$F:$F)</f>
        <v>-339466.36499999999</v>
      </c>
      <c r="U181" s="44">
        <f>-SUMIF(ALIF_Y2017!$A:$A,$A181,ALIF_Y2017!$F:$F)</f>
        <v>-562971.18000000005</v>
      </c>
      <c r="V181" s="44">
        <f>-SUMIF(ALIF_Y2018!$A:$A,$A181,ALIF_Y2018!$F:$F)</f>
        <v>-376159.14799999999</v>
      </c>
      <c r="W181" s="44">
        <f>-SUMIF(ALIF_Y2019!$A:$A,$A181,ALIF_Y2019!$F:$F)</f>
        <v>-806316.79099999997</v>
      </c>
      <c r="X181" s="44">
        <f>-SUMIF(ALIF_Y2020!$A:$A,$A181,ALIF_Y2020!$F:$F)</f>
        <v>-362210.75099999999</v>
      </c>
      <c r="Y181" s="44">
        <f>-SUMIF(ALIF_Y2021!$A:$A,$A181,ALIF_Y2021!$F:$F)</f>
        <v>-815298.13600000006</v>
      </c>
      <c r="Z181" s="44">
        <f>-SUMIF(ALIF_Y2022!$A:$A,$A181,ALIF_Y2022!$F:$F)</f>
        <v>-957497.96</v>
      </c>
      <c r="AA181" s="44">
        <f>-SUMIF(ALIF_Y2023!$A:$A,$A181,ALIF_Y2023!$F:$F)</f>
        <v>-1079316.101</v>
      </c>
      <c r="AE181" s="44" t="e">
        <f>-SUMIF(#REF!,$A181,#REF!)</f>
        <v>#REF!</v>
      </c>
      <c r="AF181" s="44" t="e">
        <f>-SUMIF(#REF!,$A181,#REF!)</f>
        <v>#REF!</v>
      </c>
      <c r="AG181" s="44" t="e">
        <f>-SUMIF(#REF!,$A181,#REF!)</f>
        <v>#REF!</v>
      </c>
      <c r="AH181" s="44" t="e">
        <f>-SUMIF(#REF!,$A181,#REF!)</f>
        <v>#REF!</v>
      </c>
      <c r="AI181" s="44" t="e">
        <f>-SUMIF(#REF!,$A181,#REF!)</f>
        <v>#REF!</v>
      </c>
      <c r="AJ181" s="44" t="e">
        <f>-SUMIF(#REF!,$A181,#REF!)</f>
        <v>#REF!</v>
      </c>
      <c r="AK181" s="44" t="e">
        <f>-SUMIF(#REF!,$A181,#REF!)</f>
        <v>#REF!</v>
      </c>
      <c r="AL181" s="44" t="e">
        <f>-SUMIF(#REF!,$A181,#REF!)</f>
        <v>#REF!</v>
      </c>
      <c r="AM181" s="44" t="e">
        <f>-SUMIF(#REF!,$A181,#REF!)</f>
        <v>#REF!</v>
      </c>
      <c r="AN181" s="44" t="e">
        <f>-SUMIF(#REF!,$A181,#REF!)</f>
        <v>#REF!</v>
      </c>
      <c r="AO181" s="44" t="e">
        <f>-SUMIF(#REF!,$A181,#REF!)</f>
        <v>#REF!</v>
      </c>
      <c r="AP181" s="44" t="e">
        <f>-SUMIF(#REF!,$A181,#REF!)</f>
        <v>#REF!</v>
      </c>
    </row>
    <row r="182" spans="1:42" x14ac:dyDescent="0.25">
      <c r="A182" s="42">
        <v>410003</v>
      </c>
      <c r="B182" s="43" t="s">
        <v>940</v>
      </c>
      <c r="C182" s="44" t="e">
        <f t="shared" si="114"/>
        <v>#REF!</v>
      </c>
      <c r="D182" s="44" t="e">
        <f t="shared" si="114"/>
        <v>#REF!</v>
      </c>
      <c r="E182" s="44" t="e">
        <f t="shared" si="114"/>
        <v>#REF!</v>
      </c>
      <c r="F182" s="44" t="e">
        <f t="shared" si="114"/>
        <v>#REF!</v>
      </c>
      <c r="G182" s="44" t="e">
        <f t="shared" si="114"/>
        <v>#REF!</v>
      </c>
      <c r="H182" s="44" t="e">
        <f t="shared" si="114"/>
        <v>#REF!</v>
      </c>
      <c r="I182" s="44" t="e">
        <f t="shared" si="114"/>
        <v>#REF!</v>
      </c>
      <c r="J182" s="44" t="e">
        <f t="shared" si="114"/>
        <v>#REF!</v>
      </c>
      <c r="K182" s="44" t="e">
        <f t="shared" si="114"/>
        <v>#REF!</v>
      </c>
      <c r="L182" s="44" t="e">
        <f t="shared" si="114"/>
        <v>#REF!</v>
      </c>
      <c r="M182" s="44" t="e">
        <f t="shared" si="114"/>
        <v>#REF!</v>
      </c>
      <c r="N182" s="44" t="e">
        <f t="shared" si="114"/>
        <v>#REF!</v>
      </c>
      <c r="Q182" s="44" t="e">
        <f>-SUMIF(#REF!,$A182,#REF!)</f>
        <v>#REF!</v>
      </c>
      <c r="R182" s="44">
        <f>-SUMIF(ALIF_Y2014!$A:$A,$A182,ALIF_Y2014!$F:$F)</f>
        <v>-94883.404999999999</v>
      </c>
      <c r="S182" s="44">
        <f>-SUMIF(ALIF_Y2015!$A:$A,$A182,ALIF_Y2015!$F:$F)</f>
        <v>-20246.399000000001</v>
      </c>
      <c r="T182" s="44">
        <f>-SUMIF(ALIF_Y2016!$A:$A,$A182,ALIF_Y2016!$F:$F)</f>
        <v>-45495.544999999998</v>
      </c>
      <c r="U182" s="44">
        <f>-SUMIF(ALIF_Y2017!$A:$A,$A182,ALIF_Y2017!$F:$F)</f>
        <v>-36303.033000000003</v>
      </c>
      <c r="V182" s="44">
        <f>-SUMIF(ALIF_Y2018!$A:$A,$A182,ALIF_Y2018!$F:$F)</f>
        <v>-40234.758999999998</v>
      </c>
      <c r="W182" s="44">
        <f>-SUMIF(ALIF_Y2019!$A:$A,$A182,ALIF_Y2019!$F:$F)</f>
        <v>-63590.362999999998</v>
      </c>
      <c r="X182" s="44">
        <f>-SUMIF(ALIF_Y2020!$A:$A,$A182,ALIF_Y2020!$F:$F)</f>
        <v>-21462.884999999998</v>
      </c>
      <c r="Y182" s="44">
        <f>-SUMIF(ALIF_Y2021!$A:$A,$A182,ALIF_Y2021!$F:$F)</f>
        <v>-23474.695</v>
      </c>
      <c r="Z182" s="44">
        <f>-SUMIF(ALIF_Y2022!$A:$A,$A182,ALIF_Y2022!$F:$F)</f>
        <v>-1127.25</v>
      </c>
      <c r="AA182" s="44">
        <f>-SUMIF(ALIF_Y2023!$A:$A,$A182,ALIF_Y2023!$F:$F)</f>
        <v>-1702.06</v>
      </c>
      <c r="AE182" s="44" t="e">
        <f>-SUMIF(#REF!,$A182,#REF!)</f>
        <v>#REF!</v>
      </c>
      <c r="AF182" s="44" t="e">
        <f>-SUMIF(#REF!,$A182,#REF!)</f>
        <v>#REF!</v>
      </c>
      <c r="AG182" s="44" t="e">
        <f>-SUMIF(#REF!,$A182,#REF!)</f>
        <v>#REF!</v>
      </c>
      <c r="AH182" s="44" t="e">
        <f>-SUMIF(#REF!,$A182,#REF!)</f>
        <v>#REF!</v>
      </c>
      <c r="AI182" s="44" t="e">
        <f>-SUMIF(#REF!,$A182,#REF!)</f>
        <v>#REF!</v>
      </c>
      <c r="AJ182" s="44" t="e">
        <f>-SUMIF(#REF!,$A182,#REF!)</f>
        <v>#REF!</v>
      </c>
      <c r="AK182" s="44" t="e">
        <f>-SUMIF(#REF!,$A182,#REF!)</f>
        <v>#REF!</v>
      </c>
      <c r="AL182" s="44" t="e">
        <f>-SUMIF(#REF!,$A182,#REF!)</f>
        <v>#REF!</v>
      </c>
      <c r="AM182" s="44" t="e">
        <f>-SUMIF(#REF!,$A182,#REF!)</f>
        <v>#REF!</v>
      </c>
      <c r="AN182" s="44" t="e">
        <f>-SUMIF(#REF!,$A182,#REF!)</f>
        <v>#REF!</v>
      </c>
      <c r="AO182" s="44" t="e">
        <f>-SUMIF(#REF!,$A182,#REF!)</f>
        <v>#REF!</v>
      </c>
      <c r="AP182" s="44" t="e">
        <f>-SUMIF(#REF!,$A182,#REF!)</f>
        <v>#REF!</v>
      </c>
    </row>
    <row r="183" spans="1:42" x14ac:dyDescent="0.25">
      <c r="A183" s="42">
        <v>410004</v>
      </c>
      <c r="B183" s="43" t="s">
        <v>941</v>
      </c>
      <c r="C183" s="44" t="e">
        <f t="shared" si="114"/>
        <v>#REF!</v>
      </c>
      <c r="D183" s="44" t="e">
        <f t="shared" si="114"/>
        <v>#REF!</v>
      </c>
      <c r="E183" s="44" t="e">
        <f t="shared" si="114"/>
        <v>#REF!</v>
      </c>
      <c r="F183" s="44" t="e">
        <f t="shared" si="114"/>
        <v>#REF!</v>
      </c>
      <c r="G183" s="44" t="e">
        <f t="shared" si="114"/>
        <v>#REF!</v>
      </c>
      <c r="H183" s="44" t="e">
        <f t="shared" si="114"/>
        <v>#REF!</v>
      </c>
      <c r="I183" s="44" t="e">
        <f t="shared" si="114"/>
        <v>#REF!</v>
      </c>
      <c r="J183" s="44" t="e">
        <f t="shared" si="114"/>
        <v>#REF!</v>
      </c>
      <c r="K183" s="44" t="e">
        <f t="shared" si="114"/>
        <v>#REF!</v>
      </c>
      <c r="L183" s="44" t="e">
        <f t="shared" si="114"/>
        <v>#REF!</v>
      </c>
      <c r="M183" s="44" t="e">
        <f t="shared" si="114"/>
        <v>#REF!</v>
      </c>
      <c r="N183" s="44" t="e">
        <f t="shared" si="114"/>
        <v>#REF!</v>
      </c>
      <c r="Q183" s="44" t="e">
        <f>-SUMIF(#REF!,$A183,#REF!)</f>
        <v>#REF!</v>
      </c>
      <c r="R183" s="44">
        <f>-SUMIF(ALIF_Y2014!$A:$A,$A183,ALIF_Y2014!$F:$F)</f>
        <v>263041.3</v>
      </c>
      <c r="S183" s="44">
        <f>-SUMIF(ALIF_Y2015!$A:$A,$A183,ALIF_Y2015!$F:$F)</f>
        <v>0</v>
      </c>
      <c r="T183" s="44">
        <f>-SUMIF(ALIF_Y2016!$A:$A,$A183,ALIF_Y2016!$F:$F)</f>
        <v>-15329.73</v>
      </c>
      <c r="U183" s="44">
        <f>-SUMIF(ALIF_Y2017!$A:$A,$A183,ALIF_Y2017!$F:$F)</f>
        <v>0</v>
      </c>
      <c r="V183" s="44">
        <f>-SUMIF(ALIF_Y2018!$A:$A,$A183,ALIF_Y2018!$F:$F)</f>
        <v>0</v>
      </c>
      <c r="W183" s="44">
        <f>-SUMIF(ALIF_Y2019!$A:$A,$A183,ALIF_Y2019!$F:$F)</f>
        <v>0</v>
      </c>
      <c r="X183" s="44">
        <f>-SUMIF(ALIF_Y2020!$A:$A,$A183,ALIF_Y2020!$F:$F)</f>
        <v>0</v>
      </c>
      <c r="Y183" s="44">
        <f>-SUMIF(ALIF_Y2021!$A:$A,$A183,ALIF_Y2021!$F:$F)</f>
        <v>1268181.379</v>
      </c>
      <c r="Z183" s="44">
        <f>-SUMIF(ALIF_Y2022!$A:$A,$A183,ALIF_Y2022!$F:$F)</f>
        <v>1317629.5530000001</v>
      </c>
      <c r="AA183" s="44">
        <f>-SUMIF(ALIF_Y2023!$A:$A,$A183,ALIF_Y2023!$F:$F)</f>
        <v>590338.68200000003</v>
      </c>
      <c r="AE183" s="44" t="e">
        <f>-SUMIF(#REF!,$A183,#REF!)</f>
        <v>#REF!</v>
      </c>
      <c r="AF183" s="44" t="e">
        <f>-SUMIF(#REF!,$A183,#REF!)</f>
        <v>#REF!</v>
      </c>
      <c r="AG183" s="44" t="e">
        <f>-SUMIF(#REF!,$A183,#REF!)</f>
        <v>#REF!</v>
      </c>
      <c r="AH183" s="44" t="e">
        <f>-SUMIF(#REF!,$A183,#REF!)</f>
        <v>#REF!</v>
      </c>
      <c r="AI183" s="44" t="e">
        <f>-SUMIF(#REF!,$A183,#REF!)</f>
        <v>#REF!</v>
      </c>
      <c r="AJ183" s="44" t="e">
        <f>-SUMIF(#REF!,$A183,#REF!)</f>
        <v>#REF!</v>
      </c>
      <c r="AK183" s="44" t="e">
        <f>-SUMIF(#REF!,$A183,#REF!)</f>
        <v>#REF!</v>
      </c>
      <c r="AL183" s="44" t="e">
        <f>-SUMIF(#REF!,$A183,#REF!)</f>
        <v>#REF!</v>
      </c>
      <c r="AM183" s="44" t="e">
        <f>-SUMIF(#REF!,$A183,#REF!)</f>
        <v>#REF!</v>
      </c>
      <c r="AN183" s="44" t="e">
        <f>-SUMIF(#REF!,$A183,#REF!)</f>
        <v>#REF!</v>
      </c>
      <c r="AO183" s="44" t="e">
        <f>-SUMIF(#REF!,$A183,#REF!)</f>
        <v>#REF!</v>
      </c>
      <c r="AP183" s="44" t="e">
        <f>-SUMIF(#REF!,$A183,#REF!)</f>
        <v>#REF!</v>
      </c>
    </row>
    <row r="184" spans="1:42" x14ac:dyDescent="0.25">
      <c r="A184" s="42">
        <v>420001</v>
      </c>
      <c r="B184" s="43" t="s">
        <v>942</v>
      </c>
      <c r="C184" s="44" t="e">
        <f t="shared" si="114"/>
        <v>#REF!</v>
      </c>
      <c r="D184" s="44" t="e">
        <f t="shared" si="114"/>
        <v>#REF!</v>
      </c>
      <c r="E184" s="44" t="e">
        <f t="shared" si="114"/>
        <v>#REF!</v>
      </c>
      <c r="F184" s="44" t="e">
        <f t="shared" si="114"/>
        <v>#REF!</v>
      </c>
      <c r="G184" s="44" t="e">
        <f t="shared" si="114"/>
        <v>#REF!</v>
      </c>
      <c r="H184" s="44" t="e">
        <f t="shared" si="114"/>
        <v>#REF!</v>
      </c>
      <c r="I184" s="44" t="e">
        <f t="shared" si="114"/>
        <v>#REF!</v>
      </c>
      <c r="J184" s="44" t="e">
        <f t="shared" si="114"/>
        <v>#REF!</v>
      </c>
      <c r="K184" s="44" t="e">
        <f t="shared" si="114"/>
        <v>#REF!</v>
      </c>
      <c r="L184" s="44" t="e">
        <f t="shared" si="114"/>
        <v>#REF!</v>
      </c>
      <c r="M184" s="44" t="e">
        <f t="shared" si="114"/>
        <v>#REF!</v>
      </c>
      <c r="N184" s="44" t="e">
        <f t="shared" si="114"/>
        <v>#REF!</v>
      </c>
      <c r="Q184" s="44" t="e">
        <f>-SUMIF(#REF!,$A184,#REF!)</f>
        <v>#REF!</v>
      </c>
      <c r="R184" s="44">
        <f>-SUMIF(ALIF_Y2014!$A:$A,$A184,ALIF_Y2014!$F:$F)</f>
        <v>0</v>
      </c>
      <c r="S184" s="44">
        <f>-SUMIF(ALIF_Y2015!$A:$A,$A184,ALIF_Y2015!$F:$F)</f>
        <v>0</v>
      </c>
      <c r="T184" s="44">
        <f>-SUMIF(ALIF_Y2016!$A:$A,$A184,ALIF_Y2016!$F:$F)</f>
        <v>0</v>
      </c>
      <c r="U184" s="44">
        <f>-SUMIF(ALIF_Y2017!$A:$A,$A184,ALIF_Y2017!$F:$F)</f>
        <v>0</v>
      </c>
      <c r="V184" s="44">
        <f>-SUMIF(ALIF_Y2018!$A:$A,$A184,ALIF_Y2018!$F:$F)</f>
        <v>0</v>
      </c>
      <c r="W184" s="44">
        <f>-SUMIF(ALIF_Y2019!$A:$A,$A184,ALIF_Y2019!$F:$F)</f>
        <v>0</v>
      </c>
      <c r="X184" s="44">
        <f>-SUMIF(ALIF_Y2020!$A:$A,$A184,ALIF_Y2020!$F:$F)</f>
        <v>0</v>
      </c>
      <c r="Y184" s="44">
        <f>-SUMIF(ALIF_Y2021!$A:$A,$A184,ALIF_Y2021!$F:$F)</f>
        <v>11208</v>
      </c>
      <c r="Z184" s="44">
        <f>-SUMIF(ALIF_Y2022!$A:$A,$A184,ALIF_Y2022!$F:$F)</f>
        <v>0</v>
      </c>
      <c r="AA184" s="44">
        <f>-SUMIF(ALIF_Y2023!$A:$A,$A184,ALIF_Y2023!$F:$F)</f>
        <v>0</v>
      </c>
      <c r="AE184" s="44" t="e">
        <f>-SUMIF(#REF!,$A184,#REF!)</f>
        <v>#REF!</v>
      </c>
      <c r="AF184" s="44" t="e">
        <f>-SUMIF(#REF!,$A184,#REF!)</f>
        <v>#REF!</v>
      </c>
      <c r="AG184" s="44" t="e">
        <f>-SUMIF(#REF!,$A184,#REF!)</f>
        <v>#REF!</v>
      </c>
      <c r="AH184" s="44" t="e">
        <f>-SUMIF(#REF!,$A184,#REF!)</f>
        <v>#REF!</v>
      </c>
      <c r="AI184" s="44" t="e">
        <f>-SUMIF(#REF!,$A184,#REF!)</f>
        <v>#REF!</v>
      </c>
      <c r="AJ184" s="44" t="e">
        <f>-SUMIF(#REF!,$A184,#REF!)</f>
        <v>#REF!</v>
      </c>
      <c r="AK184" s="44" t="e">
        <f>-SUMIF(#REF!,$A184,#REF!)</f>
        <v>#REF!</v>
      </c>
      <c r="AL184" s="44" t="e">
        <f>-SUMIF(#REF!,$A184,#REF!)</f>
        <v>#REF!</v>
      </c>
      <c r="AM184" s="44" t="e">
        <f>-SUMIF(#REF!,$A184,#REF!)</f>
        <v>#REF!</v>
      </c>
      <c r="AN184" s="44" t="e">
        <f>-SUMIF(#REF!,$A184,#REF!)</f>
        <v>#REF!</v>
      </c>
      <c r="AO184" s="44" t="e">
        <f>-SUMIF(#REF!,$A184,#REF!)</f>
        <v>#REF!</v>
      </c>
      <c r="AP184" s="44" t="e">
        <f>-SUMIF(#REF!,$A184,#REF!)</f>
        <v>#REF!</v>
      </c>
    </row>
    <row r="185" spans="1:42" x14ac:dyDescent="0.25">
      <c r="A185" s="42">
        <v>420002</v>
      </c>
      <c r="B185" s="43" t="s">
        <v>943</v>
      </c>
      <c r="C185" s="44" t="e">
        <f t="shared" si="114"/>
        <v>#REF!</v>
      </c>
      <c r="D185" s="44" t="e">
        <f t="shared" si="114"/>
        <v>#REF!</v>
      </c>
      <c r="E185" s="44" t="e">
        <f t="shared" si="114"/>
        <v>#REF!</v>
      </c>
      <c r="F185" s="44" t="e">
        <f t="shared" si="114"/>
        <v>#REF!</v>
      </c>
      <c r="G185" s="44" t="e">
        <f t="shared" si="114"/>
        <v>#REF!</v>
      </c>
      <c r="H185" s="44" t="e">
        <f t="shared" si="114"/>
        <v>#REF!</v>
      </c>
      <c r="I185" s="44" t="e">
        <f t="shared" si="114"/>
        <v>#REF!</v>
      </c>
      <c r="J185" s="44" t="e">
        <f t="shared" si="114"/>
        <v>#REF!</v>
      </c>
      <c r="K185" s="44" t="e">
        <f t="shared" si="114"/>
        <v>#REF!</v>
      </c>
      <c r="L185" s="44" t="e">
        <f t="shared" si="114"/>
        <v>#REF!</v>
      </c>
      <c r="M185" s="44" t="e">
        <f t="shared" si="114"/>
        <v>#REF!</v>
      </c>
      <c r="N185" s="44" t="e">
        <f t="shared" si="114"/>
        <v>#REF!</v>
      </c>
      <c r="Q185" s="44" t="e">
        <f>-SUMIF(#REF!,$A185,#REF!)</f>
        <v>#REF!</v>
      </c>
      <c r="R185" s="44">
        <f>-SUMIF(ALIF_Y2014!$A:$A,$A185,ALIF_Y2014!$F:$F)</f>
        <v>0</v>
      </c>
      <c r="S185" s="44">
        <f>-SUMIF(ALIF_Y2015!$A:$A,$A185,ALIF_Y2015!$F:$F)</f>
        <v>0</v>
      </c>
      <c r="T185" s="44">
        <f>-SUMIF(ALIF_Y2016!$A:$A,$A185,ALIF_Y2016!$F:$F)</f>
        <v>0</v>
      </c>
      <c r="U185" s="44">
        <f>-SUMIF(ALIF_Y2017!$A:$A,$A185,ALIF_Y2017!$F:$F)</f>
        <v>0</v>
      </c>
      <c r="V185" s="44">
        <f>-SUMIF(ALIF_Y2018!$A:$A,$A185,ALIF_Y2018!$F:$F)</f>
        <v>0</v>
      </c>
      <c r="W185" s="44">
        <f>-SUMIF(ALIF_Y2019!$A:$A,$A185,ALIF_Y2019!$F:$F)</f>
        <v>0</v>
      </c>
      <c r="X185" s="44">
        <f>-SUMIF(ALIF_Y2020!$A:$A,$A185,ALIF_Y2020!$F:$F)</f>
        <v>0</v>
      </c>
      <c r="Y185" s="44">
        <f>-SUMIF(ALIF_Y2021!$A:$A,$A185,ALIF_Y2021!$F:$F)</f>
        <v>0</v>
      </c>
      <c r="Z185" s="44">
        <f>-SUMIF(ALIF_Y2022!$A:$A,$A185,ALIF_Y2022!$F:$F)</f>
        <v>0</v>
      </c>
      <c r="AA185" s="44">
        <f>-SUMIF(ALIF_Y2023!$A:$A,$A185,ALIF_Y2023!$F:$F)</f>
        <v>0</v>
      </c>
      <c r="AE185" s="44" t="e">
        <f>-SUMIF(#REF!,$A185,#REF!)</f>
        <v>#REF!</v>
      </c>
      <c r="AF185" s="44" t="e">
        <f>-SUMIF(#REF!,$A185,#REF!)</f>
        <v>#REF!</v>
      </c>
      <c r="AG185" s="44" t="e">
        <f>-SUMIF(#REF!,$A185,#REF!)</f>
        <v>#REF!</v>
      </c>
      <c r="AH185" s="44" t="e">
        <f>-SUMIF(#REF!,$A185,#REF!)</f>
        <v>#REF!</v>
      </c>
      <c r="AI185" s="44" t="e">
        <f>-SUMIF(#REF!,$A185,#REF!)</f>
        <v>#REF!</v>
      </c>
      <c r="AJ185" s="44" t="e">
        <f>-SUMIF(#REF!,$A185,#REF!)</f>
        <v>#REF!</v>
      </c>
      <c r="AK185" s="44" t="e">
        <f>-SUMIF(#REF!,$A185,#REF!)</f>
        <v>#REF!</v>
      </c>
      <c r="AL185" s="44" t="e">
        <f>-SUMIF(#REF!,$A185,#REF!)</f>
        <v>#REF!</v>
      </c>
      <c r="AM185" s="44" t="e">
        <f>-SUMIF(#REF!,$A185,#REF!)</f>
        <v>#REF!</v>
      </c>
      <c r="AN185" s="44" t="e">
        <f>-SUMIF(#REF!,$A185,#REF!)</f>
        <v>#REF!</v>
      </c>
      <c r="AO185" s="44" t="e">
        <f>-SUMIF(#REF!,$A185,#REF!)</f>
        <v>#REF!</v>
      </c>
      <c r="AP185" s="44" t="e">
        <f>-SUMIF(#REF!,$A185,#REF!)</f>
        <v>#REF!</v>
      </c>
    </row>
    <row r="186" spans="1:42" x14ac:dyDescent="0.25">
      <c r="A186" s="42">
        <v>420003</v>
      </c>
      <c r="B186" s="43" t="s">
        <v>944</v>
      </c>
      <c r="C186" s="44" t="e">
        <f t="shared" si="114"/>
        <v>#REF!</v>
      </c>
      <c r="D186" s="44" t="e">
        <f t="shared" si="114"/>
        <v>#REF!</v>
      </c>
      <c r="E186" s="44" t="e">
        <f t="shared" si="114"/>
        <v>#REF!</v>
      </c>
      <c r="F186" s="44" t="e">
        <f t="shared" si="114"/>
        <v>#REF!</v>
      </c>
      <c r="G186" s="44" t="e">
        <f t="shared" si="114"/>
        <v>#REF!</v>
      </c>
      <c r="H186" s="44" t="e">
        <f t="shared" si="114"/>
        <v>#REF!</v>
      </c>
      <c r="I186" s="44" t="e">
        <f t="shared" si="114"/>
        <v>#REF!</v>
      </c>
      <c r="J186" s="44" t="e">
        <f t="shared" si="114"/>
        <v>#REF!</v>
      </c>
      <c r="K186" s="44" t="e">
        <f t="shared" si="114"/>
        <v>#REF!</v>
      </c>
      <c r="L186" s="44" t="e">
        <f t="shared" si="114"/>
        <v>#REF!</v>
      </c>
      <c r="M186" s="44" t="e">
        <f t="shared" si="114"/>
        <v>#REF!</v>
      </c>
      <c r="N186" s="44" t="e">
        <f t="shared" si="114"/>
        <v>#REF!</v>
      </c>
      <c r="Q186" s="44" t="e">
        <f>-SUMIF(#REF!,$A186,#REF!)</f>
        <v>#REF!</v>
      </c>
      <c r="R186" s="44">
        <f>-SUMIF(ALIF_Y2014!$A:$A,$A186,ALIF_Y2014!$F:$F)</f>
        <v>0</v>
      </c>
      <c r="S186" s="44">
        <f>-SUMIF(ALIF_Y2015!$A:$A,$A186,ALIF_Y2015!$F:$F)</f>
        <v>4.7E-2</v>
      </c>
      <c r="T186" s="44">
        <f>-SUMIF(ALIF_Y2016!$A:$A,$A186,ALIF_Y2016!$F:$F)</f>
        <v>77976.134999999995</v>
      </c>
      <c r="U186" s="44">
        <f>-SUMIF(ALIF_Y2017!$A:$A,$A186,ALIF_Y2017!$F:$F)</f>
        <v>2.7E-2</v>
      </c>
      <c r="V186" s="44">
        <f>-SUMIF(ALIF_Y2018!$A:$A,$A186,ALIF_Y2018!$F:$F)</f>
        <v>1E-3</v>
      </c>
      <c r="W186" s="44">
        <f>-SUMIF(ALIF_Y2019!$A:$A,$A186,ALIF_Y2019!$F:$F)</f>
        <v>0</v>
      </c>
      <c r="X186" s="44">
        <f>-SUMIF(ALIF_Y2020!$A:$A,$A186,ALIF_Y2020!$F:$F)</f>
        <v>-1.6E-2</v>
      </c>
      <c r="Y186" s="44">
        <f>-SUMIF(ALIF_Y2021!$A:$A,$A186,ALIF_Y2021!$F:$F)</f>
        <v>0</v>
      </c>
      <c r="Z186" s="44">
        <f>-SUMIF(ALIF_Y2022!$A:$A,$A186,ALIF_Y2022!$F:$F)</f>
        <v>0</v>
      </c>
      <c r="AA186" s="44">
        <f>-SUMIF(ALIF_Y2023!$A:$A,$A186,ALIF_Y2023!$F:$F)</f>
        <v>0</v>
      </c>
      <c r="AE186" s="44" t="e">
        <f>-SUMIF(#REF!,$A186,#REF!)</f>
        <v>#REF!</v>
      </c>
      <c r="AF186" s="44" t="e">
        <f>-SUMIF(#REF!,$A186,#REF!)</f>
        <v>#REF!</v>
      </c>
      <c r="AG186" s="44" t="e">
        <f>-SUMIF(#REF!,$A186,#REF!)</f>
        <v>#REF!</v>
      </c>
      <c r="AH186" s="44" t="e">
        <f>-SUMIF(#REF!,$A186,#REF!)</f>
        <v>#REF!</v>
      </c>
      <c r="AI186" s="44" t="e">
        <f>-SUMIF(#REF!,$A186,#REF!)</f>
        <v>#REF!</v>
      </c>
      <c r="AJ186" s="44" t="e">
        <f>-SUMIF(#REF!,$A186,#REF!)</f>
        <v>#REF!</v>
      </c>
      <c r="AK186" s="44" t="e">
        <f>-SUMIF(#REF!,$A186,#REF!)</f>
        <v>#REF!</v>
      </c>
      <c r="AL186" s="44" t="e">
        <f>-SUMIF(#REF!,$A186,#REF!)</f>
        <v>#REF!</v>
      </c>
      <c r="AM186" s="44" t="e">
        <f>-SUMIF(#REF!,$A186,#REF!)</f>
        <v>#REF!</v>
      </c>
      <c r="AN186" s="44" t="e">
        <f>-SUMIF(#REF!,$A186,#REF!)</f>
        <v>#REF!</v>
      </c>
      <c r="AO186" s="44" t="e">
        <f>-SUMIF(#REF!,$A186,#REF!)</f>
        <v>#REF!</v>
      </c>
      <c r="AP186" s="44" t="e">
        <f>-SUMIF(#REF!,$A186,#REF!)</f>
        <v>#REF!</v>
      </c>
    </row>
    <row r="187" spans="1:42" ht="7.9" customHeight="1" x14ac:dyDescent="0.25">
      <c r="C187" s="144"/>
      <c r="D187" s="144"/>
      <c r="E187" s="144"/>
      <c r="F187" s="144"/>
      <c r="G187" s="144"/>
      <c r="H187" s="144"/>
      <c r="I187" s="144"/>
      <c r="J187" s="144"/>
      <c r="K187" s="144"/>
      <c r="L187" s="144"/>
      <c r="M187" s="144"/>
      <c r="N187" s="144"/>
      <c r="O187" s="145"/>
      <c r="Q187" s="144"/>
      <c r="R187" s="144"/>
      <c r="S187" s="144"/>
      <c r="T187" s="144"/>
      <c r="U187" s="144"/>
      <c r="V187" s="144"/>
      <c r="W187" s="144"/>
      <c r="X187" s="144"/>
      <c r="Y187" s="144"/>
      <c r="Z187" s="144"/>
      <c r="AA187" s="144"/>
      <c r="AB187" s="144"/>
      <c r="AE187" s="144"/>
      <c r="AF187" s="144"/>
      <c r="AG187" s="144"/>
      <c r="AH187" s="144"/>
      <c r="AI187" s="144"/>
      <c r="AJ187" s="144"/>
      <c r="AK187" s="144"/>
      <c r="AL187" s="144"/>
      <c r="AM187" s="144"/>
      <c r="AN187" s="144"/>
      <c r="AO187" s="144"/>
      <c r="AP187" s="144"/>
    </row>
    <row r="188" spans="1:42" x14ac:dyDescent="0.25">
      <c r="C188" s="45" t="e">
        <f t="shared" ref="C188:N188" si="115">SUM(C180:C187)</f>
        <v>#REF!</v>
      </c>
      <c r="D188" s="45" t="e">
        <f t="shared" si="115"/>
        <v>#REF!</v>
      </c>
      <c r="E188" s="45" t="e">
        <f t="shared" si="115"/>
        <v>#REF!</v>
      </c>
      <c r="F188" s="45" t="e">
        <f t="shared" si="115"/>
        <v>#REF!</v>
      </c>
      <c r="G188" s="45" t="e">
        <f t="shared" si="115"/>
        <v>#REF!</v>
      </c>
      <c r="H188" s="45" t="e">
        <f t="shared" si="115"/>
        <v>#REF!</v>
      </c>
      <c r="I188" s="45" t="e">
        <f t="shared" si="115"/>
        <v>#REF!</v>
      </c>
      <c r="J188" s="45" t="e">
        <f t="shared" si="115"/>
        <v>#REF!</v>
      </c>
      <c r="K188" s="45" t="e">
        <f t="shared" si="115"/>
        <v>#REF!</v>
      </c>
      <c r="L188" s="45" t="e">
        <f t="shared" si="115"/>
        <v>#REF!</v>
      </c>
      <c r="M188" s="45" t="e">
        <f t="shared" si="115"/>
        <v>#REF!</v>
      </c>
      <c r="N188" s="45" t="e">
        <f t="shared" si="115"/>
        <v>#REF!</v>
      </c>
      <c r="Q188" s="45" t="e">
        <f t="shared" ref="Q188:AB188" si="116">SUM(Q180:Q187)</f>
        <v>#REF!</v>
      </c>
      <c r="R188" s="45">
        <f t="shared" si="116"/>
        <v>133975423.85586798</v>
      </c>
      <c r="S188" s="45">
        <f t="shared" si="116"/>
        <v>109444157.5853669</v>
      </c>
      <c r="T188" s="45">
        <f t="shared" si="116"/>
        <v>87767642.650328994</v>
      </c>
      <c r="U188" s="45">
        <f t="shared" si="116"/>
        <v>93078605.225867987</v>
      </c>
      <c r="V188" s="45">
        <f t="shared" si="116"/>
        <v>107410025.54439001</v>
      </c>
      <c r="W188" s="45">
        <f t="shared" si="116"/>
        <v>146081750.18741196</v>
      </c>
      <c r="X188" s="45">
        <f t="shared" si="116"/>
        <v>126602833.99654397</v>
      </c>
      <c r="Y188" s="45">
        <f t="shared" si="116"/>
        <v>182618747.327999</v>
      </c>
      <c r="Z188" s="45">
        <f t="shared" si="116"/>
        <v>221964755.03041697</v>
      </c>
      <c r="AA188" s="45">
        <f t="shared" si="116"/>
        <v>104200512.36582999</v>
      </c>
      <c r="AB188" s="45">
        <f t="shared" si="116"/>
        <v>0</v>
      </c>
      <c r="AE188" s="45" t="e">
        <f t="shared" ref="AE188:AP188" si="117">SUM(AE180:AE187)</f>
        <v>#REF!</v>
      </c>
      <c r="AF188" s="45" t="e">
        <f t="shared" si="117"/>
        <v>#REF!</v>
      </c>
      <c r="AG188" s="45" t="e">
        <f t="shared" si="117"/>
        <v>#REF!</v>
      </c>
      <c r="AH188" s="45" t="e">
        <f t="shared" si="117"/>
        <v>#REF!</v>
      </c>
      <c r="AI188" s="45" t="e">
        <f t="shared" si="117"/>
        <v>#REF!</v>
      </c>
      <c r="AJ188" s="45" t="e">
        <f t="shared" si="117"/>
        <v>#REF!</v>
      </c>
      <c r="AK188" s="45" t="e">
        <f t="shared" si="117"/>
        <v>#REF!</v>
      </c>
      <c r="AL188" s="45" t="e">
        <f t="shared" si="117"/>
        <v>#REF!</v>
      </c>
      <c r="AM188" s="45" t="e">
        <f t="shared" si="117"/>
        <v>#REF!</v>
      </c>
      <c r="AN188" s="45" t="e">
        <f t="shared" si="117"/>
        <v>#REF!</v>
      </c>
      <c r="AO188" s="45" t="e">
        <f t="shared" si="117"/>
        <v>#REF!</v>
      </c>
      <c r="AP188" s="45" t="e">
        <f t="shared" si="117"/>
        <v>#REF!</v>
      </c>
    </row>
    <row r="190" spans="1:42" x14ac:dyDescent="0.25">
      <c r="A190" s="41" t="s">
        <v>42</v>
      </c>
      <c r="O190" s="45">
        <f>SUM(C190:N190)</f>
        <v>0</v>
      </c>
    </row>
    <row r="191" spans="1:42" x14ac:dyDescent="0.25">
      <c r="B191" s="43" t="s">
        <v>643</v>
      </c>
      <c r="O191" s="45">
        <f>SUM(C191:N191)</f>
        <v>0</v>
      </c>
      <c r="Q191" s="44" t="e">
        <f>SUMIF(#REF!,$B191,#REF!)</f>
        <v>#REF!</v>
      </c>
      <c r="AE191" s="44" t="e">
        <f>SUMIF(#REF!,$B191,#REF!)</f>
        <v>#REF!</v>
      </c>
    </row>
    <row r="192" spans="1:42" x14ac:dyDescent="0.25">
      <c r="B192" s="43" t="s">
        <v>645</v>
      </c>
      <c r="O192" s="45">
        <f>SUM(C192:N192)</f>
        <v>0</v>
      </c>
      <c r="Q192" s="44" t="e">
        <f>SUMIF(#REF!,$B192,#REF!)</f>
        <v>#REF!</v>
      </c>
      <c r="AE192" s="44" t="e">
        <f>SUMIF(#REF!,$B192,#REF!)</f>
        <v>#REF!</v>
      </c>
    </row>
    <row r="193" spans="1:42" x14ac:dyDescent="0.25">
      <c r="B193" s="43" t="s">
        <v>1261</v>
      </c>
      <c r="O193" s="45">
        <f>SUM(C193:N193)</f>
        <v>0</v>
      </c>
      <c r="Q193" s="44" t="e">
        <f>SUMIF(#REF!,$B193,#REF!)</f>
        <v>#REF!</v>
      </c>
      <c r="AE193" s="44" t="e">
        <f>SUMIF(#REF!,$B193,#REF!)</f>
        <v>#REF!</v>
      </c>
    </row>
    <row r="194" spans="1:42" x14ac:dyDescent="0.25">
      <c r="O194" s="45">
        <f>SUM(C194:N194)</f>
        <v>0</v>
      </c>
    </row>
    <row r="195" spans="1:42" x14ac:dyDescent="0.25">
      <c r="C195" s="45">
        <f t="shared" ref="C195:O195" si="118">SUM(C191:C194)</f>
        <v>0</v>
      </c>
      <c r="D195" s="45">
        <f t="shared" si="118"/>
        <v>0</v>
      </c>
      <c r="E195" s="45">
        <f t="shared" si="118"/>
        <v>0</v>
      </c>
      <c r="F195" s="45">
        <f t="shared" si="118"/>
        <v>0</v>
      </c>
      <c r="G195" s="45">
        <f t="shared" si="118"/>
        <v>0</v>
      </c>
      <c r="H195" s="45">
        <f t="shared" si="118"/>
        <v>0</v>
      </c>
      <c r="I195" s="45">
        <f t="shared" si="118"/>
        <v>0</v>
      </c>
      <c r="J195" s="45">
        <f t="shared" si="118"/>
        <v>0</v>
      </c>
      <c r="K195" s="45">
        <f t="shared" si="118"/>
        <v>0</v>
      </c>
      <c r="L195" s="45">
        <f t="shared" si="118"/>
        <v>0</v>
      </c>
      <c r="M195" s="45">
        <f t="shared" si="118"/>
        <v>0</v>
      </c>
      <c r="N195" s="45">
        <f t="shared" si="118"/>
        <v>0</v>
      </c>
      <c r="O195" s="45">
        <f t="shared" si="118"/>
        <v>0</v>
      </c>
      <c r="Q195" s="45" t="e">
        <f t="shared" ref="Q195:AB195" si="119">SUM(Q191:Q194)</f>
        <v>#REF!</v>
      </c>
      <c r="R195" s="45">
        <f t="shared" si="119"/>
        <v>0</v>
      </c>
      <c r="S195" s="45">
        <f t="shared" si="119"/>
        <v>0</v>
      </c>
      <c r="T195" s="45">
        <f t="shared" si="119"/>
        <v>0</v>
      </c>
      <c r="U195" s="45">
        <f t="shared" si="119"/>
        <v>0</v>
      </c>
      <c r="V195" s="45">
        <f t="shared" si="119"/>
        <v>0</v>
      </c>
      <c r="W195" s="45">
        <f t="shared" si="119"/>
        <v>0</v>
      </c>
      <c r="X195" s="45">
        <f t="shared" si="119"/>
        <v>0</v>
      </c>
      <c r="Y195" s="45">
        <f t="shared" si="119"/>
        <v>0</v>
      </c>
      <c r="Z195" s="45">
        <f t="shared" si="119"/>
        <v>0</v>
      </c>
      <c r="AA195" s="45">
        <f t="shared" si="119"/>
        <v>0</v>
      </c>
      <c r="AB195" s="45">
        <f t="shared" si="119"/>
        <v>0</v>
      </c>
      <c r="AE195" s="45" t="e">
        <f t="shared" ref="AE195:AP195" si="120">SUM(AE191:AE194)</f>
        <v>#REF!</v>
      </c>
      <c r="AF195" s="45">
        <f t="shared" si="120"/>
        <v>0</v>
      </c>
      <c r="AG195" s="45">
        <f t="shared" si="120"/>
        <v>0</v>
      </c>
      <c r="AH195" s="45">
        <f t="shared" si="120"/>
        <v>0</v>
      </c>
      <c r="AI195" s="45">
        <f t="shared" si="120"/>
        <v>0</v>
      </c>
      <c r="AJ195" s="45">
        <f t="shared" si="120"/>
        <v>0</v>
      </c>
      <c r="AK195" s="45">
        <f t="shared" si="120"/>
        <v>0</v>
      </c>
      <c r="AL195" s="45">
        <f t="shared" si="120"/>
        <v>0</v>
      </c>
      <c r="AM195" s="45">
        <f t="shared" si="120"/>
        <v>0</v>
      </c>
      <c r="AN195" s="45">
        <f t="shared" si="120"/>
        <v>0</v>
      </c>
      <c r="AO195" s="45">
        <f t="shared" si="120"/>
        <v>0</v>
      </c>
      <c r="AP195" s="45">
        <f t="shared" si="120"/>
        <v>0</v>
      </c>
    </row>
    <row r="197" spans="1:42" x14ac:dyDescent="0.25">
      <c r="A197" s="41" t="s">
        <v>1337</v>
      </c>
    </row>
    <row r="198" spans="1:42" x14ac:dyDescent="0.25">
      <c r="A198" s="146">
        <v>700037</v>
      </c>
      <c r="B198" t="s">
        <v>1059</v>
      </c>
      <c r="Q198" s="44" t="e">
        <f>SUMIF(#REF!,$A198,#REF!)</f>
        <v>#REF!</v>
      </c>
      <c r="AE198" s="44" t="e">
        <f>SUMIF(#REF!,$A198,#REF!)</f>
        <v>#REF!</v>
      </c>
    </row>
    <row r="199" spans="1:42" x14ac:dyDescent="0.25">
      <c r="A199" s="146">
        <v>700045</v>
      </c>
      <c r="B199" t="s">
        <v>1067</v>
      </c>
      <c r="Q199" s="44" t="e">
        <f>SUMIF(#REF!,$A199,#REF!)</f>
        <v>#REF!</v>
      </c>
      <c r="AE199" s="44" t="e">
        <f>SUMIF(#REF!,$A199,#REF!)</f>
        <v>#REF!</v>
      </c>
    </row>
    <row r="200" spans="1:42" x14ac:dyDescent="0.25">
      <c r="A200" s="146">
        <v>700065</v>
      </c>
      <c r="B200" t="s">
        <v>1086</v>
      </c>
      <c r="Q200" s="44" t="e">
        <f>SUMIF(#REF!,$A200,#REF!)</f>
        <v>#REF!</v>
      </c>
      <c r="AE200" s="44" t="e">
        <f>SUMIF(#REF!,$A200,#REF!)</f>
        <v>#REF!</v>
      </c>
    </row>
    <row r="202" spans="1:42" x14ac:dyDescent="0.25">
      <c r="Q202" s="45" t="e">
        <f t="shared" ref="Q202:AB202" si="121">SUM(Q198:Q201)</f>
        <v>#REF!</v>
      </c>
      <c r="R202" s="45">
        <f t="shared" si="121"/>
        <v>0</v>
      </c>
      <c r="S202" s="45">
        <f t="shared" si="121"/>
        <v>0</v>
      </c>
      <c r="T202" s="45">
        <f t="shared" si="121"/>
        <v>0</v>
      </c>
      <c r="U202" s="45">
        <f t="shared" si="121"/>
        <v>0</v>
      </c>
      <c r="V202" s="45">
        <f t="shared" si="121"/>
        <v>0</v>
      </c>
      <c r="W202" s="45">
        <f t="shared" si="121"/>
        <v>0</v>
      </c>
      <c r="X202" s="45">
        <f t="shared" si="121"/>
        <v>0</v>
      </c>
      <c r="Y202" s="45">
        <f t="shared" si="121"/>
        <v>0</v>
      </c>
      <c r="Z202" s="45">
        <f t="shared" si="121"/>
        <v>0</v>
      </c>
      <c r="AA202" s="45">
        <f t="shared" si="121"/>
        <v>0</v>
      </c>
      <c r="AB202" s="45">
        <f t="shared" si="121"/>
        <v>0</v>
      </c>
      <c r="AE202" s="45" t="e">
        <f t="shared" ref="AE202:AP202" si="122">SUM(AE198:AE201)</f>
        <v>#REF!</v>
      </c>
      <c r="AF202" s="45">
        <f t="shared" si="122"/>
        <v>0</v>
      </c>
      <c r="AG202" s="45">
        <f t="shared" si="122"/>
        <v>0</v>
      </c>
      <c r="AH202" s="45">
        <f t="shared" si="122"/>
        <v>0</v>
      </c>
      <c r="AI202" s="45">
        <f t="shared" si="122"/>
        <v>0</v>
      </c>
      <c r="AJ202" s="45">
        <f t="shared" si="122"/>
        <v>0</v>
      </c>
      <c r="AK202" s="45">
        <f t="shared" si="122"/>
        <v>0</v>
      </c>
      <c r="AL202" s="45">
        <f t="shared" si="122"/>
        <v>0</v>
      </c>
      <c r="AM202" s="45">
        <f t="shared" si="122"/>
        <v>0</v>
      </c>
      <c r="AN202" s="45">
        <f t="shared" si="122"/>
        <v>0</v>
      </c>
      <c r="AO202" s="45">
        <f t="shared" si="122"/>
        <v>0</v>
      </c>
      <c r="AP202" s="45">
        <f t="shared" si="122"/>
        <v>0</v>
      </c>
    </row>
    <row r="204" spans="1:42" x14ac:dyDescent="0.25">
      <c r="A204" s="41" t="s">
        <v>1338</v>
      </c>
      <c r="AC204" s="44"/>
    </row>
    <row r="205" spans="1:42" x14ac:dyDescent="0.25">
      <c r="A205" s="43">
        <v>600029</v>
      </c>
      <c r="B205" s="43" t="s">
        <v>1006</v>
      </c>
      <c r="Q205" s="44" t="e">
        <f>SUMIF(#REF!,$A205,#REF!)</f>
        <v>#REF!</v>
      </c>
      <c r="AE205" s="44" t="e">
        <f>SUMIF(#REF!,$A205,#REF!)</f>
        <v>#REF!</v>
      </c>
    </row>
    <row r="206" spans="1:42" x14ac:dyDescent="0.25">
      <c r="A206" s="43">
        <v>600030</v>
      </c>
      <c r="B206" s="43" t="s">
        <v>1007</v>
      </c>
      <c r="Q206" s="44" t="e">
        <f>SUMIF(#REF!,$A206,#REF!)</f>
        <v>#REF!</v>
      </c>
      <c r="AE206" s="44" t="e">
        <f>SUMIF(#REF!,$A206,#REF!)</f>
        <v>#REF!</v>
      </c>
    </row>
    <row r="207" spans="1:42" x14ac:dyDescent="0.25">
      <c r="A207" s="43">
        <v>600031</v>
      </c>
      <c r="B207" s="43" t="s">
        <v>1008</v>
      </c>
      <c r="Q207" s="44" t="e">
        <f>SUMIF(#REF!,$A207,#REF!)</f>
        <v>#REF!</v>
      </c>
      <c r="AE207" s="44" t="e">
        <f>SUMIF(#REF!,$A207,#REF!)</f>
        <v>#REF!</v>
      </c>
    </row>
    <row r="208" spans="1:42" x14ac:dyDescent="0.25">
      <c r="A208" s="43">
        <v>600032</v>
      </c>
      <c r="B208" s="43" t="s">
        <v>1009</v>
      </c>
      <c r="Q208" s="44" t="e">
        <f>SUMIF(#REF!,$A208,#REF!)</f>
        <v>#REF!</v>
      </c>
      <c r="AE208" s="44" t="e">
        <f>SUMIF(#REF!,$A208,#REF!)</f>
        <v>#REF!</v>
      </c>
    </row>
    <row r="209" spans="1:31" x14ac:dyDescent="0.25">
      <c r="A209" s="43">
        <v>700050</v>
      </c>
      <c r="B209" s="43" t="s">
        <v>1071</v>
      </c>
      <c r="Q209" s="44" t="e">
        <f>SUMIF(#REF!,$A209,#REF!)</f>
        <v>#REF!</v>
      </c>
      <c r="AE209" s="44" t="e">
        <f>SUMIF(#REF!,$A209,#REF!)</f>
        <v>#REF!</v>
      </c>
    </row>
    <row r="210" spans="1:31" x14ac:dyDescent="0.25">
      <c r="A210" s="43">
        <v>700051</v>
      </c>
      <c r="B210" s="43" t="s">
        <v>1072</v>
      </c>
      <c r="Q210" s="44" t="e">
        <f>SUMIF(#REF!,$A210,#REF!)</f>
        <v>#REF!</v>
      </c>
      <c r="AE210" s="44" t="e">
        <f>SUMIF(#REF!,$A210,#REF!)</f>
        <v>#REF!</v>
      </c>
    </row>
    <row r="211" spans="1:31" x14ac:dyDescent="0.25">
      <c r="A211" s="43">
        <v>700052</v>
      </c>
      <c r="B211" s="43" t="s">
        <v>1073</v>
      </c>
      <c r="Q211" s="44" t="e">
        <f>SUMIF(#REF!,$A211,#REF!)</f>
        <v>#REF!</v>
      </c>
      <c r="AE211" s="44" t="e">
        <f>SUMIF(#REF!,$A211,#REF!)</f>
        <v>#REF!</v>
      </c>
    </row>
    <row r="212" spans="1:31" x14ac:dyDescent="0.25">
      <c r="A212" s="43">
        <v>700053</v>
      </c>
      <c r="B212" s="43" t="s">
        <v>1074</v>
      </c>
      <c r="Q212" s="44" t="e">
        <f>SUMIF(#REF!,$A212,#REF!)</f>
        <v>#REF!</v>
      </c>
      <c r="AE212" s="44" t="e">
        <f>SUMIF(#REF!,$A212,#REF!)</f>
        <v>#REF!</v>
      </c>
    </row>
    <row r="213" spans="1:31" x14ac:dyDescent="0.25">
      <c r="A213" s="43">
        <v>700054</v>
      </c>
      <c r="B213" s="43" t="s">
        <v>1075</v>
      </c>
      <c r="Q213" s="44" t="e">
        <f>SUMIF(#REF!,$A213,#REF!)</f>
        <v>#REF!</v>
      </c>
      <c r="AE213" s="44" t="e">
        <f>SUMIF(#REF!,$A213,#REF!)</f>
        <v>#REF!</v>
      </c>
    </row>
    <row r="214" spans="1:31" x14ac:dyDescent="0.25">
      <c r="A214" s="43">
        <v>700055</v>
      </c>
      <c r="B214" s="43" t="s">
        <v>1076</v>
      </c>
      <c r="Q214" s="44" t="e">
        <f>SUMIF(#REF!,$A214,#REF!)</f>
        <v>#REF!</v>
      </c>
      <c r="AE214" s="44" t="e">
        <f>SUMIF(#REF!,$A214,#REF!)</f>
        <v>#REF!</v>
      </c>
    </row>
    <row r="215" spans="1:31" x14ac:dyDescent="0.25">
      <c r="A215" s="43">
        <v>700056</v>
      </c>
      <c r="B215" s="43" t="s">
        <v>1077</v>
      </c>
      <c r="Q215" s="44" t="e">
        <f>SUMIF(#REF!,$A215,#REF!)</f>
        <v>#REF!</v>
      </c>
      <c r="AE215" s="44" t="e">
        <f>SUMIF(#REF!,$A215,#REF!)</f>
        <v>#REF!</v>
      </c>
    </row>
    <row r="216" spans="1:31" x14ac:dyDescent="0.25">
      <c r="A216" s="43">
        <v>700064</v>
      </c>
      <c r="B216" s="43" t="s">
        <v>1085</v>
      </c>
      <c r="Q216" s="44" t="e">
        <f>SUMIF(#REF!,$A216,#REF!)</f>
        <v>#REF!</v>
      </c>
      <c r="R216" s="44" t="e">
        <f>SUMIF(#REF!,$A216,#REF!)</f>
        <v>#REF!</v>
      </c>
      <c r="S216" s="44" t="e">
        <f>SUMIF(#REF!,$A216,#REF!)</f>
        <v>#REF!</v>
      </c>
      <c r="T216" s="44" t="e">
        <f>SUMIF(#REF!,$A216,#REF!)</f>
        <v>#REF!</v>
      </c>
      <c r="U216" s="44" t="e">
        <f>SUMIF(#REF!,$A216,#REF!)</f>
        <v>#REF!</v>
      </c>
      <c r="V216" s="44" t="e">
        <f>SUMIF(#REF!,$A216,#REF!)</f>
        <v>#REF!</v>
      </c>
      <c r="W216" s="44" t="e">
        <f>SUMIF(#REF!,$A216,#REF!)</f>
        <v>#REF!</v>
      </c>
      <c r="X216" s="44" t="e">
        <f>SUMIF(#REF!,$A216,#REF!)</f>
        <v>#REF!</v>
      </c>
      <c r="Y216" s="44" t="e">
        <f>SUMIF(#REF!,$A216,#REF!)</f>
        <v>#REF!</v>
      </c>
      <c r="Z216" s="44" t="e">
        <f>SUMIF(#REF!,$A216,#REF!)</f>
        <v>#REF!</v>
      </c>
      <c r="AA216" s="44" t="e">
        <f>SUMIF(#REF!,$A216,#REF!)</f>
        <v>#REF!</v>
      </c>
      <c r="AB216" s="44" t="e">
        <f>SUMIF(#REF!,$A216,#REF!)</f>
        <v>#REF!</v>
      </c>
      <c r="AE216" s="44" t="e">
        <f>SUMIF(#REF!,$A216,#REF!)</f>
        <v>#REF!</v>
      </c>
    </row>
    <row r="217" spans="1:31" x14ac:dyDescent="0.25">
      <c r="A217" s="43">
        <v>600033</v>
      </c>
      <c r="B217" s="43" t="s">
        <v>1010</v>
      </c>
      <c r="Q217" s="44" t="e">
        <f>SUMIF(#REF!,$A217,#REF!)</f>
        <v>#REF!</v>
      </c>
      <c r="AE217" s="44" t="e">
        <f>SUMIF(#REF!,$A217,#REF!)</f>
        <v>#REF!</v>
      </c>
    </row>
    <row r="219" spans="1:31" x14ac:dyDescent="0.25">
      <c r="Q219" s="45" t="e">
        <f t="shared" ref="Q219:AB219" si="123">SUM(Q205:Q218)</f>
        <v>#REF!</v>
      </c>
      <c r="R219" s="45" t="e">
        <f t="shared" si="123"/>
        <v>#REF!</v>
      </c>
      <c r="S219" s="45" t="e">
        <f t="shared" si="123"/>
        <v>#REF!</v>
      </c>
      <c r="T219" s="45" t="e">
        <f t="shared" si="123"/>
        <v>#REF!</v>
      </c>
      <c r="U219" s="45" t="e">
        <f t="shared" si="123"/>
        <v>#REF!</v>
      </c>
      <c r="V219" s="45" t="e">
        <f t="shared" si="123"/>
        <v>#REF!</v>
      </c>
      <c r="W219" s="45" t="e">
        <f t="shared" si="123"/>
        <v>#REF!</v>
      </c>
      <c r="X219" s="45" t="e">
        <f t="shared" si="123"/>
        <v>#REF!</v>
      </c>
      <c r="Y219" s="45" t="e">
        <f t="shared" si="123"/>
        <v>#REF!</v>
      </c>
      <c r="Z219" s="45" t="e">
        <f t="shared" si="123"/>
        <v>#REF!</v>
      </c>
      <c r="AA219" s="45" t="e">
        <f t="shared" si="123"/>
        <v>#REF!</v>
      </c>
      <c r="AB219" s="45" t="e">
        <f t="shared" si="123"/>
        <v>#REF!</v>
      </c>
      <c r="AE219" s="45" t="e">
        <f>SUM(AE205:AE218)</f>
        <v>#REF!</v>
      </c>
    </row>
    <row r="221" spans="1:31" x14ac:dyDescent="0.25">
      <c r="A221" s="41" t="s">
        <v>1339</v>
      </c>
    </row>
    <row r="222" spans="1:31" x14ac:dyDescent="0.25">
      <c r="A222" s="43">
        <v>600060</v>
      </c>
      <c r="B222" s="43" t="s">
        <v>1022</v>
      </c>
      <c r="Q222" s="44" t="e">
        <f>-SUMIF(#REF!,$A222,#REF!)</f>
        <v>#REF!</v>
      </c>
      <c r="AE222" s="44" t="e">
        <f>-SUMIF(#REF!,$A222,#REF!)</f>
        <v>#REF!</v>
      </c>
    </row>
    <row r="224" spans="1:31" x14ac:dyDescent="0.25">
      <c r="Q224" s="45" t="e">
        <f t="shared" ref="Q224:AB224" si="124">SUM(Q222:Q223)</f>
        <v>#REF!</v>
      </c>
      <c r="R224" s="45">
        <f t="shared" si="124"/>
        <v>0</v>
      </c>
      <c r="S224" s="45">
        <f t="shared" si="124"/>
        <v>0</v>
      </c>
      <c r="T224" s="45">
        <f t="shared" si="124"/>
        <v>0</v>
      </c>
      <c r="U224" s="45">
        <f t="shared" si="124"/>
        <v>0</v>
      </c>
      <c r="V224" s="45">
        <f t="shared" si="124"/>
        <v>0</v>
      </c>
      <c r="W224" s="45">
        <f t="shared" si="124"/>
        <v>0</v>
      </c>
      <c r="X224" s="45">
        <f t="shared" si="124"/>
        <v>0</v>
      </c>
      <c r="Y224" s="45">
        <f t="shared" si="124"/>
        <v>0</v>
      </c>
      <c r="Z224" s="45">
        <f t="shared" si="124"/>
        <v>0</v>
      </c>
      <c r="AA224" s="45">
        <f t="shared" si="124"/>
        <v>0</v>
      </c>
      <c r="AB224" s="45">
        <f t="shared" si="124"/>
        <v>0</v>
      </c>
      <c r="AE224" s="45" t="e">
        <f>SUM(AE222:AE223)</f>
        <v>#REF!</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424"/>
  <sheetViews>
    <sheetView zoomScale="90" workbookViewId="0">
      <pane ySplit="380" topLeftCell="A381" activePane="bottomLeft" state="frozen"/>
      <selection pane="bottomLeft"/>
    </sheetView>
  </sheetViews>
  <sheetFormatPr defaultRowHeight="15" x14ac:dyDescent="0.25"/>
  <cols>
    <col min="1" max="1" width="13.42578125" customWidth="1"/>
    <col min="2" max="2" width="52.28515625" customWidth="1"/>
    <col min="3" max="3" width="16.7109375" customWidth="1"/>
    <col min="4" max="4" width="16.140625" customWidth="1"/>
    <col min="5" max="5" width="13.5703125" customWidth="1"/>
    <col min="6" max="6" width="19.85546875" customWidth="1"/>
    <col min="7" max="7" width="8.5703125" customWidth="1"/>
    <col min="8" max="8" width="19.5703125" customWidth="1"/>
    <col min="9" max="9" width="42.7109375" customWidth="1"/>
    <col min="10" max="10" width="50.7109375" customWidth="1"/>
    <col min="11" max="11" width="8.85546875" customWidth="1"/>
  </cols>
  <sheetData>
    <row r="1" spans="1:10" x14ac:dyDescent="0.25">
      <c r="A1" s="85" t="s">
        <v>1251</v>
      </c>
    </row>
    <row r="2" spans="1:10" x14ac:dyDescent="0.25">
      <c r="A2" s="85" t="s">
        <v>1190</v>
      </c>
    </row>
    <row r="4" spans="1:10" x14ac:dyDescent="0.25">
      <c r="A4" t="s">
        <v>808</v>
      </c>
      <c r="B4" t="s">
        <v>809</v>
      </c>
      <c r="C4" t="s">
        <v>1340</v>
      </c>
      <c r="D4" t="s">
        <v>811</v>
      </c>
      <c r="E4" t="s">
        <v>812</v>
      </c>
      <c r="F4" s="147" t="s">
        <v>813</v>
      </c>
      <c r="G4" s="85" t="s">
        <v>814</v>
      </c>
      <c r="H4" s="85" t="s">
        <v>815</v>
      </c>
      <c r="I4" s="120" t="s">
        <v>722</v>
      </c>
      <c r="J4" s="120" t="s">
        <v>816</v>
      </c>
    </row>
    <row r="5" spans="1:10" x14ac:dyDescent="0.25">
      <c r="A5">
        <v>110002</v>
      </c>
      <c r="B5" t="s">
        <v>819</v>
      </c>
      <c r="C5" s="147">
        <v>0</v>
      </c>
      <c r="D5" s="147">
        <v>249682</v>
      </c>
      <c r="E5" s="147">
        <v>0</v>
      </c>
      <c r="F5" s="147">
        <v>249682</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110003</v>
      </c>
      <c r="B6" t="s">
        <v>820</v>
      </c>
      <c r="C6" s="147">
        <v>0</v>
      </c>
      <c r="D6" s="147">
        <v>1765393.75</v>
      </c>
      <c r="E6" s="147">
        <v>0</v>
      </c>
      <c r="F6" s="147">
        <v>1765393.75</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110004</v>
      </c>
      <c r="B7" t="s">
        <v>821</v>
      </c>
      <c r="C7" s="147">
        <v>0</v>
      </c>
      <c r="D7" s="147">
        <v>38613109.295000002</v>
      </c>
      <c r="E7" s="147">
        <v>51168.5</v>
      </c>
      <c r="F7" s="147">
        <v>38561940.795000002</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110006</v>
      </c>
      <c r="B8" t="s">
        <v>822</v>
      </c>
      <c r="C8" s="147">
        <v>0</v>
      </c>
      <c r="D8" s="147">
        <v>1446052.15</v>
      </c>
      <c r="E8" s="147">
        <v>0</v>
      </c>
      <c r="F8" s="147">
        <v>1446052.15</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110007</v>
      </c>
      <c r="B9" t="s">
        <v>823</v>
      </c>
      <c r="C9" s="147">
        <v>0</v>
      </c>
      <c r="D9" s="147">
        <v>798523.45</v>
      </c>
      <c r="E9" s="147">
        <v>0</v>
      </c>
      <c r="F9" s="148">
        <v>798523.45</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110008</v>
      </c>
      <c r="B10" t="s">
        <v>824</v>
      </c>
      <c r="C10" s="147">
        <v>0</v>
      </c>
      <c r="D10" s="147">
        <v>191765.4</v>
      </c>
      <c r="E10" s="147">
        <v>0</v>
      </c>
      <c r="F10" s="148">
        <v>191765.4</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111013</v>
      </c>
      <c r="B11" t="s">
        <v>827</v>
      </c>
      <c r="C11" s="147">
        <v>0</v>
      </c>
      <c r="D11" s="147">
        <v>2486494.6800000002</v>
      </c>
      <c r="E11" s="147">
        <v>2486494.6800000002</v>
      </c>
      <c r="F11" s="147">
        <v>0</v>
      </c>
      <c r="G11" s="43" t="str">
        <f>_xlfn.XLOOKUP($A11,Map!$A:$A,Map!C:C)</f>
        <v>BS</v>
      </c>
      <c r="H11" s="43" t="str">
        <f>_xlfn.XLOOKUP($A11,Map!$A:$A,Map!D:D)</f>
        <v>Non-Current Assets</v>
      </c>
      <c r="I11" s="43" t="str">
        <f>_xlfn.XLOOKUP($A11,Map!$A:$A,Map!E:E)</f>
        <v>Property, plant and equipment</v>
      </c>
      <c r="J11" s="43" t="str">
        <f>_xlfn.XLOOKUP($A11,Map!$A:$A,Map!F:F)</f>
        <v>Property, plant and equipment - Accumulated depreciation</v>
      </c>
    </row>
    <row r="12" spans="1:10" x14ac:dyDescent="0.25">
      <c r="A12">
        <v>120001</v>
      </c>
      <c r="B12" t="s">
        <v>829</v>
      </c>
      <c r="C12" s="147">
        <v>0</v>
      </c>
      <c r="D12" s="147">
        <v>0</v>
      </c>
      <c r="E12" s="147">
        <v>227682.83</v>
      </c>
      <c r="F12" s="147">
        <v>-227682.83</v>
      </c>
      <c r="G12" s="43" t="str">
        <f>_xlfn.XLOOKUP($A12,Map!$A:$A,Map!C:C)</f>
        <v>BS</v>
      </c>
      <c r="H12" s="43" t="str">
        <f>_xlfn.XLOOKUP($A12,Map!$A:$A,Map!D:D)</f>
        <v>Non-Current Assets</v>
      </c>
      <c r="I12" s="43" t="str">
        <f>_xlfn.XLOOKUP($A12,Map!$A:$A,Map!E:E)</f>
        <v>Property, plant and equipment</v>
      </c>
      <c r="J12" s="43" t="str">
        <f>_xlfn.XLOOKUP($A12,Map!$A:$A,Map!F:F)</f>
        <v>Property, plant and equipment - Accumulated depreciation</v>
      </c>
    </row>
    <row r="13" spans="1:10" x14ac:dyDescent="0.25">
      <c r="A13">
        <v>120002</v>
      </c>
      <c r="B13" t="s">
        <v>830</v>
      </c>
      <c r="C13" s="147">
        <v>0</v>
      </c>
      <c r="D13" s="147">
        <v>0</v>
      </c>
      <c r="E13" s="147">
        <v>1715968.22</v>
      </c>
      <c r="F13" s="148">
        <v>-1715968.22</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120003</v>
      </c>
      <c r="B14" t="s">
        <v>831</v>
      </c>
      <c r="C14" s="147">
        <v>0</v>
      </c>
      <c r="D14" s="147">
        <v>0</v>
      </c>
      <c r="E14" s="147">
        <v>20403680.359999999</v>
      </c>
      <c r="F14" s="148">
        <v>-20403680.359999999</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120005</v>
      </c>
      <c r="B15" t="s">
        <v>832</v>
      </c>
      <c r="C15" s="147">
        <v>0</v>
      </c>
      <c r="D15" s="147">
        <v>0</v>
      </c>
      <c r="E15" s="147">
        <v>1053780.57</v>
      </c>
      <c r="F15" s="148">
        <v>-1053780.57</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120006</v>
      </c>
      <c r="B16" t="s">
        <v>833</v>
      </c>
      <c r="C16" s="147">
        <v>0</v>
      </c>
      <c r="D16" s="147">
        <v>0</v>
      </c>
      <c r="E16" s="147">
        <v>69116.08</v>
      </c>
      <c r="F16" s="148">
        <v>-69116.08</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120007</v>
      </c>
      <c r="B17" t="s">
        <v>834</v>
      </c>
      <c r="C17" s="147">
        <v>0</v>
      </c>
      <c r="D17" s="147">
        <v>0</v>
      </c>
      <c r="E17" s="147">
        <v>154323.31899999999</v>
      </c>
      <c r="F17" s="147">
        <v>-154323.31899999999</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121001</v>
      </c>
      <c r="B18" t="s">
        <v>836</v>
      </c>
      <c r="C18" s="147">
        <v>0</v>
      </c>
      <c r="D18" s="147">
        <v>5363766.13</v>
      </c>
      <c r="E18" s="147">
        <v>0</v>
      </c>
      <c r="F18" s="147">
        <v>5363766.13</v>
      </c>
      <c r="G18" s="43" t="str">
        <f>_xlfn.XLOOKUP($A18,Map!$A:$A,Map!C:C)</f>
        <v>BS</v>
      </c>
      <c r="H18" s="43" t="str">
        <f>_xlfn.XLOOKUP($A18,Map!$A:$A,Map!D:D)</f>
        <v>Current Assets</v>
      </c>
      <c r="I18" s="43" t="str">
        <f>_xlfn.XLOOKUP($A18,Map!$A:$A,Map!E:E)</f>
        <v>Prepaid expenses</v>
      </c>
      <c r="J18" s="43" t="str">
        <f>_xlfn.XLOOKUP($A18,Map!$A:$A,Map!F:F)</f>
        <v>Pre Operating Exps</v>
      </c>
    </row>
    <row r="19" spans="1:10" x14ac:dyDescent="0.25">
      <c r="A19">
        <v>121002</v>
      </c>
      <c r="B19" t="s">
        <v>837</v>
      </c>
      <c r="C19" s="147">
        <v>0</v>
      </c>
      <c r="D19" s="147">
        <v>0</v>
      </c>
      <c r="E19" s="147">
        <v>3650674.13</v>
      </c>
      <c r="F19" s="147">
        <v>-3650674.13</v>
      </c>
      <c r="G19" s="43" t="str">
        <f>_xlfn.XLOOKUP($A19,Map!$A:$A,Map!C:C)</f>
        <v>BS</v>
      </c>
      <c r="H19" s="43" t="str">
        <f>_xlfn.XLOOKUP($A19,Map!$A:$A,Map!D:D)</f>
        <v>Current Assets</v>
      </c>
      <c r="I19" s="43" t="str">
        <f>_xlfn.XLOOKUP($A19,Map!$A:$A,Map!E:E)</f>
        <v>Prepaid expenses</v>
      </c>
      <c r="J19" s="43" t="str">
        <f>_xlfn.XLOOKUP($A19,Map!$A:$A,Map!F:F)</f>
        <v>Amortization Of Pre Operating Exps</v>
      </c>
    </row>
    <row r="20" spans="1:10" x14ac:dyDescent="0.25">
      <c r="A20">
        <v>130001</v>
      </c>
      <c r="B20" t="s">
        <v>838</v>
      </c>
      <c r="C20" s="147">
        <v>0</v>
      </c>
      <c r="D20" s="147">
        <v>163394280.13999999</v>
      </c>
      <c r="E20" s="147">
        <v>156110301.639</v>
      </c>
      <c r="F20" s="147">
        <v>7283978.5010000002</v>
      </c>
      <c r="G20" s="43" t="str">
        <f>_xlfn.XLOOKUP($A20,Map!$A:$A,Map!C:C)</f>
        <v>BS</v>
      </c>
      <c r="H20" s="43" t="str">
        <f>_xlfn.XLOOKUP($A20,Map!$A:$A,Map!D:D)</f>
        <v>Current Assets</v>
      </c>
      <c r="I20" s="43" t="str">
        <f>_xlfn.XLOOKUP($A20,Map!$A:$A,Map!E:E)</f>
        <v>Cash and cash equivalents</v>
      </c>
      <c r="J20" s="43" t="str">
        <f>_xlfn.XLOOKUP($A20,Map!$A:$A,Map!F:F)</f>
        <v>Bank balances</v>
      </c>
    </row>
    <row r="21" spans="1:10" x14ac:dyDescent="0.25">
      <c r="A21">
        <v>130002</v>
      </c>
      <c r="B21" t="s">
        <v>1205</v>
      </c>
      <c r="C21" s="147">
        <v>0</v>
      </c>
      <c r="D21" s="147">
        <v>92645037.547999993</v>
      </c>
      <c r="E21" s="147">
        <v>92590169.057999998</v>
      </c>
      <c r="F21" s="147">
        <v>54868.49</v>
      </c>
      <c r="G21" s="43" t="str">
        <f>_xlfn.XLOOKUP($A21,Map!$A:$A,Map!C:C)</f>
        <v>BS</v>
      </c>
      <c r="H21" s="43" t="str">
        <f>_xlfn.XLOOKUP($A21,Map!$A:$A,Map!D:D)</f>
        <v>Current Assets</v>
      </c>
      <c r="I21" s="43" t="str">
        <f>_xlfn.XLOOKUP($A21,Map!$A:$A,Map!E:E)</f>
        <v>Cash and cash equivalents</v>
      </c>
      <c r="J21" s="43" t="str">
        <f>_xlfn.XLOOKUP($A21,Map!$A:$A,Map!F:F)</f>
        <v>Bank balances</v>
      </c>
    </row>
    <row r="22" spans="1:10" x14ac:dyDescent="0.25">
      <c r="A22">
        <v>130004</v>
      </c>
      <c r="B22" t="s">
        <v>841</v>
      </c>
      <c r="C22" s="147">
        <v>0</v>
      </c>
      <c r="D22" s="147">
        <v>63755221.656000003</v>
      </c>
      <c r="E22" s="147">
        <v>61308947.545999996</v>
      </c>
      <c r="F22" s="148">
        <v>2446274.11</v>
      </c>
      <c r="G22" s="43" t="str">
        <f>_xlfn.XLOOKUP($A22,Map!$A:$A,Map!C:C)</f>
        <v>BS</v>
      </c>
      <c r="H22" s="43" t="str">
        <f>_xlfn.XLOOKUP($A22,Map!$A:$A,Map!D:D)</f>
        <v>Current Assets</v>
      </c>
      <c r="I22" s="43" t="str">
        <f>_xlfn.XLOOKUP($A22,Map!$A:$A,Map!E:E)</f>
        <v>Cash and cash equivalents</v>
      </c>
      <c r="J22" s="43" t="str">
        <f>_xlfn.XLOOKUP($A22,Map!$A:$A,Map!F:F)</f>
        <v>Bank balances</v>
      </c>
    </row>
    <row r="23" spans="1:10" x14ac:dyDescent="0.25">
      <c r="A23">
        <v>130005</v>
      </c>
      <c r="B23" t="s">
        <v>842</v>
      </c>
      <c r="C23" s="147">
        <v>0</v>
      </c>
      <c r="D23" s="147">
        <v>4799427.45</v>
      </c>
      <c r="E23" s="147">
        <v>4625550.6500000004</v>
      </c>
      <c r="F23" s="147">
        <v>173876.8</v>
      </c>
      <c r="G23" s="43" t="str">
        <f>_xlfn.XLOOKUP($A23,Map!$A:$A,Map!C:C)</f>
        <v>BS</v>
      </c>
      <c r="H23" s="43" t="str">
        <f>_xlfn.XLOOKUP($A23,Map!$A:$A,Map!D:D)</f>
        <v>Current Assets</v>
      </c>
      <c r="I23" s="43" t="str">
        <f>_xlfn.XLOOKUP($A23,Map!$A:$A,Map!E:E)</f>
        <v>Cash and cash equivalents</v>
      </c>
      <c r="J23" s="43" t="str">
        <f>_xlfn.XLOOKUP($A23,Map!$A:$A,Map!F:F)</f>
        <v>Bank balances</v>
      </c>
    </row>
    <row r="24" spans="1:10" x14ac:dyDescent="0.25">
      <c r="A24">
        <v>130006</v>
      </c>
      <c r="B24" t="s">
        <v>843</v>
      </c>
      <c r="C24" s="147">
        <v>0</v>
      </c>
      <c r="D24" s="147">
        <v>30662200.780000001</v>
      </c>
      <c r="E24" s="147">
        <v>30393355.010000002</v>
      </c>
      <c r="F24" s="147">
        <v>268845.77</v>
      </c>
      <c r="G24" s="43" t="str">
        <f>_xlfn.XLOOKUP($A24,Map!$A:$A,Map!C:C)</f>
        <v>BS</v>
      </c>
      <c r="H24" s="43" t="str">
        <f>_xlfn.XLOOKUP($A24,Map!$A:$A,Map!D:D)</f>
        <v>Current Assets</v>
      </c>
      <c r="I24" s="43" t="str">
        <f>_xlfn.XLOOKUP($A24,Map!$A:$A,Map!E:E)</f>
        <v>Cash and cash equivalents</v>
      </c>
      <c r="J24" s="43" t="str">
        <f>_xlfn.XLOOKUP($A24,Map!$A:$A,Map!F:F)</f>
        <v>Bank balances</v>
      </c>
    </row>
    <row r="25" spans="1:10" x14ac:dyDescent="0.25">
      <c r="A25">
        <v>130007</v>
      </c>
      <c r="B25" t="s">
        <v>844</v>
      </c>
      <c r="C25" s="147">
        <v>0</v>
      </c>
      <c r="D25" s="147">
        <v>25637639.745000001</v>
      </c>
      <c r="E25" s="147">
        <v>25107326.765000001</v>
      </c>
      <c r="F25" s="148">
        <v>530312.98</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130008</v>
      </c>
      <c r="B26" t="s">
        <v>845</v>
      </c>
      <c r="C26" s="147">
        <v>0</v>
      </c>
      <c r="D26" s="147">
        <v>16642022.65</v>
      </c>
      <c r="E26" s="147">
        <v>16369044.630000001</v>
      </c>
      <c r="F26" s="147">
        <v>272978.02</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130099</v>
      </c>
      <c r="B27" t="s">
        <v>856</v>
      </c>
      <c r="C27" s="147">
        <v>0</v>
      </c>
      <c r="D27" s="147">
        <v>226544596</v>
      </c>
      <c r="E27" s="147">
        <v>226544596</v>
      </c>
      <c r="F27" s="147">
        <v>0</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140001</v>
      </c>
      <c r="B28" t="s">
        <v>857</v>
      </c>
      <c r="C28" s="147">
        <v>0</v>
      </c>
      <c r="D28" s="147">
        <v>400350369.29799998</v>
      </c>
      <c r="E28" s="147">
        <v>364162460.48299998</v>
      </c>
      <c r="F28" s="147">
        <v>36187908.814999998</v>
      </c>
      <c r="G28" s="43" t="str">
        <f>_xlfn.XLOOKUP($A28,Map!$A:$A,Map!C:C)</f>
        <v>BS</v>
      </c>
      <c r="H28" s="43" t="str">
        <f>_xlfn.XLOOKUP($A28,Map!$A:$A,Map!D:D)</f>
        <v>Current Assets</v>
      </c>
      <c r="I28" s="43" t="str">
        <f>_xlfn.XLOOKUP($A28,Map!$A:$A,Map!E:E)</f>
        <v>Trade receivables</v>
      </c>
      <c r="J28" s="43" t="str">
        <f>_xlfn.XLOOKUP($A28,Map!$A:$A,Map!F:F)</f>
        <v>Trade receivables - current</v>
      </c>
    </row>
    <row r="29" spans="1:10" x14ac:dyDescent="0.25">
      <c r="A29">
        <v>150001</v>
      </c>
      <c r="B29" t="s">
        <v>859</v>
      </c>
      <c r="C29" s="147">
        <v>0</v>
      </c>
      <c r="D29" s="147">
        <v>1803265.01</v>
      </c>
      <c r="E29" s="147">
        <v>1219094.531</v>
      </c>
      <c r="F29" s="147">
        <v>584170.47900000005</v>
      </c>
      <c r="G29" s="43" t="str">
        <f>_xlfn.XLOOKUP($A29,Map!$A:$A,Map!C:C)</f>
        <v>BS</v>
      </c>
      <c r="H29" s="43" t="str">
        <f>_xlfn.XLOOKUP($A29,Map!$A:$A,Map!D:D)</f>
        <v>Current Assets</v>
      </c>
      <c r="I29" s="43" t="str">
        <f>_xlfn.XLOOKUP($A29,Map!$A:$A,Map!E:E)</f>
        <v>Prepaid expenses</v>
      </c>
      <c r="J29" s="43" t="str">
        <f>_xlfn.XLOOKUP($A29,Map!$A:$A,Map!F:F)</f>
        <v>Advances - current</v>
      </c>
    </row>
    <row r="30" spans="1:10" x14ac:dyDescent="0.25">
      <c r="A30">
        <v>160001</v>
      </c>
      <c r="B30" t="s">
        <v>861</v>
      </c>
      <c r="C30" s="147">
        <v>0</v>
      </c>
      <c r="D30" s="147">
        <v>1669724.98</v>
      </c>
      <c r="E30" s="147">
        <v>1614880.43</v>
      </c>
      <c r="F30" s="147">
        <v>54844.55</v>
      </c>
      <c r="G30" s="43" t="str">
        <f>_xlfn.XLOOKUP($A30,Map!$A:$A,Map!C:C)</f>
        <v>BS</v>
      </c>
      <c r="H30" s="43" t="str">
        <f>_xlfn.XLOOKUP($A30,Map!$A:$A,Map!D:D)</f>
        <v>Current Assets</v>
      </c>
      <c r="I30" s="43" t="str">
        <f>_xlfn.XLOOKUP($A30,Map!$A:$A,Map!E:E)</f>
        <v>Cash and cash equivalents</v>
      </c>
      <c r="J30" s="43" t="str">
        <f>_xlfn.XLOOKUP($A30,Map!$A:$A,Map!F:F)</f>
        <v>Petty cash</v>
      </c>
    </row>
    <row r="31" spans="1:10" x14ac:dyDescent="0.25">
      <c r="A31">
        <v>170000</v>
      </c>
      <c r="B31" t="s">
        <v>862</v>
      </c>
      <c r="C31" s="147">
        <v>0</v>
      </c>
      <c r="D31" s="147">
        <v>352793.75</v>
      </c>
      <c r="E31" s="147">
        <v>264360.17499999999</v>
      </c>
      <c r="F31" s="147">
        <v>88433.574999999997</v>
      </c>
      <c r="G31" s="43" t="str">
        <f>_xlfn.XLOOKUP($A31,Map!$A:$A,Map!C:C)</f>
        <v>BS</v>
      </c>
      <c r="H31" s="43" t="str">
        <f>_xlfn.XLOOKUP($A31,Map!$A:$A,Map!D:D)</f>
        <v>Current Liabilities</v>
      </c>
      <c r="I31" s="43" t="str">
        <f>_xlfn.XLOOKUP($A31,Map!$A:$A,Map!E:E)</f>
        <v>Short-term Murabaha loans</v>
      </c>
      <c r="J31" s="43" t="str">
        <f>_xlfn.XLOOKUP($A31,Map!$A:$A,Map!F:F)</f>
        <v>Prepayments - current</v>
      </c>
    </row>
    <row r="32" spans="1:10" x14ac:dyDescent="0.25">
      <c r="A32">
        <v>170001</v>
      </c>
      <c r="B32" t="s">
        <v>863</v>
      </c>
      <c r="C32" s="147">
        <v>0</v>
      </c>
      <c r="D32" s="147">
        <v>460743.28</v>
      </c>
      <c r="E32" s="147">
        <v>460743.28</v>
      </c>
      <c r="F32" s="148">
        <v>0</v>
      </c>
      <c r="G32" s="43" t="str">
        <f>_xlfn.XLOOKUP($A32,Map!$A:$A,Map!C:C)</f>
        <v>BS</v>
      </c>
      <c r="H32" s="43" t="str">
        <f>_xlfn.XLOOKUP($A32,Map!$A:$A,Map!D:D)</f>
        <v>Current Liabilities</v>
      </c>
      <c r="I32" s="43" t="str">
        <f>_xlfn.XLOOKUP($A32,Map!$A:$A,Map!E:E)</f>
        <v>Short-term Murabaha loans</v>
      </c>
      <c r="J32" s="43" t="str">
        <f>_xlfn.XLOOKUP($A32,Map!$A:$A,Map!F:F)</f>
        <v>Prepayments - current</v>
      </c>
    </row>
    <row r="33" spans="1:10" x14ac:dyDescent="0.25">
      <c r="A33">
        <v>170003</v>
      </c>
      <c r="B33" t="s">
        <v>865</v>
      </c>
      <c r="C33" s="147">
        <v>0</v>
      </c>
      <c r="D33" s="147">
        <v>749137.08</v>
      </c>
      <c r="E33" s="147">
        <v>539245.51</v>
      </c>
      <c r="F33" s="148">
        <v>209891.57</v>
      </c>
      <c r="G33" s="43" t="str">
        <f>_xlfn.XLOOKUP($A33,Map!$A:$A,Map!C:C)</f>
        <v>BS</v>
      </c>
      <c r="H33" s="43" t="str">
        <f>_xlfn.XLOOKUP($A33,Map!$A:$A,Map!D:D)</f>
        <v>Current Liabilities</v>
      </c>
      <c r="I33" s="43" t="str">
        <f>_xlfn.XLOOKUP($A33,Map!$A:$A,Map!E:E)</f>
        <v>Short-term Murabaha loans</v>
      </c>
      <c r="J33" s="43" t="str">
        <f>_xlfn.XLOOKUP($A33,Map!$A:$A,Map!F:F)</f>
        <v>Prepayments - current</v>
      </c>
    </row>
    <row r="34" spans="1:10" x14ac:dyDescent="0.25">
      <c r="A34">
        <v>170004</v>
      </c>
      <c r="B34" t="s">
        <v>866</v>
      </c>
      <c r="C34" s="147">
        <v>0</v>
      </c>
      <c r="D34" s="147">
        <v>249557.69</v>
      </c>
      <c r="E34" s="147">
        <v>249557.69</v>
      </c>
      <c r="F34" s="148">
        <v>0</v>
      </c>
      <c r="G34" s="43" t="str">
        <f>_xlfn.XLOOKUP($A34,Map!$A:$A,Map!C:C)</f>
        <v>BS</v>
      </c>
      <c r="H34" s="43" t="str">
        <f>_xlfn.XLOOKUP($A34,Map!$A:$A,Map!D:D)</f>
        <v>Current Liabilities</v>
      </c>
      <c r="I34" s="43" t="str">
        <f>_xlfn.XLOOKUP($A34,Map!$A:$A,Map!E:E)</f>
        <v>Short-term Murabaha loans</v>
      </c>
      <c r="J34" s="43" t="str">
        <f>_xlfn.XLOOKUP($A34,Map!$A:$A,Map!F:F)</f>
        <v>Prepayments - current</v>
      </c>
    </row>
    <row r="35" spans="1:10" x14ac:dyDescent="0.25">
      <c r="A35">
        <v>170006</v>
      </c>
      <c r="B35" t="s">
        <v>868</v>
      </c>
      <c r="C35" s="147">
        <v>0</v>
      </c>
      <c r="D35" s="147">
        <v>1568829</v>
      </c>
      <c r="E35" s="147">
        <v>1378110</v>
      </c>
      <c r="F35" s="148">
        <v>190719</v>
      </c>
      <c r="G35" s="43" t="str">
        <f>_xlfn.XLOOKUP($A35,Map!$A:$A,Map!C:C)</f>
        <v>BS</v>
      </c>
      <c r="H35" s="43" t="str">
        <f>_xlfn.XLOOKUP($A35,Map!$A:$A,Map!D:D)</f>
        <v>Current Assets</v>
      </c>
      <c r="I35" s="43" t="str">
        <f>_xlfn.XLOOKUP($A35,Map!$A:$A,Map!E:E)</f>
        <v>Prepaid expenses</v>
      </c>
      <c r="J35" s="43" t="str">
        <f>_xlfn.XLOOKUP($A35,Map!$A:$A,Map!F:F)</f>
        <v>Deposits - current</v>
      </c>
    </row>
    <row r="36" spans="1:10" x14ac:dyDescent="0.25">
      <c r="A36">
        <v>170007</v>
      </c>
      <c r="B36" t="s">
        <v>869</v>
      </c>
      <c r="C36" s="147">
        <v>0</v>
      </c>
      <c r="D36" s="147">
        <v>4002557.22</v>
      </c>
      <c r="E36" s="147">
        <v>2727864.64</v>
      </c>
      <c r="F36" s="147">
        <v>1274692.58</v>
      </c>
      <c r="G36" s="43" t="str">
        <f>_xlfn.XLOOKUP($A36,Map!$A:$A,Map!C:C)</f>
        <v>BS</v>
      </c>
      <c r="H36" s="43" t="str">
        <f>_xlfn.XLOOKUP($A36,Map!$A:$A,Map!D:D)</f>
        <v>Current Assets</v>
      </c>
      <c r="I36" s="43" t="str">
        <f>_xlfn.XLOOKUP($A36,Map!$A:$A,Map!E:E)</f>
        <v>Prepaid expenses</v>
      </c>
      <c r="J36" s="43" t="str">
        <f>_xlfn.XLOOKUP($A36,Map!$A:$A,Map!F:F)</f>
        <v>Deposits - current</v>
      </c>
    </row>
    <row r="37" spans="1:10" x14ac:dyDescent="0.25">
      <c r="A37">
        <v>170009</v>
      </c>
      <c r="B37" t="s">
        <v>871</v>
      </c>
      <c r="C37" s="147">
        <v>0</v>
      </c>
      <c r="D37" s="147">
        <v>1797643</v>
      </c>
      <c r="E37" s="147">
        <v>1677642.9</v>
      </c>
      <c r="F37" s="147">
        <v>120000.1</v>
      </c>
      <c r="G37" s="43" t="str">
        <f>_xlfn.XLOOKUP($A37,Map!$A:$A,Map!C:C)</f>
        <v>BS</v>
      </c>
      <c r="H37" s="43" t="str">
        <f>_xlfn.XLOOKUP($A37,Map!$A:$A,Map!D:D)</f>
        <v>Current Assets</v>
      </c>
      <c r="I37" s="43" t="str">
        <f>_xlfn.XLOOKUP($A37,Map!$A:$A,Map!E:E)</f>
        <v>Prepaid expenses</v>
      </c>
      <c r="J37" s="43" t="str">
        <f>_xlfn.XLOOKUP($A37,Map!$A:$A,Map!F:F)</f>
        <v>Rent</v>
      </c>
    </row>
    <row r="38" spans="1:10" x14ac:dyDescent="0.25">
      <c r="A38">
        <v>170010</v>
      </c>
      <c r="B38" t="s">
        <v>872</v>
      </c>
      <c r="C38" s="147">
        <v>0</v>
      </c>
      <c r="D38" s="147">
        <v>506100</v>
      </c>
      <c r="E38" s="147">
        <v>506100</v>
      </c>
      <c r="F38" s="147">
        <v>0</v>
      </c>
      <c r="G38" s="43" t="str">
        <f>_xlfn.XLOOKUP($A38,Map!$A:$A,Map!C:C)</f>
        <v>BS</v>
      </c>
      <c r="H38" s="43" t="str">
        <f>_xlfn.XLOOKUP($A38,Map!$A:$A,Map!D:D)</f>
        <v>Current Assets</v>
      </c>
      <c r="I38" s="43" t="str">
        <f>_xlfn.XLOOKUP($A38,Map!$A:$A,Map!E:E)</f>
        <v>Prepaid expenses</v>
      </c>
      <c r="J38" s="43" t="str">
        <f>_xlfn.XLOOKUP($A38,Map!$A:$A,Map!F:F)</f>
        <v>Housing allowance</v>
      </c>
    </row>
    <row r="39" spans="1:10" x14ac:dyDescent="0.25">
      <c r="A39">
        <v>170011</v>
      </c>
      <c r="B39" t="s">
        <v>873</v>
      </c>
      <c r="C39" s="147">
        <v>0</v>
      </c>
      <c r="D39" s="147">
        <v>93666.66</v>
      </c>
      <c r="E39" s="147">
        <v>93666.66</v>
      </c>
      <c r="F39" s="147">
        <v>0</v>
      </c>
      <c r="G39" s="43" t="str">
        <f>_xlfn.XLOOKUP($A39,Map!$A:$A,Map!C:C)</f>
        <v>BS</v>
      </c>
      <c r="H39" s="43" t="str">
        <f>_xlfn.XLOOKUP($A39,Map!$A:$A,Map!D:D)</f>
        <v>Current Assets</v>
      </c>
      <c r="I39" s="43" t="str">
        <f>_xlfn.XLOOKUP($A39,Map!$A:$A,Map!E:E)</f>
        <v>Prepaid expenses</v>
      </c>
      <c r="J39" s="43" t="str">
        <f>_xlfn.XLOOKUP($A39,Map!$A:$A,Map!F:F)</f>
        <v>Air tickets</v>
      </c>
    </row>
    <row r="40" spans="1:10" x14ac:dyDescent="0.25">
      <c r="A40">
        <v>170013</v>
      </c>
      <c r="B40" t="s">
        <v>875</v>
      </c>
      <c r="C40" s="147">
        <v>0</v>
      </c>
      <c r="D40" s="147">
        <v>59000</v>
      </c>
      <c r="E40" s="147">
        <v>0</v>
      </c>
      <c r="F40" s="147">
        <v>59000</v>
      </c>
      <c r="G40" s="43" t="str">
        <f>_xlfn.XLOOKUP($A40,Map!$A:$A,Map!C:C)</f>
        <v>BS</v>
      </c>
      <c r="H40" s="43" t="str">
        <f>_xlfn.XLOOKUP($A40,Map!$A:$A,Map!D:D)</f>
        <v>Current Assets</v>
      </c>
      <c r="I40" s="43" t="str">
        <f>_xlfn.XLOOKUP($A40,Map!$A:$A,Map!E:E)</f>
        <v>Prepaid expenses</v>
      </c>
      <c r="J40" s="43" t="str">
        <f>_xlfn.XLOOKUP($A40,Map!$A:$A,Map!F:F)</f>
        <v>Insurance</v>
      </c>
    </row>
    <row r="41" spans="1:10" x14ac:dyDescent="0.25">
      <c r="A41">
        <v>170014</v>
      </c>
      <c r="B41" t="s">
        <v>876</v>
      </c>
      <c r="C41" s="147">
        <v>0</v>
      </c>
      <c r="D41" s="147">
        <v>584748.18000000005</v>
      </c>
      <c r="E41" s="147">
        <v>357549.18</v>
      </c>
      <c r="F41" s="147">
        <v>227199</v>
      </c>
      <c r="G41" s="43" t="str">
        <f>_xlfn.XLOOKUP($A41,Map!$A:$A,Map!C:C)</f>
        <v>BS</v>
      </c>
      <c r="H41" s="43" t="str">
        <f>_xlfn.XLOOKUP($A41,Map!$A:$A,Map!D:D)</f>
        <v>Current Assets</v>
      </c>
      <c r="I41" s="43" t="str">
        <f>_xlfn.XLOOKUP($A41,Map!$A:$A,Map!E:E)</f>
        <v>Prepaid expenses</v>
      </c>
      <c r="J41" s="43" t="str">
        <f>_xlfn.XLOOKUP($A41,Map!$A:$A,Map!F:F)</f>
        <v>Insurance</v>
      </c>
    </row>
    <row r="42" spans="1:10" x14ac:dyDescent="0.25">
      <c r="A42">
        <v>170015</v>
      </c>
      <c r="B42" t="s">
        <v>877</v>
      </c>
      <c r="C42" s="147">
        <v>0</v>
      </c>
      <c r="D42" s="147">
        <v>8679</v>
      </c>
      <c r="E42" s="147">
        <v>8679</v>
      </c>
      <c r="F42" s="147">
        <v>0</v>
      </c>
      <c r="G42" s="43" t="str">
        <f>_xlfn.XLOOKUP($A42,Map!$A:$A,Map!C:C)</f>
        <v>BS</v>
      </c>
      <c r="H42" s="43" t="str">
        <f>_xlfn.XLOOKUP($A42,Map!$A:$A,Map!D:D)</f>
        <v>Current Assets</v>
      </c>
      <c r="I42" s="43" t="str">
        <f>_xlfn.XLOOKUP($A42,Map!$A:$A,Map!E:E)</f>
        <v>Prepaid expenses</v>
      </c>
      <c r="J42" s="43" t="str">
        <f>_xlfn.XLOOKUP($A42,Map!$A:$A,Map!F:F)</f>
        <v>Salaries and wages</v>
      </c>
    </row>
    <row r="43" spans="1:10" x14ac:dyDescent="0.25">
      <c r="A43">
        <v>180001</v>
      </c>
      <c r="B43" t="s">
        <v>884</v>
      </c>
      <c r="C43" s="147">
        <v>0</v>
      </c>
      <c r="D43" s="147">
        <v>809881.34199999995</v>
      </c>
      <c r="E43" s="147">
        <v>653541.35199999996</v>
      </c>
      <c r="F43" s="147">
        <v>156339.99</v>
      </c>
      <c r="G43" s="43" t="str">
        <f>_xlfn.XLOOKUP($A43,Map!$A:$A,Map!C:C)</f>
        <v>BS</v>
      </c>
      <c r="H43" s="43" t="str">
        <f>_xlfn.XLOOKUP($A43,Map!$A:$A,Map!D:D)</f>
        <v>Current Assets</v>
      </c>
      <c r="I43" s="43" t="str">
        <f>_xlfn.XLOOKUP($A43,Map!$A:$A,Map!E:E)</f>
        <v>Inventories</v>
      </c>
      <c r="J43" s="43" t="str">
        <f>_xlfn.XLOOKUP($A43,Map!$A:$A,Map!F:F)</f>
        <v>Raw materials - Inventory</v>
      </c>
    </row>
    <row r="44" spans="1:10" x14ac:dyDescent="0.25">
      <c r="A44">
        <v>180002</v>
      </c>
      <c r="B44" t="s">
        <v>885</v>
      </c>
      <c r="C44" s="147">
        <v>0</v>
      </c>
      <c r="D44" s="147">
        <v>122663.94</v>
      </c>
      <c r="E44" s="147">
        <v>122663.94</v>
      </c>
      <c r="F44" s="147">
        <v>0</v>
      </c>
      <c r="G44" s="43" t="str">
        <f>_xlfn.XLOOKUP($A44,Map!$A:$A,Map!C:C)</f>
        <v>BS</v>
      </c>
      <c r="H44" s="43" t="str">
        <f>_xlfn.XLOOKUP($A44,Map!$A:$A,Map!D:D)</f>
        <v>Current Assets</v>
      </c>
      <c r="I44" s="43" t="str">
        <f>_xlfn.XLOOKUP($A44,Map!$A:$A,Map!E:E)</f>
        <v>Inventories</v>
      </c>
      <c r="J44" s="43" t="str">
        <f>_xlfn.XLOOKUP($A44,Map!$A:$A,Map!F:F)</f>
        <v>Raw materials - Inventory</v>
      </c>
    </row>
    <row r="45" spans="1:10" x14ac:dyDescent="0.25">
      <c r="A45">
        <v>180003</v>
      </c>
      <c r="B45" t="s">
        <v>886</v>
      </c>
      <c r="C45" s="147">
        <v>0</v>
      </c>
      <c r="D45" s="147">
        <v>2617065.7680000002</v>
      </c>
      <c r="E45" s="147">
        <v>1963552.4380000001</v>
      </c>
      <c r="F45" s="147">
        <v>653513.32999999996</v>
      </c>
      <c r="G45" s="43" t="str">
        <f>_xlfn.XLOOKUP($A45,Map!$A:$A,Map!C:C)</f>
        <v>BS</v>
      </c>
      <c r="H45" s="43" t="str">
        <f>_xlfn.XLOOKUP($A45,Map!$A:$A,Map!D:D)</f>
        <v>Current Assets</v>
      </c>
      <c r="I45" s="43" t="str">
        <f>_xlfn.XLOOKUP($A45,Map!$A:$A,Map!E:E)</f>
        <v>Inventories</v>
      </c>
      <c r="J45" s="43" t="str">
        <f>_xlfn.XLOOKUP($A45,Map!$A:$A,Map!F:F)</f>
        <v>Spare parts - Inventory</v>
      </c>
    </row>
    <row r="46" spans="1:10" x14ac:dyDescent="0.25">
      <c r="A46">
        <v>180004</v>
      </c>
      <c r="B46" t="s">
        <v>887</v>
      </c>
      <c r="C46" s="147">
        <v>0</v>
      </c>
      <c r="D46" s="147">
        <v>12281946.450999999</v>
      </c>
      <c r="E46" s="147">
        <v>5238833.04</v>
      </c>
      <c r="F46" s="147">
        <v>7043113.4110000003</v>
      </c>
      <c r="G46" s="43" t="str">
        <f>_xlfn.XLOOKUP($A46,Map!$A:$A,Map!C:C)</f>
        <v>BS</v>
      </c>
      <c r="H46" s="43" t="str">
        <f>_xlfn.XLOOKUP($A46,Map!$A:$A,Map!D:D)</f>
        <v>Current Assets</v>
      </c>
      <c r="I46" s="43" t="str">
        <f>_xlfn.XLOOKUP($A46,Map!$A:$A,Map!E:E)</f>
        <v>Inventories</v>
      </c>
      <c r="J46" s="43" t="str">
        <f>_xlfn.XLOOKUP($A46,Map!$A:$A,Map!F:F)</f>
        <v>Raw materials - Inventory</v>
      </c>
    </row>
    <row r="47" spans="1:10" x14ac:dyDescent="0.25">
      <c r="A47">
        <v>180005</v>
      </c>
      <c r="B47" t="s">
        <v>888</v>
      </c>
      <c r="C47" s="147">
        <v>0</v>
      </c>
      <c r="D47" s="147">
        <v>19775970.839000002</v>
      </c>
      <c r="E47" s="147">
        <v>13971212.273</v>
      </c>
      <c r="F47" s="147">
        <v>5804758.5659999996</v>
      </c>
      <c r="G47" s="43" t="str">
        <f>_xlfn.XLOOKUP($A47,Map!$A:$A,Map!C:C)</f>
        <v>BS</v>
      </c>
      <c r="H47" s="43" t="str">
        <f>_xlfn.XLOOKUP($A47,Map!$A:$A,Map!D:D)</f>
        <v>Current Assets</v>
      </c>
      <c r="I47" s="43" t="str">
        <f>_xlfn.XLOOKUP($A47,Map!$A:$A,Map!E:E)</f>
        <v>Inventories</v>
      </c>
      <c r="J47" s="43" t="str">
        <f>_xlfn.XLOOKUP($A47,Map!$A:$A,Map!F:F)</f>
        <v>Raw materials - Inventory</v>
      </c>
    </row>
    <row r="48" spans="1:10" x14ac:dyDescent="0.25">
      <c r="A48">
        <v>180006</v>
      </c>
      <c r="B48" t="s">
        <v>889</v>
      </c>
      <c r="C48" s="147">
        <v>0</v>
      </c>
      <c r="D48" s="147">
        <v>19838480.752999999</v>
      </c>
      <c r="E48" s="147">
        <v>19164932.410999998</v>
      </c>
      <c r="F48" s="147">
        <v>673548.34199999995</v>
      </c>
      <c r="G48" s="43" t="str">
        <f>_xlfn.XLOOKUP($A48,Map!$A:$A,Map!C:C)</f>
        <v>BS</v>
      </c>
      <c r="H48" s="43" t="str">
        <f>_xlfn.XLOOKUP($A48,Map!$A:$A,Map!D:D)</f>
        <v>Current Assets</v>
      </c>
      <c r="I48" s="43" t="str">
        <f>_xlfn.XLOOKUP($A48,Map!$A:$A,Map!E:E)</f>
        <v>Inventories</v>
      </c>
      <c r="J48" s="43" t="str">
        <f>_xlfn.XLOOKUP($A48,Map!$A:$A,Map!F:F)</f>
        <v>Raw materials - Inventory</v>
      </c>
    </row>
    <row r="49" spans="1:10" x14ac:dyDescent="0.25">
      <c r="A49">
        <v>180007</v>
      </c>
      <c r="B49" t="s">
        <v>890</v>
      </c>
      <c r="C49" s="147">
        <v>0</v>
      </c>
      <c r="D49" s="147">
        <v>5134087.4210000001</v>
      </c>
      <c r="E49" s="147">
        <v>3120327.4169999999</v>
      </c>
      <c r="F49" s="147">
        <v>2013760.004</v>
      </c>
      <c r="G49" s="43" t="str">
        <f>_xlfn.XLOOKUP($A49,Map!$A:$A,Map!C:C)</f>
        <v>BS</v>
      </c>
      <c r="H49" s="43" t="str">
        <f>_xlfn.XLOOKUP($A49,Map!$A:$A,Map!D:D)</f>
        <v>Current Assets</v>
      </c>
      <c r="I49" s="43" t="str">
        <f>_xlfn.XLOOKUP($A49,Map!$A:$A,Map!E:E)</f>
        <v>Inventories</v>
      </c>
      <c r="J49" s="43" t="str">
        <f>_xlfn.XLOOKUP($A49,Map!$A:$A,Map!F:F)</f>
        <v>Raw materials - Inventory</v>
      </c>
    </row>
    <row r="50" spans="1:10" x14ac:dyDescent="0.25">
      <c r="A50">
        <v>180008</v>
      </c>
      <c r="B50" t="s">
        <v>891</v>
      </c>
      <c r="C50" s="147">
        <v>0</v>
      </c>
      <c r="D50" s="147">
        <v>2867429.7039999999</v>
      </c>
      <c r="E50" s="147">
        <v>1425373.5530000001</v>
      </c>
      <c r="F50" s="147">
        <v>1442056.1510000001</v>
      </c>
      <c r="G50" s="43" t="str">
        <f>_xlfn.XLOOKUP($A50,Map!$A:$A,Map!C:C)</f>
        <v>BS</v>
      </c>
      <c r="H50" s="43" t="str">
        <f>_xlfn.XLOOKUP($A50,Map!$A:$A,Map!D:D)</f>
        <v>Current Assets</v>
      </c>
      <c r="I50" s="43" t="str">
        <f>_xlfn.XLOOKUP($A50,Map!$A:$A,Map!E:E)</f>
        <v>Inventories</v>
      </c>
      <c r="J50" s="43" t="str">
        <f>_xlfn.XLOOKUP($A50,Map!$A:$A,Map!F:F)</f>
        <v>Raw materials - Inventory</v>
      </c>
    </row>
    <row r="51" spans="1:10" x14ac:dyDescent="0.25">
      <c r="A51">
        <v>180009</v>
      </c>
      <c r="B51" t="s">
        <v>892</v>
      </c>
      <c r="C51" s="147">
        <v>0</v>
      </c>
      <c r="D51" s="147">
        <v>624103262.41600001</v>
      </c>
      <c r="E51" s="147">
        <v>624103261.41600001</v>
      </c>
      <c r="F51" s="147">
        <v>1</v>
      </c>
      <c r="G51" s="43" t="str">
        <f>_xlfn.XLOOKUP($A51,Map!$A:$A,Map!C:C)</f>
        <v>BS</v>
      </c>
      <c r="H51" s="43" t="str">
        <f>_xlfn.XLOOKUP($A51,Map!$A:$A,Map!D:D)</f>
        <v>Current Assets</v>
      </c>
      <c r="I51" s="43" t="str">
        <f>_xlfn.XLOOKUP($A51,Map!$A:$A,Map!E:E)</f>
        <v>Inventories</v>
      </c>
      <c r="J51" s="43" t="str">
        <f>_xlfn.XLOOKUP($A51,Map!$A:$A,Map!F:F)</f>
        <v>Raw materials - Inventory</v>
      </c>
    </row>
    <row r="52" spans="1:10" x14ac:dyDescent="0.25">
      <c r="A52">
        <v>180010</v>
      </c>
      <c r="B52" t="s">
        <v>893</v>
      </c>
      <c r="C52" s="147">
        <v>0</v>
      </c>
      <c r="D52" s="147">
        <v>11893793.173</v>
      </c>
      <c r="E52" s="147">
        <v>10681457.338</v>
      </c>
      <c r="F52" s="147">
        <v>1212335.835</v>
      </c>
      <c r="G52" s="43" t="str">
        <f>_xlfn.XLOOKUP($A52,Map!$A:$A,Map!C:C)</f>
        <v>BS</v>
      </c>
      <c r="H52" s="43" t="str">
        <f>_xlfn.XLOOKUP($A52,Map!$A:$A,Map!D:D)</f>
        <v>Current Assets</v>
      </c>
      <c r="I52" s="43" t="str">
        <f>_xlfn.XLOOKUP($A52,Map!$A:$A,Map!E:E)</f>
        <v>Inventories</v>
      </c>
      <c r="J52" s="43" t="str">
        <f>_xlfn.XLOOKUP($A52,Map!$A:$A,Map!F:F)</f>
        <v>Packaging materials - Inventory</v>
      </c>
    </row>
    <row r="53" spans="1:10" x14ac:dyDescent="0.25">
      <c r="A53">
        <v>180011</v>
      </c>
      <c r="B53" t="s">
        <v>894</v>
      </c>
      <c r="C53" s="147">
        <v>0</v>
      </c>
      <c r="D53" s="147">
        <v>166983849.755</v>
      </c>
      <c r="E53" s="147">
        <v>161161076.13699999</v>
      </c>
      <c r="F53" s="147">
        <v>5822773.6179999998</v>
      </c>
      <c r="G53" s="43" t="str">
        <f>_xlfn.XLOOKUP($A53,Map!$A:$A,Map!C:C)</f>
        <v>BS</v>
      </c>
      <c r="H53" s="43" t="str">
        <f>_xlfn.XLOOKUP($A53,Map!$A:$A,Map!D:D)</f>
        <v>Current Assets</v>
      </c>
      <c r="I53" s="43" t="str">
        <f>_xlfn.XLOOKUP($A53,Map!$A:$A,Map!E:E)</f>
        <v>Inventories</v>
      </c>
      <c r="J53" s="43" t="str">
        <f>_xlfn.XLOOKUP($A53,Map!$A:$A,Map!F:F)</f>
        <v>Finished goods - Inventory</v>
      </c>
    </row>
    <row r="54" spans="1:10" x14ac:dyDescent="0.25">
      <c r="A54">
        <v>180012</v>
      </c>
      <c r="B54" t="s">
        <v>895</v>
      </c>
      <c r="C54" s="147">
        <v>0</v>
      </c>
      <c r="D54" s="147">
        <v>195433511.139</v>
      </c>
      <c r="E54" s="147">
        <v>191942487.58700001</v>
      </c>
      <c r="F54" s="147">
        <v>3491023.5520000001</v>
      </c>
      <c r="G54" s="43" t="str">
        <f>_xlfn.XLOOKUP($A54,Map!$A:$A,Map!C:C)</f>
        <v>BS</v>
      </c>
      <c r="H54" s="43" t="str">
        <f>_xlfn.XLOOKUP($A54,Map!$A:$A,Map!D:D)</f>
        <v>Current Assets</v>
      </c>
      <c r="I54" s="43" t="str">
        <f>_xlfn.XLOOKUP($A54,Map!$A:$A,Map!E:E)</f>
        <v>Inventories</v>
      </c>
      <c r="J54" s="43" t="str">
        <f>_xlfn.XLOOKUP($A54,Map!$A:$A,Map!F:F)</f>
        <v>Work in progress - Inventory</v>
      </c>
    </row>
    <row r="55" spans="1:10" x14ac:dyDescent="0.25">
      <c r="A55">
        <v>180013</v>
      </c>
      <c r="B55" t="s">
        <v>896</v>
      </c>
      <c r="C55" s="147">
        <v>0</v>
      </c>
      <c r="D55" s="147">
        <v>49027053.107000001</v>
      </c>
      <c r="E55" s="147">
        <v>43274900.546999998</v>
      </c>
      <c r="F55" s="147">
        <v>5752152.5599999996</v>
      </c>
      <c r="G55" s="43" t="str">
        <f>_xlfn.XLOOKUP($A55,Map!$A:$A,Map!C:C)</f>
        <v>BS</v>
      </c>
      <c r="H55" s="43" t="str">
        <f>_xlfn.XLOOKUP($A55,Map!$A:$A,Map!D:D)</f>
        <v>Current Assets</v>
      </c>
      <c r="I55" s="43" t="str">
        <f>_xlfn.XLOOKUP($A55,Map!$A:$A,Map!E:E)</f>
        <v>Inventories</v>
      </c>
      <c r="J55" s="43" t="str">
        <f>_xlfn.XLOOKUP($A55,Map!$A:$A,Map!F:F)</f>
        <v>Finished goods - Inventory</v>
      </c>
    </row>
    <row r="56" spans="1:10" x14ac:dyDescent="0.25">
      <c r="A56">
        <v>180014</v>
      </c>
      <c r="B56" t="s">
        <v>897</v>
      </c>
      <c r="C56" s="147">
        <v>0</v>
      </c>
      <c r="D56" s="147">
        <v>325605618.62300003</v>
      </c>
      <c r="E56" s="147">
        <v>325605618.62300003</v>
      </c>
      <c r="F56" s="147">
        <v>0</v>
      </c>
      <c r="G56" s="43" t="str">
        <f>_xlfn.XLOOKUP($A56,Map!$A:$A,Map!C:C)</f>
        <v>BS</v>
      </c>
      <c r="H56" s="43" t="str">
        <f>_xlfn.XLOOKUP($A56,Map!$A:$A,Map!D:D)</f>
        <v>Current Assets</v>
      </c>
      <c r="I56" s="43" t="str">
        <f>_xlfn.XLOOKUP($A56,Map!$A:$A,Map!E:E)</f>
        <v>Inventories</v>
      </c>
      <c r="J56" s="43" t="str">
        <f>_xlfn.XLOOKUP($A56,Map!$A:$A,Map!F:F)</f>
        <v>Work in progress - Inventory</v>
      </c>
    </row>
    <row r="57" spans="1:10" x14ac:dyDescent="0.25">
      <c r="A57">
        <v>180096</v>
      </c>
      <c r="B57" t="s">
        <v>898</v>
      </c>
      <c r="C57" s="147">
        <v>0</v>
      </c>
      <c r="D57" s="147">
        <v>195038151.64899999</v>
      </c>
      <c r="E57" s="147">
        <v>195038151.64899999</v>
      </c>
      <c r="F57" s="147">
        <v>0</v>
      </c>
      <c r="G57" s="43" t="str">
        <f>_xlfn.XLOOKUP($A57,Map!$A:$A,Map!C:C)</f>
        <v>BS</v>
      </c>
      <c r="H57" s="43" t="str">
        <f>_xlfn.XLOOKUP($A57,Map!$A:$A,Map!D:D)</f>
        <v>Current Assets</v>
      </c>
      <c r="I57" s="43" t="str">
        <f>_xlfn.XLOOKUP($A57,Map!$A:$A,Map!E:E)</f>
        <v>Inventories</v>
      </c>
      <c r="J57" s="43" t="str">
        <f>_xlfn.XLOOKUP($A57,Map!$A:$A,Map!F:F)</f>
        <v>Work in progress - Inventory</v>
      </c>
    </row>
    <row r="58" spans="1:10" x14ac:dyDescent="0.25">
      <c r="A58">
        <v>180097</v>
      </c>
      <c r="B58" t="s">
        <v>899</v>
      </c>
      <c r="C58" s="147">
        <v>0</v>
      </c>
      <c r="D58" s="147">
        <v>13517.453</v>
      </c>
      <c r="E58" s="147">
        <v>13517.453</v>
      </c>
      <c r="F58" s="147">
        <v>0</v>
      </c>
      <c r="G58" s="43" t="str">
        <f>_xlfn.XLOOKUP($A58,Map!$A:$A,Map!C:C)</f>
        <v>BS</v>
      </c>
      <c r="H58" s="43" t="str">
        <f>_xlfn.XLOOKUP($A58,Map!$A:$A,Map!D:D)</f>
        <v>Current Assets</v>
      </c>
      <c r="I58" s="43" t="str">
        <f>_xlfn.XLOOKUP($A58,Map!$A:$A,Map!E:E)</f>
        <v>Inventories</v>
      </c>
      <c r="J58" s="43" t="str">
        <f>_xlfn.XLOOKUP($A58,Map!$A:$A,Map!F:F)</f>
        <v>Work in progress - Inventory</v>
      </c>
    </row>
    <row r="59" spans="1:10" x14ac:dyDescent="0.25">
      <c r="A59">
        <v>180098</v>
      </c>
      <c r="B59" t="s">
        <v>900</v>
      </c>
      <c r="C59" s="147">
        <v>0</v>
      </c>
      <c r="D59" s="147">
        <v>916678.5</v>
      </c>
      <c r="E59" s="147">
        <v>916678.5</v>
      </c>
      <c r="F59" s="147">
        <v>0</v>
      </c>
      <c r="G59" s="43" t="str">
        <f>_xlfn.XLOOKUP($A59,Map!$A:$A,Map!C:C)</f>
        <v>BS</v>
      </c>
      <c r="H59" s="43" t="str">
        <f>_xlfn.XLOOKUP($A59,Map!$A:$A,Map!D:D)</f>
        <v>Current Assets</v>
      </c>
      <c r="I59" s="43" t="str">
        <f>_xlfn.XLOOKUP($A59,Map!$A:$A,Map!E:E)</f>
        <v>Inventories</v>
      </c>
      <c r="J59" s="43" t="str">
        <f>_xlfn.XLOOKUP($A59,Map!$A:$A,Map!F:F)</f>
        <v>Work in progress - Inventory</v>
      </c>
    </row>
    <row r="60" spans="1:10" x14ac:dyDescent="0.25">
      <c r="A60">
        <v>180099</v>
      </c>
      <c r="B60" t="s">
        <v>901</v>
      </c>
      <c r="C60" s="147">
        <v>0</v>
      </c>
      <c r="D60" s="147">
        <v>3869730.37</v>
      </c>
      <c r="E60" s="147">
        <v>3869730.37</v>
      </c>
      <c r="F60" s="147">
        <v>0</v>
      </c>
      <c r="G60" s="43" t="str">
        <f>_xlfn.XLOOKUP($A60,Map!$A:$A,Map!C:C)</f>
        <v>BS</v>
      </c>
      <c r="H60" s="43" t="str">
        <f>_xlfn.XLOOKUP($A60,Map!$A:$A,Map!D:D)</f>
        <v>Current Assets</v>
      </c>
      <c r="I60" s="43" t="str">
        <f>_xlfn.XLOOKUP($A60,Map!$A:$A,Map!E:E)</f>
        <v>Inventories</v>
      </c>
      <c r="J60" s="43" t="str">
        <f>_xlfn.XLOOKUP($A60,Map!$A:$A,Map!F:F)</f>
        <v>Goods in transit - Inventory</v>
      </c>
    </row>
    <row r="61" spans="1:10" x14ac:dyDescent="0.25">
      <c r="A61">
        <v>210001</v>
      </c>
      <c r="B61" t="s">
        <v>902</v>
      </c>
      <c r="C61" s="147">
        <v>0</v>
      </c>
      <c r="D61" s="147">
        <v>78074669.376000002</v>
      </c>
      <c r="E61" s="147">
        <v>76590597.016000003</v>
      </c>
      <c r="F61" s="147">
        <v>1484072.36</v>
      </c>
      <c r="G61" s="43" t="str">
        <f>_xlfn.XLOOKUP($A61,Map!$A:$A,Map!C:C)</f>
        <v>BS</v>
      </c>
      <c r="H61" s="43" t="str">
        <f>_xlfn.XLOOKUP($A61,Map!$A:$A,Map!D:D)</f>
        <v>Current Liabilities</v>
      </c>
      <c r="I61" s="43" t="str">
        <f>_xlfn.XLOOKUP($A61,Map!$A:$A,Map!E:E)</f>
        <v>Tade payables and Accuals &amp; other credit balances</v>
      </c>
      <c r="J61" s="43" t="str">
        <f>_xlfn.XLOOKUP($A61,Map!$A:$A,Map!F:F)</f>
        <v>Trade payables - Foreign</v>
      </c>
    </row>
    <row r="62" spans="1:10" x14ac:dyDescent="0.25">
      <c r="A62">
        <v>210002</v>
      </c>
      <c r="B62" t="s">
        <v>903</v>
      </c>
      <c r="C62" s="147">
        <v>0</v>
      </c>
      <c r="D62" s="147">
        <v>60933724.75</v>
      </c>
      <c r="E62" s="147">
        <v>59023222.659999996</v>
      </c>
      <c r="F62" s="147">
        <v>1910502.09</v>
      </c>
      <c r="G62" s="43" t="str">
        <f>_xlfn.XLOOKUP($A62,Map!$A:$A,Map!C:C)</f>
        <v>BS</v>
      </c>
      <c r="H62" s="43" t="str">
        <f>_xlfn.XLOOKUP($A62,Map!$A:$A,Map!D:D)</f>
        <v>Current Liabilities</v>
      </c>
      <c r="I62" s="43" t="str">
        <f>_xlfn.XLOOKUP($A62,Map!$A:$A,Map!E:E)</f>
        <v>Tade payables and Accuals &amp; other credit balances</v>
      </c>
      <c r="J62" s="43" t="str">
        <f>_xlfn.XLOOKUP($A62,Map!$A:$A,Map!F:F)</f>
        <v>Trade payables - Local</v>
      </c>
    </row>
    <row r="63" spans="1:10" x14ac:dyDescent="0.25">
      <c r="A63">
        <v>220001</v>
      </c>
      <c r="B63" t="s">
        <v>904</v>
      </c>
      <c r="C63" s="147">
        <v>0</v>
      </c>
      <c r="D63" s="147">
        <v>5964204.9199999999</v>
      </c>
      <c r="E63" s="147">
        <v>5964204.9199999999</v>
      </c>
      <c r="F63" s="147">
        <v>0</v>
      </c>
      <c r="G63" s="43" t="str">
        <f>_xlfn.XLOOKUP($A63,Map!$A:$A,Map!C:C)</f>
        <v>BS</v>
      </c>
      <c r="H63" s="43" t="str">
        <f>_xlfn.XLOOKUP($A63,Map!$A:$A,Map!D:D)</f>
        <v>Current Liabilities</v>
      </c>
      <c r="I63" s="43" t="str">
        <f>_xlfn.XLOOKUP($A63,Map!$A:$A,Map!E:E)</f>
        <v>Short-term Murabaha loans</v>
      </c>
      <c r="J63" s="43" t="str">
        <f>_xlfn.XLOOKUP($A63,Map!$A:$A,Map!F:F)</f>
        <v>Other loans - current</v>
      </c>
    </row>
    <row r="64" spans="1:10" x14ac:dyDescent="0.25">
      <c r="A64">
        <v>220002</v>
      </c>
      <c r="B64" t="s">
        <v>905</v>
      </c>
      <c r="C64" s="147">
        <v>0</v>
      </c>
      <c r="D64" s="147">
        <v>15636340.716</v>
      </c>
      <c r="E64" s="147">
        <v>30637439.465999998</v>
      </c>
      <c r="F64" s="147">
        <v>-15001098.75</v>
      </c>
      <c r="G64" s="43" t="str">
        <f>_xlfn.XLOOKUP($A64,Map!$A:$A,Map!C:C)</f>
        <v>BS</v>
      </c>
      <c r="H64" s="43" t="str">
        <f>_xlfn.XLOOKUP($A64,Map!$A:$A,Map!D:D)</f>
        <v>Current Liabilities</v>
      </c>
      <c r="I64" s="43" t="str">
        <f>_xlfn.XLOOKUP($A64,Map!$A:$A,Map!E:E)</f>
        <v>Short-term Murabaha loans</v>
      </c>
      <c r="J64" s="43" t="str">
        <f>_xlfn.XLOOKUP($A64,Map!$A:$A,Map!F:F)</f>
        <v>Other loans - current</v>
      </c>
    </row>
    <row r="65" spans="1:10" x14ac:dyDescent="0.25">
      <c r="A65">
        <v>220003</v>
      </c>
      <c r="B65" t="s">
        <v>906</v>
      </c>
      <c r="C65" s="147">
        <v>0</v>
      </c>
      <c r="D65" s="147">
        <v>15191654.140000001</v>
      </c>
      <c r="E65" s="147">
        <v>15191654.140000001</v>
      </c>
      <c r="F65" s="147">
        <v>0</v>
      </c>
      <c r="G65" s="43" t="str">
        <f>_xlfn.XLOOKUP($A65,Map!$A:$A,Map!C:C)</f>
        <v>BS</v>
      </c>
      <c r="H65" s="43" t="str">
        <f>_xlfn.XLOOKUP($A65,Map!$A:$A,Map!D:D)</f>
        <v>Current Liabilities</v>
      </c>
      <c r="I65" s="43" t="str">
        <f>_xlfn.XLOOKUP($A65,Map!$A:$A,Map!E:E)</f>
        <v>Short-term Murabaha loans</v>
      </c>
      <c r="J65" s="43" t="str">
        <f>_xlfn.XLOOKUP($A65,Map!$A:$A,Map!F:F)</f>
        <v>Other loans - current</v>
      </c>
    </row>
    <row r="66" spans="1:10" x14ac:dyDescent="0.25">
      <c r="A66">
        <v>220004</v>
      </c>
      <c r="B66" t="s">
        <v>907</v>
      </c>
      <c r="C66" s="147">
        <v>0</v>
      </c>
      <c r="D66" s="147">
        <v>4399426.9869999997</v>
      </c>
      <c r="E66" s="147">
        <v>14594315.777000001</v>
      </c>
      <c r="F66" s="147">
        <v>-10194888.789999999</v>
      </c>
      <c r="G66" s="43" t="str">
        <f>_xlfn.XLOOKUP($A66,Map!$A:$A,Map!C:C)</f>
        <v>BS</v>
      </c>
      <c r="H66" s="43" t="str">
        <f>_xlfn.XLOOKUP($A66,Map!$A:$A,Map!D:D)</f>
        <v>Current Liabilities</v>
      </c>
      <c r="I66" s="43" t="str">
        <f>_xlfn.XLOOKUP($A66,Map!$A:$A,Map!E:E)</f>
        <v>Short-term Murabaha loans</v>
      </c>
      <c r="J66" s="43" t="str">
        <f>_xlfn.XLOOKUP($A66,Map!$A:$A,Map!F:F)</f>
        <v>Other loans - current</v>
      </c>
    </row>
    <row r="67" spans="1:10" x14ac:dyDescent="0.25">
      <c r="A67">
        <v>230001</v>
      </c>
      <c r="B67" t="s">
        <v>911</v>
      </c>
      <c r="C67" s="147">
        <v>0</v>
      </c>
      <c r="D67" s="147">
        <v>548458202.60899997</v>
      </c>
      <c r="E67" s="147">
        <v>548458202.60899997</v>
      </c>
      <c r="F67" s="147">
        <v>0</v>
      </c>
      <c r="G67" s="43" t="str">
        <f>_xlfn.XLOOKUP($A67,Map!$A:$A,Map!C:C)</f>
        <v>BS</v>
      </c>
      <c r="H67" s="43" t="str">
        <f>_xlfn.XLOOKUP($A67,Map!$A:$A,Map!D:D)</f>
        <v>Current Liabilities</v>
      </c>
      <c r="I67" s="43" t="str">
        <f>_xlfn.XLOOKUP($A67,Map!$A:$A,Map!E:E)</f>
        <v>Tade payables and Accuals &amp; other credit balances</v>
      </c>
      <c r="J67" s="43" t="str">
        <f>_xlfn.XLOOKUP($A67,Map!$A:$A,Map!F:F)</f>
        <v>Clearing account</v>
      </c>
    </row>
    <row r="68" spans="1:10" x14ac:dyDescent="0.25">
      <c r="A68">
        <v>240001</v>
      </c>
      <c r="B68" t="s">
        <v>912</v>
      </c>
      <c r="C68" s="147">
        <v>0</v>
      </c>
      <c r="D68" s="147">
        <v>6475861.0120000001</v>
      </c>
      <c r="E68" s="147">
        <v>6475861.0080000004</v>
      </c>
      <c r="F68" s="147">
        <v>4.0000000000000001E-3</v>
      </c>
      <c r="G68" s="43" t="str">
        <f>_xlfn.XLOOKUP($A68,Map!$A:$A,Map!C:C)</f>
        <v>BS</v>
      </c>
      <c r="H68" s="43" t="str">
        <f>_xlfn.XLOOKUP($A68,Map!$A:$A,Map!D:D)</f>
        <v>Current Liabilities</v>
      </c>
      <c r="I68" s="43" t="str">
        <f>_xlfn.XLOOKUP($A68,Map!$A:$A,Map!E:E)</f>
        <v>Tade payables and Accuals &amp; other credit balances</v>
      </c>
      <c r="J68" s="43" t="str">
        <f>_xlfn.XLOOKUP($A68,Map!$A:$A,Map!F:F)</f>
        <v>Overhead</v>
      </c>
    </row>
    <row r="69" spans="1:10" x14ac:dyDescent="0.25">
      <c r="A69">
        <v>250001</v>
      </c>
      <c r="B69" t="s">
        <v>915</v>
      </c>
      <c r="C69" s="147">
        <v>0</v>
      </c>
      <c r="D69" s="147">
        <v>5368976.9989999998</v>
      </c>
      <c r="E69" s="147">
        <v>5368976.9989999998</v>
      </c>
      <c r="F69" s="147">
        <v>0</v>
      </c>
      <c r="G69" s="43" t="str">
        <f>_xlfn.XLOOKUP($A69,Map!$A:$A,Map!C:C)</f>
        <v>BS</v>
      </c>
      <c r="H69" s="43" t="str">
        <f>_xlfn.XLOOKUP($A69,Map!$A:$A,Map!D:D)</f>
        <v>Current Liabilities</v>
      </c>
      <c r="I69" s="43" t="str">
        <f>_xlfn.XLOOKUP($A69,Map!$A:$A,Map!E:E)</f>
        <v>Tade payables and Accuals &amp; other credit balances</v>
      </c>
      <c r="J69" s="43" t="str">
        <f>_xlfn.XLOOKUP($A69,Map!$A:$A,Map!F:F)</f>
        <v>Accrued salaries and wages</v>
      </c>
    </row>
    <row r="70" spans="1:10" x14ac:dyDescent="0.25">
      <c r="A70">
        <v>250002</v>
      </c>
      <c r="B70" t="s">
        <v>916</v>
      </c>
      <c r="C70" s="147">
        <v>0</v>
      </c>
      <c r="D70" s="147">
        <v>989172</v>
      </c>
      <c r="E70" s="147">
        <v>1139172</v>
      </c>
      <c r="F70" s="147">
        <v>-150000</v>
      </c>
      <c r="G70" s="43" t="str">
        <f>_xlfn.XLOOKUP($A70,Map!$A:$A,Map!C:C)</f>
        <v>BS</v>
      </c>
      <c r="H70" s="43" t="str">
        <f>_xlfn.XLOOKUP($A70,Map!$A:$A,Map!D:D)</f>
        <v>Current Liabilities</v>
      </c>
      <c r="I70" s="43" t="str">
        <f>_xlfn.XLOOKUP($A70,Map!$A:$A,Map!E:E)</f>
        <v>Tade payables and Accuals &amp; other credit balances</v>
      </c>
      <c r="J70" s="43" t="str">
        <f>_xlfn.XLOOKUP($A70,Map!$A:$A,Map!F:F)</f>
        <v>Accrued utilities</v>
      </c>
    </row>
    <row r="71" spans="1:10" x14ac:dyDescent="0.25">
      <c r="A71">
        <v>250003</v>
      </c>
      <c r="B71" t="s">
        <v>917</v>
      </c>
      <c r="C71" s="147">
        <v>0</v>
      </c>
      <c r="D71" s="147">
        <v>0</v>
      </c>
      <c r="E71" s="147">
        <v>1537200</v>
      </c>
      <c r="F71" s="147">
        <v>-1537200</v>
      </c>
      <c r="G71" s="43" t="str">
        <f>_xlfn.XLOOKUP($A71,Map!$A:$A,Map!C:C)</f>
        <v>BS</v>
      </c>
      <c r="H71" s="43" t="str">
        <f>_xlfn.XLOOKUP($A71,Map!$A:$A,Map!D:D)</f>
        <v>Current Liabilities</v>
      </c>
      <c r="I71" s="43" t="str">
        <f>_xlfn.XLOOKUP($A71,Map!$A:$A,Map!E:E)</f>
        <v>Zakat provision</v>
      </c>
      <c r="J71" s="43" t="str">
        <f>_xlfn.XLOOKUP($A71,Map!$A:$A,Map!F:F)</f>
        <v>Zakat provision</v>
      </c>
    </row>
    <row r="72" spans="1:10" x14ac:dyDescent="0.25">
      <c r="A72">
        <v>250004</v>
      </c>
      <c r="B72" t="s">
        <v>918</v>
      </c>
      <c r="C72" s="147">
        <v>0</v>
      </c>
      <c r="D72" s="147">
        <v>1001911.81</v>
      </c>
      <c r="E72" s="147">
        <v>2201911.81</v>
      </c>
      <c r="F72" s="147">
        <v>-1200000</v>
      </c>
      <c r="G72" s="43" t="str">
        <f>_xlfn.XLOOKUP($A72,Map!$A:$A,Map!C:C)</f>
        <v>BS</v>
      </c>
      <c r="H72" s="43" t="str">
        <f>_xlfn.XLOOKUP($A72,Map!$A:$A,Map!D:D)</f>
        <v>Current Liabilities</v>
      </c>
      <c r="I72" s="43" t="str">
        <f>_xlfn.XLOOKUP($A72,Map!$A:$A,Map!E:E)</f>
        <v>Tade payables and Accuals &amp; other credit balances</v>
      </c>
      <c r="J72" s="43" t="str">
        <f>_xlfn.XLOOKUP($A72,Map!$A:$A,Map!F:F)</f>
        <v>Accrued bonus</v>
      </c>
    </row>
    <row r="73" spans="1:10" x14ac:dyDescent="0.25">
      <c r="A73">
        <v>250005</v>
      </c>
      <c r="B73" t="s">
        <v>919</v>
      </c>
      <c r="C73" s="147">
        <v>0</v>
      </c>
      <c r="D73" s="147">
        <v>0</v>
      </c>
      <c r="E73" s="147">
        <v>50000</v>
      </c>
      <c r="F73" s="147">
        <v>-50000</v>
      </c>
      <c r="G73" s="43" t="str">
        <f>_xlfn.XLOOKUP($A73,Map!$A:$A,Map!C:C)</f>
        <v>BS</v>
      </c>
      <c r="H73" s="43" t="str">
        <f>_xlfn.XLOOKUP($A73,Map!$A:$A,Map!D:D)</f>
        <v>Current Liabilities</v>
      </c>
      <c r="I73" s="43" t="str">
        <f>_xlfn.XLOOKUP($A73,Map!$A:$A,Map!E:E)</f>
        <v>Tade payables and Accuals &amp; other credit balances</v>
      </c>
      <c r="J73" s="43" t="str">
        <f>_xlfn.XLOOKUP($A73,Map!$A:$A,Map!F:F)</f>
        <v>Accrued expenses</v>
      </c>
    </row>
    <row r="74" spans="1:10" x14ac:dyDescent="0.25">
      <c r="A74">
        <v>260001</v>
      </c>
      <c r="B74" t="s">
        <v>922</v>
      </c>
      <c r="C74" s="147">
        <v>0</v>
      </c>
      <c r="D74" s="147">
        <v>14155020</v>
      </c>
      <c r="E74" s="147">
        <v>17667500</v>
      </c>
      <c r="F74" s="147">
        <v>-3512480</v>
      </c>
      <c r="G74" s="43" t="str">
        <f>_xlfn.XLOOKUP($A74,Map!$A:$A,Map!C:C)</f>
        <v>BS</v>
      </c>
      <c r="H74" s="43" t="str">
        <f>_xlfn.XLOOKUP($A74,Map!$A:$A,Map!D:D)</f>
        <v>Stockholder's equity</v>
      </c>
      <c r="I74" s="43" t="str">
        <f>_xlfn.XLOOKUP($A74,Map!$A:$A,Map!E:E)</f>
        <v>Statutory reserve</v>
      </c>
      <c r="J74" s="43" t="str">
        <f>_xlfn.XLOOKUP($A74,Map!$A:$A,Map!F:F)</f>
        <v>Statutory reserve</v>
      </c>
    </row>
    <row r="75" spans="1:10" x14ac:dyDescent="0.25">
      <c r="A75">
        <v>260002</v>
      </c>
      <c r="B75" t="s">
        <v>923</v>
      </c>
      <c r="C75" s="147">
        <v>0</v>
      </c>
      <c r="D75" s="147">
        <v>308293</v>
      </c>
      <c r="E75" s="147">
        <v>3234150.71</v>
      </c>
      <c r="F75" s="147">
        <v>-2925857.71</v>
      </c>
      <c r="G75" s="43" t="str">
        <f>_xlfn.XLOOKUP($A75,Map!$A:$A,Map!C:C)</f>
        <v>BS</v>
      </c>
      <c r="H75" s="43" t="str">
        <f>_xlfn.XLOOKUP($A75,Map!$A:$A,Map!D:D)</f>
        <v>Non-Current Liabilities</v>
      </c>
      <c r="I75" s="43" t="str">
        <f>_xlfn.XLOOKUP($A75,Map!$A:$A,Map!E:E)</f>
        <v xml:space="preserve">End-of-service indemnities </v>
      </c>
      <c r="J75" s="43" t="str">
        <f>_xlfn.XLOOKUP($A75,Map!$A:$A,Map!F:F)</f>
        <v xml:space="preserve">End-of-service indemnities </v>
      </c>
    </row>
    <row r="76" spans="1:10" x14ac:dyDescent="0.25">
      <c r="A76">
        <v>260003</v>
      </c>
      <c r="B76" t="s">
        <v>924</v>
      </c>
      <c r="C76" s="147">
        <v>0</v>
      </c>
      <c r="D76" s="147">
        <v>0</v>
      </c>
      <c r="E76" s="147">
        <v>1409581.54</v>
      </c>
      <c r="F76" s="147">
        <v>-1409581.54</v>
      </c>
      <c r="G76" s="43" t="str">
        <f>_xlfn.XLOOKUP($A76,Map!$A:$A,Map!C:C)</f>
        <v>BS</v>
      </c>
      <c r="H76" s="43" t="str">
        <f>_xlfn.XLOOKUP($A76,Map!$A:$A,Map!D:D)</f>
        <v>Current Assets</v>
      </c>
      <c r="I76" s="43" t="str">
        <f>_xlfn.XLOOKUP($A76,Map!$A:$A,Map!E:E)</f>
        <v>Trade receivables</v>
      </c>
      <c r="J76" s="43" t="str">
        <f>_xlfn.XLOOKUP($A76,Map!$A:$A,Map!F:F)</f>
        <v>Provisions</v>
      </c>
    </row>
    <row r="77" spans="1:10" x14ac:dyDescent="0.25">
      <c r="A77">
        <v>310001</v>
      </c>
      <c r="B77" t="s">
        <v>934</v>
      </c>
      <c r="C77" s="147">
        <v>0</v>
      </c>
      <c r="D77" s="147">
        <v>56340000</v>
      </c>
      <c r="E77" s="147">
        <v>75363934.239999995</v>
      </c>
      <c r="F77" s="147">
        <v>-19023934.239999998</v>
      </c>
      <c r="G77" s="43" t="str">
        <f>_xlfn.XLOOKUP($A77,Map!$A:$A,Map!C:C)</f>
        <v>BS</v>
      </c>
      <c r="H77" s="43" t="str">
        <f>_xlfn.XLOOKUP($A77,Map!$A:$A,Map!D:D)</f>
        <v>Stockholder's equity</v>
      </c>
      <c r="I77" s="43" t="str">
        <f>_xlfn.XLOOKUP($A77,Map!$A:$A,Map!E:E)</f>
        <v>Retained earnings</v>
      </c>
      <c r="J77" s="43" t="str">
        <f>_xlfn.XLOOKUP($A77,Map!$A:$A,Map!F:F)</f>
        <v>Retained earnings</v>
      </c>
    </row>
    <row r="78" spans="1:10" x14ac:dyDescent="0.25">
      <c r="A78">
        <v>330001</v>
      </c>
      <c r="B78" t="s">
        <v>935</v>
      </c>
      <c r="C78" s="147">
        <v>0</v>
      </c>
      <c r="D78" s="147">
        <v>0</v>
      </c>
      <c r="E78" s="147">
        <v>1766750</v>
      </c>
      <c r="F78" s="147">
        <v>-1766750</v>
      </c>
      <c r="G78" s="43" t="str">
        <f>_xlfn.XLOOKUP($A78,Map!$A:$A,Map!C:C)</f>
        <v>BS</v>
      </c>
      <c r="H78" s="43" t="str">
        <f>_xlfn.XLOOKUP($A78,Map!$A:$A,Map!D:D)</f>
        <v>Stockholder's equity</v>
      </c>
      <c r="I78" s="43" t="str">
        <f>_xlfn.XLOOKUP($A78,Map!$A:$A,Map!E:E)</f>
        <v>Retained earnings</v>
      </c>
      <c r="J78" s="43" t="str">
        <f>_xlfn.XLOOKUP($A78,Map!$A:$A,Map!F:F)</f>
        <v>Retained earnings</v>
      </c>
    </row>
    <row r="79" spans="1:10" x14ac:dyDescent="0.25">
      <c r="A79">
        <v>330002</v>
      </c>
      <c r="B79" t="s">
        <v>936</v>
      </c>
      <c r="C79" s="147">
        <v>0</v>
      </c>
      <c r="D79" s="147">
        <v>0</v>
      </c>
      <c r="E79" s="147">
        <v>33568250</v>
      </c>
      <c r="F79" s="147">
        <v>-33568250</v>
      </c>
      <c r="G79" s="43" t="str">
        <f>_xlfn.XLOOKUP($A79,Map!$A:$A,Map!C:C)</f>
        <v>BS</v>
      </c>
      <c r="H79" s="43" t="str">
        <f>_xlfn.XLOOKUP($A79,Map!$A:$A,Map!D:D)</f>
        <v>Stockholder's equity</v>
      </c>
      <c r="I79" s="43" t="str">
        <f>_xlfn.XLOOKUP($A79,Map!$A:$A,Map!E:E)</f>
        <v>Share capital</v>
      </c>
      <c r="J79" s="43" t="str">
        <f>_xlfn.XLOOKUP($A79,Map!$A:$A,Map!F:F)</f>
        <v>Share capital</v>
      </c>
    </row>
    <row r="80" spans="1:10" x14ac:dyDescent="0.25">
      <c r="A80">
        <v>410001</v>
      </c>
      <c r="B80" t="s">
        <v>938</v>
      </c>
      <c r="C80" s="147">
        <v>0</v>
      </c>
      <c r="D80" s="147">
        <v>130046966.742</v>
      </c>
      <c r="E80" s="147">
        <v>315140185.361</v>
      </c>
      <c r="F80" s="147">
        <v>-185093218.61899999</v>
      </c>
      <c r="G80" s="43" t="str">
        <f>_xlfn.XLOOKUP($A80,Map!$A:$A,Map!C:C)</f>
        <v>IS</v>
      </c>
      <c r="H80" s="43" t="str">
        <f>_xlfn.XLOOKUP($A80,Map!$A:$A,Map!D:D)</f>
        <v>Sales</v>
      </c>
      <c r="I80" s="43" t="str">
        <f>_xlfn.XLOOKUP($A80,Map!$A:$A,Map!E:E)</f>
        <v>Sales</v>
      </c>
      <c r="J80" s="43" t="str">
        <f>_xlfn.XLOOKUP($A80,Map!$A:$A,Map!F:F)</f>
        <v>Trading revenue</v>
      </c>
    </row>
    <row r="81" spans="1:10" x14ac:dyDescent="0.25">
      <c r="A81">
        <v>410002</v>
      </c>
      <c r="B81" t="s">
        <v>939</v>
      </c>
      <c r="C81" s="147">
        <v>0</v>
      </c>
      <c r="D81" s="147">
        <v>4895495.4709999999</v>
      </c>
      <c r="E81" s="147">
        <v>8489.7800000000007</v>
      </c>
      <c r="F81" s="147">
        <v>4887005.6909999996</v>
      </c>
      <c r="G81" s="43" t="str">
        <f>_xlfn.XLOOKUP($A81,Map!$A:$A,Map!C:C)</f>
        <v>IS</v>
      </c>
      <c r="H81" s="43" t="str">
        <f>_xlfn.XLOOKUP($A81,Map!$A:$A,Map!D:D)</f>
        <v>Sales</v>
      </c>
      <c r="I81" s="43" t="str">
        <f>_xlfn.XLOOKUP($A81,Map!$A:$A,Map!E:E)</f>
        <v>Sales</v>
      </c>
      <c r="J81" s="43" t="str">
        <f>_xlfn.XLOOKUP($A81,Map!$A:$A,Map!F:F)</f>
        <v>Trading revenue</v>
      </c>
    </row>
    <row r="82" spans="1:10" x14ac:dyDescent="0.25">
      <c r="A82">
        <v>410003</v>
      </c>
      <c r="B82" t="s">
        <v>940</v>
      </c>
      <c r="C82" s="147">
        <v>0</v>
      </c>
      <c r="D82" s="147">
        <v>130633.973</v>
      </c>
      <c r="E82" s="147">
        <v>35750.567999999999</v>
      </c>
      <c r="F82" s="147">
        <v>94883.404999999999</v>
      </c>
      <c r="G82" s="43" t="str">
        <f>_xlfn.XLOOKUP($A82,Map!$A:$A,Map!C:C)</f>
        <v>IS</v>
      </c>
      <c r="H82" s="43" t="str">
        <f>_xlfn.XLOOKUP($A82,Map!$A:$A,Map!D:D)</f>
        <v>Sales</v>
      </c>
      <c r="I82" s="43" t="str">
        <f>_xlfn.XLOOKUP($A82,Map!$A:$A,Map!E:E)</f>
        <v>Sales</v>
      </c>
      <c r="J82" s="43" t="str">
        <f>_xlfn.XLOOKUP($A82,Map!$A:$A,Map!F:F)</f>
        <v>Trading revenue</v>
      </c>
    </row>
    <row r="83" spans="1:10" x14ac:dyDescent="0.25">
      <c r="A83">
        <v>410004</v>
      </c>
      <c r="B83" t="s">
        <v>941</v>
      </c>
      <c r="C83" s="147">
        <v>0</v>
      </c>
      <c r="D83" s="147">
        <v>0</v>
      </c>
      <c r="E83" s="147">
        <v>263041.3</v>
      </c>
      <c r="F83" s="147">
        <v>-263041.3</v>
      </c>
      <c r="G83" s="43" t="str">
        <f>_xlfn.XLOOKUP($A83,Map!$A:$A,Map!C:C)</f>
        <v>IS</v>
      </c>
      <c r="H83" s="43" t="str">
        <f>_xlfn.XLOOKUP($A83,Map!$A:$A,Map!D:D)</f>
        <v>Sales</v>
      </c>
      <c r="I83" s="43" t="str">
        <f>_xlfn.XLOOKUP($A83,Map!$A:$A,Map!E:E)</f>
        <v>Sales</v>
      </c>
      <c r="J83" s="43" t="str">
        <f>_xlfn.XLOOKUP($A83,Map!$A:$A,Map!F:F)</f>
        <v>Scrap sales</v>
      </c>
    </row>
    <row r="84" spans="1:10" x14ac:dyDescent="0.25">
      <c r="A84">
        <v>420003</v>
      </c>
      <c r="B84" t="s">
        <v>944</v>
      </c>
      <c r="C84" s="147">
        <v>0</v>
      </c>
      <c r="D84" s="147">
        <v>0.44</v>
      </c>
      <c r="E84" s="147">
        <v>0.44</v>
      </c>
      <c r="F84" s="147">
        <v>0</v>
      </c>
      <c r="G84" s="43" t="str">
        <f>_xlfn.XLOOKUP($A84,Map!$A:$A,Map!C:C)</f>
        <v>IS</v>
      </c>
      <c r="H84" s="43" t="str">
        <f>_xlfn.XLOOKUP($A84,Map!$A:$A,Map!D:D)</f>
        <v>Sales</v>
      </c>
      <c r="I84" s="43" t="str">
        <f>_xlfn.XLOOKUP($A84,Map!$A:$A,Map!E:E)</f>
        <v>Sales</v>
      </c>
      <c r="J84" s="43" t="str">
        <f>_xlfn.XLOOKUP($A84,Map!$A:$A,Map!F:F)</f>
        <v>Scrap sales</v>
      </c>
    </row>
    <row r="85" spans="1:10" x14ac:dyDescent="0.25">
      <c r="A85">
        <v>510001</v>
      </c>
      <c r="B85" t="s">
        <v>945</v>
      </c>
      <c r="C85" s="147">
        <v>0</v>
      </c>
      <c r="D85" s="147">
        <v>172335582.11899999</v>
      </c>
      <c r="E85" s="147">
        <v>40954291.740999997</v>
      </c>
      <c r="F85" s="147">
        <v>131381290.37800001</v>
      </c>
      <c r="G85" s="43" t="str">
        <f>_xlfn.XLOOKUP($A85,Map!$A:$A,Map!C:C)</f>
        <v>IS</v>
      </c>
      <c r="H85" s="43" t="str">
        <f>_xlfn.XLOOKUP($A85,Map!$A:$A,Map!D:D)</f>
        <v>Cost of sales</v>
      </c>
      <c r="I85" s="43" t="str">
        <f>_xlfn.XLOOKUP($A85,Map!$A:$A,Map!E:E)</f>
        <v>Raw materials</v>
      </c>
      <c r="J85" s="43" t="str">
        <f>_xlfn.XLOOKUP($A85,Map!$A:$A,Map!F:F)</f>
        <v>Raw materials</v>
      </c>
    </row>
    <row r="86" spans="1:10" x14ac:dyDescent="0.25">
      <c r="A86">
        <v>510002</v>
      </c>
      <c r="B86" t="s">
        <v>946</v>
      </c>
      <c r="C86" s="147">
        <v>0</v>
      </c>
      <c r="D86" s="147">
        <v>9061978.4670000002</v>
      </c>
      <c r="E86" s="147">
        <v>3266063.702</v>
      </c>
      <c r="F86" s="147">
        <v>5795914.7649999997</v>
      </c>
      <c r="G86" s="43" t="str">
        <f>_xlfn.XLOOKUP($A86,Map!$A:$A,Map!C:C)</f>
        <v>IS</v>
      </c>
      <c r="H86" s="43" t="str">
        <f>_xlfn.XLOOKUP($A86,Map!$A:$A,Map!D:D)</f>
        <v>Cost of sales</v>
      </c>
      <c r="I86" s="43" t="str">
        <f>_xlfn.XLOOKUP($A86,Map!$A:$A,Map!E:E)</f>
        <v>Direct Labor</v>
      </c>
      <c r="J86" s="43" t="str">
        <f>_xlfn.XLOOKUP($A86,Map!$A:$A,Map!F:F)</f>
        <v>Direct Labor</v>
      </c>
    </row>
    <row r="87" spans="1:10" x14ac:dyDescent="0.25">
      <c r="A87">
        <v>510003</v>
      </c>
      <c r="B87" t="s">
        <v>947</v>
      </c>
      <c r="C87" s="147">
        <v>0</v>
      </c>
      <c r="D87" s="147">
        <v>22528180.565000001</v>
      </c>
      <c r="E87" s="147">
        <v>20981016.307999998</v>
      </c>
      <c r="F87" s="147">
        <v>1547164.257</v>
      </c>
      <c r="G87" s="43" t="str">
        <f>_xlfn.XLOOKUP($A87,Map!$A:$A,Map!C:C)</f>
        <v>IS</v>
      </c>
      <c r="H87" s="43" t="str">
        <f>_xlfn.XLOOKUP($A87,Map!$A:$A,Map!D:D)</f>
        <v>Cost of sales</v>
      </c>
      <c r="I87" s="43" t="str">
        <f>_xlfn.XLOOKUP($A87,Map!$A:$A,Map!E:E)</f>
        <v>Raw materials</v>
      </c>
      <c r="J87" s="43" t="str">
        <f>_xlfn.XLOOKUP($A87,Map!$A:$A,Map!F:F)</f>
        <v>Raw materials</v>
      </c>
    </row>
    <row r="88" spans="1:10" x14ac:dyDescent="0.25">
      <c r="A88">
        <v>510004</v>
      </c>
      <c r="B88" t="s">
        <v>948</v>
      </c>
      <c r="C88" s="147">
        <v>0</v>
      </c>
      <c r="D88" s="147">
        <v>16131977.072000001</v>
      </c>
      <c r="E88" s="147">
        <v>8359359.9819999998</v>
      </c>
      <c r="F88" s="147">
        <v>7772617.0899999999</v>
      </c>
      <c r="G88" s="43" t="str">
        <f>_xlfn.XLOOKUP($A88,Map!$A:$A,Map!C:C)</f>
        <v>IS</v>
      </c>
      <c r="H88" s="43" t="str">
        <f>_xlfn.XLOOKUP($A88,Map!$A:$A,Map!D:D)</f>
        <v>Cost of sales</v>
      </c>
      <c r="I88" s="43" t="str">
        <f>_xlfn.XLOOKUP($A88,Map!$A:$A,Map!E:E)</f>
        <v>Raw materials</v>
      </c>
      <c r="J88" s="43" t="str">
        <f>_xlfn.XLOOKUP($A88,Map!$A:$A,Map!F:F)</f>
        <v>Other expenses</v>
      </c>
    </row>
    <row r="89" spans="1:10" x14ac:dyDescent="0.25">
      <c r="A89">
        <v>510005</v>
      </c>
      <c r="B89" t="s">
        <v>949</v>
      </c>
      <c r="C89" s="147">
        <v>0</v>
      </c>
      <c r="D89" s="147">
        <v>476977.89</v>
      </c>
      <c r="E89" s="147">
        <v>476977.89199999999</v>
      </c>
      <c r="F89" s="147">
        <v>-2E-3</v>
      </c>
      <c r="G89" s="43" t="str">
        <f>_xlfn.XLOOKUP($A89,Map!$A:$A,Map!C:C)</f>
        <v>IS</v>
      </c>
      <c r="H89" s="43" t="str">
        <f>_xlfn.XLOOKUP($A89,Map!$A:$A,Map!D:D)</f>
        <v>Cost of sales</v>
      </c>
      <c r="I89" s="43" t="str">
        <f>_xlfn.XLOOKUP($A89,Map!$A:$A,Map!E:E)</f>
        <v>Raw materials</v>
      </c>
      <c r="J89" s="43" t="str">
        <f>_xlfn.XLOOKUP($A89,Map!$A:$A,Map!F:F)</f>
        <v>Other expenses</v>
      </c>
    </row>
    <row r="90" spans="1:10" x14ac:dyDescent="0.25">
      <c r="A90">
        <v>520001</v>
      </c>
      <c r="B90" t="s">
        <v>950</v>
      </c>
      <c r="C90" s="147">
        <v>0</v>
      </c>
      <c r="D90" s="147">
        <v>966530.38100000005</v>
      </c>
      <c r="E90" s="147">
        <v>966530.38</v>
      </c>
      <c r="F90" s="147">
        <v>1E-3</v>
      </c>
      <c r="G90" s="43" t="str">
        <f>_xlfn.XLOOKUP($A90,Map!$A:$A,Map!C:C)</f>
        <v>IS</v>
      </c>
      <c r="H90" s="43" t="str">
        <f>_xlfn.XLOOKUP($A90,Map!$A:$A,Map!D:D)</f>
        <v>Cost of sales</v>
      </c>
      <c r="I90" s="43" t="str">
        <f>_xlfn.XLOOKUP($A90,Map!$A:$A,Map!E:E)</f>
        <v>Direct Labor</v>
      </c>
      <c r="J90" s="43" t="str">
        <f>_xlfn.XLOOKUP($A90,Map!$A:$A,Map!F:F)</f>
        <v>Salaries and wages</v>
      </c>
    </row>
    <row r="91" spans="1:10" x14ac:dyDescent="0.25">
      <c r="A91">
        <v>520002</v>
      </c>
      <c r="B91" t="s">
        <v>951</v>
      </c>
      <c r="C91" s="147">
        <v>0</v>
      </c>
      <c r="D91" s="147">
        <v>743</v>
      </c>
      <c r="E91" s="147">
        <v>743</v>
      </c>
      <c r="F91" s="147">
        <v>0</v>
      </c>
      <c r="G91" s="43" t="str">
        <f>_xlfn.XLOOKUP($A91,Map!$A:$A,Map!C:C)</f>
        <v>IS</v>
      </c>
      <c r="H91" s="43" t="str">
        <f>_xlfn.XLOOKUP($A91,Map!$A:$A,Map!D:D)</f>
        <v>Cost of sales</v>
      </c>
      <c r="I91" s="43" t="str">
        <f>_xlfn.XLOOKUP($A91,Map!$A:$A,Map!E:E)</f>
        <v>Direct Labor</v>
      </c>
      <c r="J91" s="43" t="str">
        <f>_xlfn.XLOOKUP($A91,Map!$A:$A,Map!F:F)</f>
        <v>Overtime pay</v>
      </c>
    </row>
    <row r="92" spans="1:10" x14ac:dyDescent="0.25">
      <c r="A92">
        <v>520003</v>
      </c>
      <c r="B92" t="s">
        <v>952</v>
      </c>
      <c r="C92" s="147">
        <v>0</v>
      </c>
      <c r="D92" s="147">
        <v>21622</v>
      </c>
      <c r="E92" s="147">
        <v>21622</v>
      </c>
      <c r="F92" s="147">
        <v>0</v>
      </c>
      <c r="G92" s="43" t="str">
        <f>_xlfn.XLOOKUP($A92,Map!$A:$A,Map!C:C)</f>
        <v>IS</v>
      </c>
      <c r="H92" s="43" t="str">
        <f>_xlfn.XLOOKUP($A92,Map!$A:$A,Map!D:D)</f>
        <v>Cost of sales</v>
      </c>
      <c r="I92" s="43" t="str">
        <f>_xlfn.XLOOKUP($A92,Map!$A:$A,Map!E:E)</f>
        <v>Direct Labor</v>
      </c>
      <c r="J92" s="43" t="str">
        <f>_xlfn.XLOOKUP($A92,Map!$A:$A,Map!F:F)</f>
        <v>Transportation allowance</v>
      </c>
    </row>
    <row r="93" spans="1:10" x14ac:dyDescent="0.25">
      <c r="A93">
        <v>520004</v>
      </c>
      <c r="B93" t="s">
        <v>957</v>
      </c>
      <c r="C93" s="147">
        <v>0</v>
      </c>
      <c r="D93" s="147">
        <v>54080.118999999999</v>
      </c>
      <c r="E93" s="147">
        <v>54080.118999999999</v>
      </c>
      <c r="F93" s="147">
        <v>0</v>
      </c>
      <c r="G93" s="43" t="str">
        <f>_xlfn.XLOOKUP($A93,Map!$A:$A,Map!C:C)</f>
        <v>IS</v>
      </c>
      <c r="H93" s="43" t="str">
        <f>_xlfn.XLOOKUP($A93,Map!$A:$A,Map!D:D)</f>
        <v>Cost of sales</v>
      </c>
      <c r="I93" s="43" t="str">
        <f>_xlfn.XLOOKUP($A93,Map!$A:$A,Map!E:E)</f>
        <v>Direct Labor</v>
      </c>
      <c r="J93" s="43" t="str">
        <f>_xlfn.XLOOKUP($A93,Map!$A:$A,Map!F:F)</f>
        <v>Food and housing</v>
      </c>
    </row>
    <row r="94" spans="1:10" x14ac:dyDescent="0.25">
      <c r="A94">
        <v>520005</v>
      </c>
      <c r="B94" t="s">
        <v>954</v>
      </c>
      <c r="C94" s="147">
        <v>0</v>
      </c>
      <c r="D94" s="147">
        <v>2175</v>
      </c>
      <c r="E94" s="147">
        <v>2175</v>
      </c>
      <c r="F94" s="147">
        <v>0</v>
      </c>
      <c r="G94" s="43" t="str">
        <f>_xlfn.XLOOKUP($A94,Map!$A:$A,Map!C:C)</f>
        <v>IS</v>
      </c>
      <c r="H94" s="43" t="str">
        <f>_xlfn.XLOOKUP($A94,Map!$A:$A,Map!D:D)</f>
        <v>Cost of sales</v>
      </c>
      <c r="I94" s="43" t="str">
        <f>_xlfn.XLOOKUP($A94,Map!$A:$A,Map!E:E)</f>
        <v>Direct Labor</v>
      </c>
      <c r="J94" s="43" t="str">
        <f>_xlfn.XLOOKUP($A94,Map!$A:$A,Map!F:F)</f>
        <v>Leave pay</v>
      </c>
    </row>
    <row r="95" spans="1:10" x14ac:dyDescent="0.25">
      <c r="A95">
        <v>520006</v>
      </c>
      <c r="B95" t="s">
        <v>955</v>
      </c>
      <c r="C95" s="147">
        <v>0</v>
      </c>
      <c r="D95" s="147">
        <v>133752.82999999999</v>
      </c>
      <c r="E95" s="147">
        <v>133752.82999999999</v>
      </c>
      <c r="F95" s="147">
        <v>0</v>
      </c>
      <c r="G95" s="43" t="str">
        <f>_xlfn.XLOOKUP($A95,Map!$A:$A,Map!C:C)</f>
        <v>IS</v>
      </c>
      <c r="H95" s="43" t="str">
        <f>_xlfn.XLOOKUP($A95,Map!$A:$A,Map!D:D)</f>
        <v>Cost of sales</v>
      </c>
      <c r="I95" s="43" t="str">
        <f>_xlfn.XLOOKUP($A95,Map!$A:$A,Map!E:E)</f>
        <v>Direct Labor</v>
      </c>
      <c r="J95" s="43" t="str">
        <f>_xlfn.XLOOKUP($A95,Map!$A:$A,Map!F:F)</f>
        <v>Medical insurance</v>
      </c>
    </row>
    <row r="96" spans="1:10" x14ac:dyDescent="0.25">
      <c r="A96">
        <v>520011</v>
      </c>
      <c r="B96" t="s">
        <v>951</v>
      </c>
      <c r="C96" s="147">
        <v>0</v>
      </c>
      <c r="D96" s="147">
        <v>209594.5</v>
      </c>
      <c r="E96" s="147">
        <v>209594.5</v>
      </c>
      <c r="F96" s="147">
        <v>0</v>
      </c>
      <c r="G96" s="43" t="str">
        <f>_xlfn.XLOOKUP($A96,Map!$A:$A,Map!C:C)</f>
        <v>IS</v>
      </c>
      <c r="H96" s="43" t="str">
        <f>_xlfn.XLOOKUP($A96,Map!$A:$A,Map!D:D)</f>
        <v>Cost of sales</v>
      </c>
      <c r="I96" s="43" t="str">
        <f>_xlfn.XLOOKUP($A96,Map!$A:$A,Map!E:E)</f>
        <v>Direct Labor</v>
      </c>
      <c r="J96" s="43" t="str">
        <f>_xlfn.XLOOKUP($A96,Map!$A:$A,Map!F:F)</f>
        <v>Overtime pay</v>
      </c>
    </row>
    <row r="97" spans="1:10" x14ac:dyDescent="0.25">
      <c r="A97">
        <v>520013</v>
      </c>
      <c r="B97" t="s">
        <v>957</v>
      </c>
      <c r="C97" s="147">
        <v>0</v>
      </c>
      <c r="D97" s="147">
        <v>227</v>
      </c>
      <c r="E97" s="147">
        <v>227</v>
      </c>
      <c r="F97" s="147">
        <v>0</v>
      </c>
      <c r="G97" s="43" t="str">
        <f>_xlfn.XLOOKUP($A97,Map!$A:$A,Map!C:C)</f>
        <v>IS</v>
      </c>
      <c r="H97" s="43" t="str">
        <f>_xlfn.XLOOKUP($A97,Map!$A:$A,Map!D:D)</f>
        <v>Cost of sales</v>
      </c>
      <c r="I97" s="43" t="str">
        <f>_xlfn.XLOOKUP($A97,Map!$A:$A,Map!E:E)</f>
        <v>Direct Labor</v>
      </c>
      <c r="J97" s="43" t="str">
        <f>_xlfn.XLOOKUP($A97,Map!$A:$A,Map!F:F)</f>
        <v>Food and housing</v>
      </c>
    </row>
    <row r="98" spans="1:10" x14ac:dyDescent="0.25">
      <c r="A98">
        <v>520014</v>
      </c>
      <c r="B98" t="s">
        <v>954</v>
      </c>
      <c r="C98" s="147">
        <v>0</v>
      </c>
      <c r="D98" s="147">
        <v>1350</v>
      </c>
      <c r="E98" s="147">
        <v>1350</v>
      </c>
      <c r="F98" s="147">
        <v>0</v>
      </c>
      <c r="G98" s="43" t="str">
        <f>_xlfn.XLOOKUP($A98,Map!$A:$A,Map!C:C)</f>
        <v>IS</v>
      </c>
      <c r="H98" s="43" t="str">
        <f>_xlfn.XLOOKUP($A98,Map!$A:$A,Map!D:D)</f>
        <v>Cost of sales</v>
      </c>
      <c r="I98" s="43" t="str">
        <f>_xlfn.XLOOKUP($A98,Map!$A:$A,Map!E:E)</f>
        <v>Direct Labor</v>
      </c>
      <c r="J98" s="43" t="str">
        <f>_xlfn.XLOOKUP($A98,Map!$A:$A,Map!F:F)</f>
        <v>Leave pay</v>
      </c>
    </row>
    <row r="99" spans="1:10" x14ac:dyDescent="0.25">
      <c r="A99">
        <v>520021</v>
      </c>
      <c r="B99" t="s">
        <v>962</v>
      </c>
      <c r="C99" s="147">
        <v>0</v>
      </c>
      <c r="D99" s="147">
        <v>29659.64</v>
      </c>
      <c r="E99" s="147">
        <v>29659.64</v>
      </c>
      <c r="F99" s="147">
        <v>0</v>
      </c>
      <c r="G99" s="43" t="str">
        <f>_xlfn.XLOOKUP($A99,Map!$A:$A,Map!C:C)</f>
        <v>IS</v>
      </c>
      <c r="H99" s="43" t="str">
        <f>_xlfn.XLOOKUP($A99,Map!$A:$A,Map!D:D)</f>
        <v>Cost of sales</v>
      </c>
      <c r="I99" s="43" t="str">
        <f>_xlfn.XLOOKUP($A99,Map!$A:$A,Map!E:E)</f>
        <v>Direct Labor</v>
      </c>
      <c r="J99" s="43" t="str">
        <f>_xlfn.XLOOKUP($A99,Map!$A:$A,Map!F:F)</f>
        <v>Medical insurance</v>
      </c>
    </row>
    <row r="100" spans="1:10" x14ac:dyDescent="0.25">
      <c r="A100">
        <v>520022</v>
      </c>
      <c r="B100" t="s">
        <v>963</v>
      </c>
      <c r="C100" s="147">
        <v>0</v>
      </c>
      <c r="D100" s="147">
        <v>150</v>
      </c>
      <c r="E100" s="147">
        <v>150</v>
      </c>
      <c r="F100" s="147">
        <v>0</v>
      </c>
      <c r="G100" s="43" t="str">
        <f>_xlfn.XLOOKUP($A100,Map!$A:$A,Map!C:C)</f>
        <v>IS</v>
      </c>
      <c r="H100" s="43" t="str">
        <f>_xlfn.XLOOKUP($A100,Map!$A:$A,Map!D:D)</f>
        <v>Cost of sales</v>
      </c>
      <c r="I100" s="43" t="str">
        <f>_xlfn.XLOOKUP($A100,Map!$A:$A,Map!E:E)</f>
        <v>Direct Labor</v>
      </c>
      <c r="J100" s="43" t="str">
        <f>_xlfn.XLOOKUP($A100,Map!$A:$A,Map!F:F)</f>
        <v>Iqama renewal</v>
      </c>
    </row>
    <row r="101" spans="1:10" x14ac:dyDescent="0.25">
      <c r="A101">
        <v>520032</v>
      </c>
      <c r="B101" t="s">
        <v>965</v>
      </c>
      <c r="C101" s="147">
        <v>0</v>
      </c>
      <c r="D101" s="147">
        <v>6900</v>
      </c>
      <c r="E101" s="147">
        <v>6900</v>
      </c>
      <c r="F101" s="147">
        <v>0</v>
      </c>
      <c r="G101" s="43" t="str">
        <f>_xlfn.XLOOKUP($A101,Map!$A:$A,Map!C:C)</f>
        <v>IS</v>
      </c>
      <c r="H101" s="43" t="str">
        <f>_xlfn.XLOOKUP($A101,Map!$A:$A,Map!D:D)</f>
        <v>Cost of sales</v>
      </c>
      <c r="I101" s="43" t="str">
        <f>_xlfn.XLOOKUP($A101,Map!$A:$A,Map!E:E)</f>
        <v>Raw materials</v>
      </c>
      <c r="J101" s="43" t="str">
        <f>_xlfn.XLOOKUP($A101,Map!$A:$A,Map!F:F)</f>
        <v>Consumables</v>
      </c>
    </row>
    <row r="102" spans="1:10" x14ac:dyDescent="0.25">
      <c r="A102">
        <v>520037</v>
      </c>
      <c r="B102" t="s">
        <v>967</v>
      </c>
      <c r="C102" s="147">
        <v>0</v>
      </c>
      <c r="D102" s="147">
        <v>7934649.2050000001</v>
      </c>
      <c r="E102" s="147">
        <v>7934649.2039999999</v>
      </c>
      <c r="F102" s="147">
        <v>1E-3</v>
      </c>
      <c r="G102" s="43" t="str">
        <f>_xlfn.XLOOKUP($A102,Map!$A:$A,Map!C:C)</f>
        <v>IS</v>
      </c>
      <c r="H102" s="43" t="str">
        <f>_xlfn.XLOOKUP($A102,Map!$A:$A,Map!D:D)</f>
        <v>Cost of sales</v>
      </c>
      <c r="I102" s="43" t="str">
        <f>_xlfn.XLOOKUP($A102,Map!$A:$A,Map!E:E)</f>
        <v>Raw materials</v>
      </c>
      <c r="J102" s="43" t="str">
        <f>_xlfn.XLOOKUP($A102,Map!$A:$A,Map!F:F)</f>
        <v>Raw materials</v>
      </c>
    </row>
    <row r="103" spans="1:10" x14ac:dyDescent="0.25">
      <c r="A103">
        <v>520040</v>
      </c>
      <c r="B103" t="s">
        <v>969</v>
      </c>
      <c r="C103" s="147">
        <v>0</v>
      </c>
      <c r="D103" s="147">
        <v>1525724.04</v>
      </c>
      <c r="E103" s="147">
        <v>1525724.0419999999</v>
      </c>
      <c r="F103" s="147">
        <v>-2E-3</v>
      </c>
      <c r="G103" s="43" t="str">
        <f>_xlfn.XLOOKUP($A103,Map!$A:$A,Map!C:C)</f>
        <v>IS</v>
      </c>
      <c r="H103" s="43" t="str">
        <f>_xlfn.XLOOKUP($A103,Map!$A:$A,Map!D:D)</f>
        <v>Cost of sales</v>
      </c>
      <c r="I103" s="43" t="str">
        <f>_xlfn.XLOOKUP($A103,Map!$A:$A,Map!E:E)</f>
        <v>Raw materials</v>
      </c>
      <c r="J103" s="43" t="str">
        <f>_xlfn.XLOOKUP($A103,Map!$A:$A,Map!F:F)</f>
        <v>Other expenses</v>
      </c>
    </row>
    <row r="104" spans="1:10" x14ac:dyDescent="0.25">
      <c r="A104">
        <v>520041</v>
      </c>
      <c r="B104" t="s">
        <v>970</v>
      </c>
      <c r="C104" s="147">
        <v>0</v>
      </c>
      <c r="D104" s="147">
        <v>9351428.5260000005</v>
      </c>
      <c r="E104" s="147">
        <v>9351428.523</v>
      </c>
      <c r="F104" s="147">
        <v>3.0000000000000001E-3</v>
      </c>
      <c r="G104" s="43" t="str">
        <f>_xlfn.XLOOKUP($A104,Map!$A:$A,Map!C:C)</f>
        <v>IS</v>
      </c>
      <c r="H104" s="43" t="str">
        <f>_xlfn.XLOOKUP($A104,Map!$A:$A,Map!D:D)</f>
        <v>Cost of sales</v>
      </c>
      <c r="I104" s="43" t="str">
        <f>_xlfn.XLOOKUP($A104,Map!$A:$A,Map!E:E)</f>
        <v>Raw materials</v>
      </c>
      <c r="J104" s="43" t="str">
        <f>_xlfn.XLOOKUP($A104,Map!$A:$A,Map!F:F)</f>
        <v>Other expenses</v>
      </c>
    </row>
    <row r="105" spans="1:10" x14ac:dyDescent="0.25">
      <c r="A105">
        <v>520042</v>
      </c>
      <c r="B105" t="s">
        <v>971</v>
      </c>
      <c r="C105" s="147">
        <v>0</v>
      </c>
      <c r="D105" s="147">
        <v>99513825.002000004</v>
      </c>
      <c r="E105" s="147">
        <v>99513825.003000006</v>
      </c>
      <c r="F105" s="147">
        <v>-1E-3</v>
      </c>
      <c r="G105" s="43" t="str">
        <f>_xlfn.XLOOKUP($A105,Map!$A:$A,Map!C:C)</f>
        <v>IS</v>
      </c>
      <c r="H105" s="43" t="str">
        <f>_xlfn.XLOOKUP($A105,Map!$A:$A,Map!D:D)</f>
        <v>Cost of sales</v>
      </c>
      <c r="I105" s="43" t="str">
        <f>_xlfn.XLOOKUP($A105,Map!$A:$A,Map!E:E)</f>
        <v>Raw materials</v>
      </c>
      <c r="J105" s="43" t="str">
        <f>_xlfn.XLOOKUP($A105,Map!$A:$A,Map!F:F)</f>
        <v>Inventory Adjustment</v>
      </c>
    </row>
    <row r="106" spans="1:10" x14ac:dyDescent="0.25">
      <c r="A106">
        <v>600001</v>
      </c>
      <c r="B106" t="s">
        <v>979</v>
      </c>
      <c r="C106" s="147">
        <v>0</v>
      </c>
      <c r="D106" s="147">
        <v>1480216.95</v>
      </c>
      <c r="E106" s="147">
        <v>1480216.95</v>
      </c>
      <c r="F106" s="147">
        <v>0</v>
      </c>
      <c r="G106" s="43" t="str">
        <f>_xlfn.XLOOKUP($A106,Map!$A:$A,Map!C:C)</f>
        <v>IS</v>
      </c>
      <c r="H106" s="43" t="str">
        <f>_xlfn.XLOOKUP($A106,Map!$A:$A,Map!D:D)</f>
        <v>Cost of sales</v>
      </c>
      <c r="I106" s="43" t="str">
        <f>_xlfn.XLOOKUP($A106,Map!$A:$A,Map!E:E)</f>
        <v>Overhead - Labor Cost</v>
      </c>
      <c r="J106" s="43" t="str">
        <f>_xlfn.XLOOKUP($A106,Map!$A:$A,Map!F:F)</f>
        <v>Indirect Salaries — factory supervisory / indirect floor labour (COGS)</v>
      </c>
    </row>
    <row r="107" spans="1:10" x14ac:dyDescent="0.25">
      <c r="A107">
        <v>600002</v>
      </c>
      <c r="B107" t="s">
        <v>980</v>
      </c>
      <c r="C107" s="147">
        <v>0</v>
      </c>
      <c r="D107" s="147">
        <v>284009</v>
      </c>
      <c r="E107" s="147">
        <v>284009</v>
      </c>
      <c r="F107" s="147">
        <v>0</v>
      </c>
      <c r="G107" s="43" t="str">
        <f>_xlfn.XLOOKUP($A107,Map!$A:$A,Map!C:C)</f>
        <v>IS</v>
      </c>
      <c r="H107" s="43" t="str">
        <f>_xlfn.XLOOKUP($A107,Map!$A:$A,Map!D:D)</f>
        <v>Cost of sales</v>
      </c>
      <c r="I107" s="43" t="str">
        <f>_xlfn.XLOOKUP($A107,Map!$A:$A,Map!E:E)</f>
        <v>Overhead - Labor Cost</v>
      </c>
      <c r="J107" s="43" t="str">
        <f>_xlfn.XLOOKUP($A107,Map!$A:$A,Map!F:F)</f>
        <v>Overtime pay</v>
      </c>
    </row>
    <row r="108" spans="1:10" x14ac:dyDescent="0.25">
      <c r="A108">
        <v>600003</v>
      </c>
      <c r="B108" t="s">
        <v>981</v>
      </c>
      <c r="C108" s="147">
        <v>0</v>
      </c>
      <c r="D108" s="147">
        <v>65096</v>
      </c>
      <c r="E108" s="147">
        <v>65096</v>
      </c>
      <c r="F108" s="147">
        <v>0</v>
      </c>
      <c r="G108" s="43" t="str">
        <f>_xlfn.XLOOKUP($A108,Map!$A:$A,Map!C:C)</f>
        <v>IS</v>
      </c>
      <c r="H108" s="43" t="str">
        <f>_xlfn.XLOOKUP($A108,Map!$A:$A,Map!D:D)</f>
        <v>Cost of sales</v>
      </c>
      <c r="I108" s="43" t="str">
        <f>_xlfn.XLOOKUP($A108,Map!$A:$A,Map!E:E)</f>
        <v>Overhead - Labor Cost</v>
      </c>
      <c r="J108" s="43" t="str">
        <f>_xlfn.XLOOKUP($A108,Map!$A:$A,Map!F:F)</f>
        <v xml:space="preserve">Food &amp; Housing </v>
      </c>
    </row>
    <row r="109" spans="1:10" x14ac:dyDescent="0.25">
      <c r="A109">
        <v>600004</v>
      </c>
      <c r="B109" t="s">
        <v>982</v>
      </c>
      <c r="C109" s="147">
        <v>0</v>
      </c>
      <c r="D109" s="147">
        <v>154512.64000000001</v>
      </c>
      <c r="E109" s="147">
        <v>154512.64000000001</v>
      </c>
      <c r="F109" s="147">
        <v>0</v>
      </c>
      <c r="G109" s="43" t="str">
        <f>_xlfn.XLOOKUP($A109,Map!$A:$A,Map!C:C)</f>
        <v>IS</v>
      </c>
      <c r="H109" s="43" t="str">
        <f>_xlfn.XLOOKUP($A109,Map!$A:$A,Map!D:D)</f>
        <v>Cost of sales</v>
      </c>
      <c r="I109" s="43" t="str">
        <f>_xlfn.XLOOKUP($A109,Map!$A:$A,Map!E:E)</f>
        <v>Overhead - Labor Cost</v>
      </c>
      <c r="J109" s="43" t="str">
        <f>_xlfn.XLOOKUP($A109,Map!$A:$A,Map!F:F)</f>
        <v>Medical insurance</v>
      </c>
    </row>
    <row r="110" spans="1:10" x14ac:dyDescent="0.25">
      <c r="A110" s="149">
        <v>600005</v>
      </c>
      <c r="B110" s="149" t="s">
        <v>983</v>
      </c>
      <c r="C110" s="147">
        <v>0</v>
      </c>
      <c r="D110" s="148">
        <v>294613</v>
      </c>
      <c r="E110" s="148">
        <v>294613</v>
      </c>
      <c r="F110" s="148">
        <v>0</v>
      </c>
      <c r="G110" s="43" t="str">
        <f>_xlfn.XLOOKUP($A110,Map!$A:$A,Map!C:C)</f>
        <v>IS</v>
      </c>
      <c r="H110" s="43" t="str">
        <f>_xlfn.XLOOKUP($A110,Map!$A:$A,Map!D:D)</f>
        <v>General and Admin</v>
      </c>
      <c r="I110" s="43" t="str">
        <f>_xlfn.XLOOKUP($A110,Map!$A:$A,Map!E:E)</f>
        <v>Govt license and fees (including modon)</v>
      </c>
      <c r="J110" s="43" t="str">
        <f>_xlfn.XLOOKUP($A110,Map!$A:$A,Map!F:F)</f>
        <v>Government fees</v>
      </c>
    </row>
    <row r="111" spans="1:10" x14ac:dyDescent="0.25">
      <c r="A111" s="149">
        <v>600006</v>
      </c>
      <c r="B111" s="149" t="s">
        <v>984</v>
      </c>
      <c r="C111" s="147">
        <v>0</v>
      </c>
      <c r="D111" s="148">
        <v>247184.5</v>
      </c>
      <c r="E111" s="148">
        <v>247184.5</v>
      </c>
      <c r="F111" s="148">
        <v>0</v>
      </c>
      <c r="G111" s="43" t="str">
        <f>_xlfn.XLOOKUP($A111,Map!$A:$A,Map!C:C)</f>
        <v>IS</v>
      </c>
      <c r="H111" s="43" t="str">
        <f>_xlfn.XLOOKUP($A111,Map!$A:$A,Map!D:D)</f>
        <v>Cost of sales</v>
      </c>
      <c r="I111" s="43" t="str">
        <f>_xlfn.XLOOKUP($A111,Map!$A:$A,Map!E:E)</f>
        <v>Overhead - Labor Cost</v>
      </c>
      <c r="J111" s="43" t="str">
        <f>_xlfn.XLOOKUP($A111,Map!$A:$A,Map!F:F)</f>
        <v xml:space="preserve">Food &amp; Housing </v>
      </c>
    </row>
    <row r="112" spans="1:10" x14ac:dyDescent="0.25">
      <c r="A112" s="149">
        <v>600007</v>
      </c>
      <c r="B112" s="149" t="s">
        <v>985</v>
      </c>
      <c r="C112" s="147">
        <v>0</v>
      </c>
      <c r="D112" s="148">
        <v>6367</v>
      </c>
      <c r="E112" s="148">
        <v>6367</v>
      </c>
      <c r="F112" s="148">
        <v>0</v>
      </c>
      <c r="G112" s="43" t="str">
        <f>_xlfn.XLOOKUP($A112,Map!$A:$A,Map!C:C)</f>
        <v>IS</v>
      </c>
      <c r="H112" s="43" t="str">
        <f>_xlfn.XLOOKUP($A112,Map!$A:$A,Map!D:D)</f>
        <v>Cost of sales</v>
      </c>
      <c r="I112" s="43" t="str">
        <f>_xlfn.XLOOKUP($A112,Map!$A:$A,Map!E:E)</f>
        <v>Overhead - Labor Cost</v>
      </c>
      <c r="J112" s="43" t="str">
        <f>_xlfn.XLOOKUP($A112,Map!$A:$A,Map!F:F)</f>
        <v>Transportation allowance</v>
      </c>
    </row>
    <row r="113" spans="1:10" x14ac:dyDescent="0.25">
      <c r="A113" s="149">
        <v>600008</v>
      </c>
      <c r="B113" s="149" t="s">
        <v>986</v>
      </c>
      <c r="C113" s="147">
        <v>0</v>
      </c>
      <c r="D113" s="148">
        <v>97690</v>
      </c>
      <c r="E113" s="148">
        <v>97690</v>
      </c>
      <c r="F113" s="148">
        <v>0</v>
      </c>
      <c r="G113" s="43" t="str">
        <f>_xlfn.XLOOKUP($A113,Map!$A:$A,Map!C:C)</f>
        <v>IS</v>
      </c>
      <c r="H113" s="43" t="str">
        <f>_xlfn.XLOOKUP($A113,Map!$A:$A,Map!D:D)</f>
        <v>Cost of sales</v>
      </c>
      <c r="I113" s="43" t="str">
        <f>_xlfn.XLOOKUP($A113,Map!$A:$A,Map!E:E)</f>
        <v>Overhead - Labor Cost</v>
      </c>
      <c r="J113" s="43" t="str">
        <f>_xlfn.XLOOKUP($A113,Map!$A:$A,Map!F:F)</f>
        <v>Air tickets</v>
      </c>
    </row>
    <row r="114" spans="1:10" x14ac:dyDescent="0.25">
      <c r="A114" s="149">
        <v>600009</v>
      </c>
      <c r="B114" s="149" t="s">
        <v>987</v>
      </c>
      <c r="C114" s="147">
        <v>0</v>
      </c>
      <c r="D114" s="148">
        <v>167209</v>
      </c>
      <c r="E114" s="148">
        <v>167209</v>
      </c>
      <c r="F114" s="148">
        <v>0</v>
      </c>
      <c r="G114" s="43" t="str">
        <f>_xlfn.XLOOKUP($A114,Map!$A:$A,Map!C:C)</f>
        <v>IS</v>
      </c>
      <c r="H114" s="43" t="str">
        <f>_xlfn.XLOOKUP($A114,Map!$A:$A,Map!D:D)</f>
        <v>Cost of sales</v>
      </c>
      <c r="I114" s="43" t="str">
        <f>_xlfn.XLOOKUP($A114,Map!$A:$A,Map!E:E)</f>
        <v>Overhead - Labor Cost</v>
      </c>
      <c r="J114" s="43" t="str">
        <f>_xlfn.XLOOKUP($A114,Map!$A:$A,Map!F:F)</f>
        <v>Vacation pay</v>
      </c>
    </row>
    <row r="115" spans="1:10" x14ac:dyDescent="0.25">
      <c r="A115" s="149">
        <v>600011</v>
      </c>
      <c r="B115" s="149" t="s">
        <v>989</v>
      </c>
      <c r="C115" s="147">
        <v>0</v>
      </c>
      <c r="D115" s="148">
        <v>10000</v>
      </c>
      <c r="E115" s="148">
        <v>10000</v>
      </c>
      <c r="F115" s="148">
        <v>0</v>
      </c>
      <c r="G115" s="43" t="str">
        <f>_xlfn.XLOOKUP($A115,Map!$A:$A,Map!C:C)</f>
        <v>IS</v>
      </c>
      <c r="H115" s="43" t="str">
        <f>_xlfn.XLOOKUP($A115,Map!$A:$A,Map!D:D)</f>
        <v>Cost of sales</v>
      </c>
      <c r="I115" s="43" t="str">
        <f>_xlfn.XLOOKUP($A115,Map!$A:$A,Map!E:E)</f>
        <v>Overhead - Labor Cost</v>
      </c>
      <c r="J115" s="43" t="str">
        <f>_xlfn.XLOOKUP($A115,Map!$A:$A,Map!F:F)</f>
        <v>Air tickets</v>
      </c>
    </row>
    <row r="116" spans="1:10" x14ac:dyDescent="0.25">
      <c r="A116" s="149">
        <v>600013</v>
      </c>
      <c r="B116" s="149" t="s">
        <v>991</v>
      </c>
      <c r="C116" s="147">
        <v>0</v>
      </c>
      <c r="D116" s="148">
        <v>924</v>
      </c>
      <c r="E116" s="148">
        <v>924</v>
      </c>
      <c r="F116" s="148">
        <v>0</v>
      </c>
      <c r="G116" s="43" t="str">
        <f>_xlfn.XLOOKUP($A116,Map!$A:$A,Map!C:C)</f>
        <v>IS</v>
      </c>
      <c r="H116" s="43" t="str">
        <f>_xlfn.XLOOKUP($A116,Map!$A:$A,Map!D:D)</f>
        <v>Cost of sales</v>
      </c>
      <c r="I116" s="43" t="str">
        <f>_xlfn.XLOOKUP($A116,Map!$A:$A,Map!E:E)</f>
        <v>Overhead - Labor Cost</v>
      </c>
      <c r="J116" s="43" t="str">
        <f>_xlfn.XLOOKUP($A116,Map!$A:$A,Map!F:F)</f>
        <v>Telephone allowance</v>
      </c>
    </row>
    <row r="117" spans="1:10" x14ac:dyDescent="0.25">
      <c r="A117">
        <v>600014</v>
      </c>
      <c r="B117" t="s">
        <v>884</v>
      </c>
      <c r="C117" s="147">
        <v>0</v>
      </c>
      <c r="D117" s="147">
        <v>1414195.7679999999</v>
      </c>
      <c r="E117" s="147">
        <v>1414195.7660000001</v>
      </c>
      <c r="F117" s="147">
        <v>2E-3</v>
      </c>
      <c r="G117" s="43" t="str">
        <f>_xlfn.XLOOKUP($A117,Map!$A:$A,Map!C:C)</f>
        <v>IS</v>
      </c>
      <c r="H117" s="43" t="str">
        <f>_xlfn.XLOOKUP($A117,Map!$A:$A,Map!D:D)</f>
        <v>Cost of sales</v>
      </c>
      <c r="I117" s="43" t="str">
        <f>_xlfn.XLOOKUP($A117,Map!$A:$A,Map!E:E)</f>
        <v>Overhead - Consumables &amp; SP</v>
      </c>
      <c r="J117" s="43" t="str">
        <f>_xlfn.XLOOKUP($A117,Map!$A:$A,Map!F:F)</f>
        <v>Consumables</v>
      </c>
    </row>
    <row r="118" spans="1:10" x14ac:dyDescent="0.25">
      <c r="A118">
        <v>600015</v>
      </c>
      <c r="B118" t="s">
        <v>992</v>
      </c>
      <c r="C118" s="147">
        <v>0</v>
      </c>
      <c r="D118" s="147">
        <v>156043.72899999999</v>
      </c>
      <c r="E118" s="147">
        <v>156043.72899999999</v>
      </c>
      <c r="F118" s="147">
        <v>0</v>
      </c>
      <c r="G118" s="43" t="str">
        <f>_xlfn.XLOOKUP($A118,Map!$A:$A,Map!C:C)</f>
        <v>IS</v>
      </c>
      <c r="H118" s="43" t="str">
        <f>_xlfn.XLOOKUP($A118,Map!$A:$A,Map!D:D)</f>
        <v>Cost of sales</v>
      </c>
      <c r="I118" s="43" t="str">
        <f>_xlfn.XLOOKUP($A118,Map!$A:$A,Map!E:E)</f>
        <v>Overhead - Consumables &amp; SP</v>
      </c>
      <c r="J118" s="43" t="str">
        <f>_xlfn.XLOOKUP($A118,Map!$A:$A,Map!F:F)</f>
        <v>Consumables</v>
      </c>
    </row>
    <row r="119" spans="1:10" x14ac:dyDescent="0.25">
      <c r="A119">
        <v>600016</v>
      </c>
      <c r="B119" t="s">
        <v>993</v>
      </c>
      <c r="C119" s="147">
        <v>0</v>
      </c>
      <c r="D119" s="147">
        <v>3088745.8879999998</v>
      </c>
      <c r="E119" s="147">
        <v>3088745.8879999998</v>
      </c>
      <c r="F119" s="147">
        <v>0</v>
      </c>
      <c r="G119" s="43" t="str">
        <f>_xlfn.XLOOKUP($A119,Map!$A:$A,Map!C:C)</f>
        <v>IS</v>
      </c>
      <c r="H119" s="43" t="str">
        <f>_xlfn.XLOOKUP($A119,Map!$A:$A,Map!D:D)</f>
        <v>Cost of sales</v>
      </c>
      <c r="I119" s="43" t="str">
        <f>_xlfn.XLOOKUP($A119,Map!$A:$A,Map!E:E)</f>
        <v>Overhead - Consumables &amp; SP</v>
      </c>
      <c r="J119" s="43" t="str">
        <f>_xlfn.XLOOKUP($A119,Map!$A:$A,Map!F:F)</f>
        <v>Tools</v>
      </c>
    </row>
    <row r="120" spans="1:10" x14ac:dyDescent="0.25">
      <c r="A120" s="149">
        <v>600017</v>
      </c>
      <c r="B120" s="149" t="s">
        <v>994</v>
      </c>
      <c r="C120" s="147">
        <v>0</v>
      </c>
      <c r="D120" s="148">
        <v>1390828.88</v>
      </c>
      <c r="E120" s="148">
        <v>1390828.88</v>
      </c>
      <c r="F120" s="148">
        <v>0</v>
      </c>
      <c r="G120" s="43" t="str">
        <f>_xlfn.XLOOKUP($A120,Map!$A:$A,Map!C:C)</f>
        <v>IS</v>
      </c>
      <c r="H120" s="43" t="str">
        <f>_xlfn.XLOOKUP($A120,Map!$A:$A,Map!D:D)</f>
        <v>Cost of sales</v>
      </c>
      <c r="I120" s="43" t="str">
        <f>_xlfn.XLOOKUP($A120,Map!$A:$A,Map!E:E)</f>
        <v>Overhead - Utility</v>
      </c>
      <c r="J120" s="43" t="str">
        <f>_xlfn.XLOOKUP($A120,Map!$A:$A,Map!F:F)</f>
        <v>Electricity expenses</v>
      </c>
    </row>
    <row r="121" spans="1:10" x14ac:dyDescent="0.25">
      <c r="A121" s="149">
        <v>600018</v>
      </c>
      <c r="B121" s="149" t="s">
        <v>995</v>
      </c>
      <c r="C121" s="147">
        <v>0</v>
      </c>
      <c r="D121" s="148">
        <v>68572</v>
      </c>
      <c r="E121" s="148">
        <v>68572</v>
      </c>
      <c r="F121" s="148">
        <v>0</v>
      </c>
      <c r="G121" s="43" t="str">
        <f>_xlfn.XLOOKUP($A121,Map!$A:$A,Map!C:C)</f>
        <v>IS</v>
      </c>
      <c r="H121" s="43" t="str">
        <f>_xlfn.XLOOKUP($A121,Map!$A:$A,Map!D:D)</f>
        <v>Cost of sales</v>
      </c>
      <c r="I121" s="43" t="str">
        <f>_xlfn.XLOOKUP($A121,Map!$A:$A,Map!E:E)</f>
        <v>Overhead - Utility</v>
      </c>
      <c r="J121" s="43" t="str">
        <f>_xlfn.XLOOKUP($A121,Map!$A:$A,Map!F:F)</f>
        <v>Water expenses</v>
      </c>
    </row>
    <row r="122" spans="1:10" x14ac:dyDescent="0.25">
      <c r="A122" s="149">
        <v>600019</v>
      </c>
      <c r="B122" s="149" t="s">
        <v>996</v>
      </c>
      <c r="C122" s="147">
        <v>0</v>
      </c>
      <c r="D122" s="148">
        <v>60129.05</v>
      </c>
      <c r="E122" s="148">
        <v>60129.05</v>
      </c>
      <c r="F122" s="148">
        <v>0</v>
      </c>
      <c r="G122" s="43" t="str">
        <f>_xlfn.XLOOKUP($A122,Map!$A:$A,Map!C:C)</f>
        <v>IS</v>
      </c>
      <c r="H122" s="43" t="str">
        <f>_xlfn.XLOOKUP($A122,Map!$A:$A,Map!D:D)</f>
        <v>Cost of sales</v>
      </c>
      <c r="I122" s="43" t="str">
        <f>_xlfn.XLOOKUP($A122,Map!$A:$A,Map!E:E)</f>
        <v>Overhead - Utility</v>
      </c>
      <c r="J122" s="43" t="str">
        <f>_xlfn.XLOOKUP($A122,Map!$A:$A,Map!F:F)</f>
        <v>Fuel and oil</v>
      </c>
    </row>
    <row r="123" spans="1:10" x14ac:dyDescent="0.25">
      <c r="A123" s="149">
        <v>600020</v>
      </c>
      <c r="B123" s="149" t="s">
        <v>997</v>
      </c>
      <c r="C123" s="147">
        <v>0</v>
      </c>
      <c r="D123" s="148">
        <v>221254.95199999999</v>
      </c>
      <c r="E123" s="148">
        <v>221254.95199999999</v>
      </c>
      <c r="F123" s="148">
        <v>0</v>
      </c>
      <c r="G123" s="43" t="str">
        <f>_xlfn.XLOOKUP($A123,Map!$A:$A,Map!C:C)</f>
        <v>IS</v>
      </c>
      <c r="H123" s="43" t="str">
        <f>_xlfn.XLOOKUP($A123,Map!$A:$A,Map!D:D)</f>
        <v>Cost of sales</v>
      </c>
      <c r="I123" s="43" t="str">
        <f>_xlfn.XLOOKUP($A123,Map!$A:$A,Map!E:E)</f>
        <v>Overhead - R&amp;M</v>
      </c>
      <c r="J123" s="43" t="str">
        <f>_xlfn.XLOOKUP($A123,Map!$A:$A,Map!F:F)</f>
        <v>Machine and equipment</v>
      </c>
    </row>
    <row r="124" spans="1:10" x14ac:dyDescent="0.25">
      <c r="A124" s="149">
        <v>600021</v>
      </c>
      <c r="B124" s="149" t="s">
        <v>998</v>
      </c>
      <c r="C124" s="147">
        <v>0</v>
      </c>
      <c r="D124" s="148">
        <v>38872</v>
      </c>
      <c r="E124" s="148">
        <v>38872</v>
      </c>
      <c r="F124" s="148">
        <v>0</v>
      </c>
      <c r="G124" s="43" t="str">
        <f>_xlfn.XLOOKUP($A124,Map!$A:$A,Map!C:C)</f>
        <v>IS</v>
      </c>
      <c r="H124" s="43" t="str">
        <f>_xlfn.XLOOKUP($A124,Map!$A:$A,Map!D:D)</f>
        <v>Cost of sales</v>
      </c>
      <c r="I124" s="43" t="str">
        <f>_xlfn.XLOOKUP($A124,Map!$A:$A,Map!E:E)</f>
        <v>Overhead - R&amp;M</v>
      </c>
      <c r="J124" s="43" t="str">
        <f>_xlfn.XLOOKUP($A124,Map!$A:$A,Map!F:F)</f>
        <v>Vehicle maintenance</v>
      </c>
    </row>
    <row r="125" spans="1:10" x14ac:dyDescent="0.25">
      <c r="A125" s="149">
        <v>600023</v>
      </c>
      <c r="B125" s="149" t="s">
        <v>1000</v>
      </c>
      <c r="C125" s="147">
        <v>0</v>
      </c>
      <c r="D125" s="148">
        <v>2080</v>
      </c>
      <c r="E125" s="148">
        <v>2080</v>
      </c>
      <c r="F125" s="148">
        <v>0</v>
      </c>
      <c r="G125" s="43" t="str">
        <f>_xlfn.XLOOKUP($A125,Map!$A:$A,Map!C:C)</f>
        <v>IS</v>
      </c>
      <c r="H125" s="43" t="str">
        <f>_xlfn.XLOOKUP($A125,Map!$A:$A,Map!D:D)</f>
        <v>Cost of sales</v>
      </c>
      <c r="I125" s="43" t="str">
        <f>_xlfn.XLOOKUP($A125,Map!$A:$A,Map!E:E)</f>
        <v>Overhead - R&amp;M</v>
      </c>
      <c r="J125" s="43" t="str">
        <f>_xlfn.XLOOKUP($A125,Map!$A:$A,Map!F:F)</f>
        <v>Office equipment maintenance</v>
      </c>
    </row>
    <row r="126" spans="1:10" x14ac:dyDescent="0.25">
      <c r="A126" s="149">
        <v>600024</v>
      </c>
      <c r="B126" s="149" t="s">
        <v>1001</v>
      </c>
      <c r="C126" s="147">
        <v>0</v>
      </c>
      <c r="D126" s="148">
        <v>71184.5</v>
      </c>
      <c r="E126" s="148">
        <v>71184.5</v>
      </c>
      <c r="F126" s="148">
        <v>0</v>
      </c>
      <c r="G126" s="43" t="str">
        <f>_xlfn.XLOOKUP($A126,Map!$A:$A,Map!C:C)</f>
        <v>IS</v>
      </c>
      <c r="H126" s="43" t="str">
        <f>_xlfn.XLOOKUP($A126,Map!$A:$A,Map!D:D)</f>
        <v>Cost of sales</v>
      </c>
      <c r="I126" s="43" t="str">
        <f>_xlfn.XLOOKUP($A126,Map!$A:$A,Map!E:E)</f>
        <v>Overhead - Rent</v>
      </c>
      <c r="J126" s="43" t="str">
        <f>_xlfn.XLOOKUP($A126,Map!$A:$A,Map!F:F)</f>
        <v>Pump rental expenses</v>
      </c>
    </row>
    <row r="127" spans="1:10" x14ac:dyDescent="0.25">
      <c r="A127" s="149">
        <v>600027</v>
      </c>
      <c r="B127" s="149" t="s">
        <v>1004</v>
      </c>
      <c r="C127" s="147">
        <v>0</v>
      </c>
      <c r="D127" s="148">
        <v>528700</v>
      </c>
      <c r="E127" s="148">
        <v>528700</v>
      </c>
      <c r="F127" s="148">
        <v>0</v>
      </c>
      <c r="G127" s="43" t="str">
        <f>_xlfn.XLOOKUP($A127,Map!$A:$A,Map!C:C)</f>
        <v>IS</v>
      </c>
      <c r="H127" s="43" t="str">
        <f>_xlfn.XLOOKUP($A127,Map!$A:$A,Map!D:D)</f>
        <v>Cost of sales</v>
      </c>
      <c r="I127" s="43" t="str">
        <f>_xlfn.XLOOKUP($A127,Map!$A:$A,Map!E:E)</f>
        <v>Overhead - Rent</v>
      </c>
      <c r="J127" s="43" t="str">
        <f>_xlfn.XLOOKUP($A127,Map!$A:$A,Map!F:F)</f>
        <v>Production hall rental</v>
      </c>
    </row>
    <row r="128" spans="1:10" x14ac:dyDescent="0.25">
      <c r="A128" s="149">
        <v>600028</v>
      </c>
      <c r="B128" s="149" t="s">
        <v>1005</v>
      </c>
      <c r="C128" s="147">
        <v>0</v>
      </c>
      <c r="D128" s="148">
        <v>32121</v>
      </c>
      <c r="E128" s="148">
        <v>32121</v>
      </c>
      <c r="F128" s="148">
        <v>0</v>
      </c>
      <c r="G128" s="43" t="str">
        <f>_xlfn.XLOOKUP($A128,Map!$A:$A,Map!C:C)</f>
        <v>IS</v>
      </c>
      <c r="H128" s="43" t="str">
        <f>_xlfn.XLOOKUP($A128,Map!$A:$A,Map!D:D)</f>
        <v>Cost of sales</v>
      </c>
      <c r="I128" s="43" t="str">
        <f>_xlfn.XLOOKUP($A128,Map!$A:$A,Map!E:E)</f>
        <v>Overhead - Consumables &amp; SP</v>
      </c>
      <c r="J128" s="43" t="str">
        <f>_xlfn.XLOOKUP($A128,Map!$A:$A,Map!F:F)</f>
        <v xml:space="preserve">Education &amp; Furniture Allowances </v>
      </c>
    </row>
    <row r="129" spans="1:10" x14ac:dyDescent="0.25">
      <c r="A129" s="149">
        <v>600029</v>
      </c>
      <c r="B129" s="149" t="s">
        <v>1006</v>
      </c>
      <c r="C129" s="147">
        <v>0</v>
      </c>
      <c r="D129" s="148">
        <v>2954190.4589999998</v>
      </c>
      <c r="E129" s="148">
        <v>2954190.4589999998</v>
      </c>
      <c r="F129" s="148">
        <v>0</v>
      </c>
      <c r="G129" s="43" t="str">
        <f>_xlfn.XLOOKUP($A129,Map!$A:$A,Map!C:C)</f>
        <v>IS</v>
      </c>
      <c r="H129" s="43" t="str">
        <f>_xlfn.XLOOKUP($A129,Map!$A:$A,Map!D:D)</f>
        <v>Cost of sales</v>
      </c>
      <c r="I129" s="43" t="str">
        <f>_xlfn.XLOOKUP($A129,Map!$A:$A,Map!E:E)</f>
        <v>Depreciation - Machines</v>
      </c>
      <c r="J129" s="43" t="str">
        <f>_xlfn.XLOOKUP($A129,Map!$A:$A,Map!F:F)</f>
        <v>Depreciation of property, plant and equipment</v>
      </c>
    </row>
    <row r="130" spans="1:10" x14ac:dyDescent="0.25">
      <c r="A130">
        <v>600030</v>
      </c>
      <c r="B130" t="s">
        <v>1007</v>
      </c>
      <c r="C130" s="147">
        <v>0</v>
      </c>
      <c r="D130" s="147">
        <v>16978.21</v>
      </c>
      <c r="E130" s="147">
        <v>16978.21</v>
      </c>
      <c r="F130" s="147">
        <v>0</v>
      </c>
      <c r="G130" s="43" t="str">
        <f>_xlfn.XLOOKUP($A130,Map!$A:$A,Map!C:C)</f>
        <v>IS</v>
      </c>
      <c r="H130" s="43" t="str">
        <f>_xlfn.XLOOKUP($A130,Map!$A:$A,Map!D:D)</f>
        <v>Depreciation expenses</v>
      </c>
      <c r="I130" s="43" t="str">
        <f>_xlfn.XLOOKUP($A130,Map!$A:$A,Map!E:E)</f>
        <v>Depreciation expenses</v>
      </c>
      <c r="J130" s="43" t="str">
        <f>_xlfn.XLOOKUP($A130,Map!$A:$A,Map!F:F)</f>
        <v>Depreciation of property, plant and equipment</v>
      </c>
    </row>
    <row r="131" spans="1:10" x14ac:dyDescent="0.25">
      <c r="A131">
        <v>600031</v>
      </c>
      <c r="B131" t="s">
        <v>1008</v>
      </c>
      <c r="C131" s="147">
        <v>0</v>
      </c>
      <c r="D131" s="147">
        <v>106775.67</v>
      </c>
      <c r="E131" s="147">
        <v>106775.67</v>
      </c>
      <c r="F131" s="147">
        <v>0</v>
      </c>
      <c r="G131" s="43" t="str">
        <f>_xlfn.XLOOKUP($A131,Map!$A:$A,Map!C:C)</f>
        <v>IS</v>
      </c>
      <c r="H131" s="43" t="str">
        <f>_xlfn.XLOOKUP($A131,Map!$A:$A,Map!D:D)</f>
        <v>Depreciation expenses</v>
      </c>
      <c r="I131" s="43" t="str">
        <f>_xlfn.XLOOKUP($A131,Map!$A:$A,Map!E:E)</f>
        <v>Depreciation expenses</v>
      </c>
      <c r="J131" s="43" t="str">
        <f>_xlfn.XLOOKUP($A131,Map!$A:$A,Map!F:F)</f>
        <v>Depreciation of property, plant and equipment</v>
      </c>
    </row>
    <row r="132" spans="1:10" x14ac:dyDescent="0.25">
      <c r="A132">
        <v>700001</v>
      </c>
      <c r="B132" t="s">
        <v>1023</v>
      </c>
      <c r="C132" s="147">
        <v>0</v>
      </c>
      <c r="D132" s="147">
        <v>2402429.33</v>
      </c>
      <c r="E132" s="147">
        <v>2867</v>
      </c>
      <c r="F132" s="147">
        <v>2399562.33</v>
      </c>
      <c r="G132" s="43" t="str">
        <f>_xlfn.XLOOKUP($A132,Map!$A:$A,Map!C:C)</f>
        <v>IS</v>
      </c>
      <c r="H132" s="43" t="str">
        <f>_xlfn.XLOOKUP($A132,Map!$A:$A,Map!D:D)</f>
        <v>General and Admin</v>
      </c>
      <c r="I132" s="43" t="str">
        <f>_xlfn.XLOOKUP($A132,Map!$A:$A,Map!E:E)</f>
        <v>Salaries and wages</v>
      </c>
      <c r="J132" s="43" t="str">
        <f>_xlfn.XLOOKUP($A132,Map!$A:$A,Map!F:F)</f>
        <v>Salaries and wages</v>
      </c>
    </row>
    <row r="133" spans="1:10" x14ac:dyDescent="0.25">
      <c r="A133">
        <v>700002</v>
      </c>
      <c r="B133" t="s">
        <v>1024</v>
      </c>
      <c r="C133" s="147">
        <v>0</v>
      </c>
      <c r="D133" s="147">
        <v>31119</v>
      </c>
      <c r="E133" s="147">
        <v>0</v>
      </c>
      <c r="F133" s="147">
        <v>31119</v>
      </c>
      <c r="G133" s="43" t="str">
        <f>_xlfn.XLOOKUP($A133,Map!$A:$A,Map!C:C)</f>
        <v>IS</v>
      </c>
      <c r="H133" s="43" t="str">
        <f>_xlfn.XLOOKUP($A133,Map!$A:$A,Map!D:D)</f>
        <v>General and Admin</v>
      </c>
      <c r="I133" s="43" t="str">
        <f>_xlfn.XLOOKUP($A133,Map!$A:$A,Map!E:E)</f>
        <v>Salaries and wages</v>
      </c>
      <c r="J133" s="43" t="str">
        <f>_xlfn.XLOOKUP($A133,Map!$A:$A,Map!F:F)</f>
        <v>Overtime pay</v>
      </c>
    </row>
    <row r="134" spans="1:10" x14ac:dyDescent="0.25">
      <c r="A134">
        <v>700003</v>
      </c>
      <c r="B134" t="s">
        <v>1152</v>
      </c>
      <c r="C134" s="147">
        <v>0</v>
      </c>
      <c r="D134" s="147">
        <v>28154</v>
      </c>
      <c r="E134" s="147">
        <v>0</v>
      </c>
      <c r="F134" s="147">
        <v>28154</v>
      </c>
      <c r="G134" s="43" t="str">
        <f>_xlfn.XLOOKUP($A134,Map!$A:$A,Map!C:C)</f>
        <v>IS</v>
      </c>
      <c r="H134" s="43" t="str">
        <f>_xlfn.XLOOKUP($A134,Map!$A:$A,Map!D:D)</f>
        <v>General and Admin</v>
      </c>
      <c r="I134" s="43" t="str">
        <f>_xlfn.XLOOKUP($A134,Map!$A:$A,Map!E:E)</f>
        <v>Salaries and wages</v>
      </c>
      <c r="J134" s="43" t="str">
        <f>_xlfn.XLOOKUP($A134,Map!$A:$A,Map!F:F)</f>
        <v xml:space="preserve">Food &amp; Housing </v>
      </c>
    </row>
    <row r="135" spans="1:10" x14ac:dyDescent="0.25">
      <c r="A135">
        <v>700004</v>
      </c>
      <c r="B135" t="s">
        <v>1026</v>
      </c>
      <c r="C135" s="147">
        <v>0</v>
      </c>
      <c r="D135" s="147">
        <v>122637.25</v>
      </c>
      <c r="E135" s="147">
        <v>1631</v>
      </c>
      <c r="F135" s="147">
        <v>121006.25</v>
      </c>
      <c r="G135" s="43" t="str">
        <f>_xlfn.XLOOKUP($A135,Map!$A:$A,Map!C:C)</f>
        <v>IS</v>
      </c>
      <c r="H135" s="43" t="str">
        <f>_xlfn.XLOOKUP($A135,Map!$A:$A,Map!D:D)</f>
        <v>General and Admin</v>
      </c>
      <c r="I135" s="43" t="str">
        <f>_xlfn.XLOOKUP($A135,Map!$A:$A,Map!E:E)</f>
        <v>Salaries and wages</v>
      </c>
      <c r="J135" s="43" t="str">
        <f>_xlfn.XLOOKUP($A135,Map!$A:$A,Map!F:F)</f>
        <v>Medical insurance</v>
      </c>
    </row>
    <row r="136" spans="1:10" x14ac:dyDescent="0.25">
      <c r="A136">
        <v>700005</v>
      </c>
      <c r="B136" t="s">
        <v>1027</v>
      </c>
      <c r="C136" s="147">
        <v>0</v>
      </c>
      <c r="D136" s="147">
        <v>178284</v>
      </c>
      <c r="E136" s="147">
        <v>0</v>
      </c>
      <c r="F136" s="147">
        <v>178284</v>
      </c>
      <c r="G136" s="43" t="str">
        <f>_xlfn.XLOOKUP($A136,Map!$A:$A,Map!C:C)</f>
        <v>IS</v>
      </c>
      <c r="H136" s="43" t="str">
        <f>_xlfn.XLOOKUP($A136,Map!$A:$A,Map!D:D)</f>
        <v>General and Admin</v>
      </c>
      <c r="I136" s="43" t="str">
        <f>_xlfn.XLOOKUP($A136,Map!$A:$A,Map!E:E)</f>
        <v>Govt license and fees (including modon)</v>
      </c>
      <c r="J136" s="43" t="str">
        <f>_xlfn.XLOOKUP($A136,Map!$A:$A,Map!F:F)</f>
        <v>Government fees</v>
      </c>
    </row>
    <row r="137" spans="1:10" x14ac:dyDescent="0.25">
      <c r="A137">
        <v>700006</v>
      </c>
      <c r="B137" t="s">
        <v>1028</v>
      </c>
      <c r="C137" s="147">
        <v>0</v>
      </c>
      <c r="D137" s="147">
        <v>578533.9</v>
      </c>
      <c r="E137" s="147">
        <v>0</v>
      </c>
      <c r="F137" s="147">
        <v>578533.9</v>
      </c>
      <c r="G137" s="43" t="str">
        <f>_xlfn.XLOOKUP($A137,Map!$A:$A,Map!C:C)</f>
        <v>IS</v>
      </c>
      <c r="H137" s="43" t="str">
        <f>_xlfn.XLOOKUP($A137,Map!$A:$A,Map!D:D)</f>
        <v>General and Admin</v>
      </c>
      <c r="I137" s="43" t="str">
        <f>_xlfn.XLOOKUP($A137,Map!$A:$A,Map!E:E)</f>
        <v>Salaries and wages</v>
      </c>
      <c r="J137" s="43" t="str">
        <f>_xlfn.XLOOKUP($A137,Map!$A:$A,Map!F:F)</f>
        <v xml:space="preserve">Food &amp; Housing </v>
      </c>
    </row>
    <row r="138" spans="1:10" x14ac:dyDescent="0.25">
      <c r="A138">
        <v>700007</v>
      </c>
      <c r="B138" t="s">
        <v>1029</v>
      </c>
      <c r="C138" s="147">
        <v>0</v>
      </c>
      <c r="D138" s="147">
        <v>286506</v>
      </c>
      <c r="E138" s="147">
        <v>0</v>
      </c>
      <c r="F138" s="147">
        <v>286506</v>
      </c>
      <c r="G138" s="43" t="str">
        <f>_xlfn.XLOOKUP($A138,Map!$A:$A,Map!C:C)</f>
        <v>IS</v>
      </c>
      <c r="H138" s="43" t="str">
        <f>_xlfn.XLOOKUP($A138,Map!$A:$A,Map!D:D)</f>
        <v>General and Admin</v>
      </c>
      <c r="I138" s="43" t="str">
        <f>_xlfn.XLOOKUP($A138,Map!$A:$A,Map!E:E)</f>
        <v>Salaries and wages</v>
      </c>
      <c r="J138" s="43" t="str">
        <f>_xlfn.XLOOKUP($A138,Map!$A:$A,Map!F:F)</f>
        <v>Transportation allowance</v>
      </c>
    </row>
    <row r="139" spans="1:10" x14ac:dyDescent="0.25">
      <c r="A139">
        <v>700008</v>
      </c>
      <c r="B139" t="s">
        <v>1030</v>
      </c>
      <c r="C139" s="147">
        <v>0</v>
      </c>
      <c r="D139" s="147">
        <v>63347</v>
      </c>
      <c r="E139" s="147">
        <v>0</v>
      </c>
      <c r="F139" s="147">
        <v>63347</v>
      </c>
      <c r="G139" s="43" t="str">
        <f>_xlfn.XLOOKUP($A139,Map!$A:$A,Map!C:C)</f>
        <v>IS</v>
      </c>
      <c r="H139" s="43" t="str">
        <f>_xlfn.XLOOKUP($A139,Map!$A:$A,Map!D:D)</f>
        <v>General and Admin</v>
      </c>
      <c r="I139" s="43" t="str">
        <f>_xlfn.XLOOKUP($A139,Map!$A:$A,Map!E:E)</f>
        <v>Salaries and wages</v>
      </c>
      <c r="J139" s="43" t="str">
        <f>_xlfn.XLOOKUP($A139,Map!$A:$A,Map!F:F)</f>
        <v>Air tickets</v>
      </c>
    </row>
    <row r="140" spans="1:10" x14ac:dyDescent="0.25">
      <c r="A140">
        <v>700009</v>
      </c>
      <c r="B140" t="s">
        <v>1031</v>
      </c>
      <c r="C140" s="147">
        <v>0</v>
      </c>
      <c r="D140" s="147">
        <v>228255</v>
      </c>
      <c r="E140" s="147">
        <v>3000</v>
      </c>
      <c r="F140" s="147">
        <v>225255</v>
      </c>
      <c r="G140" s="43" t="str">
        <f>_xlfn.XLOOKUP($A140,Map!$A:$A,Map!C:C)</f>
        <v>IS</v>
      </c>
      <c r="H140" s="43" t="str">
        <f>_xlfn.XLOOKUP($A140,Map!$A:$A,Map!D:D)</f>
        <v>General and Admin</v>
      </c>
      <c r="I140" s="43" t="str">
        <f>_xlfn.XLOOKUP($A140,Map!$A:$A,Map!E:E)</f>
        <v>Salaries and wages</v>
      </c>
      <c r="J140" s="43" t="str">
        <f>_xlfn.XLOOKUP($A140,Map!$A:$A,Map!F:F)</f>
        <v>Leave pay</v>
      </c>
    </row>
    <row r="141" spans="1:10" x14ac:dyDescent="0.25">
      <c r="A141">
        <v>700010</v>
      </c>
      <c r="B141" t="s">
        <v>1032</v>
      </c>
      <c r="C141" s="147">
        <v>0</v>
      </c>
      <c r="D141" s="147">
        <v>810000</v>
      </c>
      <c r="E141" s="147">
        <v>0</v>
      </c>
      <c r="F141" s="147">
        <v>810000</v>
      </c>
      <c r="G141" s="43" t="str">
        <f>_xlfn.XLOOKUP($A141,Map!$A:$A,Map!C:C)</f>
        <v>IS</v>
      </c>
      <c r="H141" s="43" t="str">
        <f>_xlfn.XLOOKUP($A141,Map!$A:$A,Map!D:D)</f>
        <v>General and Admin</v>
      </c>
      <c r="I141" s="43" t="str">
        <f>_xlfn.XLOOKUP($A141,Map!$A:$A,Map!E:E)</f>
        <v>Salaries and wages</v>
      </c>
      <c r="J141" s="43" t="str">
        <f>_xlfn.XLOOKUP($A141,Map!$A:$A,Map!F:F)</f>
        <v>Indemnities</v>
      </c>
    </row>
    <row r="142" spans="1:10" x14ac:dyDescent="0.25">
      <c r="A142">
        <v>700011</v>
      </c>
      <c r="B142" t="s">
        <v>1033</v>
      </c>
      <c r="C142" s="147">
        <v>0</v>
      </c>
      <c r="D142" s="147">
        <v>108000</v>
      </c>
      <c r="E142" s="147">
        <v>0</v>
      </c>
      <c r="F142" s="147">
        <v>108000</v>
      </c>
      <c r="G142" s="43" t="str">
        <f>_xlfn.XLOOKUP($A142,Map!$A:$A,Map!C:C)</f>
        <v>IS</v>
      </c>
      <c r="H142" s="43" t="str">
        <f>_xlfn.XLOOKUP($A142,Map!$A:$A,Map!D:D)</f>
        <v>General and Admin</v>
      </c>
      <c r="I142" s="43" t="str">
        <f>_xlfn.XLOOKUP($A142,Map!$A:$A,Map!E:E)</f>
        <v>Salaries and wages</v>
      </c>
      <c r="J142" s="43" t="str">
        <f>_xlfn.XLOOKUP($A142,Map!$A:$A,Map!F:F)</f>
        <v>Air tickets</v>
      </c>
    </row>
    <row r="143" spans="1:10" x14ac:dyDescent="0.25">
      <c r="A143">
        <v>700012</v>
      </c>
      <c r="B143" t="s">
        <v>1034</v>
      </c>
      <c r="C143" s="147">
        <v>0</v>
      </c>
      <c r="D143" s="147">
        <v>97732</v>
      </c>
      <c r="E143" s="147">
        <v>0</v>
      </c>
      <c r="F143" s="147">
        <v>97732</v>
      </c>
      <c r="G143" s="43" t="str">
        <f>_xlfn.XLOOKUP($A143,Map!$A:$A,Map!C:C)</f>
        <v>IS</v>
      </c>
      <c r="H143" s="43" t="str">
        <f>_xlfn.XLOOKUP($A143,Map!$A:$A,Map!D:D)</f>
        <v>General and Admin</v>
      </c>
      <c r="I143" s="43" t="str">
        <f>_xlfn.XLOOKUP($A143,Map!$A:$A,Map!E:E)</f>
        <v>Salaries and wages</v>
      </c>
      <c r="J143" s="43" t="str">
        <f>_xlfn.XLOOKUP($A143,Map!$A:$A,Map!F:F)</f>
        <v xml:space="preserve">Education &amp; Furniture Allowances </v>
      </c>
    </row>
    <row r="144" spans="1:10" x14ac:dyDescent="0.25">
      <c r="A144">
        <v>700013</v>
      </c>
      <c r="B144" t="s">
        <v>1035</v>
      </c>
      <c r="C144" s="147">
        <v>0</v>
      </c>
      <c r="D144" s="147">
        <v>70818</v>
      </c>
      <c r="E144" s="147">
        <v>0</v>
      </c>
      <c r="F144" s="147">
        <v>70818</v>
      </c>
      <c r="G144" s="43" t="str">
        <f>_xlfn.XLOOKUP($A144,Map!$A:$A,Map!C:C)</f>
        <v>IS</v>
      </c>
      <c r="H144" s="43" t="str">
        <f>_xlfn.XLOOKUP($A144,Map!$A:$A,Map!D:D)</f>
        <v>General and Admin</v>
      </c>
      <c r="I144" s="43" t="str">
        <f>_xlfn.XLOOKUP($A144,Map!$A:$A,Map!E:E)</f>
        <v>Utilities</v>
      </c>
      <c r="J144" s="43" t="str">
        <f>_xlfn.XLOOKUP($A144,Map!$A:$A,Map!F:F)</f>
        <v>Other general and administrative expenses</v>
      </c>
    </row>
    <row r="145" spans="1:10" x14ac:dyDescent="0.25">
      <c r="A145">
        <v>700015</v>
      </c>
      <c r="B145" t="s">
        <v>1037</v>
      </c>
      <c r="C145" s="147">
        <v>0</v>
      </c>
      <c r="D145" s="147">
        <v>5022</v>
      </c>
      <c r="E145" s="147">
        <v>0</v>
      </c>
      <c r="F145" s="147">
        <v>5022</v>
      </c>
      <c r="G145" s="43" t="str">
        <f>_xlfn.XLOOKUP($A145,Map!$A:$A,Map!C:C)</f>
        <v>IS</v>
      </c>
      <c r="H145" s="43" t="str">
        <f>_xlfn.XLOOKUP($A145,Map!$A:$A,Map!D:D)</f>
        <v>General and Admin</v>
      </c>
      <c r="I145" s="43" t="str">
        <f>_xlfn.XLOOKUP($A145,Map!$A:$A,Map!E:E)</f>
        <v>Business travel</v>
      </c>
      <c r="J145" s="43" t="str">
        <f>_xlfn.XLOOKUP($A145,Map!$A:$A,Map!F:F)</f>
        <v>Transportation expenses</v>
      </c>
    </row>
    <row r="146" spans="1:10" x14ac:dyDescent="0.25">
      <c r="A146">
        <v>700016</v>
      </c>
      <c r="B146" t="s">
        <v>1038</v>
      </c>
      <c r="C146" s="147">
        <v>0</v>
      </c>
      <c r="D146" s="147">
        <v>3117</v>
      </c>
      <c r="E146" s="147">
        <v>0</v>
      </c>
      <c r="F146" s="147">
        <v>3117</v>
      </c>
      <c r="G146" s="43" t="str">
        <f>_xlfn.XLOOKUP($A146,Map!$A:$A,Map!C:C)</f>
        <v>IS</v>
      </c>
      <c r="H146" s="43" t="str">
        <f>_xlfn.XLOOKUP($A146,Map!$A:$A,Map!D:D)</f>
        <v>Selling and Marketing</v>
      </c>
      <c r="I146" s="43" t="str">
        <f>_xlfn.XLOOKUP($A146,Map!$A:$A,Map!E:E)</f>
        <v>Buffet expenses</v>
      </c>
      <c r="J146" s="43" t="str">
        <f>_xlfn.XLOOKUP($A146,Map!$A:$A,Map!F:F)</f>
        <v>Food expenses</v>
      </c>
    </row>
    <row r="147" spans="1:10" x14ac:dyDescent="0.25">
      <c r="A147">
        <v>700017</v>
      </c>
      <c r="B147" t="s">
        <v>1039</v>
      </c>
      <c r="C147" s="147">
        <v>0</v>
      </c>
      <c r="D147" s="147">
        <v>7663.78</v>
      </c>
      <c r="E147" s="147">
        <v>0</v>
      </c>
      <c r="F147" s="147">
        <v>7663.78</v>
      </c>
      <c r="G147" s="43" t="str">
        <f>_xlfn.XLOOKUP($A147,Map!$A:$A,Map!C:C)</f>
        <v>IS</v>
      </c>
      <c r="H147" s="43" t="str">
        <f>_xlfn.XLOOKUP($A147,Map!$A:$A,Map!D:D)</f>
        <v>General and Admin</v>
      </c>
      <c r="I147" s="43" t="str">
        <f>_xlfn.XLOOKUP($A147,Map!$A:$A,Map!E:E)</f>
        <v>Salaries and wages</v>
      </c>
      <c r="J147" s="43" t="str">
        <f>_xlfn.XLOOKUP($A147,Map!$A:$A,Map!F:F)</f>
        <v>Accommodation expenses</v>
      </c>
    </row>
    <row r="148" spans="1:10" x14ac:dyDescent="0.25">
      <c r="A148">
        <v>700018</v>
      </c>
      <c r="B148" t="s">
        <v>1040</v>
      </c>
      <c r="C148" s="147">
        <v>0</v>
      </c>
      <c r="D148" s="147">
        <v>58916.22</v>
      </c>
      <c r="E148" s="147">
        <v>0</v>
      </c>
      <c r="F148" s="147">
        <v>58916.22</v>
      </c>
      <c r="G148" s="43" t="str">
        <f>_xlfn.XLOOKUP($A148,Map!$A:$A,Map!C:C)</f>
        <v>IS</v>
      </c>
      <c r="H148" s="43" t="str">
        <f>_xlfn.XLOOKUP($A148,Map!$A:$A,Map!D:D)</f>
        <v>General and Admin</v>
      </c>
      <c r="I148" s="43" t="str">
        <f>_xlfn.XLOOKUP($A148,Map!$A:$A,Map!E:E)</f>
        <v>Salaries and wages</v>
      </c>
      <c r="J148" s="43" t="str">
        <f>_xlfn.XLOOKUP($A148,Map!$A:$A,Map!F:F)</f>
        <v xml:space="preserve">Employee Medical Emergency Expenses </v>
      </c>
    </row>
    <row r="149" spans="1:10" x14ac:dyDescent="0.25">
      <c r="A149">
        <v>700019</v>
      </c>
      <c r="B149" t="s">
        <v>1041</v>
      </c>
      <c r="C149" s="147">
        <v>0</v>
      </c>
      <c r="D149" s="147">
        <v>1200000</v>
      </c>
      <c r="E149" s="147">
        <v>208468.57</v>
      </c>
      <c r="F149" s="147">
        <v>991531.43</v>
      </c>
      <c r="G149" s="43" t="str">
        <f>_xlfn.XLOOKUP($A149,Map!$A:$A,Map!C:C)</f>
        <v>IS</v>
      </c>
      <c r="H149" s="43" t="str">
        <f>_xlfn.XLOOKUP($A149,Map!$A:$A,Map!D:D)</f>
        <v>General and Admin</v>
      </c>
      <c r="I149" s="43" t="str">
        <f>_xlfn.XLOOKUP($A149,Map!$A:$A,Map!E:E)</f>
        <v>Salaries and wages</v>
      </c>
      <c r="J149" s="43" t="str">
        <f>_xlfn.XLOOKUP($A149,Map!$A:$A,Map!F:F)</f>
        <v xml:space="preserve">Incentives </v>
      </c>
    </row>
    <row r="150" spans="1:10" x14ac:dyDescent="0.25">
      <c r="A150">
        <v>700020</v>
      </c>
      <c r="B150" t="s">
        <v>1042</v>
      </c>
      <c r="C150" s="147">
        <v>0</v>
      </c>
      <c r="D150" s="147">
        <v>41114.870000000003</v>
      </c>
      <c r="E150" s="147">
        <v>0</v>
      </c>
      <c r="F150" s="147">
        <v>41114.870000000003</v>
      </c>
      <c r="G150" s="43" t="str">
        <f>_xlfn.XLOOKUP($A150,Map!$A:$A,Map!C:C)</f>
        <v>IS</v>
      </c>
      <c r="H150" s="43" t="str">
        <f>_xlfn.XLOOKUP($A150,Map!$A:$A,Map!D:D)</f>
        <v>General and Admin</v>
      </c>
      <c r="I150" s="43" t="str">
        <f>_xlfn.XLOOKUP($A150,Map!$A:$A,Map!E:E)</f>
        <v>Utilities</v>
      </c>
      <c r="J150" s="43" t="str">
        <f>_xlfn.XLOOKUP($A150,Map!$A:$A,Map!F:F)</f>
        <v>Electricity expenses</v>
      </c>
    </row>
    <row r="151" spans="1:10" x14ac:dyDescent="0.25">
      <c r="A151">
        <v>700021</v>
      </c>
      <c r="B151" t="s">
        <v>1043</v>
      </c>
      <c r="C151" s="147">
        <v>0</v>
      </c>
      <c r="D151" s="147">
        <v>2761</v>
      </c>
      <c r="E151" s="147">
        <v>0</v>
      </c>
      <c r="F151" s="147">
        <v>2761</v>
      </c>
      <c r="G151" s="43" t="str">
        <f>_xlfn.XLOOKUP($A151,Map!$A:$A,Map!C:C)</f>
        <v>IS</v>
      </c>
      <c r="H151" s="43" t="str">
        <f>_xlfn.XLOOKUP($A151,Map!$A:$A,Map!D:D)</f>
        <v>General and Admin</v>
      </c>
      <c r="I151" s="43" t="str">
        <f>_xlfn.XLOOKUP($A151,Map!$A:$A,Map!E:E)</f>
        <v>Utilities</v>
      </c>
      <c r="J151" s="43" t="str">
        <f>_xlfn.XLOOKUP($A151,Map!$A:$A,Map!F:F)</f>
        <v>Other general and administrative expenses</v>
      </c>
    </row>
    <row r="152" spans="1:10" x14ac:dyDescent="0.25">
      <c r="A152">
        <v>700022</v>
      </c>
      <c r="B152" t="s">
        <v>1044</v>
      </c>
      <c r="C152" s="147">
        <v>0</v>
      </c>
      <c r="D152" s="147">
        <v>48944.98</v>
      </c>
      <c r="E152" s="147">
        <v>492.94</v>
      </c>
      <c r="F152" s="147">
        <v>48452.04</v>
      </c>
      <c r="G152" s="43" t="str">
        <f>_xlfn.XLOOKUP($A152,Map!$A:$A,Map!C:C)</f>
        <v>IS</v>
      </c>
      <c r="H152" s="43" t="str">
        <f>_xlfn.XLOOKUP($A152,Map!$A:$A,Map!D:D)</f>
        <v>General and Admin</v>
      </c>
      <c r="I152" s="43" t="str">
        <f>_xlfn.XLOOKUP($A152,Map!$A:$A,Map!E:E)</f>
        <v>Utilities</v>
      </c>
      <c r="J152" s="43" t="str">
        <f>_xlfn.XLOOKUP($A152,Map!$A:$A,Map!F:F)</f>
        <v>Other general and administrative expenses</v>
      </c>
    </row>
    <row r="153" spans="1:10" x14ac:dyDescent="0.25">
      <c r="A153">
        <v>700023</v>
      </c>
      <c r="B153" t="s">
        <v>1045</v>
      </c>
      <c r="C153" s="147">
        <v>0</v>
      </c>
      <c r="D153" s="147">
        <v>32884.239999999998</v>
      </c>
      <c r="E153" s="147">
        <v>310</v>
      </c>
      <c r="F153" s="147">
        <v>32574.240000000002</v>
      </c>
      <c r="G153" s="43" t="str">
        <f>_xlfn.XLOOKUP($A153,Map!$A:$A,Map!C:C)</f>
        <v>IS</v>
      </c>
      <c r="H153" s="43" t="str">
        <f>_xlfn.XLOOKUP($A153,Map!$A:$A,Map!D:D)</f>
        <v>General and Admin</v>
      </c>
      <c r="I153" s="43" t="str">
        <f>_xlfn.XLOOKUP($A153,Map!$A:$A,Map!E:E)</f>
        <v>Utilities</v>
      </c>
      <c r="J153" s="43" t="str">
        <f>_xlfn.XLOOKUP($A153,Map!$A:$A,Map!F:F)</f>
        <v xml:space="preserve">Postage &amp; Printing </v>
      </c>
    </row>
    <row r="154" spans="1:10" x14ac:dyDescent="0.25">
      <c r="A154">
        <v>700024</v>
      </c>
      <c r="B154" t="s">
        <v>1046</v>
      </c>
      <c r="C154" s="147">
        <v>0</v>
      </c>
      <c r="D154" s="147">
        <v>50126.31</v>
      </c>
      <c r="E154" s="147">
        <v>2250</v>
      </c>
      <c r="F154" s="147">
        <v>47876.31</v>
      </c>
      <c r="G154" s="43" t="str">
        <f>_xlfn.XLOOKUP($A154,Map!$A:$A,Map!C:C)</f>
        <v>IS</v>
      </c>
      <c r="H154" s="43" t="str">
        <f>_xlfn.XLOOKUP($A154,Map!$A:$A,Map!D:D)</f>
        <v>General and Admin</v>
      </c>
      <c r="I154" s="43" t="str">
        <f>_xlfn.XLOOKUP($A154,Map!$A:$A,Map!E:E)</f>
        <v>IT expenses</v>
      </c>
      <c r="J154" s="43" t="str">
        <f>_xlfn.XLOOKUP($A154,Map!$A:$A,Map!F:F)</f>
        <v>Other general and administrative expenses</v>
      </c>
    </row>
    <row r="155" spans="1:10" x14ac:dyDescent="0.25">
      <c r="A155">
        <v>700025</v>
      </c>
      <c r="B155" t="s">
        <v>1047</v>
      </c>
      <c r="C155" s="147">
        <v>0</v>
      </c>
      <c r="D155" s="147">
        <v>50000</v>
      </c>
      <c r="E155" s="147">
        <v>0</v>
      </c>
      <c r="F155" s="147">
        <v>50000</v>
      </c>
      <c r="G155" s="43" t="str">
        <f>_xlfn.XLOOKUP($A155,Map!$A:$A,Map!C:C)</f>
        <v>IS</v>
      </c>
      <c r="H155" s="43" t="str">
        <f>_xlfn.XLOOKUP($A155,Map!$A:$A,Map!D:D)</f>
        <v>General and Admin</v>
      </c>
      <c r="I155" s="43" t="str">
        <f>_xlfn.XLOOKUP($A155,Map!$A:$A,Map!E:E)</f>
        <v>Salaries and wages</v>
      </c>
      <c r="J155" s="43" t="str">
        <f>_xlfn.XLOOKUP($A155,Map!$A:$A,Map!F:F)</f>
        <v>Salaries and wages</v>
      </c>
    </row>
    <row r="156" spans="1:10" x14ac:dyDescent="0.25">
      <c r="A156">
        <v>700026</v>
      </c>
      <c r="B156" t="s">
        <v>1048</v>
      </c>
      <c r="C156" s="147">
        <v>0</v>
      </c>
      <c r="D156" s="147">
        <v>9737.32</v>
      </c>
      <c r="E156" s="147">
        <v>0</v>
      </c>
      <c r="F156" s="147">
        <v>9737.32</v>
      </c>
      <c r="G156" s="43" t="str">
        <f>_xlfn.XLOOKUP($A156,Map!$A:$A,Map!C:C)</f>
        <v>IS</v>
      </c>
      <c r="H156" s="43" t="str">
        <f>_xlfn.XLOOKUP($A156,Map!$A:$A,Map!D:D)</f>
        <v>General and Admin</v>
      </c>
      <c r="I156" s="43" t="str">
        <f>_xlfn.XLOOKUP($A156,Map!$A:$A,Map!E:E)</f>
        <v>Utilities</v>
      </c>
      <c r="J156" s="43" t="str">
        <f>_xlfn.XLOOKUP($A156,Map!$A:$A,Map!F:F)</f>
        <v>Magazines &amp; News Papers Exp.</v>
      </c>
    </row>
    <row r="157" spans="1:10" x14ac:dyDescent="0.25">
      <c r="A157">
        <v>700028</v>
      </c>
      <c r="B157" t="s">
        <v>1050</v>
      </c>
      <c r="C157" s="147">
        <v>0</v>
      </c>
      <c r="D157" s="147">
        <v>8628</v>
      </c>
      <c r="E157" s="147">
        <v>0</v>
      </c>
      <c r="F157" s="147">
        <v>8628</v>
      </c>
      <c r="G157" s="43" t="str">
        <f>_xlfn.XLOOKUP($A157,Map!$A:$A,Map!C:C)</f>
        <v>IS</v>
      </c>
      <c r="H157" s="43" t="str">
        <f>_xlfn.XLOOKUP($A157,Map!$A:$A,Map!D:D)</f>
        <v>General and Admin</v>
      </c>
      <c r="I157" s="43" t="str">
        <f>_xlfn.XLOOKUP($A157,Map!$A:$A,Map!E:E)</f>
        <v xml:space="preserve">Back office Support </v>
      </c>
      <c r="J157" s="43" t="str">
        <f>_xlfn.XLOOKUP($A157,Map!$A:$A,Map!F:F)</f>
        <v>Stationery expenses</v>
      </c>
    </row>
    <row r="158" spans="1:10" x14ac:dyDescent="0.25">
      <c r="A158">
        <v>700029</v>
      </c>
      <c r="B158" t="s">
        <v>1051</v>
      </c>
      <c r="C158" s="147">
        <v>0</v>
      </c>
      <c r="D158" s="147">
        <v>30959</v>
      </c>
      <c r="E158" s="147">
        <v>0</v>
      </c>
      <c r="F158" s="147">
        <v>30959</v>
      </c>
      <c r="G158" s="43" t="str">
        <f>_xlfn.XLOOKUP($A158,Map!$A:$A,Map!C:C)</f>
        <v>IS</v>
      </c>
      <c r="H158" s="43" t="str">
        <f>_xlfn.XLOOKUP($A158,Map!$A:$A,Map!D:D)</f>
        <v>General and Admin</v>
      </c>
      <c r="I158" s="43" t="str">
        <f>_xlfn.XLOOKUP($A158,Map!$A:$A,Map!E:E)</f>
        <v>Utilities</v>
      </c>
      <c r="J158" s="43" t="str">
        <f>_xlfn.XLOOKUP($A158,Map!$A:$A,Map!F:F)</f>
        <v xml:space="preserve">Postage &amp; Printing </v>
      </c>
    </row>
    <row r="159" spans="1:10" x14ac:dyDescent="0.25">
      <c r="A159">
        <v>700030</v>
      </c>
      <c r="B159" t="s">
        <v>1052</v>
      </c>
      <c r="C159" s="147">
        <v>0</v>
      </c>
      <c r="D159" s="147">
        <v>35712</v>
      </c>
      <c r="E159" s="147">
        <v>1800</v>
      </c>
      <c r="F159" s="147">
        <v>33912</v>
      </c>
      <c r="G159" s="43" t="str">
        <f>_xlfn.XLOOKUP($A159,Map!$A:$A,Map!C:C)</f>
        <v>IS</v>
      </c>
      <c r="H159" s="43" t="str">
        <f>_xlfn.XLOOKUP($A159,Map!$A:$A,Map!D:D)</f>
        <v>General and Admin</v>
      </c>
      <c r="I159" s="43" t="str">
        <f>_xlfn.XLOOKUP($A159,Map!$A:$A,Map!E:E)</f>
        <v>Utilities</v>
      </c>
      <c r="J159" s="43" t="str">
        <f>_xlfn.XLOOKUP($A159,Map!$A:$A,Map!F:F)</f>
        <v>Building maintenance</v>
      </c>
    </row>
    <row r="160" spans="1:10" x14ac:dyDescent="0.25">
      <c r="A160">
        <v>700031</v>
      </c>
      <c r="B160" t="s">
        <v>1053</v>
      </c>
      <c r="C160" s="147">
        <v>0</v>
      </c>
      <c r="D160" s="147">
        <v>19018</v>
      </c>
      <c r="E160" s="147">
        <v>0</v>
      </c>
      <c r="F160" s="147">
        <v>19018</v>
      </c>
      <c r="G160" s="43" t="str">
        <f>_xlfn.XLOOKUP($A160,Map!$A:$A,Map!C:C)</f>
        <v>IS</v>
      </c>
      <c r="H160" s="43" t="str">
        <f>_xlfn.XLOOKUP($A160,Map!$A:$A,Map!D:D)</f>
        <v>General and Admin</v>
      </c>
      <c r="I160" s="43" t="str">
        <f>_xlfn.XLOOKUP($A160,Map!$A:$A,Map!E:E)</f>
        <v>Utilities</v>
      </c>
      <c r="J160" s="43" t="str">
        <f>_xlfn.XLOOKUP($A160,Map!$A:$A,Map!F:F)</f>
        <v>Office equipment maintenance</v>
      </c>
    </row>
    <row r="161" spans="1:10" x14ac:dyDescent="0.25">
      <c r="A161">
        <v>700032</v>
      </c>
      <c r="B161" t="s">
        <v>1054</v>
      </c>
      <c r="C161" s="147">
        <v>0</v>
      </c>
      <c r="D161" s="147">
        <v>86036</v>
      </c>
      <c r="E161" s="147">
        <v>6615</v>
      </c>
      <c r="F161" s="147">
        <v>79421</v>
      </c>
      <c r="G161" s="43" t="str">
        <f>_xlfn.XLOOKUP($A161,Map!$A:$A,Map!C:C)</f>
        <v>IS</v>
      </c>
      <c r="H161" s="43" t="str">
        <f>_xlfn.XLOOKUP($A161,Map!$A:$A,Map!D:D)</f>
        <v>General and Admin</v>
      </c>
      <c r="I161" s="43" t="str">
        <f>_xlfn.XLOOKUP($A161,Map!$A:$A,Map!E:E)</f>
        <v>Utilities</v>
      </c>
      <c r="J161" s="43" t="str">
        <f>_xlfn.XLOOKUP($A161,Map!$A:$A,Map!F:F)</f>
        <v>Vehicle maintenance</v>
      </c>
    </row>
    <row r="162" spans="1:10" x14ac:dyDescent="0.25">
      <c r="A162">
        <v>700033</v>
      </c>
      <c r="B162" t="s">
        <v>1055</v>
      </c>
      <c r="C162" s="147">
        <v>0</v>
      </c>
      <c r="D162" s="147">
        <v>25324.95</v>
      </c>
      <c r="E162" s="147">
        <v>0</v>
      </c>
      <c r="F162" s="147">
        <v>25324.95</v>
      </c>
      <c r="G162" s="43" t="str">
        <f>_xlfn.XLOOKUP($A162,Map!$A:$A,Map!C:C)</f>
        <v>IS</v>
      </c>
      <c r="H162" s="43" t="str">
        <f>_xlfn.XLOOKUP($A162,Map!$A:$A,Map!D:D)</f>
        <v>General and Admin</v>
      </c>
      <c r="I162" s="43" t="str">
        <f>_xlfn.XLOOKUP($A162,Map!$A:$A,Map!E:E)</f>
        <v>Utilities</v>
      </c>
      <c r="J162" s="43" t="str">
        <f>_xlfn.XLOOKUP($A162,Map!$A:$A,Map!F:F)</f>
        <v>Fuel and oil</v>
      </c>
    </row>
    <row r="163" spans="1:10" x14ac:dyDescent="0.25">
      <c r="A163">
        <v>700034</v>
      </c>
      <c r="B163" t="s">
        <v>1056</v>
      </c>
      <c r="C163" s="147">
        <v>0</v>
      </c>
      <c r="D163" s="147">
        <v>8606.6</v>
      </c>
      <c r="E163" s="147">
        <v>0</v>
      </c>
      <c r="F163" s="147">
        <v>8606.6</v>
      </c>
      <c r="G163" s="43" t="str">
        <f>_xlfn.XLOOKUP($A163,Map!$A:$A,Map!C:C)</f>
        <v>IS</v>
      </c>
      <c r="H163" s="43" t="str">
        <f>_xlfn.XLOOKUP($A163,Map!$A:$A,Map!D:D)</f>
        <v>General and Admin</v>
      </c>
      <c r="I163" s="43" t="str">
        <f>_xlfn.XLOOKUP($A163,Map!$A:$A,Map!E:E)</f>
        <v xml:space="preserve">Back office Support </v>
      </c>
      <c r="J163" s="43" t="str">
        <f>_xlfn.XLOOKUP($A163,Map!$A:$A,Map!F:F)</f>
        <v>Consumables</v>
      </c>
    </row>
    <row r="164" spans="1:10" x14ac:dyDescent="0.25">
      <c r="A164">
        <v>700036</v>
      </c>
      <c r="B164" t="s">
        <v>1058</v>
      </c>
      <c r="C164" s="147">
        <v>0</v>
      </c>
      <c r="D164" s="147">
        <v>24393</v>
      </c>
      <c r="E164" s="147">
        <v>0</v>
      </c>
      <c r="F164" s="147">
        <v>24393</v>
      </c>
      <c r="G164" s="43" t="str">
        <f>_xlfn.XLOOKUP($A164,Map!$A:$A,Map!C:C)</f>
        <v>IS</v>
      </c>
      <c r="H164" s="43" t="str">
        <f>_xlfn.XLOOKUP($A164,Map!$A:$A,Map!D:D)</f>
        <v>General and Admin</v>
      </c>
      <c r="I164" s="43" t="str">
        <f>_xlfn.XLOOKUP($A164,Map!$A:$A,Map!E:E)</f>
        <v>Utilities</v>
      </c>
      <c r="J164" s="43" t="str">
        <f>_xlfn.XLOOKUP($A164,Map!$A:$A,Map!F:F)</f>
        <v>Vehicle insurance</v>
      </c>
    </row>
    <row r="165" spans="1:10" x14ac:dyDescent="0.25">
      <c r="A165">
        <v>700037</v>
      </c>
      <c r="B165" t="s">
        <v>1059</v>
      </c>
      <c r="C165" s="147">
        <v>0</v>
      </c>
      <c r="D165" s="147">
        <v>27168</v>
      </c>
      <c r="E165" s="147">
        <v>0</v>
      </c>
      <c r="F165" s="147">
        <v>27168</v>
      </c>
      <c r="G165" s="43" t="str">
        <f>_xlfn.XLOOKUP($A165,Map!$A:$A,Map!C:C)</f>
        <v>IS</v>
      </c>
      <c r="H165" s="43" t="str">
        <f>_xlfn.XLOOKUP($A165,Map!$A:$A,Map!D:D)</f>
        <v>Finance cost</v>
      </c>
      <c r="I165" s="43" t="str">
        <f>_xlfn.XLOOKUP($A165,Map!$A:$A,Map!E:E)</f>
        <v>Finance cost</v>
      </c>
      <c r="J165" s="43" t="str">
        <f>_xlfn.XLOOKUP($A165,Map!$A:$A,Map!F:F)</f>
        <v>Lease interest</v>
      </c>
    </row>
    <row r="166" spans="1:10" x14ac:dyDescent="0.25">
      <c r="A166">
        <v>700038</v>
      </c>
      <c r="B166" t="s">
        <v>1060</v>
      </c>
      <c r="C166" s="147">
        <v>0</v>
      </c>
      <c r="D166" s="147">
        <v>320179</v>
      </c>
      <c r="E166" s="147">
        <v>702</v>
      </c>
      <c r="F166" s="147">
        <v>319477</v>
      </c>
      <c r="G166" s="43" t="str">
        <f>_xlfn.XLOOKUP($A166,Map!$A:$A,Map!C:C)</f>
        <v>IS</v>
      </c>
      <c r="H166" s="43" t="str">
        <f>_xlfn.XLOOKUP($A166,Map!$A:$A,Map!D:D)</f>
        <v>General and Admin</v>
      </c>
      <c r="I166" s="43" t="str">
        <f>_xlfn.XLOOKUP($A166,Map!$A:$A,Map!E:E)</f>
        <v>Business travel</v>
      </c>
      <c r="J166" s="43" t="str">
        <f>_xlfn.XLOOKUP($A166,Map!$A:$A,Map!F:F)</f>
        <v>Bussiness trip expenses</v>
      </c>
    </row>
    <row r="167" spans="1:10" x14ac:dyDescent="0.25">
      <c r="A167">
        <v>700039</v>
      </c>
      <c r="B167" t="s">
        <v>1061</v>
      </c>
      <c r="C167" s="147">
        <v>0</v>
      </c>
      <c r="D167" s="147">
        <v>21019</v>
      </c>
      <c r="E167" s="147">
        <v>0</v>
      </c>
      <c r="F167" s="147">
        <v>21019</v>
      </c>
      <c r="G167" s="43" t="str">
        <f>_xlfn.XLOOKUP($A167,Map!$A:$A,Map!C:C)</f>
        <v>IS</v>
      </c>
      <c r="H167" s="43" t="str">
        <f>_xlfn.XLOOKUP($A167,Map!$A:$A,Map!D:D)</f>
        <v>Selling and Marketing</v>
      </c>
      <c r="I167" s="43" t="str">
        <f>_xlfn.XLOOKUP($A167,Map!$A:$A,Map!E:E)</f>
        <v>Buffet expenses</v>
      </c>
      <c r="J167" s="43" t="str">
        <f>_xlfn.XLOOKUP($A167,Map!$A:$A,Map!F:F)</f>
        <v>Buffet expenses</v>
      </c>
    </row>
    <row r="168" spans="1:10" x14ac:dyDescent="0.25">
      <c r="A168">
        <v>700040</v>
      </c>
      <c r="B168" t="s">
        <v>1062</v>
      </c>
      <c r="C168" s="147">
        <v>0</v>
      </c>
      <c r="D168" s="147">
        <v>33518</v>
      </c>
      <c r="E168" s="147">
        <v>0</v>
      </c>
      <c r="F168" s="147">
        <v>33518</v>
      </c>
      <c r="G168" s="43" t="str">
        <f>_xlfn.XLOOKUP($A168,Map!$A:$A,Map!C:C)</f>
        <v>IS</v>
      </c>
      <c r="H168" s="43" t="str">
        <f>_xlfn.XLOOKUP($A168,Map!$A:$A,Map!D:D)</f>
        <v>General and Admin</v>
      </c>
      <c r="I168" s="43" t="str">
        <f>_xlfn.XLOOKUP($A168,Map!$A:$A,Map!E:E)</f>
        <v>Utilities</v>
      </c>
      <c r="J168" s="43" t="str">
        <f>_xlfn.XLOOKUP($A168,Map!$A:$A,Map!F:F)</f>
        <v xml:space="preserve">Cleaning Expenses </v>
      </c>
    </row>
    <row r="169" spans="1:10" x14ac:dyDescent="0.25">
      <c r="A169">
        <v>700041</v>
      </c>
      <c r="B169" t="s">
        <v>1063</v>
      </c>
      <c r="C169" s="147">
        <v>0</v>
      </c>
      <c r="D169" s="147">
        <v>34539.24</v>
      </c>
      <c r="E169" s="147">
        <v>0</v>
      </c>
      <c r="F169" s="147">
        <v>34539.24</v>
      </c>
      <c r="G169" s="43" t="str">
        <f>_xlfn.XLOOKUP($A169,Map!$A:$A,Map!C:C)</f>
        <v>IS</v>
      </c>
      <c r="H169" s="43" t="str">
        <f>_xlfn.XLOOKUP($A169,Map!$A:$A,Map!D:D)</f>
        <v>General and Admin</v>
      </c>
      <c r="I169" s="43" t="str">
        <f>_xlfn.XLOOKUP($A169,Map!$A:$A,Map!E:E)</f>
        <v>Salaries and wages</v>
      </c>
      <c r="J169" s="43" t="str">
        <f>_xlfn.XLOOKUP($A169,Map!$A:$A,Map!F:F)</f>
        <v>Recruitment</v>
      </c>
    </row>
    <row r="170" spans="1:10" x14ac:dyDescent="0.25">
      <c r="A170">
        <v>700043</v>
      </c>
      <c r="B170" t="s">
        <v>1065</v>
      </c>
      <c r="C170" s="147">
        <v>0</v>
      </c>
      <c r="D170" s="147">
        <v>8381</v>
      </c>
      <c r="E170" s="147">
        <v>0</v>
      </c>
      <c r="F170" s="147">
        <v>8381</v>
      </c>
      <c r="G170" s="43" t="str">
        <f>_xlfn.XLOOKUP($A170,Map!$A:$A,Map!C:C)</f>
        <v>IS</v>
      </c>
      <c r="H170" s="43" t="str">
        <f>_xlfn.XLOOKUP($A170,Map!$A:$A,Map!D:D)</f>
        <v>General and Admin</v>
      </c>
      <c r="I170" s="43" t="str">
        <f>_xlfn.XLOOKUP($A170,Map!$A:$A,Map!E:E)</f>
        <v>Govt license and fees (including modon)</v>
      </c>
      <c r="J170" s="43" t="str">
        <f>_xlfn.XLOOKUP($A170,Map!$A:$A,Map!F:F)</f>
        <v>Licenses and fees</v>
      </c>
    </row>
    <row r="171" spans="1:10" x14ac:dyDescent="0.25">
      <c r="A171">
        <v>700044</v>
      </c>
      <c r="B171" t="s">
        <v>1066</v>
      </c>
      <c r="C171" s="147">
        <v>0</v>
      </c>
      <c r="D171" s="147">
        <v>16519</v>
      </c>
      <c r="E171" s="147">
        <v>140</v>
      </c>
      <c r="F171" s="147">
        <v>16379</v>
      </c>
      <c r="G171" s="43" t="str">
        <f>_xlfn.XLOOKUP($A171,Map!$A:$A,Map!C:C)</f>
        <v>IS</v>
      </c>
      <c r="H171" s="43" t="str">
        <f>_xlfn.XLOOKUP($A171,Map!$A:$A,Map!D:D)</f>
        <v>General and Admin</v>
      </c>
      <c r="I171" s="43" t="str">
        <f>_xlfn.XLOOKUP($A171,Map!$A:$A,Map!E:E)</f>
        <v>Govt license and fees (including modon)</v>
      </c>
      <c r="J171" s="43" t="str">
        <f>_xlfn.XLOOKUP($A171,Map!$A:$A,Map!F:F)</f>
        <v>Government fees</v>
      </c>
    </row>
    <row r="172" spans="1:10" x14ac:dyDescent="0.25">
      <c r="A172">
        <v>700045</v>
      </c>
      <c r="B172" t="s">
        <v>1067</v>
      </c>
      <c r="C172" s="147">
        <v>0</v>
      </c>
      <c r="D172" s="147">
        <v>2124727.7799999998</v>
      </c>
      <c r="E172" s="147">
        <v>165360.71299999999</v>
      </c>
      <c r="F172" s="148">
        <v>1959367.067</v>
      </c>
      <c r="G172" s="43" t="str">
        <f>_xlfn.XLOOKUP($A172,Map!$A:$A,Map!C:C)</f>
        <v>IS</v>
      </c>
      <c r="H172" s="43" t="str">
        <f>_xlfn.XLOOKUP($A172,Map!$A:$A,Map!D:D)</f>
        <v>Finance cost</v>
      </c>
      <c r="I172" s="43" t="str">
        <f>_xlfn.XLOOKUP($A172,Map!$A:$A,Map!E:E)</f>
        <v>Finance cost</v>
      </c>
      <c r="J172" s="43" t="str">
        <f>_xlfn.XLOOKUP($A172,Map!$A:$A,Map!F:F)</f>
        <v>Bank charges</v>
      </c>
    </row>
    <row r="173" spans="1:10" x14ac:dyDescent="0.25">
      <c r="A173">
        <v>700048</v>
      </c>
      <c r="B173" t="s">
        <v>1069</v>
      </c>
      <c r="C173" s="147">
        <v>0</v>
      </c>
      <c r="D173" s="147">
        <v>1537200</v>
      </c>
      <c r="E173" s="147">
        <v>0</v>
      </c>
      <c r="F173" s="148">
        <v>1537200</v>
      </c>
      <c r="G173" s="43" t="str">
        <f>_xlfn.XLOOKUP($A173,Map!$A:$A,Map!C:C)</f>
        <v>IS</v>
      </c>
      <c r="H173" s="43" t="str">
        <f>_xlfn.XLOOKUP($A173,Map!$A:$A,Map!D:D)</f>
        <v>Zakat</v>
      </c>
      <c r="I173" s="43" t="str">
        <f>_xlfn.XLOOKUP($A173,Map!$A:$A,Map!E:E)</f>
        <v>Zakat expenses</v>
      </c>
      <c r="J173" s="43" t="str">
        <f>_xlfn.XLOOKUP($A173,Map!$A:$A,Map!F:F)</f>
        <v>Zakat expenses</v>
      </c>
    </row>
    <row r="174" spans="1:10" x14ac:dyDescent="0.25">
      <c r="A174">
        <v>700050</v>
      </c>
      <c r="B174" t="s">
        <v>1071</v>
      </c>
      <c r="C174" s="147">
        <v>0</v>
      </c>
      <c r="D174" s="147">
        <v>24968.16</v>
      </c>
      <c r="E174" s="147">
        <v>0</v>
      </c>
      <c r="F174" s="148">
        <v>24968.16</v>
      </c>
      <c r="G174" s="43" t="str">
        <f>_xlfn.XLOOKUP($A174,Map!$A:$A,Map!C:C)</f>
        <v>IS</v>
      </c>
      <c r="H174" s="43" t="str">
        <f>_xlfn.XLOOKUP($A174,Map!$A:$A,Map!D:D)</f>
        <v>Depreciation expenses</v>
      </c>
      <c r="I174" s="43" t="str">
        <f>_xlfn.XLOOKUP($A174,Map!$A:$A,Map!E:E)</f>
        <v>Depreciation expenses</v>
      </c>
      <c r="J174" s="43" t="str">
        <f>_xlfn.XLOOKUP($A174,Map!$A:$A,Map!F:F)</f>
        <v>Depreciation of property, plant and equipment</v>
      </c>
    </row>
    <row r="175" spans="1:10" x14ac:dyDescent="0.25">
      <c r="A175">
        <v>700053</v>
      </c>
      <c r="B175" t="s">
        <v>1074</v>
      </c>
      <c r="C175" s="147">
        <v>0</v>
      </c>
      <c r="D175" s="147">
        <v>305</v>
      </c>
      <c r="E175" s="147">
        <v>0</v>
      </c>
      <c r="F175" s="148">
        <v>305</v>
      </c>
      <c r="G175" s="43" t="str">
        <f>_xlfn.XLOOKUP($A175,Map!$A:$A,Map!C:C)</f>
        <v>IS</v>
      </c>
      <c r="H175" s="43" t="str">
        <f>_xlfn.XLOOKUP($A175,Map!$A:$A,Map!D:D)</f>
        <v>Depreciation expenses</v>
      </c>
      <c r="I175" s="43" t="str">
        <f>_xlfn.XLOOKUP($A175,Map!$A:$A,Map!E:E)</f>
        <v>Depreciation expenses</v>
      </c>
      <c r="J175" s="43" t="str">
        <f>_xlfn.XLOOKUP($A175,Map!$A:$A,Map!F:F)</f>
        <v>Depreciation of property, plant and equipment</v>
      </c>
    </row>
    <row r="176" spans="1:10" x14ac:dyDescent="0.25">
      <c r="A176">
        <v>700054</v>
      </c>
      <c r="B176" t="s">
        <v>1075</v>
      </c>
      <c r="C176" s="147">
        <v>0</v>
      </c>
      <c r="D176" s="147">
        <v>252150.81</v>
      </c>
      <c r="E176" s="147">
        <v>0</v>
      </c>
      <c r="F176" s="148">
        <v>252150.81</v>
      </c>
      <c r="G176" s="43" t="str">
        <f>_xlfn.XLOOKUP($A176,Map!$A:$A,Map!C:C)</f>
        <v>IS</v>
      </c>
      <c r="H176" s="43" t="str">
        <f>_xlfn.XLOOKUP($A176,Map!$A:$A,Map!D:D)</f>
        <v>Depreciation expenses</v>
      </c>
      <c r="I176" s="43" t="str">
        <f>_xlfn.XLOOKUP($A176,Map!$A:$A,Map!E:E)</f>
        <v>Depreciation expenses</v>
      </c>
      <c r="J176" s="43" t="str">
        <f>_xlfn.XLOOKUP($A176,Map!$A:$A,Map!F:F)</f>
        <v>Depreciation of property, plant and equipment</v>
      </c>
    </row>
    <row r="177" spans="1:10" x14ac:dyDescent="0.25">
      <c r="A177">
        <v>700055</v>
      </c>
      <c r="B177" t="s">
        <v>1076</v>
      </c>
      <c r="C177" s="147">
        <v>0</v>
      </c>
      <c r="D177" s="147">
        <v>14957.32</v>
      </c>
      <c r="E177" s="147">
        <v>1850</v>
      </c>
      <c r="F177" s="150">
        <v>13107.32</v>
      </c>
      <c r="G177" s="43" t="str">
        <f>_xlfn.XLOOKUP($A177,Map!$A:$A,Map!C:C)</f>
        <v>IS</v>
      </c>
      <c r="H177" s="43" t="str">
        <f>_xlfn.XLOOKUP($A177,Map!$A:$A,Map!D:D)</f>
        <v>Depreciation expenses</v>
      </c>
      <c r="I177" s="43" t="str">
        <f>_xlfn.XLOOKUP($A177,Map!$A:$A,Map!E:E)</f>
        <v>Depreciation expenses</v>
      </c>
      <c r="J177" s="43" t="str">
        <f>_xlfn.XLOOKUP($A177,Map!$A:$A,Map!F:F)</f>
        <v>Depreciation of property, plant and equipment</v>
      </c>
    </row>
    <row r="178" spans="1:10" x14ac:dyDescent="0.25">
      <c r="A178">
        <v>700056</v>
      </c>
      <c r="B178" t="s">
        <v>1077</v>
      </c>
      <c r="C178" s="147">
        <v>0</v>
      </c>
      <c r="D178" s="147">
        <v>3360</v>
      </c>
      <c r="E178" s="147">
        <v>0</v>
      </c>
      <c r="F178" s="151">
        <v>3360</v>
      </c>
      <c r="G178" s="43" t="str">
        <f>_xlfn.XLOOKUP($A178,Map!$A:$A,Map!C:C)</f>
        <v>IS</v>
      </c>
      <c r="H178" s="43" t="str">
        <f>_xlfn.XLOOKUP($A178,Map!$A:$A,Map!D:D)</f>
        <v>Depreciation expenses</v>
      </c>
      <c r="I178" s="43" t="str">
        <f>_xlfn.XLOOKUP($A178,Map!$A:$A,Map!E:E)</f>
        <v>Depreciation expenses</v>
      </c>
      <c r="J178" s="43" t="str">
        <f>_xlfn.XLOOKUP($A178,Map!$A:$A,Map!F:F)</f>
        <v>Depreciation of property, plant and equipment</v>
      </c>
    </row>
    <row r="179" spans="1:10" x14ac:dyDescent="0.25">
      <c r="A179">
        <v>700057</v>
      </c>
      <c r="B179" t="s">
        <v>1078</v>
      </c>
      <c r="C179" s="147">
        <v>0</v>
      </c>
      <c r="D179" s="147">
        <v>771759.88</v>
      </c>
      <c r="E179" s="147">
        <v>0</v>
      </c>
      <c r="F179" s="150">
        <v>771759.88</v>
      </c>
      <c r="G179" s="43" t="str">
        <f>_xlfn.XLOOKUP($A179,Map!$A:$A,Map!C:C)</f>
        <v>IS</v>
      </c>
      <c r="H179" s="43" t="str">
        <f>_xlfn.XLOOKUP($A179,Map!$A:$A,Map!D:D)</f>
        <v>Cost of sales</v>
      </c>
      <c r="I179" s="43" t="str">
        <f>_xlfn.XLOOKUP($A179,Map!$A:$A,Map!E:E)</f>
        <v>Overhead - Rent</v>
      </c>
      <c r="J179" s="43" t="str">
        <f>_xlfn.XLOOKUP($A179,Map!$A:$A,Map!F:F)</f>
        <v>Warehouse Rent ( Khamis, Rioyadh, Dammam)</v>
      </c>
    </row>
    <row r="180" spans="1:10" x14ac:dyDescent="0.25">
      <c r="A180">
        <v>700058</v>
      </c>
      <c r="B180" t="s">
        <v>1079</v>
      </c>
      <c r="C180" s="147">
        <v>0</v>
      </c>
      <c r="D180" s="147">
        <v>10844</v>
      </c>
      <c r="E180" s="147">
        <v>0</v>
      </c>
      <c r="F180" s="151">
        <v>10844</v>
      </c>
      <c r="G180" s="43" t="str">
        <f>_xlfn.XLOOKUP($A180,Map!$A:$A,Map!C:C)</f>
        <v>IS</v>
      </c>
      <c r="H180" s="43" t="str">
        <f>_xlfn.XLOOKUP($A180,Map!$A:$A,Map!D:D)</f>
        <v>Selling and Marketing</v>
      </c>
      <c r="I180" s="43" t="str">
        <f>_xlfn.XLOOKUP($A180,Map!$A:$A,Map!E:E)</f>
        <v>Advertising and promotion expenses</v>
      </c>
      <c r="J180" s="43" t="str">
        <f>_xlfn.XLOOKUP($A180,Map!$A:$A,Map!F:F)</f>
        <v>Advertising and promotion expenses</v>
      </c>
    </row>
    <row r="181" spans="1:10" x14ac:dyDescent="0.25">
      <c r="A181">
        <v>700060</v>
      </c>
      <c r="B181" t="s">
        <v>1081</v>
      </c>
      <c r="C181" s="147">
        <v>0</v>
      </c>
      <c r="D181" s="147">
        <v>2674421.8450000002</v>
      </c>
      <c r="E181" s="147">
        <v>547</v>
      </c>
      <c r="F181" s="151">
        <v>2673874.8450000002</v>
      </c>
      <c r="G181" s="43" t="str">
        <f>_xlfn.XLOOKUP($A181,Map!$A:$A,Map!C:C)</f>
        <v>IS</v>
      </c>
      <c r="H181" s="43" t="str">
        <f>_xlfn.XLOOKUP($A181,Map!$A:$A,Map!D:D)</f>
        <v>Selling and Marketing</v>
      </c>
      <c r="I181" s="43" t="str">
        <f>_xlfn.XLOOKUP($A181,Map!$A:$A,Map!E:E)</f>
        <v>Freight and shipping expenses (S&amp;D)</v>
      </c>
      <c r="J181" s="43" t="str">
        <f>_xlfn.XLOOKUP($A181,Map!$A:$A,Map!F:F)</f>
        <v>Outbound freight / shipping — reclassified below gross profit under IFRS</v>
      </c>
    </row>
    <row r="182" spans="1:10" x14ac:dyDescent="0.25">
      <c r="A182">
        <v>700061</v>
      </c>
      <c r="B182" t="s">
        <v>1082</v>
      </c>
      <c r="C182" s="147">
        <v>0</v>
      </c>
      <c r="D182" s="147">
        <v>221073.86</v>
      </c>
      <c r="E182" s="147">
        <v>0</v>
      </c>
      <c r="F182" s="150">
        <v>221073.86</v>
      </c>
      <c r="G182" s="43" t="str">
        <f>_xlfn.XLOOKUP($A182,Map!$A:$A,Map!C:C)</f>
        <v>IS</v>
      </c>
      <c r="H182" s="43" t="str">
        <f>_xlfn.XLOOKUP($A182,Map!$A:$A,Map!D:D)</f>
        <v>Selling and Marketing</v>
      </c>
      <c r="I182" s="43" t="str">
        <f>_xlfn.XLOOKUP($A182,Map!$A:$A,Map!E:E)</f>
        <v>Commission expenses</v>
      </c>
      <c r="J182" s="43" t="str">
        <f>_xlfn.XLOOKUP($A182,Map!$A:$A,Map!F:F)</f>
        <v>Commission expenses</v>
      </c>
    </row>
    <row r="183" spans="1:10" x14ac:dyDescent="0.25">
      <c r="A183">
        <v>700062</v>
      </c>
      <c r="B183" t="s">
        <v>1083</v>
      </c>
      <c r="C183" s="147">
        <v>0</v>
      </c>
      <c r="D183" s="147">
        <v>700005.97</v>
      </c>
      <c r="E183" s="147">
        <v>0</v>
      </c>
      <c r="F183" s="151">
        <v>700005.97</v>
      </c>
      <c r="G183" s="43" t="str">
        <f>_xlfn.XLOOKUP($A183,Map!$A:$A,Map!C:C)</f>
        <v>IS</v>
      </c>
      <c r="H183" s="43" t="str">
        <f>_xlfn.XLOOKUP($A183,Map!$A:$A,Map!D:D)</f>
        <v>Revised provision on Bad Debts</v>
      </c>
      <c r="I183" s="43" t="str">
        <f>_xlfn.XLOOKUP($A183,Map!$A:$A,Map!E:E)</f>
        <v>Bad debts expense</v>
      </c>
      <c r="J183" s="43" t="str">
        <f>_xlfn.XLOOKUP($A183,Map!$A:$A,Map!F:F)</f>
        <v>Bad debts expense</v>
      </c>
    </row>
    <row r="184" spans="1:10" x14ac:dyDescent="0.25">
      <c r="A184">
        <v>700063</v>
      </c>
      <c r="B184" t="s">
        <v>1084</v>
      </c>
      <c r="C184" s="147">
        <v>0</v>
      </c>
      <c r="D184" s="147">
        <v>509159.65</v>
      </c>
      <c r="E184" s="147">
        <v>37422</v>
      </c>
      <c r="F184" s="151">
        <v>471737.65</v>
      </c>
      <c r="G184" s="43" t="str">
        <f>_xlfn.XLOOKUP($A184,Map!$A:$A,Map!C:C)</f>
        <v>IS</v>
      </c>
      <c r="H184" s="43" t="str">
        <f>_xlfn.XLOOKUP($A184,Map!$A:$A,Map!D:D)</f>
        <v>General and Admin</v>
      </c>
      <c r="I184" s="43" t="str">
        <f>_xlfn.XLOOKUP($A184,Map!$A:$A,Map!E:E)</f>
        <v>Salaries and wages</v>
      </c>
      <c r="J184" s="43" t="str">
        <f>_xlfn.XLOOKUP($A184,Map!$A:$A,Map!F:F)</f>
        <v>GOSI</v>
      </c>
    </row>
    <row r="186" spans="1:10" x14ac:dyDescent="0.25">
      <c r="C186" s="152">
        <f>SUBTOTAL(9,C5:C185)</f>
        <v>0</v>
      </c>
      <c r="D186" s="152">
        <f>SUBTOTAL(9,D5:D185)</f>
        <v>4043261914.1370001</v>
      </c>
      <c r="E186" s="152">
        <f>SUBTOTAL(9,E5:E185)</f>
        <v>4043261914.1369996</v>
      </c>
      <c r="F186" s="152">
        <f>SUBTOTAL(9,F5:F185)</f>
        <v>-4.7730281949043274E-9</v>
      </c>
      <c r="G186" s="153"/>
    </row>
    <row r="187" spans="1:10" x14ac:dyDescent="0.25">
      <c r="C187" s="152"/>
      <c r="D187" s="152"/>
      <c r="E187" s="152"/>
      <c r="F187" s="152"/>
      <c r="G187" s="153"/>
    </row>
    <row r="188" spans="1:10" x14ac:dyDescent="0.25">
      <c r="A188" s="85" t="s">
        <v>1341</v>
      </c>
    </row>
    <row r="189" spans="1:10" x14ac:dyDescent="0.25">
      <c r="A189">
        <v>600031</v>
      </c>
      <c r="B189" t="s">
        <v>1342</v>
      </c>
      <c r="D189">
        <v>6239.97</v>
      </c>
      <c r="E189">
        <v>0</v>
      </c>
      <c r="F189" s="147">
        <f t="shared" ref="F189:F252" si="0">D189-E189</f>
        <v>6239.97</v>
      </c>
      <c r="G189" s="43" t="str">
        <f>_xlfn.XLOOKUP($A189,Map!$A:$A,Map!C:C)</f>
        <v>IS</v>
      </c>
      <c r="H189" s="43" t="str">
        <f>_xlfn.XLOOKUP($A189,Map!$A:$A,Map!D:D)</f>
        <v>Depreciation expenses</v>
      </c>
      <c r="I189" s="43" t="str">
        <f>_xlfn.XLOOKUP($A189,Map!$A:$A,Map!E:E)</f>
        <v>Depreciation expenses</v>
      </c>
      <c r="J189" s="43" t="str">
        <f>_xlfn.XLOOKUP($A189,Map!$A:$A,Map!F:F)</f>
        <v>Depreciation of property, plant and equipment</v>
      </c>
    </row>
    <row r="190" spans="1:10" x14ac:dyDescent="0.25">
      <c r="A190">
        <v>600031</v>
      </c>
      <c r="B190" t="s">
        <v>1342</v>
      </c>
      <c r="D190">
        <v>73655.360000000001</v>
      </c>
      <c r="E190">
        <v>0</v>
      </c>
      <c r="F190" s="147">
        <f t="shared" si="0"/>
        <v>73655.360000000001</v>
      </c>
      <c r="G190" s="43" t="str">
        <f>_xlfn.XLOOKUP($A190,Map!$A:$A,Map!C:C)</f>
        <v>IS</v>
      </c>
      <c r="H190" s="43" t="str">
        <f>_xlfn.XLOOKUP($A190,Map!$A:$A,Map!D:D)</f>
        <v>Depreciation expenses</v>
      </c>
      <c r="I190" s="43" t="str">
        <f>_xlfn.XLOOKUP($A190,Map!$A:$A,Map!E:E)</f>
        <v>Depreciation expenses</v>
      </c>
      <c r="J190" s="43" t="str">
        <f>_xlfn.XLOOKUP($A190,Map!$A:$A,Map!F:F)</f>
        <v>Depreciation of property, plant and equipment</v>
      </c>
    </row>
    <row r="191" spans="1:10" x14ac:dyDescent="0.25">
      <c r="A191">
        <v>600030</v>
      </c>
      <c r="B191" t="s">
        <v>1342</v>
      </c>
      <c r="D191">
        <v>15132.33</v>
      </c>
      <c r="E191">
        <v>0</v>
      </c>
      <c r="F191" s="147">
        <f t="shared" si="0"/>
        <v>15132.33</v>
      </c>
      <c r="G191" s="43" t="str">
        <f>_xlfn.XLOOKUP($A191,Map!$A:$A,Map!C:C)</f>
        <v>IS</v>
      </c>
      <c r="H191" s="43" t="str">
        <f>_xlfn.XLOOKUP($A191,Map!$A:$A,Map!D:D)</f>
        <v>Depreciation expenses</v>
      </c>
      <c r="I191" s="43" t="str">
        <f>_xlfn.XLOOKUP($A191,Map!$A:$A,Map!E:E)</f>
        <v>Depreciation expenses</v>
      </c>
      <c r="J191" s="43" t="str">
        <f>_xlfn.XLOOKUP($A191,Map!$A:$A,Map!F:F)</f>
        <v>Depreciation of property, plant and equipment</v>
      </c>
    </row>
    <row r="192" spans="1:10" x14ac:dyDescent="0.25">
      <c r="A192">
        <v>600029</v>
      </c>
      <c r="B192" t="s">
        <v>1342</v>
      </c>
      <c r="D192">
        <v>2379480.429</v>
      </c>
      <c r="E192">
        <v>0</v>
      </c>
      <c r="F192" s="147">
        <f t="shared" si="0"/>
        <v>2379480.429</v>
      </c>
      <c r="G192" s="43" t="str">
        <f>_xlfn.XLOOKUP($A192,Map!$A:$A,Map!C:C)</f>
        <v>IS</v>
      </c>
      <c r="H192" s="43" t="str">
        <f>_xlfn.XLOOKUP($A192,Map!$A:$A,Map!D:D)</f>
        <v>Cost of sales</v>
      </c>
      <c r="I192" s="43" t="str">
        <f>_xlfn.XLOOKUP($A192,Map!$A:$A,Map!E:E)</f>
        <v>Depreciation - Machines</v>
      </c>
      <c r="J192" s="43" t="str">
        <f>_xlfn.XLOOKUP($A192,Map!$A:$A,Map!F:F)</f>
        <v>Depreciation of property, plant and equipment</v>
      </c>
    </row>
    <row r="193" spans="1:10" x14ac:dyDescent="0.25">
      <c r="A193">
        <v>600028</v>
      </c>
      <c r="B193" t="s">
        <v>1342</v>
      </c>
      <c r="D193">
        <v>27393</v>
      </c>
      <c r="E193">
        <v>0</v>
      </c>
      <c r="F193" s="147">
        <f t="shared" si="0"/>
        <v>27393</v>
      </c>
      <c r="G193" s="43" t="str">
        <f>_xlfn.XLOOKUP($A193,Map!$A:$A,Map!C:C)</f>
        <v>IS</v>
      </c>
      <c r="H193" s="43" t="str">
        <f>_xlfn.XLOOKUP($A193,Map!$A:$A,Map!D:D)</f>
        <v>Cost of sales</v>
      </c>
      <c r="I193" s="43" t="str">
        <f>_xlfn.XLOOKUP($A193,Map!$A:$A,Map!E:E)</f>
        <v>Overhead - Consumables &amp; SP</v>
      </c>
      <c r="J193" s="43" t="str">
        <f>_xlfn.XLOOKUP($A193,Map!$A:$A,Map!F:F)</f>
        <v xml:space="preserve">Education &amp; Furniture Allowances </v>
      </c>
    </row>
    <row r="194" spans="1:10" x14ac:dyDescent="0.25">
      <c r="A194">
        <v>600028</v>
      </c>
      <c r="B194" t="s">
        <v>1342</v>
      </c>
      <c r="D194">
        <v>910</v>
      </c>
      <c r="E194">
        <v>0</v>
      </c>
      <c r="F194" s="147">
        <f t="shared" si="0"/>
        <v>910</v>
      </c>
      <c r="G194" s="43" t="str">
        <f>_xlfn.XLOOKUP($A194,Map!$A:$A,Map!C:C)</f>
        <v>IS</v>
      </c>
      <c r="H194" s="43" t="str">
        <f>_xlfn.XLOOKUP($A194,Map!$A:$A,Map!D:D)</f>
        <v>Cost of sales</v>
      </c>
      <c r="I194" s="43" t="str">
        <f>_xlfn.XLOOKUP($A194,Map!$A:$A,Map!E:E)</f>
        <v>Overhead - Consumables &amp; SP</v>
      </c>
      <c r="J194" s="43" t="str">
        <f>_xlfn.XLOOKUP($A194,Map!$A:$A,Map!F:F)</f>
        <v xml:space="preserve">Education &amp; Furniture Allowances </v>
      </c>
    </row>
    <row r="195" spans="1:10" x14ac:dyDescent="0.25">
      <c r="A195">
        <v>600028</v>
      </c>
      <c r="B195" t="s">
        <v>1342</v>
      </c>
      <c r="D195">
        <v>1740</v>
      </c>
      <c r="E195">
        <v>0</v>
      </c>
      <c r="F195" s="147">
        <f t="shared" si="0"/>
        <v>1740</v>
      </c>
      <c r="G195" s="43" t="str">
        <f>_xlfn.XLOOKUP($A195,Map!$A:$A,Map!C:C)</f>
        <v>IS</v>
      </c>
      <c r="H195" s="43" t="str">
        <f>_xlfn.XLOOKUP($A195,Map!$A:$A,Map!D:D)</f>
        <v>Cost of sales</v>
      </c>
      <c r="I195" s="43" t="str">
        <f>_xlfn.XLOOKUP($A195,Map!$A:$A,Map!E:E)</f>
        <v>Overhead - Consumables &amp; SP</v>
      </c>
      <c r="J195" s="43" t="str">
        <f>_xlfn.XLOOKUP($A195,Map!$A:$A,Map!F:F)</f>
        <v xml:space="preserve">Education &amp; Furniture Allowances </v>
      </c>
    </row>
    <row r="196" spans="1:10" x14ac:dyDescent="0.25">
      <c r="A196">
        <v>600027</v>
      </c>
      <c r="B196" t="s">
        <v>1342</v>
      </c>
      <c r="D196">
        <v>422960</v>
      </c>
      <c r="E196">
        <v>0</v>
      </c>
      <c r="F196" s="147">
        <f t="shared" si="0"/>
        <v>422960</v>
      </c>
      <c r="G196" s="43" t="str">
        <f>_xlfn.XLOOKUP($A196,Map!$A:$A,Map!C:C)</f>
        <v>IS</v>
      </c>
      <c r="H196" s="43" t="str">
        <f>_xlfn.XLOOKUP($A196,Map!$A:$A,Map!D:D)</f>
        <v>Cost of sales</v>
      </c>
      <c r="I196" s="43" t="str">
        <f>_xlfn.XLOOKUP($A196,Map!$A:$A,Map!E:E)</f>
        <v>Overhead - Rent</v>
      </c>
      <c r="J196" s="43" t="str">
        <f>_xlfn.XLOOKUP($A196,Map!$A:$A,Map!F:F)</f>
        <v>Production hall rental</v>
      </c>
    </row>
    <row r="197" spans="1:10" x14ac:dyDescent="0.25">
      <c r="A197">
        <v>600024</v>
      </c>
      <c r="B197" t="s">
        <v>1342</v>
      </c>
      <c r="D197">
        <v>32303</v>
      </c>
      <c r="E197">
        <v>0</v>
      </c>
      <c r="F197" s="147">
        <f t="shared" si="0"/>
        <v>32303</v>
      </c>
      <c r="G197" s="43" t="str">
        <f>_xlfn.XLOOKUP($A197,Map!$A:$A,Map!C:C)</f>
        <v>IS</v>
      </c>
      <c r="H197" s="43" t="str">
        <f>_xlfn.XLOOKUP($A197,Map!$A:$A,Map!D:D)</f>
        <v>Cost of sales</v>
      </c>
      <c r="I197" s="43" t="str">
        <f>_xlfn.XLOOKUP($A197,Map!$A:$A,Map!E:E)</f>
        <v>Overhead - Rent</v>
      </c>
      <c r="J197" s="43" t="str">
        <f>_xlfn.XLOOKUP($A197,Map!$A:$A,Map!F:F)</f>
        <v>Pump rental expenses</v>
      </c>
    </row>
    <row r="198" spans="1:10" x14ac:dyDescent="0.25">
      <c r="A198">
        <v>600023</v>
      </c>
      <c r="B198" t="s">
        <v>1342</v>
      </c>
      <c r="D198">
        <v>880</v>
      </c>
      <c r="E198">
        <v>0</v>
      </c>
      <c r="F198" s="147">
        <f t="shared" si="0"/>
        <v>880</v>
      </c>
      <c r="G198" s="43" t="str">
        <f>_xlfn.XLOOKUP($A198,Map!$A:$A,Map!C:C)</f>
        <v>IS</v>
      </c>
      <c r="H198" s="43" t="str">
        <f>_xlfn.XLOOKUP($A198,Map!$A:$A,Map!D:D)</f>
        <v>Cost of sales</v>
      </c>
      <c r="I198" s="43" t="str">
        <f>_xlfn.XLOOKUP($A198,Map!$A:$A,Map!E:E)</f>
        <v>Overhead - R&amp;M</v>
      </c>
      <c r="J198" s="43" t="str">
        <f>_xlfn.XLOOKUP($A198,Map!$A:$A,Map!F:F)</f>
        <v>Office equipment maintenance</v>
      </c>
    </row>
    <row r="199" spans="1:10" x14ac:dyDescent="0.25">
      <c r="A199">
        <v>600021</v>
      </c>
      <c r="B199" t="s">
        <v>1342</v>
      </c>
      <c r="D199">
        <v>31863</v>
      </c>
      <c r="E199">
        <v>0</v>
      </c>
      <c r="F199" s="147">
        <f t="shared" si="0"/>
        <v>31863</v>
      </c>
      <c r="G199" s="43" t="str">
        <f>_xlfn.XLOOKUP($A199,Map!$A:$A,Map!C:C)</f>
        <v>IS</v>
      </c>
      <c r="H199" s="43" t="str">
        <f>_xlfn.XLOOKUP($A199,Map!$A:$A,Map!D:D)</f>
        <v>Cost of sales</v>
      </c>
      <c r="I199" s="43" t="str">
        <f>_xlfn.XLOOKUP($A199,Map!$A:$A,Map!E:E)</f>
        <v>Overhead - R&amp;M</v>
      </c>
      <c r="J199" s="43" t="str">
        <f>_xlfn.XLOOKUP($A199,Map!$A:$A,Map!F:F)</f>
        <v>Vehicle maintenance</v>
      </c>
    </row>
    <row r="200" spans="1:10" x14ac:dyDescent="0.25">
      <c r="A200">
        <v>600020</v>
      </c>
      <c r="B200" t="s">
        <v>1342</v>
      </c>
      <c r="D200">
        <v>189307.95199999999</v>
      </c>
      <c r="E200">
        <v>0</v>
      </c>
      <c r="F200" s="147">
        <f t="shared" si="0"/>
        <v>189307.95199999999</v>
      </c>
      <c r="G200" s="43" t="str">
        <f>_xlfn.XLOOKUP($A200,Map!$A:$A,Map!C:C)</f>
        <v>IS</v>
      </c>
      <c r="H200" s="43" t="str">
        <f>_xlfn.XLOOKUP($A200,Map!$A:$A,Map!D:D)</f>
        <v>Cost of sales</v>
      </c>
      <c r="I200" s="43" t="str">
        <f>_xlfn.XLOOKUP($A200,Map!$A:$A,Map!E:E)</f>
        <v>Overhead - R&amp;M</v>
      </c>
      <c r="J200" s="43" t="str">
        <f>_xlfn.XLOOKUP($A200,Map!$A:$A,Map!F:F)</f>
        <v>Machine and equipment</v>
      </c>
    </row>
    <row r="201" spans="1:10" x14ac:dyDescent="0.25">
      <c r="A201">
        <v>600020</v>
      </c>
      <c r="B201" t="s">
        <v>1342</v>
      </c>
      <c r="D201">
        <v>14377</v>
      </c>
      <c r="E201">
        <v>0</v>
      </c>
      <c r="F201" s="147">
        <f t="shared" si="0"/>
        <v>14377</v>
      </c>
      <c r="G201" s="43" t="str">
        <f>_xlfn.XLOOKUP($A201,Map!$A:$A,Map!C:C)</f>
        <v>IS</v>
      </c>
      <c r="H201" s="43" t="str">
        <f>_xlfn.XLOOKUP($A201,Map!$A:$A,Map!D:D)</f>
        <v>Cost of sales</v>
      </c>
      <c r="I201" s="43" t="str">
        <f>_xlfn.XLOOKUP($A201,Map!$A:$A,Map!E:E)</f>
        <v>Overhead - R&amp;M</v>
      </c>
      <c r="J201" s="43" t="str">
        <f>_xlfn.XLOOKUP($A201,Map!$A:$A,Map!F:F)</f>
        <v>Machine and equipment</v>
      </c>
    </row>
    <row r="202" spans="1:10" x14ac:dyDescent="0.25">
      <c r="A202">
        <v>600019</v>
      </c>
      <c r="B202" t="s">
        <v>1342</v>
      </c>
      <c r="D202">
        <v>60129.05</v>
      </c>
      <c r="E202">
        <v>0</v>
      </c>
      <c r="F202" s="147">
        <f t="shared" si="0"/>
        <v>60129.05</v>
      </c>
      <c r="G202" s="43" t="str">
        <f>_xlfn.XLOOKUP($A202,Map!$A:$A,Map!C:C)</f>
        <v>IS</v>
      </c>
      <c r="H202" s="43" t="str">
        <f>_xlfn.XLOOKUP($A202,Map!$A:$A,Map!D:D)</f>
        <v>Cost of sales</v>
      </c>
      <c r="I202" s="43" t="str">
        <f>_xlfn.XLOOKUP($A202,Map!$A:$A,Map!E:E)</f>
        <v>Overhead - Utility</v>
      </c>
      <c r="J202" s="43" t="str">
        <f>_xlfn.XLOOKUP($A202,Map!$A:$A,Map!F:F)</f>
        <v>Fuel and oil</v>
      </c>
    </row>
    <row r="203" spans="1:10" x14ac:dyDescent="0.25">
      <c r="A203">
        <v>600018</v>
      </c>
      <c r="B203" t="s">
        <v>1342</v>
      </c>
      <c r="D203">
        <v>44418</v>
      </c>
      <c r="E203">
        <v>0</v>
      </c>
      <c r="F203" s="147">
        <f t="shared" si="0"/>
        <v>44418</v>
      </c>
      <c r="G203" s="43" t="str">
        <f>_xlfn.XLOOKUP($A203,Map!$A:$A,Map!C:C)</f>
        <v>IS</v>
      </c>
      <c r="H203" s="43" t="str">
        <f>_xlfn.XLOOKUP($A203,Map!$A:$A,Map!D:D)</f>
        <v>Cost of sales</v>
      </c>
      <c r="I203" s="43" t="str">
        <f>_xlfn.XLOOKUP($A203,Map!$A:$A,Map!E:E)</f>
        <v>Overhead - Utility</v>
      </c>
      <c r="J203" s="43" t="str">
        <f>_xlfn.XLOOKUP($A203,Map!$A:$A,Map!F:F)</f>
        <v>Water expenses</v>
      </c>
    </row>
    <row r="204" spans="1:10" x14ac:dyDescent="0.25">
      <c r="A204">
        <v>600018</v>
      </c>
      <c r="B204" t="s">
        <v>1342</v>
      </c>
      <c r="D204">
        <v>1680</v>
      </c>
      <c r="E204">
        <v>0</v>
      </c>
      <c r="F204" s="147">
        <f t="shared" si="0"/>
        <v>1680</v>
      </c>
      <c r="G204" s="43" t="str">
        <f>_xlfn.XLOOKUP($A204,Map!$A:$A,Map!C:C)</f>
        <v>IS</v>
      </c>
      <c r="H204" s="43" t="str">
        <f>_xlfn.XLOOKUP($A204,Map!$A:$A,Map!D:D)</f>
        <v>Cost of sales</v>
      </c>
      <c r="I204" s="43" t="str">
        <f>_xlfn.XLOOKUP($A204,Map!$A:$A,Map!E:E)</f>
        <v>Overhead - Utility</v>
      </c>
      <c r="J204" s="43" t="str">
        <f>_xlfn.XLOOKUP($A204,Map!$A:$A,Map!F:F)</f>
        <v>Water expenses</v>
      </c>
    </row>
    <row r="205" spans="1:10" x14ac:dyDescent="0.25">
      <c r="A205">
        <v>600017</v>
      </c>
      <c r="B205" t="s">
        <v>1342</v>
      </c>
      <c r="D205">
        <v>1096442.8500000001</v>
      </c>
      <c r="E205">
        <v>0</v>
      </c>
      <c r="F205" s="147">
        <f t="shared" si="0"/>
        <v>1096442.8500000001</v>
      </c>
      <c r="G205" s="43" t="str">
        <f>_xlfn.XLOOKUP($A205,Map!$A:$A,Map!C:C)</f>
        <v>IS</v>
      </c>
      <c r="H205" s="43" t="str">
        <f>_xlfn.XLOOKUP($A205,Map!$A:$A,Map!D:D)</f>
        <v>Cost of sales</v>
      </c>
      <c r="I205" s="43" t="str">
        <f>_xlfn.XLOOKUP($A205,Map!$A:$A,Map!E:E)</f>
        <v>Overhead - Utility</v>
      </c>
      <c r="J205" s="43" t="str">
        <f>_xlfn.XLOOKUP($A205,Map!$A:$A,Map!F:F)</f>
        <v>Electricity expenses</v>
      </c>
    </row>
    <row r="206" spans="1:10" x14ac:dyDescent="0.25">
      <c r="A206">
        <v>600016</v>
      </c>
      <c r="B206" t="s">
        <v>1342</v>
      </c>
      <c r="D206">
        <v>1020949.154</v>
      </c>
      <c r="E206">
        <v>0</v>
      </c>
      <c r="F206" s="147">
        <f t="shared" si="0"/>
        <v>1020949.154</v>
      </c>
      <c r="G206" s="43" t="str">
        <f>_xlfn.XLOOKUP($A206,Map!$A:$A,Map!C:C)</f>
        <v>IS</v>
      </c>
      <c r="H206" s="43" t="str">
        <f>_xlfn.XLOOKUP($A206,Map!$A:$A,Map!D:D)</f>
        <v>Cost of sales</v>
      </c>
      <c r="I206" s="43" t="str">
        <f>_xlfn.XLOOKUP($A206,Map!$A:$A,Map!E:E)</f>
        <v>Overhead - Consumables &amp; SP</v>
      </c>
      <c r="J206" s="43" t="str">
        <f>_xlfn.XLOOKUP($A206,Map!$A:$A,Map!F:F)</f>
        <v>Tools</v>
      </c>
    </row>
    <row r="207" spans="1:10" x14ac:dyDescent="0.25">
      <c r="A207">
        <v>600016</v>
      </c>
      <c r="B207" t="s">
        <v>1342</v>
      </c>
      <c r="D207">
        <v>0</v>
      </c>
      <c r="E207">
        <v>0</v>
      </c>
      <c r="F207" s="147">
        <f t="shared" si="0"/>
        <v>0</v>
      </c>
      <c r="G207" s="43" t="str">
        <f>_xlfn.XLOOKUP($A207,Map!$A:$A,Map!C:C)</f>
        <v>IS</v>
      </c>
      <c r="H207" s="43" t="str">
        <f>_xlfn.XLOOKUP($A207,Map!$A:$A,Map!D:D)</f>
        <v>Cost of sales</v>
      </c>
      <c r="I207" s="43" t="str">
        <f>_xlfn.XLOOKUP($A207,Map!$A:$A,Map!E:E)</f>
        <v>Overhead - Consumables &amp; SP</v>
      </c>
      <c r="J207" s="43" t="str">
        <f>_xlfn.XLOOKUP($A207,Map!$A:$A,Map!F:F)</f>
        <v>Tools</v>
      </c>
    </row>
    <row r="208" spans="1:10" x14ac:dyDescent="0.25">
      <c r="A208">
        <v>600016</v>
      </c>
      <c r="B208" t="s">
        <v>1342</v>
      </c>
      <c r="D208">
        <v>83218.535999999993</v>
      </c>
      <c r="E208">
        <v>0</v>
      </c>
      <c r="F208" s="147">
        <f t="shared" si="0"/>
        <v>83218.535999999993</v>
      </c>
      <c r="G208" s="43" t="str">
        <f>_xlfn.XLOOKUP($A208,Map!$A:$A,Map!C:C)</f>
        <v>IS</v>
      </c>
      <c r="H208" s="43" t="str">
        <f>_xlfn.XLOOKUP($A208,Map!$A:$A,Map!D:D)</f>
        <v>Cost of sales</v>
      </c>
      <c r="I208" s="43" t="str">
        <f>_xlfn.XLOOKUP($A208,Map!$A:$A,Map!E:E)</f>
        <v>Overhead - Consumables &amp; SP</v>
      </c>
      <c r="J208" s="43" t="str">
        <f>_xlfn.XLOOKUP($A208,Map!$A:$A,Map!F:F)</f>
        <v>Tools</v>
      </c>
    </row>
    <row r="209" spans="1:10" x14ac:dyDescent="0.25">
      <c r="A209">
        <v>600016</v>
      </c>
      <c r="B209" t="s">
        <v>1342</v>
      </c>
      <c r="D209">
        <v>0</v>
      </c>
      <c r="E209">
        <v>0</v>
      </c>
      <c r="F209" s="147">
        <f t="shared" si="0"/>
        <v>0</v>
      </c>
      <c r="G209" s="43" t="str">
        <f>_xlfn.XLOOKUP($A209,Map!$A:$A,Map!C:C)</f>
        <v>IS</v>
      </c>
      <c r="H209" s="43" t="str">
        <f>_xlfn.XLOOKUP($A209,Map!$A:$A,Map!D:D)</f>
        <v>Cost of sales</v>
      </c>
      <c r="I209" s="43" t="str">
        <f>_xlfn.XLOOKUP($A209,Map!$A:$A,Map!E:E)</f>
        <v>Overhead - Consumables &amp; SP</v>
      </c>
      <c r="J209" s="43" t="str">
        <f>_xlfn.XLOOKUP($A209,Map!$A:$A,Map!F:F)</f>
        <v>Tools</v>
      </c>
    </row>
    <row r="210" spans="1:10" x14ac:dyDescent="0.25">
      <c r="A210">
        <v>600016</v>
      </c>
      <c r="B210" t="s">
        <v>1342</v>
      </c>
      <c r="D210">
        <v>225972.44</v>
      </c>
      <c r="E210">
        <v>0</v>
      </c>
      <c r="F210" s="147">
        <f t="shared" si="0"/>
        <v>225972.44</v>
      </c>
      <c r="G210" s="43" t="str">
        <f>_xlfn.XLOOKUP($A210,Map!$A:$A,Map!C:C)</f>
        <v>IS</v>
      </c>
      <c r="H210" s="43" t="str">
        <f>_xlfn.XLOOKUP($A210,Map!$A:$A,Map!D:D)</f>
        <v>Cost of sales</v>
      </c>
      <c r="I210" s="43" t="str">
        <f>_xlfn.XLOOKUP($A210,Map!$A:$A,Map!E:E)</f>
        <v>Overhead - Consumables &amp; SP</v>
      </c>
      <c r="J210" s="43" t="str">
        <f>_xlfn.XLOOKUP($A210,Map!$A:$A,Map!F:F)</f>
        <v>Tools</v>
      </c>
    </row>
    <row r="211" spans="1:10" x14ac:dyDescent="0.25">
      <c r="A211">
        <v>600016</v>
      </c>
      <c r="B211" t="s">
        <v>1342</v>
      </c>
      <c r="D211">
        <v>588922.46400000004</v>
      </c>
      <c r="E211">
        <v>0</v>
      </c>
      <c r="F211" s="147">
        <f t="shared" si="0"/>
        <v>588922.46400000004</v>
      </c>
      <c r="G211" s="43" t="str">
        <f>_xlfn.XLOOKUP($A211,Map!$A:$A,Map!C:C)</f>
        <v>IS</v>
      </c>
      <c r="H211" s="43" t="str">
        <f>_xlfn.XLOOKUP($A211,Map!$A:$A,Map!D:D)</f>
        <v>Cost of sales</v>
      </c>
      <c r="I211" s="43" t="str">
        <f>_xlfn.XLOOKUP($A211,Map!$A:$A,Map!E:E)</f>
        <v>Overhead - Consumables &amp; SP</v>
      </c>
      <c r="J211" s="43" t="str">
        <f>_xlfn.XLOOKUP($A211,Map!$A:$A,Map!F:F)</f>
        <v>Tools</v>
      </c>
    </row>
    <row r="212" spans="1:10" x14ac:dyDescent="0.25">
      <c r="A212">
        <v>600016</v>
      </c>
      <c r="B212" t="s">
        <v>1342</v>
      </c>
      <c r="D212">
        <v>81519.960000000006</v>
      </c>
      <c r="E212">
        <v>0</v>
      </c>
      <c r="F212" s="147">
        <f t="shared" si="0"/>
        <v>81519.960000000006</v>
      </c>
      <c r="G212" s="43" t="str">
        <f>_xlfn.XLOOKUP($A212,Map!$A:$A,Map!C:C)</f>
        <v>IS</v>
      </c>
      <c r="H212" s="43" t="str">
        <f>_xlfn.XLOOKUP($A212,Map!$A:$A,Map!D:D)</f>
        <v>Cost of sales</v>
      </c>
      <c r="I212" s="43" t="str">
        <f>_xlfn.XLOOKUP($A212,Map!$A:$A,Map!E:E)</f>
        <v>Overhead - Consumables &amp; SP</v>
      </c>
      <c r="J212" s="43" t="str">
        <f>_xlfn.XLOOKUP($A212,Map!$A:$A,Map!F:F)</f>
        <v>Tools</v>
      </c>
    </row>
    <row r="213" spans="1:10" x14ac:dyDescent="0.25">
      <c r="A213">
        <v>600015</v>
      </c>
      <c r="B213" t="s">
        <v>1342</v>
      </c>
      <c r="D213">
        <v>106711.56</v>
      </c>
      <c r="E213">
        <v>0</v>
      </c>
      <c r="F213" s="147">
        <f t="shared" si="0"/>
        <v>106711.56</v>
      </c>
      <c r="G213" s="43" t="str">
        <f>_xlfn.XLOOKUP($A213,Map!$A:$A,Map!C:C)</f>
        <v>IS</v>
      </c>
      <c r="H213" s="43" t="str">
        <f>_xlfn.XLOOKUP($A213,Map!$A:$A,Map!D:D)</f>
        <v>Cost of sales</v>
      </c>
      <c r="I213" s="43" t="str">
        <f>_xlfn.XLOOKUP($A213,Map!$A:$A,Map!E:E)</f>
        <v>Overhead - Consumables &amp; SP</v>
      </c>
      <c r="J213" s="43" t="str">
        <f>_xlfn.XLOOKUP($A213,Map!$A:$A,Map!F:F)</f>
        <v>Consumables</v>
      </c>
    </row>
    <row r="214" spans="1:10" x14ac:dyDescent="0.25">
      <c r="A214">
        <v>600015</v>
      </c>
      <c r="B214" t="s">
        <v>1342</v>
      </c>
      <c r="D214">
        <v>0</v>
      </c>
      <c r="E214">
        <v>0</v>
      </c>
      <c r="F214" s="147">
        <f t="shared" si="0"/>
        <v>0</v>
      </c>
      <c r="G214" s="43" t="str">
        <f>_xlfn.XLOOKUP($A214,Map!$A:$A,Map!C:C)</f>
        <v>IS</v>
      </c>
      <c r="H214" s="43" t="str">
        <f>_xlfn.XLOOKUP($A214,Map!$A:$A,Map!D:D)</f>
        <v>Cost of sales</v>
      </c>
      <c r="I214" s="43" t="str">
        <f>_xlfn.XLOOKUP($A214,Map!$A:$A,Map!E:E)</f>
        <v>Overhead - Consumables &amp; SP</v>
      </c>
      <c r="J214" s="43" t="str">
        <f>_xlfn.XLOOKUP($A214,Map!$A:$A,Map!F:F)</f>
        <v>Consumables</v>
      </c>
    </row>
    <row r="215" spans="1:10" x14ac:dyDescent="0.25">
      <c r="A215">
        <v>600014</v>
      </c>
      <c r="B215" t="s">
        <v>1342</v>
      </c>
      <c r="D215">
        <v>992343.701</v>
      </c>
      <c r="E215">
        <v>0</v>
      </c>
      <c r="F215" s="147">
        <f t="shared" si="0"/>
        <v>992343.701</v>
      </c>
      <c r="G215" s="43" t="str">
        <f>_xlfn.XLOOKUP($A215,Map!$A:$A,Map!C:C)</f>
        <v>IS</v>
      </c>
      <c r="H215" s="43" t="str">
        <f>_xlfn.XLOOKUP($A215,Map!$A:$A,Map!D:D)</f>
        <v>Cost of sales</v>
      </c>
      <c r="I215" s="43" t="str">
        <f>_xlfn.XLOOKUP($A215,Map!$A:$A,Map!E:E)</f>
        <v>Overhead - Consumables &amp; SP</v>
      </c>
      <c r="J215" s="43" t="str">
        <f>_xlfn.XLOOKUP($A215,Map!$A:$A,Map!F:F)</f>
        <v>Consumables</v>
      </c>
    </row>
    <row r="216" spans="1:10" x14ac:dyDescent="0.25">
      <c r="A216">
        <v>600014</v>
      </c>
      <c r="B216" t="s">
        <v>1342</v>
      </c>
      <c r="D216">
        <v>7350</v>
      </c>
      <c r="E216">
        <v>0</v>
      </c>
      <c r="F216" s="147">
        <f t="shared" si="0"/>
        <v>7350</v>
      </c>
      <c r="G216" s="43" t="str">
        <f>_xlfn.XLOOKUP($A216,Map!$A:$A,Map!C:C)</f>
        <v>IS</v>
      </c>
      <c r="H216" s="43" t="str">
        <f>_xlfn.XLOOKUP($A216,Map!$A:$A,Map!D:D)</f>
        <v>Cost of sales</v>
      </c>
      <c r="I216" s="43" t="str">
        <f>_xlfn.XLOOKUP($A216,Map!$A:$A,Map!E:E)</f>
        <v>Overhead - Consumables &amp; SP</v>
      </c>
      <c r="J216" s="43" t="str">
        <f>_xlfn.XLOOKUP($A216,Map!$A:$A,Map!F:F)</f>
        <v>Consumables</v>
      </c>
    </row>
    <row r="217" spans="1:10" x14ac:dyDescent="0.25">
      <c r="A217">
        <v>600014</v>
      </c>
      <c r="B217" t="s">
        <v>1342</v>
      </c>
      <c r="D217">
        <v>0</v>
      </c>
      <c r="E217">
        <v>0</v>
      </c>
      <c r="F217" s="147">
        <f t="shared" si="0"/>
        <v>0</v>
      </c>
      <c r="G217" s="43" t="str">
        <f>_xlfn.XLOOKUP($A217,Map!$A:$A,Map!C:C)</f>
        <v>IS</v>
      </c>
      <c r="H217" s="43" t="str">
        <f>_xlfn.XLOOKUP($A217,Map!$A:$A,Map!D:D)</f>
        <v>Cost of sales</v>
      </c>
      <c r="I217" s="43" t="str">
        <f>_xlfn.XLOOKUP($A217,Map!$A:$A,Map!E:E)</f>
        <v>Overhead - Consumables &amp; SP</v>
      </c>
      <c r="J217" s="43" t="str">
        <f>_xlfn.XLOOKUP($A217,Map!$A:$A,Map!F:F)</f>
        <v>Consumables</v>
      </c>
    </row>
    <row r="218" spans="1:10" x14ac:dyDescent="0.25">
      <c r="A218">
        <v>600013</v>
      </c>
      <c r="B218" t="s">
        <v>1342</v>
      </c>
      <c r="D218">
        <v>774</v>
      </c>
      <c r="E218">
        <v>0</v>
      </c>
      <c r="F218" s="147">
        <f t="shared" si="0"/>
        <v>774</v>
      </c>
      <c r="G218" s="43" t="str">
        <f>_xlfn.XLOOKUP($A218,Map!$A:$A,Map!C:C)</f>
        <v>IS</v>
      </c>
      <c r="H218" s="43" t="str">
        <f>_xlfn.XLOOKUP($A218,Map!$A:$A,Map!D:D)</f>
        <v>Cost of sales</v>
      </c>
      <c r="I218" s="43" t="str">
        <f>_xlfn.XLOOKUP($A218,Map!$A:$A,Map!E:E)</f>
        <v>Overhead - Labor Cost</v>
      </c>
      <c r="J218" s="43" t="str">
        <f>_xlfn.XLOOKUP($A218,Map!$A:$A,Map!F:F)</f>
        <v>Telephone allowance</v>
      </c>
    </row>
    <row r="219" spans="1:10" x14ac:dyDescent="0.25">
      <c r="A219">
        <v>600011</v>
      </c>
      <c r="B219" t="s">
        <v>1342</v>
      </c>
      <c r="D219">
        <v>8000</v>
      </c>
      <c r="E219">
        <v>0</v>
      </c>
      <c r="F219" s="147">
        <f t="shared" si="0"/>
        <v>8000</v>
      </c>
      <c r="G219" s="43" t="str">
        <f>_xlfn.XLOOKUP($A219,Map!$A:$A,Map!C:C)</f>
        <v>IS</v>
      </c>
      <c r="H219" s="43" t="str">
        <f>_xlfn.XLOOKUP($A219,Map!$A:$A,Map!D:D)</f>
        <v>Cost of sales</v>
      </c>
      <c r="I219" s="43" t="str">
        <f>_xlfn.XLOOKUP($A219,Map!$A:$A,Map!E:E)</f>
        <v>Overhead - Labor Cost</v>
      </c>
      <c r="J219" s="43" t="str">
        <f>_xlfn.XLOOKUP($A219,Map!$A:$A,Map!F:F)</f>
        <v>Air tickets</v>
      </c>
    </row>
    <row r="220" spans="1:10" x14ac:dyDescent="0.25">
      <c r="A220">
        <v>600009</v>
      </c>
      <c r="B220" t="s">
        <v>1342</v>
      </c>
      <c r="D220">
        <v>129309</v>
      </c>
      <c r="E220">
        <v>0</v>
      </c>
      <c r="F220" s="147">
        <f t="shared" si="0"/>
        <v>129309</v>
      </c>
      <c r="G220" s="43" t="str">
        <f>_xlfn.XLOOKUP($A220,Map!$A:$A,Map!C:C)</f>
        <v>IS</v>
      </c>
      <c r="H220" s="43" t="str">
        <f>_xlfn.XLOOKUP($A220,Map!$A:$A,Map!D:D)</f>
        <v>Cost of sales</v>
      </c>
      <c r="I220" s="43" t="str">
        <f>_xlfn.XLOOKUP($A220,Map!$A:$A,Map!E:E)</f>
        <v>Overhead - Labor Cost</v>
      </c>
      <c r="J220" s="43" t="str">
        <f>_xlfn.XLOOKUP($A220,Map!$A:$A,Map!F:F)</f>
        <v>Vacation pay</v>
      </c>
    </row>
    <row r="221" spans="1:10" x14ac:dyDescent="0.25">
      <c r="A221">
        <v>600009</v>
      </c>
      <c r="B221" t="s">
        <v>1342</v>
      </c>
      <c r="D221">
        <v>2300</v>
      </c>
      <c r="E221">
        <v>0</v>
      </c>
      <c r="F221" s="147">
        <f t="shared" si="0"/>
        <v>2300</v>
      </c>
      <c r="G221" s="43" t="str">
        <f>_xlfn.XLOOKUP($A221,Map!$A:$A,Map!C:C)</f>
        <v>IS</v>
      </c>
      <c r="H221" s="43" t="str">
        <f>_xlfn.XLOOKUP($A221,Map!$A:$A,Map!D:D)</f>
        <v>Cost of sales</v>
      </c>
      <c r="I221" s="43" t="str">
        <f>_xlfn.XLOOKUP($A221,Map!$A:$A,Map!E:E)</f>
        <v>Overhead - Labor Cost</v>
      </c>
      <c r="J221" s="43" t="str">
        <f>_xlfn.XLOOKUP($A221,Map!$A:$A,Map!F:F)</f>
        <v>Vacation pay</v>
      </c>
    </row>
    <row r="222" spans="1:10" x14ac:dyDescent="0.25">
      <c r="A222">
        <v>600008</v>
      </c>
      <c r="B222" t="s">
        <v>1342</v>
      </c>
      <c r="D222">
        <v>74860</v>
      </c>
      <c r="E222">
        <v>0</v>
      </c>
      <c r="F222" s="147">
        <f t="shared" si="0"/>
        <v>74860</v>
      </c>
      <c r="G222" s="43" t="str">
        <f>_xlfn.XLOOKUP($A222,Map!$A:$A,Map!C:C)</f>
        <v>IS</v>
      </c>
      <c r="H222" s="43" t="str">
        <f>_xlfn.XLOOKUP($A222,Map!$A:$A,Map!D:D)</f>
        <v>Cost of sales</v>
      </c>
      <c r="I222" s="43" t="str">
        <f>_xlfn.XLOOKUP($A222,Map!$A:$A,Map!E:E)</f>
        <v>Overhead - Labor Cost</v>
      </c>
      <c r="J222" s="43" t="str">
        <f>_xlfn.XLOOKUP($A222,Map!$A:$A,Map!F:F)</f>
        <v>Air tickets</v>
      </c>
    </row>
    <row r="223" spans="1:10" x14ac:dyDescent="0.25">
      <c r="A223">
        <v>600007</v>
      </c>
      <c r="B223" t="s">
        <v>1342</v>
      </c>
      <c r="D223">
        <v>3227</v>
      </c>
      <c r="E223">
        <v>0</v>
      </c>
      <c r="F223" s="147">
        <f t="shared" si="0"/>
        <v>3227</v>
      </c>
      <c r="G223" s="43" t="str">
        <f>_xlfn.XLOOKUP($A223,Map!$A:$A,Map!C:C)</f>
        <v>IS</v>
      </c>
      <c r="H223" s="43" t="str">
        <f>_xlfn.XLOOKUP($A223,Map!$A:$A,Map!D:D)</f>
        <v>Cost of sales</v>
      </c>
      <c r="I223" s="43" t="str">
        <f>_xlfn.XLOOKUP($A223,Map!$A:$A,Map!E:E)</f>
        <v>Overhead - Labor Cost</v>
      </c>
      <c r="J223" s="43" t="str">
        <f>_xlfn.XLOOKUP($A223,Map!$A:$A,Map!F:F)</f>
        <v>Transportation allowance</v>
      </c>
    </row>
    <row r="224" spans="1:10" x14ac:dyDescent="0.25">
      <c r="A224">
        <v>600007</v>
      </c>
      <c r="B224" t="s">
        <v>1342</v>
      </c>
      <c r="D224">
        <v>1600</v>
      </c>
      <c r="E224">
        <v>0</v>
      </c>
      <c r="F224" s="147">
        <f t="shared" si="0"/>
        <v>1600</v>
      </c>
      <c r="G224" s="43" t="str">
        <f>_xlfn.XLOOKUP($A224,Map!$A:$A,Map!C:C)</f>
        <v>IS</v>
      </c>
      <c r="H224" s="43" t="str">
        <f>_xlfn.XLOOKUP($A224,Map!$A:$A,Map!D:D)</f>
        <v>Cost of sales</v>
      </c>
      <c r="I224" s="43" t="str">
        <f>_xlfn.XLOOKUP($A224,Map!$A:$A,Map!E:E)</f>
        <v>Overhead - Labor Cost</v>
      </c>
      <c r="J224" s="43" t="str">
        <f>_xlfn.XLOOKUP($A224,Map!$A:$A,Map!F:F)</f>
        <v>Transportation allowance</v>
      </c>
    </row>
    <row r="225" spans="1:10" x14ac:dyDescent="0.25">
      <c r="A225">
        <v>600006</v>
      </c>
      <c r="B225" t="s">
        <v>1342</v>
      </c>
      <c r="D225">
        <v>198837.6</v>
      </c>
      <c r="E225">
        <v>0</v>
      </c>
      <c r="F225" s="147">
        <f t="shared" si="0"/>
        <v>198837.6</v>
      </c>
      <c r="G225" s="43" t="str">
        <f>_xlfn.XLOOKUP($A225,Map!$A:$A,Map!C:C)</f>
        <v>IS</v>
      </c>
      <c r="H225" s="43" t="str">
        <f>_xlfn.XLOOKUP($A225,Map!$A:$A,Map!D:D)</f>
        <v>Cost of sales</v>
      </c>
      <c r="I225" s="43" t="str">
        <f>_xlfn.XLOOKUP($A225,Map!$A:$A,Map!E:E)</f>
        <v>Overhead - Labor Cost</v>
      </c>
      <c r="J225" s="43" t="str">
        <f>_xlfn.XLOOKUP($A225,Map!$A:$A,Map!F:F)</f>
        <v xml:space="preserve">Food &amp; Housing </v>
      </c>
    </row>
    <row r="226" spans="1:10" x14ac:dyDescent="0.25">
      <c r="A226">
        <v>600005</v>
      </c>
      <c r="B226" t="s">
        <v>1342</v>
      </c>
      <c r="D226">
        <v>278663</v>
      </c>
      <c r="E226">
        <v>0</v>
      </c>
      <c r="F226" s="147">
        <f t="shared" si="0"/>
        <v>278663</v>
      </c>
      <c r="G226" s="43" t="str">
        <f>_xlfn.XLOOKUP($A226,Map!$A:$A,Map!C:C)</f>
        <v>IS</v>
      </c>
      <c r="H226" s="43" t="str">
        <f>_xlfn.XLOOKUP($A226,Map!$A:$A,Map!D:D)</f>
        <v>General and Admin</v>
      </c>
      <c r="I226" s="43" t="str">
        <f>_xlfn.XLOOKUP($A226,Map!$A:$A,Map!E:E)</f>
        <v>Govt license and fees (including modon)</v>
      </c>
      <c r="J226" s="43" t="str">
        <f>_xlfn.XLOOKUP($A226,Map!$A:$A,Map!F:F)</f>
        <v>Government fees</v>
      </c>
    </row>
    <row r="227" spans="1:10" x14ac:dyDescent="0.25">
      <c r="A227">
        <v>600004</v>
      </c>
      <c r="B227" t="s">
        <v>1342</v>
      </c>
      <c r="D227">
        <v>108863.18</v>
      </c>
      <c r="E227">
        <v>0</v>
      </c>
      <c r="F227" s="147">
        <f t="shared" si="0"/>
        <v>108863.18</v>
      </c>
      <c r="G227" s="43" t="str">
        <f>_xlfn.XLOOKUP($A227,Map!$A:$A,Map!C:C)</f>
        <v>IS</v>
      </c>
      <c r="H227" s="43" t="str">
        <f>_xlfn.XLOOKUP($A227,Map!$A:$A,Map!D:D)</f>
        <v>Cost of sales</v>
      </c>
      <c r="I227" s="43" t="str">
        <f>_xlfn.XLOOKUP($A227,Map!$A:$A,Map!E:E)</f>
        <v>Overhead - Labor Cost</v>
      </c>
      <c r="J227" s="43" t="str">
        <f>_xlfn.XLOOKUP($A227,Map!$A:$A,Map!F:F)</f>
        <v>Medical insurance</v>
      </c>
    </row>
    <row r="228" spans="1:10" x14ac:dyDescent="0.25">
      <c r="A228">
        <v>600004</v>
      </c>
      <c r="B228" t="s">
        <v>1342</v>
      </c>
      <c r="D228">
        <v>241.33</v>
      </c>
      <c r="E228">
        <v>0</v>
      </c>
      <c r="F228" s="147">
        <f t="shared" si="0"/>
        <v>241.33</v>
      </c>
      <c r="G228" s="43" t="str">
        <f>_xlfn.XLOOKUP($A228,Map!$A:$A,Map!C:C)</f>
        <v>IS</v>
      </c>
      <c r="H228" s="43" t="str">
        <f>_xlfn.XLOOKUP($A228,Map!$A:$A,Map!D:D)</f>
        <v>Cost of sales</v>
      </c>
      <c r="I228" s="43" t="str">
        <f>_xlfn.XLOOKUP($A228,Map!$A:$A,Map!E:E)</f>
        <v>Overhead - Labor Cost</v>
      </c>
      <c r="J228" s="43" t="str">
        <f>_xlfn.XLOOKUP($A228,Map!$A:$A,Map!F:F)</f>
        <v>Medical insurance</v>
      </c>
    </row>
    <row r="229" spans="1:10" x14ac:dyDescent="0.25">
      <c r="A229">
        <v>600004</v>
      </c>
      <c r="B229" t="s">
        <v>1342</v>
      </c>
      <c r="D229">
        <v>2547</v>
      </c>
      <c r="E229">
        <v>0</v>
      </c>
      <c r="F229" s="147">
        <f t="shared" si="0"/>
        <v>2547</v>
      </c>
      <c r="G229" s="43" t="str">
        <f>_xlfn.XLOOKUP($A229,Map!$A:$A,Map!C:C)</f>
        <v>IS</v>
      </c>
      <c r="H229" s="43" t="str">
        <f>_xlfn.XLOOKUP($A229,Map!$A:$A,Map!D:D)</f>
        <v>Cost of sales</v>
      </c>
      <c r="I229" s="43" t="str">
        <f>_xlfn.XLOOKUP($A229,Map!$A:$A,Map!E:E)</f>
        <v>Overhead - Labor Cost</v>
      </c>
      <c r="J229" s="43" t="str">
        <f>_xlfn.XLOOKUP($A229,Map!$A:$A,Map!F:F)</f>
        <v>Medical insurance</v>
      </c>
    </row>
    <row r="230" spans="1:10" x14ac:dyDescent="0.25">
      <c r="A230">
        <v>600003</v>
      </c>
      <c r="B230" t="s">
        <v>1342</v>
      </c>
      <c r="D230">
        <v>48810</v>
      </c>
      <c r="E230">
        <v>0</v>
      </c>
      <c r="F230" s="147">
        <f t="shared" si="0"/>
        <v>48810</v>
      </c>
      <c r="G230" s="43" t="str">
        <f>_xlfn.XLOOKUP($A230,Map!$A:$A,Map!C:C)</f>
        <v>IS</v>
      </c>
      <c r="H230" s="43" t="str">
        <f>_xlfn.XLOOKUP($A230,Map!$A:$A,Map!D:D)</f>
        <v>Cost of sales</v>
      </c>
      <c r="I230" s="43" t="str">
        <f>_xlfn.XLOOKUP($A230,Map!$A:$A,Map!E:E)</f>
        <v>Overhead - Labor Cost</v>
      </c>
      <c r="J230" s="43" t="str">
        <f>_xlfn.XLOOKUP($A230,Map!$A:$A,Map!F:F)</f>
        <v xml:space="preserve">Food &amp; Housing </v>
      </c>
    </row>
    <row r="231" spans="1:10" x14ac:dyDescent="0.25">
      <c r="A231">
        <v>600003</v>
      </c>
      <c r="B231" t="s">
        <v>1342</v>
      </c>
      <c r="D231">
        <v>166</v>
      </c>
      <c r="E231">
        <v>0</v>
      </c>
      <c r="F231" s="147">
        <f t="shared" si="0"/>
        <v>166</v>
      </c>
      <c r="G231" s="43" t="str">
        <f>_xlfn.XLOOKUP($A231,Map!$A:$A,Map!C:C)</f>
        <v>IS</v>
      </c>
      <c r="H231" s="43" t="str">
        <f>_xlfn.XLOOKUP($A231,Map!$A:$A,Map!D:D)</f>
        <v>Cost of sales</v>
      </c>
      <c r="I231" s="43" t="str">
        <f>_xlfn.XLOOKUP($A231,Map!$A:$A,Map!E:E)</f>
        <v>Overhead - Labor Cost</v>
      </c>
      <c r="J231" s="43" t="str">
        <f>_xlfn.XLOOKUP($A231,Map!$A:$A,Map!F:F)</f>
        <v xml:space="preserve">Food &amp; Housing </v>
      </c>
    </row>
    <row r="232" spans="1:10" x14ac:dyDescent="0.25">
      <c r="A232">
        <v>600002</v>
      </c>
      <c r="B232" t="s">
        <v>1342</v>
      </c>
      <c r="D232">
        <v>216745</v>
      </c>
      <c r="E232">
        <v>0</v>
      </c>
      <c r="F232" s="147">
        <f t="shared" si="0"/>
        <v>216745</v>
      </c>
      <c r="G232" s="43" t="str">
        <f>_xlfn.XLOOKUP($A232,Map!$A:$A,Map!C:C)</f>
        <v>IS</v>
      </c>
      <c r="H232" s="43" t="str">
        <f>_xlfn.XLOOKUP($A232,Map!$A:$A,Map!D:D)</f>
        <v>Cost of sales</v>
      </c>
      <c r="I232" s="43" t="str">
        <f>_xlfn.XLOOKUP($A232,Map!$A:$A,Map!E:E)</f>
        <v>Overhead - Labor Cost</v>
      </c>
      <c r="J232" s="43" t="str">
        <f>_xlfn.XLOOKUP($A232,Map!$A:$A,Map!F:F)</f>
        <v>Overtime pay</v>
      </c>
    </row>
    <row r="233" spans="1:10" x14ac:dyDescent="0.25">
      <c r="A233">
        <v>600002</v>
      </c>
      <c r="B233" t="s">
        <v>1342</v>
      </c>
      <c r="D233">
        <v>595</v>
      </c>
      <c r="E233">
        <v>0</v>
      </c>
      <c r="F233" s="147">
        <f t="shared" si="0"/>
        <v>595</v>
      </c>
      <c r="G233" s="43" t="str">
        <f>_xlfn.XLOOKUP($A233,Map!$A:$A,Map!C:C)</f>
        <v>IS</v>
      </c>
      <c r="H233" s="43" t="str">
        <f>_xlfn.XLOOKUP($A233,Map!$A:$A,Map!D:D)</f>
        <v>Cost of sales</v>
      </c>
      <c r="I233" s="43" t="str">
        <f>_xlfn.XLOOKUP($A233,Map!$A:$A,Map!E:E)</f>
        <v>Overhead - Labor Cost</v>
      </c>
      <c r="J233" s="43" t="str">
        <f>_xlfn.XLOOKUP($A233,Map!$A:$A,Map!F:F)</f>
        <v>Overtime pay</v>
      </c>
    </row>
    <row r="234" spans="1:10" x14ac:dyDescent="0.25">
      <c r="A234">
        <v>600001</v>
      </c>
      <c r="B234" t="s">
        <v>1342</v>
      </c>
      <c r="D234">
        <v>27000</v>
      </c>
      <c r="E234">
        <v>0</v>
      </c>
      <c r="F234" s="147">
        <f t="shared" si="0"/>
        <v>27000</v>
      </c>
      <c r="G234" s="43" t="str">
        <f>_xlfn.XLOOKUP($A234,Map!$A:$A,Map!C:C)</f>
        <v>IS</v>
      </c>
      <c r="H234" s="43" t="str">
        <f>_xlfn.XLOOKUP($A234,Map!$A:$A,Map!D:D)</f>
        <v>Cost of sales</v>
      </c>
      <c r="I234" s="43" t="str">
        <f>_xlfn.XLOOKUP($A234,Map!$A:$A,Map!E:E)</f>
        <v>Overhead - Labor Cost</v>
      </c>
      <c r="J234" s="43" t="str">
        <f>_xlfn.XLOOKUP($A234,Map!$A:$A,Map!F:F)</f>
        <v>Indirect Salaries — factory supervisory / indirect floor labour (COGS)</v>
      </c>
    </row>
    <row r="235" spans="1:10" x14ac:dyDescent="0.25">
      <c r="A235">
        <v>600001</v>
      </c>
      <c r="B235" t="s">
        <v>1342</v>
      </c>
      <c r="D235">
        <v>27000</v>
      </c>
      <c r="E235">
        <v>0</v>
      </c>
      <c r="F235" s="147">
        <f t="shared" si="0"/>
        <v>27000</v>
      </c>
      <c r="G235" s="43" t="str">
        <f>_xlfn.XLOOKUP($A235,Map!$A:$A,Map!C:C)</f>
        <v>IS</v>
      </c>
      <c r="H235" s="43" t="str">
        <f>_xlfn.XLOOKUP($A235,Map!$A:$A,Map!D:D)</f>
        <v>Cost of sales</v>
      </c>
      <c r="I235" s="43" t="str">
        <f>_xlfn.XLOOKUP($A235,Map!$A:$A,Map!E:E)</f>
        <v>Overhead - Labor Cost</v>
      </c>
      <c r="J235" s="43" t="str">
        <f>_xlfn.XLOOKUP($A235,Map!$A:$A,Map!F:F)</f>
        <v>Indirect Salaries — factory supervisory / indirect floor labour (COGS)</v>
      </c>
    </row>
    <row r="236" spans="1:10" x14ac:dyDescent="0.25">
      <c r="A236">
        <v>600001</v>
      </c>
      <c r="B236" t="s">
        <v>1342</v>
      </c>
      <c r="D236">
        <v>1095854.67</v>
      </c>
      <c r="E236">
        <v>0</v>
      </c>
      <c r="F236" s="147">
        <f t="shared" si="0"/>
        <v>1095854.67</v>
      </c>
      <c r="G236" s="43" t="str">
        <f>_xlfn.XLOOKUP($A236,Map!$A:$A,Map!C:C)</f>
        <v>IS</v>
      </c>
      <c r="H236" s="43" t="str">
        <f>_xlfn.XLOOKUP($A236,Map!$A:$A,Map!D:D)</f>
        <v>Cost of sales</v>
      </c>
      <c r="I236" s="43" t="str">
        <f>_xlfn.XLOOKUP($A236,Map!$A:$A,Map!E:E)</f>
        <v>Overhead - Labor Cost</v>
      </c>
      <c r="J236" s="43" t="str">
        <f>_xlfn.XLOOKUP($A236,Map!$A:$A,Map!F:F)</f>
        <v>Indirect Salaries — factory supervisory / indirect floor labour (COGS)</v>
      </c>
    </row>
    <row r="237" spans="1:10" x14ac:dyDescent="0.25">
      <c r="A237">
        <v>600001</v>
      </c>
      <c r="B237" t="s">
        <v>1342</v>
      </c>
      <c r="D237">
        <v>0</v>
      </c>
      <c r="E237">
        <v>0</v>
      </c>
      <c r="F237" s="147">
        <f t="shared" si="0"/>
        <v>0</v>
      </c>
      <c r="G237" s="43" t="str">
        <f>_xlfn.XLOOKUP($A237,Map!$A:$A,Map!C:C)</f>
        <v>IS</v>
      </c>
      <c r="H237" s="43" t="str">
        <f>_xlfn.XLOOKUP($A237,Map!$A:$A,Map!D:D)</f>
        <v>Cost of sales</v>
      </c>
      <c r="I237" s="43" t="str">
        <f>_xlfn.XLOOKUP($A237,Map!$A:$A,Map!E:E)</f>
        <v>Overhead - Labor Cost</v>
      </c>
      <c r="J237" s="43" t="str">
        <f>_xlfn.XLOOKUP($A237,Map!$A:$A,Map!F:F)</f>
        <v>Indirect Salaries — factory supervisory / indirect floor labour (COGS)</v>
      </c>
    </row>
    <row r="238" spans="1:10" x14ac:dyDescent="0.25">
      <c r="A238">
        <v>600001</v>
      </c>
      <c r="B238" t="s">
        <v>1342</v>
      </c>
      <c r="D238">
        <v>0</v>
      </c>
      <c r="E238">
        <v>4204.78</v>
      </c>
      <c r="F238" s="147">
        <f t="shared" si="0"/>
        <v>-4204.78</v>
      </c>
      <c r="G238" s="43" t="str">
        <f>_xlfn.XLOOKUP($A238,Map!$A:$A,Map!C:C)</f>
        <v>IS</v>
      </c>
      <c r="H238" s="43" t="str">
        <f>_xlfn.XLOOKUP($A238,Map!$A:$A,Map!D:D)</f>
        <v>Cost of sales</v>
      </c>
      <c r="I238" s="43" t="str">
        <f>_xlfn.XLOOKUP($A238,Map!$A:$A,Map!E:E)</f>
        <v>Overhead - Labor Cost</v>
      </c>
      <c r="J238" s="43" t="str">
        <f>_xlfn.XLOOKUP($A238,Map!$A:$A,Map!F:F)</f>
        <v>Indirect Salaries — factory supervisory / indirect floor labour (COGS)</v>
      </c>
    </row>
    <row r="239" spans="1:10" x14ac:dyDescent="0.25">
      <c r="A239">
        <v>520042</v>
      </c>
      <c r="B239" t="s">
        <v>1342</v>
      </c>
      <c r="D239">
        <v>0</v>
      </c>
      <c r="E239">
        <v>36367.81</v>
      </c>
      <c r="F239" s="147">
        <f t="shared" si="0"/>
        <v>-36367.81</v>
      </c>
      <c r="G239" s="43" t="str">
        <f>_xlfn.XLOOKUP($A239,Map!$A:$A,Map!C:C)</f>
        <v>IS</v>
      </c>
      <c r="H239" s="43" t="str">
        <f>_xlfn.XLOOKUP($A239,Map!$A:$A,Map!D:D)</f>
        <v>Cost of sales</v>
      </c>
      <c r="I239" s="43" t="str">
        <f>_xlfn.XLOOKUP($A239,Map!$A:$A,Map!E:E)</f>
        <v>Raw materials</v>
      </c>
      <c r="J239" s="43" t="str">
        <f>_xlfn.XLOOKUP($A239,Map!$A:$A,Map!F:F)</f>
        <v>Inventory Adjustment</v>
      </c>
    </row>
    <row r="240" spans="1:10" x14ac:dyDescent="0.25">
      <c r="A240">
        <v>520041</v>
      </c>
      <c r="B240" t="s">
        <v>1342</v>
      </c>
      <c r="D240">
        <v>0</v>
      </c>
      <c r="E240">
        <v>759136.21</v>
      </c>
      <c r="F240" s="147">
        <f t="shared" si="0"/>
        <v>-759136.21</v>
      </c>
      <c r="G240" s="43" t="str">
        <f>_xlfn.XLOOKUP($A240,Map!$A:$A,Map!C:C)</f>
        <v>IS</v>
      </c>
      <c r="H240" s="43" t="str">
        <f>_xlfn.XLOOKUP($A240,Map!$A:$A,Map!D:D)</f>
        <v>Cost of sales</v>
      </c>
      <c r="I240" s="43" t="str">
        <f>_xlfn.XLOOKUP($A240,Map!$A:$A,Map!E:E)</f>
        <v>Raw materials</v>
      </c>
      <c r="J240" s="43" t="str">
        <f>_xlfn.XLOOKUP($A240,Map!$A:$A,Map!F:F)</f>
        <v>Other expenses</v>
      </c>
    </row>
    <row r="241" spans="1:10" x14ac:dyDescent="0.25">
      <c r="A241">
        <v>520021</v>
      </c>
      <c r="B241" t="s">
        <v>1342</v>
      </c>
      <c r="D241">
        <v>25426.15</v>
      </c>
      <c r="E241">
        <v>0</v>
      </c>
      <c r="F241" s="147">
        <f t="shared" si="0"/>
        <v>25426.15</v>
      </c>
      <c r="G241" s="43" t="str">
        <f>_xlfn.XLOOKUP($A241,Map!$A:$A,Map!C:C)</f>
        <v>IS</v>
      </c>
      <c r="H241" s="43" t="str">
        <f>_xlfn.XLOOKUP($A241,Map!$A:$A,Map!D:D)</f>
        <v>Cost of sales</v>
      </c>
      <c r="I241" s="43" t="str">
        <f>_xlfn.XLOOKUP($A241,Map!$A:$A,Map!E:E)</f>
        <v>Direct Labor</v>
      </c>
      <c r="J241" s="43" t="str">
        <f>_xlfn.XLOOKUP($A241,Map!$A:$A,Map!F:F)</f>
        <v>Medical insurance</v>
      </c>
    </row>
    <row r="242" spans="1:10" x14ac:dyDescent="0.25">
      <c r="A242">
        <v>520014</v>
      </c>
      <c r="B242" t="s">
        <v>1342</v>
      </c>
      <c r="D242">
        <v>1350</v>
      </c>
      <c r="E242">
        <v>0</v>
      </c>
      <c r="F242" s="147">
        <f t="shared" si="0"/>
        <v>1350</v>
      </c>
      <c r="G242" s="43" t="str">
        <f>_xlfn.XLOOKUP($A242,Map!$A:$A,Map!C:C)</f>
        <v>IS</v>
      </c>
      <c r="H242" s="43" t="str">
        <f>_xlfn.XLOOKUP($A242,Map!$A:$A,Map!D:D)</f>
        <v>Cost of sales</v>
      </c>
      <c r="I242" s="43" t="str">
        <f>_xlfn.XLOOKUP($A242,Map!$A:$A,Map!E:E)</f>
        <v>Direct Labor</v>
      </c>
      <c r="J242" s="43" t="str">
        <f>_xlfn.XLOOKUP($A242,Map!$A:$A,Map!F:F)</f>
        <v>Leave pay</v>
      </c>
    </row>
    <row r="243" spans="1:10" x14ac:dyDescent="0.25">
      <c r="A243">
        <v>520013</v>
      </c>
      <c r="B243" t="s">
        <v>1342</v>
      </c>
      <c r="D243">
        <v>227</v>
      </c>
      <c r="E243">
        <v>0</v>
      </c>
      <c r="F243" s="147">
        <f t="shared" si="0"/>
        <v>227</v>
      </c>
      <c r="G243" s="43" t="str">
        <f>_xlfn.XLOOKUP($A243,Map!$A:$A,Map!C:C)</f>
        <v>IS</v>
      </c>
      <c r="H243" s="43" t="str">
        <f>_xlfn.XLOOKUP($A243,Map!$A:$A,Map!D:D)</f>
        <v>Cost of sales</v>
      </c>
      <c r="I243" s="43" t="str">
        <f>_xlfn.XLOOKUP($A243,Map!$A:$A,Map!E:E)</f>
        <v>Direct Labor</v>
      </c>
      <c r="J243" s="43" t="str">
        <f>_xlfn.XLOOKUP($A243,Map!$A:$A,Map!F:F)</f>
        <v>Food and housing</v>
      </c>
    </row>
    <row r="244" spans="1:10" x14ac:dyDescent="0.25">
      <c r="A244">
        <v>520011</v>
      </c>
      <c r="B244" t="s">
        <v>1342</v>
      </c>
      <c r="D244">
        <v>105418</v>
      </c>
      <c r="E244">
        <v>0</v>
      </c>
      <c r="F244" s="147">
        <f t="shared" si="0"/>
        <v>105418</v>
      </c>
      <c r="G244" s="43" t="str">
        <f>_xlfn.XLOOKUP($A244,Map!$A:$A,Map!C:C)</f>
        <v>IS</v>
      </c>
      <c r="H244" s="43" t="str">
        <f>_xlfn.XLOOKUP($A244,Map!$A:$A,Map!D:D)</f>
        <v>Cost of sales</v>
      </c>
      <c r="I244" s="43" t="str">
        <f>_xlfn.XLOOKUP($A244,Map!$A:$A,Map!E:E)</f>
        <v>Direct Labor</v>
      </c>
      <c r="J244" s="43" t="str">
        <f>_xlfn.XLOOKUP($A244,Map!$A:$A,Map!F:F)</f>
        <v>Overtime pay</v>
      </c>
    </row>
    <row r="245" spans="1:10" x14ac:dyDescent="0.25">
      <c r="A245">
        <v>520011</v>
      </c>
      <c r="B245" t="s">
        <v>1342</v>
      </c>
      <c r="D245">
        <v>47732</v>
      </c>
      <c r="E245">
        <v>0</v>
      </c>
      <c r="F245" s="147">
        <f t="shared" si="0"/>
        <v>47732</v>
      </c>
      <c r="G245" s="43" t="str">
        <f>_xlfn.XLOOKUP($A245,Map!$A:$A,Map!C:C)</f>
        <v>IS</v>
      </c>
      <c r="H245" s="43" t="str">
        <f>_xlfn.XLOOKUP($A245,Map!$A:$A,Map!D:D)</f>
        <v>Cost of sales</v>
      </c>
      <c r="I245" s="43" t="str">
        <f>_xlfn.XLOOKUP($A245,Map!$A:$A,Map!E:E)</f>
        <v>Direct Labor</v>
      </c>
      <c r="J245" s="43" t="str">
        <f>_xlfn.XLOOKUP($A245,Map!$A:$A,Map!F:F)</f>
        <v>Overtime pay</v>
      </c>
    </row>
    <row r="246" spans="1:10" x14ac:dyDescent="0.25">
      <c r="A246">
        <v>520011</v>
      </c>
      <c r="B246" t="s">
        <v>1342</v>
      </c>
      <c r="D246">
        <v>8214</v>
      </c>
      <c r="E246">
        <v>0</v>
      </c>
      <c r="F246" s="147">
        <f t="shared" si="0"/>
        <v>8214</v>
      </c>
      <c r="G246" s="43" t="str">
        <f>_xlfn.XLOOKUP($A246,Map!$A:$A,Map!C:C)</f>
        <v>IS</v>
      </c>
      <c r="H246" s="43" t="str">
        <f>_xlfn.XLOOKUP($A246,Map!$A:$A,Map!D:D)</f>
        <v>Cost of sales</v>
      </c>
      <c r="I246" s="43" t="str">
        <f>_xlfn.XLOOKUP($A246,Map!$A:$A,Map!E:E)</f>
        <v>Direct Labor</v>
      </c>
      <c r="J246" s="43" t="str">
        <f>_xlfn.XLOOKUP($A246,Map!$A:$A,Map!F:F)</f>
        <v>Overtime pay</v>
      </c>
    </row>
    <row r="247" spans="1:10" x14ac:dyDescent="0.25">
      <c r="A247">
        <v>520011</v>
      </c>
      <c r="B247" t="s">
        <v>1342</v>
      </c>
      <c r="D247">
        <v>6140</v>
      </c>
      <c r="E247">
        <v>0</v>
      </c>
      <c r="F247" s="147">
        <f t="shared" si="0"/>
        <v>6140</v>
      </c>
      <c r="G247" s="43" t="str">
        <f>_xlfn.XLOOKUP($A247,Map!$A:$A,Map!C:C)</f>
        <v>IS</v>
      </c>
      <c r="H247" s="43" t="str">
        <f>_xlfn.XLOOKUP($A247,Map!$A:$A,Map!D:D)</f>
        <v>Cost of sales</v>
      </c>
      <c r="I247" s="43" t="str">
        <f>_xlfn.XLOOKUP($A247,Map!$A:$A,Map!E:E)</f>
        <v>Direct Labor</v>
      </c>
      <c r="J247" s="43" t="str">
        <f>_xlfn.XLOOKUP($A247,Map!$A:$A,Map!F:F)</f>
        <v>Overtime pay</v>
      </c>
    </row>
    <row r="248" spans="1:10" x14ac:dyDescent="0.25">
      <c r="A248">
        <v>520011</v>
      </c>
      <c r="B248" t="s">
        <v>1342</v>
      </c>
      <c r="D248">
        <v>1013</v>
      </c>
      <c r="E248">
        <v>0</v>
      </c>
      <c r="F248" s="147">
        <f t="shared" si="0"/>
        <v>1013</v>
      </c>
      <c r="G248" s="43" t="str">
        <f>_xlfn.XLOOKUP($A248,Map!$A:$A,Map!C:C)</f>
        <v>IS</v>
      </c>
      <c r="H248" s="43" t="str">
        <f>_xlfn.XLOOKUP($A248,Map!$A:$A,Map!D:D)</f>
        <v>Cost of sales</v>
      </c>
      <c r="I248" s="43" t="str">
        <f>_xlfn.XLOOKUP($A248,Map!$A:$A,Map!E:E)</f>
        <v>Direct Labor</v>
      </c>
      <c r="J248" s="43" t="str">
        <f>_xlfn.XLOOKUP($A248,Map!$A:$A,Map!F:F)</f>
        <v>Overtime pay</v>
      </c>
    </row>
    <row r="249" spans="1:10" x14ac:dyDescent="0.25">
      <c r="A249">
        <v>520006</v>
      </c>
      <c r="B249" t="s">
        <v>1342</v>
      </c>
      <c r="D249">
        <v>38490</v>
      </c>
      <c r="E249">
        <v>0</v>
      </c>
      <c r="F249" s="147">
        <f t="shared" si="0"/>
        <v>38490</v>
      </c>
      <c r="G249" s="43" t="str">
        <f>_xlfn.XLOOKUP($A249,Map!$A:$A,Map!C:C)</f>
        <v>IS</v>
      </c>
      <c r="H249" s="43" t="str">
        <f>_xlfn.XLOOKUP($A249,Map!$A:$A,Map!D:D)</f>
        <v>Cost of sales</v>
      </c>
      <c r="I249" s="43" t="str">
        <f>_xlfn.XLOOKUP($A249,Map!$A:$A,Map!E:E)</f>
        <v>Direct Labor</v>
      </c>
      <c r="J249" s="43" t="str">
        <f>_xlfn.XLOOKUP($A249,Map!$A:$A,Map!F:F)</f>
        <v>Medical insurance</v>
      </c>
    </row>
    <row r="250" spans="1:10" x14ac:dyDescent="0.25">
      <c r="A250">
        <v>520006</v>
      </c>
      <c r="B250" t="s">
        <v>1342</v>
      </c>
      <c r="D250">
        <v>11846</v>
      </c>
      <c r="E250">
        <v>0</v>
      </c>
      <c r="F250" s="147">
        <f t="shared" si="0"/>
        <v>11846</v>
      </c>
      <c r="G250" s="43" t="str">
        <f>_xlfn.XLOOKUP($A250,Map!$A:$A,Map!C:C)</f>
        <v>IS</v>
      </c>
      <c r="H250" s="43" t="str">
        <f>_xlfn.XLOOKUP($A250,Map!$A:$A,Map!D:D)</f>
        <v>Cost of sales</v>
      </c>
      <c r="I250" s="43" t="str">
        <f>_xlfn.XLOOKUP($A250,Map!$A:$A,Map!E:E)</f>
        <v>Direct Labor</v>
      </c>
      <c r="J250" s="43" t="str">
        <f>_xlfn.XLOOKUP($A250,Map!$A:$A,Map!F:F)</f>
        <v>Medical insurance</v>
      </c>
    </row>
    <row r="251" spans="1:10" x14ac:dyDescent="0.25">
      <c r="A251">
        <v>520006</v>
      </c>
      <c r="B251" t="s">
        <v>1342</v>
      </c>
      <c r="D251">
        <v>12340</v>
      </c>
      <c r="E251">
        <v>0</v>
      </c>
      <c r="F251" s="147">
        <f t="shared" si="0"/>
        <v>12340</v>
      </c>
      <c r="G251" s="43" t="str">
        <f>_xlfn.XLOOKUP($A251,Map!$A:$A,Map!C:C)</f>
        <v>IS</v>
      </c>
      <c r="H251" s="43" t="str">
        <f>_xlfn.XLOOKUP($A251,Map!$A:$A,Map!D:D)</f>
        <v>Cost of sales</v>
      </c>
      <c r="I251" s="43" t="str">
        <f>_xlfn.XLOOKUP($A251,Map!$A:$A,Map!E:E)</f>
        <v>Direct Labor</v>
      </c>
      <c r="J251" s="43" t="str">
        <f>_xlfn.XLOOKUP($A251,Map!$A:$A,Map!F:F)</f>
        <v>Medical insurance</v>
      </c>
    </row>
    <row r="252" spans="1:10" x14ac:dyDescent="0.25">
      <c r="A252">
        <v>520006</v>
      </c>
      <c r="B252" t="s">
        <v>1342</v>
      </c>
      <c r="D252">
        <v>14114</v>
      </c>
      <c r="E252">
        <v>0</v>
      </c>
      <c r="F252" s="147">
        <f t="shared" si="0"/>
        <v>14114</v>
      </c>
      <c r="G252" s="43" t="str">
        <f>_xlfn.XLOOKUP($A252,Map!$A:$A,Map!C:C)</f>
        <v>IS</v>
      </c>
      <c r="H252" s="43" t="str">
        <f>_xlfn.XLOOKUP($A252,Map!$A:$A,Map!D:D)</f>
        <v>Cost of sales</v>
      </c>
      <c r="I252" s="43" t="str">
        <f>_xlfn.XLOOKUP($A252,Map!$A:$A,Map!E:E)</f>
        <v>Direct Labor</v>
      </c>
      <c r="J252" s="43" t="str">
        <f>_xlfn.XLOOKUP($A252,Map!$A:$A,Map!F:F)</f>
        <v>Medical insurance</v>
      </c>
    </row>
    <row r="253" spans="1:10" x14ac:dyDescent="0.25">
      <c r="A253">
        <v>520006</v>
      </c>
      <c r="B253" t="s">
        <v>1342</v>
      </c>
      <c r="D253">
        <v>7674</v>
      </c>
      <c r="E253">
        <v>0</v>
      </c>
      <c r="F253" s="147">
        <f t="shared" ref="F253:F316" si="1">D253-E253</f>
        <v>7674</v>
      </c>
      <c r="G253" s="43" t="str">
        <f>_xlfn.XLOOKUP($A253,Map!$A:$A,Map!C:C)</f>
        <v>IS</v>
      </c>
      <c r="H253" s="43" t="str">
        <f>_xlfn.XLOOKUP($A253,Map!$A:$A,Map!D:D)</f>
        <v>Cost of sales</v>
      </c>
      <c r="I253" s="43" t="str">
        <f>_xlfn.XLOOKUP($A253,Map!$A:$A,Map!E:E)</f>
        <v>Direct Labor</v>
      </c>
      <c r="J253" s="43" t="str">
        <f>_xlfn.XLOOKUP($A253,Map!$A:$A,Map!F:F)</f>
        <v>Medical insurance</v>
      </c>
    </row>
    <row r="254" spans="1:10" x14ac:dyDescent="0.25">
      <c r="A254">
        <v>520006</v>
      </c>
      <c r="B254" t="s">
        <v>1342</v>
      </c>
      <c r="D254">
        <v>4354</v>
      </c>
      <c r="E254">
        <v>0</v>
      </c>
      <c r="F254" s="147">
        <f t="shared" si="1"/>
        <v>4354</v>
      </c>
      <c r="G254" s="43" t="str">
        <f>_xlfn.XLOOKUP($A254,Map!$A:$A,Map!C:C)</f>
        <v>IS</v>
      </c>
      <c r="H254" s="43" t="str">
        <f>_xlfn.XLOOKUP($A254,Map!$A:$A,Map!D:D)</f>
        <v>Cost of sales</v>
      </c>
      <c r="I254" s="43" t="str">
        <f>_xlfn.XLOOKUP($A254,Map!$A:$A,Map!E:E)</f>
        <v>Direct Labor</v>
      </c>
      <c r="J254" s="43" t="str">
        <f>_xlfn.XLOOKUP($A254,Map!$A:$A,Map!F:F)</f>
        <v>Medical insurance</v>
      </c>
    </row>
    <row r="255" spans="1:10" x14ac:dyDescent="0.25">
      <c r="A255">
        <v>520005</v>
      </c>
      <c r="B255" t="s">
        <v>1342</v>
      </c>
      <c r="D255">
        <v>2175</v>
      </c>
      <c r="E255">
        <v>0</v>
      </c>
      <c r="F255" s="147">
        <f t="shared" si="1"/>
        <v>2175</v>
      </c>
      <c r="G255" s="43" t="str">
        <f>_xlfn.XLOOKUP($A255,Map!$A:$A,Map!C:C)</f>
        <v>IS</v>
      </c>
      <c r="H255" s="43" t="str">
        <f>_xlfn.XLOOKUP($A255,Map!$A:$A,Map!D:D)</f>
        <v>Cost of sales</v>
      </c>
      <c r="I255" s="43" t="str">
        <f>_xlfn.XLOOKUP($A255,Map!$A:$A,Map!E:E)</f>
        <v>Direct Labor</v>
      </c>
      <c r="J255" s="43" t="str">
        <f>_xlfn.XLOOKUP($A255,Map!$A:$A,Map!F:F)</f>
        <v>Leave pay</v>
      </c>
    </row>
    <row r="256" spans="1:10" x14ac:dyDescent="0.25">
      <c r="A256">
        <v>520004</v>
      </c>
      <c r="B256" t="s">
        <v>1342</v>
      </c>
      <c r="D256">
        <v>30980</v>
      </c>
      <c r="E256">
        <v>0</v>
      </c>
      <c r="F256" s="147">
        <f t="shared" si="1"/>
        <v>30980</v>
      </c>
      <c r="G256" s="43" t="str">
        <f>_xlfn.XLOOKUP($A256,Map!$A:$A,Map!C:C)</f>
        <v>IS</v>
      </c>
      <c r="H256" s="43" t="str">
        <f>_xlfn.XLOOKUP($A256,Map!$A:$A,Map!D:D)</f>
        <v>Cost of sales</v>
      </c>
      <c r="I256" s="43" t="str">
        <f>_xlfn.XLOOKUP($A256,Map!$A:$A,Map!E:E)</f>
        <v>Direct Labor</v>
      </c>
      <c r="J256" s="43" t="str">
        <f>_xlfn.XLOOKUP($A256,Map!$A:$A,Map!F:F)</f>
        <v>Food and housing</v>
      </c>
    </row>
    <row r="257" spans="1:10" x14ac:dyDescent="0.25">
      <c r="A257">
        <v>520004</v>
      </c>
      <c r="B257" t="s">
        <v>1342</v>
      </c>
      <c r="D257">
        <v>10913.119000000001</v>
      </c>
      <c r="E257">
        <v>0</v>
      </c>
      <c r="F257" s="147">
        <f t="shared" si="1"/>
        <v>10913.119000000001</v>
      </c>
      <c r="G257" s="43" t="str">
        <f>_xlfn.XLOOKUP($A257,Map!$A:$A,Map!C:C)</f>
        <v>IS</v>
      </c>
      <c r="H257" s="43" t="str">
        <f>_xlfn.XLOOKUP($A257,Map!$A:$A,Map!D:D)</f>
        <v>Cost of sales</v>
      </c>
      <c r="I257" s="43" t="str">
        <f>_xlfn.XLOOKUP($A257,Map!$A:$A,Map!E:E)</f>
        <v>Direct Labor</v>
      </c>
      <c r="J257" s="43" t="str">
        <f>_xlfn.XLOOKUP($A257,Map!$A:$A,Map!F:F)</f>
        <v>Food and housing</v>
      </c>
    </row>
    <row r="258" spans="1:10" x14ac:dyDescent="0.25">
      <c r="A258">
        <v>520004</v>
      </c>
      <c r="B258" t="s">
        <v>1342</v>
      </c>
      <c r="D258">
        <v>100</v>
      </c>
      <c r="E258">
        <v>0</v>
      </c>
      <c r="F258" s="147">
        <f t="shared" si="1"/>
        <v>100</v>
      </c>
      <c r="G258" s="43" t="str">
        <f>_xlfn.XLOOKUP($A258,Map!$A:$A,Map!C:C)</f>
        <v>IS</v>
      </c>
      <c r="H258" s="43" t="str">
        <f>_xlfn.XLOOKUP($A258,Map!$A:$A,Map!D:D)</f>
        <v>Cost of sales</v>
      </c>
      <c r="I258" s="43" t="str">
        <f>_xlfn.XLOOKUP($A258,Map!$A:$A,Map!E:E)</f>
        <v>Direct Labor</v>
      </c>
      <c r="J258" s="43" t="str">
        <f>_xlfn.XLOOKUP($A258,Map!$A:$A,Map!F:F)</f>
        <v>Food and housing</v>
      </c>
    </row>
    <row r="259" spans="1:10" x14ac:dyDescent="0.25">
      <c r="A259">
        <v>520004</v>
      </c>
      <c r="B259" t="s">
        <v>1342</v>
      </c>
      <c r="D259">
        <v>253</v>
      </c>
      <c r="E259">
        <v>0</v>
      </c>
      <c r="F259" s="147">
        <f t="shared" si="1"/>
        <v>253</v>
      </c>
      <c r="G259" s="43" t="str">
        <f>_xlfn.XLOOKUP($A259,Map!$A:$A,Map!C:C)</f>
        <v>IS</v>
      </c>
      <c r="H259" s="43" t="str">
        <f>_xlfn.XLOOKUP($A259,Map!$A:$A,Map!D:D)</f>
        <v>Cost of sales</v>
      </c>
      <c r="I259" s="43" t="str">
        <f>_xlfn.XLOOKUP($A259,Map!$A:$A,Map!E:E)</f>
        <v>Direct Labor</v>
      </c>
      <c r="J259" s="43" t="str">
        <f>_xlfn.XLOOKUP($A259,Map!$A:$A,Map!F:F)</f>
        <v>Food and housing</v>
      </c>
    </row>
    <row r="260" spans="1:10" x14ac:dyDescent="0.25">
      <c r="A260">
        <v>520003</v>
      </c>
      <c r="B260" t="s">
        <v>1342</v>
      </c>
      <c r="D260">
        <v>17047</v>
      </c>
      <c r="E260">
        <v>0</v>
      </c>
      <c r="F260" s="147">
        <f t="shared" si="1"/>
        <v>17047</v>
      </c>
      <c r="G260" s="43" t="str">
        <f>_xlfn.XLOOKUP($A260,Map!$A:$A,Map!C:C)</f>
        <v>IS</v>
      </c>
      <c r="H260" s="43" t="str">
        <f>_xlfn.XLOOKUP($A260,Map!$A:$A,Map!D:D)</f>
        <v>Cost of sales</v>
      </c>
      <c r="I260" s="43" t="str">
        <f>_xlfn.XLOOKUP($A260,Map!$A:$A,Map!E:E)</f>
        <v>Direct Labor</v>
      </c>
      <c r="J260" s="43" t="str">
        <f>_xlfn.XLOOKUP($A260,Map!$A:$A,Map!F:F)</f>
        <v>Transportation allowance</v>
      </c>
    </row>
    <row r="261" spans="1:10" x14ac:dyDescent="0.25">
      <c r="A261">
        <v>520002</v>
      </c>
      <c r="B261" t="s">
        <v>1342</v>
      </c>
      <c r="D261">
        <v>743</v>
      </c>
      <c r="E261">
        <v>0</v>
      </c>
      <c r="F261" s="147">
        <f t="shared" si="1"/>
        <v>743</v>
      </c>
      <c r="G261" s="43" t="str">
        <f>_xlfn.XLOOKUP($A261,Map!$A:$A,Map!C:C)</f>
        <v>IS</v>
      </c>
      <c r="H261" s="43" t="str">
        <f>_xlfn.XLOOKUP($A261,Map!$A:$A,Map!D:D)</f>
        <v>Cost of sales</v>
      </c>
      <c r="I261" s="43" t="str">
        <f>_xlfn.XLOOKUP($A261,Map!$A:$A,Map!E:E)</f>
        <v>Direct Labor</v>
      </c>
      <c r="J261" s="43" t="str">
        <f>_xlfn.XLOOKUP($A261,Map!$A:$A,Map!F:F)</f>
        <v>Overtime pay</v>
      </c>
    </row>
    <row r="262" spans="1:10" x14ac:dyDescent="0.25">
      <c r="A262">
        <v>520001</v>
      </c>
      <c r="B262" t="s">
        <v>1342</v>
      </c>
      <c r="D262">
        <v>270058</v>
      </c>
      <c r="E262">
        <v>0</v>
      </c>
      <c r="F262" s="147">
        <f t="shared" si="1"/>
        <v>270058</v>
      </c>
      <c r="G262" s="43" t="str">
        <f>_xlfn.XLOOKUP($A262,Map!$A:$A,Map!C:C)</f>
        <v>IS</v>
      </c>
      <c r="H262" s="43" t="str">
        <f>_xlfn.XLOOKUP($A262,Map!$A:$A,Map!D:D)</f>
        <v>Cost of sales</v>
      </c>
      <c r="I262" s="43" t="str">
        <f>_xlfn.XLOOKUP($A262,Map!$A:$A,Map!E:E)</f>
        <v>Direct Labor</v>
      </c>
      <c r="J262" s="43" t="str">
        <f>_xlfn.XLOOKUP($A262,Map!$A:$A,Map!F:F)</f>
        <v>Salaries and wages</v>
      </c>
    </row>
    <row r="263" spans="1:10" x14ac:dyDescent="0.25">
      <c r="A263">
        <v>520001</v>
      </c>
      <c r="B263" t="s">
        <v>1342</v>
      </c>
      <c r="D263">
        <v>74330</v>
      </c>
      <c r="E263">
        <v>0</v>
      </c>
      <c r="F263" s="147">
        <f t="shared" si="1"/>
        <v>74330</v>
      </c>
      <c r="G263" s="43" t="str">
        <f>_xlfn.XLOOKUP($A263,Map!$A:$A,Map!C:C)</f>
        <v>IS</v>
      </c>
      <c r="H263" s="43" t="str">
        <f>_xlfn.XLOOKUP($A263,Map!$A:$A,Map!D:D)</f>
        <v>Cost of sales</v>
      </c>
      <c r="I263" s="43" t="str">
        <f>_xlfn.XLOOKUP($A263,Map!$A:$A,Map!E:E)</f>
        <v>Direct Labor</v>
      </c>
      <c r="J263" s="43" t="str">
        <f>_xlfn.XLOOKUP($A263,Map!$A:$A,Map!F:F)</f>
        <v>Salaries and wages</v>
      </c>
    </row>
    <row r="264" spans="1:10" x14ac:dyDescent="0.25">
      <c r="A264">
        <v>520001</v>
      </c>
      <c r="B264" t="s">
        <v>1342</v>
      </c>
      <c r="D264">
        <v>321424.88</v>
      </c>
      <c r="E264">
        <v>0</v>
      </c>
      <c r="F264" s="147">
        <f t="shared" si="1"/>
        <v>321424.88</v>
      </c>
      <c r="G264" s="43" t="str">
        <f>_xlfn.XLOOKUP($A264,Map!$A:$A,Map!C:C)</f>
        <v>IS</v>
      </c>
      <c r="H264" s="43" t="str">
        <f>_xlfn.XLOOKUP($A264,Map!$A:$A,Map!D:D)</f>
        <v>Cost of sales</v>
      </c>
      <c r="I264" s="43" t="str">
        <f>_xlfn.XLOOKUP($A264,Map!$A:$A,Map!E:E)</f>
        <v>Direct Labor</v>
      </c>
      <c r="J264" s="43" t="str">
        <f>_xlfn.XLOOKUP($A264,Map!$A:$A,Map!F:F)</f>
        <v>Salaries and wages</v>
      </c>
    </row>
    <row r="265" spans="1:10" x14ac:dyDescent="0.25">
      <c r="A265">
        <v>520001</v>
      </c>
      <c r="B265" t="s">
        <v>1342</v>
      </c>
      <c r="D265">
        <v>90155</v>
      </c>
      <c r="E265">
        <v>0</v>
      </c>
      <c r="F265" s="147">
        <f t="shared" si="1"/>
        <v>90155</v>
      </c>
      <c r="G265" s="43" t="str">
        <f>_xlfn.XLOOKUP($A265,Map!$A:$A,Map!C:C)</f>
        <v>IS</v>
      </c>
      <c r="H265" s="43" t="str">
        <f>_xlfn.XLOOKUP($A265,Map!$A:$A,Map!D:D)</f>
        <v>Cost of sales</v>
      </c>
      <c r="I265" s="43" t="str">
        <f>_xlfn.XLOOKUP($A265,Map!$A:$A,Map!E:E)</f>
        <v>Direct Labor</v>
      </c>
      <c r="J265" s="43" t="str">
        <f>_xlfn.XLOOKUP($A265,Map!$A:$A,Map!F:F)</f>
        <v>Salaries and wages</v>
      </c>
    </row>
    <row r="266" spans="1:10" x14ac:dyDescent="0.25">
      <c r="A266">
        <v>520001</v>
      </c>
      <c r="B266" t="s">
        <v>1342</v>
      </c>
      <c r="D266">
        <v>2545</v>
      </c>
      <c r="E266">
        <v>0</v>
      </c>
      <c r="F266" s="147">
        <f t="shared" si="1"/>
        <v>2545</v>
      </c>
      <c r="G266" s="43" t="str">
        <f>_xlfn.XLOOKUP($A266,Map!$A:$A,Map!C:C)</f>
        <v>IS</v>
      </c>
      <c r="H266" s="43" t="str">
        <f>_xlfn.XLOOKUP($A266,Map!$A:$A,Map!D:D)</f>
        <v>Cost of sales</v>
      </c>
      <c r="I266" s="43" t="str">
        <f>_xlfn.XLOOKUP($A266,Map!$A:$A,Map!E:E)</f>
        <v>Direct Labor</v>
      </c>
      <c r="J266" s="43" t="str">
        <f>_xlfn.XLOOKUP($A266,Map!$A:$A,Map!F:F)</f>
        <v>Salaries and wages</v>
      </c>
    </row>
    <row r="267" spans="1:10" x14ac:dyDescent="0.25">
      <c r="A267">
        <v>520001</v>
      </c>
      <c r="B267" t="s">
        <v>1342</v>
      </c>
      <c r="D267">
        <v>35433</v>
      </c>
      <c r="E267">
        <v>0</v>
      </c>
      <c r="F267" s="147">
        <f t="shared" si="1"/>
        <v>35433</v>
      </c>
      <c r="G267" s="43" t="str">
        <f>_xlfn.XLOOKUP($A267,Map!$A:$A,Map!C:C)</f>
        <v>IS</v>
      </c>
      <c r="H267" s="43" t="str">
        <f>_xlfn.XLOOKUP($A267,Map!$A:$A,Map!D:D)</f>
        <v>Cost of sales</v>
      </c>
      <c r="I267" s="43" t="str">
        <f>_xlfn.XLOOKUP($A267,Map!$A:$A,Map!E:E)</f>
        <v>Direct Labor</v>
      </c>
      <c r="J267" s="43" t="str">
        <f>_xlfn.XLOOKUP($A267,Map!$A:$A,Map!F:F)</f>
        <v>Salaries and wages</v>
      </c>
    </row>
    <row r="268" spans="1:10" x14ac:dyDescent="0.25">
      <c r="A268">
        <v>510005</v>
      </c>
      <c r="B268" t="s">
        <v>1342</v>
      </c>
      <c r="D268">
        <v>132934.236</v>
      </c>
      <c r="E268">
        <v>0</v>
      </c>
      <c r="F268" s="147">
        <f t="shared" si="1"/>
        <v>132934.236</v>
      </c>
      <c r="G268" s="43" t="str">
        <f>_xlfn.XLOOKUP($A268,Map!$A:$A,Map!C:C)</f>
        <v>IS</v>
      </c>
      <c r="H268" s="43" t="str">
        <f>_xlfn.XLOOKUP($A268,Map!$A:$A,Map!D:D)</f>
        <v>Cost of sales</v>
      </c>
      <c r="I268" s="43" t="str">
        <f>_xlfn.XLOOKUP($A268,Map!$A:$A,Map!E:E)</f>
        <v>Raw materials</v>
      </c>
      <c r="J268" s="43" t="str">
        <f>_xlfn.XLOOKUP($A268,Map!$A:$A,Map!F:F)</f>
        <v>Other expenses</v>
      </c>
    </row>
    <row r="269" spans="1:10" x14ac:dyDescent="0.25">
      <c r="A269">
        <v>510005</v>
      </c>
      <c r="B269" t="s">
        <v>1342</v>
      </c>
      <c r="D269">
        <v>0</v>
      </c>
      <c r="E269">
        <v>330057.05900000001</v>
      </c>
      <c r="F269" s="147">
        <f t="shared" si="1"/>
        <v>-330057.05900000001</v>
      </c>
      <c r="G269" s="43" t="str">
        <f>_xlfn.XLOOKUP($A269,Map!$A:$A,Map!C:C)</f>
        <v>IS</v>
      </c>
      <c r="H269" s="43" t="str">
        <f>_xlfn.XLOOKUP($A269,Map!$A:$A,Map!D:D)</f>
        <v>Cost of sales</v>
      </c>
      <c r="I269" s="43" t="str">
        <f>_xlfn.XLOOKUP($A269,Map!$A:$A,Map!E:E)</f>
        <v>Raw materials</v>
      </c>
      <c r="J269" s="43" t="str">
        <f>_xlfn.XLOOKUP($A269,Map!$A:$A,Map!F:F)</f>
        <v>Other expenses</v>
      </c>
    </row>
    <row r="270" spans="1:10" x14ac:dyDescent="0.25">
      <c r="A270">
        <v>510004</v>
      </c>
      <c r="B270" t="s">
        <v>1342</v>
      </c>
      <c r="D270">
        <v>1817175.1310000001</v>
      </c>
      <c r="E270">
        <v>0</v>
      </c>
      <c r="F270" s="147">
        <f t="shared" si="1"/>
        <v>1817175.1310000001</v>
      </c>
      <c r="G270" s="43" t="str">
        <f>_xlfn.XLOOKUP($A270,Map!$A:$A,Map!C:C)</f>
        <v>IS</v>
      </c>
      <c r="H270" s="43" t="str">
        <f>_xlfn.XLOOKUP($A270,Map!$A:$A,Map!D:D)</f>
        <v>Cost of sales</v>
      </c>
      <c r="I270" s="43" t="str">
        <f>_xlfn.XLOOKUP($A270,Map!$A:$A,Map!E:E)</f>
        <v>Raw materials</v>
      </c>
      <c r="J270" s="43" t="str">
        <f>_xlfn.XLOOKUP($A270,Map!$A:$A,Map!F:F)</f>
        <v>Other expenses</v>
      </c>
    </row>
    <row r="271" spans="1:10" x14ac:dyDescent="0.25">
      <c r="A271">
        <v>510004</v>
      </c>
      <c r="B271" t="s">
        <v>1342</v>
      </c>
      <c r="D271">
        <v>505252.462</v>
      </c>
      <c r="E271">
        <v>0</v>
      </c>
      <c r="F271" s="147">
        <f t="shared" si="1"/>
        <v>505252.462</v>
      </c>
      <c r="G271" s="43" t="str">
        <f>_xlfn.XLOOKUP($A271,Map!$A:$A,Map!C:C)</f>
        <v>IS</v>
      </c>
      <c r="H271" s="43" t="str">
        <f>_xlfn.XLOOKUP($A271,Map!$A:$A,Map!D:D)</f>
        <v>Cost of sales</v>
      </c>
      <c r="I271" s="43" t="str">
        <f>_xlfn.XLOOKUP($A271,Map!$A:$A,Map!E:E)</f>
        <v>Raw materials</v>
      </c>
      <c r="J271" s="43" t="str">
        <f>_xlfn.XLOOKUP($A271,Map!$A:$A,Map!F:F)</f>
        <v>Other expenses</v>
      </c>
    </row>
    <row r="272" spans="1:10" x14ac:dyDescent="0.25">
      <c r="A272">
        <v>510004</v>
      </c>
      <c r="B272" t="s">
        <v>1342</v>
      </c>
      <c r="D272">
        <v>236445.97899999999</v>
      </c>
      <c r="E272">
        <v>0</v>
      </c>
      <c r="F272" s="147">
        <f t="shared" si="1"/>
        <v>236445.97899999999</v>
      </c>
      <c r="G272" s="43" t="str">
        <f>_xlfn.XLOOKUP($A272,Map!$A:$A,Map!C:C)</f>
        <v>IS</v>
      </c>
      <c r="H272" s="43" t="str">
        <f>_xlfn.XLOOKUP($A272,Map!$A:$A,Map!D:D)</f>
        <v>Cost of sales</v>
      </c>
      <c r="I272" s="43" t="str">
        <f>_xlfn.XLOOKUP($A272,Map!$A:$A,Map!E:E)</f>
        <v>Raw materials</v>
      </c>
      <c r="J272" s="43" t="str">
        <f>_xlfn.XLOOKUP($A272,Map!$A:$A,Map!F:F)</f>
        <v>Other expenses</v>
      </c>
    </row>
    <row r="273" spans="1:10" x14ac:dyDescent="0.25">
      <c r="A273">
        <v>510004</v>
      </c>
      <c r="B273" t="s">
        <v>1342</v>
      </c>
      <c r="D273">
        <v>873939.63199999998</v>
      </c>
      <c r="E273">
        <v>0</v>
      </c>
      <c r="F273" s="147">
        <f t="shared" si="1"/>
        <v>873939.63199999998</v>
      </c>
      <c r="G273" s="43" t="str">
        <f>_xlfn.XLOOKUP($A273,Map!$A:$A,Map!C:C)</f>
        <v>IS</v>
      </c>
      <c r="H273" s="43" t="str">
        <f>_xlfn.XLOOKUP($A273,Map!$A:$A,Map!D:D)</f>
        <v>Cost of sales</v>
      </c>
      <c r="I273" s="43" t="str">
        <f>_xlfn.XLOOKUP($A273,Map!$A:$A,Map!E:E)</f>
        <v>Raw materials</v>
      </c>
      <c r="J273" s="43" t="str">
        <f>_xlfn.XLOOKUP($A273,Map!$A:$A,Map!F:F)</f>
        <v>Other expenses</v>
      </c>
    </row>
    <row r="274" spans="1:10" x14ac:dyDescent="0.25">
      <c r="A274">
        <v>510004</v>
      </c>
      <c r="B274" t="s">
        <v>1342</v>
      </c>
      <c r="D274">
        <v>1314431.9480000001</v>
      </c>
      <c r="E274">
        <v>0</v>
      </c>
      <c r="F274" s="147">
        <f t="shared" si="1"/>
        <v>1314431.9480000001</v>
      </c>
      <c r="G274" s="43" t="str">
        <f>_xlfn.XLOOKUP($A274,Map!$A:$A,Map!C:C)</f>
        <v>IS</v>
      </c>
      <c r="H274" s="43" t="str">
        <f>_xlfn.XLOOKUP($A274,Map!$A:$A,Map!D:D)</f>
        <v>Cost of sales</v>
      </c>
      <c r="I274" s="43" t="str">
        <f>_xlfn.XLOOKUP($A274,Map!$A:$A,Map!E:E)</f>
        <v>Raw materials</v>
      </c>
      <c r="J274" s="43" t="str">
        <f>_xlfn.XLOOKUP($A274,Map!$A:$A,Map!F:F)</f>
        <v>Other expenses</v>
      </c>
    </row>
    <row r="275" spans="1:10" x14ac:dyDescent="0.25">
      <c r="A275">
        <v>510004</v>
      </c>
      <c r="B275" t="s">
        <v>1342</v>
      </c>
      <c r="D275">
        <v>229138.74799999999</v>
      </c>
      <c r="E275">
        <v>0</v>
      </c>
      <c r="F275" s="147">
        <f t="shared" si="1"/>
        <v>229138.74799999999</v>
      </c>
      <c r="G275" s="43" t="str">
        <f>_xlfn.XLOOKUP($A275,Map!$A:$A,Map!C:C)</f>
        <v>IS</v>
      </c>
      <c r="H275" s="43" t="str">
        <f>_xlfn.XLOOKUP($A275,Map!$A:$A,Map!D:D)</f>
        <v>Cost of sales</v>
      </c>
      <c r="I275" s="43" t="str">
        <f>_xlfn.XLOOKUP($A275,Map!$A:$A,Map!E:E)</f>
        <v>Raw materials</v>
      </c>
      <c r="J275" s="43" t="str">
        <f>_xlfn.XLOOKUP($A275,Map!$A:$A,Map!F:F)</f>
        <v>Other expenses</v>
      </c>
    </row>
    <row r="276" spans="1:10" x14ac:dyDescent="0.25">
      <c r="A276">
        <v>510004</v>
      </c>
      <c r="B276" t="s">
        <v>1342</v>
      </c>
      <c r="D276">
        <v>90913.673999999999</v>
      </c>
      <c r="E276">
        <v>0</v>
      </c>
      <c r="F276" s="147">
        <f t="shared" si="1"/>
        <v>90913.673999999999</v>
      </c>
      <c r="G276" s="43" t="str">
        <f>_xlfn.XLOOKUP($A276,Map!$A:$A,Map!C:C)</f>
        <v>IS</v>
      </c>
      <c r="H276" s="43" t="str">
        <f>_xlfn.XLOOKUP($A276,Map!$A:$A,Map!D:D)</f>
        <v>Cost of sales</v>
      </c>
      <c r="I276" s="43" t="str">
        <f>_xlfn.XLOOKUP($A276,Map!$A:$A,Map!E:E)</f>
        <v>Raw materials</v>
      </c>
      <c r="J276" s="43" t="str">
        <f>_xlfn.XLOOKUP($A276,Map!$A:$A,Map!F:F)</f>
        <v>Other expenses</v>
      </c>
    </row>
    <row r="277" spans="1:10" x14ac:dyDescent="0.25">
      <c r="A277">
        <v>510004</v>
      </c>
      <c r="B277" t="s">
        <v>1342</v>
      </c>
      <c r="D277">
        <v>130354.931</v>
      </c>
      <c r="E277">
        <v>0</v>
      </c>
      <c r="F277" s="147">
        <f t="shared" si="1"/>
        <v>130354.931</v>
      </c>
      <c r="G277" s="43" t="str">
        <f>_xlfn.XLOOKUP($A277,Map!$A:$A,Map!C:C)</f>
        <v>IS</v>
      </c>
      <c r="H277" s="43" t="str">
        <f>_xlfn.XLOOKUP($A277,Map!$A:$A,Map!D:D)</f>
        <v>Cost of sales</v>
      </c>
      <c r="I277" s="43" t="str">
        <f>_xlfn.XLOOKUP($A277,Map!$A:$A,Map!E:E)</f>
        <v>Raw materials</v>
      </c>
      <c r="J277" s="43" t="str">
        <f>_xlfn.XLOOKUP($A277,Map!$A:$A,Map!F:F)</f>
        <v>Other expenses</v>
      </c>
    </row>
    <row r="278" spans="1:10" x14ac:dyDescent="0.25">
      <c r="A278">
        <v>510004</v>
      </c>
      <c r="B278" t="s">
        <v>1342</v>
      </c>
      <c r="D278">
        <v>1135067.5549999999</v>
      </c>
      <c r="E278">
        <v>0</v>
      </c>
      <c r="F278" s="147">
        <f t="shared" si="1"/>
        <v>1135067.5549999999</v>
      </c>
      <c r="G278" s="43" t="str">
        <f>_xlfn.XLOOKUP($A278,Map!$A:$A,Map!C:C)</f>
        <v>IS</v>
      </c>
      <c r="H278" s="43" t="str">
        <f>_xlfn.XLOOKUP($A278,Map!$A:$A,Map!D:D)</f>
        <v>Cost of sales</v>
      </c>
      <c r="I278" s="43" t="str">
        <f>_xlfn.XLOOKUP($A278,Map!$A:$A,Map!E:E)</f>
        <v>Raw materials</v>
      </c>
      <c r="J278" s="43" t="str">
        <f>_xlfn.XLOOKUP($A278,Map!$A:$A,Map!F:F)</f>
        <v>Other expenses</v>
      </c>
    </row>
    <row r="279" spans="1:10" x14ac:dyDescent="0.25">
      <c r="A279">
        <v>510004</v>
      </c>
      <c r="B279" t="s">
        <v>1342</v>
      </c>
      <c r="D279">
        <v>94027.423999999999</v>
      </c>
      <c r="E279">
        <v>0</v>
      </c>
      <c r="F279" s="147">
        <f t="shared" si="1"/>
        <v>94027.423999999999</v>
      </c>
      <c r="G279" s="43" t="str">
        <f>_xlfn.XLOOKUP($A279,Map!$A:$A,Map!C:C)</f>
        <v>IS</v>
      </c>
      <c r="H279" s="43" t="str">
        <f>_xlfn.XLOOKUP($A279,Map!$A:$A,Map!D:D)</f>
        <v>Cost of sales</v>
      </c>
      <c r="I279" s="43" t="str">
        <f>_xlfn.XLOOKUP($A279,Map!$A:$A,Map!E:E)</f>
        <v>Raw materials</v>
      </c>
      <c r="J279" s="43" t="str">
        <f>_xlfn.XLOOKUP($A279,Map!$A:$A,Map!F:F)</f>
        <v>Other expenses</v>
      </c>
    </row>
    <row r="280" spans="1:10" x14ac:dyDescent="0.25">
      <c r="A280">
        <v>510003</v>
      </c>
      <c r="B280" t="s">
        <v>1342</v>
      </c>
      <c r="D280">
        <v>0</v>
      </c>
      <c r="E280">
        <v>4511790.9249999998</v>
      </c>
      <c r="F280" s="147">
        <f t="shared" si="1"/>
        <v>-4511790.9249999998</v>
      </c>
      <c r="G280" s="43" t="str">
        <f>_xlfn.XLOOKUP($A280,Map!$A:$A,Map!C:C)</f>
        <v>IS</v>
      </c>
      <c r="H280" s="43" t="str">
        <f>_xlfn.XLOOKUP($A280,Map!$A:$A,Map!D:D)</f>
        <v>Cost of sales</v>
      </c>
      <c r="I280" s="43" t="str">
        <f>_xlfn.XLOOKUP($A280,Map!$A:$A,Map!E:E)</f>
        <v>Raw materials</v>
      </c>
      <c r="J280" s="43" t="str">
        <f>_xlfn.XLOOKUP($A280,Map!$A:$A,Map!F:F)</f>
        <v>Raw materials</v>
      </c>
    </row>
    <row r="281" spans="1:10" x14ac:dyDescent="0.25">
      <c r="A281">
        <v>510003</v>
      </c>
      <c r="B281" t="s">
        <v>1342</v>
      </c>
      <c r="D281">
        <v>0</v>
      </c>
      <c r="E281">
        <v>1254470.983</v>
      </c>
      <c r="F281" s="147">
        <f t="shared" si="1"/>
        <v>-1254470.983</v>
      </c>
      <c r="G281" s="43" t="str">
        <f>_xlfn.XLOOKUP($A281,Map!$A:$A,Map!C:C)</f>
        <v>IS</v>
      </c>
      <c r="H281" s="43" t="str">
        <f>_xlfn.XLOOKUP($A281,Map!$A:$A,Map!D:D)</f>
        <v>Cost of sales</v>
      </c>
      <c r="I281" s="43" t="str">
        <f>_xlfn.XLOOKUP($A281,Map!$A:$A,Map!E:E)</f>
        <v>Raw materials</v>
      </c>
      <c r="J281" s="43" t="str">
        <f>_xlfn.XLOOKUP($A281,Map!$A:$A,Map!F:F)</f>
        <v>Raw materials</v>
      </c>
    </row>
    <row r="282" spans="1:10" x14ac:dyDescent="0.25">
      <c r="A282">
        <v>510003</v>
      </c>
      <c r="B282" t="s">
        <v>1342</v>
      </c>
      <c r="D282">
        <v>0</v>
      </c>
      <c r="E282">
        <v>587062.196</v>
      </c>
      <c r="F282" s="147">
        <f t="shared" si="1"/>
        <v>-587062.196</v>
      </c>
      <c r="G282" s="43" t="str">
        <f>_xlfn.XLOOKUP($A282,Map!$A:$A,Map!C:C)</f>
        <v>IS</v>
      </c>
      <c r="H282" s="43" t="str">
        <f>_xlfn.XLOOKUP($A282,Map!$A:$A,Map!D:D)</f>
        <v>Cost of sales</v>
      </c>
      <c r="I282" s="43" t="str">
        <f>_xlfn.XLOOKUP($A282,Map!$A:$A,Map!E:E)</f>
        <v>Raw materials</v>
      </c>
      <c r="J282" s="43" t="str">
        <f>_xlfn.XLOOKUP($A282,Map!$A:$A,Map!F:F)</f>
        <v>Raw materials</v>
      </c>
    </row>
    <row r="283" spans="1:10" x14ac:dyDescent="0.25">
      <c r="A283">
        <v>510003</v>
      </c>
      <c r="B283" t="s">
        <v>1342</v>
      </c>
      <c r="D283">
        <v>0</v>
      </c>
      <c r="E283">
        <v>2169869.5040000002</v>
      </c>
      <c r="F283" s="147">
        <f t="shared" si="1"/>
        <v>-2169869.5040000002</v>
      </c>
      <c r="G283" s="43" t="str">
        <f>_xlfn.XLOOKUP($A283,Map!$A:$A,Map!C:C)</f>
        <v>IS</v>
      </c>
      <c r="H283" s="43" t="str">
        <f>_xlfn.XLOOKUP($A283,Map!$A:$A,Map!D:D)</f>
        <v>Cost of sales</v>
      </c>
      <c r="I283" s="43" t="str">
        <f>_xlfn.XLOOKUP($A283,Map!$A:$A,Map!E:E)</f>
        <v>Raw materials</v>
      </c>
      <c r="J283" s="43" t="str">
        <f>_xlfn.XLOOKUP($A283,Map!$A:$A,Map!F:F)</f>
        <v>Raw materials</v>
      </c>
    </row>
    <row r="284" spans="1:10" x14ac:dyDescent="0.25">
      <c r="A284">
        <v>510003</v>
      </c>
      <c r="B284" t="s">
        <v>1342</v>
      </c>
      <c r="D284">
        <v>0</v>
      </c>
      <c r="E284">
        <v>3263550.13</v>
      </c>
      <c r="F284" s="147">
        <f t="shared" si="1"/>
        <v>-3263550.13</v>
      </c>
      <c r="G284" s="43" t="str">
        <f>_xlfn.XLOOKUP($A284,Map!$A:$A,Map!C:C)</f>
        <v>IS</v>
      </c>
      <c r="H284" s="43" t="str">
        <f>_xlfn.XLOOKUP($A284,Map!$A:$A,Map!D:D)</f>
        <v>Cost of sales</v>
      </c>
      <c r="I284" s="43" t="str">
        <f>_xlfn.XLOOKUP($A284,Map!$A:$A,Map!E:E)</f>
        <v>Raw materials</v>
      </c>
      <c r="J284" s="43" t="str">
        <f>_xlfn.XLOOKUP($A284,Map!$A:$A,Map!F:F)</f>
        <v>Raw materials</v>
      </c>
    </row>
    <row r="285" spans="1:10" x14ac:dyDescent="0.25">
      <c r="A285">
        <v>510003</v>
      </c>
      <c r="B285" t="s">
        <v>1342</v>
      </c>
      <c r="D285">
        <v>0</v>
      </c>
      <c r="E285">
        <v>568919.36600000004</v>
      </c>
      <c r="F285" s="147">
        <f t="shared" si="1"/>
        <v>-568919.36600000004</v>
      </c>
      <c r="G285" s="43" t="str">
        <f>_xlfn.XLOOKUP($A285,Map!$A:$A,Map!C:C)</f>
        <v>IS</v>
      </c>
      <c r="H285" s="43" t="str">
        <f>_xlfn.XLOOKUP($A285,Map!$A:$A,Map!D:D)</f>
        <v>Cost of sales</v>
      </c>
      <c r="I285" s="43" t="str">
        <f>_xlfn.XLOOKUP($A285,Map!$A:$A,Map!E:E)</f>
        <v>Raw materials</v>
      </c>
      <c r="J285" s="43" t="str">
        <f>_xlfn.XLOOKUP($A285,Map!$A:$A,Map!F:F)</f>
        <v>Raw materials</v>
      </c>
    </row>
    <row r="286" spans="1:10" x14ac:dyDescent="0.25">
      <c r="A286">
        <v>510003</v>
      </c>
      <c r="B286" t="s">
        <v>1342</v>
      </c>
      <c r="D286">
        <v>0</v>
      </c>
      <c r="E286">
        <v>225725.89799999999</v>
      </c>
      <c r="F286" s="147">
        <f t="shared" si="1"/>
        <v>-225725.89799999999</v>
      </c>
      <c r="G286" s="43" t="str">
        <f>_xlfn.XLOOKUP($A286,Map!$A:$A,Map!C:C)</f>
        <v>IS</v>
      </c>
      <c r="H286" s="43" t="str">
        <f>_xlfn.XLOOKUP($A286,Map!$A:$A,Map!D:D)</f>
        <v>Cost of sales</v>
      </c>
      <c r="I286" s="43" t="str">
        <f>_xlfn.XLOOKUP($A286,Map!$A:$A,Map!E:E)</f>
        <v>Raw materials</v>
      </c>
      <c r="J286" s="43" t="str">
        <f>_xlfn.XLOOKUP($A286,Map!$A:$A,Map!F:F)</f>
        <v>Raw materials</v>
      </c>
    </row>
    <row r="287" spans="1:10" x14ac:dyDescent="0.25">
      <c r="A287">
        <v>510003</v>
      </c>
      <c r="B287" t="s">
        <v>1342</v>
      </c>
      <c r="D287">
        <v>0</v>
      </c>
      <c r="E287">
        <v>323653.00699999998</v>
      </c>
      <c r="F287" s="147">
        <f t="shared" si="1"/>
        <v>-323653.00699999998</v>
      </c>
      <c r="G287" s="43" t="str">
        <f>_xlfn.XLOOKUP($A287,Map!$A:$A,Map!C:C)</f>
        <v>IS</v>
      </c>
      <c r="H287" s="43" t="str">
        <f>_xlfn.XLOOKUP($A287,Map!$A:$A,Map!D:D)</f>
        <v>Cost of sales</v>
      </c>
      <c r="I287" s="43" t="str">
        <f>_xlfn.XLOOKUP($A287,Map!$A:$A,Map!E:E)</f>
        <v>Raw materials</v>
      </c>
      <c r="J287" s="43" t="str">
        <f>_xlfn.XLOOKUP($A287,Map!$A:$A,Map!F:F)</f>
        <v>Raw materials</v>
      </c>
    </row>
    <row r="288" spans="1:10" x14ac:dyDescent="0.25">
      <c r="A288">
        <v>510003</v>
      </c>
      <c r="B288" t="s">
        <v>1342</v>
      </c>
      <c r="D288">
        <v>0</v>
      </c>
      <c r="E288">
        <v>2818213.5040000002</v>
      </c>
      <c r="F288" s="147">
        <f t="shared" si="1"/>
        <v>-2818213.5040000002</v>
      </c>
      <c r="G288" s="43" t="str">
        <f>_xlfn.XLOOKUP($A288,Map!$A:$A,Map!C:C)</f>
        <v>IS</v>
      </c>
      <c r="H288" s="43" t="str">
        <f>_xlfn.XLOOKUP($A288,Map!$A:$A,Map!D:D)</f>
        <v>Cost of sales</v>
      </c>
      <c r="I288" s="43" t="str">
        <f>_xlfn.XLOOKUP($A288,Map!$A:$A,Map!E:E)</f>
        <v>Raw materials</v>
      </c>
      <c r="J288" s="43" t="str">
        <f>_xlfn.XLOOKUP($A288,Map!$A:$A,Map!F:F)</f>
        <v>Raw materials</v>
      </c>
    </row>
    <row r="289" spans="1:10" x14ac:dyDescent="0.25">
      <c r="A289">
        <v>510003</v>
      </c>
      <c r="B289" t="s">
        <v>1342</v>
      </c>
      <c r="D289">
        <v>0</v>
      </c>
      <c r="E289">
        <v>233456.90400000001</v>
      </c>
      <c r="F289" s="147">
        <f t="shared" si="1"/>
        <v>-233456.90400000001</v>
      </c>
      <c r="G289" s="43" t="str">
        <f>_xlfn.XLOOKUP($A289,Map!$A:$A,Map!C:C)</f>
        <v>IS</v>
      </c>
      <c r="H289" s="43" t="str">
        <f>_xlfn.XLOOKUP($A289,Map!$A:$A,Map!D:D)</f>
        <v>Cost of sales</v>
      </c>
      <c r="I289" s="43" t="str">
        <f>_xlfn.XLOOKUP($A289,Map!$A:$A,Map!E:E)</f>
        <v>Raw materials</v>
      </c>
      <c r="J289" s="43" t="str">
        <f>_xlfn.XLOOKUP($A289,Map!$A:$A,Map!F:F)</f>
        <v>Raw materials</v>
      </c>
    </row>
    <row r="290" spans="1:10" x14ac:dyDescent="0.25">
      <c r="A290">
        <v>510002</v>
      </c>
      <c r="B290" t="s">
        <v>1342</v>
      </c>
      <c r="D290">
        <v>0</v>
      </c>
      <c r="E290">
        <v>144209.364</v>
      </c>
      <c r="F290" s="147">
        <f t="shared" si="1"/>
        <v>-144209.364</v>
      </c>
      <c r="G290" s="43" t="str">
        <f>_xlfn.XLOOKUP($A290,Map!$A:$A,Map!C:C)</f>
        <v>IS</v>
      </c>
      <c r="H290" s="43" t="str">
        <f>_xlfn.XLOOKUP($A290,Map!$A:$A,Map!D:D)</f>
        <v>Cost of sales</v>
      </c>
      <c r="I290" s="43" t="str">
        <f>_xlfn.XLOOKUP($A290,Map!$A:$A,Map!E:E)</f>
        <v>Direct Labor</v>
      </c>
      <c r="J290" s="43" t="str">
        <f>_xlfn.XLOOKUP($A290,Map!$A:$A,Map!F:F)</f>
        <v>Direct Labor</v>
      </c>
    </row>
    <row r="291" spans="1:10" x14ac:dyDescent="0.25">
      <c r="A291">
        <v>510002</v>
      </c>
      <c r="B291" t="s">
        <v>1342</v>
      </c>
      <c r="D291">
        <v>0</v>
      </c>
      <c r="E291">
        <v>46842.752</v>
      </c>
      <c r="F291" s="147">
        <f t="shared" si="1"/>
        <v>-46842.752</v>
      </c>
      <c r="G291" s="43" t="str">
        <f>_xlfn.XLOOKUP($A291,Map!$A:$A,Map!C:C)</f>
        <v>IS</v>
      </c>
      <c r="H291" s="43" t="str">
        <f>_xlfn.XLOOKUP($A291,Map!$A:$A,Map!D:D)</f>
        <v>Cost of sales</v>
      </c>
      <c r="I291" s="43" t="str">
        <f>_xlfn.XLOOKUP($A291,Map!$A:$A,Map!E:E)</f>
        <v>Direct Labor</v>
      </c>
      <c r="J291" s="43" t="str">
        <f>_xlfn.XLOOKUP($A291,Map!$A:$A,Map!F:F)</f>
        <v>Direct Labor</v>
      </c>
    </row>
    <row r="292" spans="1:10" x14ac:dyDescent="0.25">
      <c r="A292">
        <v>510002</v>
      </c>
      <c r="B292" t="s">
        <v>1342</v>
      </c>
      <c r="D292">
        <v>0</v>
      </c>
      <c r="E292">
        <v>104152.148</v>
      </c>
      <c r="F292" s="147">
        <f t="shared" si="1"/>
        <v>-104152.148</v>
      </c>
      <c r="G292" s="43" t="str">
        <f>_xlfn.XLOOKUP($A292,Map!$A:$A,Map!C:C)</f>
        <v>IS</v>
      </c>
      <c r="H292" s="43" t="str">
        <f>_xlfn.XLOOKUP($A292,Map!$A:$A,Map!D:D)</f>
        <v>Cost of sales</v>
      </c>
      <c r="I292" s="43" t="str">
        <f>_xlfn.XLOOKUP($A292,Map!$A:$A,Map!E:E)</f>
        <v>Direct Labor</v>
      </c>
      <c r="J292" s="43" t="str">
        <f>_xlfn.XLOOKUP($A292,Map!$A:$A,Map!F:F)</f>
        <v>Direct Labor</v>
      </c>
    </row>
    <row r="293" spans="1:10" x14ac:dyDescent="0.25">
      <c r="A293">
        <v>510002</v>
      </c>
      <c r="B293" t="s">
        <v>1342</v>
      </c>
      <c r="D293">
        <v>0</v>
      </c>
      <c r="E293">
        <v>73.727000000000004</v>
      </c>
      <c r="F293" s="147">
        <f t="shared" si="1"/>
        <v>-73.727000000000004</v>
      </c>
      <c r="G293" s="43" t="str">
        <f>_xlfn.XLOOKUP($A293,Map!$A:$A,Map!C:C)</f>
        <v>IS</v>
      </c>
      <c r="H293" s="43" t="str">
        <f>_xlfn.XLOOKUP($A293,Map!$A:$A,Map!D:D)</f>
        <v>Cost of sales</v>
      </c>
      <c r="I293" s="43" t="str">
        <f>_xlfn.XLOOKUP($A293,Map!$A:$A,Map!E:E)</f>
        <v>Direct Labor</v>
      </c>
      <c r="J293" s="43" t="str">
        <f>_xlfn.XLOOKUP($A293,Map!$A:$A,Map!F:F)</f>
        <v>Direct Labor</v>
      </c>
    </row>
    <row r="294" spans="1:10" x14ac:dyDescent="0.25">
      <c r="A294">
        <v>510002</v>
      </c>
      <c r="B294" t="s">
        <v>1342</v>
      </c>
      <c r="D294">
        <v>0</v>
      </c>
      <c r="E294">
        <v>29325.814999999999</v>
      </c>
      <c r="F294" s="147">
        <f t="shared" si="1"/>
        <v>-29325.814999999999</v>
      </c>
      <c r="G294" s="43" t="str">
        <f>_xlfn.XLOOKUP($A294,Map!$A:$A,Map!C:C)</f>
        <v>IS</v>
      </c>
      <c r="H294" s="43" t="str">
        <f>_xlfn.XLOOKUP($A294,Map!$A:$A,Map!D:D)</f>
        <v>Cost of sales</v>
      </c>
      <c r="I294" s="43" t="str">
        <f>_xlfn.XLOOKUP($A294,Map!$A:$A,Map!E:E)</f>
        <v>Direct Labor</v>
      </c>
      <c r="J294" s="43" t="str">
        <f>_xlfn.XLOOKUP($A294,Map!$A:$A,Map!F:F)</f>
        <v>Direct Labor</v>
      </c>
    </row>
    <row r="295" spans="1:10" x14ac:dyDescent="0.25">
      <c r="A295">
        <v>510002</v>
      </c>
      <c r="B295" t="s">
        <v>1342</v>
      </c>
      <c r="D295">
        <v>0</v>
      </c>
      <c r="E295">
        <v>6823.9430000000002</v>
      </c>
      <c r="F295" s="147">
        <f t="shared" si="1"/>
        <v>-6823.9430000000002</v>
      </c>
      <c r="G295" s="43" t="str">
        <f>_xlfn.XLOOKUP($A295,Map!$A:$A,Map!C:C)</f>
        <v>IS</v>
      </c>
      <c r="H295" s="43" t="str">
        <f>_xlfn.XLOOKUP($A295,Map!$A:$A,Map!D:D)</f>
        <v>Cost of sales</v>
      </c>
      <c r="I295" s="43" t="str">
        <f>_xlfn.XLOOKUP($A295,Map!$A:$A,Map!E:E)</f>
        <v>Direct Labor</v>
      </c>
      <c r="J295" s="43" t="str">
        <f>_xlfn.XLOOKUP($A295,Map!$A:$A,Map!F:F)</f>
        <v>Direct Labor</v>
      </c>
    </row>
    <row r="296" spans="1:10" x14ac:dyDescent="0.25">
      <c r="A296">
        <v>510002</v>
      </c>
      <c r="B296" t="s">
        <v>1342</v>
      </c>
      <c r="D296">
        <v>0</v>
      </c>
      <c r="E296">
        <v>13563.38</v>
      </c>
      <c r="F296" s="147">
        <f t="shared" si="1"/>
        <v>-13563.38</v>
      </c>
      <c r="G296" s="43" t="str">
        <f>_xlfn.XLOOKUP($A296,Map!$A:$A,Map!C:C)</f>
        <v>IS</v>
      </c>
      <c r="H296" s="43" t="str">
        <f>_xlfn.XLOOKUP($A296,Map!$A:$A,Map!D:D)</f>
        <v>Cost of sales</v>
      </c>
      <c r="I296" s="43" t="str">
        <f>_xlfn.XLOOKUP($A296,Map!$A:$A,Map!E:E)</f>
        <v>Direct Labor</v>
      </c>
      <c r="J296" s="43" t="str">
        <f>_xlfn.XLOOKUP($A296,Map!$A:$A,Map!F:F)</f>
        <v>Direct Labor</v>
      </c>
    </row>
    <row r="297" spans="1:10" x14ac:dyDescent="0.25">
      <c r="A297">
        <v>510002</v>
      </c>
      <c r="B297" t="s">
        <v>1342</v>
      </c>
      <c r="D297">
        <v>0</v>
      </c>
      <c r="E297">
        <v>0</v>
      </c>
      <c r="F297" s="147">
        <f t="shared" si="1"/>
        <v>0</v>
      </c>
      <c r="G297" s="43" t="str">
        <f>_xlfn.XLOOKUP($A297,Map!$A:$A,Map!C:C)</f>
        <v>IS</v>
      </c>
      <c r="H297" s="43" t="str">
        <f>_xlfn.XLOOKUP($A297,Map!$A:$A,Map!D:D)</f>
        <v>Cost of sales</v>
      </c>
      <c r="I297" s="43" t="str">
        <f>_xlfn.XLOOKUP($A297,Map!$A:$A,Map!E:E)</f>
        <v>Direct Labor</v>
      </c>
      <c r="J297" s="43" t="str">
        <f>_xlfn.XLOOKUP($A297,Map!$A:$A,Map!F:F)</f>
        <v>Direct Labor</v>
      </c>
    </row>
    <row r="298" spans="1:10" x14ac:dyDescent="0.25">
      <c r="A298">
        <v>510002</v>
      </c>
      <c r="B298" t="s">
        <v>1342</v>
      </c>
      <c r="D298">
        <v>0</v>
      </c>
      <c r="E298">
        <v>0</v>
      </c>
      <c r="F298" s="147">
        <f t="shared" si="1"/>
        <v>0</v>
      </c>
      <c r="G298" s="43" t="str">
        <f>_xlfn.XLOOKUP($A298,Map!$A:$A,Map!C:C)</f>
        <v>IS</v>
      </c>
      <c r="H298" s="43" t="str">
        <f>_xlfn.XLOOKUP($A298,Map!$A:$A,Map!D:D)</f>
        <v>Cost of sales</v>
      </c>
      <c r="I298" s="43" t="str">
        <f>_xlfn.XLOOKUP($A298,Map!$A:$A,Map!E:E)</f>
        <v>Direct Labor</v>
      </c>
      <c r="J298" s="43" t="str">
        <f>_xlfn.XLOOKUP($A298,Map!$A:$A,Map!F:F)</f>
        <v>Direct Labor</v>
      </c>
    </row>
    <row r="299" spans="1:10" x14ac:dyDescent="0.25">
      <c r="A299">
        <v>600031</v>
      </c>
      <c r="B299" t="s">
        <v>1343</v>
      </c>
      <c r="D299">
        <v>0</v>
      </c>
      <c r="E299">
        <v>0</v>
      </c>
      <c r="F299" s="147">
        <f t="shared" si="1"/>
        <v>0</v>
      </c>
      <c r="G299" s="43" t="str">
        <f>_xlfn.XLOOKUP($A299,Map!$A:$A,Map!C:C)</f>
        <v>IS</v>
      </c>
      <c r="H299" s="43" t="str">
        <f>_xlfn.XLOOKUP($A299,Map!$A:$A,Map!D:D)</f>
        <v>Depreciation expenses</v>
      </c>
      <c r="I299" s="43" t="str">
        <f>_xlfn.XLOOKUP($A299,Map!$A:$A,Map!E:E)</f>
        <v>Depreciation expenses</v>
      </c>
      <c r="J299" s="43" t="str">
        <f>_xlfn.XLOOKUP($A299,Map!$A:$A,Map!F:F)</f>
        <v>Depreciation of property, plant and equipment</v>
      </c>
    </row>
    <row r="300" spans="1:10" x14ac:dyDescent="0.25">
      <c r="A300">
        <v>600031</v>
      </c>
      <c r="B300" t="s">
        <v>1343</v>
      </c>
      <c r="D300">
        <v>19983.34</v>
      </c>
      <c r="E300">
        <v>0</v>
      </c>
      <c r="F300" s="147">
        <f t="shared" si="1"/>
        <v>19983.34</v>
      </c>
      <c r="G300" s="43" t="str">
        <f>_xlfn.XLOOKUP($A300,Map!$A:$A,Map!C:C)</f>
        <v>IS</v>
      </c>
      <c r="H300" s="43" t="str">
        <f>_xlfn.XLOOKUP($A300,Map!$A:$A,Map!D:D)</f>
        <v>Depreciation expenses</v>
      </c>
      <c r="I300" s="43" t="str">
        <f>_xlfn.XLOOKUP($A300,Map!$A:$A,Map!E:E)</f>
        <v>Depreciation expenses</v>
      </c>
      <c r="J300" s="43" t="str">
        <f>_xlfn.XLOOKUP($A300,Map!$A:$A,Map!F:F)</f>
        <v>Depreciation of property, plant and equipment</v>
      </c>
    </row>
    <row r="301" spans="1:10" x14ac:dyDescent="0.25">
      <c r="A301">
        <v>600030</v>
      </c>
      <c r="B301" t="s">
        <v>1343</v>
      </c>
      <c r="D301">
        <v>1845.88</v>
      </c>
      <c r="E301">
        <v>0</v>
      </c>
      <c r="F301" s="147">
        <f t="shared" si="1"/>
        <v>1845.88</v>
      </c>
      <c r="G301" s="43" t="str">
        <f>_xlfn.XLOOKUP($A301,Map!$A:$A,Map!C:C)</f>
        <v>IS</v>
      </c>
      <c r="H301" s="43" t="str">
        <f>_xlfn.XLOOKUP($A301,Map!$A:$A,Map!D:D)</f>
        <v>Depreciation expenses</v>
      </c>
      <c r="I301" s="43" t="str">
        <f>_xlfn.XLOOKUP($A301,Map!$A:$A,Map!E:E)</f>
        <v>Depreciation expenses</v>
      </c>
      <c r="J301" s="43" t="str">
        <f>_xlfn.XLOOKUP($A301,Map!$A:$A,Map!F:F)</f>
        <v>Depreciation of property, plant and equipment</v>
      </c>
    </row>
    <row r="302" spans="1:10" x14ac:dyDescent="0.25">
      <c r="A302">
        <v>600029</v>
      </c>
      <c r="B302" t="s">
        <v>1343</v>
      </c>
      <c r="D302">
        <v>574710.03</v>
      </c>
      <c r="E302">
        <v>0</v>
      </c>
      <c r="F302" s="147">
        <f t="shared" si="1"/>
        <v>574710.03</v>
      </c>
      <c r="G302" s="43" t="str">
        <f>_xlfn.XLOOKUP($A302,Map!$A:$A,Map!C:C)</f>
        <v>IS</v>
      </c>
      <c r="H302" s="43" t="str">
        <f>_xlfn.XLOOKUP($A302,Map!$A:$A,Map!D:D)</f>
        <v>Cost of sales</v>
      </c>
      <c r="I302" s="43" t="str">
        <f>_xlfn.XLOOKUP($A302,Map!$A:$A,Map!E:E)</f>
        <v>Depreciation - Machines</v>
      </c>
      <c r="J302" s="43" t="str">
        <f>_xlfn.XLOOKUP($A302,Map!$A:$A,Map!F:F)</f>
        <v>Depreciation of property, plant and equipment</v>
      </c>
    </row>
    <row r="303" spans="1:10" x14ac:dyDescent="0.25">
      <c r="A303">
        <v>600028</v>
      </c>
      <c r="B303" t="s">
        <v>1343</v>
      </c>
      <c r="D303">
        <v>2078</v>
      </c>
      <c r="E303">
        <v>0</v>
      </c>
      <c r="F303" s="147">
        <f t="shared" si="1"/>
        <v>2078</v>
      </c>
      <c r="G303" s="43" t="str">
        <f>_xlfn.XLOOKUP($A303,Map!$A:$A,Map!C:C)</f>
        <v>IS</v>
      </c>
      <c r="H303" s="43" t="str">
        <f>_xlfn.XLOOKUP($A303,Map!$A:$A,Map!D:D)</f>
        <v>Cost of sales</v>
      </c>
      <c r="I303" s="43" t="str">
        <f>_xlfn.XLOOKUP($A303,Map!$A:$A,Map!E:E)</f>
        <v>Overhead - Consumables &amp; SP</v>
      </c>
      <c r="J303" s="43" t="str">
        <f>_xlfn.XLOOKUP($A303,Map!$A:$A,Map!F:F)</f>
        <v xml:space="preserve">Education &amp; Furniture Allowances </v>
      </c>
    </row>
    <row r="304" spans="1:10" x14ac:dyDescent="0.25">
      <c r="A304">
        <v>600028</v>
      </c>
      <c r="B304" t="s">
        <v>1343</v>
      </c>
      <c r="D304">
        <v>0</v>
      </c>
      <c r="E304">
        <v>0</v>
      </c>
      <c r="F304" s="147">
        <f t="shared" si="1"/>
        <v>0</v>
      </c>
      <c r="G304" s="43" t="str">
        <f>_xlfn.XLOOKUP($A304,Map!$A:$A,Map!C:C)</f>
        <v>IS</v>
      </c>
      <c r="H304" s="43" t="str">
        <f>_xlfn.XLOOKUP($A304,Map!$A:$A,Map!D:D)</f>
        <v>Cost of sales</v>
      </c>
      <c r="I304" s="43" t="str">
        <f>_xlfn.XLOOKUP($A304,Map!$A:$A,Map!E:E)</f>
        <v>Overhead - Consumables &amp; SP</v>
      </c>
      <c r="J304" s="43" t="str">
        <f>_xlfn.XLOOKUP($A304,Map!$A:$A,Map!F:F)</f>
        <v xml:space="preserve">Education &amp; Furniture Allowances </v>
      </c>
    </row>
    <row r="305" spans="1:10" x14ac:dyDescent="0.25">
      <c r="A305">
        <v>600028</v>
      </c>
      <c r="B305" t="s">
        <v>1343</v>
      </c>
      <c r="D305">
        <v>0</v>
      </c>
      <c r="E305">
        <v>0</v>
      </c>
      <c r="F305" s="147">
        <f t="shared" si="1"/>
        <v>0</v>
      </c>
      <c r="G305" s="43" t="str">
        <f>_xlfn.XLOOKUP($A305,Map!$A:$A,Map!C:C)</f>
        <v>IS</v>
      </c>
      <c r="H305" s="43" t="str">
        <f>_xlfn.XLOOKUP($A305,Map!$A:$A,Map!D:D)</f>
        <v>Cost of sales</v>
      </c>
      <c r="I305" s="43" t="str">
        <f>_xlfn.XLOOKUP($A305,Map!$A:$A,Map!E:E)</f>
        <v>Overhead - Consumables &amp; SP</v>
      </c>
      <c r="J305" s="43" t="str">
        <f>_xlfn.XLOOKUP($A305,Map!$A:$A,Map!F:F)</f>
        <v xml:space="preserve">Education &amp; Furniture Allowances </v>
      </c>
    </row>
    <row r="306" spans="1:10" x14ac:dyDescent="0.25">
      <c r="A306">
        <v>600027</v>
      </c>
      <c r="B306" t="s">
        <v>1343</v>
      </c>
      <c r="D306">
        <v>105740</v>
      </c>
      <c r="E306">
        <v>0</v>
      </c>
      <c r="F306" s="147">
        <f t="shared" si="1"/>
        <v>105740</v>
      </c>
      <c r="G306" s="43" t="str">
        <f>_xlfn.XLOOKUP($A306,Map!$A:$A,Map!C:C)</f>
        <v>IS</v>
      </c>
      <c r="H306" s="43" t="str">
        <f>_xlfn.XLOOKUP($A306,Map!$A:$A,Map!D:D)</f>
        <v>Cost of sales</v>
      </c>
      <c r="I306" s="43" t="str">
        <f>_xlfn.XLOOKUP($A306,Map!$A:$A,Map!E:E)</f>
        <v>Overhead - Rent</v>
      </c>
      <c r="J306" s="43" t="str">
        <f>_xlfn.XLOOKUP($A306,Map!$A:$A,Map!F:F)</f>
        <v>Production hall rental</v>
      </c>
    </row>
    <row r="307" spans="1:10" x14ac:dyDescent="0.25">
      <c r="A307">
        <v>600024</v>
      </c>
      <c r="B307" t="s">
        <v>1343</v>
      </c>
      <c r="D307">
        <v>12952</v>
      </c>
      <c r="E307">
        <v>0</v>
      </c>
      <c r="F307" s="147">
        <f t="shared" si="1"/>
        <v>12952</v>
      </c>
      <c r="G307" s="43" t="str">
        <f>_xlfn.XLOOKUP($A307,Map!$A:$A,Map!C:C)</f>
        <v>IS</v>
      </c>
      <c r="H307" s="43" t="str">
        <f>_xlfn.XLOOKUP($A307,Map!$A:$A,Map!D:D)</f>
        <v>Cost of sales</v>
      </c>
      <c r="I307" s="43" t="str">
        <f>_xlfn.XLOOKUP($A307,Map!$A:$A,Map!E:E)</f>
        <v>Overhead - Rent</v>
      </c>
      <c r="J307" s="43" t="str">
        <f>_xlfn.XLOOKUP($A307,Map!$A:$A,Map!F:F)</f>
        <v>Pump rental expenses</v>
      </c>
    </row>
    <row r="308" spans="1:10" x14ac:dyDescent="0.25">
      <c r="A308">
        <v>600024</v>
      </c>
      <c r="B308" t="s">
        <v>1343</v>
      </c>
      <c r="D308">
        <v>25403.5</v>
      </c>
      <c r="E308">
        <v>0</v>
      </c>
      <c r="F308" s="147">
        <f t="shared" si="1"/>
        <v>25403.5</v>
      </c>
      <c r="G308" s="43" t="str">
        <f>_xlfn.XLOOKUP($A308,Map!$A:$A,Map!C:C)</f>
        <v>IS</v>
      </c>
      <c r="H308" s="43" t="str">
        <f>_xlfn.XLOOKUP($A308,Map!$A:$A,Map!D:D)</f>
        <v>Cost of sales</v>
      </c>
      <c r="I308" s="43" t="str">
        <f>_xlfn.XLOOKUP($A308,Map!$A:$A,Map!E:E)</f>
        <v>Overhead - Rent</v>
      </c>
      <c r="J308" s="43" t="str">
        <f>_xlfn.XLOOKUP($A308,Map!$A:$A,Map!F:F)</f>
        <v>Pump rental expenses</v>
      </c>
    </row>
    <row r="309" spans="1:10" x14ac:dyDescent="0.25">
      <c r="A309">
        <v>600021</v>
      </c>
      <c r="B309" t="s">
        <v>1343</v>
      </c>
      <c r="D309">
        <v>7009</v>
      </c>
      <c r="E309">
        <v>0</v>
      </c>
      <c r="F309" s="147">
        <f t="shared" si="1"/>
        <v>7009</v>
      </c>
      <c r="G309" s="43" t="str">
        <f>_xlfn.XLOOKUP($A309,Map!$A:$A,Map!C:C)</f>
        <v>IS</v>
      </c>
      <c r="H309" s="43" t="str">
        <f>_xlfn.XLOOKUP($A309,Map!$A:$A,Map!D:D)</f>
        <v>Cost of sales</v>
      </c>
      <c r="I309" s="43" t="str">
        <f>_xlfn.XLOOKUP($A309,Map!$A:$A,Map!E:E)</f>
        <v>Overhead - R&amp;M</v>
      </c>
      <c r="J309" s="43" t="str">
        <f>_xlfn.XLOOKUP($A309,Map!$A:$A,Map!F:F)</f>
        <v>Vehicle maintenance</v>
      </c>
    </row>
    <row r="310" spans="1:10" x14ac:dyDescent="0.25">
      <c r="A310">
        <v>600020</v>
      </c>
      <c r="B310" t="s">
        <v>1343</v>
      </c>
      <c r="D310">
        <v>14000</v>
      </c>
      <c r="E310">
        <v>0</v>
      </c>
      <c r="F310" s="147">
        <f t="shared" si="1"/>
        <v>14000</v>
      </c>
      <c r="G310" s="43" t="str">
        <f>_xlfn.XLOOKUP($A310,Map!$A:$A,Map!C:C)</f>
        <v>IS</v>
      </c>
      <c r="H310" s="43" t="str">
        <f>_xlfn.XLOOKUP($A310,Map!$A:$A,Map!D:D)</f>
        <v>Cost of sales</v>
      </c>
      <c r="I310" s="43" t="str">
        <f>_xlfn.XLOOKUP($A310,Map!$A:$A,Map!E:E)</f>
        <v>Overhead - R&amp;M</v>
      </c>
      <c r="J310" s="43" t="str">
        <f>_xlfn.XLOOKUP($A310,Map!$A:$A,Map!F:F)</f>
        <v>Machine and equipment</v>
      </c>
    </row>
    <row r="311" spans="1:10" x14ac:dyDescent="0.25">
      <c r="A311">
        <v>600020</v>
      </c>
      <c r="B311" t="s">
        <v>1343</v>
      </c>
      <c r="D311">
        <v>0</v>
      </c>
      <c r="E311">
        <v>0</v>
      </c>
      <c r="F311" s="147">
        <f t="shared" si="1"/>
        <v>0</v>
      </c>
      <c r="G311" s="43" t="str">
        <f>_xlfn.XLOOKUP($A311,Map!$A:$A,Map!C:C)</f>
        <v>IS</v>
      </c>
      <c r="H311" s="43" t="str">
        <f>_xlfn.XLOOKUP($A311,Map!$A:$A,Map!D:D)</f>
        <v>Cost of sales</v>
      </c>
      <c r="I311" s="43" t="str">
        <f>_xlfn.XLOOKUP($A311,Map!$A:$A,Map!E:E)</f>
        <v>Overhead - R&amp;M</v>
      </c>
      <c r="J311" s="43" t="str">
        <f>_xlfn.XLOOKUP($A311,Map!$A:$A,Map!F:F)</f>
        <v>Machine and equipment</v>
      </c>
    </row>
    <row r="312" spans="1:10" x14ac:dyDescent="0.25">
      <c r="A312">
        <v>600019</v>
      </c>
      <c r="B312" t="s">
        <v>1343</v>
      </c>
      <c r="D312">
        <v>0</v>
      </c>
      <c r="E312">
        <v>0</v>
      </c>
      <c r="F312" s="147">
        <f t="shared" si="1"/>
        <v>0</v>
      </c>
      <c r="G312" s="43" t="str">
        <f>_xlfn.XLOOKUP($A312,Map!$A:$A,Map!C:C)</f>
        <v>IS</v>
      </c>
      <c r="H312" s="43" t="str">
        <f>_xlfn.XLOOKUP($A312,Map!$A:$A,Map!D:D)</f>
        <v>Cost of sales</v>
      </c>
      <c r="I312" s="43" t="str">
        <f>_xlfn.XLOOKUP($A312,Map!$A:$A,Map!E:E)</f>
        <v>Overhead - Utility</v>
      </c>
      <c r="J312" s="43" t="str">
        <f>_xlfn.XLOOKUP($A312,Map!$A:$A,Map!F:F)</f>
        <v>Fuel and oil</v>
      </c>
    </row>
    <row r="313" spans="1:10" x14ac:dyDescent="0.25">
      <c r="A313">
        <v>600018</v>
      </c>
      <c r="B313" t="s">
        <v>1343</v>
      </c>
      <c r="D313">
        <v>21046</v>
      </c>
      <c r="E313">
        <v>0</v>
      </c>
      <c r="F313" s="147">
        <f t="shared" si="1"/>
        <v>21046</v>
      </c>
      <c r="G313" s="43" t="str">
        <f>_xlfn.XLOOKUP($A313,Map!$A:$A,Map!C:C)</f>
        <v>IS</v>
      </c>
      <c r="H313" s="43" t="str">
        <f>_xlfn.XLOOKUP($A313,Map!$A:$A,Map!D:D)</f>
        <v>Cost of sales</v>
      </c>
      <c r="I313" s="43" t="str">
        <f>_xlfn.XLOOKUP($A313,Map!$A:$A,Map!E:E)</f>
        <v>Overhead - Utility</v>
      </c>
      <c r="J313" s="43" t="str">
        <f>_xlfn.XLOOKUP($A313,Map!$A:$A,Map!F:F)</f>
        <v>Water expenses</v>
      </c>
    </row>
    <row r="314" spans="1:10" x14ac:dyDescent="0.25">
      <c r="A314">
        <v>600018</v>
      </c>
      <c r="B314" t="s">
        <v>1343</v>
      </c>
      <c r="D314">
        <v>0</v>
      </c>
      <c r="E314">
        <v>0</v>
      </c>
      <c r="F314" s="147">
        <f t="shared" si="1"/>
        <v>0</v>
      </c>
      <c r="G314" s="43" t="str">
        <f>_xlfn.XLOOKUP($A314,Map!$A:$A,Map!C:C)</f>
        <v>IS</v>
      </c>
      <c r="H314" s="43" t="str">
        <f>_xlfn.XLOOKUP($A314,Map!$A:$A,Map!D:D)</f>
        <v>Cost of sales</v>
      </c>
      <c r="I314" s="43" t="str">
        <f>_xlfn.XLOOKUP($A314,Map!$A:$A,Map!E:E)</f>
        <v>Overhead - Utility</v>
      </c>
      <c r="J314" s="43" t="str">
        <f>_xlfn.XLOOKUP($A314,Map!$A:$A,Map!F:F)</f>
        <v>Water expenses</v>
      </c>
    </row>
    <row r="315" spans="1:10" x14ac:dyDescent="0.25">
      <c r="A315">
        <v>600017</v>
      </c>
      <c r="B315" t="s">
        <v>1343</v>
      </c>
      <c r="D315">
        <v>293375.03000000003</v>
      </c>
      <c r="E315">
        <v>0</v>
      </c>
      <c r="F315" s="147">
        <f t="shared" si="1"/>
        <v>293375.03000000003</v>
      </c>
      <c r="G315" s="43" t="str">
        <f>_xlfn.XLOOKUP($A315,Map!$A:$A,Map!C:C)</f>
        <v>IS</v>
      </c>
      <c r="H315" s="43" t="str">
        <f>_xlfn.XLOOKUP($A315,Map!$A:$A,Map!D:D)</f>
        <v>Cost of sales</v>
      </c>
      <c r="I315" s="43" t="str">
        <f>_xlfn.XLOOKUP($A315,Map!$A:$A,Map!E:E)</f>
        <v>Overhead - Utility</v>
      </c>
      <c r="J315" s="43" t="str">
        <f>_xlfn.XLOOKUP($A315,Map!$A:$A,Map!F:F)</f>
        <v>Electricity expenses</v>
      </c>
    </row>
    <row r="316" spans="1:10" x14ac:dyDescent="0.25">
      <c r="A316">
        <v>600016</v>
      </c>
      <c r="B316" t="s">
        <v>1343</v>
      </c>
      <c r="D316">
        <v>334447.24</v>
      </c>
      <c r="E316">
        <v>0</v>
      </c>
      <c r="F316" s="147">
        <f t="shared" si="1"/>
        <v>334447.24</v>
      </c>
      <c r="G316" s="43" t="str">
        <f>_xlfn.XLOOKUP($A316,Map!$A:$A,Map!C:C)</f>
        <v>IS</v>
      </c>
      <c r="H316" s="43" t="str">
        <f>_xlfn.XLOOKUP($A316,Map!$A:$A,Map!D:D)</f>
        <v>Cost of sales</v>
      </c>
      <c r="I316" s="43" t="str">
        <f>_xlfn.XLOOKUP($A316,Map!$A:$A,Map!E:E)</f>
        <v>Overhead - Consumables &amp; SP</v>
      </c>
      <c r="J316" s="43" t="str">
        <f>_xlfn.XLOOKUP($A316,Map!$A:$A,Map!F:F)</f>
        <v>Tools</v>
      </c>
    </row>
    <row r="317" spans="1:10" x14ac:dyDescent="0.25">
      <c r="A317">
        <v>600016</v>
      </c>
      <c r="B317" t="s">
        <v>1343</v>
      </c>
      <c r="D317">
        <v>18443.54</v>
      </c>
      <c r="E317">
        <v>0</v>
      </c>
      <c r="F317" s="147">
        <f t="shared" ref="F317:F380" si="2">D317-E317</f>
        <v>18443.54</v>
      </c>
      <c r="G317" s="43" t="str">
        <f>_xlfn.XLOOKUP($A317,Map!$A:$A,Map!C:C)</f>
        <v>IS</v>
      </c>
      <c r="H317" s="43" t="str">
        <f>_xlfn.XLOOKUP($A317,Map!$A:$A,Map!D:D)</f>
        <v>Cost of sales</v>
      </c>
      <c r="I317" s="43" t="str">
        <f>_xlfn.XLOOKUP($A317,Map!$A:$A,Map!E:E)</f>
        <v>Overhead - Consumables &amp; SP</v>
      </c>
      <c r="J317" s="43" t="str">
        <f>_xlfn.XLOOKUP($A317,Map!$A:$A,Map!F:F)</f>
        <v>Tools</v>
      </c>
    </row>
    <row r="318" spans="1:10" x14ac:dyDescent="0.25">
      <c r="A318">
        <v>600016</v>
      </c>
      <c r="B318" t="s">
        <v>1343</v>
      </c>
      <c r="D318">
        <v>36887.08</v>
      </c>
      <c r="E318">
        <v>0</v>
      </c>
      <c r="F318" s="147">
        <f t="shared" si="2"/>
        <v>36887.08</v>
      </c>
      <c r="G318" s="43" t="str">
        <f>_xlfn.XLOOKUP($A318,Map!$A:$A,Map!C:C)</f>
        <v>IS</v>
      </c>
      <c r="H318" s="43" t="str">
        <f>_xlfn.XLOOKUP($A318,Map!$A:$A,Map!D:D)</f>
        <v>Cost of sales</v>
      </c>
      <c r="I318" s="43" t="str">
        <f>_xlfn.XLOOKUP($A318,Map!$A:$A,Map!E:E)</f>
        <v>Overhead - Consumables &amp; SP</v>
      </c>
      <c r="J318" s="43" t="str">
        <f>_xlfn.XLOOKUP($A318,Map!$A:$A,Map!F:F)</f>
        <v>Tools</v>
      </c>
    </row>
    <row r="319" spans="1:10" x14ac:dyDescent="0.25">
      <c r="A319">
        <v>600016</v>
      </c>
      <c r="B319" t="s">
        <v>1343</v>
      </c>
      <c r="D319">
        <v>0</v>
      </c>
      <c r="E319">
        <v>0</v>
      </c>
      <c r="F319" s="147">
        <f t="shared" si="2"/>
        <v>0</v>
      </c>
      <c r="G319" s="43" t="str">
        <f>_xlfn.XLOOKUP($A319,Map!$A:$A,Map!C:C)</f>
        <v>IS</v>
      </c>
      <c r="H319" s="43" t="str">
        <f>_xlfn.XLOOKUP($A319,Map!$A:$A,Map!D:D)</f>
        <v>Cost of sales</v>
      </c>
      <c r="I319" s="43" t="str">
        <f>_xlfn.XLOOKUP($A319,Map!$A:$A,Map!E:E)</f>
        <v>Overhead - Consumables &amp; SP</v>
      </c>
      <c r="J319" s="43" t="str">
        <f>_xlfn.XLOOKUP($A319,Map!$A:$A,Map!F:F)</f>
        <v>Tools</v>
      </c>
    </row>
    <row r="320" spans="1:10" x14ac:dyDescent="0.25">
      <c r="A320">
        <v>600016</v>
      </c>
      <c r="B320" t="s">
        <v>1343</v>
      </c>
      <c r="D320">
        <v>83269.64</v>
      </c>
      <c r="E320">
        <v>0</v>
      </c>
      <c r="F320" s="147">
        <f t="shared" si="2"/>
        <v>83269.64</v>
      </c>
      <c r="G320" s="43" t="str">
        <f>_xlfn.XLOOKUP($A320,Map!$A:$A,Map!C:C)</f>
        <v>IS</v>
      </c>
      <c r="H320" s="43" t="str">
        <f>_xlfn.XLOOKUP($A320,Map!$A:$A,Map!D:D)</f>
        <v>Cost of sales</v>
      </c>
      <c r="I320" s="43" t="str">
        <f>_xlfn.XLOOKUP($A320,Map!$A:$A,Map!E:E)</f>
        <v>Overhead - Consumables &amp; SP</v>
      </c>
      <c r="J320" s="43" t="str">
        <f>_xlfn.XLOOKUP($A320,Map!$A:$A,Map!F:F)</f>
        <v>Tools</v>
      </c>
    </row>
    <row r="321" spans="1:10" x14ac:dyDescent="0.25">
      <c r="A321">
        <v>600016</v>
      </c>
      <c r="B321" t="s">
        <v>1343</v>
      </c>
      <c r="D321">
        <v>0</v>
      </c>
      <c r="E321">
        <v>377100.63</v>
      </c>
      <c r="F321" s="147">
        <f t="shared" si="2"/>
        <v>-377100.63</v>
      </c>
      <c r="G321" s="43" t="str">
        <f>_xlfn.XLOOKUP($A321,Map!$A:$A,Map!C:C)</f>
        <v>IS</v>
      </c>
      <c r="H321" s="43" t="str">
        <f>_xlfn.XLOOKUP($A321,Map!$A:$A,Map!D:D)</f>
        <v>Cost of sales</v>
      </c>
      <c r="I321" s="43" t="str">
        <f>_xlfn.XLOOKUP($A321,Map!$A:$A,Map!E:E)</f>
        <v>Overhead - Consumables &amp; SP</v>
      </c>
      <c r="J321" s="43" t="str">
        <f>_xlfn.XLOOKUP($A321,Map!$A:$A,Map!F:F)</f>
        <v>Tools</v>
      </c>
    </row>
    <row r="322" spans="1:10" x14ac:dyDescent="0.25">
      <c r="A322">
        <v>600016</v>
      </c>
      <c r="B322" t="s">
        <v>1343</v>
      </c>
      <c r="D322">
        <v>0</v>
      </c>
      <c r="E322">
        <v>0</v>
      </c>
      <c r="F322" s="147">
        <f t="shared" si="2"/>
        <v>0</v>
      </c>
      <c r="G322" s="43" t="str">
        <f>_xlfn.XLOOKUP($A322,Map!$A:$A,Map!C:C)</f>
        <v>IS</v>
      </c>
      <c r="H322" s="43" t="str">
        <f>_xlfn.XLOOKUP($A322,Map!$A:$A,Map!D:D)</f>
        <v>Cost of sales</v>
      </c>
      <c r="I322" s="43" t="str">
        <f>_xlfn.XLOOKUP($A322,Map!$A:$A,Map!E:E)</f>
        <v>Overhead - Consumables &amp; SP</v>
      </c>
      <c r="J322" s="43" t="str">
        <f>_xlfn.XLOOKUP($A322,Map!$A:$A,Map!F:F)</f>
        <v>Tools</v>
      </c>
    </row>
    <row r="323" spans="1:10" x14ac:dyDescent="0.25">
      <c r="A323">
        <v>600015</v>
      </c>
      <c r="B323" t="s">
        <v>1343</v>
      </c>
      <c r="D323">
        <v>36799.18</v>
      </c>
      <c r="E323">
        <v>0</v>
      </c>
      <c r="F323" s="147">
        <f t="shared" si="2"/>
        <v>36799.18</v>
      </c>
      <c r="G323" s="43" t="str">
        <f>_xlfn.XLOOKUP($A323,Map!$A:$A,Map!C:C)</f>
        <v>IS</v>
      </c>
      <c r="H323" s="43" t="str">
        <f>_xlfn.XLOOKUP($A323,Map!$A:$A,Map!D:D)</f>
        <v>Cost of sales</v>
      </c>
      <c r="I323" s="43" t="str">
        <f>_xlfn.XLOOKUP($A323,Map!$A:$A,Map!E:E)</f>
        <v>Overhead - Consumables &amp; SP</v>
      </c>
      <c r="J323" s="43" t="str">
        <f>_xlfn.XLOOKUP($A323,Map!$A:$A,Map!F:F)</f>
        <v>Consumables</v>
      </c>
    </row>
    <row r="324" spans="1:10" x14ac:dyDescent="0.25">
      <c r="A324">
        <v>600015</v>
      </c>
      <c r="B324" t="s">
        <v>1343</v>
      </c>
      <c r="D324">
        <v>0</v>
      </c>
      <c r="E324">
        <v>0</v>
      </c>
      <c r="F324" s="147">
        <f t="shared" si="2"/>
        <v>0</v>
      </c>
      <c r="G324" s="43" t="str">
        <f>_xlfn.XLOOKUP($A324,Map!$A:$A,Map!C:C)</f>
        <v>IS</v>
      </c>
      <c r="H324" s="43" t="str">
        <f>_xlfn.XLOOKUP($A324,Map!$A:$A,Map!D:D)</f>
        <v>Cost of sales</v>
      </c>
      <c r="I324" s="43" t="str">
        <f>_xlfn.XLOOKUP($A324,Map!$A:$A,Map!E:E)</f>
        <v>Overhead - Consumables &amp; SP</v>
      </c>
      <c r="J324" s="43" t="str">
        <f>_xlfn.XLOOKUP($A324,Map!$A:$A,Map!F:F)</f>
        <v>Consumables</v>
      </c>
    </row>
    <row r="325" spans="1:10" x14ac:dyDescent="0.25">
      <c r="A325">
        <v>600014</v>
      </c>
      <c r="B325" t="s">
        <v>1343</v>
      </c>
      <c r="D325">
        <v>204579.25</v>
      </c>
      <c r="E325">
        <v>0</v>
      </c>
      <c r="F325" s="147">
        <f t="shared" si="2"/>
        <v>204579.25</v>
      </c>
      <c r="G325" s="43" t="str">
        <f>_xlfn.XLOOKUP($A325,Map!$A:$A,Map!C:C)</f>
        <v>IS</v>
      </c>
      <c r="H325" s="43" t="str">
        <f>_xlfn.XLOOKUP($A325,Map!$A:$A,Map!D:D)</f>
        <v>Cost of sales</v>
      </c>
      <c r="I325" s="43" t="str">
        <f>_xlfn.XLOOKUP($A325,Map!$A:$A,Map!E:E)</f>
        <v>Overhead - Consumables &amp; SP</v>
      </c>
      <c r="J325" s="43" t="str">
        <f>_xlfn.XLOOKUP($A325,Map!$A:$A,Map!F:F)</f>
        <v>Consumables</v>
      </c>
    </row>
    <row r="326" spans="1:10" x14ac:dyDescent="0.25">
      <c r="A326">
        <v>600014</v>
      </c>
      <c r="B326" t="s">
        <v>1343</v>
      </c>
      <c r="D326">
        <v>0</v>
      </c>
      <c r="E326">
        <v>0</v>
      </c>
      <c r="F326" s="147">
        <f t="shared" si="2"/>
        <v>0</v>
      </c>
      <c r="G326" s="43" t="str">
        <f>_xlfn.XLOOKUP($A326,Map!$A:$A,Map!C:C)</f>
        <v>IS</v>
      </c>
      <c r="H326" s="43" t="str">
        <f>_xlfn.XLOOKUP($A326,Map!$A:$A,Map!D:D)</f>
        <v>Cost of sales</v>
      </c>
      <c r="I326" s="43" t="str">
        <f>_xlfn.XLOOKUP($A326,Map!$A:$A,Map!E:E)</f>
        <v>Overhead - Consumables &amp; SP</v>
      </c>
      <c r="J326" s="43" t="str">
        <f>_xlfn.XLOOKUP($A326,Map!$A:$A,Map!F:F)</f>
        <v>Consumables</v>
      </c>
    </row>
    <row r="327" spans="1:10" x14ac:dyDescent="0.25">
      <c r="A327">
        <v>600014</v>
      </c>
      <c r="B327" t="s">
        <v>1343</v>
      </c>
      <c r="D327">
        <v>0</v>
      </c>
      <c r="E327">
        <v>0</v>
      </c>
      <c r="F327" s="147">
        <f t="shared" si="2"/>
        <v>0</v>
      </c>
      <c r="G327" s="43" t="str">
        <f>_xlfn.XLOOKUP($A327,Map!$A:$A,Map!C:C)</f>
        <v>IS</v>
      </c>
      <c r="H327" s="43" t="str">
        <f>_xlfn.XLOOKUP($A327,Map!$A:$A,Map!D:D)</f>
        <v>Cost of sales</v>
      </c>
      <c r="I327" s="43" t="str">
        <f>_xlfn.XLOOKUP($A327,Map!$A:$A,Map!E:E)</f>
        <v>Overhead - Consumables &amp; SP</v>
      </c>
      <c r="J327" s="43" t="str">
        <f>_xlfn.XLOOKUP($A327,Map!$A:$A,Map!F:F)</f>
        <v>Consumables</v>
      </c>
    </row>
    <row r="328" spans="1:10" x14ac:dyDescent="0.25">
      <c r="A328">
        <v>600013</v>
      </c>
      <c r="B328" t="s">
        <v>1343</v>
      </c>
      <c r="D328">
        <v>150</v>
      </c>
      <c r="E328">
        <v>0</v>
      </c>
      <c r="F328" s="147">
        <f t="shared" si="2"/>
        <v>150</v>
      </c>
      <c r="G328" s="43" t="str">
        <f>_xlfn.XLOOKUP($A328,Map!$A:$A,Map!C:C)</f>
        <v>IS</v>
      </c>
      <c r="H328" s="43" t="str">
        <f>_xlfn.XLOOKUP($A328,Map!$A:$A,Map!D:D)</f>
        <v>Cost of sales</v>
      </c>
      <c r="I328" s="43" t="str">
        <f>_xlfn.XLOOKUP($A328,Map!$A:$A,Map!E:E)</f>
        <v>Overhead - Labor Cost</v>
      </c>
      <c r="J328" s="43" t="str">
        <f>_xlfn.XLOOKUP($A328,Map!$A:$A,Map!F:F)</f>
        <v>Telephone allowance</v>
      </c>
    </row>
    <row r="329" spans="1:10" x14ac:dyDescent="0.25">
      <c r="A329">
        <v>600011</v>
      </c>
      <c r="B329" t="s">
        <v>1343</v>
      </c>
      <c r="D329">
        <v>2000</v>
      </c>
      <c r="E329">
        <v>0</v>
      </c>
      <c r="F329" s="147">
        <f t="shared" si="2"/>
        <v>2000</v>
      </c>
      <c r="G329" s="43" t="str">
        <f>_xlfn.XLOOKUP($A329,Map!$A:$A,Map!C:C)</f>
        <v>IS</v>
      </c>
      <c r="H329" s="43" t="str">
        <f>_xlfn.XLOOKUP($A329,Map!$A:$A,Map!D:D)</f>
        <v>Cost of sales</v>
      </c>
      <c r="I329" s="43" t="str">
        <f>_xlfn.XLOOKUP($A329,Map!$A:$A,Map!E:E)</f>
        <v>Overhead - Labor Cost</v>
      </c>
      <c r="J329" s="43" t="str">
        <f>_xlfn.XLOOKUP($A329,Map!$A:$A,Map!F:F)</f>
        <v>Air tickets</v>
      </c>
    </row>
    <row r="330" spans="1:10" x14ac:dyDescent="0.25">
      <c r="A330">
        <v>600009</v>
      </c>
      <c r="B330" t="s">
        <v>1343</v>
      </c>
      <c r="D330">
        <v>35600</v>
      </c>
      <c r="E330">
        <v>0</v>
      </c>
      <c r="F330" s="147">
        <f t="shared" si="2"/>
        <v>35600</v>
      </c>
      <c r="G330" s="43" t="str">
        <f>_xlfn.XLOOKUP($A330,Map!$A:$A,Map!C:C)</f>
        <v>IS</v>
      </c>
      <c r="H330" s="43" t="str">
        <f>_xlfn.XLOOKUP($A330,Map!$A:$A,Map!D:D)</f>
        <v>Cost of sales</v>
      </c>
      <c r="I330" s="43" t="str">
        <f>_xlfn.XLOOKUP($A330,Map!$A:$A,Map!E:E)</f>
        <v>Overhead - Labor Cost</v>
      </c>
      <c r="J330" s="43" t="str">
        <f>_xlfn.XLOOKUP($A330,Map!$A:$A,Map!F:F)</f>
        <v>Vacation pay</v>
      </c>
    </row>
    <row r="331" spans="1:10" x14ac:dyDescent="0.25">
      <c r="A331">
        <v>600009</v>
      </c>
      <c r="B331" t="s">
        <v>1343</v>
      </c>
      <c r="D331">
        <v>0</v>
      </c>
      <c r="E331">
        <v>0</v>
      </c>
      <c r="F331" s="147">
        <f t="shared" si="2"/>
        <v>0</v>
      </c>
      <c r="G331" s="43" t="str">
        <f>_xlfn.XLOOKUP($A331,Map!$A:$A,Map!C:C)</f>
        <v>IS</v>
      </c>
      <c r="H331" s="43" t="str">
        <f>_xlfn.XLOOKUP($A331,Map!$A:$A,Map!D:D)</f>
        <v>Cost of sales</v>
      </c>
      <c r="I331" s="43" t="str">
        <f>_xlfn.XLOOKUP($A331,Map!$A:$A,Map!E:E)</f>
        <v>Overhead - Labor Cost</v>
      </c>
      <c r="J331" s="43" t="str">
        <f>_xlfn.XLOOKUP($A331,Map!$A:$A,Map!F:F)</f>
        <v>Vacation pay</v>
      </c>
    </row>
    <row r="332" spans="1:10" x14ac:dyDescent="0.25">
      <c r="A332">
        <v>600008</v>
      </c>
      <c r="B332" t="s">
        <v>1343</v>
      </c>
      <c r="D332">
        <v>22830</v>
      </c>
      <c r="E332">
        <v>0</v>
      </c>
      <c r="F332" s="147">
        <f t="shared" si="2"/>
        <v>22830</v>
      </c>
      <c r="G332" s="43" t="str">
        <f>_xlfn.XLOOKUP($A332,Map!$A:$A,Map!C:C)</f>
        <v>IS</v>
      </c>
      <c r="H332" s="43" t="str">
        <f>_xlfn.XLOOKUP($A332,Map!$A:$A,Map!D:D)</f>
        <v>Cost of sales</v>
      </c>
      <c r="I332" s="43" t="str">
        <f>_xlfn.XLOOKUP($A332,Map!$A:$A,Map!E:E)</f>
        <v>Overhead - Labor Cost</v>
      </c>
      <c r="J332" s="43" t="str">
        <f>_xlfn.XLOOKUP($A332,Map!$A:$A,Map!F:F)</f>
        <v>Air tickets</v>
      </c>
    </row>
    <row r="333" spans="1:10" x14ac:dyDescent="0.25">
      <c r="A333">
        <v>600007</v>
      </c>
      <c r="B333" t="s">
        <v>1343</v>
      </c>
      <c r="D333">
        <v>1540</v>
      </c>
      <c r="E333">
        <v>0</v>
      </c>
      <c r="F333" s="147">
        <f t="shared" si="2"/>
        <v>1540</v>
      </c>
      <c r="G333" s="43" t="str">
        <f>_xlfn.XLOOKUP($A333,Map!$A:$A,Map!C:C)</f>
        <v>IS</v>
      </c>
      <c r="H333" s="43" t="str">
        <f>_xlfn.XLOOKUP($A333,Map!$A:$A,Map!D:D)</f>
        <v>Cost of sales</v>
      </c>
      <c r="I333" s="43" t="str">
        <f>_xlfn.XLOOKUP($A333,Map!$A:$A,Map!E:E)</f>
        <v>Overhead - Labor Cost</v>
      </c>
      <c r="J333" s="43" t="str">
        <f>_xlfn.XLOOKUP($A333,Map!$A:$A,Map!F:F)</f>
        <v>Transportation allowance</v>
      </c>
    </row>
    <row r="334" spans="1:10" x14ac:dyDescent="0.25">
      <c r="A334">
        <v>600007</v>
      </c>
      <c r="B334" t="s">
        <v>1343</v>
      </c>
      <c r="D334">
        <v>0</v>
      </c>
      <c r="E334">
        <v>0</v>
      </c>
      <c r="F334" s="147">
        <f t="shared" si="2"/>
        <v>0</v>
      </c>
      <c r="G334" s="43" t="str">
        <f>_xlfn.XLOOKUP($A334,Map!$A:$A,Map!C:C)</f>
        <v>IS</v>
      </c>
      <c r="H334" s="43" t="str">
        <f>_xlfn.XLOOKUP($A334,Map!$A:$A,Map!D:D)</f>
        <v>Cost of sales</v>
      </c>
      <c r="I334" s="43" t="str">
        <f>_xlfn.XLOOKUP($A334,Map!$A:$A,Map!E:E)</f>
        <v>Overhead - Labor Cost</v>
      </c>
      <c r="J334" s="43" t="str">
        <f>_xlfn.XLOOKUP($A334,Map!$A:$A,Map!F:F)</f>
        <v>Transportation allowance</v>
      </c>
    </row>
    <row r="335" spans="1:10" x14ac:dyDescent="0.25">
      <c r="A335">
        <v>600006</v>
      </c>
      <c r="B335" t="s">
        <v>1343</v>
      </c>
      <c r="D335">
        <v>48346.9</v>
      </c>
      <c r="E335">
        <v>0</v>
      </c>
      <c r="F335" s="147">
        <f t="shared" si="2"/>
        <v>48346.9</v>
      </c>
      <c r="G335" s="43" t="str">
        <f>_xlfn.XLOOKUP($A335,Map!$A:$A,Map!C:C)</f>
        <v>IS</v>
      </c>
      <c r="H335" s="43" t="str">
        <f>_xlfn.XLOOKUP($A335,Map!$A:$A,Map!D:D)</f>
        <v>Cost of sales</v>
      </c>
      <c r="I335" s="43" t="str">
        <f>_xlfn.XLOOKUP($A335,Map!$A:$A,Map!E:E)</f>
        <v>Overhead - Labor Cost</v>
      </c>
      <c r="J335" s="43" t="str">
        <f>_xlfn.XLOOKUP($A335,Map!$A:$A,Map!F:F)</f>
        <v xml:space="preserve">Food &amp; Housing </v>
      </c>
    </row>
    <row r="336" spans="1:10" x14ac:dyDescent="0.25">
      <c r="A336">
        <v>600005</v>
      </c>
      <c r="B336" t="s">
        <v>1343</v>
      </c>
      <c r="D336">
        <v>15500</v>
      </c>
      <c r="E336">
        <v>0</v>
      </c>
      <c r="F336" s="147">
        <f t="shared" si="2"/>
        <v>15500</v>
      </c>
      <c r="G336" s="43" t="str">
        <f>_xlfn.XLOOKUP($A336,Map!$A:$A,Map!C:C)</f>
        <v>IS</v>
      </c>
      <c r="H336" s="43" t="str">
        <f>_xlfn.XLOOKUP($A336,Map!$A:$A,Map!D:D)</f>
        <v>General and Admin</v>
      </c>
      <c r="I336" s="43" t="str">
        <f>_xlfn.XLOOKUP($A336,Map!$A:$A,Map!E:E)</f>
        <v>Govt license and fees (including modon)</v>
      </c>
      <c r="J336" s="43" t="str">
        <f>_xlfn.XLOOKUP($A336,Map!$A:$A,Map!F:F)</f>
        <v>Government fees</v>
      </c>
    </row>
    <row r="337" spans="1:10" x14ac:dyDescent="0.25">
      <c r="A337">
        <v>600004</v>
      </c>
      <c r="B337" t="s">
        <v>1343</v>
      </c>
      <c r="D337">
        <v>0</v>
      </c>
      <c r="E337">
        <v>6313.54</v>
      </c>
      <c r="F337" s="147">
        <f t="shared" si="2"/>
        <v>-6313.54</v>
      </c>
      <c r="G337" s="43" t="str">
        <f>_xlfn.XLOOKUP($A337,Map!$A:$A,Map!C:C)</f>
        <v>IS</v>
      </c>
      <c r="H337" s="43" t="str">
        <f>_xlfn.XLOOKUP($A337,Map!$A:$A,Map!D:D)</f>
        <v>Cost of sales</v>
      </c>
      <c r="I337" s="43" t="str">
        <f>_xlfn.XLOOKUP($A337,Map!$A:$A,Map!E:E)</f>
        <v>Overhead - Labor Cost</v>
      </c>
      <c r="J337" s="43" t="str">
        <f>_xlfn.XLOOKUP($A337,Map!$A:$A,Map!F:F)</f>
        <v>Medical insurance</v>
      </c>
    </row>
    <row r="338" spans="1:10" x14ac:dyDescent="0.25">
      <c r="A338">
        <v>600004</v>
      </c>
      <c r="B338" t="s">
        <v>1343</v>
      </c>
      <c r="D338">
        <v>0</v>
      </c>
      <c r="E338">
        <v>0</v>
      </c>
      <c r="F338" s="147">
        <f t="shared" si="2"/>
        <v>0</v>
      </c>
      <c r="G338" s="43" t="str">
        <f>_xlfn.XLOOKUP($A338,Map!$A:$A,Map!C:C)</f>
        <v>IS</v>
      </c>
      <c r="H338" s="43" t="str">
        <f>_xlfn.XLOOKUP($A338,Map!$A:$A,Map!D:D)</f>
        <v>Cost of sales</v>
      </c>
      <c r="I338" s="43" t="str">
        <f>_xlfn.XLOOKUP($A338,Map!$A:$A,Map!E:E)</f>
        <v>Overhead - Labor Cost</v>
      </c>
      <c r="J338" s="43" t="str">
        <f>_xlfn.XLOOKUP($A338,Map!$A:$A,Map!F:F)</f>
        <v>Medical insurance</v>
      </c>
    </row>
    <row r="339" spans="1:10" x14ac:dyDescent="0.25">
      <c r="A339">
        <v>600004</v>
      </c>
      <c r="B339" t="s">
        <v>1343</v>
      </c>
      <c r="D339">
        <v>0</v>
      </c>
      <c r="E339">
        <v>0</v>
      </c>
      <c r="F339" s="147">
        <f t="shared" si="2"/>
        <v>0</v>
      </c>
      <c r="G339" s="43" t="str">
        <f>_xlfn.XLOOKUP($A339,Map!$A:$A,Map!C:C)</f>
        <v>IS</v>
      </c>
      <c r="H339" s="43" t="str">
        <f>_xlfn.XLOOKUP($A339,Map!$A:$A,Map!D:D)</f>
        <v>Cost of sales</v>
      </c>
      <c r="I339" s="43" t="str">
        <f>_xlfn.XLOOKUP($A339,Map!$A:$A,Map!E:E)</f>
        <v>Overhead - Labor Cost</v>
      </c>
      <c r="J339" s="43" t="str">
        <f>_xlfn.XLOOKUP($A339,Map!$A:$A,Map!F:F)</f>
        <v>Medical insurance</v>
      </c>
    </row>
    <row r="340" spans="1:10" x14ac:dyDescent="0.25">
      <c r="A340">
        <v>600003</v>
      </c>
      <c r="B340" t="s">
        <v>1343</v>
      </c>
      <c r="D340">
        <v>16120</v>
      </c>
      <c r="E340">
        <v>0</v>
      </c>
      <c r="F340" s="147">
        <f t="shared" si="2"/>
        <v>16120</v>
      </c>
      <c r="G340" s="43" t="str">
        <f>_xlfn.XLOOKUP($A340,Map!$A:$A,Map!C:C)</f>
        <v>IS</v>
      </c>
      <c r="H340" s="43" t="str">
        <f>_xlfn.XLOOKUP($A340,Map!$A:$A,Map!D:D)</f>
        <v>Cost of sales</v>
      </c>
      <c r="I340" s="43" t="str">
        <f>_xlfn.XLOOKUP($A340,Map!$A:$A,Map!E:E)</f>
        <v>Overhead - Labor Cost</v>
      </c>
      <c r="J340" s="43" t="str">
        <f>_xlfn.XLOOKUP($A340,Map!$A:$A,Map!F:F)</f>
        <v xml:space="preserve">Food &amp; Housing </v>
      </c>
    </row>
    <row r="341" spans="1:10" x14ac:dyDescent="0.25">
      <c r="A341">
        <v>600003</v>
      </c>
      <c r="B341" t="s">
        <v>1343</v>
      </c>
      <c r="D341">
        <v>0</v>
      </c>
      <c r="E341">
        <v>0</v>
      </c>
      <c r="F341" s="147">
        <f t="shared" si="2"/>
        <v>0</v>
      </c>
      <c r="G341" s="43" t="str">
        <f>_xlfn.XLOOKUP($A341,Map!$A:$A,Map!C:C)</f>
        <v>IS</v>
      </c>
      <c r="H341" s="43" t="str">
        <f>_xlfn.XLOOKUP($A341,Map!$A:$A,Map!D:D)</f>
        <v>Cost of sales</v>
      </c>
      <c r="I341" s="43" t="str">
        <f>_xlfn.XLOOKUP($A341,Map!$A:$A,Map!E:E)</f>
        <v>Overhead - Labor Cost</v>
      </c>
      <c r="J341" s="43" t="str">
        <f>_xlfn.XLOOKUP($A341,Map!$A:$A,Map!F:F)</f>
        <v xml:space="preserve">Food &amp; Housing </v>
      </c>
    </row>
    <row r="342" spans="1:10" x14ac:dyDescent="0.25">
      <c r="A342">
        <v>600002</v>
      </c>
      <c r="B342" t="s">
        <v>1343</v>
      </c>
      <c r="D342">
        <v>65934</v>
      </c>
      <c r="E342">
        <v>0</v>
      </c>
      <c r="F342" s="147">
        <f t="shared" si="2"/>
        <v>65934</v>
      </c>
      <c r="G342" s="43" t="str">
        <f>_xlfn.XLOOKUP($A342,Map!$A:$A,Map!C:C)</f>
        <v>IS</v>
      </c>
      <c r="H342" s="43" t="str">
        <f>_xlfn.XLOOKUP($A342,Map!$A:$A,Map!D:D)</f>
        <v>Cost of sales</v>
      </c>
      <c r="I342" s="43" t="str">
        <f>_xlfn.XLOOKUP($A342,Map!$A:$A,Map!E:E)</f>
        <v>Overhead - Labor Cost</v>
      </c>
      <c r="J342" s="43" t="str">
        <f>_xlfn.XLOOKUP($A342,Map!$A:$A,Map!F:F)</f>
        <v>Overtime pay</v>
      </c>
    </row>
    <row r="343" spans="1:10" x14ac:dyDescent="0.25">
      <c r="A343">
        <v>600002</v>
      </c>
      <c r="B343" t="s">
        <v>1343</v>
      </c>
      <c r="D343">
        <v>0</v>
      </c>
      <c r="E343">
        <v>0</v>
      </c>
      <c r="F343" s="147">
        <f t="shared" si="2"/>
        <v>0</v>
      </c>
      <c r="G343" s="43" t="str">
        <f>_xlfn.XLOOKUP($A343,Map!$A:$A,Map!C:C)</f>
        <v>IS</v>
      </c>
      <c r="H343" s="43" t="str">
        <f>_xlfn.XLOOKUP($A343,Map!$A:$A,Map!D:D)</f>
        <v>Cost of sales</v>
      </c>
      <c r="I343" s="43" t="str">
        <f>_xlfn.XLOOKUP($A343,Map!$A:$A,Map!E:E)</f>
        <v>Overhead - Labor Cost</v>
      </c>
      <c r="J343" s="43" t="str">
        <f>_xlfn.XLOOKUP($A343,Map!$A:$A,Map!F:F)</f>
        <v>Overtime pay</v>
      </c>
    </row>
    <row r="344" spans="1:10" x14ac:dyDescent="0.25">
      <c r="A344">
        <v>600001</v>
      </c>
      <c r="B344" t="s">
        <v>1343</v>
      </c>
      <c r="D344">
        <v>0</v>
      </c>
      <c r="E344">
        <v>0</v>
      </c>
      <c r="F344" s="147">
        <f t="shared" si="2"/>
        <v>0</v>
      </c>
      <c r="G344" s="43" t="str">
        <f>_xlfn.XLOOKUP($A344,Map!$A:$A,Map!C:C)</f>
        <v>IS</v>
      </c>
      <c r="H344" s="43" t="str">
        <f>_xlfn.XLOOKUP($A344,Map!$A:$A,Map!D:D)</f>
        <v>Cost of sales</v>
      </c>
      <c r="I344" s="43" t="str">
        <f>_xlfn.XLOOKUP($A344,Map!$A:$A,Map!E:E)</f>
        <v>Overhead - Labor Cost</v>
      </c>
      <c r="J344" s="43" t="str">
        <f>_xlfn.XLOOKUP($A344,Map!$A:$A,Map!F:F)</f>
        <v>Indirect Salaries — factory supervisory / indirect floor labour (COGS)</v>
      </c>
    </row>
    <row r="345" spans="1:10" x14ac:dyDescent="0.25">
      <c r="A345">
        <v>600001</v>
      </c>
      <c r="B345" t="s">
        <v>1343</v>
      </c>
      <c r="D345">
        <v>0</v>
      </c>
      <c r="E345">
        <v>0</v>
      </c>
      <c r="F345" s="147">
        <f t="shared" si="2"/>
        <v>0</v>
      </c>
      <c r="G345" s="43" t="str">
        <f>_xlfn.XLOOKUP($A345,Map!$A:$A,Map!C:C)</f>
        <v>IS</v>
      </c>
      <c r="H345" s="43" t="str">
        <f>_xlfn.XLOOKUP($A345,Map!$A:$A,Map!D:D)</f>
        <v>Cost of sales</v>
      </c>
      <c r="I345" s="43" t="str">
        <f>_xlfn.XLOOKUP($A345,Map!$A:$A,Map!E:E)</f>
        <v>Overhead - Labor Cost</v>
      </c>
      <c r="J345" s="43" t="str">
        <f>_xlfn.XLOOKUP($A345,Map!$A:$A,Map!F:F)</f>
        <v>Indirect Salaries — factory supervisory / indirect floor labour (COGS)</v>
      </c>
    </row>
    <row r="346" spans="1:10" x14ac:dyDescent="0.25">
      <c r="A346">
        <v>600001</v>
      </c>
      <c r="B346" t="s">
        <v>1343</v>
      </c>
      <c r="D346">
        <v>305588.5</v>
      </c>
      <c r="E346">
        <v>0</v>
      </c>
      <c r="F346" s="147">
        <f t="shared" si="2"/>
        <v>305588.5</v>
      </c>
      <c r="G346" s="43" t="str">
        <f>_xlfn.XLOOKUP($A346,Map!$A:$A,Map!C:C)</f>
        <v>IS</v>
      </c>
      <c r="H346" s="43" t="str">
        <f>_xlfn.XLOOKUP($A346,Map!$A:$A,Map!D:D)</f>
        <v>Cost of sales</v>
      </c>
      <c r="I346" s="43" t="str">
        <f>_xlfn.XLOOKUP($A346,Map!$A:$A,Map!E:E)</f>
        <v>Overhead - Labor Cost</v>
      </c>
      <c r="J346" s="43" t="str">
        <f>_xlfn.XLOOKUP($A346,Map!$A:$A,Map!F:F)</f>
        <v>Indirect Salaries — factory supervisory / indirect floor labour (COGS)</v>
      </c>
    </row>
    <row r="347" spans="1:10" x14ac:dyDescent="0.25">
      <c r="A347">
        <v>600001</v>
      </c>
      <c r="B347" t="s">
        <v>1343</v>
      </c>
      <c r="D347">
        <v>0</v>
      </c>
      <c r="E347">
        <v>0</v>
      </c>
      <c r="F347" s="147">
        <f t="shared" si="2"/>
        <v>0</v>
      </c>
      <c r="G347" s="43" t="str">
        <f>_xlfn.XLOOKUP($A347,Map!$A:$A,Map!C:C)</f>
        <v>IS</v>
      </c>
      <c r="H347" s="43" t="str">
        <f>_xlfn.XLOOKUP($A347,Map!$A:$A,Map!D:D)</f>
        <v>Cost of sales</v>
      </c>
      <c r="I347" s="43" t="str">
        <f>_xlfn.XLOOKUP($A347,Map!$A:$A,Map!E:E)</f>
        <v>Overhead - Labor Cost</v>
      </c>
      <c r="J347" s="43" t="str">
        <f>_xlfn.XLOOKUP($A347,Map!$A:$A,Map!F:F)</f>
        <v>Indirect Salaries — factory supervisory / indirect floor labour (COGS)</v>
      </c>
    </row>
    <row r="348" spans="1:10" x14ac:dyDescent="0.25">
      <c r="A348">
        <v>600001</v>
      </c>
      <c r="B348" t="s">
        <v>1343</v>
      </c>
      <c r="D348">
        <v>0</v>
      </c>
      <c r="E348">
        <v>0</v>
      </c>
      <c r="F348" s="147">
        <f t="shared" si="2"/>
        <v>0</v>
      </c>
      <c r="G348" s="43" t="str">
        <f>_xlfn.XLOOKUP($A348,Map!$A:$A,Map!C:C)</f>
        <v>IS</v>
      </c>
      <c r="H348" s="43" t="str">
        <f>_xlfn.XLOOKUP($A348,Map!$A:$A,Map!D:D)</f>
        <v>Cost of sales</v>
      </c>
      <c r="I348" s="43" t="str">
        <f>_xlfn.XLOOKUP($A348,Map!$A:$A,Map!E:E)</f>
        <v>Overhead - Labor Cost</v>
      </c>
      <c r="J348" s="43" t="str">
        <f>_xlfn.XLOOKUP($A348,Map!$A:$A,Map!F:F)</f>
        <v>Indirect Salaries — factory supervisory / indirect floor labour (COGS)</v>
      </c>
    </row>
    <row r="349" spans="1:10" x14ac:dyDescent="0.25">
      <c r="A349">
        <v>520042</v>
      </c>
      <c r="B349" t="s">
        <v>1343</v>
      </c>
      <c r="D349">
        <v>0</v>
      </c>
      <c r="E349">
        <v>323645.56</v>
      </c>
      <c r="F349" s="147">
        <f t="shared" si="2"/>
        <v>-323645.56</v>
      </c>
      <c r="G349" s="43" t="str">
        <f>_xlfn.XLOOKUP($A349,Map!$A:$A,Map!C:C)</f>
        <v>IS</v>
      </c>
      <c r="H349" s="43" t="str">
        <f>_xlfn.XLOOKUP($A349,Map!$A:$A,Map!D:D)</f>
        <v>Cost of sales</v>
      </c>
      <c r="I349" s="43" t="str">
        <f>_xlfn.XLOOKUP($A349,Map!$A:$A,Map!E:E)</f>
        <v>Raw materials</v>
      </c>
      <c r="J349" s="43" t="str">
        <f>_xlfn.XLOOKUP($A349,Map!$A:$A,Map!F:F)</f>
        <v>Inventory Adjustment</v>
      </c>
    </row>
    <row r="350" spans="1:10" x14ac:dyDescent="0.25">
      <c r="A350">
        <v>520041</v>
      </c>
      <c r="B350" t="s">
        <v>1343</v>
      </c>
      <c r="D350">
        <v>0</v>
      </c>
      <c r="E350">
        <v>3191902.21</v>
      </c>
      <c r="F350" s="147">
        <f t="shared" si="2"/>
        <v>-3191902.21</v>
      </c>
      <c r="G350" s="43" t="str">
        <f>_xlfn.XLOOKUP($A350,Map!$A:$A,Map!C:C)</f>
        <v>IS</v>
      </c>
      <c r="H350" s="43" t="str">
        <f>_xlfn.XLOOKUP($A350,Map!$A:$A,Map!D:D)</f>
        <v>Cost of sales</v>
      </c>
      <c r="I350" s="43" t="str">
        <f>_xlfn.XLOOKUP($A350,Map!$A:$A,Map!E:E)</f>
        <v>Raw materials</v>
      </c>
      <c r="J350" s="43" t="str">
        <f>_xlfn.XLOOKUP($A350,Map!$A:$A,Map!F:F)</f>
        <v>Other expenses</v>
      </c>
    </row>
    <row r="351" spans="1:10" x14ac:dyDescent="0.25">
      <c r="A351">
        <v>520040</v>
      </c>
      <c r="B351" t="s">
        <v>1343</v>
      </c>
      <c r="D351">
        <v>0</v>
      </c>
      <c r="E351">
        <v>44940.3</v>
      </c>
      <c r="F351" s="147">
        <f t="shared" si="2"/>
        <v>-44940.3</v>
      </c>
      <c r="G351" s="43" t="str">
        <f>_xlfn.XLOOKUP($A351,Map!$A:$A,Map!C:C)</f>
        <v>IS</v>
      </c>
      <c r="H351" s="43" t="str">
        <f>_xlfn.XLOOKUP($A351,Map!$A:$A,Map!D:D)</f>
        <v>Cost of sales</v>
      </c>
      <c r="I351" s="43" t="str">
        <f>_xlfn.XLOOKUP($A351,Map!$A:$A,Map!E:E)</f>
        <v>Raw materials</v>
      </c>
      <c r="J351" s="43" t="str">
        <f>_xlfn.XLOOKUP($A351,Map!$A:$A,Map!F:F)</f>
        <v>Other expenses</v>
      </c>
    </row>
    <row r="352" spans="1:10" x14ac:dyDescent="0.25">
      <c r="A352">
        <v>520037</v>
      </c>
      <c r="B352" t="s">
        <v>1343</v>
      </c>
      <c r="D352">
        <v>41329.160000000003</v>
      </c>
      <c r="E352">
        <v>0</v>
      </c>
      <c r="F352" s="147">
        <f t="shared" si="2"/>
        <v>41329.160000000003</v>
      </c>
      <c r="G352" s="43" t="str">
        <f>_xlfn.XLOOKUP($A352,Map!$A:$A,Map!C:C)</f>
        <v>IS</v>
      </c>
      <c r="H352" s="43" t="str">
        <f>_xlfn.XLOOKUP($A352,Map!$A:$A,Map!D:D)</f>
        <v>Cost of sales</v>
      </c>
      <c r="I352" s="43" t="str">
        <f>_xlfn.XLOOKUP($A352,Map!$A:$A,Map!E:E)</f>
        <v>Raw materials</v>
      </c>
      <c r="J352" s="43" t="str">
        <f>_xlfn.XLOOKUP($A352,Map!$A:$A,Map!F:F)</f>
        <v>Raw materials</v>
      </c>
    </row>
    <row r="353" spans="1:10" x14ac:dyDescent="0.25">
      <c r="A353">
        <v>520021</v>
      </c>
      <c r="B353" t="s">
        <v>1343</v>
      </c>
      <c r="D353">
        <v>4233.49</v>
      </c>
      <c r="E353">
        <v>0</v>
      </c>
      <c r="F353" s="147">
        <f t="shared" si="2"/>
        <v>4233.49</v>
      </c>
      <c r="G353" s="43" t="str">
        <f>_xlfn.XLOOKUP($A353,Map!$A:$A,Map!C:C)</f>
        <v>IS</v>
      </c>
      <c r="H353" s="43" t="str">
        <f>_xlfn.XLOOKUP($A353,Map!$A:$A,Map!D:D)</f>
        <v>Cost of sales</v>
      </c>
      <c r="I353" s="43" t="str">
        <f>_xlfn.XLOOKUP($A353,Map!$A:$A,Map!E:E)</f>
        <v>Direct Labor</v>
      </c>
      <c r="J353" s="43" t="str">
        <f>_xlfn.XLOOKUP($A353,Map!$A:$A,Map!F:F)</f>
        <v>Medical insurance</v>
      </c>
    </row>
    <row r="354" spans="1:10" x14ac:dyDescent="0.25">
      <c r="A354">
        <v>520011</v>
      </c>
      <c r="B354" t="s">
        <v>1343</v>
      </c>
      <c r="D354">
        <v>31012.5</v>
      </c>
      <c r="E354">
        <v>0</v>
      </c>
      <c r="F354" s="147">
        <f t="shared" si="2"/>
        <v>31012.5</v>
      </c>
      <c r="G354" s="43" t="str">
        <f>_xlfn.XLOOKUP($A354,Map!$A:$A,Map!C:C)</f>
        <v>IS</v>
      </c>
      <c r="H354" s="43" t="str">
        <f>_xlfn.XLOOKUP($A354,Map!$A:$A,Map!D:D)</f>
        <v>Cost of sales</v>
      </c>
      <c r="I354" s="43" t="str">
        <f>_xlfn.XLOOKUP($A354,Map!$A:$A,Map!E:E)</f>
        <v>Direct Labor</v>
      </c>
      <c r="J354" s="43" t="str">
        <f>_xlfn.XLOOKUP($A354,Map!$A:$A,Map!F:F)</f>
        <v>Overtime pay</v>
      </c>
    </row>
    <row r="355" spans="1:10" x14ac:dyDescent="0.25">
      <c r="A355">
        <v>520011</v>
      </c>
      <c r="B355" t="s">
        <v>1343</v>
      </c>
      <c r="D355">
        <v>10065</v>
      </c>
      <c r="E355">
        <v>0</v>
      </c>
      <c r="F355" s="147">
        <f t="shared" si="2"/>
        <v>10065</v>
      </c>
      <c r="G355" s="43" t="str">
        <f>_xlfn.XLOOKUP($A355,Map!$A:$A,Map!C:C)</f>
        <v>IS</v>
      </c>
      <c r="H355" s="43" t="str">
        <f>_xlfn.XLOOKUP($A355,Map!$A:$A,Map!D:D)</f>
        <v>Cost of sales</v>
      </c>
      <c r="I355" s="43" t="str">
        <f>_xlfn.XLOOKUP($A355,Map!$A:$A,Map!E:E)</f>
        <v>Direct Labor</v>
      </c>
      <c r="J355" s="43" t="str">
        <f>_xlfn.XLOOKUP($A355,Map!$A:$A,Map!F:F)</f>
        <v>Overtime pay</v>
      </c>
    </row>
    <row r="356" spans="1:10" x14ac:dyDescent="0.25">
      <c r="A356">
        <v>520011</v>
      </c>
      <c r="B356" t="s">
        <v>1343</v>
      </c>
      <c r="D356">
        <v>0</v>
      </c>
      <c r="E356">
        <v>0</v>
      </c>
      <c r="F356" s="147">
        <f t="shared" si="2"/>
        <v>0</v>
      </c>
      <c r="G356" s="43" t="str">
        <f>_xlfn.XLOOKUP($A356,Map!$A:$A,Map!C:C)</f>
        <v>IS</v>
      </c>
      <c r="H356" s="43" t="str">
        <f>_xlfn.XLOOKUP($A356,Map!$A:$A,Map!D:D)</f>
        <v>Cost of sales</v>
      </c>
      <c r="I356" s="43" t="str">
        <f>_xlfn.XLOOKUP($A356,Map!$A:$A,Map!E:E)</f>
        <v>Direct Labor</v>
      </c>
      <c r="J356" s="43" t="str">
        <f>_xlfn.XLOOKUP($A356,Map!$A:$A,Map!F:F)</f>
        <v>Overtime pay</v>
      </c>
    </row>
    <row r="357" spans="1:10" x14ac:dyDescent="0.25">
      <c r="A357">
        <v>520011</v>
      </c>
      <c r="B357" t="s">
        <v>1343</v>
      </c>
      <c r="D357">
        <v>0</v>
      </c>
      <c r="E357">
        <v>0</v>
      </c>
      <c r="F357" s="147">
        <f t="shared" si="2"/>
        <v>0</v>
      </c>
      <c r="G357" s="43" t="str">
        <f>_xlfn.XLOOKUP($A357,Map!$A:$A,Map!C:C)</f>
        <v>IS</v>
      </c>
      <c r="H357" s="43" t="str">
        <f>_xlfn.XLOOKUP($A357,Map!$A:$A,Map!D:D)</f>
        <v>Cost of sales</v>
      </c>
      <c r="I357" s="43" t="str">
        <f>_xlfn.XLOOKUP($A357,Map!$A:$A,Map!E:E)</f>
        <v>Direct Labor</v>
      </c>
      <c r="J357" s="43" t="str">
        <f>_xlfn.XLOOKUP($A357,Map!$A:$A,Map!F:F)</f>
        <v>Overtime pay</v>
      </c>
    </row>
    <row r="358" spans="1:10" x14ac:dyDescent="0.25">
      <c r="A358">
        <v>520011</v>
      </c>
      <c r="B358" t="s">
        <v>1343</v>
      </c>
      <c r="D358">
        <v>0</v>
      </c>
      <c r="E358">
        <v>0</v>
      </c>
      <c r="F358" s="147">
        <f t="shared" si="2"/>
        <v>0</v>
      </c>
      <c r="G358" s="43" t="str">
        <f>_xlfn.XLOOKUP($A358,Map!$A:$A,Map!C:C)</f>
        <v>IS</v>
      </c>
      <c r="H358" s="43" t="str">
        <f>_xlfn.XLOOKUP($A358,Map!$A:$A,Map!D:D)</f>
        <v>Cost of sales</v>
      </c>
      <c r="I358" s="43" t="str">
        <f>_xlfn.XLOOKUP($A358,Map!$A:$A,Map!E:E)</f>
        <v>Direct Labor</v>
      </c>
      <c r="J358" s="43" t="str">
        <f>_xlfn.XLOOKUP($A358,Map!$A:$A,Map!F:F)</f>
        <v>Overtime pay</v>
      </c>
    </row>
    <row r="359" spans="1:10" x14ac:dyDescent="0.25">
      <c r="A359">
        <v>520006</v>
      </c>
      <c r="B359" t="s">
        <v>1343</v>
      </c>
      <c r="D359">
        <v>15926</v>
      </c>
      <c r="E359">
        <v>0</v>
      </c>
      <c r="F359" s="147">
        <f t="shared" si="2"/>
        <v>15926</v>
      </c>
      <c r="G359" s="43" t="str">
        <f>_xlfn.XLOOKUP($A359,Map!$A:$A,Map!C:C)</f>
        <v>IS</v>
      </c>
      <c r="H359" s="43" t="str">
        <f>_xlfn.XLOOKUP($A359,Map!$A:$A,Map!D:D)</f>
        <v>Cost of sales</v>
      </c>
      <c r="I359" s="43" t="str">
        <f>_xlfn.XLOOKUP($A359,Map!$A:$A,Map!E:E)</f>
        <v>Direct Labor</v>
      </c>
      <c r="J359" s="43" t="str">
        <f>_xlfn.XLOOKUP($A359,Map!$A:$A,Map!F:F)</f>
        <v>Medical insurance</v>
      </c>
    </row>
    <row r="360" spans="1:10" x14ac:dyDescent="0.25">
      <c r="A360">
        <v>520006</v>
      </c>
      <c r="B360" t="s">
        <v>1343</v>
      </c>
      <c r="D360">
        <v>5064</v>
      </c>
      <c r="E360">
        <v>0</v>
      </c>
      <c r="F360" s="147">
        <f t="shared" si="2"/>
        <v>5064</v>
      </c>
      <c r="G360" s="43" t="str">
        <f>_xlfn.XLOOKUP($A360,Map!$A:$A,Map!C:C)</f>
        <v>IS</v>
      </c>
      <c r="H360" s="43" t="str">
        <f>_xlfn.XLOOKUP($A360,Map!$A:$A,Map!D:D)</f>
        <v>Cost of sales</v>
      </c>
      <c r="I360" s="43" t="str">
        <f>_xlfn.XLOOKUP($A360,Map!$A:$A,Map!E:E)</f>
        <v>Direct Labor</v>
      </c>
      <c r="J360" s="43" t="str">
        <f>_xlfn.XLOOKUP($A360,Map!$A:$A,Map!F:F)</f>
        <v>Medical insurance</v>
      </c>
    </row>
    <row r="361" spans="1:10" x14ac:dyDescent="0.25">
      <c r="A361">
        <v>520006</v>
      </c>
      <c r="B361" t="s">
        <v>1343</v>
      </c>
      <c r="D361">
        <v>7286</v>
      </c>
      <c r="E361">
        <v>0</v>
      </c>
      <c r="F361" s="147">
        <f t="shared" si="2"/>
        <v>7286</v>
      </c>
      <c r="G361" s="43" t="str">
        <f>_xlfn.XLOOKUP($A361,Map!$A:$A,Map!C:C)</f>
        <v>IS</v>
      </c>
      <c r="H361" s="43" t="str">
        <f>_xlfn.XLOOKUP($A361,Map!$A:$A,Map!D:D)</f>
        <v>Cost of sales</v>
      </c>
      <c r="I361" s="43" t="str">
        <f>_xlfn.XLOOKUP($A361,Map!$A:$A,Map!E:E)</f>
        <v>Direct Labor</v>
      </c>
      <c r="J361" s="43" t="str">
        <f>_xlfn.XLOOKUP($A361,Map!$A:$A,Map!F:F)</f>
        <v>Medical insurance</v>
      </c>
    </row>
    <row r="362" spans="1:10" x14ac:dyDescent="0.25">
      <c r="A362">
        <v>520006</v>
      </c>
      <c r="B362" t="s">
        <v>1343</v>
      </c>
      <c r="D362">
        <v>5629</v>
      </c>
      <c r="E362">
        <v>0</v>
      </c>
      <c r="F362" s="147">
        <f t="shared" si="2"/>
        <v>5629</v>
      </c>
      <c r="G362" s="43" t="str">
        <f>_xlfn.XLOOKUP($A362,Map!$A:$A,Map!C:C)</f>
        <v>IS</v>
      </c>
      <c r="H362" s="43" t="str">
        <f>_xlfn.XLOOKUP($A362,Map!$A:$A,Map!D:D)</f>
        <v>Cost of sales</v>
      </c>
      <c r="I362" s="43" t="str">
        <f>_xlfn.XLOOKUP($A362,Map!$A:$A,Map!E:E)</f>
        <v>Direct Labor</v>
      </c>
      <c r="J362" s="43" t="str">
        <f>_xlfn.XLOOKUP($A362,Map!$A:$A,Map!F:F)</f>
        <v>Medical insurance</v>
      </c>
    </row>
    <row r="363" spans="1:10" x14ac:dyDescent="0.25">
      <c r="A363">
        <v>520006</v>
      </c>
      <c r="B363" t="s">
        <v>1343</v>
      </c>
      <c r="D363">
        <v>4019</v>
      </c>
      <c r="E363">
        <v>0</v>
      </c>
      <c r="F363" s="147">
        <f t="shared" si="2"/>
        <v>4019</v>
      </c>
      <c r="G363" s="43" t="str">
        <f>_xlfn.XLOOKUP($A363,Map!$A:$A,Map!C:C)</f>
        <v>IS</v>
      </c>
      <c r="H363" s="43" t="str">
        <f>_xlfn.XLOOKUP($A363,Map!$A:$A,Map!D:D)</f>
        <v>Cost of sales</v>
      </c>
      <c r="I363" s="43" t="str">
        <f>_xlfn.XLOOKUP($A363,Map!$A:$A,Map!E:E)</f>
        <v>Direct Labor</v>
      </c>
      <c r="J363" s="43" t="str">
        <f>_xlfn.XLOOKUP($A363,Map!$A:$A,Map!F:F)</f>
        <v>Medical insurance</v>
      </c>
    </row>
    <row r="364" spans="1:10" x14ac:dyDescent="0.25">
      <c r="A364">
        <v>520006</v>
      </c>
      <c r="B364" t="s">
        <v>1343</v>
      </c>
      <c r="D364">
        <v>3188.34</v>
      </c>
      <c r="E364">
        <v>0</v>
      </c>
      <c r="F364" s="147">
        <f t="shared" si="2"/>
        <v>3188.34</v>
      </c>
      <c r="G364" s="43" t="str">
        <f>_xlfn.XLOOKUP($A364,Map!$A:$A,Map!C:C)</f>
        <v>IS</v>
      </c>
      <c r="H364" s="43" t="str">
        <f>_xlfn.XLOOKUP($A364,Map!$A:$A,Map!D:D)</f>
        <v>Cost of sales</v>
      </c>
      <c r="I364" s="43" t="str">
        <f>_xlfn.XLOOKUP($A364,Map!$A:$A,Map!E:E)</f>
        <v>Direct Labor</v>
      </c>
      <c r="J364" s="43" t="str">
        <f>_xlfn.XLOOKUP($A364,Map!$A:$A,Map!F:F)</f>
        <v>Medical insurance</v>
      </c>
    </row>
    <row r="365" spans="1:10" x14ac:dyDescent="0.25">
      <c r="A365">
        <v>520006</v>
      </c>
      <c r="B365" t="s">
        <v>1343</v>
      </c>
      <c r="D365">
        <v>0</v>
      </c>
      <c r="E365">
        <v>3822.49</v>
      </c>
      <c r="F365" s="147">
        <f t="shared" si="2"/>
        <v>-3822.49</v>
      </c>
      <c r="G365" s="43" t="str">
        <f>_xlfn.XLOOKUP($A365,Map!$A:$A,Map!C:C)</f>
        <v>IS</v>
      </c>
      <c r="H365" s="43" t="str">
        <f>_xlfn.XLOOKUP($A365,Map!$A:$A,Map!D:D)</f>
        <v>Cost of sales</v>
      </c>
      <c r="I365" s="43" t="str">
        <f>_xlfn.XLOOKUP($A365,Map!$A:$A,Map!E:E)</f>
        <v>Direct Labor</v>
      </c>
      <c r="J365" s="43" t="str">
        <f>_xlfn.XLOOKUP($A365,Map!$A:$A,Map!F:F)</f>
        <v>Medical insurance</v>
      </c>
    </row>
    <row r="366" spans="1:10" x14ac:dyDescent="0.25">
      <c r="A366">
        <v>520004</v>
      </c>
      <c r="B366" t="s">
        <v>1343</v>
      </c>
      <c r="D366">
        <v>9707</v>
      </c>
      <c r="E366">
        <v>0</v>
      </c>
      <c r="F366" s="147">
        <f t="shared" si="2"/>
        <v>9707</v>
      </c>
      <c r="G366" s="43" t="str">
        <f>_xlfn.XLOOKUP($A366,Map!$A:$A,Map!C:C)</f>
        <v>IS</v>
      </c>
      <c r="H366" s="43" t="str">
        <f>_xlfn.XLOOKUP($A366,Map!$A:$A,Map!D:D)</f>
        <v>Cost of sales</v>
      </c>
      <c r="I366" s="43" t="str">
        <f>_xlfn.XLOOKUP($A366,Map!$A:$A,Map!E:E)</f>
        <v>Direct Labor</v>
      </c>
      <c r="J366" s="43" t="str">
        <f>_xlfn.XLOOKUP($A366,Map!$A:$A,Map!F:F)</f>
        <v>Food and housing</v>
      </c>
    </row>
    <row r="367" spans="1:10" x14ac:dyDescent="0.25">
      <c r="A367">
        <v>520004</v>
      </c>
      <c r="B367" t="s">
        <v>1343</v>
      </c>
      <c r="D367">
        <v>2127</v>
      </c>
      <c r="E367">
        <v>0</v>
      </c>
      <c r="F367" s="147">
        <f t="shared" si="2"/>
        <v>2127</v>
      </c>
      <c r="G367" s="43" t="str">
        <f>_xlfn.XLOOKUP($A367,Map!$A:$A,Map!C:C)</f>
        <v>IS</v>
      </c>
      <c r="H367" s="43" t="str">
        <f>_xlfn.XLOOKUP($A367,Map!$A:$A,Map!D:D)</f>
        <v>Cost of sales</v>
      </c>
      <c r="I367" s="43" t="str">
        <f>_xlfn.XLOOKUP($A367,Map!$A:$A,Map!E:E)</f>
        <v>Direct Labor</v>
      </c>
      <c r="J367" s="43" t="str">
        <f>_xlfn.XLOOKUP($A367,Map!$A:$A,Map!F:F)</f>
        <v>Food and housing</v>
      </c>
    </row>
    <row r="368" spans="1:10" x14ac:dyDescent="0.25">
      <c r="A368">
        <v>520004</v>
      </c>
      <c r="B368" t="s">
        <v>1343</v>
      </c>
      <c r="D368">
        <v>0</v>
      </c>
      <c r="E368">
        <v>0</v>
      </c>
      <c r="F368" s="147">
        <f t="shared" si="2"/>
        <v>0</v>
      </c>
      <c r="G368" s="43" t="str">
        <f>_xlfn.XLOOKUP($A368,Map!$A:$A,Map!C:C)</f>
        <v>IS</v>
      </c>
      <c r="H368" s="43" t="str">
        <f>_xlfn.XLOOKUP($A368,Map!$A:$A,Map!D:D)</f>
        <v>Cost of sales</v>
      </c>
      <c r="I368" s="43" t="str">
        <f>_xlfn.XLOOKUP($A368,Map!$A:$A,Map!E:E)</f>
        <v>Direct Labor</v>
      </c>
      <c r="J368" s="43" t="str">
        <f>_xlfn.XLOOKUP($A368,Map!$A:$A,Map!F:F)</f>
        <v>Food and housing</v>
      </c>
    </row>
    <row r="369" spans="1:10" x14ac:dyDescent="0.25">
      <c r="A369">
        <v>520004</v>
      </c>
      <c r="B369" t="s">
        <v>1343</v>
      </c>
      <c r="D369">
        <v>0</v>
      </c>
      <c r="E369">
        <v>0</v>
      </c>
      <c r="F369" s="147">
        <f t="shared" si="2"/>
        <v>0</v>
      </c>
      <c r="G369" s="43" t="str">
        <f>_xlfn.XLOOKUP($A369,Map!$A:$A,Map!C:C)</f>
        <v>IS</v>
      </c>
      <c r="H369" s="43" t="str">
        <f>_xlfn.XLOOKUP($A369,Map!$A:$A,Map!D:D)</f>
        <v>Cost of sales</v>
      </c>
      <c r="I369" s="43" t="str">
        <f>_xlfn.XLOOKUP($A369,Map!$A:$A,Map!E:E)</f>
        <v>Direct Labor</v>
      </c>
      <c r="J369" s="43" t="str">
        <f>_xlfn.XLOOKUP($A369,Map!$A:$A,Map!F:F)</f>
        <v>Food and housing</v>
      </c>
    </row>
    <row r="370" spans="1:10" x14ac:dyDescent="0.25">
      <c r="A370">
        <v>520003</v>
      </c>
      <c r="B370" t="s">
        <v>1343</v>
      </c>
      <c r="D370">
        <v>4575</v>
      </c>
      <c r="E370">
        <v>0</v>
      </c>
      <c r="F370" s="147">
        <f t="shared" si="2"/>
        <v>4575</v>
      </c>
      <c r="G370" s="43" t="str">
        <f>_xlfn.XLOOKUP($A370,Map!$A:$A,Map!C:C)</f>
        <v>IS</v>
      </c>
      <c r="H370" s="43" t="str">
        <f>_xlfn.XLOOKUP($A370,Map!$A:$A,Map!D:D)</f>
        <v>Cost of sales</v>
      </c>
      <c r="I370" s="43" t="str">
        <f>_xlfn.XLOOKUP($A370,Map!$A:$A,Map!E:E)</f>
        <v>Direct Labor</v>
      </c>
      <c r="J370" s="43" t="str">
        <f>_xlfn.XLOOKUP($A370,Map!$A:$A,Map!F:F)</f>
        <v>Transportation allowance</v>
      </c>
    </row>
    <row r="371" spans="1:10" x14ac:dyDescent="0.25">
      <c r="A371">
        <v>520002</v>
      </c>
      <c r="B371" t="s">
        <v>1343</v>
      </c>
      <c r="D371">
        <v>0</v>
      </c>
      <c r="E371">
        <v>0</v>
      </c>
      <c r="F371" s="147">
        <f t="shared" si="2"/>
        <v>0</v>
      </c>
      <c r="G371" s="43" t="str">
        <f>_xlfn.XLOOKUP($A371,Map!$A:$A,Map!C:C)</f>
        <v>IS</v>
      </c>
      <c r="H371" s="43" t="str">
        <f>_xlfn.XLOOKUP($A371,Map!$A:$A,Map!D:D)</f>
        <v>Cost of sales</v>
      </c>
      <c r="I371" s="43" t="str">
        <f>_xlfn.XLOOKUP($A371,Map!$A:$A,Map!E:E)</f>
        <v>Direct Labor</v>
      </c>
      <c r="J371" s="43" t="str">
        <f>_xlfn.XLOOKUP($A371,Map!$A:$A,Map!F:F)</f>
        <v>Overtime pay</v>
      </c>
    </row>
    <row r="372" spans="1:10" x14ac:dyDescent="0.25">
      <c r="A372">
        <v>520001</v>
      </c>
      <c r="B372" t="s">
        <v>1343</v>
      </c>
      <c r="D372">
        <v>72126</v>
      </c>
      <c r="E372">
        <v>0</v>
      </c>
      <c r="F372" s="147">
        <f t="shared" si="2"/>
        <v>72126</v>
      </c>
      <c r="G372" s="43" t="str">
        <f>_xlfn.XLOOKUP($A372,Map!$A:$A,Map!C:C)</f>
        <v>IS</v>
      </c>
      <c r="H372" s="43" t="str">
        <f>_xlfn.XLOOKUP($A372,Map!$A:$A,Map!D:D)</f>
        <v>Cost of sales</v>
      </c>
      <c r="I372" s="43" t="str">
        <f>_xlfn.XLOOKUP($A372,Map!$A:$A,Map!E:E)</f>
        <v>Direct Labor</v>
      </c>
      <c r="J372" s="43" t="str">
        <f>_xlfn.XLOOKUP($A372,Map!$A:$A,Map!F:F)</f>
        <v>Salaries and wages</v>
      </c>
    </row>
    <row r="373" spans="1:10" x14ac:dyDescent="0.25">
      <c r="A373">
        <v>520001</v>
      </c>
      <c r="B373" t="s">
        <v>1343</v>
      </c>
      <c r="D373">
        <v>15507</v>
      </c>
      <c r="E373">
        <v>0</v>
      </c>
      <c r="F373" s="147">
        <f t="shared" si="2"/>
        <v>15507</v>
      </c>
      <c r="G373" s="43" t="str">
        <f>_xlfn.XLOOKUP($A373,Map!$A:$A,Map!C:C)</f>
        <v>IS</v>
      </c>
      <c r="H373" s="43" t="str">
        <f>_xlfn.XLOOKUP($A373,Map!$A:$A,Map!D:D)</f>
        <v>Cost of sales</v>
      </c>
      <c r="I373" s="43" t="str">
        <f>_xlfn.XLOOKUP($A373,Map!$A:$A,Map!E:E)</f>
        <v>Direct Labor</v>
      </c>
      <c r="J373" s="43" t="str">
        <f>_xlfn.XLOOKUP($A373,Map!$A:$A,Map!F:F)</f>
        <v>Salaries and wages</v>
      </c>
    </row>
    <row r="374" spans="1:10" x14ac:dyDescent="0.25">
      <c r="A374">
        <v>520001</v>
      </c>
      <c r="B374" t="s">
        <v>1343</v>
      </c>
      <c r="D374">
        <v>74037.5</v>
      </c>
      <c r="E374">
        <v>0</v>
      </c>
      <c r="F374" s="147">
        <f t="shared" si="2"/>
        <v>74037.5</v>
      </c>
      <c r="G374" s="43" t="str">
        <f>_xlfn.XLOOKUP($A374,Map!$A:$A,Map!C:C)</f>
        <v>IS</v>
      </c>
      <c r="H374" s="43" t="str">
        <f>_xlfn.XLOOKUP($A374,Map!$A:$A,Map!D:D)</f>
        <v>Cost of sales</v>
      </c>
      <c r="I374" s="43" t="str">
        <f>_xlfn.XLOOKUP($A374,Map!$A:$A,Map!E:E)</f>
        <v>Direct Labor</v>
      </c>
      <c r="J374" s="43" t="str">
        <f>_xlfn.XLOOKUP($A374,Map!$A:$A,Map!F:F)</f>
        <v>Salaries and wages</v>
      </c>
    </row>
    <row r="375" spans="1:10" x14ac:dyDescent="0.25">
      <c r="A375">
        <v>520001</v>
      </c>
      <c r="B375" t="s">
        <v>1343</v>
      </c>
      <c r="D375">
        <v>5348</v>
      </c>
      <c r="E375">
        <v>0</v>
      </c>
      <c r="F375" s="147">
        <f t="shared" si="2"/>
        <v>5348</v>
      </c>
      <c r="G375" s="43" t="str">
        <f>_xlfn.XLOOKUP($A375,Map!$A:$A,Map!C:C)</f>
        <v>IS</v>
      </c>
      <c r="H375" s="43" t="str">
        <f>_xlfn.XLOOKUP($A375,Map!$A:$A,Map!D:D)</f>
        <v>Cost of sales</v>
      </c>
      <c r="I375" s="43" t="str">
        <f>_xlfn.XLOOKUP($A375,Map!$A:$A,Map!E:E)</f>
        <v>Direct Labor</v>
      </c>
      <c r="J375" s="43" t="str">
        <f>_xlfn.XLOOKUP($A375,Map!$A:$A,Map!F:F)</f>
        <v>Salaries and wages</v>
      </c>
    </row>
    <row r="376" spans="1:10" x14ac:dyDescent="0.25">
      <c r="A376">
        <v>520001</v>
      </c>
      <c r="B376" t="s">
        <v>1343</v>
      </c>
      <c r="D376">
        <v>0</v>
      </c>
      <c r="E376">
        <v>0</v>
      </c>
      <c r="F376" s="147">
        <f t="shared" si="2"/>
        <v>0</v>
      </c>
      <c r="G376" s="43" t="str">
        <f>_xlfn.XLOOKUP($A376,Map!$A:$A,Map!C:C)</f>
        <v>IS</v>
      </c>
      <c r="H376" s="43" t="str">
        <f>_xlfn.XLOOKUP($A376,Map!$A:$A,Map!D:D)</f>
        <v>Cost of sales</v>
      </c>
      <c r="I376" s="43" t="str">
        <f>_xlfn.XLOOKUP($A376,Map!$A:$A,Map!E:E)</f>
        <v>Direct Labor</v>
      </c>
      <c r="J376" s="43" t="str">
        <f>_xlfn.XLOOKUP($A376,Map!$A:$A,Map!F:F)</f>
        <v>Salaries and wages</v>
      </c>
    </row>
    <row r="377" spans="1:10" x14ac:dyDescent="0.25">
      <c r="A377">
        <v>520001</v>
      </c>
      <c r="B377" t="s">
        <v>1343</v>
      </c>
      <c r="D377">
        <v>5566</v>
      </c>
      <c r="E377">
        <v>0</v>
      </c>
      <c r="F377" s="147">
        <f t="shared" si="2"/>
        <v>5566</v>
      </c>
      <c r="G377" s="43" t="str">
        <f>_xlfn.XLOOKUP($A377,Map!$A:$A,Map!C:C)</f>
        <v>IS</v>
      </c>
      <c r="H377" s="43" t="str">
        <f>_xlfn.XLOOKUP($A377,Map!$A:$A,Map!D:D)</f>
        <v>Cost of sales</v>
      </c>
      <c r="I377" s="43" t="str">
        <f>_xlfn.XLOOKUP($A377,Map!$A:$A,Map!E:E)</f>
        <v>Direct Labor</v>
      </c>
      <c r="J377" s="43" t="str">
        <f>_xlfn.XLOOKUP($A377,Map!$A:$A,Map!F:F)</f>
        <v>Salaries and wages</v>
      </c>
    </row>
    <row r="378" spans="1:10" x14ac:dyDescent="0.25">
      <c r="A378">
        <v>510005</v>
      </c>
      <c r="B378" t="s">
        <v>1343</v>
      </c>
      <c r="D378">
        <v>0</v>
      </c>
      <c r="E378">
        <v>9343.81</v>
      </c>
      <c r="F378" s="147">
        <f t="shared" si="2"/>
        <v>-9343.81</v>
      </c>
      <c r="G378" s="43" t="str">
        <f>_xlfn.XLOOKUP($A378,Map!$A:$A,Map!C:C)</f>
        <v>IS</v>
      </c>
      <c r="H378" s="43" t="str">
        <f>_xlfn.XLOOKUP($A378,Map!$A:$A,Map!D:D)</f>
        <v>Cost of sales</v>
      </c>
      <c r="I378" s="43" t="str">
        <f>_xlfn.XLOOKUP($A378,Map!$A:$A,Map!E:E)</f>
        <v>Raw materials</v>
      </c>
      <c r="J378" s="43" t="str">
        <f>_xlfn.XLOOKUP($A378,Map!$A:$A,Map!F:F)</f>
        <v>Other expenses</v>
      </c>
    </row>
    <row r="379" spans="1:10" x14ac:dyDescent="0.25">
      <c r="A379">
        <v>510005</v>
      </c>
      <c r="B379" t="s">
        <v>1343</v>
      </c>
      <c r="D379">
        <v>4505.59</v>
      </c>
      <c r="E379">
        <v>0</v>
      </c>
      <c r="F379" s="147">
        <f t="shared" si="2"/>
        <v>4505.59</v>
      </c>
      <c r="G379" s="43" t="str">
        <f>_xlfn.XLOOKUP($A379,Map!$A:$A,Map!C:C)</f>
        <v>IS</v>
      </c>
      <c r="H379" s="43" t="str">
        <f>_xlfn.XLOOKUP($A379,Map!$A:$A,Map!D:D)</f>
        <v>Cost of sales</v>
      </c>
      <c r="I379" s="43" t="str">
        <f>_xlfn.XLOOKUP($A379,Map!$A:$A,Map!E:E)</f>
        <v>Raw materials</v>
      </c>
      <c r="J379" s="43" t="str">
        <f>_xlfn.XLOOKUP($A379,Map!$A:$A,Map!F:F)</f>
        <v>Other expenses</v>
      </c>
    </row>
    <row r="380" spans="1:10" x14ac:dyDescent="0.25">
      <c r="A380">
        <v>510004</v>
      </c>
      <c r="B380" t="s">
        <v>1343</v>
      </c>
      <c r="D380">
        <v>391966.36</v>
      </c>
      <c r="E380">
        <v>0</v>
      </c>
      <c r="F380" s="147">
        <f t="shared" si="2"/>
        <v>391966.36</v>
      </c>
      <c r="G380" s="43" t="str">
        <f>_xlfn.XLOOKUP($A380,Map!$A:$A,Map!C:C)</f>
        <v>IS</v>
      </c>
      <c r="H380" s="43" t="str">
        <f>_xlfn.XLOOKUP($A380,Map!$A:$A,Map!D:D)</f>
        <v>Cost of sales</v>
      </c>
      <c r="I380" s="43" t="str">
        <f>_xlfn.XLOOKUP($A380,Map!$A:$A,Map!E:E)</f>
        <v>Raw materials</v>
      </c>
      <c r="J380" s="43" t="str">
        <f>_xlfn.XLOOKUP($A380,Map!$A:$A,Map!F:F)</f>
        <v>Other expenses</v>
      </c>
    </row>
    <row r="381" spans="1:10" x14ac:dyDescent="0.25">
      <c r="A381">
        <v>510004</v>
      </c>
      <c r="B381" t="s">
        <v>1343</v>
      </c>
      <c r="D381">
        <v>120596.54</v>
      </c>
      <c r="E381">
        <v>0</v>
      </c>
      <c r="F381" s="147">
        <f t="shared" ref="F381:F444" si="3">D381-E381</f>
        <v>120596.54</v>
      </c>
      <c r="G381" s="43" t="str">
        <f>_xlfn.XLOOKUP($A381,Map!$A:$A,Map!C:C)</f>
        <v>IS</v>
      </c>
      <c r="H381" s="43" t="str">
        <f>_xlfn.XLOOKUP($A381,Map!$A:$A,Map!D:D)</f>
        <v>Cost of sales</v>
      </c>
      <c r="I381" s="43" t="str">
        <f>_xlfn.XLOOKUP($A381,Map!$A:$A,Map!E:E)</f>
        <v>Raw materials</v>
      </c>
      <c r="J381" s="43" t="str">
        <f>_xlfn.XLOOKUP($A381,Map!$A:$A,Map!F:F)</f>
        <v>Other expenses</v>
      </c>
    </row>
    <row r="382" spans="1:10" x14ac:dyDescent="0.25">
      <c r="A382">
        <v>510004</v>
      </c>
      <c r="B382" t="s">
        <v>1343</v>
      </c>
      <c r="D382">
        <v>19838.349999999999</v>
      </c>
      <c r="E382">
        <v>0</v>
      </c>
      <c r="F382" s="147">
        <f t="shared" si="3"/>
        <v>19838.349999999999</v>
      </c>
      <c r="G382" s="43" t="str">
        <f>_xlfn.XLOOKUP($A382,Map!$A:$A,Map!C:C)</f>
        <v>IS</v>
      </c>
      <c r="H382" s="43" t="str">
        <f>_xlfn.XLOOKUP($A382,Map!$A:$A,Map!D:D)</f>
        <v>Cost of sales</v>
      </c>
      <c r="I382" s="43" t="str">
        <f>_xlfn.XLOOKUP($A382,Map!$A:$A,Map!E:E)</f>
        <v>Raw materials</v>
      </c>
      <c r="J382" s="43" t="str">
        <f>_xlfn.XLOOKUP($A382,Map!$A:$A,Map!F:F)</f>
        <v>Other expenses</v>
      </c>
    </row>
    <row r="383" spans="1:10" x14ac:dyDescent="0.25">
      <c r="A383">
        <v>510004</v>
      </c>
      <c r="B383" t="s">
        <v>1343</v>
      </c>
      <c r="D383">
        <v>154127.85999999999</v>
      </c>
      <c r="E383">
        <v>0</v>
      </c>
      <c r="F383" s="147">
        <f t="shared" si="3"/>
        <v>154127.85999999999</v>
      </c>
      <c r="G383" s="43" t="str">
        <f>_xlfn.XLOOKUP($A383,Map!$A:$A,Map!C:C)</f>
        <v>IS</v>
      </c>
      <c r="H383" s="43" t="str">
        <f>_xlfn.XLOOKUP($A383,Map!$A:$A,Map!D:D)</f>
        <v>Cost of sales</v>
      </c>
      <c r="I383" s="43" t="str">
        <f>_xlfn.XLOOKUP($A383,Map!$A:$A,Map!E:E)</f>
        <v>Raw materials</v>
      </c>
      <c r="J383" s="43" t="str">
        <f>_xlfn.XLOOKUP($A383,Map!$A:$A,Map!F:F)</f>
        <v>Other expenses</v>
      </c>
    </row>
    <row r="384" spans="1:10" x14ac:dyDescent="0.25">
      <c r="A384">
        <v>510004</v>
      </c>
      <c r="B384" t="s">
        <v>1343</v>
      </c>
      <c r="D384">
        <v>233417.69</v>
      </c>
      <c r="E384">
        <v>0</v>
      </c>
      <c r="F384" s="147">
        <f t="shared" si="3"/>
        <v>233417.69</v>
      </c>
      <c r="G384" s="43" t="str">
        <f>_xlfn.XLOOKUP($A384,Map!$A:$A,Map!C:C)</f>
        <v>IS</v>
      </c>
      <c r="H384" s="43" t="str">
        <f>_xlfn.XLOOKUP($A384,Map!$A:$A,Map!D:D)</f>
        <v>Cost of sales</v>
      </c>
      <c r="I384" s="43" t="str">
        <f>_xlfn.XLOOKUP($A384,Map!$A:$A,Map!E:E)</f>
        <v>Raw materials</v>
      </c>
      <c r="J384" s="43" t="str">
        <f>_xlfn.XLOOKUP($A384,Map!$A:$A,Map!F:F)</f>
        <v>Other expenses</v>
      </c>
    </row>
    <row r="385" spans="1:10" x14ac:dyDescent="0.25">
      <c r="A385">
        <v>510004</v>
      </c>
      <c r="B385" t="s">
        <v>1343</v>
      </c>
      <c r="D385">
        <v>52309.38</v>
      </c>
      <c r="E385">
        <v>0</v>
      </c>
      <c r="F385" s="147">
        <f t="shared" si="3"/>
        <v>52309.38</v>
      </c>
      <c r="G385" s="43" t="str">
        <f>_xlfn.XLOOKUP($A385,Map!$A:$A,Map!C:C)</f>
        <v>IS</v>
      </c>
      <c r="H385" s="43" t="str">
        <f>_xlfn.XLOOKUP($A385,Map!$A:$A,Map!D:D)</f>
        <v>Cost of sales</v>
      </c>
      <c r="I385" s="43" t="str">
        <f>_xlfn.XLOOKUP($A385,Map!$A:$A,Map!E:E)</f>
        <v>Raw materials</v>
      </c>
      <c r="J385" s="43" t="str">
        <f>_xlfn.XLOOKUP($A385,Map!$A:$A,Map!F:F)</f>
        <v>Other expenses</v>
      </c>
    </row>
    <row r="386" spans="1:10" x14ac:dyDescent="0.25">
      <c r="A386">
        <v>510004</v>
      </c>
      <c r="B386" t="s">
        <v>1343</v>
      </c>
      <c r="D386">
        <v>45409.69</v>
      </c>
      <c r="E386">
        <v>0</v>
      </c>
      <c r="F386" s="147">
        <f t="shared" si="3"/>
        <v>45409.69</v>
      </c>
      <c r="G386" s="43" t="str">
        <f>_xlfn.XLOOKUP($A386,Map!$A:$A,Map!C:C)</f>
        <v>IS</v>
      </c>
      <c r="H386" s="43" t="str">
        <f>_xlfn.XLOOKUP($A386,Map!$A:$A,Map!D:D)</f>
        <v>Cost of sales</v>
      </c>
      <c r="I386" s="43" t="str">
        <f>_xlfn.XLOOKUP($A386,Map!$A:$A,Map!E:E)</f>
        <v>Raw materials</v>
      </c>
      <c r="J386" s="43" t="str">
        <f>_xlfn.XLOOKUP($A386,Map!$A:$A,Map!F:F)</f>
        <v>Other expenses</v>
      </c>
    </row>
    <row r="387" spans="1:10" x14ac:dyDescent="0.25">
      <c r="A387">
        <v>510004</v>
      </c>
      <c r="B387" t="s">
        <v>1343</v>
      </c>
      <c r="D387">
        <v>58972.81</v>
      </c>
      <c r="E387">
        <v>0</v>
      </c>
      <c r="F387" s="147">
        <f t="shared" si="3"/>
        <v>58972.81</v>
      </c>
      <c r="G387" s="43" t="str">
        <f>_xlfn.XLOOKUP($A387,Map!$A:$A,Map!C:C)</f>
        <v>IS</v>
      </c>
      <c r="H387" s="43" t="str">
        <f>_xlfn.XLOOKUP($A387,Map!$A:$A,Map!D:D)</f>
        <v>Cost of sales</v>
      </c>
      <c r="I387" s="43" t="str">
        <f>_xlfn.XLOOKUP($A387,Map!$A:$A,Map!E:E)</f>
        <v>Raw materials</v>
      </c>
      <c r="J387" s="43" t="str">
        <f>_xlfn.XLOOKUP($A387,Map!$A:$A,Map!F:F)</f>
        <v>Other expenses</v>
      </c>
    </row>
    <row r="388" spans="1:10" x14ac:dyDescent="0.25">
      <c r="A388">
        <v>510004</v>
      </c>
      <c r="B388" t="s">
        <v>1343</v>
      </c>
      <c r="D388">
        <v>691496.03</v>
      </c>
      <c r="E388">
        <v>0</v>
      </c>
      <c r="F388" s="147">
        <f t="shared" si="3"/>
        <v>691496.03</v>
      </c>
      <c r="G388" s="43" t="str">
        <f>_xlfn.XLOOKUP($A388,Map!$A:$A,Map!C:C)</f>
        <v>IS</v>
      </c>
      <c r="H388" s="43" t="str">
        <f>_xlfn.XLOOKUP($A388,Map!$A:$A,Map!D:D)</f>
        <v>Cost of sales</v>
      </c>
      <c r="I388" s="43" t="str">
        <f>_xlfn.XLOOKUP($A388,Map!$A:$A,Map!E:E)</f>
        <v>Raw materials</v>
      </c>
      <c r="J388" s="43" t="str">
        <f>_xlfn.XLOOKUP($A388,Map!$A:$A,Map!F:F)</f>
        <v>Other expenses</v>
      </c>
    </row>
    <row r="389" spans="1:10" x14ac:dyDescent="0.25">
      <c r="A389">
        <v>510004</v>
      </c>
      <c r="B389" t="s">
        <v>1343</v>
      </c>
      <c r="D389">
        <v>17934.37</v>
      </c>
      <c r="E389">
        <v>0</v>
      </c>
      <c r="F389" s="147">
        <f t="shared" si="3"/>
        <v>17934.37</v>
      </c>
      <c r="G389" s="43" t="str">
        <f>_xlfn.XLOOKUP($A389,Map!$A:$A,Map!C:C)</f>
        <v>IS</v>
      </c>
      <c r="H389" s="43" t="str">
        <f>_xlfn.XLOOKUP($A389,Map!$A:$A,Map!D:D)</f>
        <v>Cost of sales</v>
      </c>
      <c r="I389" s="43" t="str">
        <f>_xlfn.XLOOKUP($A389,Map!$A:$A,Map!E:E)</f>
        <v>Raw materials</v>
      </c>
      <c r="J389" s="43" t="str">
        <f>_xlfn.XLOOKUP($A389,Map!$A:$A,Map!F:F)</f>
        <v>Other expenses</v>
      </c>
    </row>
    <row r="390" spans="1:10" x14ac:dyDescent="0.25">
      <c r="A390">
        <v>510003</v>
      </c>
      <c r="B390" t="s">
        <v>1343</v>
      </c>
      <c r="D390">
        <v>0</v>
      </c>
      <c r="E390">
        <v>812869.66</v>
      </c>
      <c r="F390" s="147">
        <f t="shared" si="3"/>
        <v>-812869.66</v>
      </c>
      <c r="G390" s="43" t="str">
        <f>_xlfn.XLOOKUP($A390,Map!$A:$A,Map!C:C)</f>
        <v>IS</v>
      </c>
      <c r="H390" s="43" t="str">
        <f>_xlfn.XLOOKUP($A390,Map!$A:$A,Map!D:D)</f>
        <v>Cost of sales</v>
      </c>
      <c r="I390" s="43" t="str">
        <f>_xlfn.XLOOKUP($A390,Map!$A:$A,Map!E:E)</f>
        <v>Raw materials</v>
      </c>
      <c r="J390" s="43" t="str">
        <f>_xlfn.XLOOKUP($A390,Map!$A:$A,Map!F:F)</f>
        <v>Raw materials</v>
      </c>
    </row>
    <row r="391" spans="1:10" x14ac:dyDescent="0.25">
      <c r="A391">
        <v>510003</v>
      </c>
      <c r="B391" t="s">
        <v>1343</v>
      </c>
      <c r="D391">
        <v>0</v>
      </c>
      <c r="E391">
        <v>250096.13</v>
      </c>
      <c r="F391" s="147">
        <f t="shared" si="3"/>
        <v>-250096.13</v>
      </c>
      <c r="G391" s="43" t="str">
        <f>_xlfn.XLOOKUP($A391,Map!$A:$A,Map!C:C)</f>
        <v>IS</v>
      </c>
      <c r="H391" s="43" t="str">
        <f>_xlfn.XLOOKUP($A391,Map!$A:$A,Map!D:D)</f>
        <v>Cost of sales</v>
      </c>
      <c r="I391" s="43" t="str">
        <f>_xlfn.XLOOKUP($A391,Map!$A:$A,Map!E:E)</f>
        <v>Raw materials</v>
      </c>
      <c r="J391" s="43" t="str">
        <f>_xlfn.XLOOKUP($A391,Map!$A:$A,Map!F:F)</f>
        <v>Raw materials</v>
      </c>
    </row>
    <row r="392" spans="1:10" x14ac:dyDescent="0.25">
      <c r="A392">
        <v>510003</v>
      </c>
      <c r="B392" t="s">
        <v>1343</v>
      </c>
      <c r="D392">
        <v>0</v>
      </c>
      <c r="E392">
        <v>41141.269999999997</v>
      </c>
      <c r="F392" s="147">
        <f t="shared" si="3"/>
        <v>-41141.269999999997</v>
      </c>
      <c r="G392" s="43" t="str">
        <f>_xlfn.XLOOKUP($A392,Map!$A:$A,Map!C:C)</f>
        <v>IS</v>
      </c>
      <c r="H392" s="43" t="str">
        <f>_xlfn.XLOOKUP($A392,Map!$A:$A,Map!D:D)</f>
        <v>Cost of sales</v>
      </c>
      <c r="I392" s="43" t="str">
        <f>_xlfn.XLOOKUP($A392,Map!$A:$A,Map!E:E)</f>
        <v>Raw materials</v>
      </c>
      <c r="J392" s="43" t="str">
        <f>_xlfn.XLOOKUP($A392,Map!$A:$A,Map!F:F)</f>
        <v>Raw materials</v>
      </c>
    </row>
    <row r="393" spans="1:10" x14ac:dyDescent="0.25">
      <c r="A393">
        <v>510003</v>
      </c>
      <c r="B393" t="s">
        <v>1343</v>
      </c>
      <c r="D393">
        <v>0</v>
      </c>
      <c r="E393">
        <v>319634.21999999997</v>
      </c>
      <c r="F393" s="147">
        <f t="shared" si="3"/>
        <v>-319634.21999999997</v>
      </c>
      <c r="G393" s="43" t="str">
        <f>_xlfn.XLOOKUP($A393,Map!$A:$A,Map!C:C)</f>
        <v>IS</v>
      </c>
      <c r="H393" s="43" t="str">
        <f>_xlfn.XLOOKUP($A393,Map!$A:$A,Map!D:D)</f>
        <v>Cost of sales</v>
      </c>
      <c r="I393" s="43" t="str">
        <f>_xlfn.XLOOKUP($A393,Map!$A:$A,Map!E:E)</f>
        <v>Raw materials</v>
      </c>
      <c r="J393" s="43" t="str">
        <f>_xlfn.XLOOKUP($A393,Map!$A:$A,Map!F:F)</f>
        <v>Raw materials</v>
      </c>
    </row>
    <row r="394" spans="1:10" x14ac:dyDescent="0.25">
      <c r="A394">
        <v>510003</v>
      </c>
      <c r="B394" t="s">
        <v>1343</v>
      </c>
      <c r="D394">
        <v>0</v>
      </c>
      <c r="E394">
        <v>484067.45</v>
      </c>
      <c r="F394" s="147">
        <f t="shared" si="3"/>
        <v>-484067.45</v>
      </c>
      <c r="G394" s="43" t="str">
        <f>_xlfn.XLOOKUP($A394,Map!$A:$A,Map!C:C)</f>
        <v>IS</v>
      </c>
      <c r="H394" s="43" t="str">
        <f>_xlfn.XLOOKUP($A394,Map!$A:$A,Map!D:D)</f>
        <v>Cost of sales</v>
      </c>
      <c r="I394" s="43" t="str">
        <f>_xlfn.XLOOKUP($A394,Map!$A:$A,Map!E:E)</f>
        <v>Raw materials</v>
      </c>
      <c r="J394" s="43" t="str">
        <f>_xlfn.XLOOKUP($A394,Map!$A:$A,Map!F:F)</f>
        <v>Raw materials</v>
      </c>
    </row>
    <row r="395" spans="1:10" x14ac:dyDescent="0.25">
      <c r="A395">
        <v>510003</v>
      </c>
      <c r="B395" t="s">
        <v>1343</v>
      </c>
      <c r="D395">
        <v>0</v>
      </c>
      <c r="E395">
        <v>108480.5</v>
      </c>
      <c r="F395" s="147">
        <f t="shared" si="3"/>
        <v>-108480.5</v>
      </c>
      <c r="G395" s="43" t="str">
        <f>_xlfn.XLOOKUP($A395,Map!$A:$A,Map!C:C)</f>
        <v>IS</v>
      </c>
      <c r="H395" s="43" t="str">
        <f>_xlfn.XLOOKUP($A395,Map!$A:$A,Map!D:D)</f>
        <v>Cost of sales</v>
      </c>
      <c r="I395" s="43" t="str">
        <f>_xlfn.XLOOKUP($A395,Map!$A:$A,Map!E:E)</f>
        <v>Raw materials</v>
      </c>
      <c r="J395" s="43" t="str">
        <f>_xlfn.XLOOKUP($A395,Map!$A:$A,Map!F:F)</f>
        <v>Raw materials</v>
      </c>
    </row>
    <row r="396" spans="1:10" x14ac:dyDescent="0.25">
      <c r="A396">
        <v>510003</v>
      </c>
      <c r="B396" t="s">
        <v>1343</v>
      </c>
      <c r="D396">
        <v>0</v>
      </c>
      <c r="E396">
        <v>94171.75</v>
      </c>
      <c r="F396" s="147">
        <f t="shared" si="3"/>
        <v>-94171.75</v>
      </c>
      <c r="G396" s="43" t="str">
        <f>_xlfn.XLOOKUP($A396,Map!$A:$A,Map!C:C)</f>
        <v>IS</v>
      </c>
      <c r="H396" s="43" t="str">
        <f>_xlfn.XLOOKUP($A396,Map!$A:$A,Map!D:D)</f>
        <v>Cost of sales</v>
      </c>
      <c r="I396" s="43" t="str">
        <f>_xlfn.XLOOKUP($A396,Map!$A:$A,Map!E:E)</f>
        <v>Raw materials</v>
      </c>
      <c r="J396" s="43" t="str">
        <f>_xlfn.XLOOKUP($A396,Map!$A:$A,Map!F:F)</f>
        <v>Raw materials</v>
      </c>
    </row>
    <row r="397" spans="1:10" x14ac:dyDescent="0.25">
      <c r="A397">
        <v>510003</v>
      </c>
      <c r="B397" t="s">
        <v>1343</v>
      </c>
      <c r="D397">
        <v>0</v>
      </c>
      <c r="E397">
        <v>122299.29</v>
      </c>
      <c r="F397" s="147">
        <f t="shared" si="3"/>
        <v>-122299.29</v>
      </c>
      <c r="G397" s="43" t="str">
        <f>_xlfn.XLOOKUP($A397,Map!$A:$A,Map!C:C)</f>
        <v>IS</v>
      </c>
      <c r="H397" s="43" t="str">
        <f>_xlfn.XLOOKUP($A397,Map!$A:$A,Map!D:D)</f>
        <v>Cost of sales</v>
      </c>
      <c r="I397" s="43" t="str">
        <f>_xlfn.XLOOKUP($A397,Map!$A:$A,Map!E:E)</f>
        <v>Raw materials</v>
      </c>
      <c r="J397" s="43" t="str">
        <f>_xlfn.XLOOKUP($A397,Map!$A:$A,Map!F:F)</f>
        <v>Raw materials</v>
      </c>
    </row>
    <row r="398" spans="1:10" x14ac:dyDescent="0.25">
      <c r="A398">
        <v>510003</v>
      </c>
      <c r="B398" t="s">
        <v>1343</v>
      </c>
      <c r="D398">
        <v>0</v>
      </c>
      <c r="E398">
        <v>1434041.79</v>
      </c>
      <c r="F398" s="147">
        <f t="shared" si="3"/>
        <v>-1434041.79</v>
      </c>
      <c r="G398" s="43" t="str">
        <f>_xlfn.XLOOKUP($A398,Map!$A:$A,Map!C:C)</f>
        <v>IS</v>
      </c>
      <c r="H398" s="43" t="str">
        <f>_xlfn.XLOOKUP($A398,Map!$A:$A,Map!D:D)</f>
        <v>Cost of sales</v>
      </c>
      <c r="I398" s="43" t="str">
        <f>_xlfn.XLOOKUP($A398,Map!$A:$A,Map!E:E)</f>
        <v>Raw materials</v>
      </c>
      <c r="J398" s="43" t="str">
        <f>_xlfn.XLOOKUP($A398,Map!$A:$A,Map!F:F)</f>
        <v>Raw materials</v>
      </c>
    </row>
    <row r="399" spans="1:10" x14ac:dyDescent="0.25">
      <c r="A399">
        <v>510003</v>
      </c>
      <c r="B399" t="s">
        <v>1343</v>
      </c>
      <c r="D399">
        <v>0</v>
      </c>
      <c r="E399">
        <v>37192.75</v>
      </c>
      <c r="F399" s="147">
        <f t="shared" si="3"/>
        <v>-37192.75</v>
      </c>
      <c r="G399" s="43" t="str">
        <f>_xlfn.XLOOKUP($A399,Map!$A:$A,Map!C:C)</f>
        <v>IS</v>
      </c>
      <c r="H399" s="43" t="str">
        <f>_xlfn.XLOOKUP($A399,Map!$A:$A,Map!D:D)</f>
        <v>Cost of sales</v>
      </c>
      <c r="I399" s="43" t="str">
        <f>_xlfn.XLOOKUP($A399,Map!$A:$A,Map!E:E)</f>
        <v>Raw materials</v>
      </c>
      <c r="J399" s="43" t="str">
        <f>_xlfn.XLOOKUP($A399,Map!$A:$A,Map!F:F)</f>
        <v>Raw materials</v>
      </c>
    </row>
    <row r="400" spans="1:10" x14ac:dyDescent="0.25">
      <c r="A400">
        <v>510002</v>
      </c>
      <c r="B400" t="s">
        <v>1343</v>
      </c>
      <c r="D400">
        <v>220191.3</v>
      </c>
      <c r="E400">
        <v>0</v>
      </c>
      <c r="F400" s="147">
        <f t="shared" si="3"/>
        <v>220191.3</v>
      </c>
      <c r="G400" s="43" t="str">
        <f>_xlfn.XLOOKUP($A400,Map!$A:$A,Map!C:C)</f>
        <v>IS</v>
      </c>
      <c r="H400" s="43" t="str">
        <f>_xlfn.XLOOKUP($A400,Map!$A:$A,Map!D:D)</f>
        <v>Cost of sales</v>
      </c>
      <c r="I400" s="43" t="str">
        <f>_xlfn.XLOOKUP($A400,Map!$A:$A,Map!E:E)</f>
        <v>Direct Labor</v>
      </c>
      <c r="J400" s="43" t="str">
        <f>_xlfn.XLOOKUP($A400,Map!$A:$A,Map!F:F)</f>
        <v>Direct Labor</v>
      </c>
    </row>
    <row r="401" spans="1:10" x14ac:dyDescent="0.25">
      <c r="A401">
        <v>510002</v>
      </c>
      <c r="B401" t="s">
        <v>1343</v>
      </c>
      <c r="D401">
        <v>698244.79</v>
      </c>
      <c r="E401">
        <v>0</v>
      </c>
      <c r="F401" s="147">
        <f t="shared" si="3"/>
        <v>698244.79</v>
      </c>
      <c r="G401" s="43" t="str">
        <f>_xlfn.XLOOKUP($A401,Map!$A:$A,Map!C:C)</f>
        <v>IS</v>
      </c>
      <c r="H401" s="43" t="str">
        <f>_xlfn.XLOOKUP($A401,Map!$A:$A,Map!D:D)</f>
        <v>Cost of sales</v>
      </c>
      <c r="I401" s="43" t="str">
        <f>_xlfn.XLOOKUP($A401,Map!$A:$A,Map!E:E)</f>
        <v>Direct Labor</v>
      </c>
      <c r="J401" s="43" t="str">
        <f>_xlfn.XLOOKUP($A401,Map!$A:$A,Map!F:F)</f>
        <v>Direct Labor</v>
      </c>
    </row>
    <row r="402" spans="1:10" x14ac:dyDescent="0.25">
      <c r="A402">
        <v>510002</v>
      </c>
      <c r="B402" t="s">
        <v>1343</v>
      </c>
      <c r="D402">
        <v>69427.33</v>
      </c>
      <c r="E402">
        <v>0</v>
      </c>
      <c r="F402" s="147">
        <f t="shared" si="3"/>
        <v>69427.33</v>
      </c>
      <c r="G402" s="43" t="str">
        <f>_xlfn.XLOOKUP($A402,Map!$A:$A,Map!C:C)</f>
        <v>IS</v>
      </c>
      <c r="H402" s="43" t="str">
        <f>_xlfn.XLOOKUP($A402,Map!$A:$A,Map!D:D)</f>
        <v>Cost of sales</v>
      </c>
      <c r="I402" s="43" t="str">
        <f>_xlfn.XLOOKUP($A402,Map!$A:$A,Map!E:E)</f>
        <v>Direct Labor</v>
      </c>
      <c r="J402" s="43" t="str">
        <f>_xlfn.XLOOKUP($A402,Map!$A:$A,Map!F:F)</f>
        <v>Direct Labor</v>
      </c>
    </row>
    <row r="403" spans="1:10" x14ac:dyDescent="0.25">
      <c r="A403">
        <v>510002</v>
      </c>
      <c r="B403" t="s">
        <v>1343</v>
      </c>
      <c r="D403">
        <v>495013.53</v>
      </c>
      <c r="E403">
        <v>0</v>
      </c>
      <c r="F403" s="147">
        <f t="shared" si="3"/>
        <v>495013.53</v>
      </c>
      <c r="G403" s="43" t="str">
        <f>_xlfn.XLOOKUP($A403,Map!$A:$A,Map!C:C)</f>
        <v>IS</v>
      </c>
      <c r="H403" s="43" t="str">
        <f>_xlfn.XLOOKUP($A403,Map!$A:$A,Map!D:D)</f>
        <v>Cost of sales</v>
      </c>
      <c r="I403" s="43" t="str">
        <f>_xlfn.XLOOKUP($A403,Map!$A:$A,Map!E:E)</f>
        <v>Direct Labor</v>
      </c>
      <c r="J403" s="43" t="str">
        <f>_xlfn.XLOOKUP($A403,Map!$A:$A,Map!F:F)</f>
        <v>Direct Labor</v>
      </c>
    </row>
    <row r="404" spans="1:10" x14ac:dyDescent="0.25">
      <c r="A404">
        <v>510002</v>
      </c>
      <c r="B404" t="s">
        <v>1343</v>
      </c>
      <c r="D404">
        <v>107980.16</v>
      </c>
      <c r="E404">
        <v>0</v>
      </c>
      <c r="F404" s="147">
        <f t="shared" si="3"/>
        <v>107980.16</v>
      </c>
      <c r="G404" s="43" t="str">
        <f>_xlfn.XLOOKUP($A404,Map!$A:$A,Map!C:C)</f>
        <v>IS</v>
      </c>
      <c r="H404" s="43" t="str">
        <f>_xlfn.XLOOKUP($A404,Map!$A:$A,Map!D:D)</f>
        <v>Cost of sales</v>
      </c>
      <c r="I404" s="43" t="str">
        <f>_xlfn.XLOOKUP($A404,Map!$A:$A,Map!E:E)</f>
        <v>Direct Labor</v>
      </c>
      <c r="J404" s="43" t="str">
        <f>_xlfn.XLOOKUP($A404,Map!$A:$A,Map!F:F)</f>
        <v>Direct Labor</v>
      </c>
    </row>
    <row r="405" spans="1:10" x14ac:dyDescent="0.25">
      <c r="A405">
        <v>510002</v>
      </c>
      <c r="B405" t="s">
        <v>1343</v>
      </c>
      <c r="D405">
        <v>838747.91</v>
      </c>
      <c r="E405">
        <v>0</v>
      </c>
      <c r="F405" s="147">
        <f t="shared" si="3"/>
        <v>838747.91</v>
      </c>
      <c r="G405" s="43" t="str">
        <f>_xlfn.XLOOKUP($A405,Map!$A:$A,Map!C:C)</f>
        <v>IS</v>
      </c>
      <c r="H405" s="43" t="str">
        <f>_xlfn.XLOOKUP($A405,Map!$A:$A,Map!D:D)</f>
        <v>Cost of sales</v>
      </c>
      <c r="I405" s="43" t="str">
        <f>_xlfn.XLOOKUP($A405,Map!$A:$A,Map!E:E)</f>
        <v>Direct Labor</v>
      </c>
      <c r="J405" s="43" t="str">
        <f>_xlfn.XLOOKUP($A405,Map!$A:$A,Map!F:F)</f>
        <v>Direct Labor</v>
      </c>
    </row>
    <row r="406" spans="1:10" x14ac:dyDescent="0.25">
      <c r="A406">
        <v>510002</v>
      </c>
      <c r="B406" t="s">
        <v>1343</v>
      </c>
      <c r="D406">
        <v>5793.07</v>
      </c>
      <c r="E406">
        <v>0</v>
      </c>
      <c r="F406" s="147">
        <f t="shared" si="3"/>
        <v>5793.07</v>
      </c>
      <c r="G406" s="43" t="str">
        <f>_xlfn.XLOOKUP($A406,Map!$A:$A,Map!C:C)</f>
        <v>IS</v>
      </c>
      <c r="H406" s="43" t="str">
        <f>_xlfn.XLOOKUP($A406,Map!$A:$A,Map!D:D)</f>
        <v>Cost of sales</v>
      </c>
      <c r="I406" s="43" t="str">
        <f>_xlfn.XLOOKUP($A406,Map!$A:$A,Map!E:E)</f>
        <v>Direct Labor</v>
      </c>
      <c r="J406" s="43" t="str">
        <f>_xlfn.XLOOKUP($A406,Map!$A:$A,Map!F:F)</f>
        <v>Direct Labor</v>
      </c>
    </row>
    <row r="407" spans="1:10" x14ac:dyDescent="0.25">
      <c r="A407">
        <v>510002</v>
      </c>
      <c r="B407" t="s">
        <v>1343</v>
      </c>
      <c r="D407">
        <v>45971.28</v>
      </c>
      <c r="E407">
        <v>0</v>
      </c>
      <c r="F407" s="147">
        <f t="shared" si="3"/>
        <v>45971.28</v>
      </c>
      <c r="G407" s="43" t="str">
        <f>_xlfn.XLOOKUP($A407,Map!$A:$A,Map!C:C)</f>
        <v>IS</v>
      </c>
      <c r="H407" s="43" t="str">
        <f>_xlfn.XLOOKUP($A407,Map!$A:$A,Map!D:D)</f>
        <v>Cost of sales</v>
      </c>
      <c r="I407" s="43" t="str">
        <f>_xlfn.XLOOKUP($A407,Map!$A:$A,Map!E:E)</f>
        <v>Direct Labor</v>
      </c>
      <c r="J407" s="43" t="str">
        <f>_xlfn.XLOOKUP($A407,Map!$A:$A,Map!F:F)</f>
        <v>Direct Labor</v>
      </c>
    </row>
    <row r="408" spans="1:10" x14ac:dyDescent="0.25">
      <c r="A408">
        <v>510002</v>
      </c>
      <c r="B408" t="s">
        <v>1343</v>
      </c>
      <c r="D408">
        <v>55157.78</v>
      </c>
      <c r="E408">
        <v>0</v>
      </c>
      <c r="F408" s="147">
        <f t="shared" si="3"/>
        <v>55157.78</v>
      </c>
      <c r="G408" s="43" t="str">
        <f>_xlfn.XLOOKUP($A408,Map!$A:$A,Map!C:C)</f>
        <v>IS</v>
      </c>
      <c r="H408" s="43" t="str">
        <f>_xlfn.XLOOKUP($A408,Map!$A:$A,Map!D:D)</f>
        <v>Cost of sales</v>
      </c>
      <c r="I408" s="43" t="str">
        <f>_xlfn.XLOOKUP($A408,Map!$A:$A,Map!E:E)</f>
        <v>Direct Labor</v>
      </c>
      <c r="J408" s="43" t="str">
        <f>_xlfn.XLOOKUP($A408,Map!$A:$A,Map!F:F)</f>
        <v>Direct Labor</v>
      </c>
    </row>
    <row r="409" spans="1:10" x14ac:dyDescent="0.25">
      <c r="A409">
        <v>510002</v>
      </c>
      <c r="B409" t="s">
        <v>1343</v>
      </c>
      <c r="D409">
        <v>6965.84</v>
      </c>
      <c r="E409">
        <v>0</v>
      </c>
      <c r="F409" s="147">
        <f t="shared" si="3"/>
        <v>6965.84</v>
      </c>
      <c r="G409" s="43" t="str">
        <f>_xlfn.XLOOKUP($A409,Map!$A:$A,Map!C:C)</f>
        <v>IS</v>
      </c>
      <c r="H409" s="43" t="str">
        <f>_xlfn.XLOOKUP($A409,Map!$A:$A,Map!D:D)</f>
        <v>Cost of sales</v>
      </c>
      <c r="I409" s="43" t="str">
        <f>_xlfn.XLOOKUP($A409,Map!$A:$A,Map!E:E)</f>
        <v>Direct Labor</v>
      </c>
      <c r="J409" s="43" t="str">
        <f>_xlfn.XLOOKUP($A409,Map!$A:$A,Map!F:F)</f>
        <v>Direct Labor</v>
      </c>
    </row>
    <row r="410" spans="1:10" x14ac:dyDescent="0.25">
      <c r="A410">
        <v>510002</v>
      </c>
      <c r="B410" t="s">
        <v>1343</v>
      </c>
      <c r="D410">
        <v>316041.21000000002</v>
      </c>
      <c r="E410">
        <v>0</v>
      </c>
      <c r="F410" s="147">
        <f t="shared" si="3"/>
        <v>316041.21000000002</v>
      </c>
      <c r="G410" s="43" t="str">
        <f>_xlfn.XLOOKUP($A410,Map!$A:$A,Map!C:C)</f>
        <v>IS</v>
      </c>
      <c r="H410" s="43" t="str">
        <f>_xlfn.XLOOKUP($A410,Map!$A:$A,Map!D:D)</f>
        <v>Cost of sales</v>
      </c>
      <c r="I410" s="43" t="str">
        <f>_xlfn.XLOOKUP($A410,Map!$A:$A,Map!E:E)</f>
        <v>Direct Labor</v>
      </c>
      <c r="J410" s="43" t="str">
        <f>_xlfn.XLOOKUP($A410,Map!$A:$A,Map!F:F)</f>
        <v>Direct Labor</v>
      </c>
    </row>
    <row r="411" spans="1:10" x14ac:dyDescent="0.25">
      <c r="A411">
        <v>510002</v>
      </c>
      <c r="B411" t="s">
        <v>1343</v>
      </c>
      <c r="D411">
        <v>21646.15</v>
      </c>
      <c r="E411">
        <v>0</v>
      </c>
      <c r="F411" s="147">
        <f t="shared" si="3"/>
        <v>21646.15</v>
      </c>
      <c r="G411" s="43" t="str">
        <f>_xlfn.XLOOKUP($A411,Map!$A:$A,Map!C:C)</f>
        <v>IS</v>
      </c>
      <c r="H411" s="43" t="str">
        <f>_xlfn.XLOOKUP($A411,Map!$A:$A,Map!D:D)</f>
        <v>Cost of sales</v>
      </c>
      <c r="I411" s="43" t="str">
        <f>_xlfn.XLOOKUP($A411,Map!$A:$A,Map!E:E)</f>
        <v>Direct Labor</v>
      </c>
      <c r="J411" s="43" t="str">
        <f>_xlfn.XLOOKUP($A411,Map!$A:$A,Map!F:F)</f>
        <v>Direct Labor</v>
      </c>
    </row>
    <row r="412" spans="1:10" x14ac:dyDescent="0.25">
      <c r="A412">
        <v>510002</v>
      </c>
      <c r="B412" t="s">
        <v>1343</v>
      </c>
      <c r="D412">
        <v>98857.02</v>
      </c>
      <c r="E412">
        <v>0</v>
      </c>
      <c r="F412" s="147">
        <f t="shared" si="3"/>
        <v>98857.02</v>
      </c>
      <c r="G412" s="43" t="str">
        <f>_xlfn.XLOOKUP($A412,Map!$A:$A,Map!C:C)</f>
        <v>IS</v>
      </c>
      <c r="H412" s="43" t="str">
        <f>_xlfn.XLOOKUP($A412,Map!$A:$A,Map!D:D)</f>
        <v>Cost of sales</v>
      </c>
      <c r="I412" s="43" t="str">
        <f>_xlfn.XLOOKUP($A412,Map!$A:$A,Map!E:E)</f>
        <v>Direct Labor</v>
      </c>
      <c r="J412" s="43" t="str">
        <f>_xlfn.XLOOKUP($A412,Map!$A:$A,Map!F:F)</f>
        <v>Direct Labor</v>
      </c>
    </row>
    <row r="413" spans="1:10" x14ac:dyDescent="0.25">
      <c r="A413">
        <v>510002</v>
      </c>
      <c r="B413" t="s">
        <v>1343</v>
      </c>
      <c r="D413">
        <v>4858.04</v>
      </c>
      <c r="E413">
        <v>0</v>
      </c>
      <c r="F413" s="147">
        <f t="shared" si="3"/>
        <v>4858.04</v>
      </c>
      <c r="G413" s="43" t="str">
        <f>_xlfn.XLOOKUP($A413,Map!$A:$A,Map!C:C)</f>
        <v>IS</v>
      </c>
      <c r="H413" s="43" t="str">
        <f>_xlfn.XLOOKUP($A413,Map!$A:$A,Map!D:D)</f>
        <v>Cost of sales</v>
      </c>
      <c r="I413" s="43" t="str">
        <f>_xlfn.XLOOKUP($A413,Map!$A:$A,Map!E:E)</f>
        <v>Direct Labor</v>
      </c>
      <c r="J413" s="43" t="str">
        <f>_xlfn.XLOOKUP($A413,Map!$A:$A,Map!F:F)</f>
        <v>Direct Labor</v>
      </c>
    </row>
    <row r="414" spans="1:10" x14ac:dyDescent="0.25">
      <c r="A414">
        <v>510002</v>
      </c>
      <c r="B414" t="s">
        <v>1343</v>
      </c>
      <c r="D414">
        <v>174561.2</v>
      </c>
      <c r="E414">
        <v>0</v>
      </c>
      <c r="F414" s="147">
        <f t="shared" si="3"/>
        <v>174561.2</v>
      </c>
      <c r="G414" s="43" t="str">
        <f>_xlfn.XLOOKUP($A414,Map!$A:$A,Map!C:C)</f>
        <v>IS</v>
      </c>
      <c r="H414" s="43" t="str">
        <f>_xlfn.XLOOKUP($A414,Map!$A:$A,Map!D:D)</f>
        <v>Cost of sales</v>
      </c>
      <c r="I414" s="43" t="str">
        <f>_xlfn.XLOOKUP($A414,Map!$A:$A,Map!E:E)</f>
        <v>Direct Labor</v>
      </c>
      <c r="J414" s="43" t="str">
        <f>_xlfn.XLOOKUP($A414,Map!$A:$A,Map!F:F)</f>
        <v>Direct Labor</v>
      </c>
    </row>
    <row r="415" spans="1:10" x14ac:dyDescent="0.25">
      <c r="A415">
        <v>510002</v>
      </c>
      <c r="B415" t="s">
        <v>1343</v>
      </c>
      <c r="D415">
        <v>827.37</v>
      </c>
      <c r="E415">
        <v>0</v>
      </c>
      <c r="F415" s="147">
        <f t="shared" si="3"/>
        <v>827.37</v>
      </c>
      <c r="G415" s="43" t="str">
        <f>_xlfn.XLOOKUP($A415,Map!$A:$A,Map!C:C)</f>
        <v>IS</v>
      </c>
      <c r="H415" s="43" t="str">
        <f>_xlfn.XLOOKUP($A415,Map!$A:$A,Map!D:D)</f>
        <v>Cost of sales</v>
      </c>
      <c r="I415" s="43" t="str">
        <f>_xlfn.XLOOKUP($A415,Map!$A:$A,Map!E:E)</f>
        <v>Direct Labor</v>
      </c>
      <c r="J415" s="43" t="str">
        <f>_xlfn.XLOOKUP($A415,Map!$A:$A,Map!F:F)</f>
        <v>Direct Labor</v>
      </c>
    </row>
    <row r="416" spans="1:10" x14ac:dyDescent="0.25">
      <c r="A416">
        <v>510002</v>
      </c>
      <c r="B416" t="s">
        <v>1343</v>
      </c>
      <c r="D416">
        <v>87280.6</v>
      </c>
      <c r="E416">
        <v>0</v>
      </c>
      <c r="F416" s="147">
        <f t="shared" si="3"/>
        <v>87280.6</v>
      </c>
      <c r="G416" s="43" t="str">
        <f>_xlfn.XLOOKUP($A416,Map!$A:$A,Map!C:C)</f>
        <v>IS</v>
      </c>
      <c r="H416" s="43" t="str">
        <f>_xlfn.XLOOKUP($A416,Map!$A:$A,Map!D:D)</f>
        <v>Cost of sales</v>
      </c>
      <c r="I416" s="43" t="str">
        <f>_xlfn.XLOOKUP($A416,Map!$A:$A,Map!E:E)</f>
        <v>Direct Labor</v>
      </c>
      <c r="J416" s="43" t="str">
        <f>_xlfn.XLOOKUP($A416,Map!$A:$A,Map!F:F)</f>
        <v>Direct Labor</v>
      </c>
    </row>
    <row r="419" spans="1:10" x14ac:dyDescent="0.25">
      <c r="A419">
        <v>170021</v>
      </c>
      <c r="B419" t="s">
        <v>883</v>
      </c>
      <c r="D419" s="154">
        <v>4501835.45</v>
      </c>
      <c r="F419" s="147">
        <f>D419-E419</f>
        <v>4501835.45</v>
      </c>
      <c r="G419" s="43" t="str">
        <f>_xlfn.XLOOKUP($A419,Map!$A:$A,Map!C:C)</f>
        <v>BS</v>
      </c>
      <c r="H419" s="43" t="str">
        <f>_xlfn.XLOOKUP($A419,Map!$A:$A,Map!D:D)</f>
        <v>Current Assets</v>
      </c>
      <c r="I419" s="43" t="str">
        <f>_xlfn.XLOOKUP($A419,Map!$A:$A,Map!E:E)</f>
        <v>Prepaid expenses</v>
      </c>
      <c r="J419" s="43" t="str">
        <f>_xlfn.XLOOKUP($A419,Map!$A:$A,Map!F:F)</f>
        <v>Prepaid expense</v>
      </c>
    </row>
    <row r="420" spans="1:10" x14ac:dyDescent="0.25">
      <c r="A420">
        <v>210001</v>
      </c>
      <c r="B420" t="s">
        <v>902</v>
      </c>
      <c r="E420" s="154">
        <f>D419</f>
        <v>4501835.45</v>
      </c>
      <c r="F420" s="147">
        <f>D420-E420</f>
        <v>-4501835.45</v>
      </c>
      <c r="G420" s="43" t="str">
        <f>_xlfn.XLOOKUP($A420,Map!$A:$A,Map!C:C)</f>
        <v>BS</v>
      </c>
      <c r="H420" s="43" t="str">
        <f>_xlfn.XLOOKUP($A420,Map!$A:$A,Map!D:D)</f>
        <v>Current Liabilities</v>
      </c>
      <c r="I420" s="43" t="str">
        <f>_xlfn.XLOOKUP($A420,Map!$A:$A,Map!E:E)</f>
        <v>Tade payables and Accuals &amp; other credit balances</v>
      </c>
      <c r="J420" s="43" t="str">
        <f>_xlfn.XLOOKUP($A420,Map!$A:$A,Map!F:F)</f>
        <v>Trade payables - Foreign</v>
      </c>
    </row>
    <row r="422" spans="1:10" x14ac:dyDescent="0.25">
      <c r="D422" s="155"/>
      <c r="G422" s="43"/>
      <c r="H422" s="43"/>
      <c r="I422" s="43"/>
      <c r="J422" s="43"/>
    </row>
    <row r="423" spans="1:10" x14ac:dyDescent="0.25">
      <c r="A423">
        <v>410001</v>
      </c>
      <c r="B423" t="s">
        <v>1344</v>
      </c>
      <c r="D423" s="88">
        <v>46398946.967131987</v>
      </c>
      <c r="E423" s="88"/>
      <c r="F423" s="147">
        <f>D423-E423</f>
        <v>46398946.967131987</v>
      </c>
      <c r="G423" s="43" t="str">
        <f>_xlfn.XLOOKUP($A423,Map!$A:$A,Map!C:C)</f>
        <v>IS</v>
      </c>
      <c r="H423" s="43" t="str">
        <f>_xlfn.XLOOKUP($A423,Map!$A:$A,Map!D:D)</f>
        <v>Sales</v>
      </c>
      <c r="I423" s="43" t="str">
        <f>_xlfn.XLOOKUP($A423,Map!$A:$A,Map!E:E)</f>
        <v>Sales</v>
      </c>
      <c r="J423" s="43" t="str">
        <f>_xlfn.XLOOKUP($A423,Map!$A:$A,Map!F:F)</f>
        <v>Trading revenue</v>
      </c>
    </row>
    <row r="424" spans="1:10" x14ac:dyDescent="0.25">
      <c r="A424">
        <v>510001</v>
      </c>
      <c r="B424" t="s">
        <v>1345</v>
      </c>
      <c r="D424" s="88"/>
      <c r="E424" s="88">
        <v>42795508.49139335</v>
      </c>
      <c r="F424" s="147">
        <f>D424-E424</f>
        <v>-42795508.49139335</v>
      </c>
      <c r="G424" s="43" t="str">
        <f>_xlfn.XLOOKUP($A424,Map!$A:$A,Map!C:C)</f>
        <v>IS</v>
      </c>
      <c r="H424" s="43" t="str">
        <f>_xlfn.XLOOKUP($A424,Map!$A:$A,Map!D:D)</f>
        <v>Cost of sales</v>
      </c>
      <c r="I424" s="43" t="str">
        <f>_xlfn.XLOOKUP($A424,Map!$A:$A,Map!E:E)</f>
        <v>Raw materials</v>
      </c>
      <c r="J424" s="43" t="str">
        <f>_xlfn.XLOOKUP($A424,Map!$A:$A,Map!F:F)</f>
        <v>Raw materials</v>
      </c>
    </row>
  </sheetData>
  <autoFilter ref="A4:J420" xr:uid="{00000000-0009-0000-0000-000019000000}"/>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287"/>
  <sheetViews>
    <sheetView zoomScale="90" workbookViewId="0">
      <pane ySplit="63" topLeftCell="A64" activePane="bottomLeft" state="frozen"/>
      <selection pane="bottomLeft"/>
    </sheetView>
  </sheetViews>
  <sheetFormatPr defaultRowHeight="15" x14ac:dyDescent="0.25"/>
  <cols>
    <col min="1" max="1" width="13.42578125" customWidth="1"/>
    <col min="2" max="2" width="40.7109375" customWidth="1"/>
    <col min="3" max="3" width="16.7109375" customWidth="1"/>
    <col min="4" max="4" width="17.85546875" customWidth="1"/>
    <col min="6" max="6" width="17" customWidth="1"/>
    <col min="7" max="7" width="8.5703125" customWidth="1"/>
    <col min="8" max="8" width="19.5703125" customWidth="1"/>
    <col min="9" max="9" width="42.7109375" customWidth="1"/>
    <col min="10" max="10" width="50.7109375" customWidth="1"/>
    <col min="11" max="11" width="8.85546875" customWidth="1"/>
  </cols>
  <sheetData>
    <row r="1" spans="1:10" x14ac:dyDescent="0.25">
      <c r="A1" s="85" t="s">
        <v>1251</v>
      </c>
    </row>
    <row r="2" spans="1:10" x14ac:dyDescent="0.25">
      <c r="A2" s="85" t="s">
        <v>1191</v>
      </c>
    </row>
    <row r="4" spans="1:10" x14ac:dyDescent="0.25">
      <c r="A4" t="s">
        <v>808</v>
      </c>
      <c r="B4" t="s">
        <v>809</v>
      </c>
      <c r="C4" t="s">
        <v>1340</v>
      </c>
      <c r="D4" t="s">
        <v>811</v>
      </c>
      <c r="E4" t="s">
        <v>812</v>
      </c>
      <c r="F4" s="147" t="s">
        <v>813</v>
      </c>
      <c r="G4" s="85" t="s">
        <v>814</v>
      </c>
      <c r="H4" s="85" t="s">
        <v>815</v>
      </c>
      <c r="I4" s="120" t="s">
        <v>722</v>
      </c>
      <c r="J4" s="120" t="s">
        <v>816</v>
      </c>
    </row>
    <row r="5" spans="1:10" x14ac:dyDescent="0.25">
      <c r="A5">
        <v>110002</v>
      </c>
      <c r="B5" t="s">
        <v>819</v>
      </c>
      <c r="C5" s="147">
        <v>249682</v>
      </c>
      <c r="D5" s="147">
        <v>0</v>
      </c>
      <c r="E5" s="147">
        <v>0</v>
      </c>
      <c r="F5" s="147">
        <v>249682</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110003</v>
      </c>
      <c r="B6" t="s">
        <v>820</v>
      </c>
      <c r="C6" s="147">
        <v>1765393.75</v>
      </c>
      <c r="D6" s="147">
        <v>7840</v>
      </c>
      <c r="E6" s="147">
        <v>0</v>
      </c>
      <c r="F6" s="147">
        <v>1773233.75</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110004</v>
      </c>
      <c r="B7" t="s">
        <v>821</v>
      </c>
      <c r="C7" s="147">
        <v>38561940.795000002</v>
      </c>
      <c r="D7" s="147">
        <v>956871.78500000003</v>
      </c>
      <c r="E7" s="147">
        <v>1.6910000000000001</v>
      </c>
      <c r="F7" s="147">
        <v>39518810.888999999</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110006</v>
      </c>
      <c r="B8" t="s">
        <v>822</v>
      </c>
      <c r="C8" s="147">
        <v>1446052.15</v>
      </c>
      <c r="D8" s="147">
        <v>0</v>
      </c>
      <c r="E8" s="147">
        <v>0</v>
      </c>
      <c r="F8" s="147">
        <v>1446052.15</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110007</v>
      </c>
      <c r="B9" t="s">
        <v>823</v>
      </c>
      <c r="C9" s="147">
        <v>798523.45</v>
      </c>
      <c r="D9" s="147">
        <v>0</v>
      </c>
      <c r="E9" s="147">
        <v>0</v>
      </c>
      <c r="F9" s="148">
        <v>798523.45</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110008</v>
      </c>
      <c r="B10" t="s">
        <v>824</v>
      </c>
      <c r="C10" s="147">
        <v>191765.4</v>
      </c>
      <c r="D10" s="147">
        <v>0</v>
      </c>
      <c r="E10" s="147">
        <v>0</v>
      </c>
      <c r="F10" s="148">
        <v>191765.4</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111009</v>
      </c>
      <c r="B11" t="s">
        <v>825</v>
      </c>
      <c r="C11" s="147">
        <v>0</v>
      </c>
      <c r="D11" s="147">
        <v>764725</v>
      </c>
      <c r="E11" s="147">
        <v>764725</v>
      </c>
      <c r="F11" s="147">
        <v>0</v>
      </c>
      <c r="G11" s="43" t="str">
        <f>_xlfn.XLOOKUP($A11,Map!$A:$A,Map!C:C)</f>
        <v>BS</v>
      </c>
      <c r="H11" s="43" t="str">
        <f>_xlfn.XLOOKUP($A11,Map!$A:$A,Map!D:D)</f>
        <v>Non-Current Assets</v>
      </c>
      <c r="I11" s="43" t="str">
        <f>_xlfn.XLOOKUP($A11,Map!$A:$A,Map!E:E)</f>
        <v>Right of use</v>
      </c>
      <c r="J11" s="43" t="str">
        <f>_xlfn.XLOOKUP($A11,Map!$A:$A,Map!F:F)</f>
        <v>Leases - right of use assets</v>
      </c>
    </row>
    <row r="12" spans="1:10" x14ac:dyDescent="0.25">
      <c r="A12">
        <v>111013</v>
      </c>
      <c r="B12" t="s">
        <v>827</v>
      </c>
      <c r="C12" s="147">
        <v>0</v>
      </c>
      <c r="D12" s="147">
        <v>11242887.109999999</v>
      </c>
      <c r="E12" s="147">
        <v>473652.505</v>
      </c>
      <c r="F12" s="147">
        <v>10769234.605</v>
      </c>
      <c r="G12" s="43" t="str">
        <f>_xlfn.XLOOKUP($A12,Map!$A:$A,Map!C:C)</f>
        <v>BS</v>
      </c>
      <c r="H12" s="43" t="str">
        <f>_xlfn.XLOOKUP($A12,Map!$A:$A,Map!D:D)</f>
        <v>Non-Current Assets</v>
      </c>
      <c r="I12" s="43" t="str">
        <f>_xlfn.XLOOKUP($A12,Map!$A:$A,Map!E:E)</f>
        <v>Property, plant and equipment</v>
      </c>
      <c r="J12" s="43" t="str">
        <f>_xlfn.XLOOKUP($A12,Map!$A:$A,Map!F:F)</f>
        <v>Property, plant and equipment - Accumulated depreciation</v>
      </c>
    </row>
    <row r="13" spans="1:10" x14ac:dyDescent="0.25">
      <c r="A13">
        <v>120001</v>
      </c>
      <c r="B13" t="s">
        <v>829</v>
      </c>
      <c r="C13" s="147">
        <v>-227682.83</v>
      </c>
      <c r="D13" s="147">
        <v>0</v>
      </c>
      <c r="E13" s="147">
        <v>15012.481</v>
      </c>
      <c r="F13" s="148">
        <v>-242695.31099999999</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120002</v>
      </c>
      <c r="B14" t="s">
        <v>830</v>
      </c>
      <c r="C14" s="147">
        <v>-1715968.22</v>
      </c>
      <c r="D14" s="147">
        <v>0</v>
      </c>
      <c r="E14" s="147">
        <v>44065.754000000001</v>
      </c>
      <c r="F14" s="148">
        <v>-1760033.9739999999</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120003</v>
      </c>
      <c r="B15" t="s">
        <v>831</v>
      </c>
      <c r="C15" s="147">
        <v>-20403680.359999999</v>
      </c>
      <c r="D15" s="147">
        <v>3050.998</v>
      </c>
      <c r="E15" s="147">
        <v>3454341.2379999999</v>
      </c>
      <c r="F15" s="148">
        <v>-23854970.600000001</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120005</v>
      </c>
      <c r="B16" t="s">
        <v>832</v>
      </c>
      <c r="C16" s="147">
        <v>-1053780.57</v>
      </c>
      <c r="D16" s="147">
        <v>6718.75</v>
      </c>
      <c r="E16" s="147">
        <v>196654.16</v>
      </c>
      <c r="F16" s="148">
        <v>-1243715.98</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120006</v>
      </c>
      <c r="B17" t="s">
        <v>833</v>
      </c>
      <c r="C17" s="147">
        <v>-69116.08</v>
      </c>
      <c r="D17" s="147">
        <v>70.828999999999994</v>
      </c>
      <c r="E17" s="147">
        <v>186798.959</v>
      </c>
      <c r="F17" s="147">
        <v>-255844.21</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120007</v>
      </c>
      <c r="B18" t="s">
        <v>834</v>
      </c>
      <c r="C18" s="147">
        <v>-154323.31899999999</v>
      </c>
      <c r="D18" s="147">
        <v>6.3280000000000003</v>
      </c>
      <c r="E18" s="147">
        <v>13079.331</v>
      </c>
      <c r="F18" s="147">
        <v>-167396.32199999999</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121001</v>
      </c>
      <c r="B19" t="s">
        <v>836</v>
      </c>
      <c r="C19" s="147">
        <v>5363766.13</v>
      </c>
      <c r="D19" s="147">
        <v>1313357.1599999999</v>
      </c>
      <c r="E19" s="147">
        <v>7.0000000000000001E-3</v>
      </c>
      <c r="F19" s="147">
        <v>6677123.2829999998</v>
      </c>
      <c r="G19" s="43" t="str">
        <f>_xlfn.XLOOKUP($A19,Map!$A:$A,Map!C:C)</f>
        <v>BS</v>
      </c>
      <c r="H19" s="43" t="str">
        <f>_xlfn.XLOOKUP($A19,Map!$A:$A,Map!D:D)</f>
        <v>Current Assets</v>
      </c>
      <c r="I19" s="43" t="str">
        <f>_xlfn.XLOOKUP($A19,Map!$A:$A,Map!E:E)</f>
        <v>Prepaid expenses</v>
      </c>
      <c r="J19" s="43" t="str">
        <f>_xlfn.XLOOKUP($A19,Map!$A:$A,Map!F:F)</f>
        <v>Pre Operating Exps</v>
      </c>
    </row>
    <row r="20" spans="1:10" x14ac:dyDescent="0.25">
      <c r="A20">
        <v>121002</v>
      </c>
      <c r="B20" t="s">
        <v>837</v>
      </c>
      <c r="C20" s="147">
        <v>-3650674.13</v>
      </c>
      <c r="D20" s="147">
        <v>0</v>
      </c>
      <c r="E20" s="147">
        <v>0</v>
      </c>
      <c r="F20" s="147">
        <v>-3650674.13</v>
      </c>
      <c r="G20" s="43" t="str">
        <f>_xlfn.XLOOKUP($A20,Map!$A:$A,Map!C:C)</f>
        <v>BS</v>
      </c>
      <c r="H20" s="43" t="str">
        <f>_xlfn.XLOOKUP($A20,Map!$A:$A,Map!D:D)</f>
        <v>Current Assets</v>
      </c>
      <c r="I20" s="43" t="str">
        <f>_xlfn.XLOOKUP($A20,Map!$A:$A,Map!E:E)</f>
        <v>Prepaid expenses</v>
      </c>
      <c r="J20" s="43" t="str">
        <f>_xlfn.XLOOKUP($A20,Map!$A:$A,Map!F:F)</f>
        <v>Amortization Of Pre Operating Exps</v>
      </c>
    </row>
    <row r="21" spans="1:10" x14ac:dyDescent="0.25">
      <c r="A21">
        <v>130001</v>
      </c>
      <c r="B21" t="s">
        <v>838</v>
      </c>
      <c r="C21" s="147">
        <v>7283978.5010000002</v>
      </c>
      <c r="D21" s="147">
        <v>137202764.185</v>
      </c>
      <c r="E21" s="147">
        <v>142006638.40599999</v>
      </c>
      <c r="F21" s="147">
        <v>2480104.2799999998</v>
      </c>
      <c r="G21" s="43" t="str">
        <f>_xlfn.XLOOKUP($A21,Map!$A:$A,Map!C:C)</f>
        <v>BS</v>
      </c>
      <c r="H21" s="43" t="str">
        <f>_xlfn.XLOOKUP($A21,Map!$A:$A,Map!D:D)</f>
        <v>Current Assets</v>
      </c>
      <c r="I21" s="43" t="str">
        <f>_xlfn.XLOOKUP($A21,Map!$A:$A,Map!E:E)</f>
        <v>Cash and cash equivalents</v>
      </c>
      <c r="J21" s="43" t="str">
        <f>_xlfn.XLOOKUP($A21,Map!$A:$A,Map!F:F)</f>
        <v>Bank balances</v>
      </c>
    </row>
    <row r="22" spans="1:10" x14ac:dyDescent="0.25">
      <c r="A22">
        <v>130002</v>
      </c>
      <c r="B22" t="s">
        <v>1205</v>
      </c>
      <c r="C22" s="147">
        <v>54868.49</v>
      </c>
      <c r="D22" s="147">
        <v>102401362.60699999</v>
      </c>
      <c r="E22" s="147">
        <v>102453801.99699999</v>
      </c>
      <c r="F22" s="148">
        <v>2429.1</v>
      </c>
      <c r="G22" s="43" t="str">
        <f>_xlfn.XLOOKUP($A22,Map!$A:$A,Map!C:C)</f>
        <v>BS</v>
      </c>
      <c r="H22" s="43" t="str">
        <f>_xlfn.XLOOKUP($A22,Map!$A:$A,Map!D:D)</f>
        <v>Current Assets</v>
      </c>
      <c r="I22" s="43" t="str">
        <f>_xlfn.XLOOKUP($A22,Map!$A:$A,Map!E:E)</f>
        <v>Cash and cash equivalents</v>
      </c>
      <c r="J22" s="43" t="str">
        <f>_xlfn.XLOOKUP($A22,Map!$A:$A,Map!F:F)</f>
        <v>Bank balances</v>
      </c>
    </row>
    <row r="23" spans="1:10" x14ac:dyDescent="0.25">
      <c r="A23">
        <v>130004</v>
      </c>
      <c r="B23" t="s">
        <v>841</v>
      </c>
      <c r="C23" s="147">
        <v>2446274.11</v>
      </c>
      <c r="D23" s="147">
        <v>52704864.079999998</v>
      </c>
      <c r="E23" s="147">
        <v>54481178.07</v>
      </c>
      <c r="F23" s="147">
        <v>669960.12</v>
      </c>
      <c r="G23" s="43" t="str">
        <f>_xlfn.XLOOKUP($A23,Map!$A:$A,Map!C:C)</f>
        <v>BS</v>
      </c>
      <c r="H23" s="43" t="str">
        <f>_xlfn.XLOOKUP($A23,Map!$A:$A,Map!D:D)</f>
        <v>Current Assets</v>
      </c>
      <c r="I23" s="43" t="str">
        <f>_xlfn.XLOOKUP($A23,Map!$A:$A,Map!E:E)</f>
        <v>Cash and cash equivalents</v>
      </c>
      <c r="J23" s="43" t="str">
        <f>_xlfn.XLOOKUP($A23,Map!$A:$A,Map!F:F)</f>
        <v>Bank balances</v>
      </c>
    </row>
    <row r="24" spans="1:10" x14ac:dyDescent="0.25">
      <c r="A24">
        <v>130005</v>
      </c>
      <c r="B24" t="s">
        <v>842</v>
      </c>
      <c r="C24" s="147">
        <v>173876.8</v>
      </c>
      <c r="D24" s="147">
        <v>2906276.16</v>
      </c>
      <c r="E24" s="147">
        <v>3008133.57</v>
      </c>
      <c r="F24" s="147">
        <v>72019.39</v>
      </c>
      <c r="G24" s="43" t="str">
        <f>_xlfn.XLOOKUP($A24,Map!$A:$A,Map!C:C)</f>
        <v>BS</v>
      </c>
      <c r="H24" s="43" t="str">
        <f>_xlfn.XLOOKUP($A24,Map!$A:$A,Map!D:D)</f>
        <v>Current Assets</v>
      </c>
      <c r="I24" s="43" t="str">
        <f>_xlfn.XLOOKUP($A24,Map!$A:$A,Map!E:E)</f>
        <v>Cash and cash equivalents</v>
      </c>
      <c r="J24" s="43" t="str">
        <f>_xlfn.XLOOKUP($A24,Map!$A:$A,Map!F:F)</f>
        <v>Bank balances</v>
      </c>
    </row>
    <row r="25" spans="1:10" x14ac:dyDescent="0.25">
      <c r="A25">
        <v>130006</v>
      </c>
      <c r="B25" t="s">
        <v>843</v>
      </c>
      <c r="C25" s="147">
        <v>268845.77</v>
      </c>
      <c r="D25" s="147">
        <v>14002757.486</v>
      </c>
      <c r="E25" s="147">
        <v>14144081.446</v>
      </c>
      <c r="F25" s="148">
        <v>127521.81</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130007</v>
      </c>
      <c r="B26" t="s">
        <v>844</v>
      </c>
      <c r="C26" s="147">
        <v>530312.98</v>
      </c>
      <c r="D26" s="147">
        <v>43137711.609999999</v>
      </c>
      <c r="E26" s="147">
        <v>42625283.890000001</v>
      </c>
      <c r="F26" s="147">
        <v>1042740.7</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130008</v>
      </c>
      <c r="B27" t="s">
        <v>845</v>
      </c>
      <c r="C27" s="147">
        <v>272978.02</v>
      </c>
      <c r="D27" s="147">
        <v>13957954.32</v>
      </c>
      <c r="E27" s="147">
        <v>14213968.550000001</v>
      </c>
      <c r="F27" s="147">
        <v>16963.79</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130099</v>
      </c>
      <c r="B28" t="s">
        <v>856</v>
      </c>
      <c r="C28" s="147">
        <v>0</v>
      </c>
      <c r="D28" s="147">
        <v>195116482</v>
      </c>
      <c r="E28" s="147">
        <v>195116482</v>
      </c>
      <c r="F28" s="147">
        <v>0</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140001</v>
      </c>
      <c r="B29" t="s">
        <v>857</v>
      </c>
      <c r="C29" s="147">
        <v>36187908.814999998</v>
      </c>
      <c r="D29" s="147">
        <v>252056245.27500001</v>
      </c>
      <c r="E29" s="147">
        <v>251320595.09</v>
      </c>
      <c r="F29" s="147">
        <v>36923559</v>
      </c>
      <c r="G29" s="43" t="str">
        <f>_xlfn.XLOOKUP($A29,Map!$A:$A,Map!C:C)</f>
        <v>BS</v>
      </c>
      <c r="H29" s="43" t="str">
        <f>_xlfn.XLOOKUP($A29,Map!$A:$A,Map!D:D)</f>
        <v>Current Assets</v>
      </c>
      <c r="I29" s="43" t="str">
        <f>_xlfn.XLOOKUP($A29,Map!$A:$A,Map!E:E)</f>
        <v>Trade receivables</v>
      </c>
      <c r="J29" s="43" t="str">
        <f>_xlfn.XLOOKUP($A29,Map!$A:$A,Map!F:F)</f>
        <v>Trade receivables - current</v>
      </c>
    </row>
    <row r="30" spans="1:10" x14ac:dyDescent="0.25">
      <c r="A30">
        <v>140010</v>
      </c>
      <c r="B30" t="s">
        <v>858</v>
      </c>
      <c r="C30" s="147">
        <v>0</v>
      </c>
      <c r="D30" s="147">
        <v>0.20100000000000001</v>
      </c>
      <c r="E30" s="147">
        <v>0.20100000000000001</v>
      </c>
      <c r="F30" s="147">
        <v>0</v>
      </c>
      <c r="G30" s="43" t="str">
        <f>_xlfn.XLOOKUP($A30,Map!$A:$A,Map!C:C)</f>
        <v>BS</v>
      </c>
      <c r="H30" s="43" t="str">
        <f>_xlfn.XLOOKUP($A30,Map!$A:$A,Map!D:D)</f>
        <v>Current Assets</v>
      </c>
      <c r="I30" s="43" t="str">
        <f>_xlfn.XLOOKUP($A30,Map!$A:$A,Map!E:E)</f>
        <v>Trade receivables</v>
      </c>
      <c r="J30" s="43" t="str">
        <f>_xlfn.XLOOKUP($A30,Map!$A:$A,Map!F:F)</f>
        <v>Trade receivables - current</v>
      </c>
    </row>
    <row r="31" spans="1:10" x14ac:dyDescent="0.25">
      <c r="A31">
        <v>150001</v>
      </c>
      <c r="B31" t="s">
        <v>859</v>
      </c>
      <c r="C31" s="147">
        <v>584170.47900000005</v>
      </c>
      <c r="D31" s="147">
        <v>618545</v>
      </c>
      <c r="E31" s="147">
        <v>746431</v>
      </c>
      <c r="F31" s="147">
        <v>456284.47899999999</v>
      </c>
      <c r="G31" s="43" t="str">
        <f>_xlfn.XLOOKUP($A31,Map!$A:$A,Map!C:C)</f>
        <v>BS</v>
      </c>
      <c r="H31" s="43" t="str">
        <f>_xlfn.XLOOKUP($A31,Map!$A:$A,Map!D:D)</f>
        <v>Current Assets</v>
      </c>
      <c r="I31" s="43" t="str">
        <f>_xlfn.XLOOKUP($A31,Map!$A:$A,Map!E:E)</f>
        <v>Prepaid expenses</v>
      </c>
      <c r="J31" s="43" t="str">
        <f>_xlfn.XLOOKUP($A31,Map!$A:$A,Map!F:F)</f>
        <v>Advances - current</v>
      </c>
    </row>
    <row r="32" spans="1:10" x14ac:dyDescent="0.25">
      <c r="A32">
        <v>160001</v>
      </c>
      <c r="B32" t="s">
        <v>861</v>
      </c>
      <c r="C32" s="147">
        <v>54844.55</v>
      </c>
      <c r="D32" s="147">
        <v>1705445</v>
      </c>
      <c r="E32" s="147">
        <v>1701897.95</v>
      </c>
      <c r="F32" s="148">
        <v>58391.6</v>
      </c>
      <c r="G32" s="43" t="str">
        <f>_xlfn.XLOOKUP($A32,Map!$A:$A,Map!C:C)</f>
        <v>BS</v>
      </c>
      <c r="H32" s="43" t="str">
        <f>_xlfn.XLOOKUP($A32,Map!$A:$A,Map!D:D)</f>
        <v>Current Assets</v>
      </c>
      <c r="I32" s="43" t="str">
        <f>_xlfn.XLOOKUP($A32,Map!$A:$A,Map!E:E)</f>
        <v>Cash and cash equivalents</v>
      </c>
      <c r="J32" s="43" t="str">
        <f>_xlfn.XLOOKUP($A32,Map!$A:$A,Map!F:F)</f>
        <v>Petty cash</v>
      </c>
    </row>
    <row r="33" spans="1:10" x14ac:dyDescent="0.25">
      <c r="A33">
        <v>170000</v>
      </c>
      <c r="B33" t="s">
        <v>862</v>
      </c>
      <c r="C33" s="147">
        <v>88433.574999999997</v>
      </c>
      <c r="D33" s="147">
        <v>191412.8</v>
      </c>
      <c r="E33" s="147">
        <v>157209.296</v>
      </c>
      <c r="F33" s="148">
        <v>122637.079</v>
      </c>
      <c r="G33" s="43" t="str">
        <f>_xlfn.XLOOKUP($A33,Map!$A:$A,Map!C:C)</f>
        <v>BS</v>
      </c>
      <c r="H33" s="43" t="str">
        <f>_xlfn.XLOOKUP($A33,Map!$A:$A,Map!D:D)</f>
        <v>Current Liabilities</v>
      </c>
      <c r="I33" s="43" t="str">
        <f>_xlfn.XLOOKUP($A33,Map!$A:$A,Map!E:E)</f>
        <v>Short-term Murabaha loans</v>
      </c>
      <c r="J33" s="43" t="str">
        <f>_xlfn.XLOOKUP($A33,Map!$A:$A,Map!F:F)</f>
        <v>Prepayments - current</v>
      </c>
    </row>
    <row r="34" spans="1:10" x14ac:dyDescent="0.25">
      <c r="A34">
        <v>170001</v>
      </c>
      <c r="B34" t="s">
        <v>863</v>
      </c>
      <c r="C34" s="147">
        <v>0</v>
      </c>
      <c r="D34" s="147">
        <v>0</v>
      </c>
      <c r="E34" s="147">
        <v>0</v>
      </c>
      <c r="F34" s="148">
        <v>0</v>
      </c>
      <c r="G34" s="43" t="str">
        <f>_xlfn.XLOOKUP($A34,Map!$A:$A,Map!C:C)</f>
        <v>BS</v>
      </c>
      <c r="H34" s="43" t="str">
        <f>_xlfn.XLOOKUP($A34,Map!$A:$A,Map!D:D)</f>
        <v>Current Liabilities</v>
      </c>
      <c r="I34" s="43" t="str">
        <f>_xlfn.XLOOKUP($A34,Map!$A:$A,Map!E:E)</f>
        <v>Short-term Murabaha loans</v>
      </c>
      <c r="J34" s="43" t="str">
        <f>_xlfn.XLOOKUP($A34,Map!$A:$A,Map!F:F)</f>
        <v>Prepayments - current</v>
      </c>
    </row>
    <row r="35" spans="1:10" x14ac:dyDescent="0.25">
      <c r="A35">
        <v>170003</v>
      </c>
      <c r="B35" t="s">
        <v>865</v>
      </c>
      <c r="C35" s="147">
        <v>209891.57</v>
      </c>
      <c r="D35" s="147">
        <v>457851.65</v>
      </c>
      <c r="E35" s="147">
        <v>608806.81999999995</v>
      </c>
      <c r="F35" s="148">
        <v>58936.4</v>
      </c>
      <c r="G35" s="43" t="str">
        <f>_xlfn.XLOOKUP($A35,Map!$A:$A,Map!C:C)</f>
        <v>BS</v>
      </c>
      <c r="H35" s="43" t="str">
        <f>_xlfn.XLOOKUP($A35,Map!$A:$A,Map!D:D)</f>
        <v>Current Liabilities</v>
      </c>
      <c r="I35" s="43" t="str">
        <f>_xlfn.XLOOKUP($A35,Map!$A:$A,Map!E:E)</f>
        <v>Short-term Murabaha loans</v>
      </c>
      <c r="J35" s="43" t="str">
        <f>_xlfn.XLOOKUP($A35,Map!$A:$A,Map!F:F)</f>
        <v>Prepayments - current</v>
      </c>
    </row>
    <row r="36" spans="1:10" x14ac:dyDescent="0.25">
      <c r="A36">
        <v>170004</v>
      </c>
      <c r="B36" t="s">
        <v>866</v>
      </c>
      <c r="C36" s="147">
        <v>0</v>
      </c>
      <c r="D36" s="147">
        <v>99154.442999999999</v>
      </c>
      <c r="E36" s="147">
        <v>85325.794999999998</v>
      </c>
      <c r="F36" s="147">
        <v>13828.647999999999</v>
      </c>
      <c r="G36" s="43" t="str">
        <f>_xlfn.XLOOKUP($A36,Map!$A:$A,Map!C:C)</f>
        <v>BS</v>
      </c>
      <c r="H36" s="43" t="str">
        <f>_xlfn.XLOOKUP($A36,Map!$A:$A,Map!D:D)</f>
        <v>Current Liabilities</v>
      </c>
      <c r="I36" s="43" t="str">
        <f>_xlfn.XLOOKUP($A36,Map!$A:$A,Map!E:E)</f>
        <v>Short-term Murabaha loans</v>
      </c>
      <c r="J36" s="43" t="str">
        <f>_xlfn.XLOOKUP($A36,Map!$A:$A,Map!F:F)</f>
        <v>Prepayments - current</v>
      </c>
    </row>
    <row r="37" spans="1:10" x14ac:dyDescent="0.25">
      <c r="A37">
        <v>170006</v>
      </c>
      <c r="B37" t="s">
        <v>868</v>
      </c>
      <c r="C37" s="147">
        <v>190719</v>
      </c>
      <c r="D37" s="147">
        <v>1491682</v>
      </c>
      <c r="E37" s="147">
        <v>1229084.699</v>
      </c>
      <c r="F37" s="147">
        <v>453316.30099999998</v>
      </c>
      <c r="G37" s="43" t="str">
        <f>_xlfn.XLOOKUP($A37,Map!$A:$A,Map!C:C)</f>
        <v>BS</v>
      </c>
      <c r="H37" s="43" t="str">
        <f>_xlfn.XLOOKUP($A37,Map!$A:$A,Map!D:D)</f>
        <v>Current Assets</v>
      </c>
      <c r="I37" s="43" t="str">
        <f>_xlfn.XLOOKUP($A37,Map!$A:$A,Map!E:E)</f>
        <v>Prepaid expenses</v>
      </c>
      <c r="J37" s="43" t="str">
        <f>_xlfn.XLOOKUP($A37,Map!$A:$A,Map!F:F)</f>
        <v>Deposits - current</v>
      </c>
    </row>
    <row r="38" spans="1:10" x14ac:dyDescent="0.25">
      <c r="A38">
        <v>170007</v>
      </c>
      <c r="B38" t="s">
        <v>869</v>
      </c>
      <c r="C38" s="147">
        <v>1274692.58</v>
      </c>
      <c r="D38" s="147">
        <v>1066427.68</v>
      </c>
      <c r="E38" s="147">
        <v>2021171.3060000001</v>
      </c>
      <c r="F38" s="147">
        <v>319948.95400000003</v>
      </c>
      <c r="G38" s="43" t="str">
        <f>_xlfn.XLOOKUP($A38,Map!$A:$A,Map!C:C)</f>
        <v>BS</v>
      </c>
      <c r="H38" s="43" t="str">
        <f>_xlfn.XLOOKUP($A38,Map!$A:$A,Map!D:D)</f>
        <v>Current Assets</v>
      </c>
      <c r="I38" s="43" t="str">
        <f>_xlfn.XLOOKUP($A38,Map!$A:$A,Map!E:E)</f>
        <v>Prepaid expenses</v>
      </c>
      <c r="J38" s="43" t="str">
        <f>_xlfn.XLOOKUP($A38,Map!$A:$A,Map!F:F)</f>
        <v>Deposits - current</v>
      </c>
    </row>
    <row r="39" spans="1:10" x14ac:dyDescent="0.25">
      <c r="A39">
        <v>170008</v>
      </c>
      <c r="B39" t="s">
        <v>870</v>
      </c>
      <c r="C39" s="147">
        <v>0</v>
      </c>
      <c r="D39" s="147">
        <v>189595.19</v>
      </c>
      <c r="E39" s="147">
        <v>189595.19200000001</v>
      </c>
      <c r="F39" s="147">
        <v>-2E-3</v>
      </c>
      <c r="G39" s="43" t="str">
        <f>_xlfn.XLOOKUP($A39,Map!$A:$A,Map!C:C)</f>
        <v>BS</v>
      </c>
      <c r="H39" s="43" t="str">
        <f>_xlfn.XLOOKUP($A39,Map!$A:$A,Map!D:D)</f>
        <v>Current Assets</v>
      </c>
      <c r="I39" s="43" t="str">
        <f>_xlfn.XLOOKUP($A39,Map!$A:$A,Map!E:E)</f>
        <v>Prepaid expenses</v>
      </c>
      <c r="J39" s="43" t="str">
        <f>_xlfn.XLOOKUP($A39,Map!$A:$A,Map!F:F)</f>
        <v>Deposits - current</v>
      </c>
    </row>
    <row r="40" spans="1:10" x14ac:dyDescent="0.25">
      <c r="A40">
        <v>170009</v>
      </c>
      <c r="B40" t="s">
        <v>871</v>
      </c>
      <c r="C40" s="147">
        <v>120000.1</v>
      </c>
      <c r="D40" s="147">
        <v>2428620</v>
      </c>
      <c r="E40" s="147">
        <v>2453665.1</v>
      </c>
      <c r="F40" s="147">
        <v>94955</v>
      </c>
      <c r="G40" s="43" t="str">
        <f>_xlfn.XLOOKUP($A40,Map!$A:$A,Map!C:C)</f>
        <v>BS</v>
      </c>
      <c r="H40" s="43" t="str">
        <f>_xlfn.XLOOKUP($A40,Map!$A:$A,Map!D:D)</f>
        <v>Current Assets</v>
      </c>
      <c r="I40" s="43" t="str">
        <f>_xlfn.XLOOKUP($A40,Map!$A:$A,Map!E:E)</f>
        <v>Prepaid expenses</v>
      </c>
      <c r="J40" s="43" t="str">
        <f>_xlfn.XLOOKUP($A40,Map!$A:$A,Map!F:F)</f>
        <v>Rent</v>
      </c>
    </row>
    <row r="41" spans="1:10" x14ac:dyDescent="0.25">
      <c r="A41">
        <v>170010</v>
      </c>
      <c r="B41" t="s">
        <v>872</v>
      </c>
      <c r="C41" s="147">
        <v>0</v>
      </c>
      <c r="D41" s="147">
        <v>607800</v>
      </c>
      <c r="E41" s="147">
        <v>607800</v>
      </c>
      <c r="F41" s="147">
        <v>0</v>
      </c>
      <c r="G41" s="43" t="str">
        <f>_xlfn.XLOOKUP($A41,Map!$A:$A,Map!C:C)</f>
        <v>BS</v>
      </c>
      <c r="H41" s="43" t="str">
        <f>_xlfn.XLOOKUP($A41,Map!$A:$A,Map!D:D)</f>
        <v>Current Assets</v>
      </c>
      <c r="I41" s="43" t="str">
        <f>_xlfn.XLOOKUP($A41,Map!$A:$A,Map!E:E)</f>
        <v>Prepaid expenses</v>
      </c>
      <c r="J41" s="43" t="str">
        <f>_xlfn.XLOOKUP($A41,Map!$A:$A,Map!F:F)</f>
        <v>Housing allowance</v>
      </c>
    </row>
    <row r="42" spans="1:10" x14ac:dyDescent="0.25">
      <c r="A42">
        <v>170011</v>
      </c>
      <c r="B42" t="s">
        <v>873</v>
      </c>
      <c r="C42" s="147">
        <v>0</v>
      </c>
      <c r="D42" s="147">
        <v>108000</v>
      </c>
      <c r="E42" s="147">
        <v>108000</v>
      </c>
      <c r="F42" s="147">
        <v>0</v>
      </c>
      <c r="G42" s="43" t="str">
        <f>_xlfn.XLOOKUP($A42,Map!$A:$A,Map!C:C)</f>
        <v>BS</v>
      </c>
      <c r="H42" s="43" t="str">
        <f>_xlfn.XLOOKUP($A42,Map!$A:$A,Map!D:D)</f>
        <v>Current Assets</v>
      </c>
      <c r="I42" s="43" t="str">
        <f>_xlfn.XLOOKUP($A42,Map!$A:$A,Map!E:E)</f>
        <v>Prepaid expenses</v>
      </c>
      <c r="J42" s="43" t="str">
        <f>_xlfn.XLOOKUP($A42,Map!$A:$A,Map!F:F)</f>
        <v>Air tickets</v>
      </c>
    </row>
    <row r="43" spans="1:10" x14ac:dyDescent="0.25">
      <c r="A43">
        <v>170013</v>
      </c>
      <c r="B43" t="s">
        <v>875</v>
      </c>
      <c r="C43" s="147">
        <v>59000</v>
      </c>
      <c r="D43" s="147">
        <v>0</v>
      </c>
      <c r="E43" s="147">
        <v>0</v>
      </c>
      <c r="F43" s="147">
        <v>59000</v>
      </c>
      <c r="G43" s="43" t="str">
        <f>_xlfn.XLOOKUP($A43,Map!$A:$A,Map!C:C)</f>
        <v>BS</v>
      </c>
      <c r="H43" s="43" t="str">
        <f>_xlfn.XLOOKUP($A43,Map!$A:$A,Map!D:D)</f>
        <v>Current Assets</v>
      </c>
      <c r="I43" s="43" t="str">
        <f>_xlfn.XLOOKUP($A43,Map!$A:$A,Map!E:E)</f>
        <v>Prepaid expenses</v>
      </c>
      <c r="J43" s="43" t="str">
        <f>_xlfn.XLOOKUP($A43,Map!$A:$A,Map!F:F)</f>
        <v>Insurance</v>
      </c>
    </row>
    <row r="44" spans="1:10" x14ac:dyDescent="0.25">
      <c r="A44">
        <v>170014</v>
      </c>
      <c r="B44" t="s">
        <v>876</v>
      </c>
      <c r="C44" s="147">
        <v>227199</v>
      </c>
      <c r="D44" s="147">
        <v>483911.9</v>
      </c>
      <c r="E44" s="147">
        <v>483640.359</v>
      </c>
      <c r="F44" s="147">
        <v>227470.541</v>
      </c>
      <c r="G44" s="43" t="str">
        <f>_xlfn.XLOOKUP($A44,Map!$A:$A,Map!C:C)</f>
        <v>BS</v>
      </c>
      <c r="H44" s="43" t="str">
        <f>_xlfn.XLOOKUP($A44,Map!$A:$A,Map!D:D)</f>
        <v>Current Assets</v>
      </c>
      <c r="I44" s="43" t="str">
        <f>_xlfn.XLOOKUP($A44,Map!$A:$A,Map!E:E)</f>
        <v>Prepaid expenses</v>
      </c>
      <c r="J44" s="43" t="str">
        <f>_xlfn.XLOOKUP($A44,Map!$A:$A,Map!F:F)</f>
        <v>Insurance</v>
      </c>
    </row>
    <row r="45" spans="1:10" x14ac:dyDescent="0.25">
      <c r="A45">
        <v>170015</v>
      </c>
      <c r="B45" t="s">
        <v>877</v>
      </c>
      <c r="C45" s="147">
        <v>0</v>
      </c>
      <c r="D45" s="147">
        <v>11385</v>
      </c>
      <c r="E45" s="147">
        <v>11385</v>
      </c>
      <c r="F45" s="147">
        <v>0</v>
      </c>
      <c r="G45" s="43" t="str">
        <f>_xlfn.XLOOKUP($A45,Map!$A:$A,Map!C:C)</f>
        <v>BS</v>
      </c>
      <c r="H45" s="43" t="str">
        <f>_xlfn.XLOOKUP($A45,Map!$A:$A,Map!D:D)</f>
        <v>Current Assets</v>
      </c>
      <c r="I45" s="43" t="str">
        <f>_xlfn.XLOOKUP($A45,Map!$A:$A,Map!E:E)</f>
        <v>Prepaid expenses</v>
      </c>
      <c r="J45" s="43" t="str">
        <f>_xlfn.XLOOKUP($A45,Map!$A:$A,Map!F:F)</f>
        <v>Salaries and wages</v>
      </c>
    </row>
    <row r="46" spans="1:10" x14ac:dyDescent="0.25">
      <c r="A46">
        <v>180001</v>
      </c>
      <c r="B46" t="s">
        <v>884</v>
      </c>
      <c r="C46" s="147">
        <v>156339.99</v>
      </c>
      <c r="D46" s="147">
        <v>2140102.5150000001</v>
      </c>
      <c r="E46" s="147">
        <v>2116100.781</v>
      </c>
      <c r="F46" s="147">
        <v>180341.72399999999</v>
      </c>
      <c r="G46" s="43" t="str">
        <f>_xlfn.XLOOKUP($A46,Map!$A:$A,Map!C:C)</f>
        <v>BS</v>
      </c>
      <c r="H46" s="43" t="str">
        <f>_xlfn.XLOOKUP($A46,Map!$A:$A,Map!D:D)</f>
        <v>Current Assets</v>
      </c>
      <c r="I46" s="43" t="str">
        <f>_xlfn.XLOOKUP($A46,Map!$A:$A,Map!E:E)</f>
        <v>Inventories</v>
      </c>
      <c r="J46" s="43" t="str">
        <f>_xlfn.XLOOKUP($A46,Map!$A:$A,Map!F:F)</f>
        <v>Raw materials - Inventory</v>
      </c>
    </row>
    <row r="47" spans="1:10" x14ac:dyDescent="0.25">
      <c r="A47">
        <v>180002</v>
      </c>
      <c r="B47" t="s">
        <v>885</v>
      </c>
      <c r="C47" s="147">
        <v>0</v>
      </c>
      <c r="D47" s="147">
        <v>0</v>
      </c>
      <c r="E47" s="147">
        <v>0</v>
      </c>
      <c r="F47" s="147">
        <v>0</v>
      </c>
      <c r="G47" s="43" t="str">
        <f>_xlfn.XLOOKUP($A47,Map!$A:$A,Map!C:C)</f>
        <v>BS</v>
      </c>
      <c r="H47" s="43" t="str">
        <f>_xlfn.XLOOKUP($A47,Map!$A:$A,Map!D:D)</f>
        <v>Current Assets</v>
      </c>
      <c r="I47" s="43" t="str">
        <f>_xlfn.XLOOKUP($A47,Map!$A:$A,Map!E:E)</f>
        <v>Inventories</v>
      </c>
      <c r="J47" s="43" t="str">
        <f>_xlfn.XLOOKUP($A47,Map!$A:$A,Map!F:F)</f>
        <v>Raw materials - Inventory</v>
      </c>
    </row>
    <row r="48" spans="1:10" x14ac:dyDescent="0.25">
      <c r="A48">
        <v>180003</v>
      </c>
      <c r="B48" t="s">
        <v>886</v>
      </c>
      <c r="C48" s="147">
        <v>653513.32999999996</v>
      </c>
      <c r="D48" s="147">
        <v>3093536.287</v>
      </c>
      <c r="E48" s="147">
        <v>2084556.074</v>
      </c>
      <c r="F48" s="147">
        <v>1662493.5430000001</v>
      </c>
      <c r="G48" s="43" t="str">
        <f>_xlfn.XLOOKUP($A48,Map!$A:$A,Map!C:C)</f>
        <v>BS</v>
      </c>
      <c r="H48" s="43" t="str">
        <f>_xlfn.XLOOKUP($A48,Map!$A:$A,Map!D:D)</f>
        <v>Current Assets</v>
      </c>
      <c r="I48" s="43" t="str">
        <f>_xlfn.XLOOKUP($A48,Map!$A:$A,Map!E:E)</f>
        <v>Inventories</v>
      </c>
      <c r="J48" s="43" t="str">
        <f>_xlfn.XLOOKUP($A48,Map!$A:$A,Map!F:F)</f>
        <v>Spare parts - Inventory</v>
      </c>
    </row>
    <row r="49" spans="1:10" x14ac:dyDescent="0.25">
      <c r="A49">
        <v>180004</v>
      </c>
      <c r="B49" t="s">
        <v>887</v>
      </c>
      <c r="C49" s="147">
        <v>7043113.4110000003</v>
      </c>
      <c r="D49" s="147">
        <v>13601505.934</v>
      </c>
      <c r="E49" s="147">
        <v>17298531.063999999</v>
      </c>
      <c r="F49" s="147">
        <v>3346088.281</v>
      </c>
      <c r="G49" s="43" t="str">
        <f>_xlfn.XLOOKUP($A49,Map!$A:$A,Map!C:C)</f>
        <v>BS</v>
      </c>
      <c r="H49" s="43" t="str">
        <f>_xlfn.XLOOKUP($A49,Map!$A:$A,Map!D:D)</f>
        <v>Current Assets</v>
      </c>
      <c r="I49" s="43" t="str">
        <f>_xlfn.XLOOKUP($A49,Map!$A:$A,Map!E:E)</f>
        <v>Inventories</v>
      </c>
      <c r="J49" s="43" t="str">
        <f>_xlfn.XLOOKUP($A49,Map!$A:$A,Map!F:F)</f>
        <v>Raw materials - Inventory</v>
      </c>
    </row>
    <row r="50" spans="1:10" x14ac:dyDescent="0.25">
      <c r="A50">
        <v>180005</v>
      </c>
      <c r="B50" t="s">
        <v>888</v>
      </c>
      <c r="C50" s="147">
        <v>5804758.5659999996</v>
      </c>
      <c r="D50" s="147">
        <v>15483036.51</v>
      </c>
      <c r="E50" s="147">
        <v>15536214.49</v>
      </c>
      <c r="F50" s="147">
        <v>5751580.5860000001</v>
      </c>
      <c r="G50" s="43" t="str">
        <f>_xlfn.XLOOKUP($A50,Map!$A:$A,Map!C:C)</f>
        <v>BS</v>
      </c>
      <c r="H50" s="43" t="str">
        <f>_xlfn.XLOOKUP($A50,Map!$A:$A,Map!D:D)</f>
        <v>Current Assets</v>
      </c>
      <c r="I50" s="43" t="str">
        <f>_xlfn.XLOOKUP($A50,Map!$A:$A,Map!E:E)</f>
        <v>Inventories</v>
      </c>
      <c r="J50" s="43" t="str">
        <f>_xlfn.XLOOKUP($A50,Map!$A:$A,Map!F:F)</f>
        <v>Raw materials - Inventory</v>
      </c>
    </row>
    <row r="51" spans="1:10" x14ac:dyDescent="0.25">
      <c r="A51">
        <v>180006</v>
      </c>
      <c r="B51" t="s">
        <v>889</v>
      </c>
      <c r="C51" s="147">
        <v>673548.34199999995</v>
      </c>
      <c r="D51" s="147">
        <v>16789257.555</v>
      </c>
      <c r="E51" s="147">
        <v>16168058.896</v>
      </c>
      <c r="F51" s="147">
        <v>1294747.0009999999</v>
      </c>
      <c r="G51" s="43" t="str">
        <f>_xlfn.XLOOKUP($A51,Map!$A:$A,Map!C:C)</f>
        <v>BS</v>
      </c>
      <c r="H51" s="43" t="str">
        <f>_xlfn.XLOOKUP($A51,Map!$A:$A,Map!D:D)</f>
        <v>Current Assets</v>
      </c>
      <c r="I51" s="43" t="str">
        <f>_xlfn.XLOOKUP($A51,Map!$A:$A,Map!E:E)</f>
        <v>Inventories</v>
      </c>
      <c r="J51" s="43" t="str">
        <f>_xlfn.XLOOKUP($A51,Map!$A:$A,Map!F:F)</f>
        <v>Raw materials - Inventory</v>
      </c>
    </row>
    <row r="52" spans="1:10" x14ac:dyDescent="0.25">
      <c r="A52">
        <v>180007</v>
      </c>
      <c r="B52" t="s">
        <v>890</v>
      </c>
      <c r="C52" s="147">
        <v>2013760.004</v>
      </c>
      <c r="D52" s="147">
        <v>7777237.4239999996</v>
      </c>
      <c r="E52" s="147">
        <v>8258614.8669999996</v>
      </c>
      <c r="F52" s="147">
        <v>1532382.561</v>
      </c>
      <c r="G52" s="43" t="str">
        <f>_xlfn.XLOOKUP($A52,Map!$A:$A,Map!C:C)</f>
        <v>BS</v>
      </c>
      <c r="H52" s="43" t="str">
        <f>_xlfn.XLOOKUP($A52,Map!$A:$A,Map!D:D)</f>
        <v>Current Assets</v>
      </c>
      <c r="I52" s="43" t="str">
        <f>_xlfn.XLOOKUP($A52,Map!$A:$A,Map!E:E)</f>
        <v>Inventories</v>
      </c>
      <c r="J52" s="43" t="str">
        <f>_xlfn.XLOOKUP($A52,Map!$A:$A,Map!F:F)</f>
        <v>Raw materials - Inventory</v>
      </c>
    </row>
    <row r="53" spans="1:10" x14ac:dyDescent="0.25">
      <c r="A53">
        <v>180008</v>
      </c>
      <c r="B53" t="s">
        <v>891</v>
      </c>
      <c r="C53" s="147">
        <v>1442056.1510000001</v>
      </c>
      <c r="D53" s="147">
        <v>1802589.6059999999</v>
      </c>
      <c r="E53" s="147">
        <v>1744767.98</v>
      </c>
      <c r="F53" s="147">
        <v>1499877.777</v>
      </c>
      <c r="G53" s="43" t="str">
        <f>_xlfn.XLOOKUP($A53,Map!$A:$A,Map!C:C)</f>
        <v>BS</v>
      </c>
      <c r="H53" s="43" t="str">
        <f>_xlfn.XLOOKUP($A53,Map!$A:$A,Map!D:D)</f>
        <v>Current Assets</v>
      </c>
      <c r="I53" s="43" t="str">
        <f>_xlfn.XLOOKUP($A53,Map!$A:$A,Map!E:E)</f>
        <v>Inventories</v>
      </c>
      <c r="J53" s="43" t="str">
        <f>_xlfn.XLOOKUP($A53,Map!$A:$A,Map!F:F)</f>
        <v>Raw materials - Inventory</v>
      </c>
    </row>
    <row r="54" spans="1:10" x14ac:dyDescent="0.25">
      <c r="A54">
        <v>180009</v>
      </c>
      <c r="B54" t="s">
        <v>892</v>
      </c>
      <c r="C54" s="147">
        <v>1</v>
      </c>
      <c r="D54" s="147">
        <v>3474339062.6100001</v>
      </c>
      <c r="E54" s="147">
        <v>3474339063.6100001</v>
      </c>
      <c r="F54" s="147">
        <v>0</v>
      </c>
      <c r="G54" s="43" t="str">
        <f>_xlfn.XLOOKUP($A54,Map!$A:$A,Map!C:C)</f>
        <v>BS</v>
      </c>
      <c r="H54" s="43" t="str">
        <f>_xlfn.XLOOKUP($A54,Map!$A:$A,Map!D:D)</f>
        <v>Current Assets</v>
      </c>
      <c r="I54" s="43" t="str">
        <f>_xlfn.XLOOKUP($A54,Map!$A:$A,Map!E:E)</f>
        <v>Inventories</v>
      </c>
      <c r="J54" s="43" t="str">
        <f>_xlfn.XLOOKUP($A54,Map!$A:$A,Map!F:F)</f>
        <v>Raw materials - Inventory</v>
      </c>
    </row>
    <row r="55" spans="1:10" x14ac:dyDescent="0.25">
      <c r="A55">
        <v>180010</v>
      </c>
      <c r="B55" t="s">
        <v>893</v>
      </c>
      <c r="C55" s="147">
        <v>1212335.835</v>
      </c>
      <c r="D55" s="147">
        <v>9876672.0730000008</v>
      </c>
      <c r="E55" s="147">
        <v>9761554.0969999991</v>
      </c>
      <c r="F55" s="147">
        <v>1327453.811</v>
      </c>
      <c r="G55" s="43" t="str">
        <f>_xlfn.XLOOKUP($A55,Map!$A:$A,Map!C:C)</f>
        <v>BS</v>
      </c>
      <c r="H55" s="43" t="str">
        <f>_xlfn.XLOOKUP($A55,Map!$A:$A,Map!D:D)</f>
        <v>Current Assets</v>
      </c>
      <c r="I55" s="43" t="str">
        <f>_xlfn.XLOOKUP($A55,Map!$A:$A,Map!E:E)</f>
        <v>Inventories</v>
      </c>
      <c r="J55" s="43" t="str">
        <f>_xlfn.XLOOKUP($A55,Map!$A:$A,Map!F:F)</f>
        <v>Packaging materials - Inventory</v>
      </c>
    </row>
    <row r="56" spans="1:10" x14ac:dyDescent="0.25">
      <c r="A56">
        <v>180011</v>
      </c>
      <c r="B56" t="s">
        <v>894</v>
      </c>
      <c r="C56" s="147">
        <v>5822773.6179999998</v>
      </c>
      <c r="D56" s="147">
        <v>211363056.495</v>
      </c>
      <c r="E56" s="147">
        <v>213387373.243</v>
      </c>
      <c r="F56" s="147">
        <v>3798456.87</v>
      </c>
      <c r="G56" s="43" t="str">
        <f>_xlfn.XLOOKUP($A56,Map!$A:$A,Map!C:C)</f>
        <v>BS</v>
      </c>
      <c r="H56" s="43" t="str">
        <f>_xlfn.XLOOKUP($A56,Map!$A:$A,Map!D:D)</f>
        <v>Current Assets</v>
      </c>
      <c r="I56" s="43" t="str">
        <f>_xlfn.XLOOKUP($A56,Map!$A:$A,Map!E:E)</f>
        <v>Inventories</v>
      </c>
      <c r="J56" s="43" t="str">
        <f>_xlfn.XLOOKUP($A56,Map!$A:$A,Map!F:F)</f>
        <v>Finished goods - Inventory</v>
      </c>
    </row>
    <row r="57" spans="1:10" x14ac:dyDescent="0.25">
      <c r="A57">
        <v>180012</v>
      </c>
      <c r="B57" t="s">
        <v>895</v>
      </c>
      <c r="C57" s="147">
        <v>3491023.5520000001</v>
      </c>
      <c r="D57" s="147">
        <v>421254569.71600002</v>
      </c>
      <c r="E57" s="147">
        <v>422031151.31099999</v>
      </c>
      <c r="F57" s="147">
        <v>2714441.9569999999</v>
      </c>
      <c r="G57" s="43" t="str">
        <f>_xlfn.XLOOKUP($A57,Map!$A:$A,Map!C:C)</f>
        <v>BS</v>
      </c>
      <c r="H57" s="43" t="str">
        <f>_xlfn.XLOOKUP($A57,Map!$A:$A,Map!D:D)</f>
        <v>Current Assets</v>
      </c>
      <c r="I57" s="43" t="str">
        <f>_xlfn.XLOOKUP($A57,Map!$A:$A,Map!E:E)</f>
        <v>Inventories</v>
      </c>
      <c r="J57" s="43" t="str">
        <f>_xlfn.XLOOKUP($A57,Map!$A:$A,Map!F:F)</f>
        <v>Work in progress - Inventory</v>
      </c>
    </row>
    <row r="58" spans="1:10" x14ac:dyDescent="0.25">
      <c r="A58">
        <v>180013</v>
      </c>
      <c r="B58" t="s">
        <v>896</v>
      </c>
      <c r="C58" s="147">
        <v>5752152.5599999996</v>
      </c>
      <c r="D58" s="147">
        <v>26416809.077</v>
      </c>
      <c r="E58" s="147">
        <v>26864091.748</v>
      </c>
      <c r="F58" s="147">
        <v>5304869.8890000004</v>
      </c>
      <c r="G58" s="43" t="str">
        <f>_xlfn.XLOOKUP($A58,Map!$A:$A,Map!C:C)</f>
        <v>BS</v>
      </c>
      <c r="H58" s="43" t="str">
        <f>_xlfn.XLOOKUP($A58,Map!$A:$A,Map!D:D)</f>
        <v>Current Assets</v>
      </c>
      <c r="I58" s="43" t="str">
        <f>_xlfn.XLOOKUP($A58,Map!$A:$A,Map!E:E)</f>
        <v>Inventories</v>
      </c>
      <c r="J58" s="43" t="str">
        <f>_xlfn.XLOOKUP($A58,Map!$A:$A,Map!F:F)</f>
        <v>Finished goods - Inventory</v>
      </c>
    </row>
    <row r="59" spans="1:10" x14ac:dyDescent="0.25">
      <c r="A59">
        <v>180014</v>
      </c>
      <c r="B59" t="s">
        <v>897</v>
      </c>
      <c r="C59" s="147">
        <v>0</v>
      </c>
      <c r="D59" s="147">
        <v>588661297.61199999</v>
      </c>
      <c r="E59" s="147">
        <v>588661297.61199999</v>
      </c>
      <c r="F59" s="147">
        <v>0</v>
      </c>
      <c r="G59" s="43" t="str">
        <f>_xlfn.XLOOKUP($A59,Map!$A:$A,Map!C:C)</f>
        <v>BS</v>
      </c>
      <c r="H59" s="43" t="str">
        <f>_xlfn.XLOOKUP($A59,Map!$A:$A,Map!D:D)</f>
        <v>Current Assets</v>
      </c>
      <c r="I59" s="43" t="str">
        <f>_xlfn.XLOOKUP($A59,Map!$A:$A,Map!E:E)</f>
        <v>Inventories</v>
      </c>
      <c r="J59" s="43" t="str">
        <f>_xlfn.XLOOKUP($A59,Map!$A:$A,Map!F:F)</f>
        <v>Work in progress - Inventory</v>
      </c>
    </row>
    <row r="60" spans="1:10" x14ac:dyDescent="0.25">
      <c r="A60">
        <v>180096</v>
      </c>
      <c r="B60" t="s">
        <v>898</v>
      </c>
      <c r="C60" s="147">
        <v>0</v>
      </c>
      <c r="D60" s="147">
        <v>545324079.66999996</v>
      </c>
      <c r="E60" s="147">
        <v>545324079.66999996</v>
      </c>
      <c r="F60" s="147">
        <v>0</v>
      </c>
      <c r="G60" s="43" t="str">
        <f>_xlfn.XLOOKUP($A60,Map!$A:$A,Map!C:C)</f>
        <v>BS</v>
      </c>
      <c r="H60" s="43" t="str">
        <f>_xlfn.XLOOKUP($A60,Map!$A:$A,Map!D:D)</f>
        <v>Current Assets</v>
      </c>
      <c r="I60" s="43" t="str">
        <f>_xlfn.XLOOKUP($A60,Map!$A:$A,Map!E:E)</f>
        <v>Inventories</v>
      </c>
      <c r="J60" s="43" t="str">
        <f>_xlfn.XLOOKUP($A60,Map!$A:$A,Map!F:F)</f>
        <v>Work in progress - Inventory</v>
      </c>
    </row>
    <row r="61" spans="1:10" x14ac:dyDescent="0.25">
      <c r="A61">
        <v>180097</v>
      </c>
      <c r="B61" t="s">
        <v>899</v>
      </c>
      <c r="C61" s="147">
        <v>0</v>
      </c>
      <c r="D61" s="147">
        <v>22193344.730999999</v>
      </c>
      <c r="E61" s="147">
        <v>22193344.730999999</v>
      </c>
      <c r="F61" s="147">
        <v>0</v>
      </c>
      <c r="G61" s="43" t="str">
        <f>_xlfn.XLOOKUP($A61,Map!$A:$A,Map!C:C)</f>
        <v>BS</v>
      </c>
      <c r="H61" s="43" t="str">
        <f>_xlfn.XLOOKUP($A61,Map!$A:$A,Map!D:D)</f>
        <v>Current Assets</v>
      </c>
      <c r="I61" s="43" t="str">
        <f>_xlfn.XLOOKUP($A61,Map!$A:$A,Map!E:E)</f>
        <v>Inventories</v>
      </c>
      <c r="J61" s="43" t="str">
        <f>_xlfn.XLOOKUP($A61,Map!$A:$A,Map!F:F)</f>
        <v>Work in progress - Inventory</v>
      </c>
    </row>
    <row r="62" spans="1:10" x14ac:dyDescent="0.25">
      <c r="A62">
        <v>180098</v>
      </c>
      <c r="B62" t="s">
        <v>900</v>
      </c>
      <c r="C62" s="147">
        <v>0</v>
      </c>
      <c r="D62" s="147">
        <v>0.15</v>
      </c>
      <c r="E62" s="147">
        <v>0.15</v>
      </c>
      <c r="F62" s="147">
        <v>0</v>
      </c>
      <c r="G62" s="43" t="str">
        <f>_xlfn.XLOOKUP($A62,Map!$A:$A,Map!C:C)</f>
        <v>BS</v>
      </c>
      <c r="H62" s="43" t="str">
        <f>_xlfn.XLOOKUP($A62,Map!$A:$A,Map!D:D)</f>
        <v>Current Assets</v>
      </c>
      <c r="I62" s="43" t="str">
        <f>_xlfn.XLOOKUP($A62,Map!$A:$A,Map!E:E)</f>
        <v>Inventories</v>
      </c>
      <c r="J62" s="43" t="str">
        <f>_xlfn.XLOOKUP($A62,Map!$A:$A,Map!F:F)</f>
        <v>Work in progress - Inventory</v>
      </c>
    </row>
    <row r="63" spans="1:10" x14ac:dyDescent="0.25">
      <c r="A63">
        <v>180099</v>
      </c>
      <c r="B63" t="s">
        <v>901</v>
      </c>
      <c r="C63" s="147">
        <v>0</v>
      </c>
      <c r="D63" s="147">
        <v>2694439.38</v>
      </c>
      <c r="E63" s="147">
        <v>2694439.38</v>
      </c>
      <c r="F63" s="147">
        <v>0</v>
      </c>
      <c r="G63" s="43" t="str">
        <f>_xlfn.XLOOKUP($A63,Map!$A:$A,Map!C:C)</f>
        <v>BS</v>
      </c>
      <c r="H63" s="43" t="str">
        <f>_xlfn.XLOOKUP($A63,Map!$A:$A,Map!D:D)</f>
        <v>Current Assets</v>
      </c>
      <c r="I63" s="43" t="str">
        <f>_xlfn.XLOOKUP($A63,Map!$A:$A,Map!E:E)</f>
        <v>Inventories</v>
      </c>
      <c r="J63" s="43" t="str">
        <f>_xlfn.XLOOKUP($A63,Map!$A:$A,Map!F:F)</f>
        <v>Goods in transit - Inventory</v>
      </c>
    </row>
    <row r="64" spans="1:10" x14ac:dyDescent="0.25">
      <c r="A64">
        <v>210001</v>
      </c>
      <c r="B64" t="s">
        <v>902</v>
      </c>
      <c r="C64" s="147">
        <v>1484072.36</v>
      </c>
      <c r="D64" s="147">
        <v>89163438.696999997</v>
      </c>
      <c r="E64" s="147">
        <v>90429692.657000005</v>
      </c>
      <c r="F64" s="147">
        <v>217818.4</v>
      </c>
      <c r="G64" s="43" t="str">
        <f>_xlfn.XLOOKUP($A64,Map!$A:$A,Map!C:C)</f>
        <v>BS</v>
      </c>
      <c r="H64" s="43" t="str">
        <f>_xlfn.XLOOKUP($A64,Map!$A:$A,Map!D:D)</f>
        <v>Current Liabilities</v>
      </c>
      <c r="I64" s="43" t="str">
        <f>_xlfn.XLOOKUP($A64,Map!$A:$A,Map!E:E)</f>
        <v>Tade payables and Accuals &amp; other credit balances</v>
      </c>
      <c r="J64" s="43" t="str">
        <f>_xlfn.XLOOKUP($A64,Map!$A:$A,Map!F:F)</f>
        <v>Trade payables - Foreign</v>
      </c>
    </row>
    <row r="65" spans="1:10" x14ac:dyDescent="0.25">
      <c r="A65">
        <v>210002</v>
      </c>
      <c r="B65" t="s">
        <v>903</v>
      </c>
      <c r="C65" s="147">
        <v>1910502.09</v>
      </c>
      <c r="D65" s="147">
        <v>54221905.254000001</v>
      </c>
      <c r="E65" s="147">
        <v>59287773.744000003</v>
      </c>
      <c r="F65" s="147">
        <v>-3155366.4</v>
      </c>
      <c r="G65" s="43" t="str">
        <f>_xlfn.XLOOKUP($A65,Map!$A:$A,Map!C:C)</f>
        <v>BS</v>
      </c>
      <c r="H65" s="43" t="str">
        <f>_xlfn.XLOOKUP($A65,Map!$A:$A,Map!D:D)</f>
        <v>Current Liabilities</v>
      </c>
      <c r="I65" s="43" t="str">
        <f>_xlfn.XLOOKUP($A65,Map!$A:$A,Map!E:E)</f>
        <v>Tade payables and Accuals &amp; other credit balances</v>
      </c>
      <c r="J65" s="43" t="str">
        <f>_xlfn.XLOOKUP($A65,Map!$A:$A,Map!F:F)</f>
        <v>Trade payables - Local</v>
      </c>
    </row>
    <row r="66" spans="1:10" x14ac:dyDescent="0.25">
      <c r="A66">
        <v>220001</v>
      </c>
      <c r="B66" t="s">
        <v>904</v>
      </c>
      <c r="C66" s="147">
        <v>0</v>
      </c>
      <c r="D66" s="147">
        <v>0</v>
      </c>
      <c r="E66" s="147">
        <v>0</v>
      </c>
      <c r="F66" s="147">
        <v>0</v>
      </c>
      <c r="G66" s="43" t="str">
        <f>_xlfn.XLOOKUP($A66,Map!$A:$A,Map!C:C)</f>
        <v>BS</v>
      </c>
      <c r="H66" s="43" t="str">
        <f>_xlfn.XLOOKUP($A66,Map!$A:$A,Map!D:D)</f>
        <v>Current Liabilities</v>
      </c>
      <c r="I66" s="43" t="str">
        <f>_xlfn.XLOOKUP($A66,Map!$A:$A,Map!E:E)</f>
        <v>Short-term Murabaha loans</v>
      </c>
      <c r="J66" s="43" t="str">
        <f>_xlfn.XLOOKUP($A66,Map!$A:$A,Map!F:F)</f>
        <v>Other loans - current</v>
      </c>
    </row>
    <row r="67" spans="1:10" x14ac:dyDescent="0.25">
      <c r="A67">
        <v>220002</v>
      </c>
      <c r="B67" t="s">
        <v>905</v>
      </c>
      <c r="C67" s="147">
        <v>-15001098.75</v>
      </c>
      <c r="D67" s="147">
        <v>33024247.451000001</v>
      </c>
      <c r="E67" s="147">
        <v>21566058.340999998</v>
      </c>
      <c r="F67" s="147">
        <v>-3542909.64</v>
      </c>
      <c r="G67" s="43" t="str">
        <f>_xlfn.XLOOKUP($A67,Map!$A:$A,Map!C:C)</f>
        <v>BS</v>
      </c>
      <c r="H67" s="43" t="str">
        <f>_xlfn.XLOOKUP($A67,Map!$A:$A,Map!D:D)</f>
        <v>Current Liabilities</v>
      </c>
      <c r="I67" s="43" t="str">
        <f>_xlfn.XLOOKUP($A67,Map!$A:$A,Map!E:E)</f>
        <v>Short-term Murabaha loans</v>
      </c>
      <c r="J67" s="43" t="str">
        <f>_xlfn.XLOOKUP($A67,Map!$A:$A,Map!F:F)</f>
        <v>Other loans - current</v>
      </c>
    </row>
    <row r="68" spans="1:10" x14ac:dyDescent="0.25">
      <c r="A68">
        <v>220003</v>
      </c>
      <c r="B68" t="s">
        <v>906</v>
      </c>
      <c r="C68" s="147">
        <v>0</v>
      </c>
      <c r="D68" s="147">
        <v>8350420.5499999998</v>
      </c>
      <c r="E68" s="147">
        <v>8350420.5499999998</v>
      </c>
      <c r="F68" s="147">
        <v>0</v>
      </c>
      <c r="G68" s="43" t="str">
        <f>_xlfn.XLOOKUP($A68,Map!$A:$A,Map!C:C)</f>
        <v>BS</v>
      </c>
      <c r="H68" s="43" t="str">
        <f>_xlfn.XLOOKUP($A68,Map!$A:$A,Map!D:D)</f>
        <v>Current Liabilities</v>
      </c>
      <c r="I68" s="43" t="str">
        <f>_xlfn.XLOOKUP($A68,Map!$A:$A,Map!E:E)</f>
        <v>Short-term Murabaha loans</v>
      </c>
      <c r="J68" s="43" t="str">
        <f>_xlfn.XLOOKUP($A68,Map!$A:$A,Map!F:F)</f>
        <v>Other loans - current</v>
      </c>
    </row>
    <row r="69" spans="1:10" x14ac:dyDescent="0.25">
      <c r="A69">
        <v>220004</v>
      </c>
      <c r="B69" t="s">
        <v>907</v>
      </c>
      <c r="C69" s="147">
        <v>-10194888.789999999</v>
      </c>
      <c r="D69" s="147">
        <v>13152463.632999999</v>
      </c>
      <c r="E69" s="147">
        <v>11586065.842</v>
      </c>
      <c r="F69" s="147">
        <v>-8628490.9989999998</v>
      </c>
      <c r="G69" s="43" t="str">
        <f>_xlfn.XLOOKUP($A69,Map!$A:$A,Map!C:C)</f>
        <v>BS</v>
      </c>
      <c r="H69" s="43" t="str">
        <f>_xlfn.XLOOKUP($A69,Map!$A:$A,Map!D:D)</f>
        <v>Current Liabilities</v>
      </c>
      <c r="I69" s="43" t="str">
        <f>_xlfn.XLOOKUP($A69,Map!$A:$A,Map!E:E)</f>
        <v>Short-term Murabaha loans</v>
      </c>
      <c r="J69" s="43" t="str">
        <f>_xlfn.XLOOKUP($A69,Map!$A:$A,Map!F:F)</f>
        <v>Other loans - current</v>
      </c>
    </row>
    <row r="70" spans="1:10" x14ac:dyDescent="0.25">
      <c r="A70">
        <v>230001</v>
      </c>
      <c r="B70" t="s">
        <v>911</v>
      </c>
      <c r="C70" s="147">
        <v>0</v>
      </c>
      <c r="D70" s="147">
        <v>2979866280.7919998</v>
      </c>
      <c r="E70" s="147">
        <v>2979866280.7919998</v>
      </c>
      <c r="F70" s="147">
        <v>0</v>
      </c>
      <c r="G70" s="43" t="str">
        <f>_xlfn.XLOOKUP($A70,Map!$A:$A,Map!C:C)</f>
        <v>BS</v>
      </c>
      <c r="H70" s="43" t="str">
        <f>_xlfn.XLOOKUP($A70,Map!$A:$A,Map!D:D)</f>
        <v>Current Liabilities</v>
      </c>
      <c r="I70" s="43" t="str">
        <f>_xlfn.XLOOKUP($A70,Map!$A:$A,Map!E:E)</f>
        <v>Tade payables and Accuals &amp; other credit balances</v>
      </c>
      <c r="J70" s="43" t="str">
        <f>_xlfn.XLOOKUP($A70,Map!$A:$A,Map!F:F)</f>
        <v>Clearing account</v>
      </c>
    </row>
    <row r="71" spans="1:10" x14ac:dyDescent="0.25">
      <c r="A71">
        <v>240001</v>
      </c>
      <c r="B71" t="s">
        <v>912</v>
      </c>
      <c r="C71" s="147">
        <v>4.0000000000000001E-3</v>
      </c>
      <c r="D71" s="147">
        <v>5183816.574</v>
      </c>
      <c r="E71" s="147">
        <v>5183816.5779999997</v>
      </c>
      <c r="F71" s="147">
        <v>0</v>
      </c>
      <c r="G71" s="43" t="str">
        <f>_xlfn.XLOOKUP($A71,Map!$A:$A,Map!C:C)</f>
        <v>BS</v>
      </c>
      <c r="H71" s="43" t="str">
        <f>_xlfn.XLOOKUP($A71,Map!$A:$A,Map!D:D)</f>
        <v>Current Liabilities</v>
      </c>
      <c r="I71" s="43" t="str">
        <f>_xlfn.XLOOKUP($A71,Map!$A:$A,Map!E:E)</f>
        <v>Tade payables and Accuals &amp; other credit balances</v>
      </c>
      <c r="J71" s="43" t="str">
        <f>_xlfn.XLOOKUP($A71,Map!$A:$A,Map!F:F)</f>
        <v>Overhead</v>
      </c>
    </row>
    <row r="72" spans="1:10" x14ac:dyDescent="0.25">
      <c r="A72">
        <v>240002</v>
      </c>
      <c r="B72" t="s">
        <v>913</v>
      </c>
      <c r="C72" s="147">
        <v>0</v>
      </c>
      <c r="D72" s="147">
        <v>872637</v>
      </c>
      <c r="E72" s="147">
        <v>223910</v>
      </c>
      <c r="F72" s="147">
        <v>648727</v>
      </c>
      <c r="G72" s="43" t="str">
        <f>_xlfn.XLOOKUP($A72,Map!$A:$A,Map!C:C)</f>
        <v>BS</v>
      </c>
      <c r="H72" s="43" t="str">
        <f>_xlfn.XLOOKUP($A72,Map!$A:$A,Map!D:D)</f>
        <v>Current Liabilities</v>
      </c>
      <c r="I72" s="43" t="str">
        <f>_xlfn.XLOOKUP($A72,Map!$A:$A,Map!E:E)</f>
        <v>Tade payables and Accuals &amp; other credit balances</v>
      </c>
      <c r="J72" s="43" t="str">
        <f>_xlfn.XLOOKUP($A72,Map!$A:$A,Map!F:F)</f>
        <v>Landed Cost - Customs</v>
      </c>
    </row>
    <row r="73" spans="1:10" x14ac:dyDescent="0.25">
      <c r="A73">
        <v>250001</v>
      </c>
      <c r="B73" t="s">
        <v>915</v>
      </c>
      <c r="C73" s="147">
        <v>0</v>
      </c>
      <c r="D73" s="147">
        <v>6482704.1900000004</v>
      </c>
      <c r="E73" s="147">
        <v>6482704.1900000004</v>
      </c>
      <c r="F73" s="147">
        <v>0</v>
      </c>
      <c r="G73" s="43" t="str">
        <f>_xlfn.XLOOKUP($A73,Map!$A:$A,Map!C:C)</f>
        <v>BS</v>
      </c>
      <c r="H73" s="43" t="str">
        <f>_xlfn.XLOOKUP($A73,Map!$A:$A,Map!D:D)</f>
        <v>Current Liabilities</v>
      </c>
      <c r="I73" s="43" t="str">
        <f>_xlfn.XLOOKUP($A73,Map!$A:$A,Map!E:E)</f>
        <v>Tade payables and Accuals &amp; other credit balances</v>
      </c>
      <c r="J73" s="43" t="str">
        <f>_xlfn.XLOOKUP($A73,Map!$A:$A,Map!F:F)</f>
        <v>Accrued salaries and wages</v>
      </c>
    </row>
    <row r="74" spans="1:10" x14ac:dyDescent="0.25">
      <c r="A74">
        <v>250002</v>
      </c>
      <c r="B74" t="s">
        <v>916</v>
      </c>
      <c r="C74" s="147">
        <v>-150000</v>
      </c>
      <c r="D74" s="147">
        <v>1919328.22</v>
      </c>
      <c r="E74" s="147">
        <v>1919328.22</v>
      </c>
      <c r="F74" s="147">
        <v>-150000</v>
      </c>
      <c r="G74" s="43" t="str">
        <f>_xlfn.XLOOKUP($A74,Map!$A:$A,Map!C:C)</f>
        <v>BS</v>
      </c>
      <c r="H74" s="43" t="str">
        <f>_xlfn.XLOOKUP($A74,Map!$A:$A,Map!D:D)</f>
        <v>Current Liabilities</v>
      </c>
      <c r="I74" s="43" t="str">
        <f>_xlfn.XLOOKUP($A74,Map!$A:$A,Map!E:E)</f>
        <v>Tade payables and Accuals &amp; other credit balances</v>
      </c>
      <c r="J74" s="43" t="str">
        <f>_xlfn.XLOOKUP($A74,Map!$A:$A,Map!F:F)</f>
        <v>Accrued utilities</v>
      </c>
    </row>
    <row r="75" spans="1:10" x14ac:dyDescent="0.25">
      <c r="A75">
        <v>250003</v>
      </c>
      <c r="B75" t="s">
        <v>917</v>
      </c>
      <c r="C75" s="147">
        <v>-1537200</v>
      </c>
      <c r="D75" s="147">
        <v>1677654</v>
      </c>
      <c r="E75" s="147">
        <v>1505564</v>
      </c>
      <c r="F75" s="147">
        <v>-1365110</v>
      </c>
      <c r="G75" s="43" t="str">
        <f>_xlfn.XLOOKUP($A75,Map!$A:$A,Map!C:C)</f>
        <v>BS</v>
      </c>
      <c r="H75" s="43" t="str">
        <f>_xlfn.XLOOKUP($A75,Map!$A:$A,Map!D:D)</f>
        <v>Current Liabilities</v>
      </c>
      <c r="I75" s="43" t="str">
        <f>_xlfn.XLOOKUP($A75,Map!$A:$A,Map!E:E)</f>
        <v>Zakat provision</v>
      </c>
      <c r="J75" s="43" t="str">
        <f>_xlfn.XLOOKUP($A75,Map!$A:$A,Map!F:F)</f>
        <v>Zakat provision</v>
      </c>
    </row>
    <row r="76" spans="1:10" x14ac:dyDescent="0.25">
      <c r="A76">
        <v>250004</v>
      </c>
      <c r="B76" t="s">
        <v>918</v>
      </c>
      <c r="C76" s="147">
        <v>-1200000</v>
      </c>
      <c r="D76" s="147">
        <v>1686053.0009999999</v>
      </c>
      <c r="E76" s="147">
        <v>1206053.0009999999</v>
      </c>
      <c r="F76" s="147">
        <v>-720000</v>
      </c>
      <c r="G76" s="43" t="str">
        <f>_xlfn.XLOOKUP($A76,Map!$A:$A,Map!C:C)</f>
        <v>BS</v>
      </c>
      <c r="H76" s="43" t="str">
        <f>_xlfn.XLOOKUP($A76,Map!$A:$A,Map!D:D)</f>
        <v>Current Liabilities</v>
      </c>
      <c r="I76" s="43" t="str">
        <f>_xlfn.XLOOKUP($A76,Map!$A:$A,Map!E:E)</f>
        <v>Tade payables and Accuals &amp; other credit balances</v>
      </c>
      <c r="J76" s="43" t="str">
        <f>_xlfn.XLOOKUP($A76,Map!$A:$A,Map!F:F)</f>
        <v>Accrued bonus</v>
      </c>
    </row>
    <row r="77" spans="1:10" x14ac:dyDescent="0.25">
      <c r="A77">
        <v>250005</v>
      </c>
      <c r="B77" t="s">
        <v>919</v>
      </c>
      <c r="C77" s="147">
        <v>-50000</v>
      </c>
      <c r="D77" s="147">
        <v>50000</v>
      </c>
      <c r="E77" s="147">
        <v>62000</v>
      </c>
      <c r="F77" s="147">
        <v>-62000</v>
      </c>
      <c r="G77" s="43" t="str">
        <f>_xlfn.XLOOKUP($A77,Map!$A:$A,Map!C:C)</f>
        <v>BS</v>
      </c>
      <c r="H77" s="43" t="str">
        <f>_xlfn.XLOOKUP($A77,Map!$A:$A,Map!D:D)</f>
        <v>Current Liabilities</v>
      </c>
      <c r="I77" s="43" t="str">
        <f>_xlfn.XLOOKUP($A77,Map!$A:$A,Map!E:E)</f>
        <v>Tade payables and Accuals &amp; other credit balances</v>
      </c>
      <c r="J77" s="43" t="str">
        <f>_xlfn.XLOOKUP($A77,Map!$A:$A,Map!F:F)</f>
        <v>Accrued expenses</v>
      </c>
    </row>
    <row r="78" spans="1:10" x14ac:dyDescent="0.25">
      <c r="A78">
        <v>260001</v>
      </c>
      <c r="B78" t="s">
        <v>922</v>
      </c>
      <c r="C78" s="147">
        <v>-3512480</v>
      </c>
      <c r="D78" s="147">
        <v>1056.6400000000001</v>
      </c>
      <c r="E78" s="147">
        <v>1344903.64</v>
      </c>
      <c r="F78" s="147">
        <v>-4856327</v>
      </c>
      <c r="G78" s="43" t="str">
        <f>_xlfn.XLOOKUP($A78,Map!$A:$A,Map!C:C)</f>
        <v>BS</v>
      </c>
      <c r="H78" s="43" t="str">
        <f>_xlfn.XLOOKUP($A78,Map!$A:$A,Map!D:D)</f>
        <v>Stockholder's equity</v>
      </c>
      <c r="I78" s="43" t="str">
        <f>_xlfn.XLOOKUP($A78,Map!$A:$A,Map!E:E)</f>
        <v>Statutory reserve</v>
      </c>
      <c r="J78" s="43" t="str">
        <f>_xlfn.XLOOKUP($A78,Map!$A:$A,Map!F:F)</f>
        <v>Statutory reserve</v>
      </c>
    </row>
    <row r="79" spans="1:10" x14ac:dyDescent="0.25">
      <c r="A79">
        <v>260002</v>
      </c>
      <c r="B79" t="s">
        <v>923</v>
      </c>
      <c r="C79" s="147">
        <v>-2925857.71</v>
      </c>
      <c r="D79" s="147">
        <v>1039050.43</v>
      </c>
      <c r="E79" s="147">
        <v>1105880.662</v>
      </c>
      <c r="F79" s="147">
        <v>-2992687.9419999998</v>
      </c>
      <c r="G79" s="43" t="str">
        <f>_xlfn.XLOOKUP($A79,Map!$A:$A,Map!C:C)</f>
        <v>BS</v>
      </c>
      <c r="H79" s="43" t="str">
        <f>_xlfn.XLOOKUP($A79,Map!$A:$A,Map!D:D)</f>
        <v>Non-Current Liabilities</v>
      </c>
      <c r="I79" s="43" t="str">
        <f>_xlfn.XLOOKUP($A79,Map!$A:$A,Map!E:E)</f>
        <v xml:space="preserve">End-of-service indemnities </v>
      </c>
      <c r="J79" s="43" t="str">
        <f>_xlfn.XLOOKUP($A79,Map!$A:$A,Map!F:F)</f>
        <v xml:space="preserve">End-of-service indemnities </v>
      </c>
    </row>
    <row r="80" spans="1:10" x14ac:dyDescent="0.25">
      <c r="A80">
        <v>260003</v>
      </c>
      <c r="B80" t="s">
        <v>924</v>
      </c>
      <c r="C80" s="147">
        <v>-1409581.54</v>
      </c>
      <c r="D80" s="147">
        <v>443612.50099999999</v>
      </c>
      <c r="E80" s="147">
        <v>443612.50099999999</v>
      </c>
      <c r="F80" s="147">
        <v>-1409581.54</v>
      </c>
      <c r="G80" s="43" t="str">
        <f>_xlfn.XLOOKUP($A80,Map!$A:$A,Map!C:C)</f>
        <v>BS</v>
      </c>
      <c r="H80" s="43" t="str">
        <f>_xlfn.XLOOKUP($A80,Map!$A:$A,Map!D:D)</f>
        <v>Current Assets</v>
      </c>
      <c r="I80" s="43" t="str">
        <f>_xlfn.XLOOKUP($A80,Map!$A:$A,Map!E:E)</f>
        <v>Trade receivables</v>
      </c>
      <c r="J80" s="43" t="str">
        <f>_xlfn.XLOOKUP($A80,Map!$A:$A,Map!F:F)</f>
        <v>Provisions</v>
      </c>
    </row>
    <row r="81" spans="1:10" x14ac:dyDescent="0.25">
      <c r="A81">
        <v>310001</v>
      </c>
      <c r="B81" t="s">
        <v>934</v>
      </c>
      <c r="C81" s="147">
        <v>-37273736.528999999</v>
      </c>
      <c r="D81" s="147">
        <v>10202296.85</v>
      </c>
      <c r="E81" s="147">
        <v>1055.3900000000001</v>
      </c>
      <c r="F81" s="147">
        <v>-27072495.068999998</v>
      </c>
      <c r="G81" s="43" t="str">
        <f>_xlfn.XLOOKUP($A81,Map!$A:$A,Map!C:C)</f>
        <v>BS</v>
      </c>
      <c r="H81" s="43" t="str">
        <f>_xlfn.XLOOKUP($A81,Map!$A:$A,Map!D:D)</f>
        <v>Stockholder's equity</v>
      </c>
      <c r="I81" s="43" t="str">
        <f>_xlfn.XLOOKUP($A81,Map!$A:$A,Map!E:E)</f>
        <v>Retained earnings</v>
      </c>
      <c r="J81" s="43" t="str">
        <f>_xlfn.XLOOKUP($A81,Map!$A:$A,Map!F:F)</f>
        <v>Retained earnings</v>
      </c>
    </row>
    <row r="82" spans="1:10" x14ac:dyDescent="0.25">
      <c r="A82">
        <v>330001</v>
      </c>
      <c r="B82" t="s">
        <v>935</v>
      </c>
      <c r="C82" s="147">
        <v>-1766750</v>
      </c>
      <c r="D82" s="147">
        <v>0</v>
      </c>
      <c r="E82" s="147">
        <v>0</v>
      </c>
      <c r="F82" s="147">
        <v>-1766750</v>
      </c>
      <c r="G82" s="43" t="str">
        <f>_xlfn.XLOOKUP($A82,Map!$A:$A,Map!C:C)</f>
        <v>BS</v>
      </c>
      <c r="H82" s="43" t="str">
        <f>_xlfn.XLOOKUP($A82,Map!$A:$A,Map!D:D)</f>
        <v>Stockholder's equity</v>
      </c>
      <c r="I82" s="43" t="str">
        <f>_xlfn.XLOOKUP($A82,Map!$A:$A,Map!E:E)</f>
        <v>Retained earnings</v>
      </c>
      <c r="J82" s="43" t="str">
        <f>_xlfn.XLOOKUP($A82,Map!$A:$A,Map!F:F)</f>
        <v>Retained earnings</v>
      </c>
    </row>
    <row r="83" spans="1:10" x14ac:dyDescent="0.25">
      <c r="A83">
        <v>330002</v>
      </c>
      <c r="B83" t="s">
        <v>936</v>
      </c>
      <c r="C83" s="147">
        <v>-33568250</v>
      </c>
      <c r="D83" s="147">
        <v>0</v>
      </c>
      <c r="E83" s="147">
        <v>0</v>
      </c>
      <c r="F83" s="147">
        <v>-33568250</v>
      </c>
      <c r="G83" s="43" t="str">
        <f>_xlfn.XLOOKUP($A83,Map!$A:$A,Map!C:C)</f>
        <v>BS</v>
      </c>
      <c r="H83" s="43" t="str">
        <f>_xlfn.XLOOKUP($A83,Map!$A:$A,Map!D:D)</f>
        <v>Stockholder's equity</v>
      </c>
      <c r="I83" s="43" t="str">
        <f>_xlfn.XLOOKUP($A83,Map!$A:$A,Map!E:E)</f>
        <v>Share capital</v>
      </c>
      <c r="J83" s="43" t="str">
        <f>_xlfn.XLOOKUP($A83,Map!$A:$A,Map!F:F)</f>
        <v>Share capital</v>
      </c>
    </row>
    <row r="84" spans="1:10" x14ac:dyDescent="0.25">
      <c r="A84">
        <v>410001</v>
      </c>
      <c r="B84" t="s">
        <v>938</v>
      </c>
      <c r="C84" s="147">
        <v>0</v>
      </c>
      <c r="D84" s="147">
        <v>53015605.498999998</v>
      </c>
      <c r="E84" s="147">
        <v>207954296.998</v>
      </c>
      <c r="F84" s="147">
        <v>-154938691.49900001</v>
      </c>
      <c r="G84" s="43" t="str">
        <f>_xlfn.XLOOKUP($A84,Map!$A:$A,Map!C:C)</f>
        <v>IS</v>
      </c>
      <c r="H84" s="43" t="str">
        <f>_xlfn.XLOOKUP($A84,Map!$A:$A,Map!D:D)</f>
        <v>Sales</v>
      </c>
      <c r="I84" s="43" t="str">
        <f>_xlfn.XLOOKUP($A84,Map!$A:$A,Map!E:E)</f>
        <v>Sales</v>
      </c>
      <c r="J84" s="43" t="str">
        <f>_xlfn.XLOOKUP($A84,Map!$A:$A,Map!F:F)</f>
        <v>Trading revenue</v>
      </c>
    </row>
    <row r="85" spans="1:10" x14ac:dyDescent="0.25">
      <c r="A85">
        <v>410002</v>
      </c>
      <c r="B85" t="s">
        <v>939</v>
      </c>
      <c r="C85" s="147">
        <v>0</v>
      </c>
      <c r="D85" s="147">
        <v>1315627.1070000001</v>
      </c>
      <c r="E85" s="147">
        <v>899767.72</v>
      </c>
      <c r="F85" s="147">
        <v>415859.38699999999</v>
      </c>
      <c r="G85" s="43" t="str">
        <f>_xlfn.XLOOKUP($A85,Map!$A:$A,Map!C:C)</f>
        <v>IS</v>
      </c>
      <c r="H85" s="43" t="str">
        <f>_xlfn.XLOOKUP($A85,Map!$A:$A,Map!D:D)</f>
        <v>Sales</v>
      </c>
      <c r="I85" s="43" t="str">
        <f>_xlfn.XLOOKUP($A85,Map!$A:$A,Map!E:E)</f>
        <v>Sales</v>
      </c>
      <c r="J85" s="43" t="str">
        <f>_xlfn.XLOOKUP($A85,Map!$A:$A,Map!F:F)</f>
        <v>Trading revenue</v>
      </c>
    </row>
    <row r="86" spans="1:10" x14ac:dyDescent="0.25">
      <c r="A86">
        <v>410003</v>
      </c>
      <c r="B86" t="s">
        <v>940</v>
      </c>
      <c r="C86" s="147">
        <v>0</v>
      </c>
      <c r="D86" s="147">
        <v>27318.399000000001</v>
      </c>
      <c r="E86" s="147">
        <v>7072</v>
      </c>
      <c r="F86" s="147">
        <v>20246.399000000001</v>
      </c>
      <c r="G86" s="43" t="str">
        <f>_xlfn.XLOOKUP($A86,Map!$A:$A,Map!C:C)</f>
        <v>IS</v>
      </c>
      <c r="H86" s="43" t="str">
        <f>_xlfn.XLOOKUP($A86,Map!$A:$A,Map!D:D)</f>
        <v>Sales</v>
      </c>
      <c r="I86" s="43" t="str">
        <f>_xlfn.XLOOKUP($A86,Map!$A:$A,Map!E:E)</f>
        <v>Sales</v>
      </c>
      <c r="J86" s="43" t="str">
        <f>_xlfn.XLOOKUP($A86,Map!$A:$A,Map!F:F)</f>
        <v>Trading revenue</v>
      </c>
    </row>
    <row r="87" spans="1:10" x14ac:dyDescent="0.25">
      <c r="A87">
        <v>410004</v>
      </c>
      <c r="B87" t="s">
        <v>941</v>
      </c>
      <c r="C87" s="147">
        <v>0</v>
      </c>
      <c r="D87" s="147">
        <v>0</v>
      </c>
      <c r="E87" s="147">
        <v>0</v>
      </c>
      <c r="F87" s="147">
        <v>0</v>
      </c>
      <c r="G87" s="43" t="str">
        <f>_xlfn.XLOOKUP($A87,Map!$A:$A,Map!C:C)</f>
        <v>IS</v>
      </c>
      <c r="H87" s="43" t="str">
        <f>_xlfn.XLOOKUP($A87,Map!$A:$A,Map!D:D)</f>
        <v>Sales</v>
      </c>
      <c r="I87" s="43" t="str">
        <f>_xlfn.XLOOKUP($A87,Map!$A:$A,Map!E:E)</f>
        <v>Sales</v>
      </c>
      <c r="J87" s="43" t="str">
        <f>_xlfn.XLOOKUP($A87,Map!$A:$A,Map!F:F)</f>
        <v>Scrap sales</v>
      </c>
    </row>
    <row r="88" spans="1:10" x14ac:dyDescent="0.25">
      <c r="A88">
        <v>420003</v>
      </c>
      <c r="B88" t="s">
        <v>944</v>
      </c>
      <c r="C88" s="147">
        <v>0</v>
      </c>
      <c r="D88" s="147">
        <v>0.55200000000000005</v>
      </c>
      <c r="E88" s="147">
        <v>0.59899999999999998</v>
      </c>
      <c r="F88" s="147">
        <v>-4.7E-2</v>
      </c>
      <c r="G88" s="43" t="str">
        <f>_xlfn.XLOOKUP($A88,Map!$A:$A,Map!C:C)</f>
        <v>IS</v>
      </c>
      <c r="H88" s="43" t="str">
        <f>_xlfn.XLOOKUP($A88,Map!$A:$A,Map!D:D)</f>
        <v>Sales</v>
      </c>
      <c r="I88" s="43" t="str">
        <f>_xlfn.XLOOKUP($A88,Map!$A:$A,Map!E:E)</f>
        <v>Sales</v>
      </c>
      <c r="J88" s="43" t="str">
        <f>_xlfn.XLOOKUP($A88,Map!$A:$A,Map!F:F)</f>
        <v>Scrap sales</v>
      </c>
    </row>
    <row r="89" spans="1:10" x14ac:dyDescent="0.25">
      <c r="A89">
        <v>510001</v>
      </c>
      <c r="B89" t="s">
        <v>945</v>
      </c>
      <c r="C89" s="147">
        <v>0</v>
      </c>
      <c r="D89" s="147">
        <v>175962242.678</v>
      </c>
      <c r="E89" s="147">
        <v>61589722.020000003</v>
      </c>
      <c r="F89" s="147">
        <v>114372520.65800001</v>
      </c>
      <c r="G89" s="43" t="str">
        <f>_xlfn.XLOOKUP($A89,Map!$A:$A,Map!C:C)</f>
        <v>IS</v>
      </c>
      <c r="H89" s="43" t="str">
        <f>_xlfn.XLOOKUP($A89,Map!$A:$A,Map!D:D)</f>
        <v>Cost of sales</v>
      </c>
      <c r="I89" s="43" t="str">
        <f>_xlfn.XLOOKUP($A89,Map!$A:$A,Map!E:E)</f>
        <v>Raw materials</v>
      </c>
      <c r="J89" s="43" t="str">
        <f>_xlfn.XLOOKUP($A89,Map!$A:$A,Map!F:F)</f>
        <v>Raw materials</v>
      </c>
    </row>
    <row r="90" spans="1:10" x14ac:dyDescent="0.25">
      <c r="A90">
        <v>510002</v>
      </c>
      <c r="B90" t="s">
        <v>946</v>
      </c>
      <c r="C90" s="147">
        <v>0</v>
      </c>
      <c r="D90" s="147">
        <v>5475102.4270000001</v>
      </c>
      <c r="E90" s="147">
        <v>510517.85499999998</v>
      </c>
      <c r="F90" s="147">
        <v>4964584.5719999997</v>
      </c>
      <c r="G90" s="43" t="str">
        <f>_xlfn.XLOOKUP($A90,Map!$A:$A,Map!C:C)</f>
        <v>IS</v>
      </c>
      <c r="H90" s="43" t="str">
        <f>_xlfn.XLOOKUP($A90,Map!$A:$A,Map!D:D)</f>
        <v>Cost of sales</v>
      </c>
      <c r="I90" s="43" t="str">
        <f>_xlfn.XLOOKUP($A90,Map!$A:$A,Map!E:E)</f>
        <v>Direct Labor</v>
      </c>
      <c r="J90" s="43" t="str">
        <f>_xlfn.XLOOKUP($A90,Map!$A:$A,Map!F:F)</f>
        <v>Direct Labor</v>
      </c>
    </row>
    <row r="91" spans="1:10" x14ac:dyDescent="0.25">
      <c r="A91">
        <v>510003</v>
      </c>
      <c r="B91" t="s">
        <v>947</v>
      </c>
      <c r="C91" s="147">
        <v>0</v>
      </c>
      <c r="D91" s="147">
        <v>6433825.5999999996</v>
      </c>
      <c r="E91" s="147">
        <v>5108577.0219999999</v>
      </c>
      <c r="F91" s="147">
        <v>1325248.578</v>
      </c>
      <c r="G91" s="43" t="str">
        <f>_xlfn.XLOOKUP($A91,Map!$A:$A,Map!C:C)</f>
        <v>IS</v>
      </c>
      <c r="H91" s="43" t="str">
        <f>_xlfn.XLOOKUP($A91,Map!$A:$A,Map!D:D)</f>
        <v>Cost of sales</v>
      </c>
      <c r="I91" s="43" t="str">
        <f>_xlfn.XLOOKUP($A91,Map!$A:$A,Map!E:E)</f>
        <v>Raw materials</v>
      </c>
      <c r="J91" s="43" t="str">
        <f>_xlfn.XLOOKUP($A91,Map!$A:$A,Map!F:F)</f>
        <v>Raw materials</v>
      </c>
    </row>
    <row r="92" spans="1:10" x14ac:dyDescent="0.25">
      <c r="A92">
        <v>510004</v>
      </c>
      <c r="B92" t="s">
        <v>948</v>
      </c>
      <c r="C92" s="147">
        <v>0</v>
      </c>
      <c r="D92" s="147">
        <v>31117195.221000001</v>
      </c>
      <c r="E92" s="147">
        <v>24459434.291000001</v>
      </c>
      <c r="F92" s="147">
        <v>6657760.9299999997</v>
      </c>
      <c r="G92" s="43" t="str">
        <f>_xlfn.XLOOKUP($A92,Map!$A:$A,Map!C:C)</f>
        <v>IS</v>
      </c>
      <c r="H92" s="43" t="str">
        <f>_xlfn.XLOOKUP($A92,Map!$A:$A,Map!D:D)</f>
        <v>Cost of sales</v>
      </c>
      <c r="I92" s="43" t="str">
        <f>_xlfn.XLOOKUP($A92,Map!$A:$A,Map!E:E)</f>
        <v>Raw materials</v>
      </c>
      <c r="J92" s="43" t="str">
        <f>_xlfn.XLOOKUP($A92,Map!$A:$A,Map!F:F)</f>
        <v>Other expenses</v>
      </c>
    </row>
    <row r="93" spans="1:10" x14ac:dyDescent="0.25">
      <c r="A93">
        <v>510005</v>
      </c>
      <c r="B93" t="s">
        <v>949</v>
      </c>
      <c r="C93" s="147">
        <v>0</v>
      </c>
      <c r="D93" s="147">
        <v>285940.07299999997</v>
      </c>
      <c r="E93" s="147">
        <v>285940.07299999997</v>
      </c>
      <c r="F93" s="147">
        <v>0</v>
      </c>
      <c r="G93" s="43" t="str">
        <f>_xlfn.XLOOKUP($A93,Map!$A:$A,Map!C:C)</f>
        <v>IS</v>
      </c>
      <c r="H93" s="43" t="str">
        <f>_xlfn.XLOOKUP($A93,Map!$A:$A,Map!D:D)</f>
        <v>Cost of sales</v>
      </c>
      <c r="I93" s="43" t="str">
        <f>_xlfn.XLOOKUP($A93,Map!$A:$A,Map!E:E)</f>
        <v>Raw materials</v>
      </c>
      <c r="J93" s="43" t="str">
        <f>_xlfn.XLOOKUP($A93,Map!$A:$A,Map!F:F)</f>
        <v>Other expenses</v>
      </c>
    </row>
    <row r="94" spans="1:10" x14ac:dyDescent="0.25">
      <c r="A94">
        <v>520001</v>
      </c>
      <c r="B94" t="s">
        <v>950</v>
      </c>
      <c r="C94" s="147">
        <v>0</v>
      </c>
      <c r="D94" s="147">
        <v>2233134.798</v>
      </c>
      <c r="E94" s="147">
        <v>2233134.798</v>
      </c>
      <c r="F94" s="147">
        <v>0</v>
      </c>
      <c r="G94" s="43" t="str">
        <f>_xlfn.XLOOKUP($A94,Map!$A:$A,Map!C:C)</f>
        <v>IS</v>
      </c>
      <c r="H94" s="43" t="str">
        <f>_xlfn.XLOOKUP($A94,Map!$A:$A,Map!D:D)</f>
        <v>Cost of sales</v>
      </c>
      <c r="I94" s="43" t="str">
        <f>_xlfn.XLOOKUP($A94,Map!$A:$A,Map!E:E)</f>
        <v>Direct Labor</v>
      </c>
      <c r="J94" s="43" t="str">
        <f>_xlfn.XLOOKUP($A94,Map!$A:$A,Map!F:F)</f>
        <v>Salaries and wages</v>
      </c>
    </row>
    <row r="95" spans="1:10" x14ac:dyDescent="0.25">
      <c r="A95">
        <v>520002</v>
      </c>
      <c r="B95" t="s">
        <v>951</v>
      </c>
      <c r="C95" s="147">
        <v>0</v>
      </c>
      <c r="D95" s="147">
        <v>0</v>
      </c>
      <c r="E95" s="147">
        <v>0</v>
      </c>
      <c r="F95" s="147">
        <v>0</v>
      </c>
      <c r="G95" s="43" t="str">
        <f>_xlfn.XLOOKUP($A95,Map!$A:$A,Map!C:C)</f>
        <v>IS</v>
      </c>
      <c r="H95" s="43" t="str">
        <f>_xlfn.XLOOKUP($A95,Map!$A:$A,Map!D:D)</f>
        <v>Cost of sales</v>
      </c>
      <c r="I95" s="43" t="str">
        <f>_xlfn.XLOOKUP($A95,Map!$A:$A,Map!E:E)</f>
        <v>Direct Labor</v>
      </c>
      <c r="J95" s="43" t="str">
        <f>_xlfn.XLOOKUP($A95,Map!$A:$A,Map!F:F)</f>
        <v>Overtime pay</v>
      </c>
    </row>
    <row r="96" spans="1:10" x14ac:dyDescent="0.25">
      <c r="A96">
        <v>520003</v>
      </c>
      <c r="B96" t="s">
        <v>952</v>
      </c>
      <c r="C96" s="147">
        <v>0</v>
      </c>
      <c r="D96" s="147">
        <v>47900</v>
      </c>
      <c r="E96" s="147">
        <v>47900</v>
      </c>
      <c r="F96" s="147">
        <v>0</v>
      </c>
      <c r="G96" s="43" t="str">
        <f>_xlfn.XLOOKUP($A96,Map!$A:$A,Map!C:C)</f>
        <v>IS</v>
      </c>
      <c r="H96" s="43" t="str">
        <f>_xlfn.XLOOKUP($A96,Map!$A:$A,Map!D:D)</f>
        <v>Cost of sales</v>
      </c>
      <c r="I96" s="43" t="str">
        <f>_xlfn.XLOOKUP($A96,Map!$A:$A,Map!E:E)</f>
        <v>Direct Labor</v>
      </c>
      <c r="J96" s="43" t="str">
        <f>_xlfn.XLOOKUP($A96,Map!$A:$A,Map!F:F)</f>
        <v>Transportation allowance</v>
      </c>
    </row>
    <row r="97" spans="1:10" x14ac:dyDescent="0.25">
      <c r="A97">
        <v>520004</v>
      </c>
      <c r="B97" t="s">
        <v>957</v>
      </c>
      <c r="C97" s="147">
        <v>0</v>
      </c>
      <c r="D97" s="147">
        <v>112439</v>
      </c>
      <c r="E97" s="147">
        <v>112439</v>
      </c>
      <c r="F97" s="147">
        <v>0</v>
      </c>
      <c r="G97" s="43" t="str">
        <f>_xlfn.XLOOKUP($A97,Map!$A:$A,Map!C:C)</f>
        <v>IS</v>
      </c>
      <c r="H97" s="43" t="str">
        <f>_xlfn.XLOOKUP($A97,Map!$A:$A,Map!D:D)</f>
        <v>Cost of sales</v>
      </c>
      <c r="I97" s="43" t="str">
        <f>_xlfn.XLOOKUP($A97,Map!$A:$A,Map!E:E)</f>
        <v>Direct Labor</v>
      </c>
      <c r="J97" s="43" t="str">
        <f>_xlfn.XLOOKUP($A97,Map!$A:$A,Map!F:F)</f>
        <v>Food and housing</v>
      </c>
    </row>
    <row r="98" spans="1:10" x14ac:dyDescent="0.25">
      <c r="A98">
        <v>520005</v>
      </c>
      <c r="B98" t="s">
        <v>954</v>
      </c>
      <c r="C98" s="147">
        <v>0</v>
      </c>
      <c r="D98" s="147">
        <v>0</v>
      </c>
      <c r="E98" s="147">
        <v>0</v>
      </c>
      <c r="F98" s="147">
        <v>0</v>
      </c>
      <c r="G98" s="43" t="str">
        <f>_xlfn.XLOOKUP($A98,Map!$A:$A,Map!C:C)</f>
        <v>IS</v>
      </c>
      <c r="H98" s="43" t="str">
        <f>_xlfn.XLOOKUP($A98,Map!$A:$A,Map!D:D)</f>
        <v>Cost of sales</v>
      </c>
      <c r="I98" s="43" t="str">
        <f>_xlfn.XLOOKUP($A98,Map!$A:$A,Map!E:E)</f>
        <v>Direct Labor</v>
      </c>
      <c r="J98" s="43" t="str">
        <f>_xlfn.XLOOKUP($A98,Map!$A:$A,Map!F:F)</f>
        <v>Leave pay</v>
      </c>
    </row>
    <row r="99" spans="1:10" x14ac:dyDescent="0.25">
      <c r="A99">
        <v>520006</v>
      </c>
      <c r="B99" t="s">
        <v>955</v>
      </c>
      <c r="C99" s="147">
        <v>0</v>
      </c>
      <c r="D99" s="147">
        <v>325213.766</v>
      </c>
      <c r="E99" s="147">
        <v>325213.766</v>
      </c>
      <c r="F99" s="147">
        <v>0</v>
      </c>
      <c r="G99" s="43" t="str">
        <f>_xlfn.XLOOKUP($A99,Map!$A:$A,Map!C:C)</f>
        <v>IS</v>
      </c>
      <c r="H99" s="43" t="str">
        <f>_xlfn.XLOOKUP($A99,Map!$A:$A,Map!D:D)</f>
        <v>Cost of sales</v>
      </c>
      <c r="I99" s="43" t="str">
        <f>_xlfn.XLOOKUP($A99,Map!$A:$A,Map!E:E)</f>
        <v>Direct Labor</v>
      </c>
      <c r="J99" s="43" t="str">
        <f>_xlfn.XLOOKUP($A99,Map!$A:$A,Map!F:F)</f>
        <v>Medical insurance</v>
      </c>
    </row>
    <row r="100" spans="1:10" x14ac:dyDescent="0.25">
      <c r="A100">
        <v>520010</v>
      </c>
      <c r="B100" t="s">
        <v>956</v>
      </c>
      <c r="C100" s="147">
        <v>0</v>
      </c>
      <c r="D100" s="147">
        <v>102134</v>
      </c>
      <c r="E100" s="147">
        <v>102134</v>
      </c>
      <c r="F100" s="147">
        <v>0</v>
      </c>
      <c r="G100" s="43" t="str">
        <f>_xlfn.XLOOKUP($A100,Map!$A:$A,Map!C:C)</f>
        <v>IS</v>
      </c>
      <c r="H100" s="43" t="str">
        <f>_xlfn.XLOOKUP($A100,Map!$A:$A,Map!D:D)</f>
        <v>Cost of sales</v>
      </c>
      <c r="I100" s="43" t="str">
        <f>_xlfn.XLOOKUP($A100,Map!$A:$A,Map!E:E)</f>
        <v>Direct Labor</v>
      </c>
      <c r="J100" s="43" t="str">
        <f>_xlfn.XLOOKUP($A100,Map!$A:$A,Map!F:F)</f>
        <v>Salaries and wages</v>
      </c>
    </row>
    <row r="101" spans="1:10" x14ac:dyDescent="0.25">
      <c r="A101">
        <v>520011</v>
      </c>
      <c r="B101" t="s">
        <v>951</v>
      </c>
      <c r="C101" s="147">
        <v>0</v>
      </c>
      <c r="D101" s="147">
        <v>295565</v>
      </c>
      <c r="E101" s="147">
        <v>295565</v>
      </c>
      <c r="F101" s="147">
        <v>0</v>
      </c>
      <c r="G101" s="43" t="str">
        <f>_xlfn.XLOOKUP($A101,Map!$A:$A,Map!C:C)</f>
        <v>IS</v>
      </c>
      <c r="H101" s="43" t="str">
        <f>_xlfn.XLOOKUP($A101,Map!$A:$A,Map!D:D)</f>
        <v>Cost of sales</v>
      </c>
      <c r="I101" s="43" t="str">
        <f>_xlfn.XLOOKUP($A101,Map!$A:$A,Map!E:E)</f>
        <v>Direct Labor</v>
      </c>
      <c r="J101" s="43" t="str">
        <f>_xlfn.XLOOKUP($A101,Map!$A:$A,Map!F:F)</f>
        <v>Overtime pay</v>
      </c>
    </row>
    <row r="102" spans="1:10" x14ac:dyDescent="0.25">
      <c r="A102">
        <v>520013</v>
      </c>
      <c r="B102" t="s">
        <v>957</v>
      </c>
      <c r="C102" s="147">
        <v>0</v>
      </c>
      <c r="D102" s="147">
        <v>0</v>
      </c>
      <c r="E102" s="147">
        <v>0</v>
      </c>
      <c r="F102" s="147">
        <v>0</v>
      </c>
      <c r="G102" s="43" t="str">
        <f>_xlfn.XLOOKUP($A102,Map!$A:$A,Map!C:C)</f>
        <v>IS</v>
      </c>
      <c r="H102" s="43" t="str">
        <f>_xlfn.XLOOKUP($A102,Map!$A:$A,Map!D:D)</f>
        <v>Cost of sales</v>
      </c>
      <c r="I102" s="43" t="str">
        <f>_xlfn.XLOOKUP($A102,Map!$A:$A,Map!E:E)</f>
        <v>Direct Labor</v>
      </c>
      <c r="J102" s="43" t="str">
        <f>_xlfn.XLOOKUP($A102,Map!$A:$A,Map!F:F)</f>
        <v>Food and housing</v>
      </c>
    </row>
    <row r="103" spans="1:10" x14ac:dyDescent="0.25">
      <c r="A103">
        <v>520014</v>
      </c>
      <c r="B103" t="s">
        <v>954</v>
      </c>
      <c r="C103" s="147">
        <v>0</v>
      </c>
      <c r="D103" s="147">
        <v>0</v>
      </c>
      <c r="E103" s="147">
        <v>0</v>
      </c>
      <c r="F103" s="147">
        <v>0</v>
      </c>
      <c r="G103" s="43" t="str">
        <f>_xlfn.XLOOKUP($A103,Map!$A:$A,Map!C:C)</f>
        <v>IS</v>
      </c>
      <c r="H103" s="43" t="str">
        <f>_xlfn.XLOOKUP($A103,Map!$A:$A,Map!D:D)</f>
        <v>Cost of sales</v>
      </c>
      <c r="I103" s="43" t="str">
        <f>_xlfn.XLOOKUP($A103,Map!$A:$A,Map!E:E)</f>
        <v>Direct Labor</v>
      </c>
      <c r="J103" s="43" t="str">
        <f>_xlfn.XLOOKUP($A103,Map!$A:$A,Map!F:F)</f>
        <v>Leave pay</v>
      </c>
    </row>
    <row r="104" spans="1:10" x14ac:dyDescent="0.25">
      <c r="A104">
        <v>520021</v>
      </c>
      <c r="B104" t="s">
        <v>962</v>
      </c>
      <c r="C104" s="147">
        <v>0</v>
      </c>
      <c r="D104" s="147">
        <v>36855.410000000003</v>
      </c>
      <c r="E104" s="147">
        <v>36855.410000000003</v>
      </c>
      <c r="F104" s="147">
        <v>0</v>
      </c>
      <c r="G104" s="43" t="str">
        <f>_xlfn.XLOOKUP($A104,Map!$A:$A,Map!C:C)</f>
        <v>IS</v>
      </c>
      <c r="H104" s="43" t="str">
        <f>_xlfn.XLOOKUP($A104,Map!$A:$A,Map!D:D)</f>
        <v>Cost of sales</v>
      </c>
      <c r="I104" s="43" t="str">
        <f>_xlfn.XLOOKUP($A104,Map!$A:$A,Map!E:E)</f>
        <v>Direct Labor</v>
      </c>
      <c r="J104" s="43" t="str">
        <f>_xlfn.XLOOKUP($A104,Map!$A:$A,Map!F:F)</f>
        <v>Medical insurance</v>
      </c>
    </row>
    <row r="105" spans="1:10" x14ac:dyDescent="0.25">
      <c r="A105">
        <v>520022</v>
      </c>
      <c r="B105" t="s">
        <v>963</v>
      </c>
      <c r="C105" s="147">
        <v>0</v>
      </c>
      <c r="D105" s="147">
        <v>0</v>
      </c>
      <c r="E105" s="147">
        <v>0</v>
      </c>
      <c r="F105" s="147">
        <v>0</v>
      </c>
      <c r="G105" s="43" t="str">
        <f>_xlfn.XLOOKUP($A105,Map!$A:$A,Map!C:C)</f>
        <v>IS</v>
      </c>
      <c r="H105" s="43" t="str">
        <f>_xlfn.XLOOKUP($A105,Map!$A:$A,Map!D:D)</f>
        <v>Cost of sales</v>
      </c>
      <c r="I105" s="43" t="str">
        <f>_xlfn.XLOOKUP($A105,Map!$A:$A,Map!E:E)</f>
        <v>Direct Labor</v>
      </c>
      <c r="J105" s="43" t="str">
        <f>_xlfn.XLOOKUP($A105,Map!$A:$A,Map!F:F)</f>
        <v>Iqama renewal</v>
      </c>
    </row>
    <row r="106" spans="1:10" x14ac:dyDescent="0.25">
      <c r="A106">
        <v>520023</v>
      </c>
      <c r="B106" t="s">
        <v>964</v>
      </c>
      <c r="C106" s="147">
        <v>0</v>
      </c>
      <c r="D106" s="147">
        <v>719.75</v>
      </c>
      <c r="E106" s="147">
        <v>719.75</v>
      </c>
      <c r="F106" s="147">
        <v>0</v>
      </c>
      <c r="G106" s="43" t="str">
        <f>_xlfn.XLOOKUP($A106,Map!$A:$A,Map!C:C)</f>
        <v>IS</v>
      </c>
      <c r="H106" s="43" t="str">
        <f>_xlfn.XLOOKUP($A106,Map!$A:$A,Map!D:D)</f>
        <v>Cost of sales</v>
      </c>
      <c r="I106" s="43" t="str">
        <f>_xlfn.XLOOKUP($A106,Map!$A:$A,Map!E:E)</f>
        <v>Direct Labor</v>
      </c>
      <c r="J106" s="43" t="str">
        <f>_xlfn.XLOOKUP($A106,Map!$A:$A,Map!F:F)</f>
        <v>Medical insurance</v>
      </c>
    </row>
    <row r="107" spans="1:10" x14ac:dyDescent="0.25">
      <c r="A107">
        <v>520032</v>
      </c>
      <c r="B107" t="s">
        <v>965</v>
      </c>
      <c r="C107" s="147">
        <v>0</v>
      </c>
      <c r="D107" s="147">
        <v>0</v>
      </c>
      <c r="E107" s="147">
        <v>0</v>
      </c>
      <c r="F107" s="147">
        <v>0</v>
      </c>
      <c r="G107" s="43" t="str">
        <f>_xlfn.XLOOKUP($A107,Map!$A:$A,Map!C:C)</f>
        <v>IS</v>
      </c>
      <c r="H107" s="43" t="str">
        <f>_xlfn.XLOOKUP($A107,Map!$A:$A,Map!D:D)</f>
        <v>Cost of sales</v>
      </c>
      <c r="I107" s="43" t="str">
        <f>_xlfn.XLOOKUP($A107,Map!$A:$A,Map!E:E)</f>
        <v>Raw materials</v>
      </c>
      <c r="J107" s="43" t="str">
        <f>_xlfn.XLOOKUP($A107,Map!$A:$A,Map!F:F)</f>
        <v>Consumables</v>
      </c>
    </row>
    <row r="108" spans="1:10" x14ac:dyDescent="0.25">
      <c r="A108">
        <v>520037</v>
      </c>
      <c r="B108" t="s">
        <v>967</v>
      </c>
      <c r="C108" s="147">
        <v>0</v>
      </c>
      <c r="D108" s="147">
        <v>6094074.2300000004</v>
      </c>
      <c r="E108" s="147">
        <v>6094074.2300000004</v>
      </c>
      <c r="F108" s="147">
        <v>0</v>
      </c>
      <c r="G108" s="43" t="str">
        <f>_xlfn.XLOOKUP($A108,Map!$A:$A,Map!C:C)</f>
        <v>IS</v>
      </c>
      <c r="H108" s="43" t="str">
        <f>_xlfn.XLOOKUP($A108,Map!$A:$A,Map!D:D)</f>
        <v>Cost of sales</v>
      </c>
      <c r="I108" s="43" t="str">
        <f>_xlfn.XLOOKUP($A108,Map!$A:$A,Map!E:E)</f>
        <v>Raw materials</v>
      </c>
      <c r="J108" s="43" t="str">
        <f>_xlfn.XLOOKUP($A108,Map!$A:$A,Map!F:F)</f>
        <v>Raw materials</v>
      </c>
    </row>
    <row r="109" spans="1:10" x14ac:dyDescent="0.25">
      <c r="A109">
        <v>520040</v>
      </c>
      <c r="B109" t="s">
        <v>969</v>
      </c>
      <c r="C109" s="147">
        <v>0</v>
      </c>
      <c r="D109" s="147">
        <v>1282331.0889999999</v>
      </c>
      <c r="E109" s="147">
        <v>1282331.0889999999</v>
      </c>
      <c r="F109" s="147">
        <v>0</v>
      </c>
      <c r="G109" s="43" t="str">
        <f>_xlfn.XLOOKUP($A109,Map!$A:$A,Map!C:C)</f>
        <v>IS</v>
      </c>
      <c r="H109" s="43" t="str">
        <f>_xlfn.XLOOKUP($A109,Map!$A:$A,Map!D:D)</f>
        <v>Cost of sales</v>
      </c>
      <c r="I109" s="43" t="str">
        <f>_xlfn.XLOOKUP($A109,Map!$A:$A,Map!E:E)</f>
        <v>Raw materials</v>
      </c>
      <c r="J109" s="43" t="str">
        <f>_xlfn.XLOOKUP($A109,Map!$A:$A,Map!F:F)</f>
        <v>Other expenses</v>
      </c>
    </row>
    <row r="110" spans="1:10" x14ac:dyDescent="0.25">
      <c r="A110" s="149">
        <v>520041</v>
      </c>
      <c r="B110" s="149" t="s">
        <v>970</v>
      </c>
      <c r="C110" s="147">
        <v>0</v>
      </c>
      <c r="D110" s="148">
        <v>10567193.213</v>
      </c>
      <c r="E110" s="148">
        <v>10567193.213</v>
      </c>
      <c r="F110" s="148">
        <v>0</v>
      </c>
      <c r="G110" s="43" t="str">
        <f>_xlfn.XLOOKUP($A110,Map!$A:$A,Map!C:C)</f>
        <v>IS</v>
      </c>
      <c r="H110" s="43" t="str">
        <f>_xlfn.XLOOKUP($A110,Map!$A:$A,Map!D:D)</f>
        <v>Cost of sales</v>
      </c>
      <c r="I110" s="43" t="str">
        <f>_xlfn.XLOOKUP($A110,Map!$A:$A,Map!E:E)</f>
        <v>Raw materials</v>
      </c>
      <c r="J110" s="43" t="str">
        <f>_xlfn.XLOOKUP($A110,Map!$A:$A,Map!F:F)</f>
        <v>Other expenses</v>
      </c>
    </row>
    <row r="111" spans="1:10" x14ac:dyDescent="0.25">
      <c r="A111" s="149">
        <v>520042</v>
      </c>
      <c r="B111" s="149" t="s">
        <v>971</v>
      </c>
      <c r="C111" s="147">
        <v>0</v>
      </c>
      <c r="D111" s="148">
        <v>184483448.25600001</v>
      </c>
      <c r="E111" s="148">
        <v>184483448.25600001</v>
      </c>
      <c r="F111" s="148">
        <v>0</v>
      </c>
      <c r="G111" s="43" t="str">
        <f>_xlfn.XLOOKUP($A111,Map!$A:$A,Map!C:C)</f>
        <v>IS</v>
      </c>
      <c r="H111" s="43" t="str">
        <f>_xlfn.XLOOKUP($A111,Map!$A:$A,Map!D:D)</f>
        <v>Cost of sales</v>
      </c>
      <c r="I111" s="43" t="str">
        <f>_xlfn.XLOOKUP($A111,Map!$A:$A,Map!E:E)</f>
        <v>Raw materials</v>
      </c>
      <c r="J111" s="43" t="str">
        <f>_xlfn.XLOOKUP($A111,Map!$A:$A,Map!F:F)</f>
        <v>Inventory Adjustment</v>
      </c>
    </row>
    <row r="112" spans="1:10" x14ac:dyDescent="0.25">
      <c r="A112" s="149">
        <v>600001</v>
      </c>
      <c r="B112" s="149" t="s">
        <v>979</v>
      </c>
      <c r="C112" s="147">
        <v>0</v>
      </c>
      <c r="D112" s="148">
        <v>1477158.29</v>
      </c>
      <c r="E112" s="148">
        <v>1477158.29</v>
      </c>
      <c r="F112" s="148">
        <v>0</v>
      </c>
      <c r="G112" s="43" t="str">
        <f>_xlfn.XLOOKUP($A112,Map!$A:$A,Map!C:C)</f>
        <v>IS</v>
      </c>
      <c r="H112" s="43" t="str">
        <f>_xlfn.XLOOKUP($A112,Map!$A:$A,Map!D:D)</f>
        <v>Cost of sales</v>
      </c>
      <c r="I112" s="43" t="str">
        <f>_xlfn.XLOOKUP($A112,Map!$A:$A,Map!E:E)</f>
        <v>Overhead - Labor Cost</v>
      </c>
      <c r="J112" s="43" t="str">
        <f>_xlfn.XLOOKUP($A112,Map!$A:$A,Map!F:F)</f>
        <v>Indirect Salaries — factory supervisory / indirect floor labour (COGS)</v>
      </c>
    </row>
    <row r="113" spans="1:10" x14ac:dyDescent="0.25">
      <c r="A113" s="149">
        <v>600002</v>
      </c>
      <c r="B113" s="149" t="s">
        <v>980</v>
      </c>
      <c r="C113" s="147">
        <v>0</v>
      </c>
      <c r="D113" s="148">
        <v>310728</v>
      </c>
      <c r="E113" s="148">
        <v>310728</v>
      </c>
      <c r="F113" s="148">
        <v>0</v>
      </c>
      <c r="G113" s="43" t="str">
        <f>_xlfn.XLOOKUP($A113,Map!$A:$A,Map!C:C)</f>
        <v>IS</v>
      </c>
      <c r="H113" s="43" t="str">
        <f>_xlfn.XLOOKUP($A113,Map!$A:$A,Map!D:D)</f>
        <v>Cost of sales</v>
      </c>
      <c r="I113" s="43" t="str">
        <f>_xlfn.XLOOKUP($A113,Map!$A:$A,Map!E:E)</f>
        <v>Overhead - Labor Cost</v>
      </c>
      <c r="J113" s="43" t="str">
        <f>_xlfn.XLOOKUP($A113,Map!$A:$A,Map!F:F)</f>
        <v>Overtime pay</v>
      </c>
    </row>
    <row r="114" spans="1:10" x14ac:dyDescent="0.25">
      <c r="A114" s="149">
        <v>600003</v>
      </c>
      <c r="B114" s="149" t="s">
        <v>981</v>
      </c>
      <c r="C114" s="147">
        <v>0</v>
      </c>
      <c r="D114" s="148">
        <v>81602</v>
      </c>
      <c r="E114" s="148">
        <v>81602</v>
      </c>
      <c r="F114" s="148">
        <v>0</v>
      </c>
      <c r="G114" s="43" t="str">
        <f>_xlfn.XLOOKUP($A114,Map!$A:$A,Map!C:C)</f>
        <v>IS</v>
      </c>
      <c r="H114" s="43" t="str">
        <f>_xlfn.XLOOKUP($A114,Map!$A:$A,Map!D:D)</f>
        <v>Cost of sales</v>
      </c>
      <c r="I114" s="43" t="str">
        <f>_xlfn.XLOOKUP($A114,Map!$A:$A,Map!E:E)</f>
        <v>Overhead - Labor Cost</v>
      </c>
      <c r="J114" s="43" t="str">
        <f>_xlfn.XLOOKUP($A114,Map!$A:$A,Map!F:F)</f>
        <v xml:space="preserve">Food &amp; Housing </v>
      </c>
    </row>
    <row r="115" spans="1:10" x14ac:dyDescent="0.25">
      <c r="A115" s="149">
        <v>600004</v>
      </c>
      <c r="B115" s="149" t="s">
        <v>982</v>
      </c>
      <c r="C115" s="147">
        <v>0</v>
      </c>
      <c r="D115" s="148">
        <v>142643.06099999999</v>
      </c>
      <c r="E115" s="148">
        <v>142643.06099999999</v>
      </c>
      <c r="F115" s="148">
        <v>0</v>
      </c>
      <c r="G115" s="43" t="str">
        <f>_xlfn.XLOOKUP($A115,Map!$A:$A,Map!C:C)</f>
        <v>IS</v>
      </c>
      <c r="H115" s="43" t="str">
        <f>_xlfn.XLOOKUP($A115,Map!$A:$A,Map!D:D)</f>
        <v>Cost of sales</v>
      </c>
      <c r="I115" s="43" t="str">
        <f>_xlfn.XLOOKUP($A115,Map!$A:$A,Map!E:E)</f>
        <v>Overhead - Labor Cost</v>
      </c>
      <c r="J115" s="43" t="str">
        <f>_xlfn.XLOOKUP($A115,Map!$A:$A,Map!F:F)</f>
        <v>Medical insurance</v>
      </c>
    </row>
    <row r="116" spans="1:10" x14ac:dyDescent="0.25">
      <c r="A116" s="149">
        <v>600005</v>
      </c>
      <c r="B116" s="149" t="s">
        <v>983</v>
      </c>
      <c r="C116" s="147">
        <v>0</v>
      </c>
      <c r="D116" s="148">
        <v>261005.22</v>
      </c>
      <c r="E116" s="148">
        <v>261005.22</v>
      </c>
      <c r="F116" s="148">
        <v>0</v>
      </c>
      <c r="G116" s="43" t="str">
        <f>_xlfn.XLOOKUP($A116,Map!$A:$A,Map!C:C)</f>
        <v>IS</v>
      </c>
      <c r="H116" s="43" t="str">
        <f>_xlfn.XLOOKUP($A116,Map!$A:$A,Map!D:D)</f>
        <v>General and Admin</v>
      </c>
      <c r="I116" s="43" t="str">
        <f>_xlfn.XLOOKUP($A116,Map!$A:$A,Map!E:E)</f>
        <v>Govt license and fees (including modon)</v>
      </c>
      <c r="J116" s="43" t="str">
        <f>_xlfn.XLOOKUP($A116,Map!$A:$A,Map!F:F)</f>
        <v>Government fees</v>
      </c>
    </row>
    <row r="117" spans="1:10" x14ac:dyDescent="0.25">
      <c r="A117">
        <v>600006</v>
      </c>
      <c r="B117" t="s">
        <v>984</v>
      </c>
      <c r="C117" s="147">
        <v>0</v>
      </c>
      <c r="D117" s="147">
        <v>302865.14</v>
      </c>
      <c r="E117" s="147">
        <v>302865.14</v>
      </c>
      <c r="F117" s="147">
        <v>0</v>
      </c>
      <c r="G117" s="43" t="str">
        <f>_xlfn.XLOOKUP($A117,Map!$A:$A,Map!C:C)</f>
        <v>IS</v>
      </c>
      <c r="H117" s="43" t="str">
        <f>_xlfn.XLOOKUP($A117,Map!$A:$A,Map!D:D)</f>
        <v>Cost of sales</v>
      </c>
      <c r="I117" s="43" t="str">
        <f>_xlfn.XLOOKUP($A117,Map!$A:$A,Map!E:E)</f>
        <v>Overhead - Labor Cost</v>
      </c>
      <c r="J117" s="43" t="str">
        <f>_xlfn.XLOOKUP($A117,Map!$A:$A,Map!F:F)</f>
        <v xml:space="preserve">Food &amp; Housing </v>
      </c>
    </row>
    <row r="118" spans="1:10" x14ac:dyDescent="0.25">
      <c r="A118">
        <v>600007</v>
      </c>
      <c r="B118" t="s">
        <v>985</v>
      </c>
      <c r="C118" s="147">
        <v>0</v>
      </c>
      <c r="D118" s="147">
        <v>2540</v>
      </c>
      <c r="E118" s="147">
        <v>2540</v>
      </c>
      <c r="F118" s="147">
        <v>0</v>
      </c>
      <c r="G118" s="43" t="str">
        <f>_xlfn.XLOOKUP($A118,Map!$A:$A,Map!C:C)</f>
        <v>IS</v>
      </c>
      <c r="H118" s="43" t="str">
        <f>_xlfn.XLOOKUP($A118,Map!$A:$A,Map!D:D)</f>
        <v>Cost of sales</v>
      </c>
      <c r="I118" s="43" t="str">
        <f>_xlfn.XLOOKUP($A118,Map!$A:$A,Map!E:E)</f>
        <v>Overhead - Labor Cost</v>
      </c>
      <c r="J118" s="43" t="str">
        <f>_xlfn.XLOOKUP($A118,Map!$A:$A,Map!F:F)</f>
        <v>Transportation allowance</v>
      </c>
    </row>
    <row r="119" spans="1:10" x14ac:dyDescent="0.25">
      <c r="A119">
        <v>600008</v>
      </c>
      <c r="B119" t="s">
        <v>986</v>
      </c>
      <c r="C119" s="147">
        <v>0</v>
      </c>
      <c r="D119" s="147">
        <v>180132</v>
      </c>
      <c r="E119" s="147">
        <v>180132</v>
      </c>
      <c r="F119" s="147">
        <v>0</v>
      </c>
      <c r="G119" s="43" t="str">
        <f>_xlfn.XLOOKUP($A119,Map!$A:$A,Map!C:C)</f>
        <v>IS</v>
      </c>
      <c r="H119" s="43" t="str">
        <f>_xlfn.XLOOKUP($A119,Map!$A:$A,Map!D:D)</f>
        <v>Cost of sales</v>
      </c>
      <c r="I119" s="43" t="str">
        <f>_xlfn.XLOOKUP($A119,Map!$A:$A,Map!E:E)</f>
        <v>Overhead - Labor Cost</v>
      </c>
      <c r="J119" s="43" t="str">
        <f>_xlfn.XLOOKUP($A119,Map!$A:$A,Map!F:F)</f>
        <v>Air tickets</v>
      </c>
    </row>
    <row r="120" spans="1:10" x14ac:dyDescent="0.25">
      <c r="A120" s="149">
        <v>600009</v>
      </c>
      <c r="B120" s="149" t="s">
        <v>987</v>
      </c>
      <c r="C120" s="147">
        <v>0</v>
      </c>
      <c r="D120" s="148">
        <v>194183</v>
      </c>
      <c r="E120" s="148">
        <v>194183</v>
      </c>
      <c r="F120" s="148">
        <v>0</v>
      </c>
      <c r="G120" s="43" t="str">
        <f>_xlfn.XLOOKUP($A120,Map!$A:$A,Map!C:C)</f>
        <v>IS</v>
      </c>
      <c r="H120" s="43" t="str">
        <f>_xlfn.XLOOKUP($A120,Map!$A:$A,Map!D:D)</f>
        <v>Cost of sales</v>
      </c>
      <c r="I120" s="43" t="str">
        <f>_xlfn.XLOOKUP($A120,Map!$A:$A,Map!E:E)</f>
        <v>Overhead - Labor Cost</v>
      </c>
      <c r="J120" s="43" t="str">
        <f>_xlfn.XLOOKUP($A120,Map!$A:$A,Map!F:F)</f>
        <v>Vacation pay</v>
      </c>
    </row>
    <row r="121" spans="1:10" x14ac:dyDescent="0.25">
      <c r="A121" s="149">
        <v>600011</v>
      </c>
      <c r="B121" s="149" t="s">
        <v>989</v>
      </c>
      <c r="C121" s="147">
        <v>0</v>
      </c>
      <c r="D121" s="148">
        <v>12000</v>
      </c>
      <c r="E121" s="148">
        <v>12000</v>
      </c>
      <c r="F121" s="148">
        <v>0</v>
      </c>
      <c r="G121" s="43" t="str">
        <f>_xlfn.XLOOKUP($A121,Map!$A:$A,Map!C:C)</f>
        <v>IS</v>
      </c>
      <c r="H121" s="43" t="str">
        <f>_xlfn.XLOOKUP($A121,Map!$A:$A,Map!D:D)</f>
        <v>Cost of sales</v>
      </c>
      <c r="I121" s="43" t="str">
        <f>_xlfn.XLOOKUP($A121,Map!$A:$A,Map!E:E)</f>
        <v>Overhead - Labor Cost</v>
      </c>
      <c r="J121" s="43" t="str">
        <f>_xlfn.XLOOKUP($A121,Map!$A:$A,Map!F:F)</f>
        <v>Air tickets</v>
      </c>
    </row>
    <row r="122" spans="1:10" x14ac:dyDescent="0.25">
      <c r="A122" s="149">
        <v>600013</v>
      </c>
      <c r="B122" s="149" t="s">
        <v>991</v>
      </c>
      <c r="C122" s="147">
        <v>0</v>
      </c>
      <c r="D122" s="148">
        <v>300</v>
      </c>
      <c r="E122" s="148">
        <v>300</v>
      </c>
      <c r="F122" s="148">
        <v>0</v>
      </c>
      <c r="G122" s="43" t="str">
        <f>_xlfn.XLOOKUP($A122,Map!$A:$A,Map!C:C)</f>
        <v>IS</v>
      </c>
      <c r="H122" s="43" t="str">
        <f>_xlfn.XLOOKUP($A122,Map!$A:$A,Map!D:D)</f>
        <v>Cost of sales</v>
      </c>
      <c r="I122" s="43" t="str">
        <f>_xlfn.XLOOKUP($A122,Map!$A:$A,Map!E:E)</f>
        <v>Overhead - Labor Cost</v>
      </c>
      <c r="J122" s="43" t="str">
        <f>_xlfn.XLOOKUP($A122,Map!$A:$A,Map!F:F)</f>
        <v>Telephone allowance</v>
      </c>
    </row>
    <row r="123" spans="1:10" x14ac:dyDescent="0.25">
      <c r="A123" s="149">
        <v>600014</v>
      </c>
      <c r="B123" s="149" t="s">
        <v>884</v>
      </c>
      <c r="C123" s="147">
        <v>0</v>
      </c>
      <c r="D123" s="148">
        <v>2013919.2350000001</v>
      </c>
      <c r="E123" s="148">
        <v>2013919.2350000001</v>
      </c>
      <c r="F123" s="148">
        <v>0</v>
      </c>
      <c r="G123" s="43" t="str">
        <f>_xlfn.XLOOKUP($A123,Map!$A:$A,Map!C:C)</f>
        <v>IS</v>
      </c>
      <c r="H123" s="43" t="str">
        <f>_xlfn.XLOOKUP($A123,Map!$A:$A,Map!D:D)</f>
        <v>Cost of sales</v>
      </c>
      <c r="I123" s="43" t="str">
        <f>_xlfn.XLOOKUP($A123,Map!$A:$A,Map!E:E)</f>
        <v>Overhead - Consumables &amp; SP</v>
      </c>
      <c r="J123" s="43" t="str">
        <f>_xlfn.XLOOKUP($A123,Map!$A:$A,Map!F:F)</f>
        <v>Consumables</v>
      </c>
    </row>
    <row r="124" spans="1:10" x14ac:dyDescent="0.25">
      <c r="A124" s="149">
        <v>600015</v>
      </c>
      <c r="B124" s="149" t="s">
        <v>992</v>
      </c>
      <c r="C124" s="147">
        <v>0</v>
      </c>
      <c r="D124" s="148">
        <v>50982.184999999998</v>
      </c>
      <c r="E124" s="148">
        <v>50982.184999999998</v>
      </c>
      <c r="F124" s="148">
        <v>0</v>
      </c>
      <c r="G124" s="43" t="str">
        <f>_xlfn.XLOOKUP($A124,Map!$A:$A,Map!C:C)</f>
        <v>IS</v>
      </c>
      <c r="H124" s="43" t="str">
        <f>_xlfn.XLOOKUP($A124,Map!$A:$A,Map!D:D)</f>
        <v>Cost of sales</v>
      </c>
      <c r="I124" s="43" t="str">
        <f>_xlfn.XLOOKUP($A124,Map!$A:$A,Map!E:E)</f>
        <v>Overhead - Consumables &amp; SP</v>
      </c>
      <c r="J124" s="43" t="str">
        <f>_xlfn.XLOOKUP($A124,Map!$A:$A,Map!F:F)</f>
        <v>Consumables</v>
      </c>
    </row>
    <row r="125" spans="1:10" x14ac:dyDescent="0.25">
      <c r="A125" s="149">
        <v>600016</v>
      </c>
      <c r="B125" s="149" t="s">
        <v>993</v>
      </c>
      <c r="C125" s="147">
        <v>0</v>
      </c>
      <c r="D125" s="148">
        <v>3330805.4440000001</v>
      </c>
      <c r="E125" s="148">
        <v>3330805.4440000001</v>
      </c>
      <c r="F125" s="148">
        <v>0</v>
      </c>
      <c r="G125" s="43" t="str">
        <f>_xlfn.XLOOKUP($A125,Map!$A:$A,Map!C:C)</f>
        <v>IS</v>
      </c>
      <c r="H125" s="43" t="str">
        <f>_xlfn.XLOOKUP($A125,Map!$A:$A,Map!D:D)</f>
        <v>Cost of sales</v>
      </c>
      <c r="I125" s="43" t="str">
        <f>_xlfn.XLOOKUP($A125,Map!$A:$A,Map!E:E)</f>
        <v>Overhead - Consumables &amp; SP</v>
      </c>
      <c r="J125" s="43" t="str">
        <f>_xlfn.XLOOKUP($A125,Map!$A:$A,Map!F:F)</f>
        <v>Tools</v>
      </c>
    </row>
    <row r="126" spans="1:10" x14ac:dyDescent="0.25">
      <c r="A126" s="149">
        <v>600017</v>
      </c>
      <c r="B126" s="149" t="s">
        <v>994</v>
      </c>
      <c r="C126" s="147">
        <v>0</v>
      </c>
      <c r="D126" s="148">
        <v>1993172.12</v>
      </c>
      <c r="E126" s="148">
        <v>1993172.12</v>
      </c>
      <c r="F126" s="148">
        <v>0</v>
      </c>
      <c r="G126" s="43" t="str">
        <f>_xlfn.XLOOKUP($A126,Map!$A:$A,Map!C:C)</f>
        <v>IS</v>
      </c>
      <c r="H126" s="43" t="str">
        <f>_xlfn.XLOOKUP($A126,Map!$A:$A,Map!D:D)</f>
        <v>Cost of sales</v>
      </c>
      <c r="I126" s="43" t="str">
        <f>_xlfn.XLOOKUP($A126,Map!$A:$A,Map!E:E)</f>
        <v>Overhead - Utility</v>
      </c>
      <c r="J126" s="43" t="str">
        <f>_xlfn.XLOOKUP($A126,Map!$A:$A,Map!F:F)</f>
        <v>Electricity expenses</v>
      </c>
    </row>
    <row r="127" spans="1:10" x14ac:dyDescent="0.25">
      <c r="A127" s="149">
        <v>600018</v>
      </c>
      <c r="B127" s="149" t="s">
        <v>995</v>
      </c>
      <c r="C127" s="147">
        <v>0</v>
      </c>
      <c r="D127" s="148">
        <v>75450</v>
      </c>
      <c r="E127" s="148">
        <v>75450</v>
      </c>
      <c r="F127" s="148">
        <v>0</v>
      </c>
      <c r="G127" s="43" t="str">
        <f>_xlfn.XLOOKUP($A127,Map!$A:$A,Map!C:C)</f>
        <v>IS</v>
      </c>
      <c r="H127" s="43" t="str">
        <f>_xlfn.XLOOKUP($A127,Map!$A:$A,Map!D:D)</f>
        <v>Cost of sales</v>
      </c>
      <c r="I127" s="43" t="str">
        <f>_xlfn.XLOOKUP($A127,Map!$A:$A,Map!E:E)</f>
        <v>Overhead - Utility</v>
      </c>
      <c r="J127" s="43" t="str">
        <f>_xlfn.XLOOKUP($A127,Map!$A:$A,Map!F:F)</f>
        <v>Water expenses</v>
      </c>
    </row>
    <row r="128" spans="1:10" x14ac:dyDescent="0.25">
      <c r="A128" s="149">
        <v>600019</v>
      </c>
      <c r="B128" s="149" t="s">
        <v>996</v>
      </c>
      <c r="C128" s="147">
        <v>0</v>
      </c>
      <c r="D128" s="148">
        <v>73676</v>
      </c>
      <c r="E128" s="148">
        <v>73676</v>
      </c>
      <c r="F128" s="148">
        <v>0</v>
      </c>
      <c r="G128" s="43" t="str">
        <f>_xlfn.XLOOKUP($A128,Map!$A:$A,Map!C:C)</f>
        <v>IS</v>
      </c>
      <c r="H128" s="43" t="str">
        <f>_xlfn.XLOOKUP($A128,Map!$A:$A,Map!D:D)</f>
        <v>Cost of sales</v>
      </c>
      <c r="I128" s="43" t="str">
        <f>_xlfn.XLOOKUP($A128,Map!$A:$A,Map!E:E)</f>
        <v>Overhead - Utility</v>
      </c>
      <c r="J128" s="43" t="str">
        <f>_xlfn.XLOOKUP($A128,Map!$A:$A,Map!F:F)</f>
        <v>Fuel and oil</v>
      </c>
    </row>
    <row r="129" spans="1:10" x14ac:dyDescent="0.25">
      <c r="A129" s="149">
        <v>600020</v>
      </c>
      <c r="B129" s="149" t="s">
        <v>997</v>
      </c>
      <c r="C129" s="147">
        <v>0</v>
      </c>
      <c r="D129" s="148">
        <v>225766.03200000001</v>
      </c>
      <c r="E129" s="148">
        <v>225766.03200000001</v>
      </c>
      <c r="F129" s="148">
        <v>0</v>
      </c>
      <c r="G129" s="43" t="str">
        <f>_xlfn.XLOOKUP($A129,Map!$A:$A,Map!C:C)</f>
        <v>IS</v>
      </c>
      <c r="H129" s="43" t="str">
        <f>_xlfn.XLOOKUP($A129,Map!$A:$A,Map!D:D)</f>
        <v>Cost of sales</v>
      </c>
      <c r="I129" s="43" t="str">
        <f>_xlfn.XLOOKUP($A129,Map!$A:$A,Map!E:E)</f>
        <v>Overhead - R&amp;M</v>
      </c>
      <c r="J129" s="43" t="str">
        <f>_xlfn.XLOOKUP($A129,Map!$A:$A,Map!F:F)</f>
        <v>Machine and equipment</v>
      </c>
    </row>
    <row r="130" spans="1:10" x14ac:dyDescent="0.25">
      <c r="A130">
        <v>600021</v>
      </c>
      <c r="B130" t="s">
        <v>998</v>
      </c>
      <c r="C130" s="147">
        <v>0</v>
      </c>
      <c r="D130" s="147">
        <v>0</v>
      </c>
      <c r="E130" s="147">
        <v>0</v>
      </c>
      <c r="F130" s="147">
        <v>0</v>
      </c>
      <c r="G130" s="43" t="str">
        <f>_xlfn.XLOOKUP($A130,Map!$A:$A,Map!C:C)</f>
        <v>IS</v>
      </c>
      <c r="H130" s="43" t="str">
        <f>_xlfn.XLOOKUP($A130,Map!$A:$A,Map!D:D)</f>
        <v>Cost of sales</v>
      </c>
      <c r="I130" s="43" t="str">
        <f>_xlfn.XLOOKUP($A130,Map!$A:$A,Map!E:E)</f>
        <v>Overhead - R&amp;M</v>
      </c>
      <c r="J130" s="43" t="str">
        <f>_xlfn.XLOOKUP($A130,Map!$A:$A,Map!F:F)</f>
        <v>Vehicle maintenance</v>
      </c>
    </row>
    <row r="131" spans="1:10" x14ac:dyDescent="0.25">
      <c r="A131">
        <v>600022</v>
      </c>
      <c r="B131" t="s">
        <v>999</v>
      </c>
      <c r="C131" s="147">
        <v>0</v>
      </c>
      <c r="D131" s="147">
        <v>700</v>
      </c>
      <c r="E131" s="147">
        <v>700</v>
      </c>
      <c r="F131" s="147">
        <v>0</v>
      </c>
      <c r="G131" s="43" t="str">
        <f>_xlfn.XLOOKUP($A131,Map!$A:$A,Map!C:C)</f>
        <v>IS</v>
      </c>
      <c r="H131" s="43" t="str">
        <f>_xlfn.XLOOKUP($A131,Map!$A:$A,Map!D:D)</f>
        <v>Cost of sales</v>
      </c>
      <c r="I131" s="43" t="str">
        <f>_xlfn.XLOOKUP($A131,Map!$A:$A,Map!E:E)</f>
        <v>Overhead - R&amp;M</v>
      </c>
      <c r="J131" s="43" t="str">
        <f>_xlfn.XLOOKUP($A131,Map!$A:$A,Map!F:F)</f>
        <v>Building maintenance</v>
      </c>
    </row>
    <row r="132" spans="1:10" x14ac:dyDescent="0.25">
      <c r="A132">
        <v>600023</v>
      </c>
      <c r="B132" t="s">
        <v>1000</v>
      </c>
      <c r="C132" s="147">
        <v>0</v>
      </c>
      <c r="D132" s="147">
        <v>3377</v>
      </c>
      <c r="E132" s="147">
        <v>3377</v>
      </c>
      <c r="F132" s="147">
        <v>0</v>
      </c>
      <c r="G132" s="43" t="str">
        <f>_xlfn.XLOOKUP($A132,Map!$A:$A,Map!C:C)</f>
        <v>IS</v>
      </c>
      <c r="H132" s="43" t="str">
        <f>_xlfn.XLOOKUP($A132,Map!$A:$A,Map!D:D)</f>
        <v>Cost of sales</v>
      </c>
      <c r="I132" s="43" t="str">
        <f>_xlfn.XLOOKUP($A132,Map!$A:$A,Map!E:E)</f>
        <v>Overhead - R&amp;M</v>
      </c>
      <c r="J132" s="43" t="str">
        <f>_xlfn.XLOOKUP($A132,Map!$A:$A,Map!F:F)</f>
        <v>Office equipment maintenance</v>
      </c>
    </row>
    <row r="133" spans="1:10" x14ac:dyDescent="0.25">
      <c r="A133">
        <v>600024</v>
      </c>
      <c r="B133" t="s">
        <v>1001</v>
      </c>
      <c r="C133" s="147">
        <v>0</v>
      </c>
      <c r="D133" s="147">
        <v>121728</v>
      </c>
      <c r="E133" s="147">
        <v>121728</v>
      </c>
      <c r="F133" s="147">
        <v>0</v>
      </c>
      <c r="G133" s="43" t="str">
        <f>_xlfn.XLOOKUP($A133,Map!$A:$A,Map!C:C)</f>
        <v>IS</v>
      </c>
      <c r="H133" s="43" t="str">
        <f>_xlfn.XLOOKUP($A133,Map!$A:$A,Map!D:D)</f>
        <v>Cost of sales</v>
      </c>
      <c r="I133" s="43" t="str">
        <f>_xlfn.XLOOKUP($A133,Map!$A:$A,Map!E:E)</f>
        <v>Overhead - Rent</v>
      </c>
      <c r="J133" s="43" t="str">
        <f>_xlfn.XLOOKUP($A133,Map!$A:$A,Map!F:F)</f>
        <v>Pump rental expenses</v>
      </c>
    </row>
    <row r="134" spans="1:10" x14ac:dyDescent="0.25">
      <c r="A134">
        <v>600027</v>
      </c>
      <c r="B134" t="s">
        <v>1004</v>
      </c>
      <c r="C134" s="147">
        <v>0</v>
      </c>
      <c r="D134" s="147">
        <v>659485</v>
      </c>
      <c r="E134" s="147">
        <v>659485</v>
      </c>
      <c r="F134" s="147">
        <v>0</v>
      </c>
      <c r="G134" s="43" t="str">
        <f>_xlfn.XLOOKUP($A134,Map!$A:$A,Map!C:C)</f>
        <v>IS</v>
      </c>
      <c r="H134" s="43" t="str">
        <f>_xlfn.XLOOKUP($A134,Map!$A:$A,Map!D:D)</f>
        <v>Cost of sales</v>
      </c>
      <c r="I134" s="43" t="str">
        <f>_xlfn.XLOOKUP($A134,Map!$A:$A,Map!E:E)</f>
        <v>Overhead - Rent</v>
      </c>
      <c r="J134" s="43" t="str">
        <f>_xlfn.XLOOKUP($A134,Map!$A:$A,Map!F:F)</f>
        <v>Production hall rental</v>
      </c>
    </row>
    <row r="135" spans="1:10" x14ac:dyDescent="0.25">
      <c r="A135">
        <v>600028</v>
      </c>
      <c r="B135" t="s">
        <v>1005</v>
      </c>
      <c r="C135" s="147">
        <v>0</v>
      </c>
      <c r="D135" s="147">
        <v>38974</v>
      </c>
      <c r="E135" s="147">
        <v>38974</v>
      </c>
      <c r="F135" s="147">
        <v>0</v>
      </c>
      <c r="G135" s="43" t="str">
        <f>_xlfn.XLOOKUP($A135,Map!$A:$A,Map!C:C)</f>
        <v>IS</v>
      </c>
      <c r="H135" s="43" t="str">
        <f>_xlfn.XLOOKUP($A135,Map!$A:$A,Map!D:D)</f>
        <v>Cost of sales</v>
      </c>
      <c r="I135" s="43" t="str">
        <f>_xlfn.XLOOKUP($A135,Map!$A:$A,Map!E:E)</f>
        <v>Overhead - Consumables &amp; SP</v>
      </c>
      <c r="J135" s="43" t="str">
        <f>_xlfn.XLOOKUP($A135,Map!$A:$A,Map!F:F)</f>
        <v xml:space="preserve">Education &amp; Furniture Allowances </v>
      </c>
    </row>
    <row r="136" spans="1:10" x14ac:dyDescent="0.25">
      <c r="A136">
        <v>600029</v>
      </c>
      <c r="B136" t="s">
        <v>1006</v>
      </c>
      <c r="C136" s="147">
        <v>0</v>
      </c>
      <c r="D136" s="147">
        <v>3454341.2489999998</v>
      </c>
      <c r="E136" s="147">
        <v>3454341.2489999998</v>
      </c>
      <c r="F136" s="147">
        <v>0</v>
      </c>
      <c r="G136" s="43" t="str">
        <f>_xlfn.XLOOKUP($A136,Map!$A:$A,Map!C:C)</f>
        <v>IS</v>
      </c>
      <c r="H136" s="43" t="str">
        <f>_xlfn.XLOOKUP($A136,Map!$A:$A,Map!D:D)</f>
        <v>Cost of sales</v>
      </c>
      <c r="I136" s="43" t="str">
        <f>_xlfn.XLOOKUP($A136,Map!$A:$A,Map!E:E)</f>
        <v>Depreciation - Machines</v>
      </c>
      <c r="J136" s="43" t="str">
        <f>_xlfn.XLOOKUP($A136,Map!$A:$A,Map!F:F)</f>
        <v>Depreciation of property, plant and equipment</v>
      </c>
    </row>
    <row r="137" spans="1:10" x14ac:dyDescent="0.25">
      <c r="A137">
        <v>600030</v>
      </c>
      <c r="B137" t="s">
        <v>1007</v>
      </c>
      <c r="C137" s="147">
        <v>0</v>
      </c>
      <c r="D137" s="147">
        <v>13079.331</v>
      </c>
      <c r="E137" s="147">
        <v>13079.331</v>
      </c>
      <c r="F137" s="147">
        <v>0</v>
      </c>
      <c r="G137" s="43" t="str">
        <f>_xlfn.XLOOKUP($A137,Map!$A:$A,Map!C:C)</f>
        <v>IS</v>
      </c>
      <c r="H137" s="43" t="str">
        <f>_xlfn.XLOOKUP($A137,Map!$A:$A,Map!D:D)</f>
        <v>Depreciation expenses</v>
      </c>
      <c r="I137" s="43" t="str">
        <f>_xlfn.XLOOKUP($A137,Map!$A:$A,Map!E:E)</f>
        <v>Depreciation expenses</v>
      </c>
      <c r="J137" s="43" t="str">
        <f>_xlfn.XLOOKUP($A137,Map!$A:$A,Map!F:F)</f>
        <v>Depreciation of property, plant and equipment</v>
      </c>
    </row>
    <row r="138" spans="1:10" x14ac:dyDescent="0.25">
      <c r="A138">
        <v>600031</v>
      </c>
      <c r="B138" t="s">
        <v>1008</v>
      </c>
      <c r="C138" s="147">
        <v>0</v>
      </c>
      <c r="D138" s="147">
        <v>57698.555999999997</v>
      </c>
      <c r="E138" s="147">
        <v>57698.555999999997</v>
      </c>
      <c r="F138" s="147">
        <v>0</v>
      </c>
      <c r="G138" s="43" t="str">
        <f>_xlfn.XLOOKUP($A138,Map!$A:$A,Map!C:C)</f>
        <v>IS</v>
      </c>
      <c r="H138" s="43" t="str">
        <f>_xlfn.XLOOKUP($A138,Map!$A:$A,Map!D:D)</f>
        <v>Depreciation expenses</v>
      </c>
      <c r="I138" s="43" t="str">
        <f>_xlfn.XLOOKUP($A138,Map!$A:$A,Map!E:E)</f>
        <v>Depreciation expenses</v>
      </c>
      <c r="J138" s="43" t="str">
        <f>_xlfn.XLOOKUP($A138,Map!$A:$A,Map!F:F)</f>
        <v>Depreciation of property, plant and equipment</v>
      </c>
    </row>
    <row r="139" spans="1:10" x14ac:dyDescent="0.25">
      <c r="A139">
        <v>700001</v>
      </c>
      <c r="B139" t="s">
        <v>1023</v>
      </c>
      <c r="C139" s="147">
        <v>0</v>
      </c>
      <c r="D139" s="147">
        <v>2480961</v>
      </c>
      <c r="E139" s="147">
        <v>0</v>
      </c>
      <c r="F139" s="147">
        <v>2480961</v>
      </c>
      <c r="G139" s="43" t="str">
        <f>_xlfn.XLOOKUP($A139,Map!$A:$A,Map!C:C)</f>
        <v>IS</v>
      </c>
      <c r="H139" s="43" t="str">
        <f>_xlfn.XLOOKUP($A139,Map!$A:$A,Map!D:D)</f>
        <v>General and Admin</v>
      </c>
      <c r="I139" s="43" t="str">
        <f>_xlfn.XLOOKUP($A139,Map!$A:$A,Map!E:E)</f>
        <v>Salaries and wages</v>
      </c>
      <c r="J139" s="43" t="str">
        <f>_xlfn.XLOOKUP($A139,Map!$A:$A,Map!F:F)</f>
        <v>Salaries and wages</v>
      </c>
    </row>
    <row r="140" spans="1:10" x14ac:dyDescent="0.25">
      <c r="A140">
        <v>700002</v>
      </c>
      <c r="B140" t="s">
        <v>1024</v>
      </c>
      <c r="C140" s="147">
        <v>0</v>
      </c>
      <c r="D140" s="147">
        <v>108666</v>
      </c>
      <c r="E140" s="147">
        <v>0</v>
      </c>
      <c r="F140" s="147">
        <v>108666</v>
      </c>
      <c r="G140" s="43" t="str">
        <f>_xlfn.XLOOKUP($A140,Map!$A:$A,Map!C:C)</f>
        <v>IS</v>
      </c>
      <c r="H140" s="43" t="str">
        <f>_xlfn.XLOOKUP($A140,Map!$A:$A,Map!D:D)</f>
        <v>General and Admin</v>
      </c>
      <c r="I140" s="43" t="str">
        <f>_xlfn.XLOOKUP($A140,Map!$A:$A,Map!E:E)</f>
        <v>Salaries and wages</v>
      </c>
      <c r="J140" s="43" t="str">
        <f>_xlfn.XLOOKUP($A140,Map!$A:$A,Map!F:F)</f>
        <v>Overtime pay</v>
      </c>
    </row>
    <row r="141" spans="1:10" x14ac:dyDescent="0.25">
      <c r="A141">
        <v>700003</v>
      </c>
      <c r="B141" t="s">
        <v>1152</v>
      </c>
      <c r="C141" s="147">
        <v>0</v>
      </c>
      <c r="D141" s="147">
        <v>26420</v>
      </c>
      <c r="E141" s="147">
        <v>0</v>
      </c>
      <c r="F141" s="147">
        <v>26420</v>
      </c>
      <c r="G141" s="43" t="str">
        <f>_xlfn.XLOOKUP($A141,Map!$A:$A,Map!C:C)</f>
        <v>IS</v>
      </c>
      <c r="H141" s="43" t="str">
        <f>_xlfn.XLOOKUP($A141,Map!$A:$A,Map!D:D)</f>
        <v>General and Admin</v>
      </c>
      <c r="I141" s="43" t="str">
        <f>_xlfn.XLOOKUP($A141,Map!$A:$A,Map!E:E)</f>
        <v>Salaries and wages</v>
      </c>
      <c r="J141" s="43" t="str">
        <f>_xlfn.XLOOKUP($A141,Map!$A:$A,Map!F:F)</f>
        <v xml:space="preserve">Food &amp; Housing </v>
      </c>
    </row>
    <row r="142" spans="1:10" x14ac:dyDescent="0.25">
      <c r="A142">
        <v>700004</v>
      </c>
      <c r="B142" t="s">
        <v>1026</v>
      </c>
      <c r="C142" s="147">
        <v>0</v>
      </c>
      <c r="D142" s="147">
        <v>145379.53200000001</v>
      </c>
      <c r="E142" s="147">
        <v>8400</v>
      </c>
      <c r="F142" s="147">
        <v>136979.53200000001</v>
      </c>
      <c r="G142" s="43" t="str">
        <f>_xlfn.XLOOKUP($A142,Map!$A:$A,Map!C:C)</f>
        <v>IS</v>
      </c>
      <c r="H142" s="43" t="str">
        <f>_xlfn.XLOOKUP($A142,Map!$A:$A,Map!D:D)</f>
        <v>General and Admin</v>
      </c>
      <c r="I142" s="43" t="str">
        <f>_xlfn.XLOOKUP($A142,Map!$A:$A,Map!E:E)</f>
        <v>Salaries and wages</v>
      </c>
      <c r="J142" s="43" t="str">
        <f>_xlfn.XLOOKUP($A142,Map!$A:$A,Map!F:F)</f>
        <v>Medical insurance</v>
      </c>
    </row>
    <row r="143" spans="1:10" x14ac:dyDescent="0.25">
      <c r="A143">
        <v>700005</v>
      </c>
      <c r="B143" t="s">
        <v>1027</v>
      </c>
      <c r="C143" s="147">
        <v>0</v>
      </c>
      <c r="D143" s="147">
        <v>356238.51</v>
      </c>
      <c r="E143" s="147">
        <v>40300</v>
      </c>
      <c r="F143" s="147">
        <v>315938.51</v>
      </c>
      <c r="G143" s="43" t="str">
        <f>_xlfn.XLOOKUP($A143,Map!$A:$A,Map!C:C)</f>
        <v>IS</v>
      </c>
      <c r="H143" s="43" t="str">
        <f>_xlfn.XLOOKUP($A143,Map!$A:$A,Map!D:D)</f>
        <v>General and Admin</v>
      </c>
      <c r="I143" s="43" t="str">
        <f>_xlfn.XLOOKUP($A143,Map!$A:$A,Map!E:E)</f>
        <v>Govt license and fees (including modon)</v>
      </c>
      <c r="J143" s="43" t="str">
        <f>_xlfn.XLOOKUP($A143,Map!$A:$A,Map!F:F)</f>
        <v>Government fees</v>
      </c>
    </row>
    <row r="144" spans="1:10" x14ac:dyDescent="0.25">
      <c r="A144">
        <v>700006</v>
      </c>
      <c r="B144" t="s">
        <v>1028</v>
      </c>
      <c r="C144" s="147">
        <v>0</v>
      </c>
      <c r="D144" s="147">
        <v>621595.56099999999</v>
      </c>
      <c r="E144" s="147">
        <v>10500</v>
      </c>
      <c r="F144" s="147">
        <v>611095.56099999999</v>
      </c>
      <c r="G144" s="43" t="str">
        <f>_xlfn.XLOOKUP($A144,Map!$A:$A,Map!C:C)</f>
        <v>IS</v>
      </c>
      <c r="H144" s="43" t="str">
        <f>_xlfn.XLOOKUP($A144,Map!$A:$A,Map!D:D)</f>
        <v>General and Admin</v>
      </c>
      <c r="I144" s="43" t="str">
        <f>_xlfn.XLOOKUP($A144,Map!$A:$A,Map!E:E)</f>
        <v>Salaries and wages</v>
      </c>
      <c r="J144" s="43" t="str">
        <f>_xlfn.XLOOKUP($A144,Map!$A:$A,Map!F:F)</f>
        <v xml:space="preserve">Food &amp; Housing </v>
      </c>
    </row>
    <row r="145" spans="1:10" x14ac:dyDescent="0.25">
      <c r="A145">
        <v>700007</v>
      </c>
      <c r="B145" t="s">
        <v>1029</v>
      </c>
      <c r="C145" s="147">
        <v>0</v>
      </c>
      <c r="D145" s="147">
        <v>320415.255</v>
      </c>
      <c r="E145" s="147">
        <v>0</v>
      </c>
      <c r="F145" s="147">
        <v>320415.255</v>
      </c>
      <c r="G145" s="43" t="str">
        <f>_xlfn.XLOOKUP($A145,Map!$A:$A,Map!C:C)</f>
        <v>IS</v>
      </c>
      <c r="H145" s="43" t="str">
        <f>_xlfn.XLOOKUP($A145,Map!$A:$A,Map!D:D)</f>
        <v>General and Admin</v>
      </c>
      <c r="I145" s="43" t="str">
        <f>_xlfn.XLOOKUP($A145,Map!$A:$A,Map!E:E)</f>
        <v>Salaries and wages</v>
      </c>
      <c r="J145" s="43" t="str">
        <f>_xlfn.XLOOKUP($A145,Map!$A:$A,Map!F:F)</f>
        <v>Transportation allowance</v>
      </c>
    </row>
    <row r="146" spans="1:10" x14ac:dyDescent="0.25">
      <c r="A146">
        <v>700008</v>
      </c>
      <c r="B146" t="s">
        <v>1030</v>
      </c>
      <c r="C146" s="147">
        <v>0</v>
      </c>
      <c r="D146" s="147">
        <v>94500</v>
      </c>
      <c r="E146" s="147">
        <v>10290</v>
      </c>
      <c r="F146" s="147">
        <v>84210</v>
      </c>
      <c r="G146" s="43" t="str">
        <f>_xlfn.XLOOKUP($A146,Map!$A:$A,Map!C:C)</f>
        <v>IS</v>
      </c>
      <c r="H146" s="43" t="str">
        <f>_xlfn.XLOOKUP($A146,Map!$A:$A,Map!D:D)</f>
        <v>General and Admin</v>
      </c>
      <c r="I146" s="43" t="str">
        <f>_xlfn.XLOOKUP($A146,Map!$A:$A,Map!E:E)</f>
        <v>Salaries and wages</v>
      </c>
      <c r="J146" s="43" t="str">
        <f>_xlfn.XLOOKUP($A146,Map!$A:$A,Map!F:F)</f>
        <v>Air tickets</v>
      </c>
    </row>
    <row r="147" spans="1:10" x14ac:dyDescent="0.25">
      <c r="A147">
        <v>700009</v>
      </c>
      <c r="B147" t="s">
        <v>1031</v>
      </c>
      <c r="C147" s="147">
        <v>0</v>
      </c>
      <c r="D147" s="147">
        <v>180400</v>
      </c>
      <c r="E147" s="147">
        <v>0</v>
      </c>
      <c r="F147" s="147">
        <v>180400</v>
      </c>
      <c r="G147" s="43" t="str">
        <f>_xlfn.XLOOKUP($A147,Map!$A:$A,Map!C:C)</f>
        <v>IS</v>
      </c>
      <c r="H147" s="43" t="str">
        <f>_xlfn.XLOOKUP($A147,Map!$A:$A,Map!D:D)</f>
        <v>General and Admin</v>
      </c>
      <c r="I147" s="43" t="str">
        <f>_xlfn.XLOOKUP($A147,Map!$A:$A,Map!E:E)</f>
        <v>Salaries and wages</v>
      </c>
      <c r="J147" s="43" t="str">
        <f>_xlfn.XLOOKUP($A147,Map!$A:$A,Map!F:F)</f>
        <v>Leave pay</v>
      </c>
    </row>
    <row r="148" spans="1:10" x14ac:dyDescent="0.25">
      <c r="A148">
        <v>700010</v>
      </c>
      <c r="B148" t="s">
        <v>1032</v>
      </c>
      <c r="C148" s="147">
        <v>0</v>
      </c>
      <c r="D148" s="147">
        <v>1698187.9110000001</v>
      </c>
      <c r="E148" s="147">
        <v>1264123.1499999999</v>
      </c>
      <c r="F148" s="147">
        <v>434064.761</v>
      </c>
      <c r="G148" s="43" t="str">
        <f>_xlfn.XLOOKUP($A148,Map!$A:$A,Map!C:C)</f>
        <v>IS</v>
      </c>
      <c r="H148" s="43" t="str">
        <f>_xlfn.XLOOKUP($A148,Map!$A:$A,Map!D:D)</f>
        <v>General and Admin</v>
      </c>
      <c r="I148" s="43" t="str">
        <f>_xlfn.XLOOKUP($A148,Map!$A:$A,Map!E:E)</f>
        <v>Salaries and wages</v>
      </c>
      <c r="J148" s="43" t="str">
        <f>_xlfn.XLOOKUP($A148,Map!$A:$A,Map!F:F)</f>
        <v>Indemnities</v>
      </c>
    </row>
    <row r="149" spans="1:10" x14ac:dyDescent="0.25">
      <c r="A149">
        <v>700011</v>
      </c>
      <c r="B149" t="s">
        <v>1033</v>
      </c>
      <c r="C149" s="147">
        <v>0</v>
      </c>
      <c r="D149" s="147">
        <v>105050</v>
      </c>
      <c r="E149" s="147">
        <v>5000</v>
      </c>
      <c r="F149" s="147">
        <v>100050</v>
      </c>
      <c r="G149" s="43" t="str">
        <f>_xlfn.XLOOKUP($A149,Map!$A:$A,Map!C:C)</f>
        <v>IS</v>
      </c>
      <c r="H149" s="43" t="str">
        <f>_xlfn.XLOOKUP($A149,Map!$A:$A,Map!D:D)</f>
        <v>General and Admin</v>
      </c>
      <c r="I149" s="43" t="str">
        <f>_xlfn.XLOOKUP($A149,Map!$A:$A,Map!E:E)</f>
        <v>Salaries and wages</v>
      </c>
      <c r="J149" s="43" t="str">
        <f>_xlfn.XLOOKUP($A149,Map!$A:$A,Map!F:F)</f>
        <v>Air tickets</v>
      </c>
    </row>
    <row r="150" spans="1:10" x14ac:dyDescent="0.25">
      <c r="A150">
        <v>700012</v>
      </c>
      <c r="B150" t="s">
        <v>1034</v>
      </c>
      <c r="C150" s="147">
        <v>0</v>
      </c>
      <c r="D150" s="147">
        <v>102203</v>
      </c>
      <c r="E150" s="147">
        <v>0</v>
      </c>
      <c r="F150" s="147">
        <v>102203</v>
      </c>
      <c r="G150" s="43" t="str">
        <f>_xlfn.XLOOKUP($A150,Map!$A:$A,Map!C:C)</f>
        <v>IS</v>
      </c>
      <c r="H150" s="43" t="str">
        <f>_xlfn.XLOOKUP($A150,Map!$A:$A,Map!D:D)</f>
        <v>General and Admin</v>
      </c>
      <c r="I150" s="43" t="str">
        <f>_xlfn.XLOOKUP($A150,Map!$A:$A,Map!E:E)</f>
        <v>Salaries and wages</v>
      </c>
      <c r="J150" s="43" t="str">
        <f>_xlfn.XLOOKUP($A150,Map!$A:$A,Map!F:F)</f>
        <v xml:space="preserve">Education &amp; Furniture Allowances </v>
      </c>
    </row>
    <row r="151" spans="1:10" x14ac:dyDescent="0.25">
      <c r="A151">
        <v>700013</v>
      </c>
      <c r="B151" t="s">
        <v>1035</v>
      </c>
      <c r="C151" s="147">
        <v>0</v>
      </c>
      <c r="D151" s="147">
        <v>87875</v>
      </c>
      <c r="E151" s="147">
        <v>0</v>
      </c>
      <c r="F151" s="147">
        <v>87875</v>
      </c>
      <c r="G151" s="43" t="str">
        <f>_xlfn.XLOOKUP($A151,Map!$A:$A,Map!C:C)</f>
        <v>IS</v>
      </c>
      <c r="H151" s="43" t="str">
        <f>_xlfn.XLOOKUP($A151,Map!$A:$A,Map!D:D)</f>
        <v>General and Admin</v>
      </c>
      <c r="I151" s="43" t="str">
        <f>_xlfn.XLOOKUP($A151,Map!$A:$A,Map!E:E)</f>
        <v>Utilities</v>
      </c>
      <c r="J151" s="43" t="str">
        <f>_xlfn.XLOOKUP($A151,Map!$A:$A,Map!F:F)</f>
        <v>Other general and administrative expenses</v>
      </c>
    </row>
    <row r="152" spans="1:10" x14ac:dyDescent="0.25">
      <c r="A152">
        <v>700014</v>
      </c>
      <c r="B152" t="s">
        <v>1036</v>
      </c>
      <c r="C152" s="147">
        <v>0</v>
      </c>
      <c r="D152" s="147">
        <v>20500</v>
      </c>
      <c r="E152" s="147">
        <v>0</v>
      </c>
      <c r="F152" s="147">
        <v>20500</v>
      </c>
      <c r="G152" s="43" t="str">
        <f>_xlfn.XLOOKUP($A152,Map!$A:$A,Map!C:C)</f>
        <v>IS</v>
      </c>
      <c r="H152" s="43" t="str">
        <f>_xlfn.XLOOKUP($A152,Map!$A:$A,Map!D:D)</f>
        <v>General and Admin</v>
      </c>
      <c r="I152" s="43" t="str">
        <f>_xlfn.XLOOKUP($A152,Map!$A:$A,Map!E:E)</f>
        <v>Salaries and wages</v>
      </c>
      <c r="J152" s="43" t="str">
        <f>_xlfn.XLOOKUP($A152,Map!$A:$A,Map!F:F)</f>
        <v xml:space="preserve">Education &amp; Furniture Allowances </v>
      </c>
    </row>
    <row r="153" spans="1:10" x14ac:dyDescent="0.25">
      <c r="A153">
        <v>700015</v>
      </c>
      <c r="B153" t="s">
        <v>1037</v>
      </c>
      <c r="C153" s="147">
        <v>0</v>
      </c>
      <c r="D153" s="147">
        <v>13446</v>
      </c>
      <c r="E153" s="147">
        <v>0</v>
      </c>
      <c r="F153" s="147">
        <v>13446</v>
      </c>
      <c r="G153" s="43" t="str">
        <f>_xlfn.XLOOKUP($A153,Map!$A:$A,Map!C:C)</f>
        <v>IS</v>
      </c>
      <c r="H153" s="43" t="str">
        <f>_xlfn.XLOOKUP($A153,Map!$A:$A,Map!D:D)</f>
        <v>General and Admin</v>
      </c>
      <c r="I153" s="43" t="str">
        <f>_xlfn.XLOOKUP($A153,Map!$A:$A,Map!E:E)</f>
        <v>Business travel</v>
      </c>
      <c r="J153" s="43" t="str">
        <f>_xlfn.XLOOKUP($A153,Map!$A:$A,Map!F:F)</f>
        <v>Transportation expenses</v>
      </c>
    </row>
    <row r="154" spans="1:10" x14ac:dyDescent="0.25">
      <c r="A154">
        <v>700016</v>
      </c>
      <c r="B154" t="s">
        <v>1038</v>
      </c>
      <c r="C154" s="147">
        <v>0</v>
      </c>
      <c r="D154" s="147">
        <v>27389</v>
      </c>
      <c r="E154" s="147">
        <v>0</v>
      </c>
      <c r="F154" s="147">
        <v>27389</v>
      </c>
      <c r="G154" s="43" t="str">
        <f>_xlfn.XLOOKUP($A154,Map!$A:$A,Map!C:C)</f>
        <v>IS</v>
      </c>
      <c r="H154" s="43" t="str">
        <f>_xlfn.XLOOKUP($A154,Map!$A:$A,Map!D:D)</f>
        <v>Selling and Marketing</v>
      </c>
      <c r="I154" s="43" t="str">
        <f>_xlfn.XLOOKUP($A154,Map!$A:$A,Map!E:E)</f>
        <v>Buffet expenses</v>
      </c>
      <c r="J154" s="43" t="str">
        <f>_xlfn.XLOOKUP($A154,Map!$A:$A,Map!F:F)</f>
        <v>Food expenses</v>
      </c>
    </row>
    <row r="155" spans="1:10" x14ac:dyDescent="0.25">
      <c r="A155">
        <v>700017</v>
      </c>
      <c r="B155" t="s">
        <v>1039</v>
      </c>
      <c r="C155" s="147">
        <v>0</v>
      </c>
      <c r="D155" s="147">
        <v>323</v>
      </c>
      <c r="E155" s="147">
        <v>0</v>
      </c>
      <c r="F155" s="147">
        <v>323</v>
      </c>
      <c r="G155" s="43" t="str">
        <f>_xlfn.XLOOKUP($A155,Map!$A:$A,Map!C:C)</f>
        <v>IS</v>
      </c>
      <c r="H155" s="43" t="str">
        <f>_xlfn.XLOOKUP($A155,Map!$A:$A,Map!D:D)</f>
        <v>General and Admin</v>
      </c>
      <c r="I155" s="43" t="str">
        <f>_xlfn.XLOOKUP($A155,Map!$A:$A,Map!E:E)</f>
        <v>Salaries and wages</v>
      </c>
      <c r="J155" s="43" t="str">
        <f>_xlfn.XLOOKUP($A155,Map!$A:$A,Map!F:F)</f>
        <v>Accommodation expenses</v>
      </c>
    </row>
    <row r="156" spans="1:10" x14ac:dyDescent="0.25">
      <c r="A156">
        <v>700018</v>
      </c>
      <c r="B156" t="s">
        <v>1040</v>
      </c>
      <c r="C156" s="147">
        <v>0</v>
      </c>
      <c r="D156" s="147">
        <v>70561.89</v>
      </c>
      <c r="E156" s="147">
        <v>12454.84</v>
      </c>
      <c r="F156" s="147">
        <v>58107.05</v>
      </c>
      <c r="G156" s="43" t="str">
        <f>_xlfn.XLOOKUP($A156,Map!$A:$A,Map!C:C)</f>
        <v>IS</v>
      </c>
      <c r="H156" s="43" t="str">
        <f>_xlfn.XLOOKUP($A156,Map!$A:$A,Map!D:D)</f>
        <v>General and Admin</v>
      </c>
      <c r="I156" s="43" t="str">
        <f>_xlfn.XLOOKUP($A156,Map!$A:$A,Map!E:E)</f>
        <v>Salaries and wages</v>
      </c>
      <c r="J156" s="43" t="str">
        <f>_xlfn.XLOOKUP($A156,Map!$A:$A,Map!F:F)</f>
        <v xml:space="preserve">Employee Medical Emergency Expenses </v>
      </c>
    </row>
    <row r="157" spans="1:10" x14ac:dyDescent="0.25">
      <c r="A157">
        <v>700019</v>
      </c>
      <c r="B157" t="s">
        <v>1041</v>
      </c>
      <c r="C157" s="147">
        <v>0</v>
      </c>
      <c r="D157" s="147">
        <v>1200000.0009999999</v>
      </c>
      <c r="E157" s="147">
        <v>671128.00100000005</v>
      </c>
      <c r="F157" s="147">
        <v>528872</v>
      </c>
      <c r="G157" s="43" t="str">
        <f>_xlfn.XLOOKUP($A157,Map!$A:$A,Map!C:C)</f>
        <v>IS</v>
      </c>
      <c r="H157" s="43" t="str">
        <f>_xlfn.XLOOKUP($A157,Map!$A:$A,Map!D:D)</f>
        <v>General and Admin</v>
      </c>
      <c r="I157" s="43" t="str">
        <f>_xlfn.XLOOKUP($A157,Map!$A:$A,Map!E:E)</f>
        <v>Salaries and wages</v>
      </c>
      <c r="J157" s="43" t="str">
        <f>_xlfn.XLOOKUP($A157,Map!$A:$A,Map!F:F)</f>
        <v xml:space="preserve">Incentives </v>
      </c>
    </row>
    <row r="158" spans="1:10" x14ac:dyDescent="0.25">
      <c r="A158">
        <v>700020</v>
      </c>
      <c r="B158" t="s">
        <v>1042</v>
      </c>
      <c r="C158" s="147">
        <v>0</v>
      </c>
      <c r="D158" s="147">
        <v>21065.21</v>
      </c>
      <c r="E158" s="147">
        <v>0</v>
      </c>
      <c r="F158" s="147">
        <v>21065.21</v>
      </c>
      <c r="G158" s="43" t="str">
        <f>_xlfn.XLOOKUP($A158,Map!$A:$A,Map!C:C)</f>
        <v>IS</v>
      </c>
      <c r="H158" s="43" t="str">
        <f>_xlfn.XLOOKUP($A158,Map!$A:$A,Map!D:D)</f>
        <v>General and Admin</v>
      </c>
      <c r="I158" s="43" t="str">
        <f>_xlfn.XLOOKUP($A158,Map!$A:$A,Map!E:E)</f>
        <v>Utilities</v>
      </c>
      <c r="J158" s="43" t="str">
        <f>_xlfn.XLOOKUP($A158,Map!$A:$A,Map!F:F)</f>
        <v>Electricity expenses</v>
      </c>
    </row>
    <row r="159" spans="1:10" x14ac:dyDescent="0.25">
      <c r="A159">
        <v>700021</v>
      </c>
      <c r="B159" t="s">
        <v>1043</v>
      </c>
      <c r="C159" s="147">
        <v>0</v>
      </c>
      <c r="D159" s="147">
        <v>415</v>
      </c>
      <c r="E159" s="147">
        <v>0</v>
      </c>
      <c r="F159" s="147">
        <v>415</v>
      </c>
      <c r="G159" s="43" t="str">
        <f>_xlfn.XLOOKUP($A159,Map!$A:$A,Map!C:C)</f>
        <v>IS</v>
      </c>
      <c r="H159" s="43" t="str">
        <f>_xlfn.XLOOKUP($A159,Map!$A:$A,Map!D:D)</f>
        <v>General and Admin</v>
      </c>
      <c r="I159" s="43" t="str">
        <f>_xlfn.XLOOKUP($A159,Map!$A:$A,Map!E:E)</f>
        <v>Utilities</v>
      </c>
      <c r="J159" s="43" t="str">
        <f>_xlfn.XLOOKUP($A159,Map!$A:$A,Map!F:F)</f>
        <v>Other general and administrative expenses</v>
      </c>
    </row>
    <row r="160" spans="1:10" x14ac:dyDescent="0.25">
      <c r="A160">
        <v>700022</v>
      </c>
      <c r="B160" t="s">
        <v>1044</v>
      </c>
      <c r="C160" s="147">
        <v>0</v>
      </c>
      <c r="D160" s="147">
        <v>64036.05</v>
      </c>
      <c r="E160" s="147">
        <v>1231</v>
      </c>
      <c r="F160" s="147">
        <v>62805.05</v>
      </c>
      <c r="G160" s="43" t="str">
        <f>_xlfn.XLOOKUP($A160,Map!$A:$A,Map!C:C)</f>
        <v>IS</v>
      </c>
      <c r="H160" s="43" t="str">
        <f>_xlfn.XLOOKUP($A160,Map!$A:$A,Map!D:D)</f>
        <v>General and Admin</v>
      </c>
      <c r="I160" s="43" t="str">
        <f>_xlfn.XLOOKUP($A160,Map!$A:$A,Map!E:E)</f>
        <v>Utilities</v>
      </c>
      <c r="J160" s="43" t="str">
        <f>_xlfn.XLOOKUP($A160,Map!$A:$A,Map!F:F)</f>
        <v>Other general and administrative expenses</v>
      </c>
    </row>
    <row r="161" spans="1:10" x14ac:dyDescent="0.25">
      <c r="A161">
        <v>700023</v>
      </c>
      <c r="B161" t="s">
        <v>1045</v>
      </c>
      <c r="C161" s="147">
        <v>0</v>
      </c>
      <c r="D161" s="147">
        <v>21419.25</v>
      </c>
      <c r="E161" s="147">
        <v>0</v>
      </c>
      <c r="F161" s="147">
        <v>21419.25</v>
      </c>
      <c r="G161" s="43" t="str">
        <f>_xlfn.XLOOKUP($A161,Map!$A:$A,Map!C:C)</f>
        <v>IS</v>
      </c>
      <c r="H161" s="43" t="str">
        <f>_xlfn.XLOOKUP($A161,Map!$A:$A,Map!D:D)</f>
        <v>General and Admin</v>
      </c>
      <c r="I161" s="43" t="str">
        <f>_xlfn.XLOOKUP($A161,Map!$A:$A,Map!E:E)</f>
        <v>Utilities</v>
      </c>
      <c r="J161" s="43" t="str">
        <f>_xlfn.XLOOKUP($A161,Map!$A:$A,Map!F:F)</f>
        <v xml:space="preserve">Postage &amp; Printing </v>
      </c>
    </row>
    <row r="162" spans="1:10" x14ac:dyDescent="0.25">
      <c r="A162">
        <v>700024</v>
      </c>
      <c r="B162" t="s">
        <v>1046</v>
      </c>
      <c r="C162" s="147">
        <v>0</v>
      </c>
      <c r="D162" s="147">
        <v>61858.550999999999</v>
      </c>
      <c r="E162" s="147">
        <v>0</v>
      </c>
      <c r="F162" s="147">
        <v>61858.550999999999</v>
      </c>
      <c r="G162" s="43" t="str">
        <f>_xlfn.XLOOKUP($A162,Map!$A:$A,Map!C:C)</f>
        <v>IS</v>
      </c>
      <c r="H162" s="43" t="str">
        <f>_xlfn.XLOOKUP($A162,Map!$A:$A,Map!D:D)</f>
        <v>General and Admin</v>
      </c>
      <c r="I162" s="43" t="str">
        <f>_xlfn.XLOOKUP($A162,Map!$A:$A,Map!E:E)</f>
        <v>IT expenses</v>
      </c>
      <c r="J162" s="43" t="str">
        <f>_xlfn.XLOOKUP($A162,Map!$A:$A,Map!F:F)</f>
        <v>Other general and administrative expenses</v>
      </c>
    </row>
    <row r="163" spans="1:10" x14ac:dyDescent="0.25">
      <c r="A163">
        <v>700025</v>
      </c>
      <c r="B163" t="s">
        <v>1047</v>
      </c>
      <c r="C163" s="147">
        <v>0</v>
      </c>
      <c r="D163" s="147">
        <v>91324</v>
      </c>
      <c r="E163" s="147">
        <v>5000</v>
      </c>
      <c r="F163" s="147">
        <v>86324</v>
      </c>
      <c r="G163" s="43" t="str">
        <f>_xlfn.XLOOKUP($A163,Map!$A:$A,Map!C:C)</f>
        <v>IS</v>
      </c>
      <c r="H163" s="43" t="str">
        <f>_xlfn.XLOOKUP($A163,Map!$A:$A,Map!D:D)</f>
        <v>General and Admin</v>
      </c>
      <c r="I163" s="43" t="str">
        <f>_xlfn.XLOOKUP($A163,Map!$A:$A,Map!E:E)</f>
        <v>Salaries and wages</v>
      </c>
      <c r="J163" s="43" t="str">
        <f>_xlfn.XLOOKUP($A163,Map!$A:$A,Map!F:F)</f>
        <v>Salaries and wages</v>
      </c>
    </row>
    <row r="164" spans="1:10" x14ac:dyDescent="0.25">
      <c r="A164">
        <v>700026</v>
      </c>
      <c r="B164" t="s">
        <v>1048</v>
      </c>
      <c r="C164" s="147">
        <v>0</v>
      </c>
      <c r="D164" s="147">
        <v>596</v>
      </c>
      <c r="E164" s="147">
        <v>0</v>
      </c>
      <c r="F164" s="147">
        <v>596</v>
      </c>
      <c r="G164" s="43" t="str">
        <f>_xlfn.XLOOKUP($A164,Map!$A:$A,Map!C:C)</f>
        <v>IS</v>
      </c>
      <c r="H164" s="43" t="str">
        <f>_xlfn.XLOOKUP($A164,Map!$A:$A,Map!D:D)</f>
        <v>General and Admin</v>
      </c>
      <c r="I164" s="43" t="str">
        <f>_xlfn.XLOOKUP($A164,Map!$A:$A,Map!E:E)</f>
        <v>Utilities</v>
      </c>
      <c r="J164" s="43" t="str">
        <f>_xlfn.XLOOKUP($A164,Map!$A:$A,Map!F:F)</f>
        <v>Magazines &amp; News Papers Exp.</v>
      </c>
    </row>
    <row r="165" spans="1:10" x14ac:dyDescent="0.25">
      <c r="A165">
        <v>700027</v>
      </c>
      <c r="B165" t="s">
        <v>1049</v>
      </c>
      <c r="C165" s="147">
        <v>0</v>
      </c>
      <c r="D165" s="147">
        <v>5707.643</v>
      </c>
      <c r="E165" s="147">
        <v>0</v>
      </c>
      <c r="F165" s="147">
        <v>5707.643</v>
      </c>
      <c r="G165" s="43" t="str">
        <f>_xlfn.XLOOKUP($A165,Map!$A:$A,Map!C:C)</f>
        <v>IS</v>
      </c>
      <c r="H165" s="43" t="str">
        <f>_xlfn.XLOOKUP($A165,Map!$A:$A,Map!D:D)</f>
        <v>General and Admin</v>
      </c>
      <c r="I165" s="43" t="str">
        <f>_xlfn.XLOOKUP($A165,Map!$A:$A,Map!E:E)</f>
        <v>Training</v>
      </c>
      <c r="J165" s="43" t="str">
        <f>_xlfn.XLOOKUP($A165,Map!$A:$A,Map!F:F)</f>
        <v>Training</v>
      </c>
    </row>
    <row r="166" spans="1:10" x14ac:dyDescent="0.25">
      <c r="A166">
        <v>700028</v>
      </c>
      <c r="B166" t="s">
        <v>1050</v>
      </c>
      <c r="C166" s="147">
        <v>0</v>
      </c>
      <c r="D166" s="147">
        <v>2063</v>
      </c>
      <c r="E166" s="147">
        <v>0</v>
      </c>
      <c r="F166" s="147">
        <v>2063</v>
      </c>
      <c r="G166" s="43" t="str">
        <f>_xlfn.XLOOKUP($A166,Map!$A:$A,Map!C:C)</f>
        <v>IS</v>
      </c>
      <c r="H166" s="43" t="str">
        <f>_xlfn.XLOOKUP($A166,Map!$A:$A,Map!D:D)</f>
        <v>General and Admin</v>
      </c>
      <c r="I166" s="43" t="str">
        <f>_xlfn.XLOOKUP($A166,Map!$A:$A,Map!E:E)</f>
        <v xml:space="preserve">Back office Support </v>
      </c>
      <c r="J166" s="43" t="str">
        <f>_xlfn.XLOOKUP($A166,Map!$A:$A,Map!F:F)</f>
        <v>Stationery expenses</v>
      </c>
    </row>
    <row r="167" spans="1:10" x14ac:dyDescent="0.25">
      <c r="A167">
        <v>700029</v>
      </c>
      <c r="B167" t="s">
        <v>1051</v>
      </c>
      <c r="C167" s="147">
        <v>0</v>
      </c>
      <c r="D167" s="147">
        <v>30905</v>
      </c>
      <c r="E167" s="147">
        <v>765</v>
      </c>
      <c r="F167" s="147">
        <v>30140</v>
      </c>
      <c r="G167" s="43" t="str">
        <f>_xlfn.XLOOKUP($A167,Map!$A:$A,Map!C:C)</f>
        <v>IS</v>
      </c>
      <c r="H167" s="43" t="str">
        <f>_xlfn.XLOOKUP($A167,Map!$A:$A,Map!D:D)</f>
        <v>General and Admin</v>
      </c>
      <c r="I167" s="43" t="str">
        <f>_xlfn.XLOOKUP($A167,Map!$A:$A,Map!E:E)</f>
        <v>Utilities</v>
      </c>
      <c r="J167" s="43" t="str">
        <f>_xlfn.XLOOKUP($A167,Map!$A:$A,Map!F:F)</f>
        <v xml:space="preserve">Postage &amp; Printing </v>
      </c>
    </row>
    <row r="168" spans="1:10" x14ac:dyDescent="0.25">
      <c r="A168">
        <v>700030</v>
      </c>
      <c r="B168" t="s">
        <v>1052</v>
      </c>
      <c r="C168" s="147">
        <v>0</v>
      </c>
      <c r="D168" s="147">
        <v>5247</v>
      </c>
      <c r="E168" s="147">
        <v>0</v>
      </c>
      <c r="F168" s="147">
        <v>5247</v>
      </c>
      <c r="G168" s="43" t="str">
        <f>_xlfn.XLOOKUP($A168,Map!$A:$A,Map!C:C)</f>
        <v>IS</v>
      </c>
      <c r="H168" s="43" t="str">
        <f>_xlfn.XLOOKUP($A168,Map!$A:$A,Map!D:D)</f>
        <v>General and Admin</v>
      </c>
      <c r="I168" s="43" t="str">
        <f>_xlfn.XLOOKUP($A168,Map!$A:$A,Map!E:E)</f>
        <v>Utilities</v>
      </c>
      <c r="J168" s="43" t="str">
        <f>_xlfn.XLOOKUP($A168,Map!$A:$A,Map!F:F)</f>
        <v>Building maintenance</v>
      </c>
    </row>
    <row r="169" spans="1:10" x14ac:dyDescent="0.25">
      <c r="A169">
        <v>700031</v>
      </c>
      <c r="B169" t="s">
        <v>1053</v>
      </c>
      <c r="C169" s="147">
        <v>0</v>
      </c>
      <c r="D169" s="147">
        <v>56235</v>
      </c>
      <c r="E169" s="147">
        <v>0</v>
      </c>
      <c r="F169" s="147">
        <v>56235</v>
      </c>
      <c r="G169" s="43" t="str">
        <f>_xlfn.XLOOKUP($A169,Map!$A:$A,Map!C:C)</f>
        <v>IS</v>
      </c>
      <c r="H169" s="43" t="str">
        <f>_xlfn.XLOOKUP($A169,Map!$A:$A,Map!D:D)</f>
        <v>General and Admin</v>
      </c>
      <c r="I169" s="43" t="str">
        <f>_xlfn.XLOOKUP($A169,Map!$A:$A,Map!E:E)</f>
        <v>Utilities</v>
      </c>
      <c r="J169" s="43" t="str">
        <f>_xlfn.XLOOKUP($A169,Map!$A:$A,Map!F:F)</f>
        <v>Office equipment maintenance</v>
      </c>
    </row>
    <row r="170" spans="1:10" x14ac:dyDescent="0.25">
      <c r="A170">
        <v>700032</v>
      </c>
      <c r="B170" t="s">
        <v>1054</v>
      </c>
      <c r="C170" s="147">
        <v>0</v>
      </c>
      <c r="D170" s="147">
        <v>96071</v>
      </c>
      <c r="E170" s="147">
        <v>0</v>
      </c>
      <c r="F170" s="147">
        <v>96071</v>
      </c>
      <c r="G170" s="43" t="str">
        <f>_xlfn.XLOOKUP($A170,Map!$A:$A,Map!C:C)</f>
        <v>IS</v>
      </c>
      <c r="H170" s="43" t="str">
        <f>_xlfn.XLOOKUP($A170,Map!$A:$A,Map!D:D)</f>
        <v>General and Admin</v>
      </c>
      <c r="I170" s="43" t="str">
        <f>_xlfn.XLOOKUP($A170,Map!$A:$A,Map!E:E)</f>
        <v>Utilities</v>
      </c>
      <c r="J170" s="43" t="str">
        <f>_xlfn.XLOOKUP($A170,Map!$A:$A,Map!F:F)</f>
        <v>Vehicle maintenance</v>
      </c>
    </row>
    <row r="171" spans="1:10" x14ac:dyDescent="0.25">
      <c r="A171">
        <v>700033</v>
      </c>
      <c r="B171" t="s">
        <v>1055</v>
      </c>
      <c r="C171" s="147">
        <v>0</v>
      </c>
      <c r="D171" s="147">
        <v>27166.5</v>
      </c>
      <c r="E171" s="147">
        <v>0</v>
      </c>
      <c r="F171" s="147">
        <v>27166.5</v>
      </c>
      <c r="G171" s="43" t="str">
        <f>_xlfn.XLOOKUP($A171,Map!$A:$A,Map!C:C)</f>
        <v>IS</v>
      </c>
      <c r="H171" s="43" t="str">
        <f>_xlfn.XLOOKUP($A171,Map!$A:$A,Map!D:D)</f>
        <v>General and Admin</v>
      </c>
      <c r="I171" s="43" t="str">
        <f>_xlfn.XLOOKUP($A171,Map!$A:$A,Map!E:E)</f>
        <v>Utilities</v>
      </c>
      <c r="J171" s="43" t="str">
        <f>_xlfn.XLOOKUP($A171,Map!$A:$A,Map!F:F)</f>
        <v>Fuel and oil</v>
      </c>
    </row>
    <row r="172" spans="1:10" x14ac:dyDescent="0.25">
      <c r="A172">
        <v>700034</v>
      </c>
      <c r="B172" t="s">
        <v>1056</v>
      </c>
      <c r="C172" s="147">
        <v>0</v>
      </c>
      <c r="D172" s="147">
        <v>3138</v>
      </c>
      <c r="E172" s="147">
        <v>0</v>
      </c>
      <c r="F172" s="148">
        <v>3138</v>
      </c>
      <c r="G172" s="43" t="str">
        <f>_xlfn.XLOOKUP($A172,Map!$A:$A,Map!C:C)</f>
        <v>IS</v>
      </c>
      <c r="H172" s="43" t="str">
        <f>_xlfn.XLOOKUP($A172,Map!$A:$A,Map!D:D)</f>
        <v>General and Admin</v>
      </c>
      <c r="I172" s="43" t="str">
        <f>_xlfn.XLOOKUP($A172,Map!$A:$A,Map!E:E)</f>
        <v xml:space="preserve">Back office Support </v>
      </c>
      <c r="J172" s="43" t="str">
        <f>_xlfn.XLOOKUP($A172,Map!$A:$A,Map!F:F)</f>
        <v>Consumables</v>
      </c>
    </row>
    <row r="173" spans="1:10" x14ac:dyDescent="0.25">
      <c r="A173">
        <v>700036</v>
      </c>
      <c r="B173" t="s">
        <v>1058</v>
      </c>
      <c r="C173" s="147">
        <v>0</v>
      </c>
      <c r="D173" s="147">
        <v>49639.040000000001</v>
      </c>
      <c r="E173" s="147">
        <v>0</v>
      </c>
      <c r="F173" s="148">
        <v>49639.040000000001</v>
      </c>
      <c r="G173" s="43" t="str">
        <f>_xlfn.XLOOKUP($A173,Map!$A:$A,Map!C:C)</f>
        <v>IS</v>
      </c>
      <c r="H173" s="43" t="str">
        <f>_xlfn.XLOOKUP($A173,Map!$A:$A,Map!D:D)</f>
        <v>General and Admin</v>
      </c>
      <c r="I173" s="43" t="str">
        <f>_xlfn.XLOOKUP($A173,Map!$A:$A,Map!E:E)</f>
        <v>Utilities</v>
      </c>
      <c r="J173" s="43" t="str">
        <f>_xlfn.XLOOKUP($A173,Map!$A:$A,Map!F:F)</f>
        <v>Vehicle insurance</v>
      </c>
    </row>
    <row r="174" spans="1:10" x14ac:dyDescent="0.25">
      <c r="A174">
        <v>700037</v>
      </c>
      <c r="B174" t="s">
        <v>1059</v>
      </c>
      <c r="C174" s="147">
        <v>0</v>
      </c>
      <c r="D174" s="147">
        <v>10000</v>
      </c>
      <c r="E174" s="147">
        <v>10000</v>
      </c>
      <c r="F174" s="148">
        <v>0</v>
      </c>
      <c r="G174" s="43" t="str">
        <f>_xlfn.XLOOKUP($A174,Map!$A:$A,Map!C:C)</f>
        <v>IS</v>
      </c>
      <c r="H174" s="43" t="str">
        <f>_xlfn.XLOOKUP($A174,Map!$A:$A,Map!D:D)</f>
        <v>Finance cost</v>
      </c>
      <c r="I174" s="43" t="str">
        <f>_xlfn.XLOOKUP($A174,Map!$A:$A,Map!E:E)</f>
        <v>Finance cost</v>
      </c>
      <c r="J174" s="43" t="str">
        <f>_xlfn.XLOOKUP($A174,Map!$A:$A,Map!F:F)</f>
        <v>Lease interest</v>
      </c>
    </row>
    <row r="175" spans="1:10" x14ac:dyDescent="0.25">
      <c r="A175">
        <v>700038</v>
      </c>
      <c r="B175" t="s">
        <v>1060</v>
      </c>
      <c r="C175" s="147">
        <v>0</v>
      </c>
      <c r="D175" s="147">
        <v>310389</v>
      </c>
      <c r="E175" s="147">
        <v>110407</v>
      </c>
      <c r="F175" s="148">
        <v>199982</v>
      </c>
      <c r="G175" s="43" t="str">
        <f>_xlfn.XLOOKUP($A175,Map!$A:$A,Map!C:C)</f>
        <v>IS</v>
      </c>
      <c r="H175" s="43" t="str">
        <f>_xlfn.XLOOKUP($A175,Map!$A:$A,Map!D:D)</f>
        <v>General and Admin</v>
      </c>
      <c r="I175" s="43" t="str">
        <f>_xlfn.XLOOKUP($A175,Map!$A:$A,Map!E:E)</f>
        <v>Business travel</v>
      </c>
      <c r="J175" s="43" t="str">
        <f>_xlfn.XLOOKUP($A175,Map!$A:$A,Map!F:F)</f>
        <v>Bussiness trip expenses</v>
      </c>
    </row>
    <row r="176" spans="1:10" x14ac:dyDescent="0.25">
      <c r="A176">
        <v>700039</v>
      </c>
      <c r="B176" t="s">
        <v>1061</v>
      </c>
      <c r="C176" s="147">
        <v>0</v>
      </c>
      <c r="D176" s="147">
        <v>22033</v>
      </c>
      <c r="E176" s="147">
        <v>0</v>
      </c>
      <c r="F176" s="148">
        <v>22033</v>
      </c>
      <c r="G176" s="43" t="str">
        <f>_xlfn.XLOOKUP($A176,Map!$A:$A,Map!C:C)</f>
        <v>IS</v>
      </c>
      <c r="H176" s="43" t="str">
        <f>_xlfn.XLOOKUP($A176,Map!$A:$A,Map!D:D)</f>
        <v>Selling and Marketing</v>
      </c>
      <c r="I176" s="43" t="str">
        <f>_xlfn.XLOOKUP($A176,Map!$A:$A,Map!E:E)</f>
        <v>Buffet expenses</v>
      </c>
      <c r="J176" s="43" t="str">
        <f>_xlfn.XLOOKUP($A176,Map!$A:$A,Map!F:F)</f>
        <v>Buffet expenses</v>
      </c>
    </row>
    <row r="177" spans="1:10" x14ac:dyDescent="0.25">
      <c r="A177">
        <v>700040</v>
      </c>
      <c r="B177" t="s">
        <v>1062</v>
      </c>
      <c r="C177" s="147">
        <v>0</v>
      </c>
      <c r="D177" s="147">
        <v>24040</v>
      </c>
      <c r="E177" s="147">
        <v>0</v>
      </c>
      <c r="F177" s="150">
        <v>24040</v>
      </c>
      <c r="G177" s="43" t="str">
        <f>_xlfn.XLOOKUP($A177,Map!$A:$A,Map!C:C)</f>
        <v>IS</v>
      </c>
      <c r="H177" s="43" t="str">
        <f>_xlfn.XLOOKUP($A177,Map!$A:$A,Map!D:D)</f>
        <v>General and Admin</v>
      </c>
      <c r="I177" s="43" t="str">
        <f>_xlfn.XLOOKUP($A177,Map!$A:$A,Map!E:E)</f>
        <v>Utilities</v>
      </c>
      <c r="J177" s="43" t="str">
        <f>_xlfn.XLOOKUP($A177,Map!$A:$A,Map!F:F)</f>
        <v xml:space="preserve">Cleaning Expenses </v>
      </c>
    </row>
    <row r="178" spans="1:10" x14ac:dyDescent="0.25">
      <c r="A178">
        <v>700041</v>
      </c>
      <c r="B178" t="s">
        <v>1063</v>
      </c>
      <c r="C178" s="147">
        <v>0</v>
      </c>
      <c r="D178" s="147">
        <v>13367.25</v>
      </c>
      <c r="E178" s="147">
        <v>2165</v>
      </c>
      <c r="F178" s="151">
        <v>11202.25</v>
      </c>
      <c r="G178" s="43" t="str">
        <f>_xlfn.XLOOKUP($A178,Map!$A:$A,Map!C:C)</f>
        <v>IS</v>
      </c>
      <c r="H178" s="43" t="str">
        <f>_xlfn.XLOOKUP($A178,Map!$A:$A,Map!D:D)</f>
        <v>General and Admin</v>
      </c>
      <c r="I178" s="43" t="str">
        <f>_xlfn.XLOOKUP($A178,Map!$A:$A,Map!E:E)</f>
        <v>Salaries and wages</v>
      </c>
      <c r="J178" s="43" t="str">
        <f>_xlfn.XLOOKUP($A178,Map!$A:$A,Map!F:F)</f>
        <v>Recruitment</v>
      </c>
    </row>
    <row r="179" spans="1:10" x14ac:dyDescent="0.25">
      <c r="A179">
        <v>700043</v>
      </c>
      <c r="B179" t="s">
        <v>1065</v>
      </c>
      <c r="C179" s="147">
        <v>0</v>
      </c>
      <c r="D179" s="147">
        <v>848</v>
      </c>
      <c r="E179" s="147">
        <v>0</v>
      </c>
      <c r="F179" s="150">
        <v>848</v>
      </c>
      <c r="G179" s="43" t="str">
        <f>_xlfn.XLOOKUP($A179,Map!$A:$A,Map!C:C)</f>
        <v>IS</v>
      </c>
      <c r="H179" s="43" t="str">
        <f>_xlfn.XLOOKUP($A179,Map!$A:$A,Map!D:D)</f>
        <v>General and Admin</v>
      </c>
      <c r="I179" s="43" t="str">
        <f>_xlfn.XLOOKUP($A179,Map!$A:$A,Map!E:E)</f>
        <v>Govt license and fees (including modon)</v>
      </c>
      <c r="J179" s="43" t="str">
        <f>_xlfn.XLOOKUP($A179,Map!$A:$A,Map!F:F)</f>
        <v>Licenses and fees</v>
      </c>
    </row>
    <row r="180" spans="1:10" x14ac:dyDescent="0.25">
      <c r="A180">
        <v>700044</v>
      </c>
      <c r="B180" t="s">
        <v>1066</v>
      </c>
      <c r="C180" s="147">
        <v>0</v>
      </c>
      <c r="D180" s="147">
        <v>16279</v>
      </c>
      <c r="E180" s="147">
        <v>0</v>
      </c>
      <c r="F180" s="151">
        <v>16279</v>
      </c>
      <c r="G180" s="43" t="str">
        <f>_xlfn.XLOOKUP($A180,Map!$A:$A,Map!C:C)</f>
        <v>IS</v>
      </c>
      <c r="H180" s="43" t="str">
        <f>_xlfn.XLOOKUP($A180,Map!$A:$A,Map!D:D)</f>
        <v>General and Admin</v>
      </c>
      <c r="I180" s="43" t="str">
        <f>_xlfn.XLOOKUP($A180,Map!$A:$A,Map!E:E)</f>
        <v>Govt license and fees (including modon)</v>
      </c>
      <c r="J180" s="43" t="str">
        <f>_xlfn.XLOOKUP($A180,Map!$A:$A,Map!F:F)</f>
        <v>Government fees</v>
      </c>
    </row>
    <row r="181" spans="1:10" x14ac:dyDescent="0.25">
      <c r="A181">
        <v>700045</v>
      </c>
      <c r="B181" t="s">
        <v>1067</v>
      </c>
      <c r="C181" s="147">
        <v>0</v>
      </c>
      <c r="D181" s="147">
        <v>1294438.8659999999</v>
      </c>
      <c r="E181" s="147">
        <v>134884.12400000001</v>
      </c>
      <c r="F181" s="151">
        <v>1159554.7420000001</v>
      </c>
      <c r="G181" s="43" t="str">
        <f>_xlfn.XLOOKUP($A181,Map!$A:$A,Map!C:C)</f>
        <v>IS</v>
      </c>
      <c r="H181" s="43" t="str">
        <f>_xlfn.XLOOKUP($A181,Map!$A:$A,Map!D:D)</f>
        <v>Finance cost</v>
      </c>
      <c r="I181" s="43" t="str">
        <f>_xlfn.XLOOKUP($A181,Map!$A:$A,Map!E:E)</f>
        <v>Finance cost</v>
      </c>
      <c r="J181" s="43" t="str">
        <f>_xlfn.XLOOKUP($A181,Map!$A:$A,Map!F:F)</f>
        <v>Bank charges</v>
      </c>
    </row>
    <row r="182" spans="1:10" x14ac:dyDescent="0.25">
      <c r="A182">
        <v>700048</v>
      </c>
      <c r="B182" t="s">
        <v>1069</v>
      </c>
      <c r="C182" s="147">
        <v>0</v>
      </c>
      <c r="D182" s="147">
        <v>1505563.92</v>
      </c>
      <c r="E182" s="147">
        <v>141692.92000000001</v>
      </c>
      <c r="F182" s="150">
        <v>1363871</v>
      </c>
      <c r="G182" s="43" t="str">
        <f>_xlfn.XLOOKUP($A182,Map!$A:$A,Map!C:C)</f>
        <v>IS</v>
      </c>
      <c r="H182" s="43" t="str">
        <f>_xlfn.XLOOKUP($A182,Map!$A:$A,Map!D:D)</f>
        <v>Zakat</v>
      </c>
      <c r="I182" s="43" t="str">
        <f>_xlfn.XLOOKUP($A182,Map!$A:$A,Map!E:E)</f>
        <v>Zakat expenses</v>
      </c>
      <c r="J182" s="43" t="str">
        <f>_xlfn.XLOOKUP($A182,Map!$A:$A,Map!F:F)</f>
        <v>Zakat expenses</v>
      </c>
    </row>
    <row r="183" spans="1:10" x14ac:dyDescent="0.25">
      <c r="A183">
        <v>700050</v>
      </c>
      <c r="B183" t="s">
        <v>1071</v>
      </c>
      <c r="C183" s="147">
        <v>0</v>
      </c>
      <c r="D183" s="147">
        <v>15012.481</v>
      </c>
      <c r="E183" s="147">
        <v>0</v>
      </c>
      <c r="F183" s="151">
        <v>15012.481</v>
      </c>
      <c r="G183" s="43" t="str">
        <f>_xlfn.XLOOKUP($A183,Map!$A:$A,Map!C:C)</f>
        <v>IS</v>
      </c>
      <c r="H183" s="43" t="str">
        <f>_xlfn.XLOOKUP($A183,Map!$A:$A,Map!D:D)</f>
        <v>Depreciation expenses</v>
      </c>
      <c r="I183" s="43" t="str">
        <f>_xlfn.XLOOKUP($A183,Map!$A:$A,Map!E:E)</f>
        <v>Depreciation expenses</v>
      </c>
      <c r="J183" s="43" t="str">
        <f>_xlfn.XLOOKUP($A183,Map!$A:$A,Map!F:F)</f>
        <v>Depreciation of property, plant and equipment</v>
      </c>
    </row>
    <row r="184" spans="1:10" x14ac:dyDescent="0.25">
      <c r="A184">
        <v>700053</v>
      </c>
      <c r="B184" t="s">
        <v>1074</v>
      </c>
      <c r="C184" s="147">
        <v>0</v>
      </c>
      <c r="D184" s="147">
        <v>0</v>
      </c>
      <c r="E184" s="147">
        <v>0</v>
      </c>
      <c r="F184" s="151">
        <v>0</v>
      </c>
      <c r="G184" s="43" t="str">
        <f>_xlfn.XLOOKUP($A184,Map!$A:$A,Map!C:C)</f>
        <v>IS</v>
      </c>
      <c r="H184" s="43" t="str">
        <f>_xlfn.XLOOKUP($A184,Map!$A:$A,Map!D:D)</f>
        <v>Depreciation expenses</v>
      </c>
      <c r="I184" s="43" t="str">
        <f>_xlfn.XLOOKUP($A184,Map!$A:$A,Map!E:E)</f>
        <v>Depreciation expenses</v>
      </c>
      <c r="J184" s="43" t="str">
        <f>_xlfn.XLOOKUP($A184,Map!$A:$A,Map!F:F)</f>
        <v>Depreciation of property, plant and equipment</v>
      </c>
    </row>
    <row r="185" spans="1:10" x14ac:dyDescent="0.25">
      <c r="A185">
        <v>700054</v>
      </c>
      <c r="B185" t="s">
        <v>1075</v>
      </c>
      <c r="C185" s="147">
        <v>0</v>
      </c>
      <c r="D185" s="147">
        <v>196654.16</v>
      </c>
      <c r="E185" s="147">
        <v>6718.75</v>
      </c>
      <c r="F185" s="151">
        <v>189935.41</v>
      </c>
      <c r="G185" s="43" t="str">
        <f>_xlfn.XLOOKUP($A185,Map!$A:$A,Map!C:C)</f>
        <v>IS</v>
      </c>
      <c r="H185" s="43" t="str">
        <f>_xlfn.XLOOKUP($A185,Map!$A:$A,Map!D:D)</f>
        <v>Depreciation expenses</v>
      </c>
      <c r="I185" s="43" t="str">
        <f>_xlfn.XLOOKUP($A185,Map!$A:$A,Map!E:E)</f>
        <v>Depreciation expenses</v>
      </c>
      <c r="J185" s="43" t="str">
        <f>_xlfn.XLOOKUP($A185,Map!$A:$A,Map!F:F)</f>
        <v>Depreciation of property, plant and equipment</v>
      </c>
    </row>
    <row r="186" spans="1:10" x14ac:dyDescent="0.25">
      <c r="A186">
        <v>700055</v>
      </c>
      <c r="B186" t="s">
        <v>1076</v>
      </c>
      <c r="C186" s="147">
        <v>0</v>
      </c>
      <c r="D186" s="147">
        <v>186798.959</v>
      </c>
      <c r="E186" s="147">
        <v>70.828999999999994</v>
      </c>
      <c r="F186" s="151">
        <v>186728.13</v>
      </c>
      <c r="G186" s="43" t="str">
        <f>_xlfn.XLOOKUP($A186,Map!$A:$A,Map!C:C)</f>
        <v>IS</v>
      </c>
      <c r="H186" s="43" t="str">
        <f>_xlfn.XLOOKUP($A186,Map!$A:$A,Map!D:D)</f>
        <v>Depreciation expenses</v>
      </c>
      <c r="I186" s="43" t="str">
        <f>_xlfn.XLOOKUP($A186,Map!$A:$A,Map!E:E)</f>
        <v>Depreciation expenses</v>
      </c>
      <c r="J186" s="43" t="str">
        <f>_xlfn.XLOOKUP($A186,Map!$A:$A,Map!F:F)</f>
        <v>Depreciation of property, plant and equipment</v>
      </c>
    </row>
    <row r="187" spans="1:10" x14ac:dyDescent="0.25">
      <c r="A187">
        <v>700056</v>
      </c>
      <c r="B187" t="s">
        <v>1077</v>
      </c>
      <c r="C187" s="147">
        <v>0</v>
      </c>
      <c r="D187" s="147">
        <v>0</v>
      </c>
      <c r="E187" s="147">
        <v>0</v>
      </c>
      <c r="F187" s="150">
        <v>0</v>
      </c>
      <c r="G187" s="43" t="str">
        <f>_xlfn.XLOOKUP($A187,Map!$A:$A,Map!C:C)</f>
        <v>IS</v>
      </c>
      <c r="H187" s="43" t="str">
        <f>_xlfn.XLOOKUP($A187,Map!$A:$A,Map!D:D)</f>
        <v>Depreciation expenses</v>
      </c>
      <c r="I187" s="43" t="str">
        <f>_xlfn.XLOOKUP($A187,Map!$A:$A,Map!E:E)</f>
        <v>Depreciation expenses</v>
      </c>
      <c r="J187" s="43" t="str">
        <f>_xlfn.XLOOKUP($A187,Map!$A:$A,Map!F:F)</f>
        <v>Depreciation of property, plant and equipment</v>
      </c>
    </row>
    <row r="188" spans="1:10" x14ac:dyDescent="0.25">
      <c r="A188">
        <v>700057</v>
      </c>
      <c r="B188" t="s">
        <v>1078</v>
      </c>
      <c r="C188" s="147">
        <v>0</v>
      </c>
      <c r="D188" s="147">
        <v>798000.4</v>
      </c>
      <c r="E188" s="147">
        <v>0</v>
      </c>
      <c r="F188" s="151">
        <v>798000.4</v>
      </c>
      <c r="G188" s="43" t="str">
        <f>_xlfn.XLOOKUP($A188,Map!$A:$A,Map!C:C)</f>
        <v>IS</v>
      </c>
      <c r="H188" s="43" t="str">
        <f>_xlfn.XLOOKUP($A188,Map!$A:$A,Map!D:D)</f>
        <v>Cost of sales</v>
      </c>
      <c r="I188" s="43" t="str">
        <f>_xlfn.XLOOKUP($A188,Map!$A:$A,Map!E:E)</f>
        <v>Overhead - Rent</v>
      </c>
      <c r="J188" s="43" t="str">
        <f>_xlfn.XLOOKUP($A188,Map!$A:$A,Map!F:F)</f>
        <v>Warehouse Rent ( Khamis, Rioyadh, Dammam)</v>
      </c>
    </row>
    <row r="189" spans="1:10" x14ac:dyDescent="0.25">
      <c r="A189">
        <v>700058</v>
      </c>
      <c r="B189" t="s">
        <v>1079</v>
      </c>
      <c r="C189" s="147">
        <v>0</v>
      </c>
      <c r="D189" s="147">
        <v>67900</v>
      </c>
      <c r="E189" s="147">
        <v>345</v>
      </c>
      <c r="F189" s="151">
        <v>67555</v>
      </c>
      <c r="G189" s="43" t="str">
        <f>_xlfn.XLOOKUP($A189,Map!$A:$A,Map!C:C)</f>
        <v>IS</v>
      </c>
      <c r="H189" s="43" t="str">
        <f>_xlfn.XLOOKUP($A189,Map!$A:$A,Map!D:D)</f>
        <v>Selling and Marketing</v>
      </c>
      <c r="I189" s="43" t="str">
        <f>_xlfn.XLOOKUP($A189,Map!$A:$A,Map!E:E)</f>
        <v>Advertising and promotion expenses</v>
      </c>
      <c r="J189" s="43" t="str">
        <f>_xlfn.XLOOKUP($A189,Map!$A:$A,Map!F:F)</f>
        <v>Advertising and promotion expenses</v>
      </c>
    </row>
    <row r="190" spans="1:10" x14ac:dyDescent="0.25">
      <c r="A190">
        <v>700059</v>
      </c>
      <c r="B190" t="s">
        <v>1080</v>
      </c>
      <c r="C190" s="147">
        <v>0</v>
      </c>
      <c r="D190" s="147">
        <v>690</v>
      </c>
      <c r="E190" s="147">
        <v>690</v>
      </c>
      <c r="F190" s="151">
        <v>0</v>
      </c>
      <c r="G190" s="43" t="str">
        <f>_xlfn.XLOOKUP($A190,Map!$A:$A,Map!C:C)</f>
        <v>IS</v>
      </c>
      <c r="H190" s="43" t="str">
        <f>_xlfn.XLOOKUP($A190,Map!$A:$A,Map!D:D)</f>
        <v>Selling and Marketing</v>
      </c>
      <c r="I190" s="43" t="str">
        <f>_xlfn.XLOOKUP($A190,Map!$A:$A,Map!E:E)</f>
        <v>Exhibitions</v>
      </c>
      <c r="J190" s="43" t="str">
        <f>_xlfn.XLOOKUP($A190,Map!$A:$A,Map!F:F)</f>
        <v>Exhibitions</v>
      </c>
    </row>
    <row r="191" spans="1:10" x14ac:dyDescent="0.25">
      <c r="A191">
        <v>700060</v>
      </c>
      <c r="B191" t="s">
        <v>1081</v>
      </c>
      <c r="C191" s="147">
        <v>0</v>
      </c>
      <c r="D191" s="147">
        <v>2736184.3369999998</v>
      </c>
      <c r="E191" s="147">
        <v>1450</v>
      </c>
      <c r="F191" s="151">
        <v>2734734.3369999998</v>
      </c>
      <c r="G191" s="43" t="str">
        <f>_xlfn.XLOOKUP($A191,Map!$A:$A,Map!C:C)</f>
        <v>IS</v>
      </c>
      <c r="H191" s="43" t="str">
        <f>_xlfn.XLOOKUP($A191,Map!$A:$A,Map!D:D)</f>
        <v>Selling and Marketing</v>
      </c>
      <c r="I191" s="43" t="str">
        <f>_xlfn.XLOOKUP($A191,Map!$A:$A,Map!E:E)</f>
        <v>Freight and shipping expenses (S&amp;D)</v>
      </c>
      <c r="J191" s="43" t="str">
        <f>_xlfn.XLOOKUP($A191,Map!$A:$A,Map!F:F)</f>
        <v>Outbound freight / shipping — reclassified below gross profit under IFRS</v>
      </c>
    </row>
    <row r="192" spans="1:10" x14ac:dyDescent="0.25">
      <c r="A192">
        <v>700061</v>
      </c>
      <c r="B192" t="s">
        <v>1082</v>
      </c>
      <c r="C192" s="147">
        <v>0</v>
      </c>
      <c r="D192" s="147">
        <v>212760.23</v>
      </c>
      <c r="E192" s="147">
        <v>1285</v>
      </c>
      <c r="F192" s="150">
        <v>211475.23</v>
      </c>
      <c r="G192" s="43" t="str">
        <f>_xlfn.XLOOKUP($A192,Map!$A:$A,Map!C:C)</f>
        <v>IS</v>
      </c>
      <c r="H192" s="43" t="str">
        <f>_xlfn.XLOOKUP($A192,Map!$A:$A,Map!D:D)</f>
        <v>Selling and Marketing</v>
      </c>
      <c r="I192" s="43" t="str">
        <f>_xlfn.XLOOKUP($A192,Map!$A:$A,Map!E:E)</f>
        <v>Commission expenses</v>
      </c>
      <c r="J192" s="43" t="str">
        <f>_xlfn.XLOOKUP($A192,Map!$A:$A,Map!F:F)</f>
        <v>Commission expenses</v>
      </c>
    </row>
    <row r="193" spans="1:10" x14ac:dyDescent="0.25">
      <c r="A193">
        <v>700062</v>
      </c>
      <c r="B193" t="s">
        <v>1083</v>
      </c>
      <c r="C193" s="147">
        <v>0</v>
      </c>
      <c r="D193" s="147">
        <v>500792.5</v>
      </c>
      <c r="E193" s="147">
        <v>366874.68099999998</v>
      </c>
      <c r="F193" s="150">
        <v>133917.81899999999</v>
      </c>
      <c r="G193" s="43" t="str">
        <f>_xlfn.XLOOKUP($A193,Map!$A:$A,Map!C:C)</f>
        <v>IS</v>
      </c>
      <c r="H193" s="43" t="str">
        <f>_xlfn.XLOOKUP($A193,Map!$A:$A,Map!D:D)</f>
        <v>Revised provision on Bad Debts</v>
      </c>
      <c r="I193" s="43" t="str">
        <f>_xlfn.XLOOKUP($A193,Map!$A:$A,Map!E:E)</f>
        <v>Bad debts expense</v>
      </c>
      <c r="J193" s="43" t="str">
        <f>_xlfn.XLOOKUP($A193,Map!$A:$A,Map!F:F)</f>
        <v>Bad debts expense</v>
      </c>
    </row>
    <row r="194" spans="1:10" x14ac:dyDescent="0.25">
      <c r="A194">
        <v>700063</v>
      </c>
      <c r="B194" t="s">
        <v>1084</v>
      </c>
      <c r="C194" s="147">
        <v>0</v>
      </c>
      <c r="D194" s="147">
        <v>494816.91</v>
      </c>
      <c r="E194" s="147">
        <v>53793.599999999999</v>
      </c>
      <c r="F194" s="150">
        <v>441023.31</v>
      </c>
      <c r="G194" s="43" t="str">
        <f>_xlfn.XLOOKUP($A194,Map!$A:$A,Map!C:C)</f>
        <v>IS</v>
      </c>
      <c r="H194" s="43" t="str">
        <f>_xlfn.XLOOKUP($A194,Map!$A:$A,Map!D:D)</f>
        <v>General and Admin</v>
      </c>
      <c r="I194" s="43" t="str">
        <f>_xlfn.XLOOKUP($A194,Map!$A:$A,Map!E:E)</f>
        <v>Salaries and wages</v>
      </c>
      <c r="J194" s="43" t="str">
        <f>_xlfn.XLOOKUP($A194,Map!$A:$A,Map!F:F)</f>
        <v>GOSI</v>
      </c>
    </row>
    <row r="196" spans="1:10" x14ac:dyDescent="0.25">
      <c r="C196" s="152">
        <f>SUBTOTAL(9,C5:C195)</f>
        <v>-2.9802322387695313E-8</v>
      </c>
      <c r="D196" s="152">
        <f>SUBTOTAL(9,D5:D195)</f>
        <v>9918285083.522995</v>
      </c>
      <c r="E196" s="152">
        <f>SUBTOTAL(9,E5:E195)</f>
        <v>9918285083.5229988</v>
      </c>
      <c r="F196" s="152">
        <f>SUBTOTAL(9,F5:F195)</f>
        <v>-1.0419171303510666E-8</v>
      </c>
      <c r="G196" s="153"/>
    </row>
    <row r="197" spans="1:10" x14ac:dyDescent="0.25">
      <c r="C197" s="147"/>
      <c r="D197" s="147"/>
      <c r="E197" s="147"/>
    </row>
    <row r="198" spans="1:10" x14ac:dyDescent="0.25">
      <c r="A198" s="85" t="s">
        <v>1341</v>
      </c>
    </row>
    <row r="199" spans="1:10" x14ac:dyDescent="0.25">
      <c r="A199">
        <v>600031</v>
      </c>
      <c r="B199" t="s">
        <v>1346</v>
      </c>
      <c r="D199">
        <v>43317.006000000001</v>
      </c>
      <c r="E199">
        <v>0</v>
      </c>
      <c r="F199" s="147">
        <f t="shared" ref="F199:F230" si="0">D199-E199</f>
        <v>43317.006000000001</v>
      </c>
      <c r="G199" s="43" t="str">
        <f>_xlfn.XLOOKUP($A199,Map!$A:$A,Map!C:C)</f>
        <v>IS</v>
      </c>
      <c r="H199" s="43" t="str">
        <f>_xlfn.XLOOKUP($A199,Map!$A:$A,Map!D:D)</f>
        <v>Depreciation expenses</v>
      </c>
      <c r="I199" s="43" t="str">
        <f>_xlfn.XLOOKUP($A199,Map!$A:$A,Map!E:E)</f>
        <v>Depreciation expenses</v>
      </c>
      <c r="J199" s="43" t="str">
        <f>_xlfn.XLOOKUP($A199,Map!$A:$A,Map!F:F)</f>
        <v>Depreciation of property, plant and equipment</v>
      </c>
    </row>
    <row r="200" spans="1:10" x14ac:dyDescent="0.25">
      <c r="A200">
        <v>600030</v>
      </c>
      <c r="B200" t="s">
        <v>1346</v>
      </c>
      <c r="D200">
        <v>12131.503000000001</v>
      </c>
      <c r="E200">
        <v>0</v>
      </c>
      <c r="F200" s="147">
        <f t="shared" si="0"/>
        <v>12131.503000000001</v>
      </c>
      <c r="G200" s="43" t="str">
        <f>_xlfn.XLOOKUP($A200,Map!$A:$A,Map!C:C)</f>
        <v>IS</v>
      </c>
      <c r="H200" s="43" t="str">
        <f>_xlfn.XLOOKUP($A200,Map!$A:$A,Map!D:D)</f>
        <v>Depreciation expenses</v>
      </c>
      <c r="I200" s="43" t="str">
        <f>_xlfn.XLOOKUP($A200,Map!$A:$A,Map!E:E)</f>
        <v>Depreciation expenses</v>
      </c>
      <c r="J200" s="43" t="str">
        <f>_xlfn.XLOOKUP($A200,Map!$A:$A,Map!F:F)</f>
        <v>Depreciation of property, plant and equipment</v>
      </c>
    </row>
    <row r="201" spans="1:10" x14ac:dyDescent="0.25">
      <c r="A201">
        <v>600029</v>
      </c>
      <c r="B201" t="s">
        <v>1346</v>
      </c>
      <c r="D201">
        <v>3165403.4010000001</v>
      </c>
      <c r="E201">
        <v>0</v>
      </c>
      <c r="F201" s="147">
        <f t="shared" si="0"/>
        <v>3165403.4010000001</v>
      </c>
      <c r="G201" s="43" t="str">
        <f>_xlfn.XLOOKUP($A201,Map!$A:$A,Map!C:C)</f>
        <v>IS</v>
      </c>
      <c r="H201" s="43" t="str">
        <f>_xlfn.XLOOKUP($A201,Map!$A:$A,Map!D:D)</f>
        <v>Cost of sales</v>
      </c>
      <c r="I201" s="43" t="str">
        <f>_xlfn.XLOOKUP($A201,Map!$A:$A,Map!E:E)</f>
        <v>Depreciation - Machines</v>
      </c>
      <c r="J201" s="43" t="str">
        <f>_xlfn.XLOOKUP($A201,Map!$A:$A,Map!F:F)</f>
        <v>Depreciation of property, plant and equipment</v>
      </c>
    </row>
    <row r="202" spans="1:10" x14ac:dyDescent="0.25">
      <c r="A202">
        <v>600028</v>
      </c>
      <c r="B202" t="s">
        <v>1346</v>
      </c>
      <c r="D202">
        <v>37601</v>
      </c>
      <c r="E202">
        <v>0</v>
      </c>
      <c r="F202" s="147">
        <f t="shared" si="0"/>
        <v>37601</v>
      </c>
      <c r="G202" s="43" t="str">
        <f>_xlfn.XLOOKUP($A202,Map!$A:$A,Map!C:C)</f>
        <v>IS</v>
      </c>
      <c r="H202" s="43" t="str">
        <f>_xlfn.XLOOKUP($A202,Map!$A:$A,Map!D:D)</f>
        <v>Cost of sales</v>
      </c>
      <c r="I202" s="43" t="str">
        <f>_xlfn.XLOOKUP($A202,Map!$A:$A,Map!E:E)</f>
        <v>Overhead - Consumables &amp; SP</v>
      </c>
      <c r="J202" s="43" t="str">
        <f>_xlfn.XLOOKUP($A202,Map!$A:$A,Map!F:F)</f>
        <v xml:space="preserve">Education &amp; Furniture Allowances </v>
      </c>
    </row>
    <row r="203" spans="1:10" x14ac:dyDescent="0.25">
      <c r="A203">
        <v>600027</v>
      </c>
      <c r="B203" t="s">
        <v>1346</v>
      </c>
      <c r="D203">
        <v>606615</v>
      </c>
      <c r="E203">
        <v>0</v>
      </c>
      <c r="F203" s="147">
        <f t="shared" si="0"/>
        <v>606615</v>
      </c>
      <c r="G203" s="43" t="str">
        <f>_xlfn.XLOOKUP($A203,Map!$A:$A,Map!C:C)</f>
        <v>IS</v>
      </c>
      <c r="H203" s="43" t="str">
        <f>_xlfn.XLOOKUP($A203,Map!$A:$A,Map!D:D)</f>
        <v>Cost of sales</v>
      </c>
      <c r="I203" s="43" t="str">
        <f>_xlfn.XLOOKUP($A203,Map!$A:$A,Map!E:E)</f>
        <v>Overhead - Rent</v>
      </c>
      <c r="J203" s="43" t="str">
        <f>_xlfn.XLOOKUP($A203,Map!$A:$A,Map!F:F)</f>
        <v>Production hall rental</v>
      </c>
    </row>
    <row r="204" spans="1:10" x14ac:dyDescent="0.25">
      <c r="A204">
        <v>600024</v>
      </c>
      <c r="B204" t="s">
        <v>1346</v>
      </c>
      <c r="D204">
        <v>81785</v>
      </c>
      <c r="E204">
        <v>0</v>
      </c>
      <c r="F204" s="147">
        <f t="shared" si="0"/>
        <v>81785</v>
      </c>
      <c r="G204" s="43" t="str">
        <f>_xlfn.XLOOKUP($A204,Map!$A:$A,Map!C:C)</f>
        <v>IS</v>
      </c>
      <c r="H204" s="43" t="str">
        <f>_xlfn.XLOOKUP($A204,Map!$A:$A,Map!D:D)</f>
        <v>Cost of sales</v>
      </c>
      <c r="I204" s="43" t="str">
        <f>_xlfn.XLOOKUP($A204,Map!$A:$A,Map!E:E)</f>
        <v>Overhead - Rent</v>
      </c>
      <c r="J204" s="43" t="str">
        <f>_xlfn.XLOOKUP($A204,Map!$A:$A,Map!F:F)</f>
        <v>Pump rental expenses</v>
      </c>
    </row>
    <row r="205" spans="1:10" x14ac:dyDescent="0.25">
      <c r="A205">
        <v>600024</v>
      </c>
      <c r="B205" t="s">
        <v>1346</v>
      </c>
      <c r="D205">
        <v>29340</v>
      </c>
      <c r="E205">
        <v>0</v>
      </c>
      <c r="F205" s="147">
        <f t="shared" si="0"/>
        <v>29340</v>
      </c>
      <c r="G205" s="43" t="str">
        <f>_xlfn.XLOOKUP($A205,Map!$A:$A,Map!C:C)</f>
        <v>IS</v>
      </c>
      <c r="H205" s="43" t="str">
        <f>_xlfn.XLOOKUP($A205,Map!$A:$A,Map!D:D)</f>
        <v>Cost of sales</v>
      </c>
      <c r="I205" s="43" t="str">
        <f>_xlfn.XLOOKUP($A205,Map!$A:$A,Map!E:E)</f>
        <v>Overhead - Rent</v>
      </c>
      <c r="J205" s="43" t="str">
        <f>_xlfn.XLOOKUP($A205,Map!$A:$A,Map!F:F)</f>
        <v>Pump rental expenses</v>
      </c>
    </row>
    <row r="206" spans="1:10" x14ac:dyDescent="0.25">
      <c r="A206">
        <v>600023</v>
      </c>
      <c r="B206" t="s">
        <v>1346</v>
      </c>
      <c r="D206">
        <v>3377</v>
      </c>
      <c r="E206">
        <v>0</v>
      </c>
      <c r="F206" s="147">
        <f t="shared" si="0"/>
        <v>3377</v>
      </c>
      <c r="G206" s="43" t="str">
        <f>_xlfn.XLOOKUP($A206,Map!$A:$A,Map!C:C)</f>
        <v>IS</v>
      </c>
      <c r="H206" s="43" t="str">
        <f>_xlfn.XLOOKUP($A206,Map!$A:$A,Map!D:D)</f>
        <v>Cost of sales</v>
      </c>
      <c r="I206" s="43" t="str">
        <f>_xlfn.XLOOKUP($A206,Map!$A:$A,Map!E:E)</f>
        <v>Overhead - R&amp;M</v>
      </c>
      <c r="J206" s="43" t="str">
        <f>_xlfn.XLOOKUP($A206,Map!$A:$A,Map!F:F)</f>
        <v>Office equipment maintenance</v>
      </c>
    </row>
    <row r="207" spans="1:10" x14ac:dyDescent="0.25">
      <c r="A207">
        <v>600022</v>
      </c>
      <c r="B207" t="s">
        <v>1346</v>
      </c>
      <c r="D207">
        <v>700</v>
      </c>
      <c r="E207">
        <v>0</v>
      </c>
      <c r="F207" s="147">
        <f t="shared" si="0"/>
        <v>700</v>
      </c>
      <c r="G207" s="43" t="str">
        <f>_xlfn.XLOOKUP($A207,Map!$A:$A,Map!C:C)</f>
        <v>IS</v>
      </c>
      <c r="H207" s="43" t="str">
        <f>_xlfn.XLOOKUP($A207,Map!$A:$A,Map!D:D)</f>
        <v>Cost of sales</v>
      </c>
      <c r="I207" s="43" t="str">
        <f>_xlfn.XLOOKUP($A207,Map!$A:$A,Map!E:E)</f>
        <v>Overhead - R&amp;M</v>
      </c>
      <c r="J207" s="43" t="str">
        <f>_xlfn.XLOOKUP($A207,Map!$A:$A,Map!F:F)</f>
        <v>Building maintenance</v>
      </c>
    </row>
    <row r="208" spans="1:10" x14ac:dyDescent="0.25">
      <c r="A208">
        <v>600020</v>
      </c>
      <c r="B208" t="s">
        <v>1346</v>
      </c>
      <c r="D208">
        <v>134173.00200000001</v>
      </c>
      <c r="E208">
        <v>0</v>
      </c>
      <c r="F208" s="147">
        <f t="shared" si="0"/>
        <v>134173.00200000001</v>
      </c>
      <c r="G208" s="43" t="str">
        <f>_xlfn.XLOOKUP($A208,Map!$A:$A,Map!C:C)</f>
        <v>IS</v>
      </c>
      <c r="H208" s="43" t="str">
        <f>_xlfn.XLOOKUP($A208,Map!$A:$A,Map!D:D)</f>
        <v>Cost of sales</v>
      </c>
      <c r="I208" s="43" t="str">
        <f>_xlfn.XLOOKUP($A208,Map!$A:$A,Map!E:E)</f>
        <v>Overhead - R&amp;M</v>
      </c>
      <c r="J208" s="43" t="str">
        <f>_xlfn.XLOOKUP($A208,Map!$A:$A,Map!F:F)</f>
        <v>Machine and equipment</v>
      </c>
    </row>
    <row r="209" spans="1:10" x14ac:dyDescent="0.25">
      <c r="A209">
        <v>600019</v>
      </c>
      <c r="B209" t="s">
        <v>1346</v>
      </c>
      <c r="D209">
        <v>58315.35</v>
      </c>
      <c r="E209">
        <v>0</v>
      </c>
      <c r="F209" s="147">
        <f t="shared" si="0"/>
        <v>58315.35</v>
      </c>
      <c r="G209" s="43" t="str">
        <f>_xlfn.XLOOKUP($A209,Map!$A:$A,Map!C:C)</f>
        <v>IS</v>
      </c>
      <c r="H209" s="43" t="str">
        <f>_xlfn.XLOOKUP($A209,Map!$A:$A,Map!D:D)</f>
        <v>Cost of sales</v>
      </c>
      <c r="I209" s="43" t="str">
        <f>_xlfn.XLOOKUP($A209,Map!$A:$A,Map!E:E)</f>
        <v>Overhead - Utility</v>
      </c>
      <c r="J209" s="43" t="str">
        <f>_xlfn.XLOOKUP($A209,Map!$A:$A,Map!F:F)</f>
        <v>Fuel and oil</v>
      </c>
    </row>
    <row r="210" spans="1:10" x14ac:dyDescent="0.25">
      <c r="A210">
        <v>600018</v>
      </c>
      <c r="B210" t="s">
        <v>1346</v>
      </c>
      <c r="D210">
        <v>68770</v>
      </c>
      <c r="E210">
        <v>0</v>
      </c>
      <c r="F210" s="147">
        <f t="shared" si="0"/>
        <v>68770</v>
      </c>
      <c r="G210" s="43" t="str">
        <f>_xlfn.XLOOKUP($A210,Map!$A:$A,Map!C:C)</f>
        <v>IS</v>
      </c>
      <c r="H210" s="43" t="str">
        <f>_xlfn.XLOOKUP($A210,Map!$A:$A,Map!D:D)</f>
        <v>Cost of sales</v>
      </c>
      <c r="I210" s="43" t="str">
        <f>_xlfn.XLOOKUP($A210,Map!$A:$A,Map!E:E)</f>
        <v>Overhead - Utility</v>
      </c>
      <c r="J210" s="43" t="str">
        <f>_xlfn.XLOOKUP($A210,Map!$A:$A,Map!F:F)</f>
        <v>Water expenses</v>
      </c>
    </row>
    <row r="211" spans="1:10" x14ac:dyDescent="0.25">
      <c r="A211">
        <v>600017</v>
      </c>
      <c r="B211" t="s">
        <v>1346</v>
      </c>
      <c r="D211">
        <v>1763155.58</v>
      </c>
      <c r="E211">
        <v>0</v>
      </c>
      <c r="F211" s="147">
        <f t="shared" si="0"/>
        <v>1763155.58</v>
      </c>
      <c r="G211" s="43" t="str">
        <f>_xlfn.XLOOKUP($A211,Map!$A:$A,Map!C:C)</f>
        <v>IS</v>
      </c>
      <c r="H211" s="43" t="str">
        <f>_xlfn.XLOOKUP($A211,Map!$A:$A,Map!D:D)</f>
        <v>Cost of sales</v>
      </c>
      <c r="I211" s="43" t="str">
        <f>_xlfn.XLOOKUP($A211,Map!$A:$A,Map!E:E)</f>
        <v>Overhead - Utility</v>
      </c>
      <c r="J211" s="43" t="str">
        <f>_xlfn.XLOOKUP($A211,Map!$A:$A,Map!F:F)</f>
        <v>Electricity expenses</v>
      </c>
    </row>
    <row r="212" spans="1:10" x14ac:dyDescent="0.25">
      <c r="A212">
        <v>600016</v>
      </c>
      <c r="B212" t="s">
        <v>1346</v>
      </c>
      <c r="D212">
        <v>611595.16500000004</v>
      </c>
      <c r="E212">
        <v>0</v>
      </c>
      <c r="F212" s="147">
        <f t="shared" si="0"/>
        <v>611595.16500000004</v>
      </c>
      <c r="G212" s="43" t="str">
        <f>_xlfn.XLOOKUP($A212,Map!$A:$A,Map!C:C)</f>
        <v>IS</v>
      </c>
      <c r="H212" s="43" t="str">
        <f>_xlfn.XLOOKUP($A212,Map!$A:$A,Map!D:D)</f>
        <v>Cost of sales</v>
      </c>
      <c r="I212" s="43" t="str">
        <f>_xlfn.XLOOKUP($A212,Map!$A:$A,Map!E:E)</f>
        <v>Overhead - Consumables &amp; SP</v>
      </c>
      <c r="J212" s="43" t="str">
        <f>_xlfn.XLOOKUP($A212,Map!$A:$A,Map!F:F)</f>
        <v>Tools</v>
      </c>
    </row>
    <row r="213" spans="1:10" x14ac:dyDescent="0.25">
      <c r="A213">
        <v>600016</v>
      </c>
      <c r="B213" t="s">
        <v>1346</v>
      </c>
      <c r="D213">
        <v>129325.583</v>
      </c>
      <c r="E213">
        <v>0</v>
      </c>
      <c r="F213" s="147">
        <f t="shared" si="0"/>
        <v>129325.583</v>
      </c>
      <c r="G213" s="43" t="str">
        <f>_xlfn.XLOOKUP($A213,Map!$A:$A,Map!C:C)</f>
        <v>IS</v>
      </c>
      <c r="H213" s="43" t="str">
        <f>_xlfn.XLOOKUP($A213,Map!$A:$A,Map!D:D)</f>
        <v>Cost of sales</v>
      </c>
      <c r="I213" s="43" t="str">
        <f>_xlfn.XLOOKUP($A213,Map!$A:$A,Map!E:E)</f>
        <v>Overhead - Consumables &amp; SP</v>
      </c>
      <c r="J213" s="43" t="str">
        <f>_xlfn.XLOOKUP($A213,Map!$A:$A,Map!F:F)</f>
        <v>Tools</v>
      </c>
    </row>
    <row r="214" spans="1:10" x14ac:dyDescent="0.25">
      <c r="A214">
        <v>600016</v>
      </c>
      <c r="B214" t="s">
        <v>1346</v>
      </c>
      <c r="D214">
        <v>201686.47</v>
      </c>
      <c r="E214">
        <v>0</v>
      </c>
      <c r="F214" s="147">
        <f t="shared" si="0"/>
        <v>201686.47</v>
      </c>
      <c r="G214" s="43" t="str">
        <f>_xlfn.XLOOKUP($A214,Map!$A:$A,Map!C:C)</f>
        <v>IS</v>
      </c>
      <c r="H214" s="43" t="str">
        <f>_xlfn.XLOOKUP($A214,Map!$A:$A,Map!D:D)</f>
        <v>Cost of sales</v>
      </c>
      <c r="I214" s="43" t="str">
        <f>_xlfn.XLOOKUP($A214,Map!$A:$A,Map!E:E)</f>
        <v>Overhead - Consumables &amp; SP</v>
      </c>
      <c r="J214" s="43" t="str">
        <f>_xlfn.XLOOKUP($A214,Map!$A:$A,Map!F:F)</f>
        <v>Tools</v>
      </c>
    </row>
    <row r="215" spans="1:10" x14ac:dyDescent="0.25">
      <c r="A215">
        <v>600016</v>
      </c>
      <c r="B215" t="s">
        <v>1346</v>
      </c>
      <c r="D215">
        <v>1334241.682</v>
      </c>
      <c r="E215">
        <v>0</v>
      </c>
      <c r="F215" s="147">
        <f t="shared" si="0"/>
        <v>1334241.682</v>
      </c>
      <c r="G215" s="43" t="str">
        <f>_xlfn.XLOOKUP($A215,Map!$A:$A,Map!C:C)</f>
        <v>IS</v>
      </c>
      <c r="H215" s="43" t="str">
        <f>_xlfn.XLOOKUP($A215,Map!$A:$A,Map!D:D)</f>
        <v>Cost of sales</v>
      </c>
      <c r="I215" s="43" t="str">
        <f>_xlfn.XLOOKUP($A215,Map!$A:$A,Map!E:E)</f>
        <v>Overhead - Consumables &amp; SP</v>
      </c>
      <c r="J215" s="43" t="str">
        <f>_xlfn.XLOOKUP($A215,Map!$A:$A,Map!F:F)</f>
        <v>Tools</v>
      </c>
    </row>
    <row r="216" spans="1:10" x14ac:dyDescent="0.25">
      <c r="A216">
        <v>600016</v>
      </c>
      <c r="B216" t="s">
        <v>1346</v>
      </c>
      <c r="D216">
        <v>2980</v>
      </c>
      <c r="E216">
        <v>0</v>
      </c>
      <c r="F216" s="147">
        <f t="shared" si="0"/>
        <v>2980</v>
      </c>
      <c r="G216" s="43" t="str">
        <f>_xlfn.XLOOKUP($A216,Map!$A:$A,Map!C:C)</f>
        <v>IS</v>
      </c>
      <c r="H216" s="43" t="str">
        <f>_xlfn.XLOOKUP($A216,Map!$A:$A,Map!D:D)</f>
        <v>Cost of sales</v>
      </c>
      <c r="I216" s="43" t="str">
        <f>_xlfn.XLOOKUP($A216,Map!$A:$A,Map!E:E)</f>
        <v>Overhead - Consumables &amp; SP</v>
      </c>
      <c r="J216" s="43" t="str">
        <f>_xlfn.XLOOKUP($A216,Map!$A:$A,Map!F:F)</f>
        <v>Tools</v>
      </c>
    </row>
    <row r="217" spans="1:10" x14ac:dyDescent="0.25">
      <c r="A217">
        <v>600015</v>
      </c>
      <c r="B217" t="s">
        <v>1346</v>
      </c>
      <c r="D217">
        <v>48196.184999999998</v>
      </c>
      <c r="E217">
        <v>0</v>
      </c>
      <c r="F217" s="147">
        <f t="shared" si="0"/>
        <v>48196.184999999998</v>
      </c>
      <c r="G217" s="43" t="str">
        <f>_xlfn.XLOOKUP($A217,Map!$A:$A,Map!C:C)</f>
        <v>IS</v>
      </c>
      <c r="H217" s="43" t="str">
        <f>_xlfn.XLOOKUP($A217,Map!$A:$A,Map!D:D)</f>
        <v>Cost of sales</v>
      </c>
      <c r="I217" s="43" t="str">
        <f>_xlfn.XLOOKUP($A217,Map!$A:$A,Map!E:E)</f>
        <v>Overhead - Consumables &amp; SP</v>
      </c>
      <c r="J217" s="43" t="str">
        <f>_xlfn.XLOOKUP($A217,Map!$A:$A,Map!F:F)</f>
        <v>Consumables</v>
      </c>
    </row>
    <row r="218" spans="1:10" x14ac:dyDescent="0.25">
      <c r="A218">
        <v>600014</v>
      </c>
      <c r="B218" t="s">
        <v>1346</v>
      </c>
      <c r="D218">
        <v>1692707.2069999999</v>
      </c>
      <c r="E218">
        <v>0</v>
      </c>
      <c r="F218" s="147">
        <f t="shared" si="0"/>
        <v>1692707.2069999999</v>
      </c>
      <c r="G218" s="43" t="str">
        <f>_xlfn.XLOOKUP($A218,Map!$A:$A,Map!C:C)</f>
        <v>IS</v>
      </c>
      <c r="H218" s="43" t="str">
        <f>_xlfn.XLOOKUP($A218,Map!$A:$A,Map!D:D)</f>
        <v>Cost of sales</v>
      </c>
      <c r="I218" s="43" t="str">
        <f>_xlfn.XLOOKUP($A218,Map!$A:$A,Map!E:E)</f>
        <v>Overhead - Consumables &amp; SP</v>
      </c>
      <c r="J218" s="43" t="str">
        <f>_xlfn.XLOOKUP($A218,Map!$A:$A,Map!F:F)</f>
        <v>Consumables</v>
      </c>
    </row>
    <row r="219" spans="1:10" x14ac:dyDescent="0.25">
      <c r="A219">
        <v>600014</v>
      </c>
      <c r="B219" t="s">
        <v>1346</v>
      </c>
      <c r="D219">
        <v>5460</v>
      </c>
      <c r="E219">
        <v>0</v>
      </c>
      <c r="F219" s="147">
        <f t="shared" si="0"/>
        <v>5460</v>
      </c>
      <c r="G219" s="43" t="str">
        <f>_xlfn.XLOOKUP($A219,Map!$A:$A,Map!C:C)</f>
        <v>IS</v>
      </c>
      <c r="H219" s="43" t="str">
        <f>_xlfn.XLOOKUP($A219,Map!$A:$A,Map!D:D)</f>
        <v>Cost of sales</v>
      </c>
      <c r="I219" s="43" t="str">
        <f>_xlfn.XLOOKUP($A219,Map!$A:$A,Map!E:E)</f>
        <v>Overhead - Consumables &amp; SP</v>
      </c>
      <c r="J219" s="43" t="str">
        <f>_xlfn.XLOOKUP($A219,Map!$A:$A,Map!F:F)</f>
        <v>Consumables</v>
      </c>
    </row>
    <row r="220" spans="1:10" x14ac:dyDescent="0.25">
      <c r="A220">
        <v>600013</v>
      </c>
      <c r="B220" t="s">
        <v>1346</v>
      </c>
      <c r="D220">
        <v>150</v>
      </c>
      <c r="E220">
        <v>0</v>
      </c>
      <c r="F220" s="147">
        <f t="shared" si="0"/>
        <v>150</v>
      </c>
      <c r="G220" s="43" t="str">
        <f>_xlfn.XLOOKUP($A220,Map!$A:$A,Map!C:C)</f>
        <v>IS</v>
      </c>
      <c r="H220" s="43" t="str">
        <f>_xlfn.XLOOKUP($A220,Map!$A:$A,Map!D:D)</f>
        <v>Cost of sales</v>
      </c>
      <c r="I220" s="43" t="str">
        <f>_xlfn.XLOOKUP($A220,Map!$A:$A,Map!E:E)</f>
        <v>Overhead - Labor Cost</v>
      </c>
      <c r="J220" s="43" t="str">
        <f>_xlfn.XLOOKUP($A220,Map!$A:$A,Map!F:F)</f>
        <v>Telephone allowance</v>
      </c>
    </row>
    <row r="221" spans="1:10" x14ac:dyDescent="0.25">
      <c r="A221">
        <v>600011</v>
      </c>
      <c r="B221" t="s">
        <v>1346</v>
      </c>
      <c r="D221">
        <v>11000</v>
      </c>
      <c r="E221">
        <v>0</v>
      </c>
      <c r="F221" s="147">
        <f t="shared" si="0"/>
        <v>11000</v>
      </c>
      <c r="G221" s="43" t="str">
        <f>_xlfn.XLOOKUP($A221,Map!$A:$A,Map!C:C)</f>
        <v>IS</v>
      </c>
      <c r="H221" s="43" t="str">
        <f>_xlfn.XLOOKUP($A221,Map!$A:$A,Map!D:D)</f>
        <v>Cost of sales</v>
      </c>
      <c r="I221" s="43" t="str">
        <f>_xlfn.XLOOKUP($A221,Map!$A:$A,Map!E:E)</f>
        <v>Overhead - Labor Cost</v>
      </c>
      <c r="J221" s="43" t="str">
        <f>_xlfn.XLOOKUP($A221,Map!$A:$A,Map!F:F)</f>
        <v>Air tickets</v>
      </c>
    </row>
    <row r="222" spans="1:10" x14ac:dyDescent="0.25">
      <c r="A222">
        <v>600009</v>
      </c>
      <c r="B222" t="s">
        <v>1346</v>
      </c>
      <c r="D222">
        <v>2000</v>
      </c>
      <c r="E222">
        <v>0</v>
      </c>
      <c r="F222" s="147">
        <f t="shared" si="0"/>
        <v>2000</v>
      </c>
      <c r="G222" s="43" t="str">
        <f>_xlfn.XLOOKUP($A222,Map!$A:$A,Map!C:C)</f>
        <v>IS</v>
      </c>
      <c r="H222" s="43" t="str">
        <f>_xlfn.XLOOKUP($A222,Map!$A:$A,Map!D:D)</f>
        <v>Cost of sales</v>
      </c>
      <c r="I222" s="43" t="str">
        <f>_xlfn.XLOOKUP($A222,Map!$A:$A,Map!E:E)</f>
        <v>Overhead - Labor Cost</v>
      </c>
      <c r="J222" s="43" t="str">
        <f>_xlfn.XLOOKUP($A222,Map!$A:$A,Map!F:F)</f>
        <v>Vacation pay</v>
      </c>
    </row>
    <row r="223" spans="1:10" x14ac:dyDescent="0.25">
      <c r="A223">
        <v>600009</v>
      </c>
      <c r="B223" t="s">
        <v>1346</v>
      </c>
      <c r="D223">
        <v>159183</v>
      </c>
      <c r="E223">
        <v>0</v>
      </c>
      <c r="F223" s="147">
        <f t="shared" si="0"/>
        <v>159183</v>
      </c>
      <c r="G223" s="43" t="str">
        <f>_xlfn.XLOOKUP($A223,Map!$A:$A,Map!C:C)</f>
        <v>IS</v>
      </c>
      <c r="H223" s="43" t="str">
        <f>_xlfn.XLOOKUP($A223,Map!$A:$A,Map!D:D)</f>
        <v>Cost of sales</v>
      </c>
      <c r="I223" s="43" t="str">
        <f>_xlfn.XLOOKUP($A223,Map!$A:$A,Map!E:E)</f>
        <v>Overhead - Labor Cost</v>
      </c>
      <c r="J223" s="43" t="str">
        <f>_xlfn.XLOOKUP($A223,Map!$A:$A,Map!F:F)</f>
        <v>Vacation pay</v>
      </c>
    </row>
    <row r="224" spans="1:10" x14ac:dyDescent="0.25">
      <c r="A224">
        <v>600009</v>
      </c>
      <c r="B224" t="s">
        <v>1346</v>
      </c>
      <c r="D224">
        <v>4000</v>
      </c>
      <c r="E224">
        <v>0</v>
      </c>
      <c r="F224" s="147">
        <f t="shared" si="0"/>
        <v>4000</v>
      </c>
      <c r="G224" s="43" t="str">
        <f>_xlfn.XLOOKUP($A224,Map!$A:$A,Map!C:C)</f>
        <v>IS</v>
      </c>
      <c r="H224" s="43" t="str">
        <f>_xlfn.XLOOKUP($A224,Map!$A:$A,Map!D:D)</f>
        <v>Cost of sales</v>
      </c>
      <c r="I224" s="43" t="str">
        <f>_xlfn.XLOOKUP($A224,Map!$A:$A,Map!E:E)</f>
        <v>Overhead - Labor Cost</v>
      </c>
      <c r="J224" s="43" t="str">
        <f>_xlfn.XLOOKUP($A224,Map!$A:$A,Map!F:F)</f>
        <v>Vacation pay</v>
      </c>
    </row>
    <row r="225" spans="1:10" x14ac:dyDescent="0.25">
      <c r="A225">
        <v>600008</v>
      </c>
      <c r="B225" t="s">
        <v>1346</v>
      </c>
      <c r="D225">
        <v>166441</v>
      </c>
      <c r="E225">
        <v>0</v>
      </c>
      <c r="F225" s="147">
        <f t="shared" si="0"/>
        <v>166441</v>
      </c>
      <c r="G225" s="43" t="str">
        <f>_xlfn.XLOOKUP($A225,Map!$A:$A,Map!C:C)</f>
        <v>IS</v>
      </c>
      <c r="H225" s="43" t="str">
        <f>_xlfn.XLOOKUP($A225,Map!$A:$A,Map!D:D)</f>
        <v>Cost of sales</v>
      </c>
      <c r="I225" s="43" t="str">
        <f>_xlfn.XLOOKUP($A225,Map!$A:$A,Map!E:E)</f>
        <v>Overhead - Labor Cost</v>
      </c>
      <c r="J225" s="43" t="str">
        <f>_xlfn.XLOOKUP($A225,Map!$A:$A,Map!F:F)</f>
        <v>Air tickets</v>
      </c>
    </row>
    <row r="226" spans="1:10" x14ac:dyDescent="0.25">
      <c r="A226">
        <v>600007</v>
      </c>
      <c r="B226" t="s">
        <v>1346</v>
      </c>
      <c r="D226">
        <v>1000</v>
      </c>
      <c r="E226">
        <v>0</v>
      </c>
      <c r="F226" s="147">
        <f t="shared" si="0"/>
        <v>1000</v>
      </c>
      <c r="G226" s="43" t="str">
        <f>_xlfn.XLOOKUP($A226,Map!$A:$A,Map!C:C)</f>
        <v>IS</v>
      </c>
      <c r="H226" s="43" t="str">
        <f>_xlfn.XLOOKUP($A226,Map!$A:$A,Map!D:D)</f>
        <v>Cost of sales</v>
      </c>
      <c r="I226" s="43" t="str">
        <f>_xlfn.XLOOKUP($A226,Map!$A:$A,Map!E:E)</f>
        <v>Overhead - Labor Cost</v>
      </c>
      <c r="J226" s="43" t="str">
        <f>_xlfn.XLOOKUP($A226,Map!$A:$A,Map!F:F)</f>
        <v>Transportation allowance</v>
      </c>
    </row>
    <row r="227" spans="1:10" x14ac:dyDescent="0.25">
      <c r="A227">
        <v>600006</v>
      </c>
      <c r="B227" t="s">
        <v>1346</v>
      </c>
      <c r="D227">
        <v>267141.60700000002</v>
      </c>
      <c r="E227">
        <v>0</v>
      </c>
      <c r="F227" s="147">
        <f t="shared" si="0"/>
        <v>267141.60700000002</v>
      </c>
      <c r="G227" s="43" t="str">
        <f>_xlfn.XLOOKUP($A227,Map!$A:$A,Map!C:C)</f>
        <v>IS</v>
      </c>
      <c r="H227" s="43" t="str">
        <f>_xlfn.XLOOKUP($A227,Map!$A:$A,Map!D:D)</f>
        <v>Cost of sales</v>
      </c>
      <c r="I227" s="43" t="str">
        <f>_xlfn.XLOOKUP($A227,Map!$A:$A,Map!E:E)</f>
        <v>Overhead - Labor Cost</v>
      </c>
      <c r="J227" s="43" t="str">
        <f>_xlfn.XLOOKUP($A227,Map!$A:$A,Map!F:F)</f>
        <v xml:space="preserve">Food &amp; Housing </v>
      </c>
    </row>
    <row r="228" spans="1:10" x14ac:dyDescent="0.25">
      <c r="A228">
        <v>600005</v>
      </c>
      <c r="B228" t="s">
        <v>1346</v>
      </c>
      <c r="D228">
        <v>261005.22</v>
      </c>
      <c r="E228">
        <v>0</v>
      </c>
      <c r="F228" s="147">
        <f t="shared" si="0"/>
        <v>261005.22</v>
      </c>
      <c r="G228" s="43" t="str">
        <f>_xlfn.XLOOKUP($A228,Map!$A:$A,Map!C:C)</f>
        <v>IS</v>
      </c>
      <c r="H228" s="43" t="str">
        <f>_xlfn.XLOOKUP($A228,Map!$A:$A,Map!D:D)</f>
        <v>General and Admin</v>
      </c>
      <c r="I228" s="43" t="str">
        <f>_xlfn.XLOOKUP($A228,Map!$A:$A,Map!E:E)</f>
        <v>Govt license and fees (including modon)</v>
      </c>
      <c r="J228" s="43" t="str">
        <f>_xlfn.XLOOKUP($A228,Map!$A:$A,Map!F:F)</f>
        <v>Government fees</v>
      </c>
    </row>
    <row r="229" spans="1:10" x14ac:dyDescent="0.25">
      <c r="A229">
        <v>600004</v>
      </c>
      <c r="B229" t="s">
        <v>1346</v>
      </c>
      <c r="D229">
        <v>121680.13099999999</v>
      </c>
      <c r="E229">
        <v>0</v>
      </c>
      <c r="F229" s="147">
        <f t="shared" si="0"/>
        <v>121680.13099999999</v>
      </c>
      <c r="G229" s="43" t="str">
        <f>_xlfn.XLOOKUP($A229,Map!$A:$A,Map!C:C)</f>
        <v>IS</v>
      </c>
      <c r="H229" s="43" t="str">
        <f>_xlfn.XLOOKUP($A229,Map!$A:$A,Map!D:D)</f>
        <v>Cost of sales</v>
      </c>
      <c r="I229" s="43" t="str">
        <f>_xlfn.XLOOKUP($A229,Map!$A:$A,Map!E:E)</f>
        <v>Overhead - Labor Cost</v>
      </c>
      <c r="J229" s="43" t="str">
        <f>_xlfn.XLOOKUP($A229,Map!$A:$A,Map!F:F)</f>
        <v>Medical insurance</v>
      </c>
    </row>
    <row r="230" spans="1:10" x14ac:dyDescent="0.25">
      <c r="A230">
        <v>600003</v>
      </c>
      <c r="B230" t="s">
        <v>1346</v>
      </c>
      <c r="D230">
        <v>78682</v>
      </c>
      <c r="E230">
        <v>0</v>
      </c>
      <c r="F230" s="147">
        <f t="shared" si="0"/>
        <v>78682</v>
      </c>
      <c r="G230" s="43" t="str">
        <f>_xlfn.XLOOKUP($A230,Map!$A:$A,Map!C:C)</f>
        <v>IS</v>
      </c>
      <c r="H230" s="43" t="str">
        <f>_xlfn.XLOOKUP($A230,Map!$A:$A,Map!D:D)</f>
        <v>Cost of sales</v>
      </c>
      <c r="I230" s="43" t="str">
        <f>_xlfn.XLOOKUP($A230,Map!$A:$A,Map!E:E)</f>
        <v>Overhead - Labor Cost</v>
      </c>
      <c r="J230" s="43" t="str">
        <f>_xlfn.XLOOKUP($A230,Map!$A:$A,Map!F:F)</f>
        <v xml:space="preserve">Food &amp; Housing </v>
      </c>
    </row>
    <row r="231" spans="1:10" x14ac:dyDescent="0.25">
      <c r="A231">
        <v>600002</v>
      </c>
      <c r="B231" t="s">
        <v>1346</v>
      </c>
      <c r="D231">
        <v>295666</v>
      </c>
      <c r="E231">
        <v>0</v>
      </c>
      <c r="F231" s="147">
        <f t="shared" ref="F231:F262" si="1">D231-E231</f>
        <v>295666</v>
      </c>
      <c r="G231" s="43" t="str">
        <f>_xlfn.XLOOKUP($A231,Map!$A:$A,Map!C:C)</f>
        <v>IS</v>
      </c>
      <c r="H231" s="43" t="str">
        <f>_xlfn.XLOOKUP($A231,Map!$A:$A,Map!D:D)</f>
        <v>Cost of sales</v>
      </c>
      <c r="I231" s="43" t="str">
        <f>_xlfn.XLOOKUP($A231,Map!$A:$A,Map!E:E)</f>
        <v>Overhead - Labor Cost</v>
      </c>
      <c r="J231" s="43" t="str">
        <f>_xlfn.XLOOKUP($A231,Map!$A:$A,Map!F:F)</f>
        <v>Overtime pay</v>
      </c>
    </row>
    <row r="232" spans="1:10" x14ac:dyDescent="0.25">
      <c r="A232">
        <v>600001</v>
      </c>
      <c r="B232" t="s">
        <v>1346</v>
      </c>
      <c r="D232">
        <v>1313120.29</v>
      </c>
      <c r="E232">
        <v>0</v>
      </c>
      <c r="F232" s="147">
        <f t="shared" si="1"/>
        <v>1313120.29</v>
      </c>
      <c r="G232" s="43" t="str">
        <f>_xlfn.XLOOKUP($A232,Map!$A:$A,Map!C:C)</f>
        <v>IS</v>
      </c>
      <c r="H232" s="43" t="str">
        <f>_xlfn.XLOOKUP($A232,Map!$A:$A,Map!D:D)</f>
        <v>Cost of sales</v>
      </c>
      <c r="I232" s="43" t="str">
        <f>_xlfn.XLOOKUP($A232,Map!$A:$A,Map!E:E)</f>
        <v>Overhead - Labor Cost</v>
      </c>
      <c r="J232" s="43" t="str">
        <f>_xlfn.XLOOKUP($A232,Map!$A:$A,Map!F:F)</f>
        <v>Indirect Salaries — factory supervisory / indirect floor labour (COGS)</v>
      </c>
    </row>
    <row r="233" spans="1:10" x14ac:dyDescent="0.25">
      <c r="A233">
        <v>520023</v>
      </c>
      <c r="B233" t="s">
        <v>1346</v>
      </c>
      <c r="D233">
        <v>719.75</v>
      </c>
      <c r="E233">
        <v>0</v>
      </c>
      <c r="F233" s="147">
        <f t="shared" si="1"/>
        <v>719.75</v>
      </c>
      <c r="G233" s="43" t="str">
        <f>_xlfn.XLOOKUP($A233,Map!$A:$A,Map!C:C)</f>
        <v>IS</v>
      </c>
      <c r="H233" s="43" t="str">
        <f>_xlfn.XLOOKUP($A233,Map!$A:$A,Map!D:D)</f>
        <v>Cost of sales</v>
      </c>
      <c r="I233" s="43" t="str">
        <f>_xlfn.XLOOKUP($A233,Map!$A:$A,Map!E:E)</f>
        <v>Direct Labor</v>
      </c>
      <c r="J233" s="43" t="str">
        <f>_xlfn.XLOOKUP($A233,Map!$A:$A,Map!F:F)</f>
        <v>Medical insurance</v>
      </c>
    </row>
    <row r="234" spans="1:10" x14ac:dyDescent="0.25">
      <c r="A234">
        <v>520021</v>
      </c>
      <c r="B234" t="s">
        <v>1346</v>
      </c>
      <c r="D234">
        <v>24400.83</v>
      </c>
      <c r="E234">
        <v>0</v>
      </c>
      <c r="F234" s="147">
        <f t="shared" si="1"/>
        <v>24400.83</v>
      </c>
      <c r="G234" s="43" t="str">
        <f>_xlfn.XLOOKUP($A234,Map!$A:$A,Map!C:C)</f>
        <v>IS</v>
      </c>
      <c r="H234" s="43" t="str">
        <f>_xlfn.XLOOKUP($A234,Map!$A:$A,Map!D:D)</f>
        <v>Cost of sales</v>
      </c>
      <c r="I234" s="43" t="str">
        <f>_xlfn.XLOOKUP($A234,Map!$A:$A,Map!E:E)</f>
        <v>Direct Labor</v>
      </c>
      <c r="J234" s="43" t="str">
        <f>_xlfn.XLOOKUP($A234,Map!$A:$A,Map!F:F)</f>
        <v>Medical insurance</v>
      </c>
    </row>
    <row r="235" spans="1:10" x14ac:dyDescent="0.25">
      <c r="A235">
        <v>520021</v>
      </c>
      <c r="B235" t="s">
        <v>1346</v>
      </c>
      <c r="D235">
        <v>0</v>
      </c>
      <c r="E235">
        <v>10249.58</v>
      </c>
      <c r="F235" s="147">
        <f t="shared" si="1"/>
        <v>-10249.58</v>
      </c>
      <c r="G235" s="43" t="str">
        <f>_xlfn.XLOOKUP($A235,Map!$A:$A,Map!C:C)</f>
        <v>IS</v>
      </c>
      <c r="H235" s="43" t="str">
        <f>_xlfn.XLOOKUP($A235,Map!$A:$A,Map!D:D)</f>
        <v>Cost of sales</v>
      </c>
      <c r="I235" s="43" t="str">
        <f>_xlfn.XLOOKUP($A235,Map!$A:$A,Map!E:E)</f>
        <v>Direct Labor</v>
      </c>
      <c r="J235" s="43" t="str">
        <f>_xlfn.XLOOKUP($A235,Map!$A:$A,Map!F:F)</f>
        <v>Medical insurance</v>
      </c>
    </row>
    <row r="236" spans="1:10" x14ac:dyDescent="0.25">
      <c r="A236">
        <v>520011</v>
      </c>
      <c r="B236" t="s">
        <v>1346</v>
      </c>
      <c r="D236">
        <v>124230</v>
      </c>
      <c r="E236">
        <v>0</v>
      </c>
      <c r="F236" s="147">
        <f t="shared" si="1"/>
        <v>124230</v>
      </c>
      <c r="G236" s="43" t="str">
        <f>_xlfn.XLOOKUP($A236,Map!$A:$A,Map!C:C)</f>
        <v>IS</v>
      </c>
      <c r="H236" s="43" t="str">
        <f>_xlfn.XLOOKUP($A236,Map!$A:$A,Map!D:D)</f>
        <v>Cost of sales</v>
      </c>
      <c r="I236" s="43" t="str">
        <f>_xlfn.XLOOKUP($A236,Map!$A:$A,Map!E:E)</f>
        <v>Direct Labor</v>
      </c>
      <c r="J236" s="43" t="str">
        <f>_xlfn.XLOOKUP($A236,Map!$A:$A,Map!F:F)</f>
        <v>Overtime pay</v>
      </c>
    </row>
    <row r="237" spans="1:10" x14ac:dyDescent="0.25">
      <c r="A237">
        <v>520011</v>
      </c>
      <c r="B237" t="s">
        <v>1346</v>
      </c>
      <c r="D237">
        <v>70469</v>
      </c>
      <c r="E237">
        <v>0</v>
      </c>
      <c r="F237" s="147">
        <f t="shared" si="1"/>
        <v>70469</v>
      </c>
      <c r="G237" s="43" t="str">
        <f>_xlfn.XLOOKUP($A237,Map!$A:$A,Map!C:C)</f>
        <v>IS</v>
      </c>
      <c r="H237" s="43" t="str">
        <f>_xlfn.XLOOKUP($A237,Map!$A:$A,Map!D:D)</f>
        <v>Cost of sales</v>
      </c>
      <c r="I237" s="43" t="str">
        <f>_xlfn.XLOOKUP($A237,Map!$A:$A,Map!E:E)</f>
        <v>Direct Labor</v>
      </c>
      <c r="J237" s="43" t="str">
        <f>_xlfn.XLOOKUP($A237,Map!$A:$A,Map!F:F)</f>
        <v>Overtime pay</v>
      </c>
    </row>
    <row r="238" spans="1:10" x14ac:dyDescent="0.25">
      <c r="A238">
        <v>520011</v>
      </c>
      <c r="B238" t="s">
        <v>1346</v>
      </c>
      <c r="D238">
        <v>0</v>
      </c>
      <c r="E238">
        <v>77501</v>
      </c>
      <c r="F238" s="147">
        <f t="shared" si="1"/>
        <v>-77501</v>
      </c>
      <c r="G238" s="43" t="str">
        <f>_xlfn.XLOOKUP($A238,Map!$A:$A,Map!C:C)</f>
        <v>IS</v>
      </c>
      <c r="H238" s="43" t="str">
        <f>_xlfn.XLOOKUP($A238,Map!$A:$A,Map!D:D)</f>
        <v>Cost of sales</v>
      </c>
      <c r="I238" s="43" t="str">
        <f>_xlfn.XLOOKUP($A238,Map!$A:$A,Map!E:E)</f>
        <v>Direct Labor</v>
      </c>
      <c r="J238" s="43" t="str">
        <f>_xlfn.XLOOKUP($A238,Map!$A:$A,Map!F:F)</f>
        <v>Overtime pay</v>
      </c>
    </row>
    <row r="239" spans="1:10" x14ac:dyDescent="0.25">
      <c r="A239">
        <v>520006</v>
      </c>
      <c r="B239" t="s">
        <v>1346</v>
      </c>
      <c r="D239">
        <v>86718.701000000001</v>
      </c>
      <c r="E239">
        <v>0</v>
      </c>
      <c r="F239" s="147">
        <f t="shared" si="1"/>
        <v>86718.701000000001</v>
      </c>
      <c r="G239" s="43" t="str">
        <f>_xlfn.XLOOKUP($A239,Map!$A:$A,Map!C:C)</f>
        <v>IS</v>
      </c>
      <c r="H239" s="43" t="str">
        <f>_xlfn.XLOOKUP($A239,Map!$A:$A,Map!D:D)</f>
        <v>Cost of sales</v>
      </c>
      <c r="I239" s="43" t="str">
        <f>_xlfn.XLOOKUP($A239,Map!$A:$A,Map!E:E)</f>
        <v>Direct Labor</v>
      </c>
      <c r="J239" s="43" t="str">
        <f>_xlfn.XLOOKUP($A239,Map!$A:$A,Map!F:F)</f>
        <v>Medical insurance</v>
      </c>
    </row>
    <row r="240" spans="1:10" x14ac:dyDescent="0.25">
      <c r="A240">
        <v>520006</v>
      </c>
      <c r="B240" t="s">
        <v>1346</v>
      </c>
      <c r="D240">
        <v>43428.400999999998</v>
      </c>
      <c r="E240">
        <v>0</v>
      </c>
      <c r="F240" s="147">
        <f t="shared" si="1"/>
        <v>43428.400999999998</v>
      </c>
      <c r="G240" s="43" t="str">
        <f>_xlfn.XLOOKUP($A240,Map!$A:$A,Map!C:C)</f>
        <v>IS</v>
      </c>
      <c r="H240" s="43" t="str">
        <f>_xlfn.XLOOKUP($A240,Map!$A:$A,Map!D:D)</f>
        <v>Cost of sales</v>
      </c>
      <c r="I240" s="43" t="str">
        <f>_xlfn.XLOOKUP($A240,Map!$A:$A,Map!E:E)</f>
        <v>Direct Labor</v>
      </c>
      <c r="J240" s="43" t="str">
        <f>_xlfn.XLOOKUP($A240,Map!$A:$A,Map!F:F)</f>
        <v>Medical insurance</v>
      </c>
    </row>
    <row r="241" spans="1:10" x14ac:dyDescent="0.25">
      <c r="A241">
        <v>520006</v>
      </c>
      <c r="B241" t="s">
        <v>1346</v>
      </c>
      <c r="D241">
        <v>27846.701000000001</v>
      </c>
      <c r="E241">
        <v>0</v>
      </c>
      <c r="F241" s="147">
        <f t="shared" si="1"/>
        <v>27846.701000000001</v>
      </c>
      <c r="G241" s="43" t="str">
        <f>_xlfn.XLOOKUP($A241,Map!$A:$A,Map!C:C)</f>
        <v>IS</v>
      </c>
      <c r="H241" s="43" t="str">
        <f>_xlfn.XLOOKUP($A241,Map!$A:$A,Map!D:D)</f>
        <v>Cost of sales</v>
      </c>
      <c r="I241" s="43" t="str">
        <f>_xlfn.XLOOKUP($A241,Map!$A:$A,Map!E:E)</f>
        <v>Direct Labor</v>
      </c>
      <c r="J241" s="43" t="str">
        <f>_xlfn.XLOOKUP($A241,Map!$A:$A,Map!F:F)</f>
        <v>Medical insurance</v>
      </c>
    </row>
    <row r="242" spans="1:10" x14ac:dyDescent="0.25">
      <c r="A242">
        <v>520006</v>
      </c>
      <c r="B242" t="s">
        <v>1346</v>
      </c>
      <c r="D242">
        <v>23338.001</v>
      </c>
      <c r="E242">
        <v>0</v>
      </c>
      <c r="F242" s="147">
        <f t="shared" si="1"/>
        <v>23338.001</v>
      </c>
      <c r="G242" s="43" t="str">
        <f>_xlfn.XLOOKUP($A242,Map!$A:$A,Map!C:C)</f>
        <v>IS</v>
      </c>
      <c r="H242" s="43" t="str">
        <f>_xlfn.XLOOKUP($A242,Map!$A:$A,Map!D:D)</f>
        <v>Cost of sales</v>
      </c>
      <c r="I242" s="43" t="str">
        <f>_xlfn.XLOOKUP($A242,Map!$A:$A,Map!E:E)</f>
        <v>Direct Labor</v>
      </c>
      <c r="J242" s="43" t="str">
        <f>_xlfn.XLOOKUP($A242,Map!$A:$A,Map!F:F)</f>
        <v>Medical insurance</v>
      </c>
    </row>
    <row r="243" spans="1:10" x14ac:dyDescent="0.25">
      <c r="A243">
        <v>520006</v>
      </c>
      <c r="B243" t="s">
        <v>1346</v>
      </c>
      <c r="D243">
        <v>30291.001</v>
      </c>
      <c r="E243">
        <v>0</v>
      </c>
      <c r="F243" s="147">
        <f t="shared" si="1"/>
        <v>30291.001</v>
      </c>
      <c r="G243" s="43" t="str">
        <f>_xlfn.XLOOKUP($A243,Map!$A:$A,Map!C:C)</f>
        <v>IS</v>
      </c>
      <c r="H243" s="43" t="str">
        <f>_xlfn.XLOOKUP($A243,Map!$A:$A,Map!D:D)</f>
        <v>Cost of sales</v>
      </c>
      <c r="I243" s="43" t="str">
        <f>_xlfn.XLOOKUP($A243,Map!$A:$A,Map!E:E)</f>
        <v>Direct Labor</v>
      </c>
      <c r="J243" s="43" t="str">
        <f>_xlfn.XLOOKUP($A243,Map!$A:$A,Map!F:F)</f>
        <v>Medical insurance</v>
      </c>
    </row>
    <row r="244" spans="1:10" x14ac:dyDescent="0.25">
      <c r="A244">
        <v>520006</v>
      </c>
      <c r="B244" t="s">
        <v>1346</v>
      </c>
      <c r="D244">
        <v>19747.800999999999</v>
      </c>
      <c r="E244">
        <v>0</v>
      </c>
      <c r="F244" s="147">
        <f t="shared" si="1"/>
        <v>19747.800999999999</v>
      </c>
      <c r="G244" s="43" t="str">
        <f>_xlfn.XLOOKUP($A244,Map!$A:$A,Map!C:C)</f>
        <v>IS</v>
      </c>
      <c r="H244" s="43" t="str">
        <f>_xlfn.XLOOKUP($A244,Map!$A:$A,Map!D:D)</f>
        <v>Cost of sales</v>
      </c>
      <c r="I244" s="43" t="str">
        <f>_xlfn.XLOOKUP($A244,Map!$A:$A,Map!E:E)</f>
        <v>Direct Labor</v>
      </c>
      <c r="J244" s="43" t="str">
        <f>_xlfn.XLOOKUP($A244,Map!$A:$A,Map!F:F)</f>
        <v>Medical insurance</v>
      </c>
    </row>
    <row r="245" spans="1:10" x14ac:dyDescent="0.25">
      <c r="A245">
        <v>520006</v>
      </c>
      <c r="B245" t="s">
        <v>1346</v>
      </c>
      <c r="D245">
        <v>0</v>
      </c>
      <c r="E245">
        <v>529.96</v>
      </c>
      <c r="F245" s="147">
        <f t="shared" si="1"/>
        <v>-529.96</v>
      </c>
      <c r="G245" s="43" t="str">
        <f>_xlfn.XLOOKUP($A245,Map!$A:$A,Map!C:C)</f>
        <v>IS</v>
      </c>
      <c r="H245" s="43" t="str">
        <f>_xlfn.XLOOKUP($A245,Map!$A:$A,Map!D:D)</f>
        <v>Cost of sales</v>
      </c>
      <c r="I245" s="43" t="str">
        <f>_xlfn.XLOOKUP($A245,Map!$A:$A,Map!E:E)</f>
        <v>Direct Labor</v>
      </c>
      <c r="J245" s="43" t="str">
        <f>_xlfn.XLOOKUP($A245,Map!$A:$A,Map!F:F)</f>
        <v>Medical insurance</v>
      </c>
    </row>
    <row r="246" spans="1:10" x14ac:dyDescent="0.25">
      <c r="A246">
        <v>520006</v>
      </c>
      <c r="B246" t="s">
        <v>1346</v>
      </c>
      <c r="D246">
        <v>0</v>
      </c>
      <c r="E246">
        <v>92018.28</v>
      </c>
      <c r="F246" s="147">
        <f t="shared" si="1"/>
        <v>-92018.28</v>
      </c>
      <c r="G246" s="43" t="str">
        <f>_xlfn.XLOOKUP($A246,Map!$A:$A,Map!C:C)</f>
        <v>IS</v>
      </c>
      <c r="H246" s="43" t="str">
        <f>_xlfn.XLOOKUP($A246,Map!$A:$A,Map!D:D)</f>
        <v>Cost of sales</v>
      </c>
      <c r="I246" s="43" t="str">
        <f>_xlfn.XLOOKUP($A246,Map!$A:$A,Map!E:E)</f>
        <v>Direct Labor</v>
      </c>
      <c r="J246" s="43" t="str">
        <f>_xlfn.XLOOKUP($A246,Map!$A:$A,Map!F:F)</f>
        <v>Medical insurance</v>
      </c>
    </row>
    <row r="247" spans="1:10" x14ac:dyDescent="0.25">
      <c r="A247">
        <v>520004</v>
      </c>
      <c r="B247" t="s">
        <v>1346</v>
      </c>
      <c r="D247">
        <v>56316</v>
      </c>
      <c r="E247">
        <v>0</v>
      </c>
      <c r="F247" s="147">
        <f t="shared" si="1"/>
        <v>56316</v>
      </c>
      <c r="G247" s="43" t="str">
        <f>_xlfn.XLOOKUP($A247,Map!$A:$A,Map!C:C)</f>
        <v>IS</v>
      </c>
      <c r="H247" s="43" t="str">
        <f>_xlfn.XLOOKUP($A247,Map!$A:$A,Map!D:D)</f>
        <v>Cost of sales</v>
      </c>
      <c r="I247" s="43" t="str">
        <f>_xlfn.XLOOKUP($A247,Map!$A:$A,Map!E:E)</f>
        <v>Direct Labor</v>
      </c>
      <c r="J247" s="43" t="str">
        <f>_xlfn.XLOOKUP($A247,Map!$A:$A,Map!F:F)</f>
        <v>Food and housing</v>
      </c>
    </row>
    <row r="248" spans="1:10" x14ac:dyDescent="0.25">
      <c r="A248">
        <v>520004</v>
      </c>
      <c r="B248" t="s">
        <v>1346</v>
      </c>
      <c r="D248">
        <v>17900</v>
      </c>
      <c r="E248">
        <v>0</v>
      </c>
      <c r="F248" s="147">
        <f t="shared" si="1"/>
        <v>17900</v>
      </c>
      <c r="G248" s="43" t="str">
        <f>_xlfn.XLOOKUP($A248,Map!$A:$A,Map!C:C)</f>
        <v>IS</v>
      </c>
      <c r="H248" s="43" t="str">
        <f>_xlfn.XLOOKUP($A248,Map!$A:$A,Map!D:D)</f>
        <v>Cost of sales</v>
      </c>
      <c r="I248" s="43" t="str">
        <f>_xlfn.XLOOKUP($A248,Map!$A:$A,Map!E:E)</f>
        <v>Direct Labor</v>
      </c>
      <c r="J248" s="43" t="str">
        <f>_xlfn.XLOOKUP($A248,Map!$A:$A,Map!F:F)</f>
        <v>Food and housing</v>
      </c>
    </row>
    <row r="249" spans="1:10" x14ac:dyDescent="0.25">
      <c r="A249">
        <v>520004</v>
      </c>
      <c r="B249" t="s">
        <v>1346</v>
      </c>
      <c r="D249">
        <v>0</v>
      </c>
      <c r="E249">
        <v>30043</v>
      </c>
      <c r="F249" s="147">
        <f t="shared" si="1"/>
        <v>-30043</v>
      </c>
      <c r="G249" s="43" t="str">
        <f>_xlfn.XLOOKUP($A249,Map!$A:$A,Map!C:C)</f>
        <v>IS</v>
      </c>
      <c r="H249" s="43" t="str">
        <f>_xlfn.XLOOKUP($A249,Map!$A:$A,Map!D:D)</f>
        <v>Cost of sales</v>
      </c>
      <c r="I249" s="43" t="str">
        <f>_xlfn.XLOOKUP($A249,Map!$A:$A,Map!E:E)</f>
        <v>Direct Labor</v>
      </c>
      <c r="J249" s="43" t="str">
        <f>_xlfn.XLOOKUP($A249,Map!$A:$A,Map!F:F)</f>
        <v>Food and housing</v>
      </c>
    </row>
    <row r="250" spans="1:10" x14ac:dyDescent="0.25">
      <c r="A250">
        <v>520003</v>
      </c>
      <c r="B250" t="s">
        <v>1346</v>
      </c>
      <c r="D250">
        <v>33390</v>
      </c>
      <c r="E250">
        <v>0</v>
      </c>
      <c r="F250" s="147">
        <f t="shared" si="1"/>
        <v>33390</v>
      </c>
      <c r="G250" s="43" t="str">
        <f>_xlfn.XLOOKUP($A250,Map!$A:$A,Map!C:C)</f>
        <v>IS</v>
      </c>
      <c r="H250" s="43" t="str">
        <f>_xlfn.XLOOKUP($A250,Map!$A:$A,Map!D:D)</f>
        <v>Cost of sales</v>
      </c>
      <c r="I250" s="43" t="str">
        <f>_xlfn.XLOOKUP($A250,Map!$A:$A,Map!E:E)</f>
        <v>Direct Labor</v>
      </c>
      <c r="J250" s="43" t="str">
        <f>_xlfn.XLOOKUP($A250,Map!$A:$A,Map!F:F)</f>
        <v>Transportation allowance</v>
      </c>
    </row>
    <row r="251" spans="1:10" x14ac:dyDescent="0.25">
      <c r="A251">
        <v>520003</v>
      </c>
      <c r="B251" t="s">
        <v>1346</v>
      </c>
      <c r="D251">
        <v>0</v>
      </c>
      <c r="E251">
        <v>12960</v>
      </c>
      <c r="F251" s="147">
        <f t="shared" si="1"/>
        <v>-12960</v>
      </c>
      <c r="G251" s="43" t="str">
        <f>_xlfn.XLOOKUP($A251,Map!$A:$A,Map!C:C)</f>
        <v>IS</v>
      </c>
      <c r="H251" s="43" t="str">
        <f>_xlfn.XLOOKUP($A251,Map!$A:$A,Map!D:D)</f>
        <v>Cost of sales</v>
      </c>
      <c r="I251" s="43" t="str">
        <f>_xlfn.XLOOKUP($A251,Map!$A:$A,Map!E:E)</f>
        <v>Direct Labor</v>
      </c>
      <c r="J251" s="43" t="str">
        <f>_xlfn.XLOOKUP($A251,Map!$A:$A,Map!F:F)</f>
        <v>Transportation allowance</v>
      </c>
    </row>
    <row r="252" spans="1:10" x14ac:dyDescent="0.25">
      <c r="A252">
        <v>520001</v>
      </c>
      <c r="B252" t="s">
        <v>1346</v>
      </c>
      <c r="D252">
        <v>815448.89800000004</v>
      </c>
      <c r="E252">
        <v>0</v>
      </c>
      <c r="F252" s="147">
        <f t="shared" si="1"/>
        <v>815448.89800000004</v>
      </c>
      <c r="G252" s="43" t="str">
        <f>_xlfn.XLOOKUP($A252,Map!$A:$A,Map!C:C)</f>
        <v>IS</v>
      </c>
      <c r="H252" s="43" t="str">
        <f>_xlfn.XLOOKUP($A252,Map!$A:$A,Map!D:D)</f>
        <v>Cost of sales</v>
      </c>
      <c r="I252" s="43" t="str">
        <f>_xlfn.XLOOKUP($A252,Map!$A:$A,Map!E:E)</f>
        <v>Direct Labor</v>
      </c>
      <c r="J252" s="43" t="str">
        <f>_xlfn.XLOOKUP($A252,Map!$A:$A,Map!F:F)</f>
        <v>Salaries and wages</v>
      </c>
    </row>
    <row r="253" spans="1:10" x14ac:dyDescent="0.25">
      <c r="A253">
        <v>520001</v>
      </c>
      <c r="B253" t="s">
        <v>1346</v>
      </c>
      <c r="D253">
        <v>118362</v>
      </c>
      <c r="E253">
        <v>0</v>
      </c>
      <c r="F253" s="147">
        <f t="shared" si="1"/>
        <v>118362</v>
      </c>
      <c r="G253" s="43" t="str">
        <f>_xlfn.XLOOKUP($A253,Map!$A:$A,Map!C:C)</f>
        <v>IS</v>
      </c>
      <c r="H253" s="43" t="str">
        <f>_xlfn.XLOOKUP($A253,Map!$A:$A,Map!D:D)</f>
        <v>Cost of sales</v>
      </c>
      <c r="I253" s="43" t="str">
        <f>_xlfn.XLOOKUP($A253,Map!$A:$A,Map!E:E)</f>
        <v>Direct Labor</v>
      </c>
      <c r="J253" s="43" t="str">
        <f>_xlfn.XLOOKUP($A253,Map!$A:$A,Map!F:F)</f>
        <v>Salaries and wages</v>
      </c>
    </row>
    <row r="254" spans="1:10" x14ac:dyDescent="0.25">
      <c r="A254">
        <v>520001</v>
      </c>
      <c r="B254" t="s">
        <v>1346</v>
      </c>
      <c r="D254">
        <v>498514</v>
      </c>
      <c r="E254">
        <v>0</v>
      </c>
      <c r="F254" s="147">
        <f t="shared" si="1"/>
        <v>498514</v>
      </c>
      <c r="G254" s="43" t="str">
        <f>_xlfn.XLOOKUP($A254,Map!$A:$A,Map!C:C)</f>
        <v>IS</v>
      </c>
      <c r="H254" s="43" t="str">
        <f>_xlfn.XLOOKUP($A254,Map!$A:$A,Map!D:D)</f>
        <v>Cost of sales</v>
      </c>
      <c r="I254" s="43" t="str">
        <f>_xlfn.XLOOKUP($A254,Map!$A:$A,Map!E:E)</f>
        <v>Direct Labor</v>
      </c>
      <c r="J254" s="43" t="str">
        <f>_xlfn.XLOOKUP($A254,Map!$A:$A,Map!F:F)</f>
        <v>Salaries and wages</v>
      </c>
    </row>
    <row r="255" spans="1:10" x14ac:dyDescent="0.25">
      <c r="A255">
        <v>520001</v>
      </c>
      <c r="B255" t="s">
        <v>1346</v>
      </c>
      <c r="D255">
        <v>15808</v>
      </c>
      <c r="E255">
        <v>0</v>
      </c>
      <c r="F255" s="147">
        <f t="shared" si="1"/>
        <v>15808</v>
      </c>
      <c r="G255" s="43" t="str">
        <f>_xlfn.XLOOKUP($A255,Map!$A:$A,Map!C:C)</f>
        <v>IS</v>
      </c>
      <c r="H255" s="43" t="str">
        <f>_xlfn.XLOOKUP($A255,Map!$A:$A,Map!D:D)</f>
        <v>Cost of sales</v>
      </c>
      <c r="I255" s="43" t="str">
        <f>_xlfn.XLOOKUP($A255,Map!$A:$A,Map!E:E)</f>
        <v>Direct Labor</v>
      </c>
      <c r="J255" s="43" t="str">
        <f>_xlfn.XLOOKUP($A255,Map!$A:$A,Map!F:F)</f>
        <v>Salaries and wages</v>
      </c>
    </row>
    <row r="256" spans="1:10" x14ac:dyDescent="0.25">
      <c r="A256">
        <v>520001</v>
      </c>
      <c r="B256" t="s">
        <v>1346</v>
      </c>
      <c r="D256">
        <v>47220</v>
      </c>
      <c r="E256">
        <v>0</v>
      </c>
      <c r="F256" s="147">
        <f t="shared" si="1"/>
        <v>47220</v>
      </c>
      <c r="G256" s="43" t="str">
        <f>_xlfn.XLOOKUP($A256,Map!$A:$A,Map!C:C)</f>
        <v>IS</v>
      </c>
      <c r="H256" s="43" t="str">
        <f>_xlfn.XLOOKUP($A256,Map!$A:$A,Map!D:D)</f>
        <v>Cost of sales</v>
      </c>
      <c r="I256" s="43" t="str">
        <f>_xlfn.XLOOKUP($A256,Map!$A:$A,Map!E:E)</f>
        <v>Direct Labor</v>
      </c>
      <c r="J256" s="43" t="str">
        <f>_xlfn.XLOOKUP($A256,Map!$A:$A,Map!F:F)</f>
        <v>Salaries and wages</v>
      </c>
    </row>
    <row r="257" spans="1:10" x14ac:dyDescent="0.25">
      <c r="A257">
        <v>520001</v>
      </c>
      <c r="B257" t="s">
        <v>1346</v>
      </c>
      <c r="D257">
        <v>25002</v>
      </c>
      <c r="E257">
        <v>0</v>
      </c>
      <c r="F257" s="147">
        <f t="shared" si="1"/>
        <v>25002</v>
      </c>
      <c r="G257" s="43" t="str">
        <f>_xlfn.XLOOKUP($A257,Map!$A:$A,Map!C:C)</f>
        <v>IS</v>
      </c>
      <c r="H257" s="43" t="str">
        <f>_xlfn.XLOOKUP($A257,Map!$A:$A,Map!D:D)</f>
        <v>Cost of sales</v>
      </c>
      <c r="I257" s="43" t="str">
        <f>_xlfn.XLOOKUP($A257,Map!$A:$A,Map!E:E)</f>
        <v>Direct Labor</v>
      </c>
      <c r="J257" s="43" t="str">
        <f>_xlfn.XLOOKUP($A257,Map!$A:$A,Map!F:F)</f>
        <v>Salaries and wages</v>
      </c>
    </row>
    <row r="258" spans="1:10" x14ac:dyDescent="0.25">
      <c r="A258">
        <v>520001</v>
      </c>
      <c r="B258" t="s">
        <v>1346</v>
      </c>
      <c r="D258">
        <v>0</v>
      </c>
      <c r="E258">
        <v>342802.9</v>
      </c>
      <c r="F258" s="147">
        <f t="shared" si="1"/>
        <v>-342802.9</v>
      </c>
      <c r="G258" s="43" t="str">
        <f>_xlfn.XLOOKUP($A258,Map!$A:$A,Map!C:C)</f>
        <v>IS</v>
      </c>
      <c r="H258" s="43" t="str">
        <f>_xlfn.XLOOKUP($A258,Map!$A:$A,Map!D:D)</f>
        <v>Cost of sales</v>
      </c>
      <c r="I258" s="43" t="str">
        <f>_xlfn.XLOOKUP($A258,Map!$A:$A,Map!E:E)</f>
        <v>Direct Labor</v>
      </c>
      <c r="J258" s="43" t="str">
        <f>_xlfn.XLOOKUP($A258,Map!$A:$A,Map!F:F)</f>
        <v>Salaries and wages</v>
      </c>
    </row>
    <row r="259" spans="1:10" x14ac:dyDescent="0.25">
      <c r="A259">
        <v>510004</v>
      </c>
      <c r="B259" t="s">
        <v>1346</v>
      </c>
      <c r="D259">
        <v>0</v>
      </c>
      <c r="E259">
        <v>2771074.6069999998</v>
      </c>
      <c r="F259" s="147">
        <f t="shared" si="1"/>
        <v>-2771074.6069999998</v>
      </c>
      <c r="G259" s="43" t="str">
        <f>_xlfn.XLOOKUP($A259,Map!$A:$A,Map!C:C)</f>
        <v>IS</v>
      </c>
      <c r="H259" s="43" t="str">
        <f>_xlfn.XLOOKUP($A259,Map!$A:$A,Map!D:D)</f>
        <v>Cost of sales</v>
      </c>
      <c r="I259" s="43" t="str">
        <f>_xlfn.XLOOKUP($A259,Map!$A:$A,Map!E:E)</f>
        <v>Raw materials</v>
      </c>
      <c r="J259" s="43" t="str">
        <f>_xlfn.XLOOKUP($A259,Map!$A:$A,Map!F:F)</f>
        <v>Other expenses</v>
      </c>
    </row>
    <row r="260" spans="1:10" x14ac:dyDescent="0.25">
      <c r="A260">
        <v>510004</v>
      </c>
      <c r="B260" t="s">
        <v>1346</v>
      </c>
      <c r="D260">
        <v>0</v>
      </c>
      <c r="E260">
        <v>1072266.2039999999</v>
      </c>
      <c r="F260" s="147">
        <f t="shared" si="1"/>
        <v>-1072266.2039999999</v>
      </c>
      <c r="G260" s="43" t="str">
        <f>_xlfn.XLOOKUP($A260,Map!$A:$A,Map!C:C)</f>
        <v>IS</v>
      </c>
      <c r="H260" s="43" t="str">
        <f>_xlfn.XLOOKUP($A260,Map!$A:$A,Map!D:D)</f>
        <v>Cost of sales</v>
      </c>
      <c r="I260" s="43" t="str">
        <f>_xlfn.XLOOKUP($A260,Map!$A:$A,Map!E:E)</f>
        <v>Raw materials</v>
      </c>
      <c r="J260" s="43" t="str">
        <f>_xlfn.XLOOKUP($A260,Map!$A:$A,Map!F:F)</f>
        <v>Other expenses</v>
      </c>
    </row>
    <row r="261" spans="1:10" x14ac:dyDescent="0.25">
      <c r="A261">
        <v>510004</v>
      </c>
      <c r="B261" t="s">
        <v>1346</v>
      </c>
      <c r="D261">
        <v>0</v>
      </c>
      <c r="E261">
        <v>75180.263000000006</v>
      </c>
      <c r="F261" s="147">
        <f t="shared" si="1"/>
        <v>-75180.263000000006</v>
      </c>
      <c r="G261" s="43" t="str">
        <f>_xlfn.XLOOKUP($A261,Map!$A:$A,Map!C:C)</f>
        <v>IS</v>
      </c>
      <c r="H261" s="43" t="str">
        <f>_xlfn.XLOOKUP($A261,Map!$A:$A,Map!D:D)</f>
        <v>Cost of sales</v>
      </c>
      <c r="I261" s="43" t="str">
        <f>_xlfn.XLOOKUP($A261,Map!$A:$A,Map!E:E)</f>
        <v>Raw materials</v>
      </c>
      <c r="J261" s="43" t="str">
        <f>_xlfn.XLOOKUP($A261,Map!$A:$A,Map!F:F)</f>
        <v>Other expenses</v>
      </c>
    </row>
    <row r="262" spans="1:10" x14ac:dyDescent="0.25">
      <c r="A262">
        <v>510004</v>
      </c>
      <c r="B262" t="s">
        <v>1346</v>
      </c>
      <c r="D262">
        <v>0</v>
      </c>
      <c r="E262">
        <v>1186258.1229999999</v>
      </c>
      <c r="F262" s="147">
        <f t="shared" si="1"/>
        <v>-1186258.1229999999</v>
      </c>
      <c r="G262" s="43" t="str">
        <f>_xlfn.XLOOKUP($A262,Map!$A:$A,Map!C:C)</f>
        <v>IS</v>
      </c>
      <c r="H262" s="43" t="str">
        <f>_xlfn.XLOOKUP($A262,Map!$A:$A,Map!D:D)</f>
        <v>Cost of sales</v>
      </c>
      <c r="I262" s="43" t="str">
        <f>_xlfn.XLOOKUP($A262,Map!$A:$A,Map!E:E)</f>
        <v>Raw materials</v>
      </c>
      <c r="J262" s="43" t="str">
        <f>_xlfn.XLOOKUP($A262,Map!$A:$A,Map!F:F)</f>
        <v>Other expenses</v>
      </c>
    </row>
    <row r="263" spans="1:10" x14ac:dyDescent="0.25">
      <c r="A263">
        <v>510004</v>
      </c>
      <c r="B263" t="s">
        <v>1346</v>
      </c>
      <c r="D263">
        <v>0</v>
      </c>
      <c r="E263">
        <v>1411994.544</v>
      </c>
      <c r="F263" s="147">
        <f t="shared" ref="F263:F294" si="2">D263-E263</f>
        <v>-1411994.544</v>
      </c>
      <c r="G263" s="43" t="str">
        <f>_xlfn.XLOOKUP($A263,Map!$A:$A,Map!C:C)</f>
        <v>IS</v>
      </c>
      <c r="H263" s="43" t="str">
        <f>_xlfn.XLOOKUP($A263,Map!$A:$A,Map!D:D)</f>
        <v>Cost of sales</v>
      </c>
      <c r="I263" s="43" t="str">
        <f>_xlfn.XLOOKUP($A263,Map!$A:$A,Map!E:E)</f>
        <v>Raw materials</v>
      </c>
      <c r="J263" s="43" t="str">
        <f>_xlfn.XLOOKUP($A263,Map!$A:$A,Map!F:F)</f>
        <v>Other expenses</v>
      </c>
    </row>
    <row r="264" spans="1:10" x14ac:dyDescent="0.25">
      <c r="A264">
        <v>510004</v>
      </c>
      <c r="B264" t="s">
        <v>1346</v>
      </c>
      <c r="D264">
        <v>0</v>
      </c>
      <c r="E264">
        <v>315906.11</v>
      </c>
      <c r="F264" s="147">
        <f t="shared" si="2"/>
        <v>-315906.11</v>
      </c>
      <c r="G264" s="43" t="str">
        <f>_xlfn.XLOOKUP($A264,Map!$A:$A,Map!C:C)</f>
        <v>IS</v>
      </c>
      <c r="H264" s="43" t="str">
        <f>_xlfn.XLOOKUP($A264,Map!$A:$A,Map!D:D)</f>
        <v>Cost of sales</v>
      </c>
      <c r="I264" s="43" t="str">
        <f>_xlfn.XLOOKUP($A264,Map!$A:$A,Map!E:E)</f>
        <v>Raw materials</v>
      </c>
      <c r="J264" s="43" t="str">
        <f>_xlfn.XLOOKUP($A264,Map!$A:$A,Map!F:F)</f>
        <v>Other expenses</v>
      </c>
    </row>
    <row r="265" spans="1:10" x14ac:dyDescent="0.25">
      <c r="A265">
        <v>510004</v>
      </c>
      <c r="B265" t="s">
        <v>1346</v>
      </c>
      <c r="D265">
        <v>0</v>
      </c>
      <c r="E265">
        <v>46432.413</v>
      </c>
      <c r="F265" s="147">
        <f t="shared" si="2"/>
        <v>-46432.413</v>
      </c>
      <c r="G265" s="43" t="str">
        <f>_xlfn.XLOOKUP($A265,Map!$A:$A,Map!C:C)</f>
        <v>IS</v>
      </c>
      <c r="H265" s="43" t="str">
        <f>_xlfn.XLOOKUP($A265,Map!$A:$A,Map!D:D)</f>
        <v>Cost of sales</v>
      </c>
      <c r="I265" s="43" t="str">
        <f>_xlfn.XLOOKUP($A265,Map!$A:$A,Map!E:E)</f>
        <v>Raw materials</v>
      </c>
      <c r="J265" s="43" t="str">
        <f>_xlfn.XLOOKUP($A265,Map!$A:$A,Map!F:F)</f>
        <v>Other expenses</v>
      </c>
    </row>
    <row r="266" spans="1:10" x14ac:dyDescent="0.25">
      <c r="A266">
        <v>510004</v>
      </c>
      <c r="B266" t="s">
        <v>1346</v>
      </c>
      <c r="D266">
        <v>0</v>
      </c>
      <c r="E266">
        <v>3966.8670000000002</v>
      </c>
      <c r="F266" s="147">
        <f t="shared" si="2"/>
        <v>-3966.8670000000002</v>
      </c>
      <c r="G266" s="43" t="str">
        <f>_xlfn.XLOOKUP($A266,Map!$A:$A,Map!C:C)</f>
        <v>IS</v>
      </c>
      <c r="H266" s="43" t="str">
        <f>_xlfn.XLOOKUP($A266,Map!$A:$A,Map!D:D)</f>
        <v>Cost of sales</v>
      </c>
      <c r="I266" s="43" t="str">
        <f>_xlfn.XLOOKUP($A266,Map!$A:$A,Map!E:E)</f>
        <v>Raw materials</v>
      </c>
      <c r="J266" s="43" t="str">
        <f>_xlfn.XLOOKUP($A266,Map!$A:$A,Map!F:F)</f>
        <v>Other expenses</v>
      </c>
    </row>
    <row r="267" spans="1:10" x14ac:dyDescent="0.25">
      <c r="A267">
        <v>510004</v>
      </c>
      <c r="B267" t="s">
        <v>1346</v>
      </c>
      <c r="D267">
        <v>0</v>
      </c>
      <c r="E267">
        <v>477120.30099999998</v>
      </c>
      <c r="F267" s="147">
        <f t="shared" si="2"/>
        <v>-477120.30099999998</v>
      </c>
      <c r="G267" s="43" t="str">
        <f>_xlfn.XLOOKUP($A267,Map!$A:$A,Map!C:C)</f>
        <v>IS</v>
      </c>
      <c r="H267" s="43" t="str">
        <f>_xlfn.XLOOKUP($A267,Map!$A:$A,Map!D:D)</f>
        <v>Cost of sales</v>
      </c>
      <c r="I267" s="43" t="str">
        <f>_xlfn.XLOOKUP($A267,Map!$A:$A,Map!E:E)</f>
        <v>Raw materials</v>
      </c>
      <c r="J267" s="43" t="str">
        <f>_xlfn.XLOOKUP($A267,Map!$A:$A,Map!F:F)</f>
        <v>Other expenses</v>
      </c>
    </row>
    <row r="268" spans="1:10" x14ac:dyDescent="0.25">
      <c r="A268">
        <v>510004</v>
      </c>
      <c r="B268" t="s">
        <v>1346</v>
      </c>
      <c r="D268">
        <v>0</v>
      </c>
      <c r="E268">
        <v>4643632.3770000003</v>
      </c>
      <c r="F268" s="147">
        <f t="shared" si="2"/>
        <v>-4643632.3770000003</v>
      </c>
      <c r="G268" s="43" t="str">
        <f>_xlfn.XLOOKUP($A268,Map!$A:$A,Map!C:C)</f>
        <v>IS</v>
      </c>
      <c r="H268" s="43" t="str">
        <f>_xlfn.XLOOKUP($A268,Map!$A:$A,Map!D:D)</f>
        <v>Cost of sales</v>
      </c>
      <c r="I268" s="43" t="str">
        <f>_xlfn.XLOOKUP($A268,Map!$A:$A,Map!E:E)</f>
        <v>Raw materials</v>
      </c>
      <c r="J268" s="43" t="str">
        <f>_xlfn.XLOOKUP($A268,Map!$A:$A,Map!F:F)</f>
        <v>Other expenses</v>
      </c>
    </row>
    <row r="269" spans="1:10" x14ac:dyDescent="0.25">
      <c r="A269">
        <v>510004</v>
      </c>
      <c r="B269" t="s">
        <v>1346</v>
      </c>
      <c r="D269">
        <v>0</v>
      </c>
      <c r="E269">
        <v>173460.584</v>
      </c>
      <c r="F269" s="147">
        <f t="shared" si="2"/>
        <v>-173460.584</v>
      </c>
      <c r="G269" s="43" t="str">
        <f>_xlfn.XLOOKUP($A269,Map!$A:$A,Map!C:C)</f>
        <v>IS</v>
      </c>
      <c r="H269" s="43" t="str">
        <f>_xlfn.XLOOKUP($A269,Map!$A:$A,Map!D:D)</f>
        <v>Cost of sales</v>
      </c>
      <c r="I269" s="43" t="str">
        <f>_xlfn.XLOOKUP($A269,Map!$A:$A,Map!E:E)</f>
        <v>Raw materials</v>
      </c>
      <c r="J269" s="43" t="str">
        <f>_xlfn.XLOOKUP($A269,Map!$A:$A,Map!F:F)</f>
        <v>Other expenses</v>
      </c>
    </row>
    <row r="270" spans="1:10" x14ac:dyDescent="0.25">
      <c r="A270">
        <v>510004</v>
      </c>
      <c r="B270" t="s">
        <v>1346</v>
      </c>
      <c r="D270">
        <v>0</v>
      </c>
      <c r="E270">
        <v>173460.584</v>
      </c>
      <c r="F270" s="147">
        <f t="shared" si="2"/>
        <v>-173460.584</v>
      </c>
      <c r="G270" s="43" t="str">
        <f>_xlfn.XLOOKUP($A270,Map!$A:$A,Map!C:C)</f>
        <v>IS</v>
      </c>
      <c r="H270" s="43" t="str">
        <f>_xlfn.XLOOKUP($A270,Map!$A:$A,Map!D:D)</f>
        <v>Cost of sales</v>
      </c>
      <c r="I270" s="43" t="str">
        <f>_xlfn.XLOOKUP($A270,Map!$A:$A,Map!E:E)</f>
        <v>Raw materials</v>
      </c>
      <c r="J270" s="43" t="str">
        <f>_xlfn.XLOOKUP($A270,Map!$A:$A,Map!F:F)</f>
        <v>Other expenses</v>
      </c>
    </row>
    <row r="271" spans="1:10" x14ac:dyDescent="0.25">
      <c r="A271">
        <v>510004</v>
      </c>
      <c r="B271" t="s">
        <v>1346</v>
      </c>
      <c r="D271">
        <v>0</v>
      </c>
      <c r="E271">
        <v>361192.40500000003</v>
      </c>
      <c r="F271" s="147">
        <f t="shared" si="2"/>
        <v>-361192.40500000003</v>
      </c>
      <c r="G271" s="43" t="str">
        <f>_xlfn.XLOOKUP($A271,Map!$A:$A,Map!C:C)</f>
        <v>IS</v>
      </c>
      <c r="H271" s="43" t="str">
        <f>_xlfn.XLOOKUP($A271,Map!$A:$A,Map!D:D)</f>
        <v>Cost of sales</v>
      </c>
      <c r="I271" s="43" t="str">
        <f>_xlfn.XLOOKUP($A271,Map!$A:$A,Map!E:E)</f>
        <v>Raw materials</v>
      </c>
      <c r="J271" s="43" t="str">
        <f>_xlfn.XLOOKUP($A271,Map!$A:$A,Map!F:F)</f>
        <v>Other expenses</v>
      </c>
    </row>
    <row r="272" spans="1:10" x14ac:dyDescent="0.25">
      <c r="A272">
        <v>510002</v>
      </c>
      <c r="B272" t="s">
        <v>1346</v>
      </c>
      <c r="D272">
        <v>0</v>
      </c>
      <c r="E272">
        <v>1082216.189</v>
      </c>
      <c r="F272" s="147">
        <f t="shared" si="2"/>
        <v>-1082216.189</v>
      </c>
      <c r="G272" s="43" t="str">
        <f>_xlfn.XLOOKUP($A272,Map!$A:$A,Map!C:C)</f>
        <v>IS</v>
      </c>
      <c r="H272" s="43" t="str">
        <f>_xlfn.XLOOKUP($A272,Map!$A:$A,Map!D:D)</f>
        <v>Cost of sales</v>
      </c>
      <c r="I272" s="43" t="str">
        <f>_xlfn.XLOOKUP($A272,Map!$A:$A,Map!E:E)</f>
        <v>Direct Labor</v>
      </c>
      <c r="J272" s="43" t="str">
        <f>_xlfn.XLOOKUP($A272,Map!$A:$A,Map!F:F)</f>
        <v>Direct Labor</v>
      </c>
    </row>
    <row r="273" spans="1:10" x14ac:dyDescent="0.25">
      <c r="A273">
        <v>510002</v>
      </c>
      <c r="B273" t="s">
        <v>1346</v>
      </c>
      <c r="D273">
        <v>0</v>
      </c>
      <c r="E273">
        <v>776520.10199999996</v>
      </c>
      <c r="F273" s="147">
        <f t="shared" si="2"/>
        <v>-776520.10199999996</v>
      </c>
      <c r="G273" s="43" t="str">
        <f>_xlfn.XLOOKUP($A273,Map!$A:$A,Map!C:C)</f>
        <v>IS</v>
      </c>
      <c r="H273" s="43" t="str">
        <f>_xlfn.XLOOKUP($A273,Map!$A:$A,Map!D:D)</f>
        <v>Cost of sales</v>
      </c>
      <c r="I273" s="43" t="str">
        <f>_xlfn.XLOOKUP($A273,Map!$A:$A,Map!E:E)</f>
        <v>Direct Labor</v>
      </c>
      <c r="J273" s="43" t="str">
        <f>_xlfn.XLOOKUP($A273,Map!$A:$A,Map!F:F)</f>
        <v>Direct Labor</v>
      </c>
    </row>
    <row r="274" spans="1:10" x14ac:dyDescent="0.25">
      <c r="A274">
        <v>510002</v>
      </c>
      <c r="B274" t="s">
        <v>1346</v>
      </c>
      <c r="D274">
        <v>47209.999000000003</v>
      </c>
      <c r="E274">
        <v>0</v>
      </c>
      <c r="F274" s="147">
        <f t="shared" si="2"/>
        <v>47209.999000000003</v>
      </c>
      <c r="G274" s="43" t="str">
        <f>_xlfn.XLOOKUP($A274,Map!$A:$A,Map!C:C)</f>
        <v>IS</v>
      </c>
      <c r="H274" s="43" t="str">
        <f>_xlfn.XLOOKUP($A274,Map!$A:$A,Map!D:D)</f>
        <v>Cost of sales</v>
      </c>
      <c r="I274" s="43" t="str">
        <f>_xlfn.XLOOKUP($A274,Map!$A:$A,Map!E:E)</f>
        <v>Direct Labor</v>
      </c>
      <c r="J274" s="43" t="str">
        <f>_xlfn.XLOOKUP($A274,Map!$A:$A,Map!F:F)</f>
        <v>Direct Labor</v>
      </c>
    </row>
    <row r="275" spans="1:10" x14ac:dyDescent="0.25">
      <c r="A275">
        <v>510002</v>
      </c>
      <c r="B275" t="s">
        <v>1346</v>
      </c>
      <c r="D275">
        <v>0</v>
      </c>
      <c r="E275">
        <v>15808</v>
      </c>
      <c r="F275" s="147">
        <f t="shared" si="2"/>
        <v>-15808</v>
      </c>
      <c r="G275" s="43" t="str">
        <f>_xlfn.XLOOKUP($A275,Map!$A:$A,Map!C:C)</f>
        <v>IS</v>
      </c>
      <c r="H275" s="43" t="str">
        <f>_xlfn.XLOOKUP($A275,Map!$A:$A,Map!D:D)</f>
        <v>Cost of sales</v>
      </c>
      <c r="I275" s="43" t="str">
        <f>_xlfn.XLOOKUP($A275,Map!$A:$A,Map!E:E)</f>
        <v>Direct Labor</v>
      </c>
      <c r="J275" s="43" t="str">
        <f>_xlfn.XLOOKUP($A275,Map!$A:$A,Map!F:F)</f>
        <v>Direct Labor</v>
      </c>
    </row>
    <row r="276" spans="1:10" x14ac:dyDescent="0.25">
      <c r="A276">
        <v>510002</v>
      </c>
      <c r="B276" t="s">
        <v>1346</v>
      </c>
      <c r="D276">
        <v>0</v>
      </c>
      <c r="E276">
        <v>23338.001</v>
      </c>
      <c r="F276" s="147">
        <f t="shared" si="2"/>
        <v>-23338.001</v>
      </c>
      <c r="G276" s="43" t="str">
        <f>_xlfn.XLOOKUP($A276,Map!$A:$A,Map!C:C)</f>
        <v>IS</v>
      </c>
      <c r="H276" s="43" t="str">
        <f>_xlfn.XLOOKUP($A276,Map!$A:$A,Map!D:D)</f>
        <v>Cost of sales</v>
      </c>
      <c r="I276" s="43" t="str">
        <f>_xlfn.XLOOKUP($A276,Map!$A:$A,Map!E:E)</f>
        <v>Direct Labor</v>
      </c>
      <c r="J276" s="43" t="str">
        <f>_xlfn.XLOOKUP($A276,Map!$A:$A,Map!F:F)</f>
        <v>Direct Labor</v>
      </c>
    </row>
    <row r="277" spans="1:10" x14ac:dyDescent="0.25">
      <c r="A277">
        <v>510002</v>
      </c>
      <c r="B277" t="s">
        <v>1346</v>
      </c>
      <c r="D277">
        <v>0</v>
      </c>
      <c r="E277">
        <v>15282.38</v>
      </c>
      <c r="F277" s="147">
        <f t="shared" si="2"/>
        <v>-15282.38</v>
      </c>
      <c r="G277" s="43" t="str">
        <f>_xlfn.XLOOKUP($A277,Map!$A:$A,Map!C:C)</f>
        <v>IS</v>
      </c>
      <c r="H277" s="43" t="str">
        <f>_xlfn.XLOOKUP($A277,Map!$A:$A,Map!D:D)</f>
        <v>Cost of sales</v>
      </c>
      <c r="I277" s="43" t="str">
        <f>_xlfn.XLOOKUP($A277,Map!$A:$A,Map!E:E)</f>
        <v>Direct Labor</v>
      </c>
      <c r="J277" s="43" t="str">
        <f>_xlfn.XLOOKUP($A277,Map!$A:$A,Map!F:F)</f>
        <v>Direct Labor</v>
      </c>
    </row>
    <row r="278" spans="1:10" x14ac:dyDescent="0.25">
      <c r="A278">
        <v>510002</v>
      </c>
      <c r="B278" t="s">
        <v>1346</v>
      </c>
      <c r="D278">
        <v>0</v>
      </c>
      <c r="E278">
        <v>19747.800999999999</v>
      </c>
      <c r="F278" s="147">
        <f t="shared" si="2"/>
        <v>-19747.800999999999</v>
      </c>
      <c r="G278" s="43" t="str">
        <f>_xlfn.XLOOKUP($A278,Map!$A:$A,Map!C:C)</f>
        <v>IS</v>
      </c>
      <c r="H278" s="43" t="str">
        <f>_xlfn.XLOOKUP($A278,Map!$A:$A,Map!D:D)</f>
        <v>Cost of sales</v>
      </c>
      <c r="I278" s="43" t="str">
        <f>_xlfn.XLOOKUP($A278,Map!$A:$A,Map!E:E)</f>
        <v>Direct Labor</v>
      </c>
      <c r="J278" s="43" t="str">
        <f>_xlfn.XLOOKUP($A278,Map!$A:$A,Map!F:F)</f>
        <v>Direct Labor</v>
      </c>
    </row>
    <row r="279" spans="1:10" x14ac:dyDescent="0.25">
      <c r="A279">
        <v>510002</v>
      </c>
      <c r="B279" t="s">
        <v>1346</v>
      </c>
      <c r="D279">
        <v>372656.11</v>
      </c>
      <c r="E279">
        <v>0</v>
      </c>
      <c r="F279" s="147">
        <f t="shared" si="2"/>
        <v>372656.11</v>
      </c>
      <c r="G279" s="43" t="str">
        <f>_xlfn.XLOOKUP($A279,Map!$A:$A,Map!C:C)</f>
        <v>IS</v>
      </c>
      <c r="H279" s="43" t="str">
        <f>_xlfn.XLOOKUP($A279,Map!$A:$A,Map!D:D)</f>
        <v>Cost of sales</v>
      </c>
      <c r="I279" s="43" t="str">
        <f>_xlfn.XLOOKUP($A279,Map!$A:$A,Map!E:E)</f>
        <v>Direct Labor</v>
      </c>
      <c r="J279" s="43" t="str">
        <f>_xlfn.XLOOKUP($A279,Map!$A:$A,Map!F:F)</f>
        <v>Direct Labor</v>
      </c>
    </row>
    <row r="282" spans="1:10" x14ac:dyDescent="0.25">
      <c r="A282">
        <v>170021</v>
      </c>
      <c r="B282" t="s">
        <v>883</v>
      </c>
      <c r="D282" s="154">
        <v>3062618</v>
      </c>
      <c r="F282" s="147">
        <f>D282-E282</f>
        <v>3062618</v>
      </c>
      <c r="G282" s="43" t="str">
        <f>_xlfn.XLOOKUP($A282,Map!$A:$A,Map!C:C)</f>
        <v>BS</v>
      </c>
      <c r="H282" s="43" t="str">
        <f>_xlfn.XLOOKUP($A282,Map!$A:$A,Map!D:D)</f>
        <v>Current Assets</v>
      </c>
      <c r="I282" s="43" t="str">
        <f>_xlfn.XLOOKUP($A282,Map!$A:$A,Map!E:E)</f>
        <v>Prepaid expenses</v>
      </c>
      <c r="J282" s="43" t="str">
        <f>_xlfn.XLOOKUP($A282,Map!$A:$A,Map!F:F)</f>
        <v>Prepaid expense</v>
      </c>
    </row>
    <row r="283" spans="1:10" x14ac:dyDescent="0.25">
      <c r="A283">
        <v>210001</v>
      </c>
      <c r="B283" t="s">
        <v>902</v>
      </c>
      <c r="E283" s="154">
        <f>D282</f>
        <v>3062618</v>
      </c>
      <c r="F283" s="147">
        <f>D283-E283</f>
        <v>-3062618</v>
      </c>
      <c r="G283" s="43" t="str">
        <f>_xlfn.XLOOKUP($A283,Map!$A:$A,Map!C:C)</f>
        <v>BS</v>
      </c>
      <c r="H283" s="43" t="str">
        <f>_xlfn.XLOOKUP($A283,Map!$A:$A,Map!D:D)</f>
        <v>Current Liabilities</v>
      </c>
      <c r="I283" s="43" t="str">
        <f>_xlfn.XLOOKUP($A283,Map!$A:$A,Map!E:E)</f>
        <v>Tade payables and Accuals &amp; other credit balances</v>
      </c>
      <c r="J283" s="43" t="str">
        <f>_xlfn.XLOOKUP($A283,Map!$A:$A,Map!F:F)</f>
        <v>Trade payables - Foreign</v>
      </c>
    </row>
    <row r="285" spans="1:10" x14ac:dyDescent="0.25">
      <c r="D285" s="147"/>
    </row>
    <row r="286" spans="1:10" x14ac:dyDescent="0.25">
      <c r="A286">
        <v>410001</v>
      </c>
      <c r="B286" t="s">
        <v>1344</v>
      </c>
      <c r="D286" s="88">
        <v>45058428.174633123</v>
      </c>
      <c r="E286" s="88"/>
      <c r="F286" s="147">
        <f>D286-E286</f>
        <v>45058428.174633123</v>
      </c>
      <c r="G286" s="43" t="str">
        <f>_xlfn.XLOOKUP($A286,Map!$A:$A,Map!C:C)</f>
        <v>IS</v>
      </c>
      <c r="H286" s="43" t="str">
        <f>_xlfn.XLOOKUP($A286,Map!$A:$A,Map!D:D)</f>
        <v>Sales</v>
      </c>
      <c r="I286" s="43" t="str">
        <f>_xlfn.XLOOKUP($A286,Map!$A:$A,Map!E:E)</f>
        <v>Sales</v>
      </c>
      <c r="J286" s="43" t="str">
        <f>_xlfn.XLOOKUP($A286,Map!$A:$A,Map!F:F)</f>
        <v>Trading revenue</v>
      </c>
    </row>
    <row r="287" spans="1:10" x14ac:dyDescent="0.25">
      <c r="A287">
        <v>510001</v>
      </c>
      <c r="B287" t="s">
        <v>1345</v>
      </c>
      <c r="D287" s="88"/>
      <c r="E287" s="88">
        <v>43739517.006465249</v>
      </c>
      <c r="F287" s="147">
        <f>D287-E287</f>
        <v>-43739517.006465249</v>
      </c>
      <c r="G287" s="43" t="str">
        <f>_xlfn.XLOOKUP($A287,Map!$A:$A,Map!C:C)</f>
        <v>IS</v>
      </c>
      <c r="H287" s="43" t="str">
        <f>_xlfn.XLOOKUP($A287,Map!$A:$A,Map!D:D)</f>
        <v>Cost of sales</v>
      </c>
      <c r="I287" s="43" t="str">
        <f>_xlfn.XLOOKUP($A287,Map!$A:$A,Map!E:E)</f>
        <v>Raw materials</v>
      </c>
      <c r="J287" s="43" t="str">
        <f>_xlfn.XLOOKUP($A287,Map!$A:$A,Map!F:F)</f>
        <v>Raw materials</v>
      </c>
    </row>
  </sheetData>
  <autoFilter ref="A4:K279" xr:uid="{00000000-0009-0000-0000-00001A000000}"/>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841"/>
  <sheetViews>
    <sheetView zoomScale="90" workbookViewId="0">
      <pane ySplit="32" topLeftCell="A33"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85" t="s">
        <v>1251</v>
      </c>
    </row>
    <row r="2" spans="1:10" x14ac:dyDescent="0.25">
      <c r="A2" s="85" t="s">
        <v>1192</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110002</v>
      </c>
      <c r="B5" t="s">
        <v>819</v>
      </c>
      <c r="C5" s="116">
        <v>249682</v>
      </c>
      <c r="D5" s="116">
        <v>85866130.439999998</v>
      </c>
      <c r="E5" s="116">
        <v>85866130.439999998</v>
      </c>
      <c r="F5" s="116">
        <v>249682</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110003</v>
      </c>
      <c r="B6" t="s">
        <v>820</v>
      </c>
      <c r="C6" s="116">
        <v>1773233.75</v>
      </c>
      <c r="D6" s="116">
        <v>0</v>
      </c>
      <c r="E6" s="116">
        <v>0</v>
      </c>
      <c r="F6" s="116">
        <v>1773233.75</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110004</v>
      </c>
      <c r="B7" t="s">
        <v>821</v>
      </c>
      <c r="C7" s="116">
        <v>39518810.888999999</v>
      </c>
      <c r="D7" s="116">
        <v>396032.54599999997</v>
      </c>
      <c r="E7" s="116">
        <v>534.96400000000006</v>
      </c>
      <c r="F7" s="116">
        <v>39914308.471000001</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110006</v>
      </c>
      <c r="B8" t="s">
        <v>822</v>
      </c>
      <c r="C8" s="116">
        <v>1446052.15</v>
      </c>
      <c r="D8" s="116">
        <v>102800</v>
      </c>
      <c r="E8" s="116">
        <v>0</v>
      </c>
      <c r="F8" s="116">
        <v>1548852.15</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110007</v>
      </c>
      <c r="B9" t="s">
        <v>823</v>
      </c>
      <c r="C9" s="116">
        <v>798523.45</v>
      </c>
      <c r="D9" s="116">
        <v>0</v>
      </c>
      <c r="E9" s="116">
        <v>0</v>
      </c>
      <c r="F9" s="116">
        <v>798523.45</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110008</v>
      </c>
      <c r="B10" t="s">
        <v>824</v>
      </c>
      <c r="C10" s="116">
        <v>191765.4</v>
      </c>
      <c r="D10" s="116">
        <v>0</v>
      </c>
      <c r="E10" s="116">
        <v>0</v>
      </c>
      <c r="F10" s="116">
        <v>191765.4</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111009</v>
      </c>
      <c r="B11" t="s">
        <v>825</v>
      </c>
      <c r="C11" s="116">
        <v>0</v>
      </c>
      <c r="D11" s="116">
        <v>0</v>
      </c>
      <c r="E11" s="116">
        <v>0</v>
      </c>
      <c r="F11" s="116">
        <v>0</v>
      </c>
      <c r="G11" s="43" t="str">
        <f>_xlfn.XLOOKUP($A11,Map!$A:$A,Map!C:C)</f>
        <v>BS</v>
      </c>
      <c r="H11" s="43" t="str">
        <f>_xlfn.XLOOKUP($A11,Map!$A:$A,Map!D:D)</f>
        <v>Non-Current Assets</v>
      </c>
      <c r="I11" s="43" t="str">
        <f>_xlfn.XLOOKUP($A11,Map!$A:$A,Map!E:E)</f>
        <v>Right of use</v>
      </c>
      <c r="J11" s="43" t="str">
        <f>_xlfn.XLOOKUP($A11,Map!$A:$A,Map!F:F)</f>
        <v>Leases - right of use assets</v>
      </c>
    </row>
    <row r="12" spans="1:10" x14ac:dyDescent="0.25">
      <c r="A12">
        <v>111013</v>
      </c>
      <c r="B12" t="s">
        <v>827</v>
      </c>
      <c r="C12" s="116">
        <v>10769234.605</v>
      </c>
      <c r="D12" s="116">
        <v>89580086.785999998</v>
      </c>
      <c r="E12" s="116">
        <v>402973.95400000003</v>
      </c>
      <c r="F12" s="116">
        <v>99946347.437000006</v>
      </c>
      <c r="G12" s="43" t="str">
        <f>_xlfn.XLOOKUP($A12,Map!$A:$A,Map!C:C)</f>
        <v>BS</v>
      </c>
      <c r="H12" s="43" t="str">
        <f>_xlfn.XLOOKUP($A12,Map!$A:$A,Map!D:D)</f>
        <v>Non-Current Assets</v>
      </c>
      <c r="I12" s="43" t="str">
        <f>_xlfn.XLOOKUP($A12,Map!$A:$A,Map!E:E)</f>
        <v>Property, plant and equipment</v>
      </c>
      <c r="J12" s="43" t="str">
        <f>_xlfn.XLOOKUP($A12,Map!$A:$A,Map!F:F)</f>
        <v>Property, plant and equipment - Accumulated depreciation</v>
      </c>
    </row>
    <row r="13" spans="1:10" x14ac:dyDescent="0.25">
      <c r="A13">
        <v>120001</v>
      </c>
      <c r="B13" t="s">
        <v>829</v>
      </c>
      <c r="C13" s="116">
        <v>-242695.31099999999</v>
      </c>
      <c r="D13" s="116">
        <v>74.997</v>
      </c>
      <c r="E13" s="116">
        <v>6530.0230000000001</v>
      </c>
      <c r="F13" s="116">
        <v>-249150.337</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120002</v>
      </c>
      <c r="B14" t="s">
        <v>830</v>
      </c>
      <c r="C14" s="116">
        <v>-1760033.9739999999</v>
      </c>
      <c r="D14" s="116">
        <v>0</v>
      </c>
      <c r="E14" s="116">
        <v>7359.9849999999997</v>
      </c>
      <c r="F14" s="116">
        <v>-1767393.959</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120003</v>
      </c>
      <c r="B15" t="s">
        <v>831</v>
      </c>
      <c r="C15" s="116">
        <v>-23854970.600000001</v>
      </c>
      <c r="D15" s="116">
        <v>900</v>
      </c>
      <c r="E15" s="116">
        <v>3435816.0830000001</v>
      </c>
      <c r="F15" s="116">
        <v>-27289886.682999998</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120005</v>
      </c>
      <c r="B16" t="s">
        <v>832</v>
      </c>
      <c r="C16" s="116">
        <v>-1243715.98</v>
      </c>
      <c r="D16" s="116">
        <v>0</v>
      </c>
      <c r="E16" s="116">
        <v>89083.337</v>
      </c>
      <c r="F16" s="116">
        <v>-1332799.317</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120006</v>
      </c>
      <c r="B17" t="s">
        <v>833</v>
      </c>
      <c r="C17" s="116">
        <v>-255844.21</v>
      </c>
      <c r="D17" s="116">
        <v>0</v>
      </c>
      <c r="E17" s="116">
        <v>184067.128</v>
      </c>
      <c r="F17" s="116">
        <v>-439911.33799999999</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120007</v>
      </c>
      <c r="B18" t="s">
        <v>834</v>
      </c>
      <c r="C18" s="116">
        <v>-167396.32199999999</v>
      </c>
      <c r="D18" s="116">
        <v>160.85499999999999</v>
      </c>
      <c r="E18" s="116">
        <v>9147.4359999999997</v>
      </c>
      <c r="F18" s="116">
        <v>-176382.90299999999</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121001</v>
      </c>
      <c r="B19" t="s">
        <v>836</v>
      </c>
      <c r="C19" s="116">
        <v>6677123.2829999998</v>
      </c>
      <c r="D19" s="116">
        <v>5907967.926</v>
      </c>
      <c r="E19" s="116">
        <v>4486426.0789999999</v>
      </c>
      <c r="F19" s="116">
        <v>8098665.1299999999</v>
      </c>
      <c r="G19" s="43" t="str">
        <f>_xlfn.XLOOKUP($A19,Map!$A:$A,Map!C:C)</f>
        <v>BS</v>
      </c>
      <c r="H19" s="43" t="str">
        <f>_xlfn.XLOOKUP($A19,Map!$A:$A,Map!D:D)</f>
        <v>Current Assets</v>
      </c>
      <c r="I19" s="43" t="str">
        <f>_xlfn.XLOOKUP($A19,Map!$A:$A,Map!E:E)</f>
        <v>Prepaid expenses</v>
      </c>
      <c r="J19" s="43" t="str">
        <f>_xlfn.XLOOKUP($A19,Map!$A:$A,Map!F:F)</f>
        <v>Pre Operating Exps</v>
      </c>
    </row>
    <row r="20" spans="1:10" x14ac:dyDescent="0.25">
      <c r="A20">
        <v>121002</v>
      </c>
      <c r="B20" t="s">
        <v>837</v>
      </c>
      <c r="C20" s="116">
        <v>-3650674.13</v>
      </c>
      <c r="D20" s="116">
        <v>0</v>
      </c>
      <c r="E20" s="116">
        <v>4447991</v>
      </c>
      <c r="F20" s="116">
        <v>-8098665.1299999999</v>
      </c>
      <c r="G20" s="43" t="str">
        <f>_xlfn.XLOOKUP($A20,Map!$A:$A,Map!C:C)</f>
        <v>BS</v>
      </c>
      <c r="H20" s="43" t="str">
        <f>_xlfn.XLOOKUP($A20,Map!$A:$A,Map!D:D)</f>
        <v>Current Assets</v>
      </c>
      <c r="I20" s="43" t="str">
        <f>_xlfn.XLOOKUP($A20,Map!$A:$A,Map!E:E)</f>
        <v>Prepaid expenses</v>
      </c>
      <c r="J20" s="43" t="str">
        <f>_xlfn.XLOOKUP($A20,Map!$A:$A,Map!F:F)</f>
        <v>Amortization Of Pre Operating Exps</v>
      </c>
    </row>
    <row r="21" spans="1:10" x14ac:dyDescent="0.25">
      <c r="A21">
        <v>130001</v>
      </c>
      <c r="B21" t="s">
        <v>838</v>
      </c>
      <c r="C21" s="116">
        <v>2480104.2799999998</v>
      </c>
      <c r="D21" s="116">
        <v>95644843.564999998</v>
      </c>
      <c r="E21" s="116">
        <v>96015257.334999993</v>
      </c>
      <c r="F21" s="116">
        <v>2109690.5099999998</v>
      </c>
      <c r="G21" s="43" t="str">
        <f>_xlfn.XLOOKUP($A21,Map!$A:$A,Map!C:C)</f>
        <v>BS</v>
      </c>
      <c r="H21" s="43" t="str">
        <f>_xlfn.XLOOKUP($A21,Map!$A:$A,Map!D:D)</f>
        <v>Current Assets</v>
      </c>
      <c r="I21" s="43" t="str">
        <f>_xlfn.XLOOKUP($A21,Map!$A:$A,Map!E:E)</f>
        <v>Cash and cash equivalents</v>
      </c>
      <c r="J21" s="43" t="str">
        <f>_xlfn.XLOOKUP($A21,Map!$A:$A,Map!F:F)</f>
        <v>Bank balances</v>
      </c>
    </row>
    <row r="22" spans="1:10" x14ac:dyDescent="0.25">
      <c r="A22">
        <v>130002</v>
      </c>
      <c r="B22" t="s">
        <v>1205</v>
      </c>
      <c r="C22" s="116">
        <v>2429.1</v>
      </c>
      <c r="D22" s="116">
        <v>75572891.179000005</v>
      </c>
      <c r="E22" s="116">
        <v>75545242.078999996</v>
      </c>
      <c r="F22" s="116">
        <v>30078.2</v>
      </c>
      <c r="G22" s="43" t="str">
        <f>_xlfn.XLOOKUP($A22,Map!$A:$A,Map!C:C)</f>
        <v>BS</v>
      </c>
      <c r="H22" s="43" t="str">
        <f>_xlfn.XLOOKUP($A22,Map!$A:$A,Map!D:D)</f>
        <v>Current Assets</v>
      </c>
      <c r="I22" s="43" t="str">
        <f>_xlfn.XLOOKUP($A22,Map!$A:$A,Map!E:E)</f>
        <v>Cash and cash equivalents</v>
      </c>
      <c r="J22" s="43" t="str">
        <f>_xlfn.XLOOKUP($A22,Map!$A:$A,Map!F:F)</f>
        <v>Bank balances</v>
      </c>
    </row>
    <row r="23" spans="1:10" x14ac:dyDescent="0.25">
      <c r="A23">
        <v>130004</v>
      </c>
      <c r="B23" t="s">
        <v>841</v>
      </c>
      <c r="C23" s="116">
        <v>669960.12</v>
      </c>
      <c r="D23" s="116">
        <v>39340649.645000003</v>
      </c>
      <c r="E23" s="116">
        <v>39387255.414999999</v>
      </c>
      <c r="F23" s="116">
        <v>623354.35</v>
      </c>
      <c r="G23" s="43" t="str">
        <f>_xlfn.XLOOKUP($A23,Map!$A:$A,Map!C:C)</f>
        <v>BS</v>
      </c>
      <c r="H23" s="43" t="str">
        <f>_xlfn.XLOOKUP($A23,Map!$A:$A,Map!D:D)</f>
        <v>Current Assets</v>
      </c>
      <c r="I23" s="43" t="str">
        <f>_xlfn.XLOOKUP($A23,Map!$A:$A,Map!E:E)</f>
        <v>Cash and cash equivalents</v>
      </c>
      <c r="J23" s="43" t="str">
        <f>_xlfn.XLOOKUP($A23,Map!$A:$A,Map!F:F)</f>
        <v>Bank balances</v>
      </c>
    </row>
    <row r="24" spans="1:10" x14ac:dyDescent="0.25">
      <c r="A24">
        <v>130005</v>
      </c>
      <c r="B24" t="s">
        <v>842</v>
      </c>
      <c r="C24" s="116">
        <v>72019.39</v>
      </c>
      <c r="D24" s="116">
        <v>1880333.5</v>
      </c>
      <c r="E24" s="116">
        <v>1947041.62</v>
      </c>
      <c r="F24" s="116">
        <v>5311.27</v>
      </c>
      <c r="G24" s="43" t="str">
        <f>_xlfn.XLOOKUP($A24,Map!$A:$A,Map!C:C)</f>
        <v>BS</v>
      </c>
      <c r="H24" s="43" t="str">
        <f>_xlfn.XLOOKUP($A24,Map!$A:$A,Map!D:D)</f>
        <v>Current Assets</v>
      </c>
      <c r="I24" s="43" t="str">
        <f>_xlfn.XLOOKUP($A24,Map!$A:$A,Map!E:E)</f>
        <v>Cash and cash equivalents</v>
      </c>
      <c r="J24" s="43" t="str">
        <f>_xlfn.XLOOKUP($A24,Map!$A:$A,Map!F:F)</f>
        <v>Bank balances</v>
      </c>
    </row>
    <row r="25" spans="1:10" x14ac:dyDescent="0.25">
      <c r="A25">
        <v>130006</v>
      </c>
      <c r="B25" t="s">
        <v>843</v>
      </c>
      <c r="C25" s="116">
        <v>127521.81</v>
      </c>
      <c r="D25" s="116">
        <v>1574881.65</v>
      </c>
      <c r="E25" s="116">
        <v>1683881.96</v>
      </c>
      <c r="F25" s="116">
        <v>18521.5</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130007</v>
      </c>
      <c r="B26" t="s">
        <v>844</v>
      </c>
      <c r="C26" s="116">
        <v>1042740.7</v>
      </c>
      <c r="D26" s="116">
        <v>24091235.41</v>
      </c>
      <c r="E26" s="116">
        <v>23351770.289999999</v>
      </c>
      <c r="F26" s="116">
        <v>1782205.82</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130008</v>
      </c>
      <c r="B27" t="s">
        <v>845</v>
      </c>
      <c r="C27" s="116">
        <v>16963.79</v>
      </c>
      <c r="D27" s="116">
        <v>22530372.157000002</v>
      </c>
      <c r="E27" s="116">
        <v>22495308.397</v>
      </c>
      <c r="F27" s="116">
        <v>52027.55</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130099</v>
      </c>
      <c r="B28" t="s">
        <v>856</v>
      </c>
      <c r="C28" s="116">
        <v>0</v>
      </c>
      <c r="D28" s="116">
        <v>128991955.29000001</v>
      </c>
      <c r="E28" s="116">
        <v>128991955.29000001</v>
      </c>
      <c r="F28" s="116">
        <v>0</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140001</v>
      </c>
      <c r="B29" t="s">
        <v>857</v>
      </c>
      <c r="C29" s="116">
        <v>36923559</v>
      </c>
      <c r="D29" s="116">
        <v>179758641.09599999</v>
      </c>
      <c r="E29" s="116">
        <v>177008524.47600001</v>
      </c>
      <c r="F29" s="116">
        <v>39673675.619999997</v>
      </c>
      <c r="G29" s="43" t="str">
        <f>_xlfn.XLOOKUP($A29,Map!$A:$A,Map!C:C)</f>
        <v>BS</v>
      </c>
      <c r="H29" s="43" t="str">
        <f>_xlfn.XLOOKUP($A29,Map!$A:$A,Map!D:D)</f>
        <v>Current Assets</v>
      </c>
      <c r="I29" s="43" t="str">
        <f>_xlfn.XLOOKUP($A29,Map!$A:$A,Map!E:E)</f>
        <v>Trade receivables</v>
      </c>
      <c r="J29" s="43" t="str">
        <f>_xlfn.XLOOKUP($A29,Map!$A:$A,Map!F:F)</f>
        <v>Trade receivables - current</v>
      </c>
    </row>
    <row r="30" spans="1:10" x14ac:dyDescent="0.25">
      <c r="A30">
        <v>140010</v>
      </c>
      <c r="B30" t="s">
        <v>858</v>
      </c>
      <c r="C30" s="116">
        <v>0</v>
      </c>
      <c r="D30" s="116">
        <v>0</v>
      </c>
      <c r="E30" s="116">
        <v>0</v>
      </c>
      <c r="F30" s="116">
        <v>0</v>
      </c>
      <c r="G30" s="43" t="str">
        <f>_xlfn.XLOOKUP($A30,Map!$A:$A,Map!C:C)</f>
        <v>BS</v>
      </c>
      <c r="H30" s="43" t="str">
        <f>_xlfn.XLOOKUP($A30,Map!$A:$A,Map!D:D)</f>
        <v>Current Assets</v>
      </c>
      <c r="I30" s="43" t="str">
        <f>_xlfn.XLOOKUP($A30,Map!$A:$A,Map!E:E)</f>
        <v>Trade receivables</v>
      </c>
      <c r="J30" s="43" t="str">
        <f>_xlfn.XLOOKUP($A30,Map!$A:$A,Map!F:F)</f>
        <v>Trade receivables - current</v>
      </c>
    </row>
    <row r="31" spans="1:10" x14ac:dyDescent="0.25">
      <c r="A31">
        <v>150001</v>
      </c>
      <c r="B31" t="s">
        <v>859</v>
      </c>
      <c r="C31" s="116">
        <v>456284.47899999999</v>
      </c>
      <c r="D31" s="116">
        <v>783595.00100000005</v>
      </c>
      <c r="E31" s="116">
        <v>818944.8</v>
      </c>
      <c r="F31" s="116">
        <v>420934.68</v>
      </c>
      <c r="G31" s="43" t="str">
        <f>_xlfn.XLOOKUP($A31,Map!$A:$A,Map!C:C)</f>
        <v>BS</v>
      </c>
      <c r="H31" s="43" t="str">
        <f>_xlfn.XLOOKUP($A31,Map!$A:$A,Map!D:D)</f>
        <v>Current Assets</v>
      </c>
      <c r="I31" s="43" t="str">
        <f>_xlfn.XLOOKUP($A31,Map!$A:$A,Map!E:E)</f>
        <v>Prepaid expenses</v>
      </c>
      <c r="J31" s="43" t="str">
        <f>_xlfn.XLOOKUP($A31,Map!$A:$A,Map!F:F)</f>
        <v>Advances - current</v>
      </c>
    </row>
    <row r="32" spans="1:10" x14ac:dyDescent="0.25">
      <c r="A32">
        <v>160001</v>
      </c>
      <c r="B32" t="s">
        <v>861</v>
      </c>
      <c r="C32" s="116">
        <v>58391.6</v>
      </c>
      <c r="D32" s="116">
        <v>4366306.3</v>
      </c>
      <c r="E32" s="116">
        <v>4356232.28</v>
      </c>
      <c r="F32" s="116">
        <v>68465.62</v>
      </c>
      <c r="G32" s="43" t="str">
        <f>_xlfn.XLOOKUP($A32,Map!$A:$A,Map!C:C)</f>
        <v>BS</v>
      </c>
      <c r="H32" s="43" t="str">
        <f>_xlfn.XLOOKUP($A32,Map!$A:$A,Map!D:D)</f>
        <v>Current Assets</v>
      </c>
      <c r="I32" s="43" t="str">
        <f>_xlfn.XLOOKUP($A32,Map!$A:$A,Map!E:E)</f>
        <v>Cash and cash equivalents</v>
      </c>
      <c r="J32" s="43" t="str">
        <f>_xlfn.XLOOKUP($A32,Map!$A:$A,Map!F:F)</f>
        <v>Petty cash</v>
      </c>
    </row>
    <row r="33" spans="1:10" x14ac:dyDescent="0.25">
      <c r="A33">
        <v>170000</v>
      </c>
      <c r="B33" t="s">
        <v>862</v>
      </c>
      <c r="C33" s="116">
        <v>122637.079</v>
      </c>
      <c r="D33" s="116">
        <v>1057786.6910000001</v>
      </c>
      <c r="E33" s="116">
        <v>813624.48699999996</v>
      </c>
      <c r="F33" s="116">
        <v>366799.283</v>
      </c>
      <c r="G33" s="43" t="str">
        <f>_xlfn.XLOOKUP($A33,Map!$A:$A,Map!C:C)</f>
        <v>BS</v>
      </c>
      <c r="H33" s="43" t="str">
        <f>_xlfn.XLOOKUP($A33,Map!$A:$A,Map!D:D)</f>
        <v>Current Liabilities</v>
      </c>
      <c r="I33" s="43" t="str">
        <f>_xlfn.XLOOKUP($A33,Map!$A:$A,Map!E:E)</f>
        <v>Short-term Murabaha loans</v>
      </c>
      <c r="J33" s="43" t="str">
        <f>_xlfn.XLOOKUP($A33,Map!$A:$A,Map!F:F)</f>
        <v>Prepayments - current</v>
      </c>
    </row>
    <row r="34" spans="1:10" x14ac:dyDescent="0.25">
      <c r="A34">
        <v>170001</v>
      </c>
      <c r="B34" t="s">
        <v>863</v>
      </c>
      <c r="C34" s="116">
        <v>0</v>
      </c>
      <c r="D34" s="116">
        <v>0</v>
      </c>
      <c r="E34" s="116">
        <v>0</v>
      </c>
      <c r="F34" s="116">
        <v>0</v>
      </c>
      <c r="G34" s="43" t="str">
        <f>_xlfn.XLOOKUP($A34,Map!$A:$A,Map!C:C)</f>
        <v>BS</v>
      </c>
      <c r="H34" s="43" t="str">
        <f>_xlfn.XLOOKUP($A34,Map!$A:$A,Map!D:D)</f>
        <v>Current Liabilities</v>
      </c>
      <c r="I34" s="43" t="str">
        <f>_xlfn.XLOOKUP($A34,Map!$A:$A,Map!E:E)</f>
        <v>Short-term Murabaha loans</v>
      </c>
      <c r="J34" s="43" t="str">
        <f>_xlfn.XLOOKUP($A34,Map!$A:$A,Map!F:F)</f>
        <v>Prepayments - current</v>
      </c>
    </row>
    <row r="35" spans="1:10" x14ac:dyDescent="0.25">
      <c r="A35">
        <v>170003</v>
      </c>
      <c r="B35" t="s">
        <v>865</v>
      </c>
      <c r="C35" s="116">
        <v>58936.4</v>
      </c>
      <c r="D35" s="116">
        <v>610639.43000000005</v>
      </c>
      <c r="E35" s="116">
        <v>640487.34299999999</v>
      </c>
      <c r="F35" s="116">
        <v>29088.487000000001</v>
      </c>
      <c r="G35" s="43" t="str">
        <f>_xlfn.XLOOKUP($A35,Map!$A:$A,Map!C:C)</f>
        <v>BS</v>
      </c>
      <c r="H35" s="43" t="str">
        <f>_xlfn.XLOOKUP($A35,Map!$A:$A,Map!D:D)</f>
        <v>Current Liabilities</v>
      </c>
      <c r="I35" s="43" t="str">
        <f>_xlfn.XLOOKUP($A35,Map!$A:$A,Map!E:E)</f>
        <v>Short-term Murabaha loans</v>
      </c>
      <c r="J35" s="43" t="str">
        <f>_xlfn.XLOOKUP($A35,Map!$A:$A,Map!F:F)</f>
        <v>Prepayments - current</v>
      </c>
    </row>
    <row r="36" spans="1:10" x14ac:dyDescent="0.25">
      <c r="A36">
        <v>170004</v>
      </c>
      <c r="B36" t="s">
        <v>866</v>
      </c>
      <c r="C36" s="116">
        <v>13828.647999999999</v>
      </c>
      <c r="D36" s="116">
        <v>7858.7169999999996</v>
      </c>
      <c r="E36" s="116">
        <v>21687.365000000002</v>
      </c>
      <c r="F36" s="116">
        <v>0</v>
      </c>
      <c r="G36" s="43" t="str">
        <f>_xlfn.XLOOKUP($A36,Map!$A:$A,Map!C:C)</f>
        <v>BS</v>
      </c>
      <c r="H36" s="43" t="str">
        <f>_xlfn.XLOOKUP($A36,Map!$A:$A,Map!D:D)</f>
        <v>Current Liabilities</v>
      </c>
      <c r="I36" s="43" t="str">
        <f>_xlfn.XLOOKUP($A36,Map!$A:$A,Map!E:E)</f>
        <v>Short-term Murabaha loans</v>
      </c>
      <c r="J36" s="43" t="str">
        <f>_xlfn.XLOOKUP($A36,Map!$A:$A,Map!F:F)</f>
        <v>Prepayments - current</v>
      </c>
    </row>
    <row r="37" spans="1:10" x14ac:dyDescent="0.25">
      <c r="A37">
        <v>170005</v>
      </c>
      <c r="B37" t="s">
        <v>867</v>
      </c>
      <c r="C37" s="116">
        <v>0</v>
      </c>
      <c r="D37" s="116">
        <v>57990</v>
      </c>
      <c r="E37" s="116">
        <v>57990</v>
      </c>
      <c r="F37" s="116">
        <v>0</v>
      </c>
      <c r="G37" s="43" t="str">
        <f>_xlfn.XLOOKUP($A37,Map!$A:$A,Map!C:C)</f>
        <v>BS</v>
      </c>
      <c r="H37" s="43" t="str">
        <f>_xlfn.XLOOKUP($A37,Map!$A:$A,Map!D:D)</f>
        <v>Current Assets</v>
      </c>
      <c r="I37" s="43" t="str">
        <f>_xlfn.XLOOKUP($A37,Map!$A:$A,Map!E:E)</f>
        <v>Prepaid expenses</v>
      </c>
      <c r="J37" s="43" t="str">
        <f>_xlfn.XLOOKUP($A37,Map!$A:$A,Map!F:F)</f>
        <v>Deposits - current</v>
      </c>
    </row>
    <row r="38" spans="1:10" x14ac:dyDescent="0.25">
      <c r="A38">
        <v>170006</v>
      </c>
      <c r="B38" t="s">
        <v>868</v>
      </c>
      <c r="C38" s="116">
        <v>453316.30099999998</v>
      </c>
      <c r="D38" s="116">
        <v>2470569.29</v>
      </c>
      <c r="E38" s="116">
        <v>1952336.9820000001</v>
      </c>
      <c r="F38" s="116">
        <v>971548.60900000005</v>
      </c>
      <c r="G38" s="43" t="str">
        <f>_xlfn.XLOOKUP($A38,Map!$A:$A,Map!C:C)</f>
        <v>BS</v>
      </c>
      <c r="H38" s="43" t="str">
        <f>_xlfn.XLOOKUP($A38,Map!$A:$A,Map!D:D)</f>
        <v>Current Assets</v>
      </c>
      <c r="I38" s="43" t="str">
        <f>_xlfn.XLOOKUP($A38,Map!$A:$A,Map!E:E)</f>
        <v>Prepaid expenses</v>
      </c>
      <c r="J38" s="43" t="str">
        <f>_xlfn.XLOOKUP($A38,Map!$A:$A,Map!F:F)</f>
        <v>Deposits - current</v>
      </c>
    </row>
    <row r="39" spans="1:10" x14ac:dyDescent="0.25">
      <c r="A39">
        <v>170007</v>
      </c>
      <c r="B39" t="s">
        <v>869</v>
      </c>
      <c r="C39" s="116">
        <v>319948.95400000003</v>
      </c>
      <c r="D39" s="116">
        <v>159610.18799999999</v>
      </c>
      <c r="E39" s="116">
        <v>479559.14199999999</v>
      </c>
      <c r="F39" s="116">
        <v>0</v>
      </c>
      <c r="G39" s="43" t="str">
        <f>_xlfn.XLOOKUP($A39,Map!$A:$A,Map!C:C)</f>
        <v>BS</v>
      </c>
      <c r="H39" s="43" t="str">
        <f>_xlfn.XLOOKUP($A39,Map!$A:$A,Map!D:D)</f>
        <v>Current Assets</v>
      </c>
      <c r="I39" s="43" t="str">
        <f>_xlfn.XLOOKUP($A39,Map!$A:$A,Map!E:E)</f>
        <v>Prepaid expenses</v>
      </c>
      <c r="J39" s="43" t="str">
        <f>_xlfn.XLOOKUP($A39,Map!$A:$A,Map!F:F)</f>
        <v>Deposits - current</v>
      </c>
    </row>
    <row r="40" spans="1:10" x14ac:dyDescent="0.25">
      <c r="A40">
        <v>170008</v>
      </c>
      <c r="B40" t="s">
        <v>870</v>
      </c>
      <c r="C40" s="116">
        <v>-2E-3</v>
      </c>
      <c r="D40" s="116">
        <v>2E-3</v>
      </c>
      <c r="E40" s="116">
        <v>0</v>
      </c>
      <c r="F40" s="116">
        <v>0</v>
      </c>
      <c r="G40" s="43" t="str">
        <f>_xlfn.XLOOKUP($A40,Map!$A:$A,Map!C:C)</f>
        <v>BS</v>
      </c>
      <c r="H40" s="43" t="str">
        <f>_xlfn.XLOOKUP($A40,Map!$A:$A,Map!D:D)</f>
        <v>Current Assets</v>
      </c>
      <c r="I40" s="43" t="str">
        <f>_xlfn.XLOOKUP($A40,Map!$A:$A,Map!E:E)</f>
        <v>Prepaid expenses</v>
      </c>
      <c r="J40" s="43" t="str">
        <f>_xlfn.XLOOKUP($A40,Map!$A:$A,Map!F:F)</f>
        <v>Deposits - current</v>
      </c>
    </row>
    <row r="41" spans="1:10" x14ac:dyDescent="0.25">
      <c r="A41">
        <v>170009</v>
      </c>
      <c r="B41" t="s">
        <v>871</v>
      </c>
      <c r="C41" s="116">
        <v>94955</v>
      </c>
      <c r="D41" s="116">
        <v>1657723</v>
      </c>
      <c r="E41" s="116">
        <v>1693095</v>
      </c>
      <c r="F41" s="116">
        <v>59583</v>
      </c>
      <c r="G41" s="43" t="str">
        <f>_xlfn.XLOOKUP($A41,Map!$A:$A,Map!C:C)</f>
        <v>BS</v>
      </c>
      <c r="H41" s="43" t="str">
        <f>_xlfn.XLOOKUP($A41,Map!$A:$A,Map!D:D)</f>
        <v>Current Assets</v>
      </c>
      <c r="I41" s="43" t="str">
        <f>_xlfn.XLOOKUP($A41,Map!$A:$A,Map!E:E)</f>
        <v>Prepaid expenses</v>
      </c>
      <c r="J41" s="43" t="str">
        <f>_xlfn.XLOOKUP($A41,Map!$A:$A,Map!F:F)</f>
        <v>Rent</v>
      </c>
    </row>
    <row r="42" spans="1:10" x14ac:dyDescent="0.25">
      <c r="A42">
        <v>170010</v>
      </c>
      <c r="B42" t="s">
        <v>872</v>
      </c>
      <c r="C42" s="116">
        <v>0</v>
      </c>
      <c r="D42" s="116">
        <v>669300</v>
      </c>
      <c r="E42" s="116">
        <v>669300</v>
      </c>
      <c r="F42" s="116">
        <v>0</v>
      </c>
      <c r="G42" s="43" t="str">
        <f>_xlfn.XLOOKUP($A42,Map!$A:$A,Map!C:C)</f>
        <v>BS</v>
      </c>
      <c r="H42" s="43" t="str">
        <f>_xlfn.XLOOKUP($A42,Map!$A:$A,Map!D:D)</f>
        <v>Current Assets</v>
      </c>
      <c r="I42" s="43" t="str">
        <f>_xlfn.XLOOKUP($A42,Map!$A:$A,Map!E:E)</f>
        <v>Prepaid expenses</v>
      </c>
      <c r="J42" s="43" t="str">
        <f>_xlfn.XLOOKUP($A42,Map!$A:$A,Map!F:F)</f>
        <v>Housing allowance</v>
      </c>
    </row>
    <row r="43" spans="1:10" x14ac:dyDescent="0.25">
      <c r="A43">
        <v>170011</v>
      </c>
      <c r="B43" t="s">
        <v>873</v>
      </c>
      <c r="C43" s="116">
        <v>0</v>
      </c>
      <c r="D43" s="116">
        <v>113000</v>
      </c>
      <c r="E43" s="116">
        <v>113000</v>
      </c>
      <c r="F43" s="116">
        <v>0</v>
      </c>
      <c r="G43" s="43" t="str">
        <f>_xlfn.XLOOKUP($A43,Map!$A:$A,Map!C:C)</f>
        <v>BS</v>
      </c>
      <c r="H43" s="43" t="str">
        <f>_xlfn.XLOOKUP($A43,Map!$A:$A,Map!D:D)</f>
        <v>Current Assets</v>
      </c>
      <c r="I43" s="43" t="str">
        <f>_xlfn.XLOOKUP($A43,Map!$A:$A,Map!E:E)</f>
        <v>Prepaid expenses</v>
      </c>
      <c r="J43" s="43" t="str">
        <f>_xlfn.XLOOKUP($A43,Map!$A:$A,Map!F:F)</f>
        <v>Air tickets</v>
      </c>
    </row>
    <row r="44" spans="1:10" x14ac:dyDescent="0.25">
      <c r="A44">
        <v>170013</v>
      </c>
      <c r="B44" t="s">
        <v>875</v>
      </c>
      <c r="C44" s="116">
        <v>59000</v>
      </c>
      <c r="D44" s="116">
        <v>0</v>
      </c>
      <c r="E44" s="116">
        <v>0</v>
      </c>
      <c r="F44" s="116">
        <v>59000</v>
      </c>
      <c r="G44" s="43" t="str">
        <f>_xlfn.XLOOKUP($A44,Map!$A:$A,Map!C:C)</f>
        <v>BS</v>
      </c>
      <c r="H44" s="43" t="str">
        <f>_xlfn.XLOOKUP($A44,Map!$A:$A,Map!D:D)</f>
        <v>Current Assets</v>
      </c>
      <c r="I44" s="43" t="str">
        <f>_xlfn.XLOOKUP($A44,Map!$A:$A,Map!E:E)</f>
        <v>Prepaid expenses</v>
      </c>
      <c r="J44" s="43" t="str">
        <f>_xlfn.XLOOKUP($A44,Map!$A:$A,Map!F:F)</f>
        <v>Insurance</v>
      </c>
    </row>
    <row r="45" spans="1:10" x14ac:dyDescent="0.25">
      <c r="A45">
        <v>170014</v>
      </c>
      <c r="B45" t="s">
        <v>876</v>
      </c>
      <c r="C45" s="116">
        <v>227470.541</v>
      </c>
      <c r="D45" s="116">
        <v>576897</v>
      </c>
      <c r="E45" s="116">
        <v>489835.54100000003</v>
      </c>
      <c r="F45" s="116">
        <v>314532</v>
      </c>
      <c r="G45" s="43" t="str">
        <f>_xlfn.XLOOKUP($A45,Map!$A:$A,Map!C:C)</f>
        <v>BS</v>
      </c>
      <c r="H45" s="43" t="str">
        <f>_xlfn.XLOOKUP($A45,Map!$A:$A,Map!D:D)</f>
        <v>Current Assets</v>
      </c>
      <c r="I45" s="43" t="str">
        <f>_xlfn.XLOOKUP($A45,Map!$A:$A,Map!E:E)</f>
        <v>Prepaid expenses</v>
      </c>
      <c r="J45" s="43" t="str">
        <f>_xlfn.XLOOKUP($A45,Map!$A:$A,Map!F:F)</f>
        <v>Insurance</v>
      </c>
    </row>
    <row r="46" spans="1:10" x14ac:dyDescent="0.25">
      <c r="A46">
        <v>170015</v>
      </c>
      <c r="B46" t="s">
        <v>877</v>
      </c>
      <c r="C46" s="116">
        <v>0</v>
      </c>
      <c r="D46" s="116">
        <v>14480</v>
      </c>
      <c r="E46" s="116">
        <v>14480</v>
      </c>
      <c r="F46" s="116">
        <v>0</v>
      </c>
      <c r="G46" s="43" t="str">
        <f>_xlfn.XLOOKUP($A46,Map!$A:$A,Map!C:C)</f>
        <v>BS</v>
      </c>
      <c r="H46" s="43" t="str">
        <f>_xlfn.XLOOKUP($A46,Map!$A:$A,Map!D:D)</f>
        <v>Current Assets</v>
      </c>
      <c r="I46" s="43" t="str">
        <f>_xlfn.XLOOKUP($A46,Map!$A:$A,Map!E:E)</f>
        <v>Prepaid expenses</v>
      </c>
      <c r="J46" s="43" t="str">
        <f>_xlfn.XLOOKUP($A46,Map!$A:$A,Map!F:F)</f>
        <v>Salaries and wages</v>
      </c>
    </row>
    <row r="47" spans="1:10" x14ac:dyDescent="0.25">
      <c r="A47">
        <v>180001</v>
      </c>
      <c r="B47" t="s">
        <v>884</v>
      </c>
      <c r="C47" s="116">
        <v>180341.72399999999</v>
      </c>
      <c r="D47" s="116">
        <v>3444714.9070000001</v>
      </c>
      <c r="E47" s="116">
        <v>3625056.6310000001</v>
      </c>
      <c r="F47" s="116">
        <v>0</v>
      </c>
      <c r="G47" s="43" t="str">
        <f>_xlfn.XLOOKUP($A47,Map!$A:$A,Map!C:C)</f>
        <v>BS</v>
      </c>
      <c r="H47" s="43" t="str">
        <f>_xlfn.XLOOKUP($A47,Map!$A:$A,Map!D:D)</f>
        <v>Current Assets</v>
      </c>
      <c r="I47" s="43" t="str">
        <f>_xlfn.XLOOKUP($A47,Map!$A:$A,Map!E:E)</f>
        <v>Inventories</v>
      </c>
      <c r="J47" s="43" t="str">
        <f>_xlfn.XLOOKUP($A47,Map!$A:$A,Map!F:F)</f>
        <v>Raw materials - Inventory</v>
      </c>
    </row>
    <row r="48" spans="1:10" x14ac:dyDescent="0.25">
      <c r="A48">
        <v>180002</v>
      </c>
      <c r="B48" t="s">
        <v>885</v>
      </c>
      <c r="C48" s="116">
        <v>0</v>
      </c>
      <c r="D48" s="116">
        <v>503484.14199999999</v>
      </c>
      <c r="E48" s="116">
        <v>503484.14199999999</v>
      </c>
      <c r="F48" s="116">
        <v>0</v>
      </c>
      <c r="G48" s="43" t="str">
        <f>_xlfn.XLOOKUP($A48,Map!$A:$A,Map!C:C)</f>
        <v>BS</v>
      </c>
      <c r="H48" s="43" t="str">
        <f>_xlfn.XLOOKUP($A48,Map!$A:$A,Map!D:D)</f>
        <v>Current Assets</v>
      </c>
      <c r="I48" s="43" t="str">
        <f>_xlfn.XLOOKUP($A48,Map!$A:$A,Map!E:E)</f>
        <v>Inventories</v>
      </c>
      <c r="J48" s="43" t="str">
        <f>_xlfn.XLOOKUP($A48,Map!$A:$A,Map!F:F)</f>
        <v>Raw materials - Inventory</v>
      </c>
    </row>
    <row r="49" spans="1:10" x14ac:dyDescent="0.25">
      <c r="A49">
        <v>180003</v>
      </c>
      <c r="B49" t="s">
        <v>886</v>
      </c>
      <c r="C49" s="116">
        <v>1662493.5430000001</v>
      </c>
      <c r="D49" s="116">
        <v>5545826.0590000004</v>
      </c>
      <c r="E49" s="116">
        <v>3918136.173</v>
      </c>
      <c r="F49" s="116">
        <v>3290183.429</v>
      </c>
      <c r="G49" s="43" t="str">
        <f>_xlfn.XLOOKUP($A49,Map!$A:$A,Map!C:C)</f>
        <v>BS</v>
      </c>
      <c r="H49" s="43" t="str">
        <f>_xlfn.XLOOKUP($A49,Map!$A:$A,Map!D:D)</f>
        <v>Current Assets</v>
      </c>
      <c r="I49" s="43" t="str">
        <f>_xlfn.XLOOKUP($A49,Map!$A:$A,Map!E:E)</f>
        <v>Inventories</v>
      </c>
      <c r="J49" s="43" t="str">
        <f>_xlfn.XLOOKUP($A49,Map!$A:$A,Map!F:F)</f>
        <v>Spare parts - Inventory</v>
      </c>
    </row>
    <row r="50" spans="1:10" x14ac:dyDescent="0.25">
      <c r="A50">
        <v>180004</v>
      </c>
      <c r="B50" t="s">
        <v>887</v>
      </c>
      <c r="C50" s="116">
        <v>3346088.281</v>
      </c>
      <c r="D50" s="116">
        <v>8260089.5350000001</v>
      </c>
      <c r="E50" s="116">
        <v>8516898.9409999996</v>
      </c>
      <c r="F50" s="116">
        <v>3089278.875</v>
      </c>
      <c r="G50" s="43" t="str">
        <f>_xlfn.XLOOKUP($A50,Map!$A:$A,Map!C:C)</f>
        <v>BS</v>
      </c>
      <c r="H50" s="43" t="str">
        <f>_xlfn.XLOOKUP($A50,Map!$A:$A,Map!D:D)</f>
        <v>Current Assets</v>
      </c>
      <c r="I50" s="43" t="str">
        <f>_xlfn.XLOOKUP($A50,Map!$A:$A,Map!E:E)</f>
        <v>Inventories</v>
      </c>
      <c r="J50" s="43" t="str">
        <f>_xlfn.XLOOKUP($A50,Map!$A:$A,Map!F:F)</f>
        <v>Raw materials - Inventory</v>
      </c>
    </row>
    <row r="51" spans="1:10" x14ac:dyDescent="0.25">
      <c r="A51">
        <v>180005</v>
      </c>
      <c r="B51" t="s">
        <v>888</v>
      </c>
      <c r="C51" s="116">
        <v>5751580.5860000001</v>
      </c>
      <c r="D51" s="116">
        <v>7760000.9939999999</v>
      </c>
      <c r="E51" s="116">
        <v>10564083.034</v>
      </c>
      <c r="F51" s="116">
        <v>2947498.5460000001</v>
      </c>
      <c r="G51" s="43" t="str">
        <f>_xlfn.XLOOKUP($A51,Map!$A:$A,Map!C:C)</f>
        <v>BS</v>
      </c>
      <c r="H51" s="43" t="str">
        <f>_xlfn.XLOOKUP($A51,Map!$A:$A,Map!D:D)</f>
        <v>Current Assets</v>
      </c>
      <c r="I51" s="43" t="str">
        <f>_xlfn.XLOOKUP($A51,Map!$A:$A,Map!E:E)</f>
        <v>Inventories</v>
      </c>
      <c r="J51" s="43" t="str">
        <f>_xlfn.XLOOKUP($A51,Map!$A:$A,Map!F:F)</f>
        <v>Raw materials - Inventory</v>
      </c>
    </row>
    <row r="52" spans="1:10" x14ac:dyDescent="0.25">
      <c r="A52">
        <v>180006</v>
      </c>
      <c r="B52" t="s">
        <v>889</v>
      </c>
      <c r="C52" s="116">
        <v>1294747.0009999999</v>
      </c>
      <c r="D52" s="116">
        <v>5479385.2410000004</v>
      </c>
      <c r="E52" s="116">
        <v>5613104.9680000003</v>
      </c>
      <c r="F52" s="116">
        <v>1161027.274</v>
      </c>
      <c r="G52" s="43" t="str">
        <f>_xlfn.XLOOKUP($A52,Map!$A:$A,Map!C:C)</f>
        <v>BS</v>
      </c>
      <c r="H52" s="43" t="str">
        <f>_xlfn.XLOOKUP($A52,Map!$A:$A,Map!D:D)</f>
        <v>Current Assets</v>
      </c>
      <c r="I52" s="43" t="str">
        <f>_xlfn.XLOOKUP($A52,Map!$A:$A,Map!E:E)</f>
        <v>Inventories</v>
      </c>
      <c r="J52" s="43" t="str">
        <f>_xlfn.XLOOKUP($A52,Map!$A:$A,Map!F:F)</f>
        <v>Raw materials - Inventory</v>
      </c>
    </row>
    <row r="53" spans="1:10" x14ac:dyDescent="0.25">
      <c r="A53">
        <v>180007</v>
      </c>
      <c r="B53" t="s">
        <v>890</v>
      </c>
      <c r="C53" s="116">
        <v>1532382.561</v>
      </c>
      <c r="D53" s="116">
        <v>16441195.706</v>
      </c>
      <c r="E53" s="116">
        <v>10745804.137</v>
      </c>
      <c r="F53" s="116">
        <v>7227774.1299999999</v>
      </c>
      <c r="G53" s="43" t="str">
        <f>_xlfn.XLOOKUP($A53,Map!$A:$A,Map!C:C)</f>
        <v>BS</v>
      </c>
      <c r="H53" s="43" t="str">
        <f>_xlfn.XLOOKUP($A53,Map!$A:$A,Map!D:D)</f>
        <v>Current Assets</v>
      </c>
      <c r="I53" s="43" t="str">
        <f>_xlfn.XLOOKUP($A53,Map!$A:$A,Map!E:E)</f>
        <v>Inventories</v>
      </c>
      <c r="J53" s="43" t="str">
        <f>_xlfn.XLOOKUP($A53,Map!$A:$A,Map!F:F)</f>
        <v>Raw materials - Inventory</v>
      </c>
    </row>
    <row r="54" spans="1:10" x14ac:dyDescent="0.25">
      <c r="A54">
        <v>180008</v>
      </c>
      <c r="B54" t="s">
        <v>891</v>
      </c>
      <c r="C54" s="116">
        <v>1499877.777</v>
      </c>
      <c r="D54" s="116">
        <v>484404.891</v>
      </c>
      <c r="E54" s="116">
        <v>584154.85199999996</v>
      </c>
      <c r="F54" s="116">
        <v>1400127.8160000001</v>
      </c>
      <c r="G54" s="43" t="str">
        <f>_xlfn.XLOOKUP($A54,Map!$A:$A,Map!C:C)</f>
        <v>BS</v>
      </c>
      <c r="H54" s="43" t="str">
        <f>_xlfn.XLOOKUP($A54,Map!$A:$A,Map!D:D)</f>
        <v>Current Assets</v>
      </c>
      <c r="I54" s="43" t="str">
        <f>_xlfn.XLOOKUP($A54,Map!$A:$A,Map!E:E)</f>
        <v>Inventories</v>
      </c>
      <c r="J54" s="43" t="str">
        <f>_xlfn.XLOOKUP($A54,Map!$A:$A,Map!F:F)</f>
        <v>Raw materials - Inventory</v>
      </c>
    </row>
    <row r="55" spans="1:10" x14ac:dyDescent="0.25">
      <c r="A55">
        <v>180009</v>
      </c>
      <c r="B55" t="s">
        <v>892</v>
      </c>
      <c r="C55" s="116">
        <v>0</v>
      </c>
      <c r="D55" s="116">
        <v>3812434162.0869999</v>
      </c>
      <c r="E55" s="116">
        <v>3812434162.0819998</v>
      </c>
      <c r="F55" s="116">
        <v>5.0000000000000001E-3</v>
      </c>
      <c r="G55" s="43" t="str">
        <f>_xlfn.XLOOKUP($A55,Map!$A:$A,Map!C:C)</f>
        <v>BS</v>
      </c>
      <c r="H55" s="43" t="str">
        <f>_xlfn.XLOOKUP($A55,Map!$A:$A,Map!D:D)</f>
        <v>Current Assets</v>
      </c>
      <c r="I55" s="43" t="str">
        <f>_xlfn.XLOOKUP($A55,Map!$A:$A,Map!E:E)</f>
        <v>Inventories</v>
      </c>
      <c r="J55" s="43" t="str">
        <f>_xlfn.XLOOKUP($A55,Map!$A:$A,Map!F:F)</f>
        <v>Raw materials - Inventory</v>
      </c>
    </row>
    <row r="56" spans="1:10" x14ac:dyDescent="0.25">
      <c r="A56">
        <v>180010</v>
      </c>
      <c r="B56" t="s">
        <v>893</v>
      </c>
      <c r="C56" s="116">
        <v>1327453.811</v>
      </c>
      <c r="D56" s="116">
        <v>3091568.3659999999</v>
      </c>
      <c r="E56" s="116">
        <v>3025348.7880000002</v>
      </c>
      <c r="F56" s="116">
        <v>1393673.389</v>
      </c>
      <c r="G56" s="43" t="str">
        <f>_xlfn.XLOOKUP($A56,Map!$A:$A,Map!C:C)</f>
        <v>BS</v>
      </c>
      <c r="H56" s="43" t="str">
        <f>_xlfn.XLOOKUP($A56,Map!$A:$A,Map!D:D)</f>
        <v>Current Assets</v>
      </c>
      <c r="I56" s="43" t="str">
        <f>_xlfn.XLOOKUP($A56,Map!$A:$A,Map!E:E)</f>
        <v>Inventories</v>
      </c>
      <c r="J56" s="43" t="str">
        <f>_xlfn.XLOOKUP($A56,Map!$A:$A,Map!F:F)</f>
        <v>Packaging materials - Inventory</v>
      </c>
    </row>
    <row r="57" spans="1:10" x14ac:dyDescent="0.25">
      <c r="A57">
        <v>180011</v>
      </c>
      <c r="B57" t="s">
        <v>894</v>
      </c>
      <c r="C57" s="116">
        <v>3798456.87</v>
      </c>
      <c r="D57" s="116">
        <v>50167096.302000001</v>
      </c>
      <c r="E57" s="116">
        <v>50333405.369000003</v>
      </c>
      <c r="F57" s="116">
        <v>3632147.8029999998</v>
      </c>
      <c r="G57" s="43" t="str">
        <f>_xlfn.XLOOKUP($A57,Map!$A:$A,Map!C:C)</f>
        <v>BS</v>
      </c>
      <c r="H57" s="43" t="str">
        <f>_xlfn.XLOOKUP($A57,Map!$A:$A,Map!D:D)</f>
        <v>Current Assets</v>
      </c>
      <c r="I57" s="43" t="str">
        <f>_xlfn.XLOOKUP($A57,Map!$A:$A,Map!E:E)</f>
        <v>Inventories</v>
      </c>
      <c r="J57" s="43" t="str">
        <f>_xlfn.XLOOKUP($A57,Map!$A:$A,Map!F:F)</f>
        <v>Finished goods - Inventory</v>
      </c>
    </row>
    <row r="58" spans="1:10" x14ac:dyDescent="0.25">
      <c r="A58">
        <v>180012</v>
      </c>
      <c r="B58" t="s">
        <v>895</v>
      </c>
      <c r="C58" s="116">
        <v>2714441.9569999999</v>
      </c>
      <c r="D58" s="116">
        <v>44165781.913000003</v>
      </c>
      <c r="E58" s="116">
        <v>44630502.806000002</v>
      </c>
      <c r="F58" s="116">
        <v>2249721.0639999998</v>
      </c>
      <c r="G58" s="43" t="str">
        <f>_xlfn.XLOOKUP($A58,Map!$A:$A,Map!C:C)</f>
        <v>BS</v>
      </c>
      <c r="H58" s="43" t="str">
        <f>_xlfn.XLOOKUP($A58,Map!$A:$A,Map!D:D)</f>
        <v>Current Assets</v>
      </c>
      <c r="I58" s="43" t="str">
        <f>_xlfn.XLOOKUP($A58,Map!$A:$A,Map!E:E)</f>
        <v>Inventories</v>
      </c>
      <c r="J58" s="43" t="str">
        <f>_xlfn.XLOOKUP($A58,Map!$A:$A,Map!F:F)</f>
        <v>Work in progress - Inventory</v>
      </c>
    </row>
    <row r="59" spans="1:10" x14ac:dyDescent="0.25">
      <c r="A59">
        <v>180013</v>
      </c>
      <c r="B59" t="s">
        <v>896</v>
      </c>
      <c r="C59" s="116">
        <v>5304869.8890000004</v>
      </c>
      <c r="D59" s="116">
        <v>11468347.221000001</v>
      </c>
      <c r="E59" s="116">
        <v>10485377.005999999</v>
      </c>
      <c r="F59" s="116">
        <v>6287840.1040000003</v>
      </c>
      <c r="G59" s="43" t="str">
        <f>_xlfn.XLOOKUP($A59,Map!$A:$A,Map!C:C)</f>
        <v>BS</v>
      </c>
      <c r="H59" s="43" t="str">
        <f>_xlfn.XLOOKUP($A59,Map!$A:$A,Map!D:D)</f>
        <v>Current Assets</v>
      </c>
      <c r="I59" s="43" t="str">
        <f>_xlfn.XLOOKUP($A59,Map!$A:$A,Map!E:E)</f>
        <v>Inventories</v>
      </c>
      <c r="J59" s="43" t="str">
        <f>_xlfn.XLOOKUP($A59,Map!$A:$A,Map!F:F)</f>
        <v>Finished goods - Inventory</v>
      </c>
    </row>
    <row r="60" spans="1:10" x14ac:dyDescent="0.25">
      <c r="A60">
        <v>180014</v>
      </c>
      <c r="B60" t="s">
        <v>897</v>
      </c>
      <c r="C60" s="116">
        <v>0</v>
      </c>
      <c r="D60" s="116">
        <v>52510630.848999999</v>
      </c>
      <c r="E60" s="116">
        <v>52510630.848999999</v>
      </c>
      <c r="F60" s="116">
        <v>0</v>
      </c>
      <c r="G60" s="43" t="str">
        <f>_xlfn.XLOOKUP($A60,Map!$A:$A,Map!C:C)</f>
        <v>BS</v>
      </c>
      <c r="H60" s="43" t="str">
        <f>_xlfn.XLOOKUP($A60,Map!$A:$A,Map!D:D)</f>
        <v>Current Assets</v>
      </c>
      <c r="I60" s="43" t="str">
        <f>_xlfn.XLOOKUP($A60,Map!$A:$A,Map!E:E)</f>
        <v>Inventories</v>
      </c>
      <c r="J60" s="43" t="str">
        <f>_xlfn.XLOOKUP($A60,Map!$A:$A,Map!F:F)</f>
        <v>Work in progress - Inventory</v>
      </c>
    </row>
    <row r="61" spans="1:10" x14ac:dyDescent="0.25">
      <c r="A61">
        <v>180096</v>
      </c>
      <c r="B61" t="s">
        <v>898</v>
      </c>
      <c r="C61" s="116">
        <v>0</v>
      </c>
      <c r="D61" s="116">
        <v>17150891.923</v>
      </c>
      <c r="E61" s="116">
        <v>17150891.925000001</v>
      </c>
      <c r="F61" s="116">
        <v>-2E-3</v>
      </c>
      <c r="G61" s="43" t="str">
        <f>_xlfn.XLOOKUP($A61,Map!$A:$A,Map!C:C)</f>
        <v>BS</v>
      </c>
      <c r="H61" s="43" t="str">
        <f>_xlfn.XLOOKUP($A61,Map!$A:$A,Map!D:D)</f>
        <v>Current Assets</v>
      </c>
      <c r="I61" s="43" t="str">
        <f>_xlfn.XLOOKUP($A61,Map!$A:$A,Map!E:E)</f>
        <v>Inventories</v>
      </c>
      <c r="J61" s="43" t="str">
        <f>_xlfn.XLOOKUP($A61,Map!$A:$A,Map!F:F)</f>
        <v>Work in progress - Inventory</v>
      </c>
    </row>
    <row r="62" spans="1:10" x14ac:dyDescent="0.25">
      <c r="A62">
        <v>180097</v>
      </c>
      <c r="B62" t="s">
        <v>899</v>
      </c>
      <c r="C62" s="116">
        <v>0</v>
      </c>
      <c r="D62" s="116">
        <v>2525655.5950000002</v>
      </c>
      <c r="E62" s="116">
        <v>2525655.5950000002</v>
      </c>
      <c r="F62" s="116">
        <v>0</v>
      </c>
      <c r="G62" s="43" t="str">
        <f>_xlfn.XLOOKUP($A62,Map!$A:$A,Map!C:C)</f>
        <v>BS</v>
      </c>
      <c r="H62" s="43" t="str">
        <f>_xlfn.XLOOKUP($A62,Map!$A:$A,Map!D:D)</f>
        <v>Current Assets</v>
      </c>
      <c r="I62" s="43" t="str">
        <f>_xlfn.XLOOKUP($A62,Map!$A:$A,Map!E:E)</f>
        <v>Inventories</v>
      </c>
      <c r="J62" s="43" t="str">
        <f>_xlfn.XLOOKUP($A62,Map!$A:$A,Map!F:F)</f>
        <v>Work in progress - Inventory</v>
      </c>
    </row>
    <row r="63" spans="1:10" x14ac:dyDescent="0.25">
      <c r="A63">
        <v>180098</v>
      </c>
      <c r="B63" t="s">
        <v>900</v>
      </c>
      <c r="C63" s="116">
        <v>0</v>
      </c>
      <c r="D63" s="116">
        <v>0</v>
      </c>
      <c r="E63" s="116">
        <v>0</v>
      </c>
      <c r="F63" s="116">
        <v>0</v>
      </c>
      <c r="G63" s="43" t="str">
        <f>_xlfn.XLOOKUP($A63,Map!$A:$A,Map!C:C)</f>
        <v>BS</v>
      </c>
      <c r="H63" s="43" t="str">
        <f>_xlfn.XLOOKUP($A63,Map!$A:$A,Map!D:D)</f>
        <v>Current Assets</v>
      </c>
      <c r="I63" s="43" t="str">
        <f>_xlfn.XLOOKUP($A63,Map!$A:$A,Map!E:E)</f>
        <v>Inventories</v>
      </c>
      <c r="J63" s="43" t="str">
        <f>_xlfn.XLOOKUP($A63,Map!$A:$A,Map!F:F)</f>
        <v>Work in progress - Inventory</v>
      </c>
    </row>
    <row r="64" spans="1:10" x14ac:dyDescent="0.25">
      <c r="A64">
        <v>180099</v>
      </c>
      <c r="B64" t="s">
        <v>901</v>
      </c>
      <c r="C64" s="116">
        <v>0</v>
      </c>
      <c r="D64" s="116">
        <v>0</v>
      </c>
      <c r="E64" s="116">
        <v>0</v>
      </c>
      <c r="F64" s="116">
        <v>0</v>
      </c>
      <c r="G64" s="43" t="str">
        <f>_xlfn.XLOOKUP($A64,Map!$A:$A,Map!C:C)</f>
        <v>BS</v>
      </c>
      <c r="H64" s="43" t="str">
        <f>_xlfn.XLOOKUP($A64,Map!$A:$A,Map!D:D)</f>
        <v>Current Assets</v>
      </c>
      <c r="I64" s="43" t="str">
        <f>_xlfn.XLOOKUP($A64,Map!$A:$A,Map!E:E)</f>
        <v>Inventories</v>
      </c>
      <c r="J64" s="43" t="str">
        <f>_xlfn.XLOOKUP($A64,Map!$A:$A,Map!F:F)</f>
        <v>Goods in transit - Inventory</v>
      </c>
    </row>
    <row r="65" spans="1:10" x14ac:dyDescent="0.25">
      <c r="A65">
        <v>210001</v>
      </c>
      <c r="B65" t="s">
        <v>902</v>
      </c>
      <c r="C65" s="116">
        <v>217818.4</v>
      </c>
      <c r="D65" s="116">
        <v>88519532.128999993</v>
      </c>
      <c r="E65" s="116">
        <v>87396927.452000007</v>
      </c>
      <c r="F65" s="116">
        <v>1340423.077</v>
      </c>
      <c r="G65" s="43" t="str">
        <f>_xlfn.XLOOKUP($A65,Map!$A:$A,Map!C:C)</f>
        <v>BS</v>
      </c>
      <c r="H65" s="43" t="str">
        <f>_xlfn.XLOOKUP($A65,Map!$A:$A,Map!D:D)</f>
        <v>Current Liabilities</v>
      </c>
      <c r="I65" s="43" t="str">
        <f>_xlfn.XLOOKUP($A65,Map!$A:$A,Map!E:E)</f>
        <v>Tade payables and Accuals &amp; other credit balances</v>
      </c>
      <c r="J65" s="43" t="str">
        <f>_xlfn.XLOOKUP($A65,Map!$A:$A,Map!F:F)</f>
        <v>Trade payables - Foreign</v>
      </c>
    </row>
    <row r="66" spans="1:10" x14ac:dyDescent="0.25">
      <c r="A66">
        <v>210002</v>
      </c>
      <c r="B66" t="s">
        <v>903</v>
      </c>
      <c r="C66" s="116">
        <v>-3155366.4</v>
      </c>
      <c r="D66" s="116">
        <v>61494376.108999997</v>
      </c>
      <c r="E66" s="116">
        <v>60332730.608000003</v>
      </c>
      <c r="F66" s="116">
        <v>-1993720.899</v>
      </c>
      <c r="G66" s="43" t="str">
        <f>_xlfn.XLOOKUP($A66,Map!$A:$A,Map!C:C)</f>
        <v>BS</v>
      </c>
      <c r="H66" s="43" t="str">
        <f>_xlfn.XLOOKUP($A66,Map!$A:$A,Map!D:D)</f>
        <v>Current Liabilities</v>
      </c>
      <c r="I66" s="43" t="str">
        <f>_xlfn.XLOOKUP($A66,Map!$A:$A,Map!E:E)</f>
        <v>Tade payables and Accuals &amp; other credit balances</v>
      </c>
      <c r="J66" s="43" t="str">
        <f>_xlfn.XLOOKUP($A66,Map!$A:$A,Map!F:F)</f>
        <v>Trade payables - Local</v>
      </c>
    </row>
    <row r="67" spans="1:10" x14ac:dyDescent="0.25">
      <c r="A67">
        <v>220001</v>
      </c>
      <c r="B67" t="s">
        <v>904</v>
      </c>
      <c r="C67" s="116">
        <v>0</v>
      </c>
      <c r="D67" s="116">
        <v>0</v>
      </c>
      <c r="E67" s="116">
        <v>0</v>
      </c>
      <c r="F67" s="116">
        <v>0</v>
      </c>
      <c r="G67" s="43" t="str">
        <f>_xlfn.XLOOKUP($A67,Map!$A:$A,Map!C:C)</f>
        <v>BS</v>
      </c>
      <c r="H67" s="43" t="str">
        <f>_xlfn.XLOOKUP($A67,Map!$A:$A,Map!D:D)</f>
        <v>Current Liabilities</v>
      </c>
      <c r="I67" s="43" t="str">
        <f>_xlfn.XLOOKUP($A67,Map!$A:$A,Map!E:E)</f>
        <v>Short-term Murabaha loans</v>
      </c>
      <c r="J67" s="43" t="str">
        <f>_xlfn.XLOOKUP($A67,Map!$A:$A,Map!F:F)</f>
        <v>Other loans - current</v>
      </c>
    </row>
    <row r="68" spans="1:10" x14ac:dyDescent="0.25">
      <c r="A68">
        <v>220002</v>
      </c>
      <c r="B68" t="s">
        <v>905</v>
      </c>
      <c r="C68" s="116">
        <v>-3542909.64</v>
      </c>
      <c r="D68" s="116">
        <v>19416844.837000001</v>
      </c>
      <c r="E68" s="116">
        <v>20438663.096999999</v>
      </c>
      <c r="F68" s="116">
        <v>-4564727.9000000004</v>
      </c>
      <c r="G68" s="43" t="str">
        <f>_xlfn.XLOOKUP($A68,Map!$A:$A,Map!C:C)</f>
        <v>BS</v>
      </c>
      <c r="H68" s="43" t="str">
        <f>_xlfn.XLOOKUP($A68,Map!$A:$A,Map!D:D)</f>
        <v>Current Liabilities</v>
      </c>
      <c r="I68" s="43" t="str">
        <f>_xlfn.XLOOKUP($A68,Map!$A:$A,Map!E:E)</f>
        <v>Short-term Murabaha loans</v>
      </c>
      <c r="J68" s="43" t="str">
        <f>_xlfn.XLOOKUP($A68,Map!$A:$A,Map!F:F)</f>
        <v>Other loans - current</v>
      </c>
    </row>
    <row r="69" spans="1:10" x14ac:dyDescent="0.25">
      <c r="A69">
        <v>220003</v>
      </c>
      <c r="B69" t="s">
        <v>906</v>
      </c>
      <c r="C69" s="116">
        <v>0</v>
      </c>
      <c r="D69" s="116">
        <v>0</v>
      </c>
      <c r="E69" s="116">
        <v>0</v>
      </c>
      <c r="F69" s="116">
        <v>0</v>
      </c>
      <c r="G69" s="43" t="str">
        <f>_xlfn.XLOOKUP($A69,Map!$A:$A,Map!C:C)</f>
        <v>BS</v>
      </c>
      <c r="H69" s="43" t="str">
        <f>_xlfn.XLOOKUP($A69,Map!$A:$A,Map!D:D)</f>
        <v>Current Liabilities</v>
      </c>
      <c r="I69" s="43" t="str">
        <f>_xlfn.XLOOKUP($A69,Map!$A:$A,Map!E:E)</f>
        <v>Short-term Murabaha loans</v>
      </c>
      <c r="J69" s="43" t="str">
        <f>_xlfn.XLOOKUP($A69,Map!$A:$A,Map!F:F)</f>
        <v>Other loans - current</v>
      </c>
    </row>
    <row r="70" spans="1:10" x14ac:dyDescent="0.25">
      <c r="A70">
        <v>220004</v>
      </c>
      <c r="B70" t="s">
        <v>907</v>
      </c>
      <c r="C70" s="116">
        <v>-8628490.9989999998</v>
      </c>
      <c r="D70" s="116">
        <v>18129139.513999999</v>
      </c>
      <c r="E70" s="116">
        <v>31484379.614999998</v>
      </c>
      <c r="F70" s="116">
        <v>-21983731.100000001</v>
      </c>
      <c r="G70" s="43" t="str">
        <f>_xlfn.XLOOKUP($A70,Map!$A:$A,Map!C:C)</f>
        <v>BS</v>
      </c>
      <c r="H70" s="43" t="str">
        <f>_xlfn.XLOOKUP($A70,Map!$A:$A,Map!D:D)</f>
        <v>Current Liabilities</v>
      </c>
      <c r="I70" s="43" t="str">
        <f>_xlfn.XLOOKUP($A70,Map!$A:$A,Map!E:E)</f>
        <v>Short-term Murabaha loans</v>
      </c>
      <c r="J70" s="43" t="str">
        <f>_xlfn.XLOOKUP($A70,Map!$A:$A,Map!F:F)</f>
        <v>Other loans - current</v>
      </c>
    </row>
    <row r="71" spans="1:10" x14ac:dyDescent="0.25">
      <c r="A71">
        <v>230001</v>
      </c>
      <c r="B71" t="s">
        <v>911</v>
      </c>
      <c r="C71" s="116">
        <v>0</v>
      </c>
      <c r="D71" s="116">
        <v>3809847533.381</v>
      </c>
      <c r="E71" s="116">
        <v>3809847533.381</v>
      </c>
      <c r="F71" s="116">
        <v>0</v>
      </c>
      <c r="G71" s="43" t="str">
        <f>_xlfn.XLOOKUP($A71,Map!$A:$A,Map!C:C)</f>
        <v>BS</v>
      </c>
      <c r="H71" s="43" t="str">
        <f>_xlfn.XLOOKUP($A71,Map!$A:$A,Map!D:D)</f>
        <v>Current Liabilities</v>
      </c>
      <c r="I71" s="43" t="str">
        <f>_xlfn.XLOOKUP($A71,Map!$A:$A,Map!E:E)</f>
        <v>Tade payables and Accuals &amp; other credit balances</v>
      </c>
      <c r="J71" s="43" t="str">
        <f>_xlfn.XLOOKUP($A71,Map!$A:$A,Map!F:F)</f>
        <v>Clearing account</v>
      </c>
    </row>
    <row r="72" spans="1:10" x14ac:dyDescent="0.25">
      <c r="A72">
        <v>240001</v>
      </c>
      <c r="B72" t="s">
        <v>912</v>
      </c>
      <c r="C72" s="116">
        <v>0</v>
      </c>
      <c r="D72" s="116">
        <v>3647073.4879999999</v>
      </c>
      <c r="E72" s="116">
        <v>3647073.4879999999</v>
      </c>
      <c r="F72" s="116">
        <v>0</v>
      </c>
      <c r="G72" s="43" t="str">
        <f>_xlfn.XLOOKUP($A72,Map!$A:$A,Map!C:C)</f>
        <v>BS</v>
      </c>
      <c r="H72" s="43" t="str">
        <f>_xlfn.XLOOKUP($A72,Map!$A:$A,Map!D:D)</f>
        <v>Current Liabilities</v>
      </c>
      <c r="I72" s="43" t="str">
        <f>_xlfn.XLOOKUP($A72,Map!$A:$A,Map!E:E)</f>
        <v>Tade payables and Accuals &amp; other credit balances</v>
      </c>
      <c r="J72" s="43" t="str">
        <f>_xlfn.XLOOKUP($A72,Map!$A:$A,Map!F:F)</f>
        <v>Overhead</v>
      </c>
    </row>
    <row r="73" spans="1:10" x14ac:dyDescent="0.25">
      <c r="A73">
        <v>240002</v>
      </c>
      <c r="B73" t="s">
        <v>913</v>
      </c>
      <c r="C73" s="116">
        <v>648727</v>
      </c>
      <c r="D73" s="116">
        <v>53396</v>
      </c>
      <c r="E73" s="116">
        <v>702123</v>
      </c>
      <c r="F73" s="116">
        <v>0</v>
      </c>
      <c r="G73" s="43" t="str">
        <f>_xlfn.XLOOKUP($A73,Map!$A:$A,Map!C:C)</f>
        <v>BS</v>
      </c>
      <c r="H73" s="43" t="str">
        <f>_xlfn.XLOOKUP($A73,Map!$A:$A,Map!D:D)</f>
        <v>Current Liabilities</v>
      </c>
      <c r="I73" s="43" t="str">
        <f>_xlfn.XLOOKUP($A73,Map!$A:$A,Map!E:E)</f>
        <v>Tade payables and Accuals &amp; other credit balances</v>
      </c>
      <c r="J73" s="43" t="str">
        <f>_xlfn.XLOOKUP($A73,Map!$A:$A,Map!F:F)</f>
        <v>Landed Cost - Customs</v>
      </c>
    </row>
    <row r="74" spans="1:10" x14ac:dyDescent="0.25">
      <c r="A74">
        <v>250001</v>
      </c>
      <c r="B74" t="s">
        <v>915</v>
      </c>
      <c r="C74" s="116">
        <v>0</v>
      </c>
      <c r="D74" s="116">
        <v>8132102.318</v>
      </c>
      <c r="E74" s="116">
        <v>8132102.318</v>
      </c>
      <c r="F74" s="116">
        <v>0</v>
      </c>
      <c r="G74" s="43" t="str">
        <f>_xlfn.XLOOKUP($A74,Map!$A:$A,Map!C:C)</f>
        <v>BS</v>
      </c>
      <c r="H74" s="43" t="str">
        <f>_xlfn.XLOOKUP($A74,Map!$A:$A,Map!D:D)</f>
        <v>Current Liabilities</v>
      </c>
      <c r="I74" s="43" t="str">
        <f>_xlfn.XLOOKUP($A74,Map!$A:$A,Map!E:E)</f>
        <v>Tade payables and Accuals &amp; other credit balances</v>
      </c>
      <c r="J74" s="43" t="str">
        <f>_xlfn.XLOOKUP($A74,Map!$A:$A,Map!F:F)</f>
        <v>Accrued salaries and wages</v>
      </c>
    </row>
    <row r="75" spans="1:10" x14ac:dyDescent="0.25">
      <c r="A75">
        <v>250002</v>
      </c>
      <c r="B75" t="s">
        <v>916</v>
      </c>
      <c r="C75" s="116">
        <v>-150000</v>
      </c>
      <c r="D75" s="116">
        <v>1850000</v>
      </c>
      <c r="E75" s="116">
        <v>1700000</v>
      </c>
      <c r="F75" s="116">
        <v>0</v>
      </c>
      <c r="G75" s="43" t="str">
        <f>_xlfn.XLOOKUP($A75,Map!$A:$A,Map!C:C)</f>
        <v>BS</v>
      </c>
      <c r="H75" s="43" t="str">
        <f>_xlfn.XLOOKUP($A75,Map!$A:$A,Map!D:D)</f>
        <v>Current Liabilities</v>
      </c>
      <c r="I75" s="43" t="str">
        <f>_xlfn.XLOOKUP($A75,Map!$A:$A,Map!E:E)</f>
        <v>Tade payables and Accuals &amp; other credit balances</v>
      </c>
      <c r="J75" s="43" t="str">
        <f>_xlfn.XLOOKUP($A75,Map!$A:$A,Map!F:F)</f>
        <v>Accrued utilities</v>
      </c>
    </row>
    <row r="76" spans="1:10" x14ac:dyDescent="0.25">
      <c r="A76">
        <v>250003</v>
      </c>
      <c r="B76" t="s">
        <v>917</v>
      </c>
      <c r="C76" s="116">
        <v>-1365110</v>
      </c>
      <c r="D76" s="116">
        <v>1825110</v>
      </c>
      <c r="E76" s="116">
        <v>1660000</v>
      </c>
      <c r="F76" s="116">
        <v>-1200000</v>
      </c>
      <c r="G76" s="43" t="str">
        <f>_xlfn.XLOOKUP($A76,Map!$A:$A,Map!C:C)</f>
        <v>BS</v>
      </c>
      <c r="H76" s="43" t="str">
        <f>_xlfn.XLOOKUP($A76,Map!$A:$A,Map!D:D)</f>
        <v>Current Liabilities</v>
      </c>
      <c r="I76" s="43" t="str">
        <f>_xlfn.XLOOKUP($A76,Map!$A:$A,Map!E:E)</f>
        <v>Zakat provision</v>
      </c>
      <c r="J76" s="43" t="str">
        <f>_xlfn.XLOOKUP($A76,Map!$A:$A,Map!F:F)</f>
        <v>Zakat provision</v>
      </c>
    </row>
    <row r="77" spans="1:10" x14ac:dyDescent="0.25">
      <c r="A77">
        <v>250004</v>
      </c>
      <c r="B77" t="s">
        <v>918</v>
      </c>
      <c r="C77" s="116">
        <v>-720000</v>
      </c>
      <c r="D77" s="116">
        <v>1240859</v>
      </c>
      <c r="E77" s="116">
        <v>520859</v>
      </c>
      <c r="F77" s="116">
        <v>0</v>
      </c>
      <c r="G77" s="43" t="str">
        <f>_xlfn.XLOOKUP($A77,Map!$A:$A,Map!C:C)</f>
        <v>BS</v>
      </c>
      <c r="H77" s="43" t="str">
        <f>_xlfn.XLOOKUP($A77,Map!$A:$A,Map!D:D)</f>
        <v>Current Liabilities</v>
      </c>
      <c r="I77" s="43" t="str">
        <f>_xlfn.XLOOKUP($A77,Map!$A:$A,Map!E:E)</f>
        <v>Tade payables and Accuals &amp; other credit balances</v>
      </c>
      <c r="J77" s="43" t="str">
        <f>_xlfn.XLOOKUP($A77,Map!$A:$A,Map!F:F)</f>
        <v>Accrued bonus</v>
      </c>
    </row>
    <row r="78" spans="1:10" x14ac:dyDescent="0.25">
      <c r="A78">
        <v>250005</v>
      </c>
      <c r="B78" t="s">
        <v>919</v>
      </c>
      <c r="C78" s="116">
        <v>-62000</v>
      </c>
      <c r="D78" s="116">
        <v>62000</v>
      </c>
      <c r="E78" s="116">
        <v>50000</v>
      </c>
      <c r="F78" s="116">
        <v>-50000</v>
      </c>
      <c r="G78" s="43" t="str">
        <f>_xlfn.XLOOKUP($A78,Map!$A:$A,Map!C:C)</f>
        <v>BS</v>
      </c>
      <c r="H78" s="43" t="str">
        <f>_xlfn.XLOOKUP($A78,Map!$A:$A,Map!D:D)</f>
        <v>Current Liabilities</v>
      </c>
      <c r="I78" s="43" t="str">
        <f>_xlfn.XLOOKUP($A78,Map!$A:$A,Map!E:E)</f>
        <v>Tade payables and Accuals &amp; other credit balances</v>
      </c>
      <c r="J78" s="43" t="str">
        <f>_xlfn.XLOOKUP($A78,Map!$A:$A,Map!F:F)</f>
        <v>Accrued expenses</v>
      </c>
    </row>
    <row r="79" spans="1:10" x14ac:dyDescent="0.25">
      <c r="A79">
        <v>260001</v>
      </c>
      <c r="B79" t="s">
        <v>922</v>
      </c>
      <c r="C79" s="116">
        <v>-4856327</v>
      </c>
      <c r="D79" s="116">
        <v>0</v>
      </c>
      <c r="E79" s="116">
        <v>771293</v>
      </c>
      <c r="F79" s="116">
        <v>-5627620</v>
      </c>
      <c r="G79" s="43" t="str">
        <f>_xlfn.XLOOKUP($A79,Map!$A:$A,Map!C:C)</f>
        <v>BS</v>
      </c>
      <c r="H79" s="43" t="str">
        <f>_xlfn.XLOOKUP($A79,Map!$A:$A,Map!D:D)</f>
        <v>Stockholder's equity</v>
      </c>
      <c r="I79" s="43" t="str">
        <f>_xlfn.XLOOKUP($A79,Map!$A:$A,Map!E:E)</f>
        <v>Statutory reserve</v>
      </c>
      <c r="J79" s="43" t="str">
        <f>_xlfn.XLOOKUP($A79,Map!$A:$A,Map!F:F)</f>
        <v>Statutory reserve</v>
      </c>
    </row>
    <row r="80" spans="1:10" x14ac:dyDescent="0.25">
      <c r="A80">
        <v>260002</v>
      </c>
      <c r="B80" t="s">
        <v>923</v>
      </c>
      <c r="C80" s="116">
        <v>-2992687.9419999998</v>
      </c>
      <c r="D80" s="116">
        <v>901501.8</v>
      </c>
      <c r="E80" s="116">
        <v>2558188.858</v>
      </c>
      <c r="F80" s="116">
        <v>-4649375</v>
      </c>
      <c r="G80" s="43" t="str">
        <f>_xlfn.XLOOKUP($A80,Map!$A:$A,Map!C:C)</f>
        <v>BS</v>
      </c>
      <c r="H80" s="43" t="str">
        <f>_xlfn.XLOOKUP($A80,Map!$A:$A,Map!D:D)</f>
        <v>Non-Current Liabilities</v>
      </c>
      <c r="I80" s="43" t="str">
        <f>_xlfn.XLOOKUP($A80,Map!$A:$A,Map!E:E)</f>
        <v xml:space="preserve">End-of-service indemnities </v>
      </c>
      <c r="J80" s="43" t="str">
        <f>_xlfn.XLOOKUP($A80,Map!$A:$A,Map!F:F)</f>
        <v xml:space="preserve">End-of-service indemnities </v>
      </c>
    </row>
    <row r="81" spans="1:10" x14ac:dyDescent="0.25">
      <c r="A81">
        <v>260003</v>
      </c>
      <c r="B81" t="s">
        <v>924</v>
      </c>
      <c r="C81" s="116">
        <v>-1409581.54</v>
      </c>
      <c r="D81" s="116">
        <v>240000</v>
      </c>
      <c r="E81" s="116">
        <v>2393592</v>
      </c>
      <c r="F81" s="116">
        <v>-3563173.54</v>
      </c>
      <c r="G81" s="43" t="str">
        <f>_xlfn.XLOOKUP($A81,Map!$A:$A,Map!C:C)</f>
        <v>BS</v>
      </c>
      <c r="H81" s="43" t="str">
        <f>_xlfn.XLOOKUP($A81,Map!$A:$A,Map!D:D)</f>
        <v>Current Assets</v>
      </c>
      <c r="I81" s="43" t="str">
        <f>_xlfn.XLOOKUP($A81,Map!$A:$A,Map!E:E)</f>
        <v>Trade receivables</v>
      </c>
      <c r="J81" s="43" t="str">
        <f>_xlfn.XLOOKUP($A81,Map!$A:$A,Map!F:F)</f>
        <v>Provisions</v>
      </c>
    </row>
    <row r="82" spans="1:10" x14ac:dyDescent="0.25">
      <c r="A82">
        <v>260004</v>
      </c>
      <c r="B82" t="s">
        <v>925</v>
      </c>
      <c r="C82" s="116">
        <v>0</v>
      </c>
      <c r="D82" s="116">
        <v>0</v>
      </c>
      <c r="E82" s="116">
        <v>1121501.433</v>
      </c>
      <c r="F82" s="116">
        <v>-1121501.433</v>
      </c>
      <c r="G82" s="43" t="str">
        <f>_xlfn.XLOOKUP($A82,Map!$A:$A,Map!C:C)</f>
        <v>BS</v>
      </c>
      <c r="H82" s="43" t="str">
        <f>_xlfn.XLOOKUP($A82,Map!$A:$A,Map!D:D)</f>
        <v>Current Assets</v>
      </c>
      <c r="I82" s="43" t="str">
        <f>_xlfn.XLOOKUP($A82,Map!$A:$A,Map!E:E)</f>
        <v>Inventories</v>
      </c>
      <c r="J82" s="43" t="str">
        <f>_xlfn.XLOOKUP($A82,Map!$A:$A,Map!F:F)</f>
        <v>Allowance for slow moving/obsolete inventories - Inventory</v>
      </c>
    </row>
    <row r="83" spans="1:10" x14ac:dyDescent="0.25">
      <c r="A83">
        <v>270001</v>
      </c>
      <c r="B83" t="s">
        <v>929</v>
      </c>
      <c r="C83" s="116">
        <v>0</v>
      </c>
      <c r="D83" s="116">
        <v>85866130.439999998</v>
      </c>
      <c r="E83" s="116">
        <v>85866130.439999998</v>
      </c>
      <c r="F83" s="116">
        <v>0</v>
      </c>
      <c r="G83" s="43" t="str">
        <f>_xlfn.XLOOKUP($A83,Map!$A:$A,Map!C:C)</f>
        <v>BS</v>
      </c>
      <c r="H83" s="43" t="str">
        <f>_xlfn.XLOOKUP($A83,Map!$A:$A,Map!D:D)</f>
        <v>Non-Current Liabilities</v>
      </c>
      <c r="I83" s="43" t="str">
        <f>_xlfn.XLOOKUP($A83,Map!$A:$A,Map!E:E)</f>
        <v xml:space="preserve">Due to related parties </v>
      </c>
      <c r="J83" s="43" t="str">
        <f>_xlfn.XLOOKUP($A83,Map!$A:$A,Map!F:F)</f>
        <v>Aims Holding  Current Acc</v>
      </c>
    </row>
    <row r="84" spans="1:10" x14ac:dyDescent="0.25">
      <c r="A84">
        <v>310001</v>
      </c>
      <c r="B84" t="s">
        <v>934</v>
      </c>
      <c r="C84" s="116">
        <v>-40510968.068999998</v>
      </c>
      <c r="D84" s="116">
        <v>20412818.498</v>
      </c>
      <c r="E84" s="116">
        <v>5635.259</v>
      </c>
      <c r="F84" s="116">
        <v>-20103784.829999998</v>
      </c>
      <c r="G84" s="43" t="str">
        <f>_xlfn.XLOOKUP($A84,Map!$A:$A,Map!C:C)</f>
        <v>BS</v>
      </c>
      <c r="H84" s="43" t="str">
        <f>_xlfn.XLOOKUP($A84,Map!$A:$A,Map!D:D)</f>
        <v>Stockholder's equity</v>
      </c>
      <c r="I84" s="43" t="str">
        <f>_xlfn.XLOOKUP($A84,Map!$A:$A,Map!E:E)</f>
        <v>Retained earnings</v>
      </c>
      <c r="J84" s="43" t="str">
        <f>_xlfn.XLOOKUP($A84,Map!$A:$A,Map!F:F)</f>
        <v>Retained earnings</v>
      </c>
    </row>
    <row r="85" spans="1:10" x14ac:dyDescent="0.25">
      <c r="A85">
        <v>330001</v>
      </c>
      <c r="B85" t="s">
        <v>935</v>
      </c>
      <c r="C85" s="116">
        <v>-1766750</v>
      </c>
      <c r="D85" s="116">
        <v>0</v>
      </c>
      <c r="E85" s="116">
        <v>0</v>
      </c>
      <c r="F85" s="116">
        <v>-1766750</v>
      </c>
      <c r="G85" s="43" t="str">
        <f>_xlfn.XLOOKUP($A85,Map!$A:$A,Map!C:C)</f>
        <v>BS</v>
      </c>
      <c r="H85" s="43" t="str">
        <f>_xlfn.XLOOKUP($A85,Map!$A:$A,Map!D:D)</f>
        <v>Stockholder's equity</v>
      </c>
      <c r="I85" s="43" t="str">
        <f>_xlfn.XLOOKUP($A85,Map!$A:$A,Map!E:E)</f>
        <v>Retained earnings</v>
      </c>
      <c r="J85" s="43" t="str">
        <f>_xlfn.XLOOKUP($A85,Map!$A:$A,Map!F:F)</f>
        <v>Retained earnings</v>
      </c>
    </row>
    <row r="86" spans="1:10" x14ac:dyDescent="0.25">
      <c r="A86">
        <v>330002</v>
      </c>
      <c r="B86" t="s">
        <v>936</v>
      </c>
      <c r="C86" s="116">
        <v>-33568250</v>
      </c>
      <c r="D86" s="116">
        <v>85866130.439999998</v>
      </c>
      <c r="E86" s="116">
        <v>85866130.439999998</v>
      </c>
      <c r="F86" s="116">
        <v>-33568250</v>
      </c>
      <c r="G86" s="43" t="str">
        <f>_xlfn.XLOOKUP($A86,Map!$A:$A,Map!C:C)</f>
        <v>BS</v>
      </c>
      <c r="H86" s="43" t="str">
        <f>_xlfn.XLOOKUP($A86,Map!$A:$A,Map!D:D)</f>
        <v>Stockholder's equity</v>
      </c>
      <c r="I86" s="43" t="str">
        <f>_xlfn.XLOOKUP($A86,Map!$A:$A,Map!E:E)</f>
        <v>Share capital</v>
      </c>
      <c r="J86" s="43" t="str">
        <f>_xlfn.XLOOKUP($A86,Map!$A:$A,Map!F:F)</f>
        <v>Share capital</v>
      </c>
    </row>
    <row r="87" spans="1:10" x14ac:dyDescent="0.25">
      <c r="A87">
        <v>330003</v>
      </c>
      <c r="B87" t="s">
        <v>937</v>
      </c>
      <c r="C87" s="116">
        <v>0</v>
      </c>
      <c r="D87" s="116">
        <v>0</v>
      </c>
      <c r="E87" s="116">
        <v>85866130.439999998</v>
      </c>
      <c r="F87" s="116">
        <v>-85866130.439999998</v>
      </c>
      <c r="G87" s="43" t="str">
        <f>_xlfn.XLOOKUP($A87,Map!$A:$A,Map!C:C)</f>
        <v>BS</v>
      </c>
      <c r="H87" s="43" t="str">
        <f>_xlfn.XLOOKUP($A87,Map!$A:$A,Map!D:D)</f>
        <v>Stockholder's equity</v>
      </c>
      <c r="I87" s="43" t="str">
        <f>_xlfn.XLOOKUP($A87,Map!$A:$A,Map!E:E)</f>
        <v>Additional contribution from shareholders</v>
      </c>
      <c r="J87" s="43" t="str">
        <f>_xlfn.XLOOKUP($A87,Map!$A:$A,Map!F:F)</f>
        <v>Additional contribution from shareholders</v>
      </c>
    </row>
    <row r="88" spans="1:10" x14ac:dyDescent="0.25">
      <c r="A88">
        <v>410001</v>
      </c>
      <c r="B88" t="s">
        <v>938</v>
      </c>
      <c r="C88" s="116">
        <v>0</v>
      </c>
      <c r="D88" s="116">
        <v>3771154.5890000002</v>
      </c>
      <c r="E88" s="116">
        <v>127546200.34900001</v>
      </c>
      <c r="F88" s="116">
        <v>-123775045.76000001</v>
      </c>
      <c r="G88" s="43" t="str">
        <f>_xlfn.XLOOKUP($A88,Map!$A:$A,Map!C:C)</f>
        <v>IS</v>
      </c>
      <c r="H88" s="43" t="str">
        <f>_xlfn.XLOOKUP($A88,Map!$A:$A,Map!D:D)</f>
        <v>Sales</v>
      </c>
      <c r="I88" s="43" t="str">
        <f>_xlfn.XLOOKUP($A88,Map!$A:$A,Map!E:E)</f>
        <v>Sales</v>
      </c>
      <c r="J88" s="43" t="str">
        <f>_xlfn.XLOOKUP($A88,Map!$A:$A,Map!F:F)</f>
        <v>Trading revenue</v>
      </c>
    </row>
    <row r="89" spans="1:10" x14ac:dyDescent="0.25">
      <c r="A89">
        <v>410002</v>
      </c>
      <c r="B89" t="s">
        <v>939</v>
      </c>
      <c r="C89" s="116">
        <v>0</v>
      </c>
      <c r="D89" s="116">
        <v>339466.36499999999</v>
      </c>
      <c r="E89" s="116">
        <v>0</v>
      </c>
      <c r="F89" s="116">
        <v>339466.36499999999</v>
      </c>
      <c r="G89" s="43" t="str">
        <f>_xlfn.XLOOKUP($A89,Map!$A:$A,Map!C:C)</f>
        <v>IS</v>
      </c>
      <c r="H89" s="43" t="str">
        <f>_xlfn.XLOOKUP($A89,Map!$A:$A,Map!D:D)</f>
        <v>Sales</v>
      </c>
      <c r="I89" s="43" t="str">
        <f>_xlfn.XLOOKUP($A89,Map!$A:$A,Map!E:E)</f>
        <v>Sales</v>
      </c>
      <c r="J89" s="43" t="str">
        <f>_xlfn.XLOOKUP($A89,Map!$A:$A,Map!F:F)</f>
        <v>Trading revenue</v>
      </c>
    </row>
    <row r="90" spans="1:10" x14ac:dyDescent="0.25">
      <c r="A90">
        <v>410003</v>
      </c>
      <c r="B90" t="s">
        <v>940</v>
      </c>
      <c r="C90" s="116">
        <v>0</v>
      </c>
      <c r="D90" s="116">
        <v>250316.89499999999</v>
      </c>
      <c r="E90" s="116">
        <v>204821.35</v>
      </c>
      <c r="F90" s="116">
        <v>45495.544999999998</v>
      </c>
      <c r="G90" s="43" t="str">
        <f>_xlfn.XLOOKUP($A90,Map!$A:$A,Map!C:C)</f>
        <v>IS</v>
      </c>
      <c r="H90" s="43" t="str">
        <f>_xlfn.XLOOKUP($A90,Map!$A:$A,Map!D:D)</f>
        <v>Sales</v>
      </c>
      <c r="I90" s="43" t="str">
        <f>_xlfn.XLOOKUP($A90,Map!$A:$A,Map!E:E)</f>
        <v>Sales</v>
      </c>
      <c r="J90" s="43" t="str">
        <f>_xlfn.XLOOKUP($A90,Map!$A:$A,Map!F:F)</f>
        <v>Trading revenue</v>
      </c>
    </row>
    <row r="91" spans="1:10" x14ac:dyDescent="0.25">
      <c r="A91">
        <v>410004</v>
      </c>
      <c r="B91" t="s">
        <v>941</v>
      </c>
      <c r="C91" s="116">
        <v>0</v>
      </c>
      <c r="D91" s="116">
        <v>15329.73</v>
      </c>
      <c r="E91" s="116">
        <v>0</v>
      </c>
      <c r="F91" s="116">
        <v>15329.73</v>
      </c>
      <c r="G91" s="43" t="str">
        <f>_xlfn.XLOOKUP($A91,Map!$A:$A,Map!C:C)</f>
        <v>IS</v>
      </c>
      <c r="H91" s="43" t="str">
        <f>_xlfn.XLOOKUP($A91,Map!$A:$A,Map!D:D)</f>
        <v>Sales</v>
      </c>
      <c r="I91" s="43" t="str">
        <f>_xlfn.XLOOKUP($A91,Map!$A:$A,Map!E:E)</f>
        <v>Sales</v>
      </c>
      <c r="J91" s="43" t="str">
        <f>_xlfn.XLOOKUP($A91,Map!$A:$A,Map!F:F)</f>
        <v>Scrap sales</v>
      </c>
    </row>
    <row r="92" spans="1:10" x14ac:dyDescent="0.25">
      <c r="A92">
        <v>420003</v>
      </c>
      <c r="B92" t="s">
        <v>944</v>
      </c>
      <c r="C92" s="116">
        <v>0</v>
      </c>
      <c r="D92" s="116">
        <v>77976.546000000002</v>
      </c>
      <c r="E92" s="116">
        <v>77976.544999999998</v>
      </c>
      <c r="F92" s="116">
        <v>1E-3</v>
      </c>
      <c r="G92" s="43" t="str">
        <f>_xlfn.XLOOKUP($A92,Map!$A:$A,Map!C:C)</f>
        <v>IS</v>
      </c>
      <c r="H92" s="43" t="str">
        <f>_xlfn.XLOOKUP($A92,Map!$A:$A,Map!D:D)</f>
        <v>Sales</v>
      </c>
      <c r="I92" s="43" t="str">
        <f>_xlfn.XLOOKUP($A92,Map!$A:$A,Map!E:E)</f>
        <v>Sales</v>
      </c>
      <c r="J92" s="43" t="str">
        <f>_xlfn.XLOOKUP($A92,Map!$A:$A,Map!F:F)</f>
        <v>Scrap sales</v>
      </c>
    </row>
    <row r="93" spans="1:10" x14ac:dyDescent="0.25">
      <c r="A93">
        <v>510001</v>
      </c>
      <c r="B93" t="s">
        <v>945</v>
      </c>
      <c r="C93" s="116">
        <v>0</v>
      </c>
      <c r="D93" s="116">
        <v>88718826.273000002</v>
      </c>
      <c r="E93" s="116">
        <v>5877172.3360000001</v>
      </c>
      <c r="F93" s="116">
        <v>82841653.937000006</v>
      </c>
      <c r="G93" s="43" t="str">
        <f>_xlfn.XLOOKUP($A93,Map!$A:$A,Map!C:C)</f>
        <v>IS</v>
      </c>
      <c r="H93" s="43" t="str">
        <f>_xlfn.XLOOKUP($A93,Map!$A:$A,Map!D:D)</f>
        <v>Cost of sales</v>
      </c>
      <c r="I93" s="43" t="str">
        <f>_xlfn.XLOOKUP($A93,Map!$A:$A,Map!E:E)</f>
        <v>Raw materials</v>
      </c>
      <c r="J93" s="43" t="str">
        <f>_xlfn.XLOOKUP($A93,Map!$A:$A,Map!F:F)</f>
        <v>Raw materials</v>
      </c>
    </row>
    <row r="94" spans="1:10" x14ac:dyDescent="0.25">
      <c r="A94">
        <v>510002</v>
      </c>
      <c r="B94" t="s">
        <v>946</v>
      </c>
      <c r="C94" s="116">
        <v>0</v>
      </c>
      <c r="D94" s="116">
        <v>3799668.2310000001</v>
      </c>
      <c r="E94" s="116">
        <v>1558042.4709999999</v>
      </c>
      <c r="F94" s="116">
        <v>2241625.7599999998</v>
      </c>
      <c r="G94" s="43" t="str">
        <f>_xlfn.XLOOKUP($A94,Map!$A:$A,Map!C:C)</f>
        <v>IS</v>
      </c>
      <c r="H94" s="43" t="str">
        <f>_xlfn.XLOOKUP($A94,Map!$A:$A,Map!D:D)</f>
        <v>Cost of sales</v>
      </c>
      <c r="I94" s="43" t="str">
        <f>_xlfn.XLOOKUP($A94,Map!$A:$A,Map!E:E)</f>
        <v>Direct Labor</v>
      </c>
      <c r="J94" s="43" t="str">
        <f>_xlfn.XLOOKUP($A94,Map!$A:$A,Map!F:F)</f>
        <v>Direct Labor</v>
      </c>
    </row>
    <row r="95" spans="1:10" x14ac:dyDescent="0.25">
      <c r="A95">
        <v>510003</v>
      </c>
      <c r="B95" t="s">
        <v>947</v>
      </c>
      <c r="C95" s="116">
        <v>0</v>
      </c>
      <c r="D95" s="116">
        <v>3695878.5649999999</v>
      </c>
      <c r="E95" s="116">
        <v>38581.324000000001</v>
      </c>
      <c r="F95" s="116">
        <v>3657297.2409999999</v>
      </c>
      <c r="G95" s="43" t="str">
        <f>_xlfn.XLOOKUP($A95,Map!$A:$A,Map!C:C)</f>
        <v>IS</v>
      </c>
      <c r="H95" s="43" t="str">
        <f>_xlfn.XLOOKUP($A95,Map!$A:$A,Map!D:D)</f>
        <v>Cost of sales</v>
      </c>
      <c r="I95" s="43" t="str">
        <f>_xlfn.XLOOKUP($A95,Map!$A:$A,Map!E:E)</f>
        <v>Raw materials</v>
      </c>
      <c r="J95" s="43" t="str">
        <f>_xlfn.XLOOKUP($A95,Map!$A:$A,Map!F:F)</f>
        <v>Raw materials</v>
      </c>
    </row>
    <row r="96" spans="1:10" x14ac:dyDescent="0.25">
      <c r="A96">
        <v>510004</v>
      </c>
      <c r="B96" t="s">
        <v>948</v>
      </c>
      <c r="C96" s="116">
        <v>0</v>
      </c>
      <c r="D96" s="116">
        <v>18600552.030000001</v>
      </c>
      <c r="E96" s="116">
        <v>5148577.1430000002</v>
      </c>
      <c r="F96" s="116">
        <v>13451974.887</v>
      </c>
      <c r="G96" s="43" t="str">
        <f>_xlfn.XLOOKUP($A96,Map!$A:$A,Map!C:C)</f>
        <v>IS</v>
      </c>
      <c r="H96" s="43" t="str">
        <f>_xlfn.XLOOKUP($A96,Map!$A:$A,Map!D:D)</f>
        <v>Cost of sales</v>
      </c>
      <c r="I96" s="43" t="str">
        <f>_xlfn.XLOOKUP($A96,Map!$A:$A,Map!E:E)</f>
        <v>Raw materials</v>
      </c>
      <c r="J96" s="43" t="str">
        <f>_xlfn.XLOOKUP($A96,Map!$A:$A,Map!F:F)</f>
        <v>Other expenses</v>
      </c>
    </row>
    <row r="97" spans="1:10" x14ac:dyDescent="0.25">
      <c r="A97">
        <v>510005</v>
      </c>
      <c r="B97" t="s">
        <v>949</v>
      </c>
      <c r="C97" s="116">
        <v>0</v>
      </c>
      <c r="D97" s="116">
        <v>12507.647999999999</v>
      </c>
      <c r="E97" s="116">
        <v>12507.647999999999</v>
      </c>
      <c r="F97" s="116">
        <v>0</v>
      </c>
      <c r="G97" s="43" t="str">
        <f>_xlfn.XLOOKUP($A97,Map!$A:$A,Map!C:C)</f>
        <v>IS</v>
      </c>
      <c r="H97" s="43" t="str">
        <f>_xlfn.XLOOKUP($A97,Map!$A:$A,Map!D:D)</f>
        <v>Cost of sales</v>
      </c>
      <c r="I97" s="43" t="str">
        <f>_xlfn.XLOOKUP($A97,Map!$A:$A,Map!E:E)</f>
        <v>Raw materials</v>
      </c>
      <c r="J97" s="43" t="str">
        <f>_xlfn.XLOOKUP($A97,Map!$A:$A,Map!F:F)</f>
        <v>Other expenses</v>
      </c>
    </row>
    <row r="98" spans="1:10" x14ac:dyDescent="0.25">
      <c r="A98">
        <v>520001</v>
      </c>
      <c r="B98" t="s">
        <v>950</v>
      </c>
      <c r="C98" s="116">
        <v>0</v>
      </c>
      <c r="D98" s="116">
        <v>2572113.5</v>
      </c>
      <c r="E98" s="116">
        <v>2572113.5</v>
      </c>
      <c r="F98" s="116">
        <v>0</v>
      </c>
      <c r="G98" s="43" t="str">
        <f>_xlfn.XLOOKUP($A98,Map!$A:$A,Map!C:C)</f>
        <v>IS</v>
      </c>
      <c r="H98" s="43" t="str">
        <f>_xlfn.XLOOKUP($A98,Map!$A:$A,Map!D:D)</f>
        <v>Cost of sales</v>
      </c>
      <c r="I98" s="43" t="str">
        <f>_xlfn.XLOOKUP($A98,Map!$A:$A,Map!E:E)</f>
        <v>Direct Labor</v>
      </c>
      <c r="J98" s="43" t="str">
        <f>_xlfn.XLOOKUP($A98,Map!$A:$A,Map!F:F)</f>
        <v>Salaries and wages</v>
      </c>
    </row>
    <row r="99" spans="1:10" x14ac:dyDescent="0.25">
      <c r="A99">
        <v>520002</v>
      </c>
      <c r="B99" t="s">
        <v>951</v>
      </c>
      <c r="C99" s="116">
        <v>0</v>
      </c>
      <c r="D99" s="116">
        <v>42604</v>
      </c>
      <c r="E99" s="116">
        <v>42604</v>
      </c>
      <c r="F99" s="116">
        <v>0</v>
      </c>
      <c r="G99" s="43" t="str">
        <f>_xlfn.XLOOKUP($A99,Map!$A:$A,Map!C:C)</f>
        <v>IS</v>
      </c>
      <c r="H99" s="43" t="str">
        <f>_xlfn.XLOOKUP($A99,Map!$A:$A,Map!D:D)</f>
        <v>Cost of sales</v>
      </c>
      <c r="I99" s="43" t="str">
        <f>_xlfn.XLOOKUP($A99,Map!$A:$A,Map!E:E)</f>
        <v>Direct Labor</v>
      </c>
      <c r="J99" s="43" t="str">
        <f>_xlfn.XLOOKUP($A99,Map!$A:$A,Map!F:F)</f>
        <v>Overtime pay</v>
      </c>
    </row>
    <row r="100" spans="1:10" x14ac:dyDescent="0.25">
      <c r="A100">
        <v>520003</v>
      </c>
      <c r="B100" t="s">
        <v>952</v>
      </c>
      <c r="C100" s="116">
        <v>0</v>
      </c>
      <c r="D100" s="116">
        <v>32627</v>
      </c>
      <c r="E100" s="116">
        <v>32627</v>
      </c>
      <c r="F100" s="116">
        <v>0</v>
      </c>
      <c r="G100" s="43" t="str">
        <f>_xlfn.XLOOKUP($A100,Map!$A:$A,Map!C:C)</f>
        <v>IS</v>
      </c>
      <c r="H100" s="43" t="str">
        <f>_xlfn.XLOOKUP($A100,Map!$A:$A,Map!D:D)</f>
        <v>Cost of sales</v>
      </c>
      <c r="I100" s="43" t="str">
        <f>_xlfn.XLOOKUP($A100,Map!$A:$A,Map!E:E)</f>
        <v>Direct Labor</v>
      </c>
      <c r="J100" s="43" t="str">
        <f>_xlfn.XLOOKUP($A100,Map!$A:$A,Map!F:F)</f>
        <v>Transportation allowance</v>
      </c>
    </row>
    <row r="101" spans="1:10" x14ac:dyDescent="0.25">
      <c r="A101">
        <v>520004</v>
      </c>
      <c r="B101" t="s">
        <v>957</v>
      </c>
      <c r="C101" s="116">
        <v>0</v>
      </c>
      <c r="D101" s="116">
        <v>198002.5</v>
      </c>
      <c r="E101" s="116">
        <v>198002.5</v>
      </c>
      <c r="F101" s="116">
        <v>0</v>
      </c>
      <c r="G101" s="43" t="str">
        <f>_xlfn.XLOOKUP($A101,Map!$A:$A,Map!C:C)</f>
        <v>IS</v>
      </c>
      <c r="H101" s="43" t="str">
        <f>_xlfn.XLOOKUP($A101,Map!$A:$A,Map!D:D)</f>
        <v>Cost of sales</v>
      </c>
      <c r="I101" s="43" t="str">
        <f>_xlfn.XLOOKUP($A101,Map!$A:$A,Map!E:E)</f>
        <v>Direct Labor</v>
      </c>
      <c r="J101" s="43" t="str">
        <f>_xlfn.XLOOKUP($A101,Map!$A:$A,Map!F:F)</f>
        <v>Food and housing</v>
      </c>
    </row>
    <row r="102" spans="1:10" x14ac:dyDescent="0.25">
      <c r="A102">
        <v>520005</v>
      </c>
      <c r="B102" t="s">
        <v>954</v>
      </c>
      <c r="C102" s="116">
        <v>0</v>
      </c>
      <c r="D102" s="116">
        <v>0</v>
      </c>
      <c r="E102" s="116">
        <v>0</v>
      </c>
      <c r="F102" s="116">
        <v>0</v>
      </c>
      <c r="G102" s="43" t="str">
        <f>_xlfn.XLOOKUP($A102,Map!$A:$A,Map!C:C)</f>
        <v>IS</v>
      </c>
      <c r="H102" s="43" t="str">
        <f>_xlfn.XLOOKUP($A102,Map!$A:$A,Map!D:D)</f>
        <v>Cost of sales</v>
      </c>
      <c r="I102" s="43" t="str">
        <f>_xlfn.XLOOKUP($A102,Map!$A:$A,Map!E:E)</f>
        <v>Direct Labor</v>
      </c>
      <c r="J102" s="43" t="str">
        <f>_xlfn.XLOOKUP($A102,Map!$A:$A,Map!F:F)</f>
        <v>Leave pay</v>
      </c>
    </row>
    <row r="103" spans="1:10" x14ac:dyDescent="0.25">
      <c r="A103">
        <v>520006</v>
      </c>
      <c r="B103" t="s">
        <v>955</v>
      </c>
      <c r="C103" s="116">
        <v>0</v>
      </c>
      <c r="D103" s="116">
        <v>205504.61199999999</v>
      </c>
      <c r="E103" s="116">
        <v>205504.61199999999</v>
      </c>
      <c r="F103" s="116">
        <v>0</v>
      </c>
      <c r="G103" s="43" t="str">
        <f>_xlfn.XLOOKUP($A103,Map!$A:$A,Map!C:C)</f>
        <v>IS</v>
      </c>
      <c r="H103" s="43" t="str">
        <f>_xlfn.XLOOKUP($A103,Map!$A:$A,Map!D:D)</f>
        <v>Cost of sales</v>
      </c>
      <c r="I103" s="43" t="str">
        <f>_xlfn.XLOOKUP($A103,Map!$A:$A,Map!E:E)</f>
        <v>Direct Labor</v>
      </c>
      <c r="J103" s="43" t="str">
        <f>_xlfn.XLOOKUP($A103,Map!$A:$A,Map!F:F)</f>
        <v>Medical insurance</v>
      </c>
    </row>
    <row r="104" spans="1:10" x14ac:dyDescent="0.25">
      <c r="A104">
        <v>520010</v>
      </c>
      <c r="B104" t="s">
        <v>956</v>
      </c>
      <c r="C104" s="116">
        <v>0</v>
      </c>
      <c r="D104" s="116">
        <v>0</v>
      </c>
      <c r="E104" s="116">
        <v>0</v>
      </c>
      <c r="F104" s="116">
        <v>0</v>
      </c>
      <c r="G104" s="43" t="str">
        <f>_xlfn.XLOOKUP($A104,Map!$A:$A,Map!C:C)</f>
        <v>IS</v>
      </c>
      <c r="H104" s="43" t="str">
        <f>_xlfn.XLOOKUP($A104,Map!$A:$A,Map!D:D)</f>
        <v>Cost of sales</v>
      </c>
      <c r="I104" s="43" t="str">
        <f>_xlfn.XLOOKUP($A104,Map!$A:$A,Map!E:E)</f>
        <v>Direct Labor</v>
      </c>
      <c r="J104" s="43" t="str">
        <f>_xlfn.XLOOKUP($A104,Map!$A:$A,Map!F:F)</f>
        <v>Salaries and wages</v>
      </c>
    </row>
    <row r="105" spans="1:10" x14ac:dyDescent="0.25">
      <c r="A105">
        <v>520011</v>
      </c>
      <c r="B105" t="s">
        <v>951</v>
      </c>
      <c r="C105" s="116">
        <v>0</v>
      </c>
      <c r="D105" s="116">
        <v>264612</v>
      </c>
      <c r="E105" s="116">
        <v>264612</v>
      </c>
      <c r="F105" s="116">
        <v>0</v>
      </c>
      <c r="G105" s="43" t="str">
        <f>_xlfn.XLOOKUP($A105,Map!$A:$A,Map!C:C)</f>
        <v>IS</v>
      </c>
      <c r="H105" s="43" t="str">
        <f>_xlfn.XLOOKUP($A105,Map!$A:$A,Map!D:D)</f>
        <v>Cost of sales</v>
      </c>
      <c r="I105" s="43" t="str">
        <f>_xlfn.XLOOKUP($A105,Map!$A:$A,Map!E:E)</f>
        <v>Direct Labor</v>
      </c>
      <c r="J105" s="43" t="str">
        <f>_xlfn.XLOOKUP($A105,Map!$A:$A,Map!F:F)</f>
        <v>Overtime pay</v>
      </c>
    </row>
    <row r="106" spans="1:10" x14ac:dyDescent="0.25">
      <c r="A106">
        <v>520013</v>
      </c>
      <c r="B106" t="s">
        <v>957</v>
      </c>
      <c r="C106" s="116">
        <v>0</v>
      </c>
      <c r="D106" s="116">
        <v>0</v>
      </c>
      <c r="E106" s="116">
        <v>0</v>
      </c>
      <c r="F106" s="116">
        <v>0</v>
      </c>
      <c r="G106" s="43" t="str">
        <f>_xlfn.XLOOKUP($A106,Map!$A:$A,Map!C:C)</f>
        <v>IS</v>
      </c>
      <c r="H106" s="43" t="str">
        <f>_xlfn.XLOOKUP($A106,Map!$A:$A,Map!D:D)</f>
        <v>Cost of sales</v>
      </c>
      <c r="I106" s="43" t="str">
        <f>_xlfn.XLOOKUP($A106,Map!$A:$A,Map!E:E)</f>
        <v>Direct Labor</v>
      </c>
      <c r="J106" s="43" t="str">
        <f>_xlfn.XLOOKUP($A106,Map!$A:$A,Map!F:F)</f>
        <v>Food and housing</v>
      </c>
    </row>
    <row r="107" spans="1:10" x14ac:dyDescent="0.25">
      <c r="A107">
        <v>520014</v>
      </c>
      <c r="B107" t="s">
        <v>954</v>
      </c>
      <c r="C107" s="116">
        <v>0</v>
      </c>
      <c r="D107" s="116">
        <v>0</v>
      </c>
      <c r="E107" s="116">
        <v>0</v>
      </c>
      <c r="F107" s="116">
        <v>0</v>
      </c>
      <c r="G107" s="43" t="str">
        <f>_xlfn.XLOOKUP($A107,Map!$A:$A,Map!C:C)</f>
        <v>IS</v>
      </c>
      <c r="H107" s="43" t="str">
        <f>_xlfn.XLOOKUP($A107,Map!$A:$A,Map!D:D)</f>
        <v>Cost of sales</v>
      </c>
      <c r="I107" s="43" t="str">
        <f>_xlfn.XLOOKUP($A107,Map!$A:$A,Map!E:E)</f>
        <v>Direct Labor</v>
      </c>
      <c r="J107" s="43" t="str">
        <f>_xlfn.XLOOKUP($A107,Map!$A:$A,Map!F:F)</f>
        <v>Leave pay</v>
      </c>
    </row>
    <row r="108" spans="1:10" x14ac:dyDescent="0.25">
      <c r="A108">
        <v>520021</v>
      </c>
      <c r="B108" t="s">
        <v>962</v>
      </c>
      <c r="C108" s="116">
        <v>0</v>
      </c>
      <c r="D108" s="116">
        <v>33413</v>
      </c>
      <c r="E108" s="116">
        <v>33413</v>
      </c>
      <c r="F108" s="116">
        <v>0</v>
      </c>
      <c r="G108" s="43" t="str">
        <f>_xlfn.XLOOKUP($A108,Map!$A:$A,Map!C:C)</f>
        <v>IS</v>
      </c>
      <c r="H108" s="43" t="str">
        <f>_xlfn.XLOOKUP($A108,Map!$A:$A,Map!D:D)</f>
        <v>Cost of sales</v>
      </c>
      <c r="I108" s="43" t="str">
        <f>_xlfn.XLOOKUP($A108,Map!$A:$A,Map!E:E)</f>
        <v>Direct Labor</v>
      </c>
      <c r="J108" s="43" t="str">
        <f>_xlfn.XLOOKUP($A108,Map!$A:$A,Map!F:F)</f>
        <v>Medical insurance</v>
      </c>
    </row>
    <row r="109" spans="1:10" x14ac:dyDescent="0.25">
      <c r="A109">
        <v>520022</v>
      </c>
      <c r="B109" t="s">
        <v>963</v>
      </c>
      <c r="C109" s="116">
        <v>0</v>
      </c>
      <c r="D109" s="116">
        <v>0</v>
      </c>
      <c r="E109" s="116">
        <v>0</v>
      </c>
      <c r="F109" s="116">
        <v>0</v>
      </c>
      <c r="G109" s="43" t="str">
        <f>_xlfn.XLOOKUP($A109,Map!$A:$A,Map!C:C)</f>
        <v>IS</v>
      </c>
      <c r="H109" s="43" t="str">
        <f>_xlfn.XLOOKUP($A109,Map!$A:$A,Map!D:D)</f>
        <v>Cost of sales</v>
      </c>
      <c r="I109" s="43" t="str">
        <f>_xlfn.XLOOKUP($A109,Map!$A:$A,Map!E:E)</f>
        <v>Direct Labor</v>
      </c>
      <c r="J109" s="43" t="str">
        <f>_xlfn.XLOOKUP($A109,Map!$A:$A,Map!F:F)</f>
        <v>Iqama renewal</v>
      </c>
    </row>
    <row r="110" spans="1:10" x14ac:dyDescent="0.25">
      <c r="A110">
        <v>520023</v>
      </c>
      <c r="B110" t="s">
        <v>964</v>
      </c>
      <c r="C110" s="116">
        <v>0</v>
      </c>
      <c r="D110" s="116">
        <v>0</v>
      </c>
      <c r="E110" s="116">
        <v>0</v>
      </c>
      <c r="F110" s="116">
        <v>0</v>
      </c>
      <c r="G110" s="43" t="str">
        <f>_xlfn.XLOOKUP($A110,Map!$A:$A,Map!C:C)</f>
        <v>IS</v>
      </c>
      <c r="H110" s="43" t="str">
        <f>_xlfn.XLOOKUP($A110,Map!$A:$A,Map!D:D)</f>
        <v>Cost of sales</v>
      </c>
      <c r="I110" s="43" t="str">
        <f>_xlfn.XLOOKUP($A110,Map!$A:$A,Map!E:E)</f>
        <v>Direct Labor</v>
      </c>
      <c r="J110" s="43" t="str">
        <f>_xlfn.XLOOKUP($A110,Map!$A:$A,Map!F:F)</f>
        <v>Medical insurance</v>
      </c>
    </row>
    <row r="111" spans="1:10" x14ac:dyDescent="0.25">
      <c r="A111">
        <v>520032</v>
      </c>
      <c r="B111" t="s">
        <v>965</v>
      </c>
      <c r="C111" s="116">
        <v>0</v>
      </c>
      <c r="D111" s="116">
        <v>0</v>
      </c>
      <c r="E111" s="116">
        <v>0</v>
      </c>
      <c r="F111" s="116">
        <v>0</v>
      </c>
      <c r="G111" s="43" t="str">
        <f>_xlfn.XLOOKUP($A111,Map!$A:$A,Map!C:C)</f>
        <v>IS</v>
      </c>
      <c r="H111" s="43" t="str">
        <f>_xlfn.XLOOKUP($A111,Map!$A:$A,Map!D:D)</f>
        <v>Cost of sales</v>
      </c>
      <c r="I111" s="43" t="str">
        <f>_xlfn.XLOOKUP($A111,Map!$A:$A,Map!E:E)</f>
        <v>Raw materials</v>
      </c>
      <c r="J111" s="43" t="str">
        <f>_xlfn.XLOOKUP($A111,Map!$A:$A,Map!F:F)</f>
        <v>Consumables</v>
      </c>
    </row>
    <row r="112" spans="1:10" x14ac:dyDescent="0.25">
      <c r="A112">
        <v>520036</v>
      </c>
      <c r="B112" t="s">
        <v>966</v>
      </c>
      <c r="C112" s="116">
        <v>0</v>
      </c>
      <c r="D112" s="116">
        <v>8.5000000000000006E-2</v>
      </c>
      <c r="E112" s="116">
        <v>8.5999999999999993E-2</v>
      </c>
      <c r="F112" s="116">
        <v>-1E-3</v>
      </c>
      <c r="G112" s="43" t="str">
        <f>_xlfn.XLOOKUP($A112,Map!$A:$A,Map!C:C)</f>
        <v>IS</v>
      </c>
      <c r="H112" s="43" t="str">
        <f>_xlfn.XLOOKUP($A112,Map!$A:$A,Map!D:D)</f>
        <v>Cost of sales</v>
      </c>
      <c r="I112" s="43" t="str">
        <f>_xlfn.XLOOKUP($A112,Map!$A:$A,Map!E:E)</f>
        <v>Raw materials</v>
      </c>
      <c r="J112" s="43" t="str">
        <f>_xlfn.XLOOKUP($A112,Map!$A:$A,Map!F:F)</f>
        <v>Raw materials</v>
      </c>
    </row>
    <row r="113" spans="1:10" x14ac:dyDescent="0.25">
      <c r="A113">
        <v>520037</v>
      </c>
      <c r="B113" t="s">
        <v>967</v>
      </c>
      <c r="C113" s="116">
        <v>0</v>
      </c>
      <c r="D113" s="116">
        <v>501060.25799999997</v>
      </c>
      <c r="E113" s="116">
        <v>501060.25799999997</v>
      </c>
      <c r="F113" s="116">
        <v>0</v>
      </c>
      <c r="G113" s="43" t="str">
        <f>_xlfn.XLOOKUP($A113,Map!$A:$A,Map!C:C)</f>
        <v>IS</v>
      </c>
      <c r="H113" s="43" t="str">
        <f>_xlfn.XLOOKUP($A113,Map!$A:$A,Map!D:D)</f>
        <v>Cost of sales</v>
      </c>
      <c r="I113" s="43" t="str">
        <f>_xlfn.XLOOKUP($A113,Map!$A:$A,Map!E:E)</f>
        <v>Raw materials</v>
      </c>
      <c r="J113" s="43" t="str">
        <f>_xlfn.XLOOKUP($A113,Map!$A:$A,Map!F:F)</f>
        <v>Raw materials</v>
      </c>
    </row>
    <row r="114" spans="1:10" x14ac:dyDescent="0.25">
      <c r="A114">
        <v>520040</v>
      </c>
      <c r="B114" t="s">
        <v>969</v>
      </c>
      <c r="C114" s="116">
        <v>0</v>
      </c>
      <c r="D114" s="116">
        <v>42933</v>
      </c>
      <c r="E114" s="116">
        <v>42933</v>
      </c>
      <c r="F114" s="116">
        <v>0</v>
      </c>
      <c r="G114" s="43" t="str">
        <f>_xlfn.XLOOKUP($A114,Map!$A:$A,Map!C:C)</f>
        <v>IS</v>
      </c>
      <c r="H114" s="43" t="str">
        <f>_xlfn.XLOOKUP($A114,Map!$A:$A,Map!D:D)</f>
        <v>Cost of sales</v>
      </c>
      <c r="I114" s="43" t="str">
        <f>_xlfn.XLOOKUP($A114,Map!$A:$A,Map!E:E)</f>
        <v>Raw materials</v>
      </c>
      <c r="J114" s="43" t="str">
        <f>_xlfn.XLOOKUP($A114,Map!$A:$A,Map!F:F)</f>
        <v>Other expenses</v>
      </c>
    </row>
    <row r="115" spans="1:10" x14ac:dyDescent="0.25">
      <c r="A115">
        <v>520041</v>
      </c>
      <c r="B115" t="s">
        <v>970</v>
      </c>
      <c r="C115" s="116">
        <v>0</v>
      </c>
      <c r="D115" s="116">
        <v>8732652.3900000006</v>
      </c>
      <c r="E115" s="116">
        <v>8732652.3900000006</v>
      </c>
      <c r="F115" s="116">
        <v>0</v>
      </c>
      <c r="G115" s="43" t="str">
        <f>_xlfn.XLOOKUP($A115,Map!$A:$A,Map!C:C)</f>
        <v>IS</v>
      </c>
      <c r="H115" s="43" t="str">
        <f>_xlfn.XLOOKUP($A115,Map!$A:$A,Map!D:D)</f>
        <v>Cost of sales</v>
      </c>
      <c r="I115" s="43" t="str">
        <f>_xlfn.XLOOKUP($A115,Map!$A:$A,Map!E:E)</f>
        <v>Raw materials</v>
      </c>
      <c r="J115" s="43" t="str">
        <f>_xlfn.XLOOKUP($A115,Map!$A:$A,Map!F:F)</f>
        <v>Other expenses</v>
      </c>
    </row>
    <row r="116" spans="1:10" x14ac:dyDescent="0.25">
      <c r="A116">
        <v>520042</v>
      </c>
      <c r="B116" t="s">
        <v>971</v>
      </c>
      <c r="C116" s="116">
        <v>0</v>
      </c>
      <c r="D116" s="116">
        <v>2212247.5750000002</v>
      </c>
      <c r="E116" s="116">
        <v>2212247.5750000002</v>
      </c>
      <c r="F116" s="116">
        <v>0</v>
      </c>
      <c r="G116" s="43" t="str">
        <f>_xlfn.XLOOKUP($A116,Map!$A:$A,Map!C:C)</f>
        <v>IS</v>
      </c>
      <c r="H116" s="43" t="str">
        <f>_xlfn.XLOOKUP($A116,Map!$A:$A,Map!D:D)</f>
        <v>Cost of sales</v>
      </c>
      <c r="I116" s="43" t="str">
        <f>_xlfn.XLOOKUP($A116,Map!$A:$A,Map!E:E)</f>
        <v>Raw materials</v>
      </c>
      <c r="J116" s="43" t="str">
        <f>_xlfn.XLOOKUP($A116,Map!$A:$A,Map!F:F)</f>
        <v>Inventory Adjustment</v>
      </c>
    </row>
    <row r="117" spans="1:10" x14ac:dyDescent="0.25">
      <c r="A117">
        <v>600001</v>
      </c>
      <c r="B117" t="s">
        <v>979</v>
      </c>
      <c r="C117" s="116">
        <v>0</v>
      </c>
      <c r="D117" s="116">
        <v>1541150.807</v>
      </c>
      <c r="E117" s="116">
        <v>1541150.807</v>
      </c>
      <c r="F117" s="116">
        <v>0</v>
      </c>
      <c r="G117" s="43" t="str">
        <f>_xlfn.XLOOKUP($A117,Map!$A:$A,Map!C:C)</f>
        <v>IS</v>
      </c>
      <c r="H117" s="43" t="str">
        <f>_xlfn.XLOOKUP($A117,Map!$A:$A,Map!D:D)</f>
        <v>Cost of sales</v>
      </c>
      <c r="I117" s="43" t="str">
        <f>_xlfn.XLOOKUP($A117,Map!$A:$A,Map!E:E)</f>
        <v>Overhead - Labor Cost</v>
      </c>
      <c r="J117" s="43" t="str">
        <f>_xlfn.XLOOKUP($A117,Map!$A:$A,Map!F:F)</f>
        <v>Indirect Salaries — factory supervisory / indirect floor labour (COGS)</v>
      </c>
    </row>
    <row r="118" spans="1:10" x14ac:dyDescent="0.25">
      <c r="A118">
        <v>600002</v>
      </c>
      <c r="B118" t="s">
        <v>980</v>
      </c>
      <c r="C118" s="116">
        <v>0</v>
      </c>
      <c r="D118" s="116">
        <v>160025</v>
      </c>
      <c r="E118" s="116">
        <v>160025</v>
      </c>
      <c r="F118" s="116">
        <v>0</v>
      </c>
      <c r="G118" s="43" t="str">
        <f>_xlfn.XLOOKUP($A118,Map!$A:$A,Map!C:C)</f>
        <v>IS</v>
      </c>
      <c r="H118" s="43" t="str">
        <f>_xlfn.XLOOKUP($A118,Map!$A:$A,Map!D:D)</f>
        <v>Cost of sales</v>
      </c>
      <c r="I118" s="43" t="str">
        <f>_xlfn.XLOOKUP($A118,Map!$A:$A,Map!E:E)</f>
        <v>Overhead - Labor Cost</v>
      </c>
      <c r="J118" s="43" t="str">
        <f>_xlfn.XLOOKUP($A118,Map!$A:$A,Map!F:F)</f>
        <v>Overtime pay</v>
      </c>
    </row>
    <row r="119" spans="1:10" x14ac:dyDescent="0.25">
      <c r="A119">
        <v>600003</v>
      </c>
      <c r="B119" t="s">
        <v>981</v>
      </c>
      <c r="C119" s="116">
        <v>0</v>
      </c>
      <c r="D119" s="116">
        <v>40196</v>
      </c>
      <c r="E119" s="116">
        <v>40196</v>
      </c>
      <c r="F119" s="116">
        <v>0</v>
      </c>
      <c r="G119" s="43" t="str">
        <f>_xlfn.XLOOKUP($A119,Map!$A:$A,Map!C:C)</f>
        <v>IS</v>
      </c>
      <c r="H119" s="43" t="str">
        <f>_xlfn.XLOOKUP($A119,Map!$A:$A,Map!D:D)</f>
        <v>Cost of sales</v>
      </c>
      <c r="I119" s="43" t="str">
        <f>_xlfn.XLOOKUP($A119,Map!$A:$A,Map!E:E)</f>
        <v>Overhead - Labor Cost</v>
      </c>
      <c r="J119" s="43" t="str">
        <f>_xlfn.XLOOKUP($A119,Map!$A:$A,Map!F:F)</f>
        <v xml:space="preserve">Food &amp; Housing </v>
      </c>
    </row>
    <row r="120" spans="1:10" x14ac:dyDescent="0.25">
      <c r="A120">
        <v>600004</v>
      </c>
      <c r="B120" t="s">
        <v>982</v>
      </c>
      <c r="C120" s="116">
        <v>0</v>
      </c>
      <c r="D120" s="116">
        <v>152237.85</v>
      </c>
      <c r="E120" s="116">
        <v>152237.85</v>
      </c>
      <c r="F120" s="116">
        <v>0</v>
      </c>
      <c r="G120" s="43" t="str">
        <f>_xlfn.XLOOKUP($A120,Map!$A:$A,Map!C:C)</f>
        <v>IS</v>
      </c>
      <c r="H120" s="43" t="str">
        <f>_xlfn.XLOOKUP($A120,Map!$A:$A,Map!D:D)</f>
        <v>Cost of sales</v>
      </c>
      <c r="I120" s="43" t="str">
        <f>_xlfn.XLOOKUP($A120,Map!$A:$A,Map!E:E)</f>
        <v>Overhead - Labor Cost</v>
      </c>
      <c r="J120" s="43" t="str">
        <f>_xlfn.XLOOKUP($A120,Map!$A:$A,Map!F:F)</f>
        <v>Medical insurance</v>
      </c>
    </row>
    <row r="121" spans="1:10" x14ac:dyDescent="0.25">
      <c r="A121">
        <v>600005</v>
      </c>
      <c r="B121" t="s">
        <v>983</v>
      </c>
      <c r="C121" s="116">
        <v>0</v>
      </c>
      <c r="D121" s="116">
        <v>582204</v>
      </c>
      <c r="E121" s="116">
        <v>582204</v>
      </c>
      <c r="F121" s="116">
        <v>0</v>
      </c>
      <c r="G121" s="43" t="str">
        <f>_xlfn.XLOOKUP($A121,Map!$A:$A,Map!C:C)</f>
        <v>IS</v>
      </c>
      <c r="H121" s="43" t="str">
        <f>_xlfn.XLOOKUP($A121,Map!$A:$A,Map!D:D)</f>
        <v>General and Admin</v>
      </c>
      <c r="I121" s="43" t="str">
        <f>_xlfn.XLOOKUP($A121,Map!$A:$A,Map!E:E)</f>
        <v>Govt license and fees (including modon)</v>
      </c>
      <c r="J121" s="43" t="str">
        <f>_xlfn.XLOOKUP($A121,Map!$A:$A,Map!F:F)</f>
        <v>Government fees</v>
      </c>
    </row>
    <row r="122" spans="1:10" x14ac:dyDescent="0.25">
      <c r="A122">
        <v>600006</v>
      </c>
      <c r="B122" t="s">
        <v>984</v>
      </c>
      <c r="C122" s="116">
        <v>0</v>
      </c>
      <c r="D122" s="116">
        <v>357249.83</v>
      </c>
      <c r="E122" s="116">
        <v>357249.83</v>
      </c>
      <c r="F122" s="116">
        <v>0</v>
      </c>
      <c r="G122" s="43" t="str">
        <f>_xlfn.XLOOKUP($A122,Map!$A:$A,Map!C:C)</f>
        <v>IS</v>
      </c>
      <c r="H122" s="43" t="str">
        <f>_xlfn.XLOOKUP($A122,Map!$A:$A,Map!D:D)</f>
        <v>Cost of sales</v>
      </c>
      <c r="I122" s="43" t="str">
        <f>_xlfn.XLOOKUP($A122,Map!$A:$A,Map!E:E)</f>
        <v>Overhead - Labor Cost</v>
      </c>
      <c r="J122" s="43" t="str">
        <f>_xlfn.XLOOKUP($A122,Map!$A:$A,Map!F:F)</f>
        <v xml:space="preserve">Food &amp; Housing </v>
      </c>
    </row>
    <row r="123" spans="1:10" x14ac:dyDescent="0.25">
      <c r="A123">
        <v>600007</v>
      </c>
      <c r="B123" t="s">
        <v>985</v>
      </c>
      <c r="C123" s="116">
        <v>0</v>
      </c>
      <c r="D123" s="116">
        <v>6402</v>
      </c>
      <c r="E123" s="116">
        <v>6402</v>
      </c>
      <c r="F123" s="116">
        <v>0</v>
      </c>
      <c r="G123" s="43" t="str">
        <f>_xlfn.XLOOKUP($A123,Map!$A:$A,Map!C:C)</f>
        <v>IS</v>
      </c>
      <c r="H123" s="43" t="str">
        <f>_xlfn.XLOOKUP($A123,Map!$A:$A,Map!D:D)</f>
        <v>Cost of sales</v>
      </c>
      <c r="I123" s="43" t="str">
        <f>_xlfn.XLOOKUP($A123,Map!$A:$A,Map!E:E)</f>
        <v>Overhead - Labor Cost</v>
      </c>
      <c r="J123" s="43" t="str">
        <f>_xlfn.XLOOKUP($A123,Map!$A:$A,Map!F:F)</f>
        <v>Transportation allowance</v>
      </c>
    </row>
    <row r="124" spans="1:10" x14ac:dyDescent="0.25">
      <c r="A124">
        <v>600008</v>
      </c>
      <c r="B124" t="s">
        <v>986</v>
      </c>
      <c r="C124" s="116">
        <v>0</v>
      </c>
      <c r="D124" s="116">
        <v>194585</v>
      </c>
      <c r="E124" s="116">
        <v>194585</v>
      </c>
      <c r="F124" s="116">
        <v>0</v>
      </c>
      <c r="G124" s="43" t="str">
        <f>_xlfn.XLOOKUP($A124,Map!$A:$A,Map!C:C)</f>
        <v>IS</v>
      </c>
      <c r="H124" s="43" t="str">
        <f>_xlfn.XLOOKUP($A124,Map!$A:$A,Map!D:D)</f>
        <v>Cost of sales</v>
      </c>
      <c r="I124" s="43" t="str">
        <f>_xlfn.XLOOKUP($A124,Map!$A:$A,Map!E:E)</f>
        <v>Overhead - Labor Cost</v>
      </c>
      <c r="J124" s="43" t="str">
        <f>_xlfn.XLOOKUP($A124,Map!$A:$A,Map!F:F)</f>
        <v>Air tickets</v>
      </c>
    </row>
    <row r="125" spans="1:10" x14ac:dyDescent="0.25">
      <c r="A125">
        <v>600009</v>
      </c>
      <c r="B125" t="s">
        <v>987</v>
      </c>
      <c r="C125" s="116">
        <v>0</v>
      </c>
      <c r="D125" s="116">
        <v>192000</v>
      </c>
      <c r="E125" s="116">
        <v>192000</v>
      </c>
      <c r="F125" s="116">
        <v>0</v>
      </c>
      <c r="G125" s="43" t="str">
        <f>_xlfn.XLOOKUP($A125,Map!$A:$A,Map!C:C)</f>
        <v>IS</v>
      </c>
      <c r="H125" s="43" t="str">
        <f>_xlfn.XLOOKUP($A125,Map!$A:$A,Map!D:D)</f>
        <v>Cost of sales</v>
      </c>
      <c r="I125" s="43" t="str">
        <f>_xlfn.XLOOKUP($A125,Map!$A:$A,Map!E:E)</f>
        <v>Overhead - Labor Cost</v>
      </c>
      <c r="J125" s="43" t="str">
        <f>_xlfn.XLOOKUP($A125,Map!$A:$A,Map!F:F)</f>
        <v>Vacation pay</v>
      </c>
    </row>
    <row r="126" spans="1:10" x14ac:dyDescent="0.25">
      <c r="A126">
        <v>600011</v>
      </c>
      <c r="B126" t="s">
        <v>989</v>
      </c>
      <c r="C126" s="116">
        <v>0</v>
      </c>
      <c r="D126" s="116">
        <v>17471</v>
      </c>
      <c r="E126" s="116">
        <v>17471</v>
      </c>
      <c r="F126" s="116">
        <v>0</v>
      </c>
      <c r="G126" s="43" t="str">
        <f>_xlfn.XLOOKUP($A126,Map!$A:$A,Map!C:C)</f>
        <v>IS</v>
      </c>
      <c r="H126" s="43" t="str">
        <f>_xlfn.XLOOKUP($A126,Map!$A:$A,Map!D:D)</f>
        <v>Cost of sales</v>
      </c>
      <c r="I126" s="43" t="str">
        <f>_xlfn.XLOOKUP($A126,Map!$A:$A,Map!E:E)</f>
        <v>Overhead - Labor Cost</v>
      </c>
      <c r="J126" s="43" t="str">
        <f>_xlfn.XLOOKUP($A126,Map!$A:$A,Map!F:F)</f>
        <v>Air tickets</v>
      </c>
    </row>
    <row r="127" spans="1:10" x14ac:dyDescent="0.25">
      <c r="A127">
        <v>600012</v>
      </c>
      <c r="B127" t="s">
        <v>990</v>
      </c>
      <c r="C127" s="116">
        <v>0</v>
      </c>
      <c r="D127" s="116">
        <v>625</v>
      </c>
      <c r="E127" s="116">
        <v>625</v>
      </c>
      <c r="F127" s="116">
        <v>0</v>
      </c>
      <c r="G127" s="43" t="str">
        <f>_xlfn.XLOOKUP($A127,Map!$A:$A,Map!C:C)</f>
        <v>IS</v>
      </c>
      <c r="H127" s="43" t="str">
        <f>_xlfn.XLOOKUP($A127,Map!$A:$A,Map!D:D)</f>
        <v>Cost of sales</v>
      </c>
      <c r="I127" s="43" t="str">
        <f>_xlfn.XLOOKUP($A127,Map!$A:$A,Map!E:E)</f>
        <v>Overhead - Labor Cost</v>
      </c>
      <c r="J127" s="43" t="str">
        <f>_xlfn.XLOOKUP($A127,Map!$A:$A,Map!F:F)</f>
        <v xml:space="preserve">Education &amp; Furniture Allowances </v>
      </c>
    </row>
    <row r="128" spans="1:10" x14ac:dyDescent="0.25">
      <c r="A128">
        <v>600013</v>
      </c>
      <c r="B128" t="s">
        <v>991</v>
      </c>
      <c r="C128" s="116">
        <v>0</v>
      </c>
      <c r="D128" s="116">
        <v>1290</v>
      </c>
      <c r="E128" s="116">
        <v>1290</v>
      </c>
      <c r="F128" s="116">
        <v>0</v>
      </c>
      <c r="G128" s="43" t="str">
        <f>_xlfn.XLOOKUP($A128,Map!$A:$A,Map!C:C)</f>
        <v>IS</v>
      </c>
      <c r="H128" s="43" t="str">
        <f>_xlfn.XLOOKUP($A128,Map!$A:$A,Map!D:D)</f>
        <v>Cost of sales</v>
      </c>
      <c r="I128" s="43" t="str">
        <f>_xlfn.XLOOKUP($A128,Map!$A:$A,Map!E:E)</f>
        <v>Overhead - Labor Cost</v>
      </c>
      <c r="J128" s="43" t="str">
        <f>_xlfn.XLOOKUP($A128,Map!$A:$A,Map!F:F)</f>
        <v>Telephone allowance</v>
      </c>
    </row>
    <row r="129" spans="1:10" x14ac:dyDescent="0.25">
      <c r="A129">
        <v>600014</v>
      </c>
      <c r="B129" t="s">
        <v>884</v>
      </c>
      <c r="C129" s="116">
        <v>0</v>
      </c>
      <c r="D129" s="116">
        <v>1660391.8559999999</v>
      </c>
      <c r="E129" s="116">
        <v>1660391.8559999999</v>
      </c>
      <c r="F129" s="116">
        <v>0</v>
      </c>
      <c r="G129" s="43" t="str">
        <f>_xlfn.XLOOKUP($A129,Map!$A:$A,Map!C:C)</f>
        <v>IS</v>
      </c>
      <c r="H129" s="43" t="str">
        <f>_xlfn.XLOOKUP($A129,Map!$A:$A,Map!D:D)</f>
        <v>Cost of sales</v>
      </c>
      <c r="I129" s="43" t="str">
        <f>_xlfn.XLOOKUP($A129,Map!$A:$A,Map!E:E)</f>
        <v>Overhead - Consumables &amp; SP</v>
      </c>
      <c r="J129" s="43" t="str">
        <f>_xlfn.XLOOKUP($A129,Map!$A:$A,Map!F:F)</f>
        <v>Consumables</v>
      </c>
    </row>
    <row r="130" spans="1:10" x14ac:dyDescent="0.25">
      <c r="A130">
        <v>600015</v>
      </c>
      <c r="B130" t="s">
        <v>992</v>
      </c>
      <c r="C130" s="116">
        <v>0</v>
      </c>
      <c r="D130" s="116">
        <v>245263.00099999999</v>
      </c>
      <c r="E130" s="116">
        <v>245263.00099999999</v>
      </c>
      <c r="F130" s="116">
        <v>0</v>
      </c>
      <c r="G130" s="43" t="str">
        <f>_xlfn.XLOOKUP($A130,Map!$A:$A,Map!C:C)</f>
        <v>IS</v>
      </c>
      <c r="H130" s="43" t="str">
        <f>_xlfn.XLOOKUP($A130,Map!$A:$A,Map!D:D)</f>
        <v>Cost of sales</v>
      </c>
      <c r="I130" s="43" t="str">
        <f>_xlfn.XLOOKUP($A130,Map!$A:$A,Map!E:E)</f>
        <v>Overhead - Consumables &amp; SP</v>
      </c>
      <c r="J130" s="43" t="str">
        <f>_xlfn.XLOOKUP($A130,Map!$A:$A,Map!F:F)</f>
        <v>Consumables</v>
      </c>
    </row>
    <row r="131" spans="1:10" x14ac:dyDescent="0.25">
      <c r="A131">
        <v>600016</v>
      </c>
      <c r="B131" t="s">
        <v>993</v>
      </c>
      <c r="C131" s="116">
        <v>0</v>
      </c>
      <c r="D131" s="116">
        <v>2049494.466</v>
      </c>
      <c r="E131" s="116">
        <v>2049494.466</v>
      </c>
      <c r="F131" s="116">
        <v>0</v>
      </c>
      <c r="G131" s="43" t="str">
        <f>_xlfn.XLOOKUP($A131,Map!$A:$A,Map!C:C)</f>
        <v>IS</v>
      </c>
      <c r="H131" s="43" t="str">
        <f>_xlfn.XLOOKUP($A131,Map!$A:$A,Map!D:D)</f>
        <v>Cost of sales</v>
      </c>
      <c r="I131" s="43" t="str">
        <f>_xlfn.XLOOKUP($A131,Map!$A:$A,Map!E:E)</f>
        <v>Overhead - Consumables &amp; SP</v>
      </c>
      <c r="J131" s="43" t="str">
        <f>_xlfn.XLOOKUP($A131,Map!$A:$A,Map!F:F)</f>
        <v>Tools</v>
      </c>
    </row>
    <row r="132" spans="1:10" x14ac:dyDescent="0.25">
      <c r="A132">
        <v>600017</v>
      </c>
      <c r="B132" t="s">
        <v>994</v>
      </c>
      <c r="C132" s="116">
        <v>0</v>
      </c>
      <c r="D132" s="116">
        <v>2271792.477</v>
      </c>
      <c r="E132" s="116">
        <v>2271792.477</v>
      </c>
      <c r="F132" s="116">
        <v>0</v>
      </c>
      <c r="G132" s="43" t="str">
        <f>_xlfn.XLOOKUP($A132,Map!$A:$A,Map!C:C)</f>
        <v>IS</v>
      </c>
      <c r="H132" s="43" t="str">
        <f>_xlfn.XLOOKUP($A132,Map!$A:$A,Map!D:D)</f>
        <v>Cost of sales</v>
      </c>
      <c r="I132" s="43" t="str">
        <f>_xlfn.XLOOKUP($A132,Map!$A:$A,Map!E:E)</f>
        <v>Overhead - Utility</v>
      </c>
      <c r="J132" s="43" t="str">
        <f>_xlfn.XLOOKUP($A132,Map!$A:$A,Map!F:F)</f>
        <v>Electricity expenses</v>
      </c>
    </row>
    <row r="133" spans="1:10" x14ac:dyDescent="0.25">
      <c r="A133">
        <v>600018</v>
      </c>
      <c r="B133" t="s">
        <v>995</v>
      </c>
      <c r="C133" s="116">
        <v>0</v>
      </c>
      <c r="D133" s="116">
        <v>73630</v>
      </c>
      <c r="E133" s="116">
        <v>73630</v>
      </c>
      <c r="F133" s="116">
        <v>0</v>
      </c>
      <c r="G133" s="43" t="str">
        <f>_xlfn.XLOOKUP($A133,Map!$A:$A,Map!C:C)</f>
        <v>IS</v>
      </c>
      <c r="H133" s="43" t="str">
        <f>_xlfn.XLOOKUP($A133,Map!$A:$A,Map!D:D)</f>
        <v>Cost of sales</v>
      </c>
      <c r="I133" s="43" t="str">
        <f>_xlfn.XLOOKUP($A133,Map!$A:$A,Map!E:E)</f>
        <v>Overhead - Utility</v>
      </c>
      <c r="J133" s="43" t="str">
        <f>_xlfn.XLOOKUP($A133,Map!$A:$A,Map!F:F)</f>
        <v>Water expenses</v>
      </c>
    </row>
    <row r="134" spans="1:10" x14ac:dyDescent="0.25">
      <c r="A134">
        <v>600019</v>
      </c>
      <c r="B134" t="s">
        <v>996</v>
      </c>
      <c r="C134" s="116">
        <v>0</v>
      </c>
      <c r="D134" s="116">
        <v>128287</v>
      </c>
      <c r="E134" s="116">
        <v>128287</v>
      </c>
      <c r="F134" s="116">
        <v>0</v>
      </c>
      <c r="G134" s="43" t="str">
        <f>_xlfn.XLOOKUP($A134,Map!$A:$A,Map!C:C)</f>
        <v>IS</v>
      </c>
      <c r="H134" s="43" t="str">
        <f>_xlfn.XLOOKUP($A134,Map!$A:$A,Map!D:D)</f>
        <v>Cost of sales</v>
      </c>
      <c r="I134" s="43" t="str">
        <f>_xlfn.XLOOKUP($A134,Map!$A:$A,Map!E:E)</f>
        <v>Overhead - Utility</v>
      </c>
      <c r="J134" s="43" t="str">
        <f>_xlfn.XLOOKUP($A134,Map!$A:$A,Map!F:F)</f>
        <v>Fuel and oil</v>
      </c>
    </row>
    <row r="135" spans="1:10" x14ac:dyDescent="0.25">
      <c r="A135">
        <v>600020</v>
      </c>
      <c r="B135" t="s">
        <v>997</v>
      </c>
      <c r="C135" s="116">
        <v>0</v>
      </c>
      <c r="D135" s="116">
        <v>37555</v>
      </c>
      <c r="E135" s="116">
        <v>37555</v>
      </c>
      <c r="F135" s="116">
        <v>0</v>
      </c>
      <c r="G135" s="43" t="str">
        <f>_xlfn.XLOOKUP($A135,Map!$A:$A,Map!C:C)</f>
        <v>IS</v>
      </c>
      <c r="H135" s="43" t="str">
        <f>_xlfn.XLOOKUP($A135,Map!$A:$A,Map!D:D)</f>
        <v>Cost of sales</v>
      </c>
      <c r="I135" s="43" t="str">
        <f>_xlfn.XLOOKUP($A135,Map!$A:$A,Map!E:E)</f>
        <v>Overhead - R&amp;M</v>
      </c>
      <c r="J135" s="43" t="str">
        <f>_xlfn.XLOOKUP($A135,Map!$A:$A,Map!F:F)</f>
        <v>Machine and equipment</v>
      </c>
    </row>
    <row r="136" spans="1:10" x14ac:dyDescent="0.25">
      <c r="A136">
        <v>600021</v>
      </c>
      <c r="B136" t="s">
        <v>998</v>
      </c>
      <c r="C136" s="116">
        <v>0</v>
      </c>
      <c r="D136" s="116">
        <v>23463</v>
      </c>
      <c r="E136" s="116">
        <v>23463</v>
      </c>
      <c r="F136" s="116">
        <v>0</v>
      </c>
      <c r="G136" s="43" t="str">
        <f>_xlfn.XLOOKUP($A136,Map!$A:$A,Map!C:C)</f>
        <v>IS</v>
      </c>
      <c r="H136" s="43" t="str">
        <f>_xlfn.XLOOKUP($A136,Map!$A:$A,Map!D:D)</f>
        <v>Cost of sales</v>
      </c>
      <c r="I136" s="43" t="str">
        <f>_xlfn.XLOOKUP($A136,Map!$A:$A,Map!E:E)</f>
        <v>Overhead - R&amp;M</v>
      </c>
      <c r="J136" s="43" t="str">
        <f>_xlfn.XLOOKUP($A136,Map!$A:$A,Map!F:F)</f>
        <v>Vehicle maintenance</v>
      </c>
    </row>
    <row r="137" spans="1:10" x14ac:dyDescent="0.25">
      <c r="A137">
        <v>600022</v>
      </c>
      <c r="B137" t="s">
        <v>999</v>
      </c>
      <c r="C137" s="116">
        <v>0</v>
      </c>
      <c r="D137" s="116">
        <v>783</v>
      </c>
      <c r="E137" s="116">
        <v>783</v>
      </c>
      <c r="F137" s="116">
        <v>0</v>
      </c>
      <c r="G137" s="43" t="str">
        <f>_xlfn.XLOOKUP($A137,Map!$A:$A,Map!C:C)</f>
        <v>IS</v>
      </c>
      <c r="H137" s="43" t="str">
        <f>_xlfn.XLOOKUP($A137,Map!$A:$A,Map!D:D)</f>
        <v>Cost of sales</v>
      </c>
      <c r="I137" s="43" t="str">
        <f>_xlfn.XLOOKUP($A137,Map!$A:$A,Map!E:E)</f>
        <v>Overhead - R&amp;M</v>
      </c>
      <c r="J137" s="43" t="str">
        <f>_xlfn.XLOOKUP($A137,Map!$A:$A,Map!F:F)</f>
        <v>Building maintenance</v>
      </c>
    </row>
    <row r="138" spans="1:10" x14ac:dyDescent="0.25">
      <c r="A138">
        <v>600023</v>
      </c>
      <c r="B138" t="s">
        <v>1000</v>
      </c>
      <c r="C138" s="116">
        <v>0</v>
      </c>
      <c r="D138" s="116">
        <v>2100</v>
      </c>
      <c r="E138" s="116">
        <v>2100</v>
      </c>
      <c r="F138" s="116">
        <v>0</v>
      </c>
      <c r="G138" s="43" t="str">
        <f>_xlfn.XLOOKUP($A138,Map!$A:$A,Map!C:C)</f>
        <v>IS</v>
      </c>
      <c r="H138" s="43" t="str">
        <f>_xlfn.XLOOKUP($A138,Map!$A:$A,Map!D:D)</f>
        <v>Cost of sales</v>
      </c>
      <c r="I138" s="43" t="str">
        <f>_xlfn.XLOOKUP($A138,Map!$A:$A,Map!E:E)</f>
        <v>Overhead - R&amp;M</v>
      </c>
      <c r="J138" s="43" t="str">
        <f>_xlfn.XLOOKUP($A138,Map!$A:$A,Map!F:F)</f>
        <v>Office equipment maintenance</v>
      </c>
    </row>
    <row r="139" spans="1:10" x14ac:dyDescent="0.25">
      <c r="A139">
        <v>600024</v>
      </c>
      <c r="B139" t="s">
        <v>1001</v>
      </c>
      <c r="C139" s="116">
        <v>0</v>
      </c>
      <c r="D139" s="116">
        <v>93001.69</v>
      </c>
      <c r="E139" s="116">
        <v>93001.69</v>
      </c>
      <c r="F139" s="116">
        <v>0</v>
      </c>
      <c r="G139" s="43" t="str">
        <f>_xlfn.XLOOKUP($A139,Map!$A:$A,Map!C:C)</f>
        <v>IS</v>
      </c>
      <c r="H139" s="43" t="str">
        <f>_xlfn.XLOOKUP($A139,Map!$A:$A,Map!D:D)</f>
        <v>Cost of sales</v>
      </c>
      <c r="I139" s="43" t="str">
        <f>_xlfn.XLOOKUP($A139,Map!$A:$A,Map!E:E)</f>
        <v>Overhead - Rent</v>
      </c>
      <c r="J139" s="43" t="str">
        <f>_xlfn.XLOOKUP($A139,Map!$A:$A,Map!F:F)</f>
        <v>Pump rental expenses</v>
      </c>
    </row>
    <row r="140" spans="1:10" x14ac:dyDescent="0.25">
      <c r="A140">
        <v>600027</v>
      </c>
      <c r="B140" t="s">
        <v>1004</v>
      </c>
      <c r="C140" s="116">
        <v>0</v>
      </c>
      <c r="D140" s="116">
        <v>616000.07999999996</v>
      </c>
      <c r="E140" s="116">
        <v>616000.07999999996</v>
      </c>
      <c r="F140" s="116">
        <v>0</v>
      </c>
      <c r="G140" s="43" t="str">
        <f>_xlfn.XLOOKUP($A140,Map!$A:$A,Map!C:C)</f>
        <v>IS</v>
      </c>
      <c r="H140" s="43" t="str">
        <f>_xlfn.XLOOKUP($A140,Map!$A:$A,Map!D:D)</f>
        <v>Cost of sales</v>
      </c>
      <c r="I140" s="43" t="str">
        <f>_xlfn.XLOOKUP($A140,Map!$A:$A,Map!E:E)</f>
        <v>Overhead - Rent</v>
      </c>
      <c r="J140" s="43" t="str">
        <f>_xlfn.XLOOKUP($A140,Map!$A:$A,Map!F:F)</f>
        <v>Production hall rental</v>
      </c>
    </row>
    <row r="141" spans="1:10" x14ac:dyDescent="0.25">
      <c r="A141">
        <v>600028</v>
      </c>
      <c r="B141" t="s">
        <v>1005</v>
      </c>
      <c r="C141" s="116">
        <v>0</v>
      </c>
      <c r="D141" s="116">
        <v>22558</v>
      </c>
      <c r="E141" s="116">
        <v>22558</v>
      </c>
      <c r="F141" s="116">
        <v>0</v>
      </c>
      <c r="G141" s="43" t="str">
        <f>_xlfn.XLOOKUP($A141,Map!$A:$A,Map!C:C)</f>
        <v>IS</v>
      </c>
      <c r="H141" s="43" t="str">
        <f>_xlfn.XLOOKUP($A141,Map!$A:$A,Map!D:D)</f>
        <v>Cost of sales</v>
      </c>
      <c r="I141" s="43" t="str">
        <f>_xlfn.XLOOKUP($A141,Map!$A:$A,Map!E:E)</f>
        <v>Overhead - Consumables &amp; SP</v>
      </c>
      <c r="J141" s="43" t="str">
        <f>_xlfn.XLOOKUP($A141,Map!$A:$A,Map!F:F)</f>
        <v xml:space="preserve">Education &amp; Furniture Allowances </v>
      </c>
    </row>
    <row r="142" spans="1:10" x14ac:dyDescent="0.25">
      <c r="A142">
        <v>600029</v>
      </c>
      <c r="B142" t="s">
        <v>1006</v>
      </c>
      <c r="C142" s="116">
        <v>0</v>
      </c>
      <c r="D142" s="116">
        <v>3435816.0830000001</v>
      </c>
      <c r="E142" s="116">
        <v>3435816.0830000001</v>
      </c>
      <c r="F142" s="116">
        <v>0</v>
      </c>
      <c r="G142" s="43" t="str">
        <f>_xlfn.XLOOKUP($A142,Map!$A:$A,Map!C:C)</f>
        <v>IS</v>
      </c>
      <c r="H142" s="43" t="str">
        <f>_xlfn.XLOOKUP($A142,Map!$A:$A,Map!D:D)</f>
        <v>Cost of sales</v>
      </c>
      <c r="I142" s="43" t="str">
        <f>_xlfn.XLOOKUP($A142,Map!$A:$A,Map!E:E)</f>
        <v>Depreciation - Machines</v>
      </c>
      <c r="J142" s="43" t="str">
        <f>_xlfn.XLOOKUP($A142,Map!$A:$A,Map!F:F)</f>
        <v>Depreciation of property, plant and equipment</v>
      </c>
    </row>
    <row r="143" spans="1:10" x14ac:dyDescent="0.25">
      <c r="A143">
        <v>600030</v>
      </c>
      <c r="B143" t="s">
        <v>1007</v>
      </c>
      <c r="C143" s="116">
        <v>0</v>
      </c>
      <c r="D143" s="116">
        <v>9147.4349999999995</v>
      </c>
      <c r="E143" s="116">
        <v>9147.4349999999995</v>
      </c>
      <c r="F143" s="116">
        <v>0</v>
      </c>
      <c r="G143" s="43" t="str">
        <f>_xlfn.XLOOKUP($A143,Map!$A:$A,Map!C:C)</f>
        <v>IS</v>
      </c>
      <c r="H143" s="43" t="str">
        <f>_xlfn.XLOOKUP($A143,Map!$A:$A,Map!D:D)</f>
        <v>Depreciation expenses</v>
      </c>
      <c r="I143" s="43" t="str">
        <f>_xlfn.XLOOKUP($A143,Map!$A:$A,Map!E:E)</f>
        <v>Depreciation expenses</v>
      </c>
      <c r="J143" s="43" t="str">
        <f>_xlfn.XLOOKUP($A143,Map!$A:$A,Map!F:F)</f>
        <v>Depreciation of property, plant and equipment</v>
      </c>
    </row>
    <row r="144" spans="1:10" x14ac:dyDescent="0.25">
      <c r="A144">
        <v>600031</v>
      </c>
      <c r="B144" t="s">
        <v>1008</v>
      </c>
      <c r="C144" s="116">
        <v>0</v>
      </c>
      <c r="D144" s="116">
        <v>7359.9889999999996</v>
      </c>
      <c r="E144" s="116">
        <v>7359.9889999999996</v>
      </c>
      <c r="F144" s="116">
        <v>0</v>
      </c>
      <c r="G144" s="43" t="str">
        <f>_xlfn.XLOOKUP($A144,Map!$A:$A,Map!C:C)</f>
        <v>IS</v>
      </c>
      <c r="H144" s="43" t="str">
        <f>_xlfn.XLOOKUP($A144,Map!$A:$A,Map!D:D)</f>
        <v>Depreciation expenses</v>
      </c>
      <c r="I144" s="43" t="str">
        <f>_xlfn.XLOOKUP($A144,Map!$A:$A,Map!E:E)</f>
        <v>Depreciation expenses</v>
      </c>
      <c r="J144" s="43" t="str">
        <f>_xlfn.XLOOKUP($A144,Map!$A:$A,Map!F:F)</f>
        <v>Depreciation of property, plant and equipment</v>
      </c>
    </row>
    <row r="145" spans="1:10" x14ac:dyDescent="0.25">
      <c r="A145">
        <v>700001</v>
      </c>
      <c r="B145" t="s">
        <v>1023</v>
      </c>
      <c r="C145" s="116">
        <v>0</v>
      </c>
      <c r="D145" s="116">
        <v>3099012.4279999998</v>
      </c>
      <c r="E145" s="116">
        <v>305111</v>
      </c>
      <c r="F145" s="116">
        <v>2793901.4279999998</v>
      </c>
      <c r="G145" s="43" t="str">
        <f>_xlfn.XLOOKUP($A145,Map!$A:$A,Map!C:C)</f>
        <v>IS</v>
      </c>
      <c r="H145" s="43" t="str">
        <f>_xlfn.XLOOKUP($A145,Map!$A:$A,Map!D:D)</f>
        <v>General and Admin</v>
      </c>
      <c r="I145" s="43" t="str">
        <f>_xlfn.XLOOKUP($A145,Map!$A:$A,Map!E:E)</f>
        <v>Salaries and wages</v>
      </c>
      <c r="J145" s="43" t="str">
        <f>_xlfn.XLOOKUP($A145,Map!$A:$A,Map!F:F)</f>
        <v>Salaries and wages</v>
      </c>
    </row>
    <row r="146" spans="1:10" x14ac:dyDescent="0.25">
      <c r="A146">
        <v>700002</v>
      </c>
      <c r="B146" t="s">
        <v>1024</v>
      </c>
      <c r="C146" s="116">
        <v>0</v>
      </c>
      <c r="D146" s="116">
        <v>159960.32699999999</v>
      </c>
      <c r="E146" s="116">
        <v>0</v>
      </c>
      <c r="F146" s="116">
        <v>159960.32699999999</v>
      </c>
      <c r="G146" s="43" t="str">
        <f>_xlfn.XLOOKUP($A146,Map!$A:$A,Map!C:C)</f>
        <v>IS</v>
      </c>
      <c r="H146" s="43" t="str">
        <f>_xlfn.XLOOKUP($A146,Map!$A:$A,Map!D:D)</f>
        <v>General and Admin</v>
      </c>
      <c r="I146" s="43" t="str">
        <f>_xlfn.XLOOKUP($A146,Map!$A:$A,Map!E:E)</f>
        <v>Salaries and wages</v>
      </c>
      <c r="J146" s="43" t="str">
        <f>_xlfn.XLOOKUP($A146,Map!$A:$A,Map!F:F)</f>
        <v>Overtime pay</v>
      </c>
    </row>
    <row r="147" spans="1:10" x14ac:dyDescent="0.25">
      <c r="A147">
        <v>700003</v>
      </c>
      <c r="B147" t="s">
        <v>1152</v>
      </c>
      <c r="C147" s="116">
        <v>0</v>
      </c>
      <c r="D147" s="116">
        <v>18795</v>
      </c>
      <c r="E147" s="116">
        <v>0</v>
      </c>
      <c r="F147" s="116">
        <v>18795</v>
      </c>
      <c r="G147" s="43" t="str">
        <f>_xlfn.XLOOKUP($A147,Map!$A:$A,Map!C:C)</f>
        <v>IS</v>
      </c>
      <c r="H147" s="43" t="str">
        <f>_xlfn.XLOOKUP($A147,Map!$A:$A,Map!D:D)</f>
        <v>General and Admin</v>
      </c>
      <c r="I147" s="43" t="str">
        <f>_xlfn.XLOOKUP($A147,Map!$A:$A,Map!E:E)</f>
        <v>Salaries and wages</v>
      </c>
      <c r="J147" s="43" t="str">
        <f>_xlfn.XLOOKUP($A147,Map!$A:$A,Map!F:F)</f>
        <v xml:space="preserve">Food &amp; Housing </v>
      </c>
    </row>
    <row r="148" spans="1:10" x14ac:dyDescent="0.25">
      <c r="A148">
        <v>700004</v>
      </c>
      <c r="B148" t="s">
        <v>1026</v>
      </c>
      <c r="C148" s="116">
        <v>0</v>
      </c>
      <c r="D148" s="116">
        <v>171633.399</v>
      </c>
      <c r="E148" s="116">
        <v>0</v>
      </c>
      <c r="F148" s="116">
        <v>171633.399</v>
      </c>
      <c r="G148" s="43" t="str">
        <f>_xlfn.XLOOKUP($A148,Map!$A:$A,Map!C:C)</f>
        <v>IS</v>
      </c>
      <c r="H148" s="43" t="str">
        <f>_xlfn.XLOOKUP($A148,Map!$A:$A,Map!D:D)</f>
        <v>General and Admin</v>
      </c>
      <c r="I148" s="43" t="str">
        <f>_xlfn.XLOOKUP($A148,Map!$A:$A,Map!E:E)</f>
        <v>Salaries and wages</v>
      </c>
      <c r="J148" s="43" t="str">
        <f>_xlfn.XLOOKUP($A148,Map!$A:$A,Map!F:F)</f>
        <v>Medical insurance</v>
      </c>
    </row>
    <row r="149" spans="1:10" x14ac:dyDescent="0.25">
      <c r="A149">
        <v>700005</v>
      </c>
      <c r="B149" t="s">
        <v>1027</v>
      </c>
      <c r="C149" s="116">
        <v>0</v>
      </c>
      <c r="D149" s="116">
        <v>213349.43</v>
      </c>
      <c r="E149" s="116">
        <v>6000</v>
      </c>
      <c r="F149" s="116">
        <v>207349.43</v>
      </c>
      <c r="G149" s="43" t="str">
        <f>_xlfn.XLOOKUP($A149,Map!$A:$A,Map!C:C)</f>
        <v>IS</v>
      </c>
      <c r="H149" s="43" t="str">
        <f>_xlfn.XLOOKUP($A149,Map!$A:$A,Map!D:D)</f>
        <v>General and Admin</v>
      </c>
      <c r="I149" s="43" t="str">
        <f>_xlfn.XLOOKUP($A149,Map!$A:$A,Map!E:E)</f>
        <v>Govt license and fees (including modon)</v>
      </c>
      <c r="J149" s="43" t="str">
        <f>_xlfn.XLOOKUP($A149,Map!$A:$A,Map!F:F)</f>
        <v>Government fees</v>
      </c>
    </row>
    <row r="150" spans="1:10" x14ac:dyDescent="0.25">
      <c r="A150">
        <v>700006</v>
      </c>
      <c r="B150" t="s">
        <v>1028</v>
      </c>
      <c r="C150" s="116">
        <v>0</v>
      </c>
      <c r="D150" s="116">
        <v>692149.56</v>
      </c>
      <c r="E150" s="116">
        <v>29797.34</v>
      </c>
      <c r="F150" s="116">
        <v>662352.22</v>
      </c>
      <c r="G150" s="43" t="str">
        <f>_xlfn.XLOOKUP($A150,Map!$A:$A,Map!C:C)</f>
        <v>IS</v>
      </c>
      <c r="H150" s="43" t="str">
        <f>_xlfn.XLOOKUP($A150,Map!$A:$A,Map!D:D)</f>
        <v>General and Admin</v>
      </c>
      <c r="I150" s="43" t="str">
        <f>_xlfn.XLOOKUP($A150,Map!$A:$A,Map!E:E)</f>
        <v>Salaries and wages</v>
      </c>
      <c r="J150" s="43" t="str">
        <f>_xlfn.XLOOKUP($A150,Map!$A:$A,Map!F:F)</f>
        <v xml:space="preserve">Food &amp; Housing </v>
      </c>
    </row>
    <row r="151" spans="1:10" x14ac:dyDescent="0.25">
      <c r="A151">
        <v>700007</v>
      </c>
      <c r="B151" t="s">
        <v>1029</v>
      </c>
      <c r="C151" s="116">
        <v>0</v>
      </c>
      <c r="D151" s="116">
        <v>358426</v>
      </c>
      <c r="E151" s="116">
        <v>0</v>
      </c>
      <c r="F151" s="116">
        <v>358426</v>
      </c>
      <c r="G151" s="43" t="str">
        <f>_xlfn.XLOOKUP($A151,Map!$A:$A,Map!C:C)</f>
        <v>IS</v>
      </c>
      <c r="H151" s="43" t="str">
        <f>_xlfn.XLOOKUP($A151,Map!$A:$A,Map!D:D)</f>
        <v>General and Admin</v>
      </c>
      <c r="I151" s="43" t="str">
        <f>_xlfn.XLOOKUP($A151,Map!$A:$A,Map!E:E)</f>
        <v>Salaries and wages</v>
      </c>
      <c r="J151" s="43" t="str">
        <f>_xlfn.XLOOKUP($A151,Map!$A:$A,Map!F:F)</f>
        <v>Transportation allowance</v>
      </c>
    </row>
    <row r="152" spans="1:10" x14ac:dyDescent="0.25">
      <c r="A152">
        <v>700008</v>
      </c>
      <c r="B152" t="s">
        <v>1030</v>
      </c>
      <c r="C152" s="116">
        <v>0</v>
      </c>
      <c r="D152" s="116">
        <v>127689</v>
      </c>
      <c r="E152" s="116">
        <v>0</v>
      </c>
      <c r="F152" s="116">
        <v>127689</v>
      </c>
      <c r="G152" s="43" t="str">
        <f>_xlfn.XLOOKUP($A152,Map!$A:$A,Map!C:C)</f>
        <v>IS</v>
      </c>
      <c r="H152" s="43" t="str">
        <f>_xlfn.XLOOKUP($A152,Map!$A:$A,Map!D:D)</f>
        <v>General and Admin</v>
      </c>
      <c r="I152" s="43" t="str">
        <f>_xlfn.XLOOKUP($A152,Map!$A:$A,Map!E:E)</f>
        <v>Salaries and wages</v>
      </c>
      <c r="J152" s="43" t="str">
        <f>_xlfn.XLOOKUP($A152,Map!$A:$A,Map!F:F)</f>
        <v>Air tickets</v>
      </c>
    </row>
    <row r="153" spans="1:10" x14ac:dyDescent="0.25">
      <c r="A153">
        <v>700009</v>
      </c>
      <c r="B153" t="s">
        <v>1031</v>
      </c>
      <c r="C153" s="116">
        <v>0</v>
      </c>
      <c r="D153" s="116">
        <v>215800</v>
      </c>
      <c r="E153" s="116">
        <v>0</v>
      </c>
      <c r="F153" s="116">
        <v>215800</v>
      </c>
      <c r="G153" s="43" t="str">
        <f>_xlfn.XLOOKUP($A153,Map!$A:$A,Map!C:C)</f>
        <v>IS</v>
      </c>
      <c r="H153" s="43" t="str">
        <f>_xlfn.XLOOKUP($A153,Map!$A:$A,Map!D:D)</f>
        <v>General and Admin</v>
      </c>
      <c r="I153" s="43" t="str">
        <f>_xlfn.XLOOKUP($A153,Map!$A:$A,Map!E:E)</f>
        <v>Salaries and wages</v>
      </c>
      <c r="J153" s="43" t="str">
        <f>_xlfn.XLOOKUP($A153,Map!$A:$A,Map!F:F)</f>
        <v>Leave pay</v>
      </c>
    </row>
    <row r="154" spans="1:10" x14ac:dyDescent="0.25">
      <c r="A154">
        <v>700010</v>
      </c>
      <c r="B154" t="s">
        <v>1032</v>
      </c>
      <c r="C154" s="116">
        <v>0</v>
      </c>
      <c r="D154" s="116">
        <v>446550</v>
      </c>
      <c r="E154" s="116">
        <v>110000</v>
      </c>
      <c r="F154" s="116">
        <v>336550</v>
      </c>
      <c r="G154" s="43" t="str">
        <f>_xlfn.XLOOKUP($A154,Map!$A:$A,Map!C:C)</f>
        <v>IS</v>
      </c>
      <c r="H154" s="43" t="str">
        <f>_xlfn.XLOOKUP($A154,Map!$A:$A,Map!D:D)</f>
        <v>General and Admin</v>
      </c>
      <c r="I154" s="43" t="str">
        <f>_xlfn.XLOOKUP($A154,Map!$A:$A,Map!E:E)</f>
        <v>Salaries and wages</v>
      </c>
      <c r="J154" s="43" t="str">
        <f>_xlfn.XLOOKUP($A154,Map!$A:$A,Map!F:F)</f>
        <v>Indemnities</v>
      </c>
    </row>
    <row r="155" spans="1:10" x14ac:dyDescent="0.25">
      <c r="A155">
        <v>700011</v>
      </c>
      <c r="B155" t="s">
        <v>1033</v>
      </c>
      <c r="C155" s="116">
        <v>0</v>
      </c>
      <c r="D155" s="116">
        <v>101600</v>
      </c>
      <c r="E155" s="116">
        <v>6000</v>
      </c>
      <c r="F155" s="116">
        <v>95600</v>
      </c>
      <c r="G155" s="43" t="str">
        <f>_xlfn.XLOOKUP($A155,Map!$A:$A,Map!C:C)</f>
        <v>IS</v>
      </c>
      <c r="H155" s="43" t="str">
        <f>_xlfn.XLOOKUP($A155,Map!$A:$A,Map!D:D)</f>
        <v>General and Admin</v>
      </c>
      <c r="I155" s="43" t="str">
        <f>_xlfn.XLOOKUP($A155,Map!$A:$A,Map!E:E)</f>
        <v>Salaries and wages</v>
      </c>
      <c r="J155" s="43" t="str">
        <f>_xlfn.XLOOKUP($A155,Map!$A:$A,Map!F:F)</f>
        <v>Air tickets</v>
      </c>
    </row>
    <row r="156" spans="1:10" x14ac:dyDescent="0.25">
      <c r="A156">
        <v>700012</v>
      </c>
      <c r="B156" t="s">
        <v>1034</v>
      </c>
      <c r="C156" s="116">
        <v>0</v>
      </c>
      <c r="D156" s="116">
        <v>176913.83300000001</v>
      </c>
      <c r="E156" s="116">
        <v>0</v>
      </c>
      <c r="F156" s="116">
        <v>176913.83300000001</v>
      </c>
      <c r="G156" s="43" t="str">
        <f>_xlfn.XLOOKUP($A156,Map!$A:$A,Map!C:C)</f>
        <v>IS</v>
      </c>
      <c r="H156" s="43" t="str">
        <f>_xlfn.XLOOKUP($A156,Map!$A:$A,Map!D:D)</f>
        <v>General and Admin</v>
      </c>
      <c r="I156" s="43" t="str">
        <f>_xlfn.XLOOKUP($A156,Map!$A:$A,Map!E:E)</f>
        <v>Salaries and wages</v>
      </c>
      <c r="J156" s="43" t="str">
        <f>_xlfn.XLOOKUP($A156,Map!$A:$A,Map!F:F)</f>
        <v xml:space="preserve">Education &amp; Furniture Allowances </v>
      </c>
    </row>
    <row r="157" spans="1:10" x14ac:dyDescent="0.25">
      <c r="A157">
        <v>700013</v>
      </c>
      <c r="B157" t="s">
        <v>1035</v>
      </c>
      <c r="C157" s="116">
        <v>0</v>
      </c>
      <c r="D157" s="116">
        <v>90450.5</v>
      </c>
      <c r="E157" s="116">
        <v>0</v>
      </c>
      <c r="F157" s="116">
        <v>90450.5</v>
      </c>
      <c r="G157" s="43" t="str">
        <f>_xlfn.XLOOKUP($A157,Map!$A:$A,Map!C:C)</f>
        <v>IS</v>
      </c>
      <c r="H157" s="43" t="str">
        <f>_xlfn.XLOOKUP($A157,Map!$A:$A,Map!D:D)</f>
        <v>General and Admin</v>
      </c>
      <c r="I157" s="43" t="str">
        <f>_xlfn.XLOOKUP($A157,Map!$A:$A,Map!E:E)</f>
        <v>Utilities</v>
      </c>
      <c r="J157" s="43" t="str">
        <f>_xlfn.XLOOKUP($A157,Map!$A:$A,Map!F:F)</f>
        <v>Other general and administrative expenses</v>
      </c>
    </row>
    <row r="158" spans="1:10" x14ac:dyDescent="0.25">
      <c r="A158">
        <v>700014</v>
      </c>
      <c r="B158" t="s">
        <v>1036</v>
      </c>
      <c r="C158" s="116">
        <v>0</v>
      </c>
      <c r="D158" s="116">
        <v>5000</v>
      </c>
      <c r="E158" s="116">
        <v>0</v>
      </c>
      <c r="F158" s="116">
        <v>5000</v>
      </c>
      <c r="G158" s="43" t="str">
        <f>_xlfn.XLOOKUP($A158,Map!$A:$A,Map!C:C)</f>
        <v>IS</v>
      </c>
      <c r="H158" s="43" t="str">
        <f>_xlfn.XLOOKUP($A158,Map!$A:$A,Map!D:D)</f>
        <v>General and Admin</v>
      </c>
      <c r="I158" s="43" t="str">
        <f>_xlfn.XLOOKUP($A158,Map!$A:$A,Map!E:E)</f>
        <v>Salaries and wages</v>
      </c>
      <c r="J158" s="43" t="str">
        <f>_xlfn.XLOOKUP($A158,Map!$A:$A,Map!F:F)</f>
        <v xml:space="preserve">Education &amp; Furniture Allowances </v>
      </c>
    </row>
    <row r="159" spans="1:10" x14ac:dyDescent="0.25">
      <c r="A159">
        <v>700015</v>
      </c>
      <c r="B159" t="s">
        <v>1037</v>
      </c>
      <c r="C159" s="116">
        <v>0</v>
      </c>
      <c r="D159" s="116">
        <v>6208</v>
      </c>
      <c r="E159" s="116">
        <v>0</v>
      </c>
      <c r="F159" s="116">
        <v>6208</v>
      </c>
      <c r="G159" s="43" t="str">
        <f>_xlfn.XLOOKUP($A159,Map!$A:$A,Map!C:C)</f>
        <v>IS</v>
      </c>
      <c r="H159" s="43" t="str">
        <f>_xlfn.XLOOKUP($A159,Map!$A:$A,Map!D:D)</f>
        <v>General and Admin</v>
      </c>
      <c r="I159" s="43" t="str">
        <f>_xlfn.XLOOKUP($A159,Map!$A:$A,Map!E:E)</f>
        <v>Business travel</v>
      </c>
      <c r="J159" s="43" t="str">
        <f>_xlfn.XLOOKUP($A159,Map!$A:$A,Map!F:F)</f>
        <v>Transportation expenses</v>
      </c>
    </row>
    <row r="160" spans="1:10" x14ac:dyDescent="0.25">
      <c r="A160">
        <v>700016</v>
      </c>
      <c r="B160" t="s">
        <v>1038</v>
      </c>
      <c r="C160" s="116">
        <v>0</v>
      </c>
      <c r="D160" s="116">
        <v>6269</v>
      </c>
      <c r="E160" s="116">
        <v>0</v>
      </c>
      <c r="F160" s="116">
        <v>6269</v>
      </c>
      <c r="G160" s="43" t="str">
        <f>_xlfn.XLOOKUP($A160,Map!$A:$A,Map!C:C)</f>
        <v>IS</v>
      </c>
      <c r="H160" s="43" t="str">
        <f>_xlfn.XLOOKUP($A160,Map!$A:$A,Map!D:D)</f>
        <v>Selling and Marketing</v>
      </c>
      <c r="I160" s="43" t="str">
        <f>_xlfn.XLOOKUP($A160,Map!$A:$A,Map!E:E)</f>
        <v>Buffet expenses</v>
      </c>
      <c r="J160" s="43" t="str">
        <f>_xlfn.XLOOKUP($A160,Map!$A:$A,Map!F:F)</f>
        <v>Food expenses</v>
      </c>
    </row>
    <row r="161" spans="1:10" x14ac:dyDescent="0.25">
      <c r="A161">
        <v>700017</v>
      </c>
      <c r="B161" t="s">
        <v>1039</v>
      </c>
      <c r="C161" s="116">
        <v>0</v>
      </c>
      <c r="D161" s="116">
        <v>27075</v>
      </c>
      <c r="E161" s="116">
        <v>0</v>
      </c>
      <c r="F161" s="116">
        <v>27075</v>
      </c>
      <c r="G161" s="43" t="str">
        <f>_xlfn.XLOOKUP($A161,Map!$A:$A,Map!C:C)</f>
        <v>IS</v>
      </c>
      <c r="H161" s="43" t="str">
        <f>_xlfn.XLOOKUP($A161,Map!$A:$A,Map!D:D)</f>
        <v>General and Admin</v>
      </c>
      <c r="I161" s="43" t="str">
        <f>_xlfn.XLOOKUP($A161,Map!$A:$A,Map!E:E)</f>
        <v>Salaries and wages</v>
      </c>
      <c r="J161" s="43" t="str">
        <f>_xlfn.XLOOKUP($A161,Map!$A:$A,Map!F:F)</f>
        <v>Accommodation expenses</v>
      </c>
    </row>
    <row r="162" spans="1:10" x14ac:dyDescent="0.25">
      <c r="A162">
        <v>700018</v>
      </c>
      <c r="B162" t="s">
        <v>1040</v>
      </c>
      <c r="C162" s="116">
        <v>0</v>
      </c>
      <c r="D162" s="116">
        <v>75787</v>
      </c>
      <c r="E162" s="116">
        <v>0</v>
      </c>
      <c r="F162" s="116">
        <v>75787</v>
      </c>
      <c r="G162" s="43" t="str">
        <f>_xlfn.XLOOKUP($A162,Map!$A:$A,Map!C:C)</f>
        <v>IS</v>
      </c>
      <c r="H162" s="43" t="str">
        <f>_xlfn.XLOOKUP($A162,Map!$A:$A,Map!D:D)</f>
        <v>General and Admin</v>
      </c>
      <c r="I162" s="43" t="str">
        <f>_xlfn.XLOOKUP($A162,Map!$A:$A,Map!E:E)</f>
        <v>Salaries and wages</v>
      </c>
      <c r="J162" s="43" t="str">
        <f>_xlfn.XLOOKUP($A162,Map!$A:$A,Map!F:F)</f>
        <v xml:space="preserve">Employee Medical Emergency Expenses </v>
      </c>
    </row>
    <row r="163" spans="1:10" x14ac:dyDescent="0.25">
      <c r="A163">
        <v>700019</v>
      </c>
      <c r="B163" t="s">
        <v>1041</v>
      </c>
      <c r="C163" s="116">
        <v>0</v>
      </c>
      <c r="D163" s="116">
        <v>521359</v>
      </c>
      <c r="E163" s="116">
        <v>521359</v>
      </c>
      <c r="F163" s="116">
        <v>0</v>
      </c>
      <c r="G163" s="43" t="str">
        <f>_xlfn.XLOOKUP($A163,Map!$A:$A,Map!C:C)</f>
        <v>IS</v>
      </c>
      <c r="H163" s="43" t="str">
        <f>_xlfn.XLOOKUP($A163,Map!$A:$A,Map!D:D)</f>
        <v>General and Admin</v>
      </c>
      <c r="I163" s="43" t="str">
        <f>_xlfn.XLOOKUP($A163,Map!$A:$A,Map!E:E)</f>
        <v>Salaries and wages</v>
      </c>
      <c r="J163" s="43" t="str">
        <f>_xlfn.XLOOKUP($A163,Map!$A:$A,Map!F:F)</f>
        <v xml:space="preserve">Incentives </v>
      </c>
    </row>
    <row r="164" spans="1:10" x14ac:dyDescent="0.25">
      <c r="A164">
        <v>700020</v>
      </c>
      <c r="B164" t="s">
        <v>1042</v>
      </c>
      <c r="C164" s="116">
        <v>0</v>
      </c>
      <c r="D164" s="116">
        <v>65360.21</v>
      </c>
      <c r="E164" s="116">
        <v>0</v>
      </c>
      <c r="F164" s="116">
        <v>65360.21</v>
      </c>
      <c r="G164" s="43" t="str">
        <f>_xlfn.XLOOKUP($A164,Map!$A:$A,Map!C:C)</f>
        <v>IS</v>
      </c>
      <c r="H164" s="43" t="str">
        <f>_xlfn.XLOOKUP($A164,Map!$A:$A,Map!D:D)</f>
        <v>General and Admin</v>
      </c>
      <c r="I164" s="43" t="str">
        <f>_xlfn.XLOOKUP($A164,Map!$A:$A,Map!E:E)</f>
        <v>Utilities</v>
      </c>
      <c r="J164" s="43" t="str">
        <f>_xlfn.XLOOKUP($A164,Map!$A:$A,Map!F:F)</f>
        <v>Electricity expenses</v>
      </c>
    </row>
    <row r="165" spans="1:10" x14ac:dyDescent="0.25">
      <c r="A165">
        <v>700021</v>
      </c>
      <c r="B165" t="s">
        <v>1043</v>
      </c>
      <c r="C165" s="116">
        <v>0</v>
      </c>
      <c r="D165" s="116">
        <v>12011</v>
      </c>
      <c r="E165" s="116">
        <v>0</v>
      </c>
      <c r="F165" s="116">
        <v>12011</v>
      </c>
      <c r="G165" s="43" t="str">
        <f>_xlfn.XLOOKUP($A165,Map!$A:$A,Map!C:C)</f>
        <v>IS</v>
      </c>
      <c r="H165" s="43" t="str">
        <f>_xlfn.XLOOKUP($A165,Map!$A:$A,Map!D:D)</f>
        <v>General and Admin</v>
      </c>
      <c r="I165" s="43" t="str">
        <f>_xlfn.XLOOKUP($A165,Map!$A:$A,Map!E:E)</f>
        <v>Utilities</v>
      </c>
      <c r="J165" s="43" t="str">
        <f>_xlfn.XLOOKUP($A165,Map!$A:$A,Map!F:F)</f>
        <v>Other general and administrative expenses</v>
      </c>
    </row>
    <row r="166" spans="1:10" x14ac:dyDescent="0.25">
      <c r="A166">
        <v>700022</v>
      </c>
      <c r="B166" t="s">
        <v>1044</v>
      </c>
      <c r="C166" s="116">
        <v>0</v>
      </c>
      <c r="D166" s="116">
        <v>58006.17</v>
      </c>
      <c r="E166" s="116">
        <v>0</v>
      </c>
      <c r="F166" s="116">
        <v>58006.17</v>
      </c>
      <c r="G166" s="43" t="str">
        <f>_xlfn.XLOOKUP($A166,Map!$A:$A,Map!C:C)</f>
        <v>IS</v>
      </c>
      <c r="H166" s="43" t="str">
        <f>_xlfn.XLOOKUP($A166,Map!$A:$A,Map!D:D)</f>
        <v>General and Admin</v>
      </c>
      <c r="I166" s="43" t="str">
        <f>_xlfn.XLOOKUP($A166,Map!$A:$A,Map!E:E)</f>
        <v>Utilities</v>
      </c>
      <c r="J166" s="43" t="str">
        <f>_xlfn.XLOOKUP($A166,Map!$A:$A,Map!F:F)</f>
        <v>Other general and administrative expenses</v>
      </c>
    </row>
    <row r="167" spans="1:10" x14ac:dyDescent="0.25">
      <c r="A167">
        <v>700023</v>
      </c>
      <c r="B167" t="s">
        <v>1045</v>
      </c>
      <c r="C167" s="116">
        <v>0</v>
      </c>
      <c r="D167" s="116">
        <v>28610.62</v>
      </c>
      <c r="E167" s="116">
        <v>0</v>
      </c>
      <c r="F167" s="116">
        <v>28610.62</v>
      </c>
      <c r="G167" s="43" t="str">
        <f>_xlfn.XLOOKUP($A167,Map!$A:$A,Map!C:C)</f>
        <v>IS</v>
      </c>
      <c r="H167" s="43" t="str">
        <f>_xlfn.XLOOKUP($A167,Map!$A:$A,Map!D:D)</f>
        <v>General and Admin</v>
      </c>
      <c r="I167" s="43" t="str">
        <f>_xlfn.XLOOKUP($A167,Map!$A:$A,Map!E:E)</f>
        <v>Utilities</v>
      </c>
      <c r="J167" s="43" t="str">
        <f>_xlfn.XLOOKUP($A167,Map!$A:$A,Map!F:F)</f>
        <v xml:space="preserve">Postage &amp; Printing </v>
      </c>
    </row>
    <row r="168" spans="1:10" x14ac:dyDescent="0.25">
      <c r="A168">
        <v>700024</v>
      </c>
      <c r="B168" t="s">
        <v>1046</v>
      </c>
      <c r="C168" s="116">
        <v>0</v>
      </c>
      <c r="D168" s="116">
        <v>68446.898000000001</v>
      </c>
      <c r="E168" s="116">
        <v>0</v>
      </c>
      <c r="F168" s="116">
        <v>68446.898000000001</v>
      </c>
      <c r="G168" s="43" t="str">
        <f>_xlfn.XLOOKUP($A168,Map!$A:$A,Map!C:C)</f>
        <v>IS</v>
      </c>
      <c r="H168" s="43" t="str">
        <f>_xlfn.XLOOKUP($A168,Map!$A:$A,Map!D:D)</f>
        <v>General and Admin</v>
      </c>
      <c r="I168" s="43" t="str">
        <f>_xlfn.XLOOKUP($A168,Map!$A:$A,Map!E:E)</f>
        <v>IT expenses</v>
      </c>
      <c r="J168" s="43" t="str">
        <f>_xlfn.XLOOKUP($A168,Map!$A:$A,Map!F:F)</f>
        <v>Other general and administrative expenses</v>
      </c>
    </row>
    <row r="169" spans="1:10" x14ac:dyDescent="0.25">
      <c r="A169">
        <v>700025</v>
      </c>
      <c r="B169" t="s">
        <v>1047</v>
      </c>
      <c r="C169" s="116">
        <v>0</v>
      </c>
      <c r="D169" s="116">
        <v>50000</v>
      </c>
      <c r="E169" s="116">
        <v>0</v>
      </c>
      <c r="F169" s="116">
        <v>50000</v>
      </c>
      <c r="G169" s="43" t="str">
        <f>_xlfn.XLOOKUP($A169,Map!$A:$A,Map!C:C)</f>
        <v>IS</v>
      </c>
      <c r="H169" s="43" t="str">
        <f>_xlfn.XLOOKUP($A169,Map!$A:$A,Map!D:D)</f>
        <v>General and Admin</v>
      </c>
      <c r="I169" s="43" t="str">
        <f>_xlfn.XLOOKUP($A169,Map!$A:$A,Map!E:E)</f>
        <v>Salaries and wages</v>
      </c>
      <c r="J169" s="43" t="str">
        <f>_xlfn.XLOOKUP($A169,Map!$A:$A,Map!F:F)</f>
        <v>Salaries and wages</v>
      </c>
    </row>
    <row r="170" spans="1:10" x14ac:dyDescent="0.25">
      <c r="A170">
        <v>700026</v>
      </c>
      <c r="B170" t="s">
        <v>1048</v>
      </c>
      <c r="C170" s="116">
        <v>0</v>
      </c>
      <c r="D170" s="116">
        <v>1600</v>
      </c>
      <c r="E170" s="116">
        <v>1600</v>
      </c>
      <c r="F170" s="116">
        <v>0</v>
      </c>
      <c r="G170" s="43" t="str">
        <f>_xlfn.XLOOKUP($A170,Map!$A:$A,Map!C:C)</f>
        <v>IS</v>
      </c>
      <c r="H170" s="43" t="str">
        <f>_xlfn.XLOOKUP($A170,Map!$A:$A,Map!D:D)</f>
        <v>General and Admin</v>
      </c>
      <c r="I170" s="43" t="str">
        <f>_xlfn.XLOOKUP($A170,Map!$A:$A,Map!E:E)</f>
        <v>Utilities</v>
      </c>
      <c r="J170" s="43" t="str">
        <f>_xlfn.XLOOKUP($A170,Map!$A:$A,Map!F:F)</f>
        <v>Magazines &amp; News Papers Exp.</v>
      </c>
    </row>
    <row r="171" spans="1:10" x14ac:dyDescent="0.25">
      <c r="A171">
        <v>700027</v>
      </c>
      <c r="B171" t="s">
        <v>1049</v>
      </c>
      <c r="C171" s="116">
        <v>0</v>
      </c>
      <c r="D171" s="116">
        <v>0</v>
      </c>
      <c r="E171" s="116">
        <v>0</v>
      </c>
      <c r="F171" s="116">
        <v>0</v>
      </c>
      <c r="G171" s="43" t="str">
        <f>_xlfn.XLOOKUP($A171,Map!$A:$A,Map!C:C)</f>
        <v>IS</v>
      </c>
      <c r="H171" s="43" t="str">
        <f>_xlfn.XLOOKUP($A171,Map!$A:$A,Map!D:D)</f>
        <v>General and Admin</v>
      </c>
      <c r="I171" s="43" t="str">
        <f>_xlfn.XLOOKUP($A171,Map!$A:$A,Map!E:E)</f>
        <v>Training</v>
      </c>
      <c r="J171" s="43" t="str">
        <f>_xlfn.XLOOKUP($A171,Map!$A:$A,Map!F:F)</f>
        <v>Training</v>
      </c>
    </row>
    <row r="172" spans="1:10" x14ac:dyDescent="0.25">
      <c r="A172">
        <v>700028</v>
      </c>
      <c r="B172" t="s">
        <v>1050</v>
      </c>
      <c r="C172" s="116">
        <v>0</v>
      </c>
      <c r="D172" s="116">
        <v>23015</v>
      </c>
      <c r="E172" s="116">
        <v>0</v>
      </c>
      <c r="F172" s="116">
        <v>23015</v>
      </c>
      <c r="G172" s="43" t="str">
        <f>_xlfn.XLOOKUP($A172,Map!$A:$A,Map!C:C)</f>
        <v>IS</v>
      </c>
      <c r="H172" s="43" t="str">
        <f>_xlfn.XLOOKUP($A172,Map!$A:$A,Map!D:D)</f>
        <v>General and Admin</v>
      </c>
      <c r="I172" s="43" t="str">
        <f>_xlfn.XLOOKUP($A172,Map!$A:$A,Map!E:E)</f>
        <v xml:space="preserve">Back office Support </v>
      </c>
      <c r="J172" s="43" t="str">
        <f>_xlfn.XLOOKUP($A172,Map!$A:$A,Map!F:F)</f>
        <v>Stationery expenses</v>
      </c>
    </row>
    <row r="173" spans="1:10" x14ac:dyDescent="0.25">
      <c r="A173">
        <v>700029</v>
      </c>
      <c r="B173" t="s">
        <v>1051</v>
      </c>
      <c r="C173" s="116">
        <v>0</v>
      </c>
      <c r="D173" s="116">
        <v>22205</v>
      </c>
      <c r="E173" s="116">
        <v>0</v>
      </c>
      <c r="F173" s="116">
        <v>22205</v>
      </c>
      <c r="G173" s="43" t="str">
        <f>_xlfn.XLOOKUP($A173,Map!$A:$A,Map!C:C)</f>
        <v>IS</v>
      </c>
      <c r="H173" s="43" t="str">
        <f>_xlfn.XLOOKUP($A173,Map!$A:$A,Map!D:D)</f>
        <v>General and Admin</v>
      </c>
      <c r="I173" s="43" t="str">
        <f>_xlfn.XLOOKUP($A173,Map!$A:$A,Map!E:E)</f>
        <v>Utilities</v>
      </c>
      <c r="J173" s="43" t="str">
        <f>_xlfn.XLOOKUP($A173,Map!$A:$A,Map!F:F)</f>
        <v xml:space="preserve">Postage &amp; Printing </v>
      </c>
    </row>
    <row r="174" spans="1:10" x14ac:dyDescent="0.25">
      <c r="A174">
        <v>700030</v>
      </c>
      <c r="B174" t="s">
        <v>1052</v>
      </c>
      <c r="C174" s="116">
        <v>0</v>
      </c>
      <c r="D174" s="116">
        <v>25997</v>
      </c>
      <c r="E174" s="116">
        <v>0</v>
      </c>
      <c r="F174" s="116">
        <v>25997</v>
      </c>
      <c r="G174" s="43" t="str">
        <f>_xlfn.XLOOKUP($A174,Map!$A:$A,Map!C:C)</f>
        <v>IS</v>
      </c>
      <c r="H174" s="43" t="str">
        <f>_xlfn.XLOOKUP($A174,Map!$A:$A,Map!D:D)</f>
        <v>General and Admin</v>
      </c>
      <c r="I174" s="43" t="str">
        <f>_xlfn.XLOOKUP($A174,Map!$A:$A,Map!E:E)</f>
        <v>Utilities</v>
      </c>
      <c r="J174" s="43" t="str">
        <f>_xlfn.XLOOKUP($A174,Map!$A:$A,Map!F:F)</f>
        <v>Building maintenance</v>
      </c>
    </row>
    <row r="175" spans="1:10" x14ac:dyDescent="0.25">
      <c r="A175">
        <v>700031</v>
      </c>
      <c r="B175" t="s">
        <v>1053</v>
      </c>
      <c r="C175" s="116">
        <v>0</v>
      </c>
      <c r="D175" s="116">
        <v>42213</v>
      </c>
      <c r="E175" s="116">
        <v>3640</v>
      </c>
      <c r="F175" s="116">
        <v>38573</v>
      </c>
      <c r="G175" s="43" t="str">
        <f>_xlfn.XLOOKUP($A175,Map!$A:$A,Map!C:C)</f>
        <v>IS</v>
      </c>
      <c r="H175" s="43" t="str">
        <f>_xlfn.XLOOKUP($A175,Map!$A:$A,Map!D:D)</f>
        <v>General and Admin</v>
      </c>
      <c r="I175" s="43" t="str">
        <f>_xlfn.XLOOKUP($A175,Map!$A:$A,Map!E:E)</f>
        <v>Utilities</v>
      </c>
      <c r="J175" s="43" t="str">
        <f>_xlfn.XLOOKUP($A175,Map!$A:$A,Map!F:F)</f>
        <v>Office equipment maintenance</v>
      </c>
    </row>
    <row r="176" spans="1:10" x14ac:dyDescent="0.25">
      <c r="A176">
        <v>700032</v>
      </c>
      <c r="B176" t="s">
        <v>1054</v>
      </c>
      <c r="C176" s="116">
        <v>0</v>
      </c>
      <c r="D176" s="116">
        <v>102182</v>
      </c>
      <c r="E176" s="116">
        <v>7870</v>
      </c>
      <c r="F176" s="116">
        <v>94312</v>
      </c>
      <c r="G176" s="43" t="str">
        <f>_xlfn.XLOOKUP($A176,Map!$A:$A,Map!C:C)</f>
        <v>IS</v>
      </c>
      <c r="H176" s="43" t="str">
        <f>_xlfn.XLOOKUP($A176,Map!$A:$A,Map!D:D)</f>
        <v>General and Admin</v>
      </c>
      <c r="I176" s="43" t="str">
        <f>_xlfn.XLOOKUP($A176,Map!$A:$A,Map!E:E)</f>
        <v>Utilities</v>
      </c>
      <c r="J176" s="43" t="str">
        <f>_xlfn.XLOOKUP($A176,Map!$A:$A,Map!F:F)</f>
        <v>Vehicle maintenance</v>
      </c>
    </row>
    <row r="177" spans="1:10" x14ac:dyDescent="0.25">
      <c r="A177">
        <v>700033</v>
      </c>
      <c r="B177" t="s">
        <v>1055</v>
      </c>
      <c r="C177" s="116">
        <v>0</v>
      </c>
      <c r="D177" s="116">
        <v>49367</v>
      </c>
      <c r="E177" s="116">
        <v>0</v>
      </c>
      <c r="F177" s="116">
        <v>49367</v>
      </c>
      <c r="G177" s="43" t="str">
        <f>_xlfn.XLOOKUP($A177,Map!$A:$A,Map!C:C)</f>
        <v>IS</v>
      </c>
      <c r="H177" s="43" t="str">
        <f>_xlfn.XLOOKUP($A177,Map!$A:$A,Map!D:D)</f>
        <v>General and Admin</v>
      </c>
      <c r="I177" s="43" t="str">
        <f>_xlfn.XLOOKUP($A177,Map!$A:$A,Map!E:E)</f>
        <v>Utilities</v>
      </c>
      <c r="J177" s="43" t="str">
        <f>_xlfn.XLOOKUP($A177,Map!$A:$A,Map!F:F)</f>
        <v>Fuel and oil</v>
      </c>
    </row>
    <row r="178" spans="1:10" x14ac:dyDescent="0.25">
      <c r="A178">
        <v>700034</v>
      </c>
      <c r="B178" t="s">
        <v>1056</v>
      </c>
      <c r="C178" s="116">
        <v>0</v>
      </c>
      <c r="D178" s="116">
        <v>29039</v>
      </c>
      <c r="E178" s="116">
        <v>0</v>
      </c>
      <c r="F178" s="116">
        <v>29039</v>
      </c>
      <c r="G178" s="43" t="str">
        <f>_xlfn.XLOOKUP($A178,Map!$A:$A,Map!C:C)</f>
        <v>IS</v>
      </c>
      <c r="H178" s="43" t="str">
        <f>_xlfn.XLOOKUP($A178,Map!$A:$A,Map!D:D)</f>
        <v>General and Admin</v>
      </c>
      <c r="I178" s="43" t="str">
        <f>_xlfn.XLOOKUP($A178,Map!$A:$A,Map!E:E)</f>
        <v xml:space="preserve">Back office Support </v>
      </c>
      <c r="J178" s="43" t="str">
        <f>_xlfn.XLOOKUP($A178,Map!$A:$A,Map!F:F)</f>
        <v>Consumables</v>
      </c>
    </row>
    <row r="179" spans="1:10" x14ac:dyDescent="0.25">
      <c r="A179">
        <v>700036</v>
      </c>
      <c r="B179" t="s">
        <v>1058</v>
      </c>
      <c r="C179" s="116">
        <v>0</v>
      </c>
      <c r="D179" s="116">
        <v>34003.040000000001</v>
      </c>
      <c r="E179" s="116">
        <v>0</v>
      </c>
      <c r="F179" s="116">
        <v>34003.040000000001</v>
      </c>
      <c r="G179" s="43" t="str">
        <f>_xlfn.XLOOKUP($A179,Map!$A:$A,Map!C:C)</f>
        <v>IS</v>
      </c>
      <c r="H179" s="43" t="str">
        <f>_xlfn.XLOOKUP($A179,Map!$A:$A,Map!D:D)</f>
        <v>General and Admin</v>
      </c>
      <c r="I179" s="43" t="str">
        <f>_xlfn.XLOOKUP($A179,Map!$A:$A,Map!E:E)</f>
        <v>Utilities</v>
      </c>
      <c r="J179" s="43" t="str">
        <f>_xlfn.XLOOKUP($A179,Map!$A:$A,Map!F:F)</f>
        <v>Vehicle insurance</v>
      </c>
    </row>
    <row r="180" spans="1:10" x14ac:dyDescent="0.25">
      <c r="A180">
        <v>700037</v>
      </c>
      <c r="B180" t="s">
        <v>1059</v>
      </c>
      <c r="C180" s="116">
        <v>0</v>
      </c>
      <c r="D180" s="116">
        <v>1850</v>
      </c>
      <c r="E180" s="116">
        <v>1850</v>
      </c>
      <c r="F180" s="116">
        <v>0</v>
      </c>
      <c r="G180" s="43" t="str">
        <f>_xlfn.XLOOKUP($A180,Map!$A:$A,Map!C:C)</f>
        <v>IS</v>
      </c>
      <c r="H180" s="43" t="str">
        <f>_xlfn.XLOOKUP($A180,Map!$A:$A,Map!D:D)</f>
        <v>Finance cost</v>
      </c>
      <c r="I180" s="43" t="str">
        <f>_xlfn.XLOOKUP($A180,Map!$A:$A,Map!E:E)</f>
        <v>Finance cost</v>
      </c>
      <c r="J180" s="43" t="str">
        <f>_xlfn.XLOOKUP($A180,Map!$A:$A,Map!F:F)</f>
        <v>Lease interest</v>
      </c>
    </row>
    <row r="181" spans="1:10" x14ac:dyDescent="0.25">
      <c r="A181">
        <v>700038</v>
      </c>
      <c r="B181" t="s">
        <v>1060</v>
      </c>
      <c r="C181" s="116">
        <v>0</v>
      </c>
      <c r="D181" s="116">
        <v>195845.12</v>
      </c>
      <c r="E181" s="116">
        <v>104168.9</v>
      </c>
      <c r="F181" s="116">
        <v>91676.22</v>
      </c>
      <c r="G181" s="43" t="str">
        <f>_xlfn.XLOOKUP($A181,Map!$A:$A,Map!C:C)</f>
        <v>IS</v>
      </c>
      <c r="H181" s="43" t="str">
        <f>_xlfn.XLOOKUP($A181,Map!$A:$A,Map!D:D)</f>
        <v>General and Admin</v>
      </c>
      <c r="I181" s="43" t="str">
        <f>_xlfn.XLOOKUP($A181,Map!$A:$A,Map!E:E)</f>
        <v>Business travel</v>
      </c>
      <c r="J181" s="43" t="str">
        <f>_xlfn.XLOOKUP($A181,Map!$A:$A,Map!F:F)</f>
        <v>Bussiness trip expenses</v>
      </c>
    </row>
    <row r="182" spans="1:10" x14ac:dyDescent="0.25">
      <c r="A182">
        <v>700039</v>
      </c>
      <c r="B182" t="s">
        <v>1061</v>
      </c>
      <c r="C182" s="116">
        <v>0</v>
      </c>
      <c r="D182" s="116">
        <v>17348</v>
      </c>
      <c r="E182" s="116">
        <v>0</v>
      </c>
      <c r="F182" s="116">
        <v>17348</v>
      </c>
      <c r="G182" s="43" t="str">
        <f>_xlfn.XLOOKUP($A182,Map!$A:$A,Map!C:C)</f>
        <v>IS</v>
      </c>
      <c r="H182" s="43" t="str">
        <f>_xlfn.XLOOKUP($A182,Map!$A:$A,Map!D:D)</f>
        <v>Selling and Marketing</v>
      </c>
      <c r="I182" s="43" t="str">
        <f>_xlfn.XLOOKUP($A182,Map!$A:$A,Map!E:E)</f>
        <v>Buffet expenses</v>
      </c>
      <c r="J182" s="43" t="str">
        <f>_xlfn.XLOOKUP($A182,Map!$A:$A,Map!F:F)</f>
        <v>Buffet expenses</v>
      </c>
    </row>
    <row r="183" spans="1:10" x14ac:dyDescent="0.25">
      <c r="A183">
        <v>700040</v>
      </c>
      <c r="B183" t="s">
        <v>1062</v>
      </c>
      <c r="C183" s="116">
        <v>0</v>
      </c>
      <c r="D183" s="116">
        <v>33437</v>
      </c>
      <c r="E183" s="116">
        <v>1960</v>
      </c>
      <c r="F183" s="116">
        <v>31477</v>
      </c>
      <c r="G183" s="43" t="str">
        <f>_xlfn.XLOOKUP($A183,Map!$A:$A,Map!C:C)</f>
        <v>IS</v>
      </c>
      <c r="H183" s="43" t="str">
        <f>_xlfn.XLOOKUP($A183,Map!$A:$A,Map!D:D)</f>
        <v>General and Admin</v>
      </c>
      <c r="I183" s="43" t="str">
        <f>_xlfn.XLOOKUP($A183,Map!$A:$A,Map!E:E)</f>
        <v>Utilities</v>
      </c>
      <c r="J183" s="43" t="str">
        <f>_xlfn.XLOOKUP($A183,Map!$A:$A,Map!F:F)</f>
        <v xml:space="preserve">Cleaning Expenses </v>
      </c>
    </row>
    <row r="184" spans="1:10" x14ac:dyDescent="0.25">
      <c r="A184">
        <v>700041</v>
      </c>
      <c r="B184" t="s">
        <v>1063</v>
      </c>
      <c r="C184" s="116">
        <v>0</v>
      </c>
      <c r="D184" s="116">
        <v>105886.981</v>
      </c>
      <c r="E184" s="116">
        <v>101377.981</v>
      </c>
      <c r="F184" s="116">
        <v>4509</v>
      </c>
      <c r="G184" s="43" t="str">
        <f>_xlfn.XLOOKUP($A184,Map!$A:$A,Map!C:C)</f>
        <v>IS</v>
      </c>
      <c r="H184" s="43" t="str">
        <f>_xlfn.XLOOKUP($A184,Map!$A:$A,Map!D:D)</f>
        <v>General and Admin</v>
      </c>
      <c r="I184" s="43" t="str">
        <f>_xlfn.XLOOKUP($A184,Map!$A:$A,Map!E:E)</f>
        <v>Salaries and wages</v>
      </c>
      <c r="J184" s="43" t="str">
        <f>_xlfn.XLOOKUP($A184,Map!$A:$A,Map!F:F)</f>
        <v>Recruitment</v>
      </c>
    </row>
    <row r="185" spans="1:10" x14ac:dyDescent="0.25">
      <c r="A185">
        <v>700043</v>
      </c>
      <c r="B185" t="s">
        <v>1065</v>
      </c>
      <c r="C185" s="116">
        <v>0</v>
      </c>
      <c r="D185" s="116">
        <v>102541</v>
      </c>
      <c r="E185" s="116">
        <v>43276</v>
      </c>
      <c r="F185" s="116">
        <v>59265</v>
      </c>
      <c r="G185" s="43" t="str">
        <f>_xlfn.XLOOKUP($A185,Map!$A:$A,Map!C:C)</f>
        <v>IS</v>
      </c>
      <c r="H185" s="43" t="str">
        <f>_xlfn.XLOOKUP($A185,Map!$A:$A,Map!D:D)</f>
        <v>General and Admin</v>
      </c>
      <c r="I185" s="43" t="str">
        <f>_xlfn.XLOOKUP($A185,Map!$A:$A,Map!E:E)</f>
        <v>Govt license and fees (including modon)</v>
      </c>
      <c r="J185" s="43" t="str">
        <f>_xlfn.XLOOKUP($A185,Map!$A:$A,Map!F:F)</f>
        <v>Licenses and fees</v>
      </c>
    </row>
    <row r="186" spans="1:10" x14ac:dyDescent="0.25">
      <c r="A186">
        <v>700044</v>
      </c>
      <c r="B186" t="s">
        <v>1066</v>
      </c>
      <c r="C186" s="116">
        <v>0</v>
      </c>
      <c r="D186" s="116">
        <v>44959.61</v>
      </c>
      <c r="E186" s="116">
        <v>0</v>
      </c>
      <c r="F186" s="116">
        <v>44959.61</v>
      </c>
      <c r="G186" s="43" t="str">
        <f>_xlfn.XLOOKUP($A186,Map!$A:$A,Map!C:C)</f>
        <v>IS</v>
      </c>
      <c r="H186" s="43" t="str">
        <f>_xlfn.XLOOKUP($A186,Map!$A:$A,Map!D:D)</f>
        <v>General and Admin</v>
      </c>
      <c r="I186" s="43" t="str">
        <f>_xlfn.XLOOKUP($A186,Map!$A:$A,Map!E:E)</f>
        <v>Govt license and fees (including modon)</v>
      </c>
      <c r="J186" s="43" t="str">
        <f>_xlfn.XLOOKUP($A186,Map!$A:$A,Map!F:F)</f>
        <v>Government fees</v>
      </c>
    </row>
    <row r="187" spans="1:10" x14ac:dyDescent="0.25">
      <c r="A187">
        <v>700045</v>
      </c>
      <c r="B187" t="s">
        <v>1067</v>
      </c>
      <c r="C187" s="116">
        <v>0</v>
      </c>
      <c r="D187" s="116">
        <v>1585634.9539999999</v>
      </c>
      <c r="E187" s="116">
        <v>45930.603999999999</v>
      </c>
      <c r="F187" s="116">
        <v>1539704.35</v>
      </c>
      <c r="G187" s="43" t="str">
        <f>_xlfn.XLOOKUP($A187,Map!$A:$A,Map!C:C)</f>
        <v>IS</v>
      </c>
      <c r="H187" s="43" t="str">
        <f>_xlfn.XLOOKUP($A187,Map!$A:$A,Map!D:D)</f>
        <v>Finance cost</v>
      </c>
      <c r="I187" s="43" t="str">
        <f>_xlfn.XLOOKUP($A187,Map!$A:$A,Map!E:E)</f>
        <v>Finance cost</v>
      </c>
      <c r="J187" s="43" t="str">
        <f>_xlfn.XLOOKUP($A187,Map!$A:$A,Map!F:F)</f>
        <v>Bank charges</v>
      </c>
    </row>
    <row r="188" spans="1:10" x14ac:dyDescent="0.25">
      <c r="A188">
        <v>700048</v>
      </c>
      <c r="B188" t="s">
        <v>1069</v>
      </c>
      <c r="C188" s="116">
        <v>0</v>
      </c>
      <c r="D188" s="116">
        <v>1801311.1</v>
      </c>
      <c r="E188" s="116">
        <v>580000</v>
      </c>
      <c r="F188" s="116">
        <v>1221311.1000000001</v>
      </c>
      <c r="G188" s="43" t="str">
        <f>_xlfn.XLOOKUP($A188,Map!$A:$A,Map!C:C)</f>
        <v>IS</v>
      </c>
      <c r="H188" s="43" t="str">
        <f>_xlfn.XLOOKUP($A188,Map!$A:$A,Map!D:D)</f>
        <v>Zakat</v>
      </c>
      <c r="I188" s="43" t="str">
        <f>_xlfn.XLOOKUP($A188,Map!$A:$A,Map!E:E)</f>
        <v>Zakat expenses</v>
      </c>
      <c r="J188" s="43" t="str">
        <f>_xlfn.XLOOKUP($A188,Map!$A:$A,Map!F:F)</f>
        <v>Zakat expenses</v>
      </c>
    </row>
    <row r="189" spans="1:10" x14ac:dyDescent="0.25">
      <c r="A189">
        <v>700050</v>
      </c>
      <c r="B189" t="s">
        <v>1071</v>
      </c>
      <c r="C189" s="116">
        <v>0</v>
      </c>
      <c r="D189" s="116">
        <v>6530.0230000000001</v>
      </c>
      <c r="E189" s="116">
        <v>74.997</v>
      </c>
      <c r="F189" s="116">
        <v>6455.0259999999998</v>
      </c>
      <c r="G189" s="43" t="str">
        <f>_xlfn.XLOOKUP($A189,Map!$A:$A,Map!C:C)</f>
        <v>IS</v>
      </c>
      <c r="H189" s="43" t="str">
        <f>_xlfn.XLOOKUP($A189,Map!$A:$A,Map!D:D)</f>
        <v>Depreciation expenses</v>
      </c>
      <c r="I189" s="43" t="str">
        <f>_xlfn.XLOOKUP($A189,Map!$A:$A,Map!E:E)</f>
        <v>Depreciation expenses</v>
      </c>
      <c r="J189" s="43" t="str">
        <f>_xlfn.XLOOKUP($A189,Map!$A:$A,Map!F:F)</f>
        <v>Depreciation of property, plant and equipment</v>
      </c>
    </row>
    <row r="190" spans="1:10" x14ac:dyDescent="0.25">
      <c r="A190">
        <v>700053</v>
      </c>
      <c r="B190" t="s">
        <v>1074</v>
      </c>
      <c r="C190" s="116">
        <v>0</v>
      </c>
      <c r="D190" s="116">
        <v>1178</v>
      </c>
      <c r="E190" s="116">
        <v>1178</v>
      </c>
      <c r="F190" s="116">
        <v>0</v>
      </c>
      <c r="G190" s="43" t="str">
        <f>_xlfn.XLOOKUP($A190,Map!$A:$A,Map!C:C)</f>
        <v>IS</v>
      </c>
      <c r="H190" s="43" t="str">
        <f>_xlfn.XLOOKUP($A190,Map!$A:$A,Map!D:D)</f>
        <v>Depreciation expenses</v>
      </c>
      <c r="I190" s="43" t="str">
        <f>_xlfn.XLOOKUP($A190,Map!$A:$A,Map!E:E)</f>
        <v>Depreciation expenses</v>
      </c>
      <c r="J190" s="43" t="str">
        <f>_xlfn.XLOOKUP($A190,Map!$A:$A,Map!F:F)</f>
        <v>Depreciation of property, plant and equipment</v>
      </c>
    </row>
    <row r="191" spans="1:10" x14ac:dyDescent="0.25">
      <c r="A191">
        <v>700054</v>
      </c>
      <c r="B191" t="s">
        <v>1075</v>
      </c>
      <c r="C191" s="116">
        <v>0</v>
      </c>
      <c r="D191" s="116">
        <v>89083.34</v>
      </c>
      <c r="E191" s="116">
        <v>0</v>
      </c>
      <c r="F191" s="116">
        <v>89083.34</v>
      </c>
      <c r="G191" s="43" t="str">
        <f>_xlfn.XLOOKUP($A191,Map!$A:$A,Map!C:C)</f>
        <v>IS</v>
      </c>
      <c r="H191" s="43" t="str">
        <f>_xlfn.XLOOKUP($A191,Map!$A:$A,Map!D:D)</f>
        <v>Depreciation expenses</v>
      </c>
      <c r="I191" s="43" t="str">
        <f>_xlfn.XLOOKUP($A191,Map!$A:$A,Map!E:E)</f>
        <v>Depreciation expenses</v>
      </c>
      <c r="J191" s="43" t="str">
        <f>_xlfn.XLOOKUP($A191,Map!$A:$A,Map!F:F)</f>
        <v>Depreciation of property, plant and equipment</v>
      </c>
    </row>
    <row r="192" spans="1:10" x14ac:dyDescent="0.25">
      <c r="A192">
        <v>700055</v>
      </c>
      <c r="B192" t="s">
        <v>1076</v>
      </c>
      <c r="C192" s="116">
        <v>0</v>
      </c>
      <c r="D192" s="116">
        <v>184067.12599999999</v>
      </c>
      <c r="E192" s="116">
        <v>0</v>
      </c>
      <c r="F192" s="116">
        <v>184067.12599999999</v>
      </c>
      <c r="G192" s="43" t="str">
        <f>_xlfn.XLOOKUP($A192,Map!$A:$A,Map!C:C)</f>
        <v>IS</v>
      </c>
      <c r="H192" s="43" t="str">
        <f>_xlfn.XLOOKUP($A192,Map!$A:$A,Map!D:D)</f>
        <v>Depreciation expenses</v>
      </c>
      <c r="I192" s="43" t="str">
        <f>_xlfn.XLOOKUP($A192,Map!$A:$A,Map!E:E)</f>
        <v>Depreciation expenses</v>
      </c>
      <c r="J192" s="43" t="str">
        <f>_xlfn.XLOOKUP($A192,Map!$A:$A,Map!F:F)</f>
        <v>Depreciation of property, plant and equipment</v>
      </c>
    </row>
    <row r="193" spans="1:10" x14ac:dyDescent="0.25">
      <c r="A193">
        <v>700056</v>
      </c>
      <c r="B193" t="s">
        <v>1077</v>
      </c>
      <c r="C193" s="116">
        <v>0</v>
      </c>
      <c r="D193" s="116">
        <v>0</v>
      </c>
      <c r="E193" s="116">
        <v>0</v>
      </c>
      <c r="F193" s="116">
        <v>0</v>
      </c>
      <c r="G193" s="43" t="str">
        <f>_xlfn.XLOOKUP($A193,Map!$A:$A,Map!C:C)</f>
        <v>IS</v>
      </c>
      <c r="H193" s="43" t="str">
        <f>_xlfn.XLOOKUP($A193,Map!$A:$A,Map!D:D)</f>
        <v>Depreciation expenses</v>
      </c>
      <c r="I193" s="43" t="str">
        <f>_xlfn.XLOOKUP($A193,Map!$A:$A,Map!E:E)</f>
        <v>Depreciation expenses</v>
      </c>
      <c r="J193" s="43" t="str">
        <f>_xlfn.XLOOKUP($A193,Map!$A:$A,Map!F:F)</f>
        <v>Depreciation of property, plant and equipment</v>
      </c>
    </row>
    <row r="194" spans="1:10" x14ac:dyDescent="0.25">
      <c r="A194">
        <v>700057</v>
      </c>
      <c r="B194" t="s">
        <v>1078</v>
      </c>
      <c r="C194" s="116">
        <v>0</v>
      </c>
      <c r="D194" s="116">
        <v>802083.53</v>
      </c>
      <c r="E194" s="116">
        <v>20000</v>
      </c>
      <c r="F194" s="116">
        <v>782083.53</v>
      </c>
      <c r="G194" s="43" t="str">
        <f>_xlfn.XLOOKUP($A194,Map!$A:$A,Map!C:C)</f>
        <v>IS</v>
      </c>
      <c r="H194" s="43" t="str">
        <f>_xlfn.XLOOKUP($A194,Map!$A:$A,Map!D:D)</f>
        <v>Cost of sales</v>
      </c>
      <c r="I194" s="43" t="str">
        <f>_xlfn.XLOOKUP($A194,Map!$A:$A,Map!E:E)</f>
        <v>Overhead - Rent</v>
      </c>
      <c r="J194" s="43" t="str">
        <f>_xlfn.XLOOKUP($A194,Map!$A:$A,Map!F:F)</f>
        <v>Warehouse Rent ( Khamis, Rioyadh, Dammam)</v>
      </c>
    </row>
    <row r="195" spans="1:10" x14ac:dyDescent="0.25">
      <c r="A195">
        <v>700058</v>
      </c>
      <c r="B195" t="s">
        <v>1079</v>
      </c>
      <c r="C195" s="116">
        <v>0</v>
      </c>
      <c r="D195" s="116">
        <v>8003</v>
      </c>
      <c r="E195" s="116">
        <v>2841</v>
      </c>
      <c r="F195" s="116">
        <v>5162</v>
      </c>
      <c r="G195" s="43" t="str">
        <f>_xlfn.XLOOKUP($A195,Map!$A:$A,Map!C:C)</f>
        <v>IS</v>
      </c>
      <c r="H195" s="43" t="str">
        <f>_xlfn.XLOOKUP($A195,Map!$A:$A,Map!D:D)</f>
        <v>Selling and Marketing</v>
      </c>
      <c r="I195" s="43" t="str">
        <f>_xlfn.XLOOKUP($A195,Map!$A:$A,Map!E:E)</f>
        <v>Advertising and promotion expenses</v>
      </c>
      <c r="J195" s="43" t="str">
        <f>_xlfn.XLOOKUP($A195,Map!$A:$A,Map!F:F)</f>
        <v>Advertising and promotion expenses</v>
      </c>
    </row>
    <row r="196" spans="1:10" x14ac:dyDescent="0.25">
      <c r="A196">
        <v>700059</v>
      </c>
      <c r="B196" t="s">
        <v>1080</v>
      </c>
      <c r="C196" s="116">
        <v>0</v>
      </c>
      <c r="D196" s="116">
        <v>0</v>
      </c>
      <c r="E196" s="116">
        <v>0</v>
      </c>
      <c r="F196" s="116">
        <v>0</v>
      </c>
      <c r="G196" s="43" t="str">
        <f>_xlfn.XLOOKUP($A196,Map!$A:$A,Map!C:C)</f>
        <v>IS</v>
      </c>
      <c r="H196" s="43" t="str">
        <f>_xlfn.XLOOKUP($A196,Map!$A:$A,Map!D:D)</f>
        <v>Selling and Marketing</v>
      </c>
      <c r="I196" s="43" t="str">
        <f>_xlfn.XLOOKUP($A196,Map!$A:$A,Map!E:E)</f>
        <v>Exhibitions</v>
      </c>
      <c r="J196" s="43" t="str">
        <f>_xlfn.XLOOKUP($A196,Map!$A:$A,Map!F:F)</f>
        <v>Exhibitions</v>
      </c>
    </row>
    <row r="197" spans="1:10" x14ac:dyDescent="0.25">
      <c r="A197">
        <v>700060</v>
      </c>
      <c r="B197" t="s">
        <v>1081</v>
      </c>
      <c r="C197" s="116">
        <v>0</v>
      </c>
      <c r="D197" s="116">
        <v>2667016.54</v>
      </c>
      <c r="E197" s="116">
        <v>200</v>
      </c>
      <c r="F197" s="116">
        <v>2666816.54</v>
      </c>
      <c r="G197" s="43" t="str">
        <f>_xlfn.XLOOKUP($A197,Map!$A:$A,Map!C:C)</f>
        <v>IS</v>
      </c>
      <c r="H197" s="43" t="str">
        <f>_xlfn.XLOOKUP($A197,Map!$A:$A,Map!D:D)</f>
        <v>Selling and Marketing</v>
      </c>
      <c r="I197" s="43" t="str">
        <f>_xlfn.XLOOKUP($A197,Map!$A:$A,Map!E:E)</f>
        <v>Freight and shipping expenses (S&amp;D)</v>
      </c>
      <c r="J197" s="43" t="str">
        <f>_xlfn.XLOOKUP($A197,Map!$A:$A,Map!F:F)</f>
        <v>Outbound freight / shipping — reclassified below gross profit under IFRS</v>
      </c>
    </row>
    <row r="198" spans="1:10" x14ac:dyDescent="0.25">
      <c r="A198">
        <v>700061</v>
      </c>
      <c r="B198" t="s">
        <v>1082</v>
      </c>
      <c r="C198" s="116">
        <v>0</v>
      </c>
      <c r="D198" s="116">
        <v>199033</v>
      </c>
      <c r="E198" s="116">
        <v>28641</v>
      </c>
      <c r="F198" s="116">
        <v>170392</v>
      </c>
      <c r="G198" s="43" t="str">
        <f>_xlfn.XLOOKUP($A198,Map!$A:$A,Map!C:C)</f>
        <v>IS</v>
      </c>
      <c r="H198" s="43" t="str">
        <f>_xlfn.XLOOKUP($A198,Map!$A:$A,Map!D:D)</f>
        <v>Selling and Marketing</v>
      </c>
      <c r="I198" s="43" t="str">
        <f>_xlfn.XLOOKUP($A198,Map!$A:$A,Map!E:E)</f>
        <v>Commission expenses</v>
      </c>
      <c r="J198" s="43" t="str">
        <f>_xlfn.XLOOKUP($A198,Map!$A:$A,Map!F:F)</f>
        <v>Commission expenses</v>
      </c>
    </row>
    <row r="199" spans="1:10" x14ac:dyDescent="0.25">
      <c r="A199">
        <v>700062</v>
      </c>
      <c r="B199" t="s">
        <v>1083</v>
      </c>
      <c r="C199" s="116">
        <v>0</v>
      </c>
      <c r="D199" s="116">
        <v>0</v>
      </c>
      <c r="E199" s="116">
        <v>0</v>
      </c>
      <c r="F199" s="116">
        <v>0</v>
      </c>
      <c r="G199" s="43" t="str">
        <f>_xlfn.XLOOKUP($A199,Map!$A:$A,Map!C:C)</f>
        <v>IS</v>
      </c>
      <c r="H199" s="43" t="str">
        <f>_xlfn.XLOOKUP($A199,Map!$A:$A,Map!D:D)</f>
        <v>Revised provision on Bad Debts</v>
      </c>
      <c r="I199" s="43" t="str">
        <f>_xlfn.XLOOKUP($A199,Map!$A:$A,Map!E:E)</f>
        <v>Bad debts expense</v>
      </c>
      <c r="J199" s="43" t="str">
        <f>_xlfn.XLOOKUP($A199,Map!$A:$A,Map!F:F)</f>
        <v>Bad debts expense</v>
      </c>
    </row>
    <row r="200" spans="1:10" x14ac:dyDescent="0.25">
      <c r="A200">
        <v>700063</v>
      </c>
      <c r="B200" t="s">
        <v>1084</v>
      </c>
      <c r="C200" s="116">
        <v>0</v>
      </c>
      <c r="D200" s="116">
        <v>438386.39</v>
      </c>
      <c r="E200" s="116">
        <v>18135</v>
      </c>
      <c r="F200" s="116">
        <v>420251.39</v>
      </c>
      <c r="G200" s="43" t="str">
        <f>_xlfn.XLOOKUP($A200,Map!$A:$A,Map!C:C)</f>
        <v>IS</v>
      </c>
      <c r="H200" s="43" t="str">
        <f>_xlfn.XLOOKUP($A200,Map!$A:$A,Map!D:D)</f>
        <v>General and Admin</v>
      </c>
      <c r="I200" s="43" t="str">
        <f>_xlfn.XLOOKUP($A200,Map!$A:$A,Map!E:E)</f>
        <v>Salaries and wages</v>
      </c>
      <c r="J200" s="43" t="str">
        <f>_xlfn.XLOOKUP($A200,Map!$A:$A,Map!F:F)</f>
        <v>GOSI</v>
      </c>
    </row>
    <row r="202" spans="1:10" x14ac:dyDescent="0.25">
      <c r="C202" s="153">
        <f>SUBTOTAL(9,C5:C201)</f>
        <v>7.4505805969238281E-9</v>
      </c>
      <c r="D202" s="153">
        <f>SUBTOTAL(9,D5:D201)</f>
        <v>9176175300.831007</v>
      </c>
      <c r="E202" s="153">
        <f>SUBTOTAL(9,E5:E201)</f>
        <v>9176175300.8310051</v>
      </c>
      <c r="F202" s="153">
        <f>SUBTOTAL(9,F5:F201)</f>
        <v>-8.9639797806739807E-9</v>
      </c>
    </row>
    <row r="203" spans="1:10" x14ac:dyDescent="0.25">
      <c r="C203" s="153"/>
      <c r="D203" s="153"/>
      <c r="E203" s="153"/>
      <c r="F203" s="153"/>
    </row>
    <row r="204" spans="1:10" x14ac:dyDescent="0.25">
      <c r="A204" s="85" t="s">
        <v>1341</v>
      </c>
    </row>
    <row r="205" spans="1:10" x14ac:dyDescent="0.25">
      <c r="A205">
        <v>600031</v>
      </c>
      <c r="B205" t="s">
        <v>1347</v>
      </c>
      <c r="D205" s="116">
        <v>1226.67</v>
      </c>
      <c r="E205" s="116">
        <v>0</v>
      </c>
      <c r="F205" s="116">
        <f t="shared" ref="F205:F268" si="0">D205-E205</f>
        <v>1226.67</v>
      </c>
      <c r="G205" s="43" t="str">
        <f>_xlfn.XLOOKUP($A205,Map!$A:$A,Map!C:C)</f>
        <v>IS</v>
      </c>
      <c r="H205" s="43" t="str">
        <f>_xlfn.XLOOKUP($A205,Map!$A:$A,Map!D:D)</f>
        <v>Depreciation expenses</v>
      </c>
      <c r="I205" s="43" t="str">
        <f>_xlfn.XLOOKUP($A205,Map!$A:$A,Map!E:E)</f>
        <v>Depreciation expenses</v>
      </c>
      <c r="J205" s="43" t="str">
        <f>_xlfn.XLOOKUP($A205,Map!$A:$A,Map!F:F)</f>
        <v>Depreciation of property, plant and equipment</v>
      </c>
    </row>
    <row r="206" spans="1:10" x14ac:dyDescent="0.25">
      <c r="A206">
        <v>600030</v>
      </c>
      <c r="B206" t="s">
        <v>1347</v>
      </c>
      <c r="D206" s="116">
        <v>1883</v>
      </c>
      <c r="E206" s="116">
        <v>0</v>
      </c>
      <c r="F206" s="116">
        <f t="shared" si="0"/>
        <v>1883</v>
      </c>
      <c r="G206" s="43" t="str">
        <f>_xlfn.XLOOKUP($A206,Map!$A:$A,Map!C:C)</f>
        <v>IS</v>
      </c>
      <c r="H206" s="43" t="str">
        <f>_xlfn.XLOOKUP($A206,Map!$A:$A,Map!D:D)</f>
        <v>Depreciation expenses</v>
      </c>
      <c r="I206" s="43" t="str">
        <f>_xlfn.XLOOKUP($A206,Map!$A:$A,Map!E:E)</f>
        <v>Depreciation expenses</v>
      </c>
      <c r="J206" s="43" t="str">
        <f>_xlfn.XLOOKUP($A206,Map!$A:$A,Map!F:F)</f>
        <v>Depreciation of property, plant and equipment</v>
      </c>
    </row>
    <row r="207" spans="1:10" x14ac:dyDescent="0.25">
      <c r="A207">
        <v>600029</v>
      </c>
      <c r="B207" t="s">
        <v>1347</v>
      </c>
      <c r="D207" s="116">
        <v>571033.14</v>
      </c>
      <c r="E207" s="116">
        <v>0</v>
      </c>
      <c r="F207" s="116">
        <f t="shared" si="0"/>
        <v>571033.14</v>
      </c>
      <c r="G207" s="43" t="str">
        <f>_xlfn.XLOOKUP($A207,Map!$A:$A,Map!C:C)</f>
        <v>IS</v>
      </c>
      <c r="H207" s="43" t="str">
        <f>_xlfn.XLOOKUP($A207,Map!$A:$A,Map!D:D)</f>
        <v>Cost of sales</v>
      </c>
      <c r="I207" s="43" t="str">
        <f>_xlfn.XLOOKUP($A207,Map!$A:$A,Map!E:E)</f>
        <v>Depreciation - Machines</v>
      </c>
      <c r="J207" s="43" t="str">
        <f>_xlfn.XLOOKUP($A207,Map!$A:$A,Map!F:F)</f>
        <v>Depreciation of property, plant and equipment</v>
      </c>
    </row>
    <row r="208" spans="1:10" x14ac:dyDescent="0.25">
      <c r="A208">
        <v>600028</v>
      </c>
      <c r="B208" t="s">
        <v>1347</v>
      </c>
      <c r="D208" s="116">
        <v>1390</v>
      </c>
      <c r="E208" s="116">
        <v>0</v>
      </c>
      <c r="F208" s="116">
        <f t="shared" si="0"/>
        <v>1390</v>
      </c>
      <c r="G208" s="43" t="str">
        <f>_xlfn.XLOOKUP($A208,Map!$A:$A,Map!C:C)</f>
        <v>IS</v>
      </c>
      <c r="H208" s="43" t="str">
        <f>_xlfn.XLOOKUP($A208,Map!$A:$A,Map!D:D)</f>
        <v>Cost of sales</v>
      </c>
      <c r="I208" s="43" t="str">
        <f>_xlfn.XLOOKUP($A208,Map!$A:$A,Map!E:E)</f>
        <v>Overhead - Consumables &amp; SP</v>
      </c>
      <c r="J208" s="43" t="str">
        <f>_xlfn.XLOOKUP($A208,Map!$A:$A,Map!F:F)</f>
        <v xml:space="preserve">Education &amp; Furniture Allowances </v>
      </c>
    </row>
    <row r="209" spans="1:10" x14ac:dyDescent="0.25">
      <c r="A209">
        <v>600027</v>
      </c>
      <c r="B209" t="s">
        <v>1347</v>
      </c>
      <c r="D209" s="116">
        <v>102666.68</v>
      </c>
      <c r="E209" s="116">
        <v>0</v>
      </c>
      <c r="F209" s="116">
        <f t="shared" si="0"/>
        <v>102666.68</v>
      </c>
      <c r="G209" s="43" t="str">
        <f>_xlfn.XLOOKUP($A209,Map!$A:$A,Map!C:C)</f>
        <v>IS</v>
      </c>
      <c r="H209" s="43" t="str">
        <f>_xlfn.XLOOKUP($A209,Map!$A:$A,Map!D:D)</f>
        <v>Cost of sales</v>
      </c>
      <c r="I209" s="43" t="str">
        <f>_xlfn.XLOOKUP($A209,Map!$A:$A,Map!E:E)</f>
        <v>Overhead - Rent</v>
      </c>
      <c r="J209" s="43" t="str">
        <f>_xlfn.XLOOKUP($A209,Map!$A:$A,Map!F:F)</f>
        <v>Production hall rental</v>
      </c>
    </row>
    <row r="210" spans="1:10" x14ac:dyDescent="0.25">
      <c r="A210">
        <v>600024</v>
      </c>
      <c r="B210" t="s">
        <v>1347</v>
      </c>
      <c r="D210" s="116">
        <v>10868</v>
      </c>
      <c r="E210" s="116">
        <v>0</v>
      </c>
      <c r="F210" s="116">
        <f t="shared" si="0"/>
        <v>10868</v>
      </c>
      <c r="G210" s="43" t="str">
        <f>_xlfn.XLOOKUP($A210,Map!$A:$A,Map!C:C)</f>
        <v>IS</v>
      </c>
      <c r="H210" s="43" t="str">
        <f>_xlfn.XLOOKUP($A210,Map!$A:$A,Map!D:D)</f>
        <v>Cost of sales</v>
      </c>
      <c r="I210" s="43" t="str">
        <f>_xlfn.XLOOKUP($A210,Map!$A:$A,Map!E:E)</f>
        <v>Overhead - Rent</v>
      </c>
      <c r="J210" s="43" t="str">
        <f>_xlfn.XLOOKUP($A210,Map!$A:$A,Map!F:F)</f>
        <v>Pump rental expenses</v>
      </c>
    </row>
    <row r="211" spans="1:10" x14ac:dyDescent="0.25">
      <c r="A211">
        <v>600020</v>
      </c>
      <c r="B211" t="s">
        <v>1347</v>
      </c>
      <c r="D211" s="116">
        <v>1800</v>
      </c>
      <c r="E211" s="116">
        <v>0</v>
      </c>
      <c r="F211" s="116">
        <f t="shared" si="0"/>
        <v>1800</v>
      </c>
      <c r="G211" s="43" t="str">
        <f>_xlfn.XLOOKUP($A211,Map!$A:$A,Map!C:C)</f>
        <v>IS</v>
      </c>
      <c r="H211" s="43" t="str">
        <f>_xlfn.XLOOKUP($A211,Map!$A:$A,Map!D:D)</f>
        <v>Cost of sales</v>
      </c>
      <c r="I211" s="43" t="str">
        <f>_xlfn.XLOOKUP($A211,Map!$A:$A,Map!E:E)</f>
        <v>Overhead - R&amp;M</v>
      </c>
      <c r="J211" s="43" t="str">
        <f>_xlfn.XLOOKUP($A211,Map!$A:$A,Map!F:F)</f>
        <v>Machine and equipment</v>
      </c>
    </row>
    <row r="212" spans="1:10" x14ac:dyDescent="0.25">
      <c r="A212">
        <v>600019</v>
      </c>
      <c r="B212" t="s">
        <v>1347</v>
      </c>
      <c r="D212" s="116">
        <v>28110</v>
      </c>
      <c r="E212" s="116">
        <v>0</v>
      </c>
      <c r="F212" s="116">
        <f t="shared" si="0"/>
        <v>28110</v>
      </c>
      <c r="G212" s="43" t="str">
        <f>_xlfn.XLOOKUP($A212,Map!$A:$A,Map!C:C)</f>
        <v>IS</v>
      </c>
      <c r="H212" s="43" t="str">
        <f>_xlfn.XLOOKUP($A212,Map!$A:$A,Map!D:D)</f>
        <v>Cost of sales</v>
      </c>
      <c r="I212" s="43" t="str">
        <f>_xlfn.XLOOKUP($A212,Map!$A:$A,Map!E:E)</f>
        <v>Overhead - Utility</v>
      </c>
      <c r="J212" s="43" t="str">
        <f>_xlfn.XLOOKUP($A212,Map!$A:$A,Map!F:F)</f>
        <v>Fuel and oil</v>
      </c>
    </row>
    <row r="213" spans="1:10" x14ac:dyDescent="0.25">
      <c r="A213">
        <v>600018</v>
      </c>
      <c r="B213" t="s">
        <v>1347</v>
      </c>
      <c r="D213" s="116">
        <v>11750</v>
      </c>
      <c r="E213" s="116">
        <v>0</v>
      </c>
      <c r="F213" s="116">
        <f t="shared" si="0"/>
        <v>11750</v>
      </c>
      <c r="G213" s="43" t="str">
        <f>_xlfn.XLOOKUP($A213,Map!$A:$A,Map!C:C)</f>
        <v>IS</v>
      </c>
      <c r="H213" s="43" t="str">
        <f>_xlfn.XLOOKUP($A213,Map!$A:$A,Map!D:D)</f>
        <v>Cost of sales</v>
      </c>
      <c r="I213" s="43" t="str">
        <f>_xlfn.XLOOKUP($A213,Map!$A:$A,Map!E:E)</f>
        <v>Overhead - Utility</v>
      </c>
      <c r="J213" s="43" t="str">
        <f>_xlfn.XLOOKUP($A213,Map!$A:$A,Map!F:F)</f>
        <v>Water expenses</v>
      </c>
    </row>
    <row r="214" spans="1:10" x14ac:dyDescent="0.25">
      <c r="A214">
        <v>600017</v>
      </c>
      <c r="B214" t="s">
        <v>1347</v>
      </c>
      <c r="D214" s="116">
        <v>305555.88</v>
      </c>
      <c r="E214" s="116">
        <v>0</v>
      </c>
      <c r="F214" s="116">
        <f t="shared" si="0"/>
        <v>305555.88</v>
      </c>
      <c r="G214" s="43" t="str">
        <f>_xlfn.XLOOKUP($A214,Map!$A:$A,Map!C:C)</f>
        <v>IS</v>
      </c>
      <c r="H214" s="43" t="str">
        <f>_xlfn.XLOOKUP($A214,Map!$A:$A,Map!D:D)</f>
        <v>Cost of sales</v>
      </c>
      <c r="I214" s="43" t="str">
        <f>_xlfn.XLOOKUP($A214,Map!$A:$A,Map!E:E)</f>
        <v>Overhead - Utility</v>
      </c>
      <c r="J214" s="43" t="str">
        <f>_xlfn.XLOOKUP($A214,Map!$A:$A,Map!F:F)</f>
        <v>Electricity expenses</v>
      </c>
    </row>
    <row r="215" spans="1:10" x14ac:dyDescent="0.25">
      <c r="A215">
        <v>600016</v>
      </c>
      <c r="B215" t="s">
        <v>1347</v>
      </c>
      <c r="D215" s="116">
        <v>54724.25</v>
      </c>
      <c r="E215" s="116">
        <v>0</v>
      </c>
      <c r="F215" s="116">
        <f t="shared" si="0"/>
        <v>54724.25</v>
      </c>
      <c r="G215" s="43" t="str">
        <f>_xlfn.XLOOKUP($A215,Map!$A:$A,Map!C:C)</f>
        <v>IS</v>
      </c>
      <c r="H215" s="43" t="str">
        <f>_xlfn.XLOOKUP($A215,Map!$A:$A,Map!D:D)</f>
        <v>Cost of sales</v>
      </c>
      <c r="I215" s="43" t="str">
        <f>_xlfn.XLOOKUP($A215,Map!$A:$A,Map!E:E)</f>
        <v>Overhead - Consumables &amp; SP</v>
      </c>
      <c r="J215" s="43" t="str">
        <f>_xlfn.XLOOKUP($A215,Map!$A:$A,Map!F:F)</f>
        <v>Tools</v>
      </c>
    </row>
    <row r="216" spans="1:10" x14ac:dyDescent="0.25">
      <c r="A216">
        <v>600016</v>
      </c>
      <c r="B216" t="s">
        <v>1347</v>
      </c>
      <c r="D216" s="116">
        <v>54724.25</v>
      </c>
      <c r="E216" s="116">
        <v>0</v>
      </c>
      <c r="F216" s="116">
        <f t="shared" si="0"/>
        <v>54724.25</v>
      </c>
      <c r="G216" s="43" t="str">
        <f>_xlfn.XLOOKUP($A216,Map!$A:$A,Map!C:C)</f>
        <v>IS</v>
      </c>
      <c r="H216" s="43" t="str">
        <f>_xlfn.XLOOKUP($A216,Map!$A:$A,Map!D:D)</f>
        <v>Cost of sales</v>
      </c>
      <c r="I216" s="43" t="str">
        <f>_xlfn.XLOOKUP($A216,Map!$A:$A,Map!E:E)</f>
        <v>Overhead - Consumables &amp; SP</v>
      </c>
      <c r="J216" s="43" t="str">
        <f>_xlfn.XLOOKUP($A216,Map!$A:$A,Map!F:F)</f>
        <v>Tools</v>
      </c>
    </row>
    <row r="217" spans="1:10" x14ac:dyDescent="0.25">
      <c r="A217">
        <v>600016</v>
      </c>
      <c r="B217" t="s">
        <v>1347</v>
      </c>
      <c r="D217" s="116">
        <v>27362.13</v>
      </c>
      <c r="E217" s="116">
        <v>0</v>
      </c>
      <c r="F217" s="116">
        <f t="shared" si="0"/>
        <v>27362.13</v>
      </c>
      <c r="G217" s="43" t="str">
        <f>_xlfn.XLOOKUP($A217,Map!$A:$A,Map!C:C)</f>
        <v>IS</v>
      </c>
      <c r="H217" s="43" t="str">
        <f>_xlfn.XLOOKUP($A217,Map!$A:$A,Map!D:D)</f>
        <v>Cost of sales</v>
      </c>
      <c r="I217" s="43" t="str">
        <f>_xlfn.XLOOKUP($A217,Map!$A:$A,Map!E:E)</f>
        <v>Overhead - Consumables &amp; SP</v>
      </c>
      <c r="J217" s="43" t="str">
        <f>_xlfn.XLOOKUP($A217,Map!$A:$A,Map!F:F)</f>
        <v>Tools</v>
      </c>
    </row>
    <row r="218" spans="1:10" x14ac:dyDescent="0.25">
      <c r="A218">
        <v>600016</v>
      </c>
      <c r="B218" t="s">
        <v>1347</v>
      </c>
      <c r="D218" s="116">
        <v>27362.13</v>
      </c>
      <c r="E218" s="116">
        <v>0</v>
      </c>
      <c r="F218" s="116">
        <f t="shared" si="0"/>
        <v>27362.13</v>
      </c>
      <c r="G218" s="43" t="str">
        <f>_xlfn.XLOOKUP($A218,Map!$A:$A,Map!C:C)</f>
        <v>IS</v>
      </c>
      <c r="H218" s="43" t="str">
        <f>_xlfn.XLOOKUP($A218,Map!$A:$A,Map!D:D)</f>
        <v>Cost of sales</v>
      </c>
      <c r="I218" s="43" t="str">
        <f>_xlfn.XLOOKUP($A218,Map!$A:$A,Map!E:E)</f>
        <v>Overhead - Consumables &amp; SP</v>
      </c>
      <c r="J218" s="43" t="str">
        <f>_xlfn.XLOOKUP($A218,Map!$A:$A,Map!F:F)</f>
        <v>Tools</v>
      </c>
    </row>
    <row r="219" spans="1:10" x14ac:dyDescent="0.25">
      <c r="A219">
        <v>600016</v>
      </c>
      <c r="B219" t="s">
        <v>1347</v>
      </c>
      <c r="D219" s="116">
        <v>49870.44</v>
      </c>
      <c r="E219" s="116">
        <v>0</v>
      </c>
      <c r="F219" s="116">
        <f t="shared" si="0"/>
        <v>49870.44</v>
      </c>
      <c r="G219" s="43" t="str">
        <f>_xlfn.XLOOKUP($A219,Map!$A:$A,Map!C:C)</f>
        <v>IS</v>
      </c>
      <c r="H219" s="43" t="str">
        <f>_xlfn.XLOOKUP($A219,Map!$A:$A,Map!D:D)</f>
        <v>Cost of sales</v>
      </c>
      <c r="I219" s="43" t="str">
        <f>_xlfn.XLOOKUP($A219,Map!$A:$A,Map!E:E)</f>
        <v>Overhead - Consumables &amp; SP</v>
      </c>
      <c r="J219" s="43" t="str">
        <f>_xlfn.XLOOKUP($A219,Map!$A:$A,Map!F:F)</f>
        <v>Tools</v>
      </c>
    </row>
    <row r="220" spans="1:10" x14ac:dyDescent="0.25">
      <c r="A220">
        <v>600014</v>
      </c>
      <c r="B220" t="s">
        <v>1347</v>
      </c>
      <c r="D220" s="116">
        <v>246188.34</v>
      </c>
      <c r="E220" s="116">
        <v>0</v>
      </c>
      <c r="F220" s="116">
        <f t="shared" si="0"/>
        <v>246188.34</v>
      </c>
      <c r="G220" s="43" t="str">
        <f>_xlfn.XLOOKUP($A220,Map!$A:$A,Map!C:C)</f>
        <v>IS</v>
      </c>
      <c r="H220" s="43" t="str">
        <f>_xlfn.XLOOKUP($A220,Map!$A:$A,Map!D:D)</f>
        <v>Cost of sales</v>
      </c>
      <c r="I220" s="43" t="str">
        <f>_xlfn.XLOOKUP($A220,Map!$A:$A,Map!E:E)</f>
        <v>Overhead - Consumables &amp; SP</v>
      </c>
      <c r="J220" s="43" t="str">
        <f>_xlfn.XLOOKUP($A220,Map!$A:$A,Map!F:F)</f>
        <v>Consumables</v>
      </c>
    </row>
    <row r="221" spans="1:10" x14ac:dyDescent="0.25">
      <c r="A221">
        <v>600011</v>
      </c>
      <c r="B221" t="s">
        <v>1347</v>
      </c>
      <c r="D221" s="116">
        <v>2000</v>
      </c>
      <c r="E221" s="116">
        <v>0</v>
      </c>
      <c r="F221" s="116">
        <f t="shared" si="0"/>
        <v>2000</v>
      </c>
      <c r="G221" s="43" t="str">
        <f>_xlfn.XLOOKUP($A221,Map!$A:$A,Map!C:C)</f>
        <v>IS</v>
      </c>
      <c r="H221" s="43" t="str">
        <f>_xlfn.XLOOKUP($A221,Map!$A:$A,Map!D:D)</f>
        <v>Cost of sales</v>
      </c>
      <c r="I221" s="43" t="str">
        <f>_xlfn.XLOOKUP($A221,Map!$A:$A,Map!E:E)</f>
        <v>Overhead - Labor Cost</v>
      </c>
      <c r="J221" s="43" t="str">
        <f>_xlfn.XLOOKUP($A221,Map!$A:$A,Map!F:F)</f>
        <v>Air tickets</v>
      </c>
    </row>
    <row r="222" spans="1:10" x14ac:dyDescent="0.25">
      <c r="A222">
        <v>600009</v>
      </c>
      <c r="B222" t="s">
        <v>1347</v>
      </c>
      <c r="D222" s="116">
        <v>20500</v>
      </c>
      <c r="E222" s="116">
        <v>0</v>
      </c>
      <c r="F222" s="116">
        <f t="shared" si="0"/>
        <v>20500</v>
      </c>
      <c r="G222" s="43" t="str">
        <f>_xlfn.XLOOKUP($A222,Map!$A:$A,Map!C:C)</f>
        <v>IS</v>
      </c>
      <c r="H222" s="43" t="str">
        <f>_xlfn.XLOOKUP($A222,Map!$A:$A,Map!D:D)</f>
        <v>Cost of sales</v>
      </c>
      <c r="I222" s="43" t="str">
        <f>_xlfn.XLOOKUP($A222,Map!$A:$A,Map!E:E)</f>
        <v>Overhead - Labor Cost</v>
      </c>
      <c r="J222" s="43" t="str">
        <f>_xlfn.XLOOKUP($A222,Map!$A:$A,Map!F:F)</f>
        <v>Vacation pay</v>
      </c>
    </row>
    <row r="223" spans="1:10" x14ac:dyDescent="0.25">
      <c r="A223">
        <v>600008</v>
      </c>
      <c r="B223" t="s">
        <v>1347</v>
      </c>
      <c r="D223" s="116">
        <v>17184</v>
      </c>
      <c r="E223" s="116">
        <v>0</v>
      </c>
      <c r="F223" s="116">
        <f t="shared" si="0"/>
        <v>17184</v>
      </c>
      <c r="G223" s="43" t="str">
        <f>_xlfn.XLOOKUP($A223,Map!$A:$A,Map!C:C)</f>
        <v>IS</v>
      </c>
      <c r="H223" s="43" t="str">
        <f>_xlfn.XLOOKUP($A223,Map!$A:$A,Map!D:D)</f>
        <v>Cost of sales</v>
      </c>
      <c r="I223" s="43" t="str">
        <f>_xlfn.XLOOKUP($A223,Map!$A:$A,Map!E:E)</f>
        <v>Overhead - Labor Cost</v>
      </c>
      <c r="J223" s="43" t="str">
        <f>_xlfn.XLOOKUP($A223,Map!$A:$A,Map!F:F)</f>
        <v>Air tickets</v>
      </c>
    </row>
    <row r="224" spans="1:10" x14ac:dyDescent="0.25">
      <c r="A224">
        <v>600007</v>
      </c>
      <c r="B224" t="s">
        <v>1347</v>
      </c>
      <c r="D224" s="116">
        <v>300</v>
      </c>
      <c r="E224" s="116">
        <v>0</v>
      </c>
      <c r="F224" s="116">
        <f t="shared" si="0"/>
        <v>300</v>
      </c>
      <c r="G224" s="43" t="str">
        <f>_xlfn.XLOOKUP($A224,Map!$A:$A,Map!C:C)</f>
        <v>IS</v>
      </c>
      <c r="H224" s="43" t="str">
        <f>_xlfn.XLOOKUP($A224,Map!$A:$A,Map!D:D)</f>
        <v>Cost of sales</v>
      </c>
      <c r="I224" s="43" t="str">
        <f>_xlfn.XLOOKUP($A224,Map!$A:$A,Map!E:E)</f>
        <v>Overhead - Labor Cost</v>
      </c>
      <c r="J224" s="43" t="str">
        <f>_xlfn.XLOOKUP($A224,Map!$A:$A,Map!F:F)</f>
        <v>Transportation allowance</v>
      </c>
    </row>
    <row r="225" spans="1:10" x14ac:dyDescent="0.25">
      <c r="A225">
        <v>600006</v>
      </c>
      <c r="B225" t="s">
        <v>1347</v>
      </c>
      <c r="D225" s="116">
        <v>63718.36</v>
      </c>
      <c r="E225" s="116">
        <v>0</v>
      </c>
      <c r="F225" s="116">
        <f t="shared" si="0"/>
        <v>63718.36</v>
      </c>
      <c r="G225" s="43" t="str">
        <f>_xlfn.XLOOKUP($A225,Map!$A:$A,Map!C:C)</f>
        <v>IS</v>
      </c>
      <c r="H225" s="43" t="str">
        <f>_xlfn.XLOOKUP($A225,Map!$A:$A,Map!D:D)</f>
        <v>Cost of sales</v>
      </c>
      <c r="I225" s="43" t="str">
        <f>_xlfn.XLOOKUP($A225,Map!$A:$A,Map!E:E)</f>
        <v>Overhead - Labor Cost</v>
      </c>
      <c r="J225" s="43" t="str">
        <f>_xlfn.XLOOKUP($A225,Map!$A:$A,Map!F:F)</f>
        <v xml:space="preserve">Food &amp; Housing </v>
      </c>
    </row>
    <row r="226" spans="1:10" x14ac:dyDescent="0.25">
      <c r="A226">
        <v>600005</v>
      </c>
      <c r="B226" t="s">
        <v>1347</v>
      </c>
      <c r="D226" s="116">
        <v>71264</v>
      </c>
      <c r="E226" s="116">
        <v>0</v>
      </c>
      <c r="F226" s="116">
        <f t="shared" si="0"/>
        <v>71264</v>
      </c>
      <c r="G226" s="43" t="str">
        <f>_xlfn.XLOOKUP($A226,Map!$A:$A,Map!C:C)</f>
        <v>IS</v>
      </c>
      <c r="H226" s="43" t="str">
        <f>_xlfn.XLOOKUP($A226,Map!$A:$A,Map!D:D)</f>
        <v>General and Admin</v>
      </c>
      <c r="I226" s="43" t="str">
        <f>_xlfn.XLOOKUP($A226,Map!$A:$A,Map!E:E)</f>
        <v>Govt license and fees (including modon)</v>
      </c>
      <c r="J226" s="43" t="str">
        <f>_xlfn.XLOOKUP($A226,Map!$A:$A,Map!F:F)</f>
        <v>Government fees</v>
      </c>
    </row>
    <row r="227" spans="1:10" x14ac:dyDescent="0.25">
      <c r="A227">
        <v>600004</v>
      </c>
      <c r="B227" t="s">
        <v>1347</v>
      </c>
      <c r="D227" s="116">
        <v>18549.3</v>
      </c>
      <c r="E227" s="116">
        <v>0</v>
      </c>
      <c r="F227" s="116">
        <f t="shared" si="0"/>
        <v>18549.3</v>
      </c>
      <c r="G227" s="43" t="str">
        <f>_xlfn.XLOOKUP($A227,Map!$A:$A,Map!C:C)</f>
        <v>IS</v>
      </c>
      <c r="H227" s="43" t="str">
        <f>_xlfn.XLOOKUP($A227,Map!$A:$A,Map!D:D)</f>
        <v>Cost of sales</v>
      </c>
      <c r="I227" s="43" t="str">
        <f>_xlfn.XLOOKUP($A227,Map!$A:$A,Map!E:E)</f>
        <v>Overhead - Labor Cost</v>
      </c>
      <c r="J227" s="43" t="str">
        <f>_xlfn.XLOOKUP($A227,Map!$A:$A,Map!F:F)</f>
        <v>Medical insurance</v>
      </c>
    </row>
    <row r="228" spans="1:10" x14ac:dyDescent="0.25">
      <c r="A228">
        <v>600003</v>
      </c>
      <c r="B228" t="s">
        <v>1347</v>
      </c>
      <c r="D228" s="116">
        <v>6073</v>
      </c>
      <c r="E228" s="116">
        <v>0</v>
      </c>
      <c r="F228" s="116">
        <f t="shared" si="0"/>
        <v>6073</v>
      </c>
      <c r="G228" s="43" t="str">
        <f>_xlfn.XLOOKUP($A228,Map!$A:$A,Map!C:C)</f>
        <v>IS</v>
      </c>
      <c r="H228" s="43" t="str">
        <f>_xlfn.XLOOKUP($A228,Map!$A:$A,Map!D:D)</f>
        <v>Cost of sales</v>
      </c>
      <c r="I228" s="43" t="str">
        <f>_xlfn.XLOOKUP($A228,Map!$A:$A,Map!E:E)</f>
        <v>Overhead - Labor Cost</v>
      </c>
      <c r="J228" s="43" t="str">
        <f>_xlfn.XLOOKUP($A228,Map!$A:$A,Map!F:F)</f>
        <v xml:space="preserve">Food &amp; Housing </v>
      </c>
    </row>
    <row r="229" spans="1:10" x14ac:dyDescent="0.25">
      <c r="A229">
        <v>600002</v>
      </c>
      <c r="B229" t="s">
        <v>1347</v>
      </c>
      <c r="D229" s="116">
        <v>22535</v>
      </c>
      <c r="E229" s="116">
        <v>0</v>
      </c>
      <c r="F229" s="116">
        <f t="shared" si="0"/>
        <v>22535</v>
      </c>
      <c r="G229" s="43" t="str">
        <f>_xlfn.XLOOKUP($A229,Map!$A:$A,Map!C:C)</f>
        <v>IS</v>
      </c>
      <c r="H229" s="43" t="str">
        <f>_xlfn.XLOOKUP($A229,Map!$A:$A,Map!D:D)</f>
        <v>Cost of sales</v>
      </c>
      <c r="I229" s="43" t="str">
        <f>_xlfn.XLOOKUP($A229,Map!$A:$A,Map!E:E)</f>
        <v>Overhead - Labor Cost</v>
      </c>
      <c r="J229" s="43" t="str">
        <f>_xlfn.XLOOKUP($A229,Map!$A:$A,Map!F:F)</f>
        <v>Overtime pay</v>
      </c>
    </row>
    <row r="230" spans="1:10" x14ac:dyDescent="0.25">
      <c r="A230">
        <v>600001</v>
      </c>
      <c r="B230" t="s">
        <v>1347</v>
      </c>
      <c r="D230" s="116">
        <v>191382.25</v>
      </c>
      <c r="E230" s="116">
        <v>0</v>
      </c>
      <c r="F230" s="116">
        <f t="shared" si="0"/>
        <v>191382.25</v>
      </c>
      <c r="G230" s="43" t="str">
        <f>_xlfn.XLOOKUP($A230,Map!$A:$A,Map!C:C)</f>
        <v>IS</v>
      </c>
      <c r="H230" s="43" t="str">
        <f>_xlfn.XLOOKUP($A230,Map!$A:$A,Map!D:D)</f>
        <v>Cost of sales</v>
      </c>
      <c r="I230" s="43" t="str">
        <f>_xlfn.XLOOKUP($A230,Map!$A:$A,Map!E:E)</f>
        <v>Overhead - Labor Cost</v>
      </c>
      <c r="J230" s="43" t="str">
        <f>_xlfn.XLOOKUP($A230,Map!$A:$A,Map!F:F)</f>
        <v>Indirect Salaries — factory supervisory / indirect floor labour (COGS)</v>
      </c>
    </row>
    <row r="231" spans="1:10" x14ac:dyDescent="0.25">
      <c r="A231">
        <v>520021</v>
      </c>
      <c r="B231" t="s">
        <v>1347</v>
      </c>
      <c r="D231" s="116">
        <v>4625</v>
      </c>
      <c r="E231" s="116">
        <v>0</v>
      </c>
      <c r="F231" s="116">
        <f t="shared" si="0"/>
        <v>4625</v>
      </c>
      <c r="G231" s="43" t="str">
        <f>_xlfn.XLOOKUP($A231,Map!$A:$A,Map!C:C)</f>
        <v>IS</v>
      </c>
      <c r="H231" s="43" t="str">
        <f>_xlfn.XLOOKUP($A231,Map!$A:$A,Map!D:D)</f>
        <v>Cost of sales</v>
      </c>
      <c r="I231" s="43" t="str">
        <f>_xlfn.XLOOKUP($A231,Map!$A:$A,Map!E:E)</f>
        <v>Direct Labor</v>
      </c>
      <c r="J231" s="43" t="str">
        <f>_xlfn.XLOOKUP($A231,Map!$A:$A,Map!F:F)</f>
        <v>Medical insurance</v>
      </c>
    </row>
    <row r="232" spans="1:10" x14ac:dyDescent="0.25">
      <c r="A232">
        <v>520011</v>
      </c>
      <c r="B232" t="s">
        <v>1347</v>
      </c>
      <c r="D232" s="116">
        <v>19771</v>
      </c>
      <c r="E232" s="116">
        <v>0</v>
      </c>
      <c r="F232" s="116">
        <f t="shared" si="0"/>
        <v>19771</v>
      </c>
      <c r="G232" s="43" t="str">
        <f>_xlfn.XLOOKUP($A232,Map!$A:$A,Map!C:C)</f>
        <v>IS</v>
      </c>
      <c r="H232" s="43" t="str">
        <f>_xlfn.XLOOKUP($A232,Map!$A:$A,Map!D:D)</f>
        <v>Cost of sales</v>
      </c>
      <c r="I232" s="43" t="str">
        <f>_xlfn.XLOOKUP($A232,Map!$A:$A,Map!E:E)</f>
        <v>Direct Labor</v>
      </c>
      <c r="J232" s="43" t="str">
        <f>_xlfn.XLOOKUP($A232,Map!$A:$A,Map!F:F)</f>
        <v>Overtime pay</v>
      </c>
    </row>
    <row r="233" spans="1:10" x14ac:dyDescent="0.25">
      <c r="A233">
        <v>520011</v>
      </c>
      <c r="B233" t="s">
        <v>1347</v>
      </c>
      <c r="D233" s="116">
        <v>24069</v>
      </c>
      <c r="E233" s="116">
        <v>0</v>
      </c>
      <c r="F233" s="116">
        <f t="shared" si="0"/>
        <v>24069</v>
      </c>
      <c r="G233" s="43" t="str">
        <f>_xlfn.XLOOKUP($A233,Map!$A:$A,Map!C:C)</f>
        <v>IS</v>
      </c>
      <c r="H233" s="43" t="str">
        <f>_xlfn.XLOOKUP($A233,Map!$A:$A,Map!D:D)</f>
        <v>Cost of sales</v>
      </c>
      <c r="I233" s="43" t="str">
        <f>_xlfn.XLOOKUP($A233,Map!$A:$A,Map!E:E)</f>
        <v>Direct Labor</v>
      </c>
      <c r="J233" s="43" t="str">
        <f>_xlfn.XLOOKUP($A233,Map!$A:$A,Map!F:F)</f>
        <v>Overtime pay</v>
      </c>
    </row>
    <row r="234" spans="1:10" x14ac:dyDescent="0.25">
      <c r="A234">
        <v>520006</v>
      </c>
      <c r="B234" t="s">
        <v>1347</v>
      </c>
      <c r="D234" s="116">
        <v>12810</v>
      </c>
      <c r="E234" s="116">
        <v>0</v>
      </c>
      <c r="F234" s="116">
        <f t="shared" si="0"/>
        <v>12810</v>
      </c>
      <c r="G234" s="43" t="str">
        <f>_xlfn.XLOOKUP($A234,Map!$A:$A,Map!C:C)</f>
        <v>IS</v>
      </c>
      <c r="H234" s="43" t="str">
        <f>_xlfn.XLOOKUP($A234,Map!$A:$A,Map!D:D)</f>
        <v>Cost of sales</v>
      </c>
      <c r="I234" s="43" t="str">
        <f>_xlfn.XLOOKUP($A234,Map!$A:$A,Map!E:E)</f>
        <v>Direct Labor</v>
      </c>
      <c r="J234" s="43" t="str">
        <f>_xlfn.XLOOKUP($A234,Map!$A:$A,Map!F:F)</f>
        <v>Medical insurance</v>
      </c>
    </row>
    <row r="235" spans="1:10" x14ac:dyDescent="0.25">
      <c r="A235">
        <v>520006</v>
      </c>
      <c r="B235" t="s">
        <v>1347</v>
      </c>
      <c r="D235" s="116">
        <v>6416</v>
      </c>
      <c r="E235" s="116">
        <v>0</v>
      </c>
      <c r="F235" s="116">
        <f t="shared" si="0"/>
        <v>6416</v>
      </c>
      <c r="G235" s="43" t="str">
        <f>_xlfn.XLOOKUP($A235,Map!$A:$A,Map!C:C)</f>
        <v>IS</v>
      </c>
      <c r="H235" s="43" t="str">
        <f>_xlfn.XLOOKUP($A235,Map!$A:$A,Map!D:D)</f>
        <v>Cost of sales</v>
      </c>
      <c r="I235" s="43" t="str">
        <f>_xlfn.XLOOKUP($A235,Map!$A:$A,Map!E:E)</f>
        <v>Direct Labor</v>
      </c>
      <c r="J235" s="43" t="str">
        <f>_xlfn.XLOOKUP($A235,Map!$A:$A,Map!F:F)</f>
        <v>Medical insurance</v>
      </c>
    </row>
    <row r="236" spans="1:10" x14ac:dyDescent="0.25">
      <c r="A236">
        <v>520006</v>
      </c>
      <c r="B236" t="s">
        <v>1347</v>
      </c>
      <c r="D236" s="116">
        <v>4114</v>
      </c>
      <c r="E236" s="116">
        <v>0</v>
      </c>
      <c r="F236" s="116">
        <f t="shared" si="0"/>
        <v>4114</v>
      </c>
      <c r="G236" s="43" t="str">
        <f>_xlfn.XLOOKUP($A236,Map!$A:$A,Map!C:C)</f>
        <v>IS</v>
      </c>
      <c r="H236" s="43" t="str">
        <f>_xlfn.XLOOKUP($A236,Map!$A:$A,Map!D:D)</f>
        <v>Cost of sales</v>
      </c>
      <c r="I236" s="43" t="str">
        <f>_xlfn.XLOOKUP($A236,Map!$A:$A,Map!E:E)</f>
        <v>Direct Labor</v>
      </c>
      <c r="J236" s="43" t="str">
        <f>_xlfn.XLOOKUP($A236,Map!$A:$A,Map!F:F)</f>
        <v>Medical insurance</v>
      </c>
    </row>
    <row r="237" spans="1:10" x14ac:dyDescent="0.25">
      <c r="A237">
        <v>520006</v>
      </c>
      <c r="B237" t="s">
        <v>1347</v>
      </c>
      <c r="D237" s="116">
        <v>3448</v>
      </c>
      <c r="E237" s="116">
        <v>0</v>
      </c>
      <c r="F237" s="116">
        <f t="shared" si="0"/>
        <v>3448</v>
      </c>
      <c r="G237" s="43" t="str">
        <f>_xlfn.XLOOKUP($A237,Map!$A:$A,Map!C:C)</f>
        <v>IS</v>
      </c>
      <c r="H237" s="43" t="str">
        <f>_xlfn.XLOOKUP($A237,Map!$A:$A,Map!D:D)</f>
        <v>Cost of sales</v>
      </c>
      <c r="I237" s="43" t="str">
        <f>_xlfn.XLOOKUP($A237,Map!$A:$A,Map!E:E)</f>
        <v>Direct Labor</v>
      </c>
      <c r="J237" s="43" t="str">
        <f>_xlfn.XLOOKUP($A237,Map!$A:$A,Map!F:F)</f>
        <v>Medical insurance</v>
      </c>
    </row>
    <row r="238" spans="1:10" x14ac:dyDescent="0.25">
      <c r="A238">
        <v>520006</v>
      </c>
      <c r="B238" t="s">
        <v>1347</v>
      </c>
      <c r="D238" s="116">
        <v>4476</v>
      </c>
      <c r="E238" s="116">
        <v>0</v>
      </c>
      <c r="F238" s="116">
        <f t="shared" si="0"/>
        <v>4476</v>
      </c>
      <c r="G238" s="43" t="str">
        <f>_xlfn.XLOOKUP($A238,Map!$A:$A,Map!C:C)</f>
        <v>IS</v>
      </c>
      <c r="H238" s="43" t="str">
        <f>_xlfn.XLOOKUP($A238,Map!$A:$A,Map!D:D)</f>
        <v>Cost of sales</v>
      </c>
      <c r="I238" s="43" t="str">
        <f>_xlfn.XLOOKUP($A238,Map!$A:$A,Map!E:E)</f>
        <v>Direct Labor</v>
      </c>
      <c r="J238" s="43" t="str">
        <f>_xlfn.XLOOKUP($A238,Map!$A:$A,Map!F:F)</f>
        <v>Medical insurance</v>
      </c>
    </row>
    <row r="239" spans="1:10" x14ac:dyDescent="0.25">
      <c r="A239">
        <v>520006</v>
      </c>
      <c r="B239" t="s">
        <v>1347</v>
      </c>
      <c r="D239" s="116">
        <v>2920</v>
      </c>
      <c r="E239" s="116">
        <v>0</v>
      </c>
      <c r="F239" s="116">
        <f t="shared" si="0"/>
        <v>2920</v>
      </c>
      <c r="G239" s="43" t="str">
        <f>_xlfn.XLOOKUP($A239,Map!$A:$A,Map!C:C)</f>
        <v>IS</v>
      </c>
      <c r="H239" s="43" t="str">
        <f>_xlfn.XLOOKUP($A239,Map!$A:$A,Map!D:D)</f>
        <v>Cost of sales</v>
      </c>
      <c r="I239" s="43" t="str">
        <f>_xlfn.XLOOKUP($A239,Map!$A:$A,Map!E:E)</f>
        <v>Direct Labor</v>
      </c>
      <c r="J239" s="43" t="str">
        <f>_xlfn.XLOOKUP($A239,Map!$A:$A,Map!F:F)</f>
        <v>Medical insurance</v>
      </c>
    </row>
    <row r="240" spans="1:10" x14ac:dyDescent="0.25">
      <c r="A240">
        <v>520004</v>
      </c>
      <c r="B240" t="s">
        <v>1347</v>
      </c>
      <c r="D240" s="116">
        <v>9832</v>
      </c>
      <c r="E240" s="116">
        <v>0</v>
      </c>
      <c r="F240" s="116">
        <f t="shared" si="0"/>
        <v>9832</v>
      </c>
      <c r="G240" s="43" t="str">
        <f>_xlfn.XLOOKUP($A240,Map!$A:$A,Map!C:C)</f>
        <v>IS</v>
      </c>
      <c r="H240" s="43" t="str">
        <f>_xlfn.XLOOKUP($A240,Map!$A:$A,Map!D:D)</f>
        <v>Cost of sales</v>
      </c>
      <c r="I240" s="43" t="str">
        <f>_xlfn.XLOOKUP($A240,Map!$A:$A,Map!E:E)</f>
        <v>Direct Labor</v>
      </c>
      <c r="J240" s="43" t="str">
        <f>_xlfn.XLOOKUP($A240,Map!$A:$A,Map!F:F)</f>
        <v>Food and housing</v>
      </c>
    </row>
    <row r="241" spans="1:10" x14ac:dyDescent="0.25">
      <c r="A241">
        <v>520004</v>
      </c>
      <c r="B241" t="s">
        <v>1347</v>
      </c>
      <c r="D241" s="116">
        <v>7000</v>
      </c>
      <c r="E241" s="116">
        <v>0</v>
      </c>
      <c r="F241" s="116">
        <f t="shared" si="0"/>
        <v>7000</v>
      </c>
      <c r="G241" s="43" t="str">
        <f>_xlfn.XLOOKUP($A241,Map!$A:$A,Map!C:C)</f>
        <v>IS</v>
      </c>
      <c r="H241" s="43" t="str">
        <f>_xlfn.XLOOKUP($A241,Map!$A:$A,Map!D:D)</f>
        <v>Cost of sales</v>
      </c>
      <c r="I241" s="43" t="str">
        <f>_xlfn.XLOOKUP($A241,Map!$A:$A,Map!E:E)</f>
        <v>Direct Labor</v>
      </c>
      <c r="J241" s="43" t="str">
        <f>_xlfn.XLOOKUP($A241,Map!$A:$A,Map!F:F)</f>
        <v>Food and housing</v>
      </c>
    </row>
    <row r="242" spans="1:10" x14ac:dyDescent="0.25">
      <c r="A242">
        <v>520003</v>
      </c>
      <c r="B242" t="s">
        <v>1347</v>
      </c>
      <c r="D242" s="116">
        <v>5880</v>
      </c>
      <c r="E242" s="116">
        <v>0</v>
      </c>
      <c r="F242" s="116">
        <f t="shared" si="0"/>
        <v>5880</v>
      </c>
      <c r="G242" s="43" t="str">
        <f>_xlfn.XLOOKUP($A242,Map!$A:$A,Map!C:C)</f>
        <v>IS</v>
      </c>
      <c r="H242" s="43" t="str">
        <f>_xlfn.XLOOKUP($A242,Map!$A:$A,Map!D:D)</f>
        <v>Cost of sales</v>
      </c>
      <c r="I242" s="43" t="str">
        <f>_xlfn.XLOOKUP($A242,Map!$A:$A,Map!E:E)</f>
        <v>Direct Labor</v>
      </c>
      <c r="J242" s="43" t="str">
        <f>_xlfn.XLOOKUP($A242,Map!$A:$A,Map!F:F)</f>
        <v>Transportation allowance</v>
      </c>
    </row>
    <row r="243" spans="1:10" x14ac:dyDescent="0.25">
      <c r="A243">
        <v>520001</v>
      </c>
      <c r="B243" t="s">
        <v>1347</v>
      </c>
      <c r="D243" s="116">
        <v>268825.5</v>
      </c>
      <c r="E243" s="116">
        <v>0</v>
      </c>
      <c r="F243" s="116">
        <f t="shared" si="0"/>
        <v>268825.5</v>
      </c>
      <c r="G243" s="43" t="str">
        <f>_xlfn.XLOOKUP($A243,Map!$A:$A,Map!C:C)</f>
        <v>IS</v>
      </c>
      <c r="H243" s="43" t="str">
        <f>_xlfn.XLOOKUP($A243,Map!$A:$A,Map!D:D)</f>
        <v>Cost of sales</v>
      </c>
      <c r="I243" s="43" t="str">
        <f>_xlfn.XLOOKUP($A243,Map!$A:$A,Map!E:E)</f>
        <v>Direct Labor</v>
      </c>
      <c r="J243" s="43" t="str">
        <f>_xlfn.XLOOKUP($A243,Map!$A:$A,Map!F:F)</f>
        <v>Salaries and wages</v>
      </c>
    </row>
    <row r="244" spans="1:10" x14ac:dyDescent="0.25">
      <c r="A244">
        <v>520001</v>
      </c>
      <c r="B244" t="s">
        <v>1347</v>
      </c>
      <c r="D244" s="116">
        <v>36643</v>
      </c>
      <c r="E244" s="116">
        <v>0</v>
      </c>
      <c r="F244" s="116">
        <f t="shared" si="0"/>
        <v>36643</v>
      </c>
      <c r="G244" s="43" t="str">
        <f>_xlfn.XLOOKUP($A244,Map!$A:$A,Map!C:C)</f>
        <v>IS</v>
      </c>
      <c r="H244" s="43" t="str">
        <f>_xlfn.XLOOKUP($A244,Map!$A:$A,Map!D:D)</f>
        <v>Cost of sales</v>
      </c>
      <c r="I244" s="43" t="str">
        <f>_xlfn.XLOOKUP($A244,Map!$A:$A,Map!E:E)</f>
        <v>Direct Labor</v>
      </c>
      <c r="J244" s="43" t="str">
        <f>_xlfn.XLOOKUP($A244,Map!$A:$A,Map!F:F)</f>
        <v>Salaries and wages</v>
      </c>
    </row>
    <row r="245" spans="1:10" x14ac:dyDescent="0.25">
      <c r="A245">
        <v>520001</v>
      </c>
      <c r="B245" t="s">
        <v>1347</v>
      </c>
      <c r="D245" s="116">
        <v>62649.5</v>
      </c>
      <c r="E245" s="116">
        <v>0</v>
      </c>
      <c r="F245" s="116">
        <f t="shared" si="0"/>
        <v>62649.5</v>
      </c>
      <c r="G245" s="43" t="str">
        <f>_xlfn.XLOOKUP($A245,Map!$A:$A,Map!C:C)</f>
        <v>IS</v>
      </c>
      <c r="H245" s="43" t="str">
        <f>_xlfn.XLOOKUP($A245,Map!$A:$A,Map!D:D)</f>
        <v>Cost of sales</v>
      </c>
      <c r="I245" s="43" t="str">
        <f>_xlfn.XLOOKUP($A245,Map!$A:$A,Map!E:E)</f>
        <v>Direct Labor</v>
      </c>
      <c r="J245" s="43" t="str">
        <f>_xlfn.XLOOKUP($A245,Map!$A:$A,Map!F:F)</f>
        <v>Salaries and wages</v>
      </c>
    </row>
    <row r="246" spans="1:10" x14ac:dyDescent="0.25">
      <c r="A246">
        <v>520001</v>
      </c>
      <c r="B246" t="s">
        <v>1347</v>
      </c>
      <c r="D246" s="116">
        <v>23324</v>
      </c>
      <c r="E246" s="116">
        <v>0</v>
      </c>
      <c r="F246" s="116">
        <f t="shared" si="0"/>
        <v>23324</v>
      </c>
      <c r="G246" s="43" t="str">
        <f>_xlfn.XLOOKUP($A246,Map!$A:$A,Map!C:C)</f>
        <v>IS</v>
      </c>
      <c r="H246" s="43" t="str">
        <f>_xlfn.XLOOKUP($A246,Map!$A:$A,Map!D:D)</f>
        <v>Cost of sales</v>
      </c>
      <c r="I246" s="43" t="str">
        <f>_xlfn.XLOOKUP($A246,Map!$A:$A,Map!E:E)</f>
        <v>Direct Labor</v>
      </c>
      <c r="J246" s="43" t="str">
        <f>_xlfn.XLOOKUP($A246,Map!$A:$A,Map!F:F)</f>
        <v>Salaries and wages</v>
      </c>
    </row>
    <row r="247" spans="1:10" x14ac:dyDescent="0.25">
      <c r="A247">
        <v>520001</v>
      </c>
      <c r="B247" t="s">
        <v>1347</v>
      </c>
      <c r="D247" s="116">
        <v>46798</v>
      </c>
      <c r="E247" s="116">
        <v>0</v>
      </c>
      <c r="F247" s="116">
        <f t="shared" si="0"/>
        <v>46798</v>
      </c>
      <c r="G247" s="43" t="str">
        <f>_xlfn.XLOOKUP($A247,Map!$A:$A,Map!C:C)</f>
        <v>IS</v>
      </c>
      <c r="H247" s="43" t="str">
        <f>_xlfn.XLOOKUP($A247,Map!$A:$A,Map!D:D)</f>
        <v>Cost of sales</v>
      </c>
      <c r="I247" s="43" t="str">
        <f>_xlfn.XLOOKUP($A247,Map!$A:$A,Map!E:E)</f>
        <v>Direct Labor</v>
      </c>
      <c r="J247" s="43" t="str">
        <f>_xlfn.XLOOKUP($A247,Map!$A:$A,Map!F:F)</f>
        <v>Salaries and wages</v>
      </c>
    </row>
    <row r="248" spans="1:10" x14ac:dyDescent="0.25">
      <c r="A248">
        <v>510004</v>
      </c>
      <c r="B248" t="s">
        <v>1347</v>
      </c>
      <c r="D248" s="116">
        <v>0</v>
      </c>
      <c r="E248" s="116">
        <v>439919.3</v>
      </c>
      <c r="F248" s="116">
        <f t="shared" si="0"/>
        <v>-439919.3</v>
      </c>
      <c r="G248" s="43" t="str">
        <f>_xlfn.XLOOKUP($A248,Map!$A:$A,Map!C:C)</f>
        <v>IS</v>
      </c>
      <c r="H248" s="43" t="str">
        <f>_xlfn.XLOOKUP($A248,Map!$A:$A,Map!D:D)</f>
        <v>Cost of sales</v>
      </c>
      <c r="I248" s="43" t="str">
        <f>_xlfn.XLOOKUP($A248,Map!$A:$A,Map!E:E)</f>
        <v>Raw materials</v>
      </c>
      <c r="J248" s="43" t="str">
        <f>_xlfn.XLOOKUP($A248,Map!$A:$A,Map!F:F)</f>
        <v>Other expenses</v>
      </c>
    </row>
    <row r="249" spans="1:10" x14ac:dyDescent="0.25">
      <c r="A249">
        <v>510004</v>
      </c>
      <c r="B249" t="s">
        <v>1347</v>
      </c>
      <c r="D249" s="116">
        <v>0</v>
      </c>
      <c r="E249" s="116">
        <v>262291.58</v>
      </c>
      <c r="F249" s="116">
        <f t="shared" si="0"/>
        <v>-262291.58</v>
      </c>
      <c r="G249" s="43" t="str">
        <f>_xlfn.XLOOKUP($A249,Map!$A:$A,Map!C:C)</f>
        <v>IS</v>
      </c>
      <c r="H249" s="43" t="str">
        <f>_xlfn.XLOOKUP($A249,Map!$A:$A,Map!D:D)</f>
        <v>Cost of sales</v>
      </c>
      <c r="I249" s="43" t="str">
        <f>_xlfn.XLOOKUP($A249,Map!$A:$A,Map!E:E)</f>
        <v>Raw materials</v>
      </c>
      <c r="J249" s="43" t="str">
        <f>_xlfn.XLOOKUP($A249,Map!$A:$A,Map!F:F)</f>
        <v>Other expenses</v>
      </c>
    </row>
    <row r="250" spans="1:10" x14ac:dyDescent="0.25">
      <c r="A250">
        <v>510004</v>
      </c>
      <c r="B250" t="s">
        <v>1347</v>
      </c>
      <c r="D250" s="116">
        <v>0</v>
      </c>
      <c r="E250" s="116">
        <v>14236.11</v>
      </c>
      <c r="F250" s="116">
        <f t="shared" si="0"/>
        <v>-14236.11</v>
      </c>
      <c r="G250" s="43" t="str">
        <f>_xlfn.XLOOKUP($A250,Map!$A:$A,Map!C:C)</f>
        <v>IS</v>
      </c>
      <c r="H250" s="43" t="str">
        <f>_xlfn.XLOOKUP($A250,Map!$A:$A,Map!D:D)</f>
        <v>Cost of sales</v>
      </c>
      <c r="I250" s="43" t="str">
        <f>_xlfn.XLOOKUP($A250,Map!$A:$A,Map!E:E)</f>
        <v>Raw materials</v>
      </c>
      <c r="J250" s="43" t="str">
        <f>_xlfn.XLOOKUP($A250,Map!$A:$A,Map!F:F)</f>
        <v>Other expenses</v>
      </c>
    </row>
    <row r="251" spans="1:10" x14ac:dyDescent="0.25">
      <c r="A251">
        <v>510004</v>
      </c>
      <c r="B251" t="s">
        <v>1347</v>
      </c>
      <c r="D251" s="116">
        <v>0</v>
      </c>
      <c r="E251" s="116">
        <v>215493.18</v>
      </c>
      <c r="F251" s="116">
        <f t="shared" si="0"/>
        <v>-215493.18</v>
      </c>
      <c r="G251" s="43" t="str">
        <f>_xlfn.XLOOKUP($A251,Map!$A:$A,Map!C:C)</f>
        <v>IS</v>
      </c>
      <c r="H251" s="43" t="str">
        <f>_xlfn.XLOOKUP($A251,Map!$A:$A,Map!D:D)</f>
        <v>Cost of sales</v>
      </c>
      <c r="I251" s="43" t="str">
        <f>_xlfn.XLOOKUP($A251,Map!$A:$A,Map!E:E)</f>
        <v>Raw materials</v>
      </c>
      <c r="J251" s="43" t="str">
        <f>_xlfn.XLOOKUP($A251,Map!$A:$A,Map!F:F)</f>
        <v>Other expenses</v>
      </c>
    </row>
    <row r="252" spans="1:10" x14ac:dyDescent="0.25">
      <c r="A252">
        <v>510004</v>
      </c>
      <c r="B252" t="s">
        <v>1347</v>
      </c>
      <c r="D252" s="116">
        <v>0</v>
      </c>
      <c r="E252" s="116">
        <v>237724.44</v>
      </c>
      <c r="F252" s="116">
        <f t="shared" si="0"/>
        <v>-237724.44</v>
      </c>
      <c r="G252" s="43" t="str">
        <f>_xlfn.XLOOKUP($A252,Map!$A:$A,Map!C:C)</f>
        <v>IS</v>
      </c>
      <c r="H252" s="43" t="str">
        <f>_xlfn.XLOOKUP($A252,Map!$A:$A,Map!D:D)</f>
        <v>Cost of sales</v>
      </c>
      <c r="I252" s="43" t="str">
        <f>_xlfn.XLOOKUP($A252,Map!$A:$A,Map!E:E)</f>
        <v>Raw materials</v>
      </c>
      <c r="J252" s="43" t="str">
        <f>_xlfn.XLOOKUP($A252,Map!$A:$A,Map!F:F)</f>
        <v>Other expenses</v>
      </c>
    </row>
    <row r="253" spans="1:10" x14ac:dyDescent="0.25">
      <c r="A253">
        <v>510004</v>
      </c>
      <c r="B253" t="s">
        <v>1347</v>
      </c>
      <c r="D253" s="116">
        <v>0</v>
      </c>
      <c r="E253" s="116">
        <v>34641</v>
      </c>
      <c r="F253" s="116">
        <f t="shared" si="0"/>
        <v>-34641</v>
      </c>
      <c r="G253" s="43" t="str">
        <f>_xlfn.XLOOKUP($A253,Map!$A:$A,Map!C:C)</f>
        <v>IS</v>
      </c>
      <c r="H253" s="43" t="str">
        <f>_xlfn.XLOOKUP($A253,Map!$A:$A,Map!D:D)</f>
        <v>Cost of sales</v>
      </c>
      <c r="I253" s="43" t="str">
        <f>_xlfn.XLOOKUP($A253,Map!$A:$A,Map!E:E)</f>
        <v>Raw materials</v>
      </c>
      <c r="J253" s="43" t="str">
        <f>_xlfn.XLOOKUP($A253,Map!$A:$A,Map!F:F)</f>
        <v>Other expenses</v>
      </c>
    </row>
    <row r="254" spans="1:10" x14ac:dyDescent="0.25">
      <c r="A254">
        <v>510004</v>
      </c>
      <c r="B254" t="s">
        <v>1347</v>
      </c>
      <c r="D254" s="116">
        <v>0</v>
      </c>
      <c r="E254" s="116">
        <v>3350.28</v>
      </c>
      <c r="F254" s="116">
        <f t="shared" si="0"/>
        <v>-3350.28</v>
      </c>
      <c r="G254" s="43" t="str">
        <f>_xlfn.XLOOKUP($A254,Map!$A:$A,Map!C:C)</f>
        <v>IS</v>
      </c>
      <c r="H254" s="43" t="str">
        <f>_xlfn.XLOOKUP($A254,Map!$A:$A,Map!D:D)</f>
        <v>Cost of sales</v>
      </c>
      <c r="I254" s="43" t="str">
        <f>_xlfn.XLOOKUP($A254,Map!$A:$A,Map!E:E)</f>
        <v>Raw materials</v>
      </c>
      <c r="J254" s="43" t="str">
        <f>_xlfn.XLOOKUP($A254,Map!$A:$A,Map!F:F)</f>
        <v>Other expenses</v>
      </c>
    </row>
    <row r="255" spans="1:10" x14ac:dyDescent="0.25">
      <c r="A255">
        <v>510004</v>
      </c>
      <c r="B255" t="s">
        <v>1347</v>
      </c>
      <c r="D255" s="116">
        <v>0</v>
      </c>
      <c r="E255" s="116">
        <v>116611.33</v>
      </c>
      <c r="F255" s="116">
        <f t="shared" si="0"/>
        <v>-116611.33</v>
      </c>
      <c r="G255" s="43" t="str">
        <f>_xlfn.XLOOKUP($A255,Map!$A:$A,Map!C:C)</f>
        <v>IS</v>
      </c>
      <c r="H255" s="43" t="str">
        <f>_xlfn.XLOOKUP($A255,Map!$A:$A,Map!D:D)</f>
        <v>Cost of sales</v>
      </c>
      <c r="I255" s="43" t="str">
        <f>_xlfn.XLOOKUP($A255,Map!$A:$A,Map!E:E)</f>
        <v>Raw materials</v>
      </c>
      <c r="J255" s="43" t="str">
        <f>_xlfn.XLOOKUP($A255,Map!$A:$A,Map!F:F)</f>
        <v>Other expenses</v>
      </c>
    </row>
    <row r="256" spans="1:10" x14ac:dyDescent="0.25">
      <c r="A256">
        <v>510004</v>
      </c>
      <c r="B256" t="s">
        <v>1347</v>
      </c>
      <c r="D256" s="116">
        <v>0</v>
      </c>
      <c r="E256" s="116">
        <v>496129.26</v>
      </c>
      <c r="F256" s="116">
        <f t="shared" si="0"/>
        <v>-496129.26</v>
      </c>
      <c r="G256" s="43" t="str">
        <f>_xlfn.XLOOKUP($A256,Map!$A:$A,Map!C:C)</f>
        <v>IS</v>
      </c>
      <c r="H256" s="43" t="str">
        <f>_xlfn.XLOOKUP($A256,Map!$A:$A,Map!D:D)</f>
        <v>Cost of sales</v>
      </c>
      <c r="I256" s="43" t="str">
        <f>_xlfn.XLOOKUP($A256,Map!$A:$A,Map!E:E)</f>
        <v>Raw materials</v>
      </c>
      <c r="J256" s="43" t="str">
        <f>_xlfn.XLOOKUP($A256,Map!$A:$A,Map!F:F)</f>
        <v>Other expenses</v>
      </c>
    </row>
    <row r="257" spans="1:10" x14ac:dyDescent="0.25">
      <c r="A257">
        <v>510004</v>
      </c>
      <c r="B257" t="s">
        <v>1347</v>
      </c>
      <c r="D257" s="116">
        <v>0</v>
      </c>
      <c r="E257" s="116">
        <v>70445.179999999993</v>
      </c>
      <c r="F257" s="116">
        <f t="shared" si="0"/>
        <v>-70445.179999999993</v>
      </c>
      <c r="G257" s="43" t="str">
        <f>_xlfn.XLOOKUP($A257,Map!$A:$A,Map!C:C)</f>
        <v>IS</v>
      </c>
      <c r="H257" s="43" t="str">
        <f>_xlfn.XLOOKUP($A257,Map!$A:$A,Map!D:D)</f>
        <v>Cost of sales</v>
      </c>
      <c r="I257" s="43" t="str">
        <f>_xlfn.XLOOKUP($A257,Map!$A:$A,Map!E:E)</f>
        <v>Raw materials</v>
      </c>
      <c r="J257" s="43" t="str">
        <f>_xlfn.XLOOKUP($A257,Map!$A:$A,Map!F:F)</f>
        <v>Other expenses</v>
      </c>
    </row>
    <row r="258" spans="1:10" x14ac:dyDescent="0.25">
      <c r="A258">
        <v>510004</v>
      </c>
      <c r="B258" t="s">
        <v>1347</v>
      </c>
      <c r="D258" s="116">
        <v>0</v>
      </c>
      <c r="E258" s="116">
        <v>19178.16</v>
      </c>
      <c r="F258" s="116">
        <f t="shared" si="0"/>
        <v>-19178.16</v>
      </c>
      <c r="G258" s="43" t="str">
        <f>_xlfn.XLOOKUP($A258,Map!$A:$A,Map!C:C)</f>
        <v>IS</v>
      </c>
      <c r="H258" s="43" t="str">
        <f>_xlfn.XLOOKUP($A258,Map!$A:$A,Map!D:D)</f>
        <v>Cost of sales</v>
      </c>
      <c r="I258" s="43" t="str">
        <f>_xlfn.XLOOKUP($A258,Map!$A:$A,Map!E:E)</f>
        <v>Raw materials</v>
      </c>
      <c r="J258" s="43" t="str">
        <f>_xlfn.XLOOKUP($A258,Map!$A:$A,Map!F:F)</f>
        <v>Other expenses</v>
      </c>
    </row>
    <row r="259" spans="1:10" x14ac:dyDescent="0.25">
      <c r="A259">
        <v>510002</v>
      </c>
      <c r="B259" t="s">
        <v>1347</v>
      </c>
      <c r="D259" s="116">
        <v>0</v>
      </c>
      <c r="E259" s="116">
        <v>7000</v>
      </c>
      <c r="F259" s="116">
        <f t="shared" si="0"/>
        <v>-7000</v>
      </c>
      <c r="G259" s="43" t="str">
        <f>_xlfn.XLOOKUP($A259,Map!$A:$A,Map!C:C)</f>
        <v>IS</v>
      </c>
      <c r="H259" s="43" t="str">
        <f>_xlfn.XLOOKUP($A259,Map!$A:$A,Map!D:D)</f>
        <v>Cost of sales</v>
      </c>
      <c r="I259" s="43" t="str">
        <f>_xlfn.XLOOKUP($A259,Map!$A:$A,Map!E:E)</f>
        <v>Direct Labor</v>
      </c>
      <c r="J259" s="43" t="str">
        <f>_xlfn.XLOOKUP($A259,Map!$A:$A,Map!F:F)</f>
        <v>Direct Labor</v>
      </c>
    </row>
    <row r="260" spans="1:10" x14ac:dyDescent="0.25">
      <c r="A260">
        <v>510002</v>
      </c>
      <c r="B260" t="s">
        <v>1347</v>
      </c>
      <c r="D260" s="116">
        <v>0</v>
      </c>
      <c r="E260" s="116">
        <v>321753</v>
      </c>
      <c r="F260" s="116">
        <f t="shared" si="0"/>
        <v>-321753</v>
      </c>
      <c r="G260" s="43" t="str">
        <f>_xlfn.XLOOKUP($A260,Map!$A:$A,Map!C:C)</f>
        <v>IS</v>
      </c>
      <c r="H260" s="43" t="str">
        <f>_xlfn.XLOOKUP($A260,Map!$A:$A,Map!D:D)</f>
        <v>Cost of sales</v>
      </c>
      <c r="I260" s="43" t="str">
        <f>_xlfn.XLOOKUP($A260,Map!$A:$A,Map!E:E)</f>
        <v>Direct Labor</v>
      </c>
      <c r="J260" s="43" t="str">
        <f>_xlfn.XLOOKUP($A260,Map!$A:$A,Map!F:F)</f>
        <v>Direct Labor</v>
      </c>
    </row>
    <row r="261" spans="1:10" x14ac:dyDescent="0.25">
      <c r="A261">
        <v>510002</v>
      </c>
      <c r="B261" t="s">
        <v>1347</v>
      </c>
      <c r="D261" s="116">
        <v>0</v>
      </c>
      <c r="E261" s="116">
        <v>67128</v>
      </c>
      <c r="F261" s="116">
        <f t="shared" si="0"/>
        <v>-67128</v>
      </c>
      <c r="G261" s="43" t="str">
        <f>_xlfn.XLOOKUP($A261,Map!$A:$A,Map!C:C)</f>
        <v>IS</v>
      </c>
      <c r="H261" s="43" t="str">
        <f>_xlfn.XLOOKUP($A261,Map!$A:$A,Map!D:D)</f>
        <v>Cost of sales</v>
      </c>
      <c r="I261" s="43" t="str">
        <f>_xlfn.XLOOKUP($A261,Map!$A:$A,Map!E:E)</f>
        <v>Direct Labor</v>
      </c>
      <c r="J261" s="43" t="str">
        <f>_xlfn.XLOOKUP($A261,Map!$A:$A,Map!F:F)</f>
        <v>Direct Labor</v>
      </c>
    </row>
    <row r="262" spans="1:10" x14ac:dyDescent="0.25">
      <c r="A262">
        <v>510002</v>
      </c>
      <c r="B262" t="s">
        <v>1347</v>
      </c>
      <c r="D262" s="116">
        <v>0</v>
      </c>
      <c r="E262" s="116">
        <v>4476</v>
      </c>
      <c r="F262" s="116">
        <f t="shared" si="0"/>
        <v>-4476</v>
      </c>
      <c r="G262" s="43" t="str">
        <f>_xlfn.XLOOKUP($A262,Map!$A:$A,Map!C:C)</f>
        <v>IS</v>
      </c>
      <c r="H262" s="43" t="str">
        <f>_xlfn.XLOOKUP($A262,Map!$A:$A,Map!D:D)</f>
        <v>Cost of sales</v>
      </c>
      <c r="I262" s="43" t="str">
        <f>_xlfn.XLOOKUP($A262,Map!$A:$A,Map!E:E)</f>
        <v>Direct Labor</v>
      </c>
      <c r="J262" s="43" t="str">
        <f>_xlfn.XLOOKUP($A262,Map!$A:$A,Map!F:F)</f>
        <v>Direct Labor</v>
      </c>
    </row>
    <row r="263" spans="1:10" x14ac:dyDescent="0.25">
      <c r="A263">
        <v>510002</v>
      </c>
      <c r="B263" t="s">
        <v>1347</v>
      </c>
      <c r="D263" s="116">
        <v>0</v>
      </c>
      <c r="E263" s="116">
        <v>66764</v>
      </c>
      <c r="F263" s="116">
        <f t="shared" si="0"/>
        <v>-66764</v>
      </c>
      <c r="G263" s="43" t="str">
        <f>_xlfn.XLOOKUP($A263,Map!$A:$A,Map!C:C)</f>
        <v>IS</v>
      </c>
      <c r="H263" s="43" t="str">
        <f>_xlfn.XLOOKUP($A263,Map!$A:$A,Map!D:D)</f>
        <v>Cost of sales</v>
      </c>
      <c r="I263" s="43" t="str">
        <f>_xlfn.XLOOKUP($A263,Map!$A:$A,Map!E:E)</f>
        <v>Direct Labor</v>
      </c>
      <c r="J263" s="43" t="str">
        <f>_xlfn.XLOOKUP($A263,Map!$A:$A,Map!F:F)</f>
        <v>Direct Labor</v>
      </c>
    </row>
    <row r="264" spans="1:10" x14ac:dyDescent="0.25">
      <c r="A264">
        <v>510002</v>
      </c>
      <c r="B264" t="s">
        <v>1347</v>
      </c>
      <c r="D264" s="116">
        <v>0</v>
      </c>
      <c r="E264" s="116">
        <v>23315</v>
      </c>
      <c r="F264" s="116">
        <f t="shared" si="0"/>
        <v>-23315</v>
      </c>
      <c r="G264" s="43" t="str">
        <f>_xlfn.XLOOKUP($A264,Map!$A:$A,Map!C:C)</f>
        <v>IS</v>
      </c>
      <c r="H264" s="43" t="str">
        <f>_xlfn.XLOOKUP($A264,Map!$A:$A,Map!D:D)</f>
        <v>Cost of sales</v>
      </c>
      <c r="I264" s="43" t="str">
        <f>_xlfn.XLOOKUP($A264,Map!$A:$A,Map!E:E)</f>
        <v>Direct Labor</v>
      </c>
      <c r="J264" s="43" t="str">
        <f>_xlfn.XLOOKUP($A264,Map!$A:$A,Map!F:F)</f>
        <v>Direct Labor</v>
      </c>
    </row>
    <row r="265" spans="1:10" x14ac:dyDescent="0.25">
      <c r="A265">
        <v>510002</v>
      </c>
      <c r="B265" t="s">
        <v>1347</v>
      </c>
      <c r="D265" s="116">
        <v>0</v>
      </c>
      <c r="E265" s="116">
        <v>3448</v>
      </c>
      <c r="F265" s="116">
        <f t="shared" si="0"/>
        <v>-3448</v>
      </c>
      <c r="G265" s="43" t="str">
        <f>_xlfn.XLOOKUP($A265,Map!$A:$A,Map!C:C)</f>
        <v>IS</v>
      </c>
      <c r="H265" s="43" t="str">
        <f>_xlfn.XLOOKUP($A265,Map!$A:$A,Map!D:D)</f>
        <v>Cost of sales</v>
      </c>
      <c r="I265" s="43" t="str">
        <f>_xlfn.XLOOKUP($A265,Map!$A:$A,Map!E:E)</f>
        <v>Direct Labor</v>
      </c>
      <c r="J265" s="43" t="str">
        <f>_xlfn.XLOOKUP($A265,Map!$A:$A,Map!F:F)</f>
        <v>Direct Labor</v>
      </c>
    </row>
    <row r="266" spans="1:10" x14ac:dyDescent="0.25">
      <c r="A266">
        <v>510002</v>
      </c>
      <c r="B266" t="s">
        <v>1347</v>
      </c>
      <c r="D266" s="116">
        <v>0</v>
      </c>
      <c r="E266" s="116">
        <v>46798</v>
      </c>
      <c r="F266" s="116">
        <f t="shared" si="0"/>
        <v>-46798</v>
      </c>
      <c r="G266" s="43" t="str">
        <f>_xlfn.XLOOKUP($A266,Map!$A:$A,Map!C:C)</f>
        <v>IS</v>
      </c>
      <c r="H266" s="43" t="str">
        <f>_xlfn.XLOOKUP($A266,Map!$A:$A,Map!D:D)</f>
        <v>Cost of sales</v>
      </c>
      <c r="I266" s="43" t="str">
        <f>_xlfn.XLOOKUP($A266,Map!$A:$A,Map!E:E)</f>
        <v>Direct Labor</v>
      </c>
      <c r="J266" s="43" t="str">
        <f>_xlfn.XLOOKUP($A266,Map!$A:$A,Map!F:F)</f>
        <v>Direct Labor</v>
      </c>
    </row>
    <row r="267" spans="1:10" x14ac:dyDescent="0.25">
      <c r="A267">
        <v>510002</v>
      </c>
      <c r="B267" t="s">
        <v>1347</v>
      </c>
      <c r="D267" s="116">
        <v>0</v>
      </c>
      <c r="E267" s="116">
        <v>2920</v>
      </c>
      <c r="F267" s="116">
        <f t="shared" si="0"/>
        <v>-2920</v>
      </c>
      <c r="G267" s="43" t="str">
        <f>_xlfn.XLOOKUP($A267,Map!$A:$A,Map!C:C)</f>
        <v>IS</v>
      </c>
      <c r="H267" s="43" t="str">
        <f>_xlfn.XLOOKUP($A267,Map!$A:$A,Map!D:D)</f>
        <v>Cost of sales</v>
      </c>
      <c r="I267" s="43" t="str">
        <f>_xlfn.XLOOKUP($A267,Map!$A:$A,Map!E:E)</f>
        <v>Direct Labor</v>
      </c>
      <c r="J267" s="43" t="str">
        <f>_xlfn.XLOOKUP($A267,Map!$A:$A,Map!F:F)</f>
        <v>Direct Labor</v>
      </c>
    </row>
    <row r="268" spans="1:10" x14ac:dyDescent="0.25">
      <c r="A268">
        <v>600031</v>
      </c>
      <c r="B268" t="s">
        <v>1348</v>
      </c>
      <c r="D268" s="116">
        <v>613.33299999999997</v>
      </c>
      <c r="E268" s="116">
        <v>0</v>
      </c>
      <c r="F268" s="116">
        <f t="shared" si="0"/>
        <v>613.33299999999997</v>
      </c>
      <c r="G268" s="43" t="str">
        <f>_xlfn.XLOOKUP($A268,Map!$A:$A,Map!C:C)</f>
        <v>IS</v>
      </c>
      <c r="H268" s="43" t="str">
        <f>_xlfn.XLOOKUP($A268,Map!$A:$A,Map!D:D)</f>
        <v>Depreciation expenses</v>
      </c>
      <c r="I268" s="43" t="str">
        <f>_xlfn.XLOOKUP($A268,Map!$A:$A,Map!E:E)</f>
        <v>Depreciation expenses</v>
      </c>
      <c r="J268" s="43" t="str">
        <f>_xlfn.XLOOKUP($A268,Map!$A:$A,Map!F:F)</f>
        <v>Depreciation of property, plant and equipment</v>
      </c>
    </row>
    <row r="269" spans="1:10" x14ac:dyDescent="0.25">
      <c r="A269">
        <v>600030</v>
      </c>
      <c r="B269" t="s">
        <v>1348</v>
      </c>
      <c r="D269" s="116">
        <v>900.5</v>
      </c>
      <c r="E269" s="116">
        <v>0</v>
      </c>
      <c r="F269" s="116">
        <f t="shared" ref="F269:F332" si="1">D269-E269</f>
        <v>900.5</v>
      </c>
      <c r="G269" s="43" t="str">
        <f>_xlfn.XLOOKUP($A269,Map!$A:$A,Map!C:C)</f>
        <v>IS</v>
      </c>
      <c r="H269" s="43" t="str">
        <f>_xlfn.XLOOKUP($A269,Map!$A:$A,Map!D:D)</f>
        <v>Depreciation expenses</v>
      </c>
      <c r="I269" s="43" t="str">
        <f>_xlfn.XLOOKUP($A269,Map!$A:$A,Map!E:E)</f>
        <v>Depreciation expenses</v>
      </c>
      <c r="J269" s="43" t="str">
        <f>_xlfn.XLOOKUP($A269,Map!$A:$A,Map!F:F)</f>
        <v>Depreciation of property, plant and equipment</v>
      </c>
    </row>
    <row r="270" spans="1:10" x14ac:dyDescent="0.25">
      <c r="A270">
        <v>600029</v>
      </c>
      <c r="B270" t="s">
        <v>1348</v>
      </c>
      <c r="D270" s="116">
        <v>285446.89</v>
      </c>
      <c r="E270" s="116">
        <v>0</v>
      </c>
      <c r="F270" s="116">
        <f t="shared" si="1"/>
        <v>285446.89</v>
      </c>
      <c r="G270" s="43" t="str">
        <f>_xlfn.XLOOKUP($A270,Map!$A:$A,Map!C:C)</f>
        <v>IS</v>
      </c>
      <c r="H270" s="43" t="str">
        <f>_xlfn.XLOOKUP($A270,Map!$A:$A,Map!D:D)</f>
        <v>Cost of sales</v>
      </c>
      <c r="I270" s="43" t="str">
        <f>_xlfn.XLOOKUP($A270,Map!$A:$A,Map!E:E)</f>
        <v>Depreciation - Machines</v>
      </c>
      <c r="J270" s="43" t="str">
        <f>_xlfn.XLOOKUP($A270,Map!$A:$A,Map!F:F)</f>
        <v>Depreciation of property, plant and equipment</v>
      </c>
    </row>
    <row r="271" spans="1:10" x14ac:dyDescent="0.25">
      <c r="A271">
        <v>600028</v>
      </c>
      <c r="B271" t="s">
        <v>1348</v>
      </c>
      <c r="D271" s="116">
        <v>12415</v>
      </c>
      <c r="E271" s="116">
        <v>0</v>
      </c>
      <c r="F271" s="116">
        <f t="shared" si="1"/>
        <v>12415</v>
      </c>
      <c r="G271" s="43" t="str">
        <f>_xlfn.XLOOKUP($A271,Map!$A:$A,Map!C:C)</f>
        <v>IS</v>
      </c>
      <c r="H271" s="43" t="str">
        <f>_xlfn.XLOOKUP($A271,Map!$A:$A,Map!D:D)</f>
        <v>Cost of sales</v>
      </c>
      <c r="I271" s="43" t="str">
        <f>_xlfn.XLOOKUP($A271,Map!$A:$A,Map!E:E)</f>
        <v>Overhead - Consumables &amp; SP</v>
      </c>
      <c r="J271" s="43" t="str">
        <f>_xlfn.XLOOKUP($A271,Map!$A:$A,Map!F:F)</f>
        <v xml:space="preserve">Education &amp; Furniture Allowances </v>
      </c>
    </row>
    <row r="272" spans="1:10" x14ac:dyDescent="0.25">
      <c r="A272">
        <v>600027</v>
      </c>
      <c r="B272" t="s">
        <v>1348</v>
      </c>
      <c r="D272" s="116">
        <v>51333.34</v>
      </c>
      <c r="E272" s="116">
        <v>0</v>
      </c>
      <c r="F272" s="116">
        <f t="shared" si="1"/>
        <v>51333.34</v>
      </c>
      <c r="G272" s="43" t="str">
        <f>_xlfn.XLOOKUP($A272,Map!$A:$A,Map!C:C)</f>
        <v>IS</v>
      </c>
      <c r="H272" s="43" t="str">
        <f>_xlfn.XLOOKUP($A272,Map!$A:$A,Map!D:D)</f>
        <v>Cost of sales</v>
      </c>
      <c r="I272" s="43" t="str">
        <f>_xlfn.XLOOKUP($A272,Map!$A:$A,Map!E:E)</f>
        <v>Overhead - Rent</v>
      </c>
      <c r="J272" s="43" t="str">
        <f>_xlfn.XLOOKUP($A272,Map!$A:$A,Map!F:F)</f>
        <v>Production hall rental</v>
      </c>
    </row>
    <row r="273" spans="1:10" x14ac:dyDescent="0.25">
      <c r="A273">
        <v>600024</v>
      </c>
      <c r="B273" t="s">
        <v>1348</v>
      </c>
      <c r="D273" s="116">
        <v>325</v>
      </c>
      <c r="E273" s="116">
        <v>0</v>
      </c>
      <c r="F273" s="116">
        <f t="shared" si="1"/>
        <v>325</v>
      </c>
      <c r="G273" s="43" t="str">
        <f>_xlfn.XLOOKUP($A273,Map!$A:$A,Map!C:C)</f>
        <v>IS</v>
      </c>
      <c r="H273" s="43" t="str">
        <f>_xlfn.XLOOKUP($A273,Map!$A:$A,Map!D:D)</f>
        <v>Cost of sales</v>
      </c>
      <c r="I273" s="43" t="str">
        <f>_xlfn.XLOOKUP($A273,Map!$A:$A,Map!E:E)</f>
        <v>Overhead - Rent</v>
      </c>
      <c r="J273" s="43" t="str">
        <f>_xlfn.XLOOKUP($A273,Map!$A:$A,Map!F:F)</f>
        <v>Pump rental expenses</v>
      </c>
    </row>
    <row r="274" spans="1:10" x14ac:dyDescent="0.25">
      <c r="A274">
        <v>600024</v>
      </c>
      <c r="B274" t="s">
        <v>1348</v>
      </c>
      <c r="D274" s="116">
        <v>28673.69</v>
      </c>
      <c r="E274" s="116">
        <v>0</v>
      </c>
      <c r="F274" s="116">
        <f t="shared" si="1"/>
        <v>28673.69</v>
      </c>
      <c r="G274" s="43" t="str">
        <f>_xlfn.XLOOKUP($A274,Map!$A:$A,Map!C:C)</f>
        <v>IS</v>
      </c>
      <c r="H274" s="43" t="str">
        <f>_xlfn.XLOOKUP($A274,Map!$A:$A,Map!D:D)</f>
        <v>Cost of sales</v>
      </c>
      <c r="I274" s="43" t="str">
        <f>_xlfn.XLOOKUP($A274,Map!$A:$A,Map!E:E)</f>
        <v>Overhead - Rent</v>
      </c>
      <c r="J274" s="43" t="str">
        <f>_xlfn.XLOOKUP($A274,Map!$A:$A,Map!F:F)</f>
        <v>Pump rental expenses</v>
      </c>
    </row>
    <row r="275" spans="1:10" x14ac:dyDescent="0.25">
      <c r="A275">
        <v>600023</v>
      </c>
      <c r="B275" t="s">
        <v>1348</v>
      </c>
      <c r="D275" s="116">
        <v>2100</v>
      </c>
      <c r="E275" s="116">
        <v>0</v>
      </c>
      <c r="F275" s="116">
        <f t="shared" si="1"/>
        <v>2100</v>
      </c>
      <c r="G275" s="43" t="str">
        <f>_xlfn.XLOOKUP($A275,Map!$A:$A,Map!C:C)</f>
        <v>IS</v>
      </c>
      <c r="H275" s="43" t="str">
        <f>_xlfn.XLOOKUP($A275,Map!$A:$A,Map!D:D)</f>
        <v>Cost of sales</v>
      </c>
      <c r="I275" s="43" t="str">
        <f>_xlfn.XLOOKUP($A275,Map!$A:$A,Map!E:E)</f>
        <v>Overhead - R&amp;M</v>
      </c>
      <c r="J275" s="43" t="str">
        <f>_xlfn.XLOOKUP($A275,Map!$A:$A,Map!F:F)</f>
        <v>Office equipment maintenance</v>
      </c>
    </row>
    <row r="276" spans="1:10" x14ac:dyDescent="0.25">
      <c r="A276">
        <v>600019</v>
      </c>
      <c r="B276" t="s">
        <v>1348</v>
      </c>
      <c r="D276" s="116">
        <v>10050</v>
      </c>
      <c r="E276" s="116">
        <v>0</v>
      </c>
      <c r="F276" s="116">
        <f t="shared" si="1"/>
        <v>10050</v>
      </c>
      <c r="G276" s="43" t="str">
        <f>_xlfn.XLOOKUP($A276,Map!$A:$A,Map!C:C)</f>
        <v>IS</v>
      </c>
      <c r="H276" s="43" t="str">
        <f>_xlfn.XLOOKUP($A276,Map!$A:$A,Map!D:D)</f>
        <v>Cost of sales</v>
      </c>
      <c r="I276" s="43" t="str">
        <f>_xlfn.XLOOKUP($A276,Map!$A:$A,Map!E:E)</f>
        <v>Overhead - Utility</v>
      </c>
      <c r="J276" s="43" t="str">
        <f>_xlfn.XLOOKUP($A276,Map!$A:$A,Map!F:F)</f>
        <v>Fuel and oil</v>
      </c>
    </row>
    <row r="277" spans="1:10" x14ac:dyDescent="0.25">
      <c r="A277">
        <v>600018</v>
      </c>
      <c r="B277" t="s">
        <v>1348</v>
      </c>
      <c r="D277" s="116">
        <v>4970</v>
      </c>
      <c r="E277" s="116">
        <v>0</v>
      </c>
      <c r="F277" s="116">
        <f t="shared" si="1"/>
        <v>4970</v>
      </c>
      <c r="G277" s="43" t="str">
        <f>_xlfn.XLOOKUP($A277,Map!$A:$A,Map!C:C)</f>
        <v>IS</v>
      </c>
      <c r="H277" s="43" t="str">
        <f>_xlfn.XLOOKUP($A277,Map!$A:$A,Map!D:D)</f>
        <v>Cost of sales</v>
      </c>
      <c r="I277" s="43" t="str">
        <f>_xlfn.XLOOKUP($A277,Map!$A:$A,Map!E:E)</f>
        <v>Overhead - Utility</v>
      </c>
      <c r="J277" s="43" t="str">
        <f>_xlfn.XLOOKUP($A277,Map!$A:$A,Map!F:F)</f>
        <v>Water expenses</v>
      </c>
    </row>
    <row r="278" spans="1:10" x14ac:dyDescent="0.25">
      <c r="A278">
        <v>600017</v>
      </c>
      <c r="B278" t="s">
        <v>1348</v>
      </c>
      <c r="D278" s="116">
        <v>177241.5</v>
      </c>
      <c r="E278" s="116">
        <v>0</v>
      </c>
      <c r="F278" s="116">
        <f t="shared" si="1"/>
        <v>177241.5</v>
      </c>
      <c r="G278" s="43" t="str">
        <f>_xlfn.XLOOKUP($A278,Map!$A:$A,Map!C:C)</f>
        <v>IS</v>
      </c>
      <c r="H278" s="43" t="str">
        <f>_xlfn.XLOOKUP($A278,Map!$A:$A,Map!D:D)</f>
        <v>Cost of sales</v>
      </c>
      <c r="I278" s="43" t="str">
        <f>_xlfn.XLOOKUP($A278,Map!$A:$A,Map!E:E)</f>
        <v>Overhead - Utility</v>
      </c>
      <c r="J278" s="43" t="str">
        <f>_xlfn.XLOOKUP($A278,Map!$A:$A,Map!F:F)</f>
        <v>Electricity expenses</v>
      </c>
    </row>
    <row r="279" spans="1:10" x14ac:dyDescent="0.25">
      <c r="A279">
        <v>600016</v>
      </c>
      <c r="B279" t="s">
        <v>1348</v>
      </c>
      <c r="D279" s="116">
        <v>60434.438000000002</v>
      </c>
      <c r="E279" s="116">
        <v>0</v>
      </c>
      <c r="F279" s="116">
        <f t="shared" si="1"/>
        <v>60434.438000000002</v>
      </c>
      <c r="G279" s="43" t="str">
        <f>_xlfn.XLOOKUP($A279,Map!$A:$A,Map!C:C)</f>
        <v>IS</v>
      </c>
      <c r="H279" s="43" t="str">
        <f>_xlfn.XLOOKUP($A279,Map!$A:$A,Map!D:D)</f>
        <v>Cost of sales</v>
      </c>
      <c r="I279" s="43" t="str">
        <f>_xlfn.XLOOKUP($A279,Map!$A:$A,Map!E:E)</f>
        <v>Overhead - Consumables &amp; SP</v>
      </c>
      <c r="J279" s="43" t="str">
        <f>_xlfn.XLOOKUP($A279,Map!$A:$A,Map!F:F)</f>
        <v>Tools</v>
      </c>
    </row>
    <row r="280" spans="1:10" x14ac:dyDescent="0.25">
      <c r="A280">
        <v>600016</v>
      </c>
      <c r="B280" t="s">
        <v>1348</v>
      </c>
      <c r="D280" s="116">
        <v>60434.438000000002</v>
      </c>
      <c r="E280" s="116">
        <v>0</v>
      </c>
      <c r="F280" s="116">
        <f t="shared" si="1"/>
        <v>60434.438000000002</v>
      </c>
      <c r="G280" s="43" t="str">
        <f>_xlfn.XLOOKUP($A280,Map!$A:$A,Map!C:C)</f>
        <v>IS</v>
      </c>
      <c r="H280" s="43" t="str">
        <f>_xlfn.XLOOKUP($A280,Map!$A:$A,Map!D:D)</f>
        <v>Cost of sales</v>
      </c>
      <c r="I280" s="43" t="str">
        <f>_xlfn.XLOOKUP($A280,Map!$A:$A,Map!E:E)</f>
        <v>Overhead - Consumables &amp; SP</v>
      </c>
      <c r="J280" s="43" t="str">
        <f>_xlfn.XLOOKUP($A280,Map!$A:$A,Map!F:F)</f>
        <v>Tools</v>
      </c>
    </row>
    <row r="281" spans="1:10" x14ac:dyDescent="0.25">
      <c r="A281">
        <v>600016</v>
      </c>
      <c r="B281" t="s">
        <v>1348</v>
      </c>
      <c r="D281" s="116">
        <v>20144.812000000002</v>
      </c>
      <c r="E281" s="116">
        <v>0</v>
      </c>
      <c r="F281" s="116">
        <f t="shared" si="1"/>
        <v>20144.812000000002</v>
      </c>
      <c r="G281" s="43" t="str">
        <f>_xlfn.XLOOKUP($A281,Map!$A:$A,Map!C:C)</f>
        <v>IS</v>
      </c>
      <c r="H281" s="43" t="str">
        <f>_xlfn.XLOOKUP($A281,Map!$A:$A,Map!D:D)</f>
        <v>Cost of sales</v>
      </c>
      <c r="I281" s="43" t="str">
        <f>_xlfn.XLOOKUP($A281,Map!$A:$A,Map!E:E)</f>
        <v>Overhead - Consumables &amp; SP</v>
      </c>
      <c r="J281" s="43" t="str">
        <f>_xlfn.XLOOKUP($A281,Map!$A:$A,Map!F:F)</f>
        <v>Tools</v>
      </c>
    </row>
    <row r="282" spans="1:10" x14ac:dyDescent="0.25">
      <c r="A282">
        <v>600016</v>
      </c>
      <c r="B282" t="s">
        <v>1348</v>
      </c>
      <c r="D282" s="116">
        <v>20144.812000000002</v>
      </c>
      <c r="E282" s="116">
        <v>0</v>
      </c>
      <c r="F282" s="116">
        <f t="shared" si="1"/>
        <v>20144.812000000002</v>
      </c>
      <c r="G282" s="43" t="str">
        <f>_xlfn.XLOOKUP($A282,Map!$A:$A,Map!C:C)</f>
        <v>IS</v>
      </c>
      <c r="H282" s="43" t="str">
        <f>_xlfn.XLOOKUP($A282,Map!$A:$A,Map!D:D)</f>
        <v>Cost of sales</v>
      </c>
      <c r="I282" s="43" t="str">
        <f>_xlfn.XLOOKUP($A282,Map!$A:$A,Map!E:E)</f>
        <v>Overhead - Consumables &amp; SP</v>
      </c>
      <c r="J282" s="43" t="str">
        <f>_xlfn.XLOOKUP($A282,Map!$A:$A,Map!F:F)</f>
        <v>Tools</v>
      </c>
    </row>
    <row r="283" spans="1:10" x14ac:dyDescent="0.25">
      <c r="A283">
        <v>600016</v>
      </c>
      <c r="B283" t="s">
        <v>1348</v>
      </c>
      <c r="D283" s="116">
        <v>1166</v>
      </c>
      <c r="E283" s="116">
        <v>0</v>
      </c>
      <c r="F283" s="116">
        <f t="shared" si="1"/>
        <v>1166</v>
      </c>
      <c r="G283" s="43" t="str">
        <f>_xlfn.XLOOKUP($A283,Map!$A:$A,Map!C:C)</f>
        <v>IS</v>
      </c>
      <c r="H283" s="43" t="str">
        <f>_xlfn.XLOOKUP($A283,Map!$A:$A,Map!D:D)</f>
        <v>Cost of sales</v>
      </c>
      <c r="I283" s="43" t="str">
        <f>_xlfn.XLOOKUP($A283,Map!$A:$A,Map!E:E)</f>
        <v>Overhead - Consumables &amp; SP</v>
      </c>
      <c r="J283" s="43" t="str">
        <f>_xlfn.XLOOKUP($A283,Map!$A:$A,Map!F:F)</f>
        <v>Tools</v>
      </c>
    </row>
    <row r="284" spans="1:10" x14ac:dyDescent="0.25">
      <c r="A284">
        <v>600015</v>
      </c>
      <c r="B284" t="s">
        <v>1348</v>
      </c>
      <c r="D284" s="116">
        <v>125006.001</v>
      </c>
      <c r="E284" s="116">
        <v>0</v>
      </c>
      <c r="F284" s="116">
        <f t="shared" si="1"/>
        <v>125006.001</v>
      </c>
      <c r="G284" s="43" t="str">
        <f>_xlfn.XLOOKUP($A284,Map!$A:$A,Map!C:C)</f>
        <v>IS</v>
      </c>
      <c r="H284" s="43" t="str">
        <f>_xlfn.XLOOKUP($A284,Map!$A:$A,Map!D:D)</f>
        <v>Cost of sales</v>
      </c>
      <c r="I284" s="43" t="str">
        <f>_xlfn.XLOOKUP($A284,Map!$A:$A,Map!E:E)</f>
        <v>Overhead - Consumables &amp; SP</v>
      </c>
      <c r="J284" s="43" t="str">
        <f>_xlfn.XLOOKUP($A284,Map!$A:$A,Map!F:F)</f>
        <v>Consumables</v>
      </c>
    </row>
    <row r="285" spans="1:10" x14ac:dyDescent="0.25">
      <c r="A285">
        <v>600014</v>
      </c>
      <c r="B285" t="s">
        <v>1348</v>
      </c>
      <c r="D285" s="116">
        <v>129794.69899999999</v>
      </c>
      <c r="E285" s="116">
        <v>0</v>
      </c>
      <c r="F285" s="116">
        <f t="shared" si="1"/>
        <v>129794.69899999999</v>
      </c>
      <c r="G285" s="43" t="str">
        <f>_xlfn.XLOOKUP($A285,Map!$A:$A,Map!C:C)</f>
        <v>IS</v>
      </c>
      <c r="H285" s="43" t="str">
        <f>_xlfn.XLOOKUP($A285,Map!$A:$A,Map!D:D)</f>
        <v>Cost of sales</v>
      </c>
      <c r="I285" s="43" t="str">
        <f>_xlfn.XLOOKUP($A285,Map!$A:$A,Map!E:E)</f>
        <v>Overhead - Consumables &amp; SP</v>
      </c>
      <c r="J285" s="43" t="str">
        <f>_xlfn.XLOOKUP($A285,Map!$A:$A,Map!F:F)</f>
        <v>Consumables</v>
      </c>
    </row>
    <row r="286" spans="1:10" x14ac:dyDescent="0.25">
      <c r="A286">
        <v>600011</v>
      </c>
      <c r="B286" t="s">
        <v>1348</v>
      </c>
      <c r="D286" s="116">
        <v>1000</v>
      </c>
      <c r="E286" s="116">
        <v>0</v>
      </c>
      <c r="F286" s="116">
        <f t="shared" si="1"/>
        <v>1000</v>
      </c>
      <c r="G286" s="43" t="str">
        <f>_xlfn.XLOOKUP($A286,Map!$A:$A,Map!C:C)</f>
        <v>IS</v>
      </c>
      <c r="H286" s="43" t="str">
        <f>_xlfn.XLOOKUP($A286,Map!$A:$A,Map!D:D)</f>
        <v>Cost of sales</v>
      </c>
      <c r="I286" s="43" t="str">
        <f>_xlfn.XLOOKUP($A286,Map!$A:$A,Map!E:E)</f>
        <v>Overhead - Labor Cost</v>
      </c>
      <c r="J286" s="43" t="str">
        <f>_xlfn.XLOOKUP($A286,Map!$A:$A,Map!F:F)</f>
        <v>Air tickets</v>
      </c>
    </row>
    <row r="287" spans="1:10" x14ac:dyDescent="0.25">
      <c r="A287">
        <v>600009</v>
      </c>
      <c r="B287" t="s">
        <v>1348</v>
      </c>
      <c r="D287" s="116">
        <v>15910</v>
      </c>
      <c r="E287" s="116">
        <v>0</v>
      </c>
      <c r="F287" s="116">
        <f t="shared" si="1"/>
        <v>15910</v>
      </c>
      <c r="G287" s="43" t="str">
        <f>_xlfn.XLOOKUP($A287,Map!$A:$A,Map!C:C)</f>
        <v>IS</v>
      </c>
      <c r="H287" s="43" t="str">
        <f>_xlfn.XLOOKUP($A287,Map!$A:$A,Map!D:D)</f>
        <v>Cost of sales</v>
      </c>
      <c r="I287" s="43" t="str">
        <f>_xlfn.XLOOKUP($A287,Map!$A:$A,Map!E:E)</f>
        <v>Overhead - Labor Cost</v>
      </c>
      <c r="J287" s="43" t="str">
        <f>_xlfn.XLOOKUP($A287,Map!$A:$A,Map!F:F)</f>
        <v>Vacation pay</v>
      </c>
    </row>
    <row r="288" spans="1:10" x14ac:dyDescent="0.25">
      <c r="A288">
        <v>600008</v>
      </c>
      <c r="B288" t="s">
        <v>1348</v>
      </c>
      <c r="D288" s="116">
        <v>12432</v>
      </c>
      <c r="E288" s="116">
        <v>0</v>
      </c>
      <c r="F288" s="116">
        <f t="shared" si="1"/>
        <v>12432</v>
      </c>
      <c r="G288" s="43" t="str">
        <f>_xlfn.XLOOKUP($A288,Map!$A:$A,Map!C:C)</f>
        <v>IS</v>
      </c>
      <c r="H288" s="43" t="str">
        <f>_xlfn.XLOOKUP($A288,Map!$A:$A,Map!D:D)</f>
        <v>Cost of sales</v>
      </c>
      <c r="I288" s="43" t="str">
        <f>_xlfn.XLOOKUP($A288,Map!$A:$A,Map!E:E)</f>
        <v>Overhead - Labor Cost</v>
      </c>
      <c r="J288" s="43" t="str">
        <f>_xlfn.XLOOKUP($A288,Map!$A:$A,Map!F:F)</f>
        <v>Air tickets</v>
      </c>
    </row>
    <row r="289" spans="1:10" x14ac:dyDescent="0.25">
      <c r="A289">
        <v>600006</v>
      </c>
      <c r="B289" t="s">
        <v>1348</v>
      </c>
      <c r="D289" s="116">
        <v>26077.68</v>
      </c>
      <c r="E289" s="116">
        <v>0</v>
      </c>
      <c r="F289" s="116">
        <f t="shared" si="1"/>
        <v>26077.68</v>
      </c>
      <c r="G289" s="43" t="str">
        <f>_xlfn.XLOOKUP($A289,Map!$A:$A,Map!C:C)</f>
        <v>IS</v>
      </c>
      <c r="H289" s="43" t="str">
        <f>_xlfn.XLOOKUP($A289,Map!$A:$A,Map!D:D)</f>
        <v>Cost of sales</v>
      </c>
      <c r="I289" s="43" t="str">
        <f>_xlfn.XLOOKUP($A289,Map!$A:$A,Map!E:E)</f>
        <v>Overhead - Labor Cost</v>
      </c>
      <c r="J289" s="43" t="str">
        <f>_xlfn.XLOOKUP($A289,Map!$A:$A,Map!F:F)</f>
        <v xml:space="preserve">Food &amp; Housing </v>
      </c>
    </row>
    <row r="290" spans="1:10" x14ac:dyDescent="0.25">
      <c r="A290">
        <v>600005</v>
      </c>
      <c r="B290" t="s">
        <v>1348</v>
      </c>
      <c r="D290" s="116">
        <v>65000</v>
      </c>
      <c r="E290" s="116">
        <v>0</v>
      </c>
      <c r="F290" s="116">
        <f t="shared" si="1"/>
        <v>65000</v>
      </c>
      <c r="G290" s="43" t="str">
        <f>_xlfn.XLOOKUP($A290,Map!$A:$A,Map!C:C)</f>
        <v>IS</v>
      </c>
      <c r="H290" s="43" t="str">
        <f>_xlfn.XLOOKUP($A290,Map!$A:$A,Map!D:D)</f>
        <v>General and Admin</v>
      </c>
      <c r="I290" s="43" t="str">
        <f>_xlfn.XLOOKUP($A290,Map!$A:$A,Map!E:E)</f>
        <v>Govt license and fees (including modon)</v>
      </c>
      <c r="J290" s="43" t="str">
        <f>_xlfn.XLOOKUP($A290,Map!$A:$A,Map!F:F)</f>
        <v>Government fees</v>
      </c>
    </row>
    <row r="291" spans="1:10" x14ac:dyDescent="0.25">
      <c r="A291">
        <v>600004</v>
      </c>
      <c r="B291" t="s">
        <v>1348</v>
      </c>
      <c r="D291" s="116">
        <v>7910.7</v>
      </c>
      <c r="E291" s="116">
        <v>0</v>
      </c>
      <c r="F291" s="116">
        <f t="shared" si="1"/>
        <v>7910.7</v>
      </c>
      <c r="G291" s="43" t="str">
        <f>_xlfn.XLOOKUP($A291,Map!$A:$A,Map!C:C)</f>
        <v>IS</v>
      </c>
      <c r="H291" s="43" t="str">
        <f>_xlfn.XLOOKUP($A291,Map!$A:$A,Map!D:D)</f>
        <v>Cost of sales</v>
      </c>
      <c r="I291" s="43" t="str">
        <f>_xlfn.XLOOKUP($A291,Map!$A:$A,Map!E:E)</f>
        <v>Overhead - Labor Cost</v>
      </c>
      <c r="J291" s="43" t="str">
        <f>_xlfn.XLOOKUP($A291,Map!$A:$A,Map!F:F)</f>
        <v>Medical insurance</v>
      </c>
    </row>
    <row r="292" spans="1:10" x14ac:dyDescent="0.25">
      <c r="A292">
        <v>600003</v>
      </c>
      <c r="B292" t="s">
        <v>1348</v>
      </c>
      <c r="D292" s="116">
        <v>2566</v>
      </c>
      <c r="E292" s="116">
        <v>0</v>
      </c>
      <c r="F292" s="116">
        <f t="shared" si="1"/>
        <v>2566</v>
      </c>
      <c r="G292" s="43" t="str">
        <f>_xlfn.XLOOKUP($A292,Map!$A:$A,Map!C:C)</f>
        <v>IS</v>
      </c>
      <c r="H292" s="43" t="str">
        <f>_xlfn.XLOOKUP($A292,Map!$A:$A,Map!D:D)</f>
        <v>Cost of sales</v>
      </c>
      <c r="I292" s="43" t="str">
        <f>_xlfn.XLOOKUP($A292,Map!$A:$A,Map!E:E)</f>
        <v>Overhead - Labor Cost</v>
      </c>
      <c r="J292" s="43" t="str">
        <f>_xlfn.XLOOKUP($A292,Map!$A:$A,Map!F:F)</f>
        <v xml:space="preserve">Food &amp; Housing </v>
      </c>
    </row>
    <row r="293" spans="1:10" x14ac:dyDescent="0.25">
      <c r="A293">
        <v>600002</v>
      </c>
      <c r="B293" t="s">
        <v>1348</v>
      </c>
      <c r="D293" s="116">
        <v>9053</v>
      </c>
      <c r="E293" s="116">
        <v>0</v>
      </c>
      <c r="F293" s="116">
        <f t="shared" si="1"/>
        <v>9053</v>
      </c>
      <c r="G293" s="43" t="str">
        <f>_xlfn.XLOOKUP($A293,Map!$A:$A,Map!C:C)</f>
        <v>IS</v>
      </c>
      <c r="H293" s="43" t="str">
        <f>_xlfn.XLOOKUP($A293,Map!$A:$A,Map!D:D)</f>
        <v>Cost of sales</v>
      </c>
      <c r="I293" s="43" t="str">
        <f>_xlfn.XLOOKUP($A293,Map!$A:$A,Map!E:E)</f>
        <v>Overhead - Labor Cost</v>
      </c>
      <c r="J293" s="43" t="str">
        <f>_xlfn.XLOOKUP($A293,Map!$A:$A,Map!F:F)</f>
        <v>Overtime pay</v>
      </c>
    </row>
    <row r="294" spans="1:10" x14ac:dyDescent="0.25">
      <c r="A294">
        <v>600001</v>
      </c>
      <c r="B294" t="s">
        <v>1348</v>
      </c>
      <c r="D294" s="116">
        <v>94423.998999999996</v>
      </c>
      <c r="E294" s="116">
        <v>0</v>
      </c>
      <c r="F294" s="116">
        <f t="shared" si="1"/>
        <v>94423.998999999996</v>
      </c>
      <c r="G294" s="43" t="str">
        <f>_xlfn.XLOOKUP($A294,Map!$A:$A,Map!C:C)</f>
        <v>IS</v>
      </c>
      <c r="H294" s="43" t="str">
        <f>_xlfn.XLOOKUP($A294,Map!$A:$A,Map!D:D)</f>
        <v>Cost of sales</v>
      </c>
      <c r="I294" s="43" t="str">
        <f>_xlfn.XLOOKUP($A294,Map!$A:$A,Map!E:E)</f>
        <v>Overhead - Labor Cost</v>
      </c>
      <c r="J294" s="43" t="str">
        <f>_xlfn.XLOOKUP($A294,Map!$A:$A,Map!F:F)</f>
        <v>Indirect Salaries — factory supervisory / indirect floor labour (COGS)</v>
      </c>
    </row>
    <row r="295" spans="1:10" x14ac:dyDescent="0.25">
      <c r="A295">
        <v>520042</v>
      </c>
      <c r="B295" t="s">
        <v>1348</v>
      </c>
      <c r="D295" s="116">
        <v>0</v>
      </c>
      <c r="E295" s="116">
        <v>113415.849</v>
      </c>
      <c r="F295" s="116">
        <f t="shared" si="1"/>
        <v>-113415.849</v>
      </c>
      <c r="G295" s="43" t="str">
        <f>_xlfn.XLOOKUP($A295,Map!$A:$A,Map!C:C)</f>
        <v>IS</v>
      </c>
      <c r="H295" s="43" t="str">
        <f>_xlfn.XLOOKUP($A295,Map!$A:$A,Map!D:D)</f>
        <v>Cost of sales</v>
      </c>
      <c r="I295" s="43" t="str">
        <f>_xlfn.XLOOKUP($A295,Map!$A:$A,Map!E:E)</f>
        <v>Raw materials</v>
      </c>
      <c r="J295" s="43" t="str">
        <f>_xlfn.XLOOKUP($A295,Map!$A:$A,Map!F:F)</f>
        <v>Inventory Adjustment</v>
      </c>
    </row>
    <row r="296" spans="1:10" x14ac:dyDescent="0.25">
      <c r="A296">
        <v>520041</v>
      </c>
      <c r="B296" t="s">
        <v>1348</v>
      </c>
      <c r="D296" s="116">
        <v>0</v>
      </c>
      <c r="E296" s="116">
        <v>1168185.1229999999</v>
      </c>
      <c r="F296" s="116">
        <f t="shared" si="1"/>
        <v>-1168185.1229999999</v>
      </c>
      <c r="G296" s="43" t="str">
        <f>_xlfn.XLOOKUP($A296,Map!$A:$A,Map!C:C)</f>
        <v>IS</v>
      </c>
      <c r="H296" s="43" t="str">
        <f>_xlfn.XLOOKUP($A296,Map!$A:$A,Map!D:D)</f>
        <v>Cost of sales</v>
      </c>
      <c r="I296" s="43" t="str">
        <f>_xlfn.XLOOKUP($A296,Map!$A:$A,Map!E:E)</f>
        <v>Raw materials</v>
      </c>
      <c r="J296" s="43" t="str">
        <f>_xlfn.XLOOKUP($A296,Map!$A:$A,Map!F:F)</f>
        <v>Other expenses</v>
      </c>
    </row>
    <row r="297" spans="1:10" x14ac:dyDescent="0.25">
      <c r="A297">
        <v>520037</v>
      </c>
      <c r="B297" t="s">
        <v>1348</v>
      </c>
      <c r="D297" s="116">
        <v>309.685</v>
      </c>
      <c r="E297" s="116">
        <v>0</v>
      </c>
      <c r="F297" s="116">
        <f t="shared" si="1"/>
        <v>309.685</v>
      </c>
      <c r="G297" s="43" t="str">
        <f>_xlfn.XLOOKUP($A297,Map!$A:$A,Map!C:C)</f>
        <v>IS</v>
      </c>
      <c r="H297" s="43" t="str">
        <f>_xlfn.XLOOKUP($A297,Map!$A:$A,Map!D:D)</f>
        <v>Cost of sales</v>
      </c>
      <c r="I297" s="43" t="str">
        <f>_xlfn.XLOOKUP($A297,Map!$A:$A,Map!E:E)</f>
        <v>Raw materials</v>
      </c>
      <c r="J297" s="43" t="str">
        <f>_xlfn.XLOOKUP($A297,Map!$A:$A,Map!F:F)</f>
        <v>Raw materials</v>
      </c>
    </row>
    <row r="298" spans="1:10" x14ac:dyDescent="0.25">
      <c r="A298">
        <v>520036</v>
      </c>
      <c r="B298" t="s">
        <v>1348</v>
      </c>
      <c r="D298" s="116">
        <v>0</v>
      </c>
      <c r="E298" s="116">
        <v>2E-3</v>
      </c>
      <c r="F298" s="116">
        <f t="shared" si="1"/>
        <v>-2E-3</v>
      </c>
      <c r="G298" s="43" t="str">
        <f>_xlfn.XLOOKUP($A298,Map!$A:$A,Map!C:C)</f>
        <v>IS</v>
      </c>
      <c r="H298" s="43" t="str">
        <f>_xlfn.XLOOKUP($A298,Map!$A:$A,Map!D:D)</f>
        <v>Cost of sales</v>
      </c>
      <c r="I298" s="43" t="str">
        <f>_xlfn.XLOOKUP($A298,Map!$A:$A,Map!E:E)</f>
        <v>Raw materials</v>
      </c>
      <c r="J298" s="43" t="str">
        <f>_xlfn.XLOOKUP($A298,Map!$A:$A,Map!F:F)</f>
        <v>Raw materials</v>
      </c>
    </row>
    <row r="299" spans="1:10" x14ac:dyDescent="0.25">
      <c r="A299">
        <v>520021</v>
      </c>
      <c r="B299" t="s">
        <v>1348</v>
      </c>
      <c r="D299" s="116">
        <v>2950</v>
      </c>
      <c r="E299" s="116">
        <v>0</v>
      </c>
      <c r="F299" s="116">
        <f t="shared" si="1"/>
        <v>2950</v>
      </c>
      <c r="G299" s="43" t="str">
        <f>_xlfn.XLOOKUP($A299,Map!$A:$A,Map!C:C)</f>
        <v>IS</v>
      </c>
      <c r="H299" s="43" t="str">
        <f>_xlfn.XLOOKUP($A299,Map!$A:$A,Map!D:D)</f>
        <v>Cost of sales</v>
      </c>
      <c r="I299" s="43" t="str">
        <f>_xlfn.XLOOKUP($A299,Map!$A:$A,Map!E:E)</f>
        <v>Direct Labor</v>
      </c>
      <c r="J299" s="43" t="str">
        <f>_xlfn.XLOOKUP($A299,Map!$A:$A,Map!F:F)</f>
        <v>Medical insurance</v>
      </c>
    </row>
    <row r="300" spans="1:10" x14ac:dyDescent="0.25">
      <c r="A300">
        <v>520011</v>
      </c>
      <c r="B300" t="s">
        <v>1348</v>
      </c>
      <c r="D300" s="116">
        <v>15251</v>
      </c>
      <c r="E300" s="116">
        <v>0</v>
      </c>
      <c r="F300" s="116">
        <f t="shared" si="1"/>
        <v>15251</v>
      </c>
      <c r="G300" s="43" t="str">
        <f>_xlfn.XLOOKUP($A300,Map!$A:$A,Map!C:C)</f>
        <v>IS</v>
      </c>
      <c r="H300" s="43" t="str">
        <f>_xlfn.XLOOKUP($A300,Map!$A:$A,Map!D:D)</f>
        <v>Cost of sales</v>
      </c>
      <c r="I300" s="43" t="str">
        <f>_xlfn.XLOOKUP($A300,Map!$A:$A,Map!E:E)</f>
        <v>Direct Labor</v>
      </c>
      <c r="J300" s="43" t="str">
        <f>_xlfn.XLOOKUP($A300,Map!$A:$A,Map!F:F)</f>
        <v>Overtime pay</v>
      </c>
    </row>
    <row r="301" spans="1:10" x14ac:dyDescent="0.25">
      <c r="A301">
        <v>520011</v>
      </c>
      <c r="B301" t="s">
        <v>1348</v>
      </c>
      <c r="D301" s="116">
        <v>11872</v>
      </c>
      <c r="E301" s="116">
        <v>0</v>
      </c>
      <c r="F301" s="116">
        <f t="shared" si="1"/>
        <v>11872</v>
      </c>
      <c r="G301" s="43" t="str">
        <f>_xlfn.XLOOKUP($A301,Map!$A:$A,Map!C:C)</f>
        <v>IS</v>
      </c>
      <c r="H301" s="43" t="str">
        <f>_xlfn.XLOOKUP($A301,Map!$A:$A,Map!D:D)</f>
        <v>Cost of sales</v>
      </c>
      <c r="I301" s="43" t="str">
        <f>_xlfn.XLOOKUP($A301,Map!$A:$A,Map!E:E)</f>
        <v>Direct Labor</v>
      </c>
      <c r="J301" s="43" t="str">
        <f>_xlfn.XLOOKUP($A301,Map!$A:$A,Map!F:F)</f>
        <v>Overtime pay</v>
      </c>
    </row>
    <row r="302" spans="1:10" x14ac:dyDescent="0.25">
      <c r="A302">
        <v>520006</v>
      </c>
      <c r="B302" t="s">
        <v>1348</v>
      </c>
      <c r="D302" s="116">
        <v>6405</v>
      </c>
      <c r="E302" s="116">
        <v>0</v>
      </c>
      <c r="F302" s="116">
        <f t="shared" si="1"/>
        <v>6405</v>
      </c>
      <c r="G302" s="43" t="str">
        <f>_xlfn.XLOOKUP($A302,Map!$A:$A,Map!C:C)</f>
        <v>IS</v>
      </c>
      <c r="H302" s="43" t="str">
        <f>_xlfn.XLOOKUP($A302,Map!$A:$A,Map!D:D)</f>
        <v>Cost of sales</v>
      </c>
      <c r="I302" s="43" t="str">
        <f>_xlfn.XLOOKUP($A302,Map!$A:$A,Map!E:E)</f>
        <v>Direct Labor</v>
      </c>
      <c r="J302" s="43" t="str">
        <f>_xlfn.XLOOKUP($A302,Map!$A:$A,Map!F:F)</f>
        <v>Medical insurance</v>
      </c>
    </row>
    <row r="303" spans="1:10" x14ac:dyDescent="0.25">
      <c r="A303">
        <v>520006</v>
      </c>
      <c r="B303" t="s">
        <v>1348</v>
      </c>
      <c r="D303" s="116">
        <v>3208</v>
      </c>
      <c r="E303" s="116">
        <v>0</v>
      </c>
      <c r="F303" s="116">
        <f t="shared" si="1"/>
        <v>3208</v>
      </c>
      <c r="G303" s="43" t="str">
        <f>_xlfn.XLOOKUP($A303,Map!$A:$A,Map!C:C)</f>
        <v>IS</v>
      </c>
      <c r="H303" s="43" t="str">
        <f>_xlfn.XLOOKUP($A303,Map!$A:$A,Map!D:D)</f>
        <v>Cost of sales</v>
      </c>
      <c r="I303" s="43" t="str">
        <f>_xlfn.XLOOKUP($A303,Map!$A:$A,Map!E:E)</f>
        <v>Direct Labor</v>
      </c>
      <c r="J303" s="43" t="str">
        <f>_xlfn.XLOOKUP($A303,Map!$A:$A,Map!F:F)</f>
        <v>Medical insurance</v>
      </c>
    </row>
    <row r="304" spans="1:10" x14ac:dyDescent="0.25">
      <c r="A304">
        <v>520006</v>
      </c>
      <c r="B304" t="s">
        <v>1348</v>
      </c>
      <c r="D304" s="116">
        <v>2057</v>
      </c>
      <c r="E304" s="116">
        <v>0</v>
      </c>
      <c r="F304" s="116">
        <f t="shared" si="1"/>
        <v>2057</v>
      </c>
      <c r="G304" s="43" t="str">
        <f>_xlfn.XLOOKUP($A304,Map!$A:$A,Map!C:C)</f>
        <v>IS</v>
      </c>
      <c r="H304" s="43" t="str">
        <f>_xlfn.XLOOKUP($A304,Map!$A:$A,Map!D:D)</f>
        <v>Cost of sales</v>
      </c>
      <c r="I304" s="43" t="str">
        <f>_xlfn.XLOOKUP($A304,Map!$A:$A,Map!E:E)</f>
        <v>Direct Labor</v>
      </c>
      <c r="J304" s="43" t="str">
        <f>_xlfn.XLOOKUP($A304,Map!$A:$A,Map!F:F)</f>
        <v>Medical insurance</v>
      </c>
    </row>
    <row r="305" spans="1:10" x14ac:dyDescent="0.25">
      <c r="A305">
        <v>520006</v>
      </c>
      <c r="B305" t="s">
        <v>1348</v>
      </c>
      <c r="D305" s="116">
        <v>1724</v>
      </c>
      <c r="E305" s="116">
        <v>0</v>
      </c>
      <c r="F305" s="116">
        <f t="shared" si="1"/>
        <v>1724</v>
      </c>
      <c r="G305" s="43" t="str">
        <f>_xlfn.XLOOKUP($A305,Map!$A:$A,Map!C:C)</f>
        <v>IS</v>
      </c>
      <c r="H305" s="43" t="str">
        <f>_xlfn.XLOOKUP($A305,Map!$A:$A,Map!D:D)</f>
        <v>Cost of sales</v>
      </c>
      <c r="I305" s="43" t="str">
        <f>_xlfn.XLOOKUP($A305,Map!$A:$A,Map!E:E)</f>
        <v>Direct Labor</v>
      </c>
      <c r="J305" s="43" t="str">
        <f>_xlfn.XLOOKUP($A305,Map!$A:$A,Map!F:F)</f>
        <v>Medical insurance</v>
      </c>
    </row>
    <row r="306" spans="1:10" x14ac:dyDescent="0.25">
      <c r="A306">
        <v>520006</v>
      </c>
      <c r="B306" t="s">
        <v>1348</v>
      </c>
      <c r="D306" s="116">
        <v>2238</v>
      </c>
      <c r="E306" s="116">
        <v>0</v>
      </c>
      <c r="F306" s="116">
        <f t="shared" si="1"/>
        <v>2238</v>
      </c>
      <c r="G306" s="43" t="str">
        <f>_xlfn.XLOOKUP($A306,Map!$A:$A,Map!C:C)</f>
        <v>IS</v>
      </c>
      <c r="H306" s="43" t="str">
        <f>_xlfn.XLOOKUP($A306,Map!$A:$A,Map!D:D)</f>
        <v>Cost of sales</v>
      </c>
      <c r="I306" s="43" t="str">
        <f>_xlfn.XLOOKUP($A306,Map!$A:$A,Map!E:E)</f>
        <v>Direct Labor</v>
      </c>
      <c r="J306" s="43" t="str">
        <f>_xlfn.XLOOKUP($A306,Map!$A:$A,Map!F:F)</f>
        <v>Medical insurance</v>
      </c>
    </row>
    <row r="307" spans="1:10" x14ac:dyDescent="0.25">
      <c r="A307">
        <v>520006</v>
      </c>
      <c r="B307" t="s">
        <v>1348</v>
      </c>
      <c r="D307" s="116">
        <v>1460</v>
      </c>
      <c r="E307" s="116">
        <v>0</v>
      </c>
      <c r="F307" s="116">
        <f t="shared" si="1"/>
        <v>1460</v>
      </c>
      <c r="G307" s="43" t="str">
        <f>_xlfn.XLOOKUP($A307,Map!$A:$A,Map!C:C)</f>
        <v>IS</v>
      </c>
      <c r="H307" s="43" t="str">
        <f>_xlfn.XLOOKUP($A307,Map!$A:$A,Map!D:D)</f>
        <v>Cost of sales</v>
      </c>
      <c r="I307" s="43" t="str">
        <f>_xlfn.XLOOKUP($A307,Map!$A:$A,Map!E:E)</f>
        <v>Direct Labor</v>
      </c>
      <c r="J307" s="43" t="str">
        <f>_xlfn.XLOOKUP($A307,Map!$A:$A,Map!F:F)</f>
        <v>Medical insurance</v>
      </c>
    </row>
    <row r="308" spans="1:10" x14ac:dyDescent="0.25">
      <c r="A308">
        <v>520004</v>
      </c>
      <c r="B308" t="s">
        <v>1348</v>
      </c>
      <c r="D308" s="116">
        <v>5183.5</v>
      </c>
      <c r="E308" s="116">
        <v>0</v>
      </c>
      <c r="F308" s="116">
        <f t="shared" si="1"/>
        <v>5183.5</v>
      </c>
      <c r="G308" s="43" t="str">
        <f>_xlfn.XLOOKUP($A308,Map!$A:$A,Map!C:C)</f>
        <v>IS</v>
      </c>
      <c r="H308" s="43" t="str">
        <f>_xlfn.XLOOKUP($A308,Map!$A:$A,Map!D:D)</f>
        <v>Cost of sales</v>
      </c>
      <c r="I308" s="43" t="str">
        <f>_xlfn.XLOOKUP($A308,Map!$A:$A,Map!E:E)</f>
        <v>Direct Labor</v>
      </c>
      <c r="J308" s="43" t="str">
        <f>_xlfn.XLOOKUP($A308,Map!$A:$A,Map!F:F)</f>
        <v>Food and housing</v>
      </c>
    </row>
    <row r="309" spans="1:10" x14ac:dyDescent="0.25">
      <c r="A309">
        <v>520004</v>
      </c>
      <c r="B309" t="s">
        <v>1348</v>
      </c>
      <c r="D309" s="116">
        <v>3400</v>
      </c>
      <c r="E309" s="116">
        <v>0</v>
      </c>
      <c r="F309" s="116">
        <f t="shared" si="1"/>
        <v>3400</v>
      </c>
      <c r="G309" s="43" t="str">
        <f>_xlfn.XLOOKUP($A309,Map!$A:$A,Map!C:C)</f>
        <v>IS</v>
      </c>
      <c r="H309" s="43" t="str">
        <f>_xlfn.XLOOKUP($A309,Map!$A:$A,Map!D:D)</f>
        <v>Cost of sales</v>
      </c>
      <c r="I309" s="43" t="str">
        <f>_xlfn.XLOOKUP($A309,Map!$A:$A,Map!E:E)</f>
        <v>Direct Labor</v>
      </c>
      <c r="J309" s="43" t="str">
        <f>_xlfn.XLOOKUP($A309,Map!$A:$A,Map!F:F)</f>
        <v>Food and housing</v>
      </c>
    </row>
    <row r="310" spans="1:10" x14ac:dyDescent="0.25">
      <c r="A310">
        <v>520003</v>
      </c>
      <c r="B310" t="s">
        <v>1348</v>
      </c>
      <c r="D310" s="116">
        <v>3240</v>
      </c>
      <c r="E310" s="116">
        <v>0</v>
      </c>
      <c r="F310" s="116">
        <f t="shared" si="1"/>
        <v>3240</v>
      </c>
      <c r="G310" s="43" t="str">
        <f>_xlfn.XLOOKUP($A310,Map!$A:$A,Map!C:C)</f>
        <v>IS</v>
      </c>
      <c r="H310" s="43" t="str">
        <f>_xlfn.XLOOKUP($A310,Map!$A:$A,Map!D:D)</f>
        <v>Cost of sales</v>
      </c>
      <c r="I310" s="43" t="str">
        <f>_xlfn.XLOOKUP($A310,Map!$A:$A,Map!E:E)</f>
        <v>Direct Labor</v>
      </c>
      <c r="J310" s="43" t="str">
        <f>_xlfn.XLOOKUP($A310,Map!$A:$A,Map!F:F)</f>
        <v>Transportation allowance</v>
      </c>
    </row>
    <row r="311" spans="1:10" x14ac:dyDescent="0.25">
      <c r="A311">
        <v>520001</v>
      </c>
      <c r="B311" t="s">
        <v>1348</v>
      </c>
      <c r="D311" s="116">
        <v>141813</v>
      </c>
      <c r="E311" s="116">
        <v>0</v>
      </c>
      <c r="F311" s="116">
        <f t="shared" si="1"/>
        <v>141813</v>
      </c>
      <c r="G311" s="43" t="str">
        <f>_xlfn.XLOOKUP($A311,Map!$A:$A,Map!C:C)</f>
        <v>IS</v>
      </c>
      <c r="H311" s="43" t="str">
        <f>_xlfn.XLOOKUP($A311,Map!$A:$A,Map!D:D)</f>
        <v>Cost of sales</v>
      </c>
      <c r="I311" s="43" t="str">
        <f>_xlfn.XLOOKUP($A311,Map!$A:$A,Map!E:E)</f>
        <v>Direct Labor</v>
      </c>
      <c r="J311" s="43" t="str">
        <f>_xlfn.XLOOKUP($A311,Map!$A:$A,Map!F:F)</f>
        <v>Salaries and wages</v>
      </c>
    </row>
    <row r="312" spans="1:10" x14ac:dyDescent="0.25">
      <c r="A312">
        <v>520001</v>
      </c>
      <c r="B312" t="s">
        <v>1348</v>
      </c>
      <c r="D312" s="116">
        <v>17770</v>
      </c>
      <c r="E312" s="116">
        <v>0</v>
      </c>
      <c r="F312" s="116">
        <f t="shared" si="1"/>
        <v>17770</v>
      </c>
      <c r="G312" s="43" t="str">
        <f>_xlfn.XLOOKUP($A312,Map!$A:$A,Map!C:C)</f>
        <v>IS</v>
      </c>
      <c r="H312" s="43" t="str">
        <f>_xlfn.XLOOKUP($A312,Map!$A:$A,Map!D:D)</f>
        <v>Cost of sales</v>
      </c>
      <c r="I312" s="43" t="str">
        <f>_xlfn.XLOOKUP($A312,Map!$A:$A,Map!E:E)</f>
        <v>Direct Labor</v>
      </c>
      <c r="J312" s="43" t="str">
        <f>_xlfn.XLOOKUP($A312,Map!$A:$A,Map!F:F)</f>
        <v>Salaries and wages</v>
      </c>
    </row>
    <row r="313" spans="1:10" x14ac:dyDescent="0.25">
      <c r="A313">
        <v>520001</v>
      </c>
      <c r="B313" t="s">
        <v>1348</v>
      </c>
      <c r="D313" s="116">
        <v>37370.5</v>
      </c>
      <c r="E313" s="116">
        <v>0</v>
      </c>
      <c r="F313" s="116">
        <f t="shared" si="1"/>
        <v>37370.5</v>
      </c>
      <c r="G313" s="43" t="str">
        <f>_xlfn.XLOOKUP($A313,Map!$A:$A,Map!C:C)</f>
        <v>IS</v>
      </c>
      <c r="H313" s="43" t="str">
        <f>_xlfn.XLOOKUP($A313,Map!$A:$A,Map!D:D)</f>
        <v>Cost of sales</v>
      </c>
      <c r="I313" s="43" t="str">
        <f>_xlfn.XLOOKUP($A313,Map!$A:$A,Map!E:E)</f>
        <v>Direct Labor</v>
      </c>
      <c r="J313" s="43" t="str">
        <f>_xlfn.XLOOKUP($A313,Map!$A:$A,Map!F:F)</f>
        <v>Salaries and wages</v>
      </c>
    </row>
    <row r="314" spans="1:10" x14ac:dyDescent="0.25">
      <c r="A314">
        <v>520001</v>
      </c>
      <c r="B314" t="s">
        <v>1348</v>
      </c>
      <c r="D314" s="116">
        <v>11826</v>
      </c>
      <c r="E314" s="116">
        <v>0</v>
      </c>
      <c r="F314" s="116">
        <f t="shared" si="1"/>
        <v>11826</v>
      </c>
      <c r="G314" s="43" t="str">
        <f>_xlfn.XLOOKUP($A314,Map!$A:$A,Map!C:C)</f>
        <v>IS</v>
      </c>
      <c r="H314" s="43" t="str">
        <f>_xlfn.XLOOKUP($A314,Map!$A:$A,Map!D:D)</f>
        <v>Cost of sales</v>
      </c>
      <c r="I314" s="43" t="str">
        <f>_xlfn.XLOOKUP($A314,Map!$A:$A,Map!E:E)</f>
        <v>Direct Labor</v>
      </c>
      <c r="J314" s="43" t="str">
        <f>_xlfn.XLOOKUP($A314,Map!$A:$A,Map!F:F)</f>
        <v>Salaries and wages</v>
      </c>
    </row>
    <row r="315" spans="1:10" x14ac:dyDescent="0.25">
      <c r="A315">
        <v>520001</v>
      </c>
      <c r="B315" t="s">
        <v>1348</v>
      </c>
      <c r="D315" s="116">
        <v>22257</v>
      </c>
      <c r="E315" s="116">
        <v>0</v>
      </c>
      <c r="F315" s="116">
        <f t="shared" si="1"/>
        <v>22257</v>
      </c>
      <c r="G315" s="43" t="str">
        <f>_xlfn.XLOOKUP($A315,Map!$A:$A,Map!C:C)</f>
        <v>IS</v>
      </c>
      <c r="H315" s="43" t="str">
        <f>_xlfn.XLOOKUP($A315,Map!$A:$A,Map!D:D)</f>
        <v>Cost of sales</v>
      </c>
      <c r="I315" s="43" t="str">
        <f>_xlfn.XLOOKUP($A315,Map!$A:$A,Map!E:E)</f>
        <v>Direct Labor</v>
      </c>
      <c r="J315" s="43" t="str">
        <f>_xlfn.XLOOKUP($A315,Map!$A:$A,Map!F:F)</f>
        <v>Salaries and wages</v>
      </c>
    </row>
    <row r="316" spans="1:10" x14ac:dyDescent="0.25">
      <c r="A316">
        <v>510004</v>
      </c>
      <c r="B316" t="s">
        <v>1348</v>
      </c>
      <c r="D316" s="116">
        <v>0</v>
      </c>
      <c r="E316" s="116">
        <v>283759.04100000003</v>
      </c>
      <c r="F316" s="116">
        <f t="shared" si="1"/>
        <v>-283759.04100000003</v>
      </c>
      <c r="G316" s="43" t="str">
        <f>_xlfn.XLOOKUP($A316,Map!$A:$A,Map!C:C)</f>
        <v>IS</v>
      </c>
      <c r="H316" s="43" t="str">
        <f>_xlfn.XLOOKUP($A316,Map!$A:$A,Map!D:D)</f>
        <v>Cost of sales</v>
      </c>
      <c r="I316" s="43" t="str">
        <f>_xlfn.XLOOKUP($A316,Map!$A:$A,Map!E:E)</f>
        <v>Raw materials</v>
      </c>
      <c r="J316" s="43" t="str">
        <f>_xlfn.XLOOKUP($A316,Map!$A:$A,Map!F:F)</f>
        <v>Other expenses</v>
      </c>
    </row>
    <row r="317" spans="1:10" x14ac:dyDescent="0.25">
      <c r="A317">
        <v>510004</v>
      </c>
      <c r="B317" t="s">
        <v>1348</v>
      </c>
      <c r="D317" s="116">
        <v>369106.1</v>
      </c>
      <c r="E317" s="116">
        <v>0</v>
      </c>
      <c r="F317" s="116">
        <f t="shared" si="1"/>
        <v>369106.1</v>
      </c>
      <c r="G317" s="43" t="str">
        <f>_xlfn.XLOOKUP($A317,Map!$A:$A,Map!C:C)</f>
        <v>IS</v>
      </c>
      <c r="H317" s="43" t="str">
        <f>_xlfn.XLOOKUP($A317,Map!$A:$A,Map!D:D)</f>
        <v>Cost of sales</v>
      </c>
      <c r="I317" s="43" t="str">
        <f>_xlfn.XLOOKUP($A317,Map!$A:$A,Map!E:E)</f>
        <v>Raw materials</v>
      </c>
      <c r="J317" s="43" t="str">
        <f>_xlfn.XLOOKUP($A317,Map!$A:$A,Map!F:F)</f>
        <v>Other expenses</v>
      </c>
    </row>
    <row r="318" spans="1:10" x14ac:dyDescent="0.25">
      <c r="A318">
        <v>510004</v>
      </c>
      <c r="B318" t="s">
        <v>1348</v>
      </c>
      <c r="D318" s="116">
        <v>0</v>
      </c>
      <c r="E318" s="116">
        <v>144093</v>
      </c>
      <c r="F318" s="116">
        <f t="shared" si="1"/>
        <v>-144093</v>
      </c>
      <c r="G318" s="43" t="str">
        <f>_xlfn.XLOOKUP($A318,Map!$A:$A,Map!C:C)</f>
        <v>IS</v>
      </c>
      <c r="H318" s="43" t="str">
        <f>_xlfn.XLOOKUP($A318,Map!$A:$A,Map!D:D)</f>
        <v>Cost of sales</v>
      </c>
      <c r="I318" s="43" t="str">
        <f>_xlfn.XLOOKUP($A318,Map!$A:$A,Map!E:E)</f>
        <v>Raw materials</v>
      </c>
      <c r="J318" s="43" t="str">
        <f>_xlfn.XLOOKUP($A318,Map!$A:$A,Map!F:F)</f>
        <v>Other expenses</v>
      </c>
    </row>
    <row r="319" spans="1:10" x14ac:dyDescent="0.25">
      <c r="A319">
        <v>510004</v>
      </c>
      <c r="B319" t="s">
        <v>1348</v>
      </c>
      <c r="D319" s="116">
        <v>151873.29999999999</v>
      </c>
      <c r="E319" s="116">
        <v>0</v>
      </c>
      <c r="F319" s="116">
        <f t="shared" si="1"/>
        <v>151873.29999999999</v>
      </c>
      <c r="G319" s="43" t="str">
        <f>_xlfn.XLOOKUP($A319,Map!$A:$A,Map!C:C)</f>
        <v>IS</v>
      </c>
      <c r="H319" s="43" t="str">
        <f>_xlfn.XLOOKUP($A319,Map!$A:$A,Map!D:D)</f>
        <v>Cost of sales</v>
      </c>
      <c r="I319" s="43" t="str">
        <f>_xlfn.XLOOKUP($A319,Map!$A:$A,Map!E:E)</f>
        <v>Raw materials</v>
      </c>
      <c r="J319" s="43" t="str">
        <f>_xlfn.XLOOKUP($A319,Map!$A:$A,Map!F:F)</f>
        <v>Other expenses</v>
      </c>
    </row>
    <row r="320" spans="1:10" x14ac:dyDescent="0.25">
      <c r="A320">
        <v>510004</v>
      </c>
      <c r="B320" t="s">
        <v>1348</v>
      </c>
      <c r="D320" s="116">
        <v>0</v>
      </c>
      <c r="E320" s="116">
        <v>9420.9279999999999</v>
      </c>
      <c r="F320" s="116">
        <f t="shared" si="1"/>
        <v>-9420.9279999999999</v>
      </c>
      <c r="G320" s="43" t="str">
        <f>_xlfn.XLOOKUP($A320,Map!$A:$A,Map!C:C)</f>
        <v>IS</v>
      </c>
      <c r="H320" s="43" t="str">
        <f>_xlfn.XLOOKUP($A320,Map!$A:$A,Map!D:D)</f>
        <v>Cost of sales</v>
      </c>
      <c r="I320" s="43" t="str">
        <f>_xlfn.XLOOKUP($A320,Map!$A:$A,Map!E:E)</f>
        <v>Raw materials</v>
      </c>
      <c r="J320" s="43" t="str">
        <f>_xlfn.XLOOKUP($A320,Map!$A:$A,Map!F:F)</f>
        <v>Other expenses</v>
      </c>
    </row>
    <row r="321" spans="1:10" x14ac:dyDescent="0.25">
      <c r="A321">
        <v>510004</v>
      </c>
      <c r="B321" t="s">
        <v>1348</v>
      </c>
      <c r="D321" s="116">
        <v>8356.4570000000003</v>
      </c>
      <c r="E321" s="116">
        <v>0</v>
      </c>
      <c r="F321" s="116">
        <f t="shared" si="1"/>
        <v>8356.4570000000003</v>
      </c>
      <c r="G321" s="43" t="str">
        <f>_xlfn.XLOOKUP($A321,Map!$A:$A,Map!C:C)</f>
        <v>IS</v>
      </c>
      <c r="H321" s="43" t="str">
        <f>_xlfn.XLOOKUP($A321,Map!$A:$A,Map!D:D)</f>
        <v>Cost of sales</v>
      </c>
      <c r="I321" s="43" t="str">
        <f>_xlfn.XLOOKUP($A321,Map!$A:$A,Map!E:E)</f>
        <v>Raw materials</v>
      </c>
      <c r="J321" s="43" t="str">
        <f>_xlfn.XLOOKUP($A321,Map!$A:$A,Map!F:F)</f>
        <v>Other expenses</v>
      </c>
    </row>
    <row r="322" spans="1:10" x14ac:dyDescent="0.25">
      <c r="A322">
        <v>510004</v>
      </c>
      <c r="B322" t="s">
        <v>1348</v>
      </c>
      <c r="D322" s="116">
        <v>0</v>
      </c>
      <c r="E322" s="116">
        <v>117257.178</v>
      </c>
      <c r="F322" s="116">
        <f t="shared" si="1"/>
        <v>-117257.178</v>
      </c>
      <c r="G322" s="43" t="str">
        <f>_xlfn.XLOOKUP($A322,Map!$A:$A,Map!C:C)</f>
        <v>IS</v>
      </c>
      <c r="H322" s="43" t="str">
        <f>_xlfn.XLOOKUP($A322,Map!$A:$A,Map!D:D)</f>
        <v>Cost of sales</v>
      </c>
      <c r="I322" s="43" t="str">
        <f>_xlfn.XLOOKUP($A322,Map!$A:$A,Map!E:E)</f>
        <v>Raw materials</v>
      </c>
      <c r="J322" s="43" t="str">
        <f>_xlfn.XLOOKUP($A322,Map!$A:$A,Map!F:F)</f>
        <v>Other expenses</v>
      </c>
    </row>
    <row r="323" spans="1:10" x14ac:dyDescent="0.25">
      <c r="A323">
        <v>510004</v>
      </c>
      <c r="B323" t="s">
        <v>1348</v>
      </c>
      <c r="D323" s="116">
        <v>105612.5</v>
      </c>
      <c r="E323" s="116">
        <v>0</v>
      </c>
      <c r="F323" s="116">
        <f t="shared" si="1"/>
        <v>105612.5</v>
      </c>
      <c r="G323" s="43" t="str">
        <f>_xlfn.XLOOKUP($A323,Map!$A:$A,Map!C:C)</f>
        <v>IS</v>
      </c>
      <c r="H323" s="43" t="str">
        <f>_xlfn.XLOOKUP($A323,Map!$A:$A,Map!D:D)</f>
        <v>Cost of sales</v>
      </c>
      <c r="I323" s="43" t="str">
        <f>_xlfn.XLOOKUP($A323,Map!$A:$A,Map!E:E)</f>
        <v>Raw materials</v>
      </c>
      <c r="J323" s="43" t="str">
        <f>_xlfn.XLOOKUP($A323,Map!$A:$A,Map!F:F)</f>
        <v>Other expenses</v>
      </c>
    </row>
    <row r="324" spans="1:10" x14ac:dyDescent="0.25">
      <c r="A324">
        <v>510004</v>
      </c>
      <c r="B324" t="s">
        <v>1348</v>
      </c>
      <c r="D324" s="116">
        <v>0</v>
      </c>
      <c r="E324" s="116">
        <v>126132.38</v>
      </c>
      <c r="F324" s="116">
        <f t="shared" si="1"/>
        <v>-126132.38</v>
      </c>
      <c r="G324" s="43" t="str">
        <f>_xlfn.XLOOKUP($A324,Map!$A:$A,Map!C:C)</f>
        <v>IS</v>
      </c>
      <c r="H324" s="43" t="str">
        <f>_xlfn.XLOOKUP($A324,Map!$A:$A,Map!D:D)</f>
        <v>Cost of sales</v>
      </c>
      <c r="I324" s="43" t="str">
        <f>_xlfn.XLOOKUP($A324,Map!$A:$A,Map!E:E)</f>
        <v>Raw materials</v>
      </c>
      <c r="J324" s="43" t="str">
        <f>_xlfn.XLOOKUP($A324,Map!$A:$A,Map!F:F)</f>
        <v>Other expenses</v>
      </c>
    </row>
    <row r="325" spans="1:10" x14ac:dyDescent="0.25">
      <c r="A325">
        <v>510004</v>
      </c>
      <c r="B325" t="s">
        <v>1348</v>
      </c>
      <c r="D325" s="116">
        <v>135808.5</v>
      </c>
      <c r="E325" s="116">
        <v>0</v>
      </c>
      <c r="F325" s="116">
        <f t="shared" si="1"/>
        <v>135808.5</v>
      </c>
      <c r="G325" s="43" t="str">
        <f>_xlfn.XLOOKUP($A325,Map!$A:$A,Map!C:C)</f>
        <v>IS</v>
      </c>
      <c r="H325" s="43" t="str">
        <f>_xlfn.XLOOKUP($A325,Map!$A:$A,Map!D:D)</f>
        <v>Cost of sales</v>
      </c>
      <c r="I325" s="43" t="str">
        <f>_xlfn.XLOOKUP($A325,Map!$A:$A,Map!E:E)</f>
        <v>Raw materials</v>
      </c>
      <c r="J325" s="43" t="str">
        <f>_xlfn.XLOOKUP($A325,Map!$A:$A,Map!F:F)</f>
        <v>Other expenses</v>
      </c>
    </row>
    <row r="326" spans="1:10" x14ac:dyDescent="0.25">
      <c r="A326">
        <v>510004</v>
      </c>
      <c r="B326" t="s">
        <v>1348</v>
      </c>
      <c r="D326" s="116">
        <v>19015.580000000002</v>
      </c>
      <c r="E326" s="116">
        <v>0</v>
      </c>
      <c r="F326" s="116">
        <f t="shared" si="1"/>
        <v>19015.580000000002</v>
      </c>
      <c r="G326" s="43" t="str">
        <f>_xlfn.XLOOKUP($A326,Map!$A:$A,Map!C:C)</f>
        <v>IS</v>
      </c>
      <c r="H326" s="43" t="str">
        <f>_xlfn.XLOOKUP($A326,Map!$A:$A,Map!D:D)</f>
        <v>Cost of sales</v>
      </c>
      <c r="I326" s="43" t="str">
        <f>_xlfn.XLOOKUP($A326,Map!$A:$A,Map!E:E)</f>
        <v>Raw materials</v>
      </c>
      <c r="J326" s="43" t="str">
        <f>_xlfn.XLOOKUP($A326,Map!$A:$A,Map!F:F)</f>
        <v>Other expenses</v>
      </c>
    </row>
    <row r="327" spans="1:10" x14ac:dyDescent="0.25">
      <c r="A327">
        <v>510004</v>
      </c>
      <c r="B327" t="s">
        <v>1348</v>
      </c>
      <c r="D327" s="116">
        <v>9281.92</v>
      </c>
      <c r="E327" s="116">
        <v>0</v>
      </c>
      <c r="F327" s="116">
        <f t="shared" si="1"/>
        <v>9281.92</v>
      </c>
      <c r="G327" s="43" t="str">
        <f>_xlfn.XLOOKUP($A327,Map!$A:$A,Map!C:C)</f>
        <v>IS</v>
      </c>
      <c r="H327" s="43" t="str">
        <f>_xlfn.XLOOKUP($A327,Map!$A:$A,Map!D:D)</f>
        <v>Cost of sales</v>
      </c>
      <c r="I327" s="43" t="str">
        <f>_xlfn.XLOOKUP($A327,Map!$A:$A,Map!E:E)</f>
        <v>Raw materials</v>
      </c>
      <c r="J327" s="43" t="str">
        <f>_xlfn.XLOOKUP($A327,Map!$A:$A,Map!F:F)</f>
        <v>Other expenses</v>
      </c>
    </row>
    <row r="328" spans="1:10" x14ac:dyDescent="0.25">
      <c r="A328">
        <v>510004</v>
      </c>
      <c r="B328" t="s">
        <v>1348</v>
      </c>
      <c r="D328" s="116">
        <v>0</v>
      </c>
      <c r="E328" s="116">
        <v>23509.182000000001</v>
      </c>
      <c r="F328" s="116">
        <f t="shared" si="1"/>
        <v>-23509.182000000001</v>
      </c>
      <c r="G328" s="43" t="str">
        <f>_xlfn.XLOOKUP($A328,Map!$A:$A,Map!C:C)</f>
        <v>IS</v>
      </c>
      <c r="H328" s="43" t="str">
        <f>_xlfn.XLOOKUP($A328,Map!$A:$A,Map!D:D)</f>
        <v>Cost of sales</v>
      </c>
      <c r="I328" s="43" t="str">
        <f>_xlfn.XLOOKUP($A328,Map!$A:$A,Map!E:E)</f>
        <v>Raw materials</v>
      </c>
      <c r="J328" s="43" t="str">
        <f>_xlfn.XLOOKUP($A328,Map!$A:$A,Map!F:F)</f>
        <v>Other expenses</v>
      </c>
    </row>
    <row r="329" spans="1:10" x14ac:dyDescent="0.25">
      <c r="A329">
        <v>510004</v>
      </c>
      <c r="B329" t="s">
        <v>1348</v>
      </c>
      <c r="D329" s="116">
        <v>1934.0630000000001</v>
      </c>
      <c r="E329" s="116">
        <v>0</v>
      </c>
      <c r="F329" s="116">
        <f t="shared" si="1"/>
        <v>1934.0630000000001</v>
      </c>
      <c r="G329" s="43" t="str">
        <f>_xlfn.XLOOKUP($A329,Map!$A:$A,Map!C:C)</f>
        <v>IS</v>
      </c>
      <c r="H329" s="43" t="str">
        <f>_xlfn.XLOOKUP($A329,Map!$A:$A,Map!D:D)</f>
        <v>Cost of sales</v>
      </c>
      <c r="I329" s="43" t="str">
        <f>_xlfn.XLOOKUP($A329,Map!$A:$A,Map!E:E)</f>
        <v>Raw materials</v>
      </c>
      <c r="J329" s="43" t="str">
        <f>_xlfn.XLOOKUP($A329,Map!$A:$A,Map!F:F)</f>
        <v>Other expenses</v>
      </c>
    </row>
    <row r="330" spans="1:10" x14ac:dyDescent="0.25">
      <c r="A330">
        <v>510004</v>
      </c>
      <c r="B330" t="s">
        <v>1348</v>
      </c>
      <c r="D330" s="116">
        <v>0</v>
      </c>
      <c r="E330" s="116">
        <v>68972.634999999995</v>
      </c>
      <c r="F330" s="116">
        <f t="shared" si="1"/>
        <v>-68972.634999999995</v>
      </c>
      <c r="G330" s="43" t="str">
        <f>_xlfn.XLOOKUP($A330,Map!$A:$A,Map!C:C)</f>
        <v>IS</v>
      </c>
      <c r="H330" s="43" t="str">
        <f>_xlfn.XLOOKUP($A330,Map!$A:$A,Map!D:D)</f>
        <v>Cost of sales</v>
      </c>
      <c r="I330" s="43" t="str">
        <f>_xlfn.XLOOKUP($A330,Map!$A:$A,Map!E:E)</f>
        <v>Raw materials</v>
      </c>
      <c r="J330" s="43" t="str">
        <f>_xlfn.XLOOKUP($A330,Map!$A:$A,Map!F:F)</f>
        <v>Other expenses</v>
      </c>
    </row>
    <row r="331" spans="1:10" x14ac:dyDescent="0.25">
      <c r="A331">
        <v>510004</v>
      </c>
      <c r="B331" t="s">
        <v>1348</v>
      </c>
      <c r="D331" s="116">
        <v>61179.42</v>
      </c>
      <c r="E331" s="116">
        <v>0</v>
      </c>
      <c r="F331" s="116">
        <f t="shared" si="1"/>
        <v>61179.42</v>
      </c>
      <c r="G331" s="43" t="str">
        <f>_xlfn.XLOOKUP($A331,Map!$A:$A,Map!C:C)</f>
        <v>IS</v>
      </c>
      <c r="H331" s="43" t="str">
        <f>_xlfn.XLOOKUP($A331,Map!$A:$A,Map!D:D)</f>
        <v>Cost of sales</v>
      </c>
      <c r="I331" s="43" t="str">
        <f>_xlfn.XLOOKUP($A331,Map!$A:$A,Map!E:E)</f>
        <v>Raw materials</v>
      </c>
      <c r="J331" s="43" t="str">
        <f>_xlfn.XLOOKUP($A331,Map!$A:$A,Map!F:F)</f>
        <v>Other expenses</v>
      </c>
    </row>
    <row r="332" spans="1:10" x14ac:dyDescent="0.25">
      <c r="A332">
        <v>510004</v>
      </c>
      <c r="B332" t="s">
        <v>1348</v>
      </c>
      <c r="D332" s="116">
        <v>0</v>
      </c>
      <c r="E332" s="116">
        <v>412227.81199999998</v>
      </c>
      <c r="F332" s="116">
        <f t="shared" si="1"/>
        <v>-412227.81199999998</v>
      </c>
      <c r="G332" s="43" t="str">
        <f>_xlfn.XLOOKUP($A332,Map!$A:$A,Map!C:C)</f>
        <v>IS</v>
      </c>
      <c r="H332" s="43" t="str">
        <f>_xlfn.XLOOKUP($A332,Map!$A:$A,Map!D:D)</f>
        <v>Cost of sales</v>
      </c>
      <c r="I332" s="43" t="str">
        <f>_xlfn.XLOOKUP($A332,Map!$A:$A,Map!E:E)</f>
        <v>Raw materials</v>
      </c>
      <c r="J332" s="43" t="str">
        <f>_xlfn.XLOOKUP($A332,Map!$A:$A,Map!F:F)</f>
        <v>Other expenses</v>
      </c>
    </row>
    <row r="333" spans="1:10" x14ac:dyDescent="0.25">
      <c r="A333">
        <v>510004</v>
      </c>
      <c r="B333" t="s">
        <v>1348</v>
      </c>
      <c r="D333" s="116">
        <v>382422.3</v>
      </c>
      <c r="E333" s="116">
        <v>0</v>
      </c>
      <c r="F333" s="116">
        <f t="shared" ref="F333:F396" si="2">D333-E333</f>
        <v>382422.3</v>
      </c>
      <c r="G333" s="43" t="str">
        <f>_xlfn.XLOOKUP($A333,Map!$A:$A,Map!C:C)</f>
        <v>IS</v>
      </c>
      <c r="H333" s="43" t="str">
        <f>_xlfn.XLOOKUP($A333,Map!$A:$A,Map!D:D)</f>
        <v>Cost of sales</v>
      </c>
      <c r="I333" s="43" t="str">
        <f>_xlfn.XLOOKUP($A333,Map!$A:$A,Map!E:E)</f>
        <v>Raw materials</v>
      </c>
      <c r="J333" s="43" t="str">
        <f>_xlfn.XLOOKUP($A333,Map!$A:$A,Map!F:F)</f>
        <v>Other expenses</v>
      </c>
    </row>
    <row r="334" spans="1:10" x14ac:dyDescent="0.25">
      <c r="A334">
        <v>510004</v>
      </c>
      <c r="B334" t="s">
        <v>1348</v>
      </c>
      <c r="D334" s="116">
        <v>0</v>
      </c>
      <c r="E334" s="116">
        <v>40195.656999999999</v>
      </c>
      <c r="F334" s="116">
        <f t="shared" si="2"/>
        <v>-40195.656999999999</v>
      </c>
      <c r="G334" s="43" t="str">
        <f>_xlfn.XLOOKUP($A334,Map!$A:$A,Map!C:C)</f>
        <v>IS</v>
      </c>
      <c r="H334" s="43" t="str">
        <f>_xlfn.XLOOKUP($A334,Map!$A:$A,Map!D:D)</f>
        <v>Cost of sales</v>
      </c>
      <c r="I334" s="43" t="str">
        <f>_xlfn.XLOOKUP($A334,Map!$A:$A,Map!E:E)</f>
        <v>Raw materials</v>
      </c>
      <c r="J334" s="43" t="str">
        <f>_xlfn.XLOOKUP($A334,Map!$A:$A,Map!F:F)</f>
        <v>Other expenses</v>
      </c>
    </row>
    <row r="335" spans="1:10" x14ac:dyDescent="0.25">
      <c r="A335">
        <v>510004</v>
      </c>
      <c r="B335" t="s">
        <v>1348</v>
      </c>
      <c r="D335" s="116">
        <v>36701.129999999997</v>
      </c>
      <c r="E335" s="116">
        <v>0</v>
      </c>
      <c r="F335" s="116">
        <f t="shared" si="2"/>
        <v>36701.129999999997</v>
      </c>
      <c r="G335" s="43" t="str">
        <f>_xlfn.XLOOKUP($A335,Map!$A:$A,Map!C:C)</f>
        <v>IS</v>
      </c>
      <c r="H335" s="43" t="str">
        <f>_xlfn.XLOOKUP($A335,Map!$A:$A,Map!D:D)</f>
        <v>Cost of sales</v>
      </c>
      <c r="I335" s="43" t="str">
        <f>_xlfn.XLOOKUP($A335,Map!$A:$A,Map!E:E)</f>
        <v>Raw materials</v>
      </c>
      <c r="J335" s="43" t="str">
        <f>_xlfn.XLOOKUP($A335,Map!$A:$A,Map!F:F)</f>
        <v>Other expenses</v>
      </c>
    </row>
    <row r="336" spans="1:10" x14ac:dyDescent="0.25">
      <c r="A336">
        <v>510002</v>
      </c>
      <c r="B336" t="s">
        <v>1348</v>
      </c>
      <c r="D336" s="116">
        <v>0</v>
      </c>
      <c r="E336" s="116">
        <v>186668.5</v>
      </c>
      <c r="F336" s="116">
        <f t="shared" si="2"/>
        <v>-186668.5</v>
      </c>
      <c r="G336" s="43" t="str">
        <f>_xlfn.XLOOKUP($A336,Map!$A:$A,Map!C:C)</f>
        <v>IS</v>
      </c>
      <c r="H336" s="43" t="str">
        <f>_xlfn.XLOOKUP($A336,Map!$A:$A,Map!D:D)</f>
        <v>Cost of sales</v>
      </c>
      <c r="I336" s="43" t="str">
        <f>_xlfn.XLOOKUP($A336,Map!$A:$A,Map!E:E)</f>
        <v>Direct Labor</v>
      </c>
      <c r="J336" s="43" t="str">
        <f>_xlfn.XLOOKUP($A336,Map!$A:$A,Map!F:F)</f>
        <v>Direct Labor</v>
      </c>
    </row>
    <row r="337" spans="1:10" x14ac:dyDescent="0.25">
      <c r="A337">
        <v>510002</v>
      </c>
      <c r="B337" t="s">
        <v>1348</v>
      </c>
      <c r="D337" s="116">
        <v>0</v>
      </c>
      <c r="E337" s="116">
        <v>32850</v>
      </c>
      <c r="F337" s="116">
        <f t="shared" si="2"/>
        <v>-32850</v>
      </c>
      <c r="G337" s="43" t="str">
        <f>_xlfn.XLOOKUP($A337,Map!$A:$A,Map!C:C)</f>
        <v>IS</v>
      </c>
      <c r="H337" s="43" t="str">
        <f>_xlfn.XLOOKUP($A337,Map!$A:$A,Map!D:D)</f>
        <v>Cost of sales</v>
      </c>
      <c r="I337" s="43" t="str">
        <f>_xlfn.XLOOKUP($A337,Map!$A:$A,Map!E:E)</f>
        <v>Direct Labor</v>
      </c>
      <c r="J337" s="43" t="str">
        <f>_xlfn.XLOOKUP($A337,Map!$A:$A,Map!F:F)</f>
        <v>Direct Labor</v>
      </c>
    </row>
    <row r="338" spans="1:10" x14ac:dyDescent="0.25">
      <c r="A338">
        <v>510002</v>
      </c>
      <c r="B338" t="s">
        <v>1348</v>
      </c>
      <c r="D338" s="116">
        <v>0</v>
      </c>
      <c r="E338" s="116">
        <v>3400</v>
      </c>
      <c r="F338" s="116">
        <f t="shared" si="2"/>
        <v>-3400</v>
      </c>
      <c r="G338" s="43" t="str">
        <f>_xlfn.XLOOKUP($A338,Map!$A:$A,Map!C:C)</f>
        <v>IS</v>
      </c>
      <c r="H338" s="43" t="str">
        <f>_xlfn.XLOOKUP($A338,Map!$A:$A,Map!D:D)</f>
        <v>Cost of sales</v>
      </c>
      <c r="I338" s="43" t="str">
        <f>_xlfn.XLOOKUP($A338,Map!$A:$A,Map!E:E)</f>
        <v>Direct Labor</v>
      </c>
      <c r="J338" s="43" t="str">
        <f>_xlfn.XLOOKUP($A338,Map!$A:$A,Map!F:F)</f>
        <v>Direct Labor</v>
      </c>
    </row>
    <row r="339" spans="1:10" x14ac:dyDescent="0.25">
      <c r="A339">
        <v>510002</v>
      </c>
      <c r="B339" t="s">
        <v>1348</v>
      </c>
      <c r="D339" s="116">
        <v>0</v>
      </c>
      <c r="E339" s="116">
        <v>39427.5</v>
      </c>
      <c r="F339" s="116">
        <f t="shared" si="2"/>
        <v>-39427.5</v>
      </c>
      <c r="G339" s="43" t="str">
        <f>_xlfn.XLOOKUP($A339,Map!$A:$A,Map!C:C)</f>
        <v>IS</v>
      </c>
      <c r="H339" s="43" t="str">
        <f>_xlfn.XLOOKUP($A339,Map!$A:$A,Map!D:D)</f>
        <v>Cost of sales</v>
      </c>
      <c r="I339" s="43" t="str">
        <f>_xlfn.XLOOKUP($A339,Map!$A:$A,Map!E:E)</f>
        <v>Direct Labor</v>
      </c>
      <c r="J339" s="43" t="str">
        <f>_xlfn.XLOOKUP($A339,Map!$A:$A,Map!F:F)</f>
        <v>Direct Labor</v>
      </c>
    </row>
    <row r="340" spans="1:10" x14ac:dyDescent="0.25">
      <c r="A340">
        <v>510002</v>
      </c>
      <c r="B340" t="s">
        <v>1348</v>
      </c>
      <c r="D340" s="116">
        <v>0</v>
      </c>
      <c r="E340" s="116">
        <v>1724</v>
      </c>
      <c r="F340" s="116">
        <f t="shared" si="2"/>
        <v>-1724</v>
      </c>
      <c r="G340" s="43" t="str">
        <f>_xlfn.XLOOKUP($A340,Map!$A:$A,Map!C:C)</f>
        <v>IS</v>
      </c>
      <c r="H340" s="43" t="str">
        <f>_xlfn.XLOOKUP($A340,Map!$A:$A,Map!D:D)</f>
        <v>Cost of sales</v>
      </c>
      <c r="I340" s="43" t="str">
        <f>_xlfn.XLOOKUP($A340,Map!$A:$A,Map!E:E)</f>
        <v>Direct Labor</v>
      </c>
      <c r="J340" s="43" t="str">
        <f>_xlfn.XLOOKUP($A340,Map!$A:$A,Map!F:F)</f>
        <v>Direct Labor</v>
      </c>
    </row>
    <row r="341" spans="1:10" x14ac:dyDescent="0.25">
      <c r="A341">
        <v>510002</v>
      </c>
      <c r="B341" t="s">
        <v>1348</v>
      </c>
      <c r="D341" s="116">
        <v>0</v>
      </c>
      <c r="E341" s="116">
        <v>2238</v>
      </c>
      <c r="F341" s="116">
        <f t="shared" si="2"/>
        <v>-2238</v>
      </c>
      <c r="G341" s="43" t="str">
        <f>_xlfn.XLOOKUP($A341,Map!$A:$A,Map!C:C)</f>
        <v>IS</v>
      </c>
      <c r="H341" s="43" t="str">
        <f>_xlfn.XLOOKUP($A341,Map!$A:$A,Map!D:D)</f>
        <v>Cost of sales</v>
      </c>
      <c r="I341" s="43" t="str">
        <f>_xlfn.XLOOKUP($A341,Map!$A:$A,Map!E:E)</f>
        <v>Direct Labor</v>
      </c>
      <c r="J341" s="43" t="str">
        <f>_xlfn.XLOOKUP($A341,Map!$A:$A,Map!F:F)</f>
        <v>Direct Labor</v>
      </c>
    </row>
    <row r="342" spans="1:10" x14ac:dyDescent="0.25">
      <c r="A342">
        <v>510002</v>
      </c>
      <c r="B342" t="s">
        <v>1348</v>
      </c>
      <c r="D342" s="116">
        <v>0</v>
      </c>
      <c r="E342" s="116">
        <v>22257</v>
      </c>
      <c r="F342" s="116">
        <f t="shared" si="2"/>
        <v>-22257</v>
      </c>
      <c r="G342" s="43" t="str">
        <f>_xlfn.XLOOKUP($A342,Map!$A:$A,Map!C:C)</f>
        <v>IS</v>
      </c>
      <c r="H342" s="43" t="str">
        <f>_xlfn.XLOOKUP($A342,Map!$A:$A,Map!D:D)</f>
        <v>Cost of sales</v>
      </c>
      <c r="I342" s="43" t="str">
        <f>_xlfn.XLOOKUP($A342,Map!$A:$A,Map!E:E)</f>
        <v>Direct Labor</v>
      </c>
      <c r="J342" s="43" t="str">
        <f>_xlfn.XLOOKUP($A342,Map!$A:$A,Map!F:F)</f>
        <v>Direct Labor</v>
      </c>
    </row>
    <row r="343" spans="1:10" x14ac:dyDescent="0.25">
      <c r="A343">
        <v>510002</v>
      </c>
      <c r="B343" t="s">
        <v>1348</v>
      </c>
      <c r="D343" s="116">
        <v>0</v>
      </c>
      <c r="E343" s="116">
        <v>1460</v>
      </c>
      <c r="F343" s="116">
        <f t="shared" si="2"/>
        <v>-1460</v>
      </c>
      <c r="G343" s="43" t="str">
        <f>_xlfn.XLOOKUP($A343,Map!$A:$A,Map!C:C)</f>
        <v>IS</v>
      </c>
      <c r="H343" s="43" t="str">
        <f>_xlfn.XLOOKUP($A343,Map!$A:$A,Map!D:D)</f>
        <v>Cost of sales</v>
      </c>
      <c r="I343" s="43" t="str">
        <f>_xlfn.XLOOKUP($A343,Map!$A:$A,Map!E:E)</f>
        <v>Direct Labor</v>
      </c>
      <c r="J343" s="43" t="str">
        <f>_xlfn.XLOOKUP($A343,Map!$A:$A,Map!F:F)</f>
        <v>Direct Labor</v>
      </c>
    </row>
    <row r="344" spans="1:10" x14ac:dyDescent="0.25">
      <c r="A344">
        <v>600031</v>
      </c>
      <c r="B344" t="s">
        <v>1346</v>
      </c>
      <c r="D344" s="116">
        <v>613.33299999999997</v>
      </c>
      <c r="E344" s="116">
        <v>0</v>
      </c>
      <c r="F344" s="116">
        <f t="shared" si="2"/>
        <v>613.33299999999997</v>
      </c>
      <c r="G344" s="43" t="str">
        <f>_xlfn.XLOOKUP($A344,Map!$A:$A,Map!C:C)</f>
        <v>IS</v>
      </c>
      <c r="H344" s="43" t="str">
        <f>_xlfn.XLOOKUP($A344,Map!$A:$A,Map!D:D)</f>
        <v>Depreciation expenses</v>
      </c>
      <c r="I344" s="43" t="str">
        <f>_xlfn.XLOOKUP($A344,Map!$A:$A,Map!E:E)</f>
        <v>Depreciation expenses</v>
      </c>
      <c r="J344" s="43" t="str">
        <f>_xlfn.XLOOKUP($A344,Map!$A:$A,Map!F:F)</f>
        <v>Depreciation of property, plant and equipment</v>
      </c>
    </row>
    <row r="345" spans="1:10" x14ac:dyDescent="0.25">
      <c r="A345">
        <v>600030</v>
      </c>
      <c r="B345" t="s">
        <v>1346</v>
      </c>
      <c r="D345" s="116">
        <v>821.92</v>
      </c>
      <c r="E345" s="116">
        <v>0</v>
      </c>
      <c r="F345" s="116">
        <f t="shared" si="2"/>
        <v>821.92</v>
      </c>
      <c r="G345" s="43" t="str">
        <f>_xlfn.XLOOKUP($A345,Map!$A:$A,Map!C:C)</f>
        <v>IS</v>
      </c>
      <c r="H345" s="43" t="str">
        <f>_xlfn.XLOOKUP($A345,Map!$A:$A,Map!D:D)</f>
        <v>Depreciation expenses</v>
      </c>
      <c r="I345" s="43" t="str">
        <f>_xlfn.XLOOKUP($A345,Map!$A:$A,Map!E:E)</f>
        <v>Depreciation expenses</v>
      </c>
      <c r="J345" s="43" t="str">
        <f>_xlfn.XLOOKUP($A345,Map!$A:$A,Map!F:F)</f>
        <v>Depreciation of property, plant and equipment</v>
      </c>
    </row>
    <row r="346" spans="1:10" x14ac:dyDescent="0.25">
      <c r="A346">
        <v>600029</v>
      </c>
      <c r="B346" t="s">
        <v>1346</v>
      </c>
      <c r="D346" s="116">
        <v>285446.89</v>
      </c>
      <c r="E346" s="116">
        <v>0</v>
      </c>
      <c r="F346" s="116">
        <f t="shared" si="2"/>
        <v>285446.89</v>
      </c>
      <c r="G346" s="43" t="str">
        <f>_xlfn.XLOOKUP($A346,Map!$A:$A,Map!C:C)</f>
        <v>IS</v>
      </c>
      <c r="H346" s="43" t="str">
        <f>_xlfn.XLOOKUP($A346,Map!$A:$A,Map!D:D)</f>
        <v>Cost of sales</v>
      </c>
      <c r="I346" s="43" t="str">
        <f>_xlfn.XLOOKUP($A346,Map!$A:$A,Map!E:E)</f>
        <v>Depreciation - Machines</v>
      </c>
      <c r="J346" s="43" t="str">
        <f>_xlfn.XLOOKUP($A346,Map!$A:$A,Map!F:F)</f>
        <v>Depreciation of property, plant and equipment</v>
      </c>
    </row>
    <row r="347" spans="1:10" x14ac:dyDescent="0.25">
      <c r="A347">
        <v>600028</v>
      </c>
      <c r="B347" t="s">
        <v>1346</v>
      </c>
      <c r="D347" s="116">
        <v>3753</v>
      </c>
      <c r="E347" s="116">
        <v>0</v>
      </c>
      <c r="F347" s="116">
        <f t="shared" si="2"/>
        <v>3753</v>
      </c>
      <c r="G347" s="43" t="str">
        <f>_xlfn.XLOOKUP($A347,Map!$A:$A,Map!C:C)</f>
        <v>IS</v>
      </c>
      <c r="H347" s="43" t="str">
        <f>_xlfn.XLOOKUP($A347,Map!$A:$A,Map!D:D)</f>
        <v>Cost of sales</v>
      </c>
      <c r="I347" s="43" t="str">
        <f>_xlfn.XLOOKUP($A347,Map!$A:$A,Map!E:E)</f>
        <v>Overhead - Consumables &amp; SP</v>
      </c>
      <c r="J347" s="43" t="str">
        <f>_xlfn.XLOOKUP($A347,Map!$A:$A,Map!F:F)</f>
        <v xml:space="preserve">Education &amp; Furniture Allowances </v>
      </c>
    </row>
    <row r="348" spans="1:10" x14ac:dyDescent="0.25">
      <c r="A348">
        <v>600027</v>
      </c>
      <c r="B348" t="s">
        <v>1346</v>
      </c>
      <c r="D348" s="116">
        <v>51333.34</v>
      </c>
      <c r="E348" s="116">
        <v>0</v>
      </c>
      <c r="F348" s="116">
        <f t="shared" si="2"/>
        <v>51333.34</v>
      </c>
      <c r="G348" s="43" t="str">
        <f>_xlfn.XLOOKUP($A348,Map!$A:$A,Map!C:C)</f>
        <v>IS</v>
      </c>
      <c r="H348" s="43" t="str">
        <f>_xlfn.XLOOKUP($A348,Map!$A:$A,Map!D:D)</f>
        <v>Cost of sales</v>
      </c>
      <c r="I348" s="43" t="str">
        <f>_xlfn.XLOOKUP($A348,Map!$A:$A,Map!E:E)</f>
        <v>Overhead - Rent</v>
      </c>
      <c r="J348" s="43" t="str">
        <f>_xlfn.XLOOKUP($A348,Map!$A:$A,Map!F:F)</f>
        <v>Production hall rental</v>
      </c>
    </row>
    <row r="349" spans="1:10" x14ac:dyDescent="0.25">
      <c r="A349">
        <v>600024</v>
      </c>
      <c r="B349" t="s">
        <v>1346</v>
      </c>
      <c r="D349" s="116">
        <v>1352</v>
      </c>
      <c r="E349" s="116">
        <v>0</v>
      </c>
      <c r="F349" s="116">
        <f t="shared" si="2"/>
        <v>1352</v>
      </c>
      <c r="G349" s="43" t="str">
        <f>_xlfn.XLOOKUP($A349,Map!$A:$A,Map!C:C)</f>
        <v>IS</v>
      </c>
      <c r="H349" s="43" t="str">
        <f>_xlfn.XLOOKUP($A349,Map!$A:$A,Map!D:D)</f>
        <v>Cost of sales</v>
      </c>
      <c r="I349" s="43" t="str">
        <f>_xlfn.XLOOKUP($A349,Map!$A:$A,Map!E:E)</f>
        <v>Overhead - Rent</v>
      </c>
      <c r="J349" s="43" t="str">
        <f>_xlfn.XLOOKUP($A349,Map!$A:$A,Map!F:F)</f>
        <v>Pump rental expenses</v>
      </c>
    </row>
    <row r="350" spans="1:10" x14ac:dyDescent="0.25">
      <c r="A350">
        <v>600020</v>
      </c>
      <c r="B350" t="s">
        <v>1346</v>
      </c>
      <c r="D350" s="116">
        <v>3390</v>
      </c>
      <c r="E350" s="116">
        <v>0</v>
      </c>
      <c r="F350" s="116">
        <f t="shared" si="2"/>
        <v>3390</v>
      </c>
      <c r="G350" s="43" t="str">
        <f>_xlfn.XLOOKUP($A350,Map!$A:$A,Map!C:C)</f>
        <v>IS</v>
      </c>
      <c r="H350" s="43" t="str">
        <f>_xlfn.XLOOKUP($A350,Map!$A:$A,Map!D:D)</f>
        <v>Cost of sales</v>
      </c>
      <c r="I350" s="43" t="str">
        <f>_xlfn.XLOOKUP($A350,Map!$A:$A,Map!E:E)</f>
        <v>Overhead - R&amp;M</v>
      </c>
      <c r="J350" s="43" t="str">
        <f>_xlfn.XLOOKUP($A350,Map!$A:$A,Map!F:F)</f>
        <v>Machine and equipment</v>
      </c>
    </row>
    <row r="351" spans="1:10" x14ac:dyDescent="0.25">
      <c r="A351">
        <v>600019</v>
      </c>
      <c r="B351" t="s">
        <v>1346</v>
      </c>
      <c r="D351" s="116">
        <v>14092</v>
      </c>
      <c r="E351" s="116">
        <v>0</v>
      </c>
      <c r="F351" s="116">
        <f t="shared" si="2"/>
        <v>14092</v>
      </c>
      <c r="G351" s="43" t="str">
        <f>_xlfn.XLOOKUP($A351,Map!$A:$A,Map!C:C)</f>
        <v>IS</v>
      </c>
      <c r="H351" s="43" t="str">
        <f>_xlfn.XLOOKUP($A351,Map!$A:$A,Map!D:D)</f>
        <v>Cost of sales</v>
      </c>
      <c r="I351" s="43" t="str">
        <f>_xlfn.XLOOKUP($A351,Map!$A:$A,Map!E:E)</f>
        <v>Overhead - Utility</v>
      </c>
      <c r="J351" s="43" t="str">
        <f>_xlfn.XLOOKUP($A351,Map!$A:$A,Map!F:F)</f>
        <v>Fuel and oil</v>
      </c>
    </row>
    <row r="352" spans="1:10" x14ac:dyDescent="0.25">
      <c r="A352">
        <v>600018</v>
      </c>
      <c r="B352" t="s">
        <v>1346</v>
      </c>
      <c r="D352" s="116">
        <v>5250</v>
      </c>
      <c r="E352" s="116">
        <v>0</v>
      </c>
      <c r="F352" s="116">
        <f t="shared" si="2"/>
        <v>5250</v>
      </c>
      <c r="G352" s="43" t="str">
        <f>_xlfn.XLOOKUP($A352,Map!$A:$A,Map!C:C)</f>
        <v>IS</v>
      </c>
      <c r="H352" s="43" t="str">
        <f>_xlfn.XLOOKUP($A352,Map!$A:$A,Map!D:D)</f>
        <v>Cost of sales</v>
      </c>
      <c r="I352" s="43" t="str">
        <f>_xlfn.XLOOKUP($A352,Map!$A:$A,Map!E:E)</f>
        <v>Overhead - Utility</v>
      </c>
      <c r="J352" s="43" t="str">
        <f>_xlfn.XLOOKUP($A352,Map!$A:$A,Map!F:F)</f>
        <v>Water expenses</v>
      </c>
    </row>
    <row r="353" spans="1:10" x14ac:dyDescent="0.25">
      <c r="A353">
        <v>600017</v>
      </c>
      <c r="B353" t="s">
        <v>1346</v>
      </c>
      <c r="D353" s="116">
        <v>224385.1</v>
      </c>
      <c r="E353" s="116">
        <v>0</v>
      </c>
      <c r="F353" s="116">
        <f t="shared" si="2"/>
        <v>224385.1</v>
      </c>
      <c r="G353" s="43" t="str">
        <f>_xlfn.XLOOKUP($A353,Map!$A:$A,Map!C:C)</f>
        <v>IS</v>
      </c>
      <c r="H353" s="43" t="str">
        <f>_xlfn.XLOOKUP($A353,Map!$A:$A,Map!D:D)</f>
        <v>Cost of sales</v>
      </c>
      <c r="I353" s="43" t="str">
        <f>_xlfn.XLOOKUP($A353,Map!$A:$A,Map!E:E)</f>
        <v>Overhead - Utility</v>
      </c>
      <c r="J353" s="43" t="str">
        <f>_xlfn.XLOOKUP($A353,Map!$A:$A,Map!F:F)</f>
        <v>Electricity expenses</v>
      </c>
    </row>
    <row r="354" spans="1:10" x14ac:dyDescent="0.25">
      <c r="A354">
        <v>600016</v>
      </c>
      <c r="B354" t="s">
        <v>1346</v>
      </c>
      <c r="D354" s="116">
        <v>1E-3</v>
      </c>
      <c r="E354" s="116">
        <v>0</v>
      </c>
      <c r="F354" s="116">
        <f t="shared" si="2"/>
        <v>1E-3</v>
      </c>
      <c r="G354" s="43" t="str">
        <f>_xlfn.XLOOKUP($A354,Map!$A:$A,Map!C:C)</f>
        <v>IS</v>
      </c>
      <c r="H354" s="43" t="str">
        <f>_xlfn.XLOOKUP($A354,Map!$A:$A,Map!D:D)</f>
        <v>Cost of sales</v>
      </c>
      <c r="I354" s="43" t="str">
        <f>_xlfn.XLOOKUP($A354,Map!$A:$A,Map!E:E)</f>
        <v>Overhead - Consumables &amp; SP</v>
      </c>
      <c r="J354" s="43" t="str">
        <f>_xlfn.XLOOKUP($A354,Map!$A:$A,Map!F:F)</f>
        <v>Tools</v>
      </c>
    </row>
    <row r="355" spans="1:10" x14ac:dyDescent="0.25">
      <c r="A355">
        <v>600016</v>
      </c>
      <c r="B355" t="s">
        <v>1346</v>
      </c>
      <c r="D355" s="116">
        <v>1E-3</v>
      </c>
      <c r="E355" s="116">
        <v>0</v>
      </c>
      <c r="F355" s="116">
        <f t="shared" si="2"/>
        <v>1E-3</v>
      </c>
      <c r="G355" s="43" t="str">
        <f>_xlfn.XLOOKUP($A355,Map!$A:$A,Map!C:C)</f>
        <v>IS</v>
      </c>
      <c r="H355" s="43" t="str">
        <f>_xlfn.XLOOKUP($A355,Map!$A:$A,Map!D:D)</f>
        <v>Cost of sales</v>
      </c>
      <c r="I355" s="43" t="str">
        <f>_xlfn.XLOOKUP($A355,Map!$A:$A,Map!E:E)</f>
        <v>Overhead - Consumables &amp; SP</v>
      </c>
      <c r="J355" s="43" t="str">
        <f>_xlfn.XLOOKUP($A355,Map!$A:$A,Map!F:F)</f>
        <v>Tools</v>
      </c>
    </row>
    <row r="356" spans="1:10" x14ac:dyDescent="0.25">
      <c r="A356">
        <v>600016</v>
      </c>
      <c r="B356" t="s">
        <v>1346</v>
      </c>
      <c r="D356" s="116">
        <v>1E-3</v>
      </c>
      <c r="E356" s="116">
        <v>0</v>
      </c>
      <c r="F356" s="116">
        <f t="shared" si="2"/>
        <v>1E-3</v>
      </c>
      <c r="G356" s="43" t="str">
        <f>_xlfn.XLOOKUP($A356,Map!$A:$A,Map!C:C)</f>
        <v>IS</v>
      </c>
      <c r="H356" s="43" t="str">
        <f>_xlfn.XLOOKUP($A356,Map!$A:$A,Map!D:D)</f>
        <v>Cost of sales</v>
      </c>
      <c r="I356" s="43" t="str">
        <f>_xlfn.XLOOKUP($A356,Map!$A:$A,Map!E:E)</f>
        <v>Overhead - Consumables &amp; SP</v>
      </c>
      <c r="J356" s="43" t="str">
        <f>_xlfn.XLOOKUP($A356,Map!$A:$A,Map!F:F)</f>
        <v>Tools</v>
      </c>
    </row>
    <row r="357" spans="1:10" x14ac:dyDescent="0.25">
      <c r="A357">
        <v>600016</v>
      </c>
      <c r="B357" t="s">
        <v>1346</v>
      </c>
      <c r="D357" s="116">
        <v>1E-3</v>
      </c>
      <c r="E357" s="116">
        <v>0</v>
      </c>
      <c r="F357" s="116">
        <f t="shared" si="2"/>
        <v>1E-3</v>
      </c>
      <c r="G357" s="43" t="str">
        <f>_xlfn.XLOOKUP($A357,Map!$A:$A,Map!C:C)</f>
        <v>IS</v>
      </c>
      <c r="H357" s="43" t="str">
        <f>_xlfn.XLOOKUP($A357,Map!$A:$A,Map!D:D)</f>
        <v>Cost of sales</v>
      </c>
      <c r="I357" s="43" t="str">
        <f>_xlfn.XLOOKUP($A357,Map!$A:$A,Map!E:E)</f>
        <v>Overhead - Consumables &amp; SP</v>
      </c>
      <c r="J357" s="43" t="str">
        <f>_xlfn.XLOOKUP($A357,Map!$A:$A,Map!F:F)</f>
        <v>Tools</v>
      </c>
    </row>
    <row r="358" spans="1:10" x14ac:dyDescent="0.25">
      <c r="A358">
        <v>600016</v>
      </c>
      <c r="B358" t="s">
        <v>1346</v>
      </c>
      <c r="D358" s="116">
        <v>15185.394</v>
      </c>
      <c r="E358" s="116">
        <v>0</v>
      </c>
      <c r="F358" s="116">
        <f t="shared" si="2"/>
        <v>15185.394</v>
      </c>
      <c r="G358" s="43" t="str">
        <f>_xlfn.XLOOKUP($A358,Map!$A:$A,Map!C:C)</f>
        <v>IS</v>
      </c>
      <c r="H358" s="43" t="str">
        <f>_xlfn.XLOOKUP($A358,Map!$A:$A,Map!D:D)</f>
        <v>Cost of sales</v>
      </c>
      <c r="I358" s="43" t="str">
        <f>_xlfn.XLOOKUP($A358,Map!$A:$A,Map!E:E)</f>
        <v>Overhead - Consumables &amp; SP</v>
      </c>
      <c r="J358" s="43" t="str">
        <f>_xlfn.XLOOKUP($A358,Map!$A:$A,Map!F:F)</f>
        <v>Tools</v>
      </c>
    </row>
    <row r="359" spans="1:10" x14ac:dyDescent="0.25">
      <c r="A359">
        <v>600015</v>
      </c>
      <c r="B359" t="s">
        <v>1346</v>
      </c>
      <c r="D359" s="116">
        <v>73242.399999999994</v>
      </c>
      <c r="E359" s="116">
        <v>0</v>
      </c>
      <c r="F359" s="116">
        <f t="shared" si="2"/>
        <v>73242.399999999994</v>
      </c>
      <c r="G359" s="43" t="str">
        <f>_xlfn.XLOOKUP($A359,Map!$A:$A,Map!C:C)</f>
        <v>IS</v>
      </c>
      <c r="H359" s="43" t="str">
        <f>_xlfn.XLOOKUP($A359,Map!$A:$A,Map!D:D)</f>
        <v>Cost of sales</v>
      </c>
      <c r="I359" s="43" t="str">
        <f>_xlfn.XLOOKUP($A359,Map!$A:$A,Map!E:E)</f>
        <v>Overhead - Consumables &amp; SP</v>
      </c>
      <c r="J359" s="43" t="str">
        <f>_xlfn.XLOOKUP($A359,Map!$A:$A,Map!F:F)</f>
        <v>Consumables</v>
      </c>
    </row>
    <row r="360" spans="1:10" x14ac:dyDescent="0.25">
      <c r="A360">
        <v>600014</v>
      </c>
      <c r="B360" t="s">
        <v>1346</v>
      </c>
      <c r="D360" s="116">
        <v>31397.001</v>
      </c>
      <c r="E360" s="116">
        <v>0</v>
      </c>
      <c r="F360" s="116">
        <f t="shared" si="2"/>
        <v>31397.001</v>
      </c>
      <c r="G360" s="43" t="str">
        <f>_xlfn.XLOOKUP($A360,Map!$A:$A,Map!C:C)</f>
        <v>IS</v>
      </c>
      <c r="H360" s="43" t="str">
        <f>_xlfn.XLOOKUP($A360,Map!$A:$A,Map!D:D)</f>
        <v>Cost of sales</v>
      </c>
      <c r="I360" s="43" t="str">
        <f>_xlfn.XLOOKUP($A360,Map!$A:$A,Map!E:E)</f>
        <v>Overhead - Consumables &amp; SP</v>
      </c>
      <c r="J360" s="43" t="str">
        <f>_xlfn.XLOOKUP($A360,Map!$A:$A,Map!F:F)</f>
        <v>Consumables</v>
      </c>
    </row>
    <row r="361" spans="1:10" x14ac:dyDescent="0.25">
      <c r="A361">
        <v>600013</v>
      </c>
      <c r="B361" t="s">
        <v>1346</v>
      </c>
      <c r="D361" s="116">
        <v>140</v>
      </c>
      <c r="E361" s="116">
        <v>0</v>
      </c>
      <c r="F361" s="116">
        <f t="shared" si="2"/>
        <v>140</v>
      </c>
      <c r="G361" s="43" t="str">
        <f>_xlfn.XLOOKUP($A361,Map!$A:$A,Map!C:C)</f>
        <v>IS</v>
      </c>
      <c r="H361" s="43" t="str">
        <f>_xlfn.XLOOKUP($A361,Map!$A:$A,Map!D:D)</f>
        <v>Cost of sales</v>
      </c>
      <c r="I361" s="43" t="str">
        <f>_xlfn.XLOOKUP($A361,Map!$A:$A,Map!E:E)</f>
        <v>Overhead - Labor Cost</v>
      </c>
      <c r="J361" s="43" t="str">
        <f>_xlfn.XLOOKUP($A361,Map!$A:$A,Map!F:F)</f>
        <v>Telephone allowance</v>
      </c>
    </row>
    <row r="362" spans="1:10" x14ac:dyDescent="0.25">
      <c r="A362">
        <v>600011</v>
      </c>
      <c r="B362" t="s">
        <v>1346</v>
      </c>
      <c r="D362" s="116">
        <v>1000</v>
      </c>
      <c r="E362" s="116">
        <v>0</v>
      </c>
      <c r="F362" s="116">
        <f t="shared" si="2"/>
        <v>1000</v>
      </c>
      <c r="G362" s="43" t="str">
        <f>_xlfn.XLOOKUP($A362,Map!$A:$A,Map!C:C)</f>
        <v>IS</v>
      </c>
      <c r="H362" s="43" t="str">
        <f>_xlfn.XLOOKUP($A362,Map!$A:$A,Map!D:D)</f>
        <v>Cost of sales</v>
      </c>
      <c r="I362" s="43" t="str">
        <f>_xlfn.XLOOKUP($A362,Map!$A:$A,Map!E:E)</f>
        <v>Overhead - Labor Cost</v>
      </c>
      <c r="J362" s="43" t="str">
        <f>_xlfn.XLOOKUP($A362,Map!$A:$A,Map!F:F)</f>
        <v>Air tickets</v>
      </c>
    </row>
    <row r="363" spans="1:10" x14ac:dyDescent="0.25">
      <c r="A363">
        <v>600009</v>
      </c>
      <c r="B363" t="s">
        <v>1346</v>
      </c>
      <c r="D363" s="116">
        <v>16515</v>
      </c>
      <c r="E363" s="116">
        <v>0</v>
      </c>
      <c r="F363" s="116">
        <f t="shared" si="2"/>
        <v>16515</v>
      </c>
      <c r="G363" s="43" t="str">
        <f>_xlfn.XLOOKUP($A363,Map!$A:$A,Map!C:C)</f>
        <v>IS</v>
      </c>
      <c r="H363" s="43" t="str">
        <f>_xlfn.XLOOKUP($A363,Map!$A:$A,Map!D:D)</f>
        <v>Cost of sales</v>
      </c>
      <c r="I363" s="43" t="str">
        <f>_xlfn.XLOOKUP($A363,Map!$A:$A,Map!E:E)</f>
        <v>Overhead - Labor Cost</v>
      </c>
      <c r="J363" s="43" t="str">
        <f>_xlfn.XLOOKUP($A363,Map!$A:$A,Map!F:F)</f>
        <v>Vacation pay</v>
      </c>
    </row>
    <row r="364" spans="1:10" x14ac:dyDescent="0.25">
      <c r="A364">
        <v>600008</v>
      </c>
      <c r="B364" t="s">
        <v>1346</v>
      </c>
      <c r="D364" s="116">
        <v>27105</v>
      </c>
      <c r="E364" s="116">
        <v>0</v>
      </c>
      <c r="F364" s="116">
        <f t="shared" si="2"/>
        <v>27105</v>
      </c>
      <c r="G364" s="43" t="str">
        <f>_xlfn.XLOOKUP($A364,Map!$A:$A,Map!C:C)</f>
        <v>IS</v>
      </c>
      <c r="H364" s="43" t="str">
        <f>_xlfn.XLOOKUP($A364,Map!$A:$A,Map!D:D)</f>
        <v>Cost of sales</v>
      </c>
      <c r="I364" s="43" t="str">
        <f>_xlfn.XLOOKUP($A364,Map!$A:$A,Map!E:E)</f>
        <v>Overhead - Labor Cost</v>
      </c>
      <c r="J364" s="43" t="str">
        <f>_xlfn.XLOOKUP($A364,Map!$A:$A,Map!F:F)</f>
        <v>Air tickets</v>
      </c>
    </row>
    <row r="365" spans="1:10" x14ac:dyDescent="0.25">
      <c r="A365">
        <v>600007</v>
      </c>
      <c r="B365" t="s">
        <v>1346</v>
      </c>
      <c r="D365" s="116">
        <v>667</v>
      </c>
      <c r="E365" s="116">
        <v>0</v>
      </c>
      <c r="F365" s="116">
        <f t="shared" si="2"/>
        <v>667</v>
      </c>
      <c r="G365" s="43" t="str">
        <f>_xlfn.XLOOKUP($A365,Map!$A:$A,Map!C:C)</f>
        <v>IS</v>
      </c>
      <c r="H365" s="43" t="str">
        <f>_xlfn.XLOOKUP($A365,Map!$A:$A,Map!D:D)</f>
        <v>Cost of sales</v>
      </c>
      <c r="I365" s="43" t="str">
        <f>_xlfn.XLOOKUP($A365,Map!$A:$A,Map!E:E)</f>
        <v>Overhead - Labor Cost</v>
      </c>
      <c r="J365" s="43" t="str">
        <f>_xlfn.XLOOKUP($A365,Map!$A:$A,Map!F:F)</f>
        <v>Transportation allowance</v>
      </c>
    </row>
    <row r="366" spans="1:10" x14ac:dyDescent="0.25">
      <c r="A366">
        <v>600006</v>
      </c>
      <c r="B366" t="s">
        <v>1346</v>
      </c>
      <c r="D366" s="116">
        <v>26077.68</v>
      </c>
      <c r="E366" s="116">
        <v>0</v>
      </c>
      <c r="F366" s="116">
        <f t="shared" si="2"/>
        <v>26077.68</v>
      </c>
      <c r="G366" s="43" t="str">
        <f>_xlfn.XLOOKUP($A366,Map!$A:$A,Map!C:C)</f>
        <v>IS</v>
      </c>
      <c r="H366" s="43" t="str">
        <f>_xlfn.XLOOKUP($A366,Map!$A:$A,Map!D:D)</f>
        <v>Cost of sales</v>
      </c>
      <c r="I366" s="43" t="str">
        <f>_xlfn.XLOOKUP($A366,Map!$A:$A,Map!E:E)</f>
        <v>Overhead - Labor Cost</v>
      </c>
      <c r="J366" s="43" t="str">
        <f>_xlfn.XLOOKUP($A366,Map!$A:$A,Map!F:F)</f>
        <v xml:space="preserve">Food &amp; Housing </v>
      </c>
    </row>
    <row r="367" spans="1:10" x14ac:dyDescent="0.25">
      <c r="A367">
        <v>600005</v>
      </c>
      <c r="B367" t="s">
        <v>1346</v>
      </c>
      <c r="D367" s="116">
        <v>62750</v>
      </c>
      <c r="E367" s="116">
        <v>0</v>
      </c>
      <c r="F367" s="116">
        <f t="shared" si="2"/>
        <v>62750</v>
      </c>
      <c r="G367" s="43" t="str">
        <f>_xlfn.XLOOKUP($A367,Map!$A:$A,Map!C:C)</f>
        <v>IS</v>
      </c>
      <c r="H367" s="43" t="str">
        <f>_xlfn.XLOOKUP($A367,Map!$A:$A,Map!D:D)</f>
        <v>General and Admin</v>
      </c>
      <c r="I367" s="43" t="str">
        <f>_xlfn.XLOOKUP($A367,Map!$A:$A,Map!E:E)</f>
        <v>Govt license and fees (including modon)</v>
      </c>
      <c r="J367" s="43" t="str">
        <f>_xlfn.XLOOKUP($A367,Map!$A:$A,Map!F:F)</f>
        <v>Government fees</v>
      </c>
    </row>
    <row r="368" spans="1:10" x14ac:dyDescent="0.25">
      <c r="A368">
        <v>600004</v>
      </c>
      <c r="B368" t="s">
        <v>1346</v>
      </c>
      <c r="D368" s="116">
        <v>8583.0300000000007</v>
      </c>
      <c r="E368" s="116">
        <v>0</v>
      </c>
      <c r="F368" s="116">
        <f t="shared" si="2"/>
        <v>8583.0300000000007</v>
      </c>
      <c r="G368" s="43" t="str">
        <f>_xlfn.XLOOKUP($A368,Map!$A:$A,Map!C:C)</f>
        <v>IS</v>
      </c>
      <c r="H368" s="43" t="str">
        <f>_xlfn.XLOOKUP($A368,Map!$A:$A,Map!D:D)</f>
        <v>Cost of sales</v>
      </c>
      <c r="I368" s="43" t="str">
        <f>_xlfn.XLOOKUP($A368,Map!$A:$A,Map!E:E)</f>
        <v>Overhead - Labor Cost</v>
      </c>
      <c r="J368" s="43" t="str">
        <f>_xlfn.XLOOKUP($A368,Map!$A:$A,Map!F:F)</f>
        <v>Medical insurance</v>
      </c>
    </row>
    <row r="369" spans="1:10" x14ac:dyDescent="0.25">
      <c r="A369">
        <v>600003</v>
      </c>
      <c r="B369" t="s">
        <v>1346</v>
      </c>
      <c r="D369" s="116">
        <v>2615</v>
      </c>
      <c r="E369" s="116">
        <v>0</v>
      </c>
      <c r="F369" s="116">
        <f t="shared" si="2"/>
        <v>2615</v>
      </c>
      <c r="G369" s="43" t="str">
        <f>_xlfn.XLOOKUP($A369,Map!$A:$A,Map!C:C)</f>
        <v>IS</v>
      </c>
      <c r="H369" s="43" t="str">
        <f>_xlfn.XLOOKUP($A369,Map!$A:$A,Map!D:D)</f>
        <v>Cost of sales</v>
      </c>
      <c r="I369" s="43" t="str">
        <f>_xlfn.XLOOKUP($A369,Map!$A:$A,Map!E:E)</f>
        <v>Overhead - Labor Cost</v>
      </c>
      <c r="J369" s="43" t="str">
        <f>_xlfn.XLOOKUP($A369,Map!$A:$A,Map!F:F)</f>
        <v xml:space="preserve">Food &amp; Housing </v>
      </c>
    </row>
    <row r="370" spans="1:10" x14ac:dyDescent="0.25">
      <c r="A370">
        <v>600002</v>
      </c>
      <c r="B370" t="s">
        <v>1346</v>
      </c>
      <c r="D370" s="116">
        <v>9233</v>
      </c>
      <c r="E370" s="116">
        <v>0</v>
      </c>
      <c r="F370" s="116">
        <f t="shared" si="2"/>
        <v>9233</v>
      </c>
      <c r="G370" s="43" t="str">
        <f>_xlfn.XLOOKUP($A370,Map!$A:$A,Map!C:C)</f>
        <v>IS</v>
      </c>
      <c r="H370" s="43" t="str">
        <f>_xlfn.XLOOKUP($A370,Map!$A:$A,Map!D:D)</f>
        <v>Cost of sales</v>
      </c>
      <c r="I370" s="43" t="str">
        <f>_xlfn.XLOOKUP($A370,Map!$A:$A,Map!E:E)</f>
        <v>Overhead - Labor Cost</v>
      </c>
      <c r="J370" s="43" t="str">
        <f>_xlfn.XLOOKUP($A370,Map!$A:$A,Map!F:F)</f>
        <v>Overtime pay</v>
      </c>
    </row>
    <row r="371" spans="1:10" x14ac:dyDescent="0.25">
      <c r="A371">
        <v>600001</v>
      </c>
      <c r="B371" t="s">
        <v>1346</v>
      </c>
      <c r="D371" s="116">
        <v>91794</v>
      </c>
      <c r="E371" s="116">
        <v>0</v>
      </c>
      <c r="F371" s="116">
        <f t="shared" si="2"/>
        <v>91794</v>
      </c>
      <c r="G371" s="43" t="str">
        <f>_xlfn.XLOOKUP($A371,Map!$A:$A,Map!C:C)</f>
        <v>IS</v>
      </c>
      <c r="H371" s="43" t="str">
        <f>_xlfn.XLOOKUP($A371,Map!$A:$A,Map!D:D)</f>
        <v>Cost of sales</v>
      </c>
      <c r="I371" s="43" t="str">
        <f>_xlfn.XLOOKUP($A371,Map!$A:$A,Map!E:E)</f>
        <v>Overhead - Labor Cost</v>
      </c>
      <c r="J371" s="43" t="str">
        <f>_xlfn.XLOOKUP($A371,Map!$A:$A,Map!F:F)</f>
        <v>Indirect Salaries — factory supervisory / indirect floor labour (COGS)</v>
      </c>
    </row>
    <row r="372" spans="1:10" x14ac:dyDescent="0.25">
      <c r="A372">
        <v>520042</v>
      </c>
      <c r="B372" t="s">
        <v>1346</v>
      </c>
      <c r="D372" s="116">
        <v>142220.84</v>
      </c>
      <c r="E372" s="116">
        <v>0</v>
      </c>
      <c r="F372" s="116">
        <f t="shared" si="2"/>
        <v>142220.84</v>
      </c>
      <c r="G372" s="43" t="str">
        <f>_xlfn.XLOOKUP($A372,Map!$A:$A,Map!C:C)</f>
        <v>IS</v>
      </c>
      <c r="H372" s="43" t="str">
        <f>_xlfn.XLOOKUP($A372,Map!$A:$A,Map!D:D)</f>
        <v>Cost of sales</v>
      </c>
      <c r="I372" s="43" t="str">
        <f>_xlfn.XLOOKUP($A372,Map!$A:$A,Map!E:E)</f>
        <v>Raw materials</v>
      </c>
      <c r="J372" s="43" t="str">
        <f>_xlfn.XLOOKUP($A372,Map!$A:$A,Map!F:F)</f>
        <v>Inventory Adjustment</v>
      </c>
    </row>
    <row r="373" spans="1:10" x14ac:dyDescent="0.25">
      <c r="A373">
        <v>520041</v>
      </c>
      <c r="B373" t="s">
        <v>1346</v>
      </c>
      <c r="D373" s="116">
        <v>0</v>
      </c>
      <c r="E373" s="116">
        <v>663061.43200000003</v>
      </c>
      <c r="F373" s="116">
        <f t="shared" si="2"/>
        <v>-663061.43200000003</v>
      </c>
      <c r="G373" s="43" t="str">
        <f>_xlfn.XLOOKUP($A373,Map!$A:$A,Map!C:C)</f>
        <v>IS</v>
      </c>
      <c r="H373" s="43" t="str">
        <f>_xlfn.XLOOKUP($A373,Map!$A:$A,Map!D:D)</f>
        <v>Cost of sales</v>
      </c>
      <c r="I373" s="43" t="str">
        <f>_xlfn.XLOOKUP($A373,Map!$A:$A,Map!E:E)</f>
        <v>Raw materials</v>
      </c>
      <c r="J373" s="43" t="str">
        <f>_xlfn.XLOOKUP($A373,Map!$A:$A,Map!F:F)</f>
        <v>Other expenses</v>
      </c>
    </row>
    <row r="374" spans="1:10" x14ac:dyDescent="0.25">
      <c r="A374">
        <v>510004</v>
      </c>
      <c r="B374" t="s">
        <v>1346</v>
      </c>
      <c r="D374" s="116">
        <v>0</v>
      </c>
      <c r="E374" s="116">
        <v>88139.11</v>
      </c>
      <c r="F374" s="116">
        <f t="shared" si="2"/>
        <v>-88139.11</v>
      </c>
      <c r="G374" s="43" t="str">
        <f>_xlfn.XLOOKUP($A374,Map!$A:$A,Map!C:C)</f>
        <v>IS</v>
      </c>
      <c r="H374" s="43" t="str">
        <f>_xlfn.XLOOKUP($A374,Map!$A:$A,Map!D:D)</f>
        <v>Cost of sales</v>
      </c>
      <c r="I374" s="43" t="str">
        <f>_xlfn.XLOOKUP($A374,Map!$A:$A,Map!E:E)</f>
        <v>Raw materials</v>
      </c>
      <c r="J374" s="43" t="str">
        <f>_xlfn.XLOOKUP($A374,Map!$A:$A,Map!F:F)</f>
        <v>Other expenses</v>
      </c>
    </row>
    <row r="375" spans="1:10" x14ac:dyDescent="0.25">
      <c r="A375">
        <v>510004</v>
      </c>
      <c r="B375" t="s">
        <v>1346</v>
      </c>
      <c r="D375" s="116">
        <v>0</v>
      </c>
      <c r="E375" s="116">
        <v>12384.63</v>
      </c>
      <c r="F375" s="116">
        <f t="shared" si="2"/>
        <v>-12384.63</v>
      </c>
      <c r="G375" s="43" t="str">
        <f>_xlfn.XLOOKUP($A375,Map!$A:$A,Map!C:C)</f>
        <v>IS</v>
      </c>
      <c r="H375" s="43" t="str">
        <f>_xlfn.XLOOKUP($A375,Map!$A:$A,Map!D:D)</f>
        <v>Cost of sales</v>
      </c>
      <c r="I375" s="43" t="str">
        <f>_xlfn.XLOOKUP($A375,Map!$A:$A,Map!E:E)</f>
        <v>Raw materials</v>
      </c>
      <c r="J375" s="43" t="str">
        <f>_xlfn.XLOOKUP($A375,Map!$A:$A,Map!F:F)</f>
        <v>Other expenses</v>
      </c>
    </row>
    <row r="376" spans="1:10" x14ac:dyDescent="0.25">
      <c r="A376">
        <v>510004</v>
      </c>
      <c r="B376" t="s">
        <v>1346</v>
      </c>
      <c r="D376" s="116">
        <v>0</v>
      </c>
      <c r="E376" s="116">
        <v>309994.34000000003</v>
      </c>
      <c r="F376" s="116">
        <f t="shared" si="2"/>
        <v>-309994.34000000003</v>
      </c>
      <c r="G376" s="43" t="str">
        <f>_xlfn.XLOOKUP($A376,Map!$A:$A,Map!C:C)</f>
        <v>IS</v>
      </c>
      <c r="H376" s="43" t="str">
        <f>_xlfn.XLOOKUP($A376,Map!$A:$A,Map!D:D)</f>
        <v>Cost of sales</v>
      </c>
      <c r="I376" s="43" t="str">
        <f>_xlfn.XLOOKUP($A376,Map!$A:$A,Map!E:E)</f>
        <v>Raw materials</v>
      </c>
      <c r="J376" s="43" t="str">
        <f>_xlfn.XLOOKUP($A376,Map!$A:$A,Map!F:F)</f>
        <v>Other expenses</v>
      </c>
    </row>
    <row r="377" spans="1:10" x14ac:dyDescent="0.25">
      <c r="A377">
        <v>510004</v>
      </c>
      <c r="B377" t="s">
        <v>1346</v>
      </c>
      <c r="D377" s="116">
        <v>0</v>
      </c>
      <c r="E377" s="116">
        <v>25383.42</v>
      </c>
      <c r="F377" s="116">
        <f t="shared" si="2"/>
        <v>-25383.42</v>
      </c>
      <c r="G377" s="43" t="str">
        <f>_xlfn.XLOOKUP($A377,Map!$A:$A,Map!C:C)</f>
        <v>IS</v>
      </c>
      <c r="H377" s="43" t="str">
        <f>_xlfn.XLOOKUP($A377,Map!$A:$A,Map!D:D)</f>
        <v>Cost of sales</v>
      </c>
      <c r="I377" s="43" t="str">
        <f>_xlfn.XLOOKUP($A377,Map!$A:$A,Map!E:E)</f>
        <v>Raw materials</v>
      </c>
      <c r="J377" s="43" t="str">
        <f>_xlfn.XLOOKUP($A377,Map!$A:$A,Map!F:F)</f>
        <v>Other expenses</v>
      </c>
    </row>
    <row r="378" spans="1:10" x14ac:dyDescent="0.25">
      <c r="A378">
        <v>520041</v>
      </c>
      <c r="B378" t="s">
        <v>1346</v>
      </c>
      <c r="D378" s="116">
        <v>0</v>
      </c>
      <c r="E378" s="116">
        <v>54117.487000000001</v>
      </c>
      <c r="F378" s="116">
        <f t="shared" si="2"/>
        <v>-54117.487000000001</v>
      </c>
      <c r="G378" s="43" t="str">
        <f>_xlfn.XLOOKUP($A378,Map!$A:$A,Map!C:C)</f>
        <v>IS</v>
      </c>
      <c r="H378" s="43" t="str">
        <f>_xlfn.XLOOKUP($A378,Map!$A:$A,Map!D:D)</f>
        <v>Cost of sales</v>
      </c>
      <c r="I378" s="43" t="str">
        <f>_xlfn.XLOOKUP($A378,Map!$A:$A,Map!E:E)</f>
        <v>Raw materials</v>
      </c>
      <c r="J378" s="43" t="str">
        <f>_xlfn.XLOOKUP($A378,Map!$A:$A,Map!F:F)</f>
        <v>Other expenses</v>
      </c>
    </row>
    <row r="379" spans="1:10" x14ac:dyDescent="0.25">
      <c r="A379">
        <v>520037</v>
      </c>
      <c r="B379" t="s">
        <v>1346</v>
      </c>
      <c r="D379" s="116">
        <v>5325.1</v>
      </c>
      <c r="E379" s="116">
        <v>0</v>
      </c>
      <c r="F379" s="116">
        <f t="shared" si="2"/>
        <v>5325.1</v>
      </c>
      <c r="G379" s="43" t="str">
        <f>_xlfn.XLOOKUP($A379,Map!$A:$A,Map!C:C)</f>
        <v>IS</v>
      </c>
      <c r="H379" s="43" t="str">
        <f>_xlfn.XLOOKUP($A379,Map!$A:$A,Map!D:D)</f>
        <v>Cost of sales</v>
      </c>
      <c r="I379" s="43" t="str">
        <f>_xlfn.XLOOKUP($A379,Map!$A:$A,Map!E:E)</f>
        <v>Raw materials</v>
      </c>
      <c r="J379" s="43" t="str">
        <f>_xlfn.XLOOKUP($A379,Map!$A:$A,Map!F:F)</f>
        <v>Raw materials</v>
      </c>
    </row>
    <row r="380" spans="1:10" x14ac:dyDescent="0.25">
      <c r="A380">
        <v>520036</v>
      </c>
      <c r="B380" t="s">
        <v>1346</v>
      </c>
      <c r="D380" s="116">
        <v>0</v>
      </c>
      <c r="E380" s="116">
        <v>6.0000000000000001E-3</v>
      </c>
      <c r="F380" s="116">
        <f t="shared" si="2"/>
        <v>-6.0000000000000001E-3</v>
      </c>
      <c r="G380" s="43" t="str">
        <f>_xlfn.XLOOKUP($A380,Map!$A:$A,Map!C:C)</f>
        <v>IS</v>
      </c>
      <c r="H380" s="43" t="str">
        <f>_xlfn.XLOOKUP($A380,Map!$A:$A,Map!D:D)</f>
        <v>Cost of sales</v>
      </c>
      <c r="I380" s="43" t="str">
        <f>_xlfn.XLOOKUP($A380,Map!$A:$A,Map!E:E)</f>
        <v>Raw materials</v>
      </c>
      <c r="J380" s="43" t="str">
        <f>_xlfn.XLOOKUP($A380,Map!$A:$A,Map!F:F)</f>
        <v>Raw materials</v>
      </c>
    </row>
    <row r="381" spans="1:10" x14ac:dyDescent="0.25">
      <c r="A381">
        <v>520021</v>
      </c>
      <c r="B381" t="s">
        <v>1346</v>
      </c>
      <c r="D381" s="116">
        <v>2704</v>
      </c>
      <c r="E381" s="116">
        <v>0</v>
      </c>
      <c r="F381" s="116">
        <f t="shared" si="2"/>
        <v>2704</v>
      </c>
      <c r="G381" s="43" t="str">
        <f>_xlfn.XLOOKUP($A381,Map!$A:$A,Map!C:C)</f>
        <v>IS</v>
      </c>
      <c r="H381" s="43" t="str">
        <f>_xlfn.XLOOKUP($A381,Map!$A:$A,Map!D:D)</f>
        <v>Cost of sales</v>
      </c>
      <c r="I381" s="43" t="str">
        <f>_xlfn.XLOOKUP($A381,Map!$A:$A,Map!E:E)</f>
        <v>Direct Labor</v>
      </c>
      <c r="J381" s="43" t="str">
        <f>_xlfn.XLOOKUP($A381,Map!$A:$A,Map!F:F)</f>
        <v>Medical insurance</v>
      </c>
    </row>
    <row r="382" spans="1:10" x14ac:dyDescent="0.25">
      <c r="A382">
        <v>520011</v>
      </c>
      <c r="B382" t="s">
        <v>1346</v>
      </c>
      <c r="D382" s="116">
        <v>9369</v>
      </c>
      <c r="E382" s="116">
        <v>0</v>
      </c>
      <c r="F382" s="116">
        <f t="shared" si="2"/>
        <v>9369</v>
      </c>
      <c r="G382" s="43" t="str">
        <f>_xlfn.XLOOKUP($A382,Map!$A:$A,Map!C:C)</f>
        <v>IS</v>
      </c>
      <c r="H382" s="43" t="str">
        <f>_xlfn.XLOOKUP($A382,Map!$A:$A,Map!D:D)</f>
        <v>Cost of sales</v>
      </c>
      <c r="I382" s="43" t="str">
        <f>_xlfn.XLOOKUP($A382,Map!$A:$A,Map!E:E)</f>
        <v>Direct Labor</v>
      </c>
      <c r="J382" s="43" t="str">
        <f>_xlfn.XLOOKUP($A382,Map!$A:$A,Map!F:F)</f>
        <v>Overtime pay</v>
      </c>
    </row>
    <row r="383" spans="1:10" x14ac:dyDescent="0.25">
      <c r="A383">
        <v>520011</v>
      </c>
      <c r="B383" t="s">
        <v>1346</v>
      </c>
      <c r="D383" s="116">
        <v>9787</v>
      </c>
      <c r="E383" s="116">
        <v>0</v>
      </c>
      <c r="F383" s="116">
        <f t="shared" si="2"/>
        <v>9787</v>
      </c>
      <c r="G383" s="43" t="str">
        <f>_xlfn.XLOOKUP($A383,Map!$A:$A,Map!C:C)</f>
        <v>IS</v>
      </c>
      <c r="H383" s="43" t="str">
        <f>_xlfn.XLOOKUP($A383,Map!$A:$A,Map!D:D)</f>
        <v>Cost of sales</v>
      </c>
      <c r="I383" s="43" t="str">
        <f>_xlfn.XLOOKUP($A383,Map!$A:$A,Map!E:E)</f>
        <v>Direct Labor</v>
      </c>
      <c r="J383" s="43" t="str">
        <f>_xlfn.XLOOKUP($A383,Map!$A:$A,Map!F:F)</f>
        <v>Overtime pay</v>
      </c>
    </row>
    <row r="384" spans="1:10" x14ac:dyDescent="0.25">
      <c r="A384">
        <v>520006</v>
      </c>
      <c r="B384" t="s">
        <v>1346</v>
      </c>
      <c r="D384" s="116">
        <v>6405</v>
      </c>
      <c r="E384" s="116">
        <v>0</v>
      </c>
      <c r="F384" s="116">
        <f t="shared" si="2"/>
        <v>6405</v>
      </c>
      <c r="G384" s="43" t="str">
        <f>_xlfn.XLOOKUP($A384,Map!$A:$A,Map!C:C)</f>
        <v>IS</v>
      </c>
      <c r="H384" s="43" t="str">
        <f>_xlfn.XLOOKUP($A384,Map!$A:$A,Map!D:D)</f>
        <v>Cost of sales</v>
      </c>
      <c r="I384" s="43" t="str">
        <f>_xlfn.XLOOKUP($A384,Map!$A:$A,Map!E:E)</f>
        <v>Direct Labor</v>
      </c>
      <c r="J384" s="43" t="str">
        <f>_xlfn.XLOOKUP($A384,Map!$A:$A,Map!F:F)</f>
        <v>Medical insurance</v>
      </c>
    </row>
    <row r="385" spans="1:10" x14ac:dyDescent="0.25">
      <c r="A385">
        <v>520006</v>
      </c>
      <c r="B385" t="s">
        <v>1346</v>
      </c>
      <c r="D385" s="116">
        <v>3208</v>
      </c>
      <c r="E385" s="116">
        <v>0</v>
      </c>
      <c r="F385" s="116">
        <f t="shared" si="2"/>
        <v>3208</v>
      </c>
      <c r="G385" s="43" t="str">
        <f>_xlfn.XLOOKUP($A385,Map!$A:$A,Map!C:C)</f>
        <v>IS</v>
      </c>
      <c r="H385" s="43" t="str">
        <f>_xlfn.XLOOKUP($A385,Map!$A:$A,Map!D:D)</f>
        <v>Cost of sales</v>
      </c>
      <c r="I385" s="43" t="str">
        <f>_xlfn.XLOOKUP($A385,Map!$A:$A,Map!E:E)</f>
        <v>Direct Labor</v>
      </c>
      <c r="J385" s="43" t="str">
        <f>_xlfn.XLOOKUP($A385,Map!$A:$A,Map!F:F)</f>
        <v>Medical insurance</v>
      </c>
    </row>
    <row r="386" spans="1:10" x14ac:dyDescent="0.25">
      <c r="A386">
        <v>520006</v>
      </c>
      <c r="B386" t="s">
        <v>1346</v>
      </c>
      <c r="D386" s="116">
        <v>2057</v>
      </c>
      <c r="E386" s="116">
        <v>0</v>
      </c>
      <c r="F386" s="116">
        <f t="shared" si="2"/>
        <v>2057</v>
      </c>
      <c r="G386" s="43" t="str">
        <f>_xlfn.XLOOKUP($A386,Map!$A:$A,Map!C:C)</f>
        <v>IS</v>
      </c>
      <c r="H386" s="43" t="str">
        <f>_xlfn.XLOOKUP($A386,Map!$A:$A,Map!D:D)</f>
        <v>Cost of sales</v>
      </c>
      <c r="I386" s="43" t="str">
        <f>_xlfn.XLOOKUP($A386,Map!$A:$A,Map!E:E)</f>
        <v>Direct Labor</v>
      </c>
      <c r="J386" s="43" t="str">
        <f>_xlfn.XLOOKUP($A386,Map!$A:$A,Map!F:F)</f>
        <v>Medical insurance</v>
      </c>
    </row>
    <row r="387" spans="1:10" x14ac:dyDescent="0.25">
      <c r="A387">
        <v>520006</v>
      </c>
      <c r="B387" t="s">
        <v>1346</v>
      </c>
      <c r="D387" s="116">
        <v>1724</v>
      </c>
      <c r="E387" s="116">
        <v>0</v>
      </c>
      <c r="F387" s="116">
        <f t="shared" si="2"/>
        <v>1724</v>
      </c>
      <c r="G387" s="43" t="str">
        <f>_xlfn.XLOOKUP($A387,Map!$A:$A,Map!C:C)</f>
        <v>IS</v>
      </c>
      <c r="H387" s="43" t="str">
        <f>_xlfn.XLOOKUP($A387,Map!$A:$A,Map!D:D)</f>
        <v>Cost of sales</v>
      </c>
      <c r="I387" s="43" t="str">
        <f>_xlfn.XLOOKUP($A387,Map!$A:$A,Map!E:E)</f>
        <v>Direct Labor</v>
      </c>
      <c r="J387" s="43" t="str">
        <f>_xlfn.XLOOKUP($A387,Map!$A:$A,Map!F:F)</f>
        <v>Medical insurance</v>
      </c>
    </row>
    <row r="388" spans="1:10" x14ac:dyDescent="0.25">
      <c r="A388">
        <v>520006</v>
      </c>
      <c r="B388" t="s">
        <v>1346</v>
      </c>
      <c r="D388" s="116">
        <v>2238</v>
      </c>
      <c r="E388" s="116">
        <v>0</v>
      </c>
      <c r="F388" s="116">
        <f t="shared" si="2"/>
        <v>2238</v>
      </c>
      <c r="G388" s="43" t="str">
        <f>_xlfn.XLOOKUP($A388,Map!$A:$A,Map!C:C)</f>
        <v>IS</v>
      </c>
      <c r="H388" s="43" t="str">
        <f>_xlfn.XLOOKUP($A388,Map!$A:$A,Map!D:D)</f>
        <v>Cost of sales</v>
      </c>
      <c r="I388" s="43" t="str">
        <f>_xlfn.XLOOKUP($A388,Map!$A:$A,Map!E:E)</f>
        <v>Direct Labor</v>
      </c>
      <c r="J388" s="43" t="str">
        <f>_xlfn.XLOOKUP($A388,Map!$A:$A,Map!F:F)</f>
        <v>Medical insurance</v>
      </c>
    </row>
    <row r="389" spans="1:10" x14ac:dyDescent="0.25">
      <c r="A389">
        <v>520006</v>
      </c>
      <c r="B389" t="s">
        <v>1346</v>
      </c>
      <c r="D389" s="116">
        <v>1460</v>
      </c>
      <c r="E389" s="116">
        <v>0</v>
      </c>
      <c r="F389" s="116">
        <f t="shared" si="2"/>
        <v>1460</v>
      </c>
      <c r="G389" s="43" t="str">
        <f>_xlfn.XLOOKUP($A389,Map!$A:$A,Map!C:C)</f>
        <v>IS</v>
      </c>
      <c r="H389" s="43" t="str">
        <f>_xlfn.XLOOKUP($A389,Map!$A:$A,Map!D:D)</f>
        <v>Cost of sales</v>
      </c>
      <c r="I389" s="43" t="str">
        <f>_xlfn.XLOOKUP($A389,Map!$A:$A,Map!E:E)</f>
        <v>Direct Labor</v>
      </c>
      <c r="J389" s="43" t="str">
        <f>_xlfn.XLOOKUP($A389,Map!$A:$A,Map!F:F)</f>
        <v>Medical insurance</v>
      </c>
    </row>
    <row r="390" spans="1:10" x14ac:dyDescent="0.25">
      <c r="A390">
        <v>520004</v>
      </c>
      <c r="B390" t="s">
        <v>1346</v>
      </c>
      <c r="D390" s="116">
        <v>4800</v>
      </c>
      <c r="E390" s="116">
        <v>0</v>
      </c>
      <c r="F390" s="116">
        <f t="shared" si="2"/>
        <v>4800</v>
      </c>
      <c r="G390" s="43" t="str">
        <f>_xlfn.XLOOKUP($A390,Map!$A:$A,Map!C:C)</f>
        <v>IS</v>
      </c>
      <c r="H390" s="43" t="str">
        <f>_xlfn.XLOOKUP($A390,Map!$A:$A,Map!D:D)</f>
        <v>Cost of sales</v>
      </c>
      <c r="I390" s="43" t="str">
        <f>_xlfn.XLOOKUP($A390,Map!$A:$A,Map!E:E)</f>
        <v>Direct Labor</v>
      </c>
      <c r="J390" s="43" t="str">
        <f>_xlfn.XLOOKUP($A390,Map!$A:$A,Map!F:F)</f>
        <v>Food and housing</v>
      </c>
    </row>
    <row r="391" spans="1:10" x14ac:dyDescent="0.25">
      <c r="A391">
        <v>520004</v>
      </c>
      <c r="B391" t="s">
        <v>1346</v>
      </c>
      <c r="D391" s="116">
        <v>3233</v>
      </c>
      <c r="E391" s="116">
        <v>0</v>
      </c>
      <c r="F391" s="116">
        <f t="shared" si="2"/>
        <v>3233</v>
      </c>
      <c r="G391" s="43" t="str">
        <f>_xlfn.XLOOKUP($A391,Map!$A:$A,Map!C:C)</f>
        <v>IS</v>
      </c>
      <c r="H391" s="43" t="str">
        <f>_xlfn.XLOOKUP($A391,Map!$A:$A,Map!D:D)</f>
        <v>Cost of sales</v>
      </c>
      <c r="I391" s="43" t="str">
        <f>_xlfn.XLOOKUP($A391,Map!$A:$A,Map!E:E)</f>
        <v>Direct Labor</v>
      </c>
      <c r="J391" s="43" t="str">
        <f>_xlfn.XLOOKUP($A391,Map!$A:$A,Map!F:F)</f>
        <v>Food and housing</v>
      </c>
    </row>
    <row r="392" spans="1:10" x14ac:dyDescent="0.25">
      <c r="A392">
        <v>520003</v>
      </c>
      <c r="B392" t="s">
        <v>1346</v>
      </c>
      <c r="D392" s="116">
        <v>3140</v>
      </c>
      <c r="E392" s="116">
        <v>0</v>
      </c>
      <c r="F392" s="116">
        <f t="shared" si="2"/>
        <v>3140</v>
      </c>
      <c r="G392" s="43" t="str">
        <f>_xlfn.XLOOKUP($A392,Map!$A:$A,Map!C:C)</f>
        <v>IS</v>
      </c>
      <c r="H392" s="43" t="str">
        <f>_xlfn.XLOOKUP($A392,Map!$A:$A,Map!D:D)</f>
        <v>Cost of sales</v>
      </c>
      <c r="I392" s="43" t="str">
        <f>_xlfn.XLOOKUP($A392,Map!$A:$A,Map!E:E)</f>
        <v>Direct Labor</v>
      </c>
      <c r="J392" s="43" t="str">
        <f>_xlfn.XLOOKUP($A392,Map!$A:$A,Map!F:F)</f>
        <v>Transportation allowance</v>
      </c>
    </row>
    <row r="393" spans="1:10" x14ac:dyDescent="0.25">
      <c r="A393">
        <v>520001</v>
      </c>
      <c r="B393" t="s">
        <v>1346</v>
      </c>
      <c r="D393" s="116">
        <v>130583.5</v>
      </c>
      <c r="E393" s="116">
        <v>0</v>
      </c>
      <c r="F393" s="116">
        <f t="shared" si="2"/>
        <v>130583.5</v>
      </c>
      <c r="G393" s="43" t="str">
        <f>_xlfn.XLOOKUP($A393,Map!$A:$A,Map!C:C)</f>
        <v>IS</v>
      </c>
      <c r="H393" s="43" t="str">
        <f>_xlfn.XLOOKUP($A393,Map!$A:$A,Map!D:D)</f>
        <v>Cost of sales</v>
      </c>
      <c r="I393" s="43" t="str">
        <f>_xlfn.XLOOKUP($A393,Map!$A:$A,Map!E:E)</f>
        <v>Direct Labor</v>
      </c>
      <c r="J393" s="43" t="str">
        <f>_xlfn.XLOOKUP($A393,Map!$A:$A,Map!F:F)</f>
        <v>Salaries and wages</v>
      </c>
    </row>
    <row r="394" spans="1:10" x14ac:dyDescent="0.25">
      <c r="A394">
        <v>520001</v>
      </c>
      <c r="B394" t="s">
        <v>1346</v>
      </c>
      <c r="D394" s="116">
        <v>17223</v>
      </c>
      <c r="E394" s="116">
        <v>0</v>
      </c>
      <c r="F394" s="116">
        <f t="shared" si="2"/>
        <v>17223</v>
      </c>
      <c r="G394" s="43" t="str">
        <f>_xlfn.XLOOKUP($A394,Map!$A:$A,Map!C:C)</f>
        <v>IS</v>
      </c>
      <c r="H394" s="43" t="str">
        <f>_xlfn.XLOOKUP($A394,Map!$A:$A,Map!D:D)</f>
        <v>Cost of sales</v>
      </c>
      <c r="I394" s="43" t="str">
        <f>_xlfn.XLOOKUP($A394,Map!$A:$A,Map!E:E)</f>
        <v>Direct Labor</v>
      </c>
      <c r="J394" s="43" t="str">
        <f>_xlfn.XLOOKUP($A394,Map!$A:$A,Map!F:F)</f>
        <v>Salaries and wages</v>
      </c>
    </row>
    <row r="395" spans="1:10" x14ac:dyDescent="0.25">
      <c r="A395">
        <v>520001</v>
      </c>
      <c r="B395" t="s">
        <v>1346</v>
      </c>
      <c r="D395" s="116">
        <v>33961.5</v>
      </c>
      <c r="E395" s="116">
        <v>0</v>
      </c>
      <c r="F395" s="116">
        <f t="shared" si="2"/>
        <v>33961.5</v>
      </c>
      <c r="G395" s="43" t="str">
        <f>_xlfn.XLOOKUP($A395,Map!$A:$A,Map!C:C)</f>
        <v>IS</v>
      </c>
      <c r="H395" s="43" t="str">
        <f>_xlfn.XLOOKUP($A395,Map!$A:$A,Map!D:D)</f>
        <v>Cost of sales</v>
      </c>
      <c r="I395" s="43" t="str">
        <f>_xlfn.XLOOKUP($A395,Map!$A:$A,Map!E:E)</f>
        <v>Direct Labor</v>
      </c>
      <c r="J395" s="43" t="str">
        <f>_xlfn.XLOOKUP($A395,Map!$A:$A,Map!F:F)</f>
        <v>Salaries and wages</v>
      </c>
    </row>
    <row r="396" spans="1:10" x14ac:dyDescent="0.25">
      <c r="A396">
        <v>520001</v>
      </c>
      <c r="B396" t="s">
        <v>1346</v>
      </c>
      <c r="D396" s="116">
        <v>11217</v>
      </c>
      <c r="E396" s="116">
        <v>0</v>
      </c>
      <c r="F396" s="116">
        <f t="shared" si="2"/>
        <v>11217</v>
      </c>
      <c r="G396" s="43" t="str">
        <f>_xlfn.XLOOKUP($A396,Map!$A:$A,Map!C:C)</f>
        <v>IS</v>
      </c>
      <c r="H396" s="43" t="str">
        <f>_xlfn.XLOOKUP($A396,Map!$A:$A,Map!D:D)</f>
        <v>Cost of sales</v>
      </c>
      <c r="I396" s="43" t="str">
        <f>_xlfn.XLOOKUP($A396,Map!$A:$A,Map!E:E)</f>
        <v>Direct Labor</v>
      </c>
      <c r="J396" s="43" t="str">
        <f>_xlfn.XLOOKUP($A396,Map!$A:$A,Map!F:F)</f>
        <v>Salaries and wages</v>
      </c>
    </row>
    <row r="397" spans="1:10" x14ac:dyDescent="0.25">
      <c r="A397">
        <v>520001</v>
      </c>
      <c r="B397" t="s">
        <v>1346</v>
      </c>
      <c r="D397" s="116">
        <v>21668</v>
      </c>
      <c r="E397" s="116">
        <v>0</v>
      </c>
      <c r="F397" s="116">
        <f t="shared" ref="F397:F460" si="3">D397-E397</f>
        <v>21668</v>
      </c>
      <c r="G397" s="43" t="str">
        <f>_xlfn.XLOOKUP($A397,Map!$A:$A,Map!C:C)</f>
        <v>IS</v>
      </c>
      <c r="H397" s="43" t="str">
        <f>_xlfn.XLOOKUP($A397,Map!$A:$A,Map!D:D)</f>
        <v>Cost of sales</v>
      </c>
      <c r="I397" s="43" t="str">
        <f>_xlfn.XLOOKUP($A397,Map!$A:$A,Map!E:E)</f>
        <v>Direct Labor</v>
      </c>
      <c r="J397" s="43" t="str">
        <f>_xlfn.XLOOKUP($A397,Map!$A:$A,Map!F:F)</f>
        <v>Salaries and wages</v>
      </c>
    </row>
    <row r="398" spans="1:10" x14ac:dyDescent="0.25">
      <c r="A398">
        <v>510004</v>
      </c>
      <c r="B398" t="s">
        <v>1346</v>
      </c>
      <c r="D398" s="116">
        <v>0</v>
      </c>
      <c r="E398" s="116">
        <v>9281.92</v>
      </c>
      <c r="F398" s="116">
        <f t="shared" si="3"/>
        <v>-9281.92</v>
      </c>
      <c r="G398" s="43" t="str">
        <f>_xlfn.XLOOKUP($A398,Map!$A:$A,Map!C:C)</f>
        <v>IS</v>
      </c>
      <c r="H398" s="43" t="str">
        <f>_xlfn.XLOOKUP($A398,Map!$A:$A,Map!D:D)</f>
        <v>Cost of sales</v>
      </c>
      <c r="I398" s="43" t="str">
        <f>_xlfn.XLOOKUP($A398,Map!$A:$A,Map!E:E)</f>
        <v>Raw materials</v>
      </c>
      <c r="J398" s="43" t="str">
        <f>_xlfn.XLOOKUP($A398,Map!$A:$A,Map!F:F)</f>
        <v>Other expenses</v>
      </c>
    </row>
    <row r="399" spans="1:10" x14ac:dyDescent="0.25">
      <c r="A399">
        <v>510002</v>
      </c>
      <c r="B399" t="s">
        <v>1346</v>
      </c>
      <c r="D399" s="116">
        <v>0</v>
      </c>
      <c r="E399" s="116">
        <v>67357</v>
      </c>
      <c r="F399" s="116">
        <f t="shared" si="3"/>
        <v>-67357</v>
      </c>
      <c r="G399" s="43" t="str">
        <f>_xlfn.XLOOKUP($A399,Map!$A:$A,Map!C:C)</f>
        <v>IS</v>
      </c>
      <c r="H399" s="43" t="str">
        <f>_xlfn.XLOOKUP($A399,Map!$A:$A,Map!D:D)</f>
        <v>Cost of sales</v>
      </c>
      <c r="I399" s="43" t="str">
        <f>_xlfn.XLOOKUP($A399,Map!$A:$A,Map!E:E)</f>
        <v>Direct Labor</v>
      </c>
      <c r="J399" s="43" t="str">
        <f>_xlfn.XLOOKUP($A399,Map!$A:$A,Map!F:F)</f>
        <v>Direct Labor</v>
      </c>
    </row>
    <row r="400" spans="1:10" x14ac:dyDescent="0.25">
      <c r="A400">
        <v>510002</v>
      </c>
      <c r="B400" t="s">
        <v>1346</v>
      </c>
      <c r="D400" s="116">
        <v>0</v>
      </c>
      <c r="E400" s="116">
        <v>68781</v>
      </c>
      <c r="F400" s="116">
        <f t="shared" si="3"/>
        <v>-68781</v>
      </c>
      <c r="G400" s="43" t="str">
        <f>_xlfn.XLOOKUP($A400,Map!$A:$A,Map!C:C)</f>
        <v>IS</v>
      </c>
      <c r="H400" s="43" t="str">
        <f>_xlfn.XLOOKUP($A400,Map!$A:$A,Map!D:D)</f>
        <v>Cost of sales</v>
      </c>
      <c r="I400" s="43" t="str">
        <f>_xlfn.XLOOKUP($A400,Map!$A:$A,Map!E:E)</f>
        <v>Direct Labor</v>
      </c>
      <c r="J400" s="43" t="str">
        <f>_xlfn.XLOOKUP($A400,Map!$A:$A,Map!F:F)</f>
        <v>Direct Labor</v>
      </c>
    </row>
    <row r="401" spans="1:10" x14ac:dyDescent="0.25">
      <c r="A401">
        <v>510002</v>
      </c>
      <c r="B401" t="s">
        <v>1346</v>
      </c>
      <c r="D401" s="116">
        <v>77976</v>
      </c>
      <c r="E401" s="116">
        <v>0</v>
      </c>
      <c r="F401" s="116">
        <f t="shared" si="3"/>
        <v>77976</v>
      </c>
      <c r="G401" s="43" t="str">
        <f>_xlfn.XLOOKUP($A401,Map!$A:$A,Map!C:C)</f>
        <v>IS</v>
      </c>
      <c r="H401" s="43" t="str">
        <f>_xlfn.XLOOKUP($A401,Map!$A:$A,Map!D:D)</f>
        <v>Cost of sales</v>
      </c>
      <c r="I401" s="43" t="str">
        <f>_xlfn.XLOOKUP($A401,Map!$A:$A,Map!E:E)</f>
        <v>Direct Labor</v>
      </c>
      <c r="J401" s="43" t="str">
        <f>_xlfn.XLOOKUP($A401,Map!$A:$A,Map!F:F)</f>
        <v>Direct Labor</v>
      </c>
    </row>
    <row r="402" spans="1:10" x14ac:dyDescent="0.25">
      <c r="A402">
        <v>510002</v>
      </c>
      <c r="B402" t="s">
        <v>1346</v>
      </c>
      <c r="D402" s="116">
        <v>0</v>
      </c>
      <c r="E402" s="116">
        <v>12941</v>
      </c>
      <c r="F402" s="116">
        <f t="shared" si="3"/>
        <v>-12941</v>
      </c>
      <c r="G402" s="43" t="str">
        <f>_xlfn.XLOOKUP($A402,Map!$A:$A,Map!C:C)</f>
        <v>IS</v>
      </c>
      <c r="H402" s="43" t="str">
        <f>_xlfn.XLOOKUP($A402,Map!$A:$A,Map!D:D)</f>
        <v>Cost of sales</v>
      </c>
      <c r="I402" s="43" t="str">
        <f>_xlfn.XLOOKUP($A402,Map!$A:$A,Map!E:E)</f>
        <v>Direct Labor</v>
      </c>
      <c r="J402" s="43" t="str">
        <f>_xlfn.XLOOKUP($A402,Map!$A:$A,Map!F:F)</f>
        <v>Direct Labor</v>
      </c>
    </row>
    <row r="403" spans="1:10" x14ac:dyDescent="0.25">
      <c r="A403">
        <v>510002</v>
      </c>
      <c r="B403" t="s">
        <v>1346</v>
      </c>
      <c r="D403" s="116">
        <v>0</v>
      </c>
      <c r="E403" s="116">
        <v>27010</v>
      </c>
      <c r="F403" s="116">
        <f t="shared" si="3"/>
        <v>-27010</v>
      </c>
      <c r="G403" s="43" t="str">
        <f>_xlfn.XLOOKUP($A403,Map!$A:$A,Map!C:C)</f>
        <v>IS</v>
      </c>
      <c r="H403" s="43" t="str">
        <f>_xlfn.XLOOKUP($A403,Map!$A:$A,Map!D:D)</f>
        <v>Cost of sales</v>
      </c>
      <c r="I403" s="43" t="str">
        <f>_xlfn.XLOOKUP($A403,Map!$A:$A,Map!E:E)</f>
        <v>Direct Labor</v>
      </c>
      <c r="J403" s="43" t="str">
        <f>_xlfn.XLOOKUP($A403,Map!$A:$A,Map!F:F)</f>
        <v>Direct Labor</v>
      </c>
    </row>
    <row r="404" spans="1:10" x14ac:dyDescent="0.25">
      <c r="A404">
        <v>510002</v>
      </c>
      <c r="B404" t="s">
        <v>1346</v>
      </c>
      <c r="D404" s="116">
        <v>0</v>
      </c>
      <c r="E404" s="116">
        <v>27910.687000000002</v>
      </c>
      <c r="F404" s="116">
        <f t="shared" si="3"/>
        <v>-27910.687000000002</v>
      </c>
      <c r="G404" s="43" t="str">
        <f>_xlfn.XLOOKUP($A404,Map!$A:$A,Map!C:C)</f>
        <v>IS</v>
      </c>
      <c r="H404" s="43" t="str">
        <f>_xlfn.XLOOKUP($A404,Map!$A:$A,Map!D:D)</f>
        <v>Cost of sales</v>
      </c>
      <c r="I404" s="43" t="str">
        <f>_xlfn.XLOOKUP($A404,Map!$A:$A,Map!E:E)</f>
        <v>Direct Labor</v>
      </c>
      <c r="J404" s="43" t="str">
        <f>_xlfn.XLOOKUP($A404,Map!$A:$A,Map!F:F)</f>
        <v>Direct Labor</v>
      </c>
    </row>
    <row r="405" spans="1:10" x14ac:dyDescent="0.25">
      <c r="A405">
        <v>510002</v>
      </c>
      <c r="B405" t="s">
        <v>1346</v>
      </c>
      <c r="D405" s="116">
        <v>0</v>
      </c>
      <c r="E405" s="116">
        <v>2704</v>
      </c>
      <c r="F405" s="116">
        <f t="shared" si="3"/>
        <v>-2704</v>
      </c>
      <c r="G405" s="43" t="str">
        <f>_xlfn.XLOOKUP($A405,Map!$A:$A,Map!C:C)</f>
        <v>IS</v>
      </c>
      <c r="H405" s="43" t="str">
        <f>_xlfn.XLOOKUP($A405,Map!$A:$A,Map!D:D)</f>
        <v>Cost of sales</v>
      </c>
      <c r="I405" s="43" t="str">
        <f>_xlfn.XLOOKUP($A405,Map!$A:$A,Map!E:E)</f>
        <v>Direct Labor</v>
      </c>
      <c r="J405" s="43" t="str">
        <f>_xlfn.XLOOKUP($A405,Map!$A:$A,Map!F:F)</f>
        <v>Direct Labor</v>
      </c>
    </row>
    <row r="406" spans="1:10" x14ac:dyDescent="0.25">
      <c r="A406">
        <v>420003</v>
      </c>
      <c r="B406" t="s">
        <v>1346</v>
      </c>
      <c r="D406" s="116">
        <v>0</v>
      </c>
      <c r="E406" s="116">
        <v>77976</v>
      </c>
      <c r="F406" s="116">
        <f t="shared" si="3"/>
        <v>-77976</v>
      </c>
      <c r="G406" s="43" t="str">
        <f>_xlfn.XLOOKUP($A406,Map!$A:$A,Map!C:C)</f>
        <v>IS</v>
      </c>
      <c r="H406" s="43" t="str">
        <f>_xlfn.XLOOKUP($A406,Map!$A:$A,Map!D:D)</f>
        <v>Sales</v>
      </c>
      <c r="I406" s="43" t="str">
        <f>_xlfn.XLOOKUP($A406,Map!$A:$A,Map!E:E)</f>
        <v>Sales</v>
      </c>
      <c r="J406" s="43" t="str">
        <f>_xlfn.XLOOKUP($A406,Map!$A:$A,Map!F:F)</f>
        <v>Scrap sales</v>
      </c>
    </row>
    <row r="407" spans="1:10" x14ac:dyDescent="0.25">
      <c r="A407">
        <v>600031</v>
      </c>
      <c r="B407" t="s">
        <v>1349</v>
      </c>
      <c r="D407" s="116">
        <v>1226.664</v>
      </c>
      <c r="E407" s="116">
        <v>0</v>
      </c>
      <c r="F407" s="116">
        <f t="shared" si="3"/>
        <v>1226.664</v>
      </c>
      <c r="G407" s="43" t="str">
        <f>_xlfn.XLOOKUP($A407,Map!$A:$A,Map!C:C)</f>
        <v>IS</v>
      </c>
      <c r="H407" s="43" t="str">
        <f>_xlfn.XLOOKUP($A407,Map!$A:$A,Map!D:D)</f>
        <v>Depreciation expenses</v>
      </c>
      <c r="I407" s="43" t="str">
        <f>_xlfn.XLOOKUP($A407,Map!$A:$A,Map!E:E)</f>
        <v>Depreciation expenses</v>
      </c>
      <c r="J407" s="43" t="str">
        <f>_xlfn.XLOOKUP($A407,Map!$A:$A,Map!F:F)</f>
        <v>Depreciation of property, plant and equipment</v>
      </c>
    </row>
    <row r="408" spans="1:10" x14ac:dyDescent="0.25">
      <c r="A408">
        <v>600030</v>
      </c>
      <c r="B408" t="s">
        <v>1346</v>
      </c>
      <c r="D408" s="116">
        <v>1627.17</v>
      </c>
      <c r="E408" s="116">
        <v>0</v>
      </c>
      <c r="F408" s="116">
        <f t="shared" si="3"/>
        <v>1627.17</v>
      </c>
      <c r="G408" s="43" t="str">
        <f>_xlfn.XLOOKUP($A408,Map!$A:$A,Map!C:C)</f>
        <v>IS</v>
      </c>
      <c r="H408" s="43" t="str">
        <f>_xlfn.XLOOKUP($A408,Map!$A:$A,Map!D:D)</f>
        <v>Depreciation expenses</v>
      </c>
      <c r="I408" s="43" t="str">
        <f>_xlfn.XLOOKUP($A408,Map!$A:$A,Map!E:E)</f>
        <v>Depreciation expenses</v>
      </c>
      <c r="J408" s="43" t="str">
        <f>_xlfn.XLOOKUP($A408,Map!$A:$A,Map!F:F)</f>
        <v>Depreciation of property, plant and equipment</v>
      </c>
    </row>
    <row r="409" spans="1:10" x14ac:dyDescent="0.25">
      <c r="A409">
        <v>600029</v>
      </c>
      <c r="B409" t="s">
        <v>1346</v>
      </c>
      <c r="D409" s="116">
        <v>569925.29</v>
      </c>
      <c r="E409" s="116">
        <v>0</v>
      </c>
      <c r="F409" s="116">
        <f t="shared" si="3"/>
        <v>569925.29</v>
      </c>
      <c r="G409" s="43" t="str">
        <f>_xlfn.XLOOKUP($A409,Map!$A:$A,Map!C:C)</f>
        <v>IS</v>
      </c>
      <c r="H409" s="43" t="str">
        <f>_xlfn.XLOOKUP($A409,Map!$A:$A,Map!D:D)</f>
        <v>Cost of sales</v>
      </c>
      <c r="I409" s="43" t="str">
        <f>_xlfn.XLOOKUP($A409,Map!$A:$A,Map!E:E)</f>
        <v>Depreciation - Machines</v>
      </c>
      <c r="J409" s="43" t="str">
        <f>_xlfn.XLOOKUP($A409,Map!$A:$A,Map!F:F)</f>
        <v>Depreciation of property, plant and equipment</v>
      </c>
    </row>
    <row r="410" spans="1:10" x14ac:dyDescent="0.25">
      <c r="A410">
        <v>600027</v>
      </c>
      <c r="B410" t="s">
        <v>1346</v>
      </c>
      <c r="D410" s="116">
        <v>102666.68</v>
      </c>
      <c r="E410" s="116">
        <v>0</v>
      </c>
      <c r="F410" s="116">
        <f t="shared" si="3"/>
        <v>102666.68</v>
      </c>
      <c r="G410" s="43" t="str">
        <f>_xlfn.XLOOKUP($A410,Map!$A:$A,Map!C:C)</f>
        <v>IS</v>
      </c>
      <c r="H410" s="43" t="str">
        <f>_xlfn.XLOOKUP($A410,Map!$A:$A,Map!D:D)</f>
        <v>Cost of sales</v>
      </c>
      <c r="I410" s="43" t="str">
        <f>_xlfn.XLOOKUP($A410,Map!$A:$A,Map!E:E)</f>
        <v>Overhead - Rent</v>
      </c>
      <c r="J410" s="43" t="str">
        <f>_xlfn.XLOOKUP($A410,Map!$A:$A,Map!F:F)</f>
        <v>Production hall rental</v>
      </c>
    </row>
    <row r="411" spans="1:10" x14ac:dyDescent="0.25">
      <c r="A411">
        <v>600024</v>
      </c>
      <c r="B411" t="s">
        <v>1346</v>
      </c>
      <c r="D411" s="116">
        <v>2823</v>
      </c>
      <c r="E411" s="116">
        <v>0</v>
      </c>
      <c r="F411" s="116">
        <f t="shared" si="3"/>
        <v>2823</v>
      </c>
      <c r="G411" s="43" t="str">
        <f>_xlfn.XLOOKUP($A411,Map!$A:$A,Map!C:C)</f>
        <v>IS</v>
      </c>
      <c r="H411" s="43" t="str">
        <f>_xlfn.XLOOKUP($A411,Map!$A:$A,Map!D:D)</f>
        <v>Cost of sales</v>
      </c>
      <c r="I411" s="43" t="str">
        <f>_xlfn.XLOOKUP($A411,Map!$A:$A,Map!E:E)</f>
        <v>Overhead - Rent</v>
      </c>
      <c r="J411" s="43" t="str">
        <f>_xlfn.XLOOKUP($A411,Map!$A:$A,Map!F:F)</f>
        <v>Pump rental expenses</v>
      </c>
    </row>
    <row r="412" spans="1:10" x14ac:dyDescent="0.25">
      <c r="A412">
        <v>600022</v>
      </c>
      <c r="B412" t="s">
        <v>1346</v>
      </c>
      <c r="D412" s="116">
        <v>300</v>
      </c>
      <c r="E412" s="116">
        <v>0</v>
      </c>
      <c r="F412" s="116">
        <f t="shared" si="3"/>
        <v>300</v>
      </c>
      <c r="G412" s="43" t="str">
        <f>_xlfn.XLOOKUP($A412,Map!$A:$A,Map!C:C)</f>
        <v>IS</v>
      </c>
      <c r="H412" s="43" t="str">
        <f>_xlfn.XLOOKUP($A412,Map!$A:$A,Map!D:D)</f>
        <v>Cost of sales</v>
      </c>
      <c r="I412" s="43" t="str">
        <f>_xlfn.XLOOKUP($A412,Map!$A:$A,Map!E:E)</f>
        <v>Overhead - R&amp;M</v>
      </c>
      <c r="J412" s="43" t="str">
        <f>_xlfn.XLOOKUP($A412,Map!$A:$A,Map!F:F)</f>
        <v>Building maintenance</v>
      </c>
    </row>
    <row r="413" spans="1:10" x14ac:dyDescent="0.25">
      <c r="A413">
        <v>600020</v>
      </c>
      <c r="B413" t="s">
        <v>1346</v>
      </c>
      <c r="D413" s="116">
        <v>17192</v>
      </c>
      <c r="E413" s="116">
        <v>0</v>
      </c>
      <c r="F413" s="116">
        <f t="shared" si="3"/>
        <v>17192</v>
      </c>
      <c r="G413" s="43" t="str">
        <f>_xlfn.XLOOKUP($A413,Map!$A:$A,Map!C:C)</f>
        <v>IS</v>
      </c>
      <c r="H413" s="43" t="str">
        <f>_xlfn.XLOOKUP($A413,Map!$A:$A,Map!D:D)</f>
        <v>Cost of sales</v>
      </c>
      <c r="I413" s="43" t="str">
        <f>_xlfn.XLOOKUP($A413,Map!$A:$A,Map!E:E)</f>
        <v>Overhead - R&amp;M</v>
      </c>
      <c r="J413" s="43" t="str">
        <f>_xlfn.XLOOKUP($A413,Map!$A:$A,Map!F:F)</f>
        <v>Machine and equipment</v>
      </c>
    </row>
    <row r="414" spans="1:10" x14ac:dyDescent="0.25">
      <c r="A414">
        <v>600020</v>
      </c>
      <c r="B414" t="s">
        <v>1346</v>
      </c>
      <c r="D414" s="116">
        <v>483</v>
      </c>
      <c r="E414" s="116">
        <v>0</v>
      </c>
      <c r="F414" s="116">
        <f t="shared" si="3"/>
        <v>483</v>
      </c>
      <c r="G414" s="43" t="str">
        <f>_xlfn.XLOOKUP($A414,Map!$A:$A,Map!C:C)</f>
        <v>IS</v>
      </c>
      <c r="H414" s="43" t="str">
        <f>_xlfn.XLOOKUP($A414,Map!$A:$A,Map!D:D)</f>
        <v>Cost of sales</v>
      </c>
      <c r="I414" s="43" t="str">
        <f>_xlfn.XLOOKUP($A414,Map!$A:$A,Map!E:E)</f>
        <v>Overhead - R&amp;M</v>
      </c>
      <c r="J414" s="43" t="str">
        <f>_xlfn.XLOOKUP($A414,Map!$A:$A,Map!F:F)</f>
        <v>Machine and equipment</v>
      </c>
    </row>
    <row r="415" spans="1:10" x14ac:dyDescent="0.25">
      <c r="A415">
        <v>600019</v>
      </c>
      <c r="B415" t="s">
        <v>1346</v>
      </c>
      <c r="D415" s="116">
        <v>28130</v>
      </c>
      <c r="E415" s="116">
        <v>0</v>
      </c>
      <c r="F415" s="116">
        <f t="shared" si="3"/>
        <v>28130</v>
      </c>
      <c r="G415" s="43" t="str">
        <f>_xlfn.XLOOKUP($A415,Map!$A:$A,Map!C:C)</f>
        <v>IS</v>
      </c>
      <c r="H415" s="43" t="str">
        <f>_xlfn.XLOOKUP($A415,Map!$A:$A,Map!D:D)</f>
        <v>Cost of sales</v>
      </c>
      <c r="I415" s="43" t="str">
        <f>_xlfn.XLOOKUP($A415,Map!$A:$A,Map!E:E)</f>
        <v>Overhead - Utility</v>
      </c>
      <c r="J415" s="43" t="str">
        <f>_xlfn.XLOOKUP($A415,Map!$A:$A,Map!F:F)</f>
        <v>Fuel and oil</v>
      </c>
    </row>
    <row r="416" spans="1:10" x14ac:dyDescent="0.25">
      <c r="A416">
        <v>600018</v>
      </c>
      <c r="B416" t="s">
        <v>1346</v>
      </c>
      <c r="D416" s="116">
        <v>11690</v>
      </c>
      <c r="E416" s="116">
        <v>0</v>
      </c>
      <c r="F416" s="116">
        <f t="shared" si="3"/>
        <v>11690</v>
      </c>
      <c r="G416" s="43" t="str">
        <f>_xlfn.XLOOKUP($A416,Map!$A:$A,Map!C:C)</f>
        <v>IS</v>
      </c>
      <c r="H416" s="43" t="str">
        <f>_xlfn.XLOOKUP($A416,Map!$A:$A,Map!D:D)</f>
        <v>Cost of sales</v>
      </c>
      <c r="I416" s="43" t="str">
        <f>_xlfn.XLOOKUP($A416,Map!$A:$A,Map!E:E)</f>
        <v>Overhead - Utility</v>
      </c>
      <c r="J416" s="43" t="str">
        <f>_xlfn.XLOOKUP($A416,Map!$A:$A,Map!F:F)</f>
        <v>Water expenses</v>
      </c>
    </row>
    <row r="417" spans="1:10" x14ac:dyDescent="0.25">
      <c r="A417">
        <v>600017</v>
      </c>
      <c r="B417" t="s">
        <v>1346</v>
      </c>
      <c r="D417" s="116">
        <v>391822.8</v>
      </c>
      <c r="E417" s="116">
        <v>0</v>
      </c>
      <c r="F417" s="116">
        <f t="shared" si="3"/>
        <v>391822.8</v>
      </c>
      <c r="G417" s="43" t="str">
        <f>_xlfn.XLOOKUP($A417,Map!$A:$A,Map!C:C)</f>
        <v>IS</v>
      </c>
      <c r="H417" s="43" t="str">
        <f>_xlfn.XLOOKUP($A417,Map!$A:$A,Map!D:D)</f>
        <v>Cost of sales</v>
      </c>
      <c r="I417" s="43" t="str">
        <f>_xlfn.XLOOKUP($A417,Map!$A:$A,Map!E:E)</f>
        <v>Overhead - Utility</v>
      </c>
      <c r="J417" s="43" t="str">
        <f>_xlfn.XLOOKUP($A417,Map!$A:$A,Map!F:F)</f>
        <v>Electricity expenses</v>
      </c>
    </row>
    <row r="418" spans="1:10" x14ac:dyDescent="0.25">
      <c r="A418">
        <v>600016</v>
      </c>
      <c r="B418" t="s">
        <v>1346</v>
      </c>
      <c r="D418" s="116">
        <v>284624.17</v>
      </c>
      <c r="E418" s="116">
        <v>0</v>
      </c>
      <c r="F418" s="116">
        <f t="shared" si="3"/>
        <v>284624.17</v>
      </c>
      <c r="G418" s="43" t="str">
        <f>_xlfn.XLOOKUP($A418,Map!$A:$A,Map!C:C)</f>
        <v>IS</v>
      </c>
      <c r="H418" s="43" t="str">
        <f>_xlfn.XLOOKUP($A418,Map!$A:$A,Map!D:D)</f>
        <v>Cost of sales</v>
      </c>
      <c r="I418" s="43" t="str">
        <f>_xlfn.XLOOKUP($A418,Map!$A:$A,Map!E:E)</f>
        <v>Overhead - Consumables &amp; SP</v>
      </c>
      <c r="J418" s="43" t="str">
        <f>_xlfn.XLOOKUP($A418,Map!$A:$A,Map!F:F)</f>
        <v>Tools</v>
      </c>
    </row>
    <row r="419" spans="1:10" x14ac:dyDescent="0.25">
      <c r="A419">
        <v>600016</v>
      </c>
      <c r="B419" t="s">
        <v>1346</v>
      </c>
      <c r="D419" s="116">
        <v>104613.15</v>
      </c>
      <c r="E419" s="116">
        <v>0</v>
      </c>
      <c r="F419" s="116">
        <f t="shared" si="3"/>
        <v>104613.15</v>
      </c>
      <c r="G419" s="43" t="str">
        <f>_xlfn.XLOOKUP($A419,Map!$A:$A,Map!C:C)</f>
        <v>IS</v>
      </c>
      <c r="H419" s="43" t="str">
        <f>_xlfn.XLOOKUP($A419,Map!$A:$A,Map!D:D)</f>
        <v>Cost of sales</v>
      </c>
      <c r="I419" s="43" t="str">
        <f>_xlfn.XLOOKUP($A419,Map!$A:$A,Map!E:E)</f>
        <v>Overhead - Consumables &amp; SP</v>
      </c>
      <c r="J419" s="43" t="str">
        <f>_xlfn.XLOOKUP($A419,Map!$A:$A,Map!F:F)</f>
        <v>Tools</v>
      </c>
    </row>
    <row r="420" spans="1:10" x14ac:dyDescent="0.25">
      <c r="A420">
        <v>600016</v>
      </c>
      <c r="B420" t="s">
        <v>1346</v>
      </c>
      <c r="D420" s="116">
        <v>97309.33</v>
      </c>
      <c r="E420" s="116">
        <v>0</v>
      </c>
      <c r="F420" s="116">
        <f t="shared" si="3"/>
        <v>97309.33</v>
      </c>
      <c r="G420" s="43" t="str">
        <f>_xlfn.XLOOKUP($A420,Map!$A:$A,Map!C:C)</f>
        <v>IS</v>
      </c>
      <c r="H420" s="43" t="str">
        <f>_xlfn.XLOOKUP($A420,Map!$A:$A,Map!D:D)</f>
        <v>Cost of sales</v>
      </c>
      <c r="I420" s="43" t="str">
        <f>_xlfn.XLOOKUP($A420,Map!$A:$A,Map!E:E)</f>
        <v>Overhead - Consumables &amp; SP</v>
      </c>
      <c r="J420" s="43" t="str">
        <f>_xlfn.XLOOKUP($A420,Map!$A:$A,Map!F:F)</f>
        <v>Tools</v>
      </c>
    </row>
    <row r="421" spans="1:10" x14ac:dyDescent="0.25">
      <c r="A421">
        <v>600016</v>
      </c>
      <c r="B421" t="s">
        <v>1346</v>
      </c>
      <c r="D421" s="116">
        <v>97309.33</v>
      </c>
      <c r="E421" s="116">
        <v>0</v>
      </c>
      <c r="F421" s="116">
        <f t="shared" si="3"/>
        <v>97309.33</v>
      </c>
      <c r="G421" s="43" t="str">
        <f>_xlfn.XLOOKUP($A421,Map!$A:$A,Map!C:C)</f>
        <v>IS</v>
      </c>
      <c r="H421" s="43" t="str">
        <f>_xlfn.XLOOKUP($A421,Map!$A:$A,Map!D:D)</f>
        <v>Cost of sales</v>
      </c>
      <c r="I421" s="43" t="str">
        <f>_xlfn.XLOOKUP($A421,Map!$A:$A,Map!E:E)</f>
        <v>Overhead - Consumables &amp; SP</v>
      </c>
      <c r="J421" s="43" t="str">
        <f>_xlfn.XLOOKUP($A421,Map!$A:$A,Map!F:F)</f>
        <v>Tools</v>
      </c>
    </row>
    <row r="422" spans="1:10" x14ac:dyDescent="0.25">
      <c r="A422">
        <v>600016</v>
      </c>
      <c r="B422" t="s">
        <v>1346</v>
      </c>
      <c r="D422" s="116">
        <v>59929.430999999997</v>
      </c>
      <c r="E422" s="116">
        <v>0</v>
      </c>
      <c r="F422" s="116">
        <f t="shared" si="3"/>
        <v>59929.430999999997</v>
      </c>
      <c r="G422" s="43" t="str">
        <f>_xlfn.XLOOKUP($A422,Map!$A:$A,Map!C:C)</f>
        <v>IS</v>
      </c>
      <c r="H422" s="43" t="str">
        <f>_xlfn.XLOOKUP($A422,Map!$A:$A,Map!D:D)</f>
        <v>Cost of sales</v>
      </c>
      <c r="I422" s="43" t="str">
        <f>_xlfn.XLOOKUP($A422,Map!$A:$A,Map!E:E)</f>
        <v>Overhead - Consumables &amp; SP</v>
      </c>
      <c r="J422" s="43" t="str">
        <f>_xlfn.XLOOKUP($A422,Map!$A:$A,Map!F:F)</f>
        <v>Tools</v>
      </c>
    </row>
    <row r="423" spans="1:10" x14ac:dyDescent="0.25">
      <c r="A423">
        <v>600015</v>
      </c>
      <c r="B423" t="s">
        <v>1346</v>
      </c>
      <c r="D423" s="116">
        <v>24407.200000000001</v>
      </c>
      <c r="E423" s="116">
        <v>0</v>
      </c>
      <c r="F423" s="116">
        <f t="shared" si="3"/>
        <v>24407.200000000001</v>
      </c>
      <c r="G423" s="43" t="str">
        <f>_xlfn.XLOOKUP($A423,Map!$A:$A,Map!C:C)</f>
        <v>IS</v>
      </c>
      <c r="H423" s="43" t="str">
        <f>_xlfn.XLOOKUP($A423,Map!$A:$A,Map!D:D)</f>
        <v>Cost of sales</v>
      </c>
      <c r="I423" s="43" t="str">
        <f>_xlfn.XLOOKUP($A423,Map!$A:$A,Map!E:E)</f>
        <v>Overhead - Consumables &amp; SP</v>
      </c>
      <c r="J423" s="43" t="str">
        <f>_xlfn.XLOOKUP($A423,Map!$A:$A,Map!F:F)</f>
        <v>Consumables</v>
      </c>
    </row>
    <row r="424" spans="1:10" x14ac:dyDescent="0.25">
      <c r="A424">
        <v>600014</v>
      </c>
      <c r="B424" t="s">
        <v>1346</v>
      </c>
      <c r="D424" s="116">
        <v>431940.88</v>
      </c>
      <c r="E424" s="116">
        <v>0</v>
      </c>
      <c r="F424" s="116">
        <f t="shared" si="3"/>
        <v>431940.88</v>
      </c>
      <c r="G424" s="43" t="str">
        <f>_xlfn.XLOOKUP($A424,Map!$A:$A,Map!C:C)</f>
        <v>IS</v>
      </c>
      <c r="H424" s="43" t="str">
        <f>_xlfn.XLOOKUP($A424,Map!$A:$A,Map!D:D)</f>
        <v>Cost of sales</v>
      </c>
      <c r="I424" s="43" t="str">
        <f>_xlfn.XLOOKUP($A424,Map!$A:$A,Map!E:E)</f>
        <v>Overhead - Consumables &amp; SP</v>
      </c>
      <c r="J424" s="43" t="str">
        <f>_xlfn.XLOOKUP($A424,Map!$A:$A,Map!F:F)</f>
        <v>Consumables</v>
      </c>
    </row>
    <row r="425" spans="1:10" x14ac:dyDescent="0.25">
      <c r="A425">
        <v>600011</v>
      </c>
      <c r="B425" t="s">
        <v>1346</v>
      </c>
      <c r="D425" s="116">
        <v>2000</v>
      </c>
      <c r="E425" s="116">
        <v>0</v>
      </c>
      <c r="F425" s="116">
        <f t="shared" si="3"/>
        <v>2000</v>
      </c>
      <c r="G425" s="43" t="str">
        <f>_xlfn.XLOOKUP($A425,Map!$A:$A,Map!C:C)</f>
        <v>IS</v>
      </c>
      <c r="H425" s="43" t="str">
        <f>_xlfn.XLOOKUP($A425,Map!$A:$A,Map!D:D)</f>
        <v>Cost of sales</v>
      </c>
      <c r="I425" s="43" t="str">
        <f>_xlfn.XLOOKUP($A425,Map!$A:$A,Map!E:E)</f>
        <v>Overhead - Labor Cost</v>
      </c>
      <c r="J425" s="43" t="str">
        <f>_xlfn.XLOOKUP($A425,Map!$A:$A,Map!F:F)</f>
        <v>Air tickets</v>
      </c>
    </row>
    <row r="426" spans="1:10" x14ac:dyDescent="0.25">
      <c r="A426">
        <v>600009</v>
      </c>
      <c r="B426" t="s">
        <v>1346</v>
      </c>
      <c r="D426" s="116">
        <v>45475</v>
      </c>
      <c r="E426" s="116">
        <v>0</v>
      </c>
      <c r="F426" s="116">
        <f t="shared" si="3"/>
        <v>45475</v>
      </c>
      <c r="G426" s="43" t="str">
        <f>_xlfn.XLOOKUP($A426,Map!$A:$A,Map!C:C)</f>
        <v>IS</v>
      </c>
      <c r="H426" s="43" t="str">
        <f>_xlfn.XLOOKUP($A426,Map!$A:$A,Map!D:D)</f>
        <v>Cost of sales</v>
      </c>
      <c r="I426" s="43" t="str">
        <f>_xlfn.XLOOKUP($A426,Map!$A:$A,Map!E:E)</f>
        <v>Overhead - Labor Cost</v>
      </c>
      <c r="J426" s="43" t="str">
        <f>_xlfn.XLOOKUP($A426,Map!$A:$A,Map!F:F)</f>
        <v>Vacation pay</v>
      </c>
    </row>
    <row r="427" spans="1:10" x14ac:dyDescent="0.25">
      <c r="A427">
        <v>600008</v>
      </c>
      <c r="B427" t="s">
        <v>1346</v>
      </c>
      <c r="D427" s="116">
        <v>41712</v>
      </c>
      <c r="E427" s="116">
        <v>0</v>
      </c>
      <c r="F427" s="116">
        <f t="shared" si="3"/>
        <v>41712</v>
      </c>
      <c r="G427" s="43" t="str">
        <f>_xlfn.XLOOKUP($A427,Map!$A:$A,Map!C:C)</f>
        <v>IS</v>
      </c>
      <c r="H427" s="43" t="str">
        <f>_xlfn.XLOOKUP($A427,Map!$A:$A,Map!D:D)</f>
        <v>Cost of sales</v>
      </c>
      <c r="I427" s="43" t="str">
        <f>_xlfn.XLOOKUP($A427,Map!$A:$A,Map!E:E)</f>
        <v>Overhead - Labor Cost</v>
      </c>
      <c r="J427" s="43" t="str">
        <f>_xlfn.XLOOKUP($A427,Map!$A:$A,Map!F:F)</f>
        <v>Air tickets</v>
      </c>
    </row>
    <row r="428" spans="1:10" x14ac:dyDescent="0.25">
      <c r="A428">
        <v>600007</v>
      </c>
      <c r="B428" t="s">
        <v>1346</v>
      </c>
      <c r="D428" s="116">
        <v>540</v>
      </c>
      <c r="E428" s="116">
        <v>0</v>
      </c>
      <c r="F428" s="116">
        <f t="shared" si="3"/>
        <v>540</v>
      </c>
      <c r="G428" s="43" t="str">
        <f>_xlfn.XLOOKUP($A428,Map!$A:$A,Map!C:C)</f>
        <v>IS</v>
      </c>
      <c r="H428" s="43" t="str">
        <f>_xlfn.XLOOKUP($A428,Map!$A:$A,Map!D:D)</f>
        <v>Cost of sales</v>
      </c>
      <c r="I428" s="43" t="str">
        <f>_xlfn.XLOOKUP($A428,Map!$A:$A,Map!E:E)</f>
        <v>Overhead - Labor Cost</v>
      </c>
      <c r="J428" s="43" t="str">
        <f>_xlfn.XLOOKUP($A428,Map!$A:$A,Map!F:F)</f>
        <v>Transportation allowance</v>
      </c>
    </row>
    <row r="429" spans="1:10" x14ac:dyDescent="0.25">
      <c r="A429">
        <v>600006</v>
      </c>
      <c r="B429" t="s">
        <v>1346</v>
      </c>
      <c r="D429" s="116">
        <v>52655.360000000001</v>
      </c>
      <c r="E429" s="116">
        <v>0</v>
      </c>
      <c r="F429" s="116">
        <f t="shared" si="3"/>
        <v>52655.360000000001</v>
      </c>
      <c r="G429" s="43" t="str">
        <f>_xlfn.XLOOKUP($A429,Map!$A:$A,Map!C:C)</f>
        <v>IS</v>
      </c>
      <c r="H429" s="43" t="str">
        <f>_xlfn.XLOOKUP($A429,Map!$A:$A,Map!D:D)</f>
        <v>Cost of sales</v>
      </c>
      <c r="I429" s="43" t="str">
        <f>_xlfn.XLOOKUP($A429,Map!$A:$A,Map!E:E)</f>
        <v>Overhead - Labor Cost</v>
      </c>
      <c r="J429" s="43" t="str">
        <f>_xlfn.XLOOKUP($A429,Map!$A:$A,Map!F:F)</f>
        <v xml:space="preserve">Food &amp; Housing </v>
      </c>
    </row>
    <row r="430" spans="1:10" x14ac:dyDescent="0.25">
      <c r="A430">
        <v>600005</v>
      </c>
      <c r="B430" t="s">
        <v>1346</v>
      </c>
      <c r="D430" s="116">
        <v>121540</v>
      </c>
      <c r="E430" s="116">
        <v>0</v>
      </c>
      <c r="F430" s="116">
        <f t="shared" si="3"/>
        <v>121540</v>
      </c>
      <c r="G430" s="43" t="str">
        <f>_xlfn.XLOOKUP($A430,Map!$A:$A,Map!C:C)</f>
        <v>IS</v>
      </c>
      <c r="H430" s="43" t="str">
        <f>_xlfn.XLOOKUP($A430,Map!$A:$A,Map!D:D)</f>
        <v>General and Admin</v>
      </c>
      <c r="I430" s="43" t="str">
        <f>_xlfn.XLOOKUP($A430,Map!$A:$A,Map!E:E)</f>
        <v>Govt license and fees (including modon)</v>
      </c>
      <c r="J430" s="43" t="str">
        <f>_xlfn.XLOOKUP($A430,Map!$A:$A,Map!F:F)</f>
        <v>Government fees</v>
      </c>
    </row>
    <row r="431" spans="1:10" x14ac:dyDescent="0.25">
      <c r="A431">
        <v>600004</v>
      </c>
      <c r="B431" t="s">
        <v>1346</v>
      </c>
      <c r="D431" s="116">
        <v>15760.38</v>
      </c>
      <c r="E431" s="116">
        <v>0</v>
      </c>
      <c r="F431" s="116">
        <f t="shared" si="3"/>
        <v>15760.38</v>
      </c>
      <c r="G431" s="43" t="str">
        <f>_xlfn.XLOOKUP($A431,Map!$A:$A,Map!C:C)</f>
        <v>IS</v>
      </c>
      <c r="H431" s="43" t="str">
        <f>_xlfn.XLOOKUP($A431,Map!$A:$A,Map!D:D)</f>
        <v>Cost of sales</v>
      </c>
      <c r="I431" s="43" t="str">
        <f>_xlfn.XLOOKUP($A431,Map!$A:$A,Map!E:E)</f>
        <v>Overhead - Labor Cost</v>
      </c>
      <c r="J431" s="43" t="str">
        <f>_xlfn.XLOOKUP($A431,Map!$A:$A,Map!F:F)</f>
        <v>Medical insurance</v>
      </c>
    </row>
    <row r="432" spans="1:10" x14ac:dyDescent="0.25">
      <c r="A432">
        <v>600003</v>
      </c>
      <c r="B432" t="s">
        <v>1346</v>
      </c>
      <c r="D432" s="116">
        <v>5414</v>
      </c>
      <c r="E432" s="116">
        <v>0</v>
      </c>
      <c r="F432" s="116">
        <f t="shared" si="3"/>
        <v>5414</v>
      </c>
      <c r="G432" s="43" t="str">
        <f>_xlfn.XLOOKUP($A432,Map!$A:$A,Map!C:C)</f>
        <v>IS</v>
      </c>
      <c r="H432" s="43" t="str">
        <f>_xlfn.XLOOKUP($A432,Map!$A:$A,Map!D:D)</f>
        <v>Cost of sales</v>
      </c>
      <c r="I432" s="43" t="str">
        <f>_xlfn.XLOOKUP($A432,Map!$A:$A,Map!E:E)</f>
        <v>Overhead - Labor Cost</v>
      </c>
      <c r="J432" s="43" t="str">
        <f>_xlfn.XLOOKUP($A432,Map!$A:$A,Map!F:F)</f>
        <v xml:space="preserve">Food &amp; Housing </v>
      </c>
    </row>
    <row r="433" spans="1:10" x14ac:dyDescent="0.25">
      <c r="A433">
        <v>600002</v>
      </c>
      <c r="B433" t="s">
        <v>1346</v>
      </c>
      <c r="D433" s="116">
        <v>20186</v>
      </c>
      <c r="E433" s="116">
        <v>0</v>
      </c>
      <c r="F433" s="116">
        <f t="shared" si="3"/>
        <v>20186</v>
      </c>
      <c r="G433" s="43" t="str">
        <f>_xlfn.XLOOKUP($A433,Map!$A:$A,Map!C:C)</f>
        <v>IS</v>
      </c>
      <c r="H433" s="43" t="str">
        <f>_xlfn.XLOOKUP($A433,Map!$A:$A,Map!D:D)</f>
        <v>Cost of sales</v>
      </c>
      <c r="I433" s="43" t="str">
        <f>_xlfn.XLOOKUP($A433,Map!$A:$A,Map!E:E)</f>
        <v>Overhead - Labor Cost</v>
      </c>
      <c r="J433" s="43" t="str">
        <f>_xlfn.XLOOKUP($A433,Map!$A:$A,Map!F:F)</f>
        <v>Overtime pay</v>
      </c>
    </row>
    <row r="434" spans="1:10" x14ac:dyDescent="0.25">
      <c r="A434">
        <v>600001</v>
      </c>
      <c r="B434" t="s">
        <v>1346</v>
      </c>
      <c r="D434" s="116">
        <v>206527.55799999999</v>
      </c>
      <c r="E434" s="116">
        <v>0</v>
      </c>
      <c r="F434" s="116">
        <f t="shared" si="3"/>
        <v>206527.55799999999</v>
      </c>
      <c r="G434" s="43" t="str">
        <f>_xlfn.XLOOKUP($A434,Map!$A:$A,Map!C:C)</f>
        <v>IS</v>
      </c>
      <c r="H434" s="43" t="str">
        <f>_xlfn.XLOOKUP($A434,Map!$A:$A,Map!D:D)</f>
        <v>Cost of sales</v>
      </c>
      <c r="I434" s="43" t="str">
        <f>_xlfn.XLOOKUP($A434,Map!$A:$A,Map!E:E)</f>
        <v>Overhead - Labor Cost</v>
      </c>
      <c r="J434" s="43" t="str">
        <f>_xlfn.XLOOKUP($A434,Map!$A:$A,Map!F:F)</f>
        <v>Indirect Salaries — factory supervisory / indirect floor labour (COGS)</v>
      </c>
    </row>
    <row r="435" spans="1:10" x14ac:dyDescent="0.25">
      <c r="A435">
        <v>520042</v>
      </c>
      <c r="B435" t="s">
        <v>1346</v>
      </c>
      <c r="D435" s="116">
        <v>0</v>
      </c>
      <c r="E435" s="116">
        <v>31280.116000000002</v>
      </c>
      <c r="F435" s="116">
        <f t="shared" si="3"/>
        <v>-31280.116000000002</v>
      </c>
      <c r="G435" s="43" t="str">
        <f>_xlfn.XLOOKUP($A435,Map!$A:$A,Map!C:C)</f>
        <v>IS</v>
      </c>
      <c r="H435" s="43" t="str">
        <f>_xlfn.XLOOKUP($A435,Map!$A:$A,Map!D:D)</f>
        <v>Cost of sales</v>
      </c>
      <c r="I435" s="43" t="str">
        <f>_xlfn.XLOOKUP($A435,Map!$A:$A,Map!E:E)</f>
        <v>Raw materials</v>
      </c>
      <c r="J435" s="43" t="str">
        <f>_xlfn.XLOOKUP($A435,Map!$A:$A,Map!F:F)</f>
        <v>Inventory Adjustment</v>
      </c>
    </row>
    <row r="436" spans="1:10" x14ac:dyDescent="0.25">
      <c r="A436">
        <v>520042</v>
      </c>
      <c r="B436" t="s">
        <v>1346</v>
      </c>
      <c r="D436" s="116">
        <v>0</v>
      </c>
      <c r="E436" s="116">
        <v>209006.266</v>
      </c>
      <c r="F436" s="116">
        <f t="shared" si="3"/>
        <v>-209006.266</v>
      </c>
      <c r="G436" s="43" t="str">
        <f>_xlfn.XLOOKUP($A436,Map!$A:$A,Map!C:C)</f>
        <v>IS</v>
      </c>
      <c r="H436" s="43" t="str">
        <f>_xlfn.XLOOKUP($A436,Map!$A:$A,Map!D:D)</f>
        <v>Cost of sales</v>
      </c>
      <c r="I436" s="43" t="str">
        <f>_xlfn.XLOOKUP($A436,Map!$A:$A,Map!E:E)</f>
        <v>Raw materials</v>
      </c>
      <c r="J436" s="43" t="str">
        <f>_xlfn.XLOOKUP($A436,Map!$A:$A,Map!F:F)</f>
        <v>Inventory Adjustment</v>
      </c>
    </row>
    <row r="437" spans="1:10" x14ac:dyDescent="0.25">
      <c r="A437">
        <v>520021</v>
      </c>
      <c r="B437" t="s">
        <v>1346</v>
      </c>
      <c r="D437" s="116">
        <v>2310</v>
      </c>
      <c r="E437" s="116">
        <v>0</v>
      </c>
      <c r="F437" s="116">
        <f t="shared" si="3"/>
        <v>2310</v>
      </c>
      <c r="G437" s="43" t="str">
        <f>_xlfn.XLOOKUP($A437,Map!$A:$A,Map!C:C)</f>
        <v>IS</v>
      </c>
      <c r="H437" s="43" t="str">
        <f>_xlfn.XLOOKUP($A437,Map!$A:$A,Map!D:D)</f>
        <v>Cost of sales</v>
      </c>
      <c r="I437" s="43" t="str">
        <f>_xlfn.XLOOKUP($A437,Map!$A:$A,Map!E:E)</f>
        <v>Direct Labor</v>
      </c>
      <c r="J437" s="43" t="str">
        <f>_xlfn.XLOOKUP($A437,Map!$A:$A,Map!F:F)</f>
        <v>Medical insurance</v>
      </c>
    </row>
    <row r="438" spans="1:10" x14ac:dyDescent="0.25">
      <c r="A438">
        <v>520011</v>
      </c>
      <c r="B438" t="s">
        <v>1346</v>
      </c>
      <c r="D438" s="116">
        <v>9041</v>
      </c>
      <c r="E438" s="116">
        <v>0</v>
      </c>
      <c r="F438" s="116">
        <f t="shared" si="3"/>
        <v>9041</v>
      </c>
      <c r="G438" s="43" t="str">
        <f>_xlfn.XLOOKUP($A438,Map!$A:$A,Map!C:C)</f>
        <v>IS</v>
      </c>
      <c r="H438" s="43" t="str">
        <f>_xlfn.XLOOKUP($A438,Map!$A:$A,Map!D:D)</f>
        <v>Cost of sales</v>
      </c>
      <c r="I438" s="43" t="str">
        <f>_xlfn.XLOOKUP($A438,Map!$A:$A,Map!E:E)</f>
        <v>Direct Labor</v>
      </c>
      <c r="J438" s="43" t="str">
        <f>_xlfn.XLOOKUP($A438,Map!$A:$A,Map!F:F)</f>
        <v>Overtime pay</v>
      </c>
    </row>
    <row r="439" spans="1:10" x14ac:dyDescent="0.25">
      <c r="A439">
        <v>520011</v>
      </c>
      <c r="B439" t="s">
        <v>1346</v>
      </c>
      <c r="D439" s="116">
        <v>18904</v>
      </c>
      <c r="E439" s="116">
        <v>0</v>
      </c>
      <c r="F439" s="116">
        <f t="shared" si="3"/>
        <v>18904</v>
      </c>
      <c r="G439" s="43" t="str">
        <f>_xlfn.XLOOKUP($A439,Map!$A:$A,Map!C:C)</f>
        <v>IS</v>
      </c>
      <c r="H439" s="43" t="str">
        <f>_xlfn.XLOOKUP($A439,Map!$A:$A,Map!D:D)</f>
        <v>Cost of sales</v>
      </c>
      <c r="I439" s="43" t="str">
        <f>_xlfn.XLOOKUP($A439,Map!$A:$A,Map!E:E)</f>
        <v>Direct Labor</v>
      </c>
      <c r="J439" s="43" t="str">
        <f>_xlfn.XLOOKUP($A439,Map!$A:$A,Map!F:F)</f>
        <v>Overtime pay</v>
      </c>
    </row>
    <row r="440" spans="1:10" x14ac:dyDescent="0.25">
      <c r="A440">
        <v>520006</v>
      </c>
      <c r="B440" t="s">
        <v>1346</v>
      </c>
      <c r="D440" s="116">
        <v>12810</v>
      </c>
      <c r="E440" s="116">
        <v>0</v>
      </c>
      <c r="F440" s="116">
        <f t="shared" si="3"/>
        <v>12810</v>
      </c>
      <c r="G440" s="43" t="str">
        <f>_xlfn.XLOOKUP($A440,Map!$A:$A,Map!C:C)</f>
        <v>IS</v>
      </c>
      <c r="H440" s="43" t="str">
        <f>_xlfn.XLOOKUP($A440,Map!$A:$A,Map!D:D)</f>
        <v>Cost of sales</v>
      </c>
      <c r="I440" s="43" t="str">
        <f>_xlfn.XLOOKUP($A440,Map!$A:$A,Map!E:E)</f>
        <v>Direct Labor</v>
      </c>
      <c r="J440" s="43" t="str">
        <f>_xlfn.XLOOKUP($A440,Map!$A:$A,Map!F:F)</f>
        <v>Medical insurance</v>
      </c>
    </row>
    <row r="441" spans="1:10" x14ac:dyDescent="0.25">
      <c r="A441">
        <v>520006</v>
      </c>
      <c r="B441" t="s">
        <v>1346</v>
      </c>
      <c r="D441" s="116">
        <v>6416</v>
      </c>
      <c r="E441" s="116">
        <v>0</v>
      </c>
      <c r="F441" s="116">
        <f t="shared" si="3"/>
        <v>6416</v>
      </c>
      <c r="G441" s="43" t="str">
        <f>_xlfn.XLOOKUP($A441,Map!$A:$A,Map!C:C)</f>
        <v>IS</v>
      </c>
      <c r="H441" s="43" t="str">
        <f>_xlfn.XLOOKUP($A441,Map!$A:$A,Map!D:D)</f>
        <v>Cost of sales</v>
      </c>
      <c r="I441" s="43" t="str">
        <f>_xlfn.XLOOKUP($A441,Map!$A:$A,Map!E:E)</f>
        <v>Direct Labor</v>
      </c>
      <c r="J441" s="43" t="str">
        <f>_xlfn.XLOOKUP($A441,Map!$A:$A,Map!F:F)</f>
        <v>Medical insurance</v>
      </c>
    </row>
    <row r="442" spans="1:10" x14ac:dyDescent="0.25">
      <c r="A442">
        <v>520006</v>
      </c>
      <c r="B442" t="s">
        <v>1346</v>
      </c>
      <c r="D442" s="116">
        <v>4114</v>
      </c>
      <c r="E442" s="116">
        <v>0</v>
      </c>
      <c r="F442" s="116">
        <f t="shared" si="3"/>
        <v>4114</v>
      </c>
      <c r="G442" s="43" t="str">
        <f>_xlfn.XLOOKUP($A442,Map!$A:$A,Map!C:C)</f>
        <v>IS</v>
      </c>
      <c r="H442" s="43" t="str">
        <f>_xlfn.XLOOKUP($A442,Map!$A:$A,Map!D:D)</f>
        <v>Cost of sales</v>
      </c>
      <c r="I442" s="43" t="str">
        <f>_xlfn.XLOOKUP($A442,Map!$A:$A,Map!E:E)</f>
        <v>Direct Labor</v>
      </c>
      <c r="J442" s="43" t="str">
        <f>_xlfn.XLOOKUP($A442,Map!$A:$A,Map!F:F)</f>
        <v>Medical insurance</v>
      </c>
    </row>
    <row r="443" spans="1:10" x14ac:dyDescent="0.25">
      <c r="A443">
        <v>520006</v>
      </c>
      <c r="B443" t="s">
        <v>1346</v>
      </c>
      <c r="D443" s="116">
        <v>3448</v>
      </c>
      <c r="E443" s="116">
        <v>0</v>
      </c>
      <c r="F443" s="116">
        <f t="shared" si="3"/>
        <v>3448</v>
      </c>
      <c r="G443" s="43" t="str">
        <f>_xlfn.XLOOKUP($A443,Map!$A:$A,Map!C:C)</f>
        <v>IS</v>
      </c>
      <c r="H443" s="43" t="str">
        <f>_xlfn.XLOOKUP($A443,Map!$A:$A,Map!D:D)</f>
        <v>Cost of sales</v>
      </c>
      <c r="I443" s="43" t="str">
        <f>_xlfn.XLOOKUP($A443,Map!$A:$A,Map!E:E)</f>
        <v>Direct Labor</v>
      </c>
      <c r="J443" s="43" t="str">
        <f>_xlfn.XLOOKUP($A443,Map!$A:$A,Map!F:F)</f>
        <v>Medical insurance</v>
      </c>
    </row>
    <row r="444" spans="1:10" x14ac:dyDescent="0.25">
      <c r="A444">
        <v>520006</v>
      </c>
      <c r="B444" t="s">
        <v>1346</v>
      </c>
      <c r="D444" s="116">
        <v>4476</v>
      </c>
      <c r="E444" s="116">
        <v>0</v>
      </c>
      <c r="F444" s="116">
        <f t="shared" si="3"/>
        <v>4476</v>
      </c>
      <c r="G444" s="43" t="str">
        <f>_xlfn.XLOOKUP($A444,Map!$A:$A,Map!C:C)</f>
        <v>IS</v>
      </c>
      <c r="H444" s="43" t="str">
        <f>_xlfn.XLOOKUP($A444,Map!$A:$A,Map!D:D)</f>
        <v>Cost of sales</v>
      </c>
      <c r="I444" s="43" t="str">
        <f>_xlfn.XLOOKUP($A444,Map!$A:$A,Map!E:E)</f>
        <v>Direct Labor</v>
      </c>
      <c r="J444" s="43" t="str">
        <f>_xlfn.XLOOKUP($A444,Map!$A:$A,Map!F:F)</f>
        <v>Medical insurance</v>
      </c>
    </row>
    <row r="445" spans="1:10" x14ac:dyDescent="0.25">
      <c r="A445">
        <v>520006</v>
      </c>
      <c r="B445" t="s">
        <v>1346</v>
      </c>
      <c r="D445" s="116">
        <v>2920</v>
      </c>
      <c r="E445" s="116">
        <v>0</v>
      </c>
      <c r="F445" s="116">
        <f t="shared" si="3"/>
        <v>2920</v>
      </c>
      <c r="G445" s="43" t="str">
        <f>_xlfn.XLOOKUP($A445,Map!$A:$A,Map!C:C)</f>
        <v>IS</v>
      </c>
      <c r="H445" s="43" t="str">
        <f>_xlfn.XLOOKUP($A445,Map!$A:$A,Map!D:D)</f>
        <v>Cost of sales</v>
      </c>
      <c r="I445" s="43" t="str">
        <f>_xlfn.XLOOKUP($A445,Map!$A:$A,Map!E:E)</f>
        <v>Direct Labor</v>
      </c>
      <c r="J445" s="43" t="str">
        <f>_xlfn.XLOOKUP($A445,Map!$A:$A,Map!F:F)</f>
        <v>Medical insurance</v>
      </c>
    </row>
    <row r="446" spans="1:10" x14ac:dyDescent="0.25">
      <c r="A446">
        <v>520004</v>
      </c>
      <c r="B446" t="s">
        <v>1346</v>
      </c>
      <c r="D446" s="116">
        <v>9014</v>
      </c>
      <c r="E446" s="116">
        <v>0</v>
      </c>
      <c r="F446" s="116">
        <f t="shared" si="3"/>
        <v>9014</v>
      </c>
      <c r="G446" s="43" t="str">
        <f>_xlfn.XLOOKUP($A446,Map!$A:$A,Map!C:C)</f>
        <v>IS</v>
      </c>
      <c r="H446" s="43" t="str">
        <f>_xlfn.XLOOKUP($A446,Map!$A:$A,Map!D:D)</f>
        <v>Cost of sales</v>
      </c>
      <c r="I446" s="43" t="str">
        <f>_xlfn.XLOOKUP($A446,Map!$A:$A,Map!E:E)</f>
        <v>Direct Labor</v>
      </c>
      <c r="J446" s="43" t="str">
        <f>_xlfn.XLOOKUP($A446,Map!$A:$A,Map!F:F)</f>
        <v>Food and housing</v>
      </c>
    </row>
    <row r="447" spans="1:10" x14ac:dyDescent="0.25">
      <c r="A447">
        <v>520004</v>
      </c>
      <c r="B447" t="s">
        <v>1346</v>
      </c>
      <c r="D447" s="116">
        <v>6680</v>
      </c>
      <c r="E447" s="116">
        <v>0</v>
      </c>
      <c r="F447" s="116">
        <f t="shared" si="3"/>
        <v>6680</v>
      </c>
      <c r="G447" s="43" t="str">
        <f>_xlfn.XLOOKUP($A447,Map!$A:$A,Map!C:C)</f>
        <v>IS</v>
      </c>
      <c r="H447" s="43" t="str">
        <f>_xlfn.XLOOKUP($A447,Map!$A:$A,Map!D:D)</f>
        <v>Cost of sales</v>
      </c>
      <c r="I447" s="43" t="str">
        <f>_xlfn.XLOOKUP($A447,Map!$A:$A,Map!E:E)</f>
        <v>Direct Labor</v>
      </c>
      <c r="J447" s="43" t="str">
        <f>_xlfn.XLOOKUP($A447,Map!$A:$A,Map!F:F)</f>
        <v>Food and housing</v>
      </c>
    </row>
    <row r="448" spans="1:10" x14ac:dyDescent="0.25">
      <c r="A448">
        <v>520003</v>
      </c>
      <c r="B448" t="s">
        <v>1346</v>
      </c>
      <c r="D448" s="116">
        <v>5367</v>
      </c>
      <c r="E448" s="116">
        <v>0</v>
      </c>
      <c r="F448" s="116">
        <f t="shared" si="3"/>
        <v>5367</v>
      </c>
      <c r="G448" s="43" t="str">
        <f>_xlfn.XLOOKUP($A448,Map!$A:$A,Map!C:C)</f>
        <v>IS</v>
      </c>
      <c r="H448" s="43" t="str">
        <f>_xlfn.XLOOKUP($A448,Map!$A:$A,Map!D:D)</f>
        <v>Cost of sales</v>
      </c>
      <c r="I448" s="43" t="str">
        <f>_xlfn.XLOOKUP($A448,Map!$A:$A,Map!E:E)</f>
        <v>Direct Labor</v>
      </c>
      <c r="J448" s="43" t="str">
        <f>_xlfn.XLOOKUP($A448,Map!$A:$A,Map!F:F)</f>
        <v>Transportation allowance</v>
      </c>
    </row>
    <row r="449" spans="1:10" x14ac:dyDescent="0.25">
      <c r="A449">
        <v>520001</v>
      </c>
      <c r="B449" t="s">
        <v>1346</v>
      </c>
      <c r="D449" s="116">
        <v>262900</v>
      </c>
      <c r="E449" s="116">
        <v>0</v>
      </c>
      <c r="F449" s="116">
        <f t="shared" si="3"/>
        <v>262900</v>
      </c>
      <c r="G449" s="43" t="str">
        <f>_xlfn.XLOOKUP($A449,Map!$A:$A,Map!C:C)</f>
        <v>IS</v>
      </c>
      <c r="H449" s="43" t="str">
        <f>_xlfn.XLOOKUP($A449,Map!$A:$A,Map!D:D)</f>
        <v>Cost of sales</v>
      </c>
      <c r="I449" s="43" t="str">
        <f>_xlfn.XLOOKUP($A449,Map!$A:$A,Map!E:E)</f>
        <v>Direct Labor</v>
      </c>
      <c r="J449" s="43" t="str">
        <f>_xlfn.XLOOKUP($A449,Map!$A:$A,Map!F:F)</f>
        <v>Salaries and wages</v>
      </c>
    </row>
    <row r="450" spans="1:10" x14ac:dyDescent="0.25">
      <c r="A450">
        <v>520001</v>
      </c>
      <c r="B450" t="s">
        <v>1346</v>
      </c>
      <c r="D450" s="116">
        <v>36209</v>
      </c>
      <c r="E450" s="116">
        <v>0</v>
      </c>
      <c r="F450" s="116">
        <f t="shared" si="3"/>
        <v>36209</v>
      </c>
      <c r="G450" s="43" t="str">
        <f>_xlfn.XLOOKUP($A450,Map!$A:$A,Map!C:C)</f>
        <v>IS</v>
      </c>
      <c r="H450" s="43" t="str">
        <f>_xlfn.XLOOKUP($A450,Map!$A:$A,Map!D:D)</f>
        <v>Cost of sales</v>
      </c>
      <c r="I450" s="43" t="str">
        <f>_xlfn.XLOOKUP($A450,Map!$A:$A,Map!E:E)</f>
        <v>Direct Labor</v>
      </c>
      <c r="J450" s="43" t="str">
        <f>_xlfn.XLOOKUP($A450,Map!$A:$A,Map!F:F)</f>
        <v>Salaries and wages</v>
      </c>
    </row>
    <row r="451" spans="1:10" x14ac:dyDescent="0.25">
      <c r="A451">
        <v>520001</v>
      </c>
      <c r="B451" t="s">
        <v>1346</v>
      </c>
      <c r="D451" s="116">
        <v>64619</v>
      </c>
      <c r="E451" s="116">
        <v>0</v>
      </c>
      <c r="F451" s="116">
        <f t="shared" si="3"/>
        <v>64619</v>
      </c>
      <c r="G451" s="43" t="str">
        <f>_xlfn.XLOOKUP($A451,Map!$A:$A,Map!C:C)</f>
        <v>IS</v>
      </c>
      <c r="H451" s="43" t="str">
        <f>_xlfn.XLOOKUP($A451,Map!$A:$A,Map!D:D)</f>
        <v>Cost of sales</v>
      </c>
      <c r="I451" s="43" t="str">
        <f>_xlfn.XLOOKUP($A451,Map!$A:$A,Map!E:E)</f>
        <v>Direct Labor</v>
      </c>
      <c r="J451" s="43" t="str">
        <f>_xlfn.XLOOKUP($A451,Map!$A:$A,Map!F:F)</f>
        <v>Salaries and wages</v>
      </c>
    </row>
    <row r="452" spans="1:10" x14ac:dyDescent="0.25">
      <c r="A452">
        <v>520001</v>
      </c>
      <c r="B452" t="s">
        <v>1346</v>
      </c>
      <c r="D452" s="116">
        <v>19853</v>
      </c>
      <c r="E452" s="116">
        <v>0</v>
      </c>
      <c r="F452" s="116">
        <f t="shared" si="3"/>
        <v>19853</v>
      </c>
      <c r="G452" s="43" t="str">
        <f>_xlfn.XLOOKUP($A452,Map!$A:$A,Map!C:C)</f>
        <v>IS</v>
      </c>
      <c r="H452" s="43" t="str">
        <f>_xlfn.XLOOKUP($A452,Map!$A:$A,Map!D:D)</f>
        <v>Cost of sales</v>
      </c>
      <c r="I452" s="43" t="str">
        <f>_xlfn.XLOOKUP($A452,Map!$A:$A,Map!E:E)</f>
        <v>Direct Labor</v>
      </c>
      <c r="J452" s="43" t="str">
        <f>_xlfn.XLOOKUP($A452,Map!$A:$A,Map!F:F)</f>
        <v>Salaries and wages</v>
      </c>
    </row>
    <row r="453" spans="1:10" x14ac:dyDescent="0.25">
      <c r="A453">
        <v>520001</v>
      </c>
      <c r="B453" t="s">
        <v>1346</v>
      </c>
      <c r="D453" s="116">
        <v>44041</v>
      </c>
      <c r="E453" s="116">
        <v>0</v>
      </c>
      <c r="F453" s="116">
        <f t="shared" si="3"/>
        <v>44041</v>
      </c>
      <c r="G453" s="43" t="str">
        <f>_xlfn.XLOOKUP($A453,Map!$A:$A,Map!C:C)</f>
        <v>IS</v>
      </c>
      <c r="H453" s="43" t="str">
        <f>_xlfn.XLOOKUP($A453,Map!$A:$A,Map!D:D)</f>
        <v>Cost of sales</v>
      </c>
      <c r="I453" s="43" t="str">
        <f>_xlfn.XLOOKUP($A453,Map!$A:$A,Map!E:E)</f>
        <v>Direct Labor</v>
      </c>
      <c r="J453" s="43" t="str">
        <f>_xlfn.XLOOKUP($A453,Map!$A:$A,Map!F:F)</f>
        <v>Salaries and wages</v>
      </c>
    </row>
    <row r="454" spans="1:10" x14ac:dyDescent="0.25">
      <c r="A454">
        <v>510005</v>
      </c>
      <c r="B454" t="s">
        <v>1346</v>
      </c>
      <c r="D454" s="116">
        <v>6872.9129999999996</v>
      </c>
      <c r="E454" s="116">
        <v>0</v>
      </c>
      <c r="F454" s="116">
        <f t="shared" si="3"/>
        <v>6872.9129999999996</v>
      </c>
      <c r="G454" s="43" t="str">
        <f>_xlfn.XLOOKUP($A454,Map!$A:$A,Map!C:C)</f>
        <v>IS</v>
      </c>
      <c r="H454" s="43" t="str">
        <f>_xlfn.XLOOKUP($A454,Map!$A:$A,Map!D:D)</f>
        <v>Cost of sales</v>
      </c>
      <c r="I454" s="43" t="str">
        <f>_xlfn.XLOOKUP($A454,Map!$A:$A,Map!E:E)</f>
        <v>Raw materials</v>
      </c>
      <c r="J454" s="43" t="str">
        <f>_xlfn.XLOOKUP($A454,Map!$A:$A,Map!F:F)</f>
        <v>Other expenses</v>
      </c>
    </row>
    <row r="455" spans="1:10" x14ac:dyDescent="0.25">
      <c r="A455">
        <v>510004</v>
      </c>
      <c r="B455" t="s">
        <v>1346</v>
      </c>
      <c r="D455" s="116">
        <v>0</v>
      </c>
      <c r="E455" s="116">
        <v>574781.51</v>
      </c>
      <c r="F455" s="116">
        <f t="shared" si="3"/>
        <v>-574781.51</v>
      </c>
      <c r="G455" s="43" t="str">
        <f>_xlfn.XLOOKUP($A455,Map!$A:$A,Map!C:C)</f>
        <v>IS</v>
      </c>
      <c r="H455" s="43" t="str">
        <f>_xlfn.XLOOKUP($A455,Map!$A:$A,Map!D:D)</f>
        <v>Cost of sales</v>
      </c>
      <c r="I455" s="43" t="str">
        <f>_xlfn.XLOOKUP($A455,Map!$A:$A,Map!E:E)</f>
        <v>Raw materials</v>
      </c>
      <c r="J455" s="43" t="str">
        <f>_xlfn.XLOOKUP($A455,Map!$A:$A,Map!F:F)</f>
        <v>Other expenses</v>
      </c>
    </row>
    <row r="456" spans="1:10" x14ac:dyDescent="0.25">
      <c r="A456">
        <v>510004</v>
      </c>
      <c r="B456" t="s">
        <v>1346</v>
      </c>
      <c r="D456" s="116">
        <v>0</v>
      </c>
      <c r="E456" s="116">
        <v>293597.25</v>
      </c>
      <c r="F456" s="116">
        <f t="shared" si="3"/>
        <v>-293597.25</v>
      </c>
      <c r="G456" s="43" t="str">
        <f>_xlfn.XLOOKUP($A456,Map!$A:$A,Map!C:C)</f>
        <v>IS</v>
      </c>
      <c r="H456" s="43" t="str">
        <f>_xlfn.XLOOKUP($A456,Map!$A:$A,Map!D:D)</f>
        <v>Cost of sales</v>
      </c>
      <c r="I456" s="43" t="str">
        <f>_xlfn.XLOOKUP($A456,Map!$A:$A,Map!E:E)</f>
        <v>Raw materials</v>
      </c>
      <c r="J456" s="43" t="str">
        <f>_xlfn.XLOOKUP($A456,Map!$A:$A,Map!F:F)</f>
        <v>Other expenses</v>
      </c>
    </row>
    <row r="457" spans="1:10" x14ac:dyDescent="0.25">
      <c r="A457">
        <v>510004</v>
      </c>
      <c r="B457" t="s">
        <v>1346</v>
      </c>
      <c r="D457" s="116">
        <v>0</v>
      </c>
      <c r="E457" s="116">
        <v>15750.89</v>
      </c>
      <c r="F457" s="116">
        <f t="shared" si="3"/>
        <v>-15750.89</v>
      </c>
      <c r="G457" s="43" t="str">
        <f>_xlfn.XLOOKUP($A457,Map!$A:$A,Map!C:C)</f>
        <v>IS</v>
      </c>
      <c r="H457" s="43" t="str">
        <f>_xlfn.XLOOKUP($A457,Map!$A:$A,Map!D:D)</f>
        <v>Cost of sales</v>
      </c>
      <c r="I457" s="43" t="str">
        <f>_xlfn.XLOOKUP($A457,Map!$A:$A,Map!E:E)</f>
        <v>Raw materials</v>
      </c>
      <c r="J457" s="43" t="str">
        <f>_xlfn.XLOOKUP($A457,Map!$A:$A,Map!F:F)</f>
        <v>Other expenses</v>
      </c>
    </row>
    <row r="458" spans="1:10" x14ac:dyDescent="0.25">
      <c r="A458">
        <v>510004</v>
      </c>
      <c r="B458" t="s">
        <v>1346</v>
      </c>
      <c r="D458" s="116">
        <v>0</v>
      </c>
      <c r="E458" s="116">
        <v>287890.19</v>
      </c>
      <c r="F458" s="116">
        <f t="shared" si="3"/>
        <v>-287890.19</v>
      </c>
      <c r="G458" s="43" t="str">
        <f>_xlfn.XLOOKUP($A458,Map!$A:$A,Map!C:C)</f>
        <v>IS</v>
      </c>
      <c r="H458" s="43" t="str">
        <f>_xlfn.XLOOKUP($A458,Map!$A:$A,Map!D:D)</f>
        <v>Cost of sales</v>
      </c>
      <c r="I458" s="43" t="str">
        <f>_xlfn.XLOOKUP($A458,Map!$A:$A,Map!E:E)</f>
        <v>Raw materials</v>
      </c>
      <c r="J458" s="43" t="str">
        <f>_xlfn.XLOOKUP($A458,Map!$A:$A,Map!F:F)</f>
        <v>Other expenses</v>
      </c>
    </row>
    <row r="459" spans="1:10" x14ac:dyDescent="0.25">
      <c r="A459">
        <v>510004</v>
      </c>
      <c r="B459" t="s">
        <v>1346</v>
      </c>
      <c r="D459" s="116">
        <v>0</v>
      </c>
      <c r="E459" s="116">
        <v>266936.32000000001</v>
      </c>
      <c r="F459" s="116">
        <f t="shared" si="3"/>
        <v>-266936.32000000001</v>
      </c>
      <c r="G459" s="43" t="str">
        <f>_xlfn.XLOOKUP($A459,Map!$A:$A,Map!C:C)</f>
        <v>IS</v>
      </c>
      <c r="H459" s="43" t="str">
        <f>_xlfn.XLOOKUP($A459,Map!$A:$A,Map!D:D)</f>
        <v>Cost of sales</v>
      </c>
      <c r="I459" s="43" t="str">
        <f>_xlfn.XLOOKUP($A459,Map!$A:$A,Map!E:E)</f>
        <v>Raw materials</v>
      </c>
      <c r="J459" s="43" t="str">
        <f>_xlfn.XLOOKUP($A459,Map!$A:$A,Map!F:F)</f>
        <v>Other expenses</v>
      </c>
    </row>
    <row r="460" spans="1:10" x14ac:dyDescent="0.25">
      <c r="A460">
        <v>510004</v>
      </c>
      <c r="B460" t="s">
        <v>1346</v>
      </c>
      <c r="D460" s="116">
        <v>0</v>
      </c>
      <c r="E460" s="116">
        <v>54069.71</v>
      </c>
      <c r="F460" s="116">
        <f t="shared" si="3"/>
        <v>-54069.71</v>
      </c>
      <c r="G460" s="43" t="str">
        <f>_xlfn.XLOOKUP($A460,Map!$A:$A,Map!C:C)</f>
        <v>IS</v>
      </c>
      <c r="H460" s="43" t="str">
        <f>_xlfn.XLOOKUP($A460,Map!$A:$A,Map!D:D)</f>
        <v>Cost of sales</v>
      </c>
      <c r="I460" s="43" t="str">
        <f>_xlfn.XLOOKUP($A460,Map!$A:$A,Map!E:E)</f>
        <v>Raw materials</v>
      </c>
      <c r="J460" s="43" t="str">
        <f>_xlfn.XLOOKUP($A460,Map!$A:$A,Map!F:F)</f>
        <v>Other expenses</v>
      </c>
    </row>
    <row r="461" spans="1:10" x14ac:dyDescent="0.25">
      <c r="A461">
        <v>510004</v>
      </c>
      <c r="B461" t="s">
        <v>1346</v>
      </c>
      <c r="D461" s="116">
        <v>0</v>
      </c>
      <c r="E461" s="116">
        <v>13687.81</v>
      </c>
      <c r="F461" s="116">
        <f t="shared" ref="F461:F524" si="4">D461-E461</f>
        <v>-13687.81</v>
      </c>
      <c r="G461" s="43" t="str">
        <f>_xlfn.XLOOKUP($A461,Map!$A:$A,Map!C:C)</f>
        <v>IS</v>
      </c>
      <c r="H461" s="43" t="str">
        <f>_xlfn.XLOOKUP($A461,Map!$A:$A,Map!D:D)</f>
        <v>Cost of sales</v>
      </c>
      <c r="I461" s="43" t="str">
        <f>_xlfn.XLOOKUP($A461,Map!$A:$A,Map!E:E)</f>
        <v>Raw materials</v>
      </c>
      <c r="J461" s="43" t="str">
        <f>_xlfn.XLOOKUP($A461,Map!$A:$A,Map!F:F)</f>
        <v>Other expenses</v>
      </c>
    </row>
    <row r="462" spans="1:10" x14ac:dyDescent="0.25">
      <c r="A462">
        <v>510004</v>
      </c>
      <c r="B462" t="s">
        <v>1346</v>
      </c>
      <c r="D462" s="116">
        <v>0</v>
      </c>
      <c r="E462" s="116">
        <v>121752.34</v>
      </c>
      <c r="F462" s="116">
        <f t="shared" si="4"/>
        <v>-121752.34</v>
      </c>
      <c r="G462" s="43" t="str">
        <f>_xlfn.XLOOKUP($A462,Map!$A:$A,Map!C:C)</f>
        <v>IS</v>
      </c>
      <c r="H462" s="43" t="str">
        <f>_xlfn.XLOOKUP($A462,Map!$A:$A,Map!D:D)</f>
        <v>Cost of sales</v>
      </c>
      <c r="I462" s="43" t="str">
        <f>_xlfn.XLOOKUP($A462,Map!$A:$A,Map!E:E)</f>
        <v>Raw materials</v>
      </c>
      <c r="J462" s="43" t="str">
        <f>_xlfn.XLOOKUP($A462,Map!$A:$A,Map!F:F)</f>
        <v>Other expenses</v>
      </c>
    </row>
    <row r="463" spans="1:10" x14ac:dyDescent="0.25">
      <c r="A463">
        <v>510004</v>
      </c>
      <c r="B463" t="s">
        <v>1346</v>
      </c>
      <c r="D463" s="116">
        <v>0</v>
      </c>
      <c r="E463" s="116">
        <v>1004553.31</v>
      </c>
      <c r="F463" s="116">
        <f t="shared" si="4"/>
        <v>-1004553.31</v>
      </c>
      <c r="G463" s="43" t="str">
        <f>_xlfn.XLOOKUP($A463,Map!$A:$A,Map!C:C)</f>
        <v>IS</v>
      </c>
      <c r="H463" s="43" t="str">
        <f>_xlfn.XLOOKUP($A463,Map!$A:$A,Map!D:D)</f>
        <v>Cost of sales</v>
      </c>
      <c r="I463" s="43" t="str">
        <f>_xlfn.XLOOKUP($A463,Map!$A:$A,Map!E:E)</f>
        <v>Raw materials</v>
      </c>
      <c r="J463" s="43" t="str">
        <f>_xlfn.XLOOKUP($A463,Map!$A:$A,Map!F:F)</f>
        <v>Other expenses</v>
      </c>
    </row>
    <row r="464" spans="1:10" x14ac:dyDescent="0.25">
      <c r="A464">
        <v>510004</v>
      </c>
      <c r="B464" t="s">
        <v>1346</v>
      </c>
      <c r="D464" s="116">
        <v>0</v>
      </c>
      <c r="E464" s="116">
        <v>82403.86</v>
      </c>
      <c r="F464" s="116">
        <f t="shared" si="4"/>
        <v>-82403.86</v>
      </c>
      <c r="G464" s="43" t="str">
        <f>_xlfn.XLOOKUP($A464,Map!$A:$A,Map!C:C)</f>
        <v>IS</v>
      </c>
      <c r="H464" s="43" t="str">
        <f>_xlfn.XLOOKUP($A464,Map!$A:$A,Map!D:D)</f>
        <v>Cost of sales</v>
      </c>
      <c r="I464" s="43" t="str">
        <f>_xlfn.XLOOKUP($A464,Map!$A:$A,Map!E:E)</f>
        <v>Raw materials</v>
      </c>
      <c r="J464" s="43" t="str">
        <f>_xlfn.XLOOKUP($A464,Map!$A:$A,Map!F:F)</f>
        <v>Other expenses</v>
      </c>
    </row>
    <row r="465" spans="1:10" x14ac:dyDescent="0.25">
      <c r="A465">
        <v>510002</v>
      </c>
      <c r="B465" t="s">
        <v>1346</v>
      </c>
      <c r="D465" s="116">
        <v>0</v>
      </c>
      <c r="E465" s="116">
        <v>6680</v>
      </c>
      <c r="F465" s="116">
        <f t="shared" si="4"/>
        <v>-6680</v>
      </c>
      <c r="G465" s="43" t="str">
        <f>_xlfn.XLOOKUP($A465,Map!$A:$A,Map!C:C)</f>
        <v>IS</v>
      </c>
      <c r="H465" s="43" t="str">
        <f>_xlfn.XLOOKUP($A465,Map!$A:$A,Map!D:D)</f>
        <v>Cost of sales</v>
      </c>
      <c r="I465" s="43" t="str">
        <f>_xlfn.XLOOKUP($A465,Map!$A:$A,Map!E:E)</f>
        <v>Direct Labor</v>
      </c>
      <c r="J465" s="43" t="str">
        <f>_xlfn.XLOOKUP($A465,Map!$A:$A,Map!F:F)</f>
        <v>Direct Labor</v>
      </c>
    </row>
    <row r="466" spans="1:10" x14ac:dyDescent="0.25">
      <c r="A466">
        <v>510002</v>
      </c>
      <c r="B466" t="s">
        <v>1346</v>
      </c>
      <c r="D466" s="116">
        <v>0</v>
      </c>
      <c r="E466" s="116">
        <v>300808</v>
      </c>
      <c r="F466" s="116">
        <f t="shared" si="4"/>
        <v>-300808</v>
      </c>
      <c r="G466" s="43" t="str">
        <f>_xlfn.XLOOKUP($A466,Map!$A:$A,Map!C:C)</f>
        <v>IS</v>
      </c>
      <c r="H466" s="43" t="str">
        <f>_xlfn.XLOOKUP($A466,Map!$A:$A,Map!D:D)</f>
        <v>Cost of sales</v>
      </c>
      <c r="I466" s="43" t="str">
        <f>_xlfn.XLOOKUP($A466,Map!$A:$A,Map!E:E)</f>
        <v>Direct Labor</v>
      </c>
      <c r="J466" s="43" t="str">
        <f>_xlfn.XLOOKUP($A466,Map!$A:$A,Map!F:F)</f>
        <v>Direct Labor</v>
      </c>
    </row>
    <row r="467" spans="1:10" x14ac:dyDescent="0.25">
      <c r="A467">
        <v>510002</v>
      </c>
      <c r="B467" t="s">
        <v>1346</v>
      </c>
      <c r="D467" s="116">
        <v>0</v>
      </c>
      <c r="E467" s="116">
        <v>20487</v>
      </c>
      <c r="F467" s="116">
        <f t="shared" si="4"/>
        <v>-20487</v>
      </c>
      <c r="G467" s="43" t="str">
        <f>_xlfn.XLOOKUP($A467,Map!$A:$A,Map!C:C)</f>
        <v>IS</v>
      </c>
      <c r="H467" s="43" t="str">
        <f>_xlfn.XLOOKUP($A467,Map!$A:$A,Map!D:D)</f>
        <v>Cost of sales</v>
      </c>
      <c r="I467" s="43" t="str">
        <f>_xlfn.XLOOKUP($A467,Map!$A:$A,Map!E:E)</f>
        <v>Direct Labor</v>
      </c>
      <c r="J467" s="43" t="str">
        <f>_xlfn.XLOOKUP($A467,Map!$A:$A,Map!F:F)</f>
        <v>Direct Labor</v>
      </c>
    </row>
    <row r="468" spans="1:10" x14ac:dyDescent="0.25">
      <c r="A468">
        <v>510002</v>
      </c>
      <c r="B468" t="s">
        <v>1346</v>
      </c>
      <c r="D468" s="116">
        <v>0</v>
      </c>
      <c r="E468" s="116">
        <v>61529</v>
      </c>
      <c r="F468" s="116">
        <f t="shared" si="4"/>
        <v>-61529</v>
      </c>
      <c r="G468" s="43" t="str">
        <f>_xlfn.XLOOKUP($A468,Map!$A:$A,Map!C:C)</f>
        <v>IS</v>
      </c>
      <c r="H468" s="43" t="str">
        <f>_xlfn.XLOOKUP($A468,Map!$A:$A,Map!D:D)</f>
        <v>Cost of sales</v>
      </c>
      <c r="I468" s="43" t="str">
        <f>_xlfn.XLOOKUP($A468,Map!$A:$A,Map!E:E)</f>
        <v>Direct Labor</v>
      </c>
      <c r="J468" s="43" t="str">
        <f>_xlfn.XLOOKUP($A468,Map!$A:$A,Map!F:F)</f>
        <v>Direct Labor</v>
      </c>
    </row>
    <row r="469" spans="1:10" x14ac:dyDescent="0.25">
      <c r="A469">
        <v>510002</v>
      </c>
      <c r="B469" t="s">
        <v>1346</v>
      </c>
      <c r="D469" s="116">
        <v>0</v>
      </c>
      <c r="E469" s="116">
        <v>68733</v>
      </c>
      <c r="F469" s="116">
        <f t="shared" si="4"/>
        <v>-68733</v>
      </c>
      <c r="G469" s="43" t="str">
        <f>_xlfn.XLOOKUP($A469,Map!$A:$A,Map!C:C)</f>
        <v>IS</v>
      </c>
      <c r="H469" s="43" t="str">
        <f>_xlfn.XLOOKUP($A469,Map!$A:$A,Map!D:D)</f>
        <v>Cost of sales</v>
      </c>
      <c r="I469" s="43" t="str">
        <f>_xlfn.XLOOKUP($A469,Map!$A:$A,Map!E:E)</f>
        <v>Direct Labor</v>
      </c>
      <c r="J469" s="43" t="str">
        <f>_xlfn.XLOOKUP($A469,Map!$A:$A,Map!F:F)</f>
        <v>Direct Labor</v>
      </c>
    </row>
    <row r="470" spans="1:10" x14ac:dyDescent="0.25">
      <c r="A470">
        <v>510002</v>
      </c>
      <c r="B470" t="s">
        <v>1346</v>
      </c>
      <c r="D470" s="116">
        <v>0</v>
      </c>
      <c r="E470" s="116">
        <v>3448</v>
      </c>
      <c r="F470" s="116">
        <f t="shared" si="4"/>
        <v>-3448</v>
      </c>
      <c r="G470" s="43" t="str">
        <f>_xlfn.XLOOKUP($A470,Map!$A:$A,Map!C:C)</f>
        <v>IS</v>
      </c>
      <c r="H470" s="43" t="str">
        <f>_xlfn.XLOOKUP($A470,Map!$A:$A,Map!D:D)</f>
        <v>Cost of sales</v>
      </c>
      <c r="I470" s="43" t="str">
        <f>_xlfn.XLOOKUP($A470,Map!$A:$A,Map!E:E)</f>
        <v>Direct Labor</v>
      </c>
      <c r="J470" s="43" t="str">
        <f>_xlfn.XLOOKUP($A470,Map!$A:$A,Map!F:F)</f>
        <v>Direct Labor</v>
      </c>
    </row>
    <row r="471" spans="1:10" x14ac:dyDescent="0.25">
      <c r="A471">
        <v>510002</v>
      </c>
      <c r="B471" t="s">
        <v>1346</v>
      </c>
      <c r="D471" s="116">
        <v>0</v>
      </c>
      <c r="E471" s="116">
        <v>4476</v>
      </c>
      <c r="F471" s="116">
        <f t="shared" si="4"/>
        <v>-4476</v>
      </c>
      <c r="G471" s="43" t="str">
        <f>_xlfn.XLOOKUP($A471,Map!$A:$A,Map!C:C)</f>
        <v>IS</v>
      </c>
      <c r="H471" s="43" t="str">
        <f>_xlfn.XLOOKUP($A471,Map!$A:$A,Map!D:D)</f>
        <v>Cost of sales</v>
      </c>
      <c r="I471" s="43" t="str">
        <f>_xlfn.XLOOKUP($A471,Map!$A:$A,Map!E:E)</f>
        <v>Direct Labor</v>
      </c>
      <c r="J471" s="43" t="str">
        <f>_xlfn.XLOOKUP($A471,Map!$A:$A,Map!F:F)</f>
        <v>Direct Labor</v>
      </c>
    </row>
    <row r="472" spans="1:10" x14ac:dyDescent="0.25">
      <c r="A472">
        <v>510002</v>
      </c>
      <c r="B472" t="s">
        <v>1346</v>
      </c>
      <c r="D472" s="116">
        <v>0</v>
      </c>
      <c r="E472" s="116">
        <v>44041</v>
      </c>
      <c r="F472" s="116">
        <f t="shared" si="4"/>
        <v>-44041</v>
      </c>
      <c r="G472" s="43" t="str">
        <f>_xlfn.XLOOKUP($A472,Map!$A:$A,Map!C:C)</f>
        <v>IS</v>
      </c>
      <c r="H472" s="43" t="str">
        <f>_xlfn.XLOOKUP($A472,Map!$A:$A,Map!D:D)</f>
        <v>Cost of sales</v>
      </c>
      <c r="I472" s="43" t="str">
        <f>_xlfn.XLOOKUP($A472,Map!$A:$A,Map!E:E)</f>
        <v>Direct Labor</v>
      </c>
      <c r="J472" s="43" t="str">
        <f>_xlfn.XLOOKUP($A472,Map!$A:$A,Map!F:F)</f>
        <v>Direct Labor</v>
      </c>
    </row>
    <row r="473" spans="1:10" x14ac:dyDescent="0.25">
      <c r="A473">
        <v>510002</v>
      </c>
      <c r="B473" t="s">
        <v>1346</v>
      </c>
      <c r="D473" s="116">
        <v>0</v>
      </c>
      <c r="E473" s="116">
        <v>2920</v>
      </c>
      <c r="F473" s="116">
        <f t="shared" si="4"/>
        <v>-2920</v>
      </c>
      <c r="G473" s="43" t="str">
        <f>_xlfn.XLOOKUP($A473,Map!$A:$A,Map!C:C)</f>
        <v>IS</v>
      </c>
      <c r="H473" s="43" t="str">
        <f>_xlfn.XLOOKUP($A473,Map!$A:$A,Map!D:D)</f>
        <v>Cost of sales</v>
      </c>
      <c r="I473" s="43" t="str">
        <f>_xlfn.XLOOKUP($A473,Map!$A:$A,Map!E:E)</f>
        <v>Direct Labor</v>
      </c>
      <c r="J473" s="43" t="str">
        <f>_xlfn.XLOOKUP($A473,Map!$A:$A,Map!F:F)</f>
        <v>Direct Labor</v>
      </c>
    </row>
    <row r="474" spans="1:10" x14ac:dyDescent="0.25">
      <c r="A474">
        <v>510001</v>
      </c>
      <c r="B474" t="s">
        <v>1346</v>
      </c>
      <c r="D474" s="116">
        <v>209006.266</v>
      </c>
      <c r="E474" s="116">
        <v>0</v>
      </c>
      <c r="F474" s="116">
        <f t="shared" si="4"/>
        <v>209006.266</v>
      </c>
      <c r="G474" s="43" t="str">
        <f>_xlfn.XLOOKUP($A474,Map!$A:$A,Map!C:C)</f>
        <v>IS</v>
      </c>
      <c r="H474" s="43" t="str">
        <f>_xlfn.XLOOKUP($A474,Map!$A:$A,Map!D:D)</f>
        <v>Cost of sales</v>
      </c>
      <c r="I474" s="43" t="str">
        <f>_xlfn.XLOOKUP($A474,Map!$A:$A,Map!E:E)</f>
        <v>Raw materials</v>
      </c>
      <c r="J474" s="43" t="str">
        <f>_xlfn.XLOOKUP($A474,Map!$A:$A,Map!F:F)</f>
        <v>Raw materials</v>
      </c>
    </row>
    <row r="475" spans="1:10" x14ac:dyDescent="0.25">
      <c r="A475">
        <v>600031</v>
      </c>
      <c r="B475" t="s">
        <v>1350</v>
      </c>
      <c r="D475" s="116">
        <v>613.33299999999997</v>
      </c>
      <c r="E475" s="116">
        <v>0</v>
      </c>
      <c r="F475" s="116">
        <f t="shared" si="4"/>
        <v>613.33299999999997</v>
      </c>
      <c r="G475" s="43" t="str">
        <f>_xlfn.XLOOKUP($A475,Map!$A:$A,Map!C:C)</f>
        <v>IS</v>
      </c>
      <c r="H475" s="43" t="str">
        <f>_xlfn.XLOOKUP($A475,Map!$A:$A,Map!D:D)</f>
        <v>Depreciation expenses</v>
      </c>
      <c r="I475" s="43" t="str">
        <f>_xlfn.XLOOKUP($A475,Map!$A:$A,Map!E:E)</f>
        <v>Depreciation expenses</v>
      </c>
      <c r="J475" s="43" t="str">
        <f>_xlfn.XLOOKUP($A475,Map!$A:$A,Map!F:F)</f>
        <v>Depreciation of property, plant and equipment</v>
      </c>
    </row>
    <row r="476" spans="1:10" x14ac:dyDescent="0.25">
      <c r="A476">
        <v>600030</v>
      </c>
      <c r="B476" t="s">
        <v>1346</v>
      </c>
      <c r="D476" s="116">
        <v>790.66899999999998</v>
      </c>
      <c r="E476" s="116">
        <v>0</v>
      </c>
      <c r="F476" s="116">
        <f t="shared" si="4"/>
        <v>790.66899999999998</v>
      </c>
      <c r="G476" s="43" t="str">
        <f>_xlfn.XLOOKUP($A476,Map!$A:$A,Map!C:C)</f>
        <v>IS</v>
      </c>
      <c r="H476" s="43" t="str">
        <f>_xlfn.XLOOKUP($A476,Map!$A:$A,Map!D:D)</f>
        <v>Depreciation expenses</v>
      </c>
      <c r="I476" s="43" t="str">
        <f>_xlfn.XLOOKUP($A476,Map!$A:$A,Map!E:E)</f>
        <v>Depreciation expenses</v>
      </c>
      <c r="J476" s="43" t="str">
        <f>_xlfn.XLOOKUP($A476,Map!$A:$A,Map!F:F)</f>
        <v>Depreciation of property, plant and equipment</v>
      </c>
    </row>
    <row r="477" spans="1:10" x14ac:dyDescent="0.25">
      <c r="A477">
        <v>600029</v>
      </c>
      <c r="B477" t="s">
        <v>1346</v>
      </c>
      <c r="D477" s="116">
        <v>289379.01</v>
      </c>
      <c r="E477" s="116">
        <v>0</v>
      </c>
      <c r="F477" s="116">
        <f t="shared" si="4"/>
        <v>289379.01</v>
      </c>
      <c r="G477" s="43" t="str">
        <f>_xlfn.XLOOKUP($A477,Map!$A:$A,Map!C:C)</f>
        <v>IS</v>
      </c>
      <c r="H477" s="43" t="str">
        <f>_xlfn.XLOOKUP($A477,Map!$A:$A,Map!D:D)</f>
        <v>Cost of sales</v>
      </c>
      <c r="I477" s="43" t="str">
        <f>_xlfn.XLOOKUP($A477,Map!$A:$A,Map!E:E)</f>
        <v>Depreciation - Machines</v>
      </c>
      <c r="J477" s="43" t="str">
        <f>_xlfn.XLOOKUP($A477,Map!$A:$A,Map!F:F)</f>
        <v>Depreciation of property, plant and equipment</v>
      </c>
    </row>
    <row r="478" spans="1:10" x14ac:dyDescent="0.25">
      <c r="A478">
        <v>600027</v>
      </c>
      <c r="B478" t="s">
        <v>1346</v>
      </c>
      <c r="D478" s="116">
        <v>51333.34</v>
      </c>
      <c r="E478" s="116">
        <v>0</v>
      </c>
      <c r="F478" s="116">
        <f t="shared" si="4"/>
        <v>51333.34</v>
      </c>
      <c r="G478" s="43" t="str">
        <f>_xlfn.XLOOKUP($A478,Map!$A:$A,Map!C:C)</f>
        <v>IS</v>
      </c>
      <c r="H478" s="43" t="str">
        <f>_xlfn.XLOOKUP($A478,Map!$A:$A,Map!D:D)</f>
        <v>Cost of sales</v>
      </c>
      <c r="I478" s="43" t="str">
        <f>_xlfn.XLOOKUP($A478,Map!$A:$A,Map!E:E)</f>
        <v>Overhead - Rent</v>
      </c>
      <c r="J478" s="43" t="str">
        <f>_xlfn.XLOOKUP($A478,Map!$A:$A,Map!F:F)</f>
        <v>Production hall rental</v>
      </c>
    </row>
    <row r="479" spans="1:10" x14ac:dyDescent="0.25">
      <c r="A479">
        <v>600019</v>
      </c>
      <c r="B479" t="s">
        <v>1346</v>
      </c>
      <c r="D479" s="116">
        <v>7370</v>
      </c>
      <c r="E479" s="116">
        <v>0</v>
      </c>
      <c r="F479" s="116">
        <f t="shared" si="4"/>
        <v>7370</v>
      </c>
      <c r="G479" s="43" t="str">
        <f>_xlfn.XLOOKUP($A479,Map!$A:$A,Map!C:C)</f>
        <v>IS</v>
      </c>
      <c r="H479" s="43" t="str">
        <f>_xlfn.XLOOKUP($A479,Map!$A:$A,Map!D:D)</f>
        <v>Cost of sales</v>
      </c>
      <c r="I479" s="43" t="str">
        <f>_xlfn.XLOOKUP($A479,Map!$A:$A,Map!E:E)</f>
        <v>Overhead - Utility</v>
      </c>
      <c r="J479" s="43" t="str">
        <f>_xlfn.XLOOKUP($A479,Map!$A:$A,Map!F:F)</f>
        <v>Fuel and oil</v>
      </c>
    </row>
    <row r="480" spans="1:10" x14ac:dyDescent="0.25">
      <c r="A480">
        <v>600018</v>
      </c>
      <c r="B480" t="s">
        <v>1346</v>
      </c>
      <c r="D480" s="116">
        <v>6860</v>
      </c>
      <c r="E480" s="116">
        <v>0</v>
      </c>
      <c r="F480" s="116">
        <f t="shared" si="4"/>
        <v>6860</v>
      </c>
      <c r="G480" s="43" t="str">
        <f>_xlfn.XLOOKUP($A480,Map!$A:$A,Map!C:C)</f>
        <v>IS</v>
      </c>
      <c r="H480" s="43" t="str">
        <f>_xlfn.XLOOKUP($A480,Map!$A:$A,Map!D:D)</f>
        <v>Cost of sales</v>
      </c>
      <c r="I480" s="43" t="str">
        <f>_xlfn.XLOOKUP($A480,Map!$A:$A,Map!E:E)</f>
        <v>Overhead - Utility</v>
      </c>
      <c r="J480" s="43" t="str">
        <f>_xlfn.XLOOKUP($A480,Map!$A:$A,Map!F:F)</f>
        <v>Water expenses</v>
      </c>
    </row>
    <row r="481" spans="1:10" x14ac:dyDescent="0.25">
      <c r="A481">
        <v>600017</v>
      </c>
      <c r="B481" t="s">
        <v>1346</v>
      </c>
      <c r="D481" s="116">
        <v>147764.79999999999</v>
      </c>
      <c r="E481" s="116">
        <v>0</v>
      </c>
      <c r="F481" s="116">
        <f t="shared" si="4"/>
        <v>147764.79999999999</v>
      </c>
      <c r="G481" s="43" t="str">
        <f>_xlfn.XLOOKUP($A481,Map!$A:$A,Map!C:C)</f>
        <v>IS</v>
      </c>
      <c r="H481" s="43" t="str">
        <f>_xlfn.XLOOKUP($A481,Map!$A:$A,Map!D:D)</f>
        <v>Cost of sales</v>
      </c>
      <c r="I481" s="43" t="str">
        <f>_xlfn.XLOOKUP($A481,Map!$A:$A,Map!E:E)</f>
        <v>Overhead - Utility</v>
      </c>
      <c r="J481" s="43" t="str">
        <f>_xlfn.XLOOKUP($A481,Map!$A:$A,Map!F:F)</f>
        <v>Electricity expenses</v>
      </c>
    </row>
    <row r="482" spans="1:10" x14ac:dyDescent="0.25">
      <c r="A482">
        <v>600016</v>
      </c>
      <c r="B482" t="s">
        <v>1346</v>
      </c>
      <c r="D482" s="116">
        <v>6129</v>
      </c>
      <c r="E482" s="116">
        <v>0</v>
      </c>
      <c r="F482" s="116">
        <f t="shared" si="4"/>
        <v>6129</v>
      </c>
      <c r="G482" s="43" t="str">
        <f>_xlfn.XLOOKUP($A482,Map!$A:$A,Map!C:C)</f>
        <v>IS</v>
      </c>
      <c r="H482" s="43" t="str">
        <f>_xlfn.XLOOKUP($A482,Map!$A:$A,Map!D:D)</f>
        <v>Cost of sales</v>
      </c>
      <c r="I482" s="43" t="str">
        <f>_xlfn.XLOOKUP($A482,Map!$A:$A,Map!E:E)</f>
        <v>Overhead - Consumables &amp; SP</v>
      </c>
      <c r="J482" s="43" t="str">
        <f>_xlfn.XLOOKUP($A482,Map!$A:$A,Map!F:F)</f>
        <v>Tools</v>
      </c>
    </row>
    <row r="483" spans="1:10" x14ac:dyDescent="0.25">
      <c r="A483">
        <v>600014</v>
      </c>
      <c r="B483" t="s">
        <v>1346</v>
      </c>
      <c r="D483" s="116">
        <v>59892</v>
      </c>
      <c r="E483" s="116">
        <v>0</v>
      </c>
      <c r="F483" s="116">
        <f t="shared" si="4"/>
        <v>59892</v>
      </c>
      <c r="G483" s="43" t="str">
        <f>_xlfn.XLOOKUP($A483,Map!$A:$A,Map!C:C)</f>
        <v>IS</v>
      </c>
      <c r="H483" s="43" t="str">
        <f>_xlfn.XLOOKUP($A483,Map!$A:$A,Map!D:D)</f>
        <v>Cost of sales</v>
      </c>
      <c r="I483" s="43" t="str">
        <f>_xlfn.XLOOKUP($A483,Map!$A:$A,Map!E:E)</f>
        <v>Overhead - Consumables &amp; SP</v>
      </c>
      <c r="J483" s="43" t="str">
        <f>_xlfn.XLOOKUP($A483,Map!$A:$A,Map!F:F)</f>
        <v>Consumables</v>
      </c>
    </row>
    <row r="484" spans="1:10" x14ac:dyDescent="0.25">
      <c r="A484">
        <v>600013</v>
      </c>
      <c r="B484" t="s">
        <v>1346</v>
      </c>
      <c r="D484" s="116">
        <v>400</v>
      </c>
      <c r="E484" s="116">
        <v>0</v>
      </c>
      <c r="F484" s="116">
        <f t="shared" si="4"/>
        <v>400</v>
      </c>
      <c r="G484" s="43" t="str">
        <f>_xlfn.XLOOKUP($A484,Map!$A:$A,Map!C:C)</f>
        <v>IS</v>
      </c>
      <c r="H484" s="43" t="str">
        <f>_xlfn.XLOOKUP($A484,Map!$A:$A,Map!D:D)</f>
        <v>Cost of sales</v>
      </c>
      <c r="I484" s="43" t="str">
        <f>_xlfn.XLOOKUP($A484,Map!$A:$A,Map!E:E)</f>
        <v>Overhead - Labor Cost</v>
      </c>
      <c r="J484" s="43" t="str">
        <f>_xlfn.XLOOKUP($A484,Map!$A:$A,Map!F:F)</f>
        <v>Telephone allowance</v>
      </c>
    </row>
    <row r="485" spans="1:10" x14ac:dyDescent="0.25">
      <c r="A485">
        <v>600009</v>
      </c>
      <c r="B485" t="s">
        <v>1346</v>
      </c>
      <c r="D485" s="116">
        <v>8325</v>
      </c>
      <c r="E485" s="116">
        <v>0</v>
      </c>
      <c r="F485" s="116">
        <f t="shared" si="4"/>
        <v>8325</v>
      </c>
      <c r="G485" s="43" t="str">
        <f>_xlfn.XLOOKUP($A485,Map!$A:$A,Map!C:C)</f>
        <v>IS</v>
      </c>
      <c r="H485" s="43" t="str">
        <f>_xlfn.XLOOKUP($A485,Map!$A:$A,Map!D:D)</f>
        <v>Cost of sales</v>
      </c>
      <c r="I485" s="43" t="str">
        <f>_xlfn.XLOOKUP($A485,Map!$A:$A,Map!E:E)</f>
        <v>Overhead - Labor Cost</v>
      </c>
      <c r="J485" s="43" t="str">
        <f>_xlfn.XLOOKUP($A485,Map!$A:$A,Map!F:F)</f>
        <v>Vacation pay</v>
      </c>
    </row>
    <row r="486" spans="1:10" x14ac:dyDescent="0.25">
      <c r="A486">
        <v>600008</v>
      </c>
      <c r="B486" t="s">
        <v>1346</v>
      </c>
      <c r="D486" s="116">
        <v>3661</v>
      </c>
      <c r="E486" s="116">
        <v>0</v>
      </c>
      <c r="F486" s="116">
        <f t="shared" si="4"/>
        <v>3661</v>
      </c>
      <c r="G486" s="43" t="str">
        <f>_xlfn.XLOOKUP($A486,Map!$A:$A,Map!C:C)</f>
        <v>IS</v>
      </c>
      <c r="H486" s="43" t="str">
        <f>_xlfn.XLOOKUP($A486,Map!$A:$A,Map!D:D)</f>
        <v>Cost of sales</v>
      </c>
      <c r="I486" s="43" t="str">
        <f>_xlfn.XLOOKUP($A486,Map!$A:$A,Map!E:E)</f>
        <v>Overhead - Labor Cost</v>
      </c>
      <c r="J486" s="43" t="str">
        <f>_xlfn.XLOOKUP($A486,Map!$A:$A,Map!F:F)</f>
        <v>Air tickets</v>
      </c>
    </row>
    <row r="487" spans="1:10" x14ac:dyDescent="0.25">
      <c r="A487">
        <v>600007</v>
      </c>
      <c r="B487" t="s">
        <v>1346</v>
      </c>
      <c r="D487" s="116">
        <v>500</v>
      </c>
      <c r="E487" s="116">
        <v>0</v>
      </c>
      <c r="F487" s="116">
        <f t="shared" si="4"/>
        <v>500</v>
      </c>
      <c r="G487" s="43" t="str">
        <f>_xlfn.XLOOKUP($A487,Map!$A:$A,Map!C:C)</f>
        <v>IS</v>
      </c>
      <c r="H487" s="43" t="str">
        <f>_xlfn.XLOOKUP($A487,Map!$A:$A,Map!D:D)</f>
        <v>Cost of sales</v>
      </c>
      <c r="I487" s="43" t="str">
        <f>_xlfn.XLOOKUP($A487,Map!$A:$A,Map!E:E)</f>
        <v>Overhead - Labor Cost</v>
      </c>
      <c r="J487" s="43" t="str">
        <f>_xlfn.XLOOKUP($A487,Map!$A:$A,Map!F:F)</f>
        <v>Transportation allowance</v>
      </c>
    </row>
    <row r="488" spans="1:10" x14ac:dyDescent="0.25">
      <c r="A488">
        <v>600006</v>
      </c>
      <c r="B488" t="s">
        <v>1346</v>
      </c>
      <c r="D488" s="116">
        <v>0.02</v>
      </c>
      <c r="E488" s="116">
        <v>0</v>
      </c>
      <c r="F488" s="116">
        <f t="shared" si="4"/>
        <v>0.02</v>
      </c>
      <c r="G488" s="43" t="str">
        <f>_xlfn.XLOOKUP($A488,Map!$A:$A,Map!C:C)</f>
        <v>IS</v>
      </c>
      <c r="H488" s="43" t="str">
        <f>_xlfn.XLOOKUP($A488,Map!$A:$A,Map!D:D)</f>
        <v>Cost of sales</v>
      </c>
      <c r="I488" s="43" t="str">
        <f>_xlfn.XLOOKUP($A488,Map!$A:$A,Map!E:E)</f>
        <v>Overhead - Labor Cost</v>
      </c>
      <c r="J488" s="43" t="str">
        <f>_xlfn.XLOOKUP($A488,Map!$A:$A,Map!F:F)</f>
        <v xml:space="preserve">Food &amp; Housing </v>
      </c>
    </row>
    <row r="489" spans="1:10" x14ac:dyDescent="0.25">
      <c r="A489">
        <v>600005</v>
      </c>
      <c r="B489" t="s">
        <v>1346</v>
      </c>
      <c r="D489" s="116">
        <v>34050</v>
      </c>
      <c r="E489" s="116">
        <v>0</v>
      </c>
      <c r="F489" s="116">
        <f t="shared" si="4"/>
        <v>34050</v>
      </c>
      <c r="G489" s="43" t="str">
        <f>_xlfn.XLOOKUP($A489,Map!$A:$A,Map!C:C)</f>
        <v>IS</v>
      </c>
      <c r="H489" s="43" t="str">
        <f>_xlfn.XLOOKUP($A489,Map!$A:$A,Map!D:D)</f>
        <v>General and Admin</v>
      </c>
      <c r="I489" s="43" t="str">
        <f>_xlfn.XLOOKUP($A489,Map!$A:$A,Map!E:E)</f>
        <v>Govt license and fees (including modon)</v>
      </c>
      <c r="J489" s="43" t="str">
        <f>_xlfn.XLOOKUP($A489,Map!$A:$A,Map!F:F)</f>
        <v>Government fees</v>
      </c>
    </row>
    <row r="490" spans="1:10" x14ac:dyDescent="0.25">
      <c r="A490">
        <v>600004</v>
      </c>
      <c r="B490" t="s">
        <v>1346</v>
      </c>
      <c r="D490" s="116">
        <v>7354.43</v>
      </c>
      <c r="E490" s="116">
        <v>0</v>
      </c>
      <c r="F490" s="116">
        <f t="shared" si="4"/>
        <v>7354.43</v>
      </c>
      <c r="G490" s="43" t="str">
        <f>_xlfn.XLOOKUP($A490,Map!$A:$A,Map!C:C)</f>
        <v>IS</v>
      </c>
      <c r="H490" s="43" t="str">
        <f>_xlfn.XLOOKUP($A490,Map!$A:$A,Map!D:D)</f>
        <v>Cost of sales</v>
      </c>
      <c r="I490" s="43" t="str">
        <f>_xlfn.XLOOKUP($A490,Map!$A:$A,Map!E:E)</f>
        <v>Overhead - Labor Cost</v>
      </c>
      <c r="J490" s="43" t="str">
        <f>_xlfn.XLOOKUP($A490,Map!$A:$A,Map!F:F)</f>
        <v>Medical insurance</v>
      </c>
    </row>
    <row r="491" spans="1:10" x14ac:dyDescent="0.25">
      <c r="A491">
        <v>600003</v>
      </c>
      <c r="B491" t="s">
        <v>1346</v>
      </c>
      <c r="D491" s="116">
        <v>3240</v>
      </c>
      <c r="E491" s="116">
        <v>0</v>
      </c>
      <c r="F491" s="116">
        <f t="shared" si="4"/>
        <v>3240</v>
      </c>
      <c r="G491" s="43" t="str">
        <f>_xlfn.XLOOKUP($A491,Map!$A:$A,Map!C:C)</f>
        <v>IS</v>
      </c>
      <c r="H491" s="43" t="str">
        <f>_xlfn.XLOOKUP($A491,Map!$A:$A,Map!D:D)</f>
        <v>Cost of sales</v>
      </c>
      <c r="I491" s="43" t="str">
        <f>_xlfn.XLOOKUP($A491,Map!$A:$A,Map!E:E)</f>
        <v>Overhead - Labor Cost</v>
      </c>
      <c r="J491" s="43" t="str">
        <f>_xlfn.XLOOKUP($A491,Map!$A:$A,Map!F:F)</f>
        <v xml:space="preserve">Food &amp; Housing </v>
      </c>
    </row>
    <row r="492" spans="1:10" x14ac:dyDescent="0.25">
      <c r="A492">
        <v>600002</v>
      </c>
      <c r="B492" t="s">
        <v>1346</v>
      </c>
      <c r="D492" s="116">
        <v>12374</v>
      </c>
      <c r="E492" s="116">
        <v>0</v>
      </c>
      <c r="F492" s="116">
        <f t="shared" si="4"/>
        <v>12374</v>
      </c>
      <c r="G492" s="43" t="str">
        <f>_xlfn.XLOOKUP($A492,Map!$A:$A,Map!C:C)</f>
        <v>IS</v>
      </c>
      <c r="H492" s="43" t="str">
        <f>_xlfn.XLOOKUP($A492,Map!$A:$A,Map!D:D)</f>
        <v>Cost of sales</v>
      </c>
      <c r="I492" s="43" t="str">
        <f>_xlfn.XLOOKUP($A492,Map!$A:$A,Map!E:E)</f>
        <v>Overhead - Labor Cost</v>
      </c>
      <c r="J492" s="43" t="str">
        <f>_xlfn.XLOOKUP($A492,Map!$A:$A,Map!F:F)</f>
        <v>Overtime pay</v>
      </c>
    </row>
    <row r="493" spans="1:10" x14ac:dyDescent="0.25">
      <c r="A493">
        <v>600001</v>
      </c>
      <c r="B493" t="s">
        <v>1346</v>
      </c>
      <c r="D493" s="116">
        <v>76867</v>
      </c>
      <c r="E493" s="116">
        <v>0</v>
      </c>
      <c r="F493" s="116">
        <f t="shared" si="4"/>
        <v>76867</v>
      </c>
      <c r="G493" s="43" t="str">
        <f>_xlfn.XLOOKUP($A493,Map!$A:$A,Map!C:C)</f>
        <v>IS</v>
      </c>
      <c r="H493" s="43" t="str">
        <f>_xlfn.XLOOKUP($A493,Map!$A:$A,Map!D:D)</f>
        <v>Cost of sales</v>
      </c>
      <c r="I493" s="43" t="str">
        <f>_xlfn.XLOOKUP($A493,Map!$A:$A,Map!E:E)</f>
        <v>Overhead - Labor Cost</v>
      </c>
      <c r="J493" s="43" t="str">
        <f>_xlfn.XLOOKUP($A493,Map!$A:$A,Map!F:F)</f>
        <v>Indirect Salaries — factory supervisory / indirect floor labour (COGS)</v>
      </c>
    </row>
    <row r="494" spans="1:10" x14ac:dyDescent="0.25">
      <c r="A494">
        <v>520042</v>
      </c>
      <c r="B494" t="s">
        <v>1346</v>
      </c>
      <c r="D494" s="116">
        <v>8136.9250000000002</v>
      </c>
      <c r="E494" s="116">
        <v>0</v>
      </c>
      <c r="F494" s="116">
        <f t="shared" si="4"/>
        <v>8136.9250000000002</v>
      </c>
      <c r="G494" s="43" t="str">
        <f>_xlfn.XLOOKUP($A494,Map!$A:$A,Map!C:C)</f>
        <v>IS</v>
      </c>
      <c r="H494" s="43" t="str">
        <f>_xlfn.XLOOKUP($A494,Map!$A:$A,Map!D:D)</f>
        <v>Cost of sales</v>
      </c>
      <c r="I494" s="43" t="str">
        <f>_xlfn.XLOOKUP($A494,Map!$A:$A,Map!E:E)</f>
        <v>Raw materials</v>
      </c>
      <c r="J494" s="43" t="str">
        <f>_xlfn.XLOOKUP($A494,Map!$A:$A,Map!F:F)</f>
        <v>Inventory Adjustment</v>
      </c>
    </row>
    <row r="495" spans="1:10" x14ac:dyDescent="0.25">
      <c r="A495">
        <v>520037</v>
      </c>
      <c r="B495" t="s">
        <v>1346</v>
      </c>
      <c r="D495" s="116">
        <v>0</v>
      </c>
      <c r="E495" s="116">
        <v>7894.3549999999996</v>
      </c>
      <c r="F495" s="116">
        <f t="shared" si="4"/>
        <v>-7894.3549999999996</v>
      </c>
      <c r="G495" s="43" t="str">
        <f>_xlfn.XLOOKUP($A495,Map!$A:$A,Map!C:C)</f>
        <v>IS</v>
      </c>
      <c r="H495" s="43" t="str">
        <f>_xlfn.XLOOKUP($A495,Map!$A:$A,Map!D:D)</f>
        <v>Cost of sales</v>
      </c>
      <c r="I495" s="43" t="str">
        <f>_xlfn.XLOOKUP($A495,Map!$A:$A,Map!E:E)</f>
        <v>Raw materials</v>
      </c>
      <c r="J495" s="43" t="str">
        <f>_xlfn.XLOOKUP($A495,Map!$A:$A,Map!F:F)</f>
        <v>Raw materials</v>
      </c>
    </row>
    <row r="496" spans="1:10" x14ac:dyDescent="0.25">
      <c r="A496">
        <v>520036</v>
      </c>
      <c r="B496" t="s">
        <v>1346</v>
      </c>
      <c r="D496" s="116">
        <v>1E-3</v>
      </c>
      <c r="E496" s="116">
        <v>0</v>
      </c>
      <c r="F496" s="116">
        <f t="shared" si="4"/>
        <v>1E-3</v>
      </c>
      <c r="G496" s="43" t="str">
        <f>_xlfn.XLOOKUP($A496,Map!$A:$A,Map!C:C)</f>
        <v>IS</v>
      </c>
      <c r="H496" s="43" t="str">
        <f>_xlfn.XLOOKUP($A496,Map!$A:$A,Map!D:D)</f>
        <v>Cost of sales</v>
      </c>
      <c r="I496" s="43" t="str">
        <f>_xlfn.XLOOKUP($A496,Map!$A:$A,Map!E:E)</f>
        <v>Raw materials</v>
      </c>
      <c r="J496" s="43" t="str">
        <f>_xlfn.XLOOKUP($A496,Map!$A:$A,Map!F:F)</f>
        <v>Raw materials</v>
      </c>
    </row>
    <row r="497" spans="1:10" x14ac:dyDescent="0.25">
      <c r="A497">
        <v>520021</v>
      </c>
      <c r="B497" t="s">
        <v>1346</v>
      </c>
      <c r="D497" s="116">
        <v>4920</v>
      </c>
      <c r="E497" s="116">
        <v>0</v>
      </c>
      <c r="F497" s="116">
        <f t="shared" si="4"/>
        <v>4920</v>
      </c>
      <c r="G497" s="43" t="str">
        <f>_xlfn.XLOOKUP($A497,Map!$A:$A,Map!C:C)</f>
        <v>IS</v>
      </c>
      <c r="H497" s="43" t="str">
        <f>_xlfn.XLOOKUP($A497,Map!$A:$A,Map!D:D)</f>
        <v>Cost of sales</v>
      </c>
      <c r="I497" s="43" t="str">
        <f>_xlfn.XLOOKUP($A497,Map!$A:$A,Map!E:E)</f>
        <v>Direct Labor</v>
      </c>
      <c r="J497" s="43" t="str">
        <f>_xlfn.XLOOKUP($A497,Map!$A:$A,Map!F:F)</f>
        <v>Medical insurance</v>
      </c>
    </row>
    <row r="498" spans="1:10" x14ac:dyDescent="0.25">
      <c r="A498">
        <v>520011</v>
      </c>
      <c r="B498" t="s">
        <v>1346</v>
      </c>
      <c r="D498" s="116">
        <v>14127</v>
      </c>
      <c r="E498" s="116">
        <v>0</v>
      </c>
      <c r="F498" s="116">
        <f t="shared" si="4"/>
        <v>14127</v>
      </c>
      <c r="G498" s="43" t="str">
        <f>_xlfn.XLOOKUP($A498,Map!$A:$A,Map!C:C)</f>
        <v>IS</v>
      </c>
      <c r="H498" s="43" t="str">
        <f>_xlfn.XLOOKUP($A498,Map!$A:$A,Map!D:D)</f>
        <v>Cost of sales</v>
      </c>
      <c r="I498" s="43" t="str">
        <f>_xlfn.XLOOKUP($A498,Map!$A:$A,Map!E:E)</f>
        <v>Direct Labor</v>
      </c>
      <c r="J498" s="43" t="str">
        <f>_xlfn.XLOOKUP($A498,Map!$A:$A,Map!F:F)</f>
        <v>Overtime pay</v>
      </c>
    </row>
    <row r="499" spans="1:10" x14ac:dyDescent="0.25">
      <c r="A499">
        <v>520011</v>
      </c>
      <c r="B499" t="s">
        <v>1346</v>
      </c>
      <c r="D499" s="116">
        <v>13893</v>
      </c>
      <c r="E499" s="116">
        <v>0</v>
      </c>
      <c r="F499" s="116">
        <f t="shared" si="4"/>
        <v>13893</v>
      </c>
      <c r="G499" s="43" t="str">
        <f>_xlfn.XLOOKUP($A499,Map!$A:$A,Map!C:C)</f>
        <v>IS</v>
      </c>
      <c r="H499" s="43" t="str">
        <f>_xlfn.XLOOKUP($A499,Map!$A:$A,Map!D:D)</f>
        <v>Cost of sales</v>
      </c>
      <c r="I499" s="43" t="str">
        <f>_xlfn.XLOOKUP($A499,Map!$A:$A,Map!E:E)</f>
        <v>Direct Labor</v>
      </c>
      <c r="J499" s="43" t="str">
        <f>_xlfn.XLOOKUP($A499,Map!$A:$A,Map!F:F)</f>
        <v>Overtime pay</v>
      </c>
    </row>
    <row r="500" spans="1:10" x14ac:dyDescent="0.25">
      <c r="A500">
        <v>520006</v>
      </c>
      <c r="B500" t="s">
        <v>1346</v>
      </c>
      <c r="D500" s="116">
        <v>6405</v>
      </c>
      <c r="E500" s="116">
        <v>0</v>
      </c>
      <c r="F500" s="116">
        <f t="shared" si="4"/>
        <v>6405</v>
      </c>
      <c r="G500" s="43" t="str">
        <f>_xlfn.XLOOKUP($A500,Map!$A:$A,Map!C:C)</f>
        <v>IS</v>
      </c>
      <c r="H500" s="43" t="str">
        <f>_xlfn.XLOOKUP($A500,Map!$A:$A,Map!D:D)</f>
        <v>Cost of sales</v>
      </c>
      <c r="I500" s="43" t="str">
        <f>_xlfn.XLOOKUP($A500,Map!$A:$A,Map!E:E)</f>
        <v>Direct Labor</v>
      </c>
      <c r="J500" s="43" t="str">
        <f>_xlfn.XLOOKUP($A500,Map!$A:$A,Map!F:F)</f>
        <v>Medical insurance</v>
      </c>
    </row>
    <row r="501" spans="1:10" x14ac:dyDescent="0.25">
      <c r="A501">
        <v>520006</v>
      </c>
      <c r="B501" t="s">
        <v>1346</v>
      </c>
      <c r="D501" s="116">
        <v>3208</v>
      </c>
      <c r="E501" s="116">
        <v>0</v>
      </c>
      <c r="F501" s="116">
        <f t="shared" si="4"/>
        <v>3208</v>
      </c>
      <c r="G501" s="43" t="str">
        <f>_xlfn.XLOOKUP($A501,Map!$A:$A,Map!C:C)</f>
        <v>IS</v>
      </c>
      <c r="H501" s="43" t="str">
        <f>_xlfn.XLOOKUP($A501,Map!$A:$A,Map!D:D)</f>
        <v>Cost of sales</v>
      </c>
      <c r="I501" s="43" t="str">
        <f>_xlfn.XLOOKUP($A501,Map!$A:$A,Map!E:E)</f>
        <v>Direct Labor</v>
      </c>
      <c r="J501" s="43" t="str">
        <f>_xlfn.XLOOKUP($A501,Map!$A:$A,Map!F:F)</f>
        <v>Medical insurance</v>
      </c>
    </row>
    <row r="502" spans="1:10" x14ac:dyDescent="0.25">
      <c r="A502">
        <v>520006</v>
      </c>
      <c r="B502" t="s">
        <v>1346</v>
      </c>
      <c r="D502" s="116">
        <v>2057</v>
      </c>
      <c r="E502" s="116">
        <v>0</v>
      </c>
      <c r="F502" s="116">
        <f t="shared" si="4"/>
        <v>2057</v>
      </c>
      <c r="G502" s="43" t="str">
        <f>_xlfn.XLOOKUP($A502,Map!$A:$A,Map!C:C)</f>
        <v>IS</v>
      </c>
      <c r="H502" s="43" t="str">
        <f>_xlfn.XLOOKUP($A502,Map!$A:$A,Map!D:D)</f>
        <v>Cost of sales</v>
      </c>
      <c r="I502" s="43" t="str">
        <f>_xlfn.XLOOKUP($A502,Map!$A:$A,Map!E:E)</f>
        <v>Direct Labor</v>
      </c>
      <c r="J502" s="43" t="str">
        <f>_xlfn.XLOOKUP($A502,Map!$A:$A,Map!F:F)</f>
        <v>Medical insurance</v>
      </c>
    </row>
    <row r="503" spans="1:10" x14ac:dyDescent="0.25">
      <c r="A503">
        <v>520006</v>
      </c>
      <c r="B503" t="s">
        <v>1346</v>
      </c>
      <c r="D503" s="116">
        <v>1724</v>
      </c>
      <c r="E503" s="116">
        <v>0</v>
      </c>
      <c r="F503" s="116">
        <f t="shared" si="4"/>
        <v>1724</v>
      </c>
      <c r="G503" s="43" t="str">
        <f>_xlfn.XLOOKUP($A503,Map!$A:$A,Map!C:C)</f>
        <v>IS</v>
      </c>
      <c r="H503" s="43" t="str">
        <f>_xlfn.XLOOKUP($A503,Map!$A:$A,Map!D:D)</f>
        <v>Cost of sales</v>
      </c>
      <c r="I503" s="43" t="str">
        <f>_xlfn.XLOOKUP($A503,Map!$A:$A,Map!E:E)</f>
        <v>Direct Labor</v>
      </c>
      <c r="J503" s="43" t="str">
        <f>_xlfn.XLOOKUP($A503,Map!$A:$A,Map!F:F)</f>
        <v>Medical insurance</v>
      </c>
    </row>
    <row r="504" spans="1:10" x14ac:dyDescent="0.25">
      <c r="A504">
        <v>520006</v>
      </c>
      <c r="B504" t="s">
        <v>1346</v>
      </c>
      <c r="D504" s="116">
        <v>2238</v>
      </c>
      <c r="E504" s="116">
        <v>0</v>
      </c>
      <c r="F504" s="116">
        <f t="shared" si="4"/>
        <v>2238</v>
      </c>
      <c r="G504" s="43" t="str">
        <f>_xlfn.XLOOKUP($A504,Map!$A:$A,Map!C:C)</f>
        <v>IS</v>
      </c>
      <c r="H504" s="43" t="str">
        <f>_xlfn.XLOOKUP($A504,Map!$A:$A,Map!D:D)</f>
        <v>Cost of sales</v>
      </c>
      <c r="I504" s="43" t="str">
        <f>_xlfn.XLOOKUP($A504,Map!$A:$A,Map!E:E)</f>
        <v>Direct Labor</v>
      </c>
      <c r="J504" s="43" t="str">
        <f>_xlfn.XLOOKUP($A504,Map!$A:$A,Map!F:F)</f>
        <v>Medical insurance</v>
      </c>
    </row>
    <row r="505" spans="1:10" x14ac:dyDescent="0.25">
      <c r="A505">
        <v>520006</v>
      </c>
      <c r="B505" t="s">
        <v>1346</v>
      </c>
      <c r="D505" s="116">
        <v>1460</v>
      </c>
      <c r="E505" s="116">
        <v>0</v>
      </c>
      <c r="F505" s="116">
        <f t="shared" si="4"/>
        <v>1460</v>
      </c>
      <c r="G505" s="43" t="str">
        <f>_xlfn.XLOOKUP($A505,Map!$A:$A,Map!C:C)</f>
        <v>IS</v>
      </c>
      <c r="H505" s="43" t="str">
        <f>_xlfn.XLOOKUP($A505,Map!$A:$A,Map!D:D)</f>
        <v>Cost of sales</v>
      </c>
      <c r="I505" s="43" t="str">
        <f>_xlfn.XLOOKUP($A505,Map!$A:$A,Map!E:E)</f>
        <v>Direct Labor</v>
      </c>
      <c r="J505" s="43" t="str">
        <f>_xlfn.XLOOKUP($A505,Map!$A:$A,Map!F:F)</f>
        <v>Medical insurance</v>
      </c>
    </row>
    <row r="506" spans="1:10" x14ac:dyDescent="0.25">
      <c r="A506">
        <v>520006</v>
      </c>
      <c r="B506" t="s">
        <v>1346</v>
      </c>
      <c r="D506" s="116">
        <v>2701.17</v>
      </c>
      <c r="E506" s="116">
        <v>0</v>
      </c>
      <c r="F506" s="116">
        <f t="shared" si="4"/>
        <v>2701.17</v>
      </c>
      <c r="G506" s="43" t="str">
        <f>_xlfn.XLOOKUP($A506,Map!$A:$A,Map!C:C)</f>
        <v>IS</v>
      </c>
      <c r="H506" s="43" t="str">
        <f>_xlfn.XLOOKUP($A506,Map!$A:$A,Map!D:D)</f>
        <v>Cost of sales</v>
      </c>
      <c r="I506" s="43" t="str">
        <f>_xlfn.XLOOKUP($A506,Map!$A:$A,Map!E:E)</f>
        <v>Direct Labor</v>
      </c>
      <c r="J506" s="43" t="str">
        <f>_xlfn.XLOOKUP($A506,Map!$A:$A,Map!F:F)</f>
        <v>Medical insurance</v>
      </c>
    </row>
    <row r="507" spans="1:10" x14ac:dyDescent="0.25">
      <c r="A507">
        <v>520004</v>
      </c>
      <c r="B507" t="s">
        <v>1346</v>
      </c>
      <c r="D507" s="116">
        <v>4130</v>
      </c>
      <c r="E507" s="116">
        <v>0</v>
      </c>
      <c r="F507" s="116">
        <f t="shared" si="4"/>
        <v>4130</v>
      </c>
      <c r="G507" s="43" t="str">
        <f>_xlfn.XLOOKUP($A507,Map!$A:$A,Map!C:C)</f>
        <v>IS</v>
      </c>
      <c r="H507" s="43" t="str">
        <f>_xlfn.XLOOKUP($A507,Map!$A:$A,Map!D:D)</f>
        <v>Cost of sales</v>
      </c>
      <c r="I507" s="43" t="str">
        <f>_xlfn.XLOOKUP($A507,Map!$A:$A,Map!E:E)</f>
        <v>Direct Labor</v>
      </c>
      <c r="J507" s="43" t="str">
        <f>_xlfn.XLOOKUP($A507,Map!$A:$A,Map!F:F)</f>
        <v>Food and housing</v>
      </c>
    </row>
    <row r="508" spans="1:10" x14ac:dyDescent="0.25">
      <c r="A508">
        <v>520004</v>
      </c>
      <c r="B508" t="s">
        <v>1346</v>
      </c>
      <c r="D508" s="116">
        <v>4530</v>
      </c>
      <c r="E508" s="116">
        <v>0</v>
      </c>
      <c r="F508" s="116">
        <f t="shared" si="4"/>
        <v>4530</v>
      </c>
      <c r="G508" s="43" t="str">
        <f>_xlfn.XLOOKUP($A508,Map!$A:$A,Map!C:C)</f>
        <v>IS</v>
      </c>
      <c r="H508" s="43" t="str">
        <f>_xlfn.XLOOKUP($A508,Map!$A:$A,Map!D:D)</f>
        <v>Cost of sales</v>
      </c>
      <c r="I508" s="43" t="str">
        <f>_xlfn.XLOOKUP($A508,Map!$A:$A,Map!E:E)</f>
        <v>Direct Labor</v>
      </c>
      <c r="J508" s="43" t="str">
        <f>_xlfn.XLOOKUP($A508,Map!$A:$A,Map!F:F)</f>
        <v>Food and housing</v>
      </c>
    </row>
    <row r="509" spans="1:10" x14ac:dyDescent="0.25">
      <c r="A509">
        <v>520004</v>
      </c>
      <c r="B509" t="s">
        <v>1346</v>
      </c>
      <c r="D509" s="116">
        <v>2200</v>
      </c>
      <c r="E509" s="116">
        <v>0</v>
      </c>
      <c r="F509" s="116">
        <f t="shared" si="4"/>
        <v>2200</v>
      </c>
      <c r="G509" s="43" t="str">
        <f>_xlfn.XLOOKUP($A509,Map!$A:$A,Map!C:C)</f>
        <v>IS</v>
      </c>
      <c r="H509" s="43" t="str">
        <f>_xlfn.XLOOKUP($A509,Map!$A:$A,Map!D:D)</f>
        <v>Cost of sales</v>
      </c>
      <c r="I509" s="43" t="str">
        <f>_xlfn.XLOOKUP($A509,Map!$A:$A,Map!E:E)</f>
        <v>Direct Labor</v>
      </c>
      <c r="J509" s="43" t="str">
        <f>_xlfn.XLOOKUP($A509,Map!$A:$A,Map!F:F)</f>
        <v>Food and housing</v>
      </c>
    </row>
    <row r="510" spans="1:10" x14ac:dyDescent="0.25">
      <c r="A510">
        <v>520004</v>
      </c>
      <c r="B510" t="s">
        <v>1346</v>
      </c>
      <c r="D510" s="116">
        <v>1400</v>
      </c>
      <c r="E510" s="116">
        <v>0</v>
      </c>
      <c r="F510" s="116">
        <f t="shared" si="4"/>
        <v>1400</v>
      </c>
      <c r="G510" s="43" t="str">
        <f>_xlfn.XLOOKUP($A510,Map!$A:$A,Map!C:C)</f>
        <v>IS</v>
      </c>
      <c r="H510" s="43" t="str">
        <f>_xlfn.XLOOKUP($A510,Map!$A:$A,Map!D:D)</f>
        <v>Cost of sales</v>
      </c>
      <c r="I510" s="43" t="str">
        <f>_xlfn.XLOOKUP($A510,Map!$A:$A,Map!E:E)</f>
        <v>Direct Labor</v>
      </c>
      <c r="J510" s="43" t="str">
        <f>_xlfn.XLOOKUP($A510,Map!$A:$A,Map!F:F)</f>
        <v>Food and housing</v>
      </c>
    </row>
    <row r="511" spans="1:10" x14ac:dyDescent="0.25">
      <c r="A511">
        <v>520004</v>
      </c>
      <c r="B511" t="s">
        <v>1346</v>
      </c>
      <c r="D511" s="116">
        <v>2200</v>
      </c>
      <c r="E511" s="116">
        <v>0</v>
      </c>
      <c r="F511" s="116">
        <f t="shared" si="4"/>
        <v>2200</v>
      </c>
      <c r="G511" s="43" t="str">
        <f>_xlfn.XLOOKUP($A511,Map!$A:$A,Map!C:C)</f>
        <v>IS</v>
      </c>
      <c r="H511" s="43" t="str">
        <f>_xlfn.XLOOKUP($A511,Map!$A:$A,Map!D:D)</f>
        <v>Cost of sales</v>
      </c>
      <c r="I511" s="43" t="str">
        <f>_xlfn.XLOOKUP($A511,Map!$A:$A,Map!E:E)</f>
        <v>Direct Labor</v>
      </c>
      <c r="J511" s="43" t="str">
        <f>_xlfn.XLOOKUP($A511,Map!$A:$A,Map!F:F)</f>
        <v>Food and housing</v>
      </c>
    </row>
    <row r="512" spans="1:10" x14ac:dyDescent="0.25">
      <c r="A512">
        <v>520003</v>
      </c>
      <c r="B512" t="s">
        <v>1346</v>
      </c>
      <c r="D512" s="116">
        <v>1700</v>
      </c>
      <c r="E512" s="116">
        <v>0</v>
      </c>
      <c r="F512" s="116">
        <f t="shared" si="4"/>
        <v>1700</v>
      </c>
      <c r="G512" s="43" t="str">
        <f>_xlfn.XLOOKUP($A512,Map!$A:$A,Map!C:C)</f>
        <v>IS</v>
      </c>
      <c r="H512" s="43" t="str">
        <f>_xlfn.XLOOKUP($A512,Map!$A:$A,Map!D:D)</f>
        <v>Cost of sales</v>
      </c>
      <c r="I512" s="43" t="str">
        <f>_xlfn.XLOOKUP($A512,Map!$A:$A,Map!E:E)</f>
        <v>Direct Labor</v>
      </c>
      <c r="J512" s="43" t="str">
        <f>_xlfn.XLOOKUP($A512,Map!$A:$A,Map!F:F)</f>
        <v>Transportation allowance</v>
      </c>
    </row>
    <row r="513" spans="1:10" x14ac:dyDescent="0.25">
      <c r="A513">
        <v>520002</v>
      </c>
      <c r="B513" t="s">
        <v>1346</v>
      </c>
      <c r="D513" s="116">
        <v>0</v>
      </c>
      <c r="E513" s="116">
        <v>7200</v>
      </c>
      <c r="F513" s="116">
        <f t="shared" si="4"/>
        <v>-7200</v>
      </c>
      <c r="G513" s="43" t="str">
        <f>_xlfn.XLOOKUP($A513,Map!$A:$A,Map!C:C)</f>
        <v>IS</v>
      </c>
      <c r="H513" s="43" t="str">
        <f>_xlfn.XLOOKUP($A513,Map!$A:$A,Map!D:D)</f>
        <v>Cost of sales</v>
      </c>
      <c r="I513" s="43" t="str">
        <f>_xlfn.XLOOKUP($A513,Map!$A:$A,Map!E:E)</f>
        <v>Direct Labor</v>
      </c>
      <c r="J513" s="43" t="str">
        <f>_xlfn.XLOOKUP($A513,Map!$A:$A,Map!F:F)</f>
        <v>Overtime pay</v>
      </c>
    </row>
    <row r="514" spans="1:10" x14ac:dyDescent="0.25">
      <c r="A514">
        <v>520002</v>
      </c>
      <c r="B514" t="s">
        <v>1346</v>
      </c>
      <c r="D514" s="116">
        <v>7200</v>
      </c>
      <c r="E514" s="116">
        <v>0</v>
      </c>
      <c r="F514" s="116">
        <f t="shared" si="4"/>
        <v>7200</v>
      </c>
      <c r="G514" s="43" t="str">
        <f>_xlfn.XLOOKUP($A514,Map!$A:$A,Map!C:C)</f>
        <v>IS</v>
      </c>
      <c r="H514" s="43" t="str">
        <f>_xlfn.XLOOKUP($A514,Map!$A:$A,Map!D:D)</f>
        <v>Cost of sales</v>
      </c>
      <c r="I514" s="43" t="str">
        <f>_xlfn.XLOOKUP($A514,Map!$A:$A,Map!E:E)</f>
        <v>Direct Labor</v>
      </c>
      <c r="J514" s="43" t="str">
        <f>_xlfn.XLOOKUP($A514,Map!$A:$A,Map!F:F)</f>
        <v>Overtime pay</v>
      </c>
    </row>
    <row r="515" spans="1:10" x14ac:dyDescent="0.25">
      <c r="A515">
        <v>520002</v>
      </c>
      <c r="B515" t="s">
        <v>1346</v>
      </c>
      <c r="D515" s="116">
        <v>3662</v>
      </c>
      <c r="E515" s="116">
        <v>0</v>
      </c>
      <c r="F515" s="116">
        <f t="shared" si="4"/>
        <v>3662</v>
      </c>
      <c r="G515" s="43" t="str">
        <f>_xlfn.XLOOKUP($A515,Map!$A:$A,Map!C:C)</f>
        <v>IS</v>
      </c>
      <c r="H515" s="43" t="str">
        <f>_xlfn.XLOOKUP($A515,Map!$A:$A,Map!D:D)</f>
        <v>Cost of sales</v>
      </c>
      <c r="I515" s="43" t="str">
        <f>_xlfn.XLOOKUP($A515,Map!$A:$A,Map!E:E)</f>
        <v>Direct Labor</v>
      </c>
      <c r="J515" s="43" t="str">
        <f>_xlfn.XLOOKUP($A515,Map!$A:$A,Map!F:F)</f>
        <v>Overtime pay</v>
      </c>
    </row>
    <row r="516" spans="1:10" x14ac:dyDescent="0.25">
      <c r="A516">
        <v>520002</v>
      </c>
      <c r="B516" t="s">
        <v>1346</v>
      </c>
      <c r="D516" s="116">
        <v>8997</v>
      </c>
      <c r="E516" s="116">
        <v>0</v>
      </c>
      <c r="F516" s="116">
        <f t="shared" si="4"/>
        <v>8997</v>
      </c>
      <c r="G516" s="43" t="str">
        <f>_xlfn.XLOOKUP($A516,Map!$A:$A,Map!C:C)</f>
        <v>IS</v>
      </c>
      <c r="H516" s="43" t="str">
        <f>_xlfn.XLOOKUP($A516,Map!$A:$A,Map!D:D)</f>
        <v>Cost of sales</v>
      </c>
      <c r="I516" s="43" t="str">
        <f>_xlfn.XLOOKUP($A516,Map!$A:$A,Map!E:E)</f>
        <v>Direct Labor</v>
      </c>
      <c r="J516" s="43" t="str">
        <f>_xlfn.XLOOKUP($A516,Map!$A:$A,Map!F:F)</f>
        <v>Overtime pay</v>
      </c>
    </row>
    <row r="517" spans="1:10" x14ac:dyDescent="0.25">
      <c r="A517">
        <v>520002</v>
      </c>
      <c r="B517" t="s">
        <v>1346</v>
      </c>
      <c r="D517" s="116">
        <v>6648</v>
      </c>
      <c r="E517" s="116">
        <v>0</v>
      </c>
      <c r="F517" s="116">
        <f t="shared" si="4"/>
        <v>6648</v>
      </c>
      <c r="G517" s="43" t="str">
        <f>_xlfn.XLOOKUP($A517,Map!$A:$A,Map!C:C)</f>
        <v>IS</v>
      </c>
      <c r="H517" s="43" t="str">
        <f>_xlfn.XLOOKUP($A517,Map!$A:$A,Map!D:D)</f>
        <v>Cost of sales</v>
      </c>
      <c r="I517" s="43" t="str">
        <f>_xlfn.XLOOKUP($A517,Map!$A:$A,Map!E:E)</f>
        <v>Direct Labor</v>
      </c>
      <c r="J517" s="43" t="str">
        <f>_xlfn.XLOOKUP($A517,Map!$A:$A,Map!F:F)</f>
        <v>Overtime pay</v>
      </c>
    </row>
    <row r="518" spans="1:10" x14ac:dyDescent="0.25">
      <c r="A518">
        <v>520001</v>
      </c>
      <c r="B518" t="s">
        <v>1346</v>
      </c>
      <c r="D518" s="116">
        <v>26609</v>
      </c>
      <c r="E518" s="116">
        <v>0</v>
      </c>
      <c r="F518" s="116">
        <f t="shared" si="4"/>
        <v>26609</v>
      </c>
      <c r="G518" s="43" t="str">
        <f>_xlfn.XLOOKUP($A518,Map!$A:$A,Map!C:C)</f>
        <v>IS</v>
      </c>
      <c r="H518" s="43" t="str">
        <f>_xlfn.XLOOKUP($A518,Map!$A:$A,Map!D:D)</f>
        <v>Cost of sales</v>
      </c>
      <c r="I518" s="43" t="str">
        <f>_xlfn.XLOOKUP($A518,Map!$A:$A,Map!E:E)</f>
        <v>Direct Labor</v>
      </c>
      <c r="J518" s="43" t="str">
        <f>_xlfn.XLOOKUP($A518,Map!$A:$A,Map!F:F)</f>
        <v>Salaries and wages</v>
      </c>
    </row>
    <row r="519" spans="1:10" x14ac:dyDescent="0.25">
      <c r="A519">
        <v>520001</v>
      </c>
      <c r="B519" t="s">
        <v>1346</v>
      </c>
      <c r="D519" s="116">
        <v>30820</v>
      </c>
      <c r="E519" s="116">
        <v>0</v>
      </c>
      <c r="F519" s="116">
        <f t="shared" si="4"/>
        <v>30820</v>
      </c>
      <c r="G519" s="43" t="str">
        <f>_xlfn.XLOOKUP($A519,Map!$A:$A,Map!C:C)</f>
        <v>IS</v>
      </c>
      <c r="H519" s="43" t="str">
        <f>_xlfn.XLOOKUP($A519,Map!$A:$A,Map!D:D)</f>
        <v>Cost of sales</v>
      </c>
      <c r="I519" s="43" t="str">
        <f>_xlfn.XLOOKUP($A519,Map!$A:$A,Map!E:E)</f>
        <v>Direct Labor</v>
      </c>
      <c r="J519" s="43" t="str">
        <f>_xlfn.XLOOKUP($A519,Map!$A:$A,Map!F:F)</f>
        <v>Salaries and wages</v>
      </c>
    </row>
    <row r="520" spans="1:10" x14ac:dyDescent="0.25">
      <c r="A520">
        <v>520001</v>
      </c>
      <c r="B520" t="s">
        <v>1346</v>
      </c>
      <c r="D520" s="116">
        <v>14113</v>
      </c>
      <c r="E520" s="116">
        <v>0</v>
      </c>
      <c r="F520" s="116">
        <f t="shared" si="4"/>
        <v>14113</v>
      </c>
      <c r="G520" s="43" t="str">
        <f>_xlfn.XLOOKUP($A520,Map!$A:$A,Map!C:C)</f>
        <v>IS</v>
      </c>
      <c r="H520" s="43" t="str">
        <f>_xlfn.XLOOKUP($A520,Map!$A:$A,Map!D:D)</f>
        <v>Cost of sales</v>
      </c>
      <c r="I520" s="43" t="str">
        <f>_xlfn.XLOOKUP($A520,Map!$A:$A,Map!E:E)</f>
        <v>Direct Labor</v>
      </c>
      <c r="J520" s="43" t="str">
        <f>_xlfn.XLOOKUP($A520,Map!$A:$A,Map!F:F)</f>
        <v>Salaries and wages</v>
      </c>
    </row>
    <row r="521" spans="1:10" x14ac:dyDescent="0.25">
      <c r="A521">
        <v>520001</v>
      </c>
      <c r="B521" t="s">
        <v>1346</v>
      </c>
      <c r="D521" s="116">
        <v>7065</v>
      </c>
      <c r="E521" s="116">
        <v>0</v>
      </c>
      <c r="F521" s="116">
        <f t="shared" si="4"/>
        <v>7065</v>
      </c>
      <c r="G521" s="43" t="str">
        <f>_xlfn.XLOOKUP($A521,Map!$A:$A,Map!C:C)</f>
        <v>IS</v>
      </c>
      <c r="H521" s="43" t="str">
        <f>_xlfn.XLOOKUP($A521,Map!$A:$A,Map!D:D)</f>
        <v>Cost of sales</v>
      </c>
      <c r="I521" s="43" t="str">
        <f>_xlfn.XLOOKUP($A521,Map!$A:$A,Map!E:E)</f>
        <v>Direct Labor</v>
      </c>
      <c r="J521" s="43" t="str">
        <f>_xlfn.XLOOKUP($A521,Map!$A:$A,Map!F:F)</f>
        <v>Salaries and wages</v>
      </c>
    </row>
    <row r="522" spans="1:10" x14ac:dyDescent="0.25">
      <c r="A522">
        <v>520001</v>
      </c>
      <c r="B522" t="s">
        <v>1346</v>
      </c>
      <c r="D522" s="116">
        <v>13840</v>
      </c>
      <c r="E522" s="116">
        <v>0</v>
      </c>
      <c r="F522" s="116">
        <f t="shared" si="4"/>
        <v>13840</v>
      </c>
      <c r="G522" s="43" t="str">
        <f>_xlfn.XLOOKUP($A522,Map!$A:$A,Map!C:C)</f>
        <v>IS</v>
      </c>
      <c r="H522" s="43" t="str">
        <f>_xlfn.XLOOKUP($A522,Map!$A:$A,Map!D:D)</f>
        <v>Cost of sales</v>
      </c>
      <c r="I522" s="43" t="str">
        <f>_xlfn.XLOOKUP($A522,Map!$A:$A,Map!E:E)</f>
        <v>Direct Labor</v>
      </c>
      <c r="J522" s="43" t="str">
        <f>_xlfn.XLOOKUP($A522,Map!$A:$A,Map!F:F)</f>
        <v>Salaries and wages</v>
      </c>
    </row>
    <row r="523" spans="1:10" x14ac:dyDescent="0.25">
      <c r="A523">
        <v>510004</v>
      </c>
      <c r="B523" t="s">
        <v>1346</v>
      </c>
      <c r="D523" s="116">
        <v>0</v>
      </c>
      <c r="E523" s="116">
        <v>150248</v>
      </c>
      <c r="F523" s="116">
        <f t="shared" si="4"/>
        <v>-150248</v>
      </c>
      <c r="G523" s="43" t="str">
        <f>_xlfn.XLOOKUP($A523,Map!$A:$A,Map!C:C)</f>
        <v>IS</v>
      </c>
      <c r="H523" s="43" t="str">
        <f>_xlfn.XLOOKUP($A523,Map!$A:$A,Map!D:D)</f>
        <v>Cost of sales</v>
      </c>
      <c r="I523" s="43" t="str">
        <f>_xlfn.XLOOKUP($A523,Map!$A:$A,Map!E:E)</f>
        <v>Raw materials</v>
      </c>
      <c r="J523" s="43" t="str">
        <f>_xlfn.XLOOKUP($A523,Map!$A:$A,Map!F:F)</f>
        <v>Other expenses</v>
      </c>
    </row>
    <row r="524" spans="1:10" x14ac:dyDescent="0.25">
      <c r="A524">
        <v>510004</v>
      </c>
      <c r="B524" t="s">
        <v>1346</v>
      </c>
      <c r="D524" s="116">
        <v>0</v>
      </c>
      <c r="E524" s="116">
        <v>74268.86</v>
      </c>
      <c r="F524" s="116">
        <f t="shared" si="4"/>
        <v>-74268.86</v>
      </c>
      <c r="G524" s="43" t="str">
        <f>_xlfn.XLOOKUP($A524,Map!$A:$A,Map!C:C)</f>
        <v>IS</v>
      </c>
      <c r="H524" s="43" t="str">
        <f>_xlfn.XLOOKUP($A524,Map!$A:$A,Map!D:D)</f>
        <v>Cost of sales</v>
      </c>
      <c r="I524" s="43" t="str">
        <f>_xlfn.XLOOKUP($A524,Map!$A:$A,Map!E:E)</f>
        <v>Raw materials</v>
      </c>
      <c r="J524" s="43" t="str">
        <f>_xlfn.XLOOKUP($A524,Map!$A:$A,Map!F:F)</f>
        <v>Other expenses</v>
      </c>
    </row>
    <row r="525" spans="1:10" x14ac:dyDescent="0.25">
      <c r="A525">
        <v>510004</v>
      </c>
      <c r="B525" t="s">
        <v>1346</v>
      </c>
      <c r="D525" s="116">
        <v>0</v>
      </c>
      <c r="E525" s="116">
        <v>3840.8530000000001</v>
      </c>
      <c r="F525" s="116">
        <f t="shared" ref="F525:F588" si="5">D525-E525</f>
        <v>-3840.8530000000001</v>
      </c>
      <c r="G525" s="43" t="str">
        <f>_xlfn.XLOOKUP($A525,Map!$A:$A,Map!C:C)</f>
        <v>IS</v>
      </c>
      <c r="H525" s="43" t="str">
        <f>_xlfn.XLOOKUP($A525,Map!$A:$A,Map!D:D)</f>
        <v>Cost of sales</v>
      </c>
      <c r="I525" s="43" t="str">
        <f>_xlfn.XLOOKUP($A525,Map!$A:$A,Map!E:E)</f>
        <v>Raw materials</v>
      </c>
      <c r="J525" s="43" t="str">
        <f>_xlfn.XLOOKUP($A525,Map!$A:$A,Map!F:F)</f>
        <v>Other expenses</v>
      </c>
    </row>
    <row r="526" spans="1:10" x14ac:dyDescent="0.25">
      <c r="A526">
        <v>510004</v>
      </c>
      <c r="B526" t="s">
        <v>1346</v>
      </c>
      <c r="D526" s="116">
        <v>0</v>
      </c>
      <c r="E526" s="116">
        <v>78319.509999999995</v>
      </c>
      <c r="F526" s="116">
        <f t="shared" si="5"/>
        <v>-78319.509999999995</v>
      </c>
      <c r="G526" s="43" t="str">
        <f>_xlfn.XLOOKUP($A526,Map!$A:$A,Map!C:C)</f>
        <v>IS</v>
      </c>
      <c r="H526" s="43" t="str">
        <f>_xlfn.XLOOKUP($A526,Map!$A:$A,Map!D:D)</f>
        <v>Cost of sales</v>
      </c>
      <c r="I526" s="43" t="str">
        <f>_xlfn.XLOOKUP($A526,Map!$A:$A,Map!E:E)</f>
        <v>Raw materials</v>
      </c>
      <c r="J526" s="43" t="str">
        <f>_xlfn.XLOOKUP($A526,Map!$A:$A,Map!F:F)</f>
        <v>Other expenses</v>
      </c>
    </row>
    <row r="527" spans="1:10" x14ac:dyDescent="0.25">
      <c r="A527">
        <v>510004</v>
      </c>
      <c r="B527" t="s">
        <v>1346</v>
      </c>
      <c r="D527" s="116">
        <v>0</v>
      </c>
      <c r="E527" s="116">
        <v>80638.087</v>
      </c>
      <c r="F527" s="116">
        <f t="shared" si="5"/>
        <v>-80638.087</v>
      </c>
      <c r="G527" s="43" t="str">
        <f>_xlfn.XLOOKUP($A527,Map!$A:$A,Map!C:C)</f>
        <v>IS</v>
      </c>
      <c r="H527" s="43" t="str">
        <f>_xlfn.XLOOKUP($A527,Map!$A:$A,Map!D:D)</f>
        <v>Cost of sales</v>
      </c>
      <c r="I527" s="43" t="str">
        <f>_xlfn.XLOOKUP($A527,Map!$A:$A,Map!E:E)</f>
        <v>Raw materials</v>
      </c>
      <c r="J527" s="43" t="str">
        <f>_xlfn.XLOOKUP($A527,Map!$A:$A,Map!F:F)</f>
        <v>Other expenses</v>
      </c>
    </row>
    <row r="528" spans="1:10" x14ac:dyDescent="0.25">
      <c r="A528">
        <v>510004</v>
      </c>
      <c r="B528" t="s">
        <v>1346</v>
      </c>
      <c r="D528" s="116">
        <v>0</v>
      </c>
      <c r="E528" s="116">
        <v>15365.954</v>
      </c>
      <c r="F528" s="116">
        <f t="shared" si="5"/>
        <v>-15365.954</v>
      </c>
      <c r="G528" s="43" t="str">
        <f>_xlfn.XLOOKUP($A528,Map!$A:$A,Map!C:C)</f>
        <v>IS</v>
      </c>
      <c r="H528" s="43" t="str">
        <f>_xlfn.XLOOKUP($A528,Map!$A:$A,Map!D:D)</f>
        <v>Cost of sales</v>
      </c>
      <c r="I528" s="43" t="str">
        <f>_xlfn.XLOOKUP($A528,Map!$A:$A,Map!E:E)</f>
        <v>Raw materials</v>
      </c>
      <c r="J528" s="43" t="str">
        <f>_xlfn.XLOOKUP($A528,Map!$A:$A,Map!F:F)</f>
        <v>Other expenses</v>
      </c>
    </row>
    <row r="529" spans="1:10" x14ac:dyDescent="0.25">
      <c r="A529">
        <v>510004</v>
      </c>
      <c r="B529" t="s">
        <v>1346</v>
      </c>
      <c r="D529" s="116">
        <v>0</v>
      </c>
      <c r="E529" s="116">
        <v>3315.8119999999999</v>
      </c>
      <c r="F529" s="116">
        <f t="shared" si="5"/>
        <v>-3315.8119999999999</v>
      </c>
      <c r="G529" s="43" t="str">
        <f>_xlfn.XLOOKUP($A529,Map!$A:$A,Map!C:C)</f>
        <v>IS</v>
      </c>
      <c r="H529" s="43" t="str">
        <f>_xlfn.XLOOKUP($A529,Map!$A:$A,Map!D:D)</f>
        <v>Cost of sales</v>
      </c>
      <c r="I529" s="43" t="str">
        <f>_xlfn.XLOOKUP($A529,Map!$A:$A,Map!E:E)</f>
        <v>Raw materials</v>
      </c>
      <c r="J529" s="43" t="str">
        <f>_xlfn.XLOOKUP($A529,Map!$A:$A,Map!F:F)</f>
        <v>Other expenses</v>
      </c>
    </row>
    <row r="530" spans="1:10" x14ac:dyDescent="0.25">
      <c r="A530">
        <v>510004</v>
      </c>
      <c r="B530" t="s">
        <v>1346</v>
      </c>
      <c r="D530" s="116">
        <v>0</v>
      </c>
      <c r="E530" s="116">
        <v>32187.177</v>
      </c>
      <c r="F530" s="116">
        <f t="shared" si="5"/>
        <v>-32187.177</v>
      </c>
      <c r="G530" s="43" t="str">
        <f>_xlfn.XLOOKUP($A530,Map!$A:$A,Map!C:C)</f>
        <v>IS</v>
      </c>
      <c r="H530" s="43" t="str">
        <f>_xlfn.XLOOKUP($A530,Map!$A:$A,Map!D:D)</f>
        <v>Cost of sales</v>
      </c>
      <c r="I530" s="43" t="str">
        <f>_xlfn.XLOOKUP($A530,Map!$A:$A,Map!E:E)</f>
        <v>Raw materials</v>
      </c>
      <c r="J530" s="43" t="str">
        <f>_xlfn.XLOOKUP($A530,Map!$A:$A,Map!F:F)</f>
        <v>Other expenses</v>
      </c>
    </row>
    <row r="531" spans="1:10" x14ac:dyDescent="0.25">
      <c r="A531">
        <v>510004</v>
      </c>
      <c r="B531" t="s">
        <v>1346</v>
      </c>
      <c r="D531" s="116">
        <v>0</v>
      </c>
      <c r="E531" s="116">
        <v>249878.84700000001</v>
      </c>
      <c r="F531" s="116">
        <f t="shared" si="5"/>
        <v>-249878.84700000001</v>
      </c>
      <c r="G531" s="43" t="str">
        <f>_xlfn.XLOOKUP($A531,Map!$A:$A,Map!C:C)</f>
        <v>IS</v>
      </c>
      <c r="H531" s="43" t="str">
        <f>_xlfn.XLOOKUP($A531,Map!$A:$A,Map!D:D)</f>
        <v>Cost of sales</v>
      </c>
      <c r="I531" s="43" t="str">
        <f>_xlfn.XLOOKUP($A531,Map!$A:$A,Map!E:E)</f>
        <v>Raw materials</v>
      </c>
      <c r="J531" s="43" t="str">
        <f>_xlfn.XLOOKUP($A531,Map!$A:$A,Map!F:F)</f>
        <v>Other expenses</v>
      </c>
    </row>
    <row r="532" spans="1:10" x14ac:dyDescent="0.25">
      <c r="A532">
        <v>510004</v>
      </c>
      <c r="B532" t="s">
        <v>1346</v>
      </c>
      <c r="D532" s="116">
        <v>0</v>
      </c>
      <c r="E532" s="116">
        <v>21332.342000000001</v>
      </c>
      <c r="F532" s="116">
        <f t="shared" si="5"/>
        <v>-21332.342000000001</v>
      </c>
      <c r="G532" s="43" t="str">
        <f>_xlfn.XLOOKUP($A532,Map!$A:$A,Map!C:C)</f>
        <v>IS</v>
      </c>
      <c r="H532" s="43" t="str">
        <f>_xlfn.XLOOKUP($A532,Map!$A:$A,Map!D:D)</f>
        <v>Cost of sales</v>
      </c>
      <c r="I532" s="43" t="str">
        <f>_xlfn.XLOOKUP($A532,Map!$A:$A,Map!E:E)</f>
        <v>Raw materials</v>
      </c>
      <c r="J532" s="43" t="str">
        <f>_xlfn.XLOOKUP($A532,Map!$A:$A,Map!F:F)</f>
        <v>Other expenses</v>
      </c>
    </row>
    <row r="533" spans="1:10" x14ac:dyDescent="0.25">
      <c r="A533">
        <v>510004</v>
      </c>
      <c r="B533" t="s">
        <v>1346</v>
      </c>
      <c r="D533" s="116">
        <v>0</v>
      </c>
      <c r="E533" s="116">
        <v>153.73099999999999</v>
      </c>
      <c r="F533" s="116">
        <f t="shared" si="5"/>
        <v>-153.73099999999999</v>
      </c>
      <c r="G533" s="43" t="str">
        <f>_xlfn.XLOOKUP($A533,Map!$A:$A,Map!C:C)</f>
        <v>IS</v>
      </c>
      <c r="H533" s="43" t="str">
        <f>_xlfn.XLOOKUP($A533,Map!$A:$A,Map!D:D)</f>
        <v>Cost of sales</v>
      </c>
      <c r="I533" s="43" t="str">
        <f>_xlfn.XLOOKUP($A533,Map!$A:$A,Map!E:E)</f>
        <v>Raw materials</v>
      </c>
      <c r="J533" s="43" t="str">
        <f>_xlfn.XLOOKUP($A533,Map!$A:$A,Map!F:F)</f>
        <v>Other expenses</v>
      </c>
    </row>
    <row r="534" spans="1:10" x14ac:dyDescent="0.25">
      <c r="A534">
        <v>510002</v>
      </c>
      <c r="B534" t="s">
        <v>1346</v>
      </c>
      <c r="D534" s="116">
        <v>0</v>
      </c>
      <c r="E534" s="116">
        <v>7231.17</v>
      </c>
      <c r="F534" s="116">
        <f t="shared" si="5"/>
        <v>-7231.17</v>
      </c>
      <c r="G534" s="43" t="str">
        <f>_xlfn.XLOOKUP($A534,Map!$A:$A,Map!C:C)</f>
        <v>IS</v>
      </c>
      <c r="H534" s="43" t="str">
        <f>_xlfn.XLOOKUP($A534,Map!$A:$A,Map!D:D)</f>
        <v>Cost of sales</v>
      </c>
      <c r="I534" s="43" t="str">
        <f>_xlfn.XLOOKUP($A534,Map!$A:$A,Map!E:E)</f>
        <v>Direct Labor</v>
      </c>
      <c r="J534" s="43" t="str">
        <f>_xlfn.XLOOKUP($A534,Map!$A:$A,Map!F:F)</f>
        <v>Direct Labor</v>
      </c>
    </row>
    <row r="535" spans="1:10" x14ac:dyDescent="0.25">
      <c r="A535">
        <v>510002</v>
      </c>
      <c r="B535" t="s">
        <v>1346</v>
      </c>
      <c r="D535" s="116">
        <v>0</v>
      </c>
      <c r="E535" s="116">
        <v>62241</v>
      </c>
      <c r="F535" s="116">
        <f t="shared" si="5"/>
        <v>-62241</v>
      </c>
      <c r="G535" s="43" t="str">
        <f>_xlfn.XLOOKUP($A535,Map!$A:$A,Map!C:C)</f>
        <v>IS</v>
      </c>
      <c r="H535" s="43" t="str">
        <f>_xlfn.XLOOKUP($A535,Map!$A:$A,Map!D:D)</f>
        <v>Cost of sales</v>
      </c>
      <c r="I535" s="43" t="str">
        <f>_xlfn.XLOOKUP($A535,Map!$A:$A,Map!E:E)</f>
        <v>Direct Labor</v>
      </c>
      <c r="J535" s="43" t="str">
        <f>_xlfn.XLOOKUP($A535,Map!$A:$A,Map!F:F)</f>
        <v>Direct Labor</v>
      </c>
    </row>
    <row r="536" spans="1:10" x14ac:dyDescent="0.25">
      <c r="A536">
        <v>510002</v>
      </c>
      <c r="B536" t="s">
        <v>1346</v>
      </c>
      <c r="D536" s="116">
        <v>0</v>
      </c>
      <c r="E536" s="116">
        <v>13025</v>
      </c>
      <c r="F536" s="116">
        <f t="shared" si="5"/>
        <v>-13025</v>
      </c>
      <c r="G536" s="43" t="str">
        <f>_xlfn.XLOOKUP($A536,Map!$A:$A,Map!C:C)</f>
        <v>IS</v>
      </c>
      <c r="H536" s="43" t="str">
        <f>_xlfn.XLOOKUP($A536,Map!$A:$A,Map!D:D)</f>
        <v>Cost of sales</v>
      </c>
      <c r="I536" s="43" t="str">
        <f>_xlfn.XLOOKUP($A536,Map!$A:$A,Map!E:E)</f>
        <v>Direct Labor</v>
      </c>
      <c r="J536" s="43" t="str">
        <f>_xlfn.XLOOKUP($A536,Map!$A:$A,Map!F:F)</f>
        <v>Direct Labor</v>
      </c>
    </row>
    <row r="537" spans="1:10" x14ac:dyDescent="0.25">
      <c r="A537">
        <v>510002</v>
      </c>
      <c r="B537" t="s">
        <v>1346</v>
      </c>
      <c r="D537" s="116">
        <v>0</v>
      </c>
      <c r="E537" s="116">
        <v>47921</v>
      </c>
      <c r="F537" s="116">
        <f t="shared" si="5"/>
        <v>-47921</v>
      </c>
      <c r="G537" s="43" t="str">
        <f>_xlfn.XLOOKUP($A537,Map!$A:$A,Map!C:C)</f>
        <v>IS</v>
      </c>
      <c r="H537" s="43" t="str">
        <f>_xlfn.XLOOKUP($A537,Map!$A:$A,Map!D:D)</f>
        <v>Cost of sales</v>
      </c>
      <c r="I537" s="43" t="str">
        <f>_xlfn.XLOOKUP($A537,Map!$A:$A,Map!E:E)</f>
        <v>Direct Labor</v>
      </c>
      <c r="J537" s="43" t="str">
        <f>_xlfn.XLOOKUP($A537,Map!$A:$A,Map!F:F)</f>
        <v>Direct Labor</v>
      </c>
    </row>
    <row r="538" spans="1:10" x14ac:dyDescent="0.25">
      <c r="A538">
        <v>510002</v>
      </c>
      <c r="B538" t="s">
        <v>1346</v>
      </c>
      <c r="D538" s="116">
        <v>0</v>
      </c>
      <c r="E538" s="116">
        <v>16170</v>
      </c>
      <c r="F538" s="116">
        <f t="shared" si="5"/>
        <v>-16170</v>
      </c>
      <c r="G538" s="43" t="str">
        <f>_xlfn.XLOOKUP($A538,Map!$A:$A,Map!C:C)</f>
        <v>IS</v>
      </c>
      <c r="H538" s="43" t="str">
        <f>_xlfn.XLOOKUP($A538,Map!$A:$A,Map!D:D)</f>
        <v>Cost of sales</v>
      </c>
      <c r="I538" s="43" t="str">
        <f>_xlfn.XLOOKUP($A538,Map!$A:$A,Map!E:E)</f>
        <v>Direct Labor</v>
      </c>
      <c r="J538" s="43" t="str">
        <f>_xlfn.XLOOKUP($A538,Map!$A:$A,Map!F:F)</f>
        <v>Direct Labor</v>
      </c>
    </row>
    <row r="539" spans="1:10" x14ac:dyDescent="0.25">
      <c r="A539">
        <v>510002</v>
      </c>
      <c r="B539" t="s">
        <v>1346</v>
      </c>
      <c r="D539" s="116">
        <v>0</v>
      </c>
      <c r="E539" s="116">
        <v>2200</v>
      </c>
      <c r="F539" s="116">
        <f t="shared" si="5"/>
        <v>-2200</v>
      </c>
      <c r="G539" s="43" t="str">
        <f>_xlfn.XLOOKUP($A539,Map!$A:$A,Map!C:C)</f>
        <v>IS</v>
      </c>
      <c r="H539" s="43" t="str">
        <f>_xlfn.XLOOKUP($A539,Map!$A:$A,Map!D:D)</f>
        <v>Cost of sales</v>
      </c>
      <c r="I539" s="43" t="str">
        <f>_xlfn.XLOOKUP($A539,Map!$A:$A,Map!E:E)</f>
        <v>Direct Labor</v>
      </c>
      <c r="J539" s="43" t="str">
        <f>_xlfn.XLOOKUP($A539,Map!$A:$A,Map!F:F)</f>
        <v>Direct Labor</v>
      </c>
    </row>
    <row r="540" spans="1:10" x14ac:dyDescent="0.25">
      <c r="A540">
        <v>510002</v>
      </c>
      <c r="B540" t="s">
        <v>1346</v>
      </c>
      <c r="D540" s="116">
        <v>0</v>
      </c>
      <c r="E540" s="116">
        <v>11235</v>
      </c>
      <c r="F540" s="116">
        <f t="shared" si="5"/>
        <v>-11235</v>
      </c>
      <c r="G540" s="43" t="str">
        <f>_xlfn.XLOOKUP($A540,Map!$A:$A,Map!C:C)</f>
        <v>IS</v>
      </c>
      <c r="H540" s="43" t="str">
        <f>_xlfn.XLOOKUP($A540,Map!$A:$A,Map!D:D)</f>
        <v>Cost of sales</v>
      </c>
      <c r="I540" s="43" t="str">
        <f>_xlfn.XLOOKUP($A540,Map!$A:$A,Map!E:E)</f>
        <v>Direct Labor</v>
      </c>
      <c r="J540" s="43" t="str">
        <f>_xlfn.XLOOKUP($A540,Map!$A:$A,Map!F:F)</f>
        <v>Direct Labor</v>
      </c>
    </row>
    <row r="541" spans="1:10" x14ac:dyDescent="0.25">
      <c r="A541">
        <v>510002</v>
      </c>
      <c r="B541" t="s">
        <v>1346</v>
      </c>
      <c r="D541" s="116">
        <v>0</v>
      </c>
      <c r="E541" s="116">
        <v>1724</v>
      </c>
      <c r="F541" s="116">
        <f t="shared" si="5"/>
        <v>-1724</v>
      </c>
      <c r="G541" s="43" t="str">
        <f>_xlfn.XLOOKUP($A541,Map!$A:$A,Map!C:C)</f>
        <v>IS</v>
      </c>
      <c r="H541" s="43" t="str">
        <f>_xlfn.XLOOKUP($A541,Map!$A:$A,Map!D:D)</f>
        <v>Cost of sales</v>
      </c>
      <c r="I541" s="43" t="str">
        <f>_xlfn.XLOOKUP($A541,Map!$A:$A,Map!E:E)</f>
        <v>Direct Labor</v>
      </c>
      <c r="J541" s="43" t="str">
        <f>_xlfn.XLOOKUP($A541,Map!$A:$A,Map!F:F)</f>
        <v>Direct Labor</v>
      </c>
    </row>
    <row r="542" spans="1:10" x14ac:dyDescent="0.25">
      <c r="A542">
        <v>510002</v>
      </c>
      <c r="B542" t="s">
        <v>1346</v>
      </c>
      <c r="D542" s="116">
        <v>0</v>
      </c>
      <c r="E542" s="116">
        <v>25037</v>
      </c>
      <c r="F542" s="116">
        <f t="shared" si="5"/>
        <v>-25037</v>
      </c>
      <c r="G542" s="43" t="str">
        <f>_xlfn.XLOOKUP($A542,Map!$A:$A,Map!C:C)</f>
        <v>IS</v>
      </c>
      <c r="H542" s="43" t="str">
        <f>_xlfn.XLOOKUP($A542,Map!$A:$A,Map!D:D)</f>
        <v>Cost of sales</v>
      </c>
      <c r="I542" s="43" t="str">
        <f>_xlfn.XLOOKUP($A542,Map!$A:$A,Map!E:E)</f>
        <v>Direct Labor</v>
      </c>
      <c r="J542" s="43" t="str">
        <f>_xlfn.XLOOKUP($A542,Map!$A:$A,Map!F:F)</f>
        <v>Direct Labor</v>
      </c>
    </row>
    <row r="543" spans="1:10" x14ac:dyDescent="0.25">
      <c r="A543">
        <v>510002</v>
      </c>
      <c r="B543" t="s">
        <v>1346</v>
      </c>
      <c r="D543" s="116">
        <v>0</v>
      </c>
      <c r="E543" s="116">
        <v>1460</v>
      </c>
      <c r="F543" s="116">
        <f t="shared" si="5"/>
        <v>-1460</v>
      </c>
      <c r="G543" s="43" t="str">
        <f>_xlfn.XLOOKUP($A543,Map!$A:$A,Map!C:C)</f>
        <v>IS</v>
      </c>
      <c r="H543" s="43" t="str">
        <f>_xlfn.XLOOKUP($A543,Map!$A:$A,Map!D:D)</f>
        <v>Cost of sales</v>
      </c>
      <c r="I543" s="43" t="str">
        <f>_xlfn.XLOOKUP($A543,Map!$A:$A,Map!E:E)</f>
        <v>Direct Labor</v>
      </c>
      <c r="J543" s="43" t="str">
        <f>_xlfn.XLOOKUP($A543,Map!$A:$A,Map!F:F)</f>
        <v>Direct Labor</v>
      </c>
    </row>
    <row r="544" spans="1:10" x14ac:dyDescent="0.25">
      <c r="A544">
        <v>520041</v>
      </c>
      <c r="B544" t="s">
        <v>1350</v>
      </c>
      <c r="D544" s="116">
        <v>0</v>
      </c>
      <c r="E544" s="116">
        <v>1897684.22</v>
      </c>
      <c r="F544" s="116">
        <f t="shared" si="5"/>
        <v>-1897684.22</v>
      </c>
      <c r="G544" s="43" t="str">
        <f>_xlfn.XLOOKUP($A544,Map!$A:$A,Map!C:C)</f>
        <v>IS</v>
      </c>
      <c r="H544" s="43" t="str">
        <f>_xlfn.XLOOKUP($A544,Map!$A:$A,Map!D:D)</f>
        <v>Cost of sales</v>
      </c>
      <c r="I544" s="43" t="str">
        <f>_xlfn.XLOOKUP($A544,Map!$A:$A,Map!E:E)</f>
        <v>Raw materials</v>
      </c>
      <c r="J544" s="43" t="str">
        <f>_xlfn.XLOOKUP($A544,Map!$A:$A,Map!F:F)</f>
        <v>Other expenses</v>
      </c>
    </row>
    <row r="545" spans="1:10" x14ac:dyDescent="0.25">
      <c r="A545">
        <v>520037</v>
      </c>
      <c r="B545" t="s">
        <v>1346</v>
      </c>
      <c r="D545" s="116">
        <v>0</v>
      </c>
      <c r="E545" s="116">
        <v>59270.186000000002</v>
      </c>
      <c r="F545" s="116">
        <f t="shared" si="5"/>
        <v>-59270.186000000002</v>
      </c>
      <c r="G545" s="43" t="str">
        <f>_xlfn.XLOOKUP($A545,Map!$A:$A,Map!C:C)</f>
        <v>IS</v>
      </c>
      <c r="H545" s="43" t="str">
        <f>_xlfn.XLOOKUP($A545,Map!$A:$A,Map!D:D)</f>
        <v>Cost of sales</v>
      </c>
      <c r="I545" s="43" t="str">
        <f>_xlfn.XLOOKUP($A545,Map!$A:$A,Map!E:E)</f>
        <v>Raw materials</v>
      </c>
      <c r="J545" s="43" t="str">
        <f>_xlfn.XLOOKUP($A545,Map!$A:$A,Map!F:F)</f>
        <v>Raw materials</v>
      </c>
    </row>
    <row r="546" spans="1:10" x14ac:dyDescent="0.25">
      <c r="A546">
        <v>520002</v>
      </c>
      <c r="B546" t="s">
        <v>1346</v>
      </c>
      <c r="D546" s="116">
        <v>1423.329</v>
      </c>
      <c r="E546" s="116">
        <v>0</v>
      </c>
      <c r="F546" s="116">
        <f t="shared" si="5"/>
        <v>1423.329</v>
      </c>
      <c r="G546" s="43" t="str">
        <f>_xlfn.XLOOKUP($A546,Map!$A:$A,Map!C:C)</f>
        <v>IS</v>
      </c>
      <c r="H546" s="43" t="str">
        <f>_xlfn.XLOOKUP($A546,Map!$A:$A,Map!D:D)</f>
        <v>Cost of sales</v>
      </c>
      <c r="I546" s="43" t="str">
        <f>_xlfn.XLOOKUP($A546,Map!$A:$A,Map!E:E)</f>
        <v>Direct Labor</v>
      </c>
      <c r="J546" s="43" t="str">
        <f>_xlfn.XLOOKUP($A546,Map!$A:$A,Map!F:F)</f>
        <v>Overtime pay</v>
      </c>
    </row>
    <row r="547" spans="1:10" x14ac:dyDescent="0.25">
      <c r="A547">
        <v>510004</v>
      </c>
      <c r="B547" t="s">
        <v>1346</v>
      </c>
      <c r="D547" s="116">
        <v>401622.83299999998</v>
      </c>
      <c r="E547" s="116">
        <v>0</v>
      </c>
      <c r="F547" s="116">
        <f t="shared" si="5"/>
        <v>401622.83299999998</v>
      </c>
      <c r="G547" s="43" t="str">
        <f>_xlfn.XLOOKUP($A547,Map!$A:$A,Map!C:C)</f>
        <v>IS</v>
      </c>
      <c r="H547" s="43" t="str">
        <f>_xlfn.XLOOKUP($A547,Map!$A:$A,Map!D:D)</f>
        <v>Cost of sales</v>
      </c>
      <c r="I547" s="43" t="str">
        <f>_xlfn.XLOOKUP($A547,Map!$A:$A,Map!E:E)</f>
        <v>Raw materials</v>
      </c>
      <c r="J547" s="43" t="str">
        <f>_xlfn.XLOOKUP($A547,Map!$A:$A,Map!F:F)</f>
        <v>Other expenses</v>
      </c>
    </row>
    <row r="548" spans="1:10" x14ac:dyDescent="0.25">
      <c r="A548">
        <v>510004</v>
      </c>
      <c r="B548" t="s">
        <v>1346</v>
      </c>
      <c r="D548" s="116">
        <v>198525.57</v>
      </c>
      <c r="E548" s="116">
        <v>0</v>
      </c>
      <c r="F548" s="116">
        <f t="shared" si="5"/>
        <v>198525.57</v>
      </c>
      <c r="G548" s="43" t="str">
        <f>_xlfn.XLOOKUP($A548,Map!$A:$A,Map!C:C)</f>
        <v>IS</v>
      </c>
      <c r="H548" s="43" t="str">
        <f>_xlfn.XLOOKUP($A548,Map!$A:$A,Map!D:D)</f>
        <v>Cost of sales</v>
      </c>
      <c r="I548" s="43" t="str">
        <f>_xlfn.XLOOKUP($A548,Map!$A:$A,Map!E:E)</f>
        <v>Raw materials</v>
      </c>
      <c r="J548" s="43" t="str">
        <f>_xlfn.XLOOKUP($A548,Map!$A:$A,Map!F:F)</f>
        <v>Other expenses</v>
      </c>
    </row>
    <row r="549" spans="1:10" x14ac:dyDescent="0.25">
      <c r="A549">
        <v>510004</v>
      </c>
      <c r="B549" t="s">
        <v>1346</v>
      </c>
      <c r="D549" s="116">
        <v>10266.853999999999</v>
      </c>
      <c r="E549" s="116">
        <v>0</v>
      </c>
      <c r="F549" s="116">
        <f t="shared" si="5"/>
        <v>10266.853999999999</v>
      </c>
      <c r="G549" s="43" t="str">
        <f>_xlfn.XLOOKUP($A549,Map!$A:$A,Map!C:C)</f>
        <v>IS</v>
      </c>
      <c r="H549" s="43" t="str">
        <f>_xlfn.XLOOKUP($A549,Map!$A:$A,Map!D:D)</f>
        <v>Cost of sales</v>
      </c>
      <c r="I549" s="43" t="str">
        <f>_xlfn.XLOOKUP($A549,Map!$A:$A,Map!E:E)</f>
        <v>Raw materials</v>
      </c>
      <c r="J549" s="43" t="str">
        <f>_xlfn.XLOOKUP($A549,Map!$A:$A,Map!F:F)</f>
        <v>Other expenses</v>
      </c>
    </row>
    <row r="550" spans="1:10" x14ac:dyDescent="0.25">
      <c r="A550">
        <v>510004</v>
      </c>
      <c r="B550" t="s">
        <v>1346</v>
      </c>
      <c r="D550" s="116">
        <v>209353.22700000001</v>
      </c>
      <c r="E550" s="116">
        <v>0</v>
      </c>
      <c r="F550" s="116">
        <f t="shared" si="5"/>
        <v>209353.22700000001</v>
      </c>
      <c r="G550" s="43" t="str">
        <f>_xlfn.XLOOKUP($A550,Map!$A:$A,Map!C:C)</f>
        <v>IS</v>
      </c>
      <c r="H550" s="43" t="str">
        <f>_xlfn.XLOOKUP($A550,Map!$A:$A,Map!D:D)</f>
        <v>Cost of sales</v>
      </c>
      <c r="I550" s="43" t="str">
        <f>_xlfn.XLOOKUP($A550,Map!$A:$A,Map!E:E)</f>
        <v>Raw materials</v>
      </c>
      <c r="J550" s="43" t="str">
        <f>_xlfn.XLOOKUP($A550,Map!$A:$A,Map!F:F)</f>
        <v>Other expenses</v>
      </c>
    </row>
    <row r="551" spans="1:10" x14ac:dyDescent="0.25">
      <c r="A551">
        <v>510004</v>
      </c>
      <c r="B551" t="s">
        <v>1346</v>
      </c>
      <c r="D551" s="116">
        <v>215550.93400000001</v>
      </c>
      <c r="E551" s="116">
        <v>0</v>
      </c>
      <c r="F551" s="116">
        <f t="shared" si="5"/>
        <v>215550.93400000001</v>
      </c>
      <c r="G551" s="43" t="str">
        <f>_xlfn.XLOOKUP($A551,Map!$A:$A,Map!C:C)</f>
        <v>IS</v>
      </c>
      <c r="H551" s="43" t="str">
        <f>_xlfn.XLOOKUP($A551,Map!$A:$A,Map!D:D)</f>
        <v>Cost of sales</v>
      </c>
      <c r="I551" s="43" t="str">
        <f>_xlfn.XLOOKUP($A551,Map!$A:$A,Map!E:E)</f>
        <v>Raw materials</v>
      </c>
      <c r="J551" s="43" t="str">
        <f>_xlfn.XLOOKUP($A551,Map!$A:$A,Map!F:F)</f>
        <v>Other expenses</v>
      </c>
    </row>
    <row r="552" spans="1:10" x14ac:dyDescent="0.25">
      <c r="A552">
        <v>510004</v>
      </c>
      <c r="B552" t="s">
        <v>1346</v>
      </c>
      <c r="D552" s="116">
        <v>41074.209000000003</v>
      </c>
      <c r="E552" s="116">
        <v>0</v>
      </c>
      <c r="F552" s="116">
        <f t="shared" si="5"/>
        <v>41074.209000000003</v>
      </c>
      <c r="G552" s="43" t="str">
        <f>_xlfn.XLOOKUP($A552,Map!$A:$A,Map!C:C)</f>
        <v>IS</v>
      </c>
      <c r="H552" s="43" t="str">
        <f>_xlfn.XLOOKUP($A552,Map!$A:$A,Map!D:D)</f>
        <v>Cost of sales</v>
      </c>
      <c r="I552" s="43" t="str">
        <f>_xlfn.XLOOKUP($A552,Map!$A:$A,Map!E:E)</f>
        <v>Raw materials</v>
      </c>
      <c r="J552" s="43" t="str">
        <f>_xlfn.XLOOKUP($A552,Map!$A:$A,Map!F:F)</f>
        <v>Other expenses</v>
      </c>
    </row>
    <row r="553" spans="1:10" x14ac:dyDescent="0.25">
      <c r="A553">
        <v>510004</v>
      </c>
      <c r="B553" t="s">
        <v>1346</v>
      </c>
      <c r="D553" s="116">
        <v>8863.3860000000004</v>
      </c>
      <c r="E553" s="116">
        <v>0</v>
      </c>
      <c r="F553" s="116">
        <f t="shared" si="5"/>
        <v>8863.3860000000004</v>
      </c>
      <c r="G553" s="43" t="str">
        <f>_xlfn.XLOOKUP($A553,Map!$A:$A,Map!C:C)</f>
        <v>IS</v>
      </c>
      <c r="H553" s="43" t="str">
        <f>_xlfn.XLOOKUP($A553,Map!$A:$A,Map!D:D)</f>
        <v>Cost of sales</v>
      </c>
      <c r="I553" s="43" t="str">
        <f>_xlfn.XLOOKUP($A553,Map!$A:$A,Map!E:E)</f>
        <v>Raw materials</v>
      </c>
      <c r="J553" s="43" t="str">
        <f>_xlfn.XLOOKUP($A553,Map!$A:$A,Map!F:F)</f>
        <v>Other expenses</v>
      </c>
    </row>
    <row r="554" spans="1:10" x14ac:dyDescent="0.25">
      <c r="A554">
        <v>510004</v>
      </c>
      <c r="B554" t="s">
        <v>1346</v>
      </c>
      <c r="D554" s="116">
        <v>86038.451000000001</v>
      </c>
      <c r="E554" s="116">
        <v>0</v>
      </c>
      <c r="F554" s="116">
        <f t="shared" si="5"/>
        <v>86038.451000000001</v>
      </c>
      <c r="G554" s="43" t="str">
        <f>_xlfn.XLOOKUP($A554,Map!$A:$A,Map!C:C)</f>
        <v>IS</v>
      </c>
      <c r="H554" s="43" t="str">
        <f>_xlfn.XLOOKUP($A554,Map!$A:$A,Map!D:D)</f>
        <v>Cost of sales</v>
      </c>
      <c r="I554" s="43" t="str">
        <f>_xlfn.XLOOKUP($A554,Map!$A:$A,Map!E:E)</f>
        <v>Raw materials</v>
      </c>
      <c r="J554" s="43" t="str">
        <f>_xlfn.XLOOKUP($A554,Map!$A:$A,Map!F:F)</f>
        <v>Other expenses</v>
      </c>
    </row>
    <row r="555" spans="1:10" x14ac:dyDescent="0.25">
      <c r="A555">
        <v>510004</v>
      </c>
      <c r="B555" t="s">
        <v>1346</v>
      </c>
      <c r="D555" s="116">
        <v>667942.66899999999</v>
      </c>
      <c r="E555" s="116">
        <v>0</v>
      </c>
      <c r="F555" s="116">
        <f t="shared" si="5"/>
        <v>667942.66899999999</v>
      </c>
      <c r="G555" s="43" t="str">
        <f>_xlfn.XLOOKUP($A555,Map!$A:$A,Map!C:C)</f>
        <v>IS</v>
      </c>
      <c r="H555" s="43" t="str">
        <f>_xlfn.XLOOKUP($A555,Map!$A:$A,Map!D:D)</f>
        <v>Cost of sales</v>
      </c>
      <c r="I555" s="43" t="str">
        <f>_xlfn.XLOOKUP($A555,Map!$A:$A,Map!E:E)</f>
        <v>Raw materials</v>
      </c>
      <c r="J555" s="43" t="str">
        <f>_xlfn.XLOOKUP($A555,Map!$A:$A,Map!F:F)</f>
        <v>Other expenses</v>
      </c>
    </row>
    <row r="556" spans="1:10" x14ac:dyDescent="0.25">
      <c r="A556">
        <v>510004</v>
      </c>
      <c r="B556" t="s">
        <v>1346</v>
      </c>
      <c r="D556" s="116">
        <v>57022.758999999998</v>
      </c>
      <c r="E556" s="116">
        <v>0</v>
      </c>
      <c r="F556" s="116">
        <f t="shared" si="5"/>
        <v>57022.758999999998</v>
      </c>
      <c r="G556" s="43" t="str">
        <f>_xlfn.XLOOKUP($A556,Map!$A:$A,Map!C:C)</f>
        <v>IS</v>
      </c>
      <c r="H556" s="43" t="str">
        <f>_xlfn.XLOOKUP($A556,Map!$A:$A,Map!D:D)</f>
        <v>Cost of sales</v>
      </c>
      <c r="I556" s="43" t="str">
        <f>_xlfn.XLOOKUP($A556,Map!$A:$A,Map!E:E)</f>
        <v>Raw materials</v>
      </c>
      <c r="J556" s="43" t="str">
        <f>_xlfn.XLOOKUP($A556,Map!$A:$A,Map!F:F)</f>
        <v>Other expenses</v>
      </c>
    </row>
    <row r="557" spans="1:10" x14ac:dyDescent="0.25">
      <c r="A557">
        <v>510004</v>
      </c>
      <c r="B557" t="s">
        <v>1346</v>
      </c>
      <c r="D557" s="116">
        <v>155.65600000000001</v>
      </c>
      <c r="E557" s="116">
        <v>0</v>
      </c>
      <c r="F557" s="116">
        <f t="shared" si="5"/>
        <v>155.65600000000001</v>
      </c>
      <c r="G557" s="43" t="str">
        <f>_xlfn.XLOOKUP($A557,Map!$A:$A,Map!C:C)</f>
        <v>IS</v>
      </c>
      <c r="H557" s="43" t="str">
        <f>_xlfn.XLOOKUP($A557,Map!$A:$A,Map!D:D)</f>
        <v>Cost of sales</v>
      </c>
      <c r="I557" s="43" t="str">
        <f>_xlfn.XLOOKUP($A557,Map!$A:$A,Map!E:E)</f>
        <v>Raw materials</v>
      </c>
      <c r="J557" s="43" t="str">
        <f>_xlfn.XLOOKUP($A557,Map!$A:$A,Map!F:F)</f>
        <v>Other expenses</v>
      </c>
    </row>
    <row r="558" spans="1:10" x14ac:dyDescent="0.25">
      <c r="A558">
        <v>510003</v>
      </c>
      <c r="B558" t="s">
        <v>1346</v>
      </c>
      <c r="D558" s="116">
        <v>112.399</v>
      </c>
      <c r="E558" s="116">
        <v>0</v>
      </c>
      <c r="F558" s="116">
        <f t="shared" si="5"/>
        <v>112.399</v>
      </c>
      <c r="G558" s="43" t="str">
        <f>_xlfn.XLOOKUP($A558,Map!$A:$A,Map!C:C)</f>
        <v>IS</v>
      </c>
      <c r="H558" s="43" t="str">
        <f>_xlfn.XLOOKUP($A558,Map!$A:$A,Map!D:D)</f>
        <v>Cost of sales</v>
      </c>
      <c r="I558" s="43" t="str">
        <f>_xlfn.XLOOKUP($A558,Map!$A:$A,Map!E:E)</f>
        <v>Raw materials</v>
      </c>
      <c r="J558" s="43" t="str">
        <f>_xlfn.XLOOKUP($A558,Map!$A:$A,Map!F:F)</f>
        <v>Raw materials</v>
      </c>
    </row>
    <row r="559" spans="1:10" x14ac:dyDescent="0.25">
      <c r="A559">
        <v>510001</v>
      </c>
      <c r="B559" t="s">
        <v>1346</v>
      </c>
      <c r="D559" s="116">
        <v>0</v>
      </c>
      <c r="E559" s="116">
        <v>10020.475</v>
      </c>
      <c r="F559" s="116">
        <f t="shared" si="5"/>
        <v>-10020.475</v>
      </c>
      <c r="G559" s="43" t="str">
        <f>_xlfn.XLOOKUP($A559,Map!$A:$A,Map!C:C)</f>
        <v>IS</v>
      </c>
      <c r="H559" s="43" t="str">
        <f>_xlfn.XLOOKUP($A559,Map!$A:$A,Map!D:D)</f>
        <v>Cost of sales</v>
      </c>
      <c r="I559" s="43" t="str">
        <f>_xlfn.XLOOKUP($A559,Map!$A:$A,Map!E:E)</f>
        <v>Raw materials</v>
      </c>
      <c r="J559" s="43" t="str">
        <f>_xlfn.XLOOKUP($A559,Map!$A:$A,Map!F:F)</f>
        <v>Raw materials</v>
      </c>
    </row>
    <row r="560" spans="1:10" x14ac:dyDescent="0.25">
      <c r="A560">
        <v>510001</v>
      </c>
      <c r="B560" t="s">
        <v>1346</v>
      </c>
      <c r="D560" s="116">
        <v>0</v>
      </c>
      <c r="E560" s="116">
        <v>2459.1930000000002</v>
      </c>
      <c r="F560" s="116">
        <f t="shared" si="5"/>
        <v>-2459.1930000000002</v>
      </c>
      <c r="G560" s="43" t="str">
        <f>_xlfn.XLOOKUP($A560,Map!$A:$A,Map!C:C)</f>
        <v>IS</v>
      </c>
      <c r="H560" s="43" t="str">
        <f>_xlfn.XLOOKUP($A560,Map!$A:$A,Map!D:D)</f>
        <v>Cost of sales</v>
      </c>
      <c r="I560" s="43" t="str">
        <f>_xlfn.XLOOKUP($A560,Map!$A:$A,Map!E:E)</f>
        <v>Raw materials</v>
      </c>
      <c r="J560" s="43" t="str">
        <f>_xlfn.XLOOKUP($A560,Map!$A:$A,Map!F:F)</f>
        <v>Raw materials</v>
      </c>
    </row>
    <row r="561" spans="1:10" x14ac:dyDescent="0.25">
      <c r="A561">
        <v>510001</v>
      </c>
      <c r="B561" t="s">
        <v>1346</v>
      </c>
      <c r="D561" s="116">
        <v>0</v>
      </c>
      <c r="E561" s="116">
        <v>2467.62</v>
      </c>
      <c r="F561" s="116">
        <f t="shared" si="5"/>
        <v>-2467.62</v>
      </c>
      <c r="G561" s="43" t="str">
        <f>_xlfn.XLOOKUP($A561,Map!$A:$A,Map!C:C)</f>
        <v>IS</v>
      </c>
      <c r="H561" s="43" t="str">
        <f>_xlfn.XLOOKUP($A561,Map!$A:$A,Map!D:D)</f>
        <v>Cost of sales</v>
      </c>
      <c r="I561" s="43" t="str">
        <f>_xlfn.XLOOKUP($A561,Map!$A:$A,Map!E:E)</f>
        <v>Raw materials</v>
      </c>
      <c r="J561" s="43" t="str">
        <f>_xlfn.XLOOKUP($A561,Map!$A:$A,Map!F:F)</f>
        <v>Raw materials</v>
      </c>
    </row>
    <row r="562" spans="1:10" x14ac:dyDescent="0.25">
      <c r="A562">
        <v>510001</v>
      </c>
      <c r="B562" t="s">
        <v>1346</v>
      </c>
      <c r="D562" s="116">
        <v>0</v>
      </c>
      <c r="E562" s="116">
        <v>8786.8739999999998</v>
      </c>
      <c r="F562" s="116">
        <f t="shared" si="5"/>
        <v>-8786.8739999999998</v>
      </c>
      <c r="G562" s="43" t="str">
        <f>_xlfn.XLOOKUP($A562,Map!$A:$A,Map!C:C)</f>
        <v>IS</v>
      </c>
      <c r="H562" s="43" t="str">
        <f>_xlfn.XLOOKUP($A562,Map!$A:$A,Map!D:D)</f>
        <v>Cost of sales</v>
      </c>
      <c r="I562" s="43" t="str">
        <f>_xlfn.XLOOKUP($A562,Map!$A:$A,Map!E:E)</f>
        <v>Raw materials</v>
      </c>
      <c r="J562" s="43" t="str">
        <f>_xlfn.XLOOKUP($A562,Map!$A:$A,Map!F:F)</f>
        <v>Raw materials</v>
      </c>
    </row>
    <row r="563" spans="1:10" x14ac:dyDescent="0.25">
      <c r="A563">
        <v>510001</v>
      </c>
      <c r="B563" t="s">
        <v>1346</v>
      </c>
      <c r="D563" s="116">
        <v>0</v>
      </c>
      <c r="E563" s="116">
        <v>3058.42</v>
      </c>
      <c r="F563" s="116">
        <f t="shared" si="5"/>
        <v>-3058.42</v>
      </c>
      <c r="G563" s="43" t="str">
        <f>_xlfn.XLOOKUP($A563,Map!$A:$A,Map!C:C)</f>
        <v>IS</v>
      </c>
      <c r="H563" s="43" t="str">
        <f>_xlfn.XLOOKUP($A563,Map!$A:$A,Map!D:D)</f>
        <v>Cost of sales</v>
      </c>
      <c r="I563" s="43" t="str">
        <f>_xlfn.XLOOKUP($A563,Map!$A:$A,Map!E:E)</f>
        <v>Raw materials</v>
      </c>
      <c r="J563" s="43" t="str">
        <f>_xlfn.XLOOKUP($A563,Map!$A:$A,Map!F:F)</f>
        <v>Raw materials</v>
      </c>
    </row>
    <row r="564" spans="1:10" x14ac:dyDescent="0.25">
      <c r="A564">
        <v>510001</v>
      </c>
      <c r="B564" t="s">
        <v>1346</v>
      </c>
      <c r="D564" s="116">
        <v>0</v>
      </c>
      <c r="E564" s="116">
        <v>882.57799999999997</v>
      </c>
      <c r="F564" s="116">
        <f t="shared" si="5"/>
        <v>-882.57799999999997</v>
      </c>
      <c r="G564" s="43" t="str">
        <f>_xlfn.XLOOKUP($A564,Map!$A:$A,Map!C:C)</f>
        <v>IS</v>
      </c>
      <c r="H564" s="43" t="str">
        <f>_xlfn.XLOOKUP($A564,Map!$A:$A,Map!D:D)</f>
        <v>Cost of sales</v>
      </c>
      <c r="I564" s="43" t="str">
        <f>_xlfn.XLOOKUP($A564,Map!$A:$A,Map!E:E)</f>
        <v>Raw materials</v>
      </c>
      <c r="J564" s="43" t="str">
        <f>_xlfn.XLOOKUP($A564,Map!$A:$A,Map!F:F)</f>
        <v>Raw materials</v>
      </c>
    </row>
    <row r="565" spans="1:10" x14ac:dyDescent="0.25">
      <c r="A565">
        <v>510001</v>
      </c>
      <c r="B565" t="s">
        <v>1346</v>
      </c>
      <c r="D565" s="116">
        <v>0</v>
      </c>
      <c r="E565" s="116">
        <v>985.60199999999998</v>
      </c>
      <c r="F565" s="116">
        <f t="shared" si="5"/>
        <v>-985.60199999999998</v>
      </c>
      <c r="G565" s="43" t="str">
        <f>_xlfn.XLOOKUP($A565,Map!$A:$A,Map!C:C)</f>
        <v>IS</v>
      </c>
      <c r="H565" s="43" t="str">
        <f>_xlfn.XLOOKUP($A565,Map!$A:$A,Map!D:D)</f>
        <v>Cost of sales</v>
      </c>
      <c r="I565" s="43" t="str">
        <f>_xlfn.XLOOKUP($A565,Map!$A:$A,Map!E:E)</f>
        <v>Raw materials</v>
      </c>
      <c r="J565" s="43" t="str">
        <f>_xlfn.XLOOKUP($A565,Map!$A:$A,Map!F:F)</f>
        <v>Raw materials</v>
      </c>
    </row>
    <row r="566" spans="1:10" x14ac:dyDescent="0.25">
      <c r="A566">
        <v>510001</v>
      </c>
      <c r="B566" t="s">
        <v>1346</v>
      </c>
      <c r="D566" s="116">
        <v>0</v>
      </c>
      <c r="E566" s="116">
        <v>19838.472000000002</v>
      </c>
      <c r="F566" s="116">
        <f t="shared" si="5"/>
        <v>-19838.472000000002</v>
      </c>
      <c r="G566" s="43" t="str">
        <f>_xlfn.XLOOKUP($A566,Map!$A:$A,Map!C:C)</f>
        <v>IS</v>
      </c>
      <c r="H566" s="43" t="str">
        <f>_xlfn.XLOOKUP($A566,Map!$A:$A,Map!D:D)</f>
        <v>Cost of sales</v>
      </c>
      <c r="I566" s="43" t="str">
        <f>_xlfn.XLOOKUP($A566,Map!$A:$A,Map!E:E)</f>
        <v>Raw materials</v>
      </c>
      <c r="J566" s="43" t="str">
        <f>_xlfn.XLOOKUP($A566,Map!$A:$A,Map!F:F)</f>
        <v>Raw materials</v>
      </c>
    </row>
    <row r="567" spans="1:10" x14ac:dyDescent="0.25">
      <c r="A567">
        <v>510001</v>
      </c>
      <c r="B567" t="s">
        <v>1346</v>
      </c>
      <c r="D567" s="116">
        <v>0</v>
      </c>
      <c r="E567" s="116">
        <v>674.976</v>
      </c>
      <c r="F567" s="116">
        <f t="shared" si="5"/>
        <v>-674.976</v>
      </c>
      <c r="G567" s="43" t="str">
        <f>_xlfn.XLOOKUP($A567,Map!$A:$A,Map!C:C)</f>
        <v>IS</v>
      </c>
      <c r="H567" s="43" t="str">
        <f>_xlfn.XLOOKUP($A567,Map!$A:$A,Map!D:D)</f>
        <v>Cost of sales</v>
      </c>
      <c r="I567" s="43" t="str">
        <f>_xlfn.XLOOKUP($A567,Map!$A:$A,Map!E:E)</f>
        <v>Raw materials</v>
      </c>
      <c r="J567" s="43" t="str">
        <f>_xlfn.XLOOKUP($A567,Map!$A:$A,Map!F:F)</f>
        <v>Raw materials</v>
      </c>
    </row>
    <row r="568" spans="1:10" x14ac:dyDescent="0.25">
      <c r="A568">
        <v>510001</v>
      </c>
      <c r="B568" t="s">
        <v>1346</v>
      </c>
      <c r="D568" s="116">
        <v>108176.34</v>
      </c>
      <c r="E568" s="116">
        <v>0</v>
      </c>
      <c r="F568" s="116">
        <f t="shared" si="5"/>
        <v>108176.34</v>
      </c>
      <c r="G568" s="43" t="str">
        <f>_xlfn.XLOOKUP($A568,Map!$A:$A,Map!C:C)</f>
        <v>IS</v>
      </c>
      <c r="H568" s="43" t="str">
        <f>_xlfn.XLOOKUP($A568,Map!$A:$A,Map!D:D)</f>
        <v>Cost of sales</v>
      </c>
      <c r="I568" s="43" t="str">
        <f>_xlfn.XLOOKUP($A568,Map!$A:$A,Map!E:E)</f>
        <v>Raw materials</v>
      </c>
      <c r="J568" s="43" t="str">
        <f>_xlfn.XLOOKUP($A568,Map!$A:$A,Map!F:F)</f>
        <v>Raw materials</v>
      </c>
    </row>
    <row r="569" spans="1:10" x14ac:dyDescent="0.25">
      <c r="A569">
        <v>600031</v>
      </c>
      <c r="B569" t="s">
        <v>1351</v>
      </c>
      <c r="D569" s="116">
        <v>1226.663</v>
      </c>
      <c r="E569" s="116">
        <v>0</v>
      </c>
      <c r="F569" s="116">
        <f t="shared" si="5"/>
        <v>1226.663</v>
      </c>
      <c r="G569" s="43" t="str">
        <f>_xlfn.XLOOKUP($A569,Map!$A:$A,Map!C:C)</f>
        <v>IS</v>
      </c>
      <c r="H569" s="43" t="str">
        <f>_xlfn.XLOOKUP($A569,Map!$A:$A,Map!D:D)</f>
        <v>Depreciation expenses</v>
      </c>
      <c r="I569" s="43" t="str">
        <f>_xlfn.XLOOKUP($A569,Map!$A:$A,Map!E:E)</f>
        <v>Depreciation expenses</v>
      </c>
      <c r="J569" s="43" t="str">
        <f>_xlfn.XLOOKUP($A569,Map!$A:$A,Map!F:F)</f>
        <v>Depreciation of property, plant and equipment</v>
      </c>
    </row>
    <row r="570" spans="1:10" x14ac:dyDescent="0.25">
      <c r="A570">
        <v>600030</v>
      </c>
      <c r="B570" t="s">
        <v>1352</v>
      </c>
      <c r="D570" s="116">
        <v>1338.84</v>
      </c>
      <c r="E570" s="116">
        <v>0</v>
      </c>
      <c r="F570" s="116">
        <f t="shared" si="5"/>
        <v>1338.84</v>
      </c>
      <c r="G570" s="43" t="str">
        <f>_xlfn.XLOOKUP($A570,Map!$A:$A,Map!C:C)</f>
        <v>IS</v>
      </c>
      <c r="H570" s="43" t="str">
        <f>_xlfn.XLOOKUP($A570,Map!$A:$A,Map!D:D)</f>
        <v>Depreciation expenses</v>
      </c>
      <c r="I570" s="43" t="str">
        <f>_xlfn.XLOOKUP($A570,Map!$A:$A,Map!E:E)</f>
        <v>Depreciation expenses</v>
      </c>
      <c r="J570" s="43" t="str">
        <f>_xlfn.XLOOKUP($A570,Map!$A:$A,Map!F:F)</f>
        <v>Depreciation of property, plant and equipment</v>
      </c>
    </row>
    <row r="571" spans="1:10" x14ac:dyDescent="0.25">
      <c r="A571">
        <v>600029</v>
      </c>
      <c r="B571" t="s">
        <v>1352</v>
      </c>
      <c r="D571" s="116">
        <v>574692.71</v>
      </c>
      <c r="E571" s="116">
        <v>0</v>
      </c>
      <c r="F571" s="116">
        <f t="shared" si="5"/>
        <v>574692.71</v>
      </c>
      <c r="G571" s="43" t="str">
        <f>_xlfn.XLOOKUP($A571,Map!$A:$A,Map!C:C)</f>
        <v>IS</v>
      </c>
      <c r="H571" s="43" t="str">
        <f>_xlfn.XLOOKUP($A571,Map!$A:$A,Map!D:D)</f>
        <v>Cost of sales</v>
      </c>
      <c r="I571" s="43" t="str">
        <f>_xlfn.XLOOKUP($A571,Map!$A:$A,Map!E:E)</f>
        <v>Depreciation - Machines</v>
      </c>
      <c r="J571" s="43" t="str">
        <f>_xlfn.XLOOKUP($A571,Map!$A:$A,Map!F:F)</f>
        <v>Depreciation of property, plant and equipment</v>
      </c>
    </row>
    <row r="572" spans="1:10" x14ac:dyDescent="0.25">
      <c r="A572">
        <v>600027</v>
      </c>
      <c r="B572" t="s">
        <v>1352</v>
      </c>
      <c r="D572" s="116">
        <v>102666.68</v>
      </c>
      <c r="E572" s="116">
        <v>0</v>
      </c>
      <c r="F572" s="116">
        <f t="shared" si="5"/>
        <v>102666.68</v>
      </c>
      <c r="G572" s="43" t="str">
        <f>_xlfn.XLOOKUP($A572,Map!$A:$A,Map!C:C)</f>
        <v>IS</v>
      </c>
      <c r="H572" s="43" t="str">
        <f>_xlfn.XLOOKUP($A572,Map!$A:$A,Map!D:D)</f>
        <v>Cost of sales</v>
      </c>
      <c r="I572" s="43" t="str">
        <f>_xlfn.XLOOKUP($A572,Map!$A:$A,Map!E:E)</f>
        <v>Overhead - Rent</v>
      </c>
      <c r="J572" s="43" t="str">
        <f>_xlfn.XLOOKUP($A572,Map!$A:$A,Map!F:F)</f>
        <v>Production hall rental</v>
      </c>
    </row>
    <row r="573" spans="1:10" x14ac:dyDescent="0.25">
      <c r="A573">
        <v>600024</v>
      </c>
      <c r="B573" t="s">
        <v>1352</v>
      </c>
      <c r="D573" s="116">
        <v>23114</v>
      </c>
      <c r="E573" s="116">
        <v>0</v>
      </c>
      <c r="F573" s="116">
        <f t="shared" si="5"/>
        <v>23114</v>
      </c>
      <c r="G573" s="43" t="str">
        <f>_xlfn.XLOOKUP($A573,Map!$A:$A,Map!C:C)</f>
        <v>IS</v>
      </c>
      <c r="H573" s="43" t="str">
        <f>_xlfn.XLOOKUP($A573,Map!$A:$A,Map!D:D)</f>
        <v>Cost of sales</v>
      </c>
      <c r="I573" s="43" t="str">
        <f>_xlfn.XLOOKUP($A573,Map!$A:$A,Map!E:E)</f>
        <v>Overhead - Rent</v>
      </c>
      <c r="J573" s="43" t="str">
        <f>_xlfn.XLOOKUP($A573,Map!$A:$A,Map!F:F)</f>
        <v>Pump rental expenses</v>
      </c>
    </row>
    <row r="574" spans="1:10" x14ac:dyDescent="0.25">
      <c r="A574">
        <v>600024</v>
      </c>
      <c r="B574" t="s">
        <v>1352</v>
      </c>
      <c r="D574" s="116">
        <v>10219</v>
      </c>
      <c r="E574" s="116">
        <v>0</v>
      </c>
      <c r="F574" s="116">
        <f t="shared" si="5"/>
        <v>10219</v>
      </c>
      <c r="G574" s="43" t="str">
        <f>_xlfn.XLOOKUP($A574,Map!$A:$A,Map!C:C)</f>
        <v>IS</v>
      </c>
      <c r="H574" s="43" t="str">
        <f>_xlfn.XLOOKUP($A574,Map!$A:$A,Map!D:D)</f>
        <v>Cost of sales</v>
      </c>
      <c r="I574" s="43" t="str">
        <f>_xlfn.XLOOKUP($A574,Map!$A:$A,Map!E:E)</f>
        <v>Overhead - Rent</v>
      </c>
      <c r="J574" s="43" t="str">
        <f>_xlfn.XLOOKUP($A574,Map!$A:$A,Map!F:F)</f>
        <v>Pump rental expenses</v>
      </c>
    </row>
    <row r="575" spans="1:10" x14ac:dyDescent="0.25">
      <c r="A575">
        <v>600021</v>
      </c>
      <c r="B575" t="s">
        <v>1352</v>
      </c>
      <c r="D575" s="116">
        <v>3253</v>
      </c>
      <c r="E575" s="116">
        <v>0</v>
      </c>
      <c r="F575" s="116">
        <f t="shared" si="5"/>
        <v>3253</v>
      </c>
      <c r="G575" s="43" t="str">
        <f>_xlfn.XLOOKUP($A575,Map!$A:$A,Map!C:C)</f>
        <v>IS</v>
      </c>
      <c r="H575" s="43" t="str">
        <f>_xlfn.XLOOKUP($A575,Map!$A:$A,Map!D:D)</f>
        <v>Cost of sales</v>
      </c>
      <c r="I575" s="43" t="str">
        <f>_xlfn.XLOOKUP($A575,Map!$A:$A,Map!E:E)</f>
        <v>Overhead - R&amp;M</v>
      </c>
      <c r="J575" s="43" t="str">
        <f>_xlfn.XLOOKUP($A575,Map!$A:$A,Map!F:F)</f>
        <v>Vehicle maintenance</v>
      </c>
    </row>
    <row r="576" spans="1:10" x14ac:dyDescent="0.25">
      <c r="A576">
        <v>600020</v>
      </c>
      <c r="B576" t="s">
        <v>1352</v>
      </c>
      <c r="D576" s="116">
        <v>5650</v>
      </c>
      <c r="E576" s="116">
        <v>0</v>
      </c>
      <c r="F576" s="116">
        <f t="shared" si="5"/>
        <v>5650</v>
      </c>
      <c r="G576" s="43" t="str">
        <f>_xlfn.XLOOKUP($A576,Map!$A:$A,Map!C:C)</f>
        <v>IS</v>
      </c>
      <c r="H576" s="43" t="str">
        <f>_xlfn.XLOOKUP($A576,Map!$A:$A,Map!D:D)</f>
        <v>Cost of sales</v>
      </c>
      <c r="I576" s="43" t="str">
        <f>_xlfn.XLOOKUP($A576,Map!$A:$A,Map!E:E)</f>
        <v>Overhead - R&amp;M</v>
      </c>
      <c r="J576" s="43" t="str">
        <f>_xlfn.XLOOKUP($A576,Map!$A:$A,Map!F:F)</f>
        <v>Machine and equipment</v>
      </c>
    </row>
    <row r="577" spans="1:10" x14ac:dyDescent="0.25">
      <c r="A577">
        <v>600019</v>
      </c>
      <c r="B577" t="s">
        <v>1352</v>
      </c>
      <c r="D577" s="116">
        <v>18425</v>
      </c>
      <c r="E577" s="116">
        <v>0</v>
      </c>
      <c r="F577" s="116">
        <f t="shared" si="5"/>
        <v>18425</v>
      </c>
      <c r="G577" s="43" t="str">
        <f>_xlfn.XLOOKUP($A577,Map!$A:$A,Map!C:C)</f>
        <v>IS</v>
      </c>
      <c r="H577" s="43" t="str">
        <f>_xlfn.XLOOKUP($A577,Map!$A:$A,Map!D:D)</f>
        <v>Cost of sales</v>
      </c>
      <c r="I577" s="43" t="str">
        <f>_xlfn.XLOOKUP($A577,Map!$A:$A,Map!E:E)</f>
        <v>Overhead - Utility</v>
      </c>
      <c r="J577" s="43" t="str">
        <f>_xlfn.XLOOKUP($A577,Map!$A:$A,Map!F:F)</f>
        <v>Fuel and oil</v>
      </c>
    </row>
    <row r="578" spans="1:10" x14ac:dyDescent="0.25">
      <c r="A578">
        <v>600018</v>
      </c>
      <c r="B578" t="s">
        <v>1352</v>
      </c>
      <c r="D578" s="116">
        <v>14910</v>
      </c>
      <c r="E578" s="116">
        <v>0</v>
      </c>
      <c r="F578" s="116">
        <f t="shared" si="5"/>
        <v>14910</v>
      </c>
      <c r="G578" s="43" t="str">
        <f>_xlfn.XLOOKUP($A578,Map!$A:$A,Map!C:C)</f>
        <v>IS</v>
      </c>
      <c r="H578" s="43" t="str">
        <f>_xlfn.XLOOKUP($A578,Map!$A:$A,Map!D:D)</f>
        <v>Cost of sales</v>
      </c>
      <c r="I578" s="43" t="str">
        <f>_xlfn.XLOOKUP($A578,Map!$A:$A,Map!E:E)</f>
        <v>Overhead - Utility</v>
      </c>
      <c r="J578" s="43" t="str">
        <f>_xlfn.XLOOKUP($A578,Map!$A:$A,Map!F:F)</f>
        <v>Water expenses</v>
      </c>
    </row>
    <row r="579" spans="1:10" x14ac:dyDescent="0.25">
      <c r="A579">
        <v>600017</v>
      </c>
      <c r="B579" t="s">
        <v>1352</v>
      </c>
      <c r="D579" s="116">
        <v>305940</v>
      </c>
      <c r="E579" s="116">
        <v>0</v>
      </c>
      <c r="F579" s="116">
        <f t="shared" si="5"/>
        <v>305940</v>
      </c>
      <c r="G579" s="43" t="str">
        <f>_xlfn.XLOOKUP($A579,Map!$A:$A,Map!C:C)</f>
        <v>IS</v>
      </c>
      <c r="H579" s="43" t="str">
        <f>_xlfn.XLOOKUP($A579,Map!$A:$A,Map!D:D)</f>
        <v>Cost of sales</v>
      </c>
      <c r="I579" s="43" t="str">
        <f>_xlfn.XLOOKUP($A579,Map!$A:$A,Map!E:E)</f>
        <v>Overhead - Utility</v>
      </c>
      <c r="J579" s="43" t="str">
        <f>_xlfn.XLOOKUP($A579,Map!$A:$A,Map!F:F)</f>
        <v>Electricity expenses</v>
      </c>
    </row>
    <row r="580" spans="1:10" x14ac:dyDescent="0.25">
      <c r="A580">
        <v>600016</v>
      </c>
      <c r="B580" t="s">
        <v>1352</v>
      </c>
      <c r="D580" s="116">
        <v>315018.90000000002</v>
      </c>
      <c r="E580" s="116">
        <v>0</v>
      </c>
      <c r="F580" s="116">
        <f t="shared" si="5"/>
        <v>315018.90000000002</v>
      </c>
      <c r="G580" s="43" t="str">
        <f>_xlfn.XLOOKUP($A580,Map!$A:$A,Map!C:C)</f>
        <v>IS</v>
      </c>
      <c r="H580" s="43" t="str">
        <f>_xlfn.XLOOKUP($A580,Map!$A:$A,Map!D:D)</f>
        <v>Cost of sales</v>
      </c>
      <c r="I580" s="43" t="str">
        <f>_xlfn.XLOOKUP($A580,Map!$A:$A,Map!E:E)</f>
        <v>Overhead - Consumables &amp; SP</v>
      </c>
      <c r="J580" s="43" t="str">
        <f>_xlfn.XLOOKUP($A580,Map!$A:$A,Map!F:F)</f>
        <v>Tools</v>
      </c>
    </row>
    <row r="581" spans="1:10" x14ac:dyDescent="0.25">
      <c r="A581">
        <v>600016</v>
      </c>
      <c r="B581" t="s">
        <v>1352</v>
      </c>
      <c r="D581" s="116">
        <v>5992</v>
      </c>
      <c r="E581" s="116">
        <v>0</v>
      </c>
      <c r="F581" s="116">
        <f t="shared" si="5"/>
        <v>5992</v>
      </c>
      <c r="G581" s="43" t="str">
        <f>_xlfn.XLOOKUP($A581,Map!$A:$A,Map!C:C)</f>
        <v>IS</v>
      </c>
      <c r="H581" s="43" t="str">
        <f>_xlfn.XLOOKUP($A581,Map!$A:$A,Map!D:D)</f>
        <v>Cost of sales</v>
      </c>
      <c r="I581" s="43" t="str">
        <f>_xlfn.XLOOKUP($A581,Map!$A:$A,Map!E:E)</f>
        <v>Overhead - Consumables &amp; SP</v>
      </c>
      <c r="J581" s="43" t="str">
        <f>_xlfn.XLOOKUP($A581,Map!$A:$A,Map!F:F)</f>
        <v>Tools</v>
      </c>
    </row>
    <row r="582" spans="1:10" x14ac:dyDescent="0.25">
      <c r="A582">
        <v>600015</v>
      </c>
      <c r="B582" t="s">
        <v>1352</v>
      </c>
      <c r="D582" s="116">
        <v>10250</v>
      </c>
      <c r="E582" s="116">
        <v>0</v>
      </c>
      <c r="F582" s="116">
        <f t="shared" si="5"/>
        <v>10250</v>
      </c>
      <c r="G582" s="43" t="str">
        <f>_xlfn.XLOOKUP($A582,Map!$A:$A,Map!C:C)</f>
        <v>IS</v>
      </c>
      <c r="H582" s="43" t="str">
        <f>_xlfn.XLOOKUP($A582,Map!$A:$A,Map!D:D)</f>
        <v>Cost of sales</v>
      </c>
      <c r="I582" s="43" t="str">
        <f>_xlfn.XLOOKUP($A582,Map!$A:$A,Map!E:E)</f>
        <v>Overhead - Consumables &amp; SP</v>
      </c>
      <c r="J582" s="43" t="str">
        <f>_xlfn.XLOOKUP($A582,Map!$A:$A,Map!F:F)</f>
        <v>Consumables</v>
      </c>
    </row>
    <row r="583" spans="1:10" x14ac:dyDescent="0.25">
      <c r="A583">
        <v>600015</v>
      </c>
      <c r="B583" t="s">
        <v>1352</v>
      </c>
      <c r="D583" s="116">
        <v>8327.4</v>
      </c>
      <c r="E583" s="116">
        <v>0</v>
      </c>
      <c r="F583" s="116">
        <f t="shared" si="5"/>
        <v>8327.4</v>
      </c>
      <c r="G583" s="43" t="str">
        <f>_xlfn.XLOOKUP($A583,Map!$A:$A,Map!C:C)</f>
        <v>IS</v>
      </c>
      <c r="H583" s="43" t="str">
        <f>_xlfn.XLOOKUP($A583,Map!$A:$A,Map!D:D)</f>
        <v>Cost of sales</v>
      </c>
      <c r="I583" s="43" t="str">
        <f>_xlfn.XLOOKUP($A583,Map!$A:$A,Map!E:E)</f>
        <v>Overhead - Consumables &amp; SP</v>
      </c>
      <c r="J583" s="43" t="str">
        <f>_xlfn.XLOOKUP($A583,Map!$A:$A,Map!F:F)</f>
        <v>Consumables</v>
      </c>
    </row>
    <row r="584" spans="1:10" x14ac:dyDescent="0.25">
      <c r="A584">
        <v>600014</v>
      </c>
      <c r="B584" t="s">
        <v>1352</v>
      </c>
      <c r="D584" s="116">
        <v>183818</v>
      </c>
      <c r="E584" s="116">
        <v>0</v>
      </c>
      <c r="F584" s="116">
        <f t="shared" si="5"/>
        <v>183818</v>
      </c>
      <c r="G584" s="43" t="str">
        <f>_xlfn.XLOOKUP($A584,Map!$A:$A,Map!C:C)</f>
        <v>IS</v>
      </c>
      <c r="H584" s="43" t="str">
        <f>_xlfn.XLOOKUP($A584,Map!$A:$A,Map!D:D)</f>
        <v>Cost of sales</v>
      </c>
      <c r="I584" s="43" t="str">
        <f>_xlfn.XLOOKUP($A584,Map!$A:$A,Map!E:E)</f>
        <v>Overhead - Consumables &amp; SP</v>
      </c>
      <c r="J584" s="43" t="str">
        <f>_xlfn.XLOOKUP($A584,Map!$A:$A,Map!F:F)</f>
        <v>Consumables</v>
      </c>
    </row>
    <row r="585" spans="1:10" x14ac:dyDescent="0.25">
      <c r="A585">
        <v>600011</v>
      </c>
      <c r="B585" t="s">
        <v>1352</v>
      </c>
      <c r="D585" s="116">
        <v>5429</v>
      </c>
      <c r="E585" s="116">
        <v>0</v>
      </c>
      <c r="F585" s="116">
        <f t="shared" si="5"/>
        <v>5429</v>
      </c>
      <c r="G585" s="43" t="str">
        <f>_xlfn.XLOOKUP($A585,Map!$A:$A,Map!C:C)</f>
        <v>IS</v>
      </c>
      <c r="H585" s="43" t="str">
        <f>_xlfn.XLOOKUP($A585,Map!$A:$A,Map!D:D)</f>
        <v>Cost of sales</v>
      </c>
      <c r="I585" s="43" t="str">
        <f>_xlfn.XLOOKUP($A585,Map!$A:$A,Map!E:E)</f>
        <v>Overhead - Labor Cost</v>
      </c>
      <c r="J585" s="43" t="str">
        <f>_xlfn.XLOOKUP($A585,Map!$A:$A,Map!F:F)</f>
        <v>Air tickets</v>
      </c>
    </row>
    <row r="586" spans="1:10" x14ac:dyDescent="0.25">
      <c r="A586">
        <v>600009</v>
      </c>
      <c r="B586" t="s">
        <v>1352</v>
      </c>
      <c r="D586" s="116">
        <v>21625</v>
      </c>
      <c r="E586" s="116">
        <v>0</v>
      </c>
      <c r="F586" s="116">
        <f t="shared" si="5"/>
        <v>21625</v>
      </c>
      <c r="G586" s="43" t="str">
        <f>_xlfn.XLOOKUP($A586,Map!$A:$A,Map!C:C)</f>
        <v>IS</v>
      </c>
      <c r="H586" s="43" t="str">
        <f>_xlfn.XLOOKUP($A586,Map!$A:$A,Map!D:D)</f>
        <v>Cost of sales</v>
      </c>
      <c r="I586" s="43" t="str">
        <f>_xlfn.XLOOKUP($A586,Map!$A:$A,Map!E:E)</f>
        <v>Overhead - Labor Cost</v>
      </c>
      <c r="J586" s="43" t="str">
        <f>_xlfn.XLOOKUP($A586,Map!$A:$A,Map!F:F)</f>
        <v>Vacation pay</v>
      </c>
    </row>
    <row r="587" spans="1:10" x14ac:dyDescent="0.25">
      <c r="A587">
        <v>600008</v>
      </c>
      <c r="B587" t="s">
        <v>1352</v>
      </c>
      <c r="D587" s="116">
        <v>37642</v>
      </c>
      <c r="E587" s="116">
        <v>0</v>
      </c>
      <c r="F587" s="116">
        <f t="shared" si="5"/>
        <v>37642</v>
      </c>
      <c r="G587" s="43" t="str">
        <f>_xlfn.XLOOKUP($A587,Map!$A:$A,Map!C:C)</f>
        <v>IS</v>
      </c>
      <c r="H587" s="43" t="str">
        <f>_xlfn.XLOOKUP($A587,Map!$A:$A,Map!D:D)</f>
        <v>Cost of sales</v>
      </c>
      <c r="I587" s="43" t="str">
        <f>_xlfn.XLOOKUP($A587,Map!$A:$A,Map!E:E)</f>
        <v>Overhead - Labor Cost</v>
      </c>
      <c r="J587" s="43" t="str">
        <f>_xlfn.XLOOKUP($A587,Map!$A:$A,Map!F:F)</f>
        <v>Air tickets</v>
      </c>
    </row>
    <row r="588" spans="1:10" x14ac:dyDescent="0.25">
      <c r="A588">
        <v>600007</v>
      </c>
      <c r="B588" t="s">
        <v>1352</v>
      </c>
      <c r="D588" s="116">
        <v>445</v>
      </c>
      <c r="E588" s="116">
        <v>0</v>
      </c>
      <c r="F588" s="116">
        <f t="shared" si="5"/>
        <v>445</v>
      </c>
      <c r="G588" s="43" t="str">
        <f>_xlfn.XLOOKUP($A588,Map!$A:$A,Map!C:C)</f>
        <v>IS</v>
      </c>
      <c r="H588" s="43" t="str">
        <f>_xlfn.XLOOKUP($A588,Map!$A:$A,Map!D:D)</f>
        <v>Cost of sales</v>
      </c>
      <c r="I588" s="43" t="str">
        <f>_xlfn.XLOOKUP($A588,Map!$A:$A,Map!E:E)</f>
        <v>Overhead - Labor Cost</v>
      </c>
      <c r="J588" s="43" t="str">
        <f>_xlfn.XLOOKUP($A588,Map!$A:$A,Map!F:F)</f>
        <v>Transportation allowance</v>
      </c>
    </row>
    <row r="589" spans="1:10" x14ac:dyDescent="0.25">
      <c r="A589">
        <v>600006</v>
      </c>
      <c r="B589" t="s">
        <v>1352</v>
      </c>
      <c r="D589" s="116">
        <v>52155.360000000001</v>
      </c>
      <c r="E589" s="116">
        <v>0</v>
      </c>
      <c r="F589" s="116">
        <f t="shared" ref="F589:F652" si="6">D589-E589</f>
        <v>52155.360000000001</v>
      </c>
      <c r="G589" s="43" t="str">
        <f>_xlfn.XLOOKUP($A589,Map!$A:$A,Map!C:C)</f>
        <v>IS</v>
      </c>
      <c r="H589" s="43" t="str">
        <f>_xlfn.XLOOKUP($A589,Map!$A:$A,Map!D:D)</f>
        <v>Cost of sales</v>
      </c>
      <c r="I589" s="43" t="str">
        <f>_xlfn.XLOOKUP($A589,Map!$A:$A,Map!E:E)</f>
        <v>Overhead - Labor Cost</v>
      </c>
      <c r="J589" s="43" t="str">
        <f>_xlfn.XLOOKUP($A589,Map!$A:$A,Map!F:F)</f>
        <v xml:space="preserve">Food &amp; Housing </v>
      </c>
    </row>
    <row r="590" spans="1:10" x14ac:dyDescent="0.25">
      <c r="A590">
        <v>600005</v>
      </c>
      <c r="B590" t="s">
        <v>1352</v>
      </c>
      <c r="D590" s="116">
        <v>56650</v>
      </c>
      <c r="E590" s="116">
        <v>0</v>
      </c>
      <c r="F590" s="116">
        <f t="shared" si="6"/>
        <v>56650</v>
      </c>
      <c r="G590" s="43" t="str">
        <f>_xlfn.XLOOKUP($A590,Map!$A:$A,Map!C:C)</f>
        <v>IS</v>
      </c>
      <c r="H590" s="43" t="str">
        <f>_xlfn.XLOOKUP($A590,Map!$A:$A,Map!D:D)</f>
        <v>General and Admin</v>
      </c>
      <c r="I590" s="43" t="str">
        <f>_xlfn.XLOOKUP($A590,Map!$A:$A,Map!E:E)</f>
        <v>Govt license and fees (including modon)</v>
      </c>
      <c r="J590" s="43" t="str">
        <f>_xlfn.XLOOKUP($A590,Map!$A:$A,Map!F:F)</f>
        <v>Government fees</v>
      </c>
    </row>
    <row r="591" spans="1:10" x14ac:dyDescent="0.25">
      <c r="A591">
        <v>600004</v>
      </c>
      <c r="B591" t="s">
        <v>1352</v>
      </c>
      <c r="D591" s="116">
        <v>17689.36</v>
      </c>
      <c r="E591" s="116">
        <v>0</v>
      </c>
      <c r="F591" s="116">
        <f t="shared" si="6"/>
        <v>17689.36</v>
      </c>
      <c r="G591" s="43" t="str">
        <f>_xlfn.XLOOKUP($A591,Map!$A:$A,Map!C:C)</f>
        <v>IS</v>
      </c>
      <c r="H591" s="43" t="str">
        <f>_xlfn.XLOOKUP($A591,Map!$A:$A,Map!D:D)</f>
        <v>Cost of sales</v>
      </c>
      <c r="I591" s="43" t="str">
        <f>_xlfn.XLOOKUP($A591,Map!$A:$A,Map!E:E)</f>
        <v>Overhead - Labor Cost</v>
      </c>
      <c r="J591" s="43" t="str">
        <f>_xlfn.XLOOKUP($A591,Map!$A:$A,Map!F:F)</f>
        <v>Medical insurance</v>
      </c>
    </row>
    <row r="592" spans="1:10" x14ac:dyDescent="0.25">
      <c r="A592">
        <v>600003</v>
      </c>
      <c r="B592" t="s">
        <v>1352</v>
      </c>
      <c r="D592" s="116">
        <v>7934</v>
      </c>
      <c r="E592" s="116">
        <v>0</v>
      </c>
      <c r="F592" s="116">
        <f t="shared" si="6"/>
        <v>7934</v>
      </c>
      <c r="G592" s="43" t="str">
        <f>_xlfn.XLOOKUP($A592,Map!$A:$A,Map!C:C)</f>
        <v>IS</v>
      </c>
      <c r="H592" s="43" t="str">
        <f>_xlfn.XLOOKUP($A592,Map!$A:$A,Map!D:D)</f>
        <v>Cost of sales</v>
      </c>
      <c r="I592" s="43" t="str">
        <f>_xlfn.XLOOKUP($A592,Map!$A:$A,Map!E:E)</f>
        <v>Overhead - Labor Cost</v>
      </c>
      <c r="J592" s="43" t="str">
        <f>_xlfn.XLOOKUP($A592,Map!$A:$A,Map!F:F)</f>
        <v xml:space="preserve">Food &amp; Housing </v>
      </c>
    </row>
    <row r="593" spans="1:10" x14ac:dyDescent="0.25">
      <c r="A593">
        <v>600003</v>
      </c>
      <c r="B593" t="s">
        <v>1352</v>
      </c>
      <c r="D593" s="116">
        <v>207</v>
      </c>
      <c r="E593" s="116">
        <v>0</v>
      </c>
      <c r="F593" s="116">
        <f t="shared" si="6"/>
        <v>207</v>
      </c>
      <c r="G593" s="43" t="str">
        <f>_xlfn.XLOOKUP($A593,Map!$A:$A,Map!C:C)</f>
        <v>IS</v>
      </c>
      <c r="H593" s="43" t="str">
        <f>_xlfn.XLOOKUP($A593,Map!$A:$A,Map!D:D)</f>
        <v>Cost of sales</v>
      </c>
      <c r="I593" s="43" t="str">
        <f>_xlfn.XLOOKUP($A593,Map!$A:$A,Map!E:E)</f>
        <v>Overhead - Labor Cost</v>
      </c>
      <c r="J593" s="43" t="str">
        <f>_xlfn.XLOOKUP($A593,Map!$A:$A,Map!F:F)</f>
        <v xml:space="preserve">Food &amp; Housing </v>
      </c>
    </row>
    <row r="594" spans="1:10" x14ac:dyDescent="0.25">
      <c r="A594">
        <v>600002</v>
      </c>
      <c r="B594" t="s">
        <v>1352</v>
      </c>
      <c r="D594" s="116">
        <v>37341</v>
      </c>
      <c r="E594" s="116">
        <v>0</v>
      </c>
      <c r="F594" s="116">
        <f t="shared" si="6"/>
        <v>37341</v>
      </c>
      <c r="G594" s="43" t="str">
        <f>_xlfn.XLOOKUP($A594,Map!$A:$A,Map!C:C)</f>
        <v>IS</v>
      </c>
      <c r="H594" s="43" t="str">
        <f>_xlfn.XLOOKUP($A594,Map!$A:$A,Map!D:D)</f>
        <v>Cost of sales</v>
      </c>
      <c r="I594" s="43" t="str">
        <f>_xlfn.XLOOKUP($A594,Map!$A:$A,Map!E:E)</f>
        <v>Overhead - Labor Cost</v>
      </c>
      <c r="J594" s="43" t="str">
        <f>_xlfn.XLOOKUP($A594,Map!$A:$A,Map!F:F)</f>
        <v>Overtime pay</v>
      </c>
    </row>
    <row r="595" spans="1:10" x14ac:dyDescent="0.25">
      <c r="A595">
        <v>600001</v>
      </c>
      <c r="B595" t="s">
        <v>1352</v>
      </c>
      <c r="D595" s="116">
        <v>194556.3</v>
      </c>
      <c r="E595" s="116">
        <v>0</v>
      </c>
      <c r="F595" s="116">
        <f t="shared" si="6"/>
        <v>194556.3</v>
      </c>
      <c r="G595" s="43" t="str">
        <f>_xlfn.XLOOKUP($A595,Map!$A:$A,Map!C:C)</f>
        <v>IS</v>
      </c>
      <c r="H595" s="43" t="str">
        <f>_xlfn.XLOOKUP($A595,Map!$A:$A,Map!D:D)</f>
        <v>Cost of sales</v>
      </c>
      <c r="I595" s="43" t="str">
        <f>_xlfn.XLOOKUP($A595,Map!$A:$A,Map!E:E)</f>
        <v>Overhead - Labor Cost</v>
      </c>
      <c r="J595" s="43" t="str">
        <f>_xlfn.XLOOKUP($A595,Map!$A:$A,Map!F:F)</f>
        <v>Indirect Salaries — factory supervisory / indirect floor labour (COGS)</v>
      </c>
    </row>
    <row r="596" spans="1:10" x14ac:dyDescent="0.25">
      <c r="A596">
        <v>520042</v>
      </c>
      <c r="B596" t="s">
        <v>1352</v>
      </c>
      <c r="D596" s="116">
        <v>0</v>
      </c>
      <c r="E596" s="116">
        <v>274432.43300000002</v>
      </c>
      <c r="F596" s="116">
        <f t="shared" si="6"/>
        <v>-274432.43300000002</v>
      </c>
      <c r="G596" s="43" t="str">
        <f>_xlfn.XLOOKUP($A596,Map!$A:$A,Map!C:C)</f>
        <v>IS</v>
      </c>
      <c r="H596" s="43" t="str">
        <f>_xlfn.XLOOKUP($A596,Map!$A:$A,Map!D:D)</f>
        <v>Cost of sales</v>
      </c>
      <c r="I596" s="43" t="str">
        <f>_xlfn.XLOOKUP($A596,Map!$A:$A,Map!E:E)</f>
        <v>Raw materials</v>
      </c>
      <c r="J596" s="43" t="str">
        <f>_xlfn.XLOOKUP($A596,Map!$A:$A,Map!F:F)</f>
        <v>Inventory Adjustment</v>
      </c>
    </row>
    <row r="597" spans="1:10" x14ac:dyDescent="0.25">
      <c r="A597">
        <v>520041</v>
      </c>
      <c r="B597" t="s">
        <v>1352</v>
      </c>
      <c r="D597" s="116">
        <v>0</v>
      </c>
      <c r="E597" s="116">
        <v>1153527.8</v>
      </c>
      <c r="F597" s="116">
        <f t="shared" si="6"/>
        <v>-1153527.8</v>
      </c>
      <c r="G597" s="43" t="str">
        <f>_xlfn.XLOOKUP($A597,Map!$A:$A,Map!C:C)</f>
        <v>IS</v>
      </c>
      <c r="H597" s="43" t="str">
        <f>_xlfn.XLOOKUP($A597,Map!$A:$A,Map!D:D)</f>
        <v>Cost of sales</v>
      </c>
      <c r="I597" s="43" t="str">
        <f>_xlfn.XLOOKUP($A597,Map!$A:$A,Map!E:E)</f>
        <v>Raw materials</v>
      </c>
      <c r="J597" s="43" t="str">
        <f>_xlfn.XLOOKUP($A597,Map!$A:$A,Map!F:F)</f>
        <v>Other expenses</v>
      </c>
    </row>
    <row r="598" spans="1:10" x14ac:dyDescent="0.25">
      <c r="A598">
        <v>520037</v>
      </c>
      <c r="B598" t="s">
        <v>1352</v>
      </c>
      <c r="D598" s="116">
        <v>7388.78</v>
      </c>
      <c r="E598" s="116">
        <v>0</v>
      </c>
      <c r="F598" s="116">
        <f t="shared" si="6"/>
        <v>7388.78</v>
      </c>
      <c r="G598" s="43" t="str">
        <f>_xlfn.XLOOKUP($A598,Map!$A:$A,Map!C:C)</f>
        <v>IS</v>
      </c>
      <c r="H598" s="43" t="str">
        <f>_xlfn.XLOOKUP($A598,Map!$A:$A,Map!D:D)</f>
        <v>Cost of sales</v>
      </c>
      <c r="I598" s="43" t="str">
        <f>_xlfn.XLOOKUP($A598,Map!$A:$A,Map!E:E)</f>
        <v>Raw materials</v>
      </c>
      <c r="J598" s="43" t="str">
        <f>_xlfn.XLOOKUP($A598,Map!$A:$A,Map!F:F)</f>
        <v>Raw materials</v>
      </c>
    </row>
    <row r="599" spans="1:10" x14ac:dyDescent="0.25">
      <c r="A599">
        <v>520036</v>
      </c>
      <c r="B599" t="s">
        <v>1352</v>
      </c>
      <c r="D599" s="116">
        <v>0</v>
      </c>
      <c r="E599" s="116">
        <v>0.01</v>
      </c>
      <c r="F599" s="116">
        <f t="shared" si="6"/>
        <v>-0.01</v>
      </c>
      <c r="G599" s="43" t="str">
        <f>_xlfn.XLOOKUP($A599,Map!$A:$A,Map!C:C)</f>
        <v>IS</v>
      </c>
      <c r="H599" s="43" t="str">
        <f>_xlfn.XLOOKUP($A599,Map!$A:$A,Map!D:D)</f>
        <v>Cost of sales</v>
      </c>
      <c r="I599" s="43" t="str">
        <f>_xlfn.XLOOKUP($A599,Map!$A:$A,Map!E:E)</f>
        <v>Raw materials</v>
      </c>
      <c r="J599" s="43" t="str">
        <f>_xlfn.XLOOKUP($A599,Map!$A:$A,Map!F:F)</f>
        <v>Raw materials</v>
      </c>
    </row>
    <row r="600" spans="1:10" x14ac:dyDescent="0.25">
      <c r="A600">
        <v>520021</v>
      </c>
      <c r="B600" t="s">
        <v>1352</v>
      </c>
      <c r="D600" s="116">
        <v>8180</v>
      </c>
      <c r="E600" s="116">
        <v>0</v>
      </c>
      <c r="F600" s="116">
        <f t="shared" si="6"/>
        <v>8180</v>
      </c>
      <c r="G600" s="43" t="str">
        <f>_xlfn.XLOOKUP($A600,Map!$A:$A,Map!C:C)</f>
        <v>IS</v>
      </c>
      <c r="H600" s="43" t="str">
        <f>_xlfn.XLOOKUP($A600,Map!$A:$A,Map!D:D)</f>
        <v>Cost of sales</v>
      </c>
      <c r="I600" s="43" t="str">
        <f>_xlfn.XLOOKUP($A600,Map!$A:$A,Map!E:E)</f>
        <v>Direct Labor</v>
      </c>
      <c r="J600" s="43" t="str">
        <f>_xlfn.XLOOKUP($A600,Map!$A:$A,Map!F:F)</f>
        <v>Medical insurance</v>
      </c>
    </row>
    <row r="601" spans="1:10" x14ac:dyDescent="0.25">
      <c r="A601">
        <v>520011</v>
      </c>
      <c r="B601" t="s">
        <v>1352</v>
      </c>
      <c r="D601" s="116">
        <v>14683</v>
      </c>
      <c r="E601" s="116">
        <v>0</v>
      </c>
      <c r="F601" s="116">
        <f t="shared" si="6"/>
        <v>14683</v>
      </c>
      <c r="G601" s="43" t="str">
        <f>_xlfn.XLOOKUP($A601,Map!$A:$A,Map!C:C)</f>
        <v>IS</v>
      </c>
      <c r="H601" s="43" t="str">
        <f>_xlfn.XLOOKUP($A601,Map!$A:$A,Map!D:D)</f>
        <v>Cost of sales</v>
      </c>
      <c r="I601" s="43" t="str">
        <f>_xlfn.XLOOKUP($A601,Map!$A:$A,Map!E:E)</f>
        <v>Direct Labor</v>
      </c>
      <c r="J601" s="43" t="str">
        <f>_xlfn.XLOOKUP($A601,Map!$A:$A,Map!F:F)</f>
        <v>Overtime pay</v>
      </c>
    </row>
    <row r="602" spans="1:10" x14ac:dyDescent="0.25">
      <c r="A602">
        <v>520011</v>
      </c>
      <c r="B602" t="s">
        <v>1352</v>
      </c>
      <c r="D602" s="116">
        <v>13796</v>
      </c>
      <c r="E602" s="116">
        <v>0</v>
      </c>
      <c r="F602" s="116">
        <f t="shared" si="6"/>
        <v>13796</v>
      </c>
      <c r="G602" s="43" t="str">
        <f>_xlfn.XLOOKUP($A602,Map!$A:$A,Map!C:C)</f>
        <v>IS</v>
      </c>
      <c r="H602" s="43" t="str">
        <f>_xlfn.XLOOKUP($A602,Map!$A:$A,Map!D:D)</f>
        <v>Cost of sales</v>
      </c>
      <c r="I602" s="43" t="str">
        <f>_xlfn.XLOOKUP($A602,Map!$A:$A,Map!E:E)</f>
        <v>Direct Labor</v>
      </c>
      <c r="J602" s="43" t="str">
        <f>_xlfn.XLOOKUP($A602,Map!$A:$A,Map!F:F)</f>
        <v>Overtime pay</v>
      </c>
    </row>
    <row r="603" spans="1:10" x14ac:dyDescent="0.25">
      <c r="A603">
        <v>520006</v>
      </c>
      <c r="B603" t="s">
        <v>1352</v>
      </c>
      <c r="D603" s="116">
        <v>12810</v>
      </c>
      <c r="E603" s="116">
        <v>0</v>
      </c>
      <c r="F603" s="116">
        <f t="shared" si="6"/>
        <v>12810</v>
      </c>
      <c r="G603" s="43" t="str">
        <f>_xlfn.XLOOKUP($A603,Map!$A:$A,Map!C:C)</f>
        <v>IS</v>
      </c>
      <c r="H603" s="43" t="str">
        <f>_xlfn.XLOOKUP($A603,Map!$A:$A,Map!D:D)</f>
        <v>Cost of sales</v>
      </c>
      <c r="I603" s="43" t="str">
        <f>_xlfn.XLOOKUP($A603,Map!$A:$A,Map!E:E)</f>
        <v>Direct Labor</v>
      </c>
      <c r="J603" s="43" t="str">
        <f>_xlfn.XLOOKUP($A603,Map!$A:$A,Map!F:F)</f>
        <v>Medical insurance</v>
      </c>
    </row>
    <row r="604" spans="1:10" x14ac:dyDescent="0.25">
      <c r="A604">
        <v>520006</v>
      </c>
      <c r="B604" t="s">
        <v>1352</v>
      </c>
      <c r="D604" s="116">
        <v>6416</v>
      </c>
      <c r="E604" s="116">
        <v>0</v>
      </c>
      <c r="F604" s="116">
        <f t="shared" si="6"/>
        <v>6416</v>
      </c>
      <c r="G604" s="43" t="str">
        <f>_xlfn.XLOOKUP($A604,Map!$A:$A,Map!C:C)</f>
        <v>IS</v>
      </c>
      <c r="H604" s="43" t="str">
        <f>_xlfn.XLOOKUP($A604,Map!$A:$A,Map!D:D)</f>
        <v>Cost of sales</v>
      </c>
      <c r="I604" s="43" t="str">
        <f>_xlfn.XLOOKUP($A604,Map!$A:$A,Map!E:E)</f>
        <v>Direct Labor</v>
      </c>
      <c r="J604" s="43" t="str">
        <f>_xlfn.XLOOKUP($A604,Map!$A:$A,Map!F:F)</f>
        <v>Medical insurance</v>
      </c>
    </row>
    <row r="605" spans="1:10" x14ac:dyDescent="0.25">
      <c r="A605">
        <v>520006</v>
      </c>
      <c r="B605" t="s">
        <v>1352</v>
      </c>
      <c r="D605" s="116">
        <v>4114</v>
      </c>
      <c r="E605" s="116">
        <v>0</v>
      </c>
      <c r="F605" s="116">
        <f t="shared" si="6"/>
        <v>4114</v>
      </c>
      <c r="G605" s="43" t="str">
        <f>_xlfn.XLOOKUP($A605,Map!$A:$A,Map!C:C)</f>
        <v>IS</v>
      </c>
      <c r="H605" s="43" t="str">
        <f>_xlfn.XLOOKUP($A605,Map!$A:$A,Map!D:D)</f>
        <v>Cost of sales</v>
      </c>
      <c r="I605" s="43" t="str">
        <f>_xlfn.XLOOKUP($A605,Map!$A:$A,Map!E:E)</f>
        <v>Direct Labor</v>
      </c>
      <c r="J605" s="43" t="str">
        <f>_xlfn.XLOOKUP($A605,Map!$A:$A,Map!F:F)</f>
        <v>Medical insurance</v>
      </c>
    </row>
    <row r="606" spans="1:10" x14ac:dyDescent="0.25">
      <c r="A606">
        <v>520006</v>
      </c>
      <c r="B606" t="s">
        <v>1352</v>
      </c>
      <c r="D606" s="116">
        <v>3448</v>
      </c>
      <c r="E606" s="116">
        <v>0</v>
      </c>
      <c r="F606" s="116">
        <f t="shared" si="6"/>
        <v>3448</v>
      </c>
      <c r="G606" s="43" t="str">
        <f>_xlfn.XLOOKUP($A606,Map!$A:$A,Map!C:C)</f>
        <v>IS</v>
      </c>
      <c r="H606" s="43" t="str">
        <f>_xlfn.XLOOKUP($A606,Map!$A:$A,Map!D:D)</f>
        <v>Cost of sales</v>
      </c>
      <c r="I606" s="43" t="str">
        <f>_xlfn.XLOOKUP($A606,Map!$A:$A,Map!E:E)</f>
        <v>Direct Labor</v>
      </c>
      <c r="J606" s="43" t="str">
        <f>_xlfn.XLOOKUP($A606,Map!$A:$A,Map!F:F)</f>
        <v>Medical insurance</v>
      </c>
    </row>
    <row r="607" spans="1:10" x14ac:dyDescent="0.25">
      <c r="A607">
        <v>520006</v>
      </c>
      <c r="B607" t="s">
        <v>1352</v>
      </c>
      <c r="D607" s="116">
        <v>4476</v>
      </c>
      <c r="E607" s="116">
        <v>0</v>
      </c>
      <c r="F607" s="116">
        <f t="shared" si="6"/>
        <v>4476</v>
      </c>
      <c r="G607" s="43" t="str">
        <f>_xlfn.XLOOKUP($A607,Map!$A:$A,Map!C:C)</f>
        <v>IS</v>
      </c>
      <c r="H607" s="43" t="str">
        <f>_xlfn.XLOOKUP($A607,Map!$A:$A,Map!D:D)</f>
        <v>Cost of sales</v>
      </c>
      <c r="I607" s="43" t="str">
        <f>_xlfn.XLOOKUP($A607,Map!$A:$A,Map!E:E)</f>
        <v>Direct Labor</v>
      </c>
      <c r="J607" s="43" t="str">
        <f>_xlfn.XLOOKUP($A607,Map!$A:$A,Map!F:F)</f>
        <v>Medical insurance</v>
      </c>
    </row>
    <row r="608" spans="1:10" x14ac:dyDescent="0.25">
      <c r="A608">
        <v>520006</v>
      </c>
      <c r="B608" t="s">
        <v>1352</v>
      </c>
      <c r="D608" s="116">
        <v>2920</v>
      </c>
      <c r="E608" s="116">
        <v>0</v>
      </c>
      <c r="F608" s="116">
        <f t="shared" si="6"/>
        <v>2920</v>
      </c>
      <c r="G608" s="43" t="str">
        <f>_xlfn.XLOOKUP($A608,Map!$A:$A,Map!C:C)</f>
        <v>IS</v>
      </c>
      <c r="H608" s="43" t="str">
        <f>_xlfn.XLOOKUP($A608,Map!$A:$A,Map!D:D)</f>
        <v>Cost of sales</v>
      </c>
      <c r="I608" s="43" t="str">
        <f>_xlfn.XLOOKUP($A608,Map!$A:$A,Map!E:E)</f>
        <v>Direct Labor</v>
      </c>
      <c r="J608" s="43" t="str">
        <f>_xlfn.XLOOKUP($A608,Map!$A:$A,Map!F:F)</f>
        <v>Medical insurance</v>
      </c>
    </row>
    <row r="609" spans="1:10" x14ac:dyDescent="0.25">
      <c r="A609">
        <v>520004</v>
      </c>
      <c r="B609" t="s">
        <v>1352</v>
      </c>
      <c r="D609" s="116">
        <v>8119</v>
      </c>
      <c r="E609" s="116">
        <v>0</v>
      </c>
      <c r="F609" s="116">
        <f t="shared" si="6"/>
        <v>8119</v>
      </c>
      <c r="G609" s="43" t="str">
        <f>_xlfn.XLOOKUP($A609,Map!$A:$A,Map!C:C)</f>
        <v>IS</v>
      </c>
      <c r="H609" s="43" t="str">
        <f>_xlfn.XLOOKUP($A609,Map!$A:$A,Map!D:D)</f>
        <v>Cost of sales</v>
      </c>
      <c r="I609" s="43" t="str">
        <f>_xlfn.XLOOKUP($A609,Map!$A:$A,Map!E:E)</f>
        <v>Direct Labor</v>
      </c>
      <c r="J609" s="43" t="str">
        <f>_xlfn.XLOOKUP($A609,Map!$A:$A,Map!F:F)</f>
        <v>Food and housing</v>
      </c>
    </row>
    <row r="610" spans="1:10" x14ac:dyDescent="0.25">
      <c r="A610">
        <v>520004</v>
      </c>
      <c r="B610" t="s">
        <v>1352</v>
      </c>
      <c r="D610" s="116">
        <v>5313</v>
      </c>
      <c r="E610" s="116">
        <v>0</v>
      </c>
      <c r="F610" s="116">
        <f t="shared" si="6"/>
        <v>5313</v>
      </c>
      <c r="G610" s="43" t="str">
        <f>_xlfn.XLOOKUP($A610,Map!$A:$A,Map!C:C)</f>
        <v>IS</v>
      </c>
      <c r="H610" s="43" t="str">
        <f>_xlfn.XLOOKUP($A610,Map!$A:$A,Map!D:D)</f>
        <v>Cost of sales</v>
      </c>
      <c r="I610" s="43" t="str">
        <f>_xlfn.XLOOKUP($A610,Map!$A:$A,Map!E:E)</f>
        <v>Direct Labor</v>
      </c>
      <c r="J610" s="43" t="str">
        <f>_xlfn.XLOOKUP($A610,Map!$A:$A,Map!F:F)</f>
        <v>Food and housing</v>
      </c>
    </row>
    <row r="611" spans="1:10" x14ac:dyDescent="0.25">
      <c r="A611">
        <v>520004</v>
      </c>
      <c r="B611" t="s">
        <v>1352</v>
      </c>
      <c r="D611" s="116">
        <v>0</v>
      </c>
      <c r="E611" s="116">
        <v>91475</v>
      </c>
      <c r="F611" s="116">
        <f t="shared" si="6"/>
        <v>-91475</v>
      </c>
      <c r="G611" s="43" t="str">
        <f>_xlfn.XLOOKUP($A611,Map!$A:$A,Map!C:C)</f>
        <v>IS</v>
      </c>
      <c r="H611" s="43" t="str">
        <f>_xlfn.XLOOKUP($A611,Map!$A:$A,Map!D:D)</f>
        <v>Cost of sales</v>
      </c>
      <c r="I611" s="43" t="str">
        <f>_xlfn.XLOOKUP($A611,Map!$A:$A,Map!E:E)</f>
        <v>Direct Labor</v>
      </c>
      <c r="J611" s="43" t="str">
        <f>_xlfn.XLOOKUP($A611,Map!$A:$A,Map!F:F)</f>
        <v>Food and housing</v>
      </c>
    </row>
    <row r="612" spans="1:10" x14ac:dyDescent="0.25">
      <c r="A612">
        <v>520003</v>
      </c>
      <c r="B612" t="s">
        <v>1352</v>
      </c>
      <c r="D612" s="116">
        <v>7200</v>
      </c>
      <c r="E612" s="116">
        <v>0</v>
      </c>
      <c r="F612" s="116">
        <f t="shared" si="6"/>
        <v>7200</v>
      </c>
      <c r="G612" s="43" t="str">
        <f>_xlfn.XLOOKUP($A612,Map!$A:$A,Map!C:C)</f>
        <v>IS</v>
      </c>
      <c r="H612" s="43" t="str">
        <f>_xlfn.XLOOKUP($A612,Map!$A:$A,Map!D:D)</f>
        <v>Cost of sales</v>
      </c>
      <c r="I612" s="43" t="str">
        <f>_xlfn.XLOOKUP($A612,Map!$A:$A,Map!E:E)</f>
        <v>Direct Labor</v>
      </c>
      <c r="J612" s="43" t="str">
        <f>_xlfn.XLOOKUP($A612,Map!$A:$A,Map!F:F)</f>
        <v>Transportation allowance</v>
      </c>
    </row>
    <row r="613" spans="1:10" x14ac:dyDescent="0.25">
      <c r="A613">
        <v>520001</v>
      </c>
      <c r="B613" t="s">
        <v>1352</v>
      </c>
      <c r="D613" s="116">
        <v>258213.5</v>
      </c>
      <c r="E613" s="116">
        <v>0</v>
      </c>
      <c r="F613" s="116">
        <f t="shared" si="6"/>
        <v>258213.5</v>
      </c>
      <c r="G613" s="43" t="str">
        <f>_xlfn.XLOOKUP($A613,Map!$A:$A,Map!C:C)</f>
        <v>IS</v>
      </c>
      <c r="H613" s="43" t="str">
        <f>_xlfn.XLOOKUP($A613,Map!$A:$A,Map!D:D)</f>
        <v>Cost of sales</v>
      </c>
      <c r="I613" s="43" t="str">
        <f>_xlfn.XLOOKUP($A613,Map!$A:$A,Map!E:E)</f>
        <v>Direct Labor</v>
      </c>
      <c r="J613" s="43" t="str">
        <f>_xlfn.XLOOKUP($A613,Map!$A:$A,Map!F:F)</f>
        <v>Salaries and wages</v>
      </c>
    </row>
    <row r="614" spans="1:10" x14ac:dyDescent="0.25">
      <c r="A614">
        <v>520001</v>
      </c>
      <c r="B614" t="s">
        <v>1352</v>
      </c>
      <c r="D614" s="116">
        <v>37200</v>
      </c>
      <c r="E614" s="116">
        <v>0</v>
      </c>
      <c r="F614" s="116">
        <f t="shared" si="6"/>
        <v>37200</v>
      </c>
      <c r="G614" s="43" t="str">
        <f>_xlfn.XLOOKUP($A614,Map!$A:$A,Map!C:C)</f>
        <v>IS</v>
      </c>
      <c r="H614" s="43" t="str">
        <f>_xlfn.XLOOKUP($A614,Map!$A:$A,Map!D:D)</f>
        <v>Cost of sales</v>
      </c>
      <c r="I614" s="43" t="str">
        <f>_xlfn.XLOOKUP($A614,Map!$A:$A,Map!E:E)</f>
        <v>Direct Labor</v>
      </c>
      <c r="J614" s="43" t="str">
        <f>_xlfn.XLOOKUP($A614,Map!$A:$A,Map!F:F)</f>
        <v>Salaries and wages</v>
      </c>
    </row>
    <row r="615" spans="1:10" x14ac:dyDescent="0.25">
      <c r="A615">
        <v>520001</v>
      </c>
      <c r="B615" t="s">
        <v>1352</v>
      </c>
      <c r="D615" s="116">
        <v>69543.5</v>
      </c>
      <c r="E615" s="116">
        <v>0</v>
      </c>
      <c r="F615" s="116">
        <f t="shared" si="6"/>
        <v>69543.5</v>
      </c>
      <c r="G615" s="43" t="str">
        <f>_xlfn.XLOOKUP($A615,Map!$A:$A,Map!C:C)</f>
        <v>IS</v>
      </c>
      <c r="H615" s="43" t="str">
        <f>_xlfn.XLOOKUP($A615,Map!$A:$A,Map!D:D)</f>
        <v>Cost of sales</v>
      </c>
      <c r="I615" s="43" t="str">
        <f>_xlfn.XLOOKUP($A615,Map!$A:$A,Map!E:E)</f>
        <v>Direct Labor</v>
      </c>
      <c r="J615" s="43" t="str">
        <f>_xlfn.XLOOKUP($A615,Map!$A:$A,Map!F:F)</f>
        <v>Salaries and wages</v>
      </c>
    </row>
    <row r="616" spans="1:10" x14ac:dyDescent="0.25">
      <c r="A616">
        <v>520001</v>
      </c>
      <c r="B616" t="s">
        <v>1352</v>
      </c>
      <c r="D616" s="116">
        <v>21592</v>
      </c>
      <c r="E616" s="116">
        <v>0</v>
      </c>
      <c r="F616" s="116">
        <f t="shared" si="6"/>
        <v>21592</v>
      </c>
      <c r="G616" s="43" t="str">
        <f>_xlfn.XLOOKUP($A616,Map!$A:$A,Map!C:C)</f>
        <v>IS</v>
      </c>
      <c r="H616" s="43" t="str">
        <f>_xlfn.XLOOKUP($A616,Map!$A:$A,Map!D:D)</f>
        <v>Cost of sales</v>
      </c>
      <c r="I616" s="43" t="str">
        <f>_xlfn.XLOOKUP($A616,Map!$A:$A,Map!E:E)</f>
        <v>Direct Labor</v>
      </c>
      <c r="J616" s="43" t="str">
        <f>_xlfn.XLOOKUP($A616,Map!$A:$A,Map!F:F)</f>
        <v>Salaries and wages</v>
      </c>
    </row>
    <row r="617" spans="1:10" x14ac:dyDescent="0.25">
      <c r="A617">
        <v>520001</v>
      </c>
      <c r="B617" t="s">
        <v>1352</v>
      </c>
      <c r="D617" s="116">
        <v>42589</v>
      </c>
      <c r="E617" s="116">
        <v>0</v>
      </c>
      <c r="F617" s="116">
        <f t="shared" si="6"/>
        <v>42589</v>
      </c>
      <c r="G617" s="43" t="str">
        <f>_xlfn.XLOOKUP($A617,Map!$A:$A,Map!C:C)</f>
        <v>IS</v>
      </c>
      <c r="H617" s="43" t="str">
        <f>_xlfn.XLOOKUP($A617,Map!$A:$A,Map!D:D)</f>
        <v>Cost of sales</v>
      </c>
      <c r="I617" s="43" t="str">
        <f>_xlfn.XLOOKUP($A617,Map!$A:$A,Map!E:E)</f>
        <v>Direct Labor</v>
      </c>
      <c r="J617" s="43" t="str">
        <f>_xlfn.XLOOKUP($A617,Map!$A:$A,Map!F:F)</f>
        <v>Salaries and wages</v>
      </c>
    </row>
    <row r="618" spans="1:10" x14ac:dyDescent="0.25">
      <c r="A618">
        <v>510004</v>
      </c>
      <c r="B618" t="s">
        <v>1352</v>
      </c>
      <c r="D618" s="116">
        <v>0</v>
      </c>
      <c r="E618" s="116">
        <v>439367.87</v>
      </c>
      <c r="F618" s="116">
        <f t="shared" si="6"/>
        <v>-439367.87</v>
      </c>
      <c r="G618" s="43" t="str">
        <f>_xlfn.XLOOKUP($A618,Map!$A:$A,Map!C:C)</f>
        <v>IS</v>
      </c>
      <c r="H618" s="43" t="str">
        <f>_xlfn.XLOOKUP($A618,Map!$A:$A,Map!D:D)</f>
        <v>Cost of sales</v>
      </c>
      <c r="I618" s="43" t="str">
        <f>_xlfn.XLOOKUP($A618,Map!$A:$A,Map!E:E)</f>
        <v>Raw materials</v>
      </c>
      <c r="J618" s="43" t="str">
        <f>_xlfn.XLOOKUP($A618,Map!$A:$A,Map!F:F)</f>
        <v>Other expenses</v>
      </c>
    </row>
    <row r="619" spans="1:10" x14ac:dyDescent="0.25">
      <c r="A619">
        <v>510004</v>
      </c>
      <c r="B619" t="s">
        <v>1352</v>
      </c>
      <c r="D619" s="116">
        <v>0</v>
      </c>
      <c r="E619" s="116">
        <v>206421.11</v>
      </c>
      <c r="F619" s="116">
        <f t="shared" si="6"/>
        <v>-206421.11</v>
      </c>
      <c r="G619" s="43" t="str">
        <f>_xlfn.XLOOKUP($A619,Map!$A:$A,Map!C:C)</f>
        <v>IS</v>
      </c>
      <c r="H619" s="43" t="str">
        <f>_xlfn.XLOOKUP($A619,Map!$A:$A,Map!D:D)</f>
        <v>Cost of sales</v>
      </c>
      <c r="I619" s="43" t="str">
        <f>_xlfn.XLOOKUP($A619,Map!$A:$A,Map!E:E)</f>
        <v>Raw materials</v>
      </c>
      <c r="J619" s="43" t="str">
        <f>_xlfn.XLOOKUP($A619,Map!$A:$A,Map!F:F)</f>
        <v>Other expenses</v>
      </c>
    </row>
    <row r="620" spans="1:10" x14ac:dyDescent="0.25">
      <c r="A620">
        <v>510004</v>
      </c>
      <c r="B620" t="s">
        <v>1352</v>
      </c>
      <c r="D620" s="116">
        <v>0</v>
      </c>
      <c r="E620" s="116">
        <v>10216.5</v>
      </c>
      <c r="F620" s="116">
        <f t="shared" si="6"/>
        <v>-10216.5</v>
      </c>
      <c r="G620" s="43" t="str">
        <f>_xlfn.XLOOKUP($A620,Map!$A:$A,Map!C:C)</f>
        <v>IS</v>
      </c>
      <c r="H620" s="43" t="str">
        <f>_xlfn.XLOOKUP($A620,Map!$A:$A,Map!D:D)</f>
        <v>Cost of sales</v>
      </c>
      <c r="I620" s="43" t="str">
        <f>_xlfn.XLOOKUP($A620,Map!$A:$A,Map!E:E)</f>
        <v>Raw materials</v>
      </c>
      <c r="J620" s="43" t="str">
        <f>_xlfn.XLOOKUP($A620,Map!$A:$A,Map!F:F)</f>
        <v>Other expenses</v>
      </c>
    </row>
    <row r="621" spans="1:10" x14ac:dyDescent="0.25">
      <c r="A621">
        <v>510004</v>
      </c>
      <c r="B621" t="s">
        <v>1352</v>
      </c>
      <c r="D621" s="116">
        <v>0</v>
      </c>
      <c r="E621" s="116">
        <v>241810.8</v>
      </c>
      <c r="F621" s="116">
        <f t="shared" si="6"/>
        <v>-241810.8</v>
      </c>
      <c r="G621" s="43" t="str">
        <f>_xlfn.XLOOKUP($A621,Map!$A:$A,Map!C:C)</f>
        <v>IS</v>
      </c>
      <c r="H621" s="43" t="str">
        <f>_xlfn.XLOOKUP($A621,Map!$A:$A,Map!D:D)</f>
        <v>Cost of sales</v>
      </c>
      <c r="I621" s="43" t="str">
        <f>_xlfn.XLOOKUP($A621,Map!$A:$A,Map!E:E)</f>
        <v>Raw materials</v>
      </c>
      <c r="J621" s="43" t="str">
        <f>_xlfn.XLOOKUP($A621,Map!$A:$A,Map!F:F)</f>
        <v>Other expenses</v>
      </c>
    </row>
    <row r="622" spans="1:10" x14ac:dyDescent="0.25">
      <c r="A622">
        <v>510004</v>
      </c>
      <c r="B622" t="s">
        <v>1352</v>
      </c>
      <c r="D622" s="116">
        <v>0</v>
      </c>
      <c r="E622" s="116">
        <v>239070.13</v>
      </c>
      <c r="F622" s="116">
        <f t="shared" si="6"/>
        <v>-239070.13</v>
      </c>
      <c r="G622" s="43" t="str">
        <f>_xlfn.XLOOKUP($A622,Map!$A:$A,Map!C:C)</f>
        <v>IS</v>
      </c>
      <c r="H622" s="43" t="str">
        <f>_xlfn.XLOOKUP($A622,Map!$A:$A,Map!D:D)</f>
        <v>Cost of sales</v>
      </c>
      <c r="I622" s="43" t="str">
        <f>_xlfn.XLOOKUP($A622,Map!$A:$A,Map!E:E)</f>
        <v>Raw materials</v>
      </c>
      <c r="J622" s="43" t="str">
        <f>_xlfn.XLOOKUP($A622,Map!$A:$A,Map!F:F)</f>
        <v>Other expenses</v>
      </c>
    </row>
    <row r="623" spans="1:10" x14ac:dyDescent="0.25">
      <c r="A623">
        <v>510004</v>
      </c>
      <c r="B623" t="s">
        <v>1352</v>
      </c>
      <c r="D623" s="116">
        <v>0</v>
      </c>
      <c r="E623" s="116">
        <v>59180.75</v>
      </c>
      <c r="F623" s="116">
        <f t="shared" si="6"/>
        <v>-59180.75</v>
      </c>
      <c r="G623" s="43" t="str">
        <f>_xlfn.XLOOKUP($A623,Map!$A:$A,Map!C:C)</f>
        <v>IS</v>
      </c>
      <c r="H623" s="43" t="str">
        <f>_xlfn.XLOOKUP($A623,Map!$A:$A,Map!D:D)</f>
        <v>Cost of sales</v>
      </c>
      <c r="I623" s="43" t="str">
        <f>_xlfn.XLOOKUP($A623,Map!$A:$A,Map!E:E)</f>
        <v>Raw materials</v>
      </c>
      <c r="J623" s="43" t="str">
        <f>_xlfn.XLOOKUP($A623,Map!$A:$A,Map!F:F)</f>
        <v>Other expenses</v>
      </c>
    </row>
    <row r="624" spans="1:10" x14ac:dyDescent="0.25">
      <c r="A624">
        <v>510004</v>
      </c>
      <c r="B624" t="s">
        <v>1352</v>
      </c>
      <c r="D624" s="116">
        <v>0</v>
      </c>
      <c r="E624" s="116">
        <v>8300</v>
      </c>
      <c r="F624" s="116">
        <f t="shared" si="6"/>
        <v>-8300</v>
      </c>
      <c r="G624" s="43" t="str">
        <f>_xlfn.XLOOKUP($A624,Map!$A:$A,Map!C:C)</f>
        <v>IS</v>
      </c>
      <c r="H624" s="43" t="str">
        <f>_xlfn.XLOOKUP($A624,Map!$A:$A,Map!D:D)</f>
        <v>Cost of sales</v>
      </c>
      <c r="I624" s="43" t="str">
        <f>_xlfn.XLOOKUP($A624,Map!$A:$A,Map!E:E)</f>
        <v>Raw materials</v>
      </c>
      <c r="J624" s="43" t="str">
        <f>_xlfn.XLOOKUP($A624,Map!$A:$A,Map!F:F)</f>
        <v>Other expenses</v>
      </c>
    </row>
    <row r="625" spans="1:10" x14ac:dyDescent="0.25">
      <c r="A625">
        <v>510004</v>
      </c>
      <c r="B625" t="s">
        <v>1352</v>
      </c>
      <c r="D625" s="116">
        <v>0</v>
      </c>
      <c r="E625" s="116">
        <v>99481.04</v>
      </c>
      <c r="F625" s="116">
        <f t="shared" si="6"/>
        <v>-99481.04</v>
      </c>
      <c r="G625" s="43" t="str">
        <f>_xlfn.XLOOKUP($A625,Map!$A:$A,Map!C:C)</f>
        <v>IS</v>
      </c>
      <c r="H625" s="43" t="str">
        <f>_xlfn.XLOOKUP($A625,Map!$A:$A,Map!D:D)</f>
        <v>Cost of sales</v>
      </c>
      <c r="I625" s="43" t="str">
        <f>_xlfn.XLOOKUP($A625,Map!$A:$A,Map!E:E)</f>
        <v>Raw materials</v>
      </c>
      <c r="J625" s="43" t="str">
        <f>_xlfn.XLOOKUP($A625,Map!$A:$A,Map!F:F)</f>
        <v>Other expenses</v>
      </c>
    </row>
    <row r="626" spans="1:10" x14ac:dyDescent="0.25">
      <c r="A626">
        <v>510004</v>
      </c>
      <c r="B626" t="s">
        <v>1352</v>
      </c>
      <c r="D626" s="116">
        <v>0</v>
      </c>
      <c r="E626" s="116">
        <v>657944</v>
      </c>
      <c r="F626" s="116">
        <f t="shared" si="6"/>
        <v>-657944</v>
      </c>
      <c r="G626" s="43" t="str">
        <f>_xlfn.XLOOKUP($A626,Map!$A:$A,Map!C:C)</f>
        <v>IS</v>
      </c>
      <c r="H626" s="43" t="str">
        <f>_xlfn.XLOOKUP($A626,Map!$A:$A,Map!D:D)</f>
        <v>Cost of sales</v>
      </c>
      <c r="I626" s="43" t="str">
        <f>_xlfn.XLOOKUP($A626,Map!$A:$A,Map!E:E)</f>
        <v>Raw materials</v>
      </c>
      <c r="J626" s="43" t="str">
        <f>_xlfn.XLOOKUP($A626,Map!$A:$A,Map!F:F)</f>
        <v>Other expenses</v>
      </c>
    </row>
    <row r="627" spans="1:10" x14ac:dyDescent="0.25">
      <c r="A627">
        <v>510004</v>
      </c>
      <c r="B627" t="s">
        <v>1352</v>
      </c>
      <c r="D627" s="116">
        <v>0</v>
      </c>
      <c r="E627" s="116">
        <v>54724.01</v>
      </c>
      <c r="F627" s="116">
        <f t="shared" si="6"/>
        <v>-54724.01</v>
      </c>
      <c r="G627" s="43" t="str">
        <f>_xlfn.XLOOKUP($A627,Map!$A:$A,Map!C:C)</f>
        <v>IS</v>
      </c>
      <c r="H627" s="43" t="str">
        <f>_xlfn.XLOOKUP($A627,Map!$A:$A,Map!D:D)</f>
        <v>Cost of sales</v>
      </c>
      <c r="I627" s="43" t="str">
        <f>_xlfn.XLOOKUP($A627,Map!$A:$A,Map!E:E)</f>
        <v>Raw materials</v>
      </c>
      <c r="J627" s="43" t="str">
        <f>_xlfn.XLOOKUP($A627,Map!$A:$A,Map!F:F)</f>
        <v>Other expenses</v>
      </c>
    </row>
    <row r="628" spans="1:10" x14ac:dyDescent="0.25">
      <c r="A628">
        <v>510002</v>
      </c>
      <c r="B628" t="s">
        <v>1352</v>
      </c>
      <c r="D628" s="116">
        <v>0</v>
      </c>
      <c r="E628" s="116">
        <v>442570</v>
      </c>
      <c r="F628" s="116">
        <f t="shared" si="6"/>
        <v>-442570</v>
      </c>
      <c r="G628" s="43" t="str">
        <f>_xlfn.XLOOKUP($A628,Map!$A:$A,Map!C:C)</f>
        <v>IS</v>
      </c>
      <c r="H628" s="43" t="str">
        <f>_xlfn.XLOOKUP($A628,Map!$A:$A,Map!D:D)</f>
        <v>Cost of sales</v>
      </c>
      <c r="I628" s="43" t="str">
        <f>_xlfn.XLOOKUP($A628,Map!$A:$A,Map!E:E)</f>
        <v>Direct Labor</v>
      </c>
      <c r="J628" s="43" t="str">
        <f>_xlfn.XLOOKUP($A628,Map!$A:$A,Map!F:F)</f>
        <v>Direct Labor</v>
      </c>
    </row>
    <row r="629" spans="1:10" x14ac:dyDescent="0.25">
      <c r="A629">
        <v>510002</v>
      </c>
      <c r="B629" t="s">
        <v>1352</v>
      </c>
      <c r="D629" s="116">
        <v>0</v>
      </c>
      <c r="E629" s="116">
        <v>28479</v>
      </c>
      <c r="F629" s="116">
        <f t="shared" si="6"/>
        <v>-28479</v>
      </c>
      <c r="G629" s="43" t="str">
        <f>_xlfn.XLOOKUP($A629,Map!$A:$A,Map!C:C)</f>
        <v>IS</v>
      </c>
      <c r="H629" s="43" t="str">
        <f>_xlfn.XLOOKUP($A629,Map!$A:$A,Map!D:D)</f>
        <v>Cost of sales</v>
      </c>
      <c r="I629" s="43" t="str">
        <f>_xlfn.XLOOKUP($A629,Map!$A:$A,Map!E:E)</f>
        <v>Direct Labor</v>
      </c>
      <c r="J629" s="43" t="str">
        <f>_xlfn.XLOOKUP($A629,Map!$A:$A,Map!F:F)</f>
        <v>Direct Labor</v>
      </c>
    </row>
    <row r="630" spans="1:10" x14ac:dyDescent="0.25">
      <c r="A630">
        <v>510002</v>
      </c>
      <c r="B630" t="s">
        <v>1352</v>
      </c>
      <c r="D630" s="116">
        <v>0</v>
      </c>
      <c r="E630" s="116">
        <v>41384</v>
      </c>
      <c r="F630" s="116">
        <f t="shared" si="6"/>
        <v>-41384</v>
      </c>
      <c r="G630" s="43" t="str">
        <f>_xlfn.XLOOKUP($A630,Map!$A:$A,Map!C:C)</f>
        <v>IS</v>
      </c>
      <c r="H630" s="43" t="str">
        <f>_xlfn.XLOOKUP($A630,Map!$A:$A,Map!D:D)</f>
        <v>Cost of sales</v>
      </c>
      <c r="I630" s="43" t="str">
        <f>_xlfn.XLOOKUP($A630,Map!$A:$A,Map!E:E)</f>
        <v>Direct Labor</v>
      </c>
      <c r="J630" s="43" t="str">
        <f>_xlfn.XLOOKUP($A630,Map!$A:$A,Map!F:F)</f>
        <v>Direct Labor</v>
      </c>
    </row>
    <row r="631" spans="1:10" x14ac:dyDescent="0.25">
      <c r="A631">
        <v>510002</v>
      </c>
      <c r="B631" t="s">
        <v>1352</v>
      </c>
      <c r="D631" s="116">
        <v>525430.09</v>
      </c>
      <c r="E631" s="116">
        <v>0</v>
      </c>
      <c r="F631" s="116">
        <f t="shared" si="6"/>
        <v>525430.09</v>
      </c>
      <c r="G631" s="43" t="str">
        <f>_xlfn.XLOOKUP($A631,Map!$A:$A,Map!C:C)</f>
        <v>IS</v>
      </c>
      <c r="H631" s="43" t="str">
        <f>_xlfn.XLOOKUP($A631,Map!$A:$A,Map!D:D)</f>
        <v>Cost of sales</v>
      </c>
      <c r="I631" s="43" t="str">
        <f>_xlfn.XLOOKUP($A631,Map!$A:$A,Map!E:E)</f>
        <v>Direct Labor</v>
      </c>
      <c r="J631" s="43" t="str">
        <f>_xlfn.XLOOKUP($A631,Map!$A:$A,Map!F:F)</f>
        <v>Direct Labor</v>
      </c>
    </row>
    <row r="632" spans="1:10" x14ac:dyDescent="0.25">
      <c r="A632">
        <v>510002</v>
      </c>
      <c r="B632" t="s">
        <v>1352</v>
      </c>
      <c r="D632" s="116">
        <v>0</v>
      </c>
      <c r="E632" s="116">
        <v>8180</v>
      </c>
      <c r="F632" s="116">
        <f t="shared" si="6"/>
        <v>-8180</v>
      </c>
      <c r="G632" s="43" t="str">
        <f>_xlfn.XLOOKUP($A632,Map!$A:$A,Map!C:C)</f>
        <v>IS</v>
      </c>
      <c r="H632" s="43" t="str">
        <f>_xlfn.XLOOKUP($A632,Map!$A:$A,Map!D:D)</f>
        <v>Cost of sales</v>
      </c>
      <c r="I632" s="43" t="str">
        <f>_xlfn.XLOOKUP($A632,Map!$A:$A,Map!E:E)</f>
        <v>Direct Labor</v>
      </c>
      <c r="J632" s="43" t="str">
        <f>_xlfn.XLOOKUP($A632,Map!$A:$A,Map!F:F)</f>
        <v>Direct Labor</v>
      </c>
    </row>
    <row r="633" spans="1:10" x14ac:dyDescent="0.25">
      <c r="A633">
        <v>510002</v>
      </c>
      <c r="B633" t="s">
        <v>1352</v>
      </c>
      <c r="D633" s="116">
        <v>0</v>
      </c>
      <c r="E633" s="116">
        <v>343000</v>
      </c>
      <c r="F633" s="116">
        <f t="shared" si="6"/>
        <v>-343000</v>
      </c>
      <c r="G633" s="43" t="str">
        <f>_xlfn.XLOOKUP($A633,Map!$A:$A,Map!C:C)</f>
        <v>IS</v>
      </c>
      <c r="H633" s="43" t="str">
        <f>_xlfn.XLOOKUP($A633,Map!$A:$A,Map!D:D)</f>
        <v>Cost of sales</v>
      </c>
      <c r="I633" s="43" t="str">
        <f>_xlfn.XLOOKUP($A633,Map!$A:$A,Map!E:E)</f>
        <v>Direct Labor</v>
      </c>
      <c r="J633" s="43" t="str">
        <f>_xlfn.XLOOKUP($A633,Map!$A:$A,Map!F:F)</f>
        <v>Direct Labor</v>
      </c>
    </row>
    <row r="634" spans="1:10" x14ac:dyDescent="0.25">
      <c r="A634">
        <v>510001</v>
      </c>
      <c r="B634" t="s">
        <v>1352</v>
      </c>
      <c r="D634" s="116">
        <v>640303.56999999995</v>
      </c>
      <c r="E634" s="116">
        <v>0</v>
      </c>
      <c r="F634" s="116">
        <f t="shared" si="6"/>
        <v>640303.56999999995</v>
      </c>
      <c r="G634" s="43" t="str">
        <f>_xlfn.XLOOKUP($A634,Map!$A:$A,Map!C:C)</f>
        <v>IS</v>
      </c>
      <c r="H634" s="43" t="str">
        <f>_xlfn.XLOOKUP($A634,Map!$A:$A,Map!D:D)</f>
        <v>Cost of sales</v>
      </c>
      <c r="I634" s="43" t="str">
        <f>_xlfn.XLOOKUP($A634,Map!$A:$A,Map!E:E)</f>
        <v>Raw materials</v>
      </c>
      <c r="J634" s="43" t="str">
        <f>_xlfn.XLOOKUP($A634,Map!$A:$A,Map!F:F)</f>
        <v>Raw materials</v>
      </c>
    </row>
    <row r="635" spans="1:10" x14ac:dyDescent="0.25">
      <c r="A635">
        <v>510001</v>
      </c>
      <c r="B635" t="s">
        <v>1352</v>
      </c>
      <c r="D635" s="116">
        <v>689312.82700000005</v>
      </c>
      <c r="E635" s="116">
        <v>0</v>
      </c>
      <c r="F635" s="116">
        <f t="shared" si="6"/>
        <v>689312.82700000005</v>
      </c>
      <c r="G635" s="43" t="str">
        <f>_xlfn.XLOOKUP($A635,Map!$A:$A,Map!C:C)</f>
        <v>IS</v>
      </c>
      <c r="H635" s="43" t="str">
        <f>_xlfn.XLOOKUP($A635,Map!$A:$A,Map!D:D)</f>
        <v>Cost of sales</v>
      </c>
      <c r="I635" s="43" t="str">
        <f>_xlfn.XLOOKUP($A635,Map!$A:$A,Map!E:E)</f>
        <v>Raw materials</v>
      </c>
      <c r="J635" s="43" t="str">
        <f>_xlfn.XLOOKUP($A635,Map!$A:$A,Map!F:F)</f>
        <v>Raw materials</v>
      </c>
    </row>
    <row r="636" spans="1:10" x14ac:dyDescent="0.25">
      <c r="A636">
        <v>420003</v>
      </c>
      <c r="B636" t="s">
        <v>1352</v>
      </c>
      <c r="D636" s="116">
        <v>0</v>
      </c>
      <c r="E636" s="116">
        <v>2.7E-2</v>
      </c>
      <c r="F636" s="116">
        <f t="shared" si="6"/>
        <v>-2.7E-2</v>
      </c>
      <c r="G636" s="43" t="str">
        <f>_xlfn.XLOOKUP($A636,Map!$A:$A,Map!C:C)</f>
        <v>IS</v>
      </c>
      <c r="H636" s="43" t="str">
        <f>_xlfn.XLOOKUP($A636,Map!$A:$A,Map!D:D)</f>
        <v>Sales</v>
      </c>
      <c r="I636" s="43" t="str">
        <f>_xlfn.XLOOKUP($A636,Map!$A:$A,Map!E:E)</f>
        <v>Sales</v>
      </c>
      <c r="J636" s="43" t="str">
        <f>_xlfn.XLOOKUP($A636,Map!$A:$A,Map!F:F)</f>
        <v>Scrap sales</v>
      </c>
    </row>
    <row r="637" spans="1:10" x14ac:dyDescent="0.25">
      <c r="A637">
        <v>600031</v>
      </c>
      <c r="B637" t="s">
        <v>1353</v>
      </c>
      <c r="D637" s="116">
        <v>613.33000000000004</v>
      </c>
      <c r="E637" s="116">
        <v>0</v>
      </c>
      <c r="F637" s="116">
        <f t="shared" si="6"/>
        <v>613.33000000000004</v>
      </c>
      <c r="G637" s="43" t="str">
        <f>_xlfn.XLOOKUP($A637,Map!$A:$A,Map!C:C)</f>
        <v>IS</v>
      </c>
      <c r="H637" s="43" t="str">
        <f>_xlfn.XLOOKUP($A637,Map!$A:$A,Map!D:D)</f>
        <v>Depreciation expenses</v>
      </c>
      <c r="I637" s="43" t="str">
        <f>_xlfn.XLOOKUP($A637,Map!$A:$A,Map!E:E)</f>
        <v>Depreciation expenses</v>
      </c>
      <c r="J637" s="43" t="str">
        <f>_xlfn.XLOOKUP($A637,Map!$A:$A,Map!F:F)</f>
        <v>Depreciation of property, plant and equipment</v>
      </c>
    </row>
    <row r="638" spans="1:10" x14ac:dyDescent="0.25">
      <c r="A638">
        <v>600030</v>
      </c>
      <c r="B638" t="s">
        <v>1353</v>
      </c>
      <c r="D638" s="116">
        <v>446.47500000000002</v>
      </c>
      <c r="E638" s="116">
        <v>0</v>
      </c>
      <c r="F638" s="116">
        <f t="shared" si="6"/>
        <v>446.47500000000002</v>
      </c>
      <c r="G638" s="43" t="str">
        <f>_xlfn.XLOOKUP($A638,Map!$A:$A,Map!C:C)</f>
        <v>IS</v>
      </c>
      <c r="H638" s="43" t="str">
        <f>_xlfn.XLOOKUP($A638,Map!$A:$A,Map!D:D)</f>
        <v>Depreciation expenses</v>
      </c>
      <c r="I638" s="43" t="str">
        <f>_xlfn.XLOOKUP($A638,Map!$A:$A,Map!E:E)</f>
        <v>Depreciation expenses</v>
      </c>
      <c r="J638" s="43" t="str">
        <f>_xlfn.XLOOKUP($A638,Map!$A:$A,Map!F:F)</f>
        <v>Depreciation of property, plant and equipment</v>
      </c>
    </row>
    <row r="639" spans="1:10" x14ac:dyDescent="0.25">
      <c r="A639">
        <v>600029</v>
      </c>
      <c r="B639" t="s">
        <v>1353</v>
      </c>
      <c r="D639" s="116">
        <v>286088.69</v>
      </c>
      <c r="E639" s="116">
        <v>0</v>
      </c>
      <c r="F639" s="116">
        <f t="shared" si="6"/>
        <v>286088.69</v>
      </c>
      <c r="G639" s="43" t="str">
        <f>_xlfn.XLOOKUP($A639,Map!$A:$A,Map!C:C)</f>
        <v>IS</v>
      </c>
      <c r="H639" s="43" t="str">
        <f>_xlfn.XLOOKUP($A639,Map!$A:$A,Map!D:D)</f>
        <v>Cost of sales</v>
      </c>
      <c r="I639" s="43" t="str">
        <f>_xlfn.XLOOKUP($A639,Map!$A:$A,Map!E:E)</f>
        <v>Depreciation - Machines</v>
      </c>
      <c r="J639" s="43" t="str">
        <f>_xlfn.XLOOKUP($A639,Map!$A:$A,Map!F:F)</f>
        <v>Depreciation of property, plant and equipment</v>
      </c>
    </row>
    <row r="640" spans="1:10" x14ac:dyDescent="0.25">
      <c r="A640">
        <v>600028</v>
      </c>
      <c r="B640" t="s">
        <v>1353</v>
      </c>
      <c r="D640" s="116">
        <v>5000</v>
      </c>
      <c r="E640" s="116">
        <v>0</v>
      </c>
      <c r="F640" s="116">
        <f t="shared" si="6"/>
        <v>5000</v>
      </c>
      <c r="G640" s="43" t="str">
        <f>_xlfn.XLOOKUP($A640,Map!$A:$A,Map!C:C)</f>
        <v>IS</v>
      </c>
      <c r="H640" s="43" t="str">
        <f>_xlfn.XLOOKUP($A640,Map!$A:$A,Map!D:D)</f>
        <v>Cost of sales</v>
      </c>
      <c r="I640" s="43" t="str">
        <f>_xlfn.XLOOKUP($A640,Map!$A:$A,Map!E:E)</f>
        <v>Overhead - Consumables &amp; SP</v>
      </c>
      <c r="J640" s="43" t="str">
        <f>_xlfn.XLOOKUP($A640,Map!$A:$A,Map!F:F)</f>
        <v xml:space="preserve">Education &amp; Furniture Allowances </v>
      </c>
    </row>
    <row r="641" spans="1:10" x14ac:dyDescent="0.25">
      <c r="A641">
        <v>600027</v>
      </c>
      <c r="B641" t="s">
        <v>1353</v>
      </c>
      <c r="D641" s="116">
        <v>51333.34</v>
      </c>
      <c r="E641" s="116">
        <v>0</v>
      </c>
      <c r="F641" s="116">
        <f t="shared" si="6"/>
        <v>51333.34</v>
      </c>
      <c r="G641" s="43" t="str">
        <f>_xlfn.XLOOKUP($A641,Map!$A:$A,Map!C:C)</f>
        <v>IS</v>
      </c>
      <c r="H641" s="43" t="str">
        <f>_xlfn.XLOOKUP($A641,Map!$A:$A,Map!D:D)</f>
        <v>Cost of sales</v>
      </c>
      <c r="I641" s="43" t="str">
        <f>_xlfn.XLOOKUP($A641,Map!$A:$A,Map!E:E)</f>
        <v>Overhead - Rent</v>
      </c>
      <c r="J641" s="43" t="str">
        <f>_xlfn.XLOOKUP($A641,Map!$A:$A,Map!F:F)</f>
        <v>Production hall rental</v>
      </c>
    </row>
    <row r="642" spans="1:10" x14ac:dyDescent="0.25">
      <c r="A642">
        <v>600021</v>
      </c>
      <c r="B642" t="s">
        <v>1353</v>
      </c>
      <c r="D642" s="116">
        <v>10128</v>
      </c>
      <c r="E642" s="116">
        <v>0</v>
      </c>
      <c r="F642" s="116">
        <f t="shared" si="6"/>
        <v>10128</v>
      </c>
      <c r="G642" s="43" t="str">
        <f>_xlfn.XLOOKUP($A642,Map!$A:$A,Map!C:C)</f>
        <v>IS</v>
      </c>
      <c r="H642" s="43" t="str">
        <f>_xlfn.XLOOKUP($A642,Map!$A:$A,Map!D:D)</f>
        <v>Cost of sales</v>
      </c>
      <c r="I642" s="43" t="str">
        <f>_xlfn.XLOOKUP($A642,Map!$A:$A,Map!E:E)</f>
        <v>Overhead - R&amp;M</v>
      </c>
      <c r="J642" s="43" t="str">
        <f>_xlfn.XLOOKUP($A642,Map!$A:$A,Map!F:F)</f>
        <v>Vehicle maintenance</v>
      </c>
    </row>
    <row r="643" spans="1:10" x14ac:dyDescent="0.25">
      <c r="A643">
        <v>600020</v>
      </c>
      <c r="B643" t="s">
        <v>1353</v>
      </c>
      <c r="D643" s="116">
        <v>9040</v>
      </c>
      <c r="E643" s="116">
        <v>0</v>
      </c>
      <c r="F643" s="116">
        <f t="shared" si="6"/>
        <v>9040</v>
      </c>
      <c r="G643" s="43" t="str">
        <f>_xlfn.XLOOKUP($A643,Map!$A:$A,Map!C:C)</f>
        <v>IS</v>
      </c>
      <c r="H643" s="43" t="str">
        <f>_xlfn.XLOOKUP($A643,Map!$A:$A,Map!D:D)</f>
        <v>Cost of sales</v>
      </c>
      <c r="I643" s="43" t="str">
        <f>_xlfn.XLOOKUP($A643,Map!$A:$A,Map!E:E)</f>
        <v>Overhead - R&amp;M</v>
      </c>
      <c r="J643" s="43" t="str">
        <f>_xlfn.XLOOKUP($A643,Map!$A:$A,Map!F:F)</f>
        <v>Machine and equipment</v>
      </c>
    </row>
    <row r="644" spans="1:10" x14ac:dyDescent="0.25">
      <c r="A644">
        <v>600019</v>
      </c>
      <c r="B644" t="s">
        <v>1353</v>
      </c>
      <c r="D644" s="116">
        <v>7370</v>
      </c>
      <c r="E644" s="116">
        <v>0</v>
      </c>
      <c r="F644" s="116">
        <f t="shared" si="6"/>
        <v>7370</v>
      </c>
      <c r="G644" s="43" t="str">
        <f>_xlfn.XLOOKUP($A644,Map!$A:$A,Map!C:C)</f>
        <v>IS</v>
      </c>
      <c r="H644" s="43" t="str">
        <f>_xlfn.XLOOKUP($A644,Map!$A:$A,Map!D:D)</f>
        <v>Cost of sales</v>
      </c>
      <c r="I644" s="43" t="str">
        <f>_xlfn.XLOOKUP($A644,Map!$A:$A,Map!E:E)</f>
        <v>Overhead - Utility</v>
      </c>
      <c r="J644" s="43" t="str">
        <f>_xlfn.XLOOKUP($A644,Map!$A:$A,Map!F:F)</f>
        <v>Fuel and oil</v>
      </c>
    </row>
    <row r="645" spans="1:10" x14ac:dyDescent="0.25">
      <c r="A645">
        <v>600018</v>
      </c>
      <c r="B645" t="s">
        <v>1353</v>
      </c>
      <c r="D645" s="116">
        <v>6020</v>
      </c>
      <c r="E645" s="116">
        <v>0</v>
      </c>
      <c r="F645" s="116">
        <f t="shared" si="6"/>
        <v>6020</v>
      </c>
      <c r="G645" s="43" t="str">
        <f>_xlfn.XLOOKUP($A645,Map!$A:$A,Map!C:C)</f>
        <v>IS</v>
      </c>
      <c r="H645" s="43" t="str">
        <f>_xlfn.XLOOKUP($A645,Map!$A:$A,Map!D:D)</f>
        <v>Cost of sales</v>
      </c>
      <c r="I645" s="43" t="str">
        <f>_xlfn.XLOOKUP($A645,Map!$A:$A,Map!E:E)</f>
        <v>Overhead - Utility</v>
      </c>
      <c r="J645" s="43" t="str">
        <f>_xlfn.XLOOKUP($A645,Map!$A:$A,Map!F:F)</f>
        <v>Water expenses</v>
      </c>
    </row>
    <row r="646" spans="1:10" x14ac:dyDescent="0.25">
      <c r="A646">
        <v>600017</v>
      </c>
      <c r="B646" t="s">
        <v>1353</v>
      </c>
      <c r="D646" s="116">
        <v>52313.097000000002</v>
      </c>
      <c r="E646" s="116">
        <v>0</v>
      </c>
      <c r="F646" s="116">
        <f t="shared" si="6"/>
        <v>52313.097000000002</v>
      </c>
      <c r="G646" s="43" t="str">
        <f>_xlfn.XLOOKUP($A646,Map!$A:$A,Map!C:C)</f>
        <v>IS</v>
      </c>
      <c r="H646" s="43" t="str">
        <f>_xlfn.XLOOKUP($A646,Map!$A:$A,Map!D:D)</f>
        <v>Cost of sales</v>
      </c>
      <c r="I646" s="43" t="str">
        <f>_xlfn.XLOOKUP($A646,Map!$A:$A,Map!E:E)</f>
        <v>Overhead - Utility</v>
      </c>
      <c r="J646" s="43" t="str">
        <f>_xlfn.XLOOKUP($A646,Map!$A:$A,Map!F:F)</f>
        <v>Electricity expenses</v>
      </c>
    </row>
    <row r="647" spans="1:10" x14ac:dyDescent="0.25">
      <c r="A647">
        <v>600016</v>
      </c>
      <c r="B647" t="s">
        <v>1353</v>
      </c>
      <c r="D647" s="116">
        <v>39957.892999999996</v>
      </c>
      <c r="E647" s="116">
        <v>0</v>
      </c>
      <c r="F647" s="116">
        <f t="shared" si="6"/>
        <v>39957.892999999996</v>
      </c>
      <c r="G647" s="43" t="str">
        <f>_xlfn.XLOOKUP($A647,Map!$A:$A,Map!C:C)</f>
        <v>IS</v>
      </c>
      <c r="H647" s="43" t="str">
        <f>_xlfn.XLOOKUP($A647,Map!$A:$A,Map!D:D)</f>
        <v>Cost of sales</v>
      </c>
      <c r="I647" s="43" t="str">
        <f>_xlfn.XLOOKUP($A647,Map!$A:$A,Map!E:E)</f>
        <v>Overhead - Consumables &amp; SP</v>
      </c>
      <c r="J647" s="43" t="str">
        <f>_xlfn.XLOOKUP($A647,Map!$A:$A,Map!F:F)</f>
        <v>Tools</v>
      </c>
    </row>
    <row r="648" spans="1:10" x14ac:dyDescent="0.25">
      <c r="A648">
        <v>600015</v>
      </c>
      <c r="B648" t="s">
        <v>1353</v>
      </c>
      <c r="D648" s="116">
        <v>4030</v>
      </c>
      <c r="E648" s="116">
        <v>0</v>
      </c>
      <c r="F648" s="116">
        <f t="shared" si="6"/>
        <v>4030</v>
      </c>
      <c r="G648" s="43" t="str">
        <f>_xlfn.XLOOKUP($A648,Map!$A:$A,Map!C:C)</f>
        <v>IS</v>
      </c>
      <c r="H648" s="43" t="str">
        <f>_xlfn.XLOOKUP($A648,Map!$A:$A,Map!D:D)</f>
        <v>Cost of sales</v>
      </c>
      <c r="I648" s="43" t="str">
        <f>_xlfn.XLOOKUP($A648,Map!$A:$A,Map!E:E)</f>
        <v>Overhead - Consumables &amp; SP</v>
      </c>
      <c r="J648" s="43" t="str">
        <f>_xlfn.XLOOKUP($A648,Map!$A:$A,Map!F:F)</f>
        <v>Consumables</v>
      </c>
    </row>
    <row r="649" spans="1:10" x14ac:dyDescent="0.25">
      <c r="A649">
        <v>600014</v>
      </c>
      <c r="B649" t="s">
        <v>1353</v>
      </c>
      <c r="D649" s="116">
        <v>44885.999000000003</v>
      </c>
      <c r="E649" s="116">
        <v>0</v>
      </c>
      <c r="F649" s="116">
        <f t="shared" si="6"/>
        <v>44885.999000000003</v>
      </c>
      <c r="G649" s="43" t="str">
        <f>_xlfn.XLOOKUP($A649,Map!$A:$A,Map!C:C)</f>
        <v>IS</v>
      </c>
      <c r="H649" s="43" t="str">
        <f>_xlfn.XLOOKUP($A649,Map!$A:$A,Map!D:D)</f>
        <v>Cost of sales</v>
      </c>
      <c r="I649" s="43" t="str">
        <f>_xlfn.XLOOKUP($A649,Map!$A:$A,Map!E:E)</f>
        <v>Overhead - Consumables &amp; SP</v>
      </c>
      <c r="J649" s="43" t="str">
        <f>_xlfn.XLOOKUP($A649,Map!$A:$A,Map!F:F)</f>
        <v>Consumables</v>
      </c>
    </row>
    <row r="650" spans="1:10" x14ac:dyDescent="0.25">
      <c r="A650">
        <v>600012</v>
      </c>
      <c r="B650" t="s">
        <v>1353</v>
      </c>
      <c r="D650" s="116">
        <v>625</v>
      </c>
      <c r="E650" s="116">
        <v>0</v>
      </c>
      <c r="F650" s="116">
        <f t="shared" si="6"/>
        <v>625</v>
      </c>
      <c r="G650" s="43" t="str">
        <f>_xlfn.XLOOKUP($A650,Map!$A:$A,Map!C:C)</f>
        <v>IS</v>
      </c>
      <c r="H650" s="43" t="str">
        <f>_xlfn.XLOOKUP($A650,Map!$A:$A,Map!D:D)</f>
        <v>Cost of sales</v>
      </c>
      <c r="I650" s="43" t="str">
        <f>_xlfn.XLOOKUP($A650,Map!$A:$A,Map!E:E)</f>
        <v>Overhead - Labor Cost</v>
      </c>
      <c r="J650" s="43" t="str">
        <f>_xlfn.XLOOKUP($A650,Map!$A:$A,Map!F:F)</f>
        <v xml:space="preserve">Education &amp; Furniture Allowances </v>
      </c>
    </row>
    <row r="651" spans="1:10" x14ac:dyDescent="0.25">
      <c r="A651">
        <v>600011</v>
      </c>
      <c r="B651" t="s">
        <v>1353</v>
      </c>
      <c r="D651" s="116">
        <v>3042</v>
      </c>
      <c r="E651" s="116">
        <v>0</v>
      </c>
      <c r="F651" s="116">
        <f t="shared" si="6"/>
        <v>3042</v>
      </c>
      <c r="G651" s="43" t="str">
        <f>_xlfn.XLOOKUP($A651,Map!$A:$A,Map!C:C)</f>
        <v>IS</v>
      </c>
      <c r="H651" s="43" t="str">
        <f>_xlfn.XLOOKUP($A651,Map!$A:$A,Map!D:D)</f>
        <v>Cost of sales</v>
      </c>
      <c r="I651" s="43" t="str">
        <f>_xlfn.XLOOKUP($A651,Map!$A:$A,Map!E:E)</f>
        <v>Overhead - Labor Cost</v>
      </c>
      <c r="J651" s="43" t="str">
        <f>_xlfn.XLOOKUP($A651,Map!$A:$A,Map!F:F)</f>
        <v>Air tickets</v>
      </c>
    </row>
    <row r="652" spans="1:10" x14ac:dyDescent="0.25">
      <c r="A652">
        <v>600009</v>
      </c>
      <c r="B652" t="s">
        <v>1353</v>
      </c>
      <c r="D652" s="116">
        <v>34400</v>
      </c>
      <c r="E652" s="116">
        <v>0</v>
      </c>
      <c r="F652" s="116">
        <f t="shared" si="6"/>
        <v>34400</v>
      </c>
      <c r="G652" s="43" t="str">
        <f>_xlfn.XLOOKUP($A652,Map!$A:$A,Map!C:C)</f>
        <v>IS</v>
      </c>
      <c r="H652" s="43" t="str">
        <f>_xlfn.XLOOKUP($A652,Map!$A:$A,Map!D:D)</f>
        <v>Cost of sales</v>
      </c>
      <c r="I652" s="43" t="str">
        <f>_xlfn.XLOOKUP($A652,Map!$A:$A,Map!E:E)</f>
        <v>Overhead - Labor Cost</v>
      </c>
      <c r="J652" s="43" t="str">
        <f>_xlfn.XLOOKUP($A652,Map!$A:$A,Map!F:F)</f>
        <v>Vacation pay</v>
      </c>
    </row>
    <row r="653" spans="1:10" x14ac:dyDescent="0.25">
      <c r="A653">
        <v>600008</v>
      </c>
      <c r="B653" t="s">
        <v>1353</v>
      </c>
      <c r="D653" s="116">
        <v>21867</v>
      </c>
      <c r="E653" s="116">
        <v>0</v>
      </c>
      <c r="F653" s="116">
        <f t="shared" ref="F653:F716" si="7">D653-E653</f>
        <v>21867</v>
      </c>
      <c r="G653" s="43" t="str">
        <f>_xlfn.XLOOKUP($A653,Map!$A:$A,Map!C:C)</f>
        <v>IS</v>
      </c>
      <c r="H653" s="43" t="str">
        <f>_xlfn.XLOOKUP($A653,Map!$A:$A,Map!D:D)</f>
        <v>Cost of sales</v>
      </c>
      <c r="I653" s="43" t="str">
        <f>_xlfn.XLOOKUP($A653,Map!$A:$A,Map!E:E)</f>
        <v>Overhead - Labor Cost</v>
      </c>
      <c r="J653" s="43" t="str">
        <f>_xlfn.XLOOKUP($A653,Map!$A:$A,Map!F:F)</f>
        <v>Air tickets</v>
      </c>
    </row>
    <row r="654" spans="1:10" x14ac:dyDescent="0.25">
      <c r="A654">
        <v>600007</v>
      </c>
      <c r="B654" t="s">
        <v>1353</v>
      </c>
      <c r="D654" s="116">
        <v>1190</v>
      </c>
      <c r="E654" s="116">
        <v>0</v>
      </c>
      <c r="F654" s="116">
        <f t="shared" si="7"/>
        <v>1190</v>
      </c>
      <c r="G654" s="43" t="str">
        <f>_xlfn.XLOOKUP($A654,Map!$A:$A,Map!C:C)</f>
        <v>IS</v>
      </c>
      <c r="H654" s="43" t="str">
        <f>_xlfn.XLOOKUP($A654,Map!$A:$A,Map!D:D)</f>
        <v>Cost of sales</v>
      </c>
      <c r="I654" s="43" t="str">
        <f>_xlfn.XLOOKUP($A654,Map!$A:$A,Map!E:E)</f>
        <v>Overhead - Labor Cost</v>
      </c>
      <c r="J654" s="43" t="str">
        <f>_xlfn.XLOOKUP($A654,Map!$A:$A,Map!F:F)</f>
        <v>Transportation allowance</v>
      </c>
    </row>
    <row r="655" spans="1:10" x14ac:dyDescent="0.25">
      <c r="A655">
        <v>600006</v>
      </c>
      <c r="B655" t="s">
        <v>1353</v>
      </c>
      <c r="D655" s="116">
        <v>41077.68</v>
      </c>
      <c r="E655" s="116">
        <v>0</v>
      </c>
      <c r="F655" s="116">
        <f t="shared" si="7"/>
        <v>41077.68</v>
      </c>
      <c r="G655" s="43" t="str">
        <f>_xlfn.XLOOKUP($A655,Map!$A:$A,Map!C:C)</f>
        <v>IS</v>
      </c>
      <c r="H655" s="43" t="str">
        <f>_xlfn.XLOOKUP($A655,Map!$A:$A,Map!D:D)</f>
        <v>Cost of sales</v>
      </c>
      <c r="I655" s="43" t="str">
        <f>_xlfn.XLOOKUP($A655,Map!$A:$A,Map!E:E)</f>
        <v>Overhead - Labor Cost</v>
      </c>
      <c r="J655" s="43" t="str">
        <f>_xlfn.XLOOKUP($A655,Map!$A:$A,Map!F:F)</f>
        <v xml:space="preserve">Food &amp; Housing </v>
      </c>
    </row>
    <row r="656" spans="1:10" x14ac:dyDescent="0.25">
      <c r="A656">
        <v>600005</v>
      </c>
      <c r="B656" t="s">
        <v>1353</v>
      </c>
      <c r="D656" s="116">
        <v>80150</v>
      </c>
      <c r="E656" s="116">
        <v>0</v>
      </c>
      <c r="F656" s="116">
        <f t="shared" si="7"/>
        <v>80150</v>
      </c>
      <c r="G656" s="43" t="str">
        <f>_xlfn.XLOOKUP($A656,Map!$A:$A,Map!C:C)</f>
        <v>IS</v>
      </c>
      <c r="H656" s="43" t="str">
        <f>_xlfn.XLOOKUP($A656,Map!$A:$A,Map!D:D)</f>
        <v>General and Admin</v>
      </c>
      <c r="I656" s="43" t="str">
        <f>_xlfn.XLOOKUP($A656,Map!$A:$A,Map!E:E)</f>
        <v>Govt license and fees (including modon)</v>
      </c>
      <c r="J656" s="43" t="str">
        <f>_xlfn.XLOOKUP($A656,Map!$A:$A,Map!F:F)</f>
        <v>Government fees</v>
      </c>
    </row>
    <row r="657" spans="1:10" x14ac:dyDescent="0.25">
      <c r="A657">
        <v>600004</v>
      </c>
      <c r="B657" t="s">
        <v>1353</v>
      </c>
      <c r="D657" s="116">
        <v>12295.12</v>
      </c>
      <c r="E657" s="116">
        <v>0</v>
      </c>
      <c r="F657" s="116">
        <f t="shared" si="7"/>
        <v>12295.12</v>
      </c>
      <c r="G657" s="43" t="str">
        <f>_xlfn.XLOOKUP($A657,Map!$A:$A,Map!C:C)</f>
        <v>IS</v>
      </c>
      <c r="H657" s="43" t="str">
        <f>_xlfn.XLOOKUP($A657,Map!$A:$A,Map!D:D)</f>
        <v>Cost of sales</v>
      </c>
      <c r="I657" s="43" t="str">
        <f>_xlfn.XLOOKUP($A657,Map!$A:$A,Map!E:E)</f>
        <v>Overhead - Labor Cost</v>
      </c>
      <c r="J657" s="43" t="str">
        <f>_xlfn.XLOOKUP($A657,Map!$A:$A,Map!F:F)</f>
        <v>Medical insurance</v>
      </c>
    </row>
    <row r="658" spans="1:10" x14ac:dyDescent="0.25">
      <c r="A658">
        <v>600003</v>
      </c>
      <c r="B658" t="s">
        <v>1353</v>
      </c>
      <c r="D658" s="116">
        <v>4574</v>
      </c>
      <c r="E658" s="116">
        <v>0</v>
      </c>
      <c r="F658" s="116">
        <f t="shared" si="7"/>
        <v>4574</v>
      </c>
      <c r="G658" s="43" t="str">
        <f>_xlfn.XLOOKUP($A658,Map!$A:$A,Map!C:C)</f>
        <v>IS</v>
      </c>
      <c r="H658" s="43" t="str">
        <f>_xlfn.XLOOKUP($A658,Map!$A:$A,Map!D:D)</f>
        <v>Cost of sales</v>
      </c>
      <c r="I658" s="43" t="str">
        <f>_xlfn.XLOOKUP($A658,Map!$A:$A,Map!E:E)</f>
        <v>Overhead - Labor Cost</v>
      </c>
      <c r="J658" s="43" t="str">
        <f>_xlfn.XLOOKUP($A658,Map!$A:$A,Map!F:F)</f>
        <v xml:space="preserve">Food &amp; Housing </v>
      </c>
    </row>
    <row r="659" spans="1:10" x14ac:dyDescent="0.25">
      <c r="A659">
        <v>600002</v>
      </c>
      <c r="B659" t="s">
        <v>1353</v>
      </c>
      <c r="D659" s="116">
        <v>11310</v>
      </c>
      <c r="E659" s="116">
        <v>0</v>
      </c>
      <c r="F659" s="116">
        <f t="shared" si="7"/>
        <v>11310</v>
      </c>
      <c r="G659" s="43" t="str">
        <f>_xlfn.XLOOKUP($A659,Map!$A:$A,Map!C:C)</f>
        <v>IS</v>
      </c>
      <c r="H659" s="43" t="str">
        <f>_xlfn.XLOOKUP($A659,Map!$A:$A,Map!D:D)</f>
        <v>Cost of sales</v>
      </c>
      <c r="I659" s="43" t="str">
        <f>_xlfn.XLOOKUP($A659,Map!$A:$A,Map!E:E)</f>
        <v>Overhead - Labor Cost</v>
      </c>
      <c r="J659" s="43" t="str">
        <f>_xlfn.XLOOKUP($A659,Map!$A:$A,Map!F:F)</f>
        <v>Overtime pay</v>
      </c>
    </row>
    <row r="660" spans="1:10" x14ac:dyDescent="0.25">
      <c r="A660">
        <v>600001</v>
      </c>
      <c r="B660" t="s">
        <v>1353</v>
      </c>
      <c r="D660" s="116">
        <v>142976</v>
      </c>
      <c r="E660" s="116">
        <v>0</v>
      </c>
      <c r="F660" s="116">
        <f t="shared" si="7"/>
        <v>142976</v>
      </c>
      <c r="G660" s="43" t="str">
        <f>_xlfn.XLOOKUP($A660,Map!$A:$A,Map!C:C)</f>
        <v>IS</v>
      </c>
      <c r="H660" s="43" t="str">
        <f>_xlfn.XLOOKUP($A660,Map!$A:$A,Map!D:D)</f>
        <v>Cost of sales</v>
      </c>
      <c r="I660" s="43" t="str">
        <f>_xlfn.XLOOKUP($A660,Map!$A:$A,Map!E:E)</f>
        <v>Overhead - Labor Cost</v>
      </c>
      <c r="J660" s="43" t="str">
        <f>_xlfn.XLOOKUP($A660,Map!$A:$A,Map!F:F)</f>
        <v>Indirect Salaries — factory supervisory / indirect floor labour (COGS)</v>
      </c>
    </row>
    <row r="661" spans="1:10" x14ac:dyDescent="0.25">
      <c r="A661">
        <v>520042</v>
      </c>
      <c r="B661" t="s">
        <v>1353</v>
      </c>
      <c r="D661" s="116">
        <v>0</v>
      </c>
      <c r="E661" s="116">
        <v>33423.792000000001</v>
      </c>
      <c r="F661" s="116">
        <f t="shared" si="7"/>
        <v>-33423.792000000001</v>
      </c>
      <c r="G661" s="43" t="str">
        <f>_xlfn.XLOOKUP($A661,Map!$A:$A,Map!C:C)</f>
        <v>IS</v>
      </c>
      <c r="H661" s="43" t="str">
        <f>_xlfn.XLOOKUP($A661,Map!$A:$A,Map!D:D)</f>
        <v>Cost of sales</v>
      </c>
      <c r="I661" s="43" t="str">
        <f>_xlfn.XLOOKUP($A661,Map!$A:$A,Map!E:E)</f>
        <v>Raw materials</v>
      </c>
      <c r="J661" s="43" t="str">
        <f>_xlfn.XLOOKUP($A661,Map!$A:$A,Map!F:F)</f>
        <v>Inventory Adjustment</v>
      </c>
    </row>
    <row r="662" spans="1:10" x14ac:dyDescent="0.25">
      <c r="A662">
        <v>520041</v>
      </c>
      <c r="B662" t="s">
        <v>1353</v>
      </c>
      <c r="D662" s="116">
        <v>0</v>
      </c>
      <c r="E662" s="116">
        <v>720059.32400000002</v>
      </c>
      <c r="F662" s="116">
        <f t="shared" si="7"/>
        <v>-720059.32400000002</v>
      </c>
      <c r="G662" s="43" t="str">
        <f>_xlfn.XLOOKUP($A662,Map!$A:$A,Map!C:C)</f>
        <v>IS</v>
      </c>
      <c r="H662" s="43" t="str">
        <f>_xlfn.XLOOKUP($A662,Map!$A:$A,Map!D:D)</f>
        <v>Cost of sales</v>
      </c>
      <c r="I662" s="43" t="str">
        <f>_xlfn.XLOOKUP($A662,Map!$A:$A,Map!E:E)</f>
        <v>Raw materials</v>
      </c>
      <c r="J662" s="43" t="str">
        <f>_xlfn.XLOOKUP($A662,Map!$A:$A,Map!F:F)</f>
        <v>Other expenses</v>
      </c>
    </row>
    <row r="663" spans="1:10" x14ac:dyDescent="0.25">
      <c r="A663">
        <v>520036</v>
      </c>
      <c r="B663" t="s">
        <v>1353</v>
      </c>
      <c r="D663" s="116">
        <v>3.0000000000000001E-3</v>
      </c>
      <c r="E663" s="116">
        <v>0</v>
      </c>
      <c r="F663" s="116">
        <f t="shared" si="7"/>
        <v>3.0000000000000001E-3</v>
      </c>
      <c r="G663" s="43" t="str">
        <f>_xlfn.XLOOKUP($A663,Map!$A:$A,Map!C:C)</f>
        <v>IS</v>
      </c>
      <c r="H663" s="43" t="str">
        <f>_xlfn.XLOOKUP($A663,Map!$A:$A,Map!D:D)</f>
        <v>Cost of sales</v>
      </c>
      <c r="I663" s="43" t="str">
        <f>_xlfn.XLOOKUP($A663,Map!$A:$A,Map!E:E)</f>
        <v>Raw materials</v>
      </c>
      <c r="J663" s="43" t="str">
        <f>_xlfn.XLOOKUP($A663,Map!$A:$A,Map!F:F)</f>
        <v>Raw materials</v>
      </c>
    </row>
    <row r="664" spans="1:10" x14ac:dyDescent="0.25">
      <c r="A664">
        <v>520011</v>
      </c>
      <c r="B664" t="s">
        <v>1353</v>
      </c>
      <c r="D664" s="116">
        <v>11583</v>
      </c>
      <c r="E664" s="116">
        <v>0</v>
      </c>
      <c r="F664" s="116">
        <f t="shared" si="7"/>
        <v>11583</v>
      </c>
      <c r="G664" s="43" t="str">
        <f>_xlfn.XLOOKUP($A664,Map!$A:$A,Map!C:C)</f>
        <v>IS</v>
      </c>
      <c r="H664" s="43" t="str">
        <f>_xlfn.XLOOKUP($A664,Map!$A:$A,Map!D:D)</f>
        <v>Cost of sales</v>
      </c>
      <c r="I664" s="43" t="str">
        <f>_xlfn.XLOOKUP($A664,Map!$A:$A,Map!E:E)</f>
        <v>Direct Labor</v>
      </c>
      <c r="J664" s="43" t="str">
        <f>_xlfn.XLOOKUP($A664,Map!$A:$A,Map!F:F)</f>
        <v>Overtime pay</v>
      </c>
    </row>
    <row r="665" spans="1:10" x14ac:dyDescent="0.25">
      <c r="A665">
        <v>520011</v>
      </c>
      <c r="B665" t="s">
        <v>1353</v>
      </c>
      <c r="D665" s="116">
        <v>11780</v>
      </c>
      <c r="E665" s="116">
        <v>0</v>
      </c>
      <c r="F665" s="116">
        <f t="shared" si="7"/>
        <v>11780</v>
      </c>
      <c r="G665" s="43" t="str">
        <f>_xlfn.XLOOKUP($A665,Map!$A:$A,Map!C:C)</f>
        <v>IS</v>
      </c>
      <c r="H665" s="43" t="str">
        <f>_xlfn.XLOOKUP($A665,Map!$A:$A,Map!D:D)</f>
        <v>Cost of sales</v>
      </c>
      <c r="I665" s="43" t="str">
        <f>_xlfn.XLOOKUP($A665,Map!$A:$A,Map!E:E)</f>
        <v>Direct Labor</v>
      </c>
      <c r="J665" s="43" t="str">
        <f>_xlfn.XLOOKUP($A665,Map!$A:$A,Map!F:F)</f>
        <v>Overtime pay</v>
      </c>
    </row>
    <row r="666" spans="1:10" x14ac:dyDescent="0.25">
      <c r="A666">
        <v>520006</v>
      </c>
      <c r="B666" t="s">
        <v>1353</v>
      </c>
      <c r="D666" s="116">
        <v>6405</v>
      </c>
      <c r="E666" s="116">
        <v>0</v>
      </c>
      <c r="F666" s="116">
        <f t="shared" si="7"/>
        <v>6405</v>
      </c>
      <c r="G666" s="43" t="str">
        <f>_xlfn.XLOOKUP($A666,Map!$A:$A,Map!C:C)</f>
        <v>IS</v>
      </c>
      <c r="H666" s="43" t="str">
        <f>_xlfn.XLOOKUP($A666,Map!$A:$A,Map!D:D)</f>
        <v>Cost of sales</v>
      </c>
      <c r="I666" s="43" t="str">
        <f>_xlfn.XLOOKUP($A666,Map!$A:$A,Map!E:E)</f>
        <v>Direct Labor</v>
      </c>
      <c r="J666" s="43" t="str">
        <f>_xlfn.XLOOKUP($A666,Map!$A:$A,Map!F:F)</f>
        <v>Medical insurance</v>
      </c>
    </row>
    <row r="667" spans="1:10" x14ac:dyDescent="0.25">
      <c r="A667">
        <v>520006</v>
      </c>
      <c r="B667" t="s">
        <v>1353</v>
      </c>
      <c r="D667" s="116">
        <v>3208</v>
      </c>
      <c r="E667" s="116">
        <v>0</v>
      </c>
      <c r="F667" s="116">
        <f t="shared" si="7"/>
        <v>3208</v>
      </c>
      <c r="G667" s="43" t="str">
        <f>_xlfn.XLOOKUP($A667,Map!$A:$A,Map!C:C)</f>
        <v>IS</v>
      </c>
      <c r="H667" s="43" t="str">
        <f>_xlfn.XLOOKUP($A667,Map!$A:$A,Map!D:D)</f>
        <v>Cost of sales</v>
      </c>
      <c r="I667" s="43" t="str">
        <f>_xlfn.XLOOKUP($A667,Map!$A:$A,Map!E:E)</f>
        <v>Direct Labor</v>
      </c>
      <c r="J667" s="43" t="str">
        <f>_xlfn.XLOOKUP($A667,Map!$A:$A,Map!F:F)</f>
        <v>Medical insurance</v>
      </c>
    </row>
    <row r="668" spans="1:10" x14ac:dyDescent="0.25">
      <c r="A668">
        <v>520006</v>
      </c>
      <c r="B668" t="s">
        <v>1353</v>
      </c>
      <c r="D668" s="116">
        <v>2057</v>
      </c>
      <c r="E668" s="116">
        <v>0</v>
      </c>
      <c r="F668" s="116">
        <f t="shared" si="7"/>
        <v>2057</v>
      </c>
      <c r="G668" s="43" t="str">
        <f>_xlfn.XLOOKUP($A668,Map!$A:$A,Map!C:C)</f>
        <v>IS</v>
      </c>
      <c r="H668" s="43" t="str">
        <f>_xlfn.XLOOKUP($A668,Map!$A:$A,Map!D:D)</f>
        <v>Cost of sales</v>
      </c>
      <c r="I668" s="43" t="str">
        <f>_xlfn.XLOOKUP($A668,Map!$A:$A,Map!E:E)</f>
        <v>Direct Labor</v>
      </c>
      <c r="J668" s="43" t="str">
        <f>_xlfn.XLOOKUP($A668,Map!$A:$A,Map!F:F)</f>
        <v>Medical insurance</v>
      </c>
    </row>
    <row r="669" spans="1:10" x14ac:dyDescent="0.25">
      <c r="A669">
        <v>520006</v>
      </c>
      <c r="B669" t="s">
        <v>1353</v>
      </c>
      <c r="D669" s="116">
        <v>1724</v>
      </c>
      <c r="E669" s="116">
        <v>0</v>
      </c>
      <c r="F669" s="116">
        <f t="shared" si="7"/>
        <v>1724</v>
      </c>
      <c r="G669" s="43" t="str">
        <f>_xlfn.XLOOKUP($A669,Map!$A:$A,Map!C:C)</f>
        <v>IS</v>
      </c>
      <c r="H669" s="43" t="str">
        <f>_xlfn.XLOOKUP($A669,Map!$A:$A,Map!D:D)</f>
        <v>Cost of sales</v>
      </c>
      <c r="I669" s="43" t="str">
        <f>_xlfn.XLOOKUP($A669,Map!$A:$A,Map!E:E)</f>
        <v>Direct Labor</v>
      </c>
      <c r="J669" s="43" t="str">
        <f>_xlfn.XLOOKUP($A669,Map!$A:$A,Map!F:F)</f>
        <v>Medical insurance</v>
      </c>
    </row>
    <row r="670" spans="1:10" x14ac:dyDescent="0.25">
      <c r="A670">
        <v>520006</v>
      </c>
      <c r="B670" t="s">
        <v>1353</v>
      </c>
      <c r="D670" s="116">
        <v>2238</v>
      </c>
      <c r="E670" s="116">
        <v>0</v>
      </c>
      <c r="F670" s="116">
        <f t="shared" si="7"/>
        <v>2238</v>
      </c>
      <c r="G670" s="43" t="str">
        <f>_xlfn.XLOOKUP($A670,Map!$A:$A,Map!C:C)</f>
        <v>IS</v>
      </c>
      <c r="H670" s="43" t="str">
        <f>_xlfn.XLOOKUP($A670,Map!$A:$A,Map!D:D)</f>
        <v>Cost of sales</v>
      </c>
      <c r="I670" s="43" t="str">
        <f>_xlfn.XLOOKUP($A670,Map!$A:$A,Map!E:E)</f>
        <v>Direct Labor</v>
      </c>
      <c r="J670" s="43" t="str">
        <f>_xlfn.XLOOKUP($A670,Map!$A:$A,Map!F:F)</f>
        <v>Medical insurance</v>
      </c>
    </row>
    <row r="671" spans="1:10" x14ac:dyDescent="0.25">
      <c r="A671">
        <v>520006</v>
      </c>
      <c r="B671" t="s">
        <v>1353</v>
      </c>
      <c r="D671" s="116">
        <v>1460</v>
      </c>
      <c r="E671" s="116">
        <v>0</v>
      </c>
      <c r="F671" s="116">
        <f t="shared" si="7"/>
        <v>1460</v>
      </c>
      <c r="G671" s="43" t="str">
        <f>_xlfn.XLOOKUP($A671,Map!$A:$A,Map!C:C)</f>
        <v>IS</v>
      </c>
      <c r="H671" s="43" t="str">
        <f>_xlfn.XLOOKUP($A671,Map!$A:$A,Map!D:D)</f>
        <v>Cost of sales</v>
      </c>
      <c r="I671" s="43" t="str">
        <f>_xlfn.XLOOKUP($A671,Map!$A:$A,Map!E:E)</f>
        <v>Direct Labor</v>
      </c>
      <c r="J671" s="43" t="str">
        <f>_xlfn.XLOOKUP($A671,Map!$A:$A,Map!F:F)</f>
        <v>Medical insurance</v>
      </c>
    </row>
    <row r="672" spans="1:10" x14ac:dyDescent="0.25">
      <c r="A672">
        <v>520004</v>
      </c>
      <c r="B672" t="s">
        <v>1353</v>
      </c>
      <c r="D672" s="116">
        <v>4610</v>
      </c>
      <c r="E672" s="116">
        <v>0</v>
      </c>
      <c r="F672" s="116">
        <f t="shared" si="7"/>
        <v>4610</v>
      </c>
      <c r="G672" s="43" t="str">
        <f>_xlfn.XLOOKUP($A672,Map!$A:$A,Map!C:C)</f>
        <v>IS</v>
      </c>
      <c r="H672" s="43" t="str">
        <f>_xlfn.XLOOKUP($A672,Map!$A:$A,Map!D:D)</f>
        <v>Cost of sales</v>
      </c>
      <c r="I672" s="43" t="str">
        <f>_xlfn.XLOOKUP($A672,Map!$A:$A,Map!E:E)</f>
        <v>Direct Labor</v>
      </c>
      <c r="J672" s="43" t="str">
        <f>_xlfn.XLOOKUP($A672,Map!$A:$A,Map!F:F)</f>
        <v>Food and housing</v>
      </c>
    </row>
    <row r="673" spans="1:10" x14ac:dyDescent="0.25">
      <c r="A673">
        <v>520004</v>
      </c>
      <c r="B673" t="s">
        <v>1353</v>
      </c>
      <c r="D673" s="116">
        <v>2700</v>
      </c>
      <c r="E673" s="116">
        <v>0</v>
      </c>
      <c r="F673" s="116">
        <f t="shared" si="7"/>
        <v>2700</v>
      </c>
      <c r="G673" s="43" t="str">
        <f>_xlfn.XLOOKUP($A673,Map!$A:$A,Map!C:C)</f>
        <v>IS</v>
      </c>
      <c r="H673" s="43" t="str">
        <f>_xlfn.XLOOKUP($A673,Map!$A:$A,Map!D:D)</f>
        <v>Cost of sales</v>
      </c>
      <c r="I673" s="43" t="str">
        <f>_xlfn.XLOOKUP($A673,Map!$A:$A,Map!E:E)</f>
        <v>Direct Labor</v>
      </c>
      <c r="J673" s="43" t="str">
        <f>_xlfn.XLOOKUP($A673,Map!$A:$A,Map!F:F)</f>
        <v>Food and housing</v>
      </c>
    </row>
    <row r="674" spans="1:10" x14ac:dyDescent="0.25">
      <c r="A674">
        <v>520003</v>
      </c>
      <c r="B674" t="s">
        <v>1353</v>
      </c>
      <c r="D674" s="116">
        <v>2550</v>
      </c>
      <c r="E674" s="116">
        <v>0</v>
      </c>
      <c r="F674" s="116">
        <f t="shared" si="7"/>
        <v>2550</v>
      </c>
      <c r="G674" s="43" t="str">
        <f>_xlfn.XLOOKUP($A674,Map!$A:$A,Map!C:C)</f>
        <v>IS</v>
      </c>
      <c r="H674" s="43" t="str">
        <f>_xlfn.XLOOKUP($A674,Map!$A:$A,Map!D:D)</f>
        <v>Cost of sales</v>
      </c>
      <c r="I674" s="43" t="str">
        <f>_xlfn.XLOOKUP($A674,Map!$A:$A,Map!E:E)</f>
        <v>Direct Labor</v>
      </c>
      <c r="J674" s="43" t="str">
        <f>_xlfn.XLOOKUP($A674,Map!$A:$A,Map!F:F)</f>
        <v>Transportation allowance</v>
      </c>
    </row>
    <row r="675" spans="1:10" x14ac:dyDescent="0.25">
      <c r="A675">
        <v>520001</v>
      </c>
      <c r="B675" t="s">
        <v>1353</v>
      </c>
      <c r="D675" s="116">
        <v>120026.5</v>
      </c>
      <c r="E675" s="116">
        <v>0</v>
      </c>
      <c r="F675" s="116">
        <f t="shared" si="7"/>
        <v>120026.5</v>
      </c>
      <c r="G675" s="43" t="str">
        <f>_xlfn.XLOOKUP($A675,Map!$A:$A,Map!C:C)</f>
        <v>IS</v>
      </c>
      <c r="H675" s="43" t="str">
        <f>_xlfn.XLOOKUP($A675,Map!$A:$A,Map!D:D)</f>
        <v>Cost of sales</v>
      </c>
      <c r="I675" s="43" t="str">
        <f>_xlfn.XLOOKUP($A675,Map!$A:$A,Map!E:E)</f>
        <v>Direct Labor</v>
      </c>
      <c r="J675" s="43" t="str">
        <f>_xlfn.XLOOKUP($A675,Map!$A:$A,Map!F:F)</f>
        <v>Salaries and wages</v>
      </c>
    </row>
    <row r="676" spans="1:10" x14ac:dyDescent="0.25">
      <c r="A676">
        <v>520001</v>
      </c>
      <c r="B676" t="s">
        <v>1353</v>
      </c>
      <c r="D676" s="116">
        <v>19460</v>
      </c>
      <c r="E676" s="116">
        <v>0</v>
      </c>
      <c r="F676" s="116">
        <f t="shared" si="7"/>
        <v>19460</v>
      </c>
      <c r="G676" s="43" t="str">
        <f>_xlfn.XLOOKUP($A676,Map!$A:$A,Map!C:C)</f>
        <v>IS</v>
      </c>
      <c r="H676" s="43" t="str">
        <f>_xlfn.XLOOKUP($A676,Map!$A:$A,Map!D:D)</f>
        <v>Cost of sales</v>
      </c>
      <c r="I676" s="43" t="str">
        <f>_xlfn.XLOOKUP($A676,Map!$A:$A,Map!E:E)</f>
        <v>Direct Labor</v>
      </c>
      <c r="J676" s="43" t="str">
        <f>_xlfn.XLOOKUP($A676,Map!$A:$A,Map!F:F)</f>
        <v>Salaries and wages</v>
      </c>
    </row>
    <row r="677" spans="1:10" x14ac:dyDescent="0.25">
      <c r="A677">
        <v>520001</v>
      </c>
      <c r="B677" t="s">
        <v>1353</v>
      </c>
      <c r="D677" s="116">
        <v>33882.5</v>
      </c>
      <c r="E677" s="116">
        <v>0</v>
      </c>
      <c r="F677" s="116">
        <f t="shared" si="7"/>
        <v>33882.5</v>
      </c>
      <c r="G677" s="43" t="str">
        <f>_xlfn.XLOOKUP($A677,Map!$A:$A,Map!C:C)</f>
        <v>IS</v>
      </c>
      <c r="H677" s="43" t="str">
        <f>_xlfn.XLOOKUP($A677,Map!$A:$A,Map!D:D)</f>
        <v>Cost of sales</v>
      </c>
      <c r="I677" s="43" t="str">
        <f>_xlfn.XLOOKUP($A677,Map!$A:$A,Map!E:E)</f>
        <v>Direct Labor</v>
      </c>
      <c r="J677" s="43" t="str">
        <f>_xlfn.XLOOKUP($A677,Map!$A:$A,Map!F:F)</f>
        <v>Salaries and wages</v>
      </c>
    </row>
    <row r="678" spans="1:10" x14ac:dyDescent="0.25">
      <c r="A678">
        <v>520001</v>
      </c>
      <c r="B678" t="s">
        <v>1353</v>
      </c>
      <c r="D678" s="116">
        <v>11879</v>
      </c>
      <c r="E678" s="116">
        <v>0</v>
      </c>
      <c r="F678" s="116">
        <f t="shared" si="7"/>
        <v>11879</v>
      </c>
      <c r="G678" s="43" t="str">
        <f>_xlfn.XLOOKUP($A678,Map!$A:$A,Map!C:C)</f>
        <v>IS</v>
      </c>
      <c r="H678" s="43" t="str">
        <f>_xlfn.XLOOKUP($A678,Map!$A:$A,Map!D:D)</f>
        <v>Cost of sales</v>
      </c>
      <c r="I678" s="43" t="str">
        <f>_xlfn.XLOOKUP($A678,Map!$A:$A,Map!E:E)</f>
        <v>Direct Labor</v>
      </c>
      <c r="J678" s="43" t="str">
        <f>_xlfn.XLOOKUP($A678,Map!$A:$A,Map!F:F)</f>
        <v>Salaries and wages</v>
      </c>
    </row>
    <row r="679" spans="1:10" x14ac:dyDescent="0.25">
      <c r="A679">
        <v>520001</v>
      </c>
      <c r="B679" t="s">
        <v>1353</v>
      </c>
      <c r="D679" s="116">
        <v>17808</v>
      </c>
      <c r="E679" s="116">
        <v>0</v>
      </c>
      <c r="F679" s="116">
        <f t="shared" si="7"/>
        <v>17808</v>
      </c>
      <c r="G679" s="43" t="str">
        <f>_xlfn.XLOOKUP($A679,Map!$A:$A,Map!C:C)</f>
        <v>IS</v>
      </c>
      <c r="H679" s="43" t="str">
        <f>_xlfn.XLOOKUP($A679,Map!$A:$A,Map!D:D)</f>
        <v>Cost of sales</v>
      </c>
      <c r="I679" s="43" t="str">
        <f>_xlfn.XLOOKUP($A679,Map!$A:$A,Map!E:E)</f>
        <v>Direct Labor</v>
      </c>
      <c r="J679" s="43" t="str">
        <f>_xlfn.XLOOKUP($A679,Map!$A:$A,Map!F:F)</f>
        <v>Salaries and wages</v>
      </c>
    </row>
    <row r="680" spans="1:10" x14ac:dyDescent="0.25">
      <c r="A680">
        <v>510004</v>
      </c>
      <c r="B680" t="s">
        <v>1353</v>
      </c>
      <c r="D680" s="116">
        <v>0</v>
      </c>
      <c r="E680" s="116">
        <v>26989.3</v>
      </c>
      <c r="F680" s="116">
        <f t="shared" si="7"/>
        <v>-26989.3</v>
      </c>
      <c r="G680" s="43" t="str">
        <f>_xlfn.XLOOKUP($A680,Map!$A:$A,Map!C:C)</f>
        <v>IS</v>
      </c>
      <c r="H680" s="43" t="str">
        <f>_xlfn.XLOOKUP($A680,Map!$A:$A,Map!D:D)</f>
        <v>Cost of sales</v>
      </c>
      <c r="I680" s="43" t="str">
        <f>_xlfn.XLOOKUP($A680,Map!$A:$A,Map!E:E)</f>
        <v>Raw materials</v>
      </c>
      <c r="J680" s="43" t="str">
        <f>_xlfn.XLOOKUP($A680,Map!$A:$A,Map!F:F)</f>
        <v>Other expenses</v>
      </c>
    </row>
    <row r="681" spans="1:10" x14ac:dyDescent="0.25">
      <c r="A681">
        <v>510004</v>
      </c>
      <c r="B681" t="s">
        <v>1353</v>
      </c>
      <c r="D681" s="116">
        <v>0</v>
      </c>
      <c r="E681" s="116">
        <v>12032.09</v>
      </c>
      <c r="F681" s="116">
        <f t="shared" si="7"/>
        <v>-12032.09</v>
      </c>
      <c r="G681" s="43" t="str">
        <f>_xlfn.XLOOKUP($A681,Map!$A:$A,Map!C:C)</f>
        <v>IS</v>
      </c>
      <c r="H681" s="43" t="str">
        <f>_xlfn.XLOOKUP($A681,Map!$A:$A,Map!D:D)</f>
        <v>Cost of sales</v>
      </c>
      <c r="I681" s="43" t="str">
        <f>_xlfn.XLOOKUP($A681,Map!$A:$A,Map!E:E)</f>
        <v>Raw materials</v>
      </c>
      <c r="J681" s="43" t="str">
        <f>_xlfn.XLOOKUP($A681,Map!$A:$A,Map!F:F)</f>
        <v>Other expenses</v>
      </c>
    </row>
    <row r="682" spans="1:10" x14ac:dyDescent="0.25">
      <c r="A682">
        <v>510004</v>
      </c>
      <c r="B682" t="s">
        <v>1353</v>
      </c>
      <c r="D682" s="116">
        <v>0</v>
      </c>
      <c r="E682" s="116">
        <v>584.75</v>
      </c>
      <c r="F682" s="116">
        <f t="shared" si="7"/>
        <v>-584.75</v>
      </c>
      <c r="G682" s="43" t="str">
        <f>_xlfn.XLOOKUP($A682,Map!$A:$A,Map!C:C)</f>
        <v>IS</v>
      </c>
      <c r="H682" s="43" t="str">
        <f>_xlfn.XLOOKUP($A682,Map!$A:$A,Map!D:D)</f>
        <v>Cost of sales</v>
      </c>
      <c r="I682" s="43" t="str">
        <f>_xlfn.XLOOKUP($A682,Map!$A:$A,Map!E:E)</f>
        <v>Raw materials</v>
      </c>
      <c r="J682" s="43" t="str">
        <f>_xlfn.XLOOKUP($A682,Map!$A:$A,Map!F:F)</f>
        <v>Other expenses</v>
      </c>
    </row>
    <row r="683" spans="1:10" x14ac:dyDescent="0.25">
      <c r="A683">
        <v>510004</v>
      </c>
      <c r="B683" t="s">
        <v>1353</v>
      </c>
      <c r="D683" s="116">
        <v>0</v>
      </c>
      <c r="E683" s="116">
        <v>14503.45</v>
      </c>
      <c r="F683" s="116">
        <f t="shared" si="7"/>
        <v>-14503.45</v>
      </c>
      <c r="G683" s="43" t="str">
        <f>_xlfn.XLOOKUP($A683,Map!$A:$A,Map!C:C)</f>
        <v>IS</v>
      </c>
      <c r="H683" s="43" t="str">
        <f>_xlfn.XLOOKUP($A683,Map!$A:$A,Map!D:D)</f>
        <v>Cost of sales</v>
      </c>
      <c r="I683" s="43" t="str">
        <f>_xlfn.XLOOKUP($A683,Map!$A:$A,Map!E:E)</f>
        <v>Raw materials</v>
      </c>
      <c r="J683" s="43" t="str">
        <f>_xlfn.XLOOKUP($A683,Map!$A:$A,Map!F:F)</f>
        <v>Other expenses</v>
      </c>
    </row>
    <row r="684" spans="1:10" x14ac:dyDescent="0.25">
      <c r="A684">
        <v>510004</v>
      </c>
      <c r="B684" t="s">
        <v>1353</v>
      </c>
      <c r="D684" s="116">
        <v>0</v>
      </c>
      <c r="E684" s="116">
        <v>13605.42</v>
      </c>
      <c r="F684" s="116">
        <f t="shared" si="7"/>
        <v>-13605.42</v>
      </c>
      <c r="G684" s="43" t="str">
        <f>_xlfn.XLOOKUP($A684,Map!$A:$A,Map!C:C)</f>
        <v>IS</v>
      </c>
      <c r="H684" s="43" t="str">
        <f>_xlfn.XLOOKUP($A684,Map!$A:$A,Map!D:D)</f>
        <v>Cost of sales</v>
      </c>
      <c r="I684" s="43" t="str">
        <f>_xlfn.XLOOKUP($A684,Map!$A:$A,Map!E:E)</f>
        <v>Raw materials</v>
      </c>
      <c r="J684" s="43" t="str">
        <f>_xlfn.XLOOKUP($A684,Map!$A:$A,Map!F:F)</f>
        <v>Other expenses</v>
      </c>
    </row>
    <row r="685" spans="1:10" x14ac:dyDescent="0.25">
      <c r="A685">
        <v>510004</v>
      </c>
      <c r="B685" t="s">
        <v>1353</v>
      </c>
      <c r="D685" s="116">
        <v>0</v>
      </c>
      <c r="E685" s="116">
        <v>3439.94</v>
      </c>
      <c r="F685" s="116">
        <f t="shared" si="7"/>
        <v>-3439.94</v>
      </c>
      <c r="G685" s="43" t="str">
        <f>_xlfn.XLOOKUP($A685,Map!$A:$A,Map!C:C)</f>
        <v>IS</v>
      </c>
      <c r="H685" s="43" t="str">
        <f>_xlfn.XLOOKUP($A685,Map!$A:$A,Map!D:D)</f>
        <v>Cost of sales</v>
      </c>
      <c r="I685" s="43" t="str">
        <f>_xlfn.XLOOKUP($A685,Map!$A:$A,Map!E:E)</f>
        <v>Raw materials</v>
      </c>
      <c r="J685" s="43" t="str">
        <f>_xlfn.XLOOKUP($A685,Map!$A:$A,Map!F:F)</f>
        <v>Other expenses</v>
      </c>
    </row>
    <row r="686" spans="1:10" x14ac:dyDescent="0.25">
      <c r="A686">
        <v>510004</v>
      </c>
      <c r="B686" t="s">
        <v>1353</v>
      </c>
      <c r="D686" s="116">
        <v>0</v>
      </c>
      <c r="E686" s="116">
        <v>454.3</v>
      </c>
      <c r="F686" s="116">
        <f t="shared" si="7"/>
        <v>-454.3</v>
      </c>
      <c r="G686" s="43" t="str">
        <f>_xlfn.XLOOKUP($A686,Map!$A:$A,Map!C:C)</f>
        <v>IS</v>
      </c>
      <c r="H686" s="43" t="str">
        <f>_xlfn.XLOOKUP($A686,Map!$A:$A,Map!D:D)</f>
        <v>Cost of sales</v>
      </c>
      <c r="I686" s="43" t="str">
        <f>_xlfn.XLOOKUP($A686,Map!$A:$A,Map!E:E)</f>
        <v>Raw materials</v>
      </c>
      <c r="J686" s="43" t="str">
        <f>_xlfn.XLOOKUP($A686,Map!$A:$A,Map!F:F)</f>
        <v>Other expenses</v>
      </c>
    </row>
    <row r="687" spans="1:10" x14ac:dyDescent="0.25">
      <c r="A687">
        <v>510004</v>
      </c>
      <c r="B687" t="s">
        <v>1353</v>
      </c>
      <c r="D687" s="116">
        <v>0</v>
      </c>
      <c r="E687" s="116">
        <v>5885.58</v>
      </c>
      <c r="F687" s="116">
        <f t="shared" si="7"/>
        <v>-5885.58</v>
      </c>
      <c r="G687" s="43" t="str">
        <f>_xlfn.XLOOKUP($A687,Map!$A:$A,Map!C:C)</f>
        <v>IS</v>
      </c>
      <c r="H687" s="43" t="str">
        <f>_xlfn.XLOOKUP($A687,Map!$A:$A,Map!D:D)</f>
        <v>Cost of sales</v>
      </c>
      <c r="I687" s="43" t="str">
        <f>_xlfn.XLOOKUP($A687,Map!$A:$A,Map!E:E)</f>
        <v>Raw materials</v>
      </c>
      <c r="J687" s="43" t="str">
        <f>_xlfn.XLOOKUP($A687,Map!$A:$A,Map!F:F)</f>
        <v>Other expenses</v>
      </c>
    </row>
    <row r="688" spans="1:10" x14ac:dyDescent="0.25">
      <c r="A688">
        <v>510004</v>
      </c>
      <c r="B688" t="s">
        <v>1353</v>
      </c>
      <c r="D688" s="116">
        <v>0</v>
      </c>
      <c r="E688" s="116">
        <v>36655.629999999997</v>
      </c>
      <c r="F688" s="116">
        <f t="shared" si="7"/>
        <v>-36655.629999999997</v>
      </c>
      <c r="G688" s="43" t="str">
        <f>_xlfn.XLOOKUP($A688,Map!$A:$A,Map!C:C)</f>
        <v>IS</v>
      </c>
      <c r="H688" s="43" t="str">
        <f>_xlfn.XLOOKUP($A688,Map!$A:$A,Map!D:D)</f>
        <v>Cost of sales</v>
      </c>
      <c r="I688" s="43" t="str">
        <f>_xlfn.XLOOKUP($A688,Map!$A:$A,Map!E:E)</f>
        <v>Raw materials</v>
      </c>
      <c r="J688" s="43" t="str">
        <f>_xlfn.XLOOKUP($A688,Map!$A:$A,Map!F:F)</f>
        <v>Other expenses</v>
      </c>
    </row>
    <row r="689" spans="1:10" x14ac:dyDescent="0.25">
      <c r="A689">
        <v>510004</v>
      </c>
      <c r="B689" t="s">
        <v>1353</v>
      </c>
      <c r="D689" s="116">
        <v>0</v>
      </c>
      <c r="E689" s="116">
        <v>3100.02</v>
      </c>
      <c r="F689" s="116">
        <f t="shared" si="7"/>
        <v>-3100.02</v>
      </c>
      <c r="G689" s="43" t="str">
        <f>_xlfn.XLOOKUP($A689,Map!$A:$A,Map!C:C)</f>
        <v>IS</v>
      </c>
      <c r="H689" s="43" t="str">
        <f>_xlfn.XLOOKUP($A689,Map!$A:$A,Map!D:D)</f>
        <v>Cost of sales</v>
      </c>
      <c r="I689" s="43" t="str">
        <f>_xlfn.XLOOKUP($A689,Map!$A:$A,Map!E:E)</f>
        <v>Raw materials</v>
      </c>
      <c r="J689" s="43" t="str">
        <f>_xlfn.XLOOKUP($A689,Map!$A:$A,Map!F:F)</f>
        <v>Other expenses</v>
      </c>
    </row>
    <row r="690" spans="1:10" x14ac:dyDescent="0.25">
      <c r="A690">
        <v>510002</v>
      </c>
      <c r="B690" t="s">
        <v>1353</v>
      </c>
      <c r="D690" s="116">
        <v>0</v>
      </c>
      <c r="E690" s="116">
        <v>148099</v>
      </c>
      <c r="F690" s="116">
        <f t="shared" si="7"/>
        <v>-148099</v>
      </c>
      <c r="G690" s="43" t="str">
        <f>_xlfn.XLOOKUP($A690,Map!$A:$A,Map!C:C)</f>
        <v>IS</v>
      </c>
      <c r="H690" s="43" t="str">
        <f>_xlfn.XLOOKUP($A690,Map!$A:$A,Map!D:D)</f>
        <v>Cost of sales</v>
      </c>
      <c r="I690" s="43" t="str">
        <f>_xlfn.XLOOKUP($A690,Map!$A:$A,Map!E:E)</f>
        <v>Direct Labor</v>
      </c>
      <c r="J690" s="43" t="str">
        <f>_xlfn.XLOOKUP($A690,Map!$A:$A,Map!F:F)</f>
        <v>Direct Labor</v>
      </c>
    </row>
    <row r="691" spans="1:10" x14ac:dyDescent="0.25">
      <c r="A691">
        <v>510002</v>
      </c>
      <c r="B691" t="s">
        <v>1353</v>
      </c>
      <c r="D691" s="116">
        <v>0</v>
      </c>
      <c r="E691" s="116">
        <v>8955</v>
      </c>
      <c r="F691" s="116">
        <f t="shared" si="7"/>
        <v>-8955</v>
      </c>
      <c r="G691" s="43" t="str">
        <f>_xlfn.XLOOKUP($A691,Map!$A:$A,Map!C:C)</f>
        <v>IS</v>
      </c>
      <c r="H691" s="43" t="str">
        <f>_xlfn.XLOOKUP($A691,Map!$A:$A,Map!D:D)</f>
        <v>Cost of sales</v>
      </c>
      <c r="I691" s="43" t="str">
        <f>_xlfn.XLOOKUP($A691,Map!$A:$A,Map!E:E)</f>
        <v>Direct Labor</v>
      </c>
      <c r="J691" s="43" t="str">
        <f>_xlfn.XLOOKUP($A691,Map!$A:$A,Map!F:F)</f>
        <v>Direct Labor</v>
      </c>
    </row>
    <row r="692" spans="1:10" x14ac:dyDescent="0.25">
      <c r="A692">
        <v>510002</v>
      </c>
      <c r="B692" t="s">
        <v>1353</v>
      </c>
      <c r="D692" s="116">
        <v>0</v>
      </c>
      <c r="E692" s="116">
        <v>37148</v>
      </c>
      <c r="F692" s="116">
        <f t="shared" si="7"/>
        <v>-37148</v>
      </c>
      <c r="G692" s="43" t="str">
        <f>_xlfn.XLOOKUP($A692,Map!$A:$A,Map!C:C)</f>
        <v>IS</v>
      </c>
      <c r="H692" s="43" t="str">
        <f>_xlfn.XLOOKUP($A692,Map!$A:$A,Map!D:D)</f>
        <v>Cost of sales</v>
      </c>
      <c r="I692" s="43" t="str">
        <f>_xlfn.XLOOKUP($A692,Map!$A:$A,Map!E:E)</f>
        <v>Direct Labor</v>
      </c>
      <c r="J692" s="43" t="str">
        <f>_xlfn.XLOOKUP($A692,Map!$A:$A,Map!F:F)</f>
        <v>Direct Labor</v>
      </c>
    </row>
    <row r="693" spans="1:10" x14ac:dyDescent="0.25">
      <c r="A693">
        <v>510002</v>
      </c>
      <c r="B693" t="s">
        <v>1353</v>
      </c>
      <c r="D693" s="116">
        <v>0</v>
      </c>
      <c r="E693" s="116">
        <v>35940</v>
      </c>
      <c r="F693" s="116">
        <f t="shared" si="7"/>
        <v>-35940</v>
      </c>
      <c r="G693" s="43" t="str">
        <f>_xlfn.XLOOKUP($A693,Map!$A:$A,Map!C:C)</f>
        <v>IS</v>
      </c>
      <c r="H693" s="43" t="str">
        <f>_xlfn.XLOOKUP($A693,Map!$A:$A,Map!D:D)</f>
        <v>Cost of sales</v>
      </c>
      <c r="I693" s="43" t="str">
        <f>_xlfn.XLOOKUP($A693,Map!$A:$A,Map!E:E)</f>
        <v>Direct Labor</v>
      </c>
      <c r="J693" s="43" t="str">
        <f>_xlfn.XLOOKUP($A693,Map!$A:$A,Map!F:F)</f>
        <v>Direct Labor</v>
      </c>
    </row>
    <row r="694" spans="1:10" x14ac:dyDescent="0.25">
      <c r="A694">
        <v>510002</v>
      </c>
      <c r="B694" t="s">
        <v>1353</v>
      </c>
      <c r="D694" s="116">
        <v>0</v>
      </c>
      <c r="E694" s="116">
        <v>2238</v>
      </c>
      <c r="F694" s="116">
        <f t="shared" si="7"/>
        <v>-2238</v>
      </c>
      <c r="G694" s="43" t="str">
        <f>_xlfn.XLOOKUP($A694,Map!$A:$A,Map!C:C)</f>
        <v>IS</v>
      </c>
      <c r="H694" s="43" t="str">
        <f>_xlfn.XLOOKUP($A694,Map!$A:$A,Map!D:D)</f>
        <v>Cost of sales</v>
      </c>
      <c r="I694" s="43" t="str">
        <f>_xlfn.XLOOKUP($A694,Map!$A:$A,Map!E:E)</f>
        <v>Direct Labor</v>
      </c>
      <c r="J694" s="43" t="str">
        <f>_xlfn.XLOOKUP($A694,Map!$A:$A,Map!F:F)</f>
        <v>Direct Labor</v>
      </c>
    </row>
    <row r="695" spans="1:10" x14ac:dyDescent="0.25">
      <c r="A695">
        <v>510002</v>
      </c>
      <c r="B695" t="s">
        <v>1353</v>
      </c>
      <c r="D695" s="116">
        <v>0</v>
      </c>
      <c r="E695" s="116">
        <v>1724</v>
      </c>
      <c r="F695" s="116">
        <f t="shared" si="7"/>
        <v>-1724</v>
      </c>
      <c r="G695" s="43" t="str">
        <f>_xlfn.XLOOKUP($A695,Map!$A:$A,Map!C:C)</f>
        <v>IS</v>
      </c>
      <c r="H695" s="43" t="str">
        <f>_xlfn.XLOOKUP($A695,Map!$A:$A,Map!D:D)</f>
        <v>Cost of sales</v>
      </c>
      <c r="I695" s="43" t="str">
        <f>_xlfn.XLOOKUP($A695,Map!$A:$A,Map!E:E)</f>
        <v>Direct Labor</v>
      </c>
      <c r="J695" s="43" t="str">
        <f>_xlfn.XLOOKUP($A695,Map!$A:$A,Map!F:F)</f>
        <v>Direct Labor</v>
      </c>
    </row>
    <row r="696" spans="1:10" x14ac:dyDescent="0.25">
      <c r="A696">
        <v>510002</v>
      </c>
      <c r="B696" t="s">
        <v>1353</v>
      </c>
      <c r="D696" s="116">
        <v>0</v>
      </c>
      <c r="E696" s="116">
        <v>17808</v>
      </c>
      <c r="F696" s="116">
        <f t="shared" si="7"/>
        <v>-17808</v>
      </c>
      <c r="G696" s="43" t="str">
        <f>_xlfn.XLOOKUP($A696,Map!$A:$A,Map!C:C)</f>
        <v>IS</v>
      </c>
      <c r="H696" s="43" t="str">
        <f>_xlfn.XLOOKUP($A696,Map!$A:$A,Map!D:D)</f>
        <v>Cost of sales</v>
      </c>
      <c r="I696" s="43" t="str">
        <f>_xlfn.XLOOKUP($A696,Map!$A:$A,Map!E:E)</f>
        <v>Direct Labor</v>
      </c>
      <c r="J696" s="43" t="str">
        <f>_xlfn.XLOOKUP($A696,Map!$A:$A,Map!F:F)</f>
        <v>Direct Labor</v>
      </c>
    </row>
    <row r="697" spans="1:10" x14ac:dyDescent="0.25">
      <c r="A697">
        <v>510002</v>
      </c>
      <c r="B697" t="s">
        <v>1353</v>
      </c>
      <c r="D697" s="116">
        <v>0</v>
      </c>
      <c r="E697" s="116">
        <v>1460</v>
      </c>
      <c r="F697" s="116">
        <f t="shared" si="7"/>
        <v>-1460</v>
      </c>
      <c r="G697" s="43" t="str">
        <f>_xlfn.XLOOKUP($A697,Map!$A:$A,Map!C:C)</f>
        <v>IS</v>
      </c>
      <c r="H697" s="43" t="str">
        <f>_xlfn.XLOOKUP($A697,Map!$A:$A,Map!D:D)</f>
        <v>Cost of sales</v>
      </c>
      <c r="I697" s="43" t="str">
        <f>_xlfn.XLOOKUP($A697,Map!$A:$A,Map!E:E)</f>
        <v>Direct Labor</v>
      </c>
      <c r="J697" s="43" t="str">
        <f>_xlfn.XLOOKUP($A697,Map!$A:$A,Map!F:F)</f>
        <v>Direct Labor</v>
      </c>
    </row>
    <row r="698" spans="1:10" x14ac:dyDescent="0.25">
      <c r="A698">
        <v>510001</v>
      </c>
      <c r="B698" t="s">
        <v>1353</v>
      </c>
      <c r="D698" s="116">
        <v>0</v>
      </c>
      <c r="E698" s="116">
        <v>21978.539000000001</v>
      </c>
      <c r="F698" s="116">
        <f t="shared" si="7"/>
        <v>-21978.539000000001</v>
      </c>
      <c r="G698" s="43" t="str">
        <f>_xlfn.XLOOKUP($A698,Map!$A:$A,Map!C:C)</f>
        <v>IS</v>
      </c>
      <c r="H698" s="43" t="str">
        <f>_xlfn.XLOOKUP($A698,Map!$A:$A,Map!D:D)</f>
        <v>Cost of sales</v>
      </c>
      <c r="I698" s="43" t="str">
        <f>_xlfn.XLOOKUP($A698,Map!$A:$A,Map!E:E)</f>
        <v>Raw materials</v>
      </c>
      <c r="J698" s="43" t="str">
        <f>_xlfn.XLOOKUP($A698,Map!$A:$A,Map!F:F)</f>
        <v>Raw materials</v>
      </c>
    </row>
    <row r="699" spans="1:10" x14ac:dyDescent="0.25">
      <c r="A699">
        <v>510001</v>
      </c>
      <c r="B699" t="s">
        <v>1353</v>
      </c>
      <c r="D699" s="116">
        <v>0</v>
      </c>
      <c r="E699" s="116">
        <v>5395.8490000000002</v>
      </c>
      <c r="F699" s="116">
        <f t="shared" si="7"/>
        <v>-5395.8490000000002</v>
      </c>
      <c r="G699" s="43" t="str">
        <f>_xlfn.XLOOKUP($A699,Map!$A:$A,Map!C:C)</f>
        <v>IS</v>
      </c>
      <c r="H699" s="43" t="str">
        <f>_xlfn.XLOOKUP($A699,Map!$A:$A,Map!D:D)</f>
        <v>Cost of sales</v>
      </c>
      <c r="I699" s="43" t="str">
        <f>_xlfn.XLOOKUP($A699,Map!$A:$A,Map!E:E)</f>
        <v>Raw materials</v>
      </c>
      <c r="J699" s="43" t="str">
        <f>_xlfn.XLOOKUP($A699,Map!$A:$A,Map!F:F)</f>
        <v>Raw materials</v>
      </c>
    </row>
    <row r="700" spans="1:10" x14ac:dyDescent="0.25">
      <c r="A700">
        <v>510001</v>
      </c>
      <c r="B700" t="s">
        <v>1353</v>
      </c>
      <c r="D700" s="116">
        <v>0</v>
      </c>
      <c r="E700" s="116">
        <v>4975.0950000000003</v>
      </c>
      <c r="F700" s="116">
        <f t="shared" si="7"/>
        <v>-4975.0950000000003</v>
      </c>
      <c r="G700" s="43" t="str">
        <f>_xlfn.XLOOKUP($A700,Map!$A:$A,Map!C:C)</f>
        <v>IS</v>
      </c>
      <c r="H700" s="43" t="str">
        <f>_xlfn.XLOOKUP($A700,Map!$A:$A,Map!D:D)</f>
        <v>Cost of sales</v>
      </c>
      <c r="I700" s="43" t="str">
        <f>_xlfn.XLOOKUP($A700,Map!$A:$A,Map!E:E)</f>
        <v>Raw materials</v>
      </c>
      <c r="J700" s="43" t="str">
        <f>_xlfn.XLOOKUP($A700,Map!$A:$A,Map!F:F)</f>
        <v>Raw materials</v>
      </c>
    </row>
    <row r="701" spans="1:10" x14ac:dyDescent="0.25">
      <c r="A701">
        <v>510001</v>
      </c>
      <c r="B701" t="s">
        <v>1353</v>
      </c>
      <c r="D701" s="116">
        <v>0</v>
      </c>
      <c r="E701" s="116">
        <v>21964.508000000002</v>
      </c>
      <c r="F701" s="116">
        <f t="shared" si="7"/>
        <v>-21964.508000000002</v>
      </c>
      <c r="G701" s="43" t="str">
        <f>_xlfn.XLOOKUP($A701,Map!$A:$A,Map!C:C)</f>
        <v>IS</v>
      </c>
      <c r="H701" s="43" t="str">
        <f>_xlfn.XLOOKUP($A701,Map!$A:$A,Map!D:D)</f>
        <v>Cost of sales</v>
      </c>
      <c r="I701" s="43" t="str">
        <f>_xlfn.XLOOKUP($A701,Map!$A:$A,Map!E:E)</f>
        <v>Raw materials</v>
      </c>
      <c r="J701" s="43" t="str">
        <f>_xlfn.XLOOKUP($A701,Map!$A:$A,Map!F:F)</f>
        <v>Raw materials</v>
      </c>
    </row>
    <row r="702" spans="1:10" x14ac:dyDescent="0.25">
      <c r="A702">
        <v>510001</v>
      </c>
      <c r="B702" t="s">
        <v>1353</v>
      </c>
      <c r="D702" s="116">
        <v>0</v>
      </c>
      <c r="E702" s="116">
        <v>6966.5619999999999</v>
      </c>
      <c r="F702" s="116">
        <f t="shared" si="7"/>
        <v>-6966.5619999999999</v>
      </c>
      <c r="G702" s="43" t="str">
        <f>_xlfn.XLOOKUP($A702,Map!$A:$A,Map!C:C)</f>
        <v>IS</v>
      </c>
      <c r="H702" s="43" t="str">
        <f>_xlfn.XLOOKUP($A702,Map!$A:$A,Map!D:D)</f>
        <v>Cost of sales</v>
      </c>
      <c r="I702" s="43" t="str">
        <f>_xlfn.XLOOKUP($A702,Map!$A:$A,Map!E:E)</f>
        <v>Raw materials</v>
      </c>
      <c r="J702" s="43" t="str">
        <f>_xlfn.XLOOKUP($A702,Map!$A:$A,Map!F:F)</f>
        <v>Raw materials</v>
      </c>
    </row>
    <row r="703" spans="1:10" x14ac:dyDescent="0.25">
      <c r="A703">
        <v>510001</v>
      </c>
      <c r="B703" t="s">
        <v>1353</v>
      </c>
      <c r="D703" s="116">
        <v>0</v>
      </c>
      <c r="E703" s="116">
        <v>2704.2820000000002</v>
      </c>
      <c r="F703" s="116">
        <f t="shared" si="7"/>
        <v>-2704.2820000000002</v>
      </c>
      <c r="G703" s="43" t="str">
        <f>_xlfn.XLOOKUP($A703,Map!$A:$A,Map!C:C)</f>
        <v>IS</v>
      </c>
      <c r="H703" s="43" t="str">
        <f>_xlfn.XLOOKUP($A703,Map!$A:$A,Map!D:D)</f>
        <v>Cost of sales</v>
      </c>
      <c r="I703" s="43" t="str">
        <f>_xlfn.XLOOKUP($A703,Map!$A:$A,Map!E:E)</f>
        <v>Raw materials</v>
      </c>
      <c r="J703" s="43" t="str">
        <f>_xlfn.XLOOKUP($A703,Map!$A:$A,Map!F:F)</f>
        <v>Raw materials</v>
      </c>
    </row>
    <row r="704" spans="1:10" x14ac:dyDescent="0.25">
      <c r="A704">
        <v>510001</v>
      </c>
      <c r="B704" t="s">
        <v>1353</v>
      </c>
      <c r="D704" s="116">
        <v>0</v>
      </c>
      <c r="E704" s="116">
        <v>77.777000000000001</v>
      </c>
      <c r="F704" s="116">
        <f t="shared" si="7"/>
        <v>-77.777000000000001</v>
      </c>
      <c r="G704" s="43" t="str">
        <f>_xlfn.XLOOKUP($A704,Map!$A:$A,Map!C:C)</f>
        <v>IS</v>
      </c>
      <c r="H704" s="43" t="str">
        <f>_xlfn.XLOOKUP($A704,Map!$A:$A,Map!D:D)</f>
        <v>Cost of sales</v>
      </c>
      <c r="I704" s="43" t="str">
        <f>_xlfn.XLOOKUP($A704,Map!$A:$A,Map!E:E)</f>
        <v>Raw materials</v>
      </c>
      <c r="J704" s="43" t="str">
        <f>_xlfn.XLOOKUP($A704,Map!$A:$A,Map!F:F)</f>
        <v>Raw materials</v>
      </c>
    </row>
    <row r="705" spans="1:10" x14ac:dyDescent="0.25">
      <c r="A705">
        <v>510001</v>
      </c>
      <c r="B705" t="s">
        <v>1353</v>
      </c>
      <c r="D705" s="116">
        <v>0</v>
      </c>
      <c r="E705" s="116">
        <v>2429.453</v>
      </c>
      <c r="F705" s="116">
        <f t="shared" si="7"/>
        <v>-2429.453</v>
      </c>
      <c r="G705" s="43" t="str">
        <f>_xlfn.XLOOKUP($A705,Map!$A:$A,Map!C:C)</f>
        <v>IS</v>
      </c>
      <c r="H705" s="43" t="str">
        <f>_xlfn.XLOOKUP($A705,Map!$A:$A,Map!D:D)</f>
        <v>Cost of sales</v>
      </c>
      <c r="I705" s="43" t="str">
        <f>_xlfn.XLOOKUP($A705,Map!$A:$A,Map!E:E)</f>
        <v>Raw materials</v>
      </c>
      <c r="J705" s="43" t="str">
        <f>_xlfn.XLOOKUP($A705,Map!$A:$A,Map!F:F)</f>
        <v>Raw materials</v>
      </c>
    </row>
    <row r="706" spans="1:10" x14ac:dyDescent="0.25">
      <c r="A706">
        <v>510001</v>
      </c>
      <c r="B706" t="s">
        <v>1353</v>
      </c>
      <c r="D706" s="116">
        <v>0</v>
      </c>
      <c r="E706" s="116">
        <v>42767.997000000003</v>
      </c>
      <c r="F706" s="116">
        <f t="shared" si="7"/>
        <v>-42767.997000000003</v>
      </c>
      <c r="G706" s="43" t="str">
        <f>_xlfn.XLOOKUP($A706,Map!$A:$A,Map!C:C)</f>
        <v>IS</v>
      </c>
      <c r="H706" s="43" t="str">
        <f>_xlfn.XLOOKUP($A706,Map!$A:$A,Map!D:D)</f>
        <v>Cost of sales</v>
      </c>
      <c r="I706" s="43" t="str">
        <f>_xlfn.XLOOKUP($A706,Map!$A:$A,Map!E:E)</f>
        <v>Raw materials</v>
      </c>
      <c r="J706" s="43" t="str">
        <f>_xlfn.XLOOKUP($A706,Map!$A:$A,Map!F:F)</f>
        <v>Raw materials</v>
      </c>
    </row>
    <row r="707" spans="1:10" x14ac:dyDescent="0.25">
      <c r="A707">
        <v>510001</v>
      </c>
      <c r="B707" t="s">
        <v>1353</v>
      </c>
      <c r="D707" s="116">
        <v>0</v>
      </c>
      <c r="E707" s="116">
        <v>1317.9670000000001</v>
      </c>
      <c r="F707" s="116">
        <f t="shared" si="7"/>
        <v>-1317.9670000000001</v>
      </c>
      <c r="G707" s="43" t="str">
        <f>_xlfn.XLOOKUP($A707,Map!$A:$A,Map!C:C)</f>
        <v>IS</v>
      </c>
      <c r="H707" s="43" t="str">
        <f>_xlfn.XLOOKUP($A707,Map!$A:$A,Map!D:D)</f>
        <v>Cost of sales</v>
      </c>
      <c r="I707" s="43" t="str">
        <f>_xlfn.XLOOKUP($A707,Map!$A:$A,Map!E:E)</f>
        <v>Raw materials</v>
      </c>
      <c r="J707" s="43" t="str">
        <f>_xlfn.XLOOKUP($A707,Map!$A:$A,Map!F:F)</f>
        <v>Raw materials</v>
      </c>
    </row>
    <row r="708" spans="1:10" x14ac:dyDescent="0.25">
      <c r="A708">
        <v>510001</v>
      </c>
      <c r="B708" t="s">
        <v>1353</v>
      </c>
      <c r="D708" s="116">
        <v>110579.02800000001</v>
      </c>
      <c r="E708" s="116">
        <v>0</v>
      </c>
      <c r="F708" s="116">
        <f t="shared" si="7"/>
        <v>110579.02800000001</v>
      </c>
      <c r="G708" s="43" t="str">
        <f>_xlfn.XLOOKUP($A708,Map!$A:$A,Map!C:C)</f>
        <v>IS</v>
      </c>
      <c r="H708" s="43" t="str">
        <f>_xlfn.XLOOKUP($A708,Map!$A:$A,Map!D:D)</f>
        <v>Cost of sales</v>
      </c>
      <c r="I708" s="43" t="str">
        <f>_xlfn.XLOOKUP($A708,Map!$A:$A,Map!E:E)</f>
        <v>Raw materials</v>
      </c>
      <c r="J708" s="43" t="str">
        <f>_xlfn.XLOOKUP($A708,Map!$A:$A,Map!F:F)</f>
        <v>Raw materials</v>
      </c>
    </row>
    <row r="709" spans="1:10" x14ac:dyDescent="0.25">
      <c r="A709">
        <v>420003</v>
      </c>
      <c r="B709" t="s">
        <v>1353</v>
      </c>
      <c r="D709" s="116">
        <v>0</v>
      </c>
      <c r="E709" s="116">
        <v>0.03</v>
      </c>
      <c r="F709" s="116">
        <f t="shared" si="7"/>
        <v>-0.03</v>
      </c>
      <c r="G709" s="43" t="str">
        <f>_xlfn.XLOOKUP($A709,Map!$A:$A,Map!C:C)</f>
        <v>IS</v>
      </c>
      <c r="H709" s="43" t="str">
        <f>_xlfn.XLOOKUP($A709,Map!$A:$A,Map!D:D)</f>
        <v>Sales</v>
      </c>
      <c r="I709" s="43" t="str">
        <f>_xlfn.XLOOKUP($A709,Map!$A:$A,Map!E:E)</f>
        <v>Sales</v>
      </c>
      <c r="J709" s="43" t="str">
        <f>_xlfn.XLOOKUP($A709,Map!$A:$A,Map!F:F)</f>
        <v>Scrap sales</v>
      </c>
    </row>
    <row r="710" spans="1:10" x14ac:dyDescent="0.25">
      <c r="A710">
        <v>600031</v>
      </c>
      <c r="B710" t="s">
        <v>1354</v>
      </c>
      <c r="D710" s="116">
        <v>613.33299999999997</v>
      </c>
      <c r="E710" s="116">
        <v>0</v>
      </c>
      <c r="F710" s="116">
        <f t="shared" si="7"/>
        <v>613.33299999999997</v>
      </c>
      <c r="G710" s="43" t="str">
        <f>_xlfn.XLOOKUP($A710,Map!$A:$A,Map!C:C)</f>
        <v>IS</v>
      </c>
      <c r="H710" s="43" t="str">
        <f>_xlfn.XLOOKUP($A710,Map!$A:$A,Map!D:D)</f>
        <v>Depreciation expenses</v>
      </c>
      <c r="I710" s="43" t="str">
        <f>_xlfn.XLOOKUP($A710,Map!$A:$A,Map!E:E)</f>
        <v>Depreciation expenses</v>
      </c>
      <c r="J710" s="43" t="str">
        <f>_xlfn.XLOOKUP($A710,Map!$A:$A,Map!F:F)</f>
        <v>Depreciation of property, plant and equipment</v>
      </c>
    </row>
    <row r="711" spans="1:10" x14ac:dyDescent="0.25">
      <c r="A711">
        <v>600030</v>
      </c>
      <c r="B711" t="s">
        <v>1354</v>
      </c>
      <c r="D711" s="116">
        <v>543.16600000000005</v>
      </c>
      <c r="E711" s="116">
        <v>0</v>
      </c>
      <c r="F711" s="116">
        <f t="shared" si="7"/>
        <v>543.16600000000005</v>
      </c>
      <c r="G711" s="43" t="str">
        <f>_xlfn.XLOOKUP($A711,Map!$A:$A,Map!C:C)</f>
        <v>IS</v>
      </c>
      <c r="H711" s="43" t="str">
        <f>_xlfn.XLOOKUP($A711,Map!$A:$A,Map!D:D)</f>
        <v>Depreciation expenses</v>
      </c>
      <c r="I711" s="43" t="str">
        <f>_xlfn.XLOOKUP($A711,Map!$A:$A,Map!E:E)</f>
        <v>Depreciation expenses</v>
      </c>
      <c r="J711" s="43" t="str">
        <f>_xlfn.XLOOKUP($A711,Map!$A:$A,Map!F:F)</f>
        <v>Depreciation of property, plant and equipment</v>
      </c>
    </row>
    <row r="712" spans="1:10" x14ac:dyDescent="0.25">
      <c r="A712">
        <v>600029</v>
      </c>
      <c r="B712" t="s">
        <v>1354</v>
      </c>
      <c r="D712" s="116">
        <v>286596.55</v>
      </c>
      <c r="E712" s="116">
        <v>0</v>
      </c>
      <c r="F712" s="116">
        <f t="shared" si="7"/>
        <v>286596.55</v>
      </c>
      <c r="G712" s="43" t="str">
        <f>_xlfn.XLOOKUP($A712,Map!$A:$A,Map!C:C)</f>
        <v>IS</v>
      </c>
      <c r="H712" s="43" t="str">
        <f>_xlfn.XLOOKUP($A712,Map!$A:$A,Map!D:D)</f>
        <v>Cost of sales</v>
      </c>
      <c r="I712" s="43" t="str">
        <f>_xlfn.XLOOKUP($A712,Map!$A:$A,Map!E:E)</f>
        <v>Depreciation - Machines</v>
      </c>
      <c r="J712" s="43" t="str">
        <f>_xlfn.XLOOKUP($A712,Map!$A:$A,Map!F:F)</f>
        <v>Depreciation of property, plant and equipment</v>
      </c>
    </row>
    <row r="713" spans="1:10" x14ac:dyDescent="0.25">
      <c r="A713">
        <v>600027</v>
      </c>
      <c r="B713" t="s">
        <v>1354</v>
      </c>
      <c r="D713" s="116">
        <v>51333.34</v>
      </c>
      <c r="E713" s="116">
        <v>0</v>
      </c>
      <c r="F713" s="116">
        <f t="shared" si="7"/>
        <v>51333.34</v>
      </c>
      <c r="G713" s="43" t="str">
        <f>_xlfn.XLOOKUP($A713,Map!$A:$A,Map!C:C)</f>
        <v>IS</v>
      </c>
      <c r="H713" s="43" t="str">
        <f>_xlfn.XLOOKUP($A713,Map!$A:$A,Map!D:D)</f>
        <v>Cost of sales</v>
      </c>
      <c r="I713" s="43" t="str">
        <f>_xlfn.XLOOKUP($A713,Map!$A:$A,Map!E:E)</f>
        <v>Overhead - Rent</v>
      </c>
      <c r="J713" s="43" t="str">
        <f>_xlfn.XLOOKUP($A713,Map!$A:$A,Map!F:F)</f>
        <v>Production hall rental</v>
      </c>
    </row>
    <row r="714" spans="1:10" x14ac:dyDescent="0.25">
      <c r="A714">
        <v>600021</v>
      </c>
      <c r="B714" t="s">
        <v>1354</v>
      </c>
      <c r="D714" s="116">
        <v>8430</v>
      </c>
      <c r="E714" s="116">
        <v>0</v>
      </c>
      <c r="F714" s="116">
        <f t="shared" si="7"/>
        <v>8430</v>
      </c>
      <c r="G714" s="43" t="str">
        <f>_xlfn.XLOOKUP($A714,Map!$A:$A,Map!C:C)</f>
        <v>IS</v>
      </c>
      <c r="H714" s="43" t="str">
        <f>_xlfn.XLOOKUP($A714,Map!$A:$A,Map!D:D)</f>
        <v>Cost of sales</v>
      </c>
      <c r="I714" s="43" t="str">
        <f>_xlfn.XLOOKUP($A714,Map!$A:$A,Map!E:E)</f>
        <v>Overhead - R&amp;M</v>
      </c>
      <c r="J714" s="43" t="str">
        <f>_xlfn.XLOOKUP($A714,Map!$A:$A,Map!F:F)</f>
        <v>Vehicle maintenance</v>
      </c>
    </row>
    <row r="715" spans="1:10" x14ac:dyDescent="0.25">
      <c r="A715">
        <v>600019</v>
      </c>
      <c r="B715" t="s">
        <v>1354</v>
      </c>
      <c r="D715" s="116">
        <v>14740</v>
      </c>
      <c r="E715" s="116">
        <v>0</v>
      </c>
      <c r="F715" s="116">
        <f t="shared" si="7"/>
        <v>14740</v>
      </c>
      <c r="G715" s="43" t="str">
        <f>_xlfn.XLOOKUP($A715,Map!$A:$A,Map!C:C)</f>
        <v>IS</v>
      </c>
      <c r="H715" s="43" t="str">
        <f>_xlfn.XLOOKUP($A715,Map!$A:$A,Map!D:D)</f>
        <v>Cost of sales</v>
      </c>
      <c r="I715" s="43" t="str">
        <f>_xlfn.XLOOKUP($A715,Map!$A:$A,Map!E:E)</f>
        <v>Overhead - Utility</v>
      </c>
      <c r="J715" s="43" t="str">
        <f>_xlfn.XLOOKUP($A715,Map!$A:$A,Map!F:F)</f>
        <v>Fuel and oil</v>
      </c>
    </row>
    <row r="716" spans="1:10" x14ac:dyDescent="0.25">
      <c r="A716">
        <v>600018</v>
      </c>
      <c r="B716" t="s">
        <v>1354</v>
      </c>
      <c r="D716" s="116">
        <v>5460</v>
      </c>
      <c r="E716" s="116">
        <v>0</v>
      </c>
      <c r="F716" s="116">
        <f t="shared" si="7"/>
        <v>5460</v>
      </c>
      <c r="G716" s="43" t="str">
        <f>_xlfn.XLOOKUP($A716,Map!$A:$A,Map!C:C)</f>
        <v>IS</v>
      </c>
      <c r="H716" s="43" t="str">
        <f>_xlfn.XLOOKUP($A716,Map!$A:$A,Map!D:D)</f>
        <v>Cost of sales</v>
      </c>
      <c r="I716" s="43" t="str">
        <f>_xlfn.XLOOKUP($A716,Map!$A:$A,Map!E:E)</f>
        <v>Overhead - Utility</v>
      </c>
      <c r="J716" s="43" t="str">
        <f>_xlfn.XLOOKUP($A716,Map!$A:$A,Map!F:F)</f>
        <v>Water expenses</v>
      </c>
    </row>
    <row r="717" spans="1:10" x14ac:dyDescent="0.25">
      <c r="A717">
        <v>600017</v>
      </c>
      <c r="B717" t="s">
        <v>1354</v>
      </c>
      <c r="D717" s="116">
        <v>210308.1</v>
      </c>
      <c r="E717" s="116">
        <v>0</v>
      </c>
      <c r="F717" s="116">
        <f t="shared" ref="F717:F780" si="8">D717-E717</f>
        <v>210308.1</v>
      </c>
      <c r="G717" s="43" t="str">
        <f>_xlfn.XLOOKUP($A717,Map!$A:$A,Map!C:C)</f>
        <v>IS</v>
      </c>
      <c r="H717" s="43" t="str">
        <f>_xlfn.XLOOKUP($A717,Map!$A:$A,Map!D:D)</f>
        <v>Cost of sales</v>
      </c>
      <c r="I717" s="43" t="str">
        <f>_xlfn.XLOOKUP($A717,Map!$A:$A,Map!E:E)</f>
        <v>Overhead - Utility</v>
      </c>
      <c r="J717" s="43" t="str">
        <f>_xlfn.XLOOKUP($A717,Map!$A:$A,Map!F:F)</f>
        <v>Electricity expenses</v>
      </c>
    </row>
    <row r="718" spans="1:10" x14ac:dyDescent="0.25">
      <c r="A718">
        <v>600016</v>
      </c>
      <c r="B718" t="s">
        <v>1354</v>
      </c>
      <c r="D718" s="116">
        <v>13037.953</v>
      </c>
      <c r="E718" s="116">
        <v>0</v>
      </c>
      <c r="F718" s="116">
        <f t="shared" si="8"/>
        <v>13037.953</v>
      </c>
      <c r="G718" s="43" t="str">
        <f>_xlfn.XLOOKUP($A718,Map!$A:$A,Map!C:C)</f>
        <v>IS</v>
      </c>
      <c r="H718" s="43" t="str">
        <f>_xlfn.XLOOKUP($A718,Map!$A:$A,Map!D:D)</f>
        <v>Cost of sales</v>
      </c>
      <c r="I718" s="43" t="str">
        <f>_xlfn.XLOOKUP($A718,Map!$A:$A,Map!E:E)</f>
        <v>Overhead - Consumables &amp; SP</v>
      </c>
      <c r="J718" s="43" t="str">
        <f>_xlfn.XLOOKUP($A718,Map!$A:$A,Map!F:F)</f>
        <v>Tools</v>
      </c>
    </row>
    <row r="719" spans="1:10" x14ac:dyDescent="0.25">
      <c r="A719">
        <v>600014</v>
      </c>
      <c r="B719" t="s">
        <v>1354</v>
      </c>
      <c r="D719" s="116">
        <v>38606</v>
      </c>
      <c r="E719" s="116">
        <v>0</v>
      </c>
      <c r="F719" s="116">
        <f t="shared" si="8"/>
        <v>38606</v>
      </c>
      <c r="G719" s="43" t="str">
        <f>_xlfn.XLOOKUP($A719,Map!$A:$A,Map!C:C)</f>
        <v>IS</v>
      </c>
      <c r="H719" s="43" t="str">
        <f>_xlfn.XLOOKUP($A719,Map!$A:$A,Map!D:D)</f>
        <v>Cost of sales</v>
      </c>
      <c r="I719" s="43" t="str">
        <f>_xlfn.XLOOKUP($A719,Map!$A:$A,Map!E:E)</f>
        <v>Overhead - Consumables &amp; SP</v>
      </c>
      <c r="J719" s="43" t="str">
        <f>_xlfn.XLOOKUP($A719,Map!$A:$A,Map!F:F)</f>
        <v>Consumables</v>
      </c>
    </row>
    <row r="720" spans="1:10" x14ac:dyDescent="0.25">
      <c r="A720">
        <v>600011</v>
      </c>
      <c r="B720" t="s">
        <v>1354</v>
      </c>
      <c r="D720" s="116">
        <v>1000</v>
      </c>
      <c r="E720" s="116">
        <v>0</v>
      </c>
      <c r="F720" s="116">
        <f t="shared" si="8"/>
        <v>1000</v>
      </c>
      <c r="G720" s="43" t="str">
        <f>_xlfn.XLOOKUP($A720,Map!$A:$A,Map!C:C)</f>
        <v>IS</v>
      </c>
      <c r="H720" s="43" t="str">
        <f>_xlfn.XLOOKUP($A720,Map!$A:$A,Map!D:D)</f>
        <v>Cost of sales</v>
      </c>
      <c r="I720" s="43" t="str">
        <f>_xlfn.XLOOKUP($A720,Map!$A:$A,Map!E:E)</f>
        <v>Overhead - Labor Cost</v>
      </c>
      <c r="J720" s="43" t="str">
        <f>_xlfn.XLOOKUP($A720,Map!$A:$A,Map!F:F)</f>
        <v>Air tickets</v>
      </c>
    </row>
    <row r="721" spans="1:10" x14ac:dyDescent="0.25">
      <c r="A721">
        <v>600009</v>
      </c>
      <c r="B721" t="s">
        <v>1354</v>
      </c>
      <c r="D721" s="116">
        <v>14550</v>
      </c>
      <c r="E721" s="116">
        <v>0</v>
      </c>
      <c r="F721" s="116">
        <f t="shared" si="8"/>
        <v>14550</v>
      </c>
      <c r="G721" s="43" t="str">
        <f>_xlfn.XLOOKUP($A721,Map!$A:$A,Map!C:C)</f>
        <v>IS</v>
      </c>
      <c r="H721" s="43" t="str">
        <f>_xlfn.XLOOKUP($A721,Map!$A:$A,Map!D:D)</f>
        <v>Cost of sales</v>
      </c>
      <c r="I721" s="43" t="str">
        <f>_xlfn.XLOOKUP($A721,Map!$A:$A,Map!E:E)</f>
        <v>Overhead - Labor Cost</v>
      </c>
      <c r="J721" s="43" t="str">
        <f>_xlfn.XLOOKUP($A721,Map!$A:$A,Map!F:F)</f>
        <v>Vacation pay</v>
      </c>
    </row>
    <row r="722" spans="1:10" x14ac:dyDescent="0.25">
      <c r="A722">
        <v>600008</v>
      </c>
      <c r="B722" t="s">
        <v>1354</v>
      </c>
      <c r="D722" s="116">
        <v>23387</v>
      </c>
      <c r="E722" s="116">
        <v>0</v>
      </c>
      <c r="F722" s="116">
        <f t="shared" si="8"/>
        <v>23387</v>
      </c>
      <c r="G722" s="43" t="str">
        <f>_xlfn.XLOOKUP($A722,Map!$A:$A,Map!C:C)</f>
        <v>IS</v>
      </c>
      <c r="H722" s="43" t="str">
        <f>_xlfn.XLOOKUP($A722,Map!$A:$A,Map!D:D)</f>
        <v>Cost of sales</v>
      </c>
      <c r="I722" s="43" t="str">
        <f>_xlfn.XLOOKUP($A722,Map!$A:$A,Map!E:E)</f>
        <v>Overhead - Labor Cost</v>
      </c>
      <c r="J722" s="43" t="str">
        <f>_xlfn.XLOOKUP($A722,Map!$A:$A,Map!F:F)</f>
        <v>Air tickets</v>
      </c>
    </row>
    <row r="723" spans="1:10" x14ac:dyDescent="0.25">
      <c r="A723">
        <v>600007</v>
      </c>
      <c r="B723" t="s">
        <v>1354</v>
      </c>
      <c r="D723" s="116">
        <v>460</v>
      </c>
      <c r="E723" s="116">
        <v>0</v>
      </c>
      <c r="F723" s="116">
        <f t="shared" si="8"/>
        <v>460</v>
      </c>
      <c r="G723" s="43" t="str">
        <f>_xlfn.XLOOKUP($A723,Map!$A:$A,Map!C:C)</f>
        <v>IS</v>
      </c>
      <c r="H723" s="43" t="str">
        <f>_xlfn.XLOOKUP($A723,Map!$A:$A,Map!D:D)</f>
        <v>Cost of sales</v>
      </c>
      <c r="I723" s="43" t="str">
        <f>_xlfn.XLOOKUP($A723,Map!$A:$A,Map!E:E)</f>
        <v>Overhead - Labor Cost</v>
      </c>
      <c r="J723" s="43" t="str">
        <f>_xlfn.XLOOKUP($A723,Map!$A:$A,Map!F:F)</f>
        <v>Transportation allowance</v>
      </c>
    </row>
    <row r="724" spans="1:10" x14ac:dyDescent="0.25">
      <c r="A724">
        <v>600006</v>
      </c>
      <c r="B724" t="s">
        <v>1354</v>
      </c>
      <c r="D724" s="116">
        <v>37952.68</v>
      </c>
      <c r="E724" s="116">
        <v>0</v>
      </c>
      <c r="F724" s="116">
        <f t="shared" si="8"/>
        <v>37952.68</v>
      </c>
      <c r="G724" s="43" t="str">
        <f>_xlfn.XLOOKUP($A724,Map!$A:$A,Map!C:C)</f>
        <v>IS</v>
      </c>
      <c r="H724" s="43" t="str">
        <f>_xlfn.XLOOKUP($A724,Map!$A:$A,Map!D:D)</f>
        <v>Cost of sales</v>
      </c>
      <c r="I724" s="43" t="str">
        <f>_xlfn.XLOOKUP($A724,Map!$A:$A,Map!E:E)</f>
        <v>Overhead - Labor Cost</v>
      </c>
      <c r="J724" s="43" t="str">
        <f>_xlfn.XLOOKUP($A724,Map!$A:$A,Map!F:F)</f>
        <v xml:space="preserve">Food &amp; Housing </v>
      </c>
    </row>
    <row r="725" spans="1:10" x14ac:dyDescent="0.25">
      <c r="A725">
        <v>600005</v>
      </c>
      <c r="B725" t="s">
        <v>1354</v>
      </c>
      <c r="D725" s="116">
        <v>56800</v>
      </c>
      <c r="E725" s="116">
        <v>0</v>
      </c>
      <c r="F725" s="116">
        <f t="shared" si="8"/>
        <v>56800</v>
      </c>
      <c r="G725" s="43" t="str">
        <f>_xlfn.XLOOKUP($A725,Map!$A:$A,Map!C:C)</f>
        <v>IS</v>
      </c>
      <c r="H725" s="43" t="str">
        <f>_xlfn.XLOOKUP($A725,Map!$A:$A,Map!D:D)</f>
        <v>General and Admin</v>
      </c>
      <c r="I725" s="43" t="str">
        <f>_xlfn.XLOOKUP($A725,Map!$A:$A,Map!E:E)</f>
        <v>Govt license and fees (including modon)</v>
      </c>
      <c r="J725" s="43" t="str">
        <f>_xlfn.XLOOKUP($A725,Map!$A:$A,Map!F:F)</f>
        <v>Government fees</v>
      </c>
    </row>
    <row r="726" spans="1:10" x14ac:dyDescent="0.25">
      <c r="A726">
        <v>600004</v>
      </c>
      <c r="B726" t="s">
        <v>1354</v>
      </c>
      <c r="D726" s="116">
        <v>18455.740000000002</v>
      </c>
      <c r="E726" s="116">
        <v>0</v>
      </c>
      <c r="F726" s="116">
        <f t="shared" si="8"/>
        <v>18455.740000000002</v>
      </c>
      <c r="G726" s="43" t="str">
        <f>_xlfn.XLOOKUP($A726,Map!$A:$A,Map!C:C)</f>
        <v>IS</v>
      </c>
      <c r="H726" s="43" t="str">
        <f>_xlfn.XLOOKUP($A726,Map!$A:$A,Map!D:D)</f>
        <v>Cost of sales</v>
      </c>
      <c r="I726" s="43" t="str">
        <f>_xlfn.XLOOKUP($A726,Map!$A:$A,Map!E:E)</f>
        <v>Overhead - Labor Cost</v>
      </c>
      <c r="J726" s="43" t="str">
        <f>_xlfn.XLOOKUP($A726,Map!$A:$A,Map!F:F)</f>
        <v>Medical insurance</v>
      </c>
    </row>
    <row r="727" spans="1:10" x14ac:dyDescent="0.25">
      <c r="A727">
        <v>600003</v>
      </c>
      <c r="B727" t="s">
        <v>1354</v>
      </c>
      <c r="D727" s="116">
        <v>4026</v>
      </c>
      <c r="E727" s="116">
        <v>0</v>
      </c>
      <c r="F727" s="116">
        <f t="shared" si="8"/>
        <v>4026</v>
      </c>
      <c r="G727" s="43" t="str">
        <f>_xlfn.XLOOKUP($A727,Map!$A:$A,Map!C:C)</f>
        <v>IS</v>
      </c>
      <c r="H727" s="43" t="str">
        <f>_xlfn.XLOOKUP($A727,Map!$A:$A,Map!D:D)</f>
        <v>Cost of sales</v>
      </c>
      <c r="I727" s="43" t="str">
        <f>_xlfn.XLOOKUP($A727,Map!$A:$A,Map!E:E)</f>
        <v>Overhead - Labor Cost</v>
      </c>
      <c r="J727" s="43" t="str">
        <f>_xlfn.XLOOKUP($A727,Map!$A:$A,Map!F:F)</f>
        <v xml:space="preserve">Food &amp; Housing </v>
      </c>
    </row>
    <row r="728" spans="1:10" x14ac:dyDescent="0.25">
      <c r="A728">
        <v>600002</v>
      </c>
      <c r="B728" t="s">
        <v>1354</v>
      </c>
      <c r="D728" s="116">
        <v>17046</v>
      </c>
      <c r="E728" s="116">
        <v>0</v>
      </c>
      <c r="F728" s="116">
        <f t="shared" si="8"/>
        <v>17046</v>
      </c>
      <c r="G728" s="43" t="str">
        <f>_xlfn.XLOOKUP($A728,Map!$A:$A,Map!C:C)</f>
        <v>IS</v>
      </c>
      <c r="H728" s="43" t="str">
        <f>_xlfn.XLOOKUP($A728,Map!$A:$A,Map!D:D)</f>
        <v>Cost of sales</v>
      </c>
      <c r="I728" s="43" t="str">
        <f>_xlfn.XLOOKUP($A728,Map!$A:$A,Map!E:E)</f>
        <v>Overhead - Labor Cost</v>
      </c>
      <c r="J728" s="43" t="str">
        <f>_xlfn.XLOOKUP($A728,Map!$A:$A,Map!F:F)</f>
        <v>Overtime pay</v>
      </c>
    </row>
    <row r="729" spans="1:10" x14ac:dyDescent="0.25">
      <c r="A729">
        <v>600001</v>
      </c>
      <c r="B729" t="s">
        <v>1354</v>
      </c>
      <c r="D729" s="116">
        <v>111452</v>
      </c>
      <c r="E729" s="116">
        <v>0</v>
      </c>
      <c r="F729" s="116">
        <f t="shared" si="8"/>
        <v>111452</v>
      </c>
      <c r="G729" s="43" t="str">
        <f>_xlfn.XLOOKUP($A729,Map!$A:$A,Map!C:C)</f>
        <v>IS</v>
      </c>
      <c r="H729" s="43" t="str">
        <f>_xlfn.XLOOKUP($A729,Map!$A:$A,Map!D:D)</f>
        <v>Cost of sales</v>
      </c>
      <c r="I729" s="43" t="str">
        <f>_xlfn.XLOOKUP($A729,Map!$A:$A,Map!E:E)</f>
        <v>Overhead - Labor Cost</v>
      </c>
      <c r="J729" s="43" t="str">
        <f>_xlfn.XLOOKUP($A729,Map!$A:$A,Map!F:F)</f>
        <v>Indirect Salaries — factory supervisory / indirect floor labour (COGS)</v>
      </c>
    </row>
    <row r="730" spans="1:10" x14ac:dyDescent="0.25">
      <c r="A730">
        <v>520042</v>
      </c>
      <c r="B730" t="s">
        <v>1354</v>
      </c>
      <c r="D730" s="116">
        <v>16125.263000000001</v>
      </c>
      <c r="E730" s="116">
        <v>0</v>
      </c>
      <c r="F730" s="116">
        <f t="shared" si="8"/>
        <v>16125.263000000001</v>
      </c>
      <c r="G730" s="43" t="str">
        <f>_xlfn.XLOOKUP($A730,Map!$A:$A,Map!C:C)</f>
        <v>IS</v>
      </c>
      <c r="H730" s="43" t="str">
        <f>_xlfn.XLOOKUP($A730,Map!$A:$A,Map!D:D)</f>
        <v>Cost of sales</v>
      </c>
      <c r="I730" s="43" t="str">
        <f>_xlfn.XLOOKUP($A730,Map!$A:$A,Map!E:E)</f>
        <v>Raw materials</v>
      </c>
      <c r="J730" s="43" t="str">
        <f>_xlfn.XLOOKUP($A730,Map!$A:$A,Map!F:F)</f>
        <v>Inventory Adjustment</v>
      </c>
    </row>
    <row r="731" spans="1:10" x14ac:dyDescent="0.25">
      <c r="A731">
        <v>520041</v>
      </c>
      <c r="B731" t="s">
        <v>1354</v>
      </c>
      <c r="D731" s="116">
        <v>0</v>
      </c>
      <c r="E731" s="116">
        <v>825301.72600000002</v>
      </c>
      <c r="F731" s="116">
        <f t="shared" si="8"/>
        <v>-825301.72600000002</v>
      </c>
      <c r="G731" s="43" t="str">
        <f>_xlfn.XLOOKUP($A731,Map!$A:$A,Map!C:C)</f>
        <v>IS</v>
      </c>
      <c r="H731" s="43" t="str">
        <f>_xlfn.XLOOKUP($A731,Map!$A:$A,Map!D:D)</f>
        <v>Cost of sales</v>
      </c>
      <c r="I731" s="43" t="str">
        <f>_xlfn.XLOOKUP($A731,Map!$A:$A,Map!E:E)</f>
        <v>Raw materials</v>
      </c>
      <c r="J731" s="43" t="str">
        <f>_xlfn.XLOOKUP($A731,Map!$A:$A,Map!F:F)</f>
        <v>Other expenses</v>
      </c>
    </row>
    <row r="732" spans="1:10" x14ac:dyDescent="0.25">
      <c r="A732">
        <v>520037</v>
      </c>
      <c r="B732" t="s">
        <v>1354</v>
      </c>
      <c r="D732" s="116">
        <v>49807.714999999997</v>
      </c>
      <c r="E732" s="116">
        <v>0</v>
      </c>
      <c r="F732" s="116">
        <f t="shared" si="8"/>
        <v>49807.714999999997</v>
      </c>
      <c r="G732" s="43" t="str">
        <f>_xlfn.XLOOKUP($A732,Map!$A:$A,Map!C:C)</f>
        <v>IS</v>
      </c>
      <c r="H732" s="43" t="str">
        <f>_xlfn.XLOOKUP($A732,Map!$A:$A,Map!D:D)</f>
        <v>Cost of sales</v>
      </c>
      <c r="I732" s="43" t="str">
        <f>_xlfn.XLOOKUP($A732,Map!$A:$A,Map!E:E)</f>
        <v>Raw materials</v>
      </c>
      <c r="J732" s="43" t="str">
        <f>_xlfn.XLOOKUP($A732,Map!$A:$A,Map!F:F)</f>
        <v>Raw materials</v>
      </c>
    </row>
    <row r="733" spans="1:10" x14ac:dyDescent="0.25">
      <c r="A733">
        <v>520036</v>
      </c>
      <c r="B733" t="s">
        <v>1354</v>
      </c>
      <c r="D733" s="116">
        <v>0</v>
      </c>
      <c r="E733" s="116">
        <v>1E-3</v>
      </c>
      <c r="F733" s="116">
        <f t="shared" si="8"/>
        <v>-1E-3</v>
      </c>
      <c r="G733" s="43" t="str">
        <f>_xlfn.XLOOKUP($A733,Map!$A:$A,Map!C:C)</f>
        <v>IS</v>
      </c>
      <c r="H733" s="43" t="str">
        <f>_xlfn.XLOOKUP($A733,Map!$A:$A,Map!D:D)</f>
        <v>Cost of sales</v>
      </c>
      <c r="I733" s="43" t="str">
        <f>_xlfn.XLOOKUP($A733,Map!$A:$A,Map!E:E)</f>
        <v>Raw materials</v>
      </c>
      <c r="J733" s="43" t="str">
        <f>_xlfn.XLOOKUP($A733,Map!$A:$A,Map!F:F)</f>
        <v>Raw materials</v>
      </c>
    </row>
    <row r="734" spans="1:10" x14ac:dyDescent="0.25">
      <c r="A734">
        <v>520021</v>
      </c>
      <c r="B734" t="s">
        <v>1354</v>
      </c>
      <c r="D734" s="116">
        <v>4907</v>
      </c>
      <c r="E734" s="116">
        <v>0</v>
      </c>
      <c r="F734" s="116">
        <f t="shared" si="8"/>
        <v>4907</v>
      </c>
      <c r="G734" s="43" t="str">
        <f>_xlfn.XLOOKUP($A734,Map!$A:$A,Map!C:C)</f>
        <v>IS</v>
      </c>
      <c r="H734" s="43" t="str">
        <f>_xlfn.XLOOKUP($A734,Map!$A:$A,Map!D:D)</f>
        <v>Cost of sales</v>
      </c>
      <c r="I734" s="43" t="str">
        <f>_xlfn.XLOOKUP($A734,Map!$A:$A,Map!E:E)</f>
        <v>Direct Labor</v>
      </c>
      <c r="J734" s="43" t="str">
        <f>_xlfn.XLOOKUP($A734,Map!$A:$A,Map!F:F)</f>
        <v>Medical insurance</v>
      </c>
    </row>
    <row r="735" spans="1:10" x14ac:dyDescent="0.25">
      <c r="A735">
        <v>520011</v>
      </c>
      <c r="B735" t="s">
        <v>1354</v>
      </c>
      <c r="D735" s="116">
        <v>13646</v>
      </c>
      <c r="E735" s="116">
        <v>0</v>
      </c>
      <c r="F735" s="116">
        <f t="shared" si="8"/>
        <v>13646</v>
      </c>
      <c r="G735" s="43" t="str">
        <f>_xlfn.XLOOKUP($A735,Map!$A:$A,Map!C:C)</f>
        <v>IS</v>
      </c>
      <c r="H735" s="43" t="str">
        <f>_xlfn.XLOOKUP($A735,Map!$A:$A,Map!D:D)</f>
        <v>Cost of sales</v>
      </c>
      <c r="I735" s="43" t="str">
        <f>_xlfn.XLOOKUP($A735,Map!$A:$A,Map!E:E)</f>
        <v>Direct Labor</v>
      </c>
      <c r="J735" s="43" t="str">
        <f>_xlfn.XLOOKUP($A735,Map!$A:$A,Map!F:F)</f>
        <v>Overtime pay</v>
      </c>
    </row>
    <row r="736" spans="1:10" x14ac:dyDescent="0.25">
      <c r="A736">
        <v>520011</v>
      </c>
      <c r="B736" t="s">
        <v>1354</v>
      </c>
      <c r="D736" s="116">
        <v>13471</v>
      </c>
      <c r="E736" s="116">
        <v>0</v>
      </c>
      <c r="F736" s="116">
        <f t="shared" si="8"/>
        <v>13471</v>
      </c>
      <c r="G736" s="43" t="str">
        <f>_xlfn.XLOOKUP($A736,Map!$A:$A,Map!C:C)</f>
        <v>IS</v>
      </c>
      <c r="H736" s="43" t="str">
        <f>_xlfn.XLOOKUP($A736,Map!$A:$A,Map!D:D)</f>
        <v>Cost of sales</v>
      </c>
      <c r="I736" s="43" t="str">
        <f>_xlfn.XLOOKUP($A736,Map!$A:$A,Map!E:E)</f>
        <v>Direct Labor</v>
      </c>
      <c r="J736" s="43" t="str">
        <f>_xlfn.XLOOKUP($A736,Map!$A:$A,Map!F:F)</f>
        <v>Overtime pay</v>
      </c>
    </row>
    <row r="737" spans="1:10" x14ac:dyDescent="0.25">
      <c r="A737">
        <v>520006</v>
      </c>
      <c r="B737" t="s">
        <v>1354</v>
      </c>
      <c r="D737" s="116">
        <v>6405</v>
      </c>
      <c r="E737" s="116">
        <v>0</v>
      </c>
      <c r="F737" s="116">
        <f t="shared" si="8"/>
        <v>6405</v>
      </c>
      <c r="G737" s="43" t="str">
        <f>_xlfn.XLOOKUP($A737,Map!$A:$A,Map!C:C)</f>
        <v>IS</v>
      </c>
      <c r="H737" s="43" t="str">
        <f>_xlfn.XLOOKUP($A737,Map!$A:$A,Map!D:D)</f>
        <v>Cost of sales</v>
      </c>
      <c r="I737" s="43" t="str">
        <f>_xlfn.XLOOKUP($A737,Map!$A:$A,Map!E:E)</f>
        <v>Direct Labor</v>
      </c>
      <c r="J737" s="43" t="str">
        <f>_xlfn.XLOOKUP($A737,Map!$A:$A,Map!F:F)</f>
        <v>Medical insurance</v>
      </c>
    </row>
    <row r="738" spans="1:10" x14ac:dyDescent="0.25">
      <c r="A738">
        <v>520006</v>
      </c>
      <c r="B738" t="s">
        <v>1354</v>
      </c>
      <c r="D738" s="116">
        <v>3208</v>
      </c>
      <c r="E738" s="116">
        <v>0</v>
      </c>
      <c r="F738" s="116">
        <f t="shared" si="8"/>
        <v>3208</v>
      </c>
      <c r="G738" s="43" t="str">
        <f>_xlfn.XLOOKUP($A738,Map!$A:$A,Map!C:C)</f>
        <v>IS</v>
      </c>
      <c r="H738" s="43" t="str">
        <f>_xlfn.XLOOKUP($A738,Map!$A:$A,Map!D:D)</f>
        <v>Cost of sales</v>
      </c>
      <c r="I738" s="43" t="str">
        <f>_xlfn.XLOOKUP($A738,Map!$A:$A,Map!E:E)</f>
        <v>Direct Labor</v>
      </c>
      <c r="J738" s="43" t="str">
        <f>_xlfn.XLOOKUP($A738,Map!$A:$A,Map!F:F)</f>
        <v>Medical insurance</v>
      </c>
    </row>
    <row r="739" spans="1:10" x14ac:dyDescent="0.25">
      <c r="A739">
        <v>520006</v>
      </c>
      <c r="B739" t="s">
        <v>1354</v>
      </c>
      <c r="D739" s="116">
        <v>2057</v>
      </c>
      <c r="E739" s="116">
        <v>0</v>
      </c>
      <c r="F739" s="116">
        <f t="shared" si="8"/>
        <v>2057</v>
      </c>
      <c r="G739" s="43" t="str">
        <f>_xlfn.XLOOKUP($A739,Map!$A:$A,Map!C:C)</f>
        <v>IS</v>
      </c>
      <c r="H739" s="43" t="str">
        <f>_xlfn.XLOOKUP($A739,Map!$A:$A,Map!D:D)</f>
        <v>Cost of sales</v>
      </c>
      <c r="I739" s="43" t="str">
        <f>_xlfn.XLOOKUP($A739,Map!$A:$A,Map!E:E)</f>
        <v>Direct Labor</v>
      </c>
      <c r="J739" s="43" t="str">
        <f>_xlfn.XLOOKUP($A739,Map!$A:$A,Map!F:F)</f>
        <v>Medical insurance</v>
      </c>
    </row>
    <row r="740" spans="1:10" x14ac:dyDescent="0.25">
      <c r="A740">
        <v>520006</v>
      </c>
      <c r="B740" t="s">
        <v>1354</v>
      </c>
      <c r="D740" s="116">
        <v>1724</v>
      </c>
      <c r="E740" s="116">
        <v>0</v>
      </c>
      <c r="F740" s="116">
        <f t="shared" si="8"/>
        <v>1724</v>
      </c>
      <c r="G740" s="43" t="str">
        <f>_xlfn.XLOOKUP($A740,Map!$A:$A,Map!C:C)</f>
        <v>IS</v>
      </c>
      <c r="H740" s="43" t="str">
        <f>_xlfn.XLOOKUP($A740,Map!$A:$A,Map!D:D)</f>
        <v>Cost of sales</v>
      </c>
      <c r="I740" s="43" t="str">
        <f>_xlfn.XLOOKUP($A740,Map!$A:$A,Map!E:E)</f>
        <v>Direct Labor</v>
      </c>
      <c r="J740" s="43" t="str">
        <f>_xlfn.XLOOKUP($A740,Map!$A:$A,Map!F:F)</f>
        <v>Medical insurance</v>
      </c>
    </row>
    <row r="741" spans="1:10" x14ac:dyDescent="0.25">
      <c r="A741">
        <v>520006</v>
      </c>
      <c r="B741" t="s">
        <v>1354</v>
      </c>
      <c r="D741" s="116">
        <v>2238</v>
      </c>
      <c r="E741" s="116">
        <v>0</v>
      </c>
      <c r="F741" s="116">
        <f t="shared" si="8"/>
        <v>2238</v>
      </c>
      <c r="G741" s="43" t="str">
        <f>_xlfn.XLOOKUP($A741,Map!$A:$A,Map!C:C)</f>
        <v>IS</v>
      </c>
      <c r="H741" s="43" t="str">
        <f>_xlfn.XLOOKUP($A741,Map!$A:$A,Map!D:D)</f>
        <v>Cost of sales</v>
      </c>
      <c r="I741" s="43" t="str">
        <f>_xlfn.XLOOKUP($A741,Map!$A:$A,Map!E:E)</f>
        <v>Direct Labor</v>
      </c>
      <c r="J741" s="43" t="str">
        <f>_xlfn.XLOOKUP($A741,Map!$A:$A,Map!F:F)</f>
        <v>Medical insurance</v>
      </c>
    </row>
    <row r="742" spans="1:10" x14ac:dyDescent="0.25">
      <c r="A742">
        <v>520006</v>
      </c>
      <c r="B742" t="s">
        <v>1354</v>
      </c>
      <c r="D742" s="116">
        <v>1460</v>
      </c>
      <c r="E742" s="116">
        <v>0</v>
      </c>
      <c r="F742" s="116">
        <f t="shared" si="8"/>
        <v>1460</v>
      </c>
      <c r="G742" s="43" t="str">
        <f>_xlfn.XLOOKUP($A742,Map!$A:$A,Map!C:C)</f>
        <v>IS</v>
      </c>
      <c r="H742" s="43" t="str">
        <f>_xlfn.XLOOKUP($A742,Map!$A:$A,Map!D:D)</f>
        <v>Cost of sales</v>
      </c>
      <c r="I742" s="43" t="str">
        <f>_xlfn.XLOOKUP($A742,Map!$A:$A,Map!E:E)</f>
        <v>Direct Labor</v>
      </c>
      <c r="J742" s="43" t="str">
        <f>_xlfn.XLOOKUP($A742,Map!$A:$A,Map!F:F)</f>
        <v>Medical insurance</v>
      </c>
    </row>
    <row r="743" spans="1:10" x14ac:dyDescent="0.25">
      <c r="A743">
        <v>520004</v>
      </c>
      <c r="B743" t="s">
        <v>1354</v>
      </c>
      <c r="D743" s="116">
        <v>4227</v>
      </c>
      <c r="E743" s="116">
        <v>0</v>
      </c>
      <c r="F743" s="116">
        <f t="shared" si="8"/>
        <v>4227</v>
      </c>
      <c r="G743" s="43" t="str">
        <f>_xlfn.XLOOKUP($A743,Map!$A:$A,Map!C:C)</f>
        <v>IS</v>
      </c>
      <c r="H743" s="43" t="str">
        <f>_xlfn.XLOOKUP($A743,Map!$A:$A,Map!D:D)</f>
        <v>Cost of sales</v>
      </c>
      <c r="I743" s="43" t="str">
        <f>_xlfn.XLOOKUP($A743,Map!$A:$A,Map!E:E)</f>
        <v>Direct Labor</v>
      </c>
      <c r="J743" s="43" t="str">
        <f>_xlfn.XLOOKUP($A743,Map!$A:$A,Map!F:F)</f>
        <v>Food and housing</v>
      </c>
    </row>
    <row r="744" spans="1:10" x14ac:dyDescent="0.25">
      <c r="A744">
        <v>520004</v>
      </c>
      <c r="B744" t="s">
        <v>1354</v>
      </c>
      <c r="D744" s="116">
        <v>2793</v>
      </c>
      <c r="E744" s="116">
        <v>0</v>
      </c>
      <c r="F744" s="116">
        <f t="shared" si="8"/>
        <v>2793</v>
      </c>
      <c r="G744" s="43" t="str">
        <f>_xlfn.XLOOKUP($A744,Map!$A:$A,Map!C:C)</f>
        <v>IS</v>
      </c>
      <c r="H744" s="43" t="str">
        <f>_xlfn.XLOOKUP($A744,Map!$A:$A,Map!D:D)</f>
        <v>Cost of sales</v>
      </c>
      <c r="I744" s="43" t="str">
        <f>_xlfn.XLOOKUP($A744,Map!$A:$A,Map!E:E)</f>
        <v>Direct Labor</v>
      </c>
      <c r="J744" s="43" t="str">
        <f>_xlfn.XLOOKUP($A744,Map!$A:$A,Map!F:F)</f>
        <v>Food and housing</v>
      </c>
    </row>
    <row r="745" spans="1:10" x14ac:dyDescent="0.25">
      <c r="A745">
        <v>520003</v>
      </c>
      <c r="B745" t="s">
        <v>1354</v>
      </c>
      <c r="D745" s="116">
        <v>3050</v>
      </c>
      <c r="E745" s="116">
        <v>0</v>
      </c>
      <c r="F745" s="116">
        <f t="shared" si="8"/>
        <v>3050</v>
      </c>
      <c r="G745" s="43" t="str">
        <f>_xlfn.XLOOKUP($A745,Map!$A:$A,Map!C:C)</f>
        <v>IS</v>
      </c>
      <c r="H745" s="43" t="str">
        <f>_xlfn.XLOOKUP($A745,Map!$A:$A,Map!D:D)</f>
        <v>Cost of sales</v>
      </c>
      <c r="I745" s="43" t="str">
        <f>_xlfn.XLOOKUP($A745,Map!$A:$A,Map!E:E)</f>
        <v>Direct Labor</v>
      </c>
      <c r="J745" s="43" t="str">
        <f>_xlfn.XLOOKUP($A745,Map!$A:$A,Map!F:F)</f>
        <v>Transportation allowance</v>
      </c>
    </row>
    <row r="746" spans="1:10" x14ac:dyDescent="0.25">
      <c r="A746">
        <v>520001</v>
      </c>
      <c r="B746" t="s">
        <v>1354</v>
      </c>
      <c r="D746" s="116">
        <v>146266</v>
      </c>
      <c r="E746" s="116">
        <v>0</v>
      </c>
      <c r="F746" s="116">
        <f t="shared" si="8"/>
        <v>146266</v>
      </c>
      <c r="G746" s="43" t="str">
        <f>_xlfn.XLOOKUP($A746,Map!$A:$A,Map!C:C)</f>
        <v>IS</v>
      </c>
      <c r="H746" s="43" t="str">
        <f>_xlfn.XLOOKUP($A746,Map!$A:$A,Map!D:D)</f>
        <v>Cost of sales</v>
      </c>
      <c r="I746" s="43" t="str">
        <f>_xlfn.XLOOKUP($A746,Map!$A:$A,Map!E:E)</f>
        <v>Direct Labor</v>
      </c>
      <c r="J746" s="43" t="str">
        <f>_xlfn.XLOOKUP($A746,Map!$A:$A,Map!F:F)</f>
        <v>Salaries and wages</v>
      </c>
    </row>
    <row r="747" spans="1:10" x14ac:dyDescent="0.25">
      <c r="A747">
        <v>520001</v>
      </c>
      <c r="B747" t="s">
        <v>1354</v>
      </c>
      <c r="D747" s="116">
        <v>19747</v>
      </c>
      <c r="E747" s="116">
        <v>0</v>
      </c>
      <c r="F747" s="116">
        <f t="shared" si="8"/>
        <v>19747</v>
      </c>
      <c r="G747" s="43" t="str">
        <f>_xlfn.XLOOKUP($A747,Map!$A:$A,Map!C:C)</f>
        <v>IS</v>
      </c>
      <c r="H747" s="43" t="str">
        <f>_xlfn.XLOOKUP($A747,Map!$A:$A,Map!D:D)</f>
        <v>Cost of sales</v>
      </c>
      <c r="I747" s="43" t="str">
        <f>_xlfn.XLOOKUP($A747,Map!$A:$A,Map!E:E)</f>
        <v>Direct Labor</v>
      </c>
      <c r="J747" s="43" t="str">
        <f>_xlfn.XLOOKUP($A747,Map!$A:$A,Map!F:F)</f>
        <v>Salaries and wages</v>
      </c>
    </row>
    <row r="748" spans="1:10" x14ac:dyDescent="0.25">
      <c r="A748">
        <v>520001</v>
      </c>
      <c r="B748" t="s">
        <v>1354</v>
      </c>
      <c r="D748" s="116">
        <v>35849</v>
      </c>
      <c r="E748" s="116">
        <v>0</v>
      </c>
      <c r="F748" s="116">
        <f t="shared" si="8"/>
        <v>35849</v>
      </c>
      <c r="G748" s="43" t="str">
        <f>_xlfn.XLOOKUP($A748,Map!$A:$A,Map!C:C)</f>
        <v>IS</v>
      </c>
      <c r="H748" s="43" t="str">
        <f>_xlfn.XLOOKUP($A748,Map!$A:$A,Map!D:D)</f>
        <v>Cost of sales</v>
      </c>
      <c r="I748" s="43" t="str">
        <f>_xlfn.XLOOKUP($A748,Map!$A:$A,Map!E:E)</f>
        <v>Direct Labor</v>
      </c>
      <c r="J748" s="43" t="str">
        <f>_xlfn.XLOOKUP($A748,Map!$A:$A,Map!F:F)</f>
        <v>Salaries and wages</v>
      </c>
    </row>
    <row r="749" spans="1:10" x14ac:dyDescent="0.25">
      <c r="A749">
        <v>520001</v>
      </c>
      <c r="B749" t="s">
        <v>1354</v>
      </c>
      <c r="D749" s="116">
        <v>12461</v>
      </c>
      <c r="E749" s="116">
        <v>0</v>
      </c>
      <c r="F749" s="116">
        <f t="shared" si="8"/>
        <v>12461</v>
      </c>
      <c r="G749" s="43" t="str">
        <f>_xlfn.XLOOKUP($A749,Map!$A:$A,Map!C:C)</f>
        <v>IS</v>
      </c>
      <c r="H749" s="43" t="str">
        <f>_xlfn.XLOOKUP($A749,Map!$A:$A,Map!D:D)</f>
        <v>Cost of sales</v>
      </c>
      <c r="I749" s="43" t="str">
        <f>_xlfn.XLOOKUP($A749,Map!$A:$A,Map!E:E)</f>
        <v>Direct Labor</v>
      </c>
      <c r="J749" s="43" t="str">
        <f>_xlfn.XLOOKUP($A749,Map!$A:$A,Map!F:F)</f>
        <v>Salaries and wages</v>
      </c>
    </row>
    <row r="750" spans="1:10" x14ac:dyDescent="0.25">
      <c r="A750">
        <v>520001</v>
      </c>
      <c r="B750" t="s">
        <v>1354</v>
      </c>
      <c r="D750" s="116">
        <v>21344</v>
      </c>
      <c r="E750" s="116">
        <v>0</v>
      </c>
      <c r="F750" s="116">
        <f t="shared" si="8"/>
        <v>21344</v>
      </c>
      <c r="G750" s="43" t="str">
        <f>_xlfn.XLOOKUP($A750,Map!$A:$A,Map!C:C)</f>
        <v>IS</v>
      </c>
      <c r="H750" s="43" t="str">
        <f>_xlfn.XLOOKUP($A750,Map!$A:$A,Map!D:D)</f>
        <v>Cost of sales</v>
      </c>
      <c r="I750" s="43" t="str">
        <f>_xlfn.XLOOKUP($A750,Map!$A:$A,Map!E:E)</f>
        <v>Direct Labor</v>
      </c>
      <c r="J750" s="43" t="str">
        <f>_xlfn.XLOOKUP($A750,Map!$A:$A,Map!F:F)</f>
        <v>Salaries and wages</v>
      </c>
    </row>
    <row r="751" spans="1:10" x14ac:dyDescent="0.25">
      <c r="A751">
        <v>510004</v>
      </c>
      <c r="B751" t="s">
        <v>1354</v>
      </c>
      <c r="D751" s="116">
        <v>0</v>
      </c>
      <c r="E751" s="116">
        <v>37260.790999999997</v>
      </c>
      <c r="F751" s="116">
        <f t="shared" si="8"/>
        <v>-37260.790999999997</v>
      </c>
      <c r="G751" s="43" t="str">
        <f>_xlfn.XLOOKUP($A751,Map!$A:$A,Map!C:C)</f>
        <v>IS</v>
      </c>
      <c r="H751" s="43" t="str">
        <f>_xlfn.XLOOKUP($A751,Map!$A:$A,Map!D:D)</f>
        <v>Cost of sales</v>
      </c>
      <c r="I751" s="43" t="str">
        <f>_xlfn.XLOOKUP($A751,Map!$A:$A,Map!E:E)</f>
        <v>Raw materials</v>
      </c>
      <c r="J751" s="43" t="str">
        <f>_xlfn.XLOOKUP($A751,Map!$A:$A,Map!F:F)</f>
        <v>Other expenses</v>
      </c>
    </row>
    <row r="752" spans="1:10" x14ac:dyDescent="0.25">
      <c r="A752">
        <v>510004</v>
      </c>
      <c r="B752" t="s">
        <v>1354</v>
      </c>
      <c r="D752" s="116">
        <v>0</v>
      </c>
      <c r="E752" s="116">
        <v>15584.565000000001</v>
      </c>
      <c r="F752" s="116">
        <f t="shared" si="8"/>
        <v>-15584.565000000001</v>
      </c>
      <c r="G752" s="43" t="str">
        <f>_xlfn.XLOOKUP($A752,Map!$A:$A,Map!C:C)</f>
        <v>IS</v>
      </c>
      <c r="H752" s="43" t="str">
        <f>_xlfn.XLOOKUP($A752,Map!$A:$A,Map!D:D)</f>
        <v>Cost of sales</v>
      </c>
      <c r="I752" s="43" t="str">
        <f>_xlfn.XLOOKUP($A752,Map!$A:$A,Map!E:E)</f>
        <v>Raw materials</v>
      </c>
      <c r="J752" s="43" t="str">
        <f>_xlfn.XLOOKUP($A752,Map!$A:$A,Map!F:F)</f>
        <v>Other expenses</v>
      </c>
    </row>
    <row r="753" spans="1:10" x14ac:dyDescent="0.25">
      <c r="A753">
        <v>510004</v>
      </c>
      <c r="B753" t="s">
        <v>1354</v>
      </c>
      <c r="D753" s="116">
        <v>0</v>
      </c>
      <c r="E753" s="116">
        <v>751.65300000000002</v>
      </c>
      <c r="F753" s="116">
        <f t="shared" si="8"/>
        <v>-751.65300000000002</v>
      </c>
      <c r="G753" s="43" t="str">
        <f>_xlfn.XLOOKUP($A753,Map!$A:$A,Map!C:C)</f>
        <v>IS</v>
      </c>
      <c r="H753" s="43" t="str">
        <f>_xlfn.XLOOKUP($A753,Map!$A:$A,Map!D:D)</f>
        <v>Cost of sales</v>
      </c>
      <c r="I753" s="43" t="str">
        <f>_xlfn.XLOOKUP($A753,Map!$A:$A,Map!E:E)</f>
        <v>Raw materials</v>
      </c>
      <c r="J753" s="43" t="str">
        <f>_xlfn.XLOOKUP($A753,Map!$A:$A,Map!F:F)</f>
        <v>Other expenses</v>
      </c>
    </row>
    <row r="754" spans="1:10" x14ac:dyDescent="0.25">
      <c r="A754">
        <v>510004</v>
      </c>
      <c r="B754" t="s">
        <v>1354</v>
      </c>
      <c r="D754" s="116">
        <v>0</v>
      </c>
      <c r="E754" s="116">
        <v>19517.437999999998</v>
      </c>
      <c r="F754" s="116">
        <f t="shared" si="8"/>
        <v>-19517.437999999998</v>
      </c>
      <c r="G754" s="43" t="str">
        <f>_xlfn.XLOOKUP($A754,Map!$A:$A,Map!C:C)</f>
        <v>IS</v>
      </c>
      <c r="H754" s="43" t="str">
        <f>_xlfn.XLOOKUP($A754,Map!$A:$A,Map!D:D)</f>
        <v>Cost of sales</v>
      </c>
      <c r="I754" s="43" t="str">
        <f>_xlfn.XLOOKUP($A754,Map!$A:$A,Map!E:E)</f>
        <v>Raw materials</v>
      </c>
      <c r="J754" s="43" t="str">
        <f>_xlfn.XLOOKUP($A754,Map!$A:$A,Map!F:F)</f>
        <v>Other expenses</v>
      </c>
    </row>
    <row r="755" spans="1:10" x14ac:dyDescent="0.25">
      <c r="A755">
        <v>510004</v>
      </c>
      <c r="B755" t="s">
        <v>1354</v>
      </c>
      <c r="D755" s="116">
        <v>0</v>
      </c>
      <c r="E755" s="116">
        <v>17782.294000000002</v>
      </c>
      <c r="F755" s="116">
        <f t="shared" si="8"/>
        <v>-17782.294000000002</v>
      </c>
      <c r="G755" s="43" t="str">
        <f>_xlfn.XLOOKUP($A755,Map!$A:$A,Map!C:C)</f>
        <v>IS</v>
      </c>
      <c r="H755" s="43" t="str">
        <f>_xlfn.XLOOKUP($A755,Map!$A:$A,Map!D:D)</f>
        <v>Cost of sales</v>
      </c>
      <c r="I755" s="43" t="str">
        <f>_xlfn.XLOOKUP($A755,Map!$A:$A,Map!E:E)</f>
        <v>Raw materials</v>
      </c>
      <c r="J755" s="43" t="str">
        <f>_xlfn.XLOOKUP($A755,Map!$A:$A,Map!F:F)</f>
        <v>Other expenses</v>
      </c>
    </row>
    <row r="756" spans="1:10" x14ac:dyDescent="0.25">
      <c r="A756">
        <v>510004</v>
      </c>
      <c r="B756" t="s">
        <v>1354</v>
      </c>
      <c r="D756" s="116">
        <v>0</v>
      </c>
      <c r="E756" s="116">
        <v>4624.6779999999999</v>
      </c>
      <c r="F756" s="116">
        <f t="shared" si="8"/>
        <v>-4624.6779999999999</v>
      </c>
      <c r="G756" s="43" t="str">
        <f>_xlfn.XLOOKUP($A756,Map!$A:$A,Map!C:C)</f>
        <v>IS</v>
      </c>
      <c r="H756" s="43" t="str">
        <f>_xlfn.XLOOKUP($A756,Map!$A:$A,Map!D:D)</f>
        <v>Cost of sales</v>
      </c>
      <c r="I756" s="43" t="str">
        <f>_xlfn.XLOOKUP($A756,Map!$A:$A,Map!E:E)</f>
        <v>Raw materials</v>
      </c>
      <c r="J756" s="43" t="str">
        <f>_xlfn.XLOOKUP($A756,Map!$A:$A,Map!F:F)</f>
        <v>Other expenses</v>
      </c>
    </row>
    <row r="757" spans="1:10" x14ac:dyDescent="0.25">
      <c r="A757">
        <v>510004</v>
      </c>
      <c r="B757" t="s">
        <v>1354</v>
      </c>
      <c r="D757" s="116">
        <v>0</v>
      </c>
      <c r="E757" s="116">
        <v>568.4</v>
      </c>
      <c r="F757" s="116">
        <f t="shared" si="8"/>
        <v>-568.4</v>
      </c>
      <c r="G757" s="43" t="str">
        <f>_xlfn.XLOOKUP($A757,Map!$A:$A,Map!C:C)</f>
        <v>IS</v>
      </c>
      <c r="H757" s="43" t="str">
        <f>_xlfn.XLOOKUP($A757,Map!$A:$A,Map!D:D)</f>
        <v>Cost of sales</v>
      </c>
      <c r="I757" s="43" t="str">
        <f>_xlfn.XLOOKUP($A757,Map!$A:$A,Map!E:E)</f>
        <v>Raw materials</v>
      </c>
      <c r="J757" s="43" t="str">
        <f>_xlfn.XLOOKUP($A757,Map!$A:$A,Map!F:F)</f>
        <v>Other expenses</v>
      </c>
    </row>
    <row r="758" spans="1:10" x14ac:dyDescent="0.25">
      <c r="A758">
        <v>510004</v>
      </c>
      <c r="B758" t="s">
        <v>1354</v>
      </c>
      <c r="D758" s="116">
        <v>0</v>
      </c>
      <c r="E758" s="116">
        <v>8167.3739999999998</v>
      </c>
      <c r="F758" s="116">
        <f t="shared" si="8"/>
        <v>-8167.3739999999998</v>
      </c>
      <c r="G758" s="43" t="str">
        <f>_xlfn.XLOOKUP($A758,Map!$A:$A,Map!C:C)</f>
        <v>IS</v>
      </c>
      <c r="H758" s="43" t="str">
        <f>_xlfn.XLOOKUP($A758,Map!$A:$A,Map!D:D)</f>
        <v>Cost of sales</v>
      </c>
      <c r="I758" s="43" t="str">
        <f>_xlfn.XLOOKUP($A758,Map!$A:$A,Map!E:E)</f>
        <v>Raw materials</v>
      </c>
      <c r="J758" s="43" t="str">
        <f>_xlfn.XLOOKUP($A758,Map!$A:$A,Map!F:F)</f>
        <v>Other expenses</v>
      </c>
    </row>
    <row r="759" spans="1:10" x14ac:dyDescent="0.25">
      <c r="A759">
        <v>510004</v>
      </c>
      <c r="B759" t="s">
        <v>1354</v>
      </c>
      <c r="D759" s="116">
        <v>0</v>
      </c>
      <c r="E759" s="116">
        <v>47259.023000000001</v>
      </c>
      <c r="F759" s="116">
        <f t="shared" si="8"/>
        <v>-47259.023000000001</v>
      </c>
      <c r="G759" s="43" t="str">
        <f>_xlfn.XLOOKUP($A759,Map!$A:$A,Map!C:C)</f>
        <v>IS</v>
      </c>
      <c r="H759" s="43" t="str">
        <f>_xlfn.XLOOKUP($A759,Map!$A:$A,Map!D:D)</f>
        <v>Cost of sales</v>
      </c>
      <c r="I759" s="43" t="str">
        <f>_xlfn.XLOOKUP($A759,Map!$A:$A,Map!E:E)</f>
        <v>Raw materials</v>
      </c>
      <c r="J759" s="43" t="str">
        <f>_xlfn.XLOOKUP($A759,Map!$A:$A,Map!F:F)</f>
        <v>Other expenses</v>
      </c>
    </row>
    <row r="760" spans="1:10" x14ac:dyDescent="0.25">
      <c r="A760">
        <v>510004</v>
      </c>
      <c r="B760" t="s">
        <v>1354</v>
      </c>
      <c r="D760" s="116">
        <v>0</v>
      </c>
      <c r="E760" s="116">
        <v>3912.8969999999999</v>
      </c>
      <c r="F760" s="116">
        <f t="shared" si="8"/>
        <v>-3912.8969999999999</v>
      </c>
      <c r="G760" s="43" t="str">
        <f>_xlfn.XLOOKUP($A760,Map!$A:$A,Map!C:C)</f>
        <v>IS</v>
      </c>
      <c r="H760" s="43" t="str">
        <f>_xlfn.XLOOKUP($A760,Map!$A:$A,Map!D:D)</f>
        <v>Cost of sales</v>
      </c>
      <c r="I760" s="43" t="str">
        <f>_xlfn.XLOOKUP($A760,Map!$A:$A,Map!E:E)</f>
        <v>Raw materials</v>
      </c>
      <c r="J760" s="43" t="str">
        <f>_xlfn.XLOOKUP($A760,Map!$A:$A,Map!F:F)</f>
        <v>Other expenses</v>
      </c>
    </row>
    <row r="761" spans="1:10" x14ac:dyDescent="0.25">
      <c r="A761">
        <v>510002</v>
      </c>
      <c r="B761" t="s">
        <v>1354</v>
      </c>
      <c r="D761" s="116">
        <v>0</v>
      </c>
      <c r="E761" s="116">
        <v>2793</v>
      </c>
      <c r="F761" s="116">
        <f t="shared" si="8"/>
        <v>-2793</v>
      </c>
      <c r="G761" s="43" t="str">
        <f>_xlfn.XLOOKUP($A761,Map!$A:$A,Map!C:C)</f>
        <v>IS</v>
      </c>
      <c r="H761" s="43" t="str">
        <f>_xlfn.XLOOKUP($A761,Map!$A:$A,Map!D:D)</f>
        <v>Cost of sales</v>
      </c>
      <c r="I761" s="43" t="str">
        <f>_xlfn.XLOOKUP($A761,Map!$A:$A,Map!E:E)</f>
        <v>Direct Labor</v>
      </c>
      <c r="J761" s="43" t="str">
        <f>_xlfn.XLOOKUP($A761,Map!$A:$A,Map!F:F)</f>
        <v>Direct Labor</v>
      </c>
    </row>
    <row r="762" spans="1:10" x14ac:dyDescent="0.25">
      <c r="A762">
        <v>510002</v>
      </c>
      <c r="B762" t="s">
        <v>1354</v>
      </c>
      <c r="D762" s="116">
        <v>0</v>
      </c>
      <c r="E762" s="116">
        <v>176600</v>
      </c>
      <c r="F762" s="116">
        <f t="shared" si="8"/>
        <v>-176600</v>
      </c>
      <c r="G762" s="43" t="str">
        <f>_xlfn.XLOOKUP($A762,Map!$A:$A,Map!C:C)</f>
        <v>IS</v>
      </c>
      <c r="H762" s="43" t="str">
        <f>_xlfn.XLOOKUP($A762,Map!$A:$A,Map!D:D)</f>
        <v>Cost of sales</v>
      </c>
      <c r="I762" s="43" t="str">
        <f>_xlfn.XLOOKUP($A762,Map!$A:$A,Map!E:E)</f>
        <v>Direct Labor</v>
      </c>
      <c r="J762" s="43" t="str">
        <f>_xlfn.XLOOKUP($A762,Map!$A:$A,Map!F:F)</f>
        <v>Direct Labor</v>
      </c>
    </row>
    <row r="763" spans="1:10" x14ac:dyDescent="0.25">
      <c r="A763">
        <v>510002</v>
      </c>
      <c r="B763" t="s">
        <v>1354</v>
      </c>
      <c r="D763" s="116">
        <v>0</v>
      </c>
      <c r="E763" s="116">
        <v>14362</v>
      </c>
      <c r="F763" s="116">
        <f t="shared" si="8"/>
        <v>-14362</v>
      </c>
      <c r="G763" s="43" t="str">
        <f>_xlfn.XLOOKUP($A763,Map!$A:$A,Map!C:C)</f>
        <v>IS</v>
      </c>
      <c r="H763" s="43" t="str">
        <f>_xlfn.XLOOKUP($A763,Map!$A:$A,Map!D:D)</f>
        <v>Cost of sales</v>
      </c>
      <c r="I763" s="43" t="str">
        <f>_xlfn.XLOOKUP($A763,Map!$A:$A,Map!E:E)</f>
        <v>Direct Labor</v>
      </c>
      <c r="J763" s="43" t="str">
        <f>_xlfn.XLOOKUP($A763,Map!$A:$A,Map!F:F)</f>
        <v>Direct Labor</v>
      </c>
    </row>
    <row r="764" spans="1:10" x14ac:dyDescent="0.25">
      <c r="A764">
        <v>510002</v>
      </c>
      <c r="B764" t="s">
        <v>1354</v>
      </c>
      <c r="D764" s="116">
        <v>0</v>
      </c>
      <c r="E764" s="116">
        <v>36426</v>
      </c>
      <c r="F764" s="116">
        <f t="shared" si="8"/>
        <v>-36426</v>
      </c>
      <c r="G764" s="43" t="str">
        <f>_xlfn.XLOOKUP($A764,Map!$A:$A,Map!C:C)</f>
        <v>IS</v>
      </c>
      <c r="H764" s="43" t="str">
        <f>_xlfn.XLOOKUP($A764,Map!$A:$A,Map!D:D)</f>
        <v>Cost of sales</v>
      </c>
      <c r="I764" s="43" t="str">
        <f>_xlfn.XLOOKUP($A764,Map!$A:$A,Map!E:E)</f>
        <v>Direct Labor</v>
      </c>
      <c r="J764" s="43" t="str">
        <f>_xlfn.XLOOKUP($A764,Map!$A:$A,Map!F:F)</f>
        <v>Direct Labor</v>
      </c>
    </row>
    <row r="765" spans="1:10" x14ac:dyDescent="0.25">
      <c r="A765">
        <v>510002</v>
      </c>
      <c r="B765" t="s">
        <v>1354</v>
      </c>
      <c r="D765" s="116">
        <v>0</v>
      </c>
      <c r="E765" s="116">
        <v>40144</v>
      </c>
      <c r="F765" s="116">
        <f t="shared" si="8"/>
        <v>-40144</v>
      </c>
      <c r="G765" s="43" t="str">
        <f>_xlfn.XLOOKUP($A765,Map!$A:$A,Map!C:C)</f>
        <v>IS</v>
      </c>
      <c r="H765" s="43" t="str">
        <f>_xlfn.XLOOKUP($A765,Map!$A:$A,Map!D:D)</f>
        <v>Cost of sales</v>
      </c>
      <c r="I765" s="43" t="str">
        <f>_xlfn.XLOOKUP($A765,Map!$A:$A,Map!E:E)</f>
        <v>Direct Labor</v>
      </c>
      <c r="J765" s="43" t="str">
        <f>_xlfn.XLOOKUP($A765,Map!$A:$A,Map!F:F)</f>
        <v>Direct Labor</v>
      </c>
    </row>
    <row r="766" spans="1:10" x14ac:dyDescent="0.25">
      <c r="A766">
        <v>510002</v>
      </c>
      <c r="B766" t="s">
        <v>1354</v>
      </c>
      <c r="D766" s="116">
        <v>0</v>
      </c>
      <c r="E766" s="116">
        <v>1724</v>
      </c>
      <c r="F766" s="116">
        <f t="shared" si="8"/>
        <v>-1724</v>
      </c>
      <c r="G766" s="43" t="str">
        <f>_xlfn.XLOOKUP($A766,Map!$A:$A,Map!C:C)</f>
        <v>IS</v>
      </c>
      <c r="H766" s="43" t="str">
        <f>_xlfn.XLOOKUP($A766,Map!$A:$A,Map!D:D)</f>
        <v>Cost of sales</v>
      </c>
      <c r="I766" s="43" t="str">
        <f>_xlfn.XLOOKUP($A766,Map!$A:$A,Map!E:E)</f>
        <v>Direct Labor</v>
      </c>
      <c r="J766" s="43" t="str">
        <f>_xlfn.XLOOKUP($A766,Map!$A:$A,Map!F:F)</f>
        <v>Direct Labor</v>
      </c>
    </row>
    <row r="767" spans="1:10" x14ac:dyDescent="0.25">
      <c r="A767">
        <v>510002</v>
      </c>
      <c r="B767" t="s">
        <v>1354</v>
      </c>
      <c r="D767" s="116">
        <v>0</v>
      </c>
      <c r="E767" s="116">
        <v>21344</v>
      </c>
      <c r="F767" s="116">
        <f t="shared" si="8"/>
        <v>-21344</v>
      </c>
      <c r="G767" s="43" t="str">
        <f>_xlfn.XLOOKUP($A767,Map!$A:$A,Map!C:C)</f>
        <v>IS</v>
      </c>
      <c r="H767" s="43" t="str">
        <f>_xlfn.XLOOKUP($A767,Map!$A:$A,Map!D:D)</f>
        <v>Cost of sales</v>
      </c>
      <c r="I767" s="43" t="str">
        <f>_xlfn.XLOOKUP($A767,Map!$A:$A,Map!E:E)</f>
        <v>Direct Labor</v>
      </c>
      <c r="J767" s="43" t="str">
        <f>_xlfn.XLOOKUP($A767,Map!$A:$A,Map!F:F)</f>
        <v>Direct Labor</v>
      </c>
    </row>
    <row r="768" spans="1:10" x14ac:dyDescent="0.25">
      <c r="A768">
        <v>510002</v>
      </c>
      <c r="B768" t="s">
        <v>1354</v>
      </c>
      <c r="D768" s="116">
        <v>0</v>
      </c>
      <c r="E768" s="116">
        <v>1460</v>
      </c>
      <c r="F768" s="116">
        <f t="shared" si="8"/>
        <v>-1460</v>
      </c>
      <c r="G768" s="43" t="str">
        <f>_xlfn.XLOOKUP($A768,Map!$A:$A,Map!C:C)</f>
        <v>IS</v>
      </c>
      <c r="H768" s="43" t="str">
        <f>_xlfn.XLOOKUP($A768,Map!$A:$A,Map!D:D)</f>
        <v>Cost of sales</v>
      </c>
      <c r="I768" s="43" t="str">
        <f>_xlfn.XLOOKUP($A768,Map!$A:$A,Map!E:E)</f>
        <v>Direct Labor</v>
      </c>
      <c r="J768" s="43" t="str">
        <f>_xlfn.XLOOKUP($A768,Map!$A:$A,Map!F:F)</f>
        <v>Direct Labor</v>
      </c>
    </row>
    <row r="769" spans="1:10" x14ac:dyDescent="0.25">
      <c r="A769">
        <v>700026</v>
      </c>
      <c r="B769" t="s">
        <v>1346</v>
      </c>
      <c r="D769" s="116">
        <v>800</v>
      </c>
      <c r="E769" s="116">
        <v>0</v>
      </c>
      <c r="F769" s="116">
        <f t="shared" si="8"/>
        <v>800</v>
      </c>
      <c r="G769" s="43" t="str">
        <f>_xlfn.XLOOKUP($A769,Map!$A:$A,Map!C:C)</f>
        <v>IS</v>
      </c>
      <c r="H769" s="43" t="str">
        <f>_xlfn.XLOOKUP($A769,Map!$A:$A,Map!D:D)</f>
        <v>General and Admin</v>
      </c>
      <c r="I769" s="43" t="str">
        <f>_xlfn.XLOOKUP($A769,Map!$A:$A,Map!E:E)</f>
        <v>Utilities</v>
      </c>
      <c r="J769" s="43" t="str">
        <f>_xlfn.XLOOKUP($A769,Map!$A:$A,Map!F:F)</f>
        <v>Magazines &amp; News Papers Exp.</v>
      </c>
    </row>
    <row r="770" spans="1:10" x14ac:dyDescent="0.25">
      <c r="A770">
        <v>700026</v>
      </c>
      <c r="B770" t="s">
        <v>1346</v>
      </c>
      <c r="D770" s="116">
        <v>0</v>
      </c>
      <c r="E770" s="116">
        <v>800</v>
      </c>
      <c r="F770" s="116">
        <f t="shared" si="8"/>
        <v>-800</v>
      </c>
      <c r="G770" s="43" t="str">
        <f>_xlfn.XLOOKUP($A770,Map!$A:$A,Map!C:C)</f>
        <v>IS</v>
      </c>
      <c r="H770" s="43" t="str">
        <f>_xlfn.XLOOKUP($A770,Map!$A:$A,Map!D:D)</f>
        <v>General and Admin</v>
      </c>
      <c r="I770" s="43" t="str">
        <f>_xlfn.XLOOKUP($A770,Map!$A:$A,Map!E:E)</f>
        <v>Utilities</v>
      </c>
      <c r="J770" s="43" t="str">
        <f>_xlfn.XLOOKUP($A770,Map!$A:$A,Map!F:F)</f>
        <v>Magazines &amp; News Papers Exp.</v>
      </c>
    </row>
    <row r="771" spans="1:10" x14ac:dyDescent="0.25">
      <c r="A771">
        <v>600031</v>
      </c>
      <c r="B771" t="s">
        <v>1346</v>
      </c>
      <c r="D771" s="116">
        <v>613.33000000000004</v>
      </c>
      <c r="E771" s="116">
        <v>0</v>
      </c>
      <c r="F771" s="116">
        <f t="shared" si="8"/>
        <v>613.33000000000004</v>
      </c>
      <c r="G771" s="43" t="str">
        <f>_xlfn.XLOOKUP($A771,Map!$A:$A,Map!C:C)</f>
        <v>IS</v>
      </c>
      <c r="H771" s="43" t="str">
        <f>_xlfn.XLOOKUP($A771,Map!$A:$A,Map!D:D)</f>
        <v>Depreciation expenses</v>
      </c>
      <c r="I771" s="43" t="str">
        <f>_xlfn.XLOOKUP($A771,Map!$A:$A,Map!E:E)</f>
        <v>Depreciation expenses</v>
      </c>
      <c r="J771" s="43" t="str">
        <f>_xlfn.XLOOKUP($A771,Map!$A:$A,Map!F:F)</f>
        <v>Depreciation of property, plant and equipment</v>
      </c>
    </row>
    <row r="772" spans="1:10" x14ac:dyDescent="0.25">
      <c r="A772">
        <v>600030</v>
      </c>
      <c r="B772" t="s">
        <v>1346</v>
      </c>
      <c r="D772" s="116">
        <v>543.16999999999996</v>
      </c>
      <c r="E772" s="116">
        <v>0</v>
      </c>
      <c r="F772" s="116">
        <f t="shared" si="8"/>
        <v>543.16999999999996</v>
      </c>
      <c r="G772" s="43" t="str">
        <f>_xlfn.XLOOKUP($A772,Map!$A:$A,Map!C:C)</f>
        <v>IS</v>
      </c>
      <c r="H772" s="43" t="str">
        <f>_xlfn.XLOOKUP($A772,Map!$A:$A,Map!D:D)</f>
        <v>Depreciation expenses</v>
      </c>
      <c r="I772" s="43" t="str">
        <f>_xlfn.XLOOKUP($A772,Map!$A:$A,Map!E:E)</f>
        <v>Depreciation expenses</v>
      </c>
      <c r="J772" s="43" t="str">
        <f>_xlfn.XLOOKUP($A772,Map!$A:$A,Map!F:F)</f>
        <v>Depreciation of property, plant and equipment</v>
      </c>
    </row>
    <row r="773" spans="1:10" x14ac:dyDescent="0.25">
      <c r="A773">
        <v>600029</v>
      </c>
      <c r="B773" t="s">
        <v>1346</v>
      </c>
      <c r="D773" s="116">
        <v>286398.58</v>
      </c>
      <c r="E773" s="116">
        <v>0</v>
      </c>
      <c r="F773" s="116">
        <f t="shared" si="8"/>
        <v>286398.58</v>
      </c>
      <c r="G773" s="43" t="str">
        <f>_xlfn.XLOOKUP($A773,Map!$A:$A,Map!C:C)</f>
        <v>IS</v>
      </c>
      <c r="H773" s="43" t="str">
        <f>_xlfn.XLOOKUP($A773,Map!$A:$A,Map!D:D)</f>
        <v>Cost of sales</v>
      </c>
      <c r="I773" s="43" t="str">
        <f>_xlfn.XLOOKUP($A773,Map!$A:$A,Map!E:E)</f>
        <v>Depreciation - Machines</v>
      </c>
      <c r="J773" s="43" t="str">
        <f>_xlfn.XLOOKUP($A773,Map!$A:$A,Map!F:F)</f>
        <v>Depreciation of property, plant and equipment</v>
      </c>
    </row>
    <row r="774" spans="1:10" x14ac:dyDescent="0.25">
      <c r="A774">
        <v>600027</v>
      </c>
      <c r="B774" t="s">
        <v>1346</v>
      </c>
      <c r="D774" s="116">
        <v>51333.34</v>
      </c>
      <c r="E774" s="116">
        <v>0</v>
      </c>
      <c r="F774" s="116">
        <f t="shared" si="8"/>
        <v>51333.34</v>
      </c>
      <c r="G774" s="43" t="str">
        <f>_xlfn.XLOOKUP($A774,Map!$A:$A,Map!C:C)</f>
        <v>IS</v>
      </c>
      <c r="H774" s="43" t="str">
        <f>_xlfn.XLOOKUP($A774,Map!$A:$A,Map!D:D)</f>
        <v>Cost of sales</v>
      </c>
      <c r="I774" s="43" t="str">
        <f>_xlfn.XLOOKUP($A774,Map!$A:$A,Map!E:E)</f>
        <v>Overhead - Rent</v>
      </c>
      <c r="J774" s="43" t="str">
        <f>_xlfn.XLOOKUP($A774,Map!$A:$A,Map!F:F)</f>
        <v>Production hall rental</v>
      </c>
    </row>
    <row r="775" spans="1:10" x14ac:dyDescent="0.25">
      <c r="A775">
        <v>600024</v>
      </c>
      <c r="B775" t="s">
        <v>1346</v>
      </c>
      <c r="D775" s="116">
        <v>15627</v>
      </c>
      <c r="E775" s="116">
        <v>0</v>
      </c>
      <c r="F775" s="116">
        <f t="shared" si="8"/>
        <v>15627</v>
      </c>
      <c r="G775" s="43" t="str">
        <f>_xlfn.XLOOKUP($A775,Map!$A:$A,Map!C:C)</f>
        <v>IS</v>
      </c>
      <c r="H775" s="43" t="str">
        <f>_xlfn.XLOOKUP($A775,Map!$A:$A,Map!D:D)</f>
        <v>Cost of sales</v>
      </c>
      <c r="I775" s="43" t="str">
        <f>_xlfn.XLOOKUP($A775,Map!$A:$A,Map!E:E)</f>
        <v>Overhead - Rent</v>
      </c>
      <c r="J775" s="43" t="str">
        <f>_xlfn.XLOOKUP($A775,Map!$A:$A,Map!F:F)</f>
        <v>Pump rental expenses</v>
      </c>
    </row>
    <row r="776" spans="1:10" x14ac:dyDescent="0.25">
      <c r="A776">
        <v>600021</v>
      </c>
      <c r="B776" t="s">
        <v>1346</v>
      </c>
      <c r="D776" s="116">
        <v>1652</v>
      </c>
      <c r="E776" s="116">
        <v>0</v>
      </c>
      <c r="F776" s="116">
        <f t="shared" si="8"/>
        <v>1652</v>
      </c>
      <c r="G776" s="43" t="str">
        <f>_xlfn.XLOOKUP($A776,Map!$A:$A,Map!C:C)</f>
        <v>IS</v>
      </c>
      <c r="H776" s="43" t="str">
        <f>_xlfn.XLOOKUP($A776,Map!$A:$A,Map!D:D)</f>
        <v>Cost of sales</v>
      </c>
      <c r="I776" s="43" t="str">
        <f>_xlfn.XLOOKUP($A776,Map!$A:$A,Map!E:E)</f>
        <v>Overhead - R&amp;M</v>
      </c>
      <c r="J776" s="43" t="str">
        <f>_xlfn.XLOOKUP($A776,Map!$A:$A,Map!F:F)</f>
        <v>Vehicle maintenance</v>
      </c>
    </row>
    <row r="777" spans="1:10" x14ac:dyDescent="0.25">
      <c r="A777">
        <v>600018</v>
      </c>
      <c r="B777" t="s">
        <v>1346</v>
      </c>
      <c r="D777" s="116">
        <v>6720</v>
      </c>
      <c r="E777" s="116">
        <v>0</v>
      </c>
      <c r="F777" s="116">
        <f t="shared" si="8"/>
        <v>6720</v>
      </c>
      <c r="G777" s="43" t="str">
        <f>_xlfn.XLOOKUP($A777,Map!$A:$A,Map!C:C)</f>
        <v>IS</v>
      </c>
      <c r="H777" s="43" t="str">
        <f>_xlfn.XLOOKUP($A777,Map!$A:$A,Map!D:D)</f>
        <v>Cost of sales</v>
      </c>
      <c r="I777" s="43" t="str">
        <f>_xlfn.XLOOKUP($A777,Map!$A:$A,Map!E:E)</f>
        <v>Overhead - Utility</v>
      </c>
      <c r="J777" s="43" t="str">
        <f>_xlfn.XLOOKUP($A777,Map!$A:$A,Map!F:F)</f>
        <v>Water expenses</v>
      </c>
    </row>
    <row r="778" spans="1:10" x14ac:dyDescent="0.25">
      <c r="A778">
        <v>600017</v>
      </c>
      <c r="B778" t="s">
        <v>1346</v>
      </c>
      <c r="D778" s="116">
        <v>189421.8</v>
      </c>
      <c r="E778" s="116">
        <v>0</v>
      </c>
      <c r="F778" s="116">
        <f t="shared" si="8"/>
        <v>189421.8</v>
      </c>
      <c r="G778" s="43" t="str">
        <f>_xlfn.XLOOKUP($A778,Map!$A:$A,Map!C:C)</f>
        <v>IS</v>
      </c>
      <c r="H778" s="43" t="str">
        <f>_xlfn.XLOOKUP($A778,Map!$A:$A,Map!D:D)</f>
        <v>Cost of sales</v>
      </c>
      <c r="I778" s="43" t="str">
        <f>_xlfn.XLOOKUP($A778,Map!$A:$A,Map!E:E)</f>
        <v>Overhead - Utility</v>
      </c>
      <c r="J778" s="43" t="str">
        <f>_xlfn.XLOOKUP($A778,Map!$A:$A,Map!F:F)</f>
        <v>Electricity expenses</v>
      </c>
    </row>
    <row r="779" spans="1:10" x14ac:dyDescent="0.25">
      <c r="A779">
        <v>600016</v>
      </c>
      <c r="B779" t="s">
        <v>1346</v>
      </c>
      <c r="D779" s="116">
        <v>4997</v>
      </c>
      <c r="E779" s="116">
        <v>0</v>
      </c>
      <c r="F779" s="116">
        <f t="shared" si="8"/>
        <v>4997</v>
      </c>
      <c r="G779" s="43" t="str">
        <f>_xlfn.XLOOKUP($A779,Map!$A:$A,Map!C:C)</f>
        <v>IS</v>
      </c>
      <c r="H779" s="43" t="str">
        <f>_xlfn.XLOOKUP($A779,Map!$A:$A,Map!D:D)</f>
        <v>Cost of sales</v>
      </c>
      <c r="I779" s="43" t="str">
        <f>_xlfn.XLOOKUP($A779,Map!$A:$A,Map!E:E)</f>
        <v>Overhead - Consumables &amp; SP</v>
      </c>
      <c r="J779" s="43" t="str">
        <f>_xlfn.XLOOKUP($A779,Map!$A:$A,Map!F:F)</f>
        <v>Tools</v>
      </c>
    </row>
    <row r="780" spans="1:10" x14ac:dyDescent="0.25">
      <c r="A780">
        <v>600014</v>
      </c>
      <c r="B780" t="s">
        <v>1346</v>
      </c>
      <c r="D780" s="116">
        <v>163142</v>
      </c>
      <c r="E780" s="116">
        <v>0</v>
      </c>
      <c r="F780" s="116">
        <f t="shared" si="8"/>
        <v>163142</v>
      </c>
      <c r="G780" s="43" t="str">
        <f>_xlfn.XLOOKUP($A780,Map!$A:$A,Map!C:C)</f>
        <v>IS</v>
      </c>
      <c r="H780" s="43" t="str">
        <f>_xlfn.XLOOKUP($A780,Map!$A:$A,Map!D:D)</f>
        <v>Cost of sales</v>
      </c>
      <c r="I780" s="43" t="str">
        <f>_xlfn.XLOOKUP($A780,Map!$A:$A,Map!E:E)</f>
        <v>Overhead - Consumables &amp; SP</v>
      </c>
      <c r="J780" s="43" t="str">
        <f>_xlfn.XLOOKUP($A780,Map!$A:$A,Map!F:F)</f>
        <v>Consumables</v>
      </c>
    </row>
    <row r="781" spans="1:10" x14ac:dyDescent="0.25">
      <c r="A781">
        <v>600013</v>
      </c>
      <c r="B781" t="s">
        <v>1346</v>
      </c>
      <c r="D781" s="116">
        <v>750</v>
      </c>
      <c r="E781" s="116">
        <v>0</v>
      </c>
      <c r="F781" s="116">
        <f t="shared" ref="F781:F844" si="9">D781-E781</f>
        <v>750</v>
      </c>
      <c r="G781" s="43" t="str">
        <f>_xlfn.XLOOKUP($A781,Map!$A:$A,Map!C:C)</f>
        <v>IS</v>
      </c>
      <c r="H781" s="43" t="str">
        <f>_xlfn.XLOOKUP($A781,Map!$A:$A,Map!D:D)</f>
        <v>Cost of sales</v>
      </c>
      <c r="I781" s="43" t="str">
        <f>_xlfn.XLOOKUP($A781,Map!$A:$A,Map!E:E)</f>
        <v>Overhead - Labor Cost</v>
      </c>
      <c r="J781" s="43" t="str">
        <f>_xlfn.XLOOKUP($A781,Map!$A:$A,Map!F:F)</f>
        <v>Telephone allowance</v>
      </c>
    </row>
    <row r="782" spans="1:10" x14ac:dyDescent="0.25">
      <c r="A782">
        <v>600011</v>
      </c>
      <c r="B782" t="s">
        <v>1346</v>
      </c>
      <c r="D782" s="116">
        <v>1000</v>
      </c>
      <c r="E782" s="116">
        <v>0</v>
      </c>
      <c r="F782" s="116">
        <f t="shared" si="9"/>
        <v>1000</v>
      </c>
      <c r="G782" s="43" t="str">
        <f>_xlfn.XLOOKUP($A782,Map!$A:$A,Map!C:C)</f>
        <v>IS</v>
      </c>
      <c r="H782" s="43" t="str">
        <f>_xlfn.XLOOKUP($A782,Map!$A:$A,Map!D:D)</f>
        <v>Cost of sales</v>
      </c>
      <c r="I782" s="43" t="str">
        <f>_xlfn.XLOOKUP($A782,Map!$A:$A,Map!E:E)</f>
        <v>Overhead - Labor Cost</v>
      </c>
      <c r="J782" s="43" t="str">
        <f>_xlfn.XLOOKUP($A782,Map!$A:$A,Map!F:F)</f>
        <v>Air tickets</v>
      </c>
    </row>
    <row r="783" spans="1:10" x14ac:dyDescent="0.25">
      <c r="A783">
        <v>600009</v>
      </c>
      <c r="B783" t="s">
        <v>1346</v>
      </c>
      <c r="D783" s="116">
        <v>14700</v>
      </c>
      <c r="E783" s="116">
        <v>0</v>
      </c>
      <c r="F783" s="116">
        <f t="shared" si="9"/>
        <v>14700</v>
      </c>
      <c r="G783" s="43" t="str">
        <f>_xlfn.XLOOKUP($A783,Map!$A:$A,Map!C:C)</f>
        <v>IS</v>
      </c>
      <c r="H783" s="43" t="str">
        <f>_xlfn.XLOOKUP($A783,Map!$A:$A,Map!D:D)</f>
        <v>Cost of sales</v>
      </c>
      <c r="I783" s="43" t="str">
        <f>_xlfn.XLOOKUP($A783,Map!$A:$A,Map!E:E)</f>
        <v>Overhead - Labor Cost</v>
      </c>
      <c r="J783" s="43" t="str">
        <f>_xlfn.XLOOKUP($A783,Map!$A:$A,Map!F:F)</f>
        <v>Vacation pay</v>
      </c>
    </row>
    <row r="784" spans="1:10" x14ac:dyDescent="0.25">
      <c r="A784">
        <v>600008</v>
      </c>
      <c r="B784" t="s">
        <v>1346</v>
      </c>
      <c r="D784" s="116">
        <v>9595</v>
      </c>
      <c r="E784" s="116">
        <v>0</v>
      </c>
      <c r="F784" s="116">
        <f t="shared" si="9"/>
        <v>9595</v>
      </c>
      <c r="G784" s="43" t="str">
        <f>_xlfn.XLOOKUP($A784,Map!$A:$A,Map!C:C)</f>
        <v>IS</v>
      </c>
      <c r="H784" s="43" t="str">
        <f>_xlfn.XLOOKUP($A784,Map!$A:$A,Map!D:D)</f>
        <v>Cost of sales</v>
      </c>
      <c r="I784" s="43" t="str">
        <f>_xlfn.XLOOKUP($A784,Map!$A:$A,Map!E:E)</f>
        <v>Overhead - Labor Cost</v>
      </c>
      <c r="J784" s="43" t="str">
        <f>_xlfn.XLOOKUP($A784,Map!$A:$A,Map!F:F)</f>
        <v>Air tickets</v>
      </c>
    </row>
    <row r="785" spans="1:10" x14ac:dyDescent="0.25">
      <c r="A785">
        <v>600007</v>
      </c>
      <c r="B785" t="s">
        <v>1346</v>
      </c>
      <c r="D785" s="116">
        <v>2300</v>
      </c>
      <c r="E785" s="116">
        <v>0</v>
      </c>
      <c r="F785" s="116">
        <f t="shared" si="9"/>
        <v>2300</v>
      </c>
      <c r="G785" s="43" t="str">
        <f>_xlfn.XLOOKUP($A785,Map!$A:$A,Map!C:C)</f>
        <v>IS</v>
      </c>
      <c r="H785" s="43" t="str">
        <f>_xlfn.XLOOKUP($A785,Map!$A:$A,Map!D:D)</f>
        <v>Cost of sales</v>
      </c>
      <c r="I785" s="43" t="str">
        <f>_xlfn.XLOOKUP($A785,Map!$A:$A,Map!E:E)</f>
        <v>Overhead - Labor Cost</v>
      </c>
      <c r="J785" s="43" t="str">
        <f>_xlfn.XLOOKUP($A785,Map!$A:$A,Map!F:F)</f>
        <v>Transportation allowance</v>
      </c>
    </row>
    <row r="786" spans="1:10" x14ac:dyDescent="0.25">
      <c r="A786">
        <v>600006</v>
      </c>
      <c r="B786" t="s">
        <v>1346</v>
      </c>
      <c r="D786" s="116">
        <v>30957.35</v>
      </c>
      <c r="E786" s="116">
        <v>0</v>
      </c>
      <c r="F786" s="116">
        <f t="shared" si="9"/>
        <v>30957.35</v>
      </c>
      <c r="G786" s="43" t="str">
        <f>_xlfn.XLOOKUP($A786,Map!$A:$A,Map!C:C)</f>
        <v>IS</v>
      </c>
      <c r="H786" s="43" t="str">
        <f>_xlfn.XLOOKUP($A786,Map!$A:$A,Map!D:D)</f>
        <v>Cost of sales</v>
      </c>
      <c r="I786" s="43" t="str">
        <f>_xlfn.XLOOKUP($A786,Map!$A:$A,Map!E:E)</f>
        <v>Overhead - Labor Cost</v>
      </c>
      <c r="J786" s="43" t="str">
        <f>_xlfn.XLOOKUP($A786,Map!$A:$A,Map!F:F)</f>
        <v xml:space="preserve">Food &amp; Housing </v>
      </c>
    </row>
    <row r="787" spans="1:10" x14ac:dyDescent="0.25">
      <c r="A787">
        <v>600005</v>
      </c>
      <c r="B787" t="s">
        <v>1346</v>
      </c>
      <c r="D787" s="116">
        <v>21850</v>
      </c>
      <c r="E787" s="116">
        <v>0</v>
      </c>
      <c r="F787" s="116">
        <f t="shared" si="9"/>
        <v>21850</v>
      </c>
      <c r="G787" s="43" t="str">
        <f>_xlfn.XLOOKUP($A787,Map!$A:$A,Map!C:C)</f>
        <v>IS</v>
      </c>
      <c r="H787" s="43" t="str">
        <f>_xlfn.XLOOKUP($A787,Map!$A:$A,Map!D:D)</f>
        <v>General and Admin</v>
      </c>
      <c r="I787" s="43" t="str">
        <f>_xlfn.XLOOKUP($A787,Map!$A:$A,Map!E:E)</f>
        <v>Govt license and fees (including modon)</v>
      </c>
      <c r="J787" s="43" t="str">
        <f>_xlfn.XLOOKUP($A787,Map!$A:$A,Map!F:F)</f>
        <v>Government fees</v>
      </c>
    </row>
    <row r="788" spans="1:10" x14ac:dyDescent="0.25">
      <c r="A788">
        <v>600004</v>
      </c>
      <c r="B788" t="s">
        <v>1346</v>
      </c>
      <c r="D788" s="116">
        <v>45639.79</v>
      </c>
      <c r="E788" s="116">
        <v>0</v>
      </c>
      <c r="F788" s="116">
        <f t="shared" si="9"/>
        <v>45639.79</v>
      </c>
      <c r="G788" s="43" t="str">
        <f>_xlfn.XLOOKUP($A788,Map!$A:$A,Map!C:C)</f>
        <v>IS</v>
      </c>
      <c r="H788" s="43" t="str">
        <f>_xlfn.XLOOKUP($A788,Map!$A:$A,Map!D:D)</f>
        <v>Cost of sales</v>
      </c>
      <c r="I788" s="43" t="str">
        <f>_xlfn.XLOOKUP($A788,Map!$A:$A,Map!E:E)</f>
        <v>Overhead - Labor Cost</v>
      </c>
      <c r="J788" s="43" t="str">
        <f>_xlfn.XLOOKUP($A788,Map!$A:$A,Map!F:F)</f>
        <v>Medical insurance</v>
      </c>
    </row>
    <row r="789" spans="1:10" x14ac:dyDescent="0.25">
      <c r="A789">
        <v>600003</v>
      </c>
      <c r="B789" t="s">
        <v>1346</v>
      </c>
      <c r="D789" s="116">
        <v>3547</v>
      </c>
      <c r="E789" s="116">
        <v>0</v>
      </c>
      <c r="F789" s="116">
        <f t="shared" si="9"/>
        <v>3547</v>
      </c>
      <c r="G789" s="43" t="str">
        <f>_xlfn.XLOOKUP($A789,Map!$A:$A,Map!C:C)</f>
        <v>IS</v>
      </c>
      <c r="H789" s="43" t="str">
        <f>_xlfn.XLOOKUP($A789,Map!$A:$A,Map!D:D)</f>
        <v>Cost of sales</v>
      </c>
      <c r="I789" s="43" t="str">
        <f>_xlfn.XLOOKUP($A789,Map!$A:$A,Map!E:E)</f>
        <v>Overhead - Labor Cost</v>
      </c>
      <c r="J789" s="43" t="str">
        <f>_xlfn.XLOOKUP($A789,Map!$A:$A,Map!F:F)</f>
        <v xml:space="preserve">Food &amp; Housing </v>
      </c>
    </row>
    <row r="790" spans="1:10" x14ac:dyDescent="0.25">
      <c r="A790">
        <v>600002</v>
      </c>
      <c r="B790" t="s">
        <v>1346</v>
      </c>
      <c r="D790" s="116">
        <v>20947</v>
      </c>
      <c r="E790" s="116">
        <v>0</v>
      </c>
      <c r="F790" s="116">
        <f t="shared" si="9"/>
        <v>20947</v>
      </c>
      <c r="G790" s="43" t="str">
        <f>_xlfn.XLOOKUP($A790,Map!$A:$A,Map!C:C)</f>
        <v>IS</v>
      </c>
      <c r="H790" s="43" t="str">
        <f>_xlfn.XLOOKUP($A790,Map!$A:$A,Map!D:D)</f>
        <v>Cost of sales</v>
      </c>
      <c r="I790" s="43" t="str">
        <f>_xlfn.XLOOKUP($A790,Map!$A:$A,Map!E:E)</f>
        <v>Overhead - Labor Cost</v>
      </c>
      <c r="J790" s="43" t="str">
        <f>_xlfn.XLOOKUP($A790,Map!$A:$A,Map!F:F)</f>
        <v>Overtime pay</v>
      </c>
    </row>
    <row r="791" spans="1:10" x14ac:dyDescent="0.25">
      <c r="A791">
        <v>600001</v>
      </c>
      <c r="B791" t="s">
        <v>1346</v>
      </c>
      <c r="D791" s="116">
        <v>50348</v>
      </c>
      <c r="E791" s="116">
        <v>0</v>
      </c>
      <c r="F791" s="116">
        <f t="shared" si="9"/>
        <v>50348</v>
      </c>
      <c r="G791" s="43" t="str">
        <f>_xlfn.XLOOKUP($A791,Map!$A:$A,Map!C:C)</f>
        <v>IS</v>
      </c>
      <c r="H791" s="43" t="str">
        <f>_xlfn.XLOOKUP($A791,Map!$A:$A,Map!D:D)</f>
        <v>Cost of sales</v>
      </c>
      <c r="I791" s="43" t="str">
        <f>_xlfn.XLOOKUP($A791,Map!$A:$A,Map!E:E)</f>
        <v>Overhead - Labor Cost</v>
      </c>
      <c r="J791" s="43" t="str">
        <f>_xlfn.XLOOKUP($A791,Map!$A:$A,Map!F:F)</f>
        <v>Indirect Salaries — factory supervisory / indirect floor labour (COGS)</v>
      </c>
    </row>
    <row r="792" spans="1:10" x14ac:dyDescent="0.25">
      <c r="A792">
        <v>520042</v>
      </c>
      <c r="B792" t="s">
        <v>1346</v>
      </c>
      <c r="D792" s="116">
        <v>0</v>
      </c>
      <c r="E792" s="116">
        <v>473722.41</v>
      </c>
      <c r="F792" s="116">
        <f t="shared" si="9"/>
        <v>-473722.41</v>
      </c>
      <c r="G792" s="43" t="str">
        <f>_xlfn.XLOOKUP($A792,Map!$A:$A,Map!C:C)</f>
        <v>IS</v>
      </c>
      <c r="H792" s="43" t="str">
        <f>_xlfn.XLOOKUP($A792,Map!$A:$A,Map!D:D)</f>
        <v>Cost of sales</v>
      </c>
      <c r="I792" s="43" t="str">
        <f>_xlfn.XLOOKUP($A792,Map!$A:$A,Map!E:E)</f>
        <v>Raw materials</v>
      </c>
      <c r="J792" s="43" t="str">
        <f>_xlfn.XLOOKUP($A792,Map!$A:$A,Map!F:F)</f>
        <v>Inventory Adjustment</v>
      </c>
    </row>
    <row r="793" spans="1:10" x14ac:dyDescent="0.25">
      <c r="A793">
        <v>520041</v>
      </c>
      <c r="B793" t="s">
        <v>1346</v>
      </c>
      <c r="D793" s="116">
        <v>0</v>
      </c>
      <c r="E793" s="116">
        <v>791644.42</v>
      </c>
      <c r="F793" s="116">
        <f t="shared" si="9"/>
        <v>-791644.42</v>
      </c>
      <c r="G793" s="43" t="str">
        <f>_xlfn.XLOOKUP($A793,Map!$A:$A,Map!C:C)</f>
        <v>IS</v>
      </c>
      <c r="H793" s="43" t="str">
        <f>_xlfn.XLOOKUP($A793,Map!$A:$A,Map!D:D)</f>
        <v>Cost of sales</v>
      </c>
      <c r="I793" s="43" t="str">
        <f>_xlfn.XLOOKUP($A793,Map!$A:$A,Map!E:E)</f>
        <v>Raw materials</v>
      </c>
      <c r="J793" s="43" t="str">
        <f>_xlfn.XLOOKUP($A793,Map!$A:$A,Map!F:F)</f>
        <v>Other expenses</v>
      </c>
    </row>
    <row r="794" spans="1:10" x14ac:dyDescent="0.25">
      <c r="A794">
        <v>520037</v>
      </c>
      <c r="B794" t="s">
        <v>1346</v>
      </c>
      <c r="D794" s="116">
        <v>0</v>
      </c>
      <c r="E794" s="116">
        <v>49524.24</v>
      </c>
      <c r="F794" s="116">
        <f t="shared" si="9"/>
        <v>-49524.24</v>
      </c>
      <c r="G794" s="43" t="str">
        <f>_xlfn.XLOOKUP($A794,Map!$A:$A,Map!C:C)</f>
        <v>IS</v>
      </c>
      <c r="H794" s="43" t="str">
        <f>_xlfn.XLOOKUP($A794,Map!$A:$A,Map!D:D)</f>
        <v>Cost of sales</v>
      </c>
      <c r="I794" s="43" t="str">
        <f>_xlfn.XLOOKUP($A794,Map!$A:$A,Map!E:E)</f>
        <v>Raw materials</v>
      </c>
      <c r="J794" s="43" t="str">
        <f>_xlfn.XLOOKUP($A794,Map!$A:$A,Map!F:F)</f>
        <v>Raw materials</v>
      </c>
    </row>
    <row r="795" spans="1:10" x14ac:dyDescent="0.25">
      <c r="A795">
        <v>520021</v>
      </c>
      <c r="B795" t="s">
        <v>1346</v>
      </c>
      <c r="D795" s="116">
        <v>2817</v>
      </c>
      <c r="E795" s="116">
        <v>0</v>
      </c>
      <c r="F795" s="116">
        <f t="shared" si="9"/>
        <v>2817</v>
      </c>
      <c r="G795" s="43" t="str">
        <f>_xlfn.XLOOKUP($A795,Map!$A:$A,Map!C:C)</f>
        <v>IS</v>
      </c>
      <c r="H795" s="43" t="str">
        <f>_xlfn.XLOOKUP($A795,Map!$A:$A,Map!D:D)</f>
        <v>Cost of sales</v>
      </c>
      <c r="I795" s="43" t="str">
        <f>_xlfn.XLOOKUP($A795,Map!$A:$A,Map!E:E)</f>
        <v>Direct Labor</v>
      </c>
      <c r="J795" s="43" t="str">
        <f>_xlfn.XLOOKUP($A795,Map!$A:$A,Map!F:F)</f>
        <v>Medical insurance</v>
      </c>
    </row>
    <row r="796" spans="1:10" x14ac:dyDescent="0.25">
      <c r="A796">
        <v>520011</v>
      </c>
      <c r="B796" t="s">
        <v>1346</v>
      </c>
      <c r="D796" s="116">
        <v>19919</v>
      </c>
      <c r="E796" s="116">
        <v>0</v>
      </c>
      <c r="F796" s="116">
        <f t="shared" si="9"/>
        <v>19919</v>
      </c>
      <c r="G796" s="43" t="str">
        <f>_xlfn.XLOOKUP($A796,Map!$A:$A,Map!C:C)</f>
        <v>IS</v>
      </c>
      <c r="H796" s="43" t="str">
        <f>_xlfn.XLOOKUP($A796,Map!$A:$A,Map!D:D)</f>
        <v>Cost of sales</v>
      </c>
      <c r="I796" s="43" t="str">
        <f>_xlfn.XLOOKUP($A796,Map!$A:$A,Map!E:E)</f>
        <v>Direct Labor</v>
      </c>
      <c r="J796" s="43" t="str">
        <f>_xlfn.XLOOKUP($A796,Map!$A:$A,Map!F:F)</f>
        <v>Overtime pay</v>
      </c>
    </row>
    <row r="797" spans="1:10" x14ac:dyDescent="0.25">
      <c r="A797">
        <v>520011</v>
      </c>
      <c r="B797" t="s">
        <v>1346</v>
      </c>
      <c r="D797" s="116">
        <v>19650</v>
      </c>
      <c r="E797" s="116">
        <v>0</v>
      </c>
      <c r="F797" s="116">
        <f t="shared" si="9"/>
        <v>19650</v>
      </c>
      <c r="G797" s="43" t="str">
        <f>_xlfn.XLOOKUP($A797,Map!$A:$A,Map!C:C)</f>
        <v>IS</v>
      </c>
      <c r="H797" s="43" t="str">
        <f>_xlfn.XLOOKUP($A797,Map!$A:$A,Map!D:D)</f>
        <v>Cost of sales</v>
      </c>
      <c r="I797" s="43" t="str">
        <f>_xlfn.XLOOKUP($A797,Map!$A:$A,Map!E:E)</f>
        <v>Direct Labor</v>
      </c>
      <c r="J797" s="43" t="str">
        <f>_xlfn.XLOOKUP($A797,Map!$A:$A,Map!F:F)</f>
        <v>Overtime pay</v>
      </c>
    </row>
    <row r="798" spans="1:10" x14ac:dyDescent="0.25">
      <c r="A798">
        <v>520006</v>
      </c>
      <c r="B798" t="s">
        <v>1346</v>
      </c>
      <c r="D798" s="116">
        <v>3508</v>
      </c>
      <c r="E798" s="116">
        <v>0</v>
      </c>
      <c r="F798" s="116">
        <f t="shared" si="9"/>
        <v>3508</v>
      </c>
      <c r="G798" s="43" t="str">
        <f>_xlfn.XLOOKUP($A798,Map!$A:$A,Map!C:C)</f>
        <v>IS</v>
      </c>
      <c r="H798" s="43" t="str">
        <f>_xlfn.XLOOKUP($A798,Map!$A:$A,Map!D:D)</f>
        <v>Cost of sales</v>
      </c>
      <c r="I798" s="43" t="str">
        <f>_xlfn.XLOOKUP($A798,Map!$A:$A,Map!E:E)</f>
        <v>Direct Labor</v>
      </c>
      <c r="J798" s="43" t="str">
        <f>_xlfn.XLOOKUP($A798,Map!$A:$A,Map!F:F)</f>
        <v>Medical insurance</v>
      </c>
    </row>
    <row r="799" spans="1:10" x14ac:dyDescent="0.25">
      <c r="A799">
        <v>520006</v>
      </c>
      <c r="B799" t="s">
        <v>1346</v>
      </c>
      <c r="D799" s="116">
        <v>3508</v>
      </c>
      <c r="E799" s="116">
        <v>0</v>
      </c>
      <c r="F799" s="116">
        <f t="shared" si="9"/>
        <v>3508</v>
      </c>
      <c r="G799" s="43" t="str">
        <f>_xlfn.XLOOKUP($A799,Map!$A:$A,Map!C:C)</f>
        <v>IS</v>
      </c>
      <c r="H799" s="43" t="str">
        <f>_xlfn.XLOOKUP($A799,Map!$A:$A,Map!D:D)</f>
        <v>Cost of sales</v>
      </c>
      <c r="I799" s="43" t="str">
        <f>_xlfn.XLOOKUP($A799,Map!$A:$A,Map!E:E)</f>
        <v>Direct Labor</v>
      </c>
      <c r="J799" s="43" t="str">
        <f>_xlfn.XLOOKUP($A799,Map!$A:$A,Map!F:F)</f>
        <v>Medical insurance</v>
      </c>
    </row>
    <row r="800" spans="1:10" x14ac:dyDescent="0.25">
      <c r="A800">
        <v>520006</v>
      </c>
      <c r="B800" t="s">
        <v>1346</v>
      </c>
      <c r="D800" s="116">
        <v>1757</v>
      </c>
      <c r="E800" s="116">
        <v>0</v>
      </c>
      <c r="F800" s="116">
        <f t="shared" si="9"/>
        <v>1757</v>
      </c>
      <c r="G800" s="43" t="str">
        <f>_xlfn.XLOOKUP($A800,Map!$A:$A,Map!C:C)</f>
        <v>IS</v>
      </c>
      <c r="H800" s="43" t="str">
        <f>_xlfn.XLOOKUP($A800,Map!$A:$A,Map!D:D)</f>
        <v>Cost of sales</v>
      </c>
      <c r="I800" s="43" t="str">
        <f>_xlfn.XLOOKUP($A800,Map!$A:$A,Map!E:E)</f>
        <v>Direct Labor</v>
      </c>
      <c r="J800" s="43" t="str">
        <f>_xlfn.XLOOKUP($A800,Map!$A:$A,Map!F:F)</f>
        <v>Medical insurance</v>
      </c>
    </row>
    <row r="801" spans="1:10" x14ac:dyDescent="0.25">
      <c r="A801">
        <v>520006</v>
      </c>
      <c r="B801" t="s">
        <v>1346</v>
      </c>
      <c r="D801" s="116">
        <v>1735</v>
      </c>
      <c r="E801" s="116">
        <v>0</v>
      </c>
      <c r="F801" s="116">
        <f t="shared" si="9"/>
        <v>1735</v>
      </c>
      <c r="G801" s="43" t="str">
        <f>_xlfn.XLOOKUP($A801,Map!$A:$A,Map!C:C)</f>
        <v>IS</v>
      </c>
      <c r="H801" s="43" t="str">
        <f>_xlfn.XLOOKUP($A801,Map!$A:$A,Map!D:D)</f>
        <v>Cost of sales</v>
      </c>
      <c r="I801" s="43" t="str">
        <f>_xlfn.XLOOKUP($A801,Map!$A:$A,Map!E:E)</f>
        <v>Direct Labor</v>
      </c>
      <c r="J801" s="43" t="str">
        <f>_xlfn.XLOOKUP($A801,Map!$A:$A,Map!F:F)</f>
        <v>Medical insurance</v>
      </c>
    </row>
    <row r="802" spans="1:10" x14ac:dyDescent="0.25">
      <c r="A802">
        <v>520006</v>
      </c>
      <c r="B802" t="s">
        <v>1346</v>
      </c>
      <c r="D802" s="116">
        <v>2738</v>
      </c>
      <c r="E802" s="116">
        <v>0</v>
      </c>
      <c r="F802" s="116">
        <f t="shared" si="9"/>
        <v>2738</v>
      </c>
      <c r="G802" s="43" t="str">
        <f>_xlfn.XLOOKUP($A802,Map!$A:$A,Map!C:C)</f>
        <v>IS</v>
      </c>
      <c r="H802" s="43" t="str">
        <f>_xlfn.XLOOKUP($A802,Map!$A:$A,Map!D:D)</f>
        <v>Cost of sales</v>
      </c>
      <c r="I802" s="43" t="str">
        <f>_xlfn.XLOOKUP($A802,Map!$A:$A,Map!E:E)</f>
        <v>Direct Labor</v>
      </c>
      <c r="J802" s="43" t="str">
        <f>_xlfn.XLOOKUP($A802,Map!$A:$A,Map!F:F)</f>
        <v>Medical insurance</v>
      </c>
    </row>
    <row r="803" spans="1:10" x14ac:dyDescent="0.25">
      <c r="A803">
        <v>520006</v>
      </c>
      <c r="B803" t="s">
        <v>1346</v>
      </c>
      <c r="D803" s="116">
        <v>1545.44</v>
      </c>
      <c r="E803" s="116">
        <v>0</v>
      </c>
      <c r="F803" s="116">
        <f t="shared" si="9"/>
        <v>1545.44</v>
      </c>
      <c r="G803" s="43" t="str">
        <f>_xlfn.XLOOKUP($A803,Map!$A:$A,Map!C:C)</f>
        <v>IS</v>
      </c>
      <c r="H803" s="43" t="str">
        <f>_xlfn.XLOOKUP($A803,Map!$A:$A,Map!D:D)</f>
        <v>Cost of sales</v>
      </c>
      <c r="I803" s="43" t="str">
        <f>_xlfn.XLOOKUP($A803,Map!$A:$A,Map!E:E)</f>
        <v>Direct Labor</v>
      </c>
      <c r="J803" s="43" t="str">
        <f>_xlfn.XLOOKUP($A803,Map!$A:$A,Map!F:F)</f>
        <v>Medical insurance</v>
      </c>
    </row>
    <row r="804" spans="1:10" x14ac:dyDescent="0.25">
      <c r="A804">
        <v>520004</v>
      </c>
      <c r="B804" t="s">
        <v>1346</v>
      </c>
      <c r="D804" s="116">
        <v>5937</v>
      </c>
      <c r="E804" s="116">
        <v>0</v>
      </c>
      <c r="F804" s="116">
        <f t="shared" si="9"/>
        <v>5937</v>
      </c>
      <c r="G804" s="43" t="str">
        <f>_xlfn.XLOOKUP($A804,Map!$A:$A,Map!C:C)</f>
        <v>IS</v>
      </c>
      <c r="H804" s="43" t="str">
        <f>_xlfn.XLOOKUP($A804,Map!$A:$A,Map!D:D)</f>
        <v>Cost of sales</v>
      </c>
      <c r="I804" s="43" t="str">
        <f>_xlfn.XLOOKUP($A804,Map!$A:$A,Map!E:E)</f>
        <v>Direct Labor</v>
      </c>
      <c r="J804" s="43" t="str">
        <f>_xlfn.XLOOKUP($A804,Map!$A:$A,Map!F:F)</f>
        <v>Food and housing</v>
      </c>
    </row>
    <row r="805" spans="1:10" x14ac:dyDescent="0.25">
      <c r="A805">
        <v>520004</v>
      </c>
      <c r="B805" t="s">
        <v>1346</v>
      </c>
      <c r="D805" s="116">
        <v>4446</v>
      </c>
      <c r="E805" s="116">
        <v>0</v>
      </c>
      <c r="F805" s="116">
        <f t="shared" si="9"/>
        <v>4446</v>
      </c>
      <c r="G805" s="43" t="str">
        <f>_xlfn.XLOOKUP($A805,Map!$A:$A,Map!C:C)</f>
        <v>IS</v>
      </c>
      <c r="H805" s="43" t="str">
        <f>_xlfn.XLOOKUP($A805,Map!$A:$A,Map!D:D)</f>
        <v>Cost of sales</v>
      </c>
      <c r="I805" s="43" t="str">
        <f>_xlfn.XLOOKUP($A805,Map!$A:$A,Map!E:E)</f>
        <v>Direct Labor</v>
      </c>
      <c r="J805" s="43" t="str">
        <f>_xlfn.XLOOKUP($A805,Map!$A:$A,Map!F:F)</f>
        <v>Food and housing</v>
      </c>
    </row>
    <row r="806" spans="1:10" x14ac:dyDescent="0.25">
      <c r="A806">
        <v>520004</v>
      </c>
      <c r="B806" t="s">
        <v>1346</v>
      </c>
      <c r="D806" s="116">
        <v>1840</v>
      </c>
      <c r="E806" s="116">
        <v>0</v>
      </c>
      <c r="F806" s="116">
        <f t="shared" si="9"/>
        <v>1840</v>
      </c>
      <c r="G806" s="43" t="str">
        <f>_xlfn.XLOOKUP($A806,Map!$A:$A,Map!C:C)</f>
        <v>IS</v>
      </c>
      <c r="H806" s="43" t="str">
        <f>_xlfn.XLOOKUP($A806,Map!$A:$A,Map!D:D)</f>
        <v>Cost of sales</v>
      </c>
      <c r="I806" s="43" t="str">
        <f>_xlfn.XLOOKUP($A806,Map!$A:$A,Map!E:E)</f>
        <v>Direct Labor</v>
      </c>
      <c r="J806" s="43" t="str">
        <f>_xlfn.XLOOKUP($A806,Map!$A:$A,Map!F:F)</f>
        <v>Food and housing</v>
      </c>
    </row>
    <row r="807" spans="1:10" x14ac:dyDescent="0.25">
      <c r="A807">
        <v>520004</v>
      </c>
      <c r="B807" t="s">
        <v>1346</v>
      </c>
      <c r="D807" s="116">
        <v>1410</v>
      </c>
      <c r="E807" s="116">
        <v>0</v>
      </c>
      <c r="F807" s="116">
        <f t="shared" si="9"/>
        <v>1410</v>
      </c>
      <c r="G807" s="43" t="str">
        <f>_xlfn.XLOOKUP($A807,Map!$A:$A,Map!C:C)</f>
        <v>IS</v>
      </c>
      <c r="H807" s="43" t="str">
        <f>_xlfn.XLOOKUP($A807,Map!$A:$A,Map!D:D)</f>
        <v>Cost of sales</v>
      </c>
      <c r="I807" s="43" t="str">
        <f>_xlfn.XLOOKUP($A807,Map!$A:$A,Map!E:E)</f>
        <v>Direct Labor</v>
      </c>
      <c r="J807" s="43" t="str">
        <f>_xlfn.XLOOKUP($A807,Map!$A:$A,Map!F:F)</f>
        <v>Food and housing</v>
      </c>
    </row>
    <row r="808" spans="1:10" x14ac:dyDescent="0.25">
      <c r="A808">
        <v>520004</v>
      </c>
      <c r="B808" t="s">
        <v>1346</v>
      </c>
      <c r="D808" s="116">
        <v>1530</v>
      </c>
      <c r="E808" s="116">
        <v>0</v>
      </c>
      <c r="F808" s="116">
        <f t="shared" si="9"/>
        <v>1530</v>
      </c>
      <c r="G808" s="43" t="str">
        <f>_xlfn.XLOOKUP($A808,Map!$A:$A,Map!C:C)</f>
        <v>IS</v>
      </c>
      <c r="H808" s="43" t="str">
        <f>_xlfn.XLOOKUP($A808,Map!$A:$A,Map!D:D)</f>
        <v>Cost of sales</v>
      </c>
      <c r="I808" s="43" t="str">
        <f>_xlfn.XLOOKUP($A808,Map!$A:$A,Map!E:E)</f>
        <v>Direct Labor</v>
      </c>
      <c r="J808" s="43" t="str">
        <f>_xlfn.XLOOKUP($A808,Map!$A:$A,Map!F:F)</f>
        <v>Food and housing</v>
      </c>
    </row>
    <row r="809" spans="1:10" x14ac:dyDescent="0.25">
      <c r="A809">
        <v>520003</v>
      </c>
      <c r="B809" t="s">
        <v>1346</v>
      </c>
      <c r="D809" s="116">
        <v>500</v>
      </c>
      <c r="E809" s="116">
        <v>0</v>
      </c>
      <c r="F809" s="116">
        <f t="shared" si="9"/>
        <v>500</v>
      </c>
      <c r="G809" s="43" t="str">
        <f>_xlfn.XLOOKUP($A809,Map!$A:$A,Map!C:C)</f>
        <v>IS</v>
      </c>
      <c r="H809" s="43" t="str">
        <f>_xlfn.XLOOKUP($A809,Map!$A:$A,Map!D:D)</f>
        <v>Cost of sales</v>
      </c>
      <c r="I809" s="43" t="str">
        <f>_xlfn.XLOOKUP($A809,Map!$A:$A,Map!E:E)</f>
        <v>Direct Labor</v>
      </c>
      <c r="J809" s="43" t="str">
        <f>_xlfn.XLOOKUP($A809,Map!$A:$A,Map!F:F)</f>
        <v>Transportation allowance</v>
      </c>
    </row>
    <row r="810" spans="1:10" x14ac:dyDescent="0.25">
      <c r="A810">
        <v>520002</v>
      </c>
      <c r="B810" t="s">
        <v>1346</v>
      </c>
      <c r="D810" s="116">
        <v>4831</v>
      </c>
      <c r="E810" s="116">
        <v>0</v>
      </c>
      <c r="F810" s="116">
        <f t="shared" si="9"/>
        <v>4831</v>
      </c>
      <c r="G810" s="43" t="str">
        <f>_xlfn.XLOOKUP($A810,Map!$A:$A,Map!C:C)</f>
        <v>IS</v>
      </c>
      <c r="H810" s="43" t="str">
        <f>_xlfn.XLOOKUP($A810,Map!$A:$A,Map!D:D)</f>
        <v>Cost of sales</v>
      </c>
      <c r="I810" s="43" t="str">
        <f>_xlfn.XLOOKUP($A810,Map!$A:$A,Map!E:E)</f>
        <v>Direct Labor</v>
      </c>
      <c r="J810" s="43" t="str">
        <f>_xlfn.XLOOKUP($A810,Map!$A:$A,Map!F:F)</f>
        <v>Overtime pay</v>
      </c>
    </row>
    <row r="811" spans="1:10" x14ac:dyDescent="0.25">
      <c r="A811">
        <v>520002</v>
      </c>
      <c r="B811" t="s">
        <v>1346</v>
      </c>
      <c r="D811" s="116">
        <v>4066</v>
      </c>
      <c r="E811" s="116">
        <v>0</v>
      </c>
      <c r="F811" s="116">
        <f t="shared" si="9"/>
        <v>4066</v>
      </c>
      <c r="G811" s="43" t="str">
        <f>_xlfn.XLOOKUP($A811,Map!$A:$A,Map!C:C)</f>
        <v>IS</v>
      </c>
      <c r="H811" s="43" t="str">
        <f>_xlfn.XLOOKUP($A811,Map!$A:$A,Map!D:D)</f>
        <v>Cost of sales</v>
      </c>
      <c r="I811" s="43" t="str">
        <f>_xlfn.XLOOKUP($A811,Map!$A:$A,Map!E:E)</f>
        <v>Direct Labor</v>
      </c>
      <c r="J811" s="43" t="str">
        <f>_xlfn.XLOOKUP($A811,Map!$A:$A,Map!F:F)</f>
        <v>Overtime pay</v>
      </c>
    </row>
    <row r="812" spans="1:10" x14ac:dyDescent="0.25">
      <c r="A812">
        <v>520001</v>
      </c>
      <c r="B812" t="s">
        <v>1346</v>
      </c>
      <c r="D812" s="116">
        <v>133372</v>
      </c>
      <c r="E812" s="116">
        <v>0</v>
      </c>
      <c r="F812" s="116">
        <f t="shared" si="9"/>
        <v>133372</v>
      </c>
      <c r="G812" s="43" t="str">
        <f>_xlfn.XLOOKUP($A812,Map!$A:$A,Map!C:C)</f>
        <v>IS</v>
      </c>
      <c r="H812" s="43" t="str">
        <f>_xlfn.XLOOKUP($A812,Map!$A:$A,Map!D:D)</f>
        <v>Cost of sales</v>
      </c>
      <c r="I812" s="43" t="str">
        <f>_xlfn.XLOOKUP($A812,Map!$A:$A,Map!E:E)</f>
        <v>Direct Labor</v>
      </c>
      <c r="J812" s="43" t="str">
        <f>_xlfn.XLOOKUP($A812,Map!$A:$A,Map!F:F)</f>
        <v>Salaries and wages</v>
      </c>
    </row>
    <row r="813" spans="1:10" x14ac:dyDescent="0.25">
      <c r="A813">
        <v>520001</v>
      </c>
      <c r="B813" t="s">
        <v>1346</v>
      </c>
      <c r="D813" s="116">
        <v>39764</v>
      </c>
      <c r="E813" s="116">
        <v>0</v>
      </c>
      <c r="F813" s="116">
        <f t="shared" si="9"/>
        <v>39764</v>
      </c>
      <c r="G813" s="43" t="str">
        <f>_xlfn.XLOOKUP($A813,Map!$A:$A,Map!C:C)</f>
        <v>IS</v>
      </c>
      <c r="H813" s="43" t="str">
        <f>_xlfn.XLOOKUP($A813,Map!$A:$A,Map!D:D)</f>
        <v>Cost of sales</v>
      </c>
      <c r="I813" s="43" t="str">
        <f>_xlfn.XLOOKUP($A813,Map!$A:$A,Map!E:E)</f>
        <v>Direct Labor</v>
      </c>
      <c r="J813" s="43" t="str">
        <f>_xlfn.XLOOKUP($A813,Map!$A:$A,Map!F:F)</f>
        <v>Salaries and wages</v>
      </c>
    </row>
    <row r="814" spans="1:10" x14ac:dyDescent="0.25">
      <c r="A814">
        <v>520001</v>
      </c>
      <c r="B814" t="s">
        <v>1346</v>
      </c>
      <c r="D814" s="116">
        <v>15755</v>
      </c>
      <c r="E814" s="116">
        <v>0</v>
      </c>
      <c r="F814" s="116">
        <f t="shared" si="9"/>
        <v>15755</v>
      </c>
      <c r="G814" s="43" t="str">
        <f>_xlfn.XLOOKUP($A814,Map!$A:$A,Map!C:C)</f>
        <v>IS</v>
      </c>
      <c r="H814" s="43" t="str">
        <f>_xlfn.XLOOKUP($A814,Map!$A:$A,Map!D:D)</f>
        <v>Cost of sales</v>
      </c>
      <c r="I814" s="43" t="str">
        <f>_xlfn.XLOOKUP($A814,Map!$A:$A,Map!E:E)</f>
        <v>Direct Labor</v>
      </c>
      <c r="J814" s="43" t="str">
        <f>_xlfn.XLOOKUP($A814,Map!$A:$A,Map!F:F)</f>
        <v>Salaries and wages</v>
      </c>
    </row>
    <row r="815" spans="1:10" x14ac:dyDescent="0.25">
      <c r="A815">
        <v>520001</v>
      </c>
      <c r="B815" t="s">
        <v>1346</v>
      </c>
      <c r="D815" s="116">
        <v>8678</v>
      </c>
      <c r="E815" s="116">
        <v>0</v>
      </c>
      <c r="F815" s="116">
        <f t="shared" si="9"/>
        <v>8678</v>
      </c>
      <c r="G815" s="43" t="str">
        <f>_xlfn.XLOOKUP($A815,Map!$A:$A,Map!C:C)</f>
        <v>IS</v>
      </c>
      <c r="H815" s="43" t="str">
        <f>_xlfn.XLOOKUP($A815,Map!$A:$A,Map!D:D)</f>
        <v>Cost of sales</v>
      </c>
      <c r="I815" s="43" t="str">
        <f>_xlfn.XLOOKUP($A815,Map!$A:$A,Map!E:E)</f>
        <v>Direct Labor</v>
      </c>
      <c r="J815" s="43" t="str">
        <f>_xlfn.XLOOKUP($A815,Map!$A:$A,Map!F:F)</f>
        <v>Salaries and wages</v>
      </c>
    </row>
    <row r="816" spans="1:10" x14ac:dyDescent="0.25">
      <c r="A816">
        <v>520001</v>
      </c>
      <c r="B816" t="s">
        <v>1346</v>
      </c>
      <c r="D816" s="116">
        <v>10427</v>
      </c>
      <c r="E816" s="116">
        <v>0</v>
      </c>
      <c r="F816" s="116">
        <f t="shared" si="9"/>
        <v>10427</v>
      </c>
      <c r="G816" s="43" t="str">
        <f>_xlfn.XLOOKUP($A816,Map!$A:$A,Map!C:C)</f>
        <v>IS</v>
      </c>
      <c r="H816" s="43" t="str">
        <f>_xlfn.XLOOKUP($A816,Map!$A:$A,Map!D:D)</f>
        <v>Cost of sales</v>
      </c>
      <c r="I816" s="43" t="str">
        <f>_xlfn.XLOOKUP($A816,Map!$A:$A,Map!E:E)</f>
        <v>Direct Labor</v>
      </c>
      <c r="J816" s="43" t="str">
        <f>_xlfn.XLOOKUP($A816,Map!$A:$A,Map!F:F)</f>
        <v>Salaries and wages</v>
      </c>
    </row>
    <row r="817" spans="1:10" x14ac:dyDescent="0.25">
      <c r="A817">
        <v>510004</v>
      </c>
      <c r="B817" t="s">
        <v>1346</v>
      </c>
      <c r="D817" s="116">
        <v>103075.36500000001</v>
      </c>
      <c r="E817" s="116">
        <v>0</v>
      </c>
      <c r="F817" s="116">
        <f t="shared" si="9"/>
        <v>103075.36500000001</v>
      </c>
      <c r="G817" s="43" t="str">
        <f>_xlfn.XLOOKUP($A817,Map!$A:$A,Map!C:C)</f>
        <v>IS</v>
      </c>
      <c r="H817" s="43" t="str">
        <f>_xlfn.XLOOKUP($A817,Map!$A:$A,Map!D:D)</f>
        <v>Cost of sales</v>
      </c>
      <c r="I817" s="43" t="str">
        <f>_xlfn.XLOOKUP($A817,Map!$A:$A,Map!E:E)</f>
        <v>Raw materials</v>
      </c>
      <c r="J817" s="43" t="str">
        <f>_xlfn.XLOOKUP($A817,Map!$A:$A,Map!F:F)</f>
        <v>Other expenses</v>
      </c>
    </row>
    <row r="818" spans="1:10" x14ac:dyDescent="0.25">
      <c r="A818">
        <v>420003</v>
      </c>
      <c r="B818" t="s">
        <v>1346</v>
      </c>
      <c r="D818" s="116">
        <v>0</v>
      </c>
      <c r="E818" s="116">
        <v>7.9000000000000001E-2</v>
      </c>
      <c r="F818" s="116">
        <f t="shared" si="9"/>
        <v>-7.9000000000000001E-2</v>
      </c>
      <c r="G818" s="43" t="str">
        <f>_xlfn.XLOOKUP($A818,Map!$A:$A,Map!C:C)</f>
        <v>IS</v>
      </c>
      <c r="H818" s="43" t="str">
        <f>_xlfn.XLOOKUP($A818,Map!$A:$A,Map!D:D)</f>
        <v>Sales</v>
      </c>
      <c r="I818" s="43" t="str">
        <f>_xlfn.XLOOKUP($A818,Map!$A:$A,Map!E:E)</f>
        <v>Sales</v>
      </c>
      <c r="J818" s="43" t="str">
        <f>_xlfn.XLOOKUP($A818,Map!$A:$A,Map!F:F)</f>
        <v>Scrap sales</v>
      </c>
    </row>
    <row r="819" spans="1:10" x14ac:dyDescent="0.25">
      <c r="A819">
        <v>240001</v>
      </c>
      <c r="B819" t="s">
        <v>1346</v>
      </c>
      <c r="D819" s="116">
        <v>0</v>
      </c>
      <c r="E819" s="116">
        <v>6.0000000000000001E-3</v>
      </c>
      <c r="F819" s="116">
        <f t="shared" si="9"/>
        <v>-6.0000000000000001E-3</v>
      </c>
      <c r="G819" s="43" t="str">
        <f>_xlfn.XLOOKUP($A819,Map!$A:$A,Map!C:C)</f>
        <v>BS</v>
      </c>
      <c r="H819" s="43" t="str">
        <f>_xlfn.XLOOKUP($A819,Map!$A:$A,Map!D:D)</f>
        <v>Current Liabilities</v>
      </c>
      <c r="I819" s="43" t="str">
        <f>_xlfn.XLOOKUP($A819,Map!$A:$A,Map!E:E)</f>
        <v>Tade payables and Accuals &amp; other credit balances</v>
      </c>
      <c r="J819" s="43" t="str">
        <f>_xlfn.XLOOKUP($A819,Map!$A:$A,Map!F:F)</f>
        <v>Overhead</v>
      </c>
    </row>
    <row r="820" spans="1:10" x14ac:dyDescent="0.25">
      <c r="A820">
        <v>230001</v>
      </c>
      <c r="B820" t="s">
        <v>1346</v>
      </c>
      <c r="D820" s="116">
        <v>0</v>
      </c>
      <c r="E820" s="116">
        <v>2E-3</v>
      </c>
      <c r="F820" s="116">
        <f t="shared" si="9"/>
        <v>-2E-3</v>
      </c>
      <c r="G820" s="43" t="str">
        <f>_xlfn.XLOOKUP($A820,Map!$A:$A,Map!C:C)</f>
        <v>BS</v>
      </c>
      <c r="H820" s="43" t="str">
        <f>_xlfn.XLOOKUP($A820,Map!$A:$A,Map!D:D)</f>
        <v>Current Liabilities</v>
      </c>
      <c r="I820" s="43" t="str">
        <f>_xlfn.XLOOKUP($A820,Map!$A:$A,Map!E:E)</f>
        <v>Tade payables and Accuals &amp; other credit balances</v>
      </c>
      <c r="J820" s="43" t="str">
        <f>_xlfn.XLOOKUP($A820,Map!$A:$A,Map!F:F)</f>
        <v>Clearing account</v>
      </c>
    </row>
    <row r="821" spans="1:10" x14ac:dyDescent="0.25">
      <c r="A821">
        <v>180096</v>
      </c>
      <c r="B821" t="s">
        <v>1346</v>
      </c>
      <c r="D821" s="116">
        <v>166734.07</v>
      </c>
      <c r="E821" s="116">
        <v>0</v>
      </c>
      <c r="F821" s="116">
        <f t="shared" si="9"/>
        <v>166734.07</v>
      </c>
      <c r="G821" s="43" t="str">
        <f>_xlfn.XLOOKUP($A821,Map!$A:$A,Map!C:C)</f>
        <v>BS</v>
      </c>
      <c r="H821" s="43" t="str">
        <f>_xlfn.XLOOKUP($A821,Map!$A:$A,Map!D:D)</f>
        <v>Current Assets</v>
      </c>
      <c r="I821" s="43" t="str">
        <f>_xlfn.XLOOKUP($A821,Map!$A:$A,Map!E:E)</f>
        <v>Inventories</v>
      </c>
      <c r="J821" s="43" t="str">
        <f>_xlfn.XLOOKUP($A821,Map!$A:$A,Map!F:F)</f>
        <v>Work in progress - Inventory</v>
      </c>
    </row>
    <row r="822" spans="1:10" x14ac:dyDescent="0.25">
      <c r="A822">
        <v>180014</v>
      </c>
      <c r="B822" t="s">
        <v>1346</v>
      </c>
      <c r="D822" s="116">
        <v>0</v>
      </c>
      <c r="E822" s="116">
        <v>79231.839999999997</v>
      </c>
      <c r="F822" s="116">
        <f t="shared" si="9"/>
        <v>-79231.839999999997</v>
      </c>
      <c r="G822" s="43" t="str">
        <f>_xlfn.XLOOKUP($A822,Map!$A:$A,Map!C:C)</f>
        <v>BS</v>
      </c>
      <c r="H822" s="43" t="str">
        <f>_xlfn.XLOOKUP($A822,Map!$A:$A,Map!D:D)</f>
        <v>Current Assets</v>
      </c>
      <c r="I822" s="43" t="str">
        <f>_xlfn.XLOOKUP($A822,Map!$A:$A,Map!E:E)</f>
        <v>Inventories</v>
      </c>
      <c r="J822" s="43" t="str">
        <f>_xlfn.XLOOKUP($A822,Map!$A:$A,Map!F:F)</f>
        <v>Work in progress - Inventory</v>
      </c>
    </row>
    <row r="823" spans="1:10" x14ac:dyDescent="0.25">
      <c r="A823">
        <v>180013</v>
      </c>
      <c r="B823" t="s">
        <v>1346</v>
      </c>
      <c r="D823" s="116">
        <v>0</v>
      </c>
      <c r="E823" s="116">
        <v>162548.96</v>
      </c>
      <c r="F823" s="116">
        <f t="shared" si="9"/>
        <v>-162548.96</v>
      </c>
      <c r="G823" s="43" t="str">
        <f>_xlfn.XLOOKUP($A823,Map!$A:$A,Map!C:C)</f>
        <v>BS</v>
      </c>
      <c r="H823" s="43" t="str">
        <f>_xlfn.XLOOKUP($A823,Map!$A:$A,Map!D:D)</f>
        <v>Current Assets</v>
      </c>
      <c r="I823" s="43" t="str">
        <f>_xlfn.XLOOKUP($A823,Map!$A:$A,Map!E:E)</f>
        <v>Inventories</v>
      </c>
      <c r="J823" s="43" t="str">
        <f>_xlfn.XLOOKUP($A823,Map!$A:$A,Map!F:F)</f>
        <v>Finished goods - Inventory</v>
      </c>
    </row>
    <row r="824" spans="1:10" x14ac:dyDescent="0.25">
      <c r="A824">
        <v>180012</v>
      </c>
      <c r="B824" t="s">
        <v>1346</v>
      </c>
      <c r="D824" s="116">
        <v>0</v>
      </c>
      <c r="E824" s="116">
        <v>15771</v>
      </c>
      <c r="F824" s="116">
        <f t="shared" si="9"/>
        <v>-15771</v>
      </c>
      <c r="G824" s="43" t="str">
        <f>_xlfn.XLOOKUP($A824,Map!$A:$A,Map!C:C)</f>
        <v>BS</v>
      </c>
      <c r="H824" s="43" t="str">
        <f>_xlfn.XLOOKUP($A824,Map!$A:$A,Map!D:D)</f>
        <v>Current Assets</v>
      </c>
      <c r="I824" s="43" t="str">
        <f>_xlfn.XLOOKUP($A824,Map!$A:$A,Map!E:E)</f>
        <v>Inventories</v>
      </c>
      <c r="J824" s="43" t="str">
        <f>_xlfn.XLOOKUP($A824,Map!$A:$A,Map!F:F)</f>
        <v>Work in progress - Inventory</v>
      </c>
    </row>
    <row r="825" spans="1:10" x14ac:dyDescent="0.25">
      <c r="A825">
        <v>180011</v>
      </c>
      <c r="B825" t="s">
        <v>1346</v>
      </c>
      <c r="D825" s="116">
        <v>61250.92</v>
      </c>
      <c r="E825" s="116">
        <v>0</v>
      </c>
      <c r="F825" s="116">
        <f t="shared" si="9"/>
        <v>61250.92</v>
      </c>
      <c r="G825" s="43" t="str">
        <f>_xlfn.XLOOKUP($A825,Map!$A:$A,Map!C:C)</f>
        <v>BS</v>
      </c>
      <c r="H825" s="43" t="str">
        <f>_xlfn.XLOOKUP($A825,Map!$A:$A,Map!D:D)</f>
        <v>Current Assets</v>
      </c>
      <c r="I825" s="43" t="str">
        <f>_xlfn.XLOOKUP($A825,Map!$A:$A,Map!E:E)</f>
        <v>Inventories</v>
      </c>
      <c r="J825" s="43" t="str">
        <f>_xlfn.XLOOKUP($A825,Map!$A:$A,Map!F:F)</f>
        <v>Finished goods - Inventory</v>
      </c>
    </row>
    <row r="826" spans="1:10" x14ac:dyDescent="0.25">
      <c r="A826">
        <v>180010</v>
      </c>
      <c r="B826" t="s">
        <v>1346</v>
      </c>
      <c r="D826" s="116">
        <v>5283.39</v>
      </c>
      <c r="E826" s="116">
        <v>0</v>
      </c>
      <c r="F826" s="116">
        <f t="shared" si="9"/>
        <v>5283.39</v>
      </c>
      <c r="G826" s="43" t="str">
        <f>_xlfn.XLOOKUP($A826,Map!$A:$A,Map!C:C)</f>
        <v>BS</v>
      </c>
      <c r="H826" s="43" t="str">
        <f>_xlfn.XLOOKUP($A826,Map!$A:$A,Map!D:D)</f>
        <v>Current Assets</v>
      </c>
      <c r="I826" s="43" t="str">
        <f>_xlfn.XLOOKUP($A826,Map!$A:$A,Map!E:E)</f>
        <v>Inventories</v>
      </c>
      <c r="J826" s="43" t="str">
        <f>_xlfn.XLOOKUP($A826,Map!$A:$A,Map!F:F)</f>
        <v>Packaging materials - Inventory</v>
      </c>
    </row>
    <row r="827" spans="1:10" x14ac:dyDescent="0.25">
      <c r="A827">
        <v>180009</v>
      </c>
      <c r="B827" t="s">
        <v>1346</v>
      </c>
      <c r="D827" s="116">
        <v>6916688.2800000003</v>
      </c>
      <c r="E827" s="116">
        <v>0</v>
      </c>
      <c r="F827" s="116">
        <f t="shared" si="9"/>
        <v>6916688.2800000003</v>
      </c>
      <c r="G827" s="43" t="str">
        <f>_xlfn.XLOOKUP($A827,Map!$A:$A,Map!C:C)</f>
        <v>BS</v>
      </c>
      <c r="H827" s="43" t="str">
        <f>_xlfn.XLOOKUP($A827,Map!$A:$A,Map!D:D)</f>
        <v>Current Assets</v>
      </c>
      <c r="I827" s="43" t="str">
        <f>_xlfn.XLOOKUP($A827,Map!$A:$A,Map!E:E)</f>
        <v>Inventories</v>
      </c>
      <c r="J827" s="43" t="str">
        <f>_xlfn.XLOOKUP($A827,Map!$A:$A,Map!F:F)</f>
        <v>Raw materials - Inventory</v>
      </c>
    </row>
    <row r="828" spans="1:10" x14ac:dyDescent="0.25">
      <c r="A828">
        <v>180008</v>
      </c>
      <c r="B828" t="s">
        <v>1346</v>
      </c>
      <c r="D828" s="116">
        <v>0</v>
      </c>
      <c r="E828" s="116">
        <v>0</v>
      </c>
      <c r="F828" s="116">
        <f t="shared" si="9"/>
        <v>0</v>
      </c>
      <c r="G828" s="43" t="str">
        <f>_xlfn.XLOOKUP($A828,Map!$A:$A,Map!C:C)</f>
        <v>BS</v>
      </c>
      <c r="H828" s="43" t="str">
        <f>_xlfn.XLOOKUP($A828,Map!$A:$A,Map!D:D)</f>
        <v>Current Assets</v>
      </c>
      <c r="I828" s="43" t="str">
        <f>_xlfn.XLOOKUP($A828,Map!$A:$A,Map!E:E)</f>
        <v>Inventories</v>
      </c>
      <c r="J828" s="43" t="str">
        <f>_xlfn.XLOOKUP($A828,Map!$A:$A,Map!F:F)</f>
        <v>Raw materials - Inventory</v>
      </c>
    </row>
    <row r="829" spans="1:10" x14ac:dyDescent="0.25">
      <c r="A829">
        <v>180007</v>
      </c>
      <c r="B829" t="s">
        <v>1346</v>
      </c>
      <c r="D829" s="116">
        <v>0</v>
      </c>
      <c r="E829" s="116">
        <v>4250394.87</v>
      </c>
      <c r="F829" s="116">
        <f t="shared" si="9"/>
        <v>-4250394.87</v>
      </c>
      <c r="G829" s="43" t="str">
        <f>_xlfn.XLOOKUP($A829,Map!$A:$A,Map!C:C)</f>
        <v>BS</v>
      </c>
      <c r="H829" s="43" t="str">
        <f>_xlfn.XLOOKUP($A829,Map!$A:$A,Map!D:D)</f>
        <v>Current Assets</v>
      </c>
      <c r="I829" s="43" t="str">
        <f>_xlfn.XLOOKUP($A829,Map!$A:$A,Map!E:E)</f>
        <v>Inventories</v>
      </c>
      <c r="J829" s="43" t="str">
        <f>_xlfn.XLOOKUP($A829,Map!$A:$A,Map!F:F)</f>
        <v>Raw materials - Inventory</v>
      </c>
    </row>
    <row r="830" spans="1:10" x14ac:dyDescent="0.25">
      <c r="A830">
        <v>180006</v>
      </c>
      <c r="B830" t="s">
        <v>1346</v>
      </c>
      <c r="D830" s="116">
        <v>8651.7099999999991</v>
      </c>
      <c r="E830" s="116">
        <v>0</v>
      </c>
      <c r="F830" s="116">
        <f t="shared" si="9"/>
        <v>8651.7099999999991</v>
      </c>
      <c r="G830" s="43" t="str">
        <f>_xlfn.XLOOKUP($A830,Map!$A:$A,Map!C:C)</f>
        <v>BS</v>
      </c>
      <c r="H830" s="43" t="str">
        <f>_xlfn.XLOOKUP($A830,Map!$A:$A,Map!D:D)</f>
        <v>Current Assets</v>
      </c>
      <c r="I830" s="43" t="str">
        <f>_xlfn.XLOOKUP($A830,Map!$A:$A,Map!E:E)</f>
        <v>Inventories</v>
      </c>
      <c r="J830" s="43" t="str">
        <f>_xlfn.XLOOKUP($A830,Map!$A:$A,Map!F:F)</f>
        <v>Raw materials - Inventory</v>
      </c>
    </row>
    <row r="831" spans="1:10" x14ac:dyDescent="0.25">
      <c r="A831">
        <v>180005</v>
      </c>
      <c r="B831" t="s">
        <v>1346</v>
      </c>
      <c r="D831" s="116">
        <v>0</v>
      </c>
      <c r="E831" s="116">
        <v>1771799.4369999999</v>
      </c>
      <c r="F831" s="116">
        <f t="shared" si="9"/>
        <v>-1771799.4369999999</v>
      </c>
      <c r="G831" s="43" t="str">
        <f>_xlfn.XLOOKUP($A831,Map!$A:$A,Map!C:C)</f>
        <v>BS</v>
      </c>
      <c r="H831" s="43" t="str">
        <f>_xlfn.XLOOKUP($A831,Map!$A:$A,Map!D:D)</f>
        <v>Current Assets</v>
      </c>
      <c r="I831" s="43" t="str">
        <f>_xlfn.XLOOKUP($A831,Map!$A:$A,Map!E:E)</f>
        <v>Inventories</v>
      </c>
      <c r="J831" s="43" t="str">
        <f>_xlfn.XLOOKUP($A831,Map!$A:$A,Map!F:F)</f>
        <v>Raw materials - Inventory</v>
      </c>
    </row>
    <row r="832" spans="1:10" x14ac:dyDescent="0.25">
      <c r="A832">
        <v>180004</v>
      </c>
      <c r="B832" t="s">
        <v>1346</v>
      </c>
      <c r="D832" s="116">
        <v>0</v>
      </c>
      <c r="E832" s="116">
        <v>1084191.2309999999</v>
      </c>
      <c r="F832" s="116">
        <f t="shared" si="9"/>
        <v>-1084191.2309999999</v>
      </c>
      <c r="G832" s="43" t="str">
        <f>_xlfn.XLOOKUP($A832,Map!$A:$A,Map!C:C)</f>
        <v>BS</v>
      </c>
      <c r="H832" s="43" t="str">
        <f>_xlfn.XLOOKUP($A832,Map!$A:$A,Map!D:D)</f>
        <v>Current Assets</v>
      </c>
      <c r="I832" s="43" t="str">
        <f>_xlfn.XLOOKUP($A832,Map!$A:$A,Map!E:E)</f>
        <v>Inventories</v>
      </c>
      <c r="J832" s="43" t="str">
        <f>_xlfn.XLOOKUP($A832,Map!$A:$A,Map!F:F)</f>
        <v>Raw materials - Inventory</v>
      </c>
    </row>
    <row r="833" spans="1:10" x14ac:dyDescent="0.25">
      <c r="A833">
        <v>180003</v>
      </c>
      <c r="B833" t="s">
        <v>1346</v>
      </c>
      <c r="D833" s="116">
        <v>205328.96</v>
      </c>
      <c r="E833" s="116">
        <v>0</v>
      </c>
      <c r="F833" s="116">
        <f t="shared" si="9"/>
        <v>205328.96</v>
      </c>
      <c r="G833" s="43" t="str">
        <f>_xlfn.XLOOKUP($A833,Map!$A:$A,Map!C:C)</f>
        <v>BS</v>
      </c>
      <c r="H833" s="43" t="str">
        <f>_xlfn.XLOOKUP($A833,Map!$A:$A,Map!D:D)</f>
        <v>Current Assets</v>
      </c>
      <c r="I833" s="43" t="str">
        <f>_xlfn.XLOOKUP($A833,Map!$A:$A,Map!E:E)</f>
        <v>Inventories</v>
      </c>
      <c r="J833" s="43" t="str">
        <f>_xlfn.XLOOKUP($A833,Map!$A:$A,Map!F:F)</f>
        <v>Spare parts - Inventory</v>
      </c>
    </row>
    <row r="836" spans="1:10" x14ac:dyDescent="0.25">
      <c r="A836">
        <v>170021</v>
      </c>
      <c r="B836" t="s">
        <v>883</v>
      </c>
      <c r="D836" s="154">
        <v>4741163.17</v>
      </c>
      <c r="F836" s="147">
        <f>D836-E836</f>
        <v>4741163.17</v>
      </c>
      <c r="G836" s="43" t="str">
        <f>_xlfn.XLOOKUP($A836,Map!$A:$A,Map!C:C)</f>
        <v>BS</v>
      </c>
      <c r="H836" s="43" t="str">
        <f>_xlfn.XLOOKUP($A836,Map!$A:$A,Map!D:D)</f>
        <v>Current Assets</v>
      </c>
      <c r="I836" s="43" t="str">
        <f>_xlfn.XLOOKUP($A836,Map!$A:$A,Map!E:E)</f>
        <v>Prepaid expenses</v>
      </c>
      <c r="J836" s="43" t="str">
        <f>_xlfn.XLOOKUP($A836,Map!$A:$A,Map!F:F)</f>
        <v>Prepaid expense</v>
      </c>
    </row>
    <row r="837" spans="1:10" x14ac:dyDescent="0.25">
      <c r="A837">
        <v>210001</v>
      </c>
      <c r="B837" t="s">
        <v>902</v>
      </c>
      <c r="E837" s="154">
        <f>D836</f>
        <v>4741163.17</v>
      </c>
      <c r="F837" s="147">
        <f>D837-E837</f>
        <v>-4741163.17</v>
      </c>
      <c r="G837" s="43" t="str">
        <f>_xlfn.XLOOKUP($A837,Map!$A:$A,Map!C:C)</f>
        <v>BS</v>
      </c>
      <c r="H837" s="43" t="str">
        <f>_xlfn.XLOOKUP($A837,Map!$A:$A,Map!D:D)</f>
        <v>Current Liabilities</v>
      </c>
      <c r="I837" s="43" t="str">
        <f>_xlfn.XLOOKUP($A837,Map!$A:$A,Map!E:E)</f>
        <v>Tade payables and Accuals &amp; other credit balances</v>
      </c>
      <c r="J837" s="43" t="str">
        <f>_xlfn.XLOOKUP($A837,Map!$A:$A,Map!F:F)</f>
        <v>Trade payables - Foreign</v>
      </c>
    </row>
    <row r="840" spans="1:10" x14ac:dyDescent="0.25">
      <c r="A840">
        <v>410001</v>
      </c>
      <c r="B840" t="s">
        <v>1344</v>
      </c>
      <c r="D840" s="88">
        <v>35685087.604671016</v>
      </c>
      <c r="E840" s="88"/>
      <c r="F840" s="147">
        <f>D840-E840</f>
        <v>35685087.604671016</v>
      </c>
      <c r="G840" s="43" t="str">
        <f>_xlfn.XLOOKUP($A840,Map!$A:$A,Map!C:C)</f>
        <v>IS</v>
      </c>
      <c r="H840" s="43" t="str">
        <f>_xlfn.XLOOKUP($A840,Map!$A:$A,Map!D:D)</f>
        <v>Sales</v>
      </c>
      <c r="I840" s="43" t="str">
        <f>_xlfn.XLOOKUP($A840,Map!$A:$A,Map!E:E)</f>
        <v>Sales</v>
      </c>
      <c r="J840" s="43" t="str">
        <f>_xlfn.XLOOKUP($A840,Map!$A:$A,Map!F:F)</f>
        <v>Trading revenue</v>
      </c>
    </row>
    <row r="841" spans="1:10" x14ac:dyDescent="0.25">
      <c r="A841">
        <v>510001</v>
      </c>
      <c r="B841" t="s">
        <v>1345</v>
      </c>
      <c r="D841" s="88"/>
      <c r="E841" s="88">
        <v>32065438.589147341</v>
      </c>
      <c r="F841" s="147">
        <f>D841-E841</f>
        <v>-32065438.589147341</v>
      </c>
      <c r="G841" s="43" t="str">
        <f>_xlfn.XLOOKUP($A841,Map!$A:$A,Map!C:C)</f>
        <v>IS</v>
      </c>
      <c r="H841" s="43" t="str">
        <f>_xlfn.XLOOKUP($A841,Map!$A:$A,Map!D:D)</f>
        <v>Cost of sales</v>
      </c>
      <c r="I841" s="43" t="str">
        <f>_xlfn.XLOOKUP($A841,Map!$A:$A,Map!E:E)</f>
        <v>Raw materials</v>
      </c>
      <c r="J841" s="43" t="str">
        <f>_xlfn.XLOOKUP($A841,Map!$A:$A,Map!F:F)</f>
        <v>Raw materials</v>
      </c>
    </row>
  </sheetData>
  <autoFilter ref="A4:K833" xr:uid="{00000000-0009-0000-0000-00001B000000}"/>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313"/>
  <sheetViews>
    <sheetView zoomScale="90" workbookViewId="0">
      <pane ySplit="32" topLeftCell="A33"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85" t="s">
        <v>1251</v>
      </c>
    </row>
    <row r="2" spans="1:10" x14ac:dyDescent="0.25">
      <c r="A2" s="85" t="s">
        <v>1193</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110002</v>
      </c>
      <c r="B5" t="s">
        <v>819</v>
      </c>
      <c r="C5" s="116">
        <v>249682</v>
      </c>
      <c r="D5" s="116">
        <v>0</v>
      </c>
      <c r="E5" s="116">
        <v>0</v>
      </c>
      <c r="F5" s="116">
        <v>249682</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110003</v>
      </c>
      <c r="B6" t="s">
        <v>820</v>
      </c>
      <c r="C6" s="116">
        <v>1773233.75</v>
      </c>
      <c r="D6" s="116">
        <v>0</v>
      </c>
      <c r="E6" s="116">
        <v>0</v>
      </c>
      <c r="F6" s="116">
        <v>1773233.75</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110004</v>
      </c>
      <c r="B7" t="s">
        <v>821</v>
      </c>
      <c r="C7" s="116">
        <v>39914308.471000001</v>
      </c>
      <c r="D7" s="116">
        <v>4005542.63</v>
      </c>
      <c r="E7" s="116">
        <v>21100</v>
      </c>
      <c r="F7" s="116">
        <v>43898751.101000004</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110006</v>
      </c>
      <c r="B8" t="s">
        <v>822</v>
      </c>
      <c r="C8" s="116">
        <v>1548852.15</v>
      </c>
      <c r="D8" s="116">
        <v>443900</v>
      </c>
      <c r="E8" s="116">
        <v>101000</v>
      </c>
      <c r="F8" s="116">
        <v>1891752.15</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110007</v>
      </c>
      <c r="B9" t="s">
        <v>823</v>
      </c>
      <c r="C9" s="116">
        <v>798523.45</v>
      </c>
      <c r="D9" s="116">
        <v>0</v>
      </c>
      <c r="E9" s="116">
        <v>0</v>
      </c>
      <c r="F9" s="116">
        <v>798523.45</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110008</v>
      </c>
      <c r="B10" t="s">
        <v>824</v>
      </c>
      <c r="C10" s="116">
        <v>191765.4</v>
      </c>
      <c r="D10" s="116">
        <v>0</v>
      </c>
      <c r="E10" s="116">
        <v>0</v>
      </c>
      <c r="F10" s="116">
        <v>191765.4</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111009</v>
      </c>
      <c r="B11" t="s">
        <v>825</v>
      </c>
      <c r="C11" s="116">
        <v>0</v>
      </c>
      <c r="D11" s="116">
        <v>0</v>
      </c>
      <c r="E11" s="116">
        <v>0</v>
      </c>
      <c r="F11" s="116">
        <v>0</v>
      </c>
      <c r="G11" s="43" t="str">
        <f>_xlfn.XLOOKUP($A11,Map!$A:$A,Map!C:C)</f>
        <v>BS</v>
      </c>
      <c r="H11" s="43" t="str">
        <f>_xlfn.XLOOKUP($A11,Map!$A:$A,Map!D:D)</f>
        <v>Non-Current Assets</v>
      </c>
      <c r="I11" s="43" t="str">
        <f>_xlfn.XLOOKUP($A11,Map!$A:$A,Map!E:E)</f>
        <v>Right of use</v>
      </c>
      <c r="J11" s="43" t="str">
        <f>_xlfn.XLOOKUP($A11,Map!$A:$A,Map!F:F)</f>
        <v>Leases - right of use assets</v>
      </c>
    </row>
    <row r="12" spans="1:10" x14ac:dyDescent="0.25">
      <c r="A12">
        <v>111013</v>
      </c>
      <c r="B12" t="s">
        <v>827</v>
      </c>
      <c r="C12" s="116">
        <v>99946347.437000006</v>
      </c>
      <c r="D12" s="116">
        <v>17882062.506999999</v>
      </c>
      <c r="E12" s="116">
        <v>15563008.808</v>
      </c>
      <c r="F12" s="116">
        <v>102265401.13600001</v>
      </c>
      <c r="G12" s="43" t="str">
        <f>_xlfn.XLOOKUP($A12,Map!$A:$A,Map!C:C)</f>
        <v>BS</v>
      </c>
      <c r="H12" s="43" t="str">
        <f>_xlfn.XLOOKUP($A12,Map!$A:$A,Map!D:D)</f>
        <v>Non-Current Assets</v>
      </c>
      <c r="I12" s="43" t="str">
        <f>_xlfn.XLOOKUP($A12,Map!$A:$A,Map!E:E)</f>
        <v>Property, plant and equipment</v>
      </c>
      <c r="J12" s="43" t="str">
        <f>_xlfn.XLOOKUP($A12,Map!$A:$A,Map!F:F)</f>
        <v>Property, plant and equipment - Accumulated depreciation</v>
      </c>
    </row>
    <row r="13" spans="1:10" x14ac:dyDescent="0.25">
      <c r="A13">
        <v>120001</v>
      </c>
      <c r="B13" t="s">
        <v>829</v>
      </c>
      <c r="C13" s="116">
        <v>-249150.337</v>
      </c>
      <c r="D13" s="116">
        <v>0</v>
      </c>
      <c r="E13" s="116">
        <v>531.66999999999996</v>
      </c>
      <c r="F13" s="116">
        <v>-249682.00700000001</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120002</v>
      </c>
      <c r="B14" t="s">
        <v>830</v>
      </c>
      <c r="C14" s="116">
        <v>-1767393.959</v>
      </c>
      <c r="D14" s="116">
        <v>450</v>
      </c>
      <c r="E14" s="116">
        <v>2859.9630000000002</v>
      </c>
      <c r="F14" s="116">
        <v>-1769803.922</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120003</v>
      </c>
      <c r="B15" t="s">
        <v>831</v>
      </c>
      <c r="C15" s="116">
        <v>-27289886.682999998</v>
      </c>
      <c r="D15" s="116">
        <v>4707.47</v>
      </c>
      <c r="E15" s="116">
        <v>3538142.5989999999</v>
      </c>
      <c r="F15" s="116">
        <v>-30823321.811999999</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120005</v>
      </c>
      <c r="B16" t="s">
        <v>832</v>
      </c>
      <c r="C16" s="116">
        <v>-1332799.317</v>
      </c>
      <c r="D16" s="116">
        <v>101000</v>
      </c>
      <c r="E16" s="116">
        <v>189670.83</v>
      </c>
      <c r="F16" s="116">
        <v>-1421470.1470000001</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120006</v>
      </c>
      <c r="B17" t="s">
        <v>833</v>
      </c>
      <c r="C17" s="116">
        <v>-439911.33799999999</v>
      </c>
      <c r="D17" s="116">
        <v>0</v>
      </c>
      <c r="E17" s="116">
        <v>179702.465</v>
      </c>
      <c r="F17" s="116">
        <v>-619613.80299999996</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120007</v>
      </c>
      <c r="B18" t="s">
        <v>834</v>
      </c>
      <c r="C18" s="116">
        <v>-176382.90299999999</v>
      </c>
      <c r="D18" s="116">
        <v>0</v>
      </c>
      <c r="E18" s="116">
        <v>5931.53</v>
      </c>
      <c r="F18" s="116">
        <v>-182314.43299999999</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121001</v>
      </c>
      <c r="B19" t="s">
        <v>836</v>
      </c>
      <c r="C19" s="116">
        <v>8098665.1299999999</v>
      </c>
      <c r="D19" s="116">
        <v>15002896.994000001</v>
      </c>
      <c r="E19" s="116">
        <v>9338945.9940000009</v>
      </c>
      <c r="F19" s="116">
        <v>13762616.130000001</v>
      </c>
      <c r="G19" s="43" t="str">
        <f>_xlfn.XLOOKUP($A19,Map!$A:$A,Map!C:C)</f>
        <v>BS</v>
      </c>
      <c r="H19" s="43" t="str">
        <f>_xlfn.XLOOKUP($A19,Map!$A:$A,Map!D:D)</f>
        <v>Current Assets</v>
      </c>
      <c r="I19" s="43" t="str">
        <f>_xlfn.XLOOKUP($A19,Map!$A:$A,Map!E:E)</f>
        <v>Prepaid expenses</v>
      </c>
      <c r="J19" s="43" t="str">
        <f>_xlfn.XLOOKUP($A19,Map!$A:$A,Map!F:F)</f>
        <v>Pre Operating Exps</v>
      </c>
    </row>
    <row r="20" spans="1:10" x14ac:dyDescent="0.25">
      <c r="A20">
        <v>121002</v>
      </c>
      <c r="B20" t="s">
        <v>837</v>
      </c>
      <c r="C20" s="116">
        <v>-8098665.1299999999</v>
      </c>
      <c r="D20" s="116">
        <v>3650674.13</v>
      </c>
      <c r="E20" s="116">
        <v>9314625.1300000008</v>
      </c>
      <c r="F20" s="116">
        <v>-13762616.130000001</v>
      </c>
      <c r="G20" s="43" t="str">
        <f>_xlfn.XLOOKUP($A20,Map!$A:$A,Map!C:C)</f>
        <v>BS</v>
      </c>
      <c r="H20" s="43" t="str">
        <f>_xlfn.XLOOKUP($A20,Map!$A:$A,Map!D:D)</f>
        <v>Current Assets</v>
      </c>
      <c r="I20" s="43" t="str">
        <f>_xlfn.XLOOKUP($A20,Map!$A:$A,Map!E:E)</f>
        <v>Prepaid expenses</v>
      </c>
      <c r="J20" s="43" t="str">
        <f>_xlfn.XLOOKUP($A20,Map!$A:$A,Map!F:F)</f>
        <v>Amortization Of Pre Operating Exps</v>
      </c>
    </row>
    <row r="21" spans="1:10" x14ac:dyDescent="0.25">
      <c r="A21">
        <v>130001</v>
      </c>
      <c r="B21" t="s">
        <v>838</v>
      </c>
      <c r="C21" s="116">
        <v>2109690.5099999998</v>
      </c>
      <c r="D21" s="116">
        <v>102701348.47499999</v>
      </c>
      <c r="E21" s="116">
        <v>102220007.079</v>
      </c>
      <c r="F21" s="116">
        <v>2591031.906</v>
      </c>
      <c r="G21" s="43" t="str">
        <f>_xlfn.XLOOKUP($A21,Map!$A:$A,Map!C:C)</f>
        <v>BS</v>
      </c>
      <c r="H21" s="43" t="str">
        <f>_xlfn.XLOOKUP($A21,Map!$A:$A,Map!D:D)</f>
        <v>Current Assets</v>
      </c>
      <c r="I21" s="43" t="str">
        <f>_xlfn.XLOOKUP($A21,Map!$A:$A,Map!E:E)</f>
        <v>Cash and cash equivalents</v>
      </c>
      <c r="J21" s="43" t="str">
        <f>_xlfn.XLOOKUP($A21,Map!$A:$A,Map!F:F)</f>
        <v>Bank balances</v>
      </c>
    </row>
    <row r="22" spans="1:10" x14ac:dyDescent="0.25">
      <c r="A22">
        <v>130002</v>
      </c>
      <c r="B22" t="s">
        <v>1205</v>
      </c>
      <c r="C22" s="116">
        <v>30078.2</v>
      </c>
      <c r="D22" s="116">
        <v>79106728.582000002</v>
      </c>
      <c r="E22" s="116">
        <v>79085743.142000005</v>
      </c>
      <c r="F22" s="116">
        <v>51063.64</v>
      </c>
      <c r="G22" s="43" t="str">
        <f>_xlfn.XLOOKUP($A22,Map!$A:$A,Map!C:C)</f>
        <v>BS</v>
      </c>
      <c r="H22" s="43" t="str">
        <f>_xlfn.XLOOKUP($A22,Map!$A:$A,Map!D:D)</f>
        <v>Current Assets</v>
      </c>
      <c r="I22" s="43" t="str">
        <f>_xlfn.XLOOKUP($A22,Map!$A:$A,Map!E:E)</f>
        <v>Cash and cash equivalents</v>
      </c>
      <c r="J22" s="43" t="str">
        <f>_xlfn.XLOOKUP($A22,Map!$A:$A,Map!F:F)</f>
        <v>Bank balances</v>
      </c>
    </row>
    <row r="23" spans="1:10" x14ac:dyDescent="0.25">
      <c r="A23">
        <v>130004</v>
      </c>
      <c r="B23" t="s">
        <v>841</v>
      </c>
      <c r="C23" s="116">
        <v>623354.35</v>
      </c>
      <c r="D23" s="116">
        <v>25875890.612</v>
      </c>
      <c r="E23" s="116">
        <v>24329018.532000002</v>
      </c>
      <c r="F23" s="116">
        <v>2170226.4300000002</v>
      </c>
      <c r="G23" s="43" t="str">
        <f>_xlfn.XLOOKUP($A23,Map!$A:$A,Map!C:C)</f>
        <v>BS</v>
      </c>
      <c r="H23" s="43" t="str">
        <f>_xlfn.XLOOKUP($A23,Map!$A:$A,Map!D:D)</f>
        <v>Current Assets</v>
      </c>
      <c r="I23" s="43" t="str">
        <f>_xlfn.XLOOKUP($A23,Map!$A:$A,Map!E:E)</f>
        <v>Cash and cash equivalents</v>
      </c>
      <c r="J23" s="43" t="str">
        <f>_xlfn.XLOOKUP($A23,Map!$A:$A,Map!F:F)</f>
        <v>Bank balances</v>
      </c>
    </row>
    <row r="24" spans="1:10" x14ac:dyDescent="0.25">
      <c r="A24">
        <v>130005</v>
      </c>
      <c r="B24" t="s">
        <v>842</v>
      </c>
      <c r="C24" s="116">
        <v>5311.27</v>
      </c>
      <c r="D24" s="116">
        <v>2374292.06</v>
      </c>
      <c r="E24" s="116">
        <v>1183552.3500000001</v>
      </c>
      <c r="F24" s="116">
        <v>1196050.98</v>
      </c>
      <c r="G24" s="43" t="str">
        <f>_xlfn.XLOOKUP($A24,Map!$A:$A,Map!C:C)</f>
        <v>BS</v>
      </c>
      <c r="H24" s="43" t="str">
        <f>_xlfn.XLOOKUP($A24,Map!$A:$A,Map!D:D)</f>
        <v>Current Assets</v>
      </c>
      <c r="I24" s="43" t="str">
        <f>_xlfn.XLOOKUP($A24,Map!$A:$A,Map!E:E)</f>
        <v>Cash and cash equivalents</v>
      </c>
      <c r="J24" s="43" t="str">
        <f>_xlfn.XLOOKUP($A24,Map!$A:$A,Map!F:F)</f>
        <v>Bank balances</v>
      </c>
    </row>
    <row r="25" spans="1:10" x14ac:dyDescent="0.25">
      <c r="A25">
        <v>130006</v>
      </c>
      <c r="B25" t="s">
        <v>843</v>
      </c>
      <c r="C25" s="116">
        <v>18521.5</v>
      </c>
      <c r="D25" s="116">
        <v>4017338.37</v>
      </c>
      <c r="E25" s="116">
        <v>3944213.42</v>
      </c>
      <c r="F25" s="116">
        <v>91646.45</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130007</v>
      </c>
      <c r="B26" t="s">
        <v>844</v>
      </c>
      <c r="C26" s="116">
        <v>1782205.82</v>
      </c>
      <c r="D26" s="116">
        <v>19329294.456999999</v>
      </c>
      <c r="E26" s="116">
        <v>20299051.059999999</v>
      </c>
      <c r="F26" s="116">
        <v>812449.21699999995</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130008</v>
      </c>
      <c r="B27" t="s">
        <v>845</v>
      </c>
      <c r="C27" s="116">
        <v>52027.55</v>
      </c>
      <c r="D27" s="116">
        <v>59542497.667999998</v>
      </c>
      <c r="E27" s="116">
        <v>59295717.697999999</v>
      </c>
      <c r="F27" s="116">
        <v>298807.52</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130099</v>
      </c>
      <c r="B28" t="s">
        <v>856</v>
      </c>
      <c r="C28" s="116">
        <v>0</v>
      </c>
      <c r="D28" s="116">
        <v>143132371</v>
      </c>
      <c r="E28" s="116">
        <v>143132371</v>
      </c>
      <c r="F28" s="116">
        <v>0</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140001</v>
      </c>
      <c r="B29" t="s">
        <v>857</v>
      </c>
      <c r="C29" s="116">
        <v>39673675.619999997</v>
      </c>
      <c r="D29" s="116">
        <v>152275327.98699999</v>
      </c>
      <c r="E29" s="116">
        <v>152584725.86399999</v>
      </c>
      <c r="F29" s="116">
        <v>39364277.743000001</v>
      </c>
      <c r="G29" s="43" t="str">
        <f>_xlfn.XLOOKUP($A29,Map!$A:$A,Map!C:C)</f>
        <v>BS</v>
      </c>
      <c r="H29" s="43" t="str">
        <f>_xlfn.XLOOKUP($A29,Map!$A:$A,Map!D:D)</f>
        <v>Current Assets</v>
      </c>
      <c r="I29" s="43" t="str">
        <f>_xlfn.XLOOKUP($A29,Map!$A:$A,Map!E:E)</f>
        <v>Trade receivables</v>
      </c>
      <c r="J29" s="43" t="str">
        <f>_xlfn.XLOOKUP($A29,Map!$A:$A,Map!F:F)</f>
        <v>Trade receivables - current</v>
      </c>
    </row>
    <row r="30" spans="1:10" x14ac:dyDescent="0.25">
      <c r="A30">
        <v>140010</v>
      </c>
      <c r="B30" t="s">
        <v>858</v>
      </c>
      <c r="C30" s="116">
        <v>0</v>
      </c>
      <c r="D30" s="116">
        <v>0</v>
      </c>
      <c r="E30" s="116">
        <v>0</v>
      </c>
      <c r="F30" s="116">
        <v>0</v>
      </c>
      <c r="G30" s="43" t="str">
        <f>_xlfn.XLOOKUP($A30,Map!$A:$A,Map!C:C)</f>
        <v>BS</v>
      </c>
      <c r="H30" s="43" t="str">
        <f>_xlfn.XLOOKUP($A30,Map!$A:$A,Map!D:D)</f>
        <v>Current Assets</v>
      </c>
      <c r="I30" s="43" t="str">
        <f>_xlfn.XLOOKUP($A30,Map!$A:$A,Map!E:E)</f>
        <v>Trade receivables</v>
      </c>
      <c r="J30" s="43" t="str">
        <f>_xlfn.XLOOKUP($A30,Map!$A:$A,Map!F:F)</f>
        <v>Trade receivables - current</v>
      </c>
    </row>
    <row r="31" spans="1:10" x14ac:dyDescent="0.25">
      <c r="A31">
        <v>150001</v>
      </c>
      <c r="B31" t="s">
        <v>859</v>
      </c>
      <c r="C31" s="116">
        <v>420934.68</v>
      </c>
      <c r="D31" s="116">
        <v>168486.32</v>
      </c>
      <c r="E31" s="116">
        <v>545671</v>
      </c>
      <c r="F31" s="116">
        <v>43750</v>
      </c>
      <c r="G31" s="43" t="str">
        <f>_xlfn.XLOOKUP($A31,Map!$A:$A,Map!C:C)</f>
        <v>BS</v>
      </c>
      <c r="H31" s="43" t="str">
        <f>_xlfn.XLOOKUP($A31,Map!$A:$A,Map!D:D)</f>
        <v>Current Assets</v>
      </c>
      <c r="I31" s="43" t="str">
        <f>_xlfn.XLOOKUP($A31,Map!$A:$A,Map!E:E)</f>
        <v>Prepaid expenses</v>
      </c>
      <c r="J31" s="43" t="str">
        <f>_xlfn.XLOOKUP($A31,Map!$A:$A,Map!F:F)</f>
        <v>Advances - current</v>
      </c>
    </row>
    <row r="32" spans="1:10" x14ac:dyDescent="0.25">
      <c r="A32">
        <v>160001</v>
      </c>
      <c r="B32" t="s">
        <v>861</v>
      </c>
      <c r="C32" s="116">
        <v>68465.62</v>
      </c>
      <c r="D32" s="116">
        <v>3527278.24</v>
      </c>
      <c r="E32" s="116">
        <v>3549743.86</v>
      </c>
      <c r="F32" s="116">
        <v>46000</v>
      </c>
      <c r="G32" s="43" t="str">
        <f>_xlfn.XLOOKUP($A32,Map!$A:$A,Map!C:C)</f>
        <v>BS</v>
      </c>
      <c r="H32" s="43" t="str">
        <f>_xlfn.XLOOKUP($A32,Map!$A:$A,Map!D:D)</f>
        <v>Current Assets</v>
      </c>
      <c r="I32" s="43" t="str">
        <f>_xlfn.XLOOKUP($A32,Map!$A:$A,Map!E:E)</f>
        <v>Cash and cash equivalents</v>
      </c>
      <c r="J32" s="43" t="str">
        <f>_xlfn.XLOOKUP($A32,Map!$A:$A,Map!F:F)</f>
        <v>Petty cash</v>
      </c>
    </row>
    <row r="33" spans="1:10" x14ac:dyDescent="0.25">
      <c r="A33">
        <v>170000</v>
      </c>
      <c r="B33" t="s">
        <v>862</v>
      </c>
      <c r="C33" s="116">
        <v>366799.283</v>
      </c>
      <c r="D33" s="116">
        <v>766150.18</v>
      </c>
      <c r="E33" s="116">
        <v>1132949.46</v>
      </c>
      <c r="F33" s="116">
        <v>3.0000000000000001E-3</v>
      </c>
      <c r="G33" s="43" t="str">
        <f>_xlfn.XLOOKUP($A33,Map!$A:$A,Map!C:C)</f>
        <v>BS</v>
      </c>
      <c r="H33" s="43" t="str">
        <f>_xlfn.XLOOKUP($A33,Map!$A:$A,Map!D:D)</f>
        <v>Current Liabilities</v>
      </c>
      <c r="I33" s="43" t="str">
        <f>_xlfn.XLOOKUP($A33,Map!$A:$A,Map!E:E)</f>
        <v>Short-term Murabaha loans</v>
      </c>
      <c r="J33" s="43" t="str">
        <f>_xlfn.XLOOKUP($A33,Map!$A:$A,Map!F:F)</f>
        <v>Prepayments - current</v>
      </c>
    </row>
    <row r="34" spans="1:10" x14ac:dyDescent="0.25">
      <c r="A34">
        <v>170001</v>
      </c>
      <c r="B34" t="s">
        <v>863</v>
      </c>
      <c r="C34" s="116">
        <v>0</v>
      </c>
      <c r="D34" s="116">
        <v>0</v>
      </c>
      <c r="E34" s="116">
        <v>0</v>
      </c>
      <c r="F34" s="116">
        <v>0</v>
      </c>
      <c r="G34" s="43" t="str">
        <f>_xlfn.XLOOKUP($A34,Map!$A:$A,Map!C:C)</f>
        <v>BS</v>
      </c>
      <c r="H34" s="43" t="str">
        <f>_xlfn.XLOOKUP($A34,Map!$A:$A,Map!D:D)</f>
        <v>Current Liabilities</v>
      </c>
      <c r="I34" s="43" t="str">
        <f>_xlfn.XLOOKUP($A34,Map!$A:$A,Map!E:E)</f>
        <v>Short-term Murabaha loans</v>
      </c>
      <c r="J34" s="43" t="str">
        <f>_xlfn.XLOOKUP($A34,Map!$A:$A,Map!F:F)</f>
        <v>Prepayments - current</v>
      </c>
    </row>
    <row r="35" spans="1:10" x14ac:dyDescent="0.25">
      <c r="A35">
        <v>170003</v>
      </c>
      <c r="B35" t="s">
        <v>865</v>
      </c>
      <c r="C35" s="116">
        <v>29088.487000000001</v>
      </c>
      <c r="D35" s="116">
        <v>23086.04</v>
      </c>
      <c r="E35" s="116">
        <v>52174.53</v>
      </c>
      <c r="F35" s="116">
        <v>-3.0000000000000001E-3</v>
      </c>
      <c r="G35" s="43" t="str">
        <f>_xlfn.XLOOKUP($A35,Map!$A:$A,Map!C:C)</f>
        <v>BS</v>
      </c>
      <c r="H35" s="43" t="str">
        <f>_xlfn.XLOOKUP($A35,Map!$A:$A,Map!D:D)</f>
        <v>Current Liabilities</v>
      </c>
      <c r="I35" s="43" t="str">
        <f>_xlfn.XLOOKUP($A35,Map!$A:$A,Map!E:E)</f>
        <v>Short-term Murabaha loans</v>
      </c>
      <c r="J35" s="43" t="str">
        <f>_xlfn.XLOOKUP($A35,Map!$A:$A,Map!F:F)</f>
        <v>Prepayments - current</v>
      </c>
    </row>
    <row r="36" spans="1:10" x14ac:dyDescent="0.25">
      <c r="A36">
        <v>170004</v>
      </c>
      <c r="B36" t="s">
        <v>866</v>
      </c>
      <c r="C36" s="116">
        <v>0</v>
      </c>
      <c r="D36" s="116">
        <v>0</v>
      </c>
      <c r="E36" s="116">
        <v>0</v>
      </c>
      <c r="F36" s="116">
        <v>0</v>
      </c>
      <c r="G36" s="43" t="str">
        <f>_xlfn.XLOOKUP($A36,Map!$A:$A,Map!C:C)</f>
        <v>BS</v>
      </c>
      <c r="H36" s="43" t="str">
        <f>_xlfn.XLOOKUP($A36,Map!$A:$A,Map!D:D)</f>
        <v>Current Liabilities</v>
      </c>
      <c r="I36" s="43" t="str">
        <f>_xlfn.XLOOKUP($A36,Map!$A:$A,Map!E:E)</f>
        <v>Short-term Murabaha loans</v>
      </c>
      <c r="J36" s="43" t="str">
        <f>_xlfn.XLOOKUP($A36,Map!$A:$A,Map!F:F)</f>
        <v>Prepayments - current</v>
      </c>
    </row>
    <row r="37" spans="1:10" x14ac:dyDescent="0.25">
      <c r="A37">
        <v>170005</v>
      </c>
      <c r="B37" t="s">
        <v>867</v>
      </c>
      <c r="C37" s="116">
        <v>0</v>
      </c>
      <c r="D37" s="116">
        <v>0</v>
      </c>
      <c r="E37" s="116">
        <v>0</v>
      </c>
      <c r="F37" s="116">
        <v>0</v>
      </c>
      <c r="G37" s="43" t="str">
        <f>_xlfn.XLOOKUP($A37,Map!$A:$A,Map!C:C)</f>
        <v>BS</v>
      </c>
      <c r="H37" s="43" t="str">
        <f>_xlfn.XLOOKUP($A37,Map!$A:$A,Map!D:D)</f>
        <v>Current Assets</v>
      </c>
      <c r="I37" s="43" t="str">
        <f>_xlfn.XLOOKUP($A37,Map!$A:$A,Map!E:E)</f>
        <v>Prepaid expenses</v>
      </c>
      <c r="J37" s="43" t="str">
        <f>_xlfn.XLOOKUP($A37,Map!$A:$A,Map!F:F)</f>
        <v>Deposits - current</v>
      </c>
    </row>
    <row r="38" spans="1:10" x14ac:dyDescent="0.25">
      <c r="A38">
        <v>170006</v>
      </c>
      <c r="B38" t="s">
        <v>868</v>
      </c>
      <c r="C38" s="116">
        <v>971548.60900000005</v>
      </c>
      <c r="D38" s="116">
        <v>1399483.28</v>
      </c>
      <c r="E38" s="116">
        <v>2371031.889</v>
      </c>
      <c r="F38" s="116">
        <v>0</v>
      </c>
      <c r="G38" s="43" t="str">
        <f>_xlfn.XLOOKUP($A38,Map!$A:$A,Map!C:C)</f>
        <v>BS</v>
      </c>
      <c r="H38" s="43" t="str">
        <f>_xlfn.XLOOKUP($A38,Map!$A:$A,Map!D:D)</f>
        <v>Current Assets</v>
      </c>
      <c r="I38" s="43" t="str">
        <f>_xlfn.XLOOKUP($A38,Map!$A:$A,Map!E:E)</f>
        <v>Prepaid expenses</v>
      </c>
      <c r="J38" s="43" t="str">
        <f>_xlfn.XLOOKUP($A38,Map!$A:$A,Map!F:F)</f>
        <v>Deposits - current</v>
      </c>
    </row>
    <row r="39" spans="1:10" x14ac:dyDescent="0.25">
      <c r="A39">
        <v>170007</v>
      </c>
      <c r="B39" t="s">
        <v>869</v>
      </c>
      <c r="C39" s="116">
        <v>0</v>
      </c>
      <c r="D39" s="116">
        <v>467402.51</v>
      </c>
      <c r="E39" s="116">
        <v>467402.51</v>
      </c>
      <c r="F39" s="116">
        <v>0</v>
      </c>
      <c r="G39" s="43" t="str">
        <f>_xlfn.XLOOKUP($A39,Map!$A:$A,Map!C:C)</f>
        <v>BS</v>
      </c>
      <c r="H39" s="43" t="str">
        <f>_xlfn.XLOOKUP($A39,Map!$A:$A,Map!D:D)</f>
        <v>Current Assets</v>
      </c>
      <c r="I39" s="43" t="str">
        <f>_xlfn.XLOOKUP($A39,Map!$A:$A,Map!E:E)</f>
        <v>Prepaid expenses</v>
      </c>
      <c r="J39" s="43" t="str">
        <f>_xlfn.XLOOKUP($A39,Map!$A:$A,Map!F:F)</f>
        <v>Deposits - current</v>
      </c>
    </row>
    <row r="40" spans="1:10" x14ac:dyDescent="0.25">
      <c r="A40">
        <v>170008</v>
      </c>
      <c r="B40" t="s">
        <v>870</v>
      </c>
      <c r="C40" s="116">
        <v>0</v>
      </c>
      <c r="D40" s="116">
        <v>0</v>
      </c>
      <c r="E40" s="116">
        <v>0</v>
      </c>
      <c r="F40" s="116">
        <v>0</v>
      </c>
      <c r="G40" s="43" t="str">
        <f>_xlfn.XLOOKUP($A40,Map!$A:$A,Map!C:C)</f>
        <v>BS</v>
      </c>
      <c r="H40" s="43" t="str">
        <f>_xlfn.XLOOKUP($A40,Map!$A:$A,Map!D:D)</f>
        <v>Current Assets</v>
      </c>
      <c r="I40" s="43" t="str">
        <f>_xlfn.XLOOKUP($A40,Map!$A:$A,Map!E:E)</f>
        <v>Prepaid expenses</v>
      </c>
      <c r="J40" s="43" t="str">
        <f>_xlfn.XLOOKUP($A40,Map!$A:$A,Map!F:F)</f>
        <v>Deposits - current</v>
      </c>
    </row>
    <row r="41" spans="1:10" x14ac:dyDescent="0.25">
      <c r="A41">
        <v>170009</v>
      </c>
      <c r="B41" t="s">
        <v>871</v>
      </c>
      <c r="C41" s="116">
        <v>59583</v>
      </c>
      <c r="D41" s="116">
        <v>1334348.83</v>
      </c>
      <c r="E41" s="116">
        <v>1359487.8289999999</v>
      </c>
      <c r="F41" s="116">
        <v>34444.000999999997</v>
      </c>
      <c r="G41" s="43" t="str">
        <f>_xlfn.XLOOKUP($A41,Map!$A:$A,Map!C:C)</f>
        <v>BS</v>
      </c>
      <c r="H41" s="43" t="str">
        <f>_xlfn.XLOOKUP($A41,Map!$A:$A,Map!D:D)</f>
        <v>Current Assets</v>
      </c>
      <c r="I41" s="43" t="str">
        <f>_xlfn.XLOOKUP($A41,Map!$A:$A,Map!E:E)</f>
        <v>Prepaid expenses</v>
      </c>
      <c r="J41" s="43" t="str">
        <f>_xlfn.XLOOKUP($A41,Map!$A:$A,Map!F:F)</f>
        <v>Rent</v>
      </c>
    </row>
    <row r="42" spans="1:10" x14ac:dyDescent="0.25">
      <c r="A42">
        <v>170010</v>
      </c>
      <c r="B42" t="s">
        <v>872</v>
      </c>
      <c r="C42" s="116">
        <v>0</v>
      </c>
      <c r="D42" s="116">
        <v>663100</v>
      </c>
      <c r="E42" s="116">
        <v>663100</v>
      </c>
      <c r="F42" s="116">
        <v>0</v>
      </c>
      <c r="G42" s="43" t="str">
        <f>_xlfn.XLOOKUP($A42,Map!$A:$A,Map!C:C)</f>
        <v>BS</v>
      </c>
      <c r="H42" s="43" t="str">
        <f>_xlfn.XLOOKUP($A42,Map!$A:$A,Map!D:D)</f>
        <v>Current Assets</v>
      </c>
      <c r="I42" s="43" t="str">
        <f>_xlfn.XLOOKUP($A42,Map!$A:$A,Map!E:E)</f>
        <v>Prepaid expenses</v>
      </c>
      <c r="J42" s="43" t="str">
        <f>_xlfn.XLOOKUP($A42,Map!$A:$A,Map!F:F)</f>
        <v>Housing allowance</v>
      </c>
    </row>
    <row r="43" spans="1:10" x14ac:dyDescent="0.25">
      <c r="A43">
        <v>170011</v>
      </c>
      <c r="B43" t="s">
        <v>873</v>
      </c>
      <c r="C43" s="116">
        <v>0</v>
      </c>
      <c r="D43" s="116">
        <v>108000</v>
      </c>
      <c r="E43" s="116">
        <v>108000</v>
      </c>
      <c r="F43" s="116">
        <v>0</v>
      </c>
      <c r="G43" s="43" t="str">
        <f>_xlfn.XLOOKUP($A43,Map!$A:$A,Map!C:C)</f>
        <v>BS</v>
      </c>
      <c r="H43" s="43" t="str">
        <f>_xlfn.XLOOKUP($A43,Map!$A:$A,Map!D:D)</f>
        <v>Current Assets</v>
      </c>
      <c r="I43" s="43" t="str">
        <f>_xlfn.XLOOKUP($A43,Map!$A:$A,Map!E:E)</f>
        <v>Prepaid expenses</v>
      </c>
      <c r="J43" s="43" t="str">
        <f>_xlfn.XLOOKUP($A43,Map!$A:$A,Map!F:F)</f>
        <v>Air tickets</v>
      </c>
    </row>
    <row r="44" spans="1:10" x14ac:dyDescent="0.25">
      <c r="A44">
        <v>170013</v>
      </c>
      <c r="B44" t="s">
        <v>875</v>
      </c>
      <c r="C44" s="116">
        <v>59000</v>
      </c>
      <c r="D44" s="116">
        <v>0</v>
      </c>
      <c r="E44" s="116">
        <v>0</v>
      </c>
      <c r="F44" s="116">
        <v>59000</v>
      </c>
      <c r="G44" s="43" t="str">
        <f>_xlfn.XLOOKUP($A44,Map!$A:$A,Map!C:C)</f>
        <v>BS</v>
      </c>
      <c r="H44" s="43" t="str">
        <f>_xlfn.XLOOKUP($A44,Map!$A:$A,Map!D:D)</f>
        <v>Current Assets</v>
      </c>
      <c r="I44" s="43" t="str">
        <f>_xlfn.XLOOKUP($A44,Map!$A:$A,Map!E:E)</f>
        <v>Prepaid expenses</v>
      </c>
      <c r="J44" s="43" t="str">
        <f>_xlfn.XLOOKUP($A44,Map!$A:$A,Map!F:F)</f>
        <v>Insurance</v>
      </c>
    </row>
    <row r="45" spans="1:10" x14ac:dyDescent="0.25">
      <c r="A45">
        <v>170014</v>
      </c>
      <c r="B45" t="s">
        <v>876</v>
      </c>
      <c r="C45" s="116">
        <v>314532</v>
      </c>
      <c r="D45" s="116">
        <v>573752</v>
      </c>
      <c r="E45" s="116">
        <v>604042.5</v>
      </c>
      <c r="F45" s="116">
        <v>284241.5</v>
      </c>
      <c r="G45" s="43" t="str">
        <f>_xlfn.XLOOKUP($A45,Map!$A:$A,Map!C:C)</f>
        <v>BS</v>
      </c>
      <c r="H45" s="43" t="str">
        <f>_xlfn.XLOOKUP($A45,Map!$A:$A,Map!D:D)</f>
        <v>Current Assets</v>
      </c>
      <c r="I45" s="43" t="str">
        <f>_xlfn.XLOOKUP($A45,Map!$A:$A,Map!E:E)</f>
        <v>Prepaid expenses</v>
      </c>
      <c r="J45" s="43" t="str">
        <f>_xlfn.XLOOKUP($A45,Map!$A:$A,Map!F:F)</f>
        <v>Insurance</v>
      </c>
    </row>
    <row r="46" spans="1:10" x14ac:dyDescent="0.25">
      <c r="A46">
        <v>170015</v>
      </c>
      <c r="B46" t="s">
        <v>877</v>
      </c>
      <c r="C46" s="116">
        <v>0</v>
      </c>
      <c r="D46" s="116">
        <v>0</v>
      </c>
      <c r="E46" s="116">
        <v>0</v>
      </c>
      <c r="F46" s="116">
        <v>0</v>
      </c>
      <c r="G46" s="43" t="str">
        <f>_xlfn.XLOOKUP($A46,Map!$A:$A,Map!C:C)</f>
        <v>BS</v>
      </c>
      <c r="H46" s="43" t="str">
        <f>_xlfn.XLOOKUP($A46,Map!$A:$A,Map!D:D)</f>
        <v>Current Assets</v>
      </c>
      <c r="I46" s="43" t="str">
        <f>_xlfn.XLOOKUP($A46,Map!$A:$A,Map!E:E)</f>
        <v>Prepaid expenses</v>
      </c>
      <c r="J46" s="43" t="str">
        <f>_xlfn.XLOOKUP($A46,Map!$A:$A,Map!F:F)</f>
        <v>Salaries and wages</v>
      </c>
    </row>
    <row r="47" spans="1:10" x14ac:dyDescent="0.25">
      <c r="A47">
        <v>180001</v>
      </c>
      <c r="B47" t="s">
        <v>884</v>
      </c>
      <c r="C47" s="116">
        <v>0</v>
      </c>
      <c r="D47" s="116">
        <v>2890012.6039999998</v>
      </c>
      <c r="E47" s="116">
        <v>2890012.6039999998</v>
      </c>
      <c r="F47" s="116">
        <v>0</v>
      </c>
      <c r="G47" s="43" t="str">
        <f>_xlfn.XLOOKUP($A47,Map!$A:$A,Map!C:C)</f>
        <v>BS</v>
      </c>
      <c r="H47" s="43" t="str">
        <f>_xlfn.XLOOKUP($A47,Map!$A:$A,Map!D:D)</f>
        <v>Current Assets</v>
      </c>
      <c r="I47" s="43" t="str">
        <f>_xlfn.XLOOKUP($A47,Map!$A:$A,Map!E:E)</f>
        <v>Inventories</v>
      </c>
      <c r="J47" s="43" t="str">
        <f>_xlfn.XLOOKUP($A47,Map!$A:$A,Map!F:F)</f>
        <v>Raw materials - Inventory</v>
      </c>
    </row>
    <row r="48" spans="1:10" x14ac:dyDescent="0.25">
      <c r="A48">
        <v>180002</v>
      </c>
      <c r="B48" t="s">
        <v>885</v>
      </c>
      <c r="C48" s="116">
        <v>0</v>
      </c>
      <c r="D48" s="116">
        <v>335316.85200000001</v>
      </c>
      <c r="E48" s="116">
        <v>335316.85200000001</v>
      </c>
      <c r="F48" s="116">
        <v>0</v>
      </c>
      <c r="G48" s="43" t="str">
        <f>_xlfn.XLOOKUP($A48,Map!$A:$A,Map!C:C)</f>
        <v>BS</v>
      </c>
      <c r="H48" s="43" t="str">
        <f>_xlfn.XLOOKUP($A48,Map!$A:$A,Map!D:D)</f>
        <v>Current Assets</v>
      </c>
      <c r="I48" s="43" t="str">
        <f>_xlfn.XLOOKUP($A48,Map!$A:$A,Map!E:E)</f>
        <v>Inventories</v>
      </c>
      <c r="J48" s="43" t="str">
        <f>_xlfn.XLOOKUP($A48,Map!$A:$A,Map!F:F)</f>
        <v>Raw materials - Inventory</v>
      </c>
    </row>
    <row r="49" spans="1:10" x14ac:dyDescent="0.25">
      <c r="A49">
        <v>180003</v>
      </c>
      <c r="B49" t="s">
        <v>886</v>
      </c>
      <c r="C49" s="116">
        <v>3290183.429</v>
      </c>
      <c r="D49" s="116">
        <v>4924730.0760000004</v>
      </c>
      <c r="E49" s="116">
        <v>4915339.54</v>
      </c>
      <c r="F49" s="116">
        <v>3299573.9649999999</v>
      </c>
      <c r="G49" s="43" t="str">
        <f>_xlfn.XLOOKUP($A49,Map!$A:$A,Map!C:C)</f>
        <v>BS</v>
      </c>
      <c r="H49" s="43" t="str">
        <f>_xlfn.XLOOKUP($A49,Map!$A:$A,Map!D:D)</f>
        <v>Current Assets</v>
      </c>
      <c r="I49" s="43" t="str">
        <f>_xlfn.XLOOKUP($A49,Map!$A:$A,Map!E:E)</f>
        <v>Inventories</v>
      </c>
      <c r="J49" s="43" t="str">
        <f>_xlfn.XLOOKUP($A49,Map!$A:$A,Map!F:F)</f>
        <v>Spare parts - Inventory</v>
      </c>
    </row>
    <row r="50" spans="1:10" x14ac:dyDescent="0.25">
      <c r="A50">
        <v>180004</v>
      </c>
      <c r="B50" t="s">
        <v>887</v>
      </c>
      <c r="C50" s="116">
        <v>3089278.875</v>
      </c>
      <c r="D50" s="116">
        <v>9739826.0759999994</v>
      </c>
      <c r="E50" s="116">
        <v>7479444.5499999998</v>
      </c>
      <c r="F50" s="116">
        <v>5349660.4009999996</v>
      </c>
      <c r="G50" s="43" t="str">
        <f>_xlfn.XLOOKUP($A50,Map!$A:$A,Map!C:C)</f>
        <v>BS</v>
      </c>
      <c r="H50" s="43" t="str">
        <f>_xlfn.XLOOKUP($A50,Map!$A:$A,Map!D:D)</f>
        <v>Current Assets</v>
      </c>
      <c r="I50" s="43" t="str">
        <f>_xlfn.XLOOKUP($A50,Map!$A:$A,Map!E:E)</f>
        <v>Inventories</v>
      </c>
      <c r="J50" s="43" t="str">
        <f>_xlfn.XLOOKUP($A50,Map!$A:$A,Map!F:F)</f>
        <v>Raw materials - Inventory</v>
      </c>
    </row>
    <row r="51" spans="1:10" x14ac:dyDescent="0.25">
      <c r="A51">
        <v>180005</v>
      </c>
      <c r="B51" t="s">
        <v>888</v>
      </c>
      <c r="C51" s="116">
        <v>2947498.5460000001</v>
      </c>
      <c r="D51" s="116">
        <v>10007320.210000001</v>
      </c>
      <c r="E51" s="116">
        <v>10551593.800000001</v>
      </c>
      <c r="F51" s="116">
        <v>2403224.9559999998</v>
      </c>
      <c r="G51" s="43" t="str">
        <f>_xlfn.XLOOKUP($A51,Map!$A:$A,Map!C:C)</f>
        <v>BS</v>
      </c>
      <c r="H51" s="43" t="str">
        <f>_xlfn.XLOOKUP($A51,Map!$A:$A,Map!D:D)</f>
        <v>Current Assets</v>
      </c>
      <c r="I51" s="43" t="str">
        <f>_xlfn.XLOOKUP($A51,Map!$A:$A,Map!E:E)</f>
        <v>Inventories</v>
      </c>
      <c r="J51" s="43" t="str">
        <f>_xlfn.XLOOKUP($A51,Map!$A:$A,Map!F:F)</f>
        <v>Raw materials - Inventory</v>
      </c>
    </row>
    <row r="52" spans="1:10" x14ac:dyDescent="0.25">
      <c r="A52">
        <v>180006</v>
      </c>
      <c r="B52" t="s">
        <v>889</v>
      </c>
      <c r="C52" s="116">
        <v>1161027.274</v>
      </c>
      <c r="D52" s="116">
        <v>3077440.4730000002</v>
      </c>
      <c r="E52" s="116">
        <v>3813228.324</v>
      </c>
      <c r="F52" s="116">
        <v>425239.42300000001</v>
      </c>
      <c r="G52" s="43" t="str">
        <f>_xlfn.XLOOKUP($A52,Map!$A:$A,Map!C:C)</f>
        <v>BS</v>
      </c>
      <c r="H52" s="43" t="str">
        <f>_xlfn.XLOOKUP($A52,Map!$A:$A,Map!D:D)</f>
        <v>Current Assets</v>
      </c>
      <c r="I52" s="43" t="str">
        <f>_xlfn.XLOOKUP($A52,Map!$A:$A,Map!E:E)</f>
        <v>Inventories</v>
      </c>
      <c r="J52" s="43" t="str">
        <f>_xlfn.XLOOKUP($A52,Map!$A:$A,Map!F:F)</f>
        <v>Raw materials - Inventory</v>
      </c>
    </row>
    <row r="53" spans="1:10" x14ac:dyDescent="0.25">
      <c r="A53">
        <v>180007</v>
      </c>
      <c r="B53" t="s">
        <v>890</v>
      </c>
      <c r="C53" s="116">
        <v>7227774.1299999999</v>
      </c>
      <c r="D53" s="116">
        <v>2775652.13</v>
      </c>
      <c r="E53" s="116">
        <v>8912428.0199999996</v>
      </c>
      <c r="F53" s="116">
        <v>1090998.24</v>
      </c>
      <c r="G53" s="43" t="str">
        <f>_xlfn.XLOOKUP($A53,Map!$A:$A,Map!C:C)</f>
        <v>BS</v>
      </c>
      <c r="H53" s="43" t="str">
        <f>_xlfn.XLOOKUP($A53,Map!$A:$A,Map!D:D)</f>
        <v>Current Assets</v>
      </c>
      <c r="I53" s="43" t="str">
        <f>_xlfn.XLOOKUP($A53,Map!$A:$A,Map!E:E)</f>
        <v>Inventories</v>
      </c>
      <c r="J53" s="43" t="str">
        <f>_xlfn.XLOOKUP($A53,Map!$A:$A,Map!F:F)</f>
        <v>Raw materials - Inventory</v>
      </c>
    </row>
    <row r="54" spans="1:10" x14ac:dyDescent="0.25">
      <c r="A54">
        <v>180008</v>
      </c>
      <c r="B54" t="s">
        <v>891</v>
      </c>
      <c r="C54" s="116">
        <v>1400127.8160000001</v>
      </c>
      <c r="D54" s="116">
        <v>167910</v>
      </c>
      <c r="E54" s="116">
        <v>0</v>
      </c>
      <c r="F54" s="116">
        <v>1568037.8160000001</v>
      </c>
      <c r="G54" s="43" t="str">
        <f>_xlfn.XLOOKUP($A54,Map!$A:$A,Map!C:C)</f>
        <v>BS</v>
      </c>
      <c r="H54" s="43" t="str">
        <f>_xlfn.XLOOKUP($A54,Map!$A:$A,Map!D:D)</f>
        <v>Current Assets</v>
      </c>
      <c r="I54" s="43" t="str">
        <f>_xlfn.XLOOKUP($A54,Map!$A:$A,Map!E:E)</f>
        <v>Inventories</v>
      </c>
      <c r="J54" s="43" t="str">
        <f>_xlfn.XLOOKUP($A54,Map!$A:$A,Map!F:F)</f>
        <v>Raw materials - Inventory</v>
      </c>
    </row>
    <row r="55" spans="1:10" x14ac:dyDescent="0.25">
      <c r="A55">
        <v>180009</v>
      </c>
      <c r="B55" t="s">
        <v>892</v>
      </c>
      <c r="C55" s="116">
        <v>5.0000000000000001E-3</v>
      </c>
      <c r="D55" s="116">
        <v>84236315.982999995</v>
      </c>
      <c r="E55" s="116">
        <v>84236316.008000001</v>
      </c>
      <c r="F55" s="116">
        <v>-0.02</v>
      </c>
      <c r="G55" s="43" t="str">
        <f>_xlfn.XLOOKUP($A55,Map!$A:$A,Map!C:C)</f>
        <v>BS</v>
      </c>
      <c r="H55" s="43" t="str">
        <f>_xlfn.XLOOKUP($A55,Map!$A:$A,Map!D:D)</f>
        <v>Current Assets</v>
      </c>
      <c r="I55" s="43" t="str">
        <f>_xlfn.XLOOKUP($A55,Map!$A:$A,Map!E:E)</f>
        <v>Inventories</v>
      </c>
      <c r="J55" s="43" t="str">
        <f>_xlfn.XLOOKUP($A55,Map!$A:$A,Map!F:F)</f>
        <v>Raw materials - Inventory</v>
      </c>
    </row>
    <row r="56" spans="1:10" x14ac:dyDescent="0.25">
      <c r="A56">
        <v>180010</v>
      </c>
      <c r="B56" t="s">
        <v>893</v>
      </c>
      <c r="C56" s="116">
        <v>1393673.389</v>
      </c>
      <c r="D56" s="116">
        <v>3643144.531</v>
      </c>
      <c r="E56" s="116">
        <v>3305177.4160000002</v>
      </c>
      <c r="F56" s="116">
        <v>1731640.504</v>
      </c>
      <c r="G56" s="43" t="str">
        <f>_xlfn.XLOOKUP($A56,Map!$A:$A,Map!C:C)</f>
        <v>BS</v>
      </c>
      <c r="H56" s="43" t="str">
        <f>_xlfn.XLOOKUP($A56,Map!$A:$A,Map!D:D)</f>
        <v>Current Assets</v>
      </c>
      <c r="I56" s="43" t="str">
        <f>_xlfn.XLOOKUP($A56,Map!$A:$A,Map!E:E)</f>
        <v>Inventories</v>
      </c>
      <c r="J56" s="43" t="str">
        <f>_xlfn.XLOOKUP($A56,Map!$A:$A,Map!F:F)</f>
        <v>Packaging materials - Inventory</v>
      </c>
    </row>
    <row r="57" spans="1:10" x14ac:dyDescent="0.25">
      <c r="A57">
        <v>180011</v>
      </c>
      <c r="B57" t="s">
        <v>894</v>
      </c>
      <c r="C57" s="116">
        <v>3632147.8029999998</v>
      </c>
      <c r="D57" s="116">
        <v>41853400.155000001</v>
      </c>
      <c r="E57" s="116">
        <v>41726254.288000003</v>
      </c>
      <c r="F57" s="116">
        <v>3759293.67</v>
      </c>
      <c r="G57" s="43" t="str">
        <f>_xlfn.XLOOKUP($A57,Map!$A:$A,Map!C:C)</f>
        <v>BS</v>
      </c>
      <c r="H57" s="43" t="str">
        <f>_xlfn.XLOOKUP($A57,Map!$A:$A,Map!D:D)</f>
        <v>Current Assets</v>
      </c>
      <c r="I57" s="43" t="str">
        <f>_xlfn.XLOOKUP($A57,Map!$A:$A,Map!E:E)</f>
        <v>Inventories</v>
      </c>
      <c r="J57" s="43" t="str">
        <f>_xlfn.XLOOKUP($A57,Map!$A:$A,Map!F:F)</f>
        <v>Finished goods - Inventory</v>
      </c>
    </row>
    <row r="58" spans="1:10" x14ac:dyDescent="0.25">
      <c r="A58">
        <v>180012</v>
      </c>
      <c r="B58" t="s">
        <v>895</v>
      </c>
      <c r="C58" s="116">
        <v>2249721.0639999998</v>
      </c>
      <c r="D58" s="116">
        <v>24928976.638</v>
      </c>
      <c r="E58" s="116">
        <v>25209502.998</v>
      </c>
      <c r="F58" s="116">
        <v>1969194.7039999999</v>
      </c>
      <c r="G58" s="43" t="str">
        <f>_xlfn.XLOOKUP($A58,Map!$A:$A,Map!C:C)</f>
        <v>BS</v>
      </c>
      <c r="H58" s="43" t="str">
        <f>_xlfn.XLOOKUP($A58,Map!$A:$A,Map!D:D)</f>
        <v>Current Assets</v>
      </c>
      <c r="I58" s="43" t="str">
        <f>_xlfn.XLOOKUP($A58,Map!$A:$A,Map!E:E)</f>
        <v>Inventories</v>
      </c>
      <c r="J58" s="43" t="str">
        <f>_xlfn.XLOOKUP($A58,Map!$A:$A,Map!F:F)</f>
        <v>Work in progress - Inventory</v>
      </c>
    </row>
    <row r="59" spans="1:10" x14ac:dyDescent="0.25">
      <c r="A59">
        <v>180013</v>
      </c>
      <c r="B59" t="s">
        <v>896</v>
      </c>
      <c r="C59" s="116">
        <v>6287840.1040000003</v>
      </c>
      <c r="D59" s="116">
        <v>4683011.551</v>
      </c>
      <c r="E59" s="116">
        <v>6535842.568</v>
      </c>
      <c r="F59" s="116">
        <v>4435009.0870000003</v>
      </c>
      <c r="G59" s="43" t="str">
        <f>_xlfn.XLOOKUP($A59,Map!$A:$A,Map!C:C)</f>
        <v>BS</v>
      </c>
      <c r="H59" s="43" t="str">
        <f>_xlfn.XLOOKUP($A59,Map!$A:$A,Map!D:D)</f>
        <v>Current Assets</v>
      </c>
      <c r="I59" s="43" t="str">
        <f>_xlfn.XLOOKUP($A59,Map!$A:$A,Map!E:E)</f>
        <v>Inventories</v>
      </c>
      <c r="J59" s="43" t="str">
        <f>_xlfn.XLOOKUP($A59,Map!$A:$A,Map!F:F)</f>
        <v>Finished goods - Inventory</v>
      </c>
    </row>
    <row r="60" spans="1:10" x14ac:dyDescent="0.25">
      <c r="A60">
        <v>180014</v>
      </c>
      <c r="B60" t="s">
        <v>897</v>
      </c>
      <c r="C60" s="116">
        <v>0</v>
      </c>
      <c r="D60" s="116">
        <v>30403728.342999998</v>
      </c>
      <c r="E60" s="116">
        <v>29644252.513</v>
      </c>
      <c r="F60" s="116">
        <v>759475.83</v>
      </c>
      <c r="G60" s="43" t="str">
        <f>_xlfn.XLOOKUP($A60,Map!$A:$A,Map!C:C)</f>
        <v>BS</v>
      </c>
      <c r="H60" s="43" t="str">
        <f>_xlfn.XLOOKUP($A60,Map!$A:$A,Map!D:D)</f>
        <v>Current Assets</v>
      </c>
      <c r="I60" s="43" t="str">
        <f>_xlfn.XLOOKUP($A60,Map!$A:$A,Map!E:E)</f>
        <v>Inventories</v>
      </c>
      <c r="J60" s="43" t="str">
        <f>_xlfn.XLOOKUP($A60,Map!$A:$A,Map!F:F)</f>
        <v>Work in progress - Inventory</v>
      </c>
    </row>
    <row r="61" spans="1:10" x14ac:dyDescent="0.25">
      <c r="A61">
        <v>180096</v>
      </c>
      <c r="B61" t="s">
        <v>898</v>
      </c>
      <c r="C61" s="116">
        <v>-2E-3</v>
      </c>
      <c r="D61" s="116">
        <v>14849229.897</v>
      </c>
      <c r="E61" s="116">
        <v>14671946.529999999</v>
      </c>
      <c r="F61" s="116">
        <v>177283.36499999999</v>
      </c>
      <c r="G61" s="43" t="str">
        <f>_xlfn.XLOOKUP($A61,Map!$A:$A,Map!C:C)</f>
        <v>BS</v>
      </c>
      <c r="H61" s="43" t="str">
        <f>_xlfn.XLOOKUP($A61,Map!$A:$A,Map!D:D)</f>
        <v>Current Assets</v>
      </c>
      <c r="I61" s="43" t="str">
        <f>_xlfn.XLOOKUP($A61,Map!$A:$A,Map!E:E)</f>
        <v>Inventories</v>
      </c>
      <c r="J61" s="43" t="str">
        <f>_xlfn.XLOOKUP($A61,Map!$A:$A,Map!F:F)</f>
        <v>Work in progress - Inventory</v>
      </c>
    </row>
    <row r="62" spans="1:10" x14ac:dyDescent="0.25">
      <c r="A62">
        <v>180097</v>
      </c>
      <c r="B62" t="s">
        <v>899</v>
      </c>
      <c r="C62" s="116">
        <v>0</v>
      </c>
      <c r="D62" s="116">
        <v>0</v>
      </c>
      <c r="E62" s="116">
        <v>0</v>
      </c>
      <c r="F62" s="116">
        <v>0</v>
      </c>
      <c r="G62" s="43" t="str">
        <f>_xlfn.XLOOKUP($A62,Map!$A:$A,Map!C:C)</f>
        <v>BS</v>
      </c>
      <c r="H62" s="43" t="str">
        <f>_xlfn.XLOOKUP($A62,Map!$A:$A,Map!D:D)</f>
        <v>Current Assets</v>
      </c>
      <c r="I62" s="43" t="str">
        <f>_xlfn.XLOOKUP($A62,Map!$A:$A,Map!E:E)</f>
        <v>Inventories</v>
      </c>
      <c r="J62" s="43" t="str">
        <f>_xlfn.XLOOKUP($A62,Map!$A:$A,Map!F:F)</f>
        <v>Work in progress - Inventory</v>
      </c>
    </row>
    <row r="63" spans="1:10" x14ac:dyDescent="0.25">
      <c r="A63">
        <v>180098</v>
      </c>
      <c r="B63" t="s">
        <v>900</v>
      </c>
      <c r="C63" s="116">
        <v>0</v>
      </c>
      <c r="D63" s="116">
        <v>0</v>
      </c>
      <c r="E63" s="116">
        <v>0</v>
      </c>
      <c r="F63" s="116">
        <v>0</v>
      </c>
      <c r="G63" s="43" t="str">
        <f>_xlfn.XLOOKUP($A63,Map!$A:$A,Map!C:C)</f>
        <v>BS</v>
      </c>
      <c r="H63" s="43" t="str">
        <f>_xlfn.XLOOKUP($A63,Map!$A:$A,Map!D:D)</f>
        <v>Current Assets</v>
      </c>
      <c r="I63" s="43" t="str">
        <f>_xlfn.XLOOKUP($A63,Map!$A:$A,Map!E:E)</f>
        <v>Inventories</v>
      </c>
      <c r="J63" s="43" t="str">
        <f>_xlfn.XLOOKUP($A63,Map!$A:$A,Map!F:F)</f>
        <v>Work in progress - Inventory</v>
      </c>
    </row>
    <row r="64" spans="1:10" x14ac:dyDescent="0.25">
      <c r="A64">
        <v>180099</v>
      </c>
      <c r="B64" t="s">
        <v>901</v>
      </c>
      <c r="C64" s="116">
        <v>0</v>
      </c>
      <c r="D64" s="116">
        <v>0</v>
      </c>
      <c r="E64" s="116">
        <v>0</v>
      </c>
      <c r="F64" s="116">
        <v>0</v>
      </c>
      <c r="G64" s="43" t="str">
        <f>_xlfn.XLOOKUP($A64,Map!$A:$A,Map!C:C)</f>
        <v>BS</v>
      </c>
      <c r="H64" s="43" t="str">
        <f>_xlfn.XLOOKUP($A64,Map!$A:$A,Map!D:D)</f>
        <v>Current Assets</v>
      </c>
      <c r="I64" s="43" t="str">
        <f>_xlfn.XLOOKUP($A64,Map!$A:$A,Map!E:E)</f>
        <v>Inventories</v>
      </c>
      <c r="J64" s="43" t="str">
        <f>_xlfn.XLOOKUP($A64,Map!$A:$A,Map!F:F)</f>
        <v>Goods in transit - Inventory</v>
      </c>
    </row>
    <row r="65" spans="1:10" x14ac:dyDescent="0.25">
      <c r="A65">
        <v>210001</v>
      </c>
      <c r="B65" t="s">
        <v>902</v>
      </c>
      <c r="C65" s="116">
        <v>1340423.077</v>
      </c>
      <c r="D65" s="116">
        <v>87746680.728</v>
      </c>
      <c r="E65" s="116">
        <v>79813407.358999997</v>
      </c>
      <c r="F65" s="116">
        <v>9273696.4460000005</v>
      </c>
      <c r="G65" s="43" t="str">
        <f>_xlfn.XLOOKUP($A65,Map!$A:$A,Map!C:C)</f>
        <v>BS</v>
      </c>
      <c r="H65" s="43" t="str">
        <f>_xlfn.XLOOKUP($A65,Map!$A:$A,Map!D:D)</f>
        <v>Current Liabilities</v>
      </c>
      <c r="I65" s="43" t="str">
        <f>_xlfn.XLOOKUP($A65,Map!$A:$A,Map!E:E)</f>
        <v>Tade payables and Accuals &amp; other credit balances</v>
      </c>
      <c r="J65" s="43" t="str">
        <f>_xlfn.XLOOKUP($A65,Map!$A:$A,Map!F:F)</f>
        <v>Trade payables - Foreign</v>
      </c>
    </row>
    <row r="66" spans="1:10" x14ac:dyDescent="0.25">
      <c r="A66">
        <v>210002</v>
      </c>
      <c r="B66" t="s">
        <v>903</v>
      </c>
      <c r="C66" s="116">
        <v>-1993720.899</v>
      </c>
      <c r="D66" s="116">
        <v>32666515.436999999</v>
      </c>
      <c r="E66" s="116">
        <v>34127207.961999997</v>
      </c>
      <c r="F66" s="116">
        <v>-3454413.4240000001</v>
      </c>
      <c r="G66" s="43" t="str">
        <f>_xlfn.XLOOKUP($A66,Map!$A:$A,Map!C:C)</f>
        <v>BS</v>
      </c>
      <c r="H66" s="43" t="str">
        <f>_xlfn.XLOOKUP($A66,Map!$A:$A,Map!D:D)</f>
        <v>Current Liabilities</v>
      </c>
      <c r="I66" s="43" t="str">
        <f>_xlfn.XLOOKUP($A66,Map!$A:$A,Map!E:E)</f>
        <v>Tade payables and Accuals &amp; other credit balances</v>
      </c>
      <c r="J66" s="43" t="str">
        <f>_xlfn.XLOOKUP($A66,Map!$A:$A,Map!F:F)</f>
        <v>Trade payables - Local</v>
      </c>
    </row>
    <row r="67" spans="1:10" x14ac:dyDescent="0.25">
      <c r="A67">
        <v>220001</v>
      </c>
      <c r="B67" t="s">
        <v>904</v>
      </c>
      <c r="C67" s="116">
        <v>0</v>
      </c>
      <c r="D67" s="116">
        <v>0</v>
      </c>
      <c r="E67" s="116">
        <v>0</v>
      </c>
      <c r="F67" s="116">
        <v>0</v>
      </c>
      <c r="G67" s="43" t="str">
        <f>_xlfn.XLOOKUP($A67,Map!$A:$A,Map!C:C)</f>
        <v>BS</v>
      </c>
      <c r="H67" s="43" t="str">
        <f>_xlfn.XLOOKUP($A67,Map!$A:$A,Map!D:D)</f>
        <v>Current Liabilities</v>
      </c>
      <c r="I67" s="43" t="str">
        <f>_xlfn.XLOOKUP($A67,Map!$A:$A,Map!E:E)</f>
        <v>Short-term Murabaha loans</v>
      </c>
      <c r="J67" s="43" t="str">
        <f>_xlfn.XLOOKUP($A67,Map!$A:$A,Map!F:F)</f>
        <v>Other loans - current</v>
      </c>
    </row>
    <row r="68" spans="1:10" x14ac:dyDescent="0.25">
      <c r="A68">
        <v>220002</v>
      </c>
      <c r="B68" t="s">
        <v>905</v>
      </c>
      <c r="C68" s="116">
        <v>-4564727.9000000004</v>
      </c>
      <c r="D68" s="116">
        <v>4564727.9000000004</v>
      </c>
      <c r="E68" s="116">
        <v>0</v>
      </c>
      <c r="F68" s="116">
        <v>0</v>
      </c>
      <c r="G68" s="43" t="str">
        <f>_xlfn.XLOOKUP($A68,Map!$A:$A,Map!C:C)</f>
        <v>BS</v>
      </c>
      <c r="H68" s="43" t="str">
        <f>_xlfn.XLOOKUP($A68,Map!$A:$A,Map!D:D)</f>
        <v>Current Liabilities</v>
      </c>
      <c r="I68" s="43" t="str">
        <f>_xlfn.XLOOKUP($A68,Map!$A:$A,Map!E:E)</f>
        <v>Short-term Murabaha loans</v>
      </c>
      <c r="J68" s="43" t="str">
        <f>_xlfn.XLOOKUP($A68,Map!$A:$A,Map!F:F)</f>
        <v>Other loans - current</v>
      </c>
    </row>
    <row r="69" spans="1:10" x14ac:dyDescent="0.25">
      <c r="A69">
        <v>220003</v>
      </c>
      <c r="B69" t="s">
        <v>906</v>
      </c>
      <c r="C69" s="116">
        <v>0</v>
      </c>
      <c r="D69" s="116">
        <v>0</v>
      </c>
      <c r="E69" s="116">
        <v>0</v>
      </c>
      <c r="F69" s="116">
        <v>0</v>
      </c>
      <c r="G69" s="43" t="str">
        <f>_xlfn.XLOOKUP($A69,Map!$A:$A,Map!C:C)</f>
        <v>BS</v>
      </c>
      <c r="H69" s="43" t="str">
        <f>_xlfn.XLOOKUP($A69,Map!$A:$A,Map!D:D)</f>
        <v>Current Liabilities</v>
      </c>
      <c r="I69" s="43" t="str">
        <f>_xlfn.XLOOKUP($A69,Map!$A:$A,Map!E:E)</f>
        <v>Short-term Murabaha loans</v>
      </c>
      <c r="J69" s="43" t="str">
        <f>_xlfn.XLOOKUP($A69,Map!$A:$A,Map!F:F)</f>
        <v>Other loans - current</v>
      </c>
    </row>
    <row r="70" spans="1:10" x14ac:dyDescent="0.25">
      <c r="A70">
        <v>220004</v>
      </c>
      <c r="B70" t="s">
        <v>907</v>
      </c>
      <c r="C70" s="116">
        <v>-21983731.100000001</v>
      </c>
      <c r="D70" s="116">
        <v>45818192.891000003</v>
      </c>
      <c r="E70" s="116">
        <v>23834461.791000001</v>
      </c>
      <c r="F70" s="116">
        <v>0</v>
      </c>
      <c r="G70" s="43" t="str">
        <f>_xlfn.XLOOKUP($A70,Map!$A:$A,Map!C:C)</f>
        <v>BS</v>
      </c>
      <c r="H70" s="43" t="str">
        <f>_xlfn.XLOOKUP($A70,Map!$A:$A,Map!D:D)</f>
        <v>Current Liabilities</v>
      </c>
      <c r="I70" s="43" t="str">
        <f>_xlfn.XLOOKUP($A70,Map!$A:$A,Map!E:E)</f>
        <v>Short-term Murabaha loans</v>
      </c>
      <c r="J70" s="43" t="str">
        <f>_xlfn.XLOOKUP($A70,Map!$A:$A,Map!F:F)</f>
        <v>Other loans - current</v>
      </c>
    </row>
    <row r="71" spans="1:10" x14ac:dyDescent="0.25">
      <c r="A71">
        <v>230001</v>
      </c>
      <c r="B71" t="s">
        <v>911</v>
      </c>
      <c r="C71" s="116">
        <v>0</v>
      </c>
      <c r="D71" s="116">
        <v>80743704.567000002</v>
      </c>
      <c r="E71" s="116">
        <v>80743704.567000002</v>
      </c>
      <c r="F71" s="116">
        <v>0</v>
      </c>
      <c r="G71" s="43" t="str">
        <f>_xlfn.XLOOKUP($A71,Map!$A:$A,Map!C:C)</f>
        <v>BS</v>
      </c>
      <c r="H71" s="43" t="str">
        <f>_xlfn.XLOOKUP($A71,Map!$A:$A,Map!D:D)</f>
        <v>Current Liabilities</v>
      </c>
      <c r="I71" s="43" t="str">
        <f>_xlfn.XLOOKUP($A71,Map!$A:$A,Map!E:E)</f>
        <v>Tade payables and Accuals &amp; other credit balances</v>
      </c>
      <c r="J71" s="43" t="str">
        <f>_xlfn.XLOOKUP($A71,Map!$A:$A,Map!F:F)</f>
        <v>Clearing account</v>
      </c>
    </row>
    <row r="72" spans="1:10" x14ac:dyDescent="0.25">
      <c r="A72">
        <v>240001</v>
      </c>
      <c r="B72" t="s">
        <v>912</v>
      </c>
      <c r="C72" s="116">
        <v>0</v>
      </c>
      <c r="D72" s="116">
        <v>2199057</v>
      </c>
      <c r="E72" s="116">
        <v>2199057</v>
      </c>
      <c r="F72" s="116">
        <v>0</v>
      </c>
      <c r="G72" s="43" t="str">
        <f>_xlfn.XLOOKUP($A72,Map!$A:$A,Map!C:C)</f>
        <v>BS</v>
      </c>
      <c r="H72" s="43" t="str">
        <f>_xlfn.XLOOKUP($A72,Map!$A:$A,Map!D:D)</f>
        <v>Current Liabilities</v>
      </c>
      <c r="I72" s="43" t="str">
        <f>_xlfn.XLOOKUP($A72,Map!$A:$A,Map!E:E)</f>
        <v>Tade payables and Accuals &amp; other credit balances</v>
      </c>
      <c r="J72" s="43" t="str">
        <f>_xlfn.XLOOKUP($A72,Map!$A:$A,Map!F:F)</f>
        <v>Overhead</v>
      </c>
    </row>
    <row r="73" spans="1:10" x14ac:dyDescent="0.25">
      <c r="A73">
        <v>240002</v>
      </c>
      <c r="B73" t="s">
        <v>913</v>
      </c>
      <c r="C73" s="116">
        <v>0</v>
      </c>
      <c r="D73" s="116">
        <v>0</v>
      </c>
      <c r="E73" s="116">
        <v>0</v>
      </c>
      <c r="F73" s="116">
        <v>0</v>
      </c>
      <c r="G73" s="43" t="str">
        <f>_xlfn.XLOOKUP($A73,Map!$A:$A,Map!C:C)</f>
        <v>BS</v>
      </c>
      <c r="H73" s="43" t="str">
        <f>_xlfn.XLOOKUP($A73,Map!$A:$A,Map!D:D)</f>
        <v>Current Liabilities</v>
      </c>
      <c r="I73" s="43" t="str">
        <f>_xlfn.XLOOKUP($A73,Map!$A:$A,Map!E:E)</f>
        <v>Tade payables and Accuals &amp; other credit balances</v>
      </c>
      <c r="J73" s="43" t="str">
        <f>_xlfn.XLOOKUP($A73,Map!$A:$A,Map!F:F)</f>
        <v>Landed Cost - Customs</v>
      </c>
    </row>
    <row r="74" spans="1:10" x14ac:dyDescent="0.25">
      <c r="A74">
        <v>250001</v>
      </c>
      <c r="B74" t="s">
        <v>915</v>
      </c>
      <c r="C74" s="116">
        <v>0</v>
      </c>
      <c r="D74" s="116">
        <v>8370696.8499999996</v>
      </c>
      <c r="E74" s="116">
        <v>8370696.8499999996</v>
      </c>
      <c r="F74" s="116">
        <v>0</v>
      </c>
      <c r="G74" s="43" t="str">
        <f>_xlfn.XLOOKUP($A74,Map!$A:$A,Map!C:C)</f>
        <v>BS</v>
      </c>
      <c r="H74" s="43" t="str">
        <f>_xlfn.XLOOKUP($A74,Map!$A:$A,Map!D:D)</f>
        <v>Current Liabilities</v>
      </c>
      <c r="I74" s="43" t="str">
        <f>_xlfn.XLOOKUP($A74,Map!$A:$A,Map!E:E)</f>
        <v>Tade payables and Accuals &amp; other credit balances</v>
      </c>
      <c r="J74" s="43" t="str">
        <f>_xlfn.XLOOKUP($A74,Map!$A:$A,Map!F:F)</f>
        <v>Accrued salaries and wages</v>
      </c>
    </row>
    <row r="75" spans="1:10" x14ac:dyDescent="0.25">
      <c r="A75">
        <v>250002</v>
      </c>
      <c r="B75" t="s">
        <v>916</v>
      </c>
      <c r="C75" s="116">
        <v>0</v>
      </c>
      <c r="D75" s="116">
        <v>144536.1</v>
      </c>
      <c r="E75" s="116">
        <v>144536.1</v>
      </c>
      <c r="F75" s="116">
        <v>0</v>
      </c>
      <c r="G75" s="43" t="str">
        <f>_xlfn.XLOOKUP($A75,Map!$A:$A,Map!C:C)</f>
        <v>BS</v>
      </c>
      <c r="H75" s="43" t="str">
        <f>_xlfn.XLOOKUP($A75,Map!$A:$A,Map!D:D)</f>
        <v>Current Liabilities</v>
      </c>
      <c r="I75" s="43" t="str">
        <f>_xlfn.XLOOKUP($A75,Map!$A:$A,Map!E:E)</f>
        <v>Tade payables and Accuals &amp; other credit balances</v>
      </c>
      <c r="J75" s="43" t="str">
        <f>_xlfn.XLOOKUP($A75,Map!$A:$A,Map!F:F)</f>
        <v>Accrued utilities</v>
      </c>
    </row>
    <row r="76" spans="1:10" x14ac:dyDescent="0.25">
      <c r="A76">
        <v>250003</v>
      </c>
      <c r="B76" t="s">
        <v>917</v>
      </c>
      <c r="C76" s="116">
        <v>-1200000</v>
      </c>
      <c r="D76" s="116">
        <v>1400000</v>
      </c>
      <c r="E76" s="116">
        <v>1319039</v>
      </c>
      <c r="F76" s="116">
        <v>-1119039</v>
      </c>
      <c r="G76" s="43" t="str">
        <f>_xlfn.XLOOKUP($A76,Map!$A:$A,Map!C:C)</f>
        <v>BS</v>
      </c>
      <c r="H76" s="43" t="str">
        <f>_xlfn.XLOOKUP($A76,Map!$A:$A,Map!D:D)</f>
        <v>Current Liabilities</v>
      </c>
      <c r="I76" s="43" t="str">
        <f>_xlfn.XLOOKUP($A76,Map!$A:$A,Map!E:E)</f>
        <v>Zakat provision</v>
      </c>
      <c r="J76" s="43" t="str">
        <f>_xlfn.XLOOKUP($A76,Map!$A:$A,Map!F:F)</f>
        <v>Zakat provision</v>
      </c>
    </row>
    <row r="77" spans="1:10" x14ac:dyDescent="0.25">
      <c r="A77">
        <v>250004</v>
      </c>
      <c r="B77" t="s">
        <v>918</v>
      </c>
      <c r="C77" s="116">
        <v>0</v>
      </c>
      <c r="D77" s="116">
        <v>407852</v>
      </c>
      <c r="E77" s="116">
        <v>407852</v>
      </c>
      <c r="F77" s="116">
        <v>0</v>
      </c>
      <c r="G77" s="43" t="str">
        <f>_xlfn.XLOOKUP($A77,Map!$A:$A,Map!C:C)</f>
        <v>BS</v>
      </c>
      <c r="H77" s="43" t="str">
        <f>_xlfn.XLOOKUP($A77,Map!$A:$A,Map!D:D)</f>
        <v>Current Liabilities</v>
      </c>
      <c r="I77" s="43" t="str">
        <f>_xlfn.XLOOKUP($A77,Map!$A:$A,Map!E:E)</f>
        <v>Tade payables and Accuals &amp; other credit balances</v>
      </c>
      <c r="J77" s="43" t="str">
        <f>_xlfn.XLOOKUP($A77,Map!$A:$A,Map!F:F)</f>
        <v>Accrued bonus</v>
      </c>
    </row>
    <row r="78" spans="1:10" x14ac:dyDescent="0.25">
      <c r="A78">
        <v>250005</v>
      </c>
      <c r="B78" t="s">
        <v>919</v>
      </c>
      <c r="C78" s="116">
        <v>-50000</v>
      </c>
      <c r="D78" s="116">
        <v>50000</v>
      </c>
      <c r="E78" s="116">
        <v>55000</v>
      </c>
      <c r="F78" s="116">
        <v>-55000</v>
      </c>
      <c r="G78" s="43" t="str">
        <f>_xlfn.XLOOKUP($A78,Map!$A:$A,Map!C:C)</f>
        <v>BS</v>
      </c>
      <c r="H78" s="43" t="str">
        <f>_xlfn.XLOOKUP($A78,Map!$A:$A,Map!D:D)</f>
        <v>Current Liabilities</v>
      </c>
      <c r="I78" s="43" t="str">
        <f>_xlfn.XLOOKUP($A78,Map!$A:$A,Map!E:E)</f>
        <v>Tade payables and Accuals &amp; other credit balances</v>
      </c>
      <c r="J78" s="43" t="str">
        <f>_xlfn.XLOOKUP($A78,Map!$A:$A,Map!F:F)</f>
        <v>Accrued expenses</v>
      </c>
    </row>
    <row r="79" spans="1:10" x14ac:dyDescent="0.25">
      <c r="A79">
        <v>260001</v>
      </c>
      <c r="B79" t="s">
        <v>922</v>
      </c>
      <c r="C79" s="116">
        <v>-5627620</v>
      </c>
      <c r="D79" s="116">
        <v>1004765</v>
      </c>
      <c r="E79" s="116">
        <v>1004765</v>
      </c>
      <c r="F79" s="116">
        <v>-5627620</v>
      </c>
      <c r="G79" s="43" t="str">
        <f>_xlfn.XLOOKUP($A79,Map!$A:$A,Map!C:C)</f>
        <v>BS</v>
      </c>
      <c r="H79" s="43" t="str">
        <f>_xlfn.XLOOKUP($A79,Map!$A:$A,Map!D:D)</f>
        <v>Stockholder's equity</v>
      </c>
      <c r="I79" s="43" t="str">
        <f>_xlfn.XLOOKUP($A79,Map!$A:$A,Map!E:E)</f>
        <v>Statutory reserve</v>
      </c>
      <c r="J79" s="43" t="str">
        <f>_xlfn.XLOOKUP($A79,Map!$A:$A,Map!F:F)</f>
        <v>Statutory reserve</v>
      </c>
    </row>
    <row r="80" spans="1:10" x14ac:dyDescent="0.25">
      <c r="A80">
        <v>260002</v>
      </c>
      <c r="B80" t="s">
        <v>923</v>
      </c>
      <c r="C80" s="116">
        <v>-4649375</v>
      </c>
      <c r="D80" s="116">
        <v>1466066</v>
      </c>
      <c r="E80" s="116">
        <v>1664452</v>
      </c>
      <c r="F80" s="116">
        <v>-4847761</v>
      </c>
      <c r="G80" s="43" t="str">
        <f>_xlfn.XLOOKUP($A80,Map!$A:$A,Map!C:C)</f>
        <v>BS</v>
      </c>
      <c r="H80" s="43" t="str">
        <f>_xlfn.XLOOKUP($A80,Map!$A:$A,Map!D:D)</f>
        <v>Non-Current Liabilities</v>
      </c>
      <c r="I80" s="43" t="str">
        <f>_xlfn.XLOOKUP($A80,Map!$A:$A,Map!E:E)</f>
        <v xml:space="preserve">End-of-service indemnities </v>
      </c>
      <c r="J80" s="43" t="str">
        <f>_xlfn.XLOOKUP($A80,Map!$A:$A,Map!F:F)</f>
        <v xml:space="preserve">End-of-service indemnities </v>
      </c>
    </row>
    <row r="81" spans="1:10" x14ac:dyDescent="0.25">
      <c r="A81">
        <v>260003</v>
      </c>
      <c r="B81" t="s">
        <v>924</v>
      </c>
      <c r="C81" s="116">
        <v>-3563173.54</v>
      </c>
      <c r="D81" s="116">
        <v>754452</v>
      </c>
      <c r="E81" s="116">
        <v>754452</v>
      </c>
      <c r="F81" s="116">
        <v>-3563173.54</v>
      </c>
      <c r="G81" s="43" t="str">
        <f>_xlfn.XLOOKUP($A81,Map!$A:$A,Map!C:C)</f>
        <v>BS</v>
      </c>
      <c r="H81" s="43" t="str">
        <f>_xlfn.XLOOKUP($A81,Map!$A:$A,Map!D:D)</f>
        <v>Current Assets</v>
      </c>
      <c r="I81" s="43" t="str">
        <f>_xlfn.XLOOKUP($A81,Map!$A:$A,Map!E:E)</f>
        <v>Trade receivables</v>
      </c>
      <c r="J81" s="43" t="str">
        <f>_xlfn.XLOOKUP($A81,Map!$A:$A,Map!F:F)</f>
        <v>Provisions</v>
      </c>
    </row>
    <row r="82" spans="1:10" x14ac:dyDescent="0.25">
      <c r="A82">
        <v>260004</v>
      </c>
      <c r="B82" t="s">
        <v>925</v>
      </c>
      <c r="C82" s="116">
        <v>-1121501.433</v>
      </c>
      <c r="D82" s="116">
        <v>0</v>
      </c>
      <c r="E82" s="116">
        <v>0</v>
      </c>
      <c r="F82" s="116">
        <v>-1121501.433</v>
      </c>
      <c r="G82" s="43" t="str">
        <f>_xlfn.XLOOKUP($A82,Map!$A:$A,Map!C:C)</f>
        <v>BS</v>
      </c>
      <c r="H82" s="43" t="str">
        <f>_xlfn.XLOOKUP($A82,Map!$A:$A,Map!D:D)</f>
        <v>Current Assets</v>
      </c>
      <c r="I82" s="43" t="str">
        <f>_xlfn.XLOOKUP($A82,Map!$A:$A,Map!E:E)</f>
        <v>Inventories</v>
      </c>
      <c r="J82" s="43" t="str">
        <f>_xlfn.XLOOKUP($A82,Map!$A:$A,Map!F:F)</f>
        <v>Allowance for slow moving/obsolete inventories - Inventory</v>
      </c>
    </row>
    <row r="83" spans="1:10" x14ac:dyDescent="0.25">
      <c r="A83">
        <v>270001</v>
      </c>
      <c r="B83" t="s">
        <v>929</v>
      </c>
      <c r="C83" s="116">
        <v>0</v>
      </c>
      <c r="D83" s="116">
        <v>2791286.3</v>
      </c>
      <c r="E83" s="116">
        <v>34506068.219999999</v>
      </c>
      <c r="F83" s="116">
        <v>-31714781.920000002</v>
      </c>
      <c r="G83" s="43" t="str">
        <f>_xlfn.XLOOKUP($A83,Map!$A:$A,Map!C:C)</f>
        <v>BS</v>
      </c>
      <c r="H83" s="43" t="str">
        <f>_xlfn.XLOOKUP($A83,Map!$A:$A,Map!D:D)</f>
        <v>Non-Current Liabilities</v>
      </c>
      <c r="I83" s="43" t="str">
        <f>_xlfn.XLOOKUP($A83,Map!$A:$A,Map!E:E)</f>
        <v xml:space="preserve">Due to related parties </v>
      </c>
      <c r="J83" s="43" t="str">
        <f>_xlfn.XLOOKUP($A83,Map!$A:$A,Map!F:F)</f>
        <v>Aims Holding  Current Acc</v>
      </c>
    </row>
    <row r="84" spans="1:10" x14ac:dyDescent="0.25">
      <c r="A84">
        <v>310001</v>
      </c>
      <c r="B84" t="s">
        <v>934</v>
      </c>
      <c r="C84" s="116">
        <v>-27816719.818</v>
      </c>
      <c r="D84" s="116">
        <v>6668716.8640000001</v>
      </c>
      <c r="E84" s="116">
        <v>6668716</v>
      </c>
      <c r="F84" s="116">
        <v>-27816718.954</v>
      </c>
      <c r="G84" s="43" t="str">
        <f>_xlfn.XLOOKUP($A84,Map!$A:$A,Map!C:C)</f>
        <v>BS</v>
      </c>
      <c r="H84" s="43" t="str">
        <f>_xlfn.XLOOKUP($A84,Map!$A:$A,Map!D:D)</f>
        <v>Stockholder's equity</v>
      </c>
      <c r="I84" s="43" t="str">
        <f>_xlfn.XLOOKUP($A84,Map!$A:$A,Map!E:E)</f>
        <v>Retained earnings</v>
      </c>
      <c r="J84" s="43" t="str">
        <f>_xlfn.XLOOKUP($A84,Map!$A:$A,Map!F:F)</f>
        <v>Retained earnings</v>
      </c>
    </row>
    <row r="85" spans="1:10" x14ac:dyDescent="0.25">
      <c r="A85">
        <v>330001</v>
      </c>
      <c r="B85" t="s">
        <v>935</v>
      </c>
      <c r="C85" s="116">
        <v>-1766750</v>
      </c>
      <c r="D85" s="116">
        <v>0</v>
      </c>
      <c r="E85" s="116">
        <v>0</v>
      </c>
      <c r="F85" s="116">
        <v>-1766750</v>
      </c>
      <c r="G85" s="43" t="str">
        <f>_xlfn.XLOOKUP($A85,Map!$A:$A,Map!C:C)</f>
        <v>BS</v>
      </c>
      <c r="H85" s="43" t="str">
        <f>_xlfn.XLOOKUP($A85,Map!$A:$A,Map!D:D)</f>
        <v>Stockholder's equity</v>
      </c>
      <c r="I85" s="43" t="str">
        <f>_xlfn.XLOOKUP($A85,Map!$A:$A,Map!E:E)</f>
        <v>Retained earnings</v>
      </c>
      <c r="J85" s="43" t="str">
        <f>_xlfn.XLOOKUP($A85,Map!$A:$A,Map!F:F)</f>
        <v>Retained earnings</v>
      </c>
    </row>
    <row r="86" spans="1:10" x14ac:dyDescent="0.25">
      <c r="A86">
        <v>330002</v>
      </c>
      <c r="B86" t="s">
        <v>936</v>
      </c>
      <c r="C86" s="116">
        <v>-33568250</v>
      </c>
      <c r="D86" s="116">
        <v>7484265</v>
      </c>
      <c r="E86" s="116">
        <v>7484265</v>
      </c>
      <c r="F86" s="116">
        <v>-33568250</v>
      </c>
      <c r="G86" s="43" t="str">
        <f>_xlfn.XLOOKUP($A86,Map!$A:$A,Map!C:C)</f>
        <v>BS</v>
      </c>
      <c r="H86" s="43" t="str">
        <f>_xlfn.XLOOKUP($A86,Map!$A:$A,Map!D:D)</f>
        <v>Stockholder's equity</v>
      </c>
      <c r="I86" s="43" t="str">
        <f>_xlfn.XLOOKUP($A86,Map!$A:$A,Map!E:E)</f>
        <v>Share capital</v>
      </c>
      <c r="J86" s="43" t="str">
        <f>_xlfn.XLOOKUP($A86,Map!$A:$A,Map!F:F)</f>
        <v>Share capital</v>
      </c>
    </row>
    <row r="87" spans="1:10" x14ac:dyDescent="0.25">
      <c r="A87">
        <v>330003</v>
      </c>
      <c r="B87" t="s">
        <v>937</v>
      </c>
      <c r="C87" s="116">
        <v>-85866130.439999998</v>
      </c>
      <c r="D87" s="116">
        <v>15271492.050000001</v>
      </c>
      <c r="E87" s="116">
        <v>15271492.050000001</v>
      </c>
      <c r="F87" s="116">
        <v>-85866130.439999998</v>
      </c>
      <c r="G87" s="43" t="str">
        <f>_xlfn.XLOOKUP($A87,Map!$A:$A,Map!C:C)</f>
        <v>BS</v>
      </c>
      <c r="H87" s="43" t="str">
        <f>_xlfn.XLOOKUP($A87,Map!$A:$A,Map!D:D)</f>
        <v>Stockholder's equity</v>
      </c>
      <c r="I87" s="43" t="str">
        <f>_xlfn.XLOOKUP($A87,Map!$A:$A,Map!E:E)</f>
        <v>Additional contribution from shareholders</v>
      </c>
      <c r="J87" s="43" t="str">
        <f>_xlfn.XLOOKUP($A87,Map!$A:$A,Map!F:F)</f>
        <v>Additional contribution from shareholders</v>
      </c>
    </row>
    <row r="88" spans="1:10" x14ac:dyDescent="0.25">
      <c r="A88">
        <v>410001</v>
      </c>
      <c r="B88" t="s">
        <v>938</v>
      </c>
      <c r="C88" s="116">
        <v>0</v>
      </c>
      <c r="D88" s="116">
        <v>14078648.757999999</v>
      </c>
      <c r="E88" s="116">
        <v>124876753.67299999</v>
      </c>
      <c r="F88" s="116">
        <v>-110798104.91500001</v>
      </c>
      <c r="G88" s="43" t="str">
        <f>_xlfn.XLOOKUP($A88,Map!$A:$A,Map!C:C)</f>
        <v>IS</v>
      </c>
      <c r="H88" s="43" t="str">
        <f>_xlfn.XLOOKUP($A88,Map!$A:$A,Map!D:D)</f>
        <v>Sales</v>
      </c>
      <c r="I88" s="43" t="str">
        <f>_xlfn.XLOOKUP($A88,Map!$A:$A,Map!E:E)</f>
        <v>Sales</v>
      </c>
      <c r="J88" s="43" t="str">
        <f>_xlfn.XLOOKUP($A88,Map!$A:$A,Map!F:F)</f>
        <v>Trading revenue</v>
      </c>
    </row>
    <row r="89" spans="1:10" x14ac:dyDescent="0.25">
      <c r="A89">
        <v>410002</v>
      </c>
      <c r="B89" t="s">
        <v>939</v>
      </c>
      <c r="C89" s="116">
        <v>0</v>
      </c>
      <c r="D89" s="116">
        <v>602846.18000000005</v>
      </c>
      <c r="E89" s="116">
        <v>39875</v>
      </c>
      <c r="F89" s="116">
        <v>562971.18000000005</v>
      </c>
      <c r="G89" s="43" t="str">
        <f>_xlfn.XLOOKUP($A89,Map!$A:$A,Map!C:C)</f>
        <v>IS</v>
      </c>
      <c r="H89" s="43" t="str">
        <f>_xlfn.XLOOKUP($A89,Map!$A:$A,Map!D:D)</f>
        <v>Sales</v>
      </c>
      <c r="I89" s="43" t="str">
        <f>_xlfn.XLOOKUP($A89,Map!$A:$A,Map!E:E)</f>
        <v>Sales</v>
      </c>
      <c r="J89" s="43" t="str">
        <f>_xlfn.XLOOKUP($A89,Map!$A:$A,Map!F:F)</f>
        <v>Trading revenue</v>
      </c>
    </row>
    <row r="90" spans="1:10" x14ac:dyDescent="0.25">
      <c r="A90">
        <v>410003</v>
      </c>
      <c r="B90" t="s">
        <v>940</v>
      </c>
      <c r="C90" s="116">
        <v>0</v>
      </c>
      <c r="D90" s="116">
        <v>41508.582999999999</v>
      </c>
      <c r="E90" s="116">
        <v>5205.55</v>
      </c>
      <c r="F90" s="116">
        <v>36303.033000000003</v>
      </c>
      <c r="G90" s="43" t="str">
        <f>_xlfn.XLOOKUP($A90,Map!$A:$A,Map!C:C)</f>
        <v>IS</v>
      </c>
      <c r="H90" s="43" t="str">
        <f>_xlfn.XLOOKUP($A90,Map!$A:$A,Map!D:D)</f>
        <v>Sales</v>
      </c>
      <c r="I90" s="43" t="str">
        <f>_xlfn.XLOOKUP($A90,Map!$A:$A,Map!E:E)</f>
        <v>Sales</v>
      </c>
      <c r="J90" s="43" t="str">
        <f>_xlfn.XLOOKUP($A90,Map!$A:$A,Map!F:F)</f>
        <v>Trading revenue</v>
      </c>
    </row>
    <row r="91" spans="1:10" x14ac:dyDescent="0.25">
      <c r="A91">
        <v>410004</v>
      </c>
      <c r="B91" t="s">
        <v>941</v>
      </c>
      <c r="C91" s="116">
        <v>0</v>
      </c>
      <c r="D91" s="116">
        <v>0</v>
      </c>
      <c r="E91" s="116">
        <v>0</v>
      </c>
      <c r="F91" s="116">
        <v>0</v>
      </c>
      <c r="G91" s="43" t="str">
        <f>_xlfn.XLOOKUP($A91,Map!$A:$A,Map!C:C)</f>
        <v>IS</v>
      </c>
      <c r="H91" s="43" t="str">
        <f>_xlfn.XLOOKUP($A91,Map!$A:$A,Map!D:D)</f>
        <v>Sales</v>
      </c>
      <c r="I91" s="43" t="str">
        <f>_xlfn.XLOOKUP($A91,Map!$A:$A,Map!E:E)</f>
        <v>Sales</v>
      </c>
      <c r="J91" s="43" t="str">
        <f>_xlfn.XLOOKUP($A91,Map!$A:$A,Map!F:F)</f>
        <v>Scrap sales</v>
      </c>
    </row>
    <row r="92" spans="1:10" x14ac:dyDescent="0.25">
      <c r="A92">
        <v>420003</v>
      </c>
      <c r="B92" t="s">
        <v>944</v>
      </c>
      <c r="C92" s="116">
        <v>0</v>
      </c>
      <c r="D92" s="116">
        <v>7.8E-2</v>
      </c>
      <c r="E92" s="116">
        <v>7.8E-2</v>
      </c>
      <c r="F92" s="116">
        <v>0</v>
      </c>
      <c r="G92" s="43" t="str">
        <f>_xlfn.XLOOKUP($A92,Map!$A:$A,Map!C:C)</f>
        <v>IS</v>
      </c>
      <c r="H92" s="43" t="str">
        <f>_xlfn.XLOOKUP($A92,Map!$A:$A,Map!D:D)</f>
        <v>Sales</v>
      </c>
      <c r="I92" s="43" t="str">
        <f>_xlfn.XLOOKUP($A92,Map!$A:$A,Map!E:E)</f>
        <v>Sales</v>
      </c>
      <c r="J92" s="43" t="str">
        <f>_xlfn.XLOOKUP($A92,Map!$A:$A,Map!F:F)</f>
        <v>Scrap sales</v>
      </c>
    </row>
    <row r="93" spans="1:10" x14ac:dyDescent="0.25">
      <c r="A93">
        <v>510001</v>
      </c>
      <c r="B93" t="s">
        <v>945</v>
      </c>
      <c r="C93" s="116">
        <v>0</v>
      </c>
      <c r="D93" s="116">
        <v>80419709.778999999</v>
      </c>
      <c r="E93" s="116">
        <v>5544920.7139999997</v>
      </c>
      <c r="F93" s="116">
        <v>74874789.064999998</v>
      </c>
      <c r="G93" s="43" t="str">
        <f>_xlfn.XLOOKUP($A93,Map!$A:$A,Map!C:C)</f>
        <v>IS</v>
      </c>
      <c r="H93" s="43" t="str">
        <f>_xlfn.XLOOKUP($A93,Map!$A:$A,Map!D:D)</f>
        <v>Cost of sales</v>
      </c>
      <c r="I93" s="43" t="str">
        <f>_xlfn.XLOOKUP($A93,Map!$A:$A,Map!E:E)</f>
        <v>Raw materials</v>
      </c>
      <c r="J93" s="43" t="str">
        <f>_xlfn.XLOOKUP($A93,Map!$A:$A,Map!F:F)</f>
        <v>Raw materials</v>
      </c>
    </row>
    <row r="94" spans="1:10" x14ac:dyDescent="0.25">
      <c r="A94">
        <v>510002</v>
      </c>
      <c r="B94" t="s">
        <v>946</v>
      </c>
      <c r="C94" s="116">
        <v>0</v>
      </c>
      <c r="D94" s="116">
        <v>6274708.3119999999</v>
      </c>
      <c r="E94" s="116">
        <v>1768578.3130000001</v>
      </c>
      <c r="F94" s="116">
        <v>4506129.9989999998</v>
      </c>
      <c r="G94" s="43" t="str">
        <f>_xlfn.XLOOKUP($A94,Map!$A:$A,Map!C:C)</f>
        <v>IS</v>
      </c>
      <c r="H94" s="43" t="str">
        <f>_xlfn.XLOOKUP($A94,Map!$A:$A,Map!D:D)</f>
        <v>Cost of sales</v>
      </c>
      <c r="I94" s="43" t="str">
        <f>_xlfn.XLOOKUP($A94,Map!$A:$A,Map!E:E)</f>
        <v>Direct Labor</v>
      </c>
      <c r="J94" s="43" t="str">
        <f>_xlfn.XLOOKUP($A94,Map!$A:$A,Map!F:F)</f>
        <v>Direct Labor</v>
      </c>
    </row>
    <row r="95" spans="1:10" x14ac:dyDescent="0.25">
      <c r="A95">
        <v>510003</v>
      </c>
      <c r="B95" t="s">
        <v>947</v>
      </c>
      <c r="C95" s="116">
        <v>0</v>
      </c>
      <c r="D95" s="116">
        <v>7825534.375</v>
      </c>
      <c r="E95" s="116">
        <v>5304193.6950000003</v>
      </c>
      <c r="F95" s="116">
        <v>2521340.6800000002</v>
      </c>
      <c r="G95" s="43" t="str">
        <f>_xlfn.XLOOKUP($A95,Map!$A:$A,Map!C:C)</f>
        <v>IS</v>
      </c>
      <c r="H95" s="43" t="str">
        <f>_xlfn.XLOOKUP($A95,Map!$A:$A,Map!D:D)</f>
        <v>Cost of sales</v>
      </c>
      <c r="I95" s="43" t="str">
        <f>_xlfn.XLOOKUP($A95,Map!$A:$A,Map!E:E)</f>
        <v>Raw materials</v>
      </c>
      <c r="J95" s="43" t="str">
        <f>_xlfn.XLOOKUP($A95,Map!$A:$A,Map!F:F)</f>
        <v>Raw materials</v>
      </c>
    </row>
    <row r="96" spans="1:10" x14ac:dyDescent="0.25">
      <c r="A96">
        <v>510004</v>
      </c>
      <c r="B96" t="s">
        <v>948</v>
      </c>
      <c r="C96" s="116">
        <v>0</v>
      </c>
      <c r="D96" s="116">
        <v>30829126.324000001</v>
      </c>
      <c r="E96" s="116">
        <v>21556351.171999998</v>
      </c>
      <c r="F96" s="116">
        <v>9272775.1520000007</v>
      </c>
      <c r="G96" s="43" t="str">
        <f>_xlfn.XLOOKUP($A96,Map!$A:$A,Map!C:C)</f>
        <v>IS</v>
      </c>
      <c r="H96" s="43" t="str">
        <f>_xlfn.XLOOKUP($A96,Map!$A:$A,Map!D:D)</f>
        <v>Cost of sales</v>
      </c>
      <c r="I96" s="43" t="str">
        <f>_xlfn.XLOOKUP($A96,Map!$A:$A,Map!E:E)</f>
        <v>Raw materials</v>
      </c>
      <c r="J96" s="43" t="str">
        <f>_xlfn.XLOOKUP($A96,Map!$A:$A,Map!F:F)</f>
        <v>Other expenses</v>
      </c>
    </row>
    <row r="97" spans="1:10" x14ac:dyDescent="0.25">
      <c r="A97">
        <v>510005</v>
      </c>
      <c r="B97" t="s">
        <v>949</v>
      </c>
      <c r="C97" s="116">
        <v>0</v>
      </c>
      <c r="D97" s="116">
        <v>44384.326999999997</v>
      </c>
      <c r="E97" s="116">
        <v>44384.326999999997</v>
      </c>
      <c r="F97" s="116">
        <v>0</v>
      </c>
      <c r="G97" s="43" t="str">
        <f>_xlfn.XLOOKUP($A97,Map!$A:$A,Map!C:C)</f>
        <v>IS</v>
      </c>
      <c r="H97" s="43" t="str">
        <f>_xlfn.XLOOKUP($A97,Map!$A:$A,Map!D:D)</f>
        <v>Cost of sales</v>
      </c>
      <c r="I97" s="43" t="str">
        <f>_xlfn.XLOOKUP($A97,Map!$A:$A,Map!E:E)</f>
        <v>Raw materials</v>
      </c>
      <c r="J97" s="43" t="str">
        <f>_xlfn.XLOOKUP($A97,Map!$A:$A,Map!F:F)</f>
        <v>Other expenses</v>
      </c>
    </row>
    <row r="98" spans="1:10" x14ac:dyDescent="0.25">
      <c r="A98">
        <v>520001</v>
      </c>
      <c r="B98" t="s">
        <v>950</v>
      </c>
      <c r="C98" s="116">
        <v>0</v>
      </c>
      <c r="D98" s="116">
        <v>2801217.37</v>
      </c>
      <c r="E98" s="116">
        <v>2801217.37</v>
      </c>
      <c r="F98" s="116">
        <v>0</v>
      </c>
      <c r="G98" s="43" t="str">
        <f>_xlfn.XLOOKUP($A98,Map!$A:$A,Map!C:C)</f>
        <v>IS</v>
      </c>
      <c r="H98" s="43" t="str">
        <f>_xlfn.XLOOKUP($A98,Map!$A:$A,Map!D:D)</f>
        <v>Cost of sales</v>
      </c>
      <c r="I98" s="43" t="str">
        <f>_xlfn.XLOOKUP($A98,Map!$A:$A,Map!E:E)</f>
        <v>Direct Labor</v>
      </c>
      <c r="J98" s="43" t="str">
        <f>_xlfn.XLOOKUP($A98,Map!$A:$A,Map!F:F)</f>
        <v>Salaries and wages</v>
      </c>
    </row>
    <row r="99" spans="1:10" x14ac:dyDescent="0.25">
      <c r="A99">
        <v>520002</v>
      </c>
      <c r="B99" t="s">
        <v>951</v>
      </c>
      <c r="C99" s="116">
        <v>0</v>
      </c>
      <c r="D99" s="116">
        <v>0</v>
      </c>
      <c r="E99" s="116">
        <v>0</v>
      </c>
      <c r="F99" s="116">
        <v>0</v>
      </c>
      <c r="G99" s="43" t="str">
        <f>_xlfn.XLOOKUP($A99,Map!$A:$A,Map!C:C)</f>
        <v>IS</v>
      </c>
      <c r="H99" s="43" t="str">
        <f>_xlfn.XLOOKUP($A99,Map!$A:$A,Map!D:D)</f>
        <v>Cost of sales</v>
      </c>
      <c r="I99" s="43" t="str">
        <f>_xlfn.XLOOKUP($A99,Map!$A:$A,Map!E:E)</f>
        <v>Direct Labor</v>
      </c>
      <c r="J99" s="43" t="str">
        <f>_xlfn.XLOOKUP($A99,Map!$A:$A,Map!F:F)</f>
        <v>Overtime pay</v>
      </c>
    </row>
    <row r="100" spans="1:10" x14ac:dyDescent="0.25">
      <c r="A100">
        <v>520003</v>
      </c>
      <c r="B100" t="s">
        <v>952</v>
      </c>
      <c r="C100" s="116">
        <v>0</v>
      </c>
      <c r="D100" s="116">
        <v>35338</v>
      </c>
      <c r="E100" s="116">
        <v>35338</v>
      </c>
      <c r="F100" s="116">
        <v>0</v>
      </c>
      <c r="G100" s="43" t="str">
        <f>_xlfn.XLOOKUP($A100,Map!$A:$A,Map!C:C)</f>
        <v>IS</v>
      </c>
      <c r="H100" s="43" t="str">
        <f>_xlfn.XLOOKUP($A100,Map!$A:$A,Map!D:D)</f>
        <v>Cost of sales</v>
      </c>
      <c r="I100" s="43" t="str">
        <f>_xlfn.XLOOKUP($A100,Map!$A:$A,Map!E:E)</f>
        <v>Direct Labor</v>
      </c>
      <c r="J100" s="43" t="str">
        <f>_xlfn.XLOOKUP($A100,Map!$A:$A,Map!F:F)</f>
        <v>Transportation allowance</v>
      </c>
    </row>
    <row r="101" spans="1:10" x14ac:dyDescent="0.25">
      <c r="A101">
        <v>520004</v>
      </c>
      <c r="B101" t="s">
        <v>957</v>
      </c>
      <c r="C101" s="116">
        <v>0</v>
      </c>
      <c r="D101" s="116">
        <v>121299.5</v>
      </c>
      <c r="E101" s="116">
        <v>121299.5</v>
      </c>
      <c r="F101" s="116">
        <v>0</v>
      </c>
      <c r="G101" s="43" t="str">
        <f>_xlfn.XLOOKUP($A101,Map!$A:$A,Map!C:C)</f>
        <v>IS</v>
      </c>
      <c r="H101" s="43" t="str">
        <f>_xlfn.XLOOKUP($A101,Map!$A:$A,Map!D:D)</f>
        <v>Cost of sales</v>
      </c>
      <c r="I101" s="43" t="str">
        <f>_xlfn.XLOOKUP($A101,Map!$A:$A,Map!E:E)</f>
        <v>Direct Labor</v>
      </c>
      <c r="J101" s="43" t="str">
        <f>_xlfn.XLOOKUP($A101,Map!$A:$A,Map!F:F)</f>
        <v>Food and housing</v>
      </c>
    </row>
    <row r="102" spans="1:10" x14ac:dyDescent="0.25">
      <c r="A102">
        <v>520005</v>
      </c>
      <c r="B102" t="s">
        <v>954</v>
      </c>
      <c r="C102" s="116">
        <v>0</v>
      </c>
      <c r="D102" s="116">
        <v>0</v>
      </c>
      <c r="E102" s="116">
        <v>0</v>
      </c>
      <c r="F102" s="116">
        <v>0</v>
      </c>
      <c r="G102" s="43" t="str">
        <f>_xlfn.XLOOKUP($A102,Map!$A:$A,Map!C:C)</f>
        <v>IS</v>
      </c>
      <c r="H102" s="43" t="str">
        <f>_xlfn.XLOOKUP($A102,Map!$A:$A,Map!D:D)</f>
        <v>Cost of sales</v>
      </c>
      <c r="I102" s="43" t="str">
        <f>_xlfn.XLOOKUP($A102,Map!$A:$A,Map!E:E)</f>
        <v>Direct Labor</v>
      </c>
      <c r="J102" s="43" t="str">
        <f>_xlfn.XLOOKUP($A102,Map!$A:$A,Map!F:F)</f>
        <v>Leave pay</v>
      </c>
    </row>
    <row r="103" spans="1:10" x14ac:dyDescent="0.25">
      <c r="A103">
        <v>520006</v>
      </c>
      <c r="B103" t="s">
        <v>955</v>
      </c>
      <c r="C103" s="116">
        <v>0</v>
      </c>
      <c r="D103" s="116">
        <v>257793.61</v>
      </c>
      <c r="E103" s="116">
        <v>257793.61</v>
      </c>
      <c r="F103" s="116">
        <v>0</v>
      </c>
      <c r="G103" s="43" t="str">
        <f>_xlfn.XLOOKUP($A103,Map!$A:$A,Map!C:C)</f>
        <v>IS</v>
      </c>
      <c r="H103" s="43" t="str">
        <f>_xlfn.XLOOKUP($A103,Map!$A:$A,Map!D:D)</f>
        <v>Cost of sales</v>
      </c>
      <c r="I103" s="43" t="str">
        <f>_xlfn.XLOOKUP($A103,Map!$A:$A,Map!E:E)</f>
        <v>Direct Labor</v>
      </c>
      <c r="J103" s="43" t="str">
        <f>_xlfn.XLOOKUP($A103,Map!$A:$A,Map!F:F)</f>
        <v>Medical insurance</v>
      </c>
    </row>
    <row r="104" spans="1:10" x14ac:dyDescent="0.25">
      <c r="A104">
        <v>520010</v>
      </c>
      <c r="B104" t="s">
        <v>956</v>
      </c>
      <c r="C104" s="116">
        <v>0</v>
      </c>
      <c r="D104" s="116">
        <v>0</v>
      </c>
      <c r="E104" s="116">
        <v>0</v>
      </c>
      <c r="F104" s="116">
        <v>0</v>
      </c>
      <c r="G104" s="43" t="str">
        <f>_xlfn.XLOOKUP($A104,Map!$A:$A,Map!C:C)</f>
        <v>IS</v>
      </c>
      <c r="H104" s="43" t="str">
        <f>_xlfn.XLOOKUP($A104,Map!$A:$A,Map!D:D)</f>
        <v>Cost of sales</v>
      </c>
      <c r="I104" s="43" t="str">
        <f>_xlfn.XLOOKUP($A104,Map!$A:$A,Map!E:E)</f>
        <v>Direct Labor</v>
      </c>
      <c r="J104" s="43" t="str">
        <f>_xlfn.XLOOKUP($A104,Map!$A:$A,Map!F:F)</f>
        <v>Salaries and wages</v>
      </c>
    </row>
    <row r="105" spans="1:10" x14ac:dyDescent="0.25">
      <c r="A105">
        <v>520011</v>
      </c>
      <c r="B105" t="s">
        <v>951</v>
      </c>
      <c r="C105" s="116">
        <v>0</v>
      </c>
      <c r="D105" s="116">
        <v>319805</v>
      </c>
      <c r="E105" s="116">
        <v>319805</v>
      </c>
      <c r="F105" s="116">
        <v>0</v>
      </c>
      <c r="G105" s="43" t="str">
        <f>_xlfn.XLOOKUP($A105,Map!$A:$A,Map!C:C)</f>
        <v>IS</v>
      </c>
      <c r="H105" s="43" t="str">
        <f>_xlfn.XLOOKUP($A105,Map!$A:$A,Map!D:D)</f>
        <v>Cost of sales</v>
      </c>
      <c r="I105" s="43" t="str">
        <f>_xlfn.XLOOKUP($A105,Map!$A:$A,Map!E:E)</f>
        <v>Direct Labor</v>
      </c>
      <c r="J105" s="43" t="str">
        <f>_xlfn.XLOOKUP($A105,Map!$A:$A,Map!F:F)</f>
        <v>Overtime pay</v>
      </c>
    </row>
    <row r="106" spans="1:10" x14ac:dyDescent="0.25">
      <c r="A106">
        <v>520013</v>
      </c>
      <c r="B106" t="s">
        <v>957</v>
      </c>
      <c r="C106" s="116">
        <v>0</v>
      </c>
      <c r="D106" s="116">
        <v>0</v>
      </c>
      <c r="E106" s="116">
        <v>0</v>
      </c>
      <c r="F106" s="116">
        <v>0</v>
      </c>
      <c r="G106" s="43" t="str">
        <f>_xlfn.XLOOKUP($A106,Map!$A:$A,Map!C:C)</f>
        <v>IS</v>
      </c>
      <c r="H106" s="43" t="str">
        <f>_xlfn.XLOOKUP($A106,Map!$A:$A,Map!D:D)</f>
        <v>Cost of sales</v>
      </c>
      <c r="I106" s="43" t="str">
        <f>_xlfn.XLOOKUP($A106,Map!$A:$A,Map!E:E)</f>
        <v>Direct Labor</v>
      </c>
      <c r="J106" s="43" t="str">
        <f>_xlfn.XLOOKUP($A106,Map!$A:$A,Map!F:F)</f>
        <v>Food and housing</v>
      </c>
    </row>
    <row r="107" spans="1:10" x14ac:dyDescent="0.25">
      <c r="A107">
        <v>520014</v>
      </c>
      <c r="B107" t="s">
        <v>954</v>
      </c>
      <c r="C107" s="116">
        <v>0</v>
      </c>
      <c r="D107" s="116">
        <v>0</v>
      </c>
      <c r="E107" s="116">
        <v>0</v>
      </c>
      <c r="F107" s="116">
        <v>0</v>
      </c>
      <c r="G107" s="43" t="str">
        <f>_xlfn.XLOOKUP($A107,Map!$A:$A,Map!C:C)</f>
        <v>IS</v>
      </c>
      <c r="H107" s="43" t="str">
        <f>_xlfn.XLOOKUP($A107,Map!$A:$A,Map!D:D)</f>
        <v>Cost of sales</v>
      </c>
      <c r="I107" s="43" t="str">
        <f>_xlfn.XLOOKUP($A107,Map!$A:$A,Map!E:E)</f>
        <v>Direct Labor</v>
      </c>
      <c r="J107" s="43" t="str">
        <f>_xlfn.XLOOKUP($A107,Map!$A:$A,Map!F:F)</f>
        <v>Leave pay</v>
      </c>
    </row>
    <row r="108" spans="1:10" x14ac:dyDescent="0.25">
      <c r="A108">
        <v>520021</v>
      </c>
      <c r="B108" t="s">
        <v>962</v>
      </c>
      <c r="C108" s="116">
        <v>0</v>
      </c>
      <c r="D108" s="116">
        <v>34941</v>
      </c>
      <c r="E108" s="116">
        <v>34941</v>
      </c>
      <c r="F108" s="116">
        <v>0</v>
      </c>
      <c r="G108" s="43" t="str">
        <f>_xlfn.XLOOKUP($A108,Map!$A:$A,Map!C:C)</f>
        <v>IS</v>
      </c>
      <c r="H108" s="43" t="str">
        <f>_xlfn.XLOOKUP($A108,Map!$A:$A,Map!D:D)</f>
        <v>Cost of sales</v>
      </c>
      <c r="I108" s="43" t="str">
        <f>_xlfn.XLOOKUP($A108,Map!$A:$A,Map!E:E)</f>
        <v>Direct Labor</v>
      </c>
      <c r="J108" s="43" t="str">
        <f>_xlfn.XLOOKUP($A108,Map!$A:$A,Map!F:F)</f>
        <v>Medical insurance</v>
      </c>
    </row>
    <row r="109" spans="1:10" x14ac:dyDescent="0.25">
      <c r="A109">
        <v>520022</v>
      </c>
      <c r="B109" t="s">
        <v>963</v>
      </c>
      <c r="C109" s="116">
        <v>0</v>
      </c>
      <c r="D109" s="116">
        <v>0</v>
      </c>
      <c r="E109" s="116">
        <v>0</v>
      </c>
      <c r="F109" s="116">
        <v>0</v>
      </c>
      <c r="G109" s="43" t="str">
        <f>_xlfn.XLOOKUP($A109,Map!$A:$A,Map!C:C)</f>
        <v>IS</v>
      </c>
      <c r="H109" s="43" t="str">
        <f>_xlfn.XLOOKUP($A109,Map!$A:$A,Map!D:D)</f>
        <v>Cost of sales</v>
      </c>
      <c r="I109" s="43" t="str">
        <f>_xlfn.XLOOKUP($A109,Map!$A:$A,Map!E:E)</f>
        <v>Direct Labor</v>
      </c>
      <c r="J109" s="43" t="str">
        <f>_xlfn.XLOOKUP($A109,Map!$A:$A,Map!F:F)</f>
        <v>Iqama renewal</v>
      </c>
    </row>
    <row r="110" spans="1:10" x14ac:dyDescent="0.25">
      <c r="A110">
        <v>520023</v>
      </c>
      <c r="B110" t="s">
        <v>964</v>
      </c>
      <c r="C110" s="116">
        <v>0</v>
      </c>
      <c r="D110" s="116">
        <v>0</v>
      </c>
      <c r="E110" s="116">
        <v>0</v>
      </c>
      <c r="F110" s="116">
        <v>0</v>
      </c>
      <c r="G110" s="43" t="str">
        <f>_xlfn.XLOOKUP($A110,Map!$A:$A,Map!C:C)</f>
        <v>IS</v>
      </c>
      <c r="H110" s="43" t="str">
        <f>_xlfn.XLOOKUP($A110,Map!$A:$A,Map!D:D)</f>
        <v>Cost of sales</v>
      </c>
      <c r="I110" s="43" t="str">
        <f>_xlfn.XLOOKUP($A110,Map!$A:$A,Map!E:E)</f>
        <v>Direct Labor</v>
      </c>
      <c r="J110" s="43" t="str">
        <f>_xlfn.XLOOKUP($A110,Map!$A:$A,Map!F:F)</f>
        <v>Medical insurance</v>
      </c>
    </row>
    <row r="111" spans="1:10" x14ac:dyDescent="0.25">
      <c r="A111">
        <v>520032</v>
      </c>
      <c r="B111" t="s">
        <v>965</v>
      </c>
      <c r="C111" s="116">
        <v>0</v>
      </c>
      <c r="D111" s="116">
        <v>0</v>
      </c>
      <c r="E111" s="116">
        <v>0</v>
      </c>
      <c r="F111" s="116">
        <v>0</v>
      </c>
      <c r="G111" s="43" t="str">
        <f>_xlfn.XLOOKUP($A111,Map!$A:$A,Map!C:C)</f>
        <v>IS</v>
      </c>
      <c r="H111" s="43" t="str">
        <f>_xlfn.XLOOKUP($A111,Map!$A:$A,Map!D:D)</f>
        <v>Cost of sales</v>
      </c>
      <c r="I111" s="43" t="str">
        <f>_xlfn.XLOOKUP($A111,Map!$A:$A,Map!E:E)</f>
        <v>Raw materials</v>
      </c>
      <c r="J111" s="43" t="str">
        <f>_xlfn.XLOOKUP($A111,Map!$A:$A,Map!F:F)</f>
        <v>Consumables</v>
      </c>
    </row>
    <row r="112" spans="1:10" x14ac:dyDescent="0.25">
      <c r="A112">
        <v>520036</v>
      </c>
      <c r="B112" t="s">
        <v>966</v>
      </c>
      <c r="C112" s="116">
        <v>0</v>
      </c>
      <c r="D112" s="116">
        <v>4.2000000000000003E-2</v>
      </c>
      <c r="E112" s="116">
        <v>4.2000000000000003E-2</v>
      </c>
      <c r="F112" s="116">
        <v>0</v>
      </c>
      <c r="G112" s="43" t="str">
        <f>_xlfn.XLOOKUP($A112,Map!$A:$A,Map!C:C)</f>
        <v>IS</v>
      </c>
      <c r="H112" s="43" t="str">
        <f>_xlfn.XLOOKUP($A112,Map!$A:$A,Map!D:D)</f>
        <v>Cost of sales</v>
      </c>
      <c r="I112" s="43" t="str">
        <f>_xlfn.XLOOKUP($A112,Map!$A:$A,Map!E:E)</f>
        <v>Raw materials</v>
      </c>
      <c r="J112" s="43" t="str">
        <f>_xlfn.XLOOKUP($A112,Map!$A:$A,Map!F:F)</f>
        <v>Raw materials</v>
      </c>
    </row>
    <row r="113" spans="1:10" x14ac:dyDescent="0.25">
      <c r="A113">
        <v>520037</v>
      </c>
      <c r="B113" t="s">
        <v>967</v>
      </c>
      <c r="C113" s="116">
        <v>0</v>
      </c>
      <c r="D113" s="116">
        <v>638917.60900000005</v>
      </c>
      <c r="E113" s="116">
        <v>638917.60900000005</v>
      </c>
      <c r="F113" s="116">
        <v>0</v>
      </c>
      <c r="G113" s="43" t="str">
        <f>_xlfn.XLOOKUP($A113,Map!$A:$A,Map!C:C)</f>
        <v>IS</v>
      </c>
      <c r="H113" s="43" t="str">
        <f>_xlfn.XLOOKUP($A113,Map!$A:$A,Map!D:D)</f>
        <v>Cost of sales</v>
      </c>
      <c r="I113" s="43" t="str">
        <f>_xlfn.XLOOKUP($A113,Map!$A:$A,Map!E:E)</f>
        <v>Raw materials</v>
      </c>
      <c r="J113" s="43" t="str">
        <f>_xlfn.XLOOKUP($A113,Map!$A:$A,Map!F:F)</f>
        <v>Raw materials</v>
      </c>
    </row>
    <row r="114" spans="1:10" x14ac:dyDescent="0.25">
      <c r="A114">
        <v>520040</v>
      </c>
      <c r="B114" t="s">
        <v>969</v>
      </c>
      <c r="C114" s="116">
        <v>0</v>
      </c>
      <c r="D114" s="116">
        <v>0</v>
      </c>
      <c r="E114" s="116">
        <v>0</v>
      </c>
      <c r="F114" s="116">
        <v>0</v>
      </c>
      <c r="G114" s="43" t="str">
        <f>_xlfn.XLOOKUP($A114,Map!$A:$A,Map!C:C)</f>
        <v>IS</v>
      </c>
      <c r="H114" s="43" t="str">
        <f>_xlfn.XLOOKUP($A114,Map!$A:$A,Map!D:D)</f>
        <v>Cost of sales</v>
      </c>
      <c r="I114" s="43" t="str">
        <f>_xlfn.XLOOKUP($A114,Map!$A:$A,Map!E:E)</f>
        <v>Raw materials</v>
      </c>
      <c r="J114" s="43" t="str">
        <f>_xlfn.XLOOKUP($A114,Map!$A:$A,Map!F:F)</f>
        <v>Other expenses</v>
      </c>
    </row>
    <row r="115" spans="1:10" x14ac:dyDescent="0.25">
      <c r="A115">
        <v>520041</v>
      </c>
      <c r="B115" t="s">
        <v>970</v>
      </c>
      <c r="C115" s="116">
        <v>0</v>
      </c>
      <c r="D115" s="116">
        <v>9294475.4529999997</v>
      </c>
      <c r="E115" s="116">
        <v>9294475.4529999997</v>
      </c>
      <c r="F115" s="116">
        <v>0</v>
      </c>
      <c r="G115" s="43" t="str">
        <f>_xlfn.XLOOKUP($A115,Map!$A:$A,Map!C:C)</f>
        <v>IS</v>
      </c>
      <c r="H115" s="43" t="str">
        <f>_xlfn.XLOOKUP($A115,Map!$A:$A,Map!D:D)</f>
        <v>Cost of sales</v>
      </c>
      <c r="I115" s="43" t="str">
        <f>_xlfn.XLOOKUP($A115,Map!$A:$A,Map!E:E)</f>
        <v>Raw materials</v>
      </c>
      <c r="J115" s="43" t="str">
        <f>_xlfn.XLOOKUP($A115,Map!$A:$A,Map!F:F)</f>
        <v>Other expenses</v>
      </c>
    </row>
    <row r="116" spans="1:10" x14ac:dyDescent="0.25">
      <c r="A116">
        <v>520042</v>
      </c>
      <c r="B116" t="s">
        <v>971</v>
      </c>
      <c r="C116" s="116">
        <v>0</v>
      </c>
      <c r="D116" s="116">
        <v>2894916.1490000002</v>
      </c>
      <c r="E116" s="116">
        <v>2894916.1469999999</v>
      </c>
      <c r="F116" s="116">
        <v>2E-3</v>
      </c>
      <c r="G116" s="43" t="str">
        <f>_xlfn.XLOOKUP($A116,Map!$A:$A,Map!C:C)</f>
        <v>IS</v>
      </c>
      <c r="H116" s="43" t="str">
        <f>_xlfn.XLOOKUP($A116,Map!$A:$A,Map!D:D)</f>
        <v>Cost of sales</v>
      </c>
      <c r="I116" s="43" t="str">
        <f>_xlfn.XLOOKUP($A116,Map!$A:$A,Map!E:E)</f>
        <v>Raw materials</v>
      </c>
      <c r="J116" s="43" t="str">
        <f>_xlfn.XLOOKUP($A116,Map!$A:$A,Map!F:F)</f>
        <v>Inventory Adjustment</v>
      </c>
    </row>
    <row r="117" spans="1:10" x14ac:dyDescent="0.25">
      <c r="A117">
        <v>600001</v>
      </c>
      <c r="B117" t="s">
        <v>979</v>
      </c>
      <c r="C117" s="116">
        <v>0</v>
      </c>
      <c r="D117" s="116">
        <v>988862.55</v>
      </c>
      <c r="E117" s="116">
        <v>988862.55</v>
      </c>
      <c r="F117" s="116">
        <v>0</v>
      </c>
      <c r="G117" s="43" t="str">
        <f>_xlfn.XLOOKUP($A117,Map!$A:$A,Map!C:C)</f>
        <v>IS</v>
      </c>
      <c r="H117" s="43" t="str">
        <f>_xlfn.XLOOKUP($A117,Map!$A:$A,Map!D:D)</f>
        <v>Cost of sales</v>
      </c>
      <c r="I117" s="43" t="str">
        <f>_xlfn.XLOOKUP($A117,Map!$A:$A,Map!E:E)</f>
        <v>Overhead - Labor Cost</v>
      </c>
      <c r="J117" s="43" t="str">
        <f>_xlfn.XLOOKUP($A117,Map!$A:$A,Map!F:F)</f>
        <v>Indirect Salaries — factory supervisory / indirect floor labour (COGS)</v>
      </c>
    </row>
    <row r="118" spans="1:10" x14ac:dyDescent="0.25">
      <c r="A118">
        <v>600002</v>
      </c>
      <c r="B118" t="s">
        <v>980</v>
      </c>
      <c r="C118" s="116">
        <v>0</v>
      </c>
      <c r="D118" s="116">
        <v>222822</v>
      </c>
      <c r="E118" s="116">
        <v>222822</v>
      </c>
      <c r="F118" s="116">
        <v>0</v>
      </c>
      <c r="G118" s="43" t="str">
        <f>_xlfn.XLOOKUP($A118,Map!$A:$A,Map!C:C)</f>
        <v>IS</v>
      </c>
      <c r="H118" s="43" t="str">
        <f>_xlfn.XLOOKUP($A118,Map!$A:$A,Map!D:D)</f>
        <v>Cost of sales</v>
      </c>
      <c r="I118" s="43" t="str">
        <f>_xlfn.XLOOKUP($A118,Map!$A:$A,Map!E:E)</f>
        <v>Overhead - Labor Cost</v>
      </c>
      <c r="J118" s="43" t="str">
        <f>_xlfn.XLOOKUP($A118,Map!$A:$A,Map!F:F)</f>
        <v>Overtime pay</v>
      </c>
    </row>
    <row r="119" spans="1:10" x14ac:dyDescent="0.25">
      <c r="A119">
        <v>600003</v>
      </c>
      <c r="B119" t="s">
        <v>981</v>
      </c>
      <c r="C119" s="116">
        <v>0</v>
      </c>
      <c r="D119" s="116">
        <v>51833</v>
      </c>
      <c r="E119" s="116">
        <v>51833</v>
      </c>
      <c r="F119" s="116">
        <v>0</v>
      </c>
      <c r="G119" s="43" t="str">
        <f>_xlfn.XLOOKUP($A119,Map!$A:$A,Map!C:C)</f>
        <v>IS</v>
      </c>
      <c r="H119" s="43" t="str">
        <f>_xlfn.XLOOKUP($A119,Map!$A:$A,Map!D:D)</f>
        <v>Cost of sales</v>
      </c>
      <c r="I119" s="43" t="str">
        <f>_xlfn.XLOOKUP($A119,Map!$A:$A,Map!E:E)</f>
        <v>Overhead - Labor Cost</v>
      </c>
      <c r="J119" s="43" t="str">
        <f>_xlfn.XLOOKUP($A119,Map!$A:$A,Map!F:F)</f>
        <v xml:space="preserve">Food &amp; Housing </v>
      </c>
    </row>
    <row r="120" spans="1:10" x14ac:dyDescent="0.25">
      <c r="A120">
        <v>600004</v>
      </c>
      <c r="B120" t="s">
        <v>982</v>
      </c>
      <c r="C120" s="116">
        <v>0</v>
      </c>
      <c r="D120" s="116">
        <v>167941.56</v>
      </c>
      <c r="E120" s="116">
        <v>167941.56</v>
      </c>
      <c r="F120" s="116">
        <v>0</v>
      </c>
      <c r="G120" s="43" t="str">
        <f>_xlfn.XLOOKUP($A120,Map!$A:$A,Map!C:C)</f>
        <v>IS</v>
      </c>
      <c r="H120" s="43" t="str">
        <f>_xlfn.XLOOKUP($A120,Map!$A:$A,Map!D:D)</f>
        <v>Cost of sales</v>
      </c>
      <c r="I120" s="43" t="str">
        <f>_xlfn.XLOOKUP($A120,Map!$A:$A,Map!E:E)</f>
        <v>Overhead - Labor Cost</v>
      </c>
      <c r="J120" s="43" t="str">
        <f>_xlfn.XLOOKUP($A120,Map!$A:$A,Map!F:F)</f>
        <v>Medical insurance</v>
      </c>
    </row>
    <row r="121" spans="1:10" x14ac:dyDescent="0.25">
      <c r="A121">
        <v>600005</v>
      </c>
      <c r="B121" t="s">
        <v>983</v>
      </c>
      <c r="C121" s="116">
        <v>0</v>
      </c>
      <c r="D121" s="116">
        <v>675581</v>
      </c>
      <c r="E121" s="116">
        <v>675581</v>
      </c>
      <c r="F121" s="116">
        <v>0</v>
      </c>
      <c r="G121" s="43" t="str">
        <f>_xlfn.XLOOKUP($A121,Map!$A:$A,Map!C:C)</f>
        <v>IS</v>
      </c>
      <c r="H121" s="43" t="str">
        <f>_xlfn.XLOOKUP($A121,Map!$A:$A,Map!D:D)</f>
        <v>General and Admin</v>
      </c>
      <c r="I121" s="43" t="str">
        <f>_xlfn.XLOOKUP($A121,Map!$A:$A,Map!E:E)</f>
        <v>Govt license and fees (including modon)</v>
      </c>
      <c r="J121" s="43" t="str">
        <f>_xlfn.XLOOKUP($A121,Map!$A:$A,Map!F:F)</f>
        <v>Government fees</v>
      </c>
    </row>
    <row r="122" spans="1:10" x14ac:dyDescent="0.25">
      <c r="A122">
        <v>600006</v>
      </c>
      <c r="B122" t="s">
        <v>984</v>
      </c>
      <c r="C122" s="116">
        <v>0</v>
      </c>
      <c r="D122" s="116">
        <v>268728.8</v>
      </c>
      <c r="E122" s="116">
        <v>268728.8</v>
      </c>
      <c r="F122" s="116">
        <v>0</v>
      </c>
      <c r="G122" s="43" t="str">
        <f>_xlfn.XLOOKUP($A122,Map!$A:$A,Map!C:C)</f>
        <v>IS</v>
      </c>
      <c r="H122" s="43" t="str">
        <f>_xlfn.XLOOKUP($A122,Map!$A:$A,Map!D:D)</f>
        <v>Cost of sales</v>
      </c>
      <c r="I122" s="43" t="str">
        <f>_xlfn.XLOOKUP($A122,Map!$A:$A,Map!E:E)</f>
        <v>Overhead - Labor Cost</v>
      </c>
      <c r="J122" s="43" t="str">
        <f>_xlfn.XLOOKUP($A122,Map!$A:$A,Map!F:F)</f>
        <v xml:space="preserve">Food &amp; Housing </v>
      </c>
    </row>
    <row r="123" spans="1:10" x14ac:dyDescent="0.25">
      <c r="A123">
        <v>600007</v>
      </c>
      <c r="B123" t="s">
        <v>985</v>
      </c>
      <c r="C123" s="116">
        <v>0</v>
      </c>
      <c r="D123" s="116">
        <v>3700</v>
      </c>
      <c r="E123" s="116">
        <v>3700</v>
      </c>
      <c r="F123" s="116">
        <v>0</v>
      </c>
      <c r="G123" s="43" t="str">
        <f>_xlfn.XLOOKUP($A123,Map!$A:$A,Map!C:C)</f>
        <v>IS</v>
      </c>
      <c r="H123" s="43" t="str">
        <f>_xlfn.XLOOKUP($A123,Map!$A:$A,Map!D:D)</f>
        <v>Cost of sales</v>
      </c>
      <c r="I123" s="43" t="str">
        <f>_xlfn.XLOOKUP($A123,Map!$A:$A,Map!E:E)</f>
        <v>Overhead - Labor Cost</v>
      </c>
      <c r="J123" s="43" t="str">
        <f>_xlfn.XLOOKUP($A123,Map!$A:$A,Map!F:F)</f>
        <v>Transportation allowance</v>
      </c>
    </row>
    <row r="124" spans="1:10" x14ac:dyDescent="0.25">
      <c r="A124">
        <v>600008</v>
      </c>
      <c r="B124" t="s">
        <v>986</v>
      </c>
      <c r="C124" s="116">
        <v>0</v>
      </c>
      <c r="D124" s="116">
        <v>150911.16</v>
      </c>
      <c r="E124" s="116">
        <v>150911.16</v>
      </c>
      <c r="F124" s="116">
        <v>0</v>
      </c>
      <c r="G124" s="43" t="str">
        <f>_xlfn.XLOOKUP($A124,Map!$A:$A,Map!C:C)</f>
        <v>IS</v>
      </c>
      <c r="H124" s="43" t="str">
        <f>_xlfn.XLOOKUP($A124,Map!$A:$A,Map!D:D)</f>
        <v>Cost of sales</v>
      </c>
      <c r="I124" s="43" t="str">
        <f>_xlfn.XLOOKUP($A124,Map!$A:$A,Map!E:E)</f>
        <v>Overhead - Labor Cost</v>
      </c>
      <c r="J124" s="43" t="str">
        <f>_xlfn.XLOOKUP($A124,Map!$A:$A,Map!F:F)</f>
        <v>Air tickets</v>
      </c>
    </row>
    <row r="125" spans="1:10" x14ac:dyDescent="0.25">
      <c r="A125">
        <v>600009</v>
      </c>
      <c r="B125" t="s">
        <v>987</v>
      </c>
      <c r="C125" s="116">
        <v>0</v>
      </c>
      <c r="D125" s="116">
        <v>200643</v>
      </c>
      <c r="E125" s="116">
        <v>200643</v>
      </c>
      <c r="F125" s="116">
        <v>0</v>
      </c>
      <c r="G125" s="43" t="str">
        <f>_xlfn.XLOOKUP($A125,Map!$A:$A,Map!C:C)</f>
        <v>IS</v>
      </c>
      <c r="H125" s="43" t="str">
        <f>_xlfn.XLOOKUP($A125,Map!$A:$A,Map!D:D)</f>
        <v>Cost of sales</v>
      </c>
      <c r="I125" s="43" t="str">
        <f>_xlfn.XLOOKUP($A125,Map!$A:$A,Map!E:E)</f>
        <v>Overhead - Labor Cost</v>
      </c>
      <c r="J125" s="43" t="str">
        <f>_xlfn.XLOOKUP($A125,Map!$A:$A,Map!F:F)</f>
        <v>Vacation pay</v>
      </c>
    </row>
    <row r="126" spans="1:10" x14ac:dyDescent="0.25">
      <c r="A126">
        <v>600010</v>
      </c>
      <c r="B126" t="s">
        <v>988</v>
      </c>
      <c r="C126" s="116">
        <v>0</v>
      </c>
      <c r="D126" s="116">
        <v>475</v>
      </c>
      <c r="E126" s="116">
        <v>475</v>
      </c>
      <c r="F126" s="116">
        <v>0</v>
      </c>
      <c r="G126" s="43" t="str">
        <f>_xlfn.XLOOKUP($A126,Map!$A:$A,Map!C:C)</f>
        <v>IS</v>
      </c>
      <c r="H126" s="43" t="str">
        <f>_xlfn.XLOOKUP($A126,Map!$A:$A,Map!D:D)</f>
        <v>Cost of sales</v>
      </c>
      <c r="I126" s="43" t="str">
        <f>_xlfn.XLOOKUP($A126,Map!$A:$A,Map!E:E)</f>
        <v>Overhead - Labor Cost</v>
      </c>
      <c r="J126" s="43" t="str">
        <f>_xlfn.XLOOKUP($A126,Map!$A:$A,Map!F:F)</f>
        <v>EOS expenses</v>
      </c>
    </row>
    <row r="127" spans="1:10" x14ac:dyDescent="0.25">
      <c r="A127">
        <v>600011</v>
      </c>
      <c r="B127" t="s">
        <v>989</v>
      </c>
      <c r="C127" s="116">
        <v>0</v>
      </c>
      <c r="D127" s="116">
        <v>12000</v>
      </c>
      <c r="E127" s="116">
        <v>12000</v>
      </c>
      <c r="F127" s="116">
        <v>0</v>
      </c>
      <c r="G127" s="43" t="str">
        <f>_xlfn.XLOOKUP($A127,Map!$A:$A,Map!C:C)</f>
        <v>IS</v>
      </c>
      <c r="H127" s="43" t="str">
        <f>_xlfn.XLOOKUP($A127,Map!$A:$A,Map!D:D)</f>
        <v>Cost of sales</v>
      </c>
      <c r="I127" s="43" t="str">
        <f>_xlfn.XLOOKUP($A127,Map!$A:$A,Map!E:E)</f>
        <v>Overhead - Labor Cost</v>
      </c>
      <c r="J127" s="43" t="str">
        <f>_xlfn.XLOOKUP($A127,Map!$A:$A,Map!F:F)</f>
        <v>Air tickets</v>
      </c>
    </row>
    <row r="128" spans="1:10" x14ac:dyDescent="0.25">
      <c r="A128">
        <v>600012</v>
      </c>
      <c r="B128" t="s">
        <v>990</v>
      </c>
      <c r="C128" s="116">
        <v>0</v>
      </c>
      <c r="D128" s="116">
        <v>1250</v>
      </c>
      <c r="E128" s="116">
        <v>1250</v>
      </c>
      <c r="F128" s="116">
        <v>0</v>
      </c>
      <c r="G128" s="43" t="str">
        <f>_xlfn.XLOOKUP($A128,Map!$A:$A,Map!C:C)</f>
        <v>IS</v>
      </c>
      <c r="H128" s="43" t="str">
        <f>_xlfn.XLOOKUP($A128,Map!$A:$A,Map!D:D)</f>
        <v>Cost of sales</v>
      </c>
      <c r="I128" s="43" t="str">
        <f>_xlfn.XLOOKUP($A128,Map!$A:$A,Map!E:E)</f>
        <v>Overhead - Labor Cost</v>
      </c>
      <c r="J128" s="43" t="str">
        <f>_xlfn.XLOOKUP($A128,Map!$A:$A,Map!F:F)</f>
        <v xml:space="preserve">Education &amp; Furniture Allowances </v>
      </c>
    </row>
    <row r="129" spans="1:10" x14ac:dyDescent="0.25">
      <c r="A129">
        <v>600013</v>
      </c>
      <c r="B129" t="s">
        <v>991</v>
      </c>
      <c r="C129" s="116">
        <v>0</v>
      </c>
      <c r="D129" s="116">
        <v>50</v>
      </c>
      <c r="E129" s="116">
        <v>50</v>
      </c>
      <c r="F129" s="116">
        <v>0</v>
      </c>
      <c r="G129" s="43" t="str">
        <f>_xlfn.XLOOKUP($A129,Map!$A:$A,Map!C:C)</f>
        <v>IS</v>
      </c>
      <c r="H129" s="43" t="str">
        <f>_xlfn.XLOOKUP($A129,Map!$A:$A,Map!D:D)</f>
        <v>Cost of sales</v>
      </c>
      <c r="I129" s="43" t="str">
        <f>_xlfn.XLOOKUP($A129,Map!$A:$A,Map!E:E)</f>
        <v>Overhead - Labor Cost</v>
      </c>
      <c r="J129" s="43" t="str">
        <f>_xlfn.XLOOKUP($A129,Map!$A:$A,Map!F:F)</f>
        <v>Telephone allowance</v>
      </c>
    </row>
    <row r="130" spans="1:10" x14ac:dyDescent="0.25">
      <c r="A130">
        <v>600014</v>
      </c>
      <c r="B130" t="s">
        <v>884</v>
      </c>
      <c r="C130" s="116">
        <v>0</v>
      </c>
      <c r="D130" s="116">
        <v>835202.51399999997</v>
      </c>
      <c r="E130" s="116">
        <v>835202.51399999997</v>
      </c>
      <c r="F130" s="116">
        <v>0</v>
      </c>
      <c r="G130" s="43" t="str">
        <f>_xlfn.XLOOKUP($A130,Map!$A:$A,Map!C:C)</f>
        <v>IS</v>
      </c>
      <c r="H130" s="43" t="str">
        <f>_xlfn.XLOOKUP($A130,Map!$A:$A,Map!D:D)</f>
        <v>Cost of sales</v>
      </c>
      <c r="I130" s="43" t="str">
        <f>_xlfn.XLOOKUP($A130,Map!$A:$A,Map!E:E)</f>
        <v>Overhead - Consumables &amp; SP</v>
      </c>
      <c r="J130" s="43" t="str">
        <f>_xlfn.XLOOKUP($A130,Map!$A:$A,Map!F:F)</f>
        <v>Consumables</v>
      </c>
    </row>
    <row r="131" spans="1:10" x14ac:dyDescent="0.25">
      <c r="A131">
        <v>600015</v>
      </c>
      <c r="B131" t="s">
        <v>992</v>
      </c>
      <c r="C131" s="116">
        <v>0</v>
      </c>
      <c r="D131" s="116">
        <v>90000</v>
      </c>
      <c r="E131" s="116">
        <v>90000</v>
      </c>
      <c r="F131" s="116">
        <v>0</v>
      </c>
      <c r="G131" s="43" t="str">
        <f>_xlfn.XLOOKUP($A131,Map!$A:$A,Map!C:C)</f>
        <v>IS</v>
      </c>
      <c r="H131" s="43" t="str">
        <f>_xlfn.XLOOKUP($A131,Map!$A:$A,Map!D:D)</f>
        <v>Cost of sales</v>
      </c>
      <c r="I131" s="43" t="str">
        <f>_xlfn.XLOOKUP($A131,Map!$A:$A,Map!E:E)</f>
        <v>Overhead - Consumables &amp; SP</v>
      </c>
      <c r="J131" s="43" t="str">
        <f>_xlfn.XLOOKUP($A131,Map!$A:$A,Map!F:F)</f>
        <v>Consumables</v>
      </c>
    </row>
    <row r="132" spans="1:10" x14ac:dyDescent="0.25">
      <c r="A132">
        <v>600016</v>
      </c>
      <c r="B132" t="s">
        <v>993</v>
      </c>
      <c r="C132" s="116">
        <v>0</v>
      </c>
      <c r="D132" s="116">
        <v>1554635.304</v>
      </c>
      <c r="E132" s="116">
        <v>1554635.304</v>
      </c>
      <c r="F132" s="116">
        <v>0</v>
      </c>
      <c r="G132" s="43" t="str">
        <f>_xlfn.XLOOKUP($A132,Map!$A:$A,Map!C:C)</f>
        <v>IS</v>
      </c>
      <c r="H132" s="43" t="str">
        <f>_xlfn.XLOOKUP($A132,Map!$A:$A,Map!D:D)</f>
        <v>Cost of sales</v>
      </c>
      <c r="I132" s="43" t="str">
        <f>_xlfn.XLOOKUP($A132,Map!$A:$A,Map!E:E)</f>
        <v>Overhead - Consumables &amp; SP</v>
      </c>
      <c r="J132" s="43" t="str">
        <f>_xlfn.XLOOKUP($A132,Map!$A:$A,Map!F:F)</f>
        <v>Tools</v>
      </c>
    </row>
    <row r="133" spans="1:10" x14ac:dyDescent="0.25">
      <c r="A133">
        <v>600017</v>
      </c>
      <c r="B133" t="s">
        <v>994</v>
      </c>
      <c r="C133" s="116">
        <v>0</v>
      </c>
      <c r="D133" s="116">
        <v>1855447.81</v>
      </c>
      <c r="E133" s="116">
        <v>1855447.81</v>
      </c>
      <c r="F133" s="116">
        <v>0</v>
      </c>
      <c r="G133" s="43" t="str">
        <f>_xlfn.XLOOKUP($A133,Map!$A:$A,Map!C:C)</f>
        <v>IS</v>
      </c>
      <c r="H133" s="43" t="str">
        <f>_xlfn.XLOOKUP($A133,Map!$A:$A,Map!D:D)</f>
        <v>Cost of sales</v>
      </c>
      <c r="I133" s="43" t="str">
        <f>_xlfn.XLOOKUP($A133,Map!$A:$A,Map!E:E)</f>
        <v>Overhead - Utility</v>
      </c>
      <c r="J133" s="43" t="str">
        <f>_xlfn.XLOOKUP($A133,Map!$A:$A,Map!F:F)</f>
        <v>Electricity expenses</v>
      </c>
    </row>
    <row r="134" spans="1:10" x14ac:dyDescent="0.25">
      <c r="A134">
        <v>600018</v>
      </c>
      <c r="B134" t="s">
        <v>995</v>
      </c>
      <c r="C134" s="116">
        <v>0</v>
      </c>
      <c r="D134" s="116">
        <v>84828</v>
      </c>
      <c r="E134" s="116">
        <v>84828</v>
      </c>
      <c r="F134" s="116">
        <v>0</v>
      </c>
      <c r="G134" s="43" t="str">
        <f>_xlfn.XLOOKUP($A134,Map!$A:$A,Map!C:C)</f>
        <v>IS</v>
      </c>
      <c r="H134" s="43" t="str">
        <f>_xlfn.XLOOKUP($A134,Map!$A:$A,Map!D:D)</f>
        <v>Cost of sales</v>
      </c>
      <c r="I134" s="43" t="str">
        <f>_xlfn.XLOOKUP($A134,Map!$A:$A,Map!E:E)</f>
        <v>Overhead - Utility</v>
      </c>
      <c r="J134" s="43" t="str">
        <f>_xlfn.XLOOKUP($A134,Map!$A:$A,Map!F:F)</f>
        <v>Water expenses</v>
      </c>
    </row>
    <row r="135" spans="1:10" x14ac:dyDescent="0.25">
      <c r="A135">
        <v>600019</v>
      </c>
      <c r="B135" t="s">
        <v>996</v>
      </c>
      <c r="C135" s="116">
        <v>0</v>
      </c>
      <c r="D135" s="116">
        <v>38839</v>
      </c>
      <c r="E135" s="116">
        <v>38839</v>
      </c>
      <c r="F135" s="116">
        <v>0</v>
      </c>
      <c r="G135" s="43" t="str">
        <f>_xlfn.XLOOKUP($A135,Map!$A:$A,Map!C:C)</f>
        <v>IS</v>
      </c>
      <c r="H135" s="43" t="str">
        <f>_xlfn.XLOOKUP($A135,Map!$A:$A,Map!D:D)</f>
        <v>Cost of sales</v>
      </c>
      <c r="I135" s="43" t="str">
        <f>_xlfn.XLOOKUP($A135,Map!$A:$A,Map!E:E)</f>
        <v>Overhead - Utility</v>
      </c>
      <c r="J135" s="43" t="str">
        <f>_xlfn.XLOOKUP($A135,Map!$A:$A,Map!F:F)</f>
        <v>Fuel and oil</v>
      </c>
    </row>
    <row r="136" spans="1:10" x14ac:dyDescent="0.25">
      <c r="A136">
        <v>600020</v>
      </c>
      <c r="B136" t="s">
        <v>997</v>
      </c>
      <c r="C136" s="116">
        <v>0</v>
      </c>
      <c r="D136" s="116">
        <v>211977.74</v>
      </c>
      <c r="E136" s="116">
        <v>211977.74</v>
      </c>
      <c r="F136" s="116">
        <v>0</v>
      </c>
      <c r="G136" s="43" t="str">
        <f>_xlfn.XLOOKUP($A136,Map!$A:$A,Map!C:C)</f>
        <v>IS</v>
      </c>
      <c r="H136" s="43" t="str">
        <f>_xlfn.XLOOKUP($A136,Map!$A:$A,Map!D:D)</f>
        <v>Cost of sales</v>
      </c>
      <c r="I136" s="43" t="str">
        <f>_xlfn.XLOOKUP($A136,Map!$A:$A,Map!E:E)</f>
        <v>Overhead - R&amp;M</v>
      </c>
      <c r="J136" s="43" t="str">
        <f>_xlfn.XLOOKUP($A136,Map!$A:$A,Map!F:F)</f>
        <v>Machine and equipment</v>
      </c>
    </row>
    <row r="137" spans="1:10" x14ac:dyDescent="0.25">
      <c r="A137">
        <v>600021</v>
      </c>
      <c r="B137" t="s">
        <v>998</v>
      </c>
      <c r="C137" s="116">
        <v>0</v>
      </c>
      <c r="D137" s="116">
        <v>44235</v>
      </c>
      <c r="E137" s="116">
        <v>44235</v>
      </c>
      <c r="F137" s="116">
        <v>0</v>
      </c>
      <c r="G137" s="43" t="str">
        <f>_xlfn.XLOOKUP($A137,Map!$A:$A,Map!C:C)</f>
        <v>IS</v>
      </c>
      <c r="H137" s="43" t="str">
        <f>_xlfn.XLOOKUP($A137,Map!$A:$A,Map!D:D)</f>
        <v>Cost of sales</v>
      </c>
      <c r="I137" s="43" t="str">
        <f>_xlfn.XLOOKUP($A137,Map!$A:$A,Map!E:E)</f>
        <v>Overhead - R&amp;M</v>
      </c>
      <c r="J137" s="43" t="str">
        <f>_xlfn.XLOOKUP($A137,Map!$A:$A,Map!F:F)</f>
        <v>Vehicle maintenance</v>
      </c>
    </row>
    <row r="138" spans="1:10" x14ac:dyDescent="0.25">
      <c r="A138">
        <v>600022</v>
      </c>
      <c r="B138" t="s">
        <v>999</v>
      </c>
      <c r="C138" s="116">
        <v>0</v>
      </c>
      <c r="D138" s="116">
        <v>9818</v>
      </c>
      <c r="E138" s="116">
        <v>9818</v>
      </c>
      <c r="F138" s="116">
        <v>0</v>
      </c>
      <c r="G138" s="43" t="str">
        <f>_xlfn.XLOOKUP($A138,Map!$A:$A,Map!C:C)</f>
        <v>IS</v>
      </c>
      <c r="H138" s="43" t="str">
        <f>_xlfn.XLOOKUP($A138,Map!$A:$A,Map!D:D)</f>
        <v>Cost of sales</v>
      </c>
      <c r="I138" s="43" t="str">
        <f>_xlfn.XLOOKUP($A138,Map!$A:$A,Map!E:E)</f>
        <v>Overhead - R&amp;M</v>
      </c>
      <c r="J138" s="43" t="str">
        <f>_xlfn.XLOOKUP($A138,Map!$A:$A,Map!F:F)</f>
        <v>Building maintenance</v>
      </c>
    </row>
    <row r="139" spans="1:10" x14ac:dyDescent="0.25">
      <c r="A139">
        <v>600023</v>
      </c>
      <c r="B139" t="s">
        <v>1000</v>
      </c>
      <c r="C139" s="116">
        <v>0</v>
      </c>
      <c r="D139" s="116">
        <v>0</v>
      </c>
      <c r="E139" s="116">
        <v>0</v>
      </c>
      <c r="F139" s="116">
        <v>0</v>
      </c>
      <c r="G139" s="43" t="str">
        <f>_xlfn.XLOOKUP($A139,Map!$A:$A,Map!C:C)</f>
        <v>IS</v>
      </c>
      <c r="H139" s="43" t="str">
        <f>_xlfn.XLOOKUP($A139,Map!$A:$A,Map!D:D)</f>
        <v>Cost of sales</v>
      </c>
      <c r="I139" s="43" t="str">
        <f>_xlfn.XLOOKUP($A139,Map!$A:$A,Map!E:E)</f>
        <v>Overhead - R&amp;M</v>
      </c>
      <c r="J139" s="43" t="str">
        <f>_xlfn.XLOOKUP($A139,Map!$A:$A,Map!F:F)</f>
        <v>Office equipment maintenance</v>
      </c>
    </row>
    <row r="140" spans="1:10" x14ac:dyDescent="0.25">
      <c r="A140">
        <v>600024</v>
      </c>
      <c r="B140" t="s">
        <v>1001</v>
      </c>
      <c r="C140" s="116">
        <v>0</v>
      </c>
      <c r="D140" s="116">
        <v>33960.5</v>
      </c>
      <c r="E140" s="116">
        <v>33960.5</v>
      </c>
      <c r="F140" s="116">
        <v>0</v>
      </c>
      <c r="G140" s="43" t="str">
        <f>_xlfn.XLOOKUP($A140,Map!$A:$A,Map!C:C)</f>
        <v>IS</v>
      </c>
      <c r="H140" s="43" t="str">
        <f>_xlfn.XLOOKUP($A140,Map!$A:$A,Map!D:D)</f>
        <v>Cost of sales</v>
      </c>
      <c r="I140" s="43" t="str">
        <f>_xlfn.XLOOKUP($A140,Map!$A:$A,Map!E:E)</f>
        <v>Overhead - Rent</v>
      </c>
      <c r="J140" s="43" t="str">
        <f>_xlfn.XLOOKUP($A140,Map!$A:$A,Map!F:F)</f>
        <v>Pump rental expenses</v>
      </c>
    </row>
    <row r="141" spans="1:10" x14ac:dyDescent="0.25">
      <c r="A141">
        <v>600026</v>
      </c>
      <c r="B141" t="s">
        <v>1003</v>
      </c>
      <c r="C141" s="116">
        <v>0</v>
      </c>
      <c r="D141" s="116">
        <v>3800</v>
      </c>
      <c r="E141" s="116">
        <v>3800</v>
      </c>
      <c r="F141" s="116">
        <v>0</v>
      </c>
      <c r="G141" s="43" t="str">
        <f>_xlfn.XLOOKUP($A141,Map!$A:$A,Map!C:C)</f>
        <v>IS</v>
      </c>
      <c r="H141" s="43" t="str">
        <f>_xlfn.XLOOKUP($A141,Map!$A:$A,Map!D:D)</f>
        <v>Cost of sales</v>
      </c>
      <c r="I141" s="43" t="str">
        <f>_xlfn.XLOOKUP($A141,Map!$A:$A,Map!E:E)</f>
        <v>Overhead - Insurance</v>
      </c>
      <c r="J141" s="43" t="str">
        <f>_xlfn.XLOOKUP($A141,Map!$A:$A,Map!F:F)</f>
        <v>Machine and equipment insurance</v>
      </c>
    </row>
    <row r="142" spans="1:10" x14ac:dyDescent="0.25">
      <c r="A142">
        <v>600027</v>
      </c>
      <c r="B142" t="s">
        <v>1004</v>
      </c>
      <c r="C142" s="116">
        <v>0</v>
      </c>
      <c r="D142" s="116">
        <v>359333.38</v>
      </c>
      <c r="E142" s="116">
        <v>359333.38</v>
      </c>
      <c r="F142" s="116">
        <v>0</v>
      </c>
      <c r="G142" s="43" t="str">
        <f>_xlfn.XLOOKUP($A142,Map!$A:$A,Map!C:C)</f>
        <v>IS</v>
      </c>
      <c r="H142" s="43" t="str">
        <f>_xlfn.XLOOKUP($A142,Map!$A:$A,Map!D:D)</f>
        <v>Cost of sales</v>
      </c>
      <c r="I142" s="43" t="str">
        <f>_xlfn.XLOOKUP($A142,Map!$A:$A,Map!E:E)</f>
        <v>Overhead - Rent</v>
      </c>
      <c r="J142" s="43" t="str">
        <f>_xlfn.XLOOKUP($A142,Map!$A:$A,Map!F:F)</f>
        <v>Production hall rental</v>
      </c>
    </row>
    <row r="143" spans="1:10" x14ac:dyDescent="0.25">
      <c r="A143">
        <v>600028</v>
      </c>
      <c r="B143" t="s">
        <v>1005</v>
      </c>
      <c r="C143" s="116">
        <v>0</v>
      </c>
      <c r="D143" s="116">
        <v>3483</v>
      </c>
      <c r="E143" s="116">
        <v>3483</v>
      </c>
      <c r="F143" s="116">
        <v>0</v>
      </c>
      <c r="G143" s="43" t="str">
        <f>_xlfn.XLOOKUP($A143,Map!$A:$A,Map!C:C)</f>
        <v>IS</v>
      </c>
      <c r="H143" s="43" t="str">
        <f>_xlfn.XLOOKUP($A143,Map!$A:$A,Map!D:D)</f>
        <v>Cost of sales</v>
      </c>
      <c r="I143" s="43" t="str">
        <f>_xlfn.XLOOKUP($A143,Map!$A:$A,Map!E:E)</f>
        <v>Overhead - Consumables &amp; SP</v>
      </c>
      <c r="J143" s="43" t="str">
        <f>_xlfn.XLOOKUP($A143,Map!$A:$A,Map!F:F)</f>
        <v xml:space="preserve">Education &amp; Furniture Allowances </v>
      </c>
    </row>
    <row r="144" spans="1:10" x14ac:dyDescent="0.25">
      <c r="A144">
        <v>600029</v>
      </c>
      <c r="B144" t="s">
        <v>1006</v>
      </c>
      <c r="C144" s="116">
        <v>0</v>
      </c>
      <c r="D144" s="116">
        <v>3538063.7590000001</v>
      </c>
      <c r="E144" s="116">
        <v>3538063.7590000001</v>
      </c>
      <c r="F144" s="116">
        <v>0</v>
      </c>
      <c r="G144" s="43" t="str">
        <f>_xlfn.XLOOKUP($A144,Map!$A:$A,Map!C:C)</f>
        <v>IS</v>
      </c>
      <c r="H144" s="43" t="str">
        <f>_xlfn.XLOOKUP($A144,Map!$A:$A,Map!D:D)</f>
        <v>Cost of sales</v>
      </c>
      <c r="I144" s="43" t="str">
        <f>_xlfn.XLOOKUP($A144,Map!$A:$A,Map!E:E)</f>
        <v>Depreciation - Machines</v>
      </c>
      <c r="J144" s="43" t="str">
        <f>_xlfn.XLOOKUP($A144,Map!$A:$A,Map!F:F)</f>
        <v>Depreciation of property, plant and equipment</v>
      </c>
    </row>
    <row r="145" spans="1:10" x14ac:dyDescent="0.25">
      <c r="A145">
        <v>600030</v>
      </c>
      <c r="B145" t="s">
        <v>1007</v>
      </c>
      <c r="C145" s="116">
        <v>0</v>
      </c>
      <c r="D145" s="116">
        <v>5931.53</v>
      </c>
      <c r="E145" s="116">
        <v>5931.53</v>
      </c>
      <c r="F145" s="116">
        <v>0</v>
      </c>
      <c r="G145" s="43" t="str">
        <f>_xlfn.XLOOKUP($A145,Map!$A:$A,Map!C:C)</f>
        <v>IS</v>
      </c>
      <c r="H145" s="43" t="str">
        <f>_xlfn.XLOOKUP($A145,Map!$A:$A,Map!D:D)</f>
        <v>Depreciation expenses</v>
      </c>
      <c r="I145" s="43" t="str">
        <f>_xlfn.XLOOKUP($A145,Map!$A:$A,Map!E:E)</f>
        <v>Depreciation expenses</v>
      </c>
      <c r="J145" s="43" t="str">
        <f>_xlfn.XLOOKUP($A145,Map!$A:$A,Map!F:F)</f>
        <v>Depreciation of property, plant and equipment</v>
      </c>
    </row>
    <row r="146" spans="1:10" x14ac:dyDescent="0.25">
      <c r="A146">
        <v>600031</v>
      </c>
      <c r="B146" t="s">
        <v>1008</v>
      </c>
      <c r="C146" s="116">
        <v>0</v>
      </c>
      <c r="D146" s="116">
        <v>2859.9670000000001</v>
      </c>
      <c r="E146" s="116">
        <v>2859.9670000000001</v>
      </c>
      <c r="F146" s="116">
        <v>0</v>
      </c>
      <c r="G146" s="43" t="str">
        <f>_xlfn.XLOOKUP($A146,Map!$A:$A,Map!C:C)</f>
        <v>IS</v>
      </c>
      <c r="H146" s="43" t="str">
        <f>_xlfn.XLOOKUP($A146,Map!$A:$A,Map!D:D)</f>
        <v>Depreciation expenses</v>
      </c>
      <c r="I146" s="43" t="str">
        <f>_xlfn.XLOOKUP($A146,Map!$A:$A,Map!E:E)</f>
        <v>Depreciation expenses</v>
      </c>
      <c r="J146" s="43" t="str">
        <f>_xlfn.XLOOKUP($A146,Map!$A:$A,Map!F:F)</f>
        <v>Depreciation of property, plant and equipment</v>
      </c>
    </row>
    <row r="147" spans="1:10" x14ac:dyDescent="0.25">
      <c r="A147">
        <v>700001</v>
      </c>
      <c r="B147" t="s">
        <v>1023</v>
      </c>
      <c r="C147" s="116">
        <v>0</v>
      </c>
      <c r="D147" s="116">
        <v>3292691.9029999999</v>
      </c>
      <c r="E147" s="116">
        <v>50674.222999999998</v>
      </c>
      <c r="F147" s="116">
        <v>3242017.68</v>
      </c>
      <c r="G147" s="43" t="str">
        <f>_xlfn.XLOOKUP($A147,Map!$A:$A,Map!C:C)</f>
        <v>IS</v>
      </c>
      <c r="H147" s="43" t="str">
        <f>_xlfn.XLOOKUP($A147,Map!$A:$A,Map!D:D)</f>
        <v>General and Admin</v>
      </c>
      <c r="I147" s="43" t="str">
        <f>_xlfn.XLOOKUP($A147,Map!$A:$A,Map!E:E)</f>
        <v>Salaries and wages</v>
      </c>
      <c r="J147" s="43" t="str">
        <f>_xlfn.XLOOKUP($A147,Map!$A:$A,Map!F:F)</f>
        <v>Salaries and wages</v>
      </c>
    </row>
    <row r="148" spans="1:10" x14ac:dyDescent="0.25">
      <c r="A148">
        <v>700002</v>
      </c>
      <c r="B148" t="s">
        <v>1024</v>
      </c>
      <c r="C148" s="116">
        <v>0</v>
      </c>
      <c r="D148" s="116">
        <v>97298</v>
      </c>
      <c r="E148" s="116">
        <v>0</v>
      </c>
      <c r="F148" s="116">
        <v>97298</v>
      </c>
      <c r="G148" s="43" t="str">
        <f>_xlfn.XLOOKUP($A148,Map!$A:$A,Map!C:C)</f>
        <v>IS</v>
      </c>
      <c r="H148" s="43" t="str">
        <f>_xlfn.XLOOKUP($A148,Map!$A:$A,Map!D:D)</f>
        <v>General and Admin</v>
      </c>
      <c r="I148" s="43" t="str">
        <f>_xlfn.XLOOKUP($A148,Map!$A:$A,Map!E:E)</f>
        <v>Salaries and wages</v>
      </c>
      <c r="J148" s="43" t="str">
        <f>_xlfn.XLOOKUP($A148,Map!$A:$A,Map!F:F)</f>
        <v>Overtime pay</v>
      </c>
    </row>
    <row r="149" spans="1:10" x14ac:dyDescent="0.25">
      <c r="A149">
        <v>700003</v>
      </c>
      <c r="B149" t="s">
        <v>1152</v>
      </c>
      <c r="C149" s="116">
        <v>0</v>
      </c>
      <c r="D149" s="116">
        <v>60003</v>
      </c>
      <c r="E149" s="116">
        <v>0</v>
      </c>
      <c r="F149" s="116">
        <v>60003</v>
      </c>
      <c r="G149" s="43" t="str">
        <f>_xlfn.XLOOKUP($A149,Map!$A:$A,Map!C:C)</f>
        <v>IS</v>
      </c>
      <c r="H149" s="43" t="str">
        <f>_xlfn.XLOOKUP($A149,Map!$A:$A,Map!D:D)</f>
        <v>General and Admin</v>
      </c>
      <c r="I149" s="43" t="str">
        <f>_xlfn.XLOOKUP($A149,Map!$A:$A,Map!E:E)</f>
        <v>Salaries and wages</v>
      </c>
      <c r="J149" s="43" t="str">
        <f>_xlfn.XLOOKUP($A149,Map!$A:$A,Map!F:F)</f>
        <v xml:space="preserve">Food &amp; Housing </v>
      </c>
    </row>
    <row r="150" spans="1:10" x14ac:dyDescent="0.25">
      <c r="A150">
        <v>700004</v>
      </c>
      <c r="B150" t="s">
        <v>1026</v>
      </c>
      <c r="C150" s="116">
        <v>0</v>
      </c>
      <c r="D150" s="116">
        <v>269897.71000000002</v>
      </c>
      <c r="E150" s="116">
        <v>0</v>
      </c>
      <c r="F150" s="116">
        <v>269897.71000000002</v>
      </c>
      <c r="G150" s="43" t="str">
        <f>_xlfn.XLOOKUP($A150,Map!$A:$A,Map!C:C)</f>
        <v>IS</v>
      </c>
      <c r="H150" s="43" t="str">
        <f>_xlfn.XLOOKUP($A150,Map!$A:$A,Map!D:D)</f>
        <v>General and Admin</v>
      </c>
      <c r="I150" s="43" t="str">
        <f>_xlfn.XLOOKUP($A150,Map!$A:$A,Map!E:E)</f>
        <v>Salaries and wages</v>
      </c>
      <c r="J150" s="43" t="str">
        <f>_xlfn.XLOOKUP($A150,Map!$A:$A,Map!F:F)</f>
        <v>Medical insurance</v>
      </c>
    </row>
    <row r="151" spans="1:10" x14ac:dyDescent="0.25">
      <c r="A151">
        <v>700005</v>
      </c>
      <c r="B151" t="s">
        <v>1027</v>
      </c>
      <c r="C151" s="116">
        <v>0</v>
      </c>
      <c r="D151" s="116">
        <v>159082.32</v>
      </c>
      <c r="E151" s="116">
        <v>0</v>
      </c>
      <c r="F151" s="116">
        <v>159082.32</v>
      </c>
      <c r="G151" s="43" t="str">
        <f>_xlfn.XLOOKUP($A151,Map!$A:$A,Map!C:C)</f>
        <v>IS</v>
      </c>
      <c r="H151" s="43" t="str">
        <f>_xlfn.XLOOKUP($A151,Map!$A:$A,Map!D:D)</f>
        <v>General and Admin</v>
      </c>
      <c r="I151" s="43" t="str">
        <f>_xlfn.XLOOKUP($A151,Map!$A:$A,Map!E:E)</f>
        <v>Govt license and fees (including modon)</v>
      </c>
      <c r="J151" s="43" t="str">
        <f>_xlfn.XLOOKUP($A151,Map!$A:$A,Map!F:F)</f>
        <v>Government fees</v>
      </c>
    </row>
    <row r="152" spans="1:10" x14ac:dyDescent="0.25">
      <c r="A152">
        <v>700006</v>
      </c>
      <c r="B152" t="s">
        <v>1028</v>
      </c>
      <c r="C152" s="116">
        <v>0</v>
      </c>
      <c r="D152" s="116">
        <v>778942.41</v>
      </c>
      <c r="E152" s="116">
        <v>85271.63</v>
      </c>
      <c r="F152" s="116">
        <v>693670.78</v>
      </c>
      <c r="G152" s="43" t="str">
        <f>_xlfn.XLOOKUP($A152,Map!$A:$A,Map!C:C)</f>
        <v>IS</v>
      </c>
      <c r="H152" s="43" t="str">
        <f>_xlfn.XLOOKUP($A152,Map!$A:$A,Map!D:D)</f>
        <v>General and Admin</v>
      </c>
      <c r="I152" s="43" t="str">
        <f>_xlfn.XLOOKUP($A152,Map!$A:$A,Map!E:E)</f>
        <v>Salaries and wages</v>
      </c>
      <c r="J152" s="43" t="str">
        <f>_xlfn.XLOOKUP($A152,Map!$A:$A,Map!F:F)</f>
        <v xml:space="preserve">Food &amp; Housing </v>
      </c>
    </row>
    <row r="153" spans="1:10" x14ac:dyDescent="0.25">
      <c r="A153">
        <v>700007</v>
      </c>
      <c r="B153" t="s">
        <v>1029</v>
      </c>
      <c r="C153" s="116">
        <v>0</v>
      </c>
      <c r="D153" s="116">
        <v>340220</v>
      </c>
      <c r="E153" s="116">
        <v>0</v>
      </c>
      <c r="F153" s="116">
        <v>340220</v>
      </c>
      <c r="G153" s="43" t="str">
        <f>_xlfn.XLOOKUP($A153,Map!$A:$A,Map!C:C)</f>
        <v>IS</v>
      </c>
      <c r="H153" s="43" t="str">
        <f>_xlfn.XLOOKUP($A153,Map!$A:$A,Map!D:D)</f>
        <v>General and Admin</v>
      </c>
      <c r="I153" s="43" t="str">
        <f>_xlfn.XLOOKUP($A153,Map!$A:$A,Map!E:E)</f>
        <v>Salaries and wages</v>
      </c>
      <c r="J153" s="43" t="str">
        <f>_xlfn.XLOOKUP($A153,Map!$A:$A,Map!F:F)</f>
        <v>Transportation allowance</v>
      </c>
    </row>
    <row r="154" spans="1:10" x14ac:dyDescent="0.25">
      <c r="A154">
        <v>700008</v>
      </c>
      <c r="B154" t="s">
        <v>1030</v>
      </c>
      <c r="C154" s="116">
        <v>0</v>
      </c>
      <c r="D154" s="116">
        <v>68575</v>
      </c>
      <c r="E154" s="116">
        <v>18970</v>
      </c>
      <c r="F154" s="116">
        <v>49605</v>
      </c>
      <c r="G154" s="43" t="str">
        <f>_xlfn.XLOOKUP($A154,Map!$A:$A,Map!C:C)</f>
        <v>IS</v>
      </c>
      <c r="H154" s="43" t="str">
        <f>_xlfn.XLOOKUP($A154,Map!$A:$A,Map!D:D)</f>
        <v>General and Admin</v>
      </c>
      <c r="I154" s="43" t="str">
        <f>_xlfn.XLOOKUP($A154,Map!$A:$A,Map!E:E)</f>
        <v>Salaries and wages</v>
      </c>
      <c r="J154" s="43" t="str">
        <f>_xlfn.XLOOKUP($A154,Map!$A:$A,Map!F:F)</f>
        <v>Air tickets</v>
      </c>
    </row>
    <row r="155" spans="1:10" x14ac:dyDescent="0.25">
      <c r="A155">
        <v>700009</v>
      </c>
      <c r="B155" t="s">
        <v>1031</v>
      </c>
      <c r="C155" s="116">
        <v>0</v>
      </c>
      <c r="D155" s="116">
        <v>257890</v>
      </c>
      <c r="E155" s="116">
        <v>0</v>
      </c>
      <c r="F155" s="116">
        <v>257890</v>
      </c>
      <c r="G155" s="43" t="str">
        <f>_xlfn.XLOOKUP($A155,Map!$A:$A,Map!C:C)</f>
        <v>IS</v>
      </c>
      <c r="H155" s="43" t="str">
        <f>_xlfn.XLOOKUP($A155,Map!$A:$A,Map!D:D)</f>
        <v>General and Admin</v>
      </c>
      <c r="I155" s="43" t="str">
        <f>_xlfn.XLOOKUP($A155,Map!$A:$A,Map!E:E)</f>
        <v>Salaries and wages</v>
      </c>
      <c r="J155" s="43" t="str">
        <f>_xlfn.XLOOKUP($A155,Map!$A:$A,Map!F:F)</f>
        <v>Leave pay</v>
      </c>
    </row>
    <row r="156" spans="1:10" x14ac:dyDescent="0.25">
      <c r="A156">
        <v>700010</v>
      </c>
      <c r="B156" t="s">
        <v>1032</v>
      </c>
      <c r="C156" s="116">
        <v>0</v>
      </c>
      <c r="D156" s="116">
        <v>1664452</v>
      </c>
      <c r="E156" s="116">
        <v>301656</v>
      </c>
      <c r="F156" s="116">
        <v>1362796</v>
      </c>
      <c r="G156" s="43" t="str">
        <f>_xlfn.XLOOKUP($A156,Map!$A:$A,Map!C:C)</f>
        <v>IS</v>
      </c>
      <c r="H156" s="43" t="str">
        <f>_xlfn.XLOOKUP($A156,Map!$A:$A,Map!D:D)</f>
        <v>General and Admin</v>
      </c>
      <c r="I156" s="43" t="str">
        <f>_xlfn.XLOOKUP($A156,Map!$A:$A,Map!E:E)</f>
        <v>Salaries and wages</v>
      </c>
      <c r="J156" s="43" t="str">
        <f>_xlfn.XLOOKUP($A156,Map!$A:$A,Map!F:F)</f>
        <v>Indemnities</v>
      </c>
    </row>
    <row r="157" spans="1:10" x14ac:dyDescent="0.25">
      <c r="A157">
        <v>700011</v>
      </c>
      <c r="B157" t="s">
        <v>1033</v>
      </c>
      <c r="C157" s="116">
        <v>0</v>
      </c>
      <c r="D157" s="116">
        <v>108607</v>
      </c>
      <c r="E157" s="116">
        <v>0</v>
      </c>
      <c r="F157" s="116">
        <v>108607</v>
      </c>
      <c r="G157" s="43" t="str">
        <f>_xlfn.XLOOKUP($A157,Map!$A:$A,Map!C:C)</f>
        <v>IS</v>
      </c>
      <c r="H157" s="43" t="str">
        <f>_xlfn.XLOOKUP($A157,Map!$A:$A,Map!D:D)</f>
        <v>General and Admin</v>
      </c>
      <c r="I157" s="43" t="str">
        <f>_xlfn.XLOOKUP($A157,Map!$A:$A,Map!E:E)</f>
        <v>Salaries and wages</v>
      </c>
      <c r="J157" s="43" t="str">
        <f>_xlfn.XLOOKUP($A157,Map!$A:$A,Map!F:F)</f>
        <v>Air tickets</v>
      </c>
    </row>
    <row r="158" spans="1:10" x14ac:dyDescent="0.25">
      <c r="A158">
        <v>700012</v>
      </c>
      <c r="B158" t="s">
        <v>1034</v>
      </c>
      <c r="C158" s="116">
        <v>0</v>
      </c>
      <c r="D158" s="116">
        <v>217818</v>
      </c>
      <c r="E158" s="116">
        <v>0</v>
      </c>
      <c r="F158" s="116">
        <v>217818</v>
      </c>
      <c r="G158" s="43" t="str">
        <f>_xlfn.XLOOKUP($A158,Map!$A:$A,Map!C:C)</f>
        <v>IS</v>
      </c>
      <c r="H158" s="43" t="str">
        <f>_xlfn.XLOOKUP($A158,Map!$A:$A,Map!D:D)</f>
        <v>General and Admin</v>
      </c>
      <c r="I158" s="43" t="str">
        <f>_xlfn.XLOOKUP($A158,Map!$A:$A,Map!E:E)</f>
        <v>Salaries and wages</v>
      </c>
      <c r="J158" s="43" t="str">
        <f>_xlfn.XLOOKUP($A158,Map!$A:$A,Map!F:F)</f>
        <v xml:space="preserve">Education &amp; Furniture Allowances </v>
      </c>
    </row>
    <row r="159" spans="1:10" x14ac:dyDescent="0.25">
      <c r="A159">
        <v>700013</v>
      </c>
      <c r="B159" t="s">
        <v>1035</v>
      </c>
      <c r="C159" s="116">
        <v>0</v>
      </c>
      <c r="D159" s="116">
        <v>87175</v>
      </c>
      <c r="E159" s="116">
        <v>0</v>
      </c>
      <c r="F159" s="116">
        <v>87175</v>
      </c>
      <c r="G159" s="43" t="str">
        <f>_xlfn.XLOOKUP($A159,Map!$A:$A,Map!C:C)</f>
        <v>IS</v>
      </c>
      <c r="H159" s="43" t="str">
        <f>_xlfn.XLOOKUP($A159,Map!$A:$A,Map!D:D)</f>
        <v>General and Admin</v>
      </c>
      <c r="I159" s="43" t="str">
        <f>_xlfn.XLOOKUP($A159,Map!$A:$A,Map!E:E)</f>
        <v>Utilities</v>
      </c>
      <c r="J159" s="43" t="str">
        <f>_xlfn.XLOOKUP($A159,Map!$A:$A,Map!F:F)</f>
        <v>Other general and administrative expenses</v>
      </c>
    </row>
    <row r="160" spans="1:10" x14ac:dyDescent="0.25">
      <c r="A160">
        <v>700014</v>
      </c>
      <c r="B160" t="s">
        <v>1036</v>
      </c>
      <c r="C160" s="116">
        <v>0</v>
      </c>
      <c r="D160" s="116">
        <v>19000</v>
      </c>
      <c r="E160" s="116">
        <v>0</v>
      </c>
      <c r="F160" s="116">
        <v>19000</v>
      </c>
      <c r="G160" s="43" t="str">
        <f>_xlfn.XLOOKUP($A160,Map!$A:$A,Map!C:C)</f>
        <v>IS</v>
      </c>
      <c r="H160" s="43" t="str">
        <f>_xlfn.XLOOKUP($A160,Map!$A:$A,Map!D:D)</f>
        <v>General and Admin</v>
      </c>
      <c r="I160" s="43" t="str">
        <f>_xlfn.XLOOKUP($A160,Map!$A:$A,Map!E:E)</f>
        <v>Salaries and wages</v>
      </c>
      <c r="J160" s="43" t="str">
        <f>_xlfn.XLOOKUP($A160,Map!$A:$A,Map!F:F)</f>
        <v xml:space="preserve">Education &amp; Furniture Allowances </v>
      </c>
    </row>
    <row r="161" spans="1:10" x14ac:dyDescent="0.25">
      <c r="A161">
        <v>700015</v>
      </c>
      <c r="B161" t="s">
        <v>1037</v>
      </c>
      <c r="C161" s="116">
        <v>0</v>
      </c>
      <c r="D161" s="116">
        <v>6893</v>
      </c>
      <c r="E161" s="116">
        <v>0</v>
      </c>
      <c r="F161" s="116">
        <v>6893</v>
      </c>
      <c r="G161" s="43" t="str">
        <f>_xlfn.XLOOKUP($A161,Map!$A:$A,Map!C:C)</f>
        <v>IS</v>
      </c>
      <c r="H161" s="43" t="str">
        <f>_xlfn.XLOOKUP($A161,Map!$A:$A,Map!D:D)</f>
        <v>General and Admin</v>
      </c>
      <c r="I161" s="43" t="str">
        <f>_xlfn.XLOOKUP($A161,Map!$A:$A,Map!E:E)</f>
        <v>Business travel</v>
      </c>
      <c r="J161" s="43" t="str">
        <f>_xlfn.XLOOKUP($A161,Map!$A:$A,Map!F:F)</f>
        <v>Transportation expenses</v>
      </c>
    </row>
    <row r="162" spans="1:10" x14ac:dyDescent="0.25">
      <c r="A162">
        <v>700016</v>
      </c>
      <c r="B162" t="s">
        <v>1038</v>
      </c>
      <c r="C162" s="116">
        <v>0</v>
      </c>
      <c r="D162" s="116">
        <v>4941</v>
      </c>
      <c r="E162" s="116">
        <v>0</v>
      </c>
      <c r="F162" s="116">
        <v>4941</v>
      </c>
      <c r="G162" s="43" t="str">
        <f>_xlfn.XLOOKUP($A162,Map!$A:$A,Map!C:C)</f>
        <v>IS</v>
      </c>
      <c r="H162" s="43" t="str">
        <f>_xlfn.XLOOKUP($A162,Map!$A:$A,Map!D:D)</f>
        <v>Selling and Marketing</v>
      </c>
      <c r="I162" s="43" t="str">
        <f>_xlfn.XLOOKUP($A162,Map!$A:$A,Map!E:E)</f>
        <v>Buffet expenses</v>
      </c>
      <c r="J162" s="43" t="str">
        <f>_xlfn.XLOOKUP($A162,Map!$A:$A,Map!F:F)</f>
        <v>Food expenses</v>
      </c>
    </row>
    <row r="163" spans="1:10" x14ac:dyDescent="0.25">
      <c r="A163">
        <v>700017</v>
      </c>
      <c r="B163" t="s">
        <v>1039</v>
      </c>
      <c r="C163" s="116">
        <v>0</v>
      </c>
      <c r="D163" s="116">
        <v>5728</v>
      </c>
      <c r="E163" s="116">
        <v>0</v>
      </c>
      <c r="F163" s="116">
        <v>5728</v>
      </c>
      <c r="G163" s="43" t="str">
        <f>_xlfn.XLOOKUP($A163,Map!$A:$A,Map!C:C)</f>
        <v>IS</v>
      </c>
      <c r="H163" s="43" t="str">
        <f>_xlfn.XLOOKUP($A163,Map!$A:$A,Map!D:D)</f>
        <v>General and Admin</v>
      </c>
      <c r="I163" s="43" t="str">
        <f>_xlfn.XLOOKUP($A163,Map!$A:$A,Map!E:E)</f>
        <v>Salaries and wages</v>
      </c>
      <c r="J163" s="43" t="str">
        <f>_xlfn.XLOOKUP($A163,Map!$A:$A,Map!F:F)</f>
        <v>Accommodation expenses</v>
      </c>
    </row>
    <row r="164" spans="1:10" x14ac:dyDescent="0.25">
      <c r="A164">
        <v>700018</v>
      </c>
      <c r="B164" t="s">
        <v>1040</v>
      </c>
      <c r="C164" s="116">
        <v>0</v>
      </c>
      <c r="D164" s="116">
        <v>49236.35</v>
      </c>
      <c r="E164" s="116">
        <v>0</v>
      </c>
      <c r="F164" s="116">
        <v>49236.35</v>
      </c>
      <c r="G164" s="43" t="str">
        <f>_xlfn.XLOOKUP($A164,Map!$A:$A,Map!C:C)</f>
        <v>IS</v>
      </c>
      <c r="H164" s="43" t="str">
        <f>_xlfn.XLOOKUP($A164,Map!$A:$A,Map!D:D)</f>
        <v>General and Admin</v>
      </c>
      <c r="I164" s="43" t="str">
        <f>_xlfn.XLOOKUP($A164,Map!$A:$A,Map!E:E)</f>
        <v>Salaries and wages</v>
      </c>
      <c r="J164" s="43" t="str">
        <f>_xlfn.XLOOKUP($A164,Map!$A:$A,Map!F:F)</f>
        <v xml:space="preserve">Employee Medical Emergency Expenses </v>
      </c>
    </row>
    <row r="165" spans="1:10" x14ac:dyDescent="0.25">
      <c r="A165">
        <v>700019</v>
      </c>
      <c r="B165" t="s">
        <v>1041</v>
      </c>
      <c r="C165" s="116">
        <v>0</v>
      </c>
      <c r="D165" s="116">
        <v>407852</v>
      </c>
      <c r="E165" s="116">
        <v>50981</v>
      </c>
      <c r="F165" s="116">
        <v>356871</v>
      </c>
      <c r="G165" s="43" t="str">
        <f>_xlfn.XLOOKUP($A165,Map!$A:$A,Map!C:C)</f>
        <v>IS</v>
      </c>
      <c r="H165" s="43" t="str">
        <f>_xlfn.XLOOKUP($A165,Map!$A:$A,Map!D:D)</f>
        <v>General and Admin</v>
      </c>
      <c r="I165" s="43" t="str">
        <f>_xlfn.XLOOKUP($A165,Map!$A:$A,Map!E:E)</f>
        <v>Salaries and wages</v>
      </c>
      <c r="J165" s="43" t="str">
        <f>_xlfn.XLOOKUP($A165,Map!$A:$A,Map!F:F)</f>
        <v xml:space="preserve">Incentives </v>
      </c>
    </row>
    <row r="166" spans="1:10" x14ac:dyDescent="0.25">
      <c r="A166">
        <v>700020</v>
      </c>
      <c r="B166" t="s">
        <v>1042</v>
      </c>
      <c r="C166" s="116">
        <v>0</v>
      </c>
      <c r="D166" s="116">
        <v>44604.561000000002</v>
      </c>
      <c r="E166" s="116">
        <v>0</v>
      </c>
      <c r="F166" s="116">
        <v>44604.561000000002</v>
      </c>
      <c r="G166" s="43" t="str">
        <f>_xlfn.XLOOKUP($A166,Map!$A:$A,Map!C:C)</f>
        <v>IS</v>
      </c>
      <c r="H166" s="43" t="str">
        <f>_xlfn.XLOOKUP($A166,Map!$A:$A,Map!D:D)</f>
        <v>General and Admin</v>
      </c>
      <c r="I166" s="43" t="str">
        <f>_xlfn.XLOOKUP($A166,Map!$A:$A,Map!E:E)</f>
        <v>Utilities</v>
      </c>
      <c r="J166" s="43" t="str">
        <f>_xlfn.XLOOKUP($A166,Map!$A:$A,Map!F:F)</f>
        <v>Electricity expenses</v>
      </c>
    </row>
    <row r="167" spans="1:10" x14ac:dyDescent="0.25">
      <c r="A167">
        <v>700021</v>
      </c>
      <c r="B167" t="s">
        <v>1043</v>
      </c>
      <c r="C167" s="116">
        <v>0</v>
      </c>
      <c r="D167" s="116">
        <v>33500</v>
      </c>
      <c r="E167" s="116">
        <v>0</v>
      </c>
      <c r="F167" s="116">
        <v>33500</v>
      </c>
      <c r="G167" s="43" t="str">
        <f>_xlfn.XLOOKUP($A167,Map!$A:$A,Map!C:C)</f>
        <v>IS</v>
      </c>
      <c r="H167" s="43" t="str">
        <f>_xlfn.XLOOKUP($A167,Map!$A:$A,Map!D:D)</f>
        <v>General and Admin</v>
      </c>
      <c r="I167" s="43" t="str">
        <f>_xlfn.XLOOKUP($A167,Map!$A:$A,Map!E:E)</f>
        <v>Utilities</v>
      </c>
      <c r="J167" s="43" t="str">
        <f>_xlfn.XLOOKUP($A167,Map!$A:$A,Map!F:F)</f>
        <v>Other general and administrative expenses</v>
      </c>
    </row>
    <row r="168" spans="1:10" x14ac:dyDescent="0.25">
      <c r="A168">
        <v>700022</v>
      </c>
      <c r="B168" t="s">
        <v>1044</v>
      </c>
      <c r="C168" s="116">
        <v>0</v>
      </c>
      <c r="D168" s="116">
        <v>71328.179999999993</v>
      </c>
      <c r="E168" s="116">
        <v>300</v>
      </c>
      <c r="F168" s="116">
        <v>71028.179999999993</v>
      </c>
      <c r="G168" s="43" t="str">
        <f>_xlfn.XLOOKUP($A168,Map!$A:$A,Map!C:C)</f>
        <v>IS</v>
      </c>
      <c r="H168" s="43" t="str">
        <f>_xlfn.XLOOKUP($A168,Map!$A:$A,Map!D:D)</f>
        <v>General and Admin</v>
      </c>
      <c r="I168" s="43" t="str">
        <f>_xlfn.XLOOKUP($A168,Map!$A:$A,Map!E:E)</f>
        <v>Utilities</v>
      </c>
      <c r="J168" s="43" t="str">
        <f>_xlfn.XLOOKUP($A168,Map!$A:$A,Map!F:F)</f>
        <v>Other general and administrative expenses</v>
      </c>
    </row>
    <row r="169" spans="1:10" x14ac:dyDescent="0.25">
      <c r="A169">
        <v>700023</v>
      </c>
      <c r="B169" t="s">
        <v>1045</v>
      </c>
      <c r="C169" s="116">
        <v>0</v>
      </c>
      <c r="D169" s="116">
        <v>25997</v>
      </c>
      <c r="E169" s="116">
        <v>2170</v>
      </c>
      <c r="F169" s="116">
        <v>23827</v>
      </c>
      <c r="G169" s="43" t="str">
        <f>_xlfn.XLOOKUP($A169,Map!$A:$A,Map!C:C)</f>
        <v>IS</v>
      </c>
      <c r="H169" s="43" t="str">
        <f>_xlfn.XLOOKUP($A169,Map!$A:$A,Map!D:D)</f>
        <v>General and Admin</v>
      </c>
      <c r="I169" s="43" t="str">
        <f>_xlfn.XLOOKUP($A169,Map!$A:$A,Map!E:E)</f>
        <v>Utilities</v>
      </c>
      <c r="J169" s="43" t="str">
        <f>_xlfn.XLOOKUP($A169,Map!$A:$A,Map!F:F)</f>
        <v xml:space="preserve">Postage &amp; Printing </v>
      </c>
    </row>
    <row r="170" spans="1:10" x14ac:dyDescent="0.25">
      <c r="A170">
        <v>700024</v>
      </c>
      <c r="B170" t="s">
        <v>1046</v>
      </c>
      <c r="C170" s="116">
        <v>0</v>
      </c>
      <c r="D170" s="116">
        <v>83608.5</v>
      </c>
      <c r="E170" s="116">
        <v>69</v>
      </c>
      <c r="F170" s="116">
        <v>83539.5</v>
      </c>
      <c r="G170" s="43" t="str">
        <f>_xlfn.XLOOKUP($A170,Map!$A:$A,Map!C:C)</f>
        <v>IS</v>
      </c>
      <c r="H170" s="43" t="str">
        <f>_xlfn.XLOOKUP($A170,Map!$A:$A,Map!D:D)</f>
        <v>General and Admin</v>
      </c>
      <c r="I170" s="43" t="str">
        <f>_xlfn.XLOOKUP($A170,Map!$A:$A,Map!E:E)</f>
        <v>IT expenses</v>
      </c>
      <c r="J170" s="43" t="str">
        <f>_xlfn.XLOOKUP($A170,Map!$A:$A,Map!F:F)</f>
        <v>Other general and administrative expenses</v>
      </c>
    </row>
    <row r="171" spans="1:10" x14ac:dyDescent="0.25">
      <c r="A171">
        <v>700025</v>
      </c>
      <c r="B171" t="s">
        <v>1047</v>
      </c>
      <c r="C171" s="116">
        <v>0</v>
      </c>
      <c r="D171" s="116">
        <v>55000</v>
      </c>
      <c r="E171" s="116">
        <v>0</v>
      </c>
      <c r="F171" s="116">
        <v>55000</v>
      </c>
      <c r="G171" s="43" t="str">
        <f>_xlfn.XLOOKUP($A171,Map!$A:$A,Map!C:C)</f>
        <v>IS</v>
      </c>
      <c r="H171" s="43" t="str">
        <f>_xlfn.XLOOKUP($A171,Map!$A:$A,Map!D:D)</f>
        <v>General and Admin</v>
      </c>
      <c r="I171" s="43" t="str">
        <f>_xlfn.XLOOKUP($A171,Map!$A:$A,Map!E:E)</f>
        <v>Salaries and wages</v>
      </c>
      <c r="J171" s="43" t="str">
        <f>_xlfn.XLOOKUP($A171,Map!$A:$A,Map!F:F)</f>
        <v>Salaries and wages</v>
      </c>
    </row>
    <row r="172" spans="1:10" x14ac:dyDescent="0.25">
      <c r="A172">
        <v>700026</v>
      </c>
      <c r="B172" t="s">
        <v>1048</v>
      </c>
      <c r="C172" s="116">
        <v>0</v>
      </c>
      <c r="D172" s="116">
        <v>0</v>
      </c>
      <c r="E172" s="116">
        <v>0</v>
      </c>
      <c r="F172" s="116">
        <v>0</v>
      </c>
      <c r="G172" s="43" t="str">
        <f>_xlfn.XLOOKUP($A172,Map!$A:$A,Map!C:C)</f>
        <v>IS</v>
      </c>
      <c r="H172" s="43" t="str">
        <f>_xlfn.XLOOKUP($A172,Map!$A:$A,Map!D:D)</f>
        <v>General and Admin</v>
      </c>
      <c r="I172" s="43" t="str">
        <f>_xlfn.XLOOKUP($A172,Map!$A:$A,Map!E:E)</f>
        <v>Utilities</v>
      </c>
      <c r="J172" s="43" t="str">
        <f>_xlfn.XLOOKUP($A172,Map!$A:$A,Map!F:F)</f>
        <v>Magazines &amp; News Papers Exp.</v>
      </c>
    </row>
    <row r="173" spans="1:10" x14ac:dyDescent="0.25">
      <c r="A173">
        <v>700027</v>
      </c>
      <c r="B173" t="s">
        <v>1049</v>
      </c>
      <c r="C173" s="116">
        <v>0</v>
      </c>
      <c r="D173" s="116">
        <v>0</v>
      </c>
      <c r="E173" s="116">
        <v>0</v>
      </c>
      <c r="F173" s="116">
        <v>0</v>
      </c>
      <c r="G173" s="43" t="str">
        <f>_xlfn.XLOOKUP($A173,Map!$A:$A,Map!C:C)</f>
        <v>IS</v>
      </c>
      <c r="H173" s="43" t="str">
        <f>_xlfn.XLOOKUP($A173,Map!$A:$A,Map!D:D)</f>
        <v>General and Admin</v>
      </c>
      <c r="I173" s="43" t="str">
        <f>_xlfn.XLOOKUP($A173,Map!$A:$A,Map!E:E)</f>
        <v>Training</v>
      </c>
      <c r="J173" s="43" t="str">
        <f>_xlfn.XLOOKUP($A173,Map!$A:$A,Map!F:F)</f>
        <v>Training</v>
      </c>
    </row>
    <row r="174" spans="1:10" x14ac:dyDescent="0.25">
      <c r="A174">
        <v>700028</v>
      </c>
      <c r="B174" t="s">
        <v>1050</v>
      </c>
      <c r="C174" s="116">
        <v>0</v>
      </c>
      <c r="D174" s="116">
        <v>12580</v>
      </c>
      <c r="E174" s="116">
        <v>0</v>
      </c>
      <c r="F174" s="116">
        <v>12580</v>
      </c>
      <c r="G174" s="43" t="str">
        <f>_xlfn.XLOOKUP($A174,Map!$A:$A,Map!C:C)</f>
        <v>IS</v>
      </c>
      <c r="H174" s="43" t="str">
        <f>_xlfn.XLOOKUP($A174,Map!$A:$A,Map!D:D)</f>
        <v>General and Admin</v>
      </c>
      <c r="I174" s="43" t="str">
        <f>_xlfn.XLOOKUP($A174,Map!$A:$A,Map!E:E)</f>
        <v xml:space="preserve">Back office Support </v>
      </c>
      <c r="J174" s="43" t="str">
        <f>_xlfn.XLOOKUP($A174,Map!$A:$A,Map!F:F)</f>
        <v>Stationery expenses</v>
      </c>
    </row>
    <row r="175" spans="1:10" x14ac:dyDescent="0.25">
      <c r="A175">
        <v>700029</v>
      </c>
      <c r="B175" t="s">
        <v>1051</v>
      </c>
      <c r="C175" s="116">
        <v>0</v>
      </c>
      <c r="D175" s="116">
        <v>6287</v>
      </c>
      <c r="E175" s="116">
        <v>0</v>
      </c>
      <c r="F175" s="116">
        <v>6287</v>
      </c>
      <c r="G175" s="43" t="str">
        <f>_xlfn.XLOOKUP($A175,Map!$A:$A,Map!C:C)</f>
        <v>IS</v>
      </c>
      <c r="H175" s="43" t="str">
        <f>_xlfn.XLOOKUP($A175,Map!$A:$A,Map!D:D)</f>
        <v>General and Admin</v>
      </c>
      <c r="I175" s="43" t="str">
        <f>_xlfn.XLOOKUP($A175,Map!$A:$A,Map!E:E)</f>
        <v>Utilities</v>
      </c>
      <c r="J175" s="43" t="str">
        <f>_xlfn.XLOOKUP($A175,Map!$A:$A,Map!F:F)</f>
        <v xml:space="preserve">Postage &amp; Printing </v>
      </c>
    </row>
    <row r="176" spans="1:10" x14ac:dyDescent="0.25">
      <c r="A176">
        <v>700030</v>
      </c>
      <c r="B176" t="s">
        <v>1052</v>
      </c>
      <c r="C176" s="116">
        <v>0</v>
      </c>
      <c r="D176" s="116">
        <v>643</v>
      </c>
      <c r="E176" s="116">
        <v>0</v>
      </c>
      <c r="F176" s="116">
        <v>643</v>
      </c>
      <c r="G176" s="43" t="str">
        <f>_xlfn.XLOOKUP($A176,Map!$A:$A,Map!C:C)</f>
        <v>IS</v>
      </c>
      <c r="H176" s="43" t="str">
        <f>_xlfn.XLOOKUP($A176,Map!$A:$A,Map!D:D)</f>
        <v>General and Admin</v>
      </c>
      <c r="I176" s="43" t="str">
        <f>_xlfn.XLOOKUP($A176,Map!$A:$A,Map!E:E)</f>
        <v>Utilities</v>
      </c>
      <c r="J176" s="43" t="str">
        <f>_xlfn.XLOOKUP($A176,Map!$A:$A,Map!F:F)</f>
        <v>Building maintenance</v>
      </c>
    </row>
    <row r="177" spans="1:10" x14ac:dyDescent="0.25">
      <c r="A177">
        <v>700031</v>
      </c>
      <c r="B177" t="s">
        <v>1053</v>
      </c>
      <c r="C177" s="116">
        <v>0</v>
      </c>
      <c r="D177" s="116">
        <v>9678</v>
      </c>
      <c r="E177" s="116">
        <v>0</v>
      </c>
      <c r="F177" s="116">
        <v>9678</v>
      </c>
      <c r="G177" s="43" t="str">
        <f>_xlfn.XLOOKUP($A177,Map!$A:$A,Map!C:C)</f>
        <v>IS</v>
      </c>
      <c r="H177" s="43" t="str">
        <f>_xlfn.XLOOKUP($A177,Map!$A:$A,Map!D:D)</f>
        <v>General and Admin</v>
      </c>
      <c r="I177" s="43" t="str">
        <f>_xlfn.XLOOKUP($A177,Map!$A:$A,Map!E:E)</f>
        <v>Utilities</v>
      </c>
      <c r="J177" s="43" t="str">
        <f>_xlfn.XLOOKUP($A177,Map!$A:$A,Map!F:F)</f>
        <v>Office equipment maintenance</v>
      </c>
    </row>
    <row r="178" spans="1:10" x14ac:dyDescent="0.25">
      <c r="A178">
        <v>700032</v>
      </c>
      <c r="B178" t="s">
        <v>1054</v>
      </c>
      <c r="C178" s="116">
        <v>0</v>
      </c>
      <c r="D178" s="116">
        <v>81963</v>
      </c>
      <c r="E178" s="116">
        <v>0</v>
      </c>
      <c r="F178" s="116">
        <v>81963</v>
      </c>
      <c r="G178" s="43" t="str">
        <f>_xlfn.XLOOKUP($A178,Map!$A:$A,Map!C:C)</f>
        <v>IS</v>
      </c>
      <c r="H178" s="43" t="str">
        <f>_xlfn.XLOOKUP($A178,Map!$A:$A,Map!D:D)</f>
        <v>General and Admin</v>
      </c>
      <c r="I178" s="43" t="str">
        <f>_xlfn.XLOOKUP($A178,Map!$A:$A,Map!E:E)</f>
        <v>Utilities</v>
      </c>
      <c r="J178" s="43" t="str">
        <f>_xlfn.XLOOKUP($A178,Map!$A:$A,Map!F:F)</f>
        <v>Vehicle maintenance</v>
      </c>
    </row>
    <row r="179" spans="1:10" x14ac:dyDescent="0.25">
      <c r="A179">
        <v>700033</v>
      </c>
      <c r="B179" t="s">
        <v>1055</v>
      </c>
      <c r="C179" s="116">
        <v>0</v>
      </c>
      <c r="D179" s="116">
        <v>43524</v>
      </c>
      <c r="E179" s="116">
        <v>0</v>
      </c>
      <c r="F179" s="116">
        <v>43524</v>
      </c>
      <c r="G179" s="43" t="str">
        <f>_xlfn.XLOOKUP($A179,Map!$A:$A,Map!C:C)</f>
        <v>IS</v>
      </c>
      <c r="H179" s="43" t="str">
        <f>_xlfn.XLOOKUP($A179,Map!$A:$A,Map!D:D)</f>
        <v>General and Admin</v>
      </c>
      <c r="I179" s="43" t="str">
        <f>_xlfn.XLOOKUP($A179,Map!$A:$A,Map!E:E)</f>
        <v>Utilities</v>
      </c>
      <c r="J179" s="43" t="str">
        <f>_xlfn.XLOOKUP($A179,Map!$A:$A,Map!F:F)</f>
        <v>Fuel and oil</v>
      </c>
    </row>
    <row r="180" spans="1:10" x14ac:dyDescent="0.25">
      <c r="A180">
        <v>700034</v>
      </c>
      <c r="B180" t="s">
        <v>1056</v>
      </c>
      <c r="C180" s="116">
        <v>0</v>
      </c>
      <c r="D180" s="116">
        <v>28183.3</v>
      </c>
      <c r="E180" s="116">
        <v>0</v>
      </c>
      <c r="F180" s="116">
        <v>28183.3</v>
      </c>
      <c r="G180" s="43" t="str">
        <f>_xlfn.XLOOKUP($A180,Map!$A:$A,Map!C:C)</f>
        <v>IS</v>
      </c>
      <c r="H180" s="43" t="str">
        <f>_xlfn.XLOOKUP($A180,Map!$A:$A,Map!D:D)</f>
        <v>General and Admin</v>
      </c>
      <c r="I180" s="43" t="str">
        <f>_xlfn.XLOOKUP($A180,Map!$A:$A,Map!E:E)</f>
        <v xml:space="preserve">Back office Support </v>
      </c>
      <c r="J180" s="43" t="str">
        <f>_xlfn.XLOOKUP($A180,Map!$A:$A,Map!F:F)</f>
        <v>Consumables</v>
      </c>
    </row>
    <row r="181" spans="1:10" x14ac:dyDescent="0.25">
      <c r="A181">
        <v>700036</v>
      </c>
      <c r="B181" t="s">
        <v>1058</v>
      </c>
      <c r="C181" s="116">
        <v>0</v>
      </c>
      <c r="D181" s="116">
        <v>83074</v>
      </c>
      <c r="E181" s="116">
        <v>367</v>
      </c>
      <c r="F181" s="116">
        <v>82707</v>
      </c>
      <c r="G181" s="43" t="str">
        <f>_xlfn.XLOOKUP($A181,Map!$A:$A,Map!C:C)</f>
        <v>IS</v>
      </c>
      <c r="H181" s="43" t="str">
        <f>_xlfn.XLOOKUP($A181,Map!$A:$A,Map!D:D)</f>
        <v>General and Admin</v>
      </c>
      <c r="I181" s="43" t="str">
        <f>_xlfn.XLOOKUP($A181,Map!$A:$A,Map!E:E)</f>
        <v>Utilities</v>
      </c>
      <c r="J181" s="43" t="str">
        <f>_xlfn.XLOOKUP($A181,Map!$A:$A,Map!F:F)</f>
        <v>Vehicle insurance</v>
      </c>
    </row>
    <row r="182" spans="1:10" x14ac:dyDescent="0.25">
      <c r="A182">
        <v>700037</v>
      </c>
      <c r="B182" t="s">
        <v>1059</v>
      </c>
      <c r="C182" s="116">
        <v>0</v>
      </c>
      <c r="D182" s="116">
        <v>0</v>
      </c>
      <c r="E182" s="116">
        <v>0</v>
      </c>
      <c r="F182" s="116">
        <v>0</v>
      </c>
      <c r="G182" s="43" t="str">
        <f>_xlfn.XLOOKUP($A182,Map!$A:$A,Map!C:C)</f>
        <v>IS</v>
      </c>
      <c r="H182" s="43" t="str">
        <f>_xlfn.XLOOKUP($A182,Map!$A:$A,Map!D:D)</f>
        <v>Finance cost</v>
      </c>
      <c r="I182" s="43" t="str">
        <f>_xlfn.XLOOKUP($A182,Map!$A:$A,Map!E:E)</f>
        <v>Finance cost</v>
      </c>
      <c r="J182" s="43" t="str">
        <f>_xlfn.XLOOKUP($A182,Map!$A:$A,Map!F:F)</f>
        <v>Lease interest</v>
      </c>
    </row>
    <row r="183" spans="1:10" x14ac:dyDescent="0.25">
      <c r="A183">
        <v>700038</v>
      </c>
      <c r="B183" t="s">
        <v>1060</v>
      </c>
      <c r="C183" s="116">
        <v>0</v>
      </c>
      <c r="D183" s="116">
        <v>112470.72</v>
      </c>
      <c r="E183" s="116">
        <v>20875</v>
      </c>
      <c r="F183" s="116">
        <v>91595.72</v>
      </c>
      <c r="G183" s="43" t="str">
        <f>_xlfn.XLOOKUP($A183,Map!$A:$A,Map!C:C)</f>
        <v>IS</v>
      </c>
      <c r="H183" s="43" t="str">
        <f>_xlfn.XLOOKUP($A183,Map!$A:$A,Map!D:D)</f>
        <v>General and Admin</v>
      </c>
      <c r="I183" s="43" t="str">
        <f>_xlfn.XLOOKUP($A183,Map!$A:$A,Map!E:E)</f>
        <v>Business travel</v>
      </c>
      <c r="J183" s="43" t="str">
        <f>_xlfn.XLOOKUP($A183,Map!$A:$A,Map!F:F)</f>
        <v>Bussiness trip expenses</v>
      </c>
    </row>
    <row r="184" spans="1:10" x14ac:dyDescent="0.25">
      <c r="A184">
        <v>700039</v>
      </c>
      <c r="B184" t="s">
        <v>1061</v>
      </c>
      <c r="C184" s="116">
        <v>0</v>
      </c>
      <c r="D184" s="116">
        <v>7787.2</v>
      </c>
      <c r="E184" s="116">
        <v>0</v>
      </c>
      <c r="F184" s="116">
        <v>7787.2</v>
      </c>
      <c r="G184" s="43" t="str">
        <f>_xlfn.XLOOKUP($A184,Map!$A:$A,Map!C:C)</f>
        <v>IS</v>
      </c>
      <c r="H184" s="43" t="str">
        <f>_xlfn.XLOOKUP($A184,Map!$A:$A,Map!D:D)</f>
        <v>Selling and Marketing</v>
      </c>
      <c r="I184" s="43" t="str">
        <f>_xlfn.XLOOKUP($A184,Map!$A:$A,Map!E:E)</f>
        <v>Buffet expenses</v>
      </c>
      <c r="J184" s="43" t="str">
        <f>_xlfn.XLOOKUP($A184,Map!$A:$A,Map!F:F)</f>
        <v>Buffet expenses</v>
      </c>
    </row>
    <row r="185" spans="1:10" x14ac:dyDescent="0.25">
      <c r="A185">
        <v>700040</v>
      </c>
      <c r="B185" t="s">
        <v>1062</v>
      </c>
      <c r="C185" s="116">
        <v>0</v>
      </c>
      <c r="D185" s="116">
        <v>28017</v>
      </c>
      <c r="E185" s="116">
        <v>0</v>
      </c>
      <c r="F185" s="116">
        <v>28017</v>
      </c>
      <c r="G185" s="43" t="str">
        <f>_xlfn.XLOOKUP($A185,Map!$A:$A,Map!C:C)</f>
        <v>IS</v>
      </c>
      <c r="H185" s="43" t="str">
        <f>_xlfn.XLOOKUP($A185,Map!$A:$A,Map!D:D)</f>
        <v>General and Admin</v>
      </c>
      <c r="I185" s="43" t="str">
        <f>_xlfn.XLOOKUP($A185,Map!$A:$A,Map!E:E)</f>
        <v>Utilities</v>
      </c>
      <c r="J185" s="43" t="str">
        <f>_xlfn.XLOOKUP($A185,Map!$A:$A,Map!F:F)</f>
        <v xml:space="preserve">Cleaning Expenses </v>
      </c>
    </row>
    <row r="186" spans="1:10" x14ac:dyDescent="0.25">
      <c r="A186">
        <v>700041</v>
      </c>
      <c r="B186" t="s">
        <v>1063</v>
      </c>
      <c r="C186" s="116">
        <v>0</v>
      </c>
      <c r="D186" s="116">
        <v>30254.87</v>
      </c>
      <c r="E186" s="116">
        <v>0</v>
      </c>
      <c r="F186" s="116">
        <v>30254.87</v>
      </c>
      <c r="G186" s="43" t="str">
        <f>_xlfn.XLOOKUP($A186,Map!$A:$A,Map!C:C)</f>
        <v>IS</v>
      </c>
      <c r="H186" s="43" t="str">
        <f>_xlfn.XLOOKUP($A186,Map!$A:$A,Map!D:D)</f>
        <v>General and Admin</v>
      </c>
      <c r="I186" s="43" t="str">
        <f>_xlfn.XLOOKUP($A186,Map!$A:$A,Map!E:E)</f>
        <v>Salaries and wages</v>
      </c>
      <c r="J186" s="43" t="str">
        <f>_xlfn.XLOOKUP($A186,Map!$A:$A,Map!F:F)</f>
        <v>Recruitment</v>
      </c>
    </row>
    <row r="187" spans="1:10" x14ac:dyDescent="0.25">
      <c r="A187">
        <v>700043</v>
      </c>
      <c r="B187" t="s">
        <v>1065</v>
      </c>
      <c r="C187" s="116">
        <v>0</v>
      </c>
      <c r="D187" s="116">
        <v>15650</v>
      </c>
      <c r="E187" s="116">
        <v>0</v>
      </c>
      <c r="F187" s="116">
        <v>15650</v>
      </c>
      <c r="G187" s="43" t="str">
        <f>_xlfn.XLOOKUP($A187,Map!$A:$A,Map!C:C)</f>
        <v>IS</v>
      </c>
      <c r="H187" s="43" t="str">
        <f>_xlfn.XLOOKUP($A187,Map!$A:$A,Map!D:D)</f>
        <v>General and Admin</v>
      </c>
      <c r="I187" s="43" t="str">
        <f>_xlfn.XLOOKUP($A187,Map!$A:$A,Map!E:E)</f>
        <v>Govt license and fees (including modon)</v>
      </c>
      <c r="J187" s="43" t="str">
        <f>_xlfn.XLOOKUP($A187,Map!$A:$A,Map!F:F)</f>
        <v>Licenses and fees</v>
      </c>
    </row>
    <row r="188" spans="1:10" x14ac:dyDescent="0.25">
      <c r="A188">
        <v>700044</v>
      </c>
      <c r="B188" t="s">
        <v>1066</v>
      </c>
      <c r="C188" s="116">
        <v>0</v>
      </c>
      <c r="D188" s="116">
        <v>37940.697999999997</v>
      </c>
      <c r="E188" s="116">
        <v>0</v>
      </c>
      <c r="F188" s="116">
        <v>37940.697999999997</v>
      </c>
      <c r="G188" s="43" t="str">
        <f>_xlfn.XLOOKUP($A188,Map!$A:$A,Map!C:C)</f>
        <v>IS</v>
      </c>
      <c r="H188" s="43" t="str">
        <f>_xlfn.XLOOKUP($A188,Map!$A:$A,Map!D:D)</f>
        <v>General and Admin</v>
      </c>
      <c r="I188" s="43" t="str">
        <f>_xlfn.XLOOKUP($A188,Map!$A:$A,Map!E:E)</f>
        <v>Govt license and fees (including modon)</v>
      </c>
      <c r="J188" s="43" t="str">
        <f>_xlfn.XLOOKUP($A188,Map!$A:$A,Map!F:F)</f>
        <v>Government fees</v>
      </c>
    </row>
    <row r="189" spans="1:10" x14ac:dyDescent="0.25">
      <c r="A189">
        <v>700045</v>
      </c>
      <c r="B189" t="s">
        <v>1067</v>
      </c>
      <c r="C189" s="116">
        <v>0</v>
      </c>
      <c r="D189" s="116">
        <v>2012093.7720000001</v>
      </c>
      <c r="E189" s="116">
        <v>443758.77100000001</v>
      </c>
      <c r="F189" s="116">
        <v>1568335.0009999999</v>
      </c>
      <c r="G189" s="43" t="str">
        <f>_xlfn.XLOOKUP($A189,Map!$A:$A,Map!C:C)</f>
        <v>IS</v>
      </c>
      <c r="H189" s="43" t="str">
        <f>_xlfn.XLOOKUP($A189,Map!$A:$A,Map!D:D)</f>
        <v>Finance cost</v>
      </c>
      <c r="I189" s="43" t="str">
        <f>_xlfn.XLOOKUP($A189,Map!$A:$A,Map!E:E)</f>
        <v>Finance cost</v>
      </c>
      <c r="J189" s="43" t="str">
        <f>_xlfn.XLOOKUP($A189,Map!$A:$A,Map!F:F)</f>
        <v>Bank charges</v>
      </c>
    </row>
    <row r="190" spans="1:10" x14ac:dyDescent="0.25">
      <c r="A190">
        <v>700048</v>
      </c>
      <c r="B190" t="s">
        <v>1069</v>
      </c>
      <c r="C190" s="116">
        <v>0</v>
      </c>
      <c r="D190" s="116">
        <v>1319039</v>
      </c>
      <c r="E190" s="116">
        <v>324389.77</v>
      </c>
      <c r="F190" s="116">
        <v>994649.23</v>
      </c>
      <c r="G190" s="43" t="str">
        <f>_xlfn.XLOOKUP($A190,Map!$A:$A,Map!C:C)</f>
        <v>IS</v>
      </c>
      <c r="H190" s="43" t="str">
        <f>_xlfn.XLOOKUP($A190,Map!$A:$A,Map!D:D)</f>
        <v>Zakat</v>
      </c>
      <c r="I190" s="43" t="str">
        <f>_xlfn.XLOOKUP($A190,Map!$A:$A,Map!E:E)</f>
        <v>Zakat expenses</v>
      </c>
      <c r="J190" s="43" t="str">
        <f>_xlfn.XLOOKUP($A190,Map!$A:$A,Map!F:F)</f>
        <v>Zakat expenses</v>
      </c>
    </row>
    <row r="191" spans="1:10" x14ac:dyDescent="0.25">
      <c r="A191">
        <v>700050</v>
      </c>
      <c r="B191" t="s">
        <v>1071</v>
      </c>
      <c r="C191" s="116">
        <v>0</v>
      </c>
      <c r="D191" s="116">
        <v>531.66999999999996</v>
      </c>
      <c r="E191" s="116">
        <v>0</v>
      </c>
      <c r="F191" s="116">
        <v>531.66999999999996</v>
      </c>
      <c r="G191" s="43" t="str">
        <f>_xlfn.XLOOKUP($A191,Map!$A:$A,Map!C:C)</f>
        <v>IS</v>
      </c>
      <c r="H191" s="43" t="str">
        <f>_xlfn.XLOOKUP($A191,Map!$A:$A,Map!D:D)</f>
        <v>Depreciation expenses</v>
      </c>
      <c r="I191" s="43" t="str">
        <f>_xlfn.XLOOKUP($A191,Map!$A:$A,Map!E:E)</f>
        <v>Depreciation expenses</v>
      </c>
      <c r="J191" s="43" t="str">
        <f>_xlfn.XLOOKUP($A191,Map!$A:$A,Map!F:F)</f>
        <v>Depreciation of property, plant and equipment</v>
      </c>
    </row>
    <row r="192" spans="1:10" x14ac:dyDescent="0.25">
      <c r="A192">
        <v>700052</v>
      </c>
      <c r="B192" t="s">
        <v>1073</v>
      </c>
      <c r="C192" s="116">
        <v>0</v>
      </c>
      <c r="D192" s="116">
        <v>397.74</v>
      </c>
      <c r="E192" s="116">
        <v>397.74</v>
      </c>
      <c r="F192" s="116">
        <v>0</v>
      </c>
      <c r="G192" s="43" t="str">
        <f>_xlfn.XLOOKUP($A192,Map!$A:$A,Map!C:C)</f>
        <v>IS</v>
      </c>
      <c r="H192" s="43" t="str">
        <f>_xlfn.XLOOKUP($A192,Map!$A:$A,Map!D:D)</f>
        <v>Depreciation expenses</v>
      </c>
      <c r="I192" s="43" t="str">
        <f>_xlfn.XLOOKUP($A192,Map!$A:$A,Map!E:E)</f>
        <v>Depreciation expenses</v>
      </c>
      <c r="J192" s="43" t="str">
        <f>_xlfn.XLOOKUP($A192,Map!$A:$A,Map!F:F)</f>
        <v>Depreciation of property, plant and equipment</v>
      </c>
    </row>
    <row r="193" spans="1:10" x14ac:dyDescent="0.25">
      <c r="A193">
        <v>700053</v>
      </c>
      <c r="B193" t="s">
        <v>1074</v>
      </c>
      <c r="C193" s="116">
        <v>0</v>
      </c>
      <c r="D193" s="116">
        <v>0</v>
      </c>
      <c r="E193" s="116">
        <v>0</v>
      </c>
      <c r="F193" s="116">
        <v>0</v>
      </c>
      <c r="G193" s="43" t="str">
        <f>_xlfn.XLOOKUP($A193,Map!$A:$A,Map!C:C)</f>
        <v>IS</v>
      </c>
      <c r="H193" s="43" t="str">
        <f>_xlfn.XLOOKUP($A193,Map!$A:$A,Map!D:D)</f>
        <v>Depreciation expenses</v>
      </c>
      <c r="I193" s="43" t="str">
        <f>_xlfn.XLOOKUP($A193,Map!$A:$A,Map!E:E)</f>
        <v>Depreciation expenses</v>
      </c>
      <c r="J193" s="43" t="str">
        <f>_xlfn.XLOOKUP($A193,Map!$A:$A,Map!F:F)</f>
        <v>Depreciation of property, plant and equipment</v>
      </c>
    </row>
    <row r="194" spans="1:10" x14ac:dyDescent="0.25">
      <c r="A194">
        <v>700054</v>
      </c>
      <c r="B194" t="s">
        <v>1075</v>
      </c>
      <c r="C194" s="116">
        <v>0</v>
      </c>
      <c r="D194" s="116">
        <v>190020.83</v>
      </c>
      <c r="E194" s="116">
        <v>350</v>
      </c>
      <c r="F194" s="116">
        <v>189670.83</v>
      </c>
      <c r="G194" s="43" t="str">
        <f>_xlfn.XLOOKUP($A194,Map!$A:$A,Map!C:C)</f>
        <v>IS</v>
      </c>
      <c r="H194" s="43" t="str">
        <f>_xlfn.XLOOKUP($A194,Map!$A:$A,Map!D:D)</f>
        <v>Depreciation expenses</v>
      </c>
      <c r="I194" s="43" t="str">
        <f>_xlfn.XLOOKUP($A194,Map!$A:$A,Map!E:E)</f>
        <v>Depreciation expenses</v>
      </c>
      <c r="J194" s="43" t="str">
        <f>_xlfn.XLOOKUP($A194,Map!$A:$A,Map!F:F)</f>
        <v>Depreciation of property, plant and equipment</v>
      </c>
    </row>
    <row r="195" spans="1:10" x14ac:dyDescent="0.25">
      <c r="A195">
        <v>700055</v>
      </c>
      <c r="B195" t="s">
        <v>1076</v>
      </c>
      <c r="C195" s="116">
        <v>0</v>
      </c>
      <c r="D195" s="116">
        <v>179702.46100000001</v>
      </c>
      <c r="E195" s="116">
        <v>0</v>
      </c>
      <c r="F195" s="116">
        <v>179702.46100000001</v>
      </c>
      <c r="G195" s="43" t="str">
        <f>_xlfn.XLOOKUP($A195,Map!$A:$A,Map!C:C)</f>
        <v>IS</v>
      </c>
      <c r="H195" s="43" t="str">
        <f>_xlfn.XLOOKUP($A195,Map!$A:$A,Map!D:D)</f>
        <v>Depreciation expenses</v>
      </c>
      <c r="I195" s="43" t="str">
        <f>_xlfn.XLOOKUP($A195,Map!$A:$A,Map!E:E)</f>
        <v>Depreciation expenses</v>
      </c>
      <c r="J195" s="43" t="str">
        <f>_xlfn.XLOOKUP($A195,Map!$A:$A,Map!F:F)</f>
        <v>Depreciation of property, plant and equipment</v>
      </c>
    </row>
    <row r="196" spans="1:10" x14ac:dyDescent="0.25">
      <c r="A196">
        <v>700056</v>
      </c>
      <c r="B196" t="s">
        <v>1077</v>
      </c>
      <c r="C196" s="116">
        <v>0</v>
      </c>
      <c r="D196" s="116">
        <v>0</v>
      </c>
      <c r="E196" s="116">
        <v>0</v>
      </c>
      <c r="F196" s="116">
        <v>0</v>
      </c>
      <c r="G196" s="43" t="str">
        <f>_xlfn.XLOOKUP($A196,Map!$A:$A,Map!C:C)</f>
        <v>IS</v>
      </c>
      <c r="H196" s="43" t="str">
        <f>_xlfn.XLOOKUP($A196,Map!$A:$A,Map!D:D)</f>
        <v>Depreciation expenses</v>
      </c>
      <c r="I196" s="43" t="str">
        <f>_xlfn.XLOOKUP($A196,Map!$A:$A,Map!E:E)</f>
        <v>Depreciation expenses</v>
      </c>
      <c r="J196" s="43" t="str">
        <f>_xlfn.XLOOKUP($A196,Map!$A:$A,Map!F:F)</f>
        <v>Depreciation of property, plant and equipment</v>
      </c>
    </row>
    <row r="197" spans="1:10" x14ac:dyDescent="0.25">
      <c r="A197">
        <v>700057</v>
      </c>
      <c r="B197" t="s">
        <v>1078</v>
      </c>
      <c r="C197" s="116">
        <v>0</v>
      </c>
      <c r="D197" s="116">
        <v>506755.739</v>
      </c>
      <c r="E197" s="116">
        <v>57916.68</v>
      </c>
      <c r="F197" s="116">
        <v>448839.05900000001</v>
      </c>
      <c r="G197" s="43" t="str">
        <f>_xlfn.XLOOKUP($A197,Map!$A:$A,Map!C:C)</f>
        <v>IS</v>
      </c>
      <c r="H197" s="43" t="str">
        <f>_xlfn.XLOOKUP($A197,Map!$A:$A,Map!D:D)</f>
        <v>Cost of sales</v>
      </c>
      <c r="I197" s="43" t="str">
        <f>_xlfn.XLOOKUP($A197,Map!$A:$A,Map!E:E)</f>
        <v>Overhead - Rent</v>
      </c>
      <c r="J197" s="43" t="str">
        <f>_xlfn.XLOOKUP($A197,Map!$A:$A,Map!F:F)</f>
        <v>Warehouse Rent ( Khamis, Rioyadh, Dammam)</v>
      </c>
    </row>
    <row r="198" spans="1:10" x14ac:dyDescent="0.25">
      <c r="A198">
        <v>700058</v>
      </c>
      <c r="B198" t="s">
        <v>1079</v>
      </c>
      <c r="C198" s="116">
        <v>0</v>
      </c>
      <c r="D198" s="116">
        <v>35415.370000000003</v>
      </c>
      <c r="E198" s="116">
        <v>0</v>
      </c>
      <c r="F198" s="116">
        <v>35415.370000000003</v>
      </c>
      <c r="G198" s="43" t="str">
        <f>_xlfn.XLOOKUP($A198,Map!$A:$A,Map!C:C)</f>
        <v>IS</v>
      </c>
      <c r="H198" s="43" t="str">
        <f>_xlfn.XLOOKUP($A198,Map!$A:$A,Map!D:D)</f>
        <v>Selling and Marketing</v>
      </c>
      <c r="I198" s="43" t="str">
        <f>_xlfn.XLOOKUP($A198,Map!$A:$A,Map!E:E)</f>
        <v>Advertising and promotion expenses</v>
      </c>
      <c r="J198" s="43" t="str">
        <f>_xlfn.XLOOKUP($A198,Map!$A:$A,Map!F:F)</f>
        <v>Advertising and promotion expenses</v>
      </c>
    </row>
    <row r="199" spans="1:10" x14ac:dyDescent="0.25">
      <c r="A199">
        <v>700059</v>
      </c>
      <c r="B199" t="s">
        <v>1080</v>
      </c>
      <c r="C199" s="116">
        <v>0</v>
      </c>
      <c r="D199" s="116">
        <v>0</v>
      </c>
      <c r="E199" s="116">
        <v>0</v>
      </c>
      <c r="F199" s="116">
        <v>0</v>
      </c>
      <c r="G199" s="43" t="str">
        <f>_xlfn.XLOOKUP($A199,Map!$A:$A,Map!C:C)</f>
        <v>IS</v>
      </c>
      <c r="H199" s="43" t="str">
        <f>_xlfn.XLOOKUP($A199,Map!$A:$A,Map!D:D)</f>
        <v>Selling and Marketing</v>
      </c>
      <c r="I199" s="43" t="str">
        <f>_xlfn.XLOOKUP($A199,Map!$A:$A,Map!E:E)</f>
        <v>Exhibitions</v>
      </c>
      <c r="J199" s="43" t="str">
        <f>_xlfn.XLOOKUP($A199,Map!$A:$A,Map!F:F)</f>
        <v>Exhibitions</v>
      </c>
    </row>
    <row r="200" spans="1:10" x14ac:dyDescent="0.25">
      <c r="A200">
        <v>700060</v>
      </c>
      <c r="B200" t="s">
        <v>1081</v>
      </c>
      <c r="C200" s="116">
        <v>0</v>
      </c>
      <c r="D200" s="116">
        <v>2384497.64</v>
      </c>
      <c r="E200" s="116">
        <v>151264</v>
      </c>
      <c r="F200" s="116">
        <v>2233233.64</v>
      </c>
      <c r="G200" s="43" t="str">
        <f>_xlfn.XLOOKUP($A200,Map!$A:$A,Map!C:C)</f>
        <v>IS</v>
      </c>
      <c r="H200" s="43" t="str">
        <f>_xlfn.XLOOKUP($A200,Map!$A:$A,Map!D:D)</f>
        <v>Selling and Marketing</v>
      </c>
      <c r="I200" s="43" t="str">
        <f>_xlfn.XLOOKUP($A200,Map!$A:$A,Map!E:E)</f>
        <v>Freight and shipping expenses (S&amp;D)</v>
      </c>
      <c r="J200" s="43" t="str">
        <f>_xlfn.XLOOKUP($A200,Map!$A:$A,Map!F:F)</f>
        <v>Outbound freight / shipping — reclassified below gross profit under IFRS</v>
      </c>
    </row>
    <row r="201" spans="1:10" x14ac:dyDescent="0.25">
      <c r="A201">
        <v>700061</v>
      </c>
      <c r="B201" t="s">
        <v>1082</v>
      </c>
      <c r="C201" s="116">
        <v>0</v>
      </c>
      <c r="D201" s="116">
        <v>246478.318</v>
      </c>
      <c r="E201" s="116">
        <v>7389</v>
      </c>
      <c r="F201" s="116">
        <v>239089.318</v>
      </c>
      <c r="G201" s="43" t="str">
        <f>_xlfn.XLOOKUP($A201,Map!$A:$A,Map!C:C)</f>
        <v>IS</v>
      </c>
      <c r="H201" s="43" t="str">
        <f>_xlfn.XLOOKUP($A201,Map!$A:$A,Map!D:D)</f>
        <v>Selling and Marketing</v>
      </c>
      <c r="I201" s="43" t="str">
        <f>_xlfn.XLOOKUP($A201,Map!$A:$A,Map!E:E)</f>
        <v>Commission expenses</v>
      </c>
      <c r="J201" s="43" t="str">
        <f>_xlfn.XLOOKUP($A201,Map!$A:$A,Map!F:F)</f>
        <v>Commission expenses</v>
      </c>
    </row>
    <row r="202" spans="1:10" x14ac:dyDescent="0.25">
      <c r="A202">
        <v>700062</v>
      </c>
      <c r="B202" t="s">
        <v>1083</v>
      </c>
      <c r="C202" s="116">
        <v>0</v>
      </c>
      <c r="D202" s="116">
        <v>0</v>
      </c>
      <c r="E202" s="116">
        <v>0</v>
      </c>
      <c r="F202" s="116">
        <v>0</v>
      </c>
      <c r="G202" s="43" t="str">
        <f>_xlfn.XLOOKUP($A202,Map!$A:$A,Map!C:C)</f>
        <v>IS</v>
      </c>
      <c r="H202" s="43" t="str">
        <f>_xlfn.XLOOKUP($A202,Map!$A:$A,Map!D:D)</f>
        <v>Revised provision on Bad Debts</v>
      </c>
      <c r="I202" s="43" t="str">
        <f>_xlfn.XLOOKUP($A202,Map!$A:$A,Map!E:E)</f>
        <v>Bad debts expense</v>
      </c>
      <c r="J202" s="43" t="str">
        <f>_xlfn.XLOOKUP($A202,Map!$A:$A,Map!F:F)</f>
        <v>Bad debts expense</v>
      </c>
    </row>
    <row r="203" spans="1:10" x14ac:dyDescent="0.25">
      <c r="A203">
        <v>700063</v>
      </c>
      <c r="B203" t="s">
        <v>1084</v>
      </c>
      <c r="C203" s="116">
        <v>0</v>
      </c>
      <c r="D203" s="116">
        <v>589734.25</v>
      </c>
      <c r="E203" s="116">
        <v>63496.82</v>
      </c>
      <c r="F203" s="116">
        <v>526237.43000000005</v>
      </c>
      <c r="G203" s="43" t="str">
        <f>_xlfn.XLOOKUP($A203,Map!$A:$A,Map!C:C)</f>
        <v>IS</v>
      </c>
      <c r="H203" s="43" t="str">
        <f>_xlfn.XLOOKUP($A203,Map!$A:$A,Map!D:D)</f>
        <v>General and Admin</v>
      </c>
      <c r="I203" s="43" t="str">
        <f>_xlfn.XLOOKUP($A203,Map!$A:$A,Map!E:E)</f>
        <v>Salaries and wages</v>
      </c>
      <c r="J203" s="43" t="str">
        <f>_xlfn.XLOOKUP($A203,Map!$A:$A,Map!F:F)</f>
        <v>GOSI</v>
      </c>
    </row>
    <row r="204" spans="1:10" x14ac:dyDescent="0.25">
      <c r="A204">
        <v>700064</v>
      </c>
      <c r="B204" t="s">
        <v>1085</v>
      </c>
      <c r="C204" s="116">
        <v>0</v>
      </c>
      <c r="D204" s="116">
        <v>6580059</v>
      </c>
      <c r="E204" s="116">
        <v>916108</v>
      </c>
      <c r="F204" s="116">
        <v>5663951</v>
      </c>
      <c r="G204" s="43" t="str">
        <f>_xlfn.XLOOKUP($A204,Map!$A:$A,Map!C:C)</f>
        <v>IS</v>
      </c>
      <c r="H204" s="43" t="str">
        <f>_xlfn.XLOOKUP($A204,Map!$A:$A,Map!D:D)</f>
        <v>Pre-operating expenses</v>
      </c>
      <c r="I204" s="43" t="str">
        <f>_xlfn.XLOOKUP($A204,Map!$A:$A,Map!E:E)</f>
        <v>Pre-operating expenses</v>
      </c>
      <c r="J204" s="43" t="str">
        <f>_xlfn.XLOOKUP($A204,Map!$A:$A,Map!F:F)</f>
        <v>Amortization</v>
      </c>
    </row>
    <row r="205" spans="1:10" x14ac:dyDescent="0.25">
      <c r="G205" s="43"/>
      <c r="H205" s="43"/>
      <c r="I205" s="43"/>
      <c r="J205" s="43"/>
    </row>
    <row r="206" spans="1:10" x14ac:dyDescent="0.25">
      <c r="C206" s="153">
        <f>SUBTOTAL(9,C5:C205)</f>
        <v>-1.4901161193847656E-8</v>
      </c>
      <c r="D206" s="153">
        <f>SUBTOTAL(9,D5:D205)</f>
        <v>1367231936.0829997</v>
      </c>
      <c r="E206" s="153">
        <f>SUBTOTAL(9,E5:E205)</f>
        <v>1367231936.0829992</v>
      </c>
      <c r="F206" s="153">
        <f>SUBTOTAL(9,F5:F205)</f>
        <v>6.5192580223083496E-8</v>
      </c>
    </row>
    <row r="207" spans="1:10" x14ac:dyDescent="0.25">
      <c r="C207" s="153"/>
      <c r="D207" s="153"/>
      <c r="E207" s="153"/>
      <c r="F207" s="153"/>
    </row>
    <row r="208" spans="1:10" x14ac:dyDescent="0.25">
      <c r="A208" s="85" t="s">
        <v>1341</v>
      </c>
      <c r="D208" s="116"/>
      <c r="E208" s="116"/>
      <c r="F208" s="116"/>
    </row>
    <row r="209" spans="1:10" x14ac:dyDescent="0.25">
      <c r="A209">
        <v>600031</v>
      </c>
      <c r="B209" t="s">
        <v>1355</v>
      </c>
      <c r="D209" s="116">
        <v>2409.9670000000001</v>
      </c>
      <c r="E209" s="116">
        <v>0</v>
      </c>
      <c r="F209" s="116">
        <f t="shared" ref="F209:F240" si="0">D209-E209</f>
        <v>2409.9670000000001</v>
      </c>
      <c r="G209" s="43" t="str">
        <f>_xlfn.XLOOKUP($A209,Map!$A:$A,Map!C:C)</f>
        <v>IS</v>
      </c>
      <c r="H209" s="43" t="str">
        <f>_xlfn.XLOOKUP($A209,Map!$A:$A,Map!D:D)</f>
        <v>Depreciation expenses</v>
      </c>
      <c r="I209" s="43" t="str">
        <f>_xlfn.XLOOKUP($A209,Map!$A:$A,Map!E:E)</f>
        <v>Depreciation expenses</v>
      </c>
      <c r="J209" s="43" t="str">
        <f>_xlfn.XLOOKUP($A209,Map!$A:$A,Map!F:F)</f>
        <v>Depreciation of property, plant and equipment</v>
      </c>
    </row>
    <row r="210" spans="1:10" x14ac:dyDescent="0.25">
      <c r="A210">
        <v>600030</v>
      </c>
      <c r="B210" t="s">
        <v>1355</v>
      </c>
      <c r="D210" s="116">
        <v>5931.53</v>
      </c>
      <c r="E210" s="116">
        <v>0</v>
      </c>
      <c r="F210" s="116">
        <f t="shared" si="0"/>
        <v>5931.53</v>
      </c>
      <c r="G210" s="43" t="str">
        <f>_xlfn.XLOOKUP($A210,Map!$A:$A,Map!C:C)</f>
        <v>IS</v>
      </c>
      <c r="H210" s="43" t="str">
        <f>_xlfn.XLOOKUP($A210,Map!$A:$A,Map!D:D)</f>
        <v>Depreciation expenses</v>
      </c>
      <c r="I210" s="43" t="str">
        <f>_xlfn.XLOOKUP($A210,Map!$A:$A,Map!E:E)</f>
        <v>Depreciation expenses</v>
      </c>
      <c r="J210" s="43" t="str">
        <f>_xlfn.XLOOKUP($A210,Map!$A:$A,Map!F:F)</f>
        <v>Depreciation of property, plant and equipment</v>
      </c>
    </row>
    <row r="211" spans="1:10" x14ac:dyDescent="0.25">
      <c r="A211">
        <v>600029</v>
      </c>
      <c r="B211" t="s">
        <v>1355</v>
      </c>
      <c r="D211" s="116">
        <v>3533037.389</v>
      </c>
      <c r="E211" s="116">
        <v>0</v>
      </c>
      <c r="F211" s="116">
        <f t="shared" si="0"/>
        <v>3533037.389</v>
      </c>
      <c r="G211" s="43" t="str">
        <f>_xlfn.XLOOKUP($A211,Map!$A:$A,Map!C:C)</f>
        <v>IS</v>
      </c>
      <c r="H211" s="43" t="str">
        <f>_xlfn.XLOOKUP($A211,Map!$A:$A,Map!D:D)</f>
        <v>Cost of sales</v>
      </c>
      <c r="I211" s="43" t="str">
        <f>_xlfn.XLOOKUP($A211,Map!$A:$A,Map!E:E)</f>
        <v>Depreciation - Machines</v>
      </c>
      <c r="J211" s="43" t="str">
        <f>_xlfn.XLOOKUP($A211,Map!$A:$A,Map!F:F)</f>
        <v>Depreciation of property, plant and equipment</v>
      </c>
    </row>
    <row r="212" spans="1:10" x14ac:dyDescent="0.25">
      <c r="A212">
        <v>600028</v>
      </c>
      <c r="B212" t="s">
        <v>1355</v>
      </c>
      <c r="D212" s="116">
        <v>3483</v>
      </c>
      <c r="E212" s="116">
        <v>0</v>
      </c>
      <c r="F212" s="116">
        <f t="shared" si="0"/>
        <v>3483</v>
      </c>
      <c r="G212" s="43" t="str">
        <f>_xlfn.XLOOKUP($A212,Map!$A:$A,Map!C:C)</f>
        <v>IS</v>
      </c>
      <c r="H212" s="43" t="str">
        <f>_xlfn.XLOOKUP($A212,Map!$A:$A,Map!D:D)</f>
        <v>Cost of sales</v>
      </c>
      <c r="I212" s="43" t="str">
        <f>_xlfn.XLOOKUP($A212,Map!$A:$A,Map!E:E)</f>
        <v>Overhead - Consumables &amp; SP</v>
      </c>
      <c r="J212" s="43" t="str">
        <f>_xlfn.XLOOKUP($A212,Map!$A:$A,Map!F:F)</f>
        <v xml:space="preserve">Education &amp; Furniture Allowances </v>
      </c>
    </row>
    <row r="213" spans="1:10" x14ac:dyDescent="0.25">
      <c r="A213">
        <v>600027</v>
      </c>
      <c r="B213" t="s">
        <v>1355</v>
      </c>
      <c r="D213" s="116">
        <v>308000.03999999998</v>
      </c>
      <c r="E213" s="116">
        <v>0</v>
      </c>
      <c r="F213" s="116">
        <f t="shared" si="0"/>
        <v>308000.03999999998</v>
      </c>
      <c r="G213" s="43" t="str">
        <f>_xlfn.XLOOKUP($A213,Map!$A:$A,Map!C:C)</f>
        <v>IS</v>
      </c>
      <c r="H213" s="43" t="str">
        <f>_xlfn.XLOOKUP($A213,Map!$A:$A,Map!D:D)</f>
        <v>Cost of sales</v>
      </c>
      <c r="I213" s="43" t="str">
        <f>_xlfn.XLOOKUP($A213,Map!$A:$A,Map!E:E)</f>
        <v>Overhead - Rent</v>
      </c>
      <c r="J213" s="43" t="str">
        <f>_xlfn.XLOOKUP($A213,Map!$A:$A,Map!F:F)</f>
        <v>Production hall rental</v>
      </c>
    </row>
    <row r="214" spans="1:10" x14ac:dyDescent="0.25">
      <c r="A214">
        <v>600024</v>
      </c>
      <c r="B214" t="s">
        <v>1355</v>
      </c>
      <c r="D214" s="116">
        <v>11081</v>
      </c>
      <c r="E214" s="116">
        <v>0</v>
      </c>
      <c r="F214" s="116">
        <f t="shared" si="0"/>
        <v>11081</v>
      </c>
      <c r="G214" s="43" t="str">
        <f>_xlfn.XLOOKUP($A214,Map!$A:$A,Map!C:C)</f>
        <v>IS</v>
      </c>
      <c r="H214" s="43" t="str">
        <f>_xlfn.XLOOKUP($A214,Map!$A:$A,Map!D:D)</f>
        <v>Cost of sales</v>
      </c>
      <c r="I214" s="43" t="str">
        <f>_xlfn.XLOOKUP($A214,Map!$A:$A,Map!E:E)</f>
        <v>Overhead - Rent</v>
      </c>
      <c r="J214" s="43" t="str">
        <f>_xlfn.XLOOKUP($A214,Map!$A:$A,Map!F:F)</f>
        <v>Pump rental expenses</v>
      </c>
    </row>
    <row r="215" spans="1:10" x14ac:dyDescent="0.25">
      <c r="A215">
        <v>600024</v>
      </c>
      <c r="B215" t="s">
        <v>1355</v>
      </c>
      <c r="D215" s="116">
        <v>22879.5</v>
      </c>
      <c r="E215" s="116">
        <v>0</v>
      </c>
      <c r="F215" s="116">
        <f t="shared" si="0"/>
        <v>22879.5</v>
      </c>
      <c r="G215" s="43" t="str">
        <f>_xlfn.XLOOKUP($A215,Map!$A:$A,Map!C:C)</f>
        <v>IS</v>
      </c>
      <c r="H215" s="43" t="str">
        <f>_xlfn.XLOOKUP($A215,Map!$A:$A,Map!D:D)</f>
        <v>Cost of sales</v>
      </c>
      <c r="I215" s="43" t="str">
        <f>_xlfn.XLOOKUP($A215,Map!$A:$A,Map!E:E)</f>
        <v>Overhead - Rent</v>
      </c>
      <c r="J215" s="43" t="str">
        <f>_xlfn.XLOOKUP($A215,Map!$A:$A,Map!F:F)</f>
        <v>Pump rental expenses</v>
      </c>
    </row>
    <row r="216" spans="1:10" x14ac:dyDescent="0.25">
      <c r="A216">
        <v>600022</v>
      </c>
      <c r="B216" t="s">
        <v>1355</v>
      </c>
      <c r="D216" s="116">
        <v>9818</v>
      </c>
      <c r="E216" s="116">
        <v>0</v>
      </c>
      <c r="F216" s="116">
        <f t="shared" si="0"/>
        <v>9818</v>
      </c>
      <c r="G216" s="43" t="str">
        <f>_xlfn.XLOOKUP($A216,Map!$A:$A,Map!C:C)</f>
        <v>IS</v>
      </c>
      <c r="H216" s="43" t="str">
        <f>_xlfn.XLOOKUP($A216,Map!$A:$A,Map!D:D)</f>
        <v>Cost of sales</v>
      </c>
      <c r="I216" s="43" t="str">
        <f>_xlfn.XLOOKUP($A216,Map!$A:$A,Map!E:E)</f>
        <v>Overhead - R&amp;M</v>
      </c>
      <c r="J216" s="43" t="str">
        <f>_xlfn.XLOOKUP($A216,Map!$A:$A,Map!F:F)</f>
        <v>Building maintenance</v>
      </c>
    </row>
    <row r="217" spans="1:10" x14ac:dyDescent="0.25">
      <c r="A217">
        <v>600021</v>
      </c>
      <c r="B217" t="s">
        <v>1355</v>
      </c>
      <c r="D217" s="116">
        <v>43973</v>
      </c>
      <c r="E217" s="116">
        <v>0</v>
      </c>
      <c r="F217" s="116">
        <f t="shared" si="0"/>
        <v>43973</v>
      </c>
      <c r="G217" s="43" t="str">
        <f>_xlfn.XLOOKUP($A217,Map!$A:$A,Map!C:C)</f>
        <v>IS</v>
      </c>
      <c r="H217" s="43" t="str">
        <f>_xlfn.XLOOKUP($A217,Map!$A:$A,Map!D:D)</f>
        <v>Cost of sales</v>
      </c>
      <c r="I217" s="43" t="str">
        <f>_xlfn.XLOOKUP($A217,Map!$A:$A,Map!E:E)</f>
        <v>Overhead - R&amp;M</v>
      </c>
      <c r="J217" s="43" t="str">
        <f>_xlfn.XLOOKUP($A217,Map!$A:$A,Map!F:F)</f>
        <v>Vehicle maintenance</v>
      </c>
    </row>
    <row r="218" spans="1:10" x14ac:dyDescent="0.25">
      <c r="A218">
        <v>600020</v>
      </c>
      <c r="B218" t="s">
        <v>1355</v>
      </c>
      <c r="D218" s="116">
        <v>149977.74</v>
      </c>
      <c r="E218" s="116">
        <v>0</v>
      </c>
      <c r="F218" s="116">
        <f t="shared" si="0"/>
        <v>149977.74</v>
      </c>
      <c r="G218" s="43" t="str">
        <f>_xlfn.XLOOKUP($A218,Map!$A:$A,Map!C:C)</f>
        <v>IS</v>
      </c>
      <c r="H218" s="43" t="str">
        <f>_xlfn.XLOOKUP($A218,Map!$A:$A,Map!D:D)</f>
        <v>Cost of sales</v>
      </c>
      <c r="I218" s="43" t="str">
        <f>_xlfn.XLOOKUP($A218,Map!$A:$A,Map!E:E)</f>
        <v>Overhead - R&amp;M</v>
      </c>
      <c r="J218" s="43" t="str">
        <f>_xlfn.XLOOKUP($A218,Map!$A:$A,Map!F:F)</f>
        <v>Machine and equipment</v>
      </c>
    </row>
    <row r="219" spans="1:10" x14ac:dyDescent="0.25">
      <c r="A219">
        <v>600019</v>
      </c>
      <c r="B219" t="s">
        <v>1355</v>
      </c>
      <c r="D219" s="116">
        <v>38839</v>
      </c>
      <c r="E219" s="116">
        <v>0</v>
      </c>
      <c r="F219" s="116">
        <f t="shared" si="0"/>
        <v>38839</v>
      </c>
      <c r="G219" s="43" t="str">
        <f>_xlfn.XLOOKUP($A219,Map!$A:$A,Map!C:C)</f>
        <v>IS</v>
      </c>
      <c r="H219" s="43" t="str">
        <f>_xlfn.XLOOKUP($A219,Map!$A:$A,Map!D:D)</f>
        <v>Cost of sales</v>
      </c>
      <c r="I219" s="43" t="str">
        <f>_xlfn.XLOOKUP($A219,Map!$A:$A,Map!E:E)</f>
        <v>Overhead - Utility</v>
      </c>
      <c r="J219" s="43" t="str">
        <f>_xlfn.XLOOKUP($A219,Map!$A:$A,Map!F:F)</f>
        <v>Fuel and oil</v>
      </c>
    </row>
    <row r="220" spans="1:10" x14ac:dyDescent="0.25">
      <c r="A220">
        <v>600018</v>
      </c>
      <c r="B220" t="s">
        <v>1355</v>
      </c>
      <c r="D220" s="116">
        <v>84828</v>
      </c>
      <c r="E220" s="116">
        <v>0</v>
      </c>
      <c r="F220" s="116">
        <f t="shared" si="0"/>
        <v>84828</v>
      </c>
      <c r="G220" s="43" t="str">
        <f>_xlfn.XLOOKUP($A220,Map!$A:$A,Map!C:C)</f>
        <v>IS</v>
      </c>
      <c r="H220" s="43" t="str">
        <f>_xlfn.XLOOKUP($A220,Map!$A:$A,Map!D:D)</f>
        <v>Cost of sales</v>
      </c>
      <c r="I220" s="43" t="str">
        <f>_xlfn.XLOOKUP($A220,Map!$A:$A,Map!E:E)</f>
        <v>Overhead - Utility</v>
      </c>
      <c r="J220" s="43" t="str">
        <f>_xlfn.XLOOKUP($A220,Map!$A:$A,Map!F:F)</f>
        <v>Water expenses</v>
      </c>
    </row>
    <row r="221" spans="1:10" x14ac:dyDescent="0.25">
      <c r="A221">
        <v>600017</v>
      </c>
      <c r="B221" t="s">
        <v>1355</v>
      </c>
      <c r="D221" s="116">
        <v>1855447.81</v>
      </c>
      <c r="E221" s="116">
        <v>0</v>
      </c>
      <c r="F221" s="116">
        <f t="shared" si="0"/>
        <v>1855447.81</v>
      </c>
      <c r="G221" s="43" t="str">
        <f>_xlfn.XLOOKUP($A221,Map!$A:$A,Map!C:C)</f>
        <v>IS</v>
      </c>
      <c r="H221" s="43" t="str">
        <f>_xlfn.XLOOKUP($A221,Map!$A:$A,Map!D:D)</f>
        <v>Cost of sales</v>
      </c>
      <c r="I221" s="43" t="str">
        <f>_xlfn.XLOOKUP($A221,Map!$A:$A,Map!E:E)</f>
        <v>Overhead - Utility</v>
      </c>
      <c r="J221" s="43" t="str">
        <f>_xlfn.XLOOKUP($A221,Map!$A:$A,Map!F:F)</f>
        <v>Electricity expenses</v>
      </c>
    </row>
    <row r="222" spans="1:10" x14ac:dyDescent="0.25">
      <c r="A222">
        <v>600016</v>
      </c>
      <c r="B222" t="s">
        <v>1355</v>
      </c>
      <c r="D222" s="116">
        <v>222550.00099999999</v>
      </c>
      <c r="E222" s="116">
        <v>0</v>
      </c>
      <c r="F222" s="116">
        <f t="shared" si="0"/>
        <v>222550.00099999999</v>
      </c>
      <c r="G222" s="43" t="str">
        <f>_xlfn.XLOOKUP($A222,Map!$A:$A,Map!C:C)</f>
        <v>IS</v>
      </c>
      <c r="H222" s="43" t="str">
        <f>_xlfn.XLOOKUP($A222,Map!$A:$A,Map!D:D)</f>
        <v>Cost of sales</v>
      </c>
      <c r="I222" s="43" t="str">
        <f>_xlfn.XLOOKUP($A222,Map!$A:$A,Map!E:E)</f>
        <v>Overhead - Consumables &amp; SP</v>
      </c>
      <c r="J222" s="43" t="str">
        <f>_xlfn.XLOOKUP($A222,Map!$A:$A,Map!F:F)</f>
        <v>Tools</v>
      </c>
    </row>
    <row r="223" spans="1:10" x14ac:dyDescent="0.25">
      <c r="A223">
        <v>600016</v>
      </c>
      <c r="B223" t="s">
        <v>1355</v>
      </c>
      <c r="D223" s="116">
        <v>222550.00099999999</v>
      </c>
      <c r="E223" s="116">
        <v>0</v>
      </c>
      <c r="F223" s="116">
        <f t="shared" si="0"/>
        <v>222550.00099999999</v>
      </c>
      <c r="G223" s="43" t="str">
        <f>_xlfn.XLOOKUP($A223,Map!$A:$A,Map!C:C)</f>
        <v>IS</v>
      </c>
      <c r="H223" s="43" t="str">
        <f>_xlfn.XLOOKUP($A223,Map!$A:$A,Map!D:D)</f>
        <v>Cost of sales</v>
      </c>
      <c r="I223" s="43" t="str">
        <f>_xlfn.XLOOKUP($A223,Map!$A:$A,Map!E:E)</f>
        <v>Overhead - Consumables &amp; SP</v>
      </c>
      <c r="J223" s="43" t="str">
        <f>_xlfn.XLOOKUP($A223,Map!$A:$A,Map!F:F)</f>
        <v>Tools</v>
      </c>
    </row>
    <row r="224" spans="1:10" x14ac:dyDescent="0.25">
      <c r="A224">
        <v>600016</v>
      </c>
      <c r="B224" t="s">
        <v>1355</v>
      </c>
      <c r="D224" s="116">
        <v>222545.00099999999</v>
      </c>
      <c r="E224" s="116">
        <v>0</v>
      </c>
      <c r="F224" s="116">
        <f t="shared" si="0"/>
        <v>222545.00099999999</v>
      </c>
      <c r="G224" s="43" t="str">
        <f>_xlfn.XLOOKUP($A224,Map!$A:$A,Map!C:C)</f>
        <v>IS</v>
      </c>
      <c r="H224" s="43" t="str">
        <f>_xlfn.XLOOKUP($A224,Map!$A:$A,Map!D:D)</f>
        <v>Cost of sales</v>
      </c>
      <c r="I224" s="43" t="str">
        <f>_xlfn.XLOOKUP($A224,Map!$A:$A,Map!E:E)</f>
        <v>Overhead - Consumables &amp; SP</v>
      </c>
      <c r="J224" s="43" t="str">
        <f>_xlfn.XLOOKUP($A224,Map!$A:$A,Map!F:F)</f>
        <v>Tools</v>
      </c>
    </row>
    <row r="225" spans="1:10" x14ac:dyDescent="0.25">
      <c r="A225">
        <v>600016</v>
      </c>
      <c r="B225" t="s">
        <v>1355</v>
      </c>
      <c r="D225" s="116">
        <v>222550.00099999999</v>
      </c>
      <c r="E225" s="116">
        <v>0</v>
      </c>
      <c r="F225" s="116">
        <f t="shared" si="0"/>
        <v>222550.00099999999</v>
      </c>
      <c r="G225" s="43" t="str">
        <f>_xlfn.XLOOKUP($A225,Map!$A:$A,Map!C:C)</f>
        <v>IS</v>
      </c>
      <c r="H225" s="43" t="str">
        <f>_xlfn.XLOOKUP($A225,Map!$A:$A,Map!D:D)</f>
        <v>Cost of sales</v>
      </c>
      <c r="I225" s="43" t="str">
        <f>_xlfn.XLOOKUP($A225,Map!$A:$A,Map!E:E)</f>
        <v>Overhead - Consumables &amp; SP</v>
      </c>
      <c r="J225" s="43" t="str">
        <f>_xlfn.XLOOKUP($A225,Map!$A:$A,Map!F:F)</f>
        <v>Tools</v>
      </c>
    </row>
    <row r="226" spans="1:10" x14ac:dyDescent="0.25">
      <c r="A226">
        <v>600016</v>
      </c>
      <c r="B226" t="s">
        <v>1355</v>
      </c>
      <c r="D226" s="116">
        <v>516362.3</v>
      </c>
      <c r="E226" s="116">
        <v>0</v>
      </c>
      <c r="F226" s="116">
        <f t="shared" si="0"/>
        <v>516362.3</v>
      </c>
      <c r="G226" s="43" t="str">
        <f>_xlfn.XLOOKUP($A226,Map!$A:$A,Map!C:C)</f>
        <v>IS</v>
      </c>
      <c r="H226" s="43" t="str">
        <f>_xlfn.XLOOKUP($A226,Map!$A:$A,Map!D:D)</f>
        <v>Cost of sales</v>
      </c>
      <c r="I226" s="43" t="str">
        <f>_xlfn.XLOOKUP($A226,Map!$A:$A,Map!E:E)</f>
        <v>Overhead - Consumables &amp; SP</v>
      </c>
      <c r="J226" s="43" t="str">
        <f>_xlfn.XLOOKUP($A226,Map!$A:$A,Map!F:F)</f>
        <v>Tools</v>
      </c>
    </row>
    <row r="227" spans="1:10" x14ac:dyDescent="0.25">
      <c r="A227">
        <v>600015</v>
      </c>
      <c r="B227" t="s">
        <v>1355</v>
      </c>
      <c r="D227" s="116">
        <v>90000</v>
      </c>
      <c r="E227" s="116">
        <v>0</v>
      </c>
      <c r="F227" s="116">
        <f t="shared" si="0"/>
        <v>90000</v>
      </c>
      <c r="G227" s="43" t="str">
        <f>_xlfn.XLOOKUP($A227,Map!$A:$A,Map!C:C)</f>
        <v>IS</v>
      </c>
      <c r="H227" s="43" t="str">
        <f>_xlfn.XLOOKUP($A227,Map!$A:$A,Map!D:D)</f>
        <v>Cost of sales</v>
      </c>
      <c r="I227" s="43" t="str">
        <f>_xlfn.XLOOKUP($A227,Map!$A:$A,Map!E:E)</f>
        <v>Overhead - Consumables &amp; SP</v>
      </c>
      <c r="J227" s="43" t="str">
        <f>_xlfn.XLOOKUP($A227,Map!$A:$A,Map!F:F)</f>
        <v>Consumables</v>
      </c>
    </row>
    <row r="228" spans="1:10" x14ac:dyDescent="0.25">
      <c r="A228">
        <v>600014</v>
      </c>
      <c r="B228" t="s">
        <v>1355</v>
      </c>
      <c r="D228" s="116">
        <v>758582.11399999994</v>
      </c>
      <c r="E228" s="116">
        <v>0</v>
      </c>
      <c r="F228" s="116">
        <f t="shared" si="0"/>
        <v>758582.11399999994</v>
      </c>
      <c r="G228" s="43" t="str">
        <f>_xlfn.XLOOKUP($A228,Map!$A:$A,Map!C:C)</f>
        <v>IS</v>
      </c>
      <c r="H228" s="43" t="str">
        <f>_xlfn.XLOOKUP($A228,Map!$A:$A,Map!D:D)</f>
        <v>Cost of sales</v>
      </c>
      <c r="I228" s="43" t="str">
        <f>_xlfn.XLOOKUP($A228,Map!$A:$A,Map!E:E)</f>
        <v>Overhead - Consumables &amp; SP</v>
      </c>
      <c r="J228" s="43" t="str">
        <f>_xlfn.XLOOKUP($A228,Map!$A:$A,Map!F:F)</f>
        <v>Consumables</v>
      </c>
    </row>
    <row r="229" spans="1:10" x14ac:dyDescent="0.25">
      <c r="A229">
        <v>600013</v>
      </c>
      <c r="B229" t="s">
        <v>1355</v>
      </c>
      <c r="D229" s="116">
        <v>50</v>
      </c>
      <c r="E229" s="116">
        <v>0</v>
      </c>
      <c r="F229" s="116">
        <f t="shared" si="0"/>
        <v>50</v>
      </c>
      <c r="G229" s="43" t="str">
        <f>_xlfn.XLOOKUP($A229,Map!$A:$A,Map!C:C)</f>
        <v>IS</v>
      </c>
      <c r="H229" s="43" t="str">
        <f>_xlfn.XLOOKUP($A229,Map!$A:$A,Map!D:D)</f>
        <v>Cost of sales</v>
      </c>
      <c r="I229" s="43" t="str">
        <f>_xlfn.XLOOKUP($A229,Map!$A:$A,Map!E:E)</f>
        <v>Overhead - Labor Cost</v>
      </c>
      <c r="J229" s="43" t="str">
        <f>_xlfn.XLOOKUP($A229,Map!$A:$A,Map!F:F)</f>
        <v>Telephone allowance</v>
      </c>
    </row>
    <row r="230" spans="1:10" x14ac:dyDescent="0.25">
      <c r="A230">
        <v>600012</v>
      </c>
      <c r="B230" t="s">
        <v>1355</v>
      </c>
      <c r="D230" s="116">
        <v>1250</v>
      </c>
      <c r="E230" s="116">
        <v>0</v>
      </c>
      <c r="F230" s="116">
        <f t="shared" si="0"/>
        <v>1250</v>
      </c>
      <c r="G230" s="43" t="str">
        <f>_xlfn.XLOOKUP($A230,Map!$A:$A,Map!C:C)</f>
        <v>IS</v>
      </c>
      <c r="H230" s="43" t="str">
        <f>_xlfn.XLOOKUP($A230,Map!$A:$A,Map!D:D)</f>
        <v>Cost of sales</v>
      </c>
      <c r="I230" s="43" t="str">
        <f>_xlfn.XLOOKUP($A230,Map!$A:$A,Map!E:E)</f>
        <v>Overhead - Labor Cost</v>
      </c>
      <c r="J230" s="43" t="str">
        <f>_xlfn.XLOOKUP($A230,Map!$A:$A,Map!F:F)</f>
        <v xml:space="preserve">Education &amp; Furniture Allowances </v>
      </c>
    </row>
    <row r="231" spans="1:10" x14ac:dyDescent="0.25">
      <c r="A231">
        <v>600011</v>
      </c>
      <c r="B231" t="s">
        <v>1355</v>
      </c>
      <c r="D231" s="116">
        <v>12000</v>
      </c>
      <c r="E231" s="116">
        <v>0</v>
      </c>
      <c r="F231" s="116">
        <f t="shared" si="0"/>
        <v>12000</v>
      </c>
      <c r="G231" s="43" t="str">
        <f>_xlfn.XLOOKUP($A231,Map!$A:$A,Map!C:C)</f>
        <v>IS</v>
      </c>
      <c r="H231" s="43" t="str">
        <f>_xlfn.XLOOKUP($A231,Map!$A:$A,Map!D:D)</f>
        <v>Cost of sales</v>
      </c>
      <c r="I231" s="43" t="str">
        <f>_xlfn.XLOOKUP($A231,Map!$A:$A,Map!E:E)</f>
        <v>Overhead - Labor Cost</v>
      </c>
      <c r="J231" s="43" t="str">
        <f>_xlfn.XLOOKUP($A231,Map!$A:$A,Map!F:F)</f>
        <v>Air tickets</v>
      </c>
    </row>
    <row r="232" spans="1:10" x14ac:dyDescent="0.25">
      <c r="A232">
        <v>600009</v>
      </c>
      <c r="B232" t="s">
        <v>1355</v>
      </c>
      <c r="D232" s="116">
        <v>196843</v>
      </c>
      <c r="E232" s="116">
        <v>0</v>
      </c>
      <c r="F232" s="116">
        <f t="shared" si="0"/>
        <v>196843</v>
      </c>
      <c r="G232" s="43" t="str">
        <f>_xlfn.XLOOKUP($A232,Map!$A:$A,Map!C:C)</f>
        <v>IS</v>
      </c>
      <c r="H232" s="43" t="str">
        <f>_xlfn.XLOOKUP($A232,Map!$A:$A,Map!D:D)</f>
        <v>Cost of sales</v>
      </c>
      <c r="I232" s="43" t="str">
        <f>_xlfn.XLOOKUP($A232,Map!$A:$A,Map!E:E)</f>
        <v>Overhead - Labor Cost</v>
      </c>
      <c r="J232" s="43" t="str">
        <f>_xlfn.XLOOKUP($A232,Map!$A:$A,Map!F:F)</f>
        <v>Vacation pay</v>
      </c>
    </row>
    <row r="233" spans="1:10" x14ac:dyDescent="0.25">
      <c r="A233">
        <v>600009</v>
      </c>
      <c r="B233" t="s">
        <v>1355</v>
      </c>
      <c r="D233" s="116">
        <v>1400</v>
      </c>
      <c r="E233" s="116">
        <v>0</v>
      </c>
      <c r="F233" s="116">
        <f t="shared" si="0"/>
        <v>1400</v>
      </c>
      <c r="G233" s="43" t="str">
        <f>_xlfn.XLOOKUP($A233,Map!$A:$A,Map!C:C)</f>
        <v>IS</v>
      </c>
      <c r="H233" s="43" t="str">
        <f>_xlfn.XLOOKUP($A233,Map!$A:$A,Map!D:D)</f>
        <v>Cost of sales</v>
      </c>
      <c r="I233" s="43" t="str">
        <f>_xlfn.XLOOKUP($A233,Map!$A:$A,Map!E:E)</f>
        <v>Overhead - Labor Cost</v>
      </c>
      <c r="J233" s="43" t="str">
        <f>_xlfn.XLOOKUP($A233,Map!$A:$A,Map!F:F)</f>
        <v>Vacation pay</v>
      </c>
    </row>
    <row r="234" spans="1:10" x14ac:dyDescent="0.25">
      <c r="A234">
        <v>600008</v>
      </c>
      <c r="B234" t="s">
        <v>1355</v>
      </c>
      <c r="D234" s="116">
        <v>144762.16</v>
      </c>
      <c r="E234" s="116">
        <v>0</v>
      </c>
      <c r="F234" s="116">
        <f t="shared" si="0"/>
        <v>144762.16</v>
      </c>
      <c r="G234" s="43" t="str">
        <f>_xlfn.XLOOKUP($A234,Map!$A:$A,Map!C:C)</f>
        <v>IS</v>
      </c>
      <c r="H234" s="43" t="str">
        <f>_xlfn.XLOOKUP($A234,Map!$A:$A,Map!D:D)</f>
        <v>Cost of sales</v>
      </c>
      <c r="I234" s="43" t="str">
        <f>_xlfn.XLOOKUP($A234,Map!$A:$A,Map!E:E)</f>
        <v>Overhead - Labor Cost</v>
      </c>
      <c r="J234" s="43" t="str">
        <f>_xlfn.XLOOKUP($A234,Map!$A:$A,Map!F:F)</f>
        <v>Air tickets</v>
      </c>
    </row>
    <row r="235" spans="1:10" x14ac:dyDescent="0.25">
      <c r="A235">
        <v>600007</v>
      </c>
      <c r="B235" t="s">
        <v>1355</v>
      </c>
      <c r="D235" s="116">
        <v>3700</v>
      </c>
      <c r="E235" s="116">
        <v>0</v>
      </c>
      <c r="F235" s="116">
        <f t="shared" si="0"/>
        <v>3700</v>
      </c>
      <c r="G235" s="43" t="str">
        <f>_xlfn.XLOOKUP($A235,Map!$A:$A,Map!C:C)</f>
        <v>IS</v>
      </c>
      <c r="H235" s="43" t="str">
        <f>_xlfn.XLOOKUP($A235,Map!$A:$A,Map!D:D)</f>
        <v>Cost of sales</v>
      </c>
      <c r="I235" s="43" t="str">
        <f>_xlfn.XLOOKUP($A235,Map!$A:$A,Map!E:E)</f>
        <v>Overhead - Labor Cost</v>
      </c>
      <c r="J235" s="43" t="str">
        <f>_xlfn.XLOOKUP($A235,Map!$A:$A,Map!F:F)</f>
        <v>Transportation allowance</v>
      </c>
    </row>
    <row r="236" spans="1:10" x14ac:dyDescent="0.25">
      <c r="A236">
        <v>600006</v>
      </c>
      <c r="B236" t="s">
        <v>1355</v>
      </c>
      <c r="D236" s="116">
        <v>247651.12</v>
      </c>
      <c r="E236" s="116">
        <v>0</v>
      </c>
      <c r="F236" s="116">
        <f t="shared" si="0"/>
        <v>247651.12</v>
      </c>
      <c r="G236" s="43" t="str">
        <f>_xlfn.XLOOKUP($A236,Map!$A:$A,Map!C:C)</f>
        <v>IS</v>
      </c>
      <c r="H236" s="43" t="str">
        <f>_xlfn.XLOOKUP($A236,Map!$A:$A,Map!D:D)</f>
        <v>Cost of sales</v>
      </c>
      <c r="I236" s="43" t="str">
        <f>_xlfn.XLOOKUP($A236,Map!$A:$A,Map!E:E)</f>
        <v>Overhead - Labor Cost</v>
      </c>
      <c r="J236" s="43" t="str">
        <f>_xlfn.XLOOKUP($A236,Map!$A:$A,Map!F:F)</f>
        <v xml:space="preserve">Food &amp; Housing </v>
      </c>
    </row>
    <row r="237" spans="1:10" x14ac:dyDescent="0.25">
      <c r="A237">
        <v>600005</v>
      </c>
      <c r="B237" t="s">
        <v>1355</v>
      </c>
      <c r="D237" s="116">
        <v>665731</v>
      </c>
      <c r="E237" s="116">
        <v>0</v>
      </c>
      <c r="F237" s="116">
        <f t="shared" si="0"/>
        <v>665731</v>
      </c>
      <c r="G237" s="43" t="str">
        <f>_xlfn.XLOOKUP($A237,Map!$A:$A,Map!C:C)</f>
        <v>IS</v>
      </c>
      <c r="H237" s="43" t="str">
        <f>_xlfn.XLOOKUP($A237,Map!$A:$A,Map!D:D)</f>
        <v>General and Admin</v>
      </c>
      <c r="I237" s="43" t="str">
        <f>_xlfn.XLOOKUP($A237,Map!$A:$A,Map!E:E)</f>
        <v>Govt license and fees (including modon)</v>
      </c>
      <c r="J237" s="43" t="str">
        <f>_xlfn.XLOOKUP($A237,Map!$A:$A,Map!F:F)</f>
        <v>Government fees</v>
      </c>
    </row>
    <row r="238" spans="1:10" x14ac:dyDescent="0.25">
      <c r="A238">
        <v>600004</v>
      </c>
      <c r="B238" t="s">
        <v>1355</v>
      </c>
      <c r="D238" s="116">
        <v>163641.56</v>
      </c>
      <c r="E238" s="116">
        <v>0</v>
      </c>
      <c r="F238" s="116">
        <f t="shared" si="0"/>
        <v>163641.56</v>
      </c>
      <c r="G238" s="43" t="str">
        <f>_xlfn.XLOOKUP($A238,Map!$A:$A,Map!C:C)</f>
        <v>IS</v>
      </c>
      <c r="H238" s="43" t="str">
        <f>_xlfn.XLOOKUP($A238,Map!$A:$A,Map!D:D)</f>
        <v>Cost of sales</v>
      </c>
      <c r="I238" s="43" t="str">
        <f>_xlfn.XLOOKUP($A238,Map!$A:$A,Map!E:E)</f>
        <v>Overhead - Labor Cost</v>
      </c>
      <c r="J238" s="43" t="str">
        <f>_xlfn.XLOOKUP($A238,Map!$A:$A,Map!F:F)</f>
        <v>Medical insurance</v>
      </c>
    </row>
    <row r="239" spans="1:10" x14ac:dyDescent="0.25">
      <c r="A239">
        <v>600003</v>
      </c>
      <c r="B239" t="s">
        <v>1355</v>
      </c>
      <c r="D239" s="116">
        <v>51633</v>
      </c>
      <c r="E239" s="116">
        <v>0</v>
      </c>
      <c r="F239" s="116">
        <f t="shared" si="0"/>
        <v>51633</v>
      </c>
      <c r="G239" s="43" t="str">
        <f>_xlfn.XLOOKUP($A239,Map!$A:$A,Map!C:C)</f>
        <v>IS</v>
      </c>
      <c r="H239" s="43" t="str">
        <f>_xlfn.XLOOKUP($A239,Map!$A:$A,Map!D:D)</f>
        <v>Cost of sales</v>
      </c>
      <c r="I239" s="43" t="str">
        <f>_xlfn.XLOOKUP($A239,Map!$A:$A,Map!E:E)</f>
        <v>Overhead - Labor Cost</v>
      </c>
      <c r="J239" s="43" t="str">
        <f>_xlfn.XLOOKUP($A239,Map!$A:$A,Map!F:F)</f>
        <v xml:space="preserve">Food &amp; Housing </v>
      </c>
    </row>
    <row r="240" spans="1:10" x14ac:dyDescent="0.25">
      <c r="A240">
        <v>600003</v>
      </c>
      <c r="B240" t="s">
        <v>1355</v>
      </c>
      <c r="D240" s="116">
        <v>200</v>
      </c>
      <c r="E240" s="116">
        <v>0</v>
      </c>
      <c r="F240" s="116">
        <f t="shared" si="0"/>
        <v>200</v>
      </c>
      <c r="G240" s="43" t="str">
        <f>_xlfn.XLOOKUP($A240,Map!$A:$A,Map!C:C)</f>
        <v>IS</v>
      </c>
      <c r="H240" s="43" t="str">
        <f>_xlfn.XLOOKUP($A240,Map!$A:$A,Map!D:D)</f>
        <v>Cost of sales</v>
      </c>
      <c r="I240" s="43" t="str">
        <f>_xlfn.XLOOKUP($A240,Map!$A:$A,Map!E:E)</f>
        <v>Overhead - Labor Cost</v>
      </c>
      <c r="J240" s="43" t="str">
        <f>_xlfn.XLOOKUP($A240,Map!$A:$A,Map!F:F)</f>
        <v xml:space="preserve">Food &amp; Housing </v>
      </c>
    </row>
    <row r="241" spans="1:10" x14ac:dyDescent="0.25">
      <c r="A241">
        <v>600002</v>
      </c>
      <c r="B241" t="s">
        <v>1355</v>
      </c>
      <c r="D241" s="116">
        <v>222822</v>
      </c>
      <c r="E241" s="116">
        <v>0</v>
      </c>
      <c r="F241" s="116">
        <f t="shared" ref="F241:F272" si="1">D241-E241</f>
        <v>222822</v>
      </c>
      <c r="G241" s="43" t="str">
        <f>_xlfn.XLOOKUP($A241,Map!$A:$A,Map!C:C)</f>
        <v>IS</v>
      </c>
      <c r="H241" s="43" t="str">
        <f>_xlfn.XLOOKUP($A241,Map!$A:$A,Map!D:D)</f>
        <v>Cost of sales</v>
      </c>
      <c r="I241" s="43" t="str">
        <f>_xlfn.XLOOKUP($A241,Map!$A:$A,Map!E:E)</f>
        <v>Overhead - Labor Cost</v>
      </c>
      <c r="J241" s="43" t="str">
        <f>_xlfn.XLOOKUP($A241,Map!$A:$A,Map!F:F)</f>
        <v>Overtime pay</v>
      </c>
    </row>
    <row r="242" spans="1:10" x14ac:dyDescent="0.25">
      <c r="A242">
        <v>600001</v>
      </c>
      <c r="B242" t="s">
        <v>1355</v>
      </c>
      <c r="D242" s="116">
        <v>982033.55</v>
      </c>
      <c r="E242" s="116">
        <v>0</v>
      </c>
      <c r="F242" s="116">
        <f t="shared" si="1"/>
        <v>982033.55</v>
      </c>
      <c r="G242" s="43" t="str">
        <f>_xlfn.XLOOKUP($A242,Map!$A:$A,Map!C:C)</f>
        <v>IS</v>
      </c>
      <c r="H242" s="43" t="str">
        <f>_xlfn.XLOOKUP($A242,Map!$A:$A,Map!D:D)</f>
        <v>Cost of sales</v>
      </c>
      <c r="I242" s="43" t="str">
        <f>_xlfn.XLOOKUP($A242,Map!$A:$A,Map!E:E)</f>
        <v>Overhead - Labor Cost</v>
      </c>
      <c r="J242" s="43" t="str">
        <f>_xlfn.XLOOKUP($A242,Map!$A:$A,Map!F:F)</f>
        <v>Indirect Salaries — factory supervisory / indirect floor labour (COGS)</v>
      </c>
    </row>
    <row r="243" spans="1:10" x14ac:dyDescent="0.25">
      <c r="A243">
        <v>600001</v>
      </c>
      <c r="B243" t="s">
        <v>1355</v>
      </c>
      <c r="D243" s="116">
        <v>6300</v>
      </c>
      <c r="E243" s="116">
        <v>0</v>
      </c>
      <c r="F243" s="116">
        <f t="shared" si="1"/>
        <v>6300</v>
      </c>
      <c r="G243" s="43" t="str">
        <f>_xlfn.XLOOKUP($A243,Map!$A:$A,Map!C:C)</f>
        <v>IS</v>
      </c>
      <c r="H243" s="43" t="str">
        <f>_xlfn.XLOOKUP($A243,Map!$A:$A,Map!D:D)</f>
        <v>Cost of sales</v>
      </c>
      <c r="I243" s="43" t="str">
        <f>_xlfn.XLOOKUP($A243,Map!$A:$A,Map!E:E)</f>
        <v>Overhead - Labor Cost</v>
      </c>
      <c r="J243" s="43" t="str">
        <f>_xlfn.XLOOKUP($A243,Map!$A:$A,Map!F:F)</f>
        <v>Indirect Salaries — factory supervisory / indirect floor labour (COGS)</v>
      </c>
    </row>
    <row r="244" spans="1:10" x14ac:dyDescent="0.25">
      <c r="A244">
        <v>520042</v>
      </c>
      <c r="B244" t="s">
        <v>1355</v>
      </c>
      <c r="D244" s="116">
        <v>0</v>
      </c>
      <c r="E244" s="116">
        <v>292322.45299999998</v>
      </c>
      <c r="F244" s="116">
        <f t="shared" si="1"/>
        <v>-292322.45299999998</v>
      </c>
      <c r="G244" s="43" t="str">
        <f>_xlfn.XLOOKUP($A244,Map!$A:$A,Map!C:C)</f>
        <v>IS</v>
      </c>
      <c r="H244" s="43" t="str">
        <f>_xlfn.XLOOKUP($A244,Map!$A:$A,Map!D:D)</f>
        <v>Cost of sales</v>
      </c>
      <c r="I244" s="43" t="str">
        <f>_xlfn.XLOOKUP($A244,Map!$A:$A,Map!E:E)</f>
        <v>Raw materials</v>
      </c>
      <c r="J244" s="43" t="str">
        <f>_xlfn.XLOOKUP($A244,Map!$A:$A,Map!F:F)</f>
        <v>Inventory Adjustment</v>
      </c>
    </row>
    <row r="245" spans="1:10" x14ac:dyDescent="0.25">
      <c r="A245">
        <v>520041</v>
      </c>
      <c r="B245" t="s">
        <v>1355</v>
      </c>
      <c r="D245" s="116">
        <v>0</v>
      </c>
      <c r="E245" s="116">
        <v>9191982.3729999997</v>
      </c>
      <c r="F245" s="116">
        <f t="shared" si="1"/>
        <v>-9191982.3729999997</v>
      </c>
      <c r="G245" s="43" t="str">
        <f>_xlfn.XLOOKUP($A245,Map!$A:$A,Map!C:C)</f>
        <v>IS</v>
      </c>
      <c r="H245" s="43" t="str">
        <f>_xlfn.XLOOKUP($A245,Map!$A:$A,Map!D:D)</f>
        <v>Cost of sales</v>
      </c>
      <c r="I245" s="43" t="str">
        <f>_xlfn.XLOOKUP($A245,Map!$A:$A,Map!E:E)</f>
        <v>Raw materials</v>
      </c>
      <c r="J245" s="43" t="str">
        <f>_xlfn.XLOOKUP($A245,Map!$A:$A,Map!F:F)</f>
        <v>Other expenses</v>
      </c>
    </row>
    <row r="246" spans="1:10" x14ac:dyDescent="0.25">
      <c r="A246">
        <v>520037</v>
      </c>
      <c r="B246" t="s">
        <v>1355</v>
      </c>
      <c r="D246" s="116">
        <v>0</v>
      </c>
      <c r="E246" s="116">
        <v>161768.13</v>
      </c>
      <c r="F246" s="116">
        <f t="shared" si="1"/>
        <v>-161768.13</v>
      </c>
      <c r="G246" s="43" t="str">
        <f>_xlfn.XLOOKUP($A246,Map!$A:$A,Map!C:C)</f>
        <v>IS</v>
      </c>
      <c r="H246" s="43" t="str">
        <f>_xlfn.XLOOKUP($A246,Map!$A:$A,Map!D:D)</f>
        <v>Cost of sales</v>
      </c>
      <c r="I246" s="43" t="str">
        <f>_xlfn.XLOOKUP($A246,Map!$A:$A,Map!E:E)</f>
        <v>Raw materials</v>
      </c>
      <c r="J246" s="43" t="str">
        <f>_xlfn.XLOOKUP($A246,Map!$A:$A,Map!F:F)</f>
        <v>Raw materials</v>
      </c>
    </row>
    <row r="247" spans="1:10" x14ac:dyDescent="0.25">
      <c r="A247">
        <v>520036</v>
      </c>
      <c r="B247" t="s">
        <v>1355</v>
      </c>
      <c r="D247" s="116">
        <v>0</v>
      </c>
      <c r="E247" s="116">
        <v>1.4999999999999999E-2</v>
      </c>
      <c r="F247" s="116">
        <f t="shared" si="1"/>
        <v>-1.4999999999999999E-2</v>
      </c>
      <c r="G247" s="43" t="str">
        <f>_xlfn.XLOOKUP($A247,Map!$A:$A,Map!C:C)</f>
        <v>IS</v>
      </c>
      <c r="H247" s="43" t="str">
        <f>_xlfn.XLOOKUP($A247,Map!$A:$A,Map!D:D)</f>
        <v>Cost of sales</v>
      </c>
      <c r="I247" s="43" t="str">
        <f>_xlfn.XLOOKUP($A247,Map!$A:$A,Map!E:E)</f>
        <v>Raw materials</v>
      </c>
      <c r="J247" s="43" t="str">
        <f>_xlfn.XLOOKUP($A247,Map!$A:$A,Map!F:F)</f>
        <v>Raw materials</v>
      </c>
    </row>
    <row r="248" spans="1:10" x14ac:dyDescent="0.25">
      <c r="A248">
        <v>520021</v>
      </c>
      <c r="B248" t="s">
        <v>1355</v>
      </c>
      <c r="D248" s="116">
        <v>34941</v>
      </c>
      <c r="E248" s="116">
        <v>0</v>
      </c>
      <c r="F248" s="116">
        <f t="shared" si="1"/>
        <v>34941</v>
      </c>
      <c r="G248" s="43" t="str">
        <f>_xlfn.XLOOKUP($A248,Map!$A:$A,Map!C:C)</f>
        <v>IS</v>
      </c>
      <c r="H248" s="43" t="str">
        <f>_xlfn.XLOOKUP($A248,Map!$A:$A,Map!D:D)</f>
        <v>Cost of sales</v>
      </c>
      <c r="I248" s="43" t="str">
        <f>_xlfn.XLOOKUP($A248,Map!$A:$A,Map!E:E)</f>
        <v>Direct Labor</v>
      </c>
      <c r="J248" s="43" t="str">
        <f>_xlfn.XLOOKUP($A248,Map!$A:$A,Map!F:F)</f>
        <v>Medical insurance</v>
      </c>
    </row>
    <row r="249" spans="1:10" x14ac:dyDescent="0.25">
      <c r="A249">
        <v>520011</v>
      </c>
      <c r="B249" t="s">
        <v>1355</v>
      </c>
      <c r="D249" s="116">
        <v>188039</v>
      </c>
      <c r="E249" s="116">
        <v>0</v>
      </c>
      <c r="F249" s="116">
        <f t="shared" si="1"/>
        <v>188039</v>
      </c>
      <c r="G249" s="43" t="str">
        <f>_xlfn.XLOOKUP($A249,Map!$A:$A,Map!C:C)</f>
        <v>IS</v>
      </c>
      <c r="H249" s="43" t="str">
        <f>_xlfn.XLOOKUP($A249,Map!$A:$A,Map!D:D)</f>
        <v>Cost of sales</v>
      </c>
      <c r="I249" s="43" t="str">
        <f>_xlfn.XLOOKUP($A249,Map!$A:$A,Map!E:E)</f>
        <v>Direct Labor</v>
      </c>
      <c r="J249" s="43" t="str">
        <f>_xlfn.XLOOKUP($A249,Map!$A:$A,Map!F:F)</f>
        <v>Overtime pay</v>
      </c>
    </row>
    <row r="250" spans="1:10" x14ac:dyDescent="0.25">
      <c r="A250">
        <v>520011</v>
      </c>
      <c r="B250" t="s">
        <v>1355</v>
      </c>
      <c r="D250" s="116">
        <v>131766</v>
      </c>
      <c r="E250" s="116">
        <v>0</v>
      </c>
      <c r="F250" s="116">
        <f t="shared" si="1"/>
        <v>131766</v>
      </c>
      <c r="G250" s="43" t="str">
        <f>_xlfn.XLOOKUP($A250,Map!$A:$A,Map!C:C)</f>
        <v>IS</v>
      </c>
      <c r="H250" s="43" t="str">
        <f>_xlfn.XLOOKUP($A250,Map!$A:$A,Map!D:D)</f>
        <v>Cost of sales</v>
      </c>
      <c r="I250" s="43" t="str">
        <f>_xlfn.XLOOKUP($A250,Map!$A:$A,Map!E:E)</f>
        <v>Direct Labor</v>
      </c>
      <c r="J250" s="43" t="str">
        <f>_xlfn.XLOOKUP($A250,Map!$A:$A,Map!F:F)</f>
        <v>Overtime pay</v>
      </c>
    </row>
    <row r="251" spans="1:10" x14ac:dyDescent="0.25">
      <c r="A251">
        <v>520006</v>
      </c>
      <c r="B251" t="s">
        <v>1355</v>
      </c>
      <c r="D251" s="116">
        <v>78120</v>
      </c>
      <c r="E251" s="116">
        <v>0</v>
      </c>
      <c r="F251" s="116">
        <f t="shared" si="1"/>
        <v>78120</v>
      </c>
      <c r="G251" s="43" t="str">
        <f>_xlfn.XLOOKUP($A251,Map!$A:$A,Map!C:C)</f>
        <v>IS</v>
      </c>
      <c r="H251" s="43" t="str">
        <f>_xlfn.XLOOKUP($A251,Map!$A:$A,Map!D:D)</f>
        <v>Cost of sales</v>
      </c>
      <c r="I251" s="43" t="str">
        <f>_xlfn.XLOOKUP($A251,Map!$A:$A,Map!E:E)</f>
        <v>Direct Labor</v>
      </c>
      <c r="J251" s="43" t="str">
        <f>_xlfn.XLOOKUP($A251,Map!$A:$A,Map!F:F)</f>
        <v>Medical insurance</v>
      </c>
    </row>
    <row r="252" spans="1:10" x14ac:dyDescent="0.25">
      <c r="A252">
        <v>520006</v>
      </c>
      <c r="B252" t="s">
        <v>1355</v>
      </c>
      <c r="D252" s="116">
        <v>42096</v>
      </c>
      <c r="E252" s="116">
        <v>0</v>
      </c>
      <c r="F252" s="116">
        <f t="shared" si="1"/>
        <v>42096</v>
      </c>
      <c r="G252" s="43" t="str">
        <f>_xlfn.XLOOKUP($A252,Map!$A:$A,Map!C:C)</f>
        <v>IS</v>
      </c>
      <c r="H252" s="43" t="str">
        <f>_xlfn.XLOOKUP($A252,Map!$A:$A,Map!D:D)</f>
        <v>Cost of sales</v>
      </c>
      <c r="I252" s="43" t="str">
        <f>_xlfn.XLOOKUP($A252,Map!$A:$A,Map!E:E)</f>
        <v>Direct Labor</v>
      </c>
      <c r="J252" s="43" t="str">
        <f>_xlfn.XLOOKUP($A252,Map!$A:$A,Map!F:F)</f>
        <v>Medical insurance</v>
      </c>
    </row>
    <row r="253" spans="1:10" x14ac:dyDescent="0.25">
      <c r="A253">
        <v>520006</v>
      </c>
      <c r="B253" t="s">
        <v>1355</v>
      </c>
      <c r="D253" s="116">
        <v>27084</v>
      </c>
      <c r="E253" s="116">
        <v>0</v>
      </c>
      <c r="F253" s="116">
        <f t="shared" si="1"/>
        <v>27084</v>
      </c>
      <c r="G253" s="43" t="str">
        <f>_xlfn.XLOOKUP($A253,Map!$A:$A,Map!C:C)</f>
        <v>IS</v>
      </c>
      <c r="H253" s="43" t="str">
        <f>_xlfn.XLOOKUP($A253,Map!$A:$A,Map!D:D)</f>
        <v>Cost of sales</v>
      </c>
      <c r="I253" s="43" t="str">
        <f>_xlfn.XLOOKUP($A253,Map!$A:$A,Map!E:E)</f>
        <v>Direct Labor</v>
      </c>
      <c r="J253" s="43" t="str">
        <f>_xlfn.XLOOKUP($A253,Map!$A:$A,Map!F:F)</f>
        <v>Medical insurance</v>
      </c>
    </row>
    <row r="254" spans="1:10" x14ac:dyDescent="0.25">
      <c r="A254">
        <v>520006</v>
      </c>
      <c r="B254" t="s">
        <v>1355</v>
      </c>
      <c r="D254" s="116">
        <v>24288</v>
      </c>
      <c r="E254" s="116">
        <v>0</v>
      </c>
      <c r="F254" s="116">
        <f t="shared" si="1"/>
        <v>24288</v>
      </c>
      <c r="G254" s="43" t="str">
        <f>_xlfn.XLOOKUP($A254,Map!$A:$A,Map!C:C)</f>
        <v>IS</v>
      </c>
      <c r="H254" s="43" t="str">
        <f>_xlfn.XLOOKUP($A254,Map!$A:$A,Map!D:D)</f>
        <v>Cost of sales</v>
      </c>
      <c r="I254" s="43" t="str">
        <f>_xlfn.XLOOKUP($A254,Map!$A:$A,Map!E:E)</f>
        <v>Direct Labor</v>
      </c>
      <c r="J254" s="43" t="str">
        <f>_xlfn.XLOOKUP($A254,Map!$A:$A,Map!F:F)</f>
        <v>Medical insurance</v>
      </c>
    </row>
    <row r="255" spans="1:10" x14ac:dyDescent="0.25">
      <c r="A255">
        <v>520006</v>
      </c>
      <c r="B255" t="s">
        <v>1355</v>
      </c>
      <c r="D255" s="116">
        <v>30634.5</v>
      </c>
      <c r="E255" s="116">
        <v>0</v>
      </c>
      <c r="F255" s="116">
        <f t="shared" si="1"/>
        <v>30634.5</v>
      </c>
      <c r="G255" s="43" t="str">
        <f>_xlfn.XLOOKUP($A255,Map!$A:$A,Map!C:C)</f>
        <v>IS</v>
      </c>
      <c r="H255" s="43" t="str">
        <f>_xlfn.XLOOKUP($A255,Map!$A:$A,Map!D:D)</f>
        <v>Cost of sales</v>
      </c>
      <c r="I255" s="43" t="str">
        <f>_xlfn.XLOOKUP($A255,Map!$A:$A,Map!E:E)</f>
        <v>Direct Labor</v>
      </c>
      <c r="J255" s="43" t="str">
        <f>_xlfn.XLOOKUP($A255,Map!$A:$A,Map!F:F)</f>
        <v>Medical insurance</v>
      </c>
    </row>
    <row r="256" spans="1:10" x14ac:dyDescent="0.25">
      <c r="A256">
        <v>520006</v>
      </c>
      <c r="B256" t="s">
        <v>1355</v>
      </c>
      <c r="D256" s="116">
        <v>21120</v>
      </c>
      <c r="E256" s="116">
        <v>0</v>
      </c>
      <c r="F256" s="116">
        <f t="shared" si="1"/>
        <v>21120</v>
      </c>
      <c r="G256" s="43" t="str">
        <f>_xlfn.XLOOKUP($A256,Map!$A:$A,Map!C:C)</f>
        <v>IS</v>
      </c>
      <c r="H256" s="43" t="str">
        <f>_xlfn.XLOOKUP($A256,Map!$A:$A,Map!D:D)</f>
        <v>Cost of sales</v>
      </c>
      <c r="I256" s="43" t="str">
        <f>_xlfn.XLOOKUP($A256,Map!$A:$A,Map!E:E)</f>
        <v>Direct Labor</v>
      </c>
      <c r="J256" s="43" t="str">
        <f>_xlfn.XLOOKUP($A256,Map!$A:$A,Map!F:F)</f>
        <v>Medical insurance</v>
      </c>
    </row>
    <row r="257" spans="1:10" x14ac:dyDescent="0.25">
      <c r="A257">
        <v>520006</v>
      </c>
      <c r="B257" t="s">
        <v>1355</v>
      </c>
      <c r="D257" s="116">
        <v>34451.11</v>
      </c>
      <c r="E257" s="116">
        <v>0</v>
      </c>
      <c r="F257" s="116">
        <f t="shared" si="1"/>
        <v>34451.11</v>
      </c>
      <c r="G257" s="43" t="str">
        <f>_xlfn.XLOOKUP($A257,Map!$A:$A,Map!C:C)</f>
        <v>IS</v>
      </c>
      <c r="H257" s="43" t="str">
        <f>_xlfn.XLOOKUP($A257,Map!$A:$A,Map!D:D)</f>
        <v>Cost of sales</v>
      </c>
      <c r="I257" s="43" t="str">
        <f>_xlfn.XLOOKUP($A257,Map!$A:$A,Map!E:E)</f>
        <v>Direct Labor</v>
      </c>
      <c r="J257" s="43" t="str">
        <f>_xlfn.XLOOKUP($A257,Map!$A:$A,Map!F:F)</f>
        <v>Medical insurance</v>
      </c>
    </row>
    <row r="258" spans="1:10" x14ac:dyDescent="0.25">
      <c r="A258">
        <v>520004</v>
      </c>
      <c r="B258" t="s">
        <v>1355</v>
      </c>
      <c r="D258" s="116">
        <v>78339.5</v>
      </c>
      <c r="E258" s="116">
        <v>0</v>
      </c>
      <c r="F258" s="116">
        <f t="shared" si="1"/>
        <v>78339.5</v>
      </c>
      <c r="G258" s="43" t="str">
        <f>_xlfn.XLOOKUP($A258,Map!$A:$A,Map!C:C)</f>
        <v>IS</v>
      </c>
      <c r="H258" s="43" t="str">
        <f>_xlfn.XLOOKUP($A258,Map!$A:$A,Map!D:D)</f>
        <v>Cost of sales</v>
      </c>
      <c r="I258" s="43" t="str">
        <f>_xlfn.XLOOKUP($A258,Map!$A:$A,Map!E:E)</f>
        <v>Direct Labor</v>
      </c>
      <c r="J258" s="43" t="str">
        <f>_xlfn.XLOOKUP($A258,Map!$A:$A,Map!F:F)</f>
        <v>Food and housing</v>
      </c>
    </row>
    <row r="259" spans="1:10" x14ac:dyDescent="0.25">
      <c r="A259">
        <v>520004</v>
      </c>
      <c r="B259" t="s">
        <v>1355</v>
      </c>
      <c r="D259" s="116">
        <v>42960</v>
      </c>
      <c r="E259" s="116">
        <v>0</v>
      </c>
      <c r="F259" s="116">
        <f t="shared" si="1"/>
        <v>42960</v>
      </c>
      <c r="G259" s="43" t="str">
        <f>_xlfn.XLOOKUP($A259,Map!$A:$A,Map!C:C)</f>
        <v>IS</v>
      </c>
      <c r="H259" s="43" t="str">
        <f>_xlfn.XLOOKUP($A259,Map!$A:$A,Map!D:D)</f>
        <v>Cost of sales</v>
      </c>
      <c r="I259" s="43" t="str">
        <f>_xlfn.XLOOKUP($A259,Map!$A:$A,Map!E:E)</f>
        <v>Direct Labor</v>
      </c>
      <c r="J259" s="43" t="str">
        <f>_xlfn.XLOOKUP($A259,Map!$A:$A,Map!F:F)</f>
        <v>Food and housing</v>
      </c>
    </row>
    <row r="260" spans="1:10" x14ac:dyDescent="0.25">
      <c r="A260">
        <v>520003</v>
      </c>
      <c r="B260" t="s">
        <v>1355</v>
      </c>
      <c r="D260" s="116">
        <v>35338</v>
      </c>
      <c r="E260" s="116">
        <v>0</v>
      </c>
      <c r="F260" s="116">
        <f t="shared" si="1"/>
        <v>35338</v>
      </c>
      <c r="G260" s="43" t="str">
        <f>_xlfn.XLOOKUP($A260,Map!$A:$A,Map!C:C)</f>
        <v>IS</v>
      </c>
      <c r="H260" s="43" t="str">
        <f>_xlfn.XLOOKUP($A260,Map!$A:$A,Map!D:D)</f>
        <v>Cost of sales</v>
      </c>
      <c r="I260" s="43" t="str">
        <f>_xlfn.XLOOKUP($A260,Map!$A:$A,Map!E:E)</f>
        <v>Direct Labor</v>
      </c>
      <c r="J260" s="43" t="str">
        <f>_xlfn.XLOOKUP($A260,Map!$A:$A,Map!F:F)</f>
        <v>Transportation allowance</v>
      </c>
    </row>
    <row r="261" spans="1:10" x14ac:dyDescent="0.25">
      <c r="A261">
        <v>520001</v>
      </c>
      <c r="B261" t="s">
        <v>1355</v>
      </c>
      <c r="D261" s="116">
        <v>1678544.33</v>
      </c>
      <c r="E261" s="116">
        <v>0</v>
      </c>
      <c r="F261" s="116">
        <f t="shared" si="1"/>
        <v>1678544.33</v>
      </c>
      <c r="G261" s="43" t="str">
        <f>_xlfn.XLOOKUP($A261,Map!$A:$A,Map!C:C)</f>
        <v>IS</v>
      </c>
      <c r="H261" s="43" t="str">
        <f>_xlfn.XLOOKUP($A261,Map!$A:$A,Map!D:D)</f>
        <v>Cost of sales</v>
      </c>
      <c r="I261" s="43" t="str">
        <f>_xlfn.XLOOKUP($A261,Map!$A:$A,Map!E:E)</f>
        <v>Direct Labor</v>
      </c>
      <c r="J261" s="43" t="str">
        <f>_xlfn.XLOOKUP($A261,Map!$A:$A,Map!F:F)</f>
        <v>Salaries and wages</v>
      </c>
    </row>
    <row r="262" spans="1:10" x14ac:dyDescent="0.25">
      <c r="A262">
        <v>520001</v>
      </c>
      <c r="B262" t="s">
        <v>1355</v>
      </c>
      <c r="D262" s="116">
        <v>309088</v>
      </c>
      <c r="E262" s="116">
        <v>0</v>
      </c>
      <c r="F262" s="116">
        <f t="shared" si="1"/>
        <v>309088</v>
      </c>
      <c r="G262" s="43" t="str">
        <f>_xlfn.XLOOKUP($A262,Map!$A:$A,Map!C:C)</f>
        <v>IS</v>
      </c>
      <c r="H262" s="43" t="str">
        <f>_xlfn.XLOOKUP($A262,Map!$A:$A,Map!D:D)</f>
        <v>Cost of sales</v>
      </c>
      <c r="I262" s="43" t="str">
        <f>_xlfn.XLOOKUP($A262,Map!$A:$A,Map!E:E)</f>
        <v>Direct Labor</v>
      </c>
      <c r="J262" s="43" t="str">
        <f>_xlfn.XLOOKUP($A262,Map!$A:$A,Map!F:F)</f>
        <v>Salaries and wages</v>
      </c>
    </row>
    <row r="263" spans="1:10" x14ac:dyDescent="0.25">
      <c r="A263">
        <v>520001</v>
      </c>
      <c r="B263" t="s">
        <v>1355</v>
      </c>
      <c r="D263" s="116">
        <v>483776.5</v>
      </c>
      <c r="E263" s="116">
        <v>0</v>
      </c>
      <c r="F263" s="116">
        <f t="shared" si="1"/>
        <v>483776.5</v>
      </c>
      <c r="G263" s="43" t="str">
        <f>_xlfn.XLOOKUP($A263,Map!$A:$A,Map!C:C)</f>
        <v>IS</v>
      </c>
      <c r="H263" s="43" t="str">
        <f>_xlfn.XLOOKUP($A263,Map!$A:$A,Map!D:D)</f>
        <v>Cost of sales</v>
      </c>
      <c r="I263" s="43" t="str">
        <f>_xlfn.XLOOKUP($A263,Map!$A:$A,Map!E:E)</f>
        <v>Direct Labor</v>
      </c>
      <c r="J263" s="43" t="str">
        <f>_xlfn.XLOOKUP($A263,Map!$A:$A,Map!F:F)</f>
        <v>Salaries and wages</v>
      </c>
    </row>
    <row r="264" spans="1:10" x14ac:dyDescent="0.25">
      <c r="A264">
        <v>520001</v>
      </c>
      <c r="B264" t="s">
        <v>1355</v>
      </c>
      <c r="D264" s="116">
        <v>185750</v>
      </c>
      <c r="E264" s="116">
        <v>0</v>
      </c>
      <c r="F264" s="116">
        <f t="shared" si="1"/>
        <v>185750</v>
      </c>
      <c r="G264" s="43" t="str">
        <f>_xlfn.XLOOKUP($A264,Map!$A:$A,Map!C:C)</f>
        <v>IS</v>
      </c>
      <c r="H264" s="43" t="str">
        <f>_xlfn.XLOOKUP($A264,Map!$A:$A,Map!D:D)</f>
        <v>Cost of sales</v>
      </c>
      <c r="I264" s="43" t="str">
        <f>_xlfn.XLOOKUP($A264,Map!$A:$A,Map!E:E)</f>
        <v>Direct Labor</v>
      </c>
      <c r="J264" s="43" t="str">
        <f>_xlfn.XLOOKUP($A264,Map!$A:$A,Map!F:F)</f>
        <v>Salaries and wages</v>
      </c>
    </row>
    <row r="265" spans="1:10" x14ac:dyDescent="0.25">
      <c r="A265">
        <v>520001</v>
      </c>
      <c r="B265" t="s">
        <v>1355</v>
      </c>
      <c r="D265" s="116">
        <v>139332.54</v>
      </c>
      <c r="E265" s="116">
        <v>0</v>
      </c>
      <c r="F265" s="116">
        <f t="shared" si="1"/>
        <v>139332.54</v>
      </c>
      <c r="G265" s="43" t="str">
        <f>_xlfn.XLOOKUP($A265,Map!$A:$A,Map!C:C)</f>
        <v>IS</v>
      </c>
      <c r="H265" s="43" t="str">
        <f>_xlfn.XLOOKUP($A265,Map!$A:$A,Map!D:D)</f>
        <v>Cost of sales</v>
      </c>
      <c r="I265" s="43" t="str">
        <f>_xlfn.XLOOKUP($A265,Map!$A:$A,Map!E:E)</f>
        <v>Direct Labor</v>
      </c>
      <c r="J265" s="43" t="str">
        <f>_xlfn.XLOOKUP($A265,Map!$A:$A,Map!F:F)</f>
        <v>Salaries and wages</v>
      </c>
    </row>
    <row r="266" spans="1:10" x14ac:dyDescent="0.25">
      <c r="A266">
        <v>510005</v>
      </c>
      <c r="B266" t="s">
        <v>1355</v>
      </c>
      <c r="D266" s="116">
        <v>44384.302000000003</v>
      </c>
      <c r="E266" s="116">
        <v>0</v>
      </c>
      <c r="F266" s="116">
        <f t="shared" si="1"/>
        <v>44384.302000000003</v>
      </c>
      <c r="G266" s="43" t="str">
        <f>_xlfn.XLOOKUP($A266,Map!$A:$A,Map!C:C)</f>
        <v>IS</v>
      </c>
      <c r="H266" s="43" t="str">
        <f>_xlfn.XLOOKUP($A266,Map!$A:$A,Map!D:D)</f>
        <v>Cost of sales</v>
      </c>
      <c r="I266" s="43" t="str">
        <f>_xlfn.XLOOKUP($A266,Map!$A:$A,Map!E:E)</f>
        <v>Raw materials</v>
      </c>
      <c r="J266" s="43" t="str">
        <f>_xlfn.XLOOKUP($A266,Map!$A:$A,Map!F:F)</f>
        <v>Other expenses</v>
      </c>
    </row>
    <row r="267" spans="1:10" x14ac:dyDescent="0.25">
      <c r="A267">
        <v>510004</v>
      </c>
      <c r="B267" t="s">
        <v>1355</v>
      </c>
      <c r="D267" s="116">
        <v>0</v>
      </c>
      <c r="E267" s="116">
        <v>3912648.423</v>
      </c>
      <c r="F267" s="116">
        <f t="shared" si="1"/>
        <v>-3912648.423</v>
      </c>
      <c r="G267" s="43" t="str">
        <f>_xlfn.XLOOKUP($A267,Map!$A:$A,Map!C:C)</f>
        <v>IS</v>
      </c>
      <c r="H267" s="43" t="str">
        <f>_xlfn.XLOOKUP($A267,Map!$A:$A,Map!D:D)</f>
        <v>Cost of sales</v>
      </c>
      <c r="I267" s="43" t="str">
        <f>_xlfn.XLOOKUP($A267,Map!$A:$A,Map!E:E)</f>
        <v>Raw materials</v>
      </c>
      <c r="J267" s="43" t="str">
        <f>_xlfn.XLOOKUP($A267,Map!$A:$A,Map!F:F)</f>
        <v>Other expenses</v>
      </c>
    </row>
    <row r="268" spans="1:10" x14ac:dyDescent="0.25">
      <c r="A268">
        <v>510004</v>
      </c>
      <c r="B268" t="s">
        <v>1355</v>
      </c>
      <c r="D268" s="116">
        <v>3321812.27</v>
      </c>
      <c r="E268" s="116">
        <v>0</v>
      </c>
      <c r="F268" s="116">
        <f t="shared" si="1"/>
        <v>3321812.27</v>
      </c>
      <c r="G268" s="43" t="str">
        <f>_xlfn.XLOOKUP($A268,Map!$A:$A,Map!C:C)</f>
        <v>IS</v>
      </c>
      <c r="H268" s="43" t="str">
        <f>_xlfn.XLOOKUP($A268,Map!$A:$A,Map!D:D)</f>
        <v>Cost of sales</v>
      </c>
      <c r="I268" s="43" t="str">
        <f>_xlfn.XLOOKUP($A268,Map!$A:$A,Map!E:E)</f>
        <v>Raw materials</v>
      </c>
      <c r="J268" s="43" t="str">
        <f>_xlfn.XLOOKUP($A268,Map!$A:$A,Map!F:F)</f>
        <v>Other expenses</v>
      </c>
    </row>
    <row r="269" spans="1:10" x14ac:dyDescent="0.25">
      <c r="A269">
        <v>510004</v>
      </c>
      <c r="B269" t="s">
        <v>1355</v>
      </c>
      <c r="D269" s="116">
        <v>0</v>
      </c>
      <c r="E269" s="116">
        <v>1595092.4350000001</v>
      </c>
      <c r="F269" s="116">
        <f t="shared" si="1"/>
        <v>-1595092.4350000001</v>
      </c>
      <c r="G269" s="43" t="str">
        <f>_xlfn.XLOOKUP($A269,Map!$A:$A,Map!C:C)</f>
        <v>IS</v>
      </c>
      <c r="H269" s="43" t="str">
        <f>_xlfn.XLOOKUP($A269,Map!$A:$A,Map!D:D)</f>
        <v>Cost of sales</v>
      </c>
      <c r="I269" s="43" t="str">
        <f>_xlfn.XLOOKUP($A269,Map!$A:$A,Map!E:E)</f>
        <v>Raw materials</v>
      </c>
      <c r="J269" s="43" t="str">
        <f>_xlfn.XLOOKUP($A269,Map!$A:$A,Map!F:F)</f>
        <v>Other expenses</v>
      </c>
    </row>
    <row r="270" spans="1:10" x14ac:dyDescent="0.25">
      <c r="A270">
        <v>510004</v>
      </c>
      <c r="B270" t="s">
        <v>1355</v>
      </c>
      <c r="D270" s="116">
        <v>874901.75899999996</v>
      </c>
      <c r="E270" s="116">
        <v>0</v>
      </c>
      <c r="F270" s="116">
        <f t="shared" si="1"/>
        <v>874901.75899999996</v>
      </c>
      <c r="G270" s="43" t="str">
        <f>_xlfn.XLOOKUP($A270,Map!$A:$A,Map!C:C)</f>
        <v>IS</v>
      </c>
      <c r="H270" s="43" t="str">
        <f>_xlfn.XLOOKUP($A270,Map!$A:$A,Map!D:D)</f>
        <v>Cost of sales</v>
      </c>
      <c r="I270" s="43" t="str">
        <f>_xlfn.XLOOKUP($A270,Map!$A:$A,Map!E:E)</f>
        <v>Raw materials</v>
      </c>
      <c r="J270" s="43" t="str">
        <f>_xlfn.XLOOKUP($A270,Map!$A:$A,Map!F:F)</f>
        <v>Other expenses</v>
      </c>
    </row>
    <row r="271" spans="1:10" x14ac:dyDescent="0.25">
      <c r="A271">
        <v>510004</v>
      </c>
      <c r="B271" t="s">
        <v>1355</v>
      </c>
      <c r="D271" s="116">
        <v>0</v>
      </c>
      <c r="E271" s="116">
        <v>72460.153000000006</v>
      </c>
      <c r="F271" s="116">
        <f t="shared" si="1"/>
        <v>-72460.153000000006</v>
      </c>
      <c r="G271" s="43" t="str">
        <f>_xlfn.XLOOKUP($A271,Map!$A:$A,Map!C:C)</f>
        <v>IS</v>
      </c>
      <c r="H271" s="43" t="str">
        <f>_xlfn.XLOOKUP($A271,Map!$A:$A,Map!D:D)</f>
        <v>Cost of sales</v>
      </c>
      <c r="I271" s="43" t="str">
        <f>_xlfn.XLOOKUP($A271,Map!$A:$A,Map!E:E)</f>
        <v>Raw materials</v>
      </c>
      <c r="J271" s="43" t="str">
        <f>_xlfn.XLOOKUP($A271,Map!$A:$A,Map!F:F)</f>
        <v>Other expenses</v>
      </c>
    </row>
    <row r="272" spans="1:10" x14ac:dyDescent="0.25">
      <c r="A272">
        <v>510004</v>
      </c>
      <c r="B272" t="s">
        <v>1355</v>
      </c>
      <c r="D272" s="116">
        <v>33620.292999999998</v>
      </c>
      <c r="E272" s="116">
        <v>0</v>
      </c>
      <c r="F272" s="116">
        <f t="shared" si="1"/>
        <v>33620.292999999998</v>
      </c>
      <c r="G272" s="43" t="str">
        <f>_xlfn.XLOOKUP($A272,Map!$A:$A,Map!C:C)</f>
        <v>IS</v>
      </c>
      <c r="H272" s="43" t="str">
        <f>_xlfn.XLOOKUP($A272,Map!$A:$A,Map!D:D)</f>
        <v>Cost of sales</v>
      </c>
      <c r="I272" s="43" t="str">
        <f>_xlfn.XLOOKUP($A272,Map!$A:$A,Map!E:E)</f>
        <v>Raw materials</v>
      </c>
      <c r="J272" s="43" t="str">
        <f>_xlfn.XLOOKUP($A272,Map!$A:$A,Map!F:F)</f>
        <v>Other expenses</v>
      </c>
    </row>
    <row r="273" spans="1:10" x14ac:dyDescent="0.25">
      <c r="A273">
        <v>510004</v>
      </c>
      <c r="B273" t="s">
        <v>1355</v>
      </c>
      <c r="D273" s="116">
        <v>0</v>
      </c>
      <c r="E273" s="116">
        <v>2018258.2660000001</v>
      </c>
      <c r="F273" s="116">
        <f t="shared" ref="F273:F304" si="2">D273-E273</f>
        <v>-2018258.2660000001</v>
      </c>
      <c r="G273" s="43" t="str">
        <f>_xlfn.XLOOKUP($A273,Map!$A:$A,Map!C:C)</f>
        <v>IS</v>
      </c>
      <c r="H273" s="43" t="str">
        <f>_xlfn.XLOOKUP($A273,Map!$A:$A,Map!D:D)</f>
        <v>Cost of sales</v>
      </c>
      <c r="I273" s="43" t="str">
        <f>_xlfn.XLOOKUP($A273,Map!$A:$A,Map!E:E)</f>
        <v>Raw materials</v>
      </c>
      <c r="J273" s="43" t="str">
        <f>_xlfn.XLOOKUP($A273,Map!$A:$A,Map!F:F)</f>
        <v>Other expenses</v>
      </c>
    </row>
    <row r="274" spans="1:10" x14ac:dyDescent="0.25">
      <c r="A274">
        <v>510004</v>
      </c>
      <c r="B274" t="s">
        <v>1355</v>
      </c>
      <c r="D274" s="116">
        <v>1141671.824</v>
      </c>
      <c r="E274" s="116">
        <v>0</v>
      </c>
      <c r="F274" s="116">
        <f t="shared" si="2"/>
        <v>1141671.824</v>
      </c>
      <c r="G274" s="43" t="str">
        <f>_xlfn.XLOOKUP($A274,Map!$A:$A,Map!C:C)</f>
        <v>IS</v>
      </c>
      <c r="H274" s="43" t="str">
        <f>_xlfn.XLOOKUP($A274,Map!$A:$A,Map!D:D)</f>
        <v>Cost of sales</v>
      </c>
      <c r="I274" s="43" t="str">
        <f>_xlfn.XLOOKUP($A274,Map!$A:$A,Map!E:E)</f>
        <v>Raw materials</v>
      </c>
      <c r="J274" s="43" t="str">
        <f>_xlfn.XLOOKUP($A274,Map!$A:$A,Map!F:F)</f>
        <v>Other expenses</v>
      </c>
    </row>
    <row r="275" spans="1:10" x14ac:dyDescent="0.25">
      <c r="A275">
        <v>510004</v>
      </c>
      <c r="B275" t="s">
        <v>1355</v>
      </c>
      <c r="D275" s="116">
        <v>0</v>
      </c>
      <c r="E275" s="116">
        <v>1772395.7830000001</v>
      </c>
      <c r="F275" s="116">
        <f t="shared" si="2"/>
        <v>-1772395.7830000001</v>
      </c>
      <c r="G275" s="43" t="str">
        <f>_xlfn.XLOOKUP($A275,Map!$A:$A,Map!C:C)</f>
        <v>IS</v>
      </c>
      <c r="H275" s="43" t="str">
        <f>_xlfn.XLOOKUP($A275,Map!$A:$A,Map!D:D)</f>
        <v>Cost of sales</v>
      </c>
      <c r="I275" s="43" t="str">
        <f>_xlfn.XLOOKUP($A275,Map!$A:$A,Map!E:E)</f>
        <v>Raw materials</v>
      </c>
      <c r="J275" s="43" t="str">
        <f>_xlfn.XLOOKUP($A275,Map!$A:$A,Map!F:F)</f>
        <v>Other expenses</v>
      </c>
    </row>
    <row r="276" spans="1:10" x14ac:dyDescent="0.25">
      <c r="A276">
        <v>510004</v>
      </c>
      <c r="B276" t="s">
        <v>1355</v>
      </c>
      <c r="D276" s="116">
        <v>1672267.0689999999</v>
      </c>
      <c r="E276" s="116">
        <v>0</v>
      </c>
      <c r="F276" s="116">
        <f t="shared" si="2"/>
        <v>1672267.0689999999</v>
      </c>
      <c r="G276" s="43" t="str">
        <f>_xlfn.XLOOKUP($A276,Map!$A:$A,Map!C:C)</f>
        <v>IS</v>
      </c>
      <c r="H276" s="43" t="str">
        <f>_xlfn.XLOOKUP($A276,Map!$A:$A,Map!D:D)</f>
        <v>Cost of sales</v>
      </c>
      <c r="I276" s="43" t="str">
        <f>_xlfn.XLOOKUP($A276,Map!$A:$A,Map!E:E)</f>
        <v>Raw materials</v>
      </c>
      <c r="J276" s="43" t="str">
        <f>_xlfn.XLOOKUP($A276,Map!$A:$A,Map!F:F)</f>
        <v>Other expenses</v>
      </c>
    </row>
    <row r="277" spans="1:10" x14ac:dyDescent="0.25">
      <c r="A277">
        <v>510004</v>
      </c>
      <c r="B277" t="s">
        <v>1355</v>
      </c>
      <c r="D277" s="116">
        <v>0</v>
      </c>
      <c r="E277" s="116">
        <v>490005.05200000003</v>
      </c>
      <c r="F277" s="116">
        <f t="shared" si="2"/>
        <v>-490005.05200000003</v>
      </c>
      <c r="G277" s="43" t="str">
        <f>_xlfn.XLOOKUP($A277,Map!$A:$A,Map!C:C)</f>
        <v>IS</v>
      </c>
      <c r="H277" s="43" t="str">
        <f>_xlfn.XLOOKUP($A277,Map!$A:$A,Map!D:D)</f>
        <v>Cost of sales</v>
      </c>
      <c r="I277" s="43" t="str">
        <f>_xlfn.XLOOKUP($A277,Map!$A:$A,Map!E:E)</f>
        <v>Raw materials</v>
      </c>
      <c r="J277" s="43" t="str">
        <f>_xlfn.XLOOKUP($A277,Map!$A:$A,Map!F:F)</f>
        <v>Other expenses</v>
      </c>
    </row>
    <row r="278" spans="1:10" x14ac:dyDescent="0.25">
      <c r="A278">
        <v>510004</v>
      </c>
      <c r="B278" t="s">
        <v>1355</v>
      </c>
      <c r="D278" s="116">
        <v>366844.853</v>
      </c>
      <c r="E278" s="116">
        <v>0</v>
      </c>
      <c r="F278" s="116">
        <f t="shared" si="2"/>
        <v>366844.853</v>
      </c>
      <c r="G278" s="43" t="str">
        <f>_xlfn.XLOOKUP($A278,Map!$A:$A,Map!C:C)</f>
        <v>IS</v>
      </c>
      <c r="H278" s="43" t="str">
        <f>_xlfn.XLOOKUP($A278,Map!$A:$A,Map!D:D)</f>
        <v>Cost of sales</v>
      </c>
      <c r="I278" s="43" t="str">
        <f>_xlfn.XLOOKUP($A278,Map!$A:$A,Map!E:E)</f>
        <v>Raw materials</v>
      </c>
      <c r="J278" s="43" t="str">
        <f>_xlfn.XLOOKUP($A278,Map!$A:$A,Map!F:F)</f>
        <v>Other expenses</v>
      </c>
    </row>
    <row r="279" spans="1:10" x14ac:dyDescent="0.25">
      <c r="A279">
        <v>510004</v>
      </c>
      <c r="B279" t="s">
        <v>1355</v>
      </c>
      <c r="D279" s="116">
        <v>0</v>
      </c>
      <c r="E279" s="116">
        <v>55141.821000000004</v>
      </c>
      <c r="F279" s="116">
        <f t="shared" si="2"/>
        <v>-55141.821000000004</v>
      </c>
      <c r="G279" s="43" t="str">
        <f>_xlfn.XLOOKUP($A279,Map!$A:$A,Map!C:C)</f>
        <v>IS</v>
      </c>
      <c r="H279" s="43" t="str">
        <f>_xlfn.XLOOKUP($A279,Map!$A:$A,Map!D:D)</f>
        <v>Cost of sales</v>
      </c>
      <c r="I279" s="43" t="str">
        <f>_xlfn.XLOOKUP($A279,Map!$A:$A,Map!E:E)</f>
        <v>Raw materials</v>
      </c>
      <c r="J279" s="43" t="str">
        <f>_xlfn.XLOOKUP($A279,Map!$A:$A,Map!F:F)</f>
        <v>Other expenses</v>
      </c>
    </row>
    <row r="280" spans="1:10" x14ac:dyDescent="0.25">
      <c r="A280">
        <v>510004</v>
      </c>
      <c r="B280" t="s">
        <v>1355</v>
      </c>
      <c r="D280" s="116">
        <v>25947.844000000001</v>
      </c>
      <c r="E280" s="116">
        <v>0</v>
      </c>
      <c r="F280" s="116">
        <f t="shared" si="2"/>
        <v>25947.844000000001</v>
      </c>
      <c r="G280" s="43" t="str">
        <f>_xlfn.XLOOKUP($A280,Map!$A:$A,Map!C:C)</f>
        <v>IS</v>
      </c>
      <c r="H280" s="43" t="str">
        <f>_xlfn.XLOOKUP($A280,Map!$A:$A,Map!D:D)</f>
        <v>Cost of sales</v>
      </c>
      <c r="I280" s="43" t="str">
        <f>_xlfn.XLOOKUP($A280,Map!$A:$A,Map!E:E)</f>
        <v>Raw materials</v>
      </c>
      <c r="J280" s="43" t="str">
        <f>_xlfn.XLOOKUP($A280,Map!$A:$A,Map!F:F)</f>
        <v>Other expenses</v>
      </c>
    </row>
    <row r="281" spans="1:10" x14ac:dyDescent="0.25">
      <c r="A281">
        <v>510004</v>
      </c>
      <c r="B281" t="s">
        <v>1355</v>
      </c>
      <c r="D281" s="116">
        <v>0</v>
      </c>
      <c r="E281" s="116">
        <v>817123.74699999997</v>
      </c>
      <c r="F281" s="116">
        <f t="shared" si="2"/>
        <v>-817123.74699999997</v>
      </c>
      <c r="G281" s="43" t="str">
        <f>_xlfn.XLOOKUP($A281,Map!$A:$A,Map!C:C)</f>
        <v>IS</v>
      </c>
      <c r="H281" s="43" t="str">
        <f>_xlfn.XLOOKUP($A281,Map!$A:$A,Map!D:D)</f>
        <v>Cost of sales</v>
      </c>
      <c r="I281" s="43" t="str">
        <f>_xlfn.XLOOKUP($A281,Map!$A:$A,Map!E:E)</f>
        <v>Raw materials</v>
      </c>
      <c r="J281" s="43" t="str">
        <f>_xlfn.XLOOKUP($A281,Map!$A:$A,Map!F:F)</f>
        <v>Other expenses</v>
      </c>
    </row>
    <row r="282" spans="1:10" x14ac:dyDescent="0.25">
      <c r="A282">
        <v>510004</v>
      </c>
      <c r="B282" t="s">
        <v>1355</v>
      </c>
      <c r="D282" s="116">
        <v>639242.84100000001</v>
      </c>
      <c r="E282" s="116">
        <v>0</v>
      </c>
      <c r="F282" s="116">
        <f t="shared" si="2"/>
        <v>639242.84100000001</v>
      </c>
      <c r="G282" s="43" t="str">
        <f>_xlfn.XLOOKUP($A282,Map!$A:$A,Map!C:C)</f>
        <v>IS</v>
      </c>
      <c r="H282" s="43" t="str">
        <f>_xlfn.XLOOKUP($A282,Map!$A:$A,Map!D:D)</f>
        <v>Cost of sales</v>
      </c>
      <c r="I282" s="43" t="str">
        <f>_xlfn.XLOOKUP($A282,Map!$A:$A,Map!E:E)</f>
        <v>Raw materials</v>
      </c>
      <c r="J282" s="43" t="str">
        <f>_xlfn.XLOOKUP($A282,Map!$A:$A,Map!F:F)</f>
        <v>Other expenses</v>
      </c>
    </row>
    <row r="283" spans="1:10" x14ac:dyDescent="0.25">
      <c r="A283">
        <v>510004</v>
      </c>
      <c r="B283" t="s">
        <v>1355</v>
      </c>
      <c r="D283" s="116">
        <v>0</v>
      </c>
      <c r="E283" s="116">
        <v>4510531.1160000004</v>
      </c>
      <c r="F283" s="116">
        <f t="shared" si="2"/>
        <v>-4510531.1160000004</v>
      </c>
      <c r="G283" s="43" t="str">
        <f>_xlfn.XLOOKUP($A283,Map!$A:$A,Map!C:C)</f>
        <v>IS</v>
      </c>
      <c r="H283" s="43" t="str">
        <f>_xlfn.XLOOKUP($A283,Map!$A:$A,Map!D:D)</f>
        <v>Cost of sales</v>
      </c>
      <c r="I283" s="43" t="str">
        <f>_xlfn.XLOOKUP($A283,Map!$A:$A,Map!E:E)</f>
        <v>Raw materials</v>
      </c>
      <c r="J283" s="43" t="str">
        <f>_xlfn.XLOOKUP($A283,Map!$A:$A,Map!F:F)</f>
        <v>Other expenses</v>
      </c>
    </row>
    <row r="284" spans="1:10" x14ac:dyDescent="0.25">
      <c r="A284">
        <v>510004</v>
      </c>
      <c r="B284" t="s">
        <v>1355</v>
      </c>
      <c r="D284" s="116">
        <v>497899.41700000002</v>
      </c>
      <c r="E284" s="116">
        <v>0</v>
      </c>
      <c r="F284" s="116">
        <f t="shared" si="2"/>
        <v>497899.41700000002</v>
      </c>
      <c r="G284" s="43" t="str">
        <f>_xlfn.XLOOKUP($A284,Map!$A:$A,Map!C:C)</f>
        <v>IS</v>
      </c>
      <c r="H284" s="43" t="str">
        <f>_xlfn.XLOOKUP($A284,Map!$A:$A,Map!D:D)</f>
        <v>Cost of sales</v>
      </c>
      <c r="I284" s="43" t="str">
        <f>_xlfn.XLOOKUP($A284,Map!$A:$A,Map!E:E)</f>
        <v>Raw materials</v>
      </c>
      <c r="J284" s="43" t="str">
        <f>_xlfn.XLOOKUP($A284,Map!$A:$A,Map!F:F)</f>
        <v>Other expenses</v>
      </c>
    </row>
    <row r="285" spans="1:10" x14ac:dyDescent="0.25">
      <c r="A285">
        <v>510004</v>
      </c>
      <c r="B285" t="s">
        <v>1355</v>
      </c>
      <c r="D285" s="116">
        <v>0</v>
      </c>
      <c r="E285" s="116">
        <v>256589.035</v>
      </c>
      <c r="F285" s="116">
        <f t="shared" si="2"/>
        <v>-256589.035</v>
      </c>
      <c r="G285" s="43" t="str">
        <f>_xlfn.XLOOKUP($A285,Map!$A:$A,Map!C:C)</f>
        <v>IS</v>
      </c>
      <c r="H285" s="43" t="str">
        <f>_xlfn.XLOOKUP($A285,Map!$A:$A,Map!D:D)</f>
        <v>Cost of sales</v>
      </c>
      <c r="I285" s="43" t="str">
        <f>_xlfn.XLOOKUP($A285,Map!$A:$A,Map!E:E)</f>
        <v>Raw materials</v>
      </c>
      <c r="J285" s="43" t="str">
        <f>_xlfn.XLOOKUP($A285,Map!$A:$A,Map!F:F)</f>
        <v>Other expenses</v>
      </c>
    </row>
    <row r="286" spans="1:10" x14ac:dyDescent="0.25">
      <c r="A286">
        <v>510004</v>
      </c>
      <c r="B286" t="s">
        <v>1355</v>
      </c>
      <c r="D286" s="116">
        <v>71412.47</v>
      </c>
      <c r="E286" s="116">
        <v>0</v>
      </c>
      <c r="F286" s="116">
        <f t="shared" si="2"/>
        <v>71412.47</v>
      </c>
      <c r="G286" s="43" t="str">
        <f>_xlfn.XLOOKUP($A286,Map!$A:$A,Map!C:C)</f>
        <v>IS</v>
      </c>
      <c r="H286" s="43" t="str">
        <f>_xlfn.XLOOKUP($A286,Map!$A:$A,Map!D:D)</f>
        <v>Cost of sales</v>
      </c>
      <c r="I286" s="43" t="str">
        <f>_xlfn.XLOOKUP($A286,Map!$A:$A,Map!E:E)</f>
        <v>Raw materials</v>
      </c>
      <c r="J286" s="43" t="str">
        <f>_xlfn.XLOOKUP($A286,Map!$A:$A,Map!F:F)</f>
        <v>Other expenses</v>
      </c>
    </row>
    <row r="287" spans="1:10" x14ac:dyDescent="0.25">
      <c r="A287">
        <v>510004</v>
      </c>
      <c r="B287" t="s">
        <v>1355</v>
      </c>
      <c r="D287" s="116">
        <v>4616.3010000000004</v>
      </c>
      <c r="E287" s="116">
        <v>0</v>
      </c>
      <c r="F287" s="116">
        <f t="shared" si="2"/>
        <v>4616.3010000000004</v>
      </c>
      <c r="G287" s="43" t="str">
        <f>_xlfn.XLOOKUP($A287,Map!$A:$A,Map!C:C)</f>
        <v>IS</v>
      </c>
      <c r="H287" s="43" t="str">
        <f>_xlfn.XLOOKUP($A287,Map!$A:$A,Map!D:D)</f>
        <v>Cost of sales</v>
      </c>
      <c r="I287" s="43" t="str">
        <f>_xlfn.XLOOKUP($A287,Map!$A:$A,Map!E:E)</f>
        <v>Raw materials</v>
      </c>
      <c r="J287" s="43" t="str">
        <f>_xlfn.XLOOKUP($A287,Map!$A:$A,Map!F:F)</f>
        <v>Other expenses</v>
      </c>
    </row>
    <row r="288" spans="1:10" x14ac:dyDescent="0.25">
      <c r="A288">
        <v>510003</v>
      </c>
      <c r="B288" t="s">
        <v>1355</v>
      </c>
      <c r="D288" s="116">
        <v>667214.549</v>
      </c>
      <c r="E288" s="116">
        <v>0</v>
      </c>
      <c r="F288" s="116">
        <f t="shared" si="2"/>
        <v>667214.549</v>
      </c>
      <c r="G288" s="43" t="str">
        <f>_xlfn.XLOOKUP($A288,Map!$A:$A,Map!C:C)</f>
        <v>IS</v>
      </c>
      <c r="H288" s="43" t="str">
        <f>_xlfn.XLOOKUP($A288,Map!$A:$A,Map!D:D)</f>
        <v>Cost of sales</v>
      </c>
      <c r="I288" s="43" t="str">
        <f>_xlfn.XLOOKUP($A288,Map!$A:$A,Map!E:E)</f>
        <v>Raw materials</v>
      </c>
      <c r="J288" s="43" t="str">
        <f>_xlfn.XLOOKUP($A288,Map!$A:$A,Map!F:F)</f>
        <v>Raw materials</v>
      </c>
    </row>
    <row r="289" spans="1:10" x14ac:dyDescent="0.25">
      <c r="A289">
        <v>510003</v>
      </c>
      <c r="B289" t="s">
        <v>1355</v>
      </c>
      <c r="D289" s="116">
        <v>43912.46</v>
      </c>
      <c r="E289" s="116">
        <v>0</v>
      </c>
      <c r="F289" s="116">
        <f t="shared" si="2"/>
        <v>43912.46</v>
      </c>
      <c r="G289" s="43" t="str">
        <f>_xlfn.XLOOKUP($A289,Map!$A:$A,Map!C:C)</f>
        <v>IS</v>
      </c>
      <c r="H289" s="43" t="str">
        <f>_xlfn.XLOOKUP($A289,Map!$A:$A,Map!D:D)</f>
        <v>Cost of sales</v>
      </c>
      <c r="I289" s="43" t="str">
        <f>_xlfn.XLOOKUP($A289,Map!$A:$A,Map!E:E)</f>
        <v>Raw materials</v>
      </c>
      <c r="J289" s="43" t="str">
        <f>_xlfn.XLOOKUP($A289,Map!$A:$A,Map!F:F)</f>
        <v>Raw materials</v>
      </c>
    </row>
    <row r="290" spans="1:10" x14ac:dyDescent="0.25">
      <c r="A290">
        <v>510003</v>
      </c>
      <c r="B290" t="s">
        <v>1355</v>
      </c>
      <c r="D290" s="116">
        <v>242139.69399999999</v>
      </c>
      <c r="E290" s="116">
        <v>0</v>
      </c>
      <c r="F290" s="116">
        <f t="shared" si="2"/>
        <v>242139.69399999999</v>
      </c>
      <c r="G290" s="43" t="str">
        <f>_xlfn.XLOOKUP($A290,Map!$A:$A,Map!C:C)</f>
        <v>IS</v>
      </c>
      <c r="H290" s="43" t="str">
        <f>_xlfn.XLOOKUP($A290,Map!$A:$A,Map!D:D)</f>
        <v>Cost of sales</v>
      </c>
      <c r="I290" s="43" t="str">
        <f>_xlfn.XLOOKUP($A290,Map!$A:$A,Map!E:E)</f>
        <v>Raw materials</v>
      </c>
      <c r="J290" s="43" t="str">
        <f>_xlfn.XLOOKUP($A290,Map!$A:$A,Map!F:F)</f>
        <v>Raw materials</v>
      </c>
    </row>
    <row r="291" spans="1:10" x14ac:dyDescent="0.25">
      <c r="A291">
        <v>510003</v>
      </c>
      <c r="B291" t="s">
        <v>1355</v>
      </c>
      <c r="D291" s="116">
        <v>303450.63400000002</v>
      </c>
      <c r="E291" s="116">
        <v>0</v>
      </c>
      <c r="F291" s="116">
        <f t="shared" si="2"/>
        <v>303450.63400000002</v>
      </c>
      <c r="G291" s="43" t="str">
        <f>_xlfn.XLOOKUP($A291,Map!$A:$A,Map!C:C)</f>
        <v>IS</v>
      </c>
      <c r="H291" s="43" t="str">
        <f>_xlfn.XLOOKUP($A291,Map!$A:$A,Map!D:D)</f>
        <v>Cost of sales</v>
      </c>
      <c r="I291" s="43" t="str">
        <f>_xlfn.XLOOKUP($A291,Map!$A:$A,Map!E:E)</f>
        <v>Raw materials</v>
      </c>
      <c r="J291" s="43" t="str">
        <f>_xlfn.XLOOKUP($A291,Map!$A:$A,Map!F:F)</f>
        <v>Raw materials</v>
      </c>
    </row>
    <row r="292" spans="1:10" x14ac:dyDescent="0.25">
      <c r="A292">
        <v>510003</v>
      </c>
      <c r="B292" t="s">
        <v>1355</v>
      </c>
      <c r="D292" s="116">
        <v>124999.499</v>
      </c>
      <c r="E292" s="116">
        <v>0</v>
      </c>
      <c r="F292" s="116">
        <f t="shared" si="2"/>
        <v>124999.499</v>
      </c>
      <c r="G292" s="43" t="str">
        <f>_xlfn.XLOOKUP($A292,Map!$A:$A,Map!C:C)</f>
        <v>IS</v>
      </c>
      <c r="H292" s="43" t="str">
        <f>_xlfn.XLOOKUP($A292,Map!$A:$A,Map!D:D)</f>
        <v>Cost of sales</v>
      </c>
      <c r="I292" s="43" t="str">
        <f>_xlfn.XLOOKUP($A292,Map!$A:$A,Map!E:E)</f>
        <v>Raw materials</v>
      </c>
      <c r="J292" s="43" t="str">
        <f>_xlfn.XLOOKUP($A292,Map!$A:$A,Map!F:F)</f>
        <v>Raw materials</v>
      </c>
    </row>
    <row r="293" spans="1:10" x14ac:dyDescent="0.25">
      <c r="A293">
        <v>510003</v>
      </c>
      <c r="B293" t="s">
        <v>1355</v>
      </c>
      <c r="D293" s="116">
        <v>79927.649999999994</v>
      </c>
      <c r="E293" s="116">
        <v>0</v>
      </c>
      <c r="F293" s="116">
        <f t="shared" si="2"/>
        <v>79927.649999999994</v>
      </c>
      <c r="G293" s="43" t="str">
        <f>_xlfn.XLOOKUP($A293,Map!$A:$A,Map!C:C)</f>
        <v>IS</v>
      </c>
      <c r="H293" s="43" t="str">
        <f>_xlfn.XLOOKUP($A293,Map!$A:$A,Map!D:D)</f>
        <v>Cost of sales</v>
      </c>
      <c r="I293" s="43" t="str">
        <f>_xlfn.XLOOKUP($A293,Map!$A:$A,Map!E:E)</f>
        <v>Raw materials</v>
      </c>
      <c r="J293" s="43" t="str">
        <f>_xlfn.XLOOKUP($A293,Map!$A:$A,Map!F:F)</f>
        <v>Raw materials</v>
      </c>
    </row>
    <row r="294" spans="1:10" x14ac:dyDescent="0.25">
      <c r="A294">
        <v>510003</v>
      </c>
      <c r="B294" t="s">
        <v>1355</v>
      </c>
      <c r="D294" s="116">
        <v>177932.549</v>
      </c>
      <c r="E294" s="116">
        <v>0</v>
      </c>
      <c r="F294" s="116">
        <f t="shared" si="2"/>
        <v>177932.549</v>
      </c>
      <c r="G294" s="43" t="str">
        <f>_xlfn.XLOOKUP($A294,Map!$A:$A,Map!C:C)</f>
        <v>IS</v>
      </c>
      <c r="H294" s="43" t="str">
        <f>_xlfn.XLOOKUP($A294,Map!$A:$A,Map!D:D)</f>
        <v>Cost of sales</v>
      </c>
      <c r="I294" s="43" t="str">
        <f>_xlfn.XLOOKUP($A294,Map!$A:$A,Map!E:E)</f>
        <v>Raw materials</v>
      </c>
      <c r="J294" s="43" t="str">
        <f>_xlfn.XLOOKUP($A294,Map!$A:$A,Map!F:F)</f>
        <v>Raw materials</v>
      </c>
    </row>
    <row r="295" spans="1:10" x14ac:dyDescent="0.25">
      <c r="A295">
        <v>510003</v>
      </c>
      <c r="B295" t="s">
        <v>1355</v>
      </c>
      <c r="D295" s="116">
        <v>137811.201</v>
      </c>
      <c r="E295" s="116">
        <v>0</v>
      </c>
      <c r="F295" s="116">
        <f t="shared" si="2"/>
        <v>137811.201</v>
      </c>
      <c r="G295" s="43" t="str">
        <f>_xlfn.XLOOKUP($A295,Map!$A:$A,Map!C:C)</f>
        <v>IS</v>
      </c>
      <c r="H295" s="43" t="str">
        <f>_xlfn.XLOOKUP($A295,Map!$A:$A,Map!D:D)</f>
        <v>Cost of sales</v>
      </c>
      <c r="I295" s="43" t="str">
        <f>_xlfn.XLOOKUP($A295,Map!$A:$A,Map!E:E)</f>
        <v>Raw materials</v>
      </c>
      <c r="J295" s="43" t="str">
        <f>_xlfn.XLOOKUP($A295,Map!$A:$A,Map!F:F)</f>
        <v>Raw materials</v>
      </c>
    </row>
    <row r="296" spans="1:10" x14ac:dyDescent="0.25">
      <c r="A296">
        <v>510003</v>
      </c>
      <c r="B296" t="s">
        <v>1355</v>
      </c>
      <c r="D296" s="116">
        <v>74392.955000000002</v>
      </c>
      <c r="E296" s="116">
        <v>0</v>
      </c>
      <c r="F296" s="116">
        <f t="shared" si="2"/>
        <v>74392.955000000002</v>
      </c>
      <c r="G296" s="43" t="str">
        <f>_xlfn.XLOOKUP($A296,Map!$A:$A,Map!C:C)</f>
        <v>IS</v>
      </c>
      <c r="H296" s="43" t="str">
        <f>_xlfn.XLOOKUP($A296,Map!$A:$A,Map!D:D)</f>
        <v>Cost of sales</v>
      </c>
      <c r="I296" s="43" t="str">
        <f>_xlfn.XLOOKUP($A296,Map!$A:$A,Map!E:E)</f>
        <v>Raw materials</v>
      </c>
      <c r="J296" s="43" t="str">
        <f>_xlfn.XLOOKUP($A296,Map!$A:$A,Map!F:F)</f>
        <v>Raw materials</v>
      </c>
    </row>
    <row r="297" spans="1:10" x14ac:dyDescent="0.25">
      <c r="A297">
        <v>510003</v>
      </c>
      <c r="B297" t="s">
        <v>1355</v>
      </c>
      <c r="D297" s="116">
        <v>4238.4250000000002</v>
      </c>
      <c r="E297" s="116">
        <v>0</v>
      </c>
      <c r="F297" s="116">
        <f t="shared" si="2"/>
        <v>4238.4250000000002</v>
      </c>
      <c r="G297" s="43" t="str">
        <f>_xlfn.XLOOKUP($A297,Map!$A:$A,Map!C:C)</f>
        <v>IS</v>
      </c>
      <c r="H297" s="43" t="str">
        <f>_xlfn.XLOOKUP($A297,Map!$A:$A,Map!D:D)</f>
        <v>Cost of sales</v>
      </c>
      <c r="I297" s="43" t="str">
        <f>_xlfn.XLOOKUP($A297,Map!$A:$A,Map!E:E)</f>
        <v>Raw materials</v>
      </c>
      <c r="J297" s="43" t="str">
        <f>_xlfn.XLOOKUP($A297,Map!$A:$A,Map!F:F)</f>
        <v>Raw materials</v>
      </c>
    </row>
    <row r="298" spans="1:10" x14ac:dyDescent="0.25">
      <c r="A298">
        <v>510003</v>
      </c>
      <c r="B298" t="s">
        <v>1355</v>
      </c>
      <c r="D298" s="116">
        <v>211.80600000000001</v>
      </c>
      <c r="E298" s="116">
        <v>0</v>
      </c>
      <c r="F298" s="116">
        <f t="shared" si="2"/>
        <v>211.80600000000001</v>
      </c>
      <c r="G298" s="43" t="str">
        <f>_xlfn.XLOOKUP($A298,Map!$A:$A,Map!C:C)</f>
        <v>IS</v>
      </c>
      <c r="H298" s="43" t="str">
        <f>_xlfn.XLOOKUP($A298,Map!$A:$A,Map!D:D)</f>
        <v>Cost of sales</v>
      </c>
      <c r="I298" s="43" t="str">
        <f>_xlfn.XLOOKUP($A298,Map!$A:$A,Map!E:E)</f>
        <v>Raw materials</v>
      </c>
      <c r="J298" s="43" t="str">
        <f>_xlfn.XLOOKUP($A298,Map!$A:$A,Map!F:F)</f>
        <v>Raw materials</v>
      </c>
    </row>
    <row r="299" spans="1:10" x14ac:dyDescent="0.25">
      <c r="A299">
        <v>510002</v>
      </c>
      <c r="B299" t="s">
        <v>1355</v>
      </c>
      <c r="D299" s="116">
        <v>159.352</v>
      </c>
      <c r="E299" s="116">
        <v>0</v>
      </c>
      <c r="F299" s="116">
        <f t="shared" si="2"/>
        <v>159.352</v>
      </c>
      <c r="G299" s="43" t="str">
        <f>_xlfn.XLOOKUP($A299,Map!$A:$A,Map!C:C)</f>
        <v>IS</v>
      </c>
      <c r="H299" s="43" t="str">
        <f>_xlfn.XLOOKUP($A299,Map!$A:$A,Map!D:D)</f>
        <v>Cost of sales</v>
      </c>
      <c r="I299" s="43" t="str">
        <f>_xlfn.XLOOKUP($A299,Map!$A:$A,Map!E:E)</f>
        <v>Direct Labor</v>
      </c>
      <c r="J299" s="43" t="str">
        <f>_xlfn.XLOOKUP($A299,Map!$A:$A,Map!F:F)</f>
        <v>Direct Labor</v>
      </c>
    </row>
    <row r="300" spans="1:10" x14ac:dyDescent="0.25">
      <c r="A300">
        <v>510002</v>
      </c>
      <c r="B300" t="s">
        <v>1355</v>
      </c>
      <c r="D300" s="116">
        <v>0.16200000000000001</v>
      </c>
      <c r="E300" s="116">
        <v>0</v>
      </c>
      <c r="F300" s="116">
        <f t="shared" si="2"/>
        <v>0.16200000000000001</v>
      </c>
      <c r="G300" s="43" t="str">
        <f>_xlfn.XLOOKUP($A300,Map!$A:$A,Map!C:C)</f>
        <v>IS</v>
      </c>
      <c r="H300" s="43" t="str">
        <f>_xlfn.XLOOKUP($A300,Map!$A:$A,Map!D:D)</f>
        <v>Cost of sales</v>
      </c>
      <c r="I300" s="43" t="str">
        <f>_xlfn.XLOOKUP($A300,Map!$A:$A,Map!E:E)</f>
        <v>Direct Labor</v>
      </c>
      <c r="J300" s="43" t="str">
        <f>_xlfn.XLOOKUP($A300,Map!$A:$A,Map!F:F)</f>
        <v>Direct Labor</v>
      </c>
    </row>
    <row r="301" spans="1:10" x14ac:dyDescent="0.25">
      <c r="A301">
        <v>510002</v>
      </c>
      <c r="B301" t="s">
        <v>1355</v>
      </c>
      <c r="D301" s="116">
        <v>451.53199999999998</v>
      </c>
      <c r="E301" s="116">
        <v>0</v>
      </c>
      <c r="F301" s="116">
        <f t="shared" si="2"/>
        <v>451.53199999999998</v>
      </c>
      <c r="G301" s="43" t="str">
        <f>_xlfn.XLOOKUP($A301,Map!$A:$A,Map!C:C)</f>
        <v>IS</v>
      </c>
      <c r="H301" s="43" t="str">
        <f>_xlfn.XLOOKUP($A301,Map!$A:$A,Map!D:D)</f>
        <v>Cost of sales</v>
      </c>
      <c r="I301" s="43" t="str">
        <f>_xlfn.XLOOKUP($A301,Map!$A:$A,Map!E:E)</f>
        <v>Direct Labor</v>
      </c>
      <c r="J301" s="43" t="str">
        <f>_xlfn.XLOOKUP($A301,Map!$A:$A,Map!F:F)</f>
        <v>Direct Labor</v>
      </c>
    </row>
    <row r="302" spans="1:10" x14ac:dyDescent="0.25">
      <c r="A302">
        <v>510002</v>
      </c>
      <c r="B302" t="s">
        <v>1355</v>
      </c>
      <c r="D302" s="116">
        <v>4323.491</v>
      </c>
      <c r="E302" s="116">
        <v>0</v>
      </c>
      <c r="F302" s="116">
        <f t="shared" si="2"/>
        <v>4323.491</v>
      </c>
      <c r="G302" s="43" t="str">
        <f>_xlfn.XLOOKUP($A302,Map!$A:$A,Map!C:C)</f>
        <v>IS</v>
      </c>
      <c r="H302" s="43" t="str">
        <f>_xlfn.XLOOKUP($A302,Map!$A:$A,Map!D:D)</f>
        <v>Cost of sales</v>
      </c>
      <c r="I302" s="43" t="str">
        <f>_xlfn.XLOOKUP($A302,Map!$A:$A,Map!E:E)</f>
        <v>Direct Labor</v>
      </c>
      <c r="J302" s="43" t="str">
        <f>_xlfn.XLOOKUP($A302,Map!$A:$A,Map!F:F)</f>
        <v>Direct Labor</v>
      </c>
    </row>
    <row r="303" spans="1:10" x14ac:dyDescent="0.25">
      <c r="A303">
        <v>510002</v>
      </c>
      <c r="B303" t="s">
        <v>1355</v>
      </c>
      <c r="D303" s="116">
        <v>0.21299999999999999</v>
      </c>
      <c r="E303" s="116">
        <v>0</v>
      </c>
      <c r="F303" s="116">
        <f t="shared" si="2"/>
        <v>0.21299999999999999</v>
      </c>
      <c r="G303" s="43" t="str">
        <f>_xlfn.XLOOKUP($A303,Map!$A:$A,Map!C:C)</f>
        <v>IS</v>
      </c>
      <c r="H303" s="43" t="str">
        <f>_xlfn.XLOOKUP($A303,Map!$A:$A,Map!D:D)</f>
        <v>Cost of sales</v>
      </c>
      <c r="I303" s="43" t="str">
        <f>_xlfn.XLOOKUP($A303,Map!$A:$A,Map!E:E)</f>
        <v>Direct Labor</v>
      </c>
      <c r="J303" s="43" t="str">
        <f>_xlfn.XLOOKUP($A303,Map!$A:$A,Map!F:F)</f>
        <v>Direct Labor</v>
      </c>
    </row>
    <row r="304" spans="1:10" x14ac:dyDescent="0.25">
      <c r="A304">
        <v>510002</v>
      </c>
      <c r="B304" t="s">
        <v>1355</v>
      </c>
      <c r="D304" s="116">
        <v>0.15</v>
      </c>
      <c r="E304" s="116">
        <v>0</v>
      </c>
      <c r="F304" s="116">
        <f t="shared" si="2"/>
        <v>0.15</v>
      </c>
      <c r="G304" s="43" t="str">
        <f>_xlfn.XLOOKUP($A304,Map!$A:$A,Map!C:C)</f>
        <v>IS</v>
      </c>
      <c r="H304" s="43" t="str">
        <f>_xlfn.XLOOKUP($A304,Map!$A:$A,Map!D:D)</f>
        <v>Cost of sales</v>
      </c>
      <c r="I304" s="43" t="str">
        <f>_xlfn.XLOOKUP($A304,Map!$A:$A,Map!E:E)</f>
        <v>Direct Labor</v>
      </c>
      <c r="J304" s="43" t="str">
        <f>_xlfn.XLOOKUP($A304,Map!$A:$A,Map!F:F)</f>
        <v>Direct Labor</v>
      </c>
    </row>
    <row r="305" spans="1:10" x14ac:dyDescent="0.25">
      <c r="A305">
        <v>420003</v>
      </c>
      <c r="B305" t="s">
        <v>1355</v>
      </c>
      <c r="D305" s="116">
        <v>0</v>
      </c>
      <c r="E305" s="116">
        <v>2.7E-2</v>
      </c>
      <c r="F305" s="116">
        <f t="shared" ref="F305:F336" si="3">D305-E305</f>
        <v>-2.7E-2</v>
      </c>
      <c r="G305" s="43" t="str">
        <f>_xlfn.XLOOKUP($A305,Map!$A:$A,Map!C:C)</f>
        <v>IS</v>
      </c>
      <c r="H305" s="43" t="str">
        <f>_xlfn.XLOOKUP($A305,Map!$A:$A,Map!D:D)</f>
        <v>Sales</v>
      </c>
      <c r="I305" s="43" t="str">
        <f>_xlfn.XLOOKUP($A305,Map!$A:$A,Map!E:E)</f>
        <v>Sales</v>
      </c>
      <c r="J305" s="43" t="str">
        <f>_xlfn.XLOOKUP($A305,Map!$A:$A,Map!F:F)</f>
        <v>Scrap sales</v>
      </c>
    </row>
    <row r="308" spans="1:10" x14ac:dyDescent="0.25">
      <c r="A308">
        <v>170021</v>
      </c>
      <c r="B308" t="s">
        <v>883</v>
      </c>
      <c r="D308" s="154">
        <v>12679112.02</v>
      </c>
      <c r="F308" s="147">
        <f>D308-E308</f>
        <v>12679112.02</v>
      </c>
      <c r="G308" s="43" t="str">
        <f>_xlfn.XLOOKUP($A308,Map!$A:$A,Map!C:C)</f>
        <v>BS</v>
      </c>
      <c r="H308" s="43" t="str">
        <f>_xlfn.XLOOKUP($A308,Map!$A:$A,Map!D:D)</f>
        <v>Current Assets</v>
      </c>
      <c r="I308" s="43" t="str">
        <f>_xlfn.XLOOKUP($A308,Map!$A:$A,Map!E:E)</f>
        <v>Prepaid expenses</v>
      </c>
      <c r="J308" s="43" t="str">
        <f>_xlfn.XLOOKUP($A308,Map!$A:$A,Map!F:F)</f>
        <v>Prepaid expense</v>
      </c>
    </row>
    <row r="309" spans="1:10" x14ac:dyDescent="0.25">
      <c r="A309">
        <v>210001</v>
      </c>
      <c r="B309" t="s">
        <v>902</v>
      </c>
      <c r="E309" s="154">
        <f>D308</f>
        <v>12679112.02</v>
      </c>
      <c r="F309" s="147">
        <f>D309-E309</f>
        <v>-12679112.02</v>
      </c>
      <c r="G309" s="43" t="str">
        <f>_xlfn.XLOOKUP($A309,Map!$A:$A,Map!C:C)</f>
        <v>BS</v>
      </c>
      <c r="H309" s="43" t="str">
        <f>_xlfn.XLOOKUP($A309,Map!$A:$A,Map!D:D)</f>
        <v>Current Liabilities</v>
      </c>
      <c r="I309" s="43" t="str">
        <f>_xlfn.XLOOKUP($A309,Map!$A:$A,Map!E:E)</f>
        <v>Tade payables and Accuals &amp; other credit balances</v>
      </c>
      <c r="J309" s="43" t="str">
        <f>_xlfn.XLOOKUP($A309,Map!$A:$A,Map!F:F)</f>
        <v>Trade payables - Foreign</v>
      </c>
    </row>
    <row r="312" spans="1:10" x14ac:dyDescent="0.25">
      <c r="A312">
        <v>410001</v>
      </c>
      <c r="B312" t="s">
        <v>1344</v>
      </c>
      <c r="D312" s="88">
        <v>17120225.503132001</v>
      </c>
      <c r="E312" s="88"/>
      <c r="F312" s="147">
        <f>D312-E312</f>
        <v>17120225.503132001</v>
      </c>
      <c r="G312" s="43" t="str">
        <f>_xlfn.XLOOKUP($A312,Map!$A:$A,Map!C:C)</f>
        <v>IS</v>
      </c>
      <c r="H312" s="43" t="str">
        <f>_xlfn.XLOOKUP($A312,Map!$A:$A,Map!D:D)</f>
        <v>Sales</v>
      </c>
      <c r="I312" s="43" t="str">
        <f>_xlfn.XLOOKUP($A312,Map!$A:$A,Map!E:E)</f>
        <v>Sales</v>
      </c>
      <c r="J312" s="43" t="str">
        <f>_xlfn.XLOOKUP($A312,Map!$A:$A,Map!F:F)</f>
        <v>Trading revenue</v>
      </c>
    </row>
    <row r="313" spans="1:10" x14ac:dyDescent="0.25">
      <c r="A313">
        <v>510001</v>
      </c>
      <c r="B313" t="s">
        <v>1345</v>
      </c>
      <c r="D313" s="88"/>
      <c r="E313" s="88">
        <v>13859202.685386401</v>
      </c>
      <c r="F313" s="147">
        <f>D313-E313</f>
        <v>-13859202.685386401</v>
      </c>
      <c r="G313" s="43" t="str">
        <f>_xlfn.XLOOKUP($A313,Map!$A:$A,Map!C:C)</f>
        <v>IS</v>
      </c>
      <c r="H313" s="43" t="str">
        <f>_xlfn.XLOOKUP($A313,Map!$A:$A,Map!D:D)</f>
        <v>Cost of sales</v>
      </c>
      <c r="I313" s="43" t="str">
        <f>_xlfn.XLOOKUP($A313,Map!$A:$A,Map!E:E)</f>
        <v>Raw materials</v>
      </c>
      <c r="J313" s="43" t="str">
        <f>_xlfn.XLOOKUP($A313,Map!$A:$A,Map!F:F)</f>
        <v>Raw materials</v>
      </c>
    </row>
  </sheetData>
  <autoFilter ref="A4:K305" xr:uid="{00000000-0009-0000-0000-00001C000000}"/>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266"/>
  <sheetViews>
    <sheetView zoomScale="90" workbookViewId="0">
      <pane ySplit="67" topLeftCell="A68"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85" t="s">
        <v>1251</v>
      </c>
    </row>
    <row r="2" spans="1:10" x14ac:dyDescent="0.25">
      <c r="A2" s="85" t="s">
        <v>1194</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110002</v>
      </c>
      <c r="B5" t="s">
        <v>819</v>
      </c>
      <c r="C5" s="116">
        <v>249682</v>
      </c>
      <c r="D5" s="116">
        <v>106255314.56999999</v>
      </c>
      <c r="E5" s="116">
        <v>0</v>
      </c>
      <c r="F5" s="116">
        <v>106504996.56999999</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110003</v>
      </c>
      <c r="B6" t="s">
        <v>820</v>
      </c>
      <c r="C6" s="116">
        <v>1773233.75</v>
      </c>
      <c r="D6" s="116">
        <v>51370</v>
      </c>
      <c r="E6" s="116">
        <v>0</v>
      </c>
      <c r="F6" s="116">
        <v>1824603.75</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110004</v>
      </c>
      <c r="B7" t="s">
        <v>821</v>
      </c>
      <c r="C7" s="116">
        <v>43898751.101000004</v>
      </c>
      <c r="D7" s="116">
        <v>19223143.805</v>
      </c>
      <c r="E7" s="116">
        <v>241902.17199999999</v>
      </c>
      <c r="F7" s="116">
        <v>62879992.733999997</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110006</v>
      </c>
      <c r="B8" t="s">
        <v>822</v>
      </c>
      <c r="C8" s="116">
        <v>1891752.15</v>
      </c>
      <c r="D8" s="116">
        <v>603456.30500000005</v>
      </c>
      <c r="E8" s="116">
        <v>0</v>
      </c>
      <c r="F8" s="116">
        <v>2495208.4550000001</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110007</v>
      </c>
      <c r="B9" t="s">
        <v>823</v>
      </c>
      <c r="C9" s="116">
        <v>798523.45</v>
      </c>
      <c r="D9" s="116">
        <v>77992.5</v>
      </c>
      <c r="E9" s="116">
        <v>0</v>
      </c>
      <c r="F9" s="116">
        <v>876515.95</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110008</v>
      </c>
      <c r="B10" t="s">
        <v>824</v>
      </c>
      <c r="C10" s="116">
        <v>191765.4</v>
      </c>
      <c r="D10" s="116">
        <v>341782</v>
      </c>
      <c r="E10" s="116">
        <v>0</v>
      </c>
      <c r="F10" s="116">
        <v>533547.4</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111009</v>
      </c>
      <c r="B11" t="s">
        <v>825</v>
      </c>
      <c r="C11" s="116">
        <v>0</v>
      </c>
      <c r="D11" s="116">
        <v>0</v>
      </c>
      <c r="E11" s="116">
        <v>0</v>
      </c>
      <c r="F11" s="116">
        <v>0</v>
      </c>
      <c r="G11" s="43" t="str">
        <f>_xlfn.XLOOKUP($A11,Map!$A:$A,Map!C:C)</f>
        <v>BS</v>
      </c>
      <c r="H11" s="43" t="str">
        <f>_xlfn.XLOOKUP($A11,Map!$A:$A,Map!D:D)</f>
        <v>Non-Current Assets</v>
      </c>
      <c r="I11" s="43" t="str">
        <f>_xlfn.XLOOKUP($A11,Map!$A:$A,Map!E:E)</f>
        <v>Right of use</v>
      </c>
      <c r="J11" s="43" t="str">
        <f>_xlfn.XLOOKUP($A11,Map!$A:$A,Map!F:F)</f>
        <v>Leases - right of use assets</v>
      </c>
    </row>
    <row r="12" spans="1:10" x14ac:dyDescent="0.25">
      <c r="A12">
        <v>111013</v>
      </c>
      <c r="B12" t="s">
        <v>827</v>
      </c>
      <c r="C12" s="116">
        <v>102265401.13600001</v>
      </c>
      <c r="D12" s="116">
        <v>5522713.6560000004</v>
      </c>
      <c r="E12" s="116">
        <v>102647915.831</v>
      </c>
      <c r="F12" s="116">
        <v>5140198.9610000001</v>
      </c>
      <c r="G12" s="43" t="str">
        <f>_xlfn.XLOOKUP($A12,Map!$A:$A,Map!C:C)</f>
        <v>BS</v>
      </c>
      <c r="H12" s="43" t="str">
        <f>_xlfn.XLOOKUP($A12,Map!$A:$A,Map!D:D)</f>
        <v>Non-Current Assets</v>
      </c>
      <c r="I12" s="43" t="str">
        <f>_xlfn.XLOOKUP($A12,Map!$A:$A,Map!E:E)</f>
        <v>Property, plant and equipment</v>
      </c>
      <c r="J12" s="43" t="str">
        <f>_xlfn.XLOOKUP($A12,Map!$A:$A,Map!F:F)</f>
        <v>Property, plant and equipment - Accumulated depreciation</v>
      </c>
    </row>
    <row r="13" spans="1:10" x14ac:dyDescent="0.25">
      <c r="A13">
        <v>120001</v>
      </c>
      <c r="B13" t="s">
        <v>829</v>
      </c>
      <c r="C13" s="116">
        <v>-249682.00700000001</v>
      </c>
      <c r="D13" s="116">
        <v>581061.05700000003</v>
      </c>
      <c r="E13" s="116">
        <v>1026246.737</v>
      </c>
      <c r="F13" s="116">
        <v>-694867.68700000003</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120002</v>
      </c>
      <c r="B14" t="s">
        <v>830</v>
      </c>
      <c r="C14" s="116">
        <v>-1769803.922</v>
      </c>
      <c r="D14" s="116">
        <v>0</v>
      </c>
      <c r="E14" s="116">
        <v>12377.518</v>
      </c>
      <c r="F14" s="116">
        <v>-1782181.44</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120003</v>
      </c>
      <c r="B15" t="s">
        <v>831</v>
      </c>
      <c r="C15" s="116">
        <v>-30823321.811999999</v>
      </c>
      <c r="D15" s="116">
        <v>446372.625</v>
      </c>
      <c r="E15" s="116">
        <v>4410363.193</v>
      </c>
      <c r="F15" s="116">
        <v>-34787312.380000003</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120005</v>
      </c>
      <c r="B16" t="s">
        <v>832</v>
      </c>
      <c r="C16" s="116">
        <v>-1421470.1470000001</v>
      </c>
      <c r="D16" s="116">
        <v>84541.645000000004</v>
      </c>
      <c r="E16" s="116">
        <v>234662.128</v>
      </c>
      <c r="F16" s="116">
        <v>-1571590.63</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120006</v>
      </c>
      <c r="B17" t="s">
        <v>833</v>
      </c>
      <c r="C17" s="116">
        <v>-619613.80299999996</v>
      </c>
      <c r="D17" s="116">
        <v>0</v>
      </c>
      <c r="E17" s="116">
        <v>193120.68799999999</v>
      </c>
      <c r="F17" s="116">
        <v>-812734.49100000004</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120007</v>
      </c>
      <c r="B18" t="s">
        <v>834</v>
      </c>
      <c r="C18" s="116">
        <v>-182314.43299999999</v>
      </c>
      <c r="D18" s="116">
        <v>35.412999999999997</v>
      </c>
      <c r="E18" s="116">
        <v>38740.957000000002</v>
      </c>
      <c r="F18" s="116">
        <v>-221019.97700000001</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121001</v>
      </c>
      <c r="B19" t="s">
        <v>836</v>
      </c>
      <c r="C19" s="116">
        <v>13762616.130000001</v>
      </c>
      <c r="D19" s="116">
        <v>164414.54999999999</v>
      </c>
      <c r="E19" s="116">
        <v>164414.54999999999</v>
      </c>
      <c r="F19" s="116">
        <v>13762616.130000001</v>
      </c>
      <c r="G19" s="43" t="str">
        <f>_xlfn.XLOOKUP($A19,Map!$A:$A,Map!C:C)</f>
        <v>BS</v>
      </c>
      <c r="H19" s="43" t="str">
        <f>_xlfn.XLOOKUP($A19,Map!$A:$A,Map!D:D)</f>
        <v>Current Assets</v>
      </c>
      <c r="I19" s="43" t="str">
        <f>_xlfn.XLOOKUP($A19,Map!$A:$A,Map!E:E)</f>
        <v>Prepaid expenses</v>
      </c>
      <c r="J19" s="43" t="str">
        <f>_xlfn.XLOOKUP($A19,Map!$A:$A,Map!F:F)</f>
        <v>Pre Operating Exps</v>
      </c>
    </row>
    <row r="20" spans="1:10" x14ac:dyDescent="0.25">
      <c r="A20">
        <v>121002</v>
      </c>
      <c r="B20" t="s">
        <v>837</v>
      </c>
      <c r="C20" s="116">
        <v>-13762616.130000001</v>
      </c>
      <c r="D20" s="116">
        <v>0</v>
      </c>
      <c r="E20" s="116">
        <v>0</v>
      </c>
      <c r="F20" s="116">
        <v>-13762616.130000001</v>
      </c>
      <c r="G20" s="43" t="str">
        <f>_xlfn.XLOOKUP($A20,Map!$A:$A,Map!C:C)</f>
        <v>BS</v>
      </c>
      <c r="H20" s="43" t="str">
        <f>_xlfn.XLOOKUP($A20,Map!$A:$A,Map!D:D)</f>
        <v>Current Assets</v>
      </c>
      <c r="I20" s="43" t="str">
        <f>_xlfn.XLOOKUP($A20,Map!$A:$A,Map!E:E)</f>
        <v>Prepaid expenses</v>
      </c>
      <c r="J20" s="43" t="str">
        <f>_xlfn.XLOOKUP($A20,Map!$A:$A,Map!F:F)</f>
        <v>Amortization Of Pre Operating Exps</v>
      </c>
    </row>
    <row r="21" spans="1:10" x14ac:dyDescent="0.25">
      <c r="A21">
        <v>130001</v>
      </c>
      <c r="B21" t="s">
        <v>838</v>
      </c>
      <c r="C21" s="116">
        <v>2591031.906</v>
      </c>
      <c r="D21" s="116">
        <v>137938960.65900001</v>
      </c>
      <c r="E21" s="116">
        <v>138461442.875</v>
      </c>
      <c r="F21" s="116">
        <v>2068549.69</v>
      </c>
      <c r="G21" s="43" t="str">
        <f>_xlfn.XLOOKUP($A21,Map!$A:$A,Map!C:C)</f>
        <v>BS</v>
      </c>
      <c r="H21" s="43" t="str">
        <f>_xlfn.XLOOKUP($A21,Map!$A:$A,Map!D:D)</f>
        <v>Current Assets</v>
      </c>
      <c r="I21" s="43" t="str">
        <f>_xlfn.XLOOKUP($A21,Map!$A:$A,Map!E:E)</f>
        <v>Cash and cash equivalents</v>
      </c>
      <c r="J21" s="43" t="str">
        <f>_xlfn.XLOOKUP($A21,Map!$A:$A,Map!F:F)</f>
        <v>Bank balances</v>
      </c>
    </row>
    <row r="22" spans="1:10" x14ac:dyDescent="0.25">
      <c r="A22">
        <v>130002</v>
      </c>
      <c r="B22" t="s">
        <v>1205</v>
      </c>
      <c r="C22" s="116">
        <v>51063.64</v>
      </c>
      <c r="D22" s="116">
        <v>89244929.233999997</v>
      </c>
      <c r="E22" s="116">
        <v>89289643.554000005</v>
      </c>
      <c r="F22" s="116">
        <v>6349.32</v>
      </c>
      <c r="G22" s="43" t="str">
        <f>_xlfn.XLOOKUP($A22,Map!$A:$A,Map!C:C)</f>
        <v>BS</v>
      </c>
      <c r="H22" s="43" t="str">
        <f>_xlfn.XLOOKUP($A22,Map!$A:$A,Map!D:D)</f>
        <v>Current Assets</v>
      </c>
      <c r="I22" s="43" t="str">
        <f>_xlfn.XLOOKUP($A22,Map!$A:$A,Map!E:E)</f>
        <v>Cash and cash equivalents</v>
      </c>
      <c r="J22" s="43" t="str">
        <f>_xlfn.XLOOKUP($A22,Map!$A:$A,Map!F:F)</f>
        <v>Bank balances</v>
      </c>
    </row>
    <row r="23" spans="1:10" x14ac:dyDescent="0.25">
      <c r="A23">
        <v>130003</v>
      </c>
      <c r="B23" t="s">
        <v>840</v>
      </c>
      <c r="C23" s="116">
        <v>0</v>
      </c>
      <c r="D23" s="116">
        <v>362486.9</v>
      </c>
      <c r="E23" s="116">
        <v>362486.9</v>
      </c>
      <c r="F23" s="116">
        <v>0</v>
      </c>
      <c r="G23" s="43" t="str">
        <f>_xlfn.XLOOKUP($A23,Map!$A:$A,Map!C:C)</f>
        <v>BS</v>
      </c>
      <c r="H23" s="43" t="str">
        <f>_xlfn.XLOOKUP($A23,Map!$A:$A,Map!D:D)</f>
        <v>Current Assets</v>
      </c>
      <c r="I23" s="43" t="str">
        <f>_xlfn.XLOOKUP($A23,Map!$A:$A,Map!E:E)</f>
        <v>Cash and cash equivalents</v>
      </c>
      <c r="J23" s="43" t="str">
        <f>_xlfn.XLOOKUP($A23,Map!$A:$A,Map!F:F)</f>
        <v>Bank balances</v>
      </c>
    </row>
    <row r="24" spans="1:10" x14ac:dyDescent="0.25">
      <c r="A24">
        <v>130004</v>
      </c>
      <c r="B24" t="s">
        <v>841</v>
      </c>
      <c r="C24" s="116">
        <v>2170226.4300000002</v>
      </c>
      <c r="D24" s="116">
        <v>21373965.848000001</v>
      </c>
      <c r="E24" s="116">
        <v>23262230.767999999</v>
      </c>
      <c r="F24" s="116">
        <v>281961.51</v>
      </c>
      <c r="G24" s="43" t="str">
        <f>_xlfn.XLOOKUP($A24,Map!$A:$A,Map!C:C)</f>
        <v>BS</v>
      </c>
      <c r="H24" s="43" t="str">
        <f>_xlfn.XLOOKUP($A24,Map!$A:$A,Map!D:D)</f>
        <v>Current Assets</v>
      </c>
      <c r="I24" s="43" t="str">
        <f>_xlfn.XLOOKUP($A24,Map!$A:$A,Map!E:E)</f>
        <v>Cash and cash equivalents</v>
      </c>
      <c r="J24" s="43" t="str">
        <f>_xlfn.XLOOKUP($A24,Map!$A:$A,Map!F:F)</f>
        <v>Bank balances</v>
      </c>
    </row>
    <row r="25" spans="1:10" x14ac:dyDescent="0.25">
      <c r="A25">
        <v>130005</v>
      </c>
      <c r="B25" t="s">
        <v>842</v>
      </c>
      <c r="C25" s="116">
        <v>1196050.98</v>
      </c>
      <c r="D25" s="116">
        <v>368450</v>
      </c>
      <c r="E25" s="116">
        <v>1564500.98</v>
      </c>
      <c r="F25" s="116">
        <v>0</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130006</v>
      </c>
      <c r="B26" t="s">
        <v>843</v>
      </c>
      <c r="C26" s="116">
        <v>91646.45</v>
      </c>
      <c r="D26" s="116">
        <v>329325.5</v>
      </c>
      <c r="E26" s="116">
        <v>394301.6</v>
      </c>
      <c r="F26" s="116">
        <v>26670.35</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130007</v>
      </c>
      <c r="B27" t="s">
        <v>844</v>
      </c>
      <c r="C27" s="116">
        <v>812449.21699999995</v>
      </c>
      <c r="D27" s="116">
        <v>25323494.489999998</v>
      </c>
      <c r="E27" s="116">
        <v>24501328.616999999</v>
      </c>
      <c r="F27" s="116">
        <v>1634615.09</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130008</v>
      </c>
      <c r="B28" t="s">
        <v>845</v>
      </c>
      <c r="C28" s="116">
        <v>298807.52</v>
      </c>
      <c r="D28" s="116">
        <v>38842390.534999996</v>
      </c>
      <c r="E28" s="116">
        <v>34372046.475000001</v>
      </c>
      <c r="F28" s="116">
        <v>4769151.58</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130099</v>
      </c>
      <c r="B29" t="s">
        <v>856</v>
      </c>
      <c r="C29" s="116">
        <v>0</v>
      </c>
      <c r="D29" s="116">
        <v>148554481.83000001</v>
      </c>
      <c r="E29" s="116">
        <v>148554481.83000001</v>
      </c>
      <c r="F29" s="116">
        <v>0</v>
      </c>
      <c r="G29" s="43" t="str">
        <f>_xlfn.XLOOKUP($A29,Map!$A:$A,Map!C:C)</f>
        <v>BS</v>
      </c>
      <c r="H29" s="43" t="str">
        <f>_xlfn.XLOOKUP($A29,Map!$A:$A,Map!D:D)</f>
        <v>Current Assets</v>
      </c>
      <c r="I29" s="43" t="str">
        <f>_xlfn.XLOOKUP($A29,Map!$A:$A,Map!E:E)</f>
        <v>Cash and cash equivalents</v>
      </c>
      <c r="J29" s="43" t="str">
        <f>_xlfn.XLOOKUP($A29,Map!$A:$A,Map!F:F)</f>
        <v>Bank balances</v>
      </c>
    </row>
    <row r="30" spans="1:10" x14ac:dyDescent="0.25">
      <c r="A30">
        <v>140001</v>
      </c>
      <c r="B30" t="s">
        <v>857</v>
      </c>
      <c r="C30" s="116">
        <v>39364277.743000001</v>
      </c>
      <c r="D30" s="116">
        <v>176613057.49000001</v>
      </c>
      <c r="E30" s="116">
        <v>177669149.185</v>
      </c>
      <c r="F30" s="116">
        <v>38308186.048</v>
      </c>
      <c r="G30" s="43" t="str">
        <f>_xlfn.XLOOKUP($A30,Map!$A:$A,Map!C:C)</f>
        <v>BS</v>
      </c>
      <c r="H30" s="43" t="str">
        <f>_xlfn.XLOOKUP($A30,Map!$A:$A,Map!D:D)</f>
        <v>Current Assets</v>
      </c>
      <c r="I30" s="43" t="str">
        <f>_xlfn.XLOOKUP($A30,Map!$A:$A,Map!E:E)</f>
        <v>Trade receivables</v>
      </c>
      <c r="J30" s="43" t="str">
        <f>_xlfn.XLOOKUP($A30,Map!$A:$A,Map!F:F)</f>
        <v>Trade receivables - current</v>
      </c>
    </row>
    <row r="31" spans="1:10" x14ac:dyDescent="0.25">
      <c r="A31">
        <v>140010</v>
      </c>
      <c r="B31" t="s">
        <v>858</v>
      </c>
      <c r="C31" s="116">
        <v>0</v>
      </c>
      <c r="D31" s="116">
        <v>0</v>
      </c>
      <c r="E31" s="116">
        <v>0</v>
      </c>
      <c r="F31" s="116">
        <v>0</v>
      </c>
      <c r="G31" s="43" t="str">
        <f>_xlfn.XLOOKUP($A31,Map!$A:$A,Map!C:C)</f>
        <v>BS</v>
      </c>
      <c r="H31" s="43" t="str">
        <f>_xlfn.XLOOKUP($A31,Map!$A:$A,Map!D:D)</f>
        <v>Current Assets</v>
      </c>
      <c r="I31" s="43" t="str">
        <f>_xlfn.XLOOKUP($A31,Map!$A:$A,Map!E:E)</f>
        <v>Trade receivables</v>
      </c>
      <c r="J31" s="43" t="str">
        <f>_xlfn.XLOOKUP($A31,Map!$A:$A,Map!F:F)</f>
        <v>Trade receivables - current</v>
      </c>
    </row>
    <row r="32" spans="1:10" x14ac:dyDescent="0.25">
      <c r="A32">
        <v>150001</v>
      </c>
      <c r="B32" t="s">
        <v>859</v>
      </c>
      <c r="C32" s="116">
        <v>43750</v>
      </c>
      <c r="D32" s="116">
        <v>563067</v>
      </c>
      <c r="E32" s="116">
        <v>223449</v>
      </c>
      <c r="F32" s="116">
        <v>383368</v>
      </c>
      <c r="G32" s="43" t="str">
        <f>_xlfn.XLOOKUP($A32,Map!$A:$A,Map!C:C)</f>
        <v>BS</v>
      </c>
      <c r="H32" s="43" t="str">
        <f>_xlfn.XLOOKUP($A32,Map!$A:$A,Map!D:D)</f>
        <v>Current Assets</v>
      </c>
      <c r="I32" s="43" t="str">
        <f>_xlfn.XLOOKUP($A32,Map!$A:$A,Map!E:E)</f>
        <v>Prepaid expenses</v>
      </c>
      <c r="J32" s="43" t="str">
        <f>_xlfn.XLOOKUP($A32,Map!$A:$A,Map!F:F)</f>
        <v>Advances - current</v>
      </c>
    </row>
    <row r="33" spans="1:10" x14ac:dyDescent="0.25">
      <c r="A33">
        <v>160001</v>
      </c>
      <c r="B33" t="s">
        <v>861</v>
      </c>
      <c r="C33" s="116">
        <v>46000</v>
      </c>
      <c r="D33" s="116">
        <v>727305.96</v>
      </c>
      <c r="E33" s="116">
        <v>743059.08</v>
      </c>
      <c r="F33" s="116">
        <v>30246.880000000001</v>
      </c>
      <c r="G33" s="43" t="str">
        <f>_xlfn.XLOOKUP($A33,Map!$A:$A,Map!C:C)</f>
        <v>BS</v>
      </c>
      <c r="H33" s="43" t="str">
        <f>_xlfn.XLOOKUP($A33,Map!$A:$A,Map!D:D)</f>
        <v>Current Assets</v>
      </c>
      <c r="I33" s="43" t="str">
        <f>_xlfn.XLOOKUP($A33,Map!$A:$A,Map!E:E)</f>
        <v>Cash and cash equivalents</v>
      </c>
      <c r="J33" s="43" t="str">
        <f>_xlfn.XLOOKUP($A33,Map!$A:$A,Map!F:F)</f>
        <v>Petty cash</v>
      </c>
    </row>
    <row r="34" spans="1:10" x14ac:dyDescent="0.25">
      <c r="A34">
        <v>170000</v>
      </c>
      <c r="B34" t="s">
        <v>862</v>
      </c>
      <c r="C34" s="116">
        <v>3.0000000000000001E-3</v>
      </c>
      <c r="D34" s="116">
        <v>3176594.699</v>
      </c>
      <c r="E34" s="116">
        <v>2355154.247</v>
      </c>
      <c r="F34" s="116">
        <v>821440.45499999996</v>
      </c>
      <c r="G34" s="43" t="str">
        <f>_xlfn.XLOOKUP($A34,Map!$A:$A,Map!C:C)</f>
        <v>BS</v>
      </c>
      <c r="H34" s="43" t="str">
        <f>_xlfn.XLOOKUP($A34,Map!$A:$A,Map!D:D)</f>
        <v>Current Liabilities</v>
      </c>
      <c r="I34" s="43" t="str">
        <f>_xlfn.XLOOKUP($A34,Map!$A:$A,Map!E:E)</f>
        <v>Short-term Murabaha loans</v>
      </c>
      <c r="J34" s="43" t="str">
        <f>_xlfn.XLOOKUP($A34,Map!$A:$A,Map!F:F)</f>
        <v>Prepayments - current</v>
      </c>
    </row>
    <row r="35" spans="1:10" x14ac:dyDescent="0.25">
      <c r="A35">
        <v>170001</v>
      </c>
      <c r="B35" t="s">
        <v>863</v>
      </c>
      <c r="C35" s="116">
        <v>0</v>
      </c>
      <c r="D35" s="116">
        <v>0</v>
      </c>
      <c r="E35" s="116">
        <v>0</v>
      </c>
      <c r="F35" s="116">
        <v>0</v>
      </c>
      <c r="G35" s="43" t="str">
        <f>_xlfn.XLOOKUP($A35,Map!$A:$A,Map!C:C)</f>
        <v>BS</v>
      </c>
      <c r="H35" s="43" t="str">
        <f>_xlfn.XLOOKUP($A35,Map!$A:$A,Map!D:D)</f>
        <v>Current Liabilities</v>
      </c>
      <c r="I35" s="43" t="str">
        <f>_xlfn.XLOOKUP($A35,Map!$A:$A,Map!E:E)</f>
        <v>Short-term Murabaha loans</v>
      </c>
      <c r="J35" s="43" t="str">
        <f>_xlfn.XLOOKUP($A35,Map!$A:$A,Map!F:F)</f>
        <v>Prepayments - current</v>
      </c>
    </row>
    <row r="36" spans="1:10" x14ac:dyDescent="0.25">
      <c r="A36">
        <v>170002</v>
      </c>
      <c r="B36" t="s">
        <v>864</v>
      </c>
      <c r="C36" s="116">
        <v>0</v>
      </c>
      <c r="D36" s="116">
        <v>899145</v>
      </c>
      <c r="E36" s="116">
        <v>0</v>
      </c>
      <c r="F36" s="116">
        <v>899145</v>
      </c>
      <c r="G36" s="43" t="str">
        <f>_xlfn.XLOOKUP($A36,Map!$A:$A,Map!C:C)</f>
        <v>BS</v>
      </c>
      <c r="H36" s="43" t="str">
        <f>_xlfn.XLOOKUP($A36,Map!$A:$A,Map!D:D)</f>
        <v>Current Liabilities</v>
      </c>
      <c r="I36" s="43" t="str">
        <f>_xlfn.XLOOKUP($A36,Map!$A:$A,Map!E:E)</f>
        <v>Short-term Murabaha loans</v>
      </c>
      <c r="J36" s="43" t="str">
        <f>_xlfn.XLOOKUP($A36,Map!$A:$A,Map!F:F)</f>
        <v>Prepayments - current</v>
      </c>
    </row>
    <row r="37" spans="1:10" x14ac:dyDescent="0.25">
      <c r="A37">
        <v>170003</v>
      </c>
      <c r="B37" t="s">
        <v>865</v>
      </c>
      <c r="C37" s="116">
        <v>-3.0000000000000001E-3</v>
      </c>
      <c r="D37" s="116">
        <v>135208.67600000001</v>
      </c>
      <c r="E37" s="116">
        <v>135208.67300000001</v>
      </c>
      <c r="F37" s="116">
        <v>0</v>
      </c>
      <c r="G37" s="43" t="str">
        <f>_xlfn.XLOOKUP($A37,Map!$A:$A,Map!C:C)</f>
        <v>BS</v>
      </c>
      <c r="H37" s="43" t="str">
        <f>_xlfn.XLOOKUP($A37,Map!$A:$A,Map!D:D)</f>
        <v>Current Liabilities</v>
      </c>
      <c r="I37" s="43" t="str">
        <f>_xlfn.XLOOKUP($A37,Map!$A:$A,Map!E:E)</f>
        <v>Short-term Murabaha loans</v>
      </c>
      <c r="J37" s="43" t="str">
        <f>_xlfn.XLOOKUP($A37,Map!$A:$A,Map!F:F)</f>
        <v>Prepayments - current</v>
      </c>
    </row>
    <row r="38" spans="1:10" x14ac:dyDescent="0.25">
      <c r="A38">
        <v>170004</v>
      </c>
      <c r="B38" t="s">
        <v>866</v>
      </c>
      <c r="C38" s="116">
        <v>0</v>
      </c>
      <c r="D38" s="116">
        <v>0</v>
      </c>
      <c r="E38" s="116">
        <v>0</v>
      </c>
      <c r="F38" s="116">
        <v>0</v>
      </c>
      <c r="G38" s="43" t="str">
        <f>_xlfn.XLOOKUP($A38,Map!$A:$A,Map!C:C)</f>
        <v>BS</v>
      </c>
      <c r="H38" s="43" t="str">
        <f>_xlfn.XLOOKUP($A38,Map!$A:$A,Map!D:D)</f>
        <v>Current Liabilities</v>
      </c>
      <c r="I38" s="43" t="str">
        <f>_xlfn.XLOOKUP($A38,Map!$A:$A,Map!E:E)</f>
        <v>Short-term Murabaha loans</v>
      </c>
      <c r="J38" s="43" t="str">
        <f>_xlfn.XLOOKUP($A38,Map!$A:$A,Map!F:F)</f>
        <v>Prepayments - current</v>
      </c>
    </row>
    <row r="39" spans="1:10" x14ac:dyDescent="0.25">
      <c r="A39">
        <v>170005</v>
      </c>
      <c r="B39" t="s">
        <v>867</v>
      </c>
      <c r="C39" s="116">
        <v>0</v>
      </c>
      <c r="D39" s="116">
        <v>0</v>
      </c>
      <c r="E39" s="116">
        <v>0</v>
      </c>
      <c r="F39" s="116">
        <v>0</v>
      </c>
      <c r="G39" s="43" t="str">
        <f>_xlfn.XLOOKUP($A39,Map!$A:$A,Map!C:C)</f>
        <v>BS</v>
      </c>
      <c r="H39" s="43" t="str">
        <f>_xlfn.XLOOKUP($A39,Map!$A:$A,Map!D:D)</f>
        <v>Current Assets</v>
      </c>
      <c r="I39" s="43" t="str">
        <f>_xlfn.XLOOKUP($A39,Map!$A:$A,Map!E:E)</f>
        <v>Prepaid expenses</v>
      </c>
      <c r="J39" s="43" t="str">
        <f>_xlfn.XLOOKUP($A39,Map!$A:$A,Map!F:F)</f>
        <v>Deposits - current</v>
      </c>
    </row>
    <row r="40" spans="1:10" x14ac:dyDescent="0.25">
      <c r="A40">
        <v>170006</v>
      </c>
      <c r="B40" t="s">
        <v>868</v>
      </c>
      <c r="C40" s="116">
        <v>0</v>
      </c>
      <c r="D40" s="116">
        <v>4820943.4960000003</v>
      </c>
      <c r="E40" s="116">
        <v>4820943.4960000003</v>
      </c>
      <c r="F40" s="116">
        <v>0</v>
      </c>
      <c r="G40" s="43" t="str">
        <f>_xlfn.XLOOKUP($A40,Map!$A:$A,Map!C:C)</f>
        <v>BS</v>
      </c>
      <c r="H40" s="43" t="str">
        <f>_xlfn.XLOOKUP($A40,Map!$A:$A,Map!D:D)</f>
        <v>Current Assets</v>
      </c>
      <c r="I40" s="43" t="str">
        <f>_xlfn.XLOOKUP($A40,Map!$A:$A,Map!E:E)</f>
        <v>Prepaid expenses</v>
      </c>
      <c r="J40" s="43" t="str">
        <f>_xlfn.XLOOKUP($A40,Map!$A:$A,Map!F:F)</f>
        <v>Deposits - current</v>
      </c>
    </row>
    <row r="41" spans="1:10" x14ac:dyDescent="0.25">
      <c r="A41">
        <v>170007</v>
      </c>
      <c r="B41" t="s">
        <v>869</v>
      </c>
      <c r="C41" s="116">
        <v>0</v>
      </c>
      <c r="D41" s="116">
        <v>48445</v>
      </c>
      <c r="E41" s="116">
        <v>48445</v>
      </c>
      <c r="F41" s="116">
        <v>0</v>
      </c>
      <c r="G41" s="43" t="str">
        <f>_xlfn.XLOOKUP($A41,Map!$A:$A,Map!C:C)</f>
        <v>BS</v>
      </c>
      <c r="H41" s="43" t="str">
        <f>_xlfn.XLOOKUP($A41,Map!$A:$A,Map!D:D)</f>
        <v>Current Assets</v>
      </c>
      <c r="I41" s="43" t="str">
        <f>_xlfn.XLOOKUP($A41,Map!$A:$A,Map!E:E)</f>
        <v>Prepaid expenses</v>
      </c>
      <c r="J41" s="43" t="str">
        <f>_xlfn.XLOOKUP($A41,Map!$A:$A,Map!F:F)</f>
        <v>Deposits - current</v>
      </c>
    </row>
    <row r="42" spans="1:10" x14ac:dyDescent="0.25">
      <c r="A42">
        <v>170008</v>
      </c>
      <c r="B42" t="s">
        <v>870</v>
      </c>
      <c r="C42" s="116">
        <v>0</v>
      </c>
      <c r="D42" s="116">
        <v>0</v>
      </c>
      <c r="E42" s="116">
        <v>0</v>
      </c>
      <c r="F42" s="116">
        <v>0</v>
      </c>
      <c r="G42" s="43" t="str">
        <f>_xlfn.XLOOKUP($A42,Map!$A:$A,Map!C:C)</f>
        <v>BS</v>
      </c>
      <c r="H42" s="43" t="str">
        <f>_xlfn.XLOOKUP($A42,Map!$A:$A,Map!D:D)</f>
        <v>Current Assets</v>
      </c>
      <c r="I42" s="43" t="str">
        <f>_xlfn.XLOOKUP($A42,Map!$A:$A,Map!E:E)</f>
        <v>Prepaid expenses</v>
      </c>
      <c r="J42" s="43" t="str">
        <f>_xlfn.XLOOKUP($A42,Map!$A:$A,Map!F:F)</f>
        <v>Deposits - current</v>
      </c>
    </row>
    <row r="43" spans="1:10" x14ac:dyDescent="0.25">
      <c r="A43">
        <v>170009</v>
      </c>
      <c r="B43" t="s">
        <v>871</v>
      </c>
      <c r="C43" s="116">
        <v>34444.000999999997</v>
      </c>
      <c r="D43" s="116">
        <v>1101718.273</v>
      </c>
      <c r="E43" s="116">
        <v>1060927.274</v>
      </c>
      <c r="F43" s="116">
        <v>75235</v>
      </c>
      <c r="G43" s="43" t="str">
        <f>_xlfn.XLOOKUP($A43,Map!$A:$A,Map!C:C)</f>
        <v>BS</v>
      </c>
      <c r="H43" s="43" t="str">
        <f>_xlfn.XLOOKUP($A43,Map!$A:$A,Map!D:D)</f>
        <v>Current Assets</v>
      </c>
      <c r="I43" s="43" t="str">
        <f>_xlfn.XLOOKUP($A43,Map!$A:$A,Map!E:E)</f>
        <v>Prepaid expenses</v>
      </c>
      <c r="J43" s="43" t="str">
        <f>_xlfn.XLOOKUP($A43,Map!$A:$A,Map!F:F)</f>
        <v>Rent</v>
      </c>
    </row>
    <row r="44" spans="1:10" x14ac:dyDescent="0.25">
      <c r="A44">
        <v>170010</v>
      </c>
      <c r="B44" t="s">
        <v>872</v>
      </c>
      <c r="C44" s="116">
        <v>0</v>
      </c>
      <c r="D44" s="116">
        <v>694466.652</v>
      </c>
      <c r="E44" s="116">
        <v>694466.652</v>
      </c>
      <c r="F44" s="116">
        <v>0</v>
      </c>
      <c r="G44" s="43" t="str">
        <f>_xlfn.XLOOKUP($A44,Map!$A:$A,Map!C:C)</f>
        <v>BS</v>
      </c>
      <c r="H44" s="43" t="str">
        <f>_xlfn.XLOOKUP($A44,Map!$A:$A,Map!D:D)</f>
        <v>Current Assets</v>
      </c>
      <c r="I44" s="43" t="str">
        <f>_xlfn.XLOOKUP($A44,Map!$A:$A,Map!E:E)</f>
        <v>Prepaid expenses</v>
      </c>
      <c r="J44" s="43" t="str">
        <f>_xlfn.XLOOKUP($A44,Map!$A:$A,Map!F:F)</f>
        <v>Housing allowance</v>
      </c>
    </row>
    <row r="45" spans="1:10" x14ac:dyDescent="0.25">
      <c r="A45">
        <v>170011</v>
      </c>
      <c r="B45" t="s">
        <v>873</v>
      </c>
      <c r="C45" s="116">
        <v>0</v>
      </c>
      <c r="D45" s="116">
        <v>1050976.58</v>
      </c>
      <c r="E45" s="116">
        <v>875976.58</v>
      </c>
      <c r="F45" s="116">
        <v>175000</v>
      </c>
      <c r="G45" s="43" t="str">
        <f>_xlfn.XLOOKUP($A45,Map!$A:$A,Map!C:C)</f>
        <v>BS</v>
      </c>
      <c r="H45" s="43" t="str">
        <f>_xlfn.XLOOKUP($A45,Map!$A:$A,Map!D:D)</f>
        <v>Current Assets</v>
      </c>
      <c r="I45" s="43" t="str">
        <f>_xlfn.XLOOKUP($A45,Map!$A:$A,Map!E:E)</f>
        <v>Prepaid expenses</v>
      </c>
      <c r="J45" s="43" t="str">
        <f>_xlfn.XLOOKUP($A45,Map!$A:$A,Map!F:F)</f>
        <v>Air tickets</v>
      </c>
    </row>
    <row r="46" spans="1:10" x14ac:dyDescent="0.25">
      <c r="A46">
        <v>170013</v>
      </c>
      <c r="B46" t="s">
        <v>875</v>
      </c>
      <c r="C46" s="116">
        <v>59000</v>
      </c>
      <c r="D46" s="116">
        <v>5000</v>
      </c>
      <c r="E46" s="116">
        <v>0</v>
      </c>
      <c r="F46" s="116">
        <v>64000</v>
      </c>
      <c r="G46" s="43" t="str">
        <f>_xlfn.XLOOKUP($A46,Map!$A:$A,Map!C:C)</f>
        <v>BS</v>
      </c>
      <c r="H46" s="43" t="str">
        <f>_xlfn.XLOOKUP($A46,Map!$A:$A,Map!D:D)</f>
        <v>Current Assets</v>
      </c>
      <c r="I46" s="43" t="str">
        <f>_xlfn.XLOOKUP($A46,Map!$A:$A,Map!E:E)</f>
        <v>Prepaid expenses</v>
      </c>
      <c r="J46" s="43" t="str">
        <f>_xlfn.XLOOKUP($A46,Map!$A:$A,Map!F:F)</f>
        <v>Insurance</v>
      </c>
    </row>
    <row r="47" spans="1:10" x14ac:dyDescent="0.25">
      <c r="A47">
        <v>170014</v>
      </c>
      <c r="B47" t="s">
        <v>876</v>
      </c>
      <c r="C47" s="116">
        <v>284241.5</v>
      </c>
      <c r="D47" s="116">
        <v>674208.14800000004</v>
      </c>
      <c r="E47" s="116">
        <v>637352.64800000004</v>
      </c>
      <c r="F47" s="116">
        <v>321097</v>
      </c>
      <c r="G47" s="43" t="str">
        <f>_xlfn.XLOOKUP($A47,Map!$A:$A,Map!C:C)</f>
        <v>BS</v>
      </c>
      <c r="H47" s="43" t="str">
        <f>_xlfn.XLOOKUP($A47,Map!$A:$A,Map!D:D)</f>
        <v>Current Assets</v>
      </c>
      <c r="I47" s="43" t="str">
        <f>_xlfn.XLOOKUP($A47,Map!$A:$A,Map!E:E)</f>
        <v>Prepaid expenses</v>
      </c>
      <c r="J47" s="43" t="str">
        <f>_xlfn.XLOOKUP($A47,Map!$A:$A,Map!F:F)</f>
        <v>Insurance</v>
      </c>
    </row>
    <row r="48" spans="1:10" x14ac:dyDescent="0.25">
      <c r="A48">
        <v>170015</v>
      </c>
      <c r="B48" t="s">
        <v>877</v>
      </c>
      <c r="C48" s="116">
        <v>0</v>
      </c>
      <c r="D48" s="116">
        <v>170477</v>
      </c>
      <c r="E48" s="116">
        <v>170477</v>
      </c>
      <c r="F48" s="116">
        <v>0</v>
      </c>
      <c r="G48" s="43" t="str">
        <f>_xlfn.XLOOKUP($A48,Map!$A:$A,Map!C:C)</f>
        <v>BS</v>
      </c>
      <c r="H48" s="43" t="str">
        <f>_xlfn.XLOOKUP($A48,Map!$A:$A,Map!D:D)</f>
        <v>Current Assets</v>
      </c>
      <c r="I48" s="43" t="str">
        <f>_xlfn.XLOOKUP($A48,Map!$A:$A,Map!E:E)</f>
        <v>Prepaid expenses</v>
      </c>
      <c r="J48" s="43" t="str">
        <f>_xlfn.XLOOKUP($A48,Map!$A:$A,Map!F:F)</f>
        <v>Salaries and wages</v>
      </c>
    </row>
    <row r="49" spans="1:10" x14ac:dyDescent="0.25">
      <c r="A49">
        <v>170016</v>
      </c>
      <c r="B49" t="s">
        <v>878</v>
      </c>
      <c r="C49" s="116">
        <v>0</v>
      </c>
      <c r="D49" s="116">
        <v>659957.69999999995</v>
      </c>
      <c r="E49" s="116">
        <v>336779.7</v>
      </c>
      <c r="F49" s="116">
        <v>323178</v>
      </c>
      <c r="G49" s="43" t="str">
        <f>_xlfn.XLOOKUP($A49,Map!$A:$A,Map!C:C)</f>
        <v>BS</v>
      </c>
      <c r="H49" s="43" t="str">
        <f>_xlfn.XLOOKUP($A49,Map!$A:$A,Map!D:D)</f>
        <v>Current Assets</v>
      </c>
      <c r="I49" s="43" t="str">
        <f>_xlfn.XLOOKUP($A49,Map!$A:$A,Map!E:E)</f>
        <v>Prepaid expenses</v>
      </c>
      <c r="J49" s="43" t="str">
        <f>_xlfn.XLOOKUP($A49,Map!$A:$A,Map!F:F)</f>
        <v>Other receivables - current</v>
      </c>
    </row>
    <row r="50" spans="1:10" x14ac:dyDescent="0.25">
      <c r="A50">
        <v>180001</v>
      </c>
      <c r="B50" t="s">
        <v>884</v>
      </c>
      <c r="C50" s="116">
        <v>0</v>
      </c>
      <c r="D50" s="116">
        <v>1525240.3319999999</v>
      </c>
      <c r="E50" s="116">
        <v>1525240.3319999999</v>
      </c>
      <c r="F50" s="116">
        <v>0</v>
      </c>
      <c r="G50" s="43" t="str">
        <f>_xlfn.XLOOKUP($A50,Map!$A:$A,Map!C:C)</f>
        <v>BS</v>
      </c>
      <c r="H50" s="43" t="str">
        <f>_xlfn.XLOOKUP($A50,Map!$A:$A,Map!D:D)</f>
        <v>Current Assets</v>
      </c>
      <c r="I50" s="43" t="str">
        <f>_xlfn.XLOOKUP($A50,Map!$A:$A,Map!E:E)</f>
        <v>Inventories</v>
      </c>
      <c r="J50" s="43" t="str">
        <f>_xlfn.XLOOKUP($A50,Map!$A:$A,Map!F:F)</f>
        <v>Raw materials - Inventory</v>
      </c>
    </row>
    <row r="51" spans="1:10" x14ac:dyDescent="0.25">
      <c r="A51">
        <v>180002</v>
      </c>
      <c r="B51" t="s">
        <v>885</v>
      </c>
      <c r="C51" s="116">
        <v>0</v>
      </c>
      <c r="D51" s="116">
        <v>9053.99</v>
      </c>
      <c r="E51" s="116">
        <v>9053.99</v>
      </c>
      <c r="F51" s="116">
        <v>0</v>
      </c>
      <c r="G51" s="43" t="str">
        <f>_xlfn.XLOOKUP($A51,Map!$A:$A,Map!C:C)</f>
        <v>BS</v>
      </c>
      <c r="H51" s="43" t="str">
        <f>_xlfn.XLOOKUP($A51,Map!$A:$A,Map!D:D)</f>
        <v>Current Assets</v>
      </c>
      <c r="I51" s="43" t="str">
        <f>_xlfn.XLOOKUP($A51,Map!$A:$A,Map!E:E)</f>
        <v>Inventories</v>
      </c>
      <c r="J51" s="43" t="str">
        <f>_xlfn.XLOOKUP($A51,Map!$A:$A,Map!F:F)</f>
        <v>Raw materials - Inventory</v>
      </c>
    </row>
    <row r="52" spans="1:10" x14ac:dyDescent="0.25">
      <c r="A52">
        <v>180003</v>
      </c>
      <c r="B52" t="s">
        <v>886</v>
      </c>
      <c r="C52" s="116">
        <v>3299573.9649999999</v>
      </c>
      <c r="D52" s="116">
        <v>7838301.4939999999</v>
      </c>
      <c r="E52" s="116">
        <v>4519973.4819999998</v>
      </c>
      <c r="F52" s="116">
        <v>6617901.977</v>
      </c>
      <c r="G52" s="43" t="str">
        <f>_xlfn.XLOOKUP($A52,Map!$A:$A,Map!C:C)</f>
        <v>BS</v>
      </c>
      <c r="H52" s="43" t="str">
        <f>_xlfn.XLOOKUP($A52,Map!$A:$A,Map!D:D)</f>
        <v>Current Assets</v>
      </c>
      <c r="I52" s="43" t="str">
        <f>_xlfn.XLOOKUP($A52,Map!$A:$A,Map!E:E)</f>
        <v>Inventories</v>
      </c>
      <c r="J52" s="43" t="str">
        <f>_xlfn.XLOOKUP($A52,Map!$A:$A,Map!F:F)</f>
        <v>Spare parts - Inventory</v>
      </c>
    </row>
    <row r="53" spans="1:10" x14ac:dyDescent="0.25">
      <c r="A53">
        <v>180004</v>
      </c>
      <c r="B53" t="s">
        <v>887</v>
      </c>
      <c r="C53" s="116">
        <v>5349660.4009999996</v>
      </c>
      <c r="D53" s="116">
        <v>34796596.783</v>
      </c>
      <c r="E53" s="116">
        <v>22684966.585999999</v>
      </c>
      <c r="F53" s="116">
        <v>17461290.598000001</v>
      </c>
      <c r="G53" s="43" t="str">
        <f>_xlfn.XLOOKUP($A53,Map!$A:$A,Map!C:C)</f>
        <v>BS</v>
      </c>
      <c r="H53" s="43" t="str">
        <f>_xlfn.XLOOKUP($A53,Map!$A:$A,Map!D:D)</f>
        <v>Current Assets</v>
      </c>
      <c r="I53" s="43" t="str">
        <f>_xlfn.XLOOKUP($A53,Map!$A:$A,Map!E:E)</f>
        <v>Inventories</v>
      </c>
      <c r="J53" s="43" t="str">
        <f>_xlfn.XLOOKUP($A53,Map!$A:$A,Map!F:F)</f>
        <v>Raw materials - Inventory</v>
      </c>
    </row>
    <row r="54" spans="1:10" x14ac:dyDescent="0.25">
      <c r="A54">
        <v>180005</v>
      </c>
      <c r="B54" t="s">
        <v>888</v>
      </c>
      <c r="C54" s="116">
        <v>2403224.9559999998</v>
      </c>
      <c r="D54" s="116">
        <v>21855945.98</v>
      </c>
      <c r="E54" s="116">
        <v>10587231.960000001</v>
      </c>
      <c r="F54" s="116">
        <v>13671938.976</v>
      </c>
      <c r="G54" s="43" t="str">
        <f>_xlfn.XLOOKUP($A54,Map!$A:$A,Map!C:C)</f>
        <v>BS</v>
      </c>
      <c r="H54" s="43" t="str">
        <f>_xlfn.XLOOKUP($A54,Map!$A:$A,Map!D:D)</f>
        <v>Current Assets</v>
      </c>
      <c r="I54" s="43" t="str">
        <f>_xlfn.XLOOKUP($A54,Map!$A:$A,Map!E:E)</f>
        <v>Inventories</v>
      </c>
      <c r="J54" s="43" t="str">
        <f>_xlfn.XLOOKUP($A54,Map!$A:$A,Map!F:F)</f>
        <v>Raw materials - Inventory</v>
      </c>
    </row>
    <row r="55" spans="1:10" x14ac:dyDescent="0.25">
      <c r="A55">
        <v>180006</v>
      </c>
      <c r="B55" t="s">
        <v>889</v>
      </c>
      <c r="C55" s="116">
        <v>425239.42300000001</v>
      </c>
      <c r="D55" s="116">
        <v>6468924.0480000004</v>
      </c>
      <c r="E55" s="116">
        <v>3488339.37</v>
      </c>
      <c r="F55" s="116">
        <v>3405824.1009999998</v>
      </c>
      <c r="G55" s="43" t="str">
        <f>_xlfn.XLOOKUP($A55,Map!$A:$A,Map!C:C)</f>
        <v>BS</v>
      </c>
      <c r="H55" s="43" t="str">
        <f>_xlfn.XLOOKUP($A55,Map!$A:$A,Map!D:D)</f>
        <v>Current Assets</v>
      </c>
      <c r="I55" s="43" t="str">
        <f>_xlfn.XLOOKUP($A55,Map!$A:$A,Map!E:E)</f>
        <v>Inventories</v>
      </c>
      <c r="J55" s="43" t="str">
        <f>_xlfn.XLOOKUP($A55,Map!$A:$A,Map!F:F)</f>
        <v>Raw materials - Inventory</v>
      </c>
    </row>
    <row r="56" spans="1:10" x14ac:dyDescent="0.25">
      <c r="A56">
        <v>180007</v>
      </c>
      <c r="B56" t="s">
        <v>890</v>
      </c>
      <c r="C56" s="116">
        <v>1090998.24</v>
      </c>
      <c r="D56" s="116">
        <v>11431391.359999999</v>
      </c>
      <c r="E56" s="116">
        <v>10548465.300000001</v>
      </c>
      <c r="F56" s="116">
        <v>1973924.3</v>
      </c>
      <c r="G56" s="43" t="str">
        <f>_xlfn.XLOOKUP($A56,Map!$A:$A,Map!C:C)</f>
        <v>BS</v>
      </c>
      <c r="H56" s="43" t="str">
        <f>_xlfn.XLOOKUP($A56,Map!$A:$A,Map!D:D)</f>
        <v>Current Assets</v>
      </c>
      <c r="I56" s="43" t="str">
        <f>_xlfn.XLOOKUP($A56,Map!$A:$A,Map!E:E)</f>
        <v>Inventories</v>
      </c>
      <c r="J56" s="43" t="str">
        <f>_xlfn.XLOOKUP($A56,Map!$A:$A,Map!F:F)</f>
        <v>Raw materials - Inventory</v>
      </c>
    </row>
    <row r="57" spans="1:10" x14ac:dyDescent="0.25">
      <c r="A57">
        <v>180008</v>
      </c>
      <c r="B57" t="s">
        <v>891</v>
      </c>
      <c r="C57" s="116">
        <v>1568037.8160000001</v>
      </c>
      <c r="D57" s="116">
        <v>668604.24199999997</v>
      </c>
      <c r="E57" s="116">
        <v>367647.81</v>
      </c>
      <c r="F57" s="116">
        <v>1868994.2479999999</v>
      </c>
      <c r="G57" s="43" t="str">
        <f>_xlfn.XLOOKUP($A57,Map!$A:$A,Map!C:C)</f>
        <v>BS</v>
      </c>
      <c r="H57" s="43" t="str">
        <f>_xlfn.XLOOKUP($A57,Map!$A:$A,Map!D:D)</f>
        <v>Current Assets</v>
      </c>
      <c r="I57" s="43" t="str">
        <f>_xlfn.XLOOKUP($A57,Map!$A:$A,Map!E:E)</f>
        <v>Inventories</v>
      </c>
      <c r="J57" s="43" t="str">
        <f>_xlfn.XLOOKUP($A57,Map!$A:$A,Map!F:F)</f>
        <v>Raw materials - Inventory</v>
      </c>
    </row>
    <row r="58" spans="1:10" x14ac:dyDescent="0.25">
      <c r="A58">
        <v>180009</v>
      </c>
      <c r="B58" t="s">
        <v>892</v>
      </c>
      <c r="C58" s="116">
        <v>-0.02</v>
      </c>
      <c r="D58" s="116">
        <v>132777696.609</v>
      </c>
      <c r="E58" s="116">
        <v>132777696.59299999</v>
      </c>
      <c r="F58" s="116">
        <v>-4.0000000000000001E-3</v>
      </c>
      <c r="G58" s="43" t="str">
        <f>_xlfn.XLOOKUP($A58,Map!$A:$A,Map!C:C)</f>
        <v>BS</v>
      </c>
      <c r="H58" s="43" t="str">
        <f>_xlfn.XLOOKUP($A58,Map!$A:$A,Map!D:D)</f>
        <v>Current Assets</v>
      </c>
      <c r="I58" s="43" t="str">
        <f>_xlfn.XLOOKUP($A58,Map!$A:$A,Map!E:E)</f>
        <v>Inventories</v>
      </c>
      <c r="J58" s="43" t="str">
        <f>_xlfn.XLOOKUP($A58,Map!$A:$A,Map!F:F)</f>
        <v>Raw materials - Inventory</v>
      </c>
    </row>
    <row r="59" spans="1:10" x14ac:dyDescent="0.25">
      <c r="A59">
        <v>180010</v>
      </c>
      <c r="B59" t="s">
        <v>893</v>
      </c>
      <c r="C59" s="116">
        <v>1731640.504</v>
      </c>
      <c r="D59" s="116">
        <v>7431351.7089999998</v>
      </c>
      <c r="E59" s="116">
        <v>5878505.1780000003</v>
      </c>
      <c r="F59" s="116">
        <v>3284487.0350000001</v>
      </c>
      <c r="G59" s="43" t="str">
        <f>_xlfn.XLOOKUP($A59,Map!$A:$A,Map!C:C)</f>
        <v>BS</v>
      </c>
      <c r="H59" s="43" t="str">
        <f>_xlfn.XLOOKUP($A59,Map!$A:$A,Map!D:D)</f>
        <v>Current Assets</v>
      </c>
      <c r="I59" s="43" t="str">
        <f>_xlfn.XLOOKUP($A59,Map!$A:$A,Map!E:E)</f>
        <v>Inventories</v>
      </c>
      <c r="J59" s="43" t="str">
        <f>_xlfn.XLOOKUP($A59,Map!$A:$A,Map!F:F)</f>
        <v>Packaging materials - Inventory</v>
      </c>
    </row>
    <row r="60" spans="1:10" x14ac:dyDescent="0.25">
      <c r="A60">
        <v>180011</v>
      </c>
      <c r="B60" t="s">
        <v>894</v>
      </c>
      <c r="C60" s="116">
        <v>3759293.67</v>
      </c>
      <c r="D60" s="116">
        <v>45418241.355999999</v>
      </c>
      <c r="E60" s="116">
        <v>43187005.086999997</v>
      </c>
      <c r="F60" s="116">
        <v>5990529.9390000002</v>
      </c>
      <c r="G60" s="43" t="str">
        <f>_xlfn.XLOOKUP($A60,Map!$A:$A,Map!C:C)</f>
        <v>BS</v>
      </c>
      <c r="H60" s="43" t="str">
        <f>_xlfn.XLOOKUP($A60,Map!$A:$A,Map!D:D)</f>
        <v>Current Assets</v>
      </c>
      <c r="I60" s="43" t="str">
        <f>_xlfn.XLOOKUP($A60,Map!$A:$A,Map!E:E)</f>
        <v>Inventories</v>
      </c>
      <c r="J60" s="43" t="str">
        <f>_xlfn.XLOOKUP($A60,Map!$A:$A,Map!F:F)</f>
        <v>Finished goods - Inventory</v>
      </c>
    </row>
    <row r="61" spans="1:10" x14ac:dyDescent="0.25">
      <c r="A61">
        <v>180012</v>
      </c>
      <c r="B61" t="s">
        <v>895</v>
      </c>
      <c r="C61" s="116">
        <v>1969194.7039999999</v>
      </c>
      <c r="D61" s="116">
        <v>36037443.204000004</v>
      </c>
      <c r="E61" s="116">
        <v>33851264.467</v>
      </c>
      <c r="F61" s="116">
        <v>4155373.4410000001</v>
      </c>
      <c r="G61" s="43" t="str">
        <f>_xlfn.XLOOKUP($A61,Map!$A:$A,Map!C:C)</f>
        <v>BS</v>
      </c>
      <c r="H61" s="43" t="str">
        <f>_xlfn.XLOOKUP($A61,Map!$A:$A,Map!D:D)</f>
        <v>Current Assets</v>
      </c>
      <c r="I61" s="43" t="str">
        <f>_xlfn.XLOOKUP($A61,Map!$A:$A,Map!E:E)</f>
        <v>Inventories</v>
      </c>
      <c r="J61" s="43" t="str">
        <f>_xlfn.XLOOKUP($A61,Map!$A:$A,Map!F:F)</f>
        <v>Work in progress - Inventory</v>
      </c>
    </row>
    <row r="62" spans="1:10" x14ac:dyDescent="0.25">
      <c r="A62">
        <v>180013</v>
      </c>
      <c r="B62" t="s">
        <v>896</v>
      </c>
      <c r="C62" s="116">
        <v>4435009.0870000003</v>
      </c>
      <c r="D62" s="116">
        <v>23763497.223000001</v>
      </c>
      <c r="E62" s="116">
        <v>19874535.824999999</v>
      </c>
      <c r="F62" s="116">
        <v>8323970.4850000003</v>
      </c>
      <c r="G62" s="43" t="str">
        <f>_xlfn.XLOOKUP($A62,Map!$A:$A,Map!C:C)</f>
        <v>BS</v>
      </c>
      <c r="H62" s="43" t="str">
        <f>_xlfn.XLOOKUP($A62,Map!$A:$A,Map!D:D)</f>
        <v>Current Assets</v>
      </c>
      <c r="I62" s="43" t="str">
        <f>_xlfn.XLOOKUP($A62,Map!$A:$A,Map!E:E)</f>
        <v>Inventories</v>
      </c>
      <c r="J62" s="43" t="str">
        <f>_xlfn.XLOOKUP($A62,Map!$A:$A,Map!F:F)</f>
        <v>Finished goods - Inventory</v>
      </c>
    </row>
    <row r="63" spans="1:10" x14ac:dyDescent="0.25">
      <c r="A63">
        <v>180014</v>
      </c>
      <c r="B63" t="s">
        <v>897</v>
      </c>
      <c r="C63" s="116">
        <v>759475.83</v>
      </c>
      <c r="D63" s="116">
        <v>44763288.721000001</v>
      </c>
      <c r="E63" s="116">
        <v>45522764.550999999</v>
      </c>
      <c r="F63" s="116">
        <v>0</v>
      </c>
      <c r="G63" s="43" t="str">
        <f>_xlfn.XLOOKUP($A63,Map!$A:$A,Map!C:C)</f>
        <v>BS</v>
      </c>
      <c r="H63" s="43" t="str">
        <f>_xlfn.XLOOKUP($A63,Map!$A:$A,Map!D:D)</f>
        <v>Current Assets</v>
      </c>
      <c r="I63" s="43" t="str">
        <f>_xlfn.XLOOKUP($A63,Map!$A:$A,Map!E:E)</f>
        <v>Inventories</v>
      </c>
      <c r="J63" s="43" t="str">
        <f>_xlfn.XLOOKUP($A63,Map!$A:$A,Map!F:F)</f>
        <v>Work in progress - Inventory</v>
      </c>
    </row>
    <row r="64" spans="1:10" x14ac:dyDescent="0.25">
      <c r="A64">
        <v>180096</v>
      </c>
      <c r="B64" t="s">
        <v>898</v>
      </c>
      <c r="C64" s="116">
        <v>177283.36499999999</v>
      </c>
      <c r="D64" s="116">
        <v>33079668.467999998</v>
      </c>
      <c r="E64" s="116">
        <v>33256951.835000001</v>
      </c>
      <c r="F64" s="116">
        <v>-2E-3</v>
      </c>
      <c r="G64" s="43" t="str">
        <f>_xlfn.XLOOKUP($A64,Map!$A:$A,Map!C:C)</f>
        <v>BS</v>
      </c>
      <c r="H64" s="43" t="str">
        <f>_xlfn.XLOOKUP($A64,Map!$A:$A,Map!D:D)</f>
        <v>Current Assets</v>
      </c>
      <c r="I64" s="43" t="str">
        <f>_xlfn.XLOOKUP($A64,Map!$A:$A,Map!E:E)</f>
        <v>Inventories</v>
      </c>
      <c r="J64" s="43" t="str">
        <f>_xlfn.XLOOKUP($A64,Map!$A:$A,Map!F:F)</f>
        <v>Work in progress - Inventory</v>
      </c>
    </row>
    <row r="65" spans="1:10" x14ac:dyDescent="0.25">
      <c r="A65">
        <v>180097</v>
      </c>
      <c r="B65" t="s">
        <v>899</v>
      </c>
      <c r="C65" s="116">
        <v>0</v>
      </c>
      <c r="D65" s="116">
        <v>111103.143</v>
      </c>
      <c r="E65" s="116">
        <v>111103.143</v>
      </c>
      <c r="F65" s="116">
        <v>0</v>
      </c>
      <c r="G65" s="43" t="str">
        <f>_xlfn.XLOOKUP($A65,Map!$A:$A,Map!C:C)</f>
        <v>BS</v>
      </c>
      <c r="H65" s="43" t="str">
        <f>_xlfn.XLOOKUP($A65,Map!$A:$A,Map!D:D)</f>
        <v>Current Assets</v>
      </c>
      <c r="I65" s="43" t="str">
        <f>_xlfn.XLOOKUP($A65,Map!$A:$A,Map!E:E)</f>
        <v>Inventories</v>
      </c>
      <c r="J65" s="43" t="str">
        <f>_xlfn.XLOOKUP($A65,Map!$A:$A,Map!F:F)</f>
        <v>Work in progress - Inventory</v>
      </c>
    </row>
    <row r="66" spans="1:10" x14ac:dyDescent="0.25">
      <c r="A66">
        <v>180098</v>
      </c>
      <c r="B66" t="s">
        <v>900</v>
      </c>
      <c r="C66" s="116">
        <v>0</v>
      </c>
      <c r="D66" s="116">
        <v>0</v>
      </c>
      <c r="E66" s="116">
        <v>0</v>
      </c>
      <c r="F66" s="116">
        <v>0</v>
      </c>
      <c r="G66" s="43" t="str">
        <f>_xlfn.XLOOKUP($A66,Map!$A:$A,Map!C:C)</f>
        <v>BS</v>
      </c>
      <c r="H66" s="43" t="str">
        <f>_xlfn.XLOOKUP($A66,Map!$A:$A,Map!D:D)</f>
        <v>Current Assets</v>
      </c>
      <c r="I66" s="43" t="str">
        <f>_xlfn.XLOOKUP($A66,Map!$A:$A,Map!E:E)</f>
        <v>Inventories</v>
      </c>
      <c r="J66" s="43" t="str">
        <f>_xlfn.XLOOKUP($A66,Map!$A:$A,Map!F:F)</f>
        <v>Work in progress - Inventory</v>
      </c>
    </row>
    <row r="67" spans="1:10" x14ac:dyDescent="0.25">
      <c r="A67">
        <v>180099</v>
      </c>
      <c r="B67" t="s">
        <v>901</v>
      </c>
      <c r="C67" s="116">
        <v>0</v>
      </c>
      <c r="D67" s="116">
        <v>0</v>
      </c>
      <c r="E67" s="116">
        <v>0</v>
      </c>
      <c r="F67" s="116">
        <v>0</v>
      </c>
      <c r="G67" s="43" t="str">
        <f>_xlfn.XLOOKUP($A67,Map!$A:$A,Map!C:C)</f>
        <v>BS</v>
      </c>
      <c r="H67" s="43" t="str">
        <f>_xlfn.XLOOKUP($A67,Map!$A:$A,Map!D:D)</f>
        <v>Current Assets</v>
      </c>
      <c r="I67" s="43" t="str">
        <f>_xlfn.XLOOKUP($A67,Map!$A:$A,Map!E:E)</f>
        <v>Inventories</v>
      </c>
      <c r="J67" s="43" t="str">
        <f>_xlfn.XLOOKUP($A67,Map!$A:$A,Map!F:F)</f>
        <v>Goods in transit - Inventory</v>
      </c>
    </row>
    <row r="68" spans="1:10" x14ac:dyDescent="0.25">
      <c r="A68">
        <v>210001</v>
      </c>
      <c r="B68" t="s">
        <v>902</v>
      </c>
      <c r="C68" s="116">
        <v>9273696.4460000005</v>
      </c>
      <c r="D68" s="116">
        <v>109453636.58499999</v>
      </c>
      <c r="E68" s="116">
        <v>116800132.296</v>
      </c>
      <c r="F68" s="116">
        <v>1927200.7350000001</v>
      </c>
      <c r="G68" s="43" t="str">
        <f>_xlfn.XLOOKUP($A68,Map!$A:$A,Map!C:C)</f>
        <v>BS</v>
      </c>
      <c r="H68" s="43" t="str">
        <f>_xlfn.XLOOKUP($A68,Map!$A:$A,Map!D:D)</f>
        <v>Current Liabilities</v>
      </c>
      <c r="I68" s="43" t="str">
        <f>_xlfn.XLOOKUP($A68,Map!$A:$A,Map!E:E)</f>
        <v>Tade payables and Accuals &amp; other credit balances</v>
      </c>
      <c r="J68" s="43" t="str">
        <f>_xlfn.XLOOKUP($A68,Map!$A:$A,Map!F:F)</f>
        <v>Trade payables - Foreign</v>
      </c>
    </row>
    <row r="69" spans="1:10" x14ac:dyDescent="0.25">
      <c r="A69">
        <v>210002</v>
      </c>
      <c r="B69" t="s">
        <v>903</v>
      </c>
      <c r="C69" s="116">
        <v>-3454413.4240000001</v>
      </c>
      <c r="D69" s="116">
        <v>51355896.531000003</v>
      </c>
      <c r="E69" s="116">
        <v>51404467.836999997</v>
      </c>
      <c r="F69" s="116">
        <v>-3502984.73</v>
      </c>
      <c r="G69" s="43" t="str">
        <f>_xlfn.XLOOKUP($A69,Map!$A:$A,Map!C:C)</f>
        <v>BS</v>
      </c>
      <c r="H69" s="43" t="str">
        <f>_xlfn.XLOOKUP($A69,Map!$A:$A,Map!D:D)</f>
        <v>Current Liabilities</v>
      </c>
      <c r="I69" s="43" t="str">
        <f>_xlfn.XLOOKUP($A69,Map!$A:$A,Map!E:E)</f>
        <v>Tade payables and Accuals &amp; other credit balances</v>
      </c>
      <c r="J69" s="43" t="str">
        <f>_xlfn.XLOOKUP($A69,Map!$A:$A,Map!F:F)</f>
        <v>Trade payables - Local</v>
      </c>
    </row>
    <row r="70" spans="1:10" x14ac:dyDescent="0.25">
      <c r="A70">
        <v>220001</v>
      </c>
      <c r="B70" t="s">
        <v>904</v>
      </c>
      <c r="C70" s="116">
        <v>0</v>
      </c>
      <c r="D70" s="116">
        <v>0</v>
      </c>
      <c r="E70" s="116">
        <v>0</v>
      </c>
      <c r="F70" s="116">
        <v>0</v>
      </c>
      <c r="G70" s="43" t="str">
        <f>_xlfn.XLOOKUP($A70,Map!$A:$A,Map!C:C)</f>
        <v>BS</v>
      </c>
      <c r="H70" s="43" t="str">
        <f>_xlfn.XLOOKUP($A70,Map!$A:$A,Map!D:D)</f>
        <v>Current Liabilities</v>
      </c>
      <c r="I70" s="43" t="str">
        <f>_xlfn.XLOOKUP($A70,Map!$A:$A,Map!E:E)</f>
        <v>Short-term Murabaha loans</v>
      </c>
      <c r="J70" s="43" t="str">
        <f>_xlfn.XLOOKUP($A70,Map!$A:$A,Map!F:F)</f>
        <v>Other loans - current</v>
      </c>
    </row>
    <row r="71" spans="1:10" x14ac:dyDescent="0.25">
      <c r="A71">
        <v>220002</v>
      </c>
      <c r="B71" t="s">
        <v>905</v>
      </c>
      <c r="C71" s="116">
        <v>0</v>
      </c>
      <c r="D71" s="116">
        <v>0</v>
      </c>
      <c r="E71" s="116">
        <v>0</v>
      </c>
      <c r="F71" s="116">
        <v>0</v>
      </c>
      <c r="G71" s="43" t="str">
        <f>_xlfn.XLOOKUP($A71,Map!$A:$A,Map!C:C)</f>
        <v>BS</v>
      </c>
      <c r="H71" s="43" t="str">
        <f>_xlfn.XLOOKUP($A71,Map!$A:$A,Map!D:D)</f>
        <v>Current Liabilities</v>
      </c>
      <c r="I71" s="43" t="str">
        <f>_xlfn.XLOOKUP($A71,Map!$A:$A,Map!E:E)</f>
        <v>Short-term Murabaha loans</v>
      </c>
      <c r="J71" s="43" t="str">
        <f>_xlfn.XLOOKUP($A71,Map!$A:$A,Map!F:F)</f>
        <v>Other loans - current</v>
      </c>
    </row>
    <row r="72" spans="1:10" x14ac:dyDescent="0.25">
      <c r="A72">
        <v>220003</v>
      </c>
      <c r="B72" t="s">
        <v>906</v>
      </c>
      <c r="C72" s="116">
        <v>0</v>
      </c>
      <c r="D72" s="116">
        <v>0</v>
      </c>
      <c r="E72" s="116">
        <v>0</v>
      </c>
      <c r="F72" s="116">
        <v>0</v>
      </c>
      <c r="G72" s="43" t="str">
        <f>_xlfn.XLOOKUP($A72,Map!$A:$A,Map!C:C)</f>
        <v>BS</v>
      </c>
      <c r="H72" s="43" t="str">
        <f>_xlfn.XLOOKUP($A72,Map!$A:$A,Map!D:D)</f>
        <v>Current Liabilities</v>
      </c>
      <c r="I72" s="43" t="str">
        <f>_xlfn.XLOOKUP($A72,Map!$A:$A,Map!E:E)</f>
        <v>Short-term Murabaha loans</v>
      </c>
      <c r="J72" s="43" t="str">
        <f>_xlfn.XLOOKUP($A72,Map!$A:$A,Map!F:F)</f>
        <v>Other loans - current</v>
      </c>
    </row>
    <row r="73" spans="1:10" x14ac:dyDescent="0.25">
      <c r="A73">
        <v>220004</v>
      </c>
      <c r="B73" t="s">
        <v>907</v>
      </c>
      <c r="C73" s="116">
        <v>0</v>
      </c>
      <c r="D73" s="116">
        <v>22323029.383000001</v>
      </c>
      <c r="E73" s="116">
        <v>65129568.133000001</v>
      </c>
      <c r="F73" s="116">
        <v>-42806538.75</v>
      </c>
      <c r="G73" s="43" t="str">
        <f>_xlfn.XLOOKUP($A73,Map!$A:$A,Map!C:C)</f>
        <v>BS</v>
      </c>
      <c r="H73" s="43" t="str">
        <f>_xlfn.XLOOKUP($A73,Map!$A:$A,Map!D:D)</f>
        <v>Current Liabilities</v>
      </c>
      <c r="I73" s="43" t="str">
        <f>_xlfn.XLOOKUP($A73,Map!$A:$A,Map!E:E)</f>
        <v>Short-term Murabaha loans</v>
      </c>
      <c r="J73" s="43" t="str">
        <f>_xlfn.XLOOKUP($A73,Map!$A:$A,Map!F:F)</f>
        <v>Other loans - current</v>
      </c>
    </row>
    <row r="74" spans="1:10" x14ac:dyDescent="0.25">
      <c r="A74">
        <v>220005</v>
      </c>
      <c r="B74" t="s">
        <v>908</v>
      </c>
      <c r="C74" s="116">
        <v>0</v>
      </c>
      <c r="D74" s="116">
        <v>0</v>
      </c>
      <c r="E74" s="116">
        <v>19749145</v>
      </c>
      <c r="F74" s="116">
        <v>-19749145</v>
      </c>
      <c r="G74" s="43" t="str">
        <f>_xlfn.XLOOKUP($A74,Map!$A:$A,Map!C:C)</f>
        <v>BS</v>
      </c>
      <c r="H74" s="43" t="str">
        <f>_xlfn.XLOOKUP($A74,Map!$A:$A,Map!D:D)</f>
        <v>Current Liabilities</v>
      </c>
      <c r="I74" s="43" t="str">
        <f>_xlfn.XLOOKUP($A74,Map!$A:$A,Map!E:E)</f>
        <v>Short-term Murabaha loans</v>
      </c>
      <c r="J74" s="43" t="str">
        <f>_xlfn.XLOOKUP($A74,Map!$A:$A,Map!F:F)</f>
        <v>Other loans - current</v>
      </c>
    </row>
    <row r="75" spans="1:10" x14ac:dyDescent="0.25">
      <c r="A75">
        <v>230001</v>
      </c>
      <c r="B75" t="s">
        <v>911</v>
      </c>
      <c r="C75" s="116">
        <v>0</v>
      </c>
      <c r="D75" s="116">
        <v>132957145.692</v>
      </c>
      <c r="E75" s="116">
        <v>132957145.692</v>
      </c>
      <c r="F75" s="116">
        <v>0</v>
      </c>
      <c r="G75" s="43" t="str">
        <f>_xlfn.XLOOKUP($A75,Map!$A:$A,Map!C:C)</f>
        <v>BS</v>
      </c>
      <c r="H75" s="43" t="str">
        <f>_xlfn.XLOOKUP($A75,Map!$A:$A,Map!D:D)</f>
        <v>Current Liabilities</v>
      </c>
      <c r="I75" s="43" t="str">
        <f>_xlfn.XLOOKUP($A75,Map!$A:$A,Map!E:E)</f>
        <v>Tade payables and Accuals &amp; other credit balances</v>
      </c>
      <c r="J75" s="43" t="str">
        <f>_xlfn.XLOOKUP($A75,Map!$A:$A,Map!F:F)</f>
        <v>Clearing account</v>
      </c>
    </row>
    <row r="76" spans="1:10" x14ac:dyDescent="0.25">
      <c r="A76">
        <v>240001</v>
      </c>
      <c r="B76" t="s">
        <v>912</v>
      </c>
      <c r="C76" s="116">
        <v>0</v>
      </c>
      <c r="D76" s="116">
        <v>2396265.662</v>
      </c>
      <c r="E76" s="116">
        <v>2396265.662</v>
      </c>
      <c r="F76" s="116">
        <v>0</v>
      </c>
      <c r="G76" s="43" t="str">
        <f>_xlfn.XLOOKUP($A76,Map!$A:$A,Map!C:C)</f>
        <v>BS</v>
      </c>
      <c r="H76" s="43" t="str">
        <f>_xlfn.XLOOKUP($A76,Map!$A:$A,Map!D:D)</f>
        <v>Current Liabilities</v>
      </c>
      <c r="I76" s="43" t="str">
        <f>_xlfn.XLOOKUP($A76,Map!$A:$A,Map!E:E)</f>
        <v>Tade payables and Accuals &amp; other credit balances</v>
      </c>
      <c r="J76" s="43" t="str">
        <f>_xlfn.XLOOKUP($A76,Map!$A:$A,Map!F:F)</f>
        <v>Overhead</v>
      </c>
    </row>
    <row r="77" spans="1:10" x14ac:dyDescent="0.25">
      <c r="A77">
        <v>240002</v>
      </c>
      <c r="B77" t="s">
        <v>913</v>
      </c>
      <c r="C77" s="116">
        <v>0</v>
      </c>
      <c r="D77" s="116">
        <v>887791</v>
      </c>
      <c r="E77" s="116">
        <v>42283</v>
      </c>
      <c r="F77" s="116">
        <v>845508</v>
      </c>
      <c r="G77" s="43" t="str">
        <f>_xlfn.XLOOKUP($A77,Map!$A:$A,Map!C:C)</f>
        <v>BS</v>
      </c>
      <c r="H77" s="43" t="str">
        <f>_xlfn.XLOOKUP($A77,Map!$A:$A,Map!D:D)</f>
        <v>Current Liabilities</v>
      </c>
      <c r="I77" s="43" t="str">
        <f>_xlfn.XLOOKUP($A77,Map!$A:$A,Map!E:E)</f>
        <v>Tade payables and Accuals &amp; other credit balances</v>
      </c>
      <c r="J77" s="43" t="str">
        <f>_xlfn.XLOOKUP($A77,Map!$A:$A,Map!F:F)</f>
        <v>Landed Cost - Customs</v>
      </c>
    </row>
    <row r="78" spans="1:10" x14ac:dyDescent="0.25">
      <c r="A78">
        <v>250001</v>
      </c>
      <c r="B78" t="s">
        <v>915</v>
      </c>
      <c r="C78" s="116">
        <v>0</v>
      </c>
      <c r="D78" s="116">
        <v>9049637.4199999999</v>
      </c>
      <c r="E78" s="116">
        <v>9049637.4199999999</v>
      </c>
      <c r="F78" s="116">
        <v>0</v>
      </c>
      <c r="G78" s="43" t="str">
        <f>_xlfn.XLOOKUP($A78,Map!$A:$A,Map!C:C)</f>
        <v>BS</v>
      </c>
      <c r="H78" s="43" t="str">
        <f>_xlfn.XLOOKUP($A78,Map!$A:$A,Map!D:D)</f>
        <v>Current Liabilities</v>
      </c>
      <c r="I78" s="43" t="str">
        <f>_xlfn.XLOOKUP($A78,Map!$A:$A,Map!E:E)</f>
        <v>Tade payables and Accuals &amp; other credit balances</v>
      </c>
      <c r="J78" s="43" t="str">
        <f>_xlfn.XLOOKUP($A78,Map!$A:$A,Map!F:F)</f>
        <v>Accrued salaries and wages</v>
      </c>
    </row>
    <row r="79" spans="1:10" x14ac:dyDescent="0.25">
      <c r="A79">
        <v>250002</v>
      </c>
      <c r="B79" t="s">
        <v>916</v>
      </c>
      <c r="C79" s="116">
        <v>0</v>
      </c>
      <c r="D79" s="116">
        <v>0</v>
      </c>
      <c r="E79" s="116">
        <v>0</v>
      </c>
      <c r="F79" s="116">
        <v>0</v>
      </c>
      <c r="G79" s="43" t="str">
        <f>_xlfn.XLOOKUP($A79,Map!$A:$A,Map!C:C)</f>
        <v>BS</v>
      </c>
      <c r="H79" s="43" t="str">
        <f>_xlfn.XLOOKUP($A79,Map!$A:$A,Map!D:D)</f>
        <v>Current Liabilities</v>
      </c>
      <c r="I79" s="43" t="str">
        <f>_xlfn.XLOOKUP($A79,Map!$A:$A,Map!E:E)</f>
        <v>Tade payables and Accuals &amp; other credit balances</v>
      </c>
      <c r="J79" s="43" t="str">
        <f>_xlfn.XLOOKUP($A79,Map!$A:$A,Map!F:F)</f>
        <v>Accrued utilities</v>
      </c>
    </row>
    <row r="80" spans="1:10" x14ac:dyDescent="0.25">
      <c r="A80">
        <v>250003</v>
      </c>
      <c r="B80" t="s">
        <v>917</v>
      </c>
      <c r="C80" s="116">
        <v>-1119039</v>
      </c>
      <c r="D80" s="116">
        <v>1181763.25</v>
      </c>
      <c r="E80" s="116">
        <v>1212724.75</v>
      </c>
      <c r="F80" s="116">
        <v>-1150000.5</v>
      </c>
      <c r="G80" s="43" t="str">
        <f>_xlfn.XLOOKUP($A80,Map!$A:$A,Map!C:C)</f>
        <v>BS</v>
      </c>
      <c r="H80" s="43" t="str">
        <f>_xlfn.XLOOKUP($A80,Map!$A:$A,Map!D:D)</f>
        <v>Current Liabilities</v>
      </c>
      <c r="I80" s="43" t="str">
        <f>_xlfn.XLOOKUP($A80,Map!$A:$A,Map!E:E)</f>
        <v>Zakat provision</v>
      </c>
      <c r="J80" s="43" t="str">
        <f>_xlfn.XLOOKUP($A80,Map!$A:$A,Map!F:F)</f>
        <v>Zakat provision</v>
      </c>
    </row>
    <row r="81" spans="1:10" x14ac:dyDescent="0.25">
      <c r="A81">
        <v>250004</v>
      </c>
      <c r="B81" t="s">
        <v>918</v>
      </c>
      <c r="C81" s="116">
        <v>0</v>
      </c>
      <c r="D81" s="116">
        <v>0</v>
      </c>
      <c r="E81" s="116">
        <v>0</v>
      </c>
      <c r="F81" s="116">
        <v>0</v>
      </c>
      <c r="G81" s="43" t="str">
        <f>_xlfn.XLOOKUP($A81,Map!$A:$A,Map!C:C)</f>
        <v>BS</v>
      </c>
      <c r="H81" s="43" t="str">
        <f>_xlfn.XLOOKUP($A81,Map!$A:$A,Map!D:D)</f>
        <v>Current Liabilities</v>
      </c>
      <c r="I81" s="43" t="str">
        <f>_xlfn.XLOOKUP($A81,Map!$A:$A,Map!E:E)</f>
        <v>Tade payables and Accuals &amp; other credit balances</v>
      </c>
      <c r="J81" s="43" t="str">
        <f>_xlfn.XLOOKUP($A81,Map!$A:$A,Map!F:F)</f>
        <v>Accrued bonus</v>
      </c>
    </row>
    <row r="82" spans="1:10" x14ac:dyDescent="0.25">
      <c r="A82">
        <v>250005</v>
      </c>
      <c r="B82" t="s">
        <v>919</v>
      </c>
      <c r="C82" s="116">
        <v>-55000</v>
      </c>
      <c r="D82" s="116">
        <v>55000</v>
      </c>
      <c r="E82" s="116">
        <v>118000</v>
      </c>
      <c r="F82" s="116">
        <v>-118000</v>
      </c>
      <c r="G82" s="43" t="str">
        <f>_xlfn.XLOOKUP($A82,Map!$A:$A,Map!C:C)</f>
        <v>BS</v>
      </c>
      <c r="H82" s="43" t="str">
        <f>_xlfn.XLOOKUP($A82,Map!$A:$A,Map!D:D)</f>
        <v>Current Liabilities</v>
      </c>
      <c r="I82" s="43" t="str">
        <f>_xlfn.XLOOKUP($A82,Map!$A:$A,Map!E:E)</f>
        <v>Tade payables and Accuals &amp; other credit balances</v>
      </c>
      <c r="J82" s="43" t="str">
        <f>_xlfn.XLOOKUP($A82,Map!$A:$A,Map!F:F)</f>
        <v>Accrued expenses</v>
      </c>
    </row>
    <row r="83" spans="1:10" x14ac:dyDescent="0.25">
      <c r="A83">
        <v>260001</v>
      </c>
      <c r="B83" t="s">
        <v>922</v>
      </c>
      <c r="C83" s="116">
        <v>-5627620</v>
      </c>
      <c r="D83" s="116">
        <v>5632</v>
      </c>
      <c r="E83" s="116">
        <v>431409</v>
      </c>
      <c r="F83" s="116">
        <v>-6053397</v>
      </c>
      <c r="G83" s="43" t="str">
        <f>_xlfn.XLOOKUP($A83,Map!$A:$A,Map!C:C)</f>
        <v>BS</v>
      </c>
      <c r="H83" s="43" t="str">
        <f>_xlfn.XLOOKUP($A83,Map!$A:$A,Map!D:D)</f>
        <v>Stockholder's equity</v>
      </c>
      <c r="I83" s="43" t="str">
        <f>_xlfn.XLOOKUP($A83,Map!$A:$A,Map!E:E)</f>
        <v>Statutory reserve</v>
      </c>
      <c r="J83" s="43" t="str">
        <f>_xlfn.XLOOKUP($A83,Map!$A:$A,Map!F:F)</f>
        <v>Statutory reserve</v>
      </c>
    </row>
    <row r="84" spans="1:10" x14ac:dyDescent="0.25">
      <c r="A84">
        <v>260002</v>
      </c>
      <c r="B84" t="s">
        <v>923</v>
      </c>
      <c r="C84" s="116">
        <v>-4847761</v>
      </c>
      <c r="D84" s="116">
        <v>1585863</v>
      </c>
      <c r="E84" s="116">
        <v>1372000</v>
      </c>
      <c r="F84" s="116">
        <v>-4633898</v>
      </c>
      <c r="G84" s="43" t="str">
        <f>_xlfn.XLOOKUP($A84,Map!$A:$A,Map!C:C)</f>
        <v>BS</v>
      </c>
      <c r="H84" s="43" t="str">
        <f>_xlfn.XLOOKUP($A84,Map!$A:$A,Map!D:D)</f>
        <v>Non-Current Liabilities</v>
      </c>
      <c r="I84" s="43" t="str">
        <f>_xlfn.XLOOKUP($A84,Map!$A:$A,Map!E:E)</f>
        <v xml:space="preserve">End-of-service indemnities </v>
      </c>
      <c r="J84" s="43" t="str">
        <f>_xlfn.XLOOKUP($A84,Map!$A:$A,Map!F:F)</f>
        <v xml:space="preserve">End-of-service indemnities </v>
      </c>
    </row>
    <row r="85" spans="1:10" x14ac:dyDescent="0.25">
      <c r="A85">
        <v>260003</v>
      </c>
      <c r="B85" t="s">
        <v>924</v>
      </c>
      <c r="C85" s="116">
        <v>-3563173.54</v>
      </c>
      <c r="D85" s="116">
        <v>320853.44</v>
      </c>
      <c r="E85" s="116">
        <v>165000</v>
      </c>
      <c r="F85" s="116">
        <v>-3407320.1</v>
      </c>
      <c r="G85" s="43" t="str">
        <f>_xlfn.XLOOKUP($A85,Map!$A:$A,Map!C:C)</f>
        <v>BS</v>
      </c>
      <c r="H85" s="43" t="str">
        <f>_xlfn.XLOOKUP($A85,Map!$A:$A,Map!D:D)</f>
        <v>Current Assets</v>
      </c>
      <c r="I85" s="43" t="str">
        <f>_xlfn.XLOOKUP($A85,Map!$A:$A,Map!E:E)</f>
        <v>Trade receivables</v>
      </c>
      <c r="J85" s="43" t="str">
        <f>_xlfn.XLOOKUP($A85,Map!$A:$A,Map!F:F)</f>
        <v>Provisions</v>
      </c>
    </row>
    <row r="86" spans="1:10" x14ac:dyDescent="0.25">
      <c r="A86">
        <v>260004</v>
      </c>
      <c r="B86" t="s">
        <v>925</v>
      </c>
      <c r="C86" s="116">
        <v>-1121501.433</v>
      </c>
      <c r="D86" s="116">
        <v>0</v>
      </c>
      <c r="E86" s="116">
        <v>0</v>
      </c>
      <c r="F86" s="116">
        <v>-1121501.433</v>
      </c>
      <c r="G86" s="43" t="str">
        <f>_xlfn.XLOOKUP($A86,Map!$A:$A,Map!C:C)</f>
        <v>BS</v>
      </c>
      <c r="H86" s="43" t="str">
        <f>_xlfn.XLOOKUP($A86,Map!$A:$A,Map!D:D)</f>
        <v>Current Assets</v>
      </c>
      <c r="I86" s="43" t="str">
        <f>_xlfn.XLOOKUP($A86,Map!$A:$A,Map!E:E)</f>
        <v>Inventories</v>
      </c>
      <c r="J86" s="43" t="str">
        <f>_xlfn.XLOOKUP($A86,Map!$A:$A,Map!F:F)</f>
        <v>Allowance for slow moving/obsolete inventories - Inventory</v>
      </c>
    </row>
    <row r="87" spans="1:10" x14ac:dyDescent="0.25">
      <c r="A87">
        <v>260005</v>
      </c>
      <c r="B87" t="s">
        <v>926</v>
      </c>
      <c r="C87" s="116">
        <v>0</v>
      </c>
      <c r="D87" s="116">
        <v>0</v>
      </c>
      <c r="E87" s="116">
        <v>4000000</v>
      </c>
      <c r="F87" s="116">
        <v>-4000000</v>
      </c>
      <c r="G87" s="43" t="str">
        <f>_xlfn.XLOOKUP($A87,Map!$A:$A,Map!C:C)</f>
        <v>BS</v>
      </c>
      <c r="H87" s="43" t="str">
        <f>_xlfn.XLOOKUP($A87,Map!$A:$A,Map!D:D)</f>
        <v>Non-Current Liabilities</v>
      </c>
      <c r="I87" s="43" t="str">
        <f>_xlfn.XLOOKUP($A87,Map!$A:$A,Map!E:E)</f>
        <v>Provision for evacuation</v>
      </c>
      <c r="J87" s="43" t="str">
        <f>_xlfn.XLOOKUP($A87,Map!$A:$A,Map!F:F)</f>
        <v>Provision for evacuation</v>
      </c>
    </row>
    <row r="88" spans="1:10" x14ac:dyDescent="0.25">
      <c r="A88">
        <v>270001</v>
      </c>
      <c r="B88" t="s">
        <v>929</v>
      </c>
      <c r="C88" s="116">
        <v>-31714781.920000002</v>
      </c>
      <c r="D88" s="116">
        <v>59389418.490000002</v>
      </c>
      <c r="E88" s="116">
        <v>35370932.740000002</v>
      </c>
      <c r="F88" s="116">
        <v>-7696296.1699999999</v>
      </c>
      <c r="G88" s="43" t="str">
        <f>_xlfn.XLOOKUP($A88,Map!$A:$A,Map!C:C)</f>
        <v>BS</v>
      </c>
      <c r="H88" s="43" t="str">
        <f>_xlfn.XLOOKUP($A88,Map!$A:$A,Map!D:D)</f>
        <v>Non-Current Liabilities</v>
      </c>
      <c r="I88" s="43" t="str">
        <f>_xlfn.XLOOKUP($A88,Map!$A:$A,Map!E:E)</f>
        <v xml:space="preserve">Due to related parties </v>
      </c>
      <c r="J88" s="43" t="str">
        <f>_xlfn.XLOOKUP($A88,Map!$A:$A,Map!F:F)</f>
        <v>Aims Holding  Current Acc</v>
      </c>
    </row>
    <row r="89" spans="1:10" x14ac:dyDescent="0.25">
      <c r="A89">
        <v>270002</v>
      </c>
      <c r="B89" t="s">
        <v>930</v>
      </c>
      <c r="C89" s="116">
        <v>0</v>
      </c>
      <c r="D89" s="116">
        <v>6272690.8190000001</v>
      </c>
      <c r="E89" s="116">
        <v>6272690.8190000001</v>
      </c>
      <c r="F89" s="116">
        <v>0</v>
      </c>
      <c r="G89" s="43" t="str">
        <f>_xlfn.XLOOKUP($A89,Map!$A:$A,Map!C:C)</f>
        <v>BS</v>
      </c>
      <c r="H89" s="43" t="str">
        <f>_xlfn.XLOOKUP($A89,Map!$A:$A,Map!D:D)</f>
        <v>Current Liabilities</v>
      </c>
      <c r="I89" s="43" t="str">
        <f>_xlfn.XLOOKUP($A89,Map!$A:$A,Map!E:E)</f>
        <v>Tade payables and Accuals &amp; other credit balances</v>
      </c>
      <c r="J89" s="43" t="str">
        <f>_xlfn.XLOOKUP($A89,Map!$A:$A,Map!F:F)</f>
        <v>VAT payables</v>
      </c>
    </row>
    <row r="90" spans="1:10" x14ac:dyDescent="0.25">
      <c r="A90">
        <v>270003</v>
      </c>
      <c r="B90" t="s">
        <v>931</v>
      </c>
      <c r="C90" s="116">
        <v>0</v>
      </c>
      <c r="D90" s="116">
        <v>7283026.9040000001</v>
      </c>
      <c r="E90" s="116">
        <v>7283026.9040000001</v>
      </c>
      <c r="F90" s="116">
        <v>0</v>
      </c>
      <c r="G90" s="43" t="str">
        <f>_xlfn.XLOOKUP($A90,Map!$A:$A,Map!C:C)</f>
        <v>BS</v>
      </c>
      <c r="H90" s="43" t="str">
        <f>_xlfn.XLOOKUP($A90,Map!$A:$A,Map!D:D)</f>
        <v>Current Liabilities</v>
      </c>
      <c r="I90" s="43" t="str">
        <f>_xlfn.XLOOKUP($A90,Map!$A:$A,Map!E:E)</f>
        <v>Tade payables and Accuals &amp; other credit balances</v>
      </c>
      <c r="J90" s="43" t="str">
        <f>_xlfn.XLOOKUP($A90,Map!$A:$A,Map!F:F)</f>
        <v>VAT payables</v>
      </c>
    </row>
    <row r="91" spans="1:10" x14ac:dyDescent="0.25">
      <c r="A91">
        <v>270004</v>
      </c>
      <c r="B91" t="s">
        <v>932</v>
      </c>
      <c r="C91" s="116">
        <v>0</v>
      </c>
      <c r="D91" s="116">
        <v>2621443.4380000001</v>
      </c>
      <c r="E91" s="116">
        <v>512113.14</v>
      </c>
      <c r="F91" s="116">
        <v>2109330.298</v>
      </c>
      <c r="G91" s="43" t="str">
        <f>_xlfn.XLOOKUP($A91,Map!$A:$A,Map!C:C)</f>
        <v>BS</v>
      </c>
      <c r="H91" s="43" t="str">
        <f>_xlfn.XLOOKUP($A91,Map!$A:$A,Map!D:D)</f>
        <v>Current Liabilities</v>
      </c>
      <c r="I91" s="43" t="str">
        <f>_xlfn.XLOOKUP($A91,Map!$A:$A,Map!E:E)</f>
        <v>Tade payables and Accuals &amp; other credit balances</v>
      </c>
      <c r="J91" s="43" t="str">
        <f>_xlfn.XLOOKUP($A91,Map!$A:$A,Map!F:F)</f>
        <v>VAT payables</v>
      </c>
    </row>
    <row r="92" spans="1:10" x14ac:dyDescent="0.25">
      <c r="A92">
        <v>310001</v>
      </c>
      <c r="B92" t="s">
        <v>934</v>
      </c>
      <c r="C92" s="116">
        <v>-26583799.879999999</v>
      </c>
      <c r="D92" s="116">
        <v>431409</v>
      </c>
      <c r="E92" s="116">
        <v>5632</v>
      </c>
      <c r="F92" s="116">
        <v>-26158022.879999999</v>
      </c>
      <c r="G92" s="43" t="str">
        <f>_xlfn.XLOOKUP($A92,Map!$A:$A,Map!C:C)</f>
        <v>BS</v>
      </c>
      <c r="H92" s="43" t="str">
        <f>_xlfn.XLOOKUP($A92,Map!$A:$A,Map!D:D)</f>
        <v>Stockholder's equity</v>
      </c>
      <c r="I92" s="43" t="str">
        <f>_xlfn.XLOOKUP($A92,Map!$A:$A,Map!E:E)</f>
        <v>Retained earnings</v>
      </c>
      <c r="J92" s="43" t="str">
        <f>_xlfn.XLOOKUP($A92,Map!$A:$A,Map!F:F)</f>
        <v>Retained earnings</v>
      </c>
    </row>
    <row r="93" spans="1:10" x14ac:dyDescent="0.25">
      <c r="A93">
        <v>330001</v>
      </c>
      <c r="B93" t="s">
        <v>935</v>
      </c>
      <c r="C93" s="116">
        <v>-1766750</v>
      </c>
      <c r="D93" s="116">
        <v>0</v>
      </c>
      <c r="E93" s="116">
        <v>0</v>
      </c>
      <c r="F93" s="116">
        <v>-1766750</v>
      </c>
      <c r="G93" s="43" t="str">
        <f>_xlfn.XLOOKUP($A93,Map!$A:$A,Map!C:C)</f>
        <v>BS</v>
      </c>
      <c r="H93" s="43" t="str">
        <f>_xlfn.XLOOKUP($A93,Map!$A:$A,Map!D:D)</f>
        <v>Stockholder's equity</v>
      </c>
      <c r="I93" s="43" t="str">
        <f>_xlfn.XLOOKUP($A93,Map!$A:$A,Map!E:E)</f>
        <v>Retained earnings</v>
      </c>
      <c r="J93" s="43" t="str">
        <f>_xlfn.XLOOKUP($A93,Map!$A:$A,Map!F:F)</f>
        <v>Retained earnings</v>
      </c>
    </row>
    <row r="94" spans="1:10" x14ac:dyDescent="0.25">
      <c r="A94">
        <v>330002</v>
      </c>
      <c r="B94" t="s">
        <v>936</v>
      </c>
      <c r="C94" s="116">
        <v>-33568250</v>
      </c>
      <c r="D94" s="116">
        <v>0</v>
      </c>
      <c r="E94" s="116">
        <v>0</v>
      </c>
      <c r="F94" s="116">
        <v>-33568250</v>
      </c>
      <c r="G94" s="43" t="str">
        <f>_xlfn.XLOOKUP($A94,Map!$A:$A,Map!C:C)</f>
        <v>BS</v>
      </c>
      <c r="H94" s="43" t="str">
        <f>_xlfn.XLOOKUP($A94,Map!$A:$A,Map!D:D)</f>
        <v>Stockholder's equity</v>
      </c>
      <c r="I94" s="43" t="str">
        <f>_xlfn.XLOOKUP($A94,Map!$A:$A,Map!E:E)</f>
        <v>Share capital</v>
      </c>
      <c r="J94" s="43" t="str">
        <f>_xlfn.XLOOKUP($A94,Map!$A:$A,Map!F:F)</f>
        <v>Share capital</v>
      </c>
    </row>
    <row r="95" spans="1:10" x14ac:dyDescent="0.25">
      <c r="A95">
        <v>330003</v>
      </c>
      <c r="B95" t="s">
        <v>937</v>
      </c>
      <c r="C95" s="116">
        <v>-85866130.439999998</v>
      </c>
      <c r="D95" s="116">
        <v>2500</v>
      </c>
      <c r="E95" s="116">
        <v>16391684.57</v>
      </c>
      <c r="F95" s="116">
        <v>-102255315.01000001</v>
      </c>
      <c r="G95" s="43" t="str">
        <f>_xlfn.XLOOKUP($A95,Map!$A:$A,Map!C:C)</f>
        <v>BS</v>
      </c>
      <c r="H95" s="43" t="str">
        <f>_xlfn.XLOOKUP($A95,Map!$A:$A,Map!D:D)</f>
        <v>Stockholder's equity</v>
      </c>
      <c r="I95" s="43" t="str">
        <f>_xlfn.XLOOKUP($A95,Map!$A:$A,Map!E:E)</f>
        <v>Additional contribution from shareholders</v>
      </c>
      <c r="J95" s="43" t="str">
        <f>_xlfn.XLOOKUP($A95,Map!$A:$A,Map!F:F)</f>
        <v>Additional contribution from shareholders</v>
      </c>
    </row>
    <row r="96" spans="1:10" x14ac:dyDescent="0.25">
      <c r="A96">
        <v>410001</v>
      </c>
      <c r="B96" t="s">
        <v>938</v>
      </c>
      <c r="C96" s="116">
        <v>0</v>
      </c>
      <c r="D96" s="116">
        <v>25430049.331999999</v>
      </c>
      <c r="E96" s="116">
        <v>141909322.64399999</v>
      </c>
      <c r="F96" s="116">
        <v>-116479273.31200001</v>
      </c>
      <c r="G96" s="43" t="str">
        <f>_xlfn.XLOOKUP($A96,Map!$A:$A,Map!C:C)</f>
        <v>IS</v>
      </c>
      <c r="H96" s="43" t="str">
        <f>_xlfn.XLOOKUP($A96,Map!$A:$A,Map!D:D)</f>
        <v>Sales</v>
      </c>
      <c r="I96" s="43" t="str">
        <f>_xlfn.XLOOKUP($A96,Map!$A:$A,Map!E:E)</f>
        <v>Sales</v>
      </c>
      <c r="J96" s="43" t="str">
        <f>_xlfn.XLOOKUP($A96,Map!$A:$A,Map!F:F)</f>
        <v>Trading revenue</v>
      </c>
    </row>
    <row r="97" spans="1:10" x14ac:dyDescent="0.25">
      <c r="A97">
        <v>410002</v>
      </c>
      <c r="B97" t="s">
        <v>939</v>
      </c>
      <c r="C97" s="116">
        <v>0</v>
      </c>
      <c r="D97" s="116">
        <v>537894.94799999997</v>
      </c>
      <c r="E97" s="116">
        <v>161735.79999999999</v>
      </c>
      <c r="F97" s="116">
        <v>376159.14799999999</v>
      </c>
      <c r="G97" s="43" t="str">
        <f>_xlfn.XLOOKUP($A97,Map!$A:$A,Map!C:C)</f>
        <v>IS</v>
      </c>
      <c r="H97" s="43" t="str">
        <f>_xlfn.XLOOKUP($A97,Map!$A:$A,Map!D:D)</f>
        <v>Sales</v>
      </c>
      <c r="I97" s="43" t="str">
        <f>_xlfn.XLOOKUP($A97,Map!$A:$A,Map!E:E)</f>
        <v>Sales</v>
      </c>
      <c r="J97" s="43" t="str">
        <f>_xlfn.XLOOKUP($A97,Map!$A:$A,Map!F:F)</f>
        <v>Trading revenue</v>
      </c>
    </row>
    <row r="98" spans="1:10" x14ac:dyDescent="0.25">
      <c r="A98">
        <v>410003</v>
      </c>
      <c r="B98" t="s">
        <v>940</v>
      </c>
      <c r="C98" s="116">
        <v>0</v>
      </c>
      <c r="D98" s="116">
        <v>40785.455000000002</v>
      </c>
      <c r="E98" s="116">
        <v>550.69600000000003</v>
      </c>
      <c r="F98" s="116">
        <v>40234.758999999998</v>
      </c>
      <c r="G98" s="43" t="str">
        <f>_xlfn.XLOOKUP($A98,Map!$A:$A,Map!C:C)</f>
        <v>IS</v>
      </c>
      <c r="H98" s="43" t="str">
        <f>_xlfn.XLOOKUP($A98,Map!$A:$A,Map!D:D)</f>
        <v>Sales</v>
      </c>
      <c r="I98" s="43" t="str">
        <f>_xlfn.XLOOKUP($A98,Map!$A:$A,Map!E:E)</f>
        <v>Sales</v>
      </c>
      <c r="J98" s="43" t="str">
        <f>_xlfn.XLOOKUP($A98,Map!$A:$A,Map!F:F)</f>
        <v>Trading revenue</v>
      </c>
    </row>
    <row r="99" spans="1:10" x14ac:dyDescent="0.25">
      <c r="A99">
        <v>410004</v>
      </c>
      <c r="B99" t="s">
        <v>941</v>
      </c>
      <c r="C99" s="116">
        <v>0</v>
      </c>
      <c r="D99" s="116">
        <v>0</v>
      </c>
      <c r="E99" s="116">
        <v>0</v>
      </c>
      <c r="F99" s="116">
        <v>0</v>
      </c>
      <c r="G99" s="43" t="str">
        <f>_xlfn.XLOOKUP($A99,Map!$A:$A,Map!C:C)</f>
        <v>IS</v>
      </c>
      <c r="H99" s="43" t="str">
        <f>_xlfn.XLOOKUP($A99,Map!$A:$A,Map!D:D)</f>
        <v>Sales</v>
      </c>
      <c r="I99" s="43" t="str">
        <f>_xlfn.XLOOKUP($A99,Map!$A:$A,Map!E:E)</f>
        <v>Sales</v>
      </c>
      <c r="J99" s="43" t="str">
        <f>_xlfn.XLOOKUP($A99,Map!$A:$A,Map!F:F)</f>
        <v>Scrap sales</v>
      </c>
    </row>
    <row r="100" spans="1:10" x14ac:dyDescent="0.25">
      <c r="A100">
        <v>420003</v>
      </c>
      <c r="B100" t="s">
        <v>944</v>
      </c>
      <c r="C100" s="116">
        <v>0</v>
      </c>
      <c r="D100" s="116">
        <v>4.8000000000000001E-2</v>
      </c>
      <c r="E100" s="116">
        <v>4.9000000000000002E-2</v>
      </c>
      <c r="F100" s="116">
        <v>-1E-3</v>
      </c>
      <c r="G100" s="43" t="str">
        <f>_xlfn.XLOOKUP($A100,Map!$A:$A,Map!C:C)</f>
        <v>IS</v>
      </c>
      <c r="H100" s="43" t="str">
        <f>_xlfn.XLOOKUP($A100,Map!$A:$A,Map!D:D)</f>
        <v>Sales</v>
      </c>
      <c r="I100" s="43" t="str">
        <f>_xlfn.XLOOKUP($A100,Map!$A:$A,Map!E:E)</f>
        <v>Sales</v>
      </c>
      <c r="J100" s="43" t="str">
        <f>_xlfn.XLOOKUP($A100,Map!$A:$A,Map!F:F)</f>
        <v>Scrap sales</v>
      </c>
    </row>
    <row r="101" spans="1:10" x14ac:dyDescent="0.25">
      <c r="A101">
        <v>510001</v>
      </c>
      <c r="B101" t="s">
        <v>945</v>
      </c>
      <c r="C101" s="116">
        <v>0</v>
      </c>
      <c r="D101" s="116">
        <v>96391445.991999999</v>
      </c>
      <c r="E101" s="116">
        <v>16268421.077</v>
      </c>
      <c r="F101" s="116">
        <v>80123024.915000007</v>
      </c>
      <c r="G101" s="43" t="str">
        <f>_xlfn.XLOOKUP($A101,Map!$A:$A,Map!C:C)</f>
        <v>IS</v>
      </c>
      <c r="H101" s="43" t="str">
        <f>_xlfn.XLOOKUP($A101,Map!$A:$A,Map!D:D)</f>
        <v>Cost of sales</v>
      </c>
      <c r="I101" s="43" t="str">
        <f>_xlfn.XLOOKUP($A101,Map!$A:$A,Map!E:E)</f>
        <v>Raw materials</v>
      </c>
      <c r="J101" s="43" t="str">
        <f>_xlfn.XLOOKUP($A101,Map!$A:$A,Map!F:F)</f>
        <v>Raw materials</v>
      </c>
    </row>
    <row r="102" spans="1:10" x14ac:dyDescent="0.25">
      <c r="A102">
        <v>510002</v>
      </c>
      <c r="B102" t="s">
        <v>946</v>
      </c>
      <c r="C102" s="116">
        <v>0</v>
      </c>
      <c r="D102" s="116">
        <v>7062613.8810000001</v>
      </c>
      <c r="E102" s="116">
        <v>2353946.389</v>
      </c>
      <c r="F102" s="116">
        <v>4708667.4919999996</v>
      </c>
      <c r="G102" s="43" t="str">
        <f>_xlfn.XLOOKUP($A102,Map!$A:$A,Map!C:C)</f>
        <v>IS</v>
      </c>
      <c r="H102" s="43" t="str">
        <f>_xlfn.XLOOKUP($A102,Map!$A:$A,Map!D:D)</f>
        <v>Cost of sales</v>
      </c>
      <c r="I102" s="43" t="str">
        <f>_xlfn.XLOOKUP($A102,Map!$A:$A,Map!E:E)</f>
        <v>Direct Labor</v>
      </c>
      <c r="J102" s="43" t="str">
        <f>_xlfn.XLOOKUP($A102,Map!$A:$A,Map!F:F)</f>
        <v>Direct Labor</v>
      </c>
    </row>
    <row r="103" spans="1:10" x14ac:dyDescent="0.25">
      <c r="A103">
        <v>510003</v>
      </c>
      <c r="B103" t="s">
        <v>947</v>
      </c>
      <c r="C103" s="116">
        <v>0</v>
      </c>
      <c r="D103" s="116">
        <v>3320680.0830000001</v>
      </c>
      <c r="E103" s="116">
        <v>688802.92700000003</v>
      </c>
      <c r="F103" s="116">
        <v>2631877.156</v>
      </c>
      <c r="G103" s="43" t="str">
        <f>_xlfn.XLOOKUP($A103,Map!$A:$A,Map!C:C)</f>
        <v>IS</v>
      </c>
      <c r="H103" s="43" t="str">
        <f>_xlfn.XLOOKUP($A103,Map!$A:$A,Map!D:D)</f>
        <v>Cost of sales</v>
      </c>
      <c r="I103" s="43" t="str">
        <f>_xlfn.XLOOKUP($A103,Map!$A:$A,Map!E:E)</f>
        <v>Raw materials</v>
      </c>
      <c r="J103" s="43" t="str">
        <f>_xlfn.XLOOKUP($A103,Map!$A:$A,Map!F:F)</f>
        <v>Raw materials</v>
      </c>
    </row>
    <row r="104" spans="1:10" x14ac:dyDescent="0.25">
      <c r="A104">
        <v>510004</v>
      </c>
      <c r="B104" t="s">
        <v>948</v>
      </c>
      <c r="C104" s="116">
        <v>0</v>
      </c>
      <c r="D104" s="116">
        <v>11022776.618000001</v>
      </c>
      <c r="E104" s="116">
        <v>3721720.7560000001</v>
      </c>
      <c r="F104" s="116">
        <v>7301055.8619999997</v>
      </c>
      <c r="G104" s="43" t="str">
        <f>_xlfn.XLOOKUP($A104,Map!$A:$A,Map!C:C)</f>
        <v>IS</v>
      </c>
      <c r="H104" s="43" t="str">
        <f>_xlfn.XLOOKUP($A104,Map!$A:$A,Map!D:D)</f>
        <v>Cost of sales</v>
      </c>
      <c r="I104" s="43" t="str">
        <f>_xlfn.XLOOKUP($A104,Map!$A:$A,Map!E:E)</f>
        <v>Raw materials</v>
      </c>
      <c r="J104" s="43" t="str">
        <f>_xlfn.XLOOKUP($A104,Map!$A:$A,Map!F:F)</f>
        <v>Other expenses</v>
      </c>
    </row>
    <row r="105" spans="1:10" x14ac:dyDescent="0.25">
      <c r="A105">
        <v>510005</v>
      </c>
      <c r="B105" t="s">
        <v>949</v>
      </c>
      <c r="C105" s="116">
        <v>0</v>
      </c>
      <c r="D105" s="116">
        <v>0</v>
      </c>
      <c r="E105" s="116">
        <v>0</v>
      </c>
      <c r="F105" s="116">
        <v>0</v>
      </c>
      <c r="G105" s="43" t="str">
        <f>_xlfn.XLOOKUP($A105,Map!$A:$A,Map!C:C)</f>
        <v>IS</v>
      </c>
      <c r="H105" s="43" t="str">
        <f>_xlfn.XLOOKUP($A105,Map!$A:$A,Map!D:D)</f>
        <v>Cost of sales</v>
      </c>
      <c r="I105" s="43" t="str">
        <f>_xlfn.XLOOKUP($A105,Map!$A:$A,Map!E:E)</f>
        <v>Raw materials</v>
      </c>
      <c r="J105" s="43" t="str">
        <f>_xlfn.XLOOKUP($A105,Map!$A:$A,Map!F:F)</f>
        <v>Other expenses</v>
      </c>
    </row>
    <row r="106" spans="1:10" x14ac:dyDescent="0.25">
      <c r="A106">
        <v>520001</v>
      </c>
      <c r="B106" t="s">
        <v>950</v>
      </c>
      <c r="C106" s="116">
        <v>0</v>
      </c>
      <c r="D106" s="116">
        <v>4712919.84</v>
      </c>
      <c r="E106" s="116">
        <v>4712919.84</v>
      </c>
      <c r="F106" s="116">
        <v>0</v>
      </c>
      <c r="G106" s="43" t="str">
        <f>_xlfn.XLOOKUP($A106,Map!$A:$A,Map!C:C)</f>
        <v>IS</v>
      </c>
      <c r="H106" s="43" t="str">
        <f>_xlfn.XLOOKUP($A106,Map!$A:$A,Map!D:D)</f>
        <v>Cost of sales</v>
      </c>
      <c r="I106" s="43" t="str">
        <f>_xlfn.XLOOKUP($A106,Map!$A:$A,Map!E:E)</f>
        <v>Direct Labor</v>
      </c>
      <c r="J106" s="43" t="str">
        <f>_xlfn.XLOOKUP($A106,Map!$A:$A,Map!F:F)</f>
        <v>Salaries and wages</v>
      </c>
    </row>
    <row r="107" spans="1:10" x14ac:dyDescent="0.25">
      <c r="A107">
        <v>520002</v>
      </c>
      <c r="B107" t="s">
        <v>951</v>
      </c>
      <c r="C107" s="116">
        <v>0</v>
      </c>
      <c r="D107" s="116">
        <v>116704</v>
      </c>
      <c r="E107" s="116">
        <v>116704</v>
      </c>
      <c r="F107" s="116">
        <v>0</v>
      </c>
      <c r="G107" s="43" t="str">
        <f>_xlfn.XLOOKUP($A107,Map!$A:$A,Map!C:C)</f>
        <v>IS</v>
      </c>
      <c r="H107" s="43" t="str">
        <f>_xlfn.XLOOKUP($A107,Map!$A:$A,Map!D:D)</f>
        <v>Cost of sales</v>
      </c>
      <c r="I107" s="43" t="str">
        <f>_xlfn.XLOOKUP($A107,Map!$A:$A,Map!E:E)</f>
        <v>Direct Labor</v>
      </c>
      <c r="J107" s="43" t="str">
        <f>_xlfn.XLOOKUP($A107,Map!$A:$A,Map!F:F)</f>
        <v>Overtime pay</v>
      </c>
    </row>
    <row r="108" spans="1:10" x14ac:dyDescent="0.25">
      <c r="A108">
        <v>520003</v>
      </c>
      <c r="B108" t="s">
        <v>952</v>
      </c>
      <c r="C108" s="116">
        <v>0</v>
      </c>
      <c r="D108" s="116">
        <v>121491</v>
      </c>
      <c r="E108" s="116">
        <v>121491</v>
      </c>
      <c r="F108" s="116">
        <v>0</v>
      </c>
      <c r="G108" s="43" t="str">
        <f>_xlfn.XLOOKUP($A108,Map!$A:$A,Map!C:C)</f>
        <v>IS</v>
      </c>
      <c r="H108" s="43" t="str">
        <f>_xlfn.XLOOKUP($A108,Map!$A:$A,Map!D:D)</f>
        <v>Cost of sales</v>
      </c>
      <c r="I108" s="43" t="str">
        <f>_xlfn.XLOOKUP($A108,Map!$A:$A,Map!E:E)</f>
        <v>Direct Labor</v>
      </c>
      <c r="J108" s="43" t="str">
        <f>_xlfn.XLOOKUP($A108,Map!$A:$A,Map!F:F)</f>
        <v>Transportation allowance</v>
      </c>
    </row>
    <row r="109" spans="1:10" x14ac:dyDescent="0.25">
      <c r="A109">
        <v>520004</v>
      </c>
      <c r="B109" t="s">
        <v>957</v>
      </c>
      <c r="C109" s="116">
        <v>0</v>
      </c>
      <c r="D109" s="116">
        <v>225525.5</v>
      </c>
      <c r="E109" s="116">
        <v>225525.5</v>
      </c>
      <c r="F109" s="116">
        <v>0</v>
      </c>
      <c r="G109" s="43" t="str">
        <f>_xlfn.XLOOKUP($A109,Map!$A:$A,Map!C:C)</f>
        <v>IS</v>
      </c>
      <c r="H109" s="43" t="str">
        <f>_xlfn.XLOOKUP($A109,Map!$A:$A,Map!D:D)</f>
        <v>Cost of sales</v>
      </c>
      <c r="I109" s="43" t="str">
        <f>_xlfn.XLOOKUP($A109,Map!$A:$A,Map!E:E)</f>
        <v>Direct Labor</v>
      </c>
      <c r="J109" s="43" t="str">
        <f>_xlfn.XLOOKUP($A109,Map!$A:$A,Map!F:F)</f>
        <v>Food and housing</v>
      </c>
    </row>
    <row r="110" spans="1:10" x14ac:dyDescent="0.25">
      <c r="A110">
        <v>520005</v>
      </c>
      <c r="B110" t="s">
        <v>954</v>
      </c>
      <c r="C110" s="116">
        <v>0</v>
      </c>
      <c r="D110" s="116">
        <v>0</v>
      </c>
      <c r="E110" s="116">
        <v>0</v>
      </c>
      <c r="F110" s="116">
        <v>0</v>
      </c>
      <c r="G110" s="43" t="str">
        <f>_xlfn.XLOOKUP($A110,Map!$A:$A,Map!C:C)</f>
        <v>IS</v>
      </c>
      <c r="H110" s="43" t="str">
        <f>_xlfn.XLOOKUP($A110,Map!$A:$A,Map!D:D)</f>
        <v>Cost of sales</v>
      </c>
      <c r="I110" s="43" t="str">
        <f>_xlfn.XLOOKUP($A110,Map!$A:$A,Map!E:E)</f>
        <v>Direct Labor</v>
      </c>
      <c r="J110" s="43" t="str">
        <f>_xlfn.XLOOKUP($A110,Map!$A:$A,Map!F:F)</f>
        <v>Leave pay</v>
      </c>
    </row>
    <row r="111" spans="1:10" x14ac:dyDescent="0.25">
      <c r="A111">
        <v>520006</v>
      </c>
      <c r="B111" t="s">
        <v>955</v>
      </c>
      <c r="C111" s="116">
        <v>0</v>
      </c>
      <c r="D111" s="116">
        <v>333846</v>
      </c>
      <c r="E111" s="116">
        <v>333846</v>
      </c>
      <c r="F111" s="116">
        <v>0</v>
      </c>
      <c r="G111" s="43" t="str">
        <f>_xlfn.XLOOKUP($A111,Map!$A:$A,Map!C:C)</f>
        <v>IS</v>
      </c>
      <c r="H111" s="43" t="str">
        <f>_xlfn.XLOOKUP($A111,Map!$A:$A,Map!D:D)</f>
        <v>Cost of sales</v>
      </c>
      <c r="I111" s="43" t="str">
        <f>_xlfn.XLOOKUP($A111,Map!$A:$A,Map!E:E)</f>
        <v>Direct Labor</v>
      </c>
      <c r="J111" s="43" t="str">
        <f>_xlfn.XLOOKUP($A111,Map!$A:$A,Map!F:F)</f>
        <v>Medical insurance</v>
      </c>
    </row>
    <row r="112" spans="1:10" x14ac:dyDescent="0.25">
      <c r="A112">
        <v>520010</v>
      </c>
      <c r="B112" t="s">
        <v>956</v>
      </c>
      <c r="C112" s="116">
        <v>0</v>
      </c>
      <c r="D112" s="116">
        <v>0</v>
      </c>
      <c r="E112" s="116">
        <v>0</v>
      </c>
      <c r="F112" s="116">
        <v>0</v>
      </c>
      <c r="G112" s="43" t="str">
        <f>_xlfn.XLOOKUP($A112,Map!$A:$A,Map!C:C)</f>
        <v>IS</v>
      </c>
      <c r="H112" s="43" t="str">
        <f>_xlfn.XLOOKUP($A112,Map!$A:$A,Map!D:D)</f>
        <v>Cost of sales</v>
      </c>
      <c r="I112" s="43" t="str">
        <f>_xlfn.XLOOKUP($A112,Map!$A:$A,Map!E:E)</f>
        <v>Direct Labor</v>
      </c>
      <c r="J112" s="43" t="str">
        <f>_xlfn.XLOOKUP($A112,Map!$A:$A,Map!F:F)</f>
        <v>Salaries and wages</v>
      </c>
    </row>
    <row r="113" spans="1:10" x14ac:dyDescent="0.25">
      <c r="A113">
        <v>520011</v>
      </c>
      <c r="B113" t="s">
        <v>951</v>
      </c>
      <c r="C113" s="116">
        <v>0</v>
      </c>
      <c r="D113" s="116">
        <v>612128</v>
      </c>
      <c r="E113" s="116">
        <v>612128</v>
      </c>
      <c r="F113" s="116">
        <v>0</v>
      </c>
      <c r="G113" s="43" t="str">
        <f>_xlfn.XLOOKUP($A113,Map!$A:$A,Map!C:C)</f>
        <v>IS</v>
      </c>
      <c r="H113" s="43" t="str">
        <f>_xlfn.XLOOKUP($A113,Map!$A:$A,Map!D:D)</f>
        <v>Cost of sales</v>
      </c>
      <c r="I113" s="43" t="str">
        <f>_xlfn.XLOOKUP($A113,Map!$A:$A,Map!E:E)</f>
        <v>Direct Labor</v>
      </c>
      <c r="J113" s="43" t="str">
        <f>_xlfn.XLOOKUP($A113,Map!$A:$A,Map!F:F)</f>
        <v>Overtime pay</v>
      </c>
    </row>
    <row r="114" spans="1:10" x14ac:dyDescent="0.25">
      <c r="A114">
        <v>520013</v>
      </c>
      <c r="B114" t="s">
        <v>957</v>
      </c>
      <c r="C114" s="116">
        <v>0</v>
      </c>
      <c r="D114" s="116">
        <v>0</v>
      </c>
      <c r="E114" s="116">
        <v>0</v>
      </c>
      <c r="F114" s="116">
        <v>0</v>
      </c>
      <c r="G114" s="43" t="str">
        <f>_xlfn.XLOOKUP($A114,Map!$A:$A,Map!C:C)</f>
        <v>IS</v>
      </c>
      <c r="H114" s="43" t="str">
        <f>_xlfn.XLOOKUP($A114,Map!$A:$A,Map!D:D)</f>
        <v>Cost of sales</v>
      </c>
      <c r="I114" s="43" t="str">
        <f>_xlfn.XLOOKUP($A114,Map!$A:$A,Map!E:E)</f>
        <v>Direct Labor</v>
      </c>
      <c r="J114" s="43" t="str">
        <f>_xlfn.XLOOKUP($A114,Map!$A:$A,Map!F:F)</f>
        <v>Food and housing</v>
      </c>
    </row>
    <row r="115" spans="1:10" x14ac:dyDescent="0.25">
      <c r="A115">
        <v>520014</v>
      </c>
      <c r="B115" t="s">
        <v>954</v>
      </c>
      <c r="C115" s="116">
        <v>0</v>
      </c>
      <c r="D115" s="116">
        <v>0</v>
      </c>
      <c r="E115" s="116">
        <v>0</v>
      </c>
      <c r="F115" s="116">
        <v>0</v>
      </c>
      <c r="G115" s="43" t="str">
        <f>_xlfn.XLOOKUP($A115,Map!$A:$A,Map!C:C)</f>
        <v>IS</v>
      </c>
      <c r="H115" s="43" t="str">
        <f>_xlfn.XLOOKUP($A115,Map!$A:$A,Map!D:D)</f>
        <v>Cost of sales</v>
      </c>
      <c r="I115" s="43" t="str">
        <f>_xlfn.XLOOKUP($A115,Map!$A:$A,Map!E:E)</f>
        <v>Direct Labor</v>
      </c>
      <c r="J115" s="43" t="str">
        <f>_xlfn.XLOOKUP($A115,Map!$A:$A,Map!F:F)</f>
        <v>Leave pay</v>
      </c>
    </row>
    <row r="116" spans="1:10" x14ac:dyDescent="0.25">
      <c r="A116">
        <v>520021</v>
      </c>
      <c r="B116" t="s">
        <v>962</v>
      </c>
      <c r="C116" s="116">
        <v>0</v>
      </c>
      <c r="D116" s="116">
        <v>37712.269999999997</v>
      </c>
      <c r="E116" s="116">
        <v>37712.269999999997</v>
      </c>
      <c r="F116" s="116">
        <v>0</v>
      </c>
      <c r="G116" s="43" t="str">
        <f>_xlfn.XLOOKUP($A116,Map!$A:$A,Map!C:C)</f>
        <v>IS</v>
      </c>
      <c r="H116" s="43" t="str">
        <f>_xlfn.XLOOKUP($A116,Map!$A:$A,Map!D:D)</f>
        <v>Cost of sales</v>
      </c>
      <c r="I116" s="43" t="str">
        <f>_xlfn.XLOOKUP($A116,Map!$A:$A,Map!E:E)</f>
        <v>Direct Labor</v>
      </c>
      <c r="J116" s="43" t="str">
        <f>_xlfn.XLOOKUP($A116,Map!$A:$A,Map!F:F)</f>
        <v>Medical insurance</v>
      </c>
    </row>
    <row r="117" spans="1:10" x14ac:dyDescent="0.25">
      <c r="A117">
        <v>520022</v>
      </c>
      <c r="B117" t="s">
        <v>963</v>
      </c>
      <c r="C117" s="116">
        <v>0</v>
      </c>
      <c r="D117" s="116">
        <v>0</v>
      </c>
      <c r="E117" s="116">
        <v>0</v>
      </c>
      <c r="F117" s="116">
        <v>0</v>
      </c>
      <c r="G117" s="43" t="str">
        <f>_xlfn.XLOOKUP($A117,Map!$A:$A,Map!C:C)</f>
        <v>IS</v>
      </c>
      <c r="H117" s="43" t="str">
        <f>_xlfn.XLOOKUP($A117,Map!$A:$A,Map!D:D)</f>
        <v>Cost of sales</v>
      </c>
      <c r="I117" s="43" t="str">
        <f>_xlfn.XLOOKUP($A117,Map!$A:$A,Map!E:E)</f>
        <v>Direct Labor</v>
      </c>
      <c r="J117" s="43" t="str">
        <f>_xlfn.XLOOKUP($A117,Map!$A:$A,Map!F:F)</f>
        <v>Iqama renewal</v>
      </c>
    </row>
    <row r="118" spans="1:10" x14ac:dyDescent="0.25">
      <c r="A118">
        <v>520023</v>
      </c>
      <c r="B118" t="s">
        <v>964</v>
      </c>
      <c r="C118" s="116">
        <v>0</v>
      </c>
      <c r="D118" s="116">
        <v>0</v>
      </c>
      <c r="E118" s="116">
        <v>0</v>
      </c>
      <c r="F118" s="116">
        <v>0</v>
      </c>
      <c r="G118" s="43" t="str">
        <f>_xlfn.XLOOKUP($A118,Map!$A:$A,Map!C:C)</f>
        <v>IS</v>
      </c>
      <c r="H118" s="43" t="str">
        <f>_xlfn.XLOOKUP($A118,Map!$A:$A,Map!D:D)</f>
        <v>Cost of sales</v>
      </c>
      <c r="I118" s="43" t="str">
        <f>_xlfn.XLOOKUP($A118,Map!$A:$A,Map!E:E)</f>
        <v>Direct Labor</v>
      </c>
      <c r="J118" s="43" t="str">
        <f>_xlfn.XLOOKUP($A118,Map!$A:$A,Map!F:F)</f>
        <v>Medical insurance</v>
      </c>
    </row>
    <row r="119" spans="1:10" x14ac:dyDescent="0.25">
      <c r="A119">
        <v>520032</v>
      </c>
      <c r="B119" t="s">
        <v>965</v>
      </c>
      <c r="C119" s="116">
        <v>0</v>
      </c>
      <c r="D119" s="116">
        <v>0</v>
      </c>
      <c r="E119" s="116">
        <v>0</v>
      </c>
      <c r="F119" s="116">
        <v>0</v>
      </c>
      <c r="G119" s="43" t="str">
        <f>_xlfn.XLOOKUP($A119,Map!$A:$A,Map!C:C)</f>
        <v>IS</v>
      </c>
      <c r="H119" s="43" t="str">
        <f>_xlfn.XLOOKUP($A119,Map!$A:$A,Map!D:D)</f>
        <v>Cost of sales</v>
      </c>
      <c r="I119" s="43" t="str">
        <f>_xlfn.XLOOKUP($A119,Map!$A:$A,Map!E:E)</f>
        <v>Raw materials</v>
      </c>
      <c r="J119" s="43" t="str">
        <f>_xlfn.XLOOKUP($A119,Map!$A:$A,Map!F:F)</f>
        <v>Consumables</v>
      </c>
    </row>
    <row r="120" spans="1:10" x14ac:dyDescent="0.25">
      <c r="A120">
        <v>520036</v>
      </c>
      <c r="B120" t="s">
        <v>966</v>
      </c>
      <c r="C120" s="116">
        <v>0</v>
      </c>
      <c r="D120" s="116">
        <v>0.11700000000000001</v>
      </c>
      <c r="E120" s="116">
        <v>0.11700000000000001</v>
      </c>
      <c r="F120" s="116">
        <v>0</v>
      </c>
      <c r="G120" s="43" t="str">
        <f>_xlfn.XLOOKUP($A120,Map!$A:$A,Map!C:C)</f>
        <v>IS</v>
      </c>
      <c r="H120" s="43" t="str">
        <f>_xlfn.XLOOKUP($A120,Map!$A:$A,Map!D:D)</f>
        <v>Cost of sales</v>
      </c>
      <c r="I120" s="43" t="str">
        <f>_xlfn.XLOOKUP($A120,Map!$A:$A,Map!E:E)</f>
        <v>Raw materials</v>
      </c>
      <c r="J120" s="43" t="str">
        <f>_xlfn.XLOOKUP($A120,Map!$A:$A,Map!F:F)</f>
        <v>Raw materials</v>
      </c>
    </row>
    <row r="121" spans="1:10" x14ac:dyDescent="0.25">
      <c r="A121">
        <v>520037</v>
      </c>
      <c r="B121" t="s">
        <v>967</v>
      </c>
      <c r="C121" s="116">
        <v>0</v>
      </c>
      <c r="D121" s="116">
        <v>1395641.7220000001</v>
      </c>
      <c r="E121" s="116">
        <v>1395641.7220000001</v>
      </c>
      <c r="F121" s="116">
        <v>0</v>
      </c>
      <c r="G121" s="43" t="str">
        <f>_xlfn.XLOOKUP($A121,Map!$A:$A,Map!C:C)</f>
        <v>IS</v>
      </c>
      <c r="H121" s="43" t="str">
        <f>_xlfn.XLOOKUP($A121,Map!$A:$A,Map!D:D)</f>
        <v>Cost of sales</v>
      </c>
      <c r="I121" s="43" t="str">
        <f>_xlfn.XLOOKUP($A121,Map!$A:$A,Map!E:E)</f>
        <v>Raw materials</v>
      </c>
      <c r="J121" s="43" t="str">
        <f>_xlfn.XLOOKUP($A121,Map!$A:$A,Map!F:F)</f>
        <v>Raw materials</v>
      </c>
    </row>
    <row r="122" spans="1:10" x14ac:dyDescent="0.25">
      <c r="A122">
        <v>520040</v>
      </c>
      <c r="B122" t="s">
        <v>969</v>
      </c>
      <c r="C122" s="116">
        <v>0</v>
      </c>
      <c r="D122" s="116">
        <v>0</v>
      </c>
      <c r="E122" s="116">
        <v>0</v>
      </c>
      <c r="F122" s="116">
        <v>0</v>
      </c>
      <c r="G122" s="43" t="str">
        <f>_xlfn.XLOOKUP($A122,Map!$A:$A,Map!C:C)</f>
        <v>IS</v>
      </c>
      <c r="H122" s="43" t="str">
        <f>_xlfn.XLOOKUP($A122,Map!$A:$A,Map!D:D)</f>
        <v>Cost of sales</v>
      </c>
      <c r="I122" s="43" t="str">
        <f>_xlfn.XLOOKUP($A122,Map!$A:$A,Map!E:E)</f>
        <v>Raw materials</v>
      </c>
      <c r="J122" s="43" t="str">
        <f>_xlfn.XLOOKUP($A122,Map!$A:$A,Map!F:F)</f>
        <v>Other expenses</v>
      </c>
    </row>
    <row r="123" spans="1:10" x14ac:dyDescent="0.25">
      <c r="A123">
        <v>520041</v>
      </c>
      <c r="B123" t="s">
        <v>970</v>
      </c>
      <c r="C123" s="116">
        <v>0</v>
      </c>
      <c r="D123" s="116">
        <v>12282826.806</v>
      </c>
      <c r="E123" s="116">
        <v>12282826.806</v>
      </c>
      <c r="F123" s="116">
        <v>0</v>
      </c>
      <c r="G123" s="43" t="str">
        <f>_xlfn.XLOOKUP($A123,Map!$A:$A,Map!C:C)</f>
        <v>IS</v>
      </c>
      <c r="H123" s="43" t="str">
        <f>_xlfn.XLOOKUP($A123,Map!$A:$A,Map!D:D)</f>
        <v>Cost of sales</v>
      </c>
      <c r="I123" s="43" t="str">
        <f>_xlfn.XLOOKUP($A123,Map!$A:$A,Map!E:E)</f>
        <v>Raw materials</v>
      </c>
      <c r="J123" s="43" t="str">
        <f>_xlfn.XLOOKUP($A123,Map!$A:$A,Map!F:F)</f>
        <v>Other expenses</v>
      </c>
    </row>
    <row r="124" spans="1:10" x14ac:dyDescent="0.25">
      <c r="A124">
        <v>520042</v>
      </c>
      <c r="B124" t="s">
        <v>971</v>
      </c>
      <c r="C124" s="116">
        <v>0</v>
      </c>
      <c r="D124" s="116">
        <v>4180928.6639999999</v>
      </c>
      <c r="E124" s="116">
        <v>4180928.6639999999</v>
      </c>
      <c r="F124" s="116">
        <v>0</v>
      </c>
      <c r="G124" s="43" t="str">
        <f>_xlfn.XLOOKUP($A124,Map!$A:$A,Map!C:C)</f>
        <v>IS</v>
      </c>
      <c r="H124" s="43" t="str">
        <f>_xlfn.XLOOKUP($A124,Map!$A:$A,Map!D:D)</f>
        <v>Cost of sales</v>
      </c>
      <c r="I124" s="43" t="str">
        <f>_xlfn.XLOOKUP($A124,Map!$A:$A,Map!E:E)</f>
        <v>Raw materials</v>
      </c>
      <c r="J124" s="43" t="str">
        <f>_xlfn.XLOOKUP($A124,Map!$A:$A,Map!F:F)</f>
        <v>Inventory Adjustment</v>
      </c>
    </row>
    <row r="125" spans="1:10" x14ac:dyDescent="0.25">
      <c r="A125">
        <v>600001</v>
      </c>
      <c r="B125" t="s">
        <v>979</v>
      </c>
      <c r="C125" s="116">
        <v>0</v>
      </c>
      <c r="D125" s="116">
        <v>1717697.49</v>
      </c>
      <c r="E125" s="116">
        <v>1717697.49</v>
      </c>
      <c r="F125" s="116">
        <v>0</v>
      </c>
      <c r="G125" s="43" t="str">
        <f>_xlfn.XLOOKUP($A125,Map!$A:$A,Map!C:C)</f>
        <v>IS</v>
      </c>
      <c r="H125" s="43" t="str">
        <f>_xlfn.XLOOKUP($A125,Map!$A:$A,Map!D:D)</f>
        <v>Cost of sales</v>
      </c>
      <c r="I125" s="43" t="str">
        <f>_xlfn.XLOOKUP($A125,Map!$A:$A,Map!E:E)</f>
        <v>Overhead - Labor Cost</v>
      </c>
      <c r="J125" s="43" t="str">
        <f>_xlfn.XLOOKUP($A125,Map!$A:$A,Map!F:F)</f>
        <v>Indirect Salaries — factory supervisory / indirect floor labour (COGS)</v>
      </c>
    </row>
    <row r="126" spans="1:10" x14ac:dyDescent="0.25">
      <c r="A126">
        <v>600002</v>
      </c>
      <c r="B126" t="s">
        <v>980</v>
      </c>
      <c r="C126" s="116">
        <v>0</v>
      </c>
      <c r="D126" s="116">
        <v>348025</v>
      </c>
      <c r="E126" s="116">
        <v>348025</v>
      </c>
      <c r="F126" s="116">
        <v>0</v>
      </c>
      <c r="G126" s="43" t="str">
        <f>_xlfn.XLOOKUP($A126,Map!$A:$A,Map!C:C)</f>
        <v>IS</v>
      </c>
      <c r="H126" s="43" t="str">
        <f>_xlfn.XLOOKUP($A126,Map!$A:$A,Map!D:D)</f>
        <v>Cost of sales</v>
      </c>
      <c r="I126" s="43" t="str">
        <f>_xlfn.XLOOKUP($A126,Map!$A:$A,Map!E:E)</f>
        <v>Overhead - Labor Cost</v>
      </c>
      <c r="J126" s="43" t="str">
        <f>_xlfn.XLOOKUP($A126,Map!$A:$A,Map!F:F)</f>
        <v>Overtime pay</v>
      </c>
    </row>
    <row r="127" spans="1:10" x14ac:dyDescent="0.25">
      <c r="A127">
        <v>600003</v>
      </c>
      <c r="B127" t="s">
        <v>981</v>
      </c>
      <c r="C127" s="116">
        <v>0</v>
      </c>
      <c r="D127" s="116">
        <v>66828</v>
      </c>
      <c r="E127" s="116">
        <v>66828</v>
      </c>
      <c r="F127" s="116">
        <v>0</v>
      </c>
      <c r="G127" s="43" t="str">
        <f>_xlfn.XLOOKUP($A127,Map!$A:$A,Map!C:C)</f>
        <v>IS</v>
      </c>
      <c r="H127" s="43" t="str">
        <f>_xlfn.XLOOKUP($A127,Map!$A:$A,Map!D:D)</f>
        <v>Cost of sales</v>
      </c>
      <c r="I127" s="43" t="str">
        <f>_xlfn.XLOOKUP($A127,Map!$A:$A,Map!E:E)</f>
        <v>Overhead - Labor Cost</v>
      </c>
      <c r="J127" s="43" t="str">
        <f>_xlfn.XLOOKUP($A127,Map!$A:$A,Map!F:F)</f>
        <v xml:space="preserve">Food &amp; Housing </v>
      </c>
    </row>
    <row r="128" spans="1:10" x14ac:dyDescent="0.25">
      <c r="A128">
        <v>600004</v>
      </c>
      <c r="B128" t="s">
        <v>982</v>
      </c>
      <c r="C128" s="116">
        <v>0</v>
      </c>
      <c r="D128" s="116">
        <v>336024.73800000001</v>
      </c>
      <c r="E128" s="116">
        <v>336024.73800000001</v>
      </c>
      <c r="F128" s="116">
        <v>0</v>
      </c>
      <c r="G128" s="43" t="str">
        <f>_xlfn.XLOOKUP($A128,Map!$A:$A,Map!C:C)</f>
        <v>IS</v>
      </c>
      <c r="H128" s="43" t="str">
        <f>_xlfn.XLOOKUP($A128,Map!$A:$A,Map!D:D)</f>
        <v>Cost of sales</v>
      </c>
      <c r="I128" s="43" t="str">
        <f>_xlfn.XLOOKUP($A128,Map!$A:$A,Map!E:E)</f>
        <v>Overhead - Labor Cost</v>
      </c>
      <c r="J128" s="43" t="str">
        <f>_xlfn.XLOOKUP($A128,Map!$A:$A,Map!F:F)</f>
        <v>Medical insurance</v>
      </c>
    </row>
    <row r="129" spans="1:10" x14ac:dyDescent="0.25">
      <c r="A129">
        <v>600005</v>
      </c>
      <c r="B129" t="s">
        <v>983</v>
      </c>
      <c r="C129" s="116">
        <v>0</v>
      </c>
      <c r="D129" s="116">
        <v>1928804.0589999999</v>
      </c>
      <c r="E129" s="116">
        <v>1928804.0589999999</v>
      </c>
      <c r="F129" s="116">
        <v>0</v>
      </c>
      <c r="G129" s="43" t="str">
        <f>_xlfn.XLOOKUP($A129,Map!$A:$A,Map!C:C)</f>
        <v>IS</v>
      </c>
      <c r="H129" s="43" t="str">
        <f>_xlfn.XLOOKUP($A129,Map!$A:$A,Map!D:D)</f>
        <v>General and Admin</v>
      </c>
      <c r="I129" s="43" t="str">
        <f>_xlfn.XLOOKUP($A129,Map!$A:$A,Map!E:E)</f>
        <v>Govt license and fees (including modon)</v>
      </c>
      <c r="J129" s="43" t="str">
        <f>_xlfn.XLOOKUP($A129,Map!$A:$A,Map!F:F)</f>
        <v>Government fees</v>
      </c>
    </row>
    <row r="130" spans="1:10" x14ac:dyDescent="0.25">
      <c r="A130">
        <v>600006</v>
      </c>
      <c r="B130" t="s">
        <v>984</v>
      </c>
      <c r="C130" s="116">
        <v>0</v>
      </c>
      <c r="D130" s="116">
        <v>593235.80599999998</v>
      </c>
      <c r="E130" s="116">
        <v>593235.80599999998</v>
      </c>
      <c r="F130" s="116">
        <v>0</v>
      </c>
      <c r="G130" s="43" t="str">
        <f>_xlfn.XLOOKUP($A130,Map!$A:$A,Map!C:C)</f>
        <v>IS</v>
      </c>
      <c r="H130" s="43" t="str">
        <f>_xlfn.XLOOKUP($A130,Map!$A:$A,Map!D:D)</f>
        <v>Cost of sales</v>
      </c>
      <c r="I130" s="43" t="str">
        <f>_xlfn.XLOOKUP($A130,Map!$A:$A,Map!E:E)</f>
        <v>Overhead - Labor Cost</v>
      </c>
      <c r="J130" s="43" t="str">
        <f>_xlfn.XLOOKUP($A130,Map!$A:$A,Map!F:F)</f>
        <v xml:space="preserve">Food &amp; Housing </v>
      </c>
    </row>
    <row r="131" spans="1:10" x14ac:dyDescent="0.25">
      <c r="A131">
        <v>600007</v>
      </c>
      <c r="B131" t="s">
        <v>985</v>
      </c>
      <c r="C131" s="116">
        <v>0</v>
      </c>
      <c r="D131" s="116">
        <v>650</v>
      </c>
      <c r="E131" s="116">
        <v>650</v>
      </c>
      <c r="F131" s="116">
        <v>0</v>
      </c>
      <c r="G131" s="43" t="str">
        <f>_xlfn.XLOOKUP($A131,Map!$A:$A,Map!C:C)</f>
        <v>IS</v>
      </c>
      <c r="H131" s="43" t="str">
        <f>_xlfn.XLOOKUP($A131,Map!$A:$A,Map!D:D)</f>
        <v>Cost of sales</v>
      </c>
      <c r="I131" s="43" t="str">
        <f>_xlfn.XLOOKUP($A131,Map!$A:$A,Map!E:E)</f>
        <v>Overhead - Labor Cost</v>
      </c>
      <c r="J131" s="43" t="str">
        <f>_xlfn.XLOOKUP($A131,Map!$A:$A,Map!F:F)</f>
        <v>Transportation allowance</v>
      </c>
    </row>
    <row r="132" spans="1:10" x14ac:dyDescent="0.25">
      <c r="A132">
        <v>600008</v>
      </c>
      <c r="B132" t="s">
        <v>986</v>
      </c>
      <c r="C132" s="116">
        <v>0</v>
      </c>
      <c r="D132" s="116">
        <v>303877.63199999998</v>
      </c>
      <c r="E132" s="116">
        <v>303877.63199999998</v>
      </c>
      <c r="F132" s="116">
        <v>0</v>
      </c>
      <c r="G132" s="43" t="str">
        <f>_xlfn.XLOOKUP($A132,Map!$A:$A,Map!C:C)</f>
        <v>IS</v>
      </c>
      <c r="H132" s="43" t="str">
        <f>_xlfn.XLOOKUP($A132,Map!$A:$A,Map!D:D)</f>
        <v>Cost of sales</v>
      </c>
      <c r="I132" s="43" t="str">
        <f>_xlfn.XLOOKUP($A132,Map!$A:$A,Map!E:E)</f>
        <v>Overhead - Labor Cost</v>
      </c>
      <c r="J132" s="43" t="str">
        <f>_xlfn.XLOOKUP($A132,Map!$A:$A,Map!F:F)</f>
        <v>Air tickets</v>
      </c>
    </row>
    <row r="133" spans="1:10" x14ac:dyDescent="0.25">
      <c r="A133">
        <v>600009</v>
      </c>
      <c r="B133" t="s">
        <v>987</v>
      </c>
      <c r="C133" s="116">
        <v>0</v>
      </c>
      <c r="D133" s="116">
        <v>212066</v>
      </c>
      <c r="E133" s="116">
        <v>212066</v>
      </c>
      <c r="F133" s="116">
        <v>0</v>
      </c>
      <c r="G133" s="43" t="str">
        <f>_xlfn.XLOOKUP($A133,Map!$A:$A,Map!C:C)</f>
        <v>IS</v>
      </c>
      <c r="H133" s="43" t="str">
        <f>_xlfn.XLOOKUP($A133,Map!$A:$A,Map!D:D)</f>
        <v>Cost of sales</v>
      </c>
      <c r="I133" s="43" t="str">
        <f>_xlfn.XLOOKUP($A133,Map!$A:$A,Map!E:E)</f>
        <v>Overhead - Labor Cost</v>
      </c>
      <c r="J133" s="43" t="str">
        <f>_xlfn.XLOOKUP($A133,Map!$A:$A,Map!F:F)</f>
        <v>Vacation pay</v>
      </c>
    </row>
    <row r="134" spans="1:10" x14ac:dyDescent="0.25">
      <c r="A134">
        <v>600010</v>
      </c>
      <c r="B134" t="s">
        <v>988</v>
      </c>
      <c r="C134" s="116">
        <v>0</v>
      </c>
      <c r="D134" s="116">
        <v>0</v>
      </c>
      <c r="E134" s="116">
        <v>0</v>
      </c>
      <c r="F134" s="116">
        <v>0</v>
      </c>
      <c r="G134" s="43" t="str">
        <f>_xlfn.XLOOKUP($A134,Map!$A:$A,Map!C:C)</f>
        <v>IS</v>
      </c>
      <c r="H134" s="43" t="str">
        <f>_xlfn.XLOOKUP($A134,Map!$A:$A,Map!D:D)</f>
        <v>Cost of sales</v>
      </c>
      <c r="I134" s="43" t="str">
        <f>_xlfn.XLOOKUP($A134,Map!$A:$A,Map!E:E)</f>
        <v>Overhead - Labor Cost</v>
      </c>
      <c r="J134" s="43" t="str">
        <f>_xlfn.XLOOKUP($A134,Map!$A:$A,Map!F:F)</f>
        <v>EOS expenses</v>
      </c>
    </row>
    <row r="135" spans="1:10" x14ac:dyDescent="0.25">
      <c r="A135">
        <v>600011</v>
      </c>
      <c r="B135" t="s">
        <v>989</v>
      </c>
      <c r="C135" s="116">
        <v>0</v>
      </c>
      <c r="D135" s="116">
        <v>19000</v>
      </c>
      <c r="E135" s="116">
        <v>19000</v>
      </c>
      <c r="F135" s="116">
        <v>0</v>
      </c>
      <c r="G135" s="43" t="str">
        <f>_xlfn.XLOOKUP($A135,Map!$A:$A,Map!C:C)</f>
        <v>IS</v>
      </c>
      <c r="H135" s="43" t="str">
        <f>_xlfn.XLOOKUP($A135,Map!$A:$A,Map!D:D)</f>
        <v>Cost of sales</v>
      </c>
      <c r="I135" s="43" t="str">
        <f>_xlfn.XLOOKUP($A135,Map!$A:$A,Map!E:E)</f>
        <v>Overhead - Labor Cost</v>
      </c>
      <c r="J135" s="43" t="str">
        <f>_xlfn.XLOOKUP($A135,Map!$A:$A,Map!F:F)</f>
        <v>Air tickets</v>
      </c>
    </row>
    <row r="136" spans="1:10" x14ac:dyDescent="0.25">
      <c r="A136">
        <v>600012</v>
      </c>
      <c r="B136" t="s">
        <v>990</v>
      </c>
      <c r="C136" s="116">
        <v>0</v>
      </c>
      <c r="D136" s="116">
        <v>375</v>
      </c>
      <c r="E136" s="116">
        <v>375</v>
      </c>
      <c r="F136" s="116">
        <v>0</v>
      </c>
      <c r="G136" s="43" t="str">
        <f>_xlfn.XLOOKUP($A136,Map!$A:$A,Map!C:C)</f>
        <v>IS</v>
      </c>
      <c r="H136" s="43" t="str">
        <f>_xlfn.XLOOKUP($A136,Map!$A:$A,Map!D:D)</f>
        <v>Cost of sales</v>
      </c>
      <c r="I136" s="43" t="str">
        <f>_xlfn.XLOOKUP($A136,Map!$A:$A,Map!E:E)</f>
        <v>Overhead - Labor Cost</v>
      </c>
      <c r="J136" s="43" t="str">
        <f>_xlfn.XLOOKUP($A136,Map!$A:$A,Map!F:F)</f>
        <v xml:space="preserve">Education &amp; Furniture Allowances </v>
      </c>
    </row>
    <row r="137" spans="1:10" x14ac:dyDescent="0.25">
      <c r="A137">
        <v>600013</v>
      </c>
      <c r="B137" t="s">
        <v>991</v>
      </c>
      <c r="C137" s="116">
        <v>0</v>
      </c>
      <c r="D137" s="116">
        <v>45</v>
      </c>
      <c r="E137" s="116">
        <v>45</v>
      </c>
      <c r="F137" s="116">
        <v>0</v>
      </c>
      <c r="G137" s="43" t="str">
        <f>_xlfn.XLOOKUP($A137,Map!$A:$A,Map!C:C)</f>
        <v>IS</v>
      </c>
      <c r="H137" s="43" t="str">
        <f>_xlfn.XLOOKUP($A137,Map!$A:$A,Map!D:D)</f>
        <v>Cost of sales</v>
      </c>
      <c r="I137" s="43" t="str">
        <f>_xlfn.XLOOKUP($A137,Map!$A:$A,Map!E:E)</f>
        <v>Overhead - Labor Cost</v>
      </c>
      <c r="J137" s="43" t="str">
        <f>_xlfn.XLOOKUP($A137,Map!$A:$A,Map!F:F)</f>
        <v>Telephone allowance</v>
      </c>
    </row>
    <row r="138" spans="1:10" x14ac:dyDescent="0.25">
      <c r="A138">
        <v>600014</v>
      </c>
      <c r="B138" t="s">
        <v>884</v>
      </c>
      <c r="C138" s="116">
        <v>0</v>
      </c>
      <c r="D138" s="116">
        <v>2374714.0490000001</v>
      </c>
      <c r="E138" s="116">
        <v>2374714.0490000001</v>
      </c>
      <c r="F138" s="116">
        <v>0</v>
      </c>
      <c r="G138" s="43" t="str">
        <f>_xlfn.XLOOKUP($A138,Map!$A:$A,Map!C:C)</f>
        <v>IS</v>
      </c>
      <c r="H138" s="43" t="str">
        <f>_xlfn.XLOOKUP($A138,Map!$A:$A,Map!D:D)</f>
        <v>Cost of sales</v>
      </c>
      <c r="I138" s="43" t="str">
        <f>_xlfn.XLOOKUP($A138,Map!$A:$A,Map!E:E)</f>
        <v>Overhead - Consumables &amp; SP</v>
      </c>
      <c r="J138" s="43" t="str">
        <f>_xlfn.XLOOKUP($A138,Map!$A:$A,Map!F:F)</f>
        <v>Consumables</v>
      </c>
    </row>
    <row r="139" spans="1:10" x14ac:dyDescent="0.25">
      <c r="A139">
        <v>600015</v>
      </c>
      <c r="B139" t="s">
        <v>992</v>
      </c>
      <c r="C139" s="116">
        <v>0</v>
      </c>
      <c r="D139" s="116">
        <v>28427.98</v>
      </c>
      <c r="E139" s="116">
        <v>28427.98</v>
      </c>
      <c r="F139" s="116">
        <v>0</v>
      </c>
      <c r="G139" s="43" t="str">
        <f>_xlfn.XLOOKUP($A139,Map!$A:$A,Map!C:C)</f>
        <v>IS</v>
      </c>
      <c r="H139" s="43" t="str">
        <f>_xlfn.XLOOKUP($A139,Map!$A:$A,Map!D:D)</f>
        <v>Cost of sales</v>
      </c>
      <c r="I139" s="43" t="str">
        <f>_xlfn.XLOOKUP($A139,Map!$A:$A,Map!E:E)</f>
        <v>Overhead - Consumables &amp; SP</v>
      </c>
      <c r="J139" s="43" t="str">
        <f>_xlfn.XLOOKUP($A139,Map!$A:$A,Map!F:F)</f>
        <v>Consumables</v>
      </c>
    </row>
    <row r="140" spans="1:10" x14ac:dyDescent="0.25">
      <c r="A140">
        <v>600016</v>
      </c>
      <c r="B140" t="s">
        <v>993</v>
      </c>
      <c r="C140" s="116">
        <v>0</v>
      </c>
      <c r="D140" s="116">
        <v>2103649.9389999998</v>
      </c>
      <c r="E140" s="116">
        <v>2103649.9389999998</v>
      </c>
      <c r="F140" s="116">
        <v>0</v>
      </c>
      <c r="G140" s="43" t="str">
        <f>_xlfn.XLOOKUP($A140,Map!$A:$A,Map!C:C)</f>
        <v>IS</v>
      </c>
      <c r="H140" s="43" t="str">
        <f>_xlfn.XLOOKUP($A140,Map!$A:$A,Map!D:D)</f>
        <v>Cost of sales</v>
      </c>
      <c r="I140" s="43" t="str">
        <f>_xlfn.XLOOKUP($A140,Map!$A:$A,Map!E:E)</f>
        <v>Overhead - Consumables &amp; SP</v>
      </c>
      <c r="J140" s="43" t="str">
        <f>_xlfn.XLOOKUP($A140,Map!$A:$A,Map!F:F)</f>
        <v>Tools</v>
      </c>
    </row>
    <row r="141" spans="1:10" x14ac:dyDescent="0.25">
      <c r="A141">
        <v>600017</v>
      </c>
      <c r="B141" t="s">
        <v>994</v>
      </c>
      <c r="C141" s="116">
        <v>0</v>
      </c>
      <c r="D141" s="116">
        <v>2451280.52</v>
      </c>
      <c r="E141" s="116">
        <v>2451280.52</v>
      </c>
      <c r="F141" s="116">
        <v>0</v>
      </c>
      <c r="G141" s="43" t="str">
        <f>_xlfn.XLOOKUP($A141,Map!$A:$A,Map!C:C)</f>
        <v>IS</v>
      </c>
      <c r="H141" s="43" t="str">
        <f>_xlfn.XLOOKUP($A141,Map!$A:$A,Map!D:D)</f>
        <v>Cost of sales</v>
      </c>
      <c r="I141" s="43" t="str">
        <f>_xlfn.XLOOKUP($A141,Map!$A:$A,Map!E:E)</f>
        <v>Overhead - Utility</v>
      </c>
      <c r="J141" s="43" t="str">
        <f>_xlfn.XLOOKUP($A141,Map!$A:$A,Map!F:F)</f>
        <v>Electricity expenses</v>
      </c>
    </row>
    <row r="142" spans="1:10" x14ac:dyDescent="0.25">
      <c r="A142">
        <v>600018</v>
      </c>
      <c r="B142" t="s">
        <v>995</v>
      </c>
      <c r="C142" s="116">
        <v>0</v>
      </c>
      <c r="D142" s="116">
        <v>440796.13799999998</v>
      </c>
      <c r="E142" s="116">
        <v>440796.13799999998</v>
      </c>
      <c r="F142" s="116">
        <v>0</v>
      </c>
      <c r="G142" s="43" t="str">
        <f>_xlfn.XLOOKUP($A142,Map!$A:$A,Map!C:C)</f>
        <v>IS</v>
      </c>
      <c r="H142" s="43" t="str">
        <f>_xlfn.XLOOKUP($A142,Map!$A:$A,Map!D:D)</f>
        <v>Cost of sales</v>
      </c>
      <c r="I142" s="43" t="str">
        <f>_xlfn.XLOOKUP($A142,Map!$A:$A,Map!E:E)</f>
        <v>Overhead - Utility</v>
      </c>
      <c r="J142" s="43" t="str">
        <f>_xlfn.XLOOKUP($A142,Map!$A:$A,Map!F:F)</f>
        <v>Water expenses</v>
      </c>
    </row>
    <row r="143" spans="1:10" x14ac:dyDescent="0.25">
      <c r="A143">
        <v>600019</v>
      </c>
      <c r="B143" t="s">
        <v>996</v>
      </c>
      <c r="C143" s="116">
        <v>0</v>
      </c>
      <c r="D143" s="116">
        <v>216059.62</v>
      </c>
      <c r="E143" s="116">
        <v>216059.62</v>
      </c>
      <c r="F143" s="116">
        <v>0</v>
      </c>
      <c r="G143" s="43" t="str">
        <f>_xlfn.XLOOKUP($A143,Map!$A:$A,Map!C:C)</f>
        <v>IS</v>
      </c>
      <c r="H143" s="43" t="str">
        <f>_xlfn.XLOOKUP($A143,Map!$A:$A,Map!D:D)</f>
        <v>Cost of sales</v>
      </c>
      <c r="I143" s="43" t="str">
        <f>_xlfn.XLOOKUP($A143,Map!$A:$A,Map!E:E)</f>
        <v>Overhead - Utility</v>
      </c>
      <c r="J143" s="43" t="str">
        <f>_xlfn.XLOOKUP($A143,Map!$A:$A,Map!F:F)</f>
        <v>Fuel and oil</v>
      </c>
    </row>
    <row r="144" spans="1:10" x14ac:dyDescent="0.25">
      <c r="A144">
        <v>600020</v>
      </c>
      <c r="B144" t="s">
        <v>997</v>
      </c>
      <c r="C144" s="116">
        <v>0</v>
      </c>
      <c r="D144" s="116">
        <v>174489.342</v>
      </c>
      <c r="E144" s="116">
        <v>174489.342</v>
      </c>
      <c r="F144" s="116">
        <v>0</v>
      </c>
      <c r="G144" s="43" t="str">
        <f>_xlfn.XLOOKUP($A144,Map!$A:$A,Map!C:C)</f>
        <v>IS</v>
      </c>
      <c r="H144" s="43" t="str">
        <f>_xlfn.XLOOKUP($A144,Map!$A:$A,Map!D:D)</f>
        <v>Cost of sales</v>
      </c>
      <c r="I144" s="43" t="str">
        <f>_xlfn.XLOOKUP($A144,Map!$A:$A,Map!E:E)</f>
        <v>Overhead - R&amp;M</v>
      </c>
      <c r="J144" s="43" t="str">
        <f>_xlfn.XLOOKUP($A144,Map!$A:$A,Map!F:F)</f>
        <v>Machine and equipment</v>
      </c>
    </row>
    <row r="145" spans="1:10" x14ac:dyDescent="0.25">
      <c r="A145">
        <v>600021</v>
      </c>
      <c r="B145" t="s">
        <v>998</v>
      </c>
      <c r="C145" s="116">
        <v>0</v>
      </c>
      <c r="D145" s="116">
        <v>81910.567999999999</v>
      </c>
      <c r="E145" s="116">
        <v>81910.567999999999</v>
      </c>
      <c r="F145" s="116">
        <v>0</v>
      </c>
      <c r="G145" s="43" t="str">
        <f>_xlfn.XLOOKUP($A145,Map!$A:$A,Map!C:C)</f>
        <v>IS</v>
      </c>
      <c r="H145" s="43" t="str">
        <f>_xlfn.XLOOKUP($A145,Map!$A:$A,Map!D:D)</f>
        <v>Cost of sales</v>
      </c>
      <c r="I145" s="43" t="str">
        <f>_xlfn.XLOOKUP($A145,Map!$A:$A,Map!E:E)</f>
        <v>Overhead - R&amp;M</v>
      </c>
      <c r="J145" s="43" t="str">
        <f>_xlfn.XLOOKUP($A145,Map!$A:$A,Map!F:F)</f>
        <v>Vehicle maintenance</v>
      </c>
    </row>
    <row r="146" spans="1:10" x14ac:dyDescent="0.25">
      <c r="A146">
        <v>600022</v>
      </c>
      <c r="B146" t="s">
        <v>999</v>
      </c>
      <c r="C146" s="116">
        <v>0</v>
      </c>
      <c r="D146" s="116">
        <v>17741</v>
      </c>
      <c r="E146" s="116">
        <v>17741</v>
      </c>
      <c r="F146" s="116">
        <v>0</v>
      </c>
      <c r="G146" s="43" t="str">
        <f>_xlfn.XLOOKUP($A146,Map!$A:$A,Map!C:C)</f>
        <v>IS</v>
      </c>
      <c r="H146" s="43" t="str">
        <f>_xlfn.XLOOKUP($A146,Map!$A:$A,Map!D:D)</f>
        <v>Cost of sales</v>
      </c>
      <c r="I146" s="43" t="str">
        <f>_xlfn.XLOOKUP($A146,Map!$A:$A,Map!E:E)</f>
        <v>Overhead - R&amp;M</v>
      </c>
      <c r="J146" s="43" t="str">
        <f>_xlfn.XLOOKUP($A146,Map!$A:$A,Map!F:F)</f>
        <v>Building maintenance</v>
      </c>
    </row>
    <row r="147" spans="1:10" x14ac:dyDescent="0.25">
      <c r="A147">
        <v>600023</v>
      </c>
      <c r="B147" t="s">
        <v>1000</v>
      </c>
      <c r="C147" s="116">
        <v>0</v>
      </c>
      <c r="D147" s="116">
        <v>3400</v>
      </c>
      <c r="E147" s="116">
        <v>3400</v>
      </c>
      <c r="F147" s="116">
        <v>0</v>
      </c>
      <c r="G147" s="43" t="str">
        <f>_xlfn.XLOOKUP($A147,Map!$A:$A,Map!C:C)</f>
        <v>IS</v>
      </c>
      <c r="H147" s="43" t="str">
        <f>_xlfn.XLOOKUP($A147,Map!$A:$A,Map!D:D)</f>
        <v>Cost of sales</v>
      </c>
      <c r="I147" s="43" t="str">
        <f>_xlfn.XLOOKUP($A147,Map!$A:$A,Map!E:E)</f>
        <v>Overhead - R&amp;M</v>
      </c>
      <c r="J147" s="43" t="str">
        <f>_xlfn.XLOOKUP($A147,Map!$A:$A,Map!F:F)</f>
        <v>Office equipment maintenance</v>
      </c>
    </row>
    <row r="148" spans="1:10" x14ac:dyDescent="0.25">
      <c r="A148">
        <v>600024</v>
      </c>
      <c r="B148" t="s">
        <v>1001</v>
      </c>
      <c r="C148" s="116">
        <v>0</v>
      </c>
      <c r="D148" s="116">
        <v>6479.05</v>
      </c>
      <c r="E148" s="116">
        <v>6479.05</v>
      </c>
      <c r="F148" s="116">
        <v>0</v>
      </c>
      <c r="G148" s="43" t="str">
        <f>_xlfn.XLOOKUP($A148,Map!$A:$A,Map!C:C)</f>
        <v>IS</v>
      </c>
      <c r="H148" s="43" t="str">
        <f>_xlfn.XLOOKUP($A148,Map!$A:$A,Map!D:D)</f>
        <v>Cost of sales</v>
      </c>
      <c r="I148" s="43" t="str">
        <f>_xlfn.XLOOKUP($A148,Map!$A:$A,Map!E:E)</f>
        <v>Overhead - Rent</v>
      </c>
      <c r="J148" s="43" t="str">
        <f>_xlfn.XLOOKUP($A148,Map!$A:$A,Map!F:F)</f>
        <v>Pump rental expenses</v>
      </c>
    </row>
    <row r="149" spans="1:10" x14ac:dyDescent="0.25">
      <c r="A149">
        <v>600026</v>
      </c>
      <c r="B149" t="s">
        <v>1003</v>
      </c>
      <c r="C149" s="116">
        <v>0</v>
      </c>
      <c r="D149" s="116">
        <v>0</v>
      </c>
      <c r="E149" s="116">
        <v>0</v>
      </c>
      <c r="F149" s="116">
        <v>0</v>
      </c>
      <c r="G149" s="43" t="str">
        <f>_xlfn.XLOOKUP($A149,Map!$A:$A,Map!C:C)</f>
        <v>IS</v>
      </c>
      <c r="H149" s="43" t="str">
        <f>_xlfn.XLOOKUP($A149,Map!$A:$A,Map!D:D)</f>
        <v>Cost of sales</v>
      </c>
      <c r="I149" s="43" t="str">
        <f>_xlfn.XLOOKUP($A149,Map!$A:$A,Map!E:E)</f>
        <v>Overhead - Insurance</v>
      </c>
      <c r="J149" s="43" t="str">
        <f>_xlfn.XLOOKUP($A149,Map!$A:$A,Map!F:F)</f>
        <v>Machine and equipment insurance</v>
      </c>
    </row>
    <row r="150" spans="1:10" x14ac:dyDescent="0.25">
      <c r="A150">
        <v>600027</v>
      </c>
      <c r="B150" t="s">
        <v>1004</v>
      </c>
      <c r="C150" s="116">
        <v>0</v>
      </c>
      <c r="D150" s="116">
        <v>234844.67300000001</v>
      </c>
      <c r="E150" s="116">
        <v>234844.67300000001</v>
      </c>
      <c r="F150" s="116">
        <v>0</v>
      </c>
      <c r="G150" s="43" t="str">
        <f>_xlfn.XLOOKUP($A150,Map!$A:$A,Map!C:C)</f>
        <v>IS</v>
      </c>
      <c r="H150" s="43" t="str">
        <f>_xlfn.XLOOKUP($A150,Map!$A:$A,Map!D:D)</f>
        <v>Cost of sales</v>
      </c>
      <c r="I150" s="43" t="str">
        <f>_xlfn.XLOOKUP($A150,Map!$A:$A,Map!E:E)</f>
        <v>Overhead - Rent</v>
      </c>
      <c r="J150" s="43" t="str">
        <f>_xlfn.XLOOKUP($A150,Map!$A:$A,Map!F:F)</f>
        <v>Production hall rental</v>
      </c>
    </row>
    <row r="151" spans="1:10" x14ac:dyDescent="0.25">
      <c r="A151">
        <v>600028</v>
      </c>
      <c r="B151" t="s">
        <v>1005</v>
      </c>
      <c r="C151" s="116">
        <v>0</v>
      </c>
      <c r="D151" s="116">
        <v>72821.929999999993</v>
      </c>
      <c r="E151" s="116">
        <v>72821.929999999993</v>
      </c>
      <c r="F151" s="116">
        <v>0</v>
      </c>
      <c r="G151" s="43" t="str">
        <f>_xlfn.XLOOKUP($A151,Map!$A:$A,Map!C:C)</f>
        <v>IS</v>
      </c>
      <c r="H151" s="43" t="str">
        <f>_xlfn.XLOOKUP($A151,Map!$A:$A,Map!D:D)</f>
        <v>Cost of sales</v>
      </c>
      <c r="I151" s="43" t="str">
        <f>_xlfn.XLOOKUP($A151,Map!$A:$A,Map!E:E)</f>
        <v>Overhead - Consumables &amp; SP</v>
      </c>
      <c r="J151" s="43" t="str">
        <f>_xlfn.XLOOKUP($A151,Map!$A:$A,Map!F:F)</f>
        <v xml:space="preserve">Education &amp; Furniture Allowances </v>
      </c>
    </row>
    <row r="152" spans="1:10" x14ac:dyDescent="0.25">
      <c r="A152">
        <v>600029</v>
      </c>
      <c r="B152" t="s">
        <v>1006</v>
      </c>
      <c r="C152" s="116">
        <v>0</v>
      </c>
      <c r="D152" s="116">
        <v>6928758.9280000003</v>
      </c>
      <c r="E152" s="116">
        <v>6928758.9280000003</v>
      </c>
      <c r="F152" s="116">
        <v>0</v>
      </c>
      <c r="G152" s="43" t="str">
        <f>_xlfn.XLOOKUP($A152,Map!$A:$A,Map!C:C)</f>
        <v>IS</v>
      </c>
      <c r="H152" s="43" t="str">
        <f>_xlfn.XLOOKUP($A152,Map!$A:$A,Map!D:D)</f>
        <v>Cost of sales</v>
      </c>
      <c r="I152" s="43" t="str">
        <f>_xlfn.XLOOKUP($A152,Map!$A:$A,Map!E:E)</f>
        <v>Depreciation - Machines</v>
      </c>
      <c r="J152" s="43" t="str">
        <f>_xlfn.XLOOKUP($A152,Map!$A:$A,Map!F:F)</f>
        <v>Depreciation of property, plant and equipment</v>
      </c>
    </row>
    <row r="153" spans="1:10" x14ac:dyDescent="0.25">
      <c r="A153">
        <v>600030</v>
      </c>
      <c r="B153" t="s">
        <v>1007</v>
      </c>
      <c r="C153" s="116">
        <v>0</v>
      </c>
      <c r="D153" s="116">
        <v>61493.072999999997</v>
      </c>
      <c r="E153" s="116">
        <v>61493.072999999997</v>
      </c>
      <c r="F153" s="116">
        <v>0</v>
      </c>
      <c r="G153" s="43" t="str">
        <f>_xlfn.XLOOKUP($A153,Map!$A:$A,Map!C:C)</f>
        <v>IS</v>
      </c>
      <c r="H153" s="43" t="str">
        <f>_xlfn.XLOOKUP($A153,Map!$A:$A,Map!D:D)</f>
        <v>Depreciation expenses</v>
      </c>
      <c r="I153" s="43" t="str">
        <f>_xlfn.XLOOKUP($A153,Map!$A:$A,Map!E:E)</f>
        <v>Depreciation expenses</v>
      </c>
      <c r="J153" s="43" t="str">
        <f>_xlfn.XLOOKUP($A153,Map!$A:$A,Map!F:F)</f>
        <v>Depreciation of property, plant and equipment</v>
      </c>
    </row>
    <row r="154" spans="1:10" x14ac:dyDescent="0.25">
      <c r="A154">
        <v>600031</v>
      </c>
      <c r="B154" t="s">
        <v>1008</v>
      </c>
      <c r="C154" s="116">
        <v>0</v>
      </c>
      <c r="D154" s="116">
        <v>19597.740000000002</v>
      </c>
      <c r="E154" s="116">
        <v>19597.740000000002</v>
      </c>
      <c r="F154" s="116">
        <v>0</v>
      </c>
      <c r="G154" s="43" t="str">
        <f>_xlfn.XLOOKUP($A154,Map!$A:$A,Map!C:C)</f>
        <v>IS</v>
      </c>
      <c r="H154" s="43" t="str">
        <f>_xlfn.XLOOKUP($A154,Map!$A:$A,Map!D:D)</f>
        <v>Depreciation expenses</v>
      </c>
      <c r="I154" s="43" t="str">
        <f>_xlfn.XLOOKUP($A154,Map!$A:$A,Map!E:E)</f>
        <v>Depreciation expenses</v>
      </c>
      <c r="J154" s="43" t="str">
        <f>_xlfn.XLOOKUP($A154,Map!$A:$A,Map!F:F)</f>
        <v>Depreciation of property, plant and equipment</v>
      </c>
    </row>
    <row r="155" spans="1:10" x14ac:dyDescent="0.25">
      <c r="A155">
        <v>600032</v>
      </c>
      <c r="B155" t="s">
        <v>1009</v>
      </c>
      <c r="C155" s="116">
        <v>0</v>
      </c>
      <c r="D155" s="116">
        <v>1471770.21</v>
      </c>
      <c r="E155" s="116">
        <v>1471770.21</v>
      </c>
      <c r="F155" s="116">
        <v>0</v>
      </c>
      <c r="G155" s="43" t="str">
        <f>_xlfn.XLOOKUP($A155,Map!$A:$A,Map!C:C)</f>
        <v>IS</v>
      </c>
      <c r="H155" s="43" t="str">
        <f>_xlfn.XLOOKUP($A155,Map!$A:$A,Map!D:D)</f>
        <v>Depreciation expenses</v>
      </c>
      <c r="I155" s="43" t="str">
        <f>_xlfn.XLOOKUP($A155,Map!$A:$A,Map!E:E)</f>
        <v>Depreciation expenses</v>
      </c>
      <c r="J155" s="43" t="str">
        <f>_xlfn.XLOOKUP($A155,Map!$A:$A,Map!F:F)</f>
        <v>Depreciation of property, plant and equipment</v>
      </c>
    </row>
    <row r="156" spans="1:10" x14ac:dyDescent="0.25">
      <c r="A156">
        <v>700001</v>
      </c>
      <c r="B156" t="s">
        <v>1023</v>
      </c>
      <c r="C156" s="116">
        <v>0</v>
      </c>
      <c r="D156" s="116">
        <v>3644233.5</v>
      </c>
      <c r="E156" s="116">
        <v>20373.86</v>
      </c>
      <c r="F156" s="116">
        <v>3623859.64</v>
      </c>
      <c r="G156" s="43" t="str">
        <f>_xlfn.XLOOKUP($A156,Map!$A:$A,Map!C:C)</f>
        <v>IS</v>
      </c>
      <c r="H156" s="43" t="str">
        <f>_xlfn.XLOOKUP($A156,Map!$A:$A,Map!D:D)</f>
        <v>General and Admin</v>
      </c>
      <c r="I156" s="43" t="str">
        <f>_xlfn.XLOOKUP($A156,Map!$A:$A,Map!E:E)</f>
        <v>Salaries and wages</v>
      </c>
      <c r="J156" s="43" t="str">
        <f>_xlfn.XLOOKUP($A156,Map!$A:$A,Map!F:F)</f>
        <v>Salaries and wages</v>
      </c>
    </row>
    <row r="157" spans="1:10" x14ac:dyDescent="0.25">
      <c r="A157">
        <v>700002</v>
      </c>
      <c r="B157" t="s">
        <v>1024</v>
      </c>
      <c r="C157" s="116">
        <v>0</v>
      </c>
      <c r="D157" s="116">
        <v>47886</v>
      </c>
      <c r="E157" s="116">
        <v>0</v>
      </c>
      <c r="F157" s="116">
        <v>47886</v>
      </c>
      <c r="G157" s="43" t="str">
        <f>_xlfn.XLOOKUP($A157,Map!$A:$A,Map!C:C)</f>
        <v>IS</v>
      </c>
      <c r="H157" s="43" t="str">
        <f>_xlfn.XLOOKUP($A157,Map!$A:$A,Map!D:D)</f>
        <v>General and Admin</v>
      </c>
      <c r="I157" s="43" t="str">
        <f>_xlfn.XLOOKUP($A157,Map!$A:$A,Map!E:E)</f>
        <v>Salaries and wages</v>
      </c>
      <c r="J157" s="43" t="str">
        <f>_xlfn.XLOOKUP($A157,Map!$A:$A,Map!F:F)</f>
        <v>Overtime pay</v>
      </c>
    </row>
    <row r="158" spans="1:10" x14ac:dyDescent="0.25">
      <c r="A158">
        <v>700003</v>
      </c>
      <c r="B158" t="s">
        <v>1152</v>
      </c>
      <c r="C158" s="116">
        <v>0</v>
      </c>
      <c r="D158" s="116">
        <v>54943</v>
      </c>
      <c r="E158" s="116">
        <v>0</v>
      </c>
      <c r="F158" s="116">
        <v>54943</v>
      </c>
      <c r="G158" s="43" t="str">
        <f>_xlfn.XLOOKUP($A158,Map!$A:$A,Map!C:C)</f>
        <v>IS</v>
      </c>
      <c r="H158" s="43" t="str">
        <f>_xlfn.XLOOKUP($A158,Map!$A:$A,Map!D:D)</f>
        <v>General and Admin</v>
      </c>
      <c r="I158" s="43" t="str">
        <f>_xlfn.XLOOKUP($A158,Map!$A:$A,Map!E:E)</f>
        <v>Salaries and wages</v>
      </c>
      <c r="J158" s="43" t="str">
        <f>_xlfn.XLOOKUP($A158,Map!$A:$A,Map!F:F)</f>
        <v xml:space="preserve">Food &amp; Housing </v>
      </c>
    </row>
    <row r="159" spans="1:10" x14ac:dyDescent="0.25">
      <c r="A159">
        <v>700004</v>
      </c>
      <c r="B159" t="s">
        <v>1026</v>
      </c>
      <c r="C159" s="116">
        <v>0</v>
      </c>
      <c r="D159" s="116">
        <v>205562.829</v>
      </c>
      <c r="E159" s="116">
        <v>2677.51</v>
      </c>
      <c r="F159" s="116">
        <v>202885.31899999999</v>
      </c>
      <c r="G159" s="43" t="str">
        <f>_xlfn.XLOOKUP($A159,Map!$A:$A,Map!C:C)</f>
        <v>IS</v>
      </c>
      <c r="H159" s="43" t="str">
        <f>_xlfn.XLOOKUP($A159,Map!$A:$A,Map!D:D)</f>
        <v>General and Admin</v>
      </c>
      <c r="I159" s="43" t="str">
        <f>_xlfn.XLOOKUP($A159,Map!$A:$A,Map!E:E)</f>
        <v>Salaries and wages</v>
      </c>
      <c r="J159" s="43" t="str">
        <f>_xlfn.XLOOKUP($A159,Map!$A:$A,Map!F:F)</f>
        <v>Medical insurance</v>
      </c>
    </row>
    <row r="160" spans="1:10" x14ac:dyDescent="0.25">
      <c r="A160">
        <v>700005</v>
      </c>
      <c r="B160" t="s">
        <v>1027</v>
      </c>
      <c r="C160" s="116">
        <v>0</v>
      </c>
      <c r="D160" s="116">
        <v>406555.25400000002</v>
      </c>
      <c r="E160" s="116">
        <v>116361.93</v>
      </c>
      <c r="F160" s="116">
        <v>290193.32400000002</v>
      </c>
      <c r="G160" s="43" t="str">
        <f>_xlfn.XLOOKUP($A160,Map!$A:$A,Map!C:C)</f>
        <v>IS</v>
      </c>
      <c r="H160" s="43" t="str">
        <f>_xlfn.XLOOKUP($A160,Map!$A:$A,Map!D:D)</f>
        <v>General and Admin</v>
      </c>
      <c r="I160" s="43" t="str">
        <f>_xlfn.XLOOKUP($A160,Map!$A:$A,Map!E:E)</f>
        <v>Govt license and fees (including modon)</v>
      </c>
      <c r="J160" s="43" t="str">
        <f>_xlfn.XLOOKUP($A160,Map!$A:$A,Map!F:F)</f>
        <v>Government fees</v>
      </c>
    </row>
    <row r="161" spans="1:10" x14ac:dyDescent="0.25">
      <c r="A161">
        <v>700006</v>
      </c>
      <c r="B161" t="s">
        <v>1028</v>
      </c>
      <c r="C161" s="116">
        <v>0</v>
      </c>
      <c r="D161" s="116">
        <v>793825.65500000003</v>
      </c>
      <c r="E161" s="116">
        <v>47350</v>
      </c>
      <c r="F161" s="116">
        <v>746475.65500000003</v>
      </c>
      <c r="G161" s="43" t="str">
        <f>_xlfn.XLOOKUP($A161,Map!$A:$A,Map!C:C)</f>
        <v>IS</v>
      </c>
      <c r="H161" s="43" t="str">
        <f>_xlfn.XLOOKUP($A161,Map!$A:$A,Map!D:D)</f>
        <v>General and Admin</v>
      </c>
      <c r="I161" s="43" t="str">
        <f>_xlfn.XLOOKUP($A161,Map!$A:$A,Map!E:E)</f>
        <v>Salaries and wages</v>
      </c>
      <c r="J161" s="43" t="str">
        <f>_xlfn.XLOOKUP($A161,Map!$A:$A,Map!F:F)</f>
        <v xml:space="preserve">Food &amp; Housing </v>
      </c>
    </row>
    <row r="162" spans="1:10" x14ac:dyDescent="0.25">
      <c r="A162">
        <v>700007</v>
      </c>
      <c r="B162" t="s">
        <v>1029</v>
      </c>
      <c r="C162" s="116">
        <v>0</v>
      </c>
      <c r="D162" s="116">
        <v>379762</v>
      </c>
      <c r="E162" s="116">
        <v>0</v>
      </c>
      <c r="F162" s="116">
        <v>379762</v>
      </c>
      <c r="G162" s="43" t="str">
        <f>_xlfn.XLOOKUP($A162,Map!$A:$A,Map!C:C)</f>
        <v>IS</v>
      </c>
      <c r="H162" s="43" t="str">
        <f>_xlfn.XLOOKUP($A162,Map!$A:$A,Map!D:D)</f>
        <v>General and Admin</v>
      </c>
      <c r="I162" s="43" t="str">
        <f>_xlfn.XLOOKUP($A162,Map!$A:$A,Map!E:E)</f>
        <v>Salaries and wages</v>
      </c>
      <c r="J162" s="43" t="str">
        <f>_xlfn.XLOOKUP($A162,Map!$A:$A,Map!F:F)</f>
        <v>Transportation allowance</v>
      </c>
    </row>
    <row r="163" spans="1:10" x14ac:dyDescent="0.25">
      <c r="A163">
        <v>700008</v>
      </c>
      <c r="B163" t="s">
        <v>1030</v>
      </c>
      <c r="C163" s="116">
        <v>0</v>
      </c>
      <c r="D163" s="116">
        <v>58073.324000000001</v>
      </c>
      <c r="E163" s="116">
        <v>1251.5</v>
      </c>
      <c r="F163" s="116">
        <v>56821.824000000001</v>
      </c>
      <c r="G163" s="43" t="str">
        <f>_xlfn.XLOOKUP($A163,Map!$A:$A,Map!C:C)</f>
        <v>IS</v>
      </c>
      <c r="H163" s="43" t="str">
        <f>_xlfn.XLOOKUP($A163,Map!$A:$A,Map!D:D)</f>
        <v>General and Admin</v>
      </c>
      <c r="I163" s="43" t="str">
        <f>_xlfn.XLOOKUP($A163,Map!$A:$A,Map!E:E)</f>
        <v>Salaries and wages</v>
      </c>
      <c r="J163" s="43" t="str">
        <f>_xlfn.XLOOKUP($A163,Map!$A:$A,Map!F:F)</f>
        <v>Air tickets</v>
      </c>
    </row>
    <row r="164" spans="1:10" x14ac:dyDescent="0.25">
      <c r="A164">
        <v>700009</v>
      </c>
      <c r="B164" t="s">
        <v>1031</v>
      </c>
      <c r="C164" s="116">
        <v>0</v>
      </c>
      <c r="D164" s="116">
        <v>266275</v>
      </c>
      <c r="E164" s="116">
        <v>0</v>
      </c>
      <c r="F164" s="116">
        <v>266275</v>
      </c>
      <c r="G164" s="43" t="str">
        <f>_xlfn.XLOOKUP($A164,Map!$A:$A,Map!C:C)</f>
        <v>IS</v>
      </c>
      <c r="H164" s="43" t="str">
        <f>_xlfn.XLOOKUP($A164,Map!$A:$A,Map!D:D)</f>
        <v>General and Admin</v>
      </c>
      <c r="I164" s="43" t="str">
        <f>_xlfn.XLOOKUP($A164,Map!$A:$A,Map!E:E)</f>
        <v>Salaries and wages</v>
      </c>
      <c r="J164" s="43" t="str">
        <f>_xlfn.XLOOKUP($A164,Map!$A:$A,Map!F:F)</f>
        <v>Leave pay</v>
      </c>
    </row>
    <row r="165" spans="1:10" x14ac:dyDescent="0.25">
      <c r="A165">
        <v>700010</v>
      </c>
      <c r="B165" t="s">
        <v>1032</v>
      </c>
      <c r="C165" s="116">
        <v>0</v>
      </c>
      <c r="D165" s="116">
        <v>872000</v>
      </c>
      <c r="E165" s="116">
        <v>303126</v>
      </c>
      <c r="F165" s="116">
        <v>568874</v>
      </c>
      <c r="G165" s="43" t="str">
        <f>_xlfn.XLOOKUP($A165,Map!$A:$A,Map!C:C)</f>
        <v>IS</v>
      </c>
      <c r="H165" s="43" t="str">
        <f>_xlfn.XLOOKUP($A165,Map!$A:$A,Map!D:D)</f>
        <v>General and Admin</v>
      </c>
      <c r="I165" s="43" t="str">
        <f>_xlfn.XLOOKUP($A165,Map!$A:$A,Map!E:E)</f>
        <v>Salaries and wages</v>
      </c>
      <c r="J165" s="43" t="str">
        <f>_xlfn.XLOOKUP($A165,Map!$A:$A,Map!F:F)</f>
        <v>Indemnities</v>
      </c>
    </row>
    <row r="166" spans="1:10" x14ac:dyDescent="0.25">
      <c r="A166">
        <v>700011</v>
      </c>
      <c r="B166" t="s">
        <v>1033</v>
      </c>
      <c r="C166" s="116">
        <v>0</v>
      </c>
      <c r="D166" s="116">
        <v>111332.989</v>
      </c>
      <c r="E166" s="116">
        <v>0</v>
      </c>
      <c r="F166" s="116">
        <v>111332.989</v>
      </c>
      <c r="G166" s="43" t="str">
        <f>_xlfn.XLOOKUP($A166,Map!$A:$A,Map!C:C)</f>
        <v>IS</v>
      </c>
      <c r="H166" s="43" t="str">
        <f>_xlfn.XLOOKUP($A166,Map!$A:$A,Map!D:D)</f>
        <v>General and Admin</v>
      </c>
      <c r="I166" s="43" t="str">
        <f>_xlfn.XLOOKUP($A166,Map!$A:$A,Map!E:E)</f>
        <v>Salaries and wages</v>
      </c>
      <c r="J166" s="43" t="str">
        <f>_xlfn.XLOOKUP($A166,Map!$A:$A,Map!F:F)</f>
        <v>Air tickets</v>
      </c>
    </row>
    <row r="167" spans="1:10" x14ac:dyDescent="0.25">
      <c r="A167">
        <v>700012</v>
      </c>
      <c r="B167" t="s">
        <v>1034</v>
      </c>
      <c r="C167" s="116">
        <v>0</v>
      </c>
      <c r="D167" s="116">
        <v>214710</v>
      </c>
      <c r="E167" s="116">
        <v>0</v>
      </c>
      <c r="F167" s="116">
        <v>214710</v>
      </c>
      <c r="G167" s="43" t="str">
        <f>_xlfn.XLOOKUP($A167,Map!$A:$A,Map!C:C)</f>
        <v>IS</v>
      </c>
      <c r="H167" s="43" t="str">
        <f>_xlfn.XLOOKUP($A167,Map!$A:$A,Map!D:D)</f>
        <v>General and Admin</v>
      </c>
      <c r="I167" s="43" t="str">
        <f>_xlfn.XLOOKUP($A167,Map!$A:$A,Map!E:E)</f>
        <v>Salaries and wages</v>
      </c>
      <c r="J167" s="43" t="str">
        <f>_xlfn.XLOOKUP($A167,Map!$A:$A,Map!F:F)</f>
        <v xml:space="preserve">Education &amp; Furniture Allowances </v>
      </c>
    </row>
    <row r="168" spans="1:10" x14ac:dyDescent="0.25">
      <c r="A168">
        <v>700013</v>
      </c>
      <c r="B168" t="s">
        <v>1035</v>
      </c>
      <c r="C168" s="116">
        <v>0</v>
      </c>
      <c r="D168" s="116">
        <v>137685</v>
      </c>
      <c r="E168" s="116">
        <v>19682</v>
      </c>
      <c r="F168" s="116">
        <v>118003</v>
      </c>
      <c r="G168" s="43" t="str">
        <f>_xlfn.XLOOKUP($A168,Map!$A:$A,Map!C:C)</f>
        <v>IS</v>
      </c>
      <c r="H168" s="43" t="str">
        <f>_xlfn.XLOOKUP($A168,Map!$A:$A,Map!D:D)</f>
        <v>General and Admin</v>
      </c>
      <c r="I168" s="43" t="str">
        <f>_xlfn.XLOOKUP($A168,Map!$A:$A,Map!E:E)</f>
        <v>Utilities</v>
      </c>
      <c r="J168" s="43" t="str">
        <f>_xlfn.XLOOKUP($A168,Map!$A:$A,Map!F:F)</f>
        <v>Other general and administrative expenses</v>
      </c>
    </row>
    <row r="169" spans="1:10" x14ac:dyDescent="0.25">
      <c r="A169">
        <v>700014</v>
      </c>
      <c r="B169" t="s">
        <v>1036</v>
      </c>
      <c r="C169" s="116">
        <v>0</v>
      </c>
      <c r="D169" s="116">
        <v>1500</v>
      </c>
      <c r="E169" s="116">
        <v>0</v>
      </c>
      <c r="F169" s="116">
        <v>1500</v>
      </c>
      <c r="G169" s="43" t="str">
        <f>_xlfn.XLOOKUP($A169,Map!$A:$A,Map!C:C)</f>
        <v>IS</v>
      </c>
      <c r="H169" s="43" t="str">
        <f>_xlfn.XLOOKUP($A169,Map!$A:$A,Map!D:D)</f>
        <v>General and Admin</v>
      </c>
      <c r="I169" s="43" t="str">
        <f>_xlfn.XLOOKUP($A169,Map!$A:$A,Map!E:E)</f>
        <v>Salaries and wages</v>
      </c>
      <c r="J169" s="43" t="str">
        <f>_xlfn.XLOOKUP($A169,Map!$A:$A,Map!F:F)</f>
        <v xml:space="preserve">Education &amp; Furniture Allowances </v>
      </c>
    </row>
    <row r="170" spans="1:10" x14ac:dyDescent="0.25">
      <c r="A170">
        <v>700015</v>
      </c>
      <c r="B170" t="s">
        <v>1037</v>
      </c>
      <c r="C170" s="116">
        <v>0</v>
      </c>
      <c r="D170" s="116">
        <v>25949.319</v>
      </c>
      <c r="E170" s="116">
        <v>158.023</v>
      </c>
      <c r="F170" s="116">
        <v>25791.295999999998</v>
      </c>
      <c r="G170" s="43" t="str">
        <f>_xlfn.XLOOKUP($A170,Map!$A:$A,Map!C:C)</f>
        <v>IS</v>
      </c>
      <c r="H170" s="43" t="str">
        <f>_xlfn.XLOOKUP($A170,Map!$A:$A,Map!D:D)</f>
        <v>General and Admin</v>
      </c>
      <c r="I170" s="43" t="str">
        <f>_xlfn.XLOOKUP($A170,Map!$A:$A,Map!E:E)</f>
        <v>Business travel</v>
      </c>
      <c r="J170" s="43" t="str">
        <f>_xlfn.XLOOKUP($A170,Map!$A:$A,Map!F:F)</f>
        <v>Transportation expenses</v>
      </c>
    </row>
    <row r="171" spans="1:10" x14ac:dyDescent="0.25">
      <c r="A171">
        <v>700016</v>
      </c>
      <c r="B171" t="s">
        <v>1038</v>
      </c>
      <c r="C171" s="116">
        <v>0</v>
      </c>
      <c r="D171" s="116">
        <v>17382.990000000002</v>
      </c>
      <c r="E171" s="116">
        <v>972</v>
      </c>
      <c r="F171" s="116">
        <v>16410.990000000002</v>
      </c>
      <c r="G171" s="43" t="str">
        <f>_xlfn.XLOOKUP($A171,Map!$A:$A,Map!C:C)</f>
        <v>IS</v>
      </c>
      <c r="H171" s="43" t="str">
        <f>_xlfn.XLOOKUP($A171,Map!$A:$A,Map!D:D)</f>
        <v>Selling and Marketing</v>
      </c>
      <c r="I171" s="43" t="str">
        <f>_xlfn.XLOOKUP($A171,Map!$A:$A,Map!E:E)</f>
        <v>Buffet expenses</v>
      </c>
      <c r="J171" s="43" t="str">
        <f>_xlfn.XLOOKUP($A171,Map!$A:$A,Map!F:F)</f>
        <v>Food expenses</v>
      </c>
    </row>
    <row r="172" spans="1:10" x14ac:dyDescent="0.25">
      <c r="A172">
        <v>700017</v>
      </c>
      <c r="B172" t="s">
        <v>1039</v>
      </c>
      <c r="C172" s="116">
        <v>0</v>
      </c>
      <c r="D172" s="116">
        <v>360</v>
      </c>
      <c r="E172" s="116">
        <v>0</v>
      </c>
      <c r="F172" s="116">
        <v>360</v>
      </c>
      <c r="G172" s="43" t="str">
        <f>_xlfn.XLOOKUP($A172,Map!$A:$A,Map!C:C)</f>
        <v>IS</v>
      </c>
      <c r="H172" s="43" t="str">
        <f>_xlfn.XLOOKUP($A172,Map!$A:$A,Map!D:D)</f>
        <v>General and Admin</v>
      </c>
      <c r="I172" s="43" t="str">
        <f>_xlfn.XLOOKUP($A172,Map!$A:$A,Map!E:E)</f>
        <v>Salaries and wages</v>
      </c>
      <c r="J172" s="43" t="str">
        <f>_xlfn.XLOOKUP($A172,Map!$A:$A,Map!F:F)</f>
        <v>Accommodation expenses</v>
      </c>
    </row>
    <row r="173" spans="1:10" x14ac:dyDescent="0.25">
      <c r="A173">
        <v>700018</v>
      </c>
      <c r="B173" t="s">
        <v>1040</v>
      </c>
      <c r="C173" s="116">
        <v>0</v>
      </c>
      <c r="D173" s="116">
        <v>54163.919000000002</v>
      </c>
      <c r="E173" s="116">
        <v>80.739999999999995</v>
      </c>
      <c r="F173" s="116">
        <v>54083.178999999996</v>
      </c>
      <c r="G173" s="43" t="str">
        <f>_xlfn.XLOOKUP($A173,Map!$A:$A,Map!C:C)</f>
        <v>IS</v>
      </c>
      <c r="H173" s="43" t="str">
        <f>_xlfn.XLOOKUP($A173,Map!$A:$A,Map!D:D)</f>
        <v>General and Admin</v>
      </c>
      <c r="I173" s="43" t="str">
        <f>_xlfn.XLOOKUP($A173,Map!$A:$A,Map!E:E)</f>
        <v>Salaries and wages</v>
      </c>
      <c r="J173" s="43" t="str">
        <f>_xlfn.XLOOKUP($A173,Map!$A:$A,Map!F:F)</f>
        <v xml:space="preserve">Employee Medical Emergency Expenses </v>
      </c>
    </row>
    <row r="174" spans="1:10" x14ac:dyDescent="0.25">
      <c r="A174">
        <v>700019</v>
      </c>
      <c r="B174" t="s">
        <v>1041</v>
      </c>
      <c r="C174" s="116">
        <v>0</v>
      </c>
      <c r="D174" s="116">
        <v>330954</v>
      </c>
      <c r="E174" s="116">
        <v>165477</v>
      </c>
      <c r="F174" s="116">
        <v>165477</v>
      </c>
      <c r="G174" s="43" t="str">
        <f>_xlfn.XLOOKUP($A174,Map!$A:$A,Map!C:C)</f>
        <v>IS</v>
      </c>
      <c r="H174" s="43" t="str">
        <f>_xlfn.XLOOKUP($A174,Map!$A:$A,Map!D:D)</f>
        <v>General and Admin</v>
      </c>
      <c r="I174" s="43" t="str">
        <f>_xlfn.XLOOKUP($A174,Map!$A:$A,Map!E:E)</f>
        <v>Salaries and wages</v>
      </c>
      <c r="J174" s="43" t="str">
        <f>_xlfn.XLOOKUP($A174,Map!$A:$A,Map!F:F)</f>
        <v xml:space="preserve">Incentives </v>
      </c>
    </row>
    <row r="175" spans="1:10" x14ac:dyDescent="0.25">
      <c r="A175">
        <v>700020</v>
      </c>
      <c r="B175" t="s">
        <v>1042</v>
      </c>
      <c r="C175" s="116">
        <v>0</v>
      </c>
      <c r="D175" s="116">
        <v>69160.663</v>
      </c>
      <c r="E175" s="116">
        <v>90</v>
      </c>
      <c r="F175" s="116">
        <v>69070.663</v>
      </c>
      <c r="G175" s="43" t="str">
        <f>_xlfn.XLOOKUP($A175,Map!$A:$A,Map!C:C)</f>
        <v>IS</v>
      </c>
      <c r="H175" s="43" t="str">
        <f>_xlfn.XLOOKUP($A175,Map!$A:$A,Map!D:D)</f>
        <v>General and Admin</v>
      </c>
      <c r="I175" s="43" t="str">
        <f>_xlfn.XLOOKUP($A175,Map!$A:$A,Map!E:E)</f>
        <v>Utilities</v>
      </c>
      <c r="J175" s="43" t="str">
        <f>_xlfn.XLOOKUP($A175,Map!$A:$A,Map!F:F)</f>
        <v>Electricity expenses</v>
      </c>
    </row>
    <row r="176" spans="1:10" x14ac:dyDescent="0.25">
      <c r="A176">
        <v>700021</v>
      </c>
      <c r="B176" t="s">
        <v>1043</v>
      </c>
      <c r="C176" s="116">
        <v>0</v>
      </c>
      <c r="D176" s="116">
        <v>18692.84</v>
      </c>
      <c r="E176" s="116">
        <v>0</v>
      </c>
      <c r="F176" s="116">
        <v>18692.84</v>
      </c>
      <c r="G176" s="43" t="str">
        <f>_xlfn.XLOOKUP($A176,Map!$A:$A,Map!C:C)</f>
        <v>IS</v>
      </c>
      <c r="H176" s="43" t="str">
        <f>_xlfn.XLOOKUP($A176,Map!$A:$A,Map!D:D)</f>
        <v>General and Admin</v>
      </c>
      <c r="I176" s="43" t="str">
        <f>_xlfn.XLOOKUP($A176,Map!$A:$A,Map!E:E)</f>
        <v>Utilities</v>
      </c>
      <c r="J176" s="43" t="str">
        <f>_xlfn.XLOOKUP($A176,Map!$A:$A,Map!F:F)</f>
        <v>Other general and administrative expenses</v>
      </c>
    </row>
    <row r="177" spans="1:10" x14ac:dyDescent="0.25">
      <c r="A177">
        <v>700022</v>
      </c>
      <c r="B177" t="s">
        <v>1044</v>
      </c>
      <c r="C177" s="116">
        <v>0</v>
      </c>
      <c r="D177" s="116">
        <v>61809.180999999997</v>
      </c>
      <c r="E177" s="116">
        <v>0</v>
      </c>
      <c r="F177" s="116">
        <v>61809.180999999997</v>
      </c>
      <c r="G177" s="43" t="str">
        <f>_xlfn.XLOOKUP($A177,Map!$A:$A,Map!C:C)</f>
        <v>IS</v>
      </c>
      <c r="H177" s="43" t="str">
        <f>_xlfn.XLOOKUP($A177,Map!$A:$A,Map!D:D)</f>
        <v>General and Admin</v>
      </c>
      <c r="I177" s="43" t="str">
        <f>_xlfn.XLOOKUP($A177,Map!$A:$A,Map!E:E)</f>
        <v>Utilities</v>
      </c>
      <c r="J177" s="43" t="str">
        <f>_xlfn.XLOOKUP($A177,Map!$A:$A,Map!F:F)</f>
        <v>Other general and administrative expenses</v>
      </c>
    </row>
    <row r="178" spans="1:10" x14ac:dyDescent="0.25">
      <c r="A178">
        <v>700023</v>
      </c>
      <c r="B178" t="s">
        <v>1045</v>
      </c>
      <c r="C178" s="116">
        <v>0</v>
      </c>
      <c r="D178" s="116">
        <v>32060.77</v>
      </c>
      <c r="E178" s="116">
        <v>0</v>
      </c>
      <c r="F178" s="116">
        <v>32060.77</v>
      </c>
      <c r="G178" s="43" t="str">
        <f>_xlfn.XLOOKUP($A178,Map!$A:$A,Map!C:C)</f>
        <v>IS</v>
      </c>
      <c r="H178" s="43" t="str">
        <f>_xlfn.XLOOKUP($A178,Map!$A:$A,Map!D:D)</f>
        <v>General and Admin</v>
      </c>
      <c r="I178" s="43" t="str">
        <f>_xlfn.XLOOKUP($A178,Map!$A:$A,Map!E:E)</f>
        <v>Utilities</v>
      </c>
      <c r="J178" s="43" t="str">
        <f>_xlfn.XLOOKUP($A178,Map!$A:$A,Map!F:F)</f>
        <v xml:space="preserve">Postage &amp; Printing </v>
      </c>
    </row>
    <row r="179" spans="1:10" x14ac:dyDescent="0.25">
      <c r="A179">
        <v>700024</v>
      </c>
      <c r="B179" t="s">
        <v>1046</v>
      </c>
      <c r="C179" s="116">
        <v>0</v>
      </c>
      <c r="D179" s="116">
        <v>200870.842</v>
      </c>
      <c r="E179" s="116">
        <v>6894.53</v>
      </c>
      <c r="F179" s="116">
        <v>193976.31200000001</v>
      </c>
      <c r="G179" s="43" t="str">
        <f>_xlfn.XLOOKUP($A179,Map!$A:$A,Map!C:C)</f>
        <v>IS</v>
      </c>
      <c r="H179" s="43" t="str">
        <f>_xlfn.XLOOKUP($A179,Map!$A:$A,Map!D:D)</f>
        <v>General and Admin</v>
      </c>
      <c r="I179" s="43" t="str">
        <f>_xlfn.XLOOKUP($A179,Map!$A:$A,Map!E:E)</f>
        <v>IT expenses</v>
      </c>
      <c r="J179" s="43" t="str">
        <f>_xlfn.XLOOKUP($A179,Map!$A:$A,Map!F:F)</f>
        <v>Other general and administrative expenses</v>
      </c>
    </row>
    <row r="180" spans="1:10" x14ac:dyDescent="0.25">
      <c r="A180">
        <v>700025</v>
      </c>
      <c r="B180" t="s">
        <v>1047</v>
      </c>
      <c r="C180" s="116">
        <v>0</v>
      </c>
      <c r="D180" s="116">
        <v>121909</v>
      </c>
      <c r="E180" s="116">
        <v>0</v>
      </c>
      <c r="F180" s="116">
        <v>121909</v>
      </c>
      <c r="G180" s="43" t="str">
        <f>_xlfn.XLOOKUP($A180,Map!$A:$A,Map!C:C)</f>
        <v>IS</v>
      </c>
      <c r="H180" s="43" t="str">
        <f>_xlfn.XLOOKUP($A180,Map!$A:$A,Map!D:D)</f>
        <v>General and Admin</v>
      </c>
      <c r="I180" s="43" t="str">
        <f>_xlfn.XLOOKUP($A180,Map!$A:$A,Map!E:E)</f>
        <v>Salaries and wages</v>
      </c>
      <c r="J180" s="43" t="str">
        <f>_xlfn.XLOOKUP($A180,Map!$A:$A,Map!F:F)</f>
        <v>Salaries and wages</v>
      </c>
    </row>
    <row r="181" spans="1:10" x14ac:dyDescent="0.25">
      <c r="A181">
        <v>700026</v>
      </c>
      <c r="B181" t="s">
        <v>1048</v>
      </c>
      <c r="C181" s="116">
        <v>0</v>
      </c>
      <c r="D181" s="116">
        <v>2427</v>
      </c>
      <c r="E181" s="116">
        <v>1470</v>
      </c>
      <c r="F181" s="116">
        <v>957</v>
      </c>
      <c r="G181" s="43" t="str">
        <f>_xlfn.XLOOKUP($A181,Map!$A:$A,Map!C:C)</f>
        <v>IS</v>
      </c>
      <c r="H181" s="43" t="str">
        <f>_xlfn.XLOOKUP($A181,Map!$A:$A,Map!D:D)</f>
        <v>General and Admin</v>
      </c>
      <c r="I181" s="43" t="str">
        <f>_xlfn.XLOOKUP($A181,Map!$A:$A,Map!E:E)</f>
        <v>Utilities</v>
      </c>
      <c r="J181" s="43" t="str">
        <f>_xlfn.XLOOKUP($A181,Map!$A:$A,Map!F:F)</f>
        <v>Magazines &amp; News Papers Exp.</v>
      </c>
    </row>
    <row r="182" spans="1:10" x14ac:dyDescent="0.25">
      <c r="A182">
        <v>700027</v>
      </c>
      <c r="B182" t="s">
        <v>1049</v>
      </c>
      <c r="C182" s="116">
        <v>0</v>
      </c>
      <c r="D182" s="116">
        <v>0</v>
      </c>
      <c r="E182" s="116">
        <v>0</v>
      </c>
      <c r="F182" s="116">
        <v>0</v>
      </c>
      <c r="G182" s="43" t="str">
        <f>_xlfn.XLOOKUP($A182,Map!$A:$A,Map!C:C)</f>
        <v>IS</v>
      </c>
      <c r="H182" s="43" t="str">
        <f>_xlfn.XLOOKUP($A182,Map!$A:$A,Map!D:D)</f>
        <v>General and Admin</v>
      </c>
      <c r="I182" s="43" t="str">
        <f>_xlfn.XLOOKUP($A182,Map!$A:$A,Map!E:E)</f>
        <v>Training</v>
      </c>
      <c r="J182" s="43" t="str">
        <f>_xlfn.XLOOKUP($A182,Map!$A:$A,Map!F:F)</f>
        <v>Training</v>
      </c>
    </row>
    <row r="183" spans="1:10" x14ac:dyDescent="0.25">
      <c r="A183">
        <v>700028</v>
      </c>
      <c r="B183" t="s">
        <v>1050</v>
      </c>
      <c r="C183" s="116">
        <v>0</v>
      </c>
      <c r="D183" s="116">
        <v>20235.133000000002</v>
      </c>
      <c r="E183" s="116">
        <v>0</v>
      </c>
      <c r="F183" s="116">
        <v>20235.133000000002</v>
      </c>
      <c r="G183" s="43" t="str">
        <f>_xlfn.XLOOKUP($A183,Map!$A:$A,Map!C:C)</f>
        <v>IS</v>
      </c>
      <c r="H183" s="43" t="str">
        <f>_xlfn.XLOOKUP($A183,Map!$A:$A,Map!D:D)</f>
        <v>General and Admin</v>
      </c>
      <c r="I183" s="43" t="str">
        <f>_xlfn.XLOOKUP($A183,Map!$A:$A,Map!E:E)</f>
        <v xml:space="preserve">Back office Support </v>
      </c>
      <c r="J183" s="43" t="str">
        <f>_xlfn.XLOOKUP($A183,Map!$A:$A,Map!F:F)</f>
        <v>Stationery expenses</v>
      </c>
    </row>
    <row r="184" spans="1:10" x14ac:dyDescent="0.25">
      <c r="A184">
        <v>700029</v>
      </c>
      <c r="B184" t="s">
        <v>1051</v>
      </c>
      <c r="C184" s="116">
        <v>0</v>
      </c>
      <c r="D184" s="116">
        <v>6438</v>
      </c>
      <c r="E184" s="116">
        <v>0</v>
      </c>
      <c r="F184" s="116">
        <v>6438</v>
      </c>
      <c r="G184" s="43" t="str">
        <f>_xlfn.XLOOKUP($A184,Map!$A:$A,Map!C:C)</f>
        <v>IS</v>
      </c>
      <c r="H184" s="43" t="str">
        <f>_xlfn.XLOOKUP($A184,Map!$A:$A,Map!D:D)</f>
        <v>General and Admin</v>
      </c>
      <c r="I184" s="43" t="str">
        <f>_xlfn.XLOOKUP($A184,Map!$A:$A,Map!E:E)</f>
        <v>Utilities</v>
      </c>
      <c r="J184" s="43" t="str">
        <f>_xlfn.XLOOKUP($A184,Map!$A:$A,Map!F:F)</f>
        <v xml:space="preserve">Postage &amp; Printing </v>
      </c>
    </row>
    <row r="185" spans="1:10" x14ac:dyDescent="0.25">
      <c r="A185">
        <v>700030</v>
      </c>
      <c r="B185" t="s">
        <v>1052</v>
      </c>
      <c r="C185" s="116">
        <v>0</v>
      </c>
      <c r="D185" s="116">
        <v>63031.26</v>
      </c>
      <c r="E185" s="116">
        <v>0</v>
      </c>
      <c r="F185" s="116">
        <v>63031.26</v>
      </c>
      <c r="G185" s="43" t="str">
        <f>_xlfn.XLOOKUP($A185,Map!$A:$A,Map!C:C)</f>
        <v>IS</v>
      </c>
      <c r="H185" s="43" t="str">
        <f>_xlfn.XLOOKUP($A185,Map!$A:$A,Map!D:D)</f>
        <v>General and Admin</v>
      </c>
      <c r="I185" s="43" t="str">
        <f>_xlfn.XLOOKUP($A185,Map!$A:$A,Map!E:E)</f>
        <v>Utilities</v>
      </c>
      <c r="J185" s="43" t="str">
        <f>_xlfn.XLOOKUP($A185,Map!$A:$A,Map!F:F)</f>
        <v>Building maintenance</v>
      </c>
    </row>
    <row r="186" spans="1:10" x14ac:dyDescent="0.25">
      <c r="A186">
        <v>700031</v>
      </c>
      <c r="B186" t="s">
        <v>1053</v>
      </c>
      <c r="C186" s="116">
        <v>0</v>
      </c>
      <c r="D186" s="116">
        <v>49078.25</v>
      </c>
      <c r="E186" s="116">
        <v>0</v>
      </c>
      <c r="F186" s="116">
        <v>49078.25</v>
      </c>
      <c r="G186" s="43" t="str">
        <f>_xlfn.XLOOKUP($A186,Map!$A:$A,Map!C:C)</f>
        <v>IS</v>
      </c>
      <c r="H186" s="43" t="str">
        <f>_xlfn.XLOOKUP($A186,Map!$A:$A,Map!D:D)</f>
        <v>General and Admin</v>
      </c>
      <c r="I186" s="43" t="str">
        <f>_xlfn.XLOOKUP($A186,Map!$A:$A,Map!E:E)</f>
        <v>Utilities</v>
      </c>
      <c r="J186" s="43" t="str">
        <f>_xlfn.XLOOKUP($A186,Map!$A:$A,Map!F:F)</f>
        <v>Office equipment maintenance</v>
      </c>
    </row>
    <row r="187" spans="1:10" x14ac:dyDescent="0.25">
      <c r="A187">
        <v>700032</v>
      </c>
      <c r="B187" t="s">
        <v>1054</v>
      </c>
      <c r="C187" s="116">
        <v>0</v>
      </c>
      <c r="D187" s="116">
        <v>150743.85200000001</v>
      </c>
      <c r="E187" s="116">
        <v>0</v>
      </c>
      <c r="F187" s="116">
        <v>150743.85200000001</v>
      </c>
      <c r="G187" s="43" t="str">
        <f>_xlfn.XLOOKUP($A187,Map!$A:$A,Map!C:C)</f>
        <v>IS</v>
      </c>
      <c r="H187" s="43" t="str">
        <f>_xlfn.XLOOKUP($A187,Map!$A:$A,Map!D:D)</f>
        <v>General and Admin</v>
      </c>
      <c r="I187" s="43" t="str">
        <f>_xlfn.XLOOKUP($A187,Map!$A:$A,Map!E:E)</f>
        <v>Utilities</v>
      </c>
      <c r="J187" s="43" t="str">
        <f>_xlfn.XLOOKUP($A187,Map!$A:$A,Map!F:F)</f>
        <v>Vehicle maintenance</v>
      </c>
    </row>
    <row r="188" spans="1:10" x14ac:dyDescent="0.25">
      <c r="A188">
        <v>700033</v>
      </c>
      <c r="B188" t="s">
        <v>1055</v>
      </c>
      <c r="C188" s="116">
        <v>0</v>
      </c>
      <c r="D188" s="116">
        <v>21186.455999999998</v>
      </c>
      <c r="E188" s="116">
        <v>572.36199999999997</v>
      </c>
      <c r="F188" s="116">
        <v>20614.094000000001</v>
      </c>
      <c r="G188" s="43" t="str">
        <f>_xlfn.XLOOKUP($A188,Map!$A:$A,Map!C:C)</f>
        <v>IS</v>
      </c>
      <c r="H188" s="43" t="str">
        <f>_xlfn.XLOOKUP($A188,Map!$A:$A,Map!D:D)</f>
        <v>General and Admin</v>
      </c>
      <c r="I188" s="43" t="str">
        <f>_xlfn.XLOOKUP($A188,Map!$A:$A,Map!E:E)</f>
        <v>Utilities</v>
      </c>
      <c r="J188" s="43" t="str">
        <f>_xlfn.XLOOKUP($A188,Map!$A:$A,Map!F:F)</f>
        <v>Fuel and oil</v>
      </c>
    </row>
    <row r="189" spans="1:10" x14ac:dyDescent="0.25">
      <c r="A189">
        <v>700034</v>
      </c>
      <c r="B189" t="s">
        <v>1056</v>
      </c>
      <c r="C189" s="116">
        <v>0</v>
      </c>
      <c r="D189" s="116">
        <v>83299.392000000007</v>
      </c>
      <c r="E189" s="116">
        <v>3093.53</v>
      </c>
      <c r="F189" s="116">
        <v>80205.861999999994</v>
      </c>
      <c r="G189" s="43" t="str">
        <f>_xlfn.XLOOKUP($A189,Map!$A:$A,Map!C:C)</f>
        <v>IS</v>
      </c>
      <c r="H189" s="43" t="str">
        <f>_xlfn.XLOOKUP($A189,Map!$A:$A,Map!D:D)</f>
        <v>General and Admin</v>
      </c>
      <c r="I189" s="43" t="str">
        <f>_xlfn.XLOOKUP($A189,Map!$A:$A,Map!E:E)</f>
        <v xml:space="preserve">Back office Support </v>
      </c>
      <c r="J189" s="43" t="str">
        <f>_xlfn.XLOOKUP($A189,Map!$A:$A,Map!F:F)</f>
        <v>Consumables</v>
      </c>
    </row>
    <row r="190" spans="1:10" x14ac:dyDescent="0.25">
      <c r="A190">
        <v>700036</v>
      </c>
      <c r="B190" t="s">
        <v>1058</v>
      </c>
      <c r="C190" s="116">
        <v>0</v>
      </c>
      <c r="D190" s="116">
        <v>27881</v>
      </c>
      <c r="E190" s="116">
        <v>12900</v>
      </c>
      <c r="F190" s="116">
        <v>14981</v>
      </c>
      <c r="G190" s="43" t="str">
        <f>_xlfn.XLOOKUP($A190,Map!$A:$A,Map!C:C)</f>
        <v>IS</v>
      </c>
      <c r="H190" s="43" t="str">
        <f>_xlfn.XLOOKUP($A190,Map!$A:$A,Map!D:D)</f>
        <v>General and Admin</v>
      </c>
      <c r="I190" s="43" t="str">
        <f>_xlfn.XLOOKUP($A190,Map!$A:$A,Map!E:E)</f>
        <v>Utilities</v>
      </c>
      <c r="J190" s="43" t="str">
        <f>_xlfn.XLOOKUP($A190,Map!$A:$A,Map!F:F)</f>
        <v>Vehicle insurance</v>
      </c>
    </row>
    <row r="191" spans="1:10" x14ac:dyDescent="0.25">
      <c r="A191">
        <v>700037</v>
      </c>
      <c r="B191" t="s">
        <v>1059</v>
      </c>
      <c r="C191" s="116">
        <v>0</v>
      </c>
      <c r="D191" s="116">
        <v>17000</v>
      </c>
      <c r="E191" s="116">
        <v>17000</v>
      </c>
      <c r="F191" s="116">
        <v>0</v>
      </c>
      <c r="G191" s="43" t="str">
        <f>_xlfn.XLOOKUP($A191,Map!$A:$A,Map!C:C)</f>
        <v>IS</v>
      </c>
      <c r="H191" s="43" t="str">
        <f>_xlfn.XLOOKUP($A191,Map!$A:$A,Map!D:D)</f>
        <v>Finance cost</v>
      </c>
      <c r="I191" s="43" t="str">
        <f>_xlfn.XLOOKUP($A191,Map!$A:$A,Map!E:E)</f>
        <v>Finance cost</v>
      </c>
      <c r="J191" s="43" t="str">
        <f>_xlfn.XLOOKUP($A191,Map!$A:$A,Map!F:F)</f>
        <v>Lease interest</v>
      </c>
    </row>
    <row r="192" spans="1:10" x14ac:dyDescent="0.25">
      <c r="A192">
        <v>700038</v>
      </c>
      <c r="B192" t="s">
        <v>1060</v>
      </c>
      <c r="C192" s="116">
        <v>0</v>
      </c>
      <c r="D192" s="116">
        <v>353652.74</v>
      </c>
      <c r="E192" s="116">
        <v>45394.81</v>
      </c>
      <c r="F192" s="116">
        <v>308257.93</v>
      </c>
      <c r="G192" s="43" t="str">
        <f>_xlfn.XLOOKUP($A192,Map!$A:$A,Map!C:C)</f>
        <v>IS</v>
      </c>
      <c r="H192" s="43" t="str">
        <f>_xlfn.XLOOKUP($A192,Map!$A:$A,Map!D:D)</f>
        <v>General and Admin</v>
      </c>
      <c r="I192" s="43" t="str">
        <f>_xlfn.XLOOKUP($A192,Map!$A:$A,Map!E:E)</f>
        <v>Business travel</v>
      </c>
      <c r="J192" s="43" t="str">
        <f>_xlfn.XLOOKUP($A192,Map!$A:$A,Map!F:F)</f>
        <v>Bussiness trip expenses</v>
      </c>
    </row>
    <row r="193" spans="1:10" x14ac:dyDescent="0.25">
      <c r="A193">
        <v>700039</v>
      </c>
      <c r="B193" t="s">
        <v>1061</v>
      </c>
      <c r="C193" s="116">
        <v>0</v>
      </c>
      <c r="D193" s="116">
        <v>22134.133999999998</v>
      </c>
      <c r="E193" s="116">
        <v>0</v>
      </c>
      <c r="F193" s="116">
        <v>22134.133999999998</v>
      </c>
      <c r="G193" s="43" t="str">
        <f>_xlfn.XLOOKUP($A193,Map!$A:$A,Map!C:C)</f>
        <v>IS</v>
      </c>
      <c r="H193" s="43" t="str">
        <f>_xlfn.XLOOKUP($A193,Map!$A:$A,Map!D:D)</f>
        <v>Selling and Marketing</v>
      </c>
      <c r="I193" s="43" t="str">
        <f>_xlfn.XLOOKUP($A193,Map!$A:$A,Map!E:E)</f>
        <v>Buffet expenses</v>
      </c>
      <c r="J193" s="43" t="str">
        <f>_xlfn.XLOOKUP($A193,Map!$A:$A,Map!F:F)</f>
        <v>Buffet expenses</v>
      </c>
    </row>
    <row r="194" spans="1:10" x14ac:dyDescent="0.25">
      <c r="A194">
        <v>700040</v>
      </c>
      <c r="B194" t="s">
        <v>1062</v>
      </c>
      <c r="C194" s="116">
        <v>0</v>
      </c>
      <c r="D194" s="116">
        <v>376009.14500000002</v>
      </c>
      <c r="E194" s="116">
        <v>1995</v>
      </c>
      <c r="F194" s="116">
        <v>374014.14500000002</v>
      </c>
      <c r="G194" s="43" t="str">
        <f>_xlfn.XLOOKUP($A194,Map!$A:$A,Map!C:C)</f>
        <v>IS</v>
      </c>
      <c r="H194" s="43" t="str">
        <f>_xlfn.XLOOKUP($A194,Map!$A:$A,Map!D:D)</f>
        <v>General and Admin</v>
      </c>
      <c r="I194" s="43" t="str">
        <f>_xlfn.XLOOKUP($A194,Map!$A:$A,Map!E:E)</f>
        <v>Utilities</v>
      </c>
      <c r="J194" s="43" t="str">
        <f>_xlfn.XLOOKUP($A194,Map!$A:$A,Map!F:F)</f>
        <v xml:space="preserve">Cleaning Expenses </v>
      </c>
    </row>
    <row r="195" spans="1:10" x14ac:dyDescent="0.25">
      <c r="A195">
        <v>700041</v>
      </c>
      <c r="B195" t="s">
        <v>1063</v>
      </c>
      <c r="C195" s="116">
        <v>0</v>
      </c>
      <c r="D195" s="116">
        <v>309866.55200000003</v>
      </c>
      <c r="E195" s="116">
        <v>75000</v>
      </c>
      <c r="F195" s="116">
        <v>234866.552</v>
      </c>
      <c r="G195" s="43" t="str">
        <f>_xlfn.XLOOKUP($A195,Map!$A:$A,Map!C:C)</f>
        <v>IS</v>
      </c>
      <c r="H195" s="43" t="str">
        <f>_xlfn.XLOOKUP($A195,Map!$A:$A,Map!D:D)</f>
        <v>General and Admin</v>
      </c>
      <c r="I195" s="43" t="str">
        <f>_xlfn.XLOOKUP($A195,Map!$A:$A,Map!E:E)</f>
        <v>Salaries and wages</v>
      </c>
      <c r="J195" s="43" t="str">
        <f>_xlfn.XLOOKUP($A195,Map!$A:$A,Map!F:F)</f>
        <v>Recruitment</v>
      </c>
    </row>
    <row r="196" spans="1:10" x14ac:dyDescent="0.25">
      <c r="A196">
        <v>700042</v>
      </c>
      <c r="B196" t="s">
        <v>1064</v>
      </c>
      <c r="C196" s="116">
        <v>0</v>
      </c>
      <c r="D196" s="116">
        <v>129500</v>
      </c>
      <c r="E196" s="116">
        <v>129500</v>
      </c>
      <c r="F196" s="116">
        <v>0</v>
      </c>
      <c r="G196" s="43" t="str">
        <f>_xlfn.XLOOKUP($A196,Map!$A:$A,Map!C:C)</f>
        <v>IS</v>
      </c>
      <c r="H196" s="43" t="str">
        <f>_xlfn.XLOOKUP($A196,Map!$A:$A,Map!D:D)</f>
        <v>General and Admin</v>
      </c>
      <c r="I196" s="43" t="str">
        <f>_xlfn.XLOOKUP($A196,Map!$A:$A,Map!E:E)</f>
        <v xml:space="preserve">Back office Support </v>
      </c>
      <c r="J196" s="43" t="str">
        <f>_xlfn.XLOOKUP($A196,Map!$A:$A,Map!F:F)</f>
        <v>Other expenses</v>
      </c>
    </row>
    <row r="197" spans="1:10" x14ac:dyDescent="0.25">
      <c r="A197">
        <v>700043</v>
      </c>
      <c r="B197" t="s">
        <v>1065</v>
      </c>
      <c r="C197" s="116">
        <v>0</v>
      </c>
      <c r="D197" s="116">
        <v>11186.05</v>
      </c>
      <c r="E197" s="116">
        <v>0</v>
      </c>
      <c r="F197" s="116">
        <v>11186.05</v>
      </c>
      <c r="G197" s="43" t="str">
        <f>_xlfn.XLOOKUP($A197,Map!$A:$A,Map!C:C)</f>
        <v>IS</v>
      </c>
      <c r="H197" s="43" t="str">
        <f>_xlfn.XLOOKUP($A197,Map!$A:$A,Map!D:D)</f>
        <v>General and Admin</v>
      </c>
      <c r="I197" s="43" t="str">
        <f>_xlfn.XLOOKUP($A197,Map!$A:$A,Map!E:E)</f>
        <v>Govt license and fees (including modon)</v>
      </c>
      <c r="J197" s="43" t="str">
        <f>_xlfn.XLOOKUP($A197,Map!$A:$A,Map!F:F)</f>
        <v>Licenses and fees</v>
      </c>
    </row>
    <row r="198" spans="1:10" x14ac:dyDescent="0.25">
      <c r="A198">
        <v>700044</v>
      </c>
      <c r="B198" t="s">
        <v>1066</v>
      </c>
      <c r="C198" s="116">
        <v>0</v>
      </c>
      <c r="D198" s="116">
        <v>54107.356</v>
      </c>
      <c r="E198" s="116">
        <v>7500</v>
      </c>
      <c r="F198" s="116">
        <v>46607.356</v>
      </c>
      <c r="G198" s="43" t="str">
        <f>_xlfn.XLOOKUP($A198,Map!$A:$A,Map!C:C)</f>
        <v>IS</v>
      </c>
      <c r="H198" s="43" t="str">
        <f>_xlfn.XLOOKUP($A198,Map!$A:$A,Map!D:D)</f>
        <v>General and Admin</v>
      </c>
      <c r="I198" s="43" t="str">
        <f>_xlfn.XLOOKUP($A198,Map!$A:$A,Map!E:E)</f>
        <v>Govt license and fees (including modon)</v>
      </c>
      <c r="J198" s="43" t="str">
        <f>_xlfn.XLOOKUP($A198,Map!$A:$A,Map!F:F)</f>
        <v>Government fees</v>
      </c>
    </row>
    <row r="199" spans="1:10" x14ac:dyDescent="0.25">
      <c r="A199">
        <v>700045</v>
      </c>
      <c r="B199" t="s">
        <v>1067</v>
      </c>
      <c r="C199" s="116">
        <v>0</v>
      </c>
      <c r="D199" s="116">
        <v>2467726.622</v>
      </c>
      <c r="E199" s="116">
        <v>128861.912</v>
      </c>
      <c r="F199" s="116">
        <v>2338864.71</v>
      </c>
      <c r="G199" s="43" t="str">
        <f>_xlfn.XLOOKUP($A199,Map!$A:$A,Map!C:C)</f>
        <v>IS</v>
      </c>
      <c r="H199" s="43" t="str">
        <f>_xlfn.XLOOKUP($A199,Map!$A:$A,Map!D:D)</f>
        <v>Finance cost</v>
      </c>
      <c r="I199" s="43" t="str">
        <f>_xlfn.XLOOKUP($A199,Map!$A:$A,Map!E:E)</f>
        <v>Finance cost</v>
      </c>
      <c r="J199" s="43" t="str">
        <f>_xlfn.XLOOKUP($A199,Map!$A:$A,Map!F:F)</f>
        <v>Bank charges</v>
      </c>
    </row>
    <row r="200" spans="1:10" x14ac:dyDescent="0.25">
      <c r="A200">
        <v>700048</v>
      </c>
      <c r="B200" t="s">
        <v>1069</v>
      </c>
      <c r="C200" s="116">
        <v>0</v>
      </c>
      <c r="D200" s="116">
        <v>2012724.5</v>
      </c>
      <c r="E200" s="116">
        <v>862724.5</v>
      </c>
      <c r="F200" s="116">
        <v>1150000</v>
      </c>
      <c r="G200" s="43" t="str">
        <f>_xlfn.XLOOKUP($A200,Map!$A:$A,Map!C:C)</f>
        <v>IS</v>
      </c>
      <c r="H200" s="43" t="str">
        <f>_xlfn.XLOOKUP($A200,Map!$A:$A,Map!D:D)</f>
        <v>Zakat</v>
      </c>
      <c r="I200" s="43" t="str">
        <f>_xlfn.XLOOKUP($A200,Map!$A:$A,Map!E:E)</f>
        <v>Zakat expenses</v>
      </c>
      <c r="J200" s="43" t="str">
        <f>_xlfn.XLOOKUP($A200,Map!$A:$A,Map!F:F)</f>
        <v>Zakat expenses</v>
      </c>
    </row>
    <row r="201" spans="1:10" x14ac:dyDescent="0.25">
      <c r="A201">
        <v>700049</v>
      </c>
      <c r="B201" t="s">
        <v>1070</v>
      </c>
      <c r="C201" s="116">
        <v>0</v>
      </c>
      <c r="D201" s="116">
        <v>12923</v>
      </c>
      <c r="E201" s="116">
        <v>12923</v>
      </c>
      <c r="F201" s="116">
        <v>0</v>
      </c>
      <c r="G201" s="43" t="str">
        <f>_xlfn.XLOOKUP($A201,Map!$A:$A,Map!C:C)</f>
        <v>IS</v>
      </c>
      <c r="H201" s="43" t="str">
        <f>_xlfn.XLOOKUP($A201,Map!$A:$A,Map!D:D)</f>
        <v>General and Admin</v>
      </c>
      <c r="I201" s="43" t="str">
        <f>_xlfn.XLOOKUP($A201,Map!$A:$A,Map!E:E)</f>
        <v>Salaries and wages</v>
      </c>
      <c r="J201" s="43" t="str">
        <f>_xlfn.XLOOKUP($A201,Map!$A:$A,Map!F:F)</f>
        <v>Sadagat expense</v>
      </c>
    </row>
    <row r="202" spans="1:10" x14ac:dyDescent="0.25">
      <c r="A202">
        <v>700050</v>
      </c>
      <c r="B202" t="s">
        <v>1071</v>
      </c>
      <c r="C202" s="116">
        <v>0</v>
      </c>
      <c r="D202" s="116">
        <v>309846.36</v>
      </c>
      <c r="E202" s="116">
        <v>309846.36</v>
      </c>
      <c r="F202" s="116">
        <v>0</v>
      </c>
      <c r="G202" s="43" t="str">
        <f>_xlfn.XLOOKUP($A202,Map!$A:$A,Map!C:C)</f>
        <v>IS</v>
      </c>
      <c r="H202" s="43" t="str">
        <f>_xlfn.XLOOKUP($A202,Map!$A:$A,Map!D:D)</f>
        <v>Depreciation expenses</v>
      </c>
      <c r="I202" s="43" t="str">
        <f>_xlfn.XLOOKUP($A202,Map!$A:$A,Map!E:E)</f>
        <v>Depreciation expenses</v>
      </c>
      <c r="J202" s="43" t="str">
        <f>_xlfn.XLOOKUP($A202,Map!$A:$A,Map!F:F)</f>
        <v>Depreciation of property, plant and equipment</v>
      </c>
    </row>
    <row r="203" spans="1:10" x14ac:dyDescent="0.25">
      <c r="A203">
        <v>700052</v>
      </c>
      <c r="B203" t="s">
        <v>1073</v>
      </c>
      <c r="C203" s="116">
        <v>0</v>
      </c>
      <c r="D203" s="116">
        <v>0</v>
      </c>
      <c r="E203" s="116">
        <v>0</v>
      </c>
      <c r="F203" s="116">
        <v>0</v>
      </c>
      <c r="G203" s="43" t="str">
        <f>_xlfn.XLOOKUP($A203,Map!$A:$A,Map!C:C)</f>
        <v>IS</v>
      </c>
      <c r="H203" s="43" t="str">
        <f>_xlfn.XLOOKUP($A203,Map!$A:$A,Map!D:D)</f>
        <v>Depreciation expenses</v>
      </c>
      <c r="I203" s="43" t="str">
        <f>_xlfn.XLOOKUP($A203,Map!$A:$A,Map!E:E)</f>
        <v>Depreciation expenses</v>
      </c>
      <c r="J203" s="43" t="str">
        <f>_xlfn.XLOOKUP($A203,Map!$A:$A,Map!F:F)</f>
        <v>Depreciation of property, plant and equipment</v>
      </c>
    </row>
    <row r="204" spans="1:10" x14ac:dyDescent="0.25">
      <c r="A204">
        <v>700053</v>
      </c>
      <c r="B204" t="s">
        <v>1074</v>
      </c>
      <c r="C204" s="116">
        <v>0</v>
      </c>
      <c r="D204" s="116">
        <v>0</v>
      </c>
      <c r="E204" s="116">
        <v>0</v>
      </c>
      <c r="F204" s="116">
        <v>0</v>
      </c>
      <c r="G204" s="43" t="str">
        <f>_xlfn.XLOOKUP($A204,Map!$A:$A,Map!C:C)</f>
        <v>IS</v>
      </c>
      <c r="H204" s="43" t="str">
        <f>_xlfn.XLOOKUP($A204,Map!$A:$A,Map!D:D)</f>
        <v>Depreciation expenses</v>
      </c>
      <c r="I204" s="43" t="str">
        <f>_xlfn.XLOOKUP($A204,Map!$A:$A,Map!E:E)</f>
        <v>Depreciation expenses</v>
      </c>
      <c r="J204" s="43" t="str">
        <f>_xlfn.XLOOKUP($A204,Map!$A:$A,Map!F:F)</f>
        <v>Depreciation of property, plant and equipment</v>
      </c>
    </row>
    <row r="205" spans="1:10" x14ac:dyDescent="0.25">
      <c r="A205">
        <v>700054</v>
      </c>
      <c r="B205" t="s">
        <v>1075</v>
      </c>
      <c r="C205" s="116">
        <v>0</v>
      </c>
      <c r="D205" s="116">
        <v>222162.13200000001</v>
      </c>
      <c r="E205" s="116">
        <v>2041.66</v>
      </c>
      <c r="F205" s="116">
        <v>220120.47200000001</v>
      </c>
      <c r="G205" s="43" t="str">
        <f>_xlfn.XLOOKUP($A205,Map!$A:$A,Map!C:C)</f>
        <v>IS</v>
      </c>
      <c r="H205" s="43" t="str">
        <f>_xlfn.XLOOKUP($A205,Map!$A:$A,Map!D:D)</f>
        <v>Depreciation expenses</v>
      </c>
      <c r="I205" s="43" t="str">
        <f>_xlfn.XLOOKUP($A205,Map!$A:$A,Map!E:E)</f>
        <v>Depreciation expenses</v>
      </c>
      <c r="J205" s="43" t="str">
        <f>_xlfn.XLOOKUP($A205,Map!$A:$A,Map!F:F)</f>
        <v>Depreciation of property, plant and equipment</v>
      </c>
    </row>
    <row r="206" spans="1:10" x14ac:dyDescent="0.25">
      <c r="A206">
        <v>700055</v>
      </c>
      <c r="B206" t="s">
        <v>1076</v>
      </c>
      <c r="C206" s="116">
        <v>0</v>
      </c>
      <c r="D206" s="116">
        <v>193120.68799999999</v>
      </c>
      <c r="E206" s="116">
        <v>0</v>
      </c>
      <c r="F206" s="116">
        <v>193120.68799999999</v>
      </c>
      <c r="G206" s="43" t="str">
        <f>_xlfn.XLOOKUP($A206,Map!$A:$A,Map!C:C)</f>
        <v>IS</v>
      </c>
      <c r="H206" s="43" t="str">
        <f>_xlfn.XLOOKUP($A206,Map!$A:$A,Map!D:D)</f>
        <v>Depreciation expenses</v>
      </c>
      <c r="I206" s="43" t="str">
        <f>_xlfn.XLOOKUP($A206,Map!$A:$A,Map!E:E)</f>
        <v>Depreciation expenses</v>
      </c>
      <c r="J206" s="43" t="str">
        <f>_xlfn.XLOOKUP($A206,Map!$A:$A,Map!F:F)</f>
        <v>Depreciation of property, plant and equipment</v>
      </c>
    </row>
    <row r="207" spans="1:10" x14ac:dyDescent="0.25">
      <c r="A207">
        <v>700056</v>
      </c>
      <c r="B207" t="s">
        <v>1077</v>
      </c>
      <c r="C207" s="116">
        <v>0</v>
      </c>
      <c r="D207" s="116">
        <v>0</v>
      </c>
      <c r="E207" s="116">
        <v>0</v>
      </c>
      <c r="F207" s="116">
        <v>0</v>
      </c>
      <c r="G207" s="43" t="str">
        <f>_xlfn.XLOOKUP($A207,Map!$A:$A,Map!C:C)</f>
        <v>IS</v>
      </c>
      <c r="H207" s="43" t="str">
        <f>_xlfn.XLOOKUP($A207,Map!$A:$A,Map!D:D)</f>
        <v>Depreciation expenses</v>
      </c>
      <c r="I207" s="43" t="str">
        <f>_xlfn.XLOOKUP($A207,Map!$A:$A,Map!E:E)</f>
        <v>Depreciation expenses</v>
      </c>
      <c r="J207" s="43" t="str">
        <f>_xlfn.XLOOKUP($A207,Map!$A:$A,Map!F:F)</f>
        <v>Depreciation of property, plant and equipment</v>
      </c>
    </row>
    <row r="208" spans="1:10" x14ac:dyDescent="0.25">
      <c r="A208">
        <v>700057</v>
      </c>
      <c r="B208" t="s">
        <v>1078</v>
      </c>
      <c r="C208" s="116">
        <v>0</v>
      </c>
      <c r="D208" s="116">
        <v>326194.40000000002</v>
      </c>
      <c r="E208" s="116">
        <v>194500</v>
      </c>
      <c r="F208" s="116">
        <v>131694.39999999999</v>
      </c>
      <c r="G208" s="43" t="str">
        <f>_xlfn.XLOOKUP($A208,Map!$A:$A,Map!C:C)</f>
        <v>IS</v>
      </c>
      <c r="H208" s="43" t="str">
        <f>_xlfn.XLOOKUP($A208,Map!$A:$A,Map!D:D)</f>
        <v>Cost of sales</v>
      </c>
      <c r="I208" s="43" t="str">
        <f>_xlfn.XLOOKUP($A208,Map!$A:$A,Map!E:E)</f>
        <v>Overhead - Rent</v>
      </c>
      <c r="J208" s="43" t="str">
        <f>_xlfn.XLOOKUP($A208,Map!$A:$A,Map!F:F)</f>
        <v>Warehouse Rent ( Khamis, Rioyadh, Dammam)</v>
      </c>
    </row>
    <row r="209" spans="1:10" x14ac:dyDescent="0.25">
      <c r="A209">
        <v>700058</v>
      </c>
      <c r="B209" t="s">
        <v>1079</v>
      </c>
      <c r="C209" s="116">
        <v>0</v>
      </c>
      <c r="D209" s="116">
        <v>82674.032000000007</v>
      </c>
      <c r="E209" s="116">
        <v>0</v>
      </c>
      <c r="F209" s="116">
        <v>82674.032000000007</v>
      </c>
      <c r="G209" s="43" t="str">
        <f>_xlfn.XLOOKUP($A209,Map!$A:$A,Map!C:C)</f>
        <v>IS</v>
      </c>
      <c r="H209" s="43" t="str">
        <f>_xlfn.XLOOKUP($A209,Map!$A:$A,Map!D:D)</f>
        <v>Selling and Marketing</v>
      </c>
      <c r="I209" s="43" t="str">
        <f>_xlfn.XLOOKUP($A209,Map!$A:$A,Map!E:E)</f>
        <v>Advertising and promotion expenses</v>
      </c>
      <c r="J209" s="43" t="str">
        <f>_xlfn.XLOOKUP($A209,Map!$A:$A,Map!F:F)</f>
        <v>Advertising and promotion expenses</v>
      </c>
    </row>
    <row r="210" spans="1:10" x14ac:dyDescent="0.25">
      <c r="A210">
        <v>700059</v>
      </c>
      <c r="B210" t="s">
        <v>1080</v>
      </c>
      <c r="C210" s="116">
        <v>0</v>
      </c>
      <c r="D210" s="116">
        <v>17000</v>
      </c>
      <c r="E210" s="116">
        <v>17000</v>
      </c>
      <c r="F210" s="116">
        <v>0</v>
      </c>
      <c r="G210" s="43" t="str">
        <f>_xlfn.XLOOKUP($A210,Map!$A:$A,Map!C:C)</f>
        <v>IS</v>
      </c>
      <c r="H210" s="43" t="str">
        <f>_xlfn.XLOOKUP($A210,Map!$A:$A,Map!D:D)</f>
        <v>Selling and Marketing</v>
      </c>
      <c r="I210" s="43" t="str">
        <f>_xlfn.XLOOKUP($A210,Map!$A:$A,Map!E:E)</f>
        <v>Exhibitions</v>
      </c>
      <c r="J210" s="43" t="str">
        <f>_xlfn.XLOOKUP($A210,Map!$A:$A,Map!F:F)</f>
        <v>Exhibitions</v>
      </c>
    </row>
    <row r="211" spans="1:10" x14ac:dyDescent="0.25">
      <c r="A211">
        <v>700060</v>
      </c>
      <c r="B211" t="s">
        <v>1081</v>
      </c>
      <c r="C211" s="116">
        <v>0</v>
      </c>
      <c r="D211" s="116">
        <v>3660498.92</v>
      </c>
      <c r="E211" s="116">
        <v>404083.38299999997</v>
      </c>
      <c r="F211" s="116">
        <v>3256415.537</v>
      </c>
      <c r="G211" s="43" t="str">
        <f>_xlfn.XLOOKUP($A211,Map!$A:$A,Map!C:C)</f>
        <v>IS</v>
      </c>
      <c r="H211" s="43" t="str">
        <f>_xlfn.XLOOKUP($A211,Map!$A:$A,Map!D:D)</f>
        <v>Selling and Marketing</v>
      </c>
      <c r="I211" s="43" t="str">
        <f>_xlfn.XLOOKUP($A211,Map!$A:$A,Map!E:E)</f>
        <v>Freight and shipping expenses (S&amp;D)</v>
      </c>
      <c r="J211" s="43" t="str">
        <f>_xlfn.XLOOKUP($A211,Map!$A:$A,Map!F:F)</f>
        <v>Outbound freight / shipping — reclassified below gross profit under IFRS</v>
      </c>
    </row>
    <row r="212" spans="1:10" x14ac:dyDescent="0.25">
      <c r="A212">
        <v>700061</v>
      </c>
      <c r="B212" t="s">
        <v>1082</v>
      </c>
      <c r="C212" s="116">
        <v>0</v>
      </c>
      <c r="D212" s="116">
        <v>184849.25</v>
      </c>
      <c r="E212" s="116">
        <v>0</v>
      </c>
      <c r="F212" s="116">
        <v>184849.25</v>
      </c>
      <c r="G212" s="43" t="str">
        <f>_xlfn.XLOOKUP($A212,Map!$A:$A,Map!C:C)</f>
        <v>IS</v>
      </c>
      <c r="H212" s="43" t="str">
        <f>_xlfn.XLOOKUP($A212,Map!$A:$A,Map!D:D)</f>
        <v>Selling and Marketing</v>
      </c>
      <c r="I212" s="43" t="str">
        <f>_xlfn.XLOOKUP($A212,Map!$A:$A,Map!E:E)</f>
        <v>Commission expenses</v>
      </c>
      <c r="J212" s="43" t="str">
        <f>_xlfn.XLOOKUP($A212,Map!$A:$A,Map!F:F)</f>
        <v>Commission expenses</v>
      </c>
    </row>
    <row r="213" spans="1:10" x14ac:dyDescent="0.25">
      <c r="A213">
        <v>700062</v>
      </c>
      <c r="B213" t="s">
        <v>1083</v>
      </c>
      <c r="C213" s="116">
        <v>0</v>
      </c>
      <c r="D213" s="116">
        <v>165000</v>
      </c>
      <c r="E213" s="116">
        <v>165000</v>
      </c>
      <c r="F213" s="116">
        <v>0</v>
      </c>
      <c r="G213" s="43" t="str">
        <f>_xlfn.XLOOKUP($A213,Map!$A:$A,Map!C:C)</f>
        <v>IS</v>
      </c>
      <c r="H213" s="43" t="str">
        <f>_xlfn.XLOOKUP($A213,Map!$A:$A,Map!D:D)</f>
        <v>Revised provision on Bad Debts</v>
      </c>
      <c r="I213" s="43" t="str">
        <f>_xlfn.XLOOKUP($A213,Map!$A:$A,Map!E:E)</f>
        <v>Bad debts expense</v>
      </c>
      <c r="J213" s="43" t="str">
        <f>_xlfn.XLOOKUP($A213,Map!$A:$A,Map!F:F)</f>
        <v>Bad debts expense</v>
      </c>
    </row>
    <row r="214" spans="1:10" x14ac:dyDescent="0.25">
      <c r="A214">
        <v>700063</v>
      </c>
      <c r="B214" t="s">
        <v>1084</v>
      </c>
      <c r="C214" s="116">
        <v>0</v>
      </c>
      <c r="D214" s="116">
        <v>682538.5</v>
      </c>
      <c r="E214" s="116">
        <v>10942.9</v>
      </c>
      <c r="F214" s="116">
        <v>671595.6</v>
      </c>
      <c r="G214" s="43" t="str">
        <f>_xlfn.XLOOKUP($A214,Map!$A:$A,Map!C:C)</f>
        <v>IS</v>
      </c>
      <c r="H214" s="43" t="str">
        <f>_xlfn.XLOOKUP($A214,Map!$A:$A,Map!D:D)</f>
        <v>General and Admin</v>
      </c>
      <c r="I214" s="43" t="str">
        <f>_xlfn.XLOOKUP($A214,Map!$A:$A,Map!E:E)</f>
        <v>Salaries and wages</v>
      </c>
      <c r="J214" s="43" t="str">
        <f>_xlfn.XLOOKUP($A214,Map!$A:$A,Map!F:F)</f>
        <v>GOSI</v>
      </c>
    </row>
    <row r="215" spans="1:10" x14ac:dyDescent="0.25">
      <c r="A215">
        <v>700064</v>
      </c>
      <c r="B215" t="s">
        <v>1085</v>
      </c>
      <c r="C215" s="116">
        <v>0</v>
      </c>
      <c r="D215" s="116">
        <v>0</v>
      </c>
      <c r="E215" s="116">
        <v>0</v>
      </c>
      <c r="F215" s="116">
        <v>0</v>
      </c>
      <c r="G215" s="43" t="str">
        <f>_xlfn.XLOOKUP($A215,Map!$A:$A,Map!C:C)</f>
        <v>IS</v>
      </c>
      <c r="H215" s="43" t="str">
        <f>_xlfn.XLOOKUP($A215,Map!$A:$A,Map!D:D)</f>
        <v>Pre-operating expenses</v>
      </c>
      <c r="I215" s="43" t="str">
        <f>_xlfn.XLOOKUP($A215,Map!$A:$A,Map!E:E)</f>
        <v>Pre-operating expenses</v>
      </c>
      <c r="J215" s="43" t="str">
        <f>_xlfn.XLOOKUP($A215,Map!$A:$A,Map!F:F)</f>
        <v>Amortization</v>
      </c>
    </row>
    <row r="217" spans="1:10" x14ac:dyDescent="0.25">
      <c r="C217" s="153">
        <f>SUBTOTAL(9,C5:C216)</f>
        <v>5.9604644775390625E-8</v>
      </c>
      <c r="D217" s="153">
        <f>SUBTOTAL(9,D5:D216)</f>
        <v>1812784132.6319995</v>
      </c>
      <c r="E217" s="153">
        <f>SUBTOTAL(9,E5:E216)</f>
        <v>1812784132.6319995</v>
      </c>
      <c r="F217" s="153">
        <f>SUBTOTAL(9,F5:F216)</f>
        <v>1.046573743224144E-7</v>
      </c>
    </row>
    <row r="218" spans="1:10" x14ac:dyDescent="0.25">
      <c r="C218" s="153"/>
      <c r="D218" s="153"/>
      <c r="E218" s="153"/>
      <c r="F218" s="153"/>
    </row>
    <row r="219" spans="1:10" x14ac:dyDescent="0.25">
      <c r="A219" s="85" t="s">
        <v>1341</v>
      </c>
    </row>
    <row r="220" spans="1:10" x14ac:dyDescent="0.25">
      <c r="A220">
        <v>600032</v>
      </c>
      <c r="D220" s="116">
        <v>464769.54</v>
      </c>
      <c r="E220" s="116">
        <v>0</v>
      </c>
      <c r="F220" s="116">
        <f t="shared" ref="F220:F262" si="0">D220-E220</f>
        <v>464769.54</v>
      </c>
      <c r="G220" s="43" t="str">
        <f>_xlfn.XLOOKUP($A220,Map!$A:$A,Map!C:C)</f>
        <v>IS</v>
      </c>
      <c r="H220" s="43" t="str">
        <f>_xlfn.XLOOKUP($A220,Map!$A:$A,Map!D:D)</f>
        <v>Depreciation expenses</v>
      </c>
      <c r="I220" s="43" t="str">
        <f>_xlfn.XLOOKUP($A220,Map!$A:$A,Map!E:E)</f>
        <v>Depreciation expenses</v>
      </c>
      <c r="J220" s="43" t="str">
        <f>_xlfn.XLOOKUP($A220,Map!$A:$A,Map!F:F)</f>
        <v>Depreciation of property, plant and equipment</v>
      </c>
    </row>
    <row r="221" spans="1:10" x14ac:dyDescent="0.25">
      <c r="A221">
        <v>600031</v>
      </c>
      <c r="D221" s="116">
        <v>6188.76</v>
      </c>
      <c r="E221" s="116">
        <v>0</v>
      </c>
      <c r="F221" s="116">
        <f t="shared" si="0"/>
        <v>6188.76</v>
      </c>
      <c r="G221" s="43" t="str">
        <f>_xlfn.XLOOKUP($A221,Map!$A:$A,Map!C:C)</f>
        <v>IS</v>
      </c>
      <c r="H221" s="43" t="str">
        <f>_xlfn.XLOOKUP($A221,Map!$A:$A,Map!D:D)</f>
        <v>Depreciation expenses</v>
      </c>
      <c r="I221" s="43" t="str">
        <f>_xlfn.XLOOKUP($A221,Map!$A:$A,Map!E:E)</f>
        <v>Depreciation expenses</v>
      </c>
      <c r="J221" s="43" t="str">
        <f>_xlfn.XLOOKUP($A221,Map!$A:$A,Map!F:F)</f>
        <v>Depreciation of property, plant and equipment</v>
      </c>
    </row>
    <row r="222" spans="1:10" x14ac:dyDescent="0.25">
      <c r="A222">
        <v>600030</v>
      </c>
      <c r="D222" s="116">
        <v>19540.267</v>
      </c>
      <c r="E222" s="116">
        <v>0</v>
      </c>
      <c r="F222" s="116">
        <f t="shared" si="0"/>
        <v>19540.267</v>
      </c>
      <c r="G222" s="43" t="str">
        <f>_xlfn.XLOOKUP($A222,Map!$A:$A,Map!C:C)</f>
        <v>IS</v>
      </c>
      <c r="H222" s="43" t="str">
        <f>_xlfn.XLOOKUP($A222,Map!$A:$A,Map!D:D)</f>
        <v>Depreciation expenses</v>
      </c>
      <c r="I222" s="43" t="str">
        <f>_xlfn.XLOOKUP($A222,Map!$A:$A,Map!E:E)</f>
        <v>Depreciation expenses</v>
      </c>
      <c r="J222" s="43" t="str">
        <f>_xlfn.XLOOKUP($A222,Map!$A:$A,Map!F:F)</f>
        <v>Depreciation of property, plant and equipment</v>
      </c>
    </row>
    <row r="223" spans="1:10" x14ac:dyDescent="0.25">
      <c r="A223">
        <v>600029</v>
      </c>
      <c r="D223" s="116">
        <v>2198098.9980000001</v>
      </c>
      <c r="E223" s="116">
        <v>0</v>
      </c>
      <c r="F223" s="116">
        <f t="shared" si="0"/>
        <v>2198098.9980000001</v>
      </c>
      <c r="G223" s="43" t="str">
        <f>_xlfn.XLOOKUP($A223,Map!$A:$A,Map!C:C)</f>
        <v>IS</v>
      </c>
      <c r="H223" s="43" t="str">
        <f>_xlfn.XLOOKUP($A223,Map!$A:$A,Map!D:D)</f>
        <v>Cost of sales</v>
      </c>
      <c r="I223" s="43" t="str">
        <f>_xlfn.XLOOKUP($A223,Map!$A:$A,Map!E:E)</f>
        <v>Depreciation - Machines</v>
      </c>
      <c r="J223" s="43" t="str">
        <f>_xlfn.XLOOKUP($A223,Map!$A:$A,Map!F:F)</f>
        <v>Depreciation of property, plant and equipment</v>
      </c>
    </row>
    <row r="224" spans="1:10" x14ac:dyDescent="0.25">
      <c r="A224">
        <v>600028</v>
      </c>
      <c r="D224" s="116">
        <v>25229.200000000001</v>
      </c>
      <c r="E224" s="116">
        <v>0</v>
      </c>
      <c r="F224" s="116">
        <f t="shared" si="0"/>
        <v>25229.200000000001</v>
      </c>
      <c r="G224" s="43" t="str">
        <f>_xlfn.XLOOKUP($A224,Map!$A:$A,Map!C:C)</f>
        <v>IS</v>
      </c>
      <c r="H224" s="43" t="str">
        <f>_xlfn.XLOOKUP($A224,Map!$A:$A,Map!D:D)</f>
        <v>Cost of sales</v>
      </c>
      <c r="I224" s="43" t="str">
        <f>_xlfn.XLOOKUP($A224,Map!$A:$A,Map!E:E)</f>
        <v>Overhead - Consumables &amp; SP</v>
      </c>
      <c r="J224" s="43" t="str">
        <f>_xlfn.XLOOKUP($A224,Map!$A:$A,Map!F:F)</f>
        <v xml:space="preserve">Education &amp; Furniture Allowances </v>
      </c>
    </row>
    <row r="225" spans="1:10" x14ac:dyDescent="0.25">
      <c r="A225">
        <v>600027</v>
      </c>
      <c r="D225" s="116">
        <v>75357</v>
      </c>
      <c r="E225" s="116">
        <v>0</v>
      </c>
      <c r="F225" s="116">
        <f t="shared" si="0"/>
        <v>75357</v>
      </c>
      <c r="G225" s="43" t="str">
        <f>_xlfn.XLOOKUP($A225,Map!$A:$A,Map!C:C)</f>
        <v>IS</v>
      </c>
      <c r="H225" s="43" t="str">
        <f>_xlfn.XLOOKUP($A225,Map!$A:$A,Map!D:D)</f>
        <v>Cost of sales</v>
      </c>
      <c r="I225" s="43" t="str">
        <f>_xlfn.XLOOKUP($A225,Map!$A:$A,Map!E:E)</f>
        <v>Overhead - Rent</v>
      </c>
      <c r="J225" s="43" t="str">
        <f>_xlfn.XLOOKUP($A225,Map!$A:$A,Map!F:F)</f>
        <v>Production hall rental</v>
      </c>
    </row>
    <row r="226" spans="1:10" x14ac:dyDescent="0.25">
      <c r="A226">
        <v>600024</v>
      </c>
      <c r="D226" s="116">
        <v>4342.5</v>
      </c>
      <c r="E226" s="116">
        <v>0</v>
      </c>
      <c r="F226" s="116">
        <f t="shared" si="0"/>
        <v>4342.5</v>
      </c>
      <c r="G226" s="43" t="str">
        <f>_xlfn.XLOOKUP($A226,Map!$A:$A,Map!C:C)</f>
        <v>IS</v>
      </c>
      <c r="H226" s="43" t="str">
        <f>_xlfn.XLOOKUP($A226,Map!$A:$A,Map!D:D)</f>
        <v>Cost of sales</v>
      </c>
      <c r="I226" s="43" t="str">
        <f>_xlfn.XLOOKUP($A226,Map!$A:$A,Map!E:E)</f>
        <v>Overhead - Rent</v>
      </c>
      <c r="J226" s="43" t="str">
        <f>_xlfn.XLOOKUP($A226,Map!$A:$A,Map!F:F)</f>
        <v>Pump rental expenses</v>
      </c>
    </row>
    <row r="227" spans="1:10" x14ac:dyDescent="0.25">
      <c r="A227">
        <v>600022</v>
      </c>
      <c r="D227" s="116">
        <v>2200</v>
      </c>
      <c r="E227" s="116">
        <v>0</v>
      </c>
      <c r="F227" s="116">
        <f t="shared" si="0"/>
        <v>2200</v>
      </c>
      <c r="G227" s="43" t="str">
        <f>_xlfn.XLOOKUP($A227,Map!$A:$A,Map!C:C)</f>
        <v>IS</v>
      </c>
      <c r="H227" s="43" t="str">
        <f>_xlfn.XLOOKUP($A227,Map!$A:$A,Map!D:D)</f>
        <v>Cost of sales</v>
      </c>
      <c r="I227" s="43" t="str">
        <f>_xlfn.XLOOKUP($A227,Map!$A:$A,Map!E:E)</f>
        <v>Overhead - R&amp;M</v>
      </c>
      <c r="J227" s="43" t="str">
        <f>_xlfn.XLOOKUP($A227,Map!$A:$A,Map!F:F)</f>
        <v>Building maintenance</v>
      </c>
    </row>
    <row r="228" spans="1:10" x14ac:dyDescent="0.25">
      <c r="A228">
        <v>600021</v>
      </c>
      <c r="D228" s="116">
        <v>25450.32</v>
      </c>
      <c r="E228" s="116">
        <v>0</v>
      </c>
      <c r="F228" s="116">
        <f t="shared" si="0"/>
        <v>25450.32</v>
      </c>
      <c r="G228" s="43" t="str">
        <f>_xlfn.XLOOKUP($A228,Map!$A:$A,Map!C:C)</f>
        <v>IS</v>
      </c>
      <c r="H228" s="43" t="str">
        <f>_xlfn.XLOOKUP($A228,Map!$A:$A,Map!D:D)</f>
        <v>Cost of sales</v>
      </c>
      <c r="I228" s="43" t="str">
        <f>_xlfn.XLOOKUP($A228,Map!$A:$A,Map!E:E)</f>
        <v>Overhead - R&amp;M</v>
      </c>
      <c r="J228" s="43" t="str">
        <f>_xlfn.XLOOKUP($A228,Map!$A:$A,Map!F:F)</f>
        <v>Vehicle maintenance</v>
      </c>
    </row>
    <row r="229" spans="1:10" x14ac:dyDescent="0.25">
      <c r="A229">
        <v>600020</v>
      </c>
      <c r="D229" s="116">
        <v>51226.521000000001</v>
      </c>
      <c r="E229" s="116">
        <v>0</v>
      </c>
      <c r="F229" s="116">
        <f t="shared" si="0"/>
        <v>51226.521000000001</v>
      </c>
      <c r="G229" s="43" t="str">
        <f>_xlfn.XLOOKUP($A229,Map!$A:$A,Map!C:C)</f>
        <v>IS</v>
      </c>
      <c r="H229" s="43" t="str">
        <f>_xlfn.XLOOKUP($A229,Map!$A:$A,Map!D:D)</f>
        <v>Cost of sales</v>
      </c>
      <c r="I229" s="43" t="str">
        <f>_xlfn.XLOOKUP($A229,Map!$A:$A,Map!E:E)</f>
        <v>Overhead - R&amp;M</v>
      </c>
      <c r="J229" s="43" t="str">
        <f>_xlfn.XLOOKUP($A229,Map!$A:$A,Map!F:F)</f>
        <v>Machine and equipment</v>
      </c>
    </row>
    <row r="230" spans="1:10" x14ac:dyDescent="0.25">
      <c r="A230">
        <v>600019</v>
      </c>
      <c r="D230" s="116">
        <v>47050.004999999997</v>
      </c>
      <c r="E230" s="116">
        <v>0</v>
      </c>
      <c r="F230" s="116">
        <f t="shared" si="0"/>
        <v>47050.004999999997</v>
      </c>
      <c r="G230" s="43" t="str">
        <f>_xlfn.XLOOKUP($A230,Map!$A:$A,Map!C:C)</f>
        <v>IS</v>
      </c>
      <c r="H230" s="43" t="str">
        <f>_xlfn.XLOOKUP($A230,Map!$A:$A,Map!D:D)</f>
        <v>Cost of sales</v>
      </c>
      <c r="I230" s="43" t="str">
        <f>_xlfn.XLOOKUP($A230,Map!$A:$A,Map!E:E)</f>
        <v>Overhead - Utility</v>
      </c>
      <c r="J230" s="43" t="str">
        <f>_xlfn.XLOOKUP($A230,Map!$A:$A,Map!F:F)</f>
        <v>Fuel and oil</v>
      </c>
    </row>
    <row r="231" spans="1:10" x14ac:dyDescent="0.25">
      <c r="A231">
        <v>600018</v>
      </c>
      <c r="D231" s="116">
        <v>128714.819</v>
      </c>
      <c r="E231" s="116">
        <v>0</v>
      </c>
      <c r="F231" s="116">
        <f t="shared" si="0"/>
        <v>128714.819</v>
      </c>
      <c r="G231" s="43" t="str">
        <f>_xlfn.XLOOKUP($A231,Map!$A:$A,Map!C:C)</f>
        <v>IS</v>
      </c>
      <c r="H231" s="43" t="str">
        <f>_xlfn.XLOOKUP($A231,Map!$A:$A,Map!D:D)</f>
        <v>Cost of sales</v>
      </c>
      <c r="I231" s="43" t="str">
        <f>_xlfn.XLOOKUP($A231,Map!$A:$A,Map!E:E)</f>
        <v>Overhead - Utility</v>
      </c>
      <c r="J231" s="43" t="str">
        <f>_xlfn.XLOOKUP($A231,Map!$A:$A,Map!F:F)</f>
        <v>Water expenses</v>
      </c>
    </row>
    <row r="232" spans="1:10" x14ac:dyDescent="0.25">
      <c r="A232">
        <v>600017</v>
      </c>
      <c r="D232" s="116">
        <v>702932.21</v>
      </c>
      <c r="E232" s="116">
        <v>0</v>
      </c>
      <c r="F232" s="116">
        <f t="shared" si="0"/>
        <v>702932.21</v>
      </c>
      <c r="G232" s="43" t="str">
        <f>_xlfn.XLOOKUP($A232,Map!$A:$A,Map!C:C)</f>
        <v>IS</v>
      </c>
      <c r="H232" s="43" t="str">
        <f>_xlfn.XLOOKUP($A232,Map!$A:$A,Map!D:D)</f>
        <v>Cost of sales</v>
      </c>
      <c r="I232" s="43" t="str">
        <f>_xlfn.XLOOKUP($A232,Map!$A:$A,Map!E:E)</f>
        <v>Overhead - Utility</v>
      </c>
      <c r="J232" s="43" t="str">
        <f>_xlfn.XLOOKUP($A232,Map!$A:$A,Map!F:F)</f>
        <v>Electricity expenses</v>
      </c>
    </row>
    <row r="233" spans="1:10" x14ac:dyDescent="0.25">
      <c r="A233">
        <v>600016</v>
      </c>
      <c r="D233" s="116">
        <v>546560.00600000005</v>
      </c>
      <c r="E233" s="116">
        <v>0</v>
      </c>
      <c r="F233" s="116">
        <f t="shared" si="0"/>
        <v>546560.00600000005</v>
      </c>
      <c r="G233" s="43" t="str">
        <f>_xlfn.XLOOKUP($A233,Map!$A:$A,Map!C:C)</f>
        <v>IS</v>
      </c>
      <c r="H233" s="43" t="str">
        <f>_xlfn.XLOOKUP($A233,Map!$A:$A,Map!D:D)</f>
        <v>Cost of sales</v>
      </c>
      <c r="I233" s="43" t="str">
        <f>_xlfn.XLOOKUP($A233,Map!$A:$A,Map!E:E)</f>
        <v>Overhead - Consumables &amp; SP</v>
      </c>
      <c r="J233" s="43" t="str">
        <f>_xlfn.XLOOKUP($A233,Map!$A:$A,Map!F:F)</f>
        <v>Tools</v>
      </c>
    </row>
    <row r="234" spans="1:10" x14ac:dyDescent="0.25">
      <c r="A234">
        <v>600015</v>
      </c>
      <c r="D234" s="116">
        <v>14213.99</v>
      </c>
      <c r="E234" s="116">
        <v>0</v>
      </c>
      <c r="F234" s="116">
        <f t="shared" si="0"/>
        <v>14213.99</v>
      </c>
      <c r="G234" s="43" t="str">
        <f>_xlfn.XLOOKUP($A234,Map!$A:$A,Map!C:C)</f>
        <v>IS</v>
      </c>
      <c r="H234" s="43" t="str">
        <f>_xlfn.XLOOKUP($A234,Map!$A:$A,Map!D:D)</f>
        <v>Cost of sales</v>
      </c>
      <c r="I234" s="43" t="str">
        <f>_xlfn.XLOOKUP($A234,Map!$A:$A,Map!E:E)</f>
        <v>Overhead - Consumables &amp; SP</v>
      </c>
      <c r="J234" s="43" t="str">
        <f>_xlfn.XLOOKUP($A234,Map!$A:$A,Map!F:F)</f>
        <v>Consumables</v>
      </c>
    </row>
    <row r="235" spans="1:10" x14ac:dyDescent="0.25">
      <c r="A235">
        <v>600014</v>
      </c>
      <c r="D235" s="116">
        <v>889014.48899999994</v>
      </c>
      <c r="E235" s="116">
        <v>0</v>
      </c>
      <c r="F235" s="116">
        <f t="shared" si="0"/>
        <v>889014.48899999994</v>
      </c>
      <c r="G235" s="43" t="str">
        <f>_xlfn.XLOOKUP($A235,Map!$A:$A,Map!C:C)</f>
        <v>IS</v>
      </c>
      <c r="H235" s="43" t="str">
        <f>_xlfn.XLOOKUP($A235,Map!$A:$A,Map!D:D)</f>
        <v>Cost of sales</v>
      </c>
      <c r="I235" s="43" t="str">
        <f>_xlfn.XLOOKUP($A235,Map!$A:$A,Map!E:E)</f>
        <v>Overhead - Consumables &amp; SP</v>
      </c>
      <c r="J235" s="43" t="str">
        <f>_xlfn.XLOOKUP($A235,Map!$A:$A,Map!F:F)</f>
        <v>Consumables</v>
      </c>
    </row>
    <row r="236" spans="1:10" x14ac:dyDescent="0.25">
      <c r="A236">
        <v>600011</v>
      </c>
      <c r="D236" s="116">
        <v>6000</v>
      </c>
      <c r="E236" s="116">
        <v>0</v>
      </c>
      <c r="F236" s="116">
        <f t="shared" si="0"/>
        <v>6000</v>
      </c>
      <c r="G236" s="43" t="str">
        <f>_xlfn.XLOOKUP($A236,Map!$A:$A,Map!C:C)</f>
        <v>IS</v>
      </c>
      <c r="H236" s="43" t="str">
        <f>_xlfn.XLOOKUP($A236,Map!$A:$A,Map!D:D)</f>
        <v>Cost of sales</v>
      </c>
      <c r="I236" s="43" t="str">
        <f>_xlfn.XLOOKUP($A236,Map!$A:$A,Map!E:E)</f>
        <v>Overhead - Labor Cost</v>
      </c>
      <c r="J236" s="43" t="str">
        <f>_xlfn.XLOOKUP($A236,Map!$A:$A,Map!F:F)</f>
        <v>Air tickets</v>
      </c>
    </row>
    <row r="237" spans="1:10" x14ac:dyDescent="0.25">
      <c r="A237">
        <v>600009</v>
      </c>
      <c r="D237" s="116">
        <v>62460</v>
      </c>
      <c r="E237" s="116">
        <v>0</v>
      </c>
      <c r="F237" s="116">
        <f t="shared" si="0"/>
        <v>62460</v>
      </c>
      <c r="G237" s="43" t="str">
        <f>_xlfn.XLOOKUP($A237,Map!$A:$A,Map!C:C)</f>
        <v>IS</v>
      </c>
      <c r="H237" s="43" t="str">
        <f>_xlfn.XLOOKUP($A237,Map!$A:$A,Map!D:D)</f>
        <v>Cost of sales</v>
      </c>
      <c r="I237" s="43" t="str">
        <f>_xlfn.XLOOKUP($A237,Map!$A:$A,Map!E:E)</f>
        <v>Overhead - Labor Cost</v>
      </c>
      <c r="J237" s="43" t="str">
        <f>_xlfn.XLOOKUP($A237,Map!$A:$A,Map!F:F)</f>
        <v>Vacation pay</v>
      </c>
    </row>
    <row r="238" spans="1:10" x14ac:dyDescent="0.25">
      <c r="A238">
        <v>600008</v>
      </c>
      <c r="D238" s="116">
        <v>84171.3</v>
      </c>
      <c r="E238" s="116">
        <v>0</v>
      </c>
      <c r="F238" s="116">
        <f t="shared" si="0"/>
        <v>84171.3</v>
      </c>
      <c r="G238" s="43" t="str">
        <f>_xlfn.XLOOKUP($A238,Map!$A:$A,Map!C:C)</f>
        <v>IS</v>
      </c>
      <c r="H238" s="43" t="str">
        <f>_xlfn.XLOOKUP($A238,Map!$A:$A,Map!D:D)</f>
        <v>Cost of sales</v>
      </c>
      <c r="I238" s="43" t="str">
        <f>_xlfn.XLOOKUP($A238,Map!$A:$A,Map!E:E)</f>
        <v>Overhead - Labor Cost</v>
      </c>
      <c r="J238" s="43" t="str">
        <f>_xlfn.XLOOKUP($A238,Map!$A:$A,Map!F:F)</f>
        <v>Air tickets</v>
      </c>
    </row>
    <row r="239" spans="1:10" x14ac:dyDescent="0.25">
      <c r="A239">
        <v>600006</v>
      </c>
      <c r="D239" s="116">
        <v>176299.99799999999</v>
      </c>
      <c r="E239" s="116">
        <v>0</v>
      </c>
      <c r="F239" s="116">
        <f t="shared" si="0"/>
        <v>176299.99799999999</v>
      </c>
      <c r="G239" s="43" t="str">
        <f>_xlfn.XLOOKUP($A239,Map!$A:$A,Map!C:C)</f>
        <v>IS</v>
      </c>
      <c r="H239" s="43" t="str">
        <f>_xlfn.XLOOKUP($A239,Map!$A:$A,Map!D:D)</f>
        <v>Cost of sales</v>
      </c>
      <c r="I239" s="43" t="str">
        <f>_xlfn.XLOOKUP($A239,Map!$A:$A,Map!E:E)</f>
        <v>Overhead - Labor Cost</v>
      </c>
      <c r="J239" s="43" t="str">
        <f>_xlfn.XLOOKUP($A239,Map!$A:$A,Map!F:F)</f>
        <v xml:space="preserve">Food &amp; Housing </v>
      </c>
    </row>
    <row r="240" spans="1:10" x14ac:dyDescent="0.25">
      <c r="A240">
        <v>600005</v>
      </c>
      <c r="D240" s="116">
        <v>450568</v>
      </c>
      <c r="E240" s="116">
        <v>0</v>
      </c>
      <c r="F240" s="116">
        <f t="shared" si="0"/>
        <v>450568</v>
      </c>
      <c r="G240" s="43" t="str">
        <f>_xlfn.XLOOKUP($A240,Map!$A:$A,Map!C:C)</f>
        <v>IS</v>
      </c>
      <c r="H240" s="43" t="str">
        <f>_xlfn.XLOOKUP($A240,Map!$A:$A,Map!D:D)</f>
        <v>General and Admin</v>
      </c>
      <c r="I240" s="43" t="str">
        <f>_xlfn.XLOOKUP($A240,Map!$A:$A,Map!E:E)</f>
        <v>Govt license and fees (including modon)</v>
      </c>
      <c r="J240" s="43" t="str">
        <f>_xlfn.XLOOKUP($A240,Map!$A:$A,Map!F:F)</f>
        <v>Government fees</v>
      </c>
    </row>
    <row r="241" spans="1:10" x14ac:dyDescent="0.25">
      <c r="A241">
        <v>600004</v>
      </c>
      <c r="D241" s="116">
        <v>112574.704</v>
      </c>
      <c r="E241" s="116">
        <v>0</v>
      </c>
      <c r="F241" s="116">
        <f t="shared" si="0"/>
        <v>112574.704</v>
      </c>
      <c r="G241" s="43" t="str">
        <f>_xlfn.XLOOKUP($A241,Map!$A:$A,Map!C:C)</f>
        <v>IS</v>
      </c>
      <c r="H241" s="43" t="str">
        <f>_xlfn.XLOOKUP($A241,Map!$A:$A,Map!D:D)</f>
        <v>Cost of sales</v>
      </c>
      <c r="I241" s="43" t="str">
        <f>_xlfn.XLOOKUP($A241,Map!$A:$A,Map!E:E)</f>
        <v>Overhead - Labor Cost</v>
      </c>
      <c r="J241" s="43" t="str">
        <f>_xlfn.XLOOKUP($A241,Map!$A:$A,Map!F:F)</f>
        <v>Medical insurance</v>
      </c>
    </row>
    <row r="242" spans="1:10" x14ac:dyDescent="0.25">
      <c r="A242">
        <v>600003</v>
      </c>
      <c r="D242" s="116">
        <v>25887</v>
      </c>
      <c r="E242" s="116">
        <v>0</v>
      </c>
      <c r="F242" s="116">
        <f t="shared" si="0"/>
        <v>25887</v>
      </c>
      <c r="G242" s="43" t="str">
        <f>_xlfn.XLOOKUP($A242,Map!$A:$A,Map!C:C)</f>
        <v>IS</v>
      </c>
      <c r="H242" s="43" t="str">
        <f>_xlfn.XLOOKUP($A242,Map!$A:$A,Map!D:D)</f>
        <v>Cost of sales</v>
      </c>
      <c r="I242" s="43" t="str">
        <f>_xlfn.XLOOKUP($A242,Map!$A:$A,Map!E:E)</f>
        <v>Overhead - Labor Cost</v>
      </c>
      <c r="J242" s="43" t="str">
        <f>_xlfn.XLOOKUP($A242,Map!$A:$A,Map!F:F)</f>
        <v xml:space="preserve">Food &amp; Housing </v>
      </c>
    </row>
    <row r="243" spans="1:10" x14ac:dyDescent="0.25">
      <c r="A243">
        <v>600002</v>
      </c>
      <c r="D243" s="116">
        <v>98059</v>
      </c>
      <c r="E243" s="116">
        <v>0</v>
      </c>
      <c r="F243" s="116">
        <f t="shared" si="0"/>
        <v>98059</v>
      </c>
      <c r="G243" s="43" t="str">
        <f>_xlfn.XLOOKUP($A243,Map!$A:$A,Map!C:C)</f>
        <v>IS</v>
      </c>
      <c r="H243" s="43" t="str">
        <f>_xlfn.XLOOKUP($A243,Map!$A:$A,Map!D:D)</f>
        <v>Cost of sales</v>
      </c>
      <c r="I243" s="43" t="str">
        <f>_xlfn.XLOOKUP($A243,Map!$A:$A,Map!E:E)</f>
        <v>Overhead - Labor Cost</v>
      </c>
      <c r="J243" s="43" t="str">
        <f>_xlfn.XLOOKUP($A243,Map!$A:$A,Map!F:F)</f>
        <v>Overtime pay</v>
      </c>
    </row>
    <row r="244" spans="1:10" x14ac:dyDescent="0.25">
      <c r="A244">
        <v>600001</v>
      </c>
      <c r="D244" s="116">
        <v>529695.32999999996</v>
      </c>
      <c r="E244" s="116">
        <v>0</v>
      </c>
      <c r="F244" s="116">
        <f t="shared" si="0"/>
        <v>529695.32999999996</v>
      </c>
      <c r="G244" s="43" t="str">
        <f>_xlfn.XLOOKUP($A244,Map!$A:$A,Map!C:C)</f>
        <v>IS</v>
      </c>
      <c r="H244" s="43" t="str">
        <f>_xlfn.XLOOKUP($A244,Map!$A:$A,Map!D:D)</f>
        <v>Cost of sales</v>
      </c>
      <c r="I244" s="43" t="str">
        <f>_xlfn.XLOOKUP($A244,Map!$A:$A,Map!E:E)</f>
        <v>Overhead - Labor Cost</v>
      </c>
      <c r="J244" s="43" t="str">
        <f>_xlfn.XLOOKUP($A244,Map!$A:$A,Map!F:F)</f>
        <v>Indirect Salaries — factory supervisory / indirect floor labour (COGS)</v>
      </c>
    </row>
    <row r="245" spans="1:10" x14ac:dyDescent="0.25">
      <c r="A245">
        <v>520042</v>
      </c>
      <c r="D245" s="116">
        <v>0</v>
      </c>
      <c r="E245" s="116">
        <v>1236741.0900000001</v>
      </c>
      <c r="F245" s="116">
        <f t="shared" si="0"/>
        <v>-1236741.0900000001</v>
      </c>
      <c r="G245" s="43" t="str">
        <f>_xlfn.XLOOKUP($A245,Map!$A:$A,Map!C:C)</f>
        <v>IS</v>
      </c>
      <c r="H245" s="43" t="str">
        <f>_xlfn.XLOOKUP($A245,Map!$A:$A,Map!D:D)</f>
        <v>Cost of sales</v>
      </c>
      <c r="I245" s="43" t="str">
        <f>_xlfn.XLOOKUP($A245,Map!$A:$A,Map!E:E)</f>
        <v>Raw materials</v>
      </c>
      <c r="J245" s="43" t="str">
        <f>_xlfn.XLOOKUP($A245,Map!$A:$A,Map!F:F)</f>
        <v>Inventory Adjustment</v>
      </c>
    </row>
    <row r="246" spans="1:10" x14ac:dyDescent="0.25">
      <c r="A246">
        <v>520041</v>
      </c>
      <c r="D246" s="116">
        <v>0</v>
      </c>
      <c r="E246" s="116">
        <v>5083378.7910000002</v>
      </c>
      <c r="F246" s="116">
        <f t="shared" si="0"/>
        <v>-5083378.7910000002</v>
      </c>
      <c r="G246" s="43" t="str">
        <f>_xlfn.XLOOKUP($A246,Map!$A:$A,Map!C:C)</f>
        <v>IS</v>
      </c>
      <c r="H246" s="43" t="str">
        <f>_xlfn.XLOOKUP($A246,Map!$A:$A,Map!D:D)</f>
        <v>Cost of sales</v>
      </c>
      <c r="I246" s="43" t="str">
        <f>_xlfn.XLOOKUP($A246,Map!$A:$A,Map!E:E)</f>
        <v>Raw materials</v>
      </c>
      <c r="J246" s="43" t="str">
        <f>_xlfn.XLOOKUP($A246,Map!$A:$A,Map!F:F)</f>
        <v>Other expenses</v>
      </c>
    </row>
    <row r="247" spans="1:10" x14ac:dyDescent="0.25">
      <c r="A247">
        <v>520037</v>
      </c>
      <c r="D247" s="116">
        <v>180331.288</v>
      </c>
      <c r="E247" s="116">
        <v>0</v>
      </c>
      <c r="F247" s="116">
        <f t="shared" si="0"/>
        <v>180331.288</v>
      </c>
      <c r="G247" s="43" t="str">
        <f>_xlfn.XLOOKUP($A247,Map!$A:$A,Map!C:C)</f>
        <v>IS</v>
      </c>
      <c r="H247" s="43" t="str">
        <f>_xlfn.XLOOKUP($A247,Map!$A:$A,Map!D:D)</f>
        <v>Cost of sales</v>
      </c>
      <c r="I247" s="43" t="str">
        <f>_xlfn.XLOOKUP($A247,Map!$A:$A,Map!E:E)</f>
        <v>Raw materials</v>
      </c>
      <c r="J247" s="43" t="str">
        <f>_xlfn.XLOOKUP($A247,Map!$A:$A,Map!F:F)</f>
        <v>Raw materials</v>
      </c>
    </row>
    <row r="248" spans="1:10" x14ac:dyDescent="0.25">
      <c r="A248">
        <v>520036</v>
      </c>
      <c r="D248" s="116">
        <v>0</v>
      </c>
      <c r="E248" s="116">
        <v>2.7E-2</v>
      </c>
      <c r="F248" s="116">
        <f t="shared" si="0"/>
        <v>-2.7E-2</v>
      </c>
      <c r="G248" s="43" t="str">
        <f>_xlfn.XLOOKUP($A248,Map!$A:$A,Map!C:C)</f>
        <v>IS</v>
      </c>
      <c r="H248" s="43" t="str">
        <f>_xlfn.XLOOKUP($A248,Map!$A:$A,Map!D:D)</f>
        <v>Cost of sales</v>
      </c>
      <c r="I248" s="43" t="str">
        <f>_xlfn.XLOOKUP($A248,Map!$A:$A,Map!E:E)</f>
        <v>Raw materials</v>
      </c>
      <c r="J248" s="43" t="str">
        <f>_xlfn.XLOOKUP($A248,Map!$A:$A,Map!F:F)</f>
        <v>Raw materials</v>
      </c>
    </row>
    <row r="249" spans="1:10" x14ac:dyDescent="0.25">
      <c r="A249">
        <v>520021</v>
      </c>
      <c r="D249" s="116">
        <v>11607.28</v>
      </c>
      <c r="E249" s="116">
        <v>0</v>
      </c>
      <c r="F249" s="116">
        <f t="shared" si="0"/>
        <v>11607.28</v>
      </c>
      <c r="G249" s="43" t="str">
        <f>_xlfn.XLOOKUP($A249,Map!$A:$A,Map!C:C)</f>
        <v>IS</v>
      </c>
      <c r="H249" s="43" t="str">
        <f>_xlfn.XLOOKUP($A249,Map!$A:$A,Map!D:D)</f>
        <v>Cost of sales</v>
      </c>
      <c r="I249" s="43" t="str">
        <f>_xlfn.XLOOKUP($A249,Map!$A:$A,Map!E:E)</f>
        <v>Direct Labor</v>
      </c>
      <c r="J249" s="43" t="str">
        <f>_xlfn.XLOOKUP($A249,Map!$A:$A,Map!F:F)</f>
        <v>Medical insurance</v>
      </c>
    </row>
    <row r="250" spans="1:10" x14ac:dyDescent="0.25">
      <c r="A250">
        <v>520011</v>
      </c>
      <c r="D250" s="116">
        <v>179098</v>
      </c>
      <c r="E250" s="116">
        <v>0</v>
      </c>
      <c r="F250" s="116">
        <f t="shared" si="0"/>
        <v>179098</v>
      </c>
      <c r="G250" s="43" t="str">
        <f>_xlfn.XLOOKUP($A250,Map!$A:$A,Map!C:C)</f>
        <v>IS</v>
      </c>
      <c r="H250" s="43" t="str">
        <f>_xlfn.XLOOKUP($A250,Map!$A:$A,Map!D:D)</f>
        <v>Cost of sales</v>
      </c>
      <c r="I250" s="43" t="str">
        <f>_xlfn.XLOOKUP($A250,Map!$A:$A,Map!E:E)</f>
        <v>Direct Labor</v>
      </c>
      <c r="J250" s="43" t="str">
        <f>_xlfn.XLOOKUP($A250,Map!$A:$A,Map!F:F)</f>
        <v>Overtime pay</v>
      </c>
    </row>
    <row r="251" spans="1:10" x14ac:dyDescent="0.25">
      <c r="A251">
        <v>520006</v>
      </c>
      <c r="D251" s="116">
        <v>111282</v>
      </c>
      <c r="E251" s="116">
        <v>0</v>
      </c>
      <c r="F251" s="116">
        <f t="shared" si="0"/>
        <v>111282</v>
      </c>
      <c r="G251" s="43" t="str">
        <f>_xlfn.XLOOKUP($A251,Map!$A:$A,Map!C:C)</f>
        <v>IS</v>
      </c>
      <c r="H251" s="43" t="str">
        <f>_xlfn.XLOOKUP($A251,Map!$A:$A,Map!D:D)</f>
        <v>Cost of sales</v>
      </c>
      <c r="I251" s="43" t="str">
        <f>_xlfn.XLOOKUP($A251,Map!$A:$A,Map!E:E)</f>
        <v>Direct Labor</v>
      </c>
      <c r="J251" s="43" t="str">
        <f>_xlfn.XLOOKUP($A251,Map!$A:$A,Map!F:F)</f>
        <v>Medical insurance</v>
      </c>
    </row>
    <row r="252" spans="1:10" x14ac:dyDescent="0.25">
      <c r="A252">
        <v>520004</v>
      </c>
      <c r="D252" s="116">
        <v>69880.5</v>
      </c>
      <c r="E252" s="116">
        <v>0</v>
      </c>
      <c r="F252" s="116">
        <f t="shared" si="0"/>
        <v>69880.5</v>
      </c>
      <c r="G252" s="43" t="str">
        <f>_xlfn.XLOOKUP($A252,Map!$A:$A,Map!C:C)</f>
        <v>IS</v>
      </c>
      <c r="H252" s="43" t="str">
        <f>_xlfn.XLOOKUP($A252,Map!$A:$A,Map!D:D)</f>
        <v>Cost of sales</v>
      </c>
      <c r="I252" s="43" t="str">
        <f>_xlfn.XLOOKUP($A252,Map!$A:$A,Map!E:E)</f>
        <v>Direct Labor</v>
      </c>
      <c r="J252" s="43" t="str">
        <f>_xlfn.XLOOKUP($A252,Map!$A:$A,Map!F:F)</f>
        <v>Food and housing</v>
      </c>
    </row>
    <row r="253" spans="1:10" x14ac:dyDescent="0.25">
      <c r="A253">
        <v>520003</v>
      </c>
      <c r="D253" s="116">
        <v>29792</v>
      </c>
      <c r="E253" s="116">
        <v>0</v>
      </c>
      <c r="F253" s="116">
        <f t="shared" si="0"/>
        <v>29792</v>
      </c>
      <c r="G253" s="43" t="str">
        <f>_xlfn.XLOOKUP($A253,Map!$A:$A,Map!C:C)</f>
        <v>IS</v>
      </c>
      <c r="H253" s="43" t="str">
        <f>_xlfn.XLOOKUP($A253,Map!$A:$A,Map!D:D)</f>
        <v>Cost of sales</v>
      </c>
      <c r="I253" s="43" t="str">
        <f>_xlfn.XLOOKUP($A253,Map!$A:$A,Map!E:E)</f>
        <v>Direct Labor</v>
      </c>
      <c r="J253" s="43" t="str">
        <f>_xlfn.XLOOKUP($A253,Map!$A:$A,Map!F:F)</f>
        <v>Transportation allowance</v>
      </c>
    </row>
    <row r="254" spans="1:10" x14ac:dyDescent="0.25">
      <c r="A254">
        <v>520002</v>
      </c>
      <c r="D254" s="116">
        <v>58352</v>
      </c>
      <c r="E254" s="116">
        <v>0</v>
      </c>
      <c r="F254" s="116">
        <f t="shared" si="0"/>
        <v>58352</v>
      </c>
      <c r="G254" s="43" t="str">
        <f>_xlfn.XLOOKUP($A254,Map!$A:$A,Map!C:C)</f>
        <v>IS</v>
      </c>
      <c r="H254" s="43" t="str">
        <f>_xlfn.XLOOKUP($A254,Map!$A:$A,Map!D:D)</f>
        <v>Cost of sales</v>
      </c>
      <c r="I254" s="43" t="str">
        <f>_xlfn.XLOOKUP($A254,Map!$A:$A,Map!E:E)</f>
        <v>Direct Labor</v>
      </c>
      <c r="J254" s="43" t="str">
        <f>_xlfn.XLOOKUP($A254,Map!$A:$A,Map!F:F)</f>
        <v>Overtime pay</v>
      </c>
    </row>
    <row r="255" spans="1:10" x14ac:dyDescent="0.25">
      <c r="A255">
        <v>520001</v>
      </c>
      <c r="D255" s="116">
        <v>1418257.17</v>
      </c>
      <c r="E255" s="116">
        <v>0</v>
      </c>
      <c r="F255" s="116">
        <f t="shared" si="0"/>
        <v>1418257.17</v>
      </c>
      <c r="G255" s="43" t="str">
        <f>_xlfn.XLOOKUP($A255,Map!$A:$A,Map!C:C)</f>
        <v>IS</v>
      </c>
      <c r="H255" s="43" t="str">
        <f>_xlfn.XLOOKUP($A255,Map!$A:$A,Map!D:D)</f>
        <v>Cost of sales</v>
      </c>
      <c r="I255" s="43" t="str">
        <f>_xlfn.XLOOKUP($A255,Map!$A:$A,Map!E:E)</f>
        <v>Direct Labor</v>
      </c>
      <c r="J255" s="43" t="str">
        <f>_xlfn.XLOOKUP($A255,Map!$A:$A,Map!F:F)</f>
        <v>Salaries and wages</v>
      </c>
    </row>
    <row r="256" spans="1:10" x14ac:dyDescent="0.25">
      <c r="A256">
        <v>510004</v>
      </c>
      <c r="D256" s="116">
        <v>48207.343999999997</v>
      </c>
      <c r="E256" s="116">
        <v>0</v>
      </c>
      <c r="F256" s="116">
        <f t="shared" si="0"/>
        <v>48207.343999999997</v>
      </c>
      <c r="G256" s="43" t="str">
        <f>_xlfn.XLOOKUP($A256,Map!$A:$A,Map!C:C)</f>
        <v>IS</v>
      </c>
      <c r="H256" s="43" t="str">
        <f>_xlfn.XLOOKUP($A256,Map!$A:$A,Map!D:D)</f>
        <v>Cost of sales</v>
      </c>
      <c r="I256" s="43" t="str">
        <f>_xlfn.XLOOKUP($A256,Map!$A:$A,Map!E:E)</f>
        <v>Raw materials</v>
      </c>
      <c r="J256" s="43" t="str">
        <f>_xlfn.XLOOKUP($A256,Map!$A:$A,Map!F:F)</f>
        <v>Other expenses</v>
      </c>
    </row>
    <row r="257" spans="1:10" x14ac:dyDescent="0.25">
      <c r="A257">
        <v>510003</v>
      </c>
      <c r="D257" s="116">
        <v>0</v>
      </c>
      <c r="E257" s="116">
        <v>636854.1</v>
      </c>
      <c r="F257" s="116">
        <f t="shared" si="0"/>
        <v>-636854.1</v>
      </c>
      <c r="G257" s="43" t="str">
        <f>_xlfn.XLOOKUP($A257,Map!$A:$A,Map!C:C)</f>
        <v>IS</v>
      </c>
      <c r="H257" s="43" t="str">
        <f>_xlfn.XLOOKUP($A257,Map!$A:$A,Map!D:D)</f>
        <v>Cost of sales</v>
      </c>
      <c r="I257" s="43" t="str">
        <f>_xlfn.XLOOKUP($A257,Map!$A:$A,Map!E:E)</f>
        <v>Raw materials</v>
      </c>
      <c r="J257" s="43" t="str">
        <f>_xlfn.XLOOKUP($A257,Map!$A:$A,Map!F:F)</f>
        <v>Raw materials</v>
      </c>
    </row>
    <row r="258" spans="1:10" x14ac:dyDescent="0.25">
      <c r="A258">
        <v>510002</v>
      </c>
      <c r="D258" s="116">
        <v>0</v>
      </c>
      <c r="E258" s="116">
        <v>1896437.531</v>
      </c>
      <c r="F258" s="116">
        <f t="shared" si="0"/>
        <v>-1896437.531</v>
      </c>
      <c r="G258" s="43" t="str">
        <f>_xlfn.XLOOKUP($A258,Map!$A:$A,Map!C:C)</f>
        <v>IS</v>
      </c>
      <c r="H258" s="43" t="str">
        <f>_xlfn.XLOOKUP($A258,Map!$A:$A,Map!D:D)</f>
        <v>Cost of sales</v>
      </c>
      <c r="I258" s="43" t="str">
        <f>_xlfn.XLOOKUP($A258,Map!$A:$A,Map!E:E)</f>
        <v>Direct Labor</v>
      </c>
      <c r="J258" s="43" t="str">
        <f>_xlfn.XLOOKUP($A258,Map!$A:$A,Map!F:F)</f>
        <v>Direct Labor</v>
      </c>
    </row>
    <row r="259" spans="1:10" x14ac:dyDescent="0.25">
      <c r="F259" s="116">
        <f t="shared" si="0"/>
        <v>0</v>
      </c>
      <c r="G259" s="43">
        <f>_xlfn.XLOOKUP($A259,Map!$A:$A,Map!C:C)</f>
        <v>0</v>
      </c>
      <c r="H259" s="43">
        <f>_xlfn.XLOOKUP($A259,Map!$A:$A,Map!D:D)</f>
        <v>0</v>
      </c>
      <c r="I259" s="43">
        <f>_xlfn.XLOOKUP($A259,Map!$A:$A,Map!E:E)</f>
        <v>0</v>
      </c>
      <c r="J259" s="43">
        <f>_xlfn.XLOOKUP($A259,Map!$A:$A,Map!F:F)</f>
        <v>0</v>
      </c>
    </row>
    <row r="260" spans="1:10" x14ac:dyDescent="0.25">
      <c r="F260" s="116">
        <f t="shared" si="0"/>
        <v>0</v>
      </c>
      <c r="G260" s="43">
        <f>_xlfn.XLOOKUP($A260,Map!$A:$A,Map!C:C)</f>
        <v>0</v>
      </c>
      <c r="H260" s="43">
        <f>_xlfn.XLOOKUP($A260,Map!$A:$A,Map!D:D)</f>
        <v>0</v>
      </c>
      <c r="I260" s="43">
        <f>_xlfn.XLOOKUP($A260,Map!$A:$A,Map!E:E)</f>
        <v>0</v>
      </c>
      <c r="J260" s="43">
        <f>_xlfn.XLOOKUP($A260,Map!$A:$A,Map!F:F)</f>
        <v>0</v>
      </c>
    </row>
    <row r="261" spans="1:10" x14ac:dyDescent="0.25">
      <c r="A261">
        <v>170021</v>
      </c>
      <c r="B261" t="s">
        <v>883</v>
      </c>
      <c r="D261" s="154">
        <v>9600761.3000000007</v>
      </c>
      <c r="F261" s="147">
        <f t="shared" si="0"/>
        <v>9600761.3000000007</v>
      </c>
      <c r="G261" s="43" t="str">
        <f>_xlfn.XLOOKUP($A261,Map!$A:$A,Map!C:C)</f>
        <v>BS</v>
      </c>
      <c r="H261" s="43" t="str">
        <f>_xlfn.XLOOKUP($A261,Map!$A:$A,Map!D:D)</f>
        <v>Current Assets</v>
      </c>
      <c r="I261" s="43" t="str">
        <f>_xlfn.XLOOKUP($A261,Map!$A:$A,Map!E:E)</f>
        <v>Prepaid expenses</v>
      </c>
      <c r="J261" s="43" t="str">
        <f>_xlfn.XLOOKUP($A261,Map!$A:$A,Map!F:F)</f>
        <v>Prepaid expense</v>
      </c>
    </row>
    <row r="262" spans="1:10" x14ac:dyDescent="0.25">
      <c r="A262">
        <v>210001</v>
      </c>
      <c r="B262" t="s">
        <v>902</v>
      </c>
      <c r="E262" s="154">
        <f>D261</f>
        <v>9600761.3000000007</v>
      </c>
      <c r="F262" s="147">
        <f t="shared" si="0"/>
        <v>-9600761.3000000007</v>
      </c>
      <c r="G262" s="43" t="str">
        <f>_xlfn.XLOOKUP($A262,Map!$A:$A,Map!C:C)</f>
        <v>BS</v>
      </c>
      <c r="H262" s="43" t="str">
        <f>_xlfn.XLOOKUP($A262,Map!$A:$A,Map!D:D)</f>
        <v>Current Liabilities</v>
      </c>
      <c r="I262" s="43" t="str">
        <f>_xlfn.XLOOKUP($A262,Map!$A:$A,Map!E:E)</f>
        <v>Tade payables and Accuals &amp; other credit balances</v>
      </c>
      <c r="J262" s="43" t="str">
        <f>_xlfn.XLOOKUP($A262,Map!$A:$A,Map!F:F)</f>
        <v>Trade payables - Foreign</v>
      </c>
    </row>
    <row r="265" spans="1:10" x14ac:dyDescent="0.25">
      <c r="A265">
        <v>410001</v>
      </c>
      <c r="B265" t="s">
        <v>1344</v>
      </c>
      <c r="D265" s="88">
        <v>8652853.861610001</v>
      </c>
      <c r="E265" s="88"/>
      <c r="F265" s="147">
        <f>D265-E265</f>
        <v>8652853.861610001</v>
      </c>
      <c r="G265" s="43" t="str">
        <f>_xlfn.XLOOKUP($A265,Map!$A:$A,Map!C:C)</f>
        <v>IS</v>
      </c>
      <c r="H265" s="43" t="str">
        <f>_xlfn.XLOOKUP($A265,Map!$A:$A,Map!D:D)</f>
        <v>Sales</v>
      </c>
      <c r="I265" s="43" t="str">
        <f>_xlfn.XLOOKUP($A265,Map!$A:$A,Map!E:E)</f>
        <v>Sales</v>
      </c>
      <c r="J265" s="43" t="str">
        <f>_xlfn.XLOOKUP($A265,Map!$A:$A,Map!F:F)</f>
        <v>Trading revenue</v>
      </c>
    </row>
    <row r="266" spans="1:10" x14ac:dyDescent="0.25">
      <c r="A266">
        <v>510001</v>
      </c>
      <c r="B266" t="s">
        <v>1345</v>
      </c>
      <c r="D266" s="88"/>
      <c r="E266" s="88">
        <v>8167809.5330137536</v>
      </c>
      <c r="F266" s="147">
        <f>D266-E266</f>
        <v>-8167809.5330137536</v>
      </c>
      <c r="G266" s="43" t="str">
        <f>_xlfn.XLOOKUP($A266,Map!$A:$A,Map!C:C)</f>
        <v>IS</v>
      </c>
      <c r="H266" s="43" t="str">
        <f>_xlfn.XLOOKUP($A266,Map!$A:$A,Map!D:D)</f>
        <v>Cost of sales</v>
      </c>
      <c r="I266" s="43" t="str">
        <f>_xlfn.XLOOKUP($A266,Map!$A:$A,Map!E:E)</f>
        <v>Raw materials</v>
      </c>
      <c r="J266" s="43" t="str">
        <f>_xlfn.XLOOKUP($A266,Map!$A:$A,Map!F:F)</f>
        <v>Raw materials</v>
      </c>
    </row>
  </sheetData>
  <autoFilter ref="A4:K258" xr:uid="{00000000-0009-0000-0000-00001D000000}"/>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284"/>
  <sheetViews>
    <sheetView zoomScale="90" workbookViewId="0">
      <pane ySplit="82" topLeftCell="A83"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85" t="s">
        <v>1251</v>
      </c>
    </row>
    <row r="2" spans="1:10" x14ac:dyDescent="0.25">
      <c r="A2" s="85" t="s">
        <v>1195</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110001</v>
      </c>
      <c r="B5" t="s">
        <v>818</v>
      </c>
      <c r="C5" s="116">
        <v>0</v>
      </c>
      <c r="D5" s="116">
        <v>11043</v>
      </c>
      <c r="E5" s="116">
        <v>11043</v>
      </c>
      <c r="F5" s="116">
        <v>0</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110002</v>
      </c>
      <c r="B6" t="s">
        <v>819</v>
      </c>
      <c r="C6" s="116">
        <v>106504996.56999999</v>
      </c>
      <c r="D6" s="116">
        <v>0</v>
      </c>
      <c r="E6" s="116">
        <v>0</v>
      </c>
      <c r="F6" s="116">
        <v>106504996.56999999</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110003</v>
      </c>
      <c r="B7" t="s">
        <v>820</v>
      </c>
      <c r="C7" s="116">
        <v>1824603.75</v>
      </c>
      <c r="D7" s="116">
        <v>95598</v>
      </c>
      <c r="E7" s="116">
        <v>0</v>
      </c>
      <c r="F7" s="116">
        <v>1920201.75</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110004</v>
      </c>
      <c r="B8" t="s">
        <v>821</v>
      </c>
      <c r="C8" s="116">
        <v>62879992.733999997</v>
      </c>
      <c r="D8" s="116">
        <v>9206943.0779999997</v>
      </c>
      <c r="E8" s="116">
        <v>5711042.8059999999</v>
      </c>
      <c r="F8" s="116">
        <v>66375893.005999997</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110006</v>
      </c>
      <c r="B9" t="s">
        <v>822</v>
      </c>
      <c r="C9" s="116">
        <v>2495208.4550000001</v>
      </c>
      <c r="D9" s="116">
        <v>400173.60800000001</v>
      </c>
      <c r="E9" s="116">
        <v>104030</v>
      </c>
      <c r="F9" s="116">
        <v>2791352.0630000001</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110007</v>
      </c>
      <c r="B10" t="s">
        <v>823</v>
      </c>
      <c r="C10" s="116">
        <v>876515.95</v>
      </c>
      <c r="D10" s="116">
        <v>0</v>
      </c>
      <c r="E10" s="116">
        <v>0</v>
      </c>
      <c r="F10" s="116">
        <v>876515.95</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110008</v>
      </c>
      <c r="B11" t="s">
        <v>824</v>
      </c>
      <c r="C11" s="116">
        <v>533547.4</v>
      </c>
      <c r="D11" s="116">
        <v>108701.948</v>
      </c>
      <c r="E11" s="116">
        <v>25461</v>
      </c>
      <c r="F11" s="116">
        <v>616788.348</v>
      </c>
      <c r="G11" s="43" t="str">
        <f>_xlfn.XLOOKUP($A11,Map!$A:$A,Map!C:C)</f>
        <v>BS</v>
      </c>
      <c r="H11" s="43" t="str">
        <f>_xlfn.XLOOKUP($A11,Map!$A:$A,Map!D:D)</f>
        <v>Non-Current Assets</v>
      </c>
      <c r="I11" s="43" t="str">
        <f>_xlfn.XLOOKUP($A11,Map!$A:$A,Map!E:E)</f>
        <v>Property, plant and equipment</v>
      </c>
      <c r="J11" s="43" t="str">
        <f>_xlfn.XLOOKUP($A11,Map!$A:$A,Map!F:F)</f>
        <v>Property, plant and equipment</v>
      </c>
    </row>
    <row r="12" spans="1:10" x14ac:dyDescent="0.25">
      <c r="A12">
        <v>111009</v>
      </c>
      <c r="B12" t="s">
        <v>825</v>
      </c>
      <c r="C12" s="116">
        <v>0</v>
      </c>
      <c r="D12" s="116">
        <v>2020135</v>
      </c>
      <c r="E12" s="116">
        <v>0</v>
      </c>
      <c r="F12" s="116">
        <v>2020135</v>
      </c>
      <c r="G12" s="43" t="str">
        <f>_xlfn.XLOOKUP($A12,Map!$A:$A,Map!C:C)</f>
        <v>BS</v>
      </c>
      <c r="H12" s="43" t="str">
        <f>_xlfn.XLOOKUP($A12,Map!$A:$A,Map!D:D)</f>
        <v>Non-Current Assets</v>
      </c>
      <c r="I12" s="43" t="str">
        <f>_xlfn.XLOOKUP($A12,Map!$A:$A,Map!E:E)</f>
        <v>Right of use</v>
      </c>
      <c r="J12" s="43" t="str">
        <f>_xlfn.XLOOKUP($A12,Map!$A:$A,Map!F:F)</f>
        <v>Leases - right of use assets</v>
      </c>
    </row>
    <row r="13" spans="1:10" x14ac:dyDescent="0.25">
      <c r="A13">
        <v>111013</v>
      </c>
      <c r="B13" t="s">
        <v>827</v>
      </c>
      <c r="C13" s="116">
        <v>5140198.9610000001</v>
      </c>
      <c r="D13" s="116">
        <v>11749106.335000001</v>
      </c>
      <c r="E13" s="116">
        <v>7912571.142</v>
      </c>
      <c r="F13" s="116">
        <v>8976734.1539999992</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111099</v>
      </c>
      <c r="B14" t="s">
        <v>828</v>
      </c>
      <c r="C14" s="116">
        <v>0</v>
      </c>
      <c r="D14" s="116">
        <v>54044</v>
      </c>
      <c r="E14" s="116">
        <v>54044</v>
      </c>
      <c r="F14" s="116">
        <v>0</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120001</v>
      </c>
      <c r="B15" t="s">
        <v>829</v>
      </c>
      <c r="C15" s="116">
        <v>-694867.68700000003</v>
      </c>
      <c r="D15" s="116">
        <v>590568.60499999998</v>
      </c>
      <c r="E15" s="116">
        <v>2082147.219</v>
      </c>
      <c r="F15" s="116">
        <v>-2186446.301</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120002</v>
      </c>
      <c r="B16" t="s">
        <v>830</v>
      </c>
      <c r="C16" s="116">
        <v>-1782181.44</v>
      </c>
      <c r="D16" s="116">
        <v>0</v>
      </c>
      <c r="E16" s="116">
        <v>14498.33</v>
      </c>
      <c r="F16" s="116">
        <v>-1796679.77</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120003</v>
      </c>
      <c r="B17" t="s">
        <v>831</v>
      </c>
      <c r="C17" s="116">
        <v>-34787312.380000003</v>
      </c>
      <c r="D17" s="116">
        <v>934527.35699999996</v>
      </c>
      <c r="E17" s="116">
        <v>4573730.7079999996</v>
      </c>
      <c r="F17" s="116">
        <v>-38426515.730999999</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120005</v>
      </c>
      <c r="B18" t="s">
        <v>832</v>
      </c>
      <c r="C18" s="116">
        <v>-1571590.63</v>
      </c>
      <c r="D18" s="116">
        <v>97195.425000000003</v>
      </c>
      <c r="E18" s="116">
        <v>293330.77</v>
      </c>
      <c r="F18" s="116">
        <v>-1767725.9750000001</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120006</v>
      </c>
      <c r="B19" t="s">
        <v>833</v>
      </c>
      <c r="C19" s="116">
        <v>-812734.49100000004</v>
      </c>
      <c r="D19" s="116">
        <v>0</v>
      </c>
      <c r="E19" s="116">
        <v>19498.400000000001</v>
      </c>
      <c r="F19" s="116">
        <v>-832232.89099999995</v>
      </c>
      <c r="G19" s="43" t="str">
        <f>_xlfn.XLOOKUP($A19,Map!$A:$A,Map!C:C)</f>
        <v>BS</v>
      </c>
      <c r="H19" s="43" t="str">
        <f>_xlfn.XLOOKUP($A19,Map!$A:$A,Map!D:D)</f>
        <v>Non-Current Assets</v>
      </c>
      <c r="I19" s="43" t="str">
        <f>_xlfn.XLOOKUP($A19,Map!$A:$A,Map!E:E)</f>
        <v>Property, plant and equipment</v>
      </c>
      <c r="J19" s="43" t="str">
        <f>_xlfn.XLOOKUP($A19,Map!$A:$A,Map!F:F)</f>
        <v>Property, plant and equipment - Accumulated depreciation</v>
      </c>
    </row>
    <row r="20" spans="1:10" x14ac:dyDescent="0.25">
      <c r="A20">
        <v>120007</v>
      </c>
      <c r="B20" t="s">
        <v>834</v>
      </c>
      <c r="C20" s="116">
        <v>-221019.97700000001</v>
      </c>
      <c r="D20" s="116">
        <v>1446.7819999999999</v>
      </c>
      <c r="E20" s="116">
        <v>44636.81</v>
      </c>
      <c r="F20" s="116">
        <v>-264210.005</v>
      </c>
      <c r="G20" s="43" t="str">
        <f>_xlfn.XLOOKUP($A20,Map!$A:$A,Map!C:C)</f>
        <v>BS</v>
      </c>
      <c r="H20" s="43" t="str">
        <f>_xlfn.XLOOKUP($A20,Map!$A:$A,Map!D:D)</f>
        <v>Non-Current Assets</v>
      </c>
      <c r="I20" s="43" t="str">
        <f>_xlfn.XLOOKUP($A20,Map!$A:$A,Map!E:E)</f>
        <v>Property, plant and equipment</v>
      </c>
      <c r="J20" s="43" t="str">
        <f>_xlfn.XLOOKUP($A20,Map!$A:$A,Map!F:F)</f>
        <v>Property, plant and equipment - Accumulated depreciation</v>
      </c>
    </row>
    <row r="21" spans="1:10" x14ac:dyDescent="0.25">
      <c r="A21">
        <v>120008</v>
      </c>
      <c r="B21" t="s">
        <v>835</v>
      </c>
      <c r="C21" s="116">
        <v>0</v>
      </c>
      <c r="D21" s="116">
        <v>0</v>
      </c>
      <c r="E21" s="116">
        <v>24787</v>
      </c>
      <c r="F21" s="116">
        <v>-24787</v>
      </c>
      <c r="G21" s="43" t="str">
        <f>_xlfn.XLOOKUP($A21,Map!$A:$A,Map!C:C)</f>
        <v>BS</v>
      </c>
      <c r="H21" s="43" t="str">
        <f>_xlfn.XLOOKUP($A21,Map!$A:$A,Map!D:D)</f>
        <v>Non-Current Assets</v>
      </c>
      <c r="I21" s="43" t="str">
        <f>_xlfn.XLOOKUP($A21,Map!$A:$A,Map!E:E)</f>
        <v>Right of use</v>
      </c>
      <c r="J21" s="43" t="str">
        <f>_xlfn.XLOOKUP($A21,Map!$A:$A,Map!F:F)</f>
        <v>Depreciation/amortization of rights of use assets</v>
      </c>
    </row>
    <row r="22" spans="1:10" x14ac:dyDescent="0.25">
      <c r="A22">
        <v>121001</v>
      </c>
      <c r="B22" t="s">
        <v>836</v>
      </c>
      <c r="C22" s="116">
        <v>13762616.130000001</v>
      </c>
      <c r="D22" s="116">
        <v>0</v>
      </c>
      <c r="E22" s="116">
        <v>0</v>
      </c>
      <c r="F22" s="116">
        <v>13762616.130000001</v>
      </c>
      <c r="G22" s="43" t="str">
        <f>_xlfn.XLOOKUP($A22,Map!$A:$A,Map!C:C)</f>
        <v>BS</v>
      </c>
      <c r="H22" s="43" t="str">
        <f>_xlfn.XLOOKUP($A22,Map!$A:$A,Map!D:D)</f>
        <v>Current Assets</v>
      </c>
      <c r="I22" s="43" t="str">
        <f>_xlfn.XLOOKUP($A22,Map!$A:$A,Map!E:E)</f>
        <v>Prepaid expenses</v>
      </c>
      <c r="J22" s="43" t="str">
        <f>_xlfn.XLOOKUP($A22,Map!$A:$A,Map!F:F)</f>
        <v>Pre Operating Exps</v>
      </c>
    </row>
    <row r="23" spans="1:10" x14ac:dyDescent="0.25">
      <c r="A23">
        <v>121002</v>
      </c>
      <c r="B23" t="s">
        <v>837</v>
      </c>
      <c r="C23" s="116">
        <v>-13762616.130000001</v>
      </c>
      <c r="D23" s="116">
        <v>0</v>
      </c>
      <c r="E23" s="116">
        <v>0</v>
      </c>
      <c r="F23" s="116">
        <v>-13762616.130000001</v>
      </c>
      <c r="G23" s="43" t="str">
        <f>_xlfn.XLOOKUP($A23,Map!$A:$A,Map!C:C)</f>
        <v>BS</v>
      </c>
      <c r="H23" s="43" t="str">
        <f>_xlfn.XLOOKUP($A23,Map!$A:$A,Map!D:D)</f>
        <v>Current Assets</v>
      </c>
      <c r="I23" s="43" t="str">
        <f>_xlfn.XLOOKUP($A23,Map!$A:$A,Map!E:E)</f>
        <v>Prepaid expenses</v>
      </c>
      <c r="J23" s="43" t="str">
        <f>_xlfn.XLOOKUP($A23,Map!$A:$A,Map!F:F)</f>
        <v>Amortization Of Pre Operating Exps</v>
      </c>
    </row>
    <row r="24" spans="1:10" x14ac:dyDescent="0.25">
      <c r="A24">
        <v>130001</v>
      </c>
      <c r="B24" t="s">
        <v>838</v>
      </c>
      <c r="C24" s="116">
        <v>2068549.69</v>
      </c>
      <c r="D24" s="116">
        <v>134178567.455</v>
      </c>
      <c r="E24" s="116">
        <v>134764656.92500001</v>
      </c>
      <c r="F24" s="116">
        <v>1482460.22</v>
      </c>
      <c r="G24" s="43" t="str">
        <f>_xlfn.XLOOKUP($A24,Map!$A:$A,Map!C:C)</f>
        <v>BS</v>
      </c>
      <c r="H24" s="43" t="str">
        <f>_xlfn.XLOOKUP($A24,Map!$A:$A,Map!D:D)</f>
        <v>Current Assets</v>
      </c>
      <c r="I24" s="43" t="str">
        <f>_xlfn.XLOOKUP($A24,Map!$A:$A,Map!E:E)</f>
        <v>Cash and cash equivalents</v>
      </c>
      <c r="J24" s="43" t="str">
        <f>_xlfn.XLOOKUP($A24,Map!$A:$A,Map!F:F)</f>
        <v>Bank balances</v>
      </c>
    </row>
    <row r="25" spans="1:10" x14ac:dyDescent="0.25">
      <c r="A25">
        <v>130002</v>
      </c>
      <c r="B25" t="s">
        <v>1205</v>
      </c>
      <c r="C25" s="116">
        <v>6349.32</v>
      </c>
      <c r="D25" s="116">
        <v>130125282.089</v>
      </c>
      <c r="E25" s="116">
        <v>129353708.15899999</v>
      </c>
      <c r="F25" s="116">
        <v>777923.25</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130003</v>
      </c>
      <c r="B26" t="s">
        <v>840</v>
      </c>
      <c r="C26" s="116">
        <v>0</v>
      </c>
      <c r="D26" s="116">
        <v>7007.35</v>
      </c>
      <c r="E26" s="116">
        <v>7007.35</v>
      </c>
      <c r="F26" s="116">
        <v>0</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130004</v>
      </c>
      <c r="B27" t="s">
        <v>841</v>
      </c>
      <c r="C27" s="116">
        <v>281961.51</v>
      </c>
      <c r="D27" s="116">
        <v>17303388.670000002</v>
      </c>
      <c r="E27" s="116">
        <v>17440411.329999998</v>
      </c>
      <c r="F27" s="116">
        <v>144938.85</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130005</v>
      </c>
      <c r="B28" t="s">
        <v>842</v>
      </c>
      <c r="C28" s="116">
        <v>0</v>
      </c>
      <c r="D28" s="116">
        <v>3202</v>
      </c>
      <c r="E28" s="116">
        <v>3202</v>
      </c>
      <c r="F28" s="116">
        <v>0</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130006</v>
      </c>
      <c r="B29" t="s">
        <v>843</v>
      </c>
      <c r="C29" s="116">
        <v>26670.35</v>
      </c>
      <c r="D29" s="116">
        <v>2330334.66</v>
      </c>
      <c r="E29" s="116">
        <v>2241995.6</v>
      </c>
      <c r="F29" s="116">
        <v>115009.41</v>
      </c>
      <c r="G29" s="43" t="str">
        <f>_xlfn.XLOOKUP($A29,Map!$A:$A,Map!C:C)</f>
        <v>BS</v>
      </c>
      <c r="H29" s="43" t="str">
        <f>_xlfn.XLOOKUP($A29,Map!$A:$A,Map!D:D)</f>
        <v>Current Assets</v>
      </c>
      <c r="I29" s="43" t="str">
        <f>_xlfn.XLOOKUP($A29,Map!$A:$A,Map!E:E)</f>
        <v>Cash and cash equivalents</v>
      </c>
      <c r="J29" s="43" t="str">
        <f>_xlfn.XLOOKUP($A29,Map!$A:$A,Map!F:F)</f>
        <v>Bank balances</v>
      </c>
    </row>
    <row r="30" spans="1:10" x14ac:dyDescent="0.25">
      <c r="A30">
        <v>130007</v>
      </c>
      <c r="B30" t="s">
        <v>844</v>
      </c>
      <c r="C30" s="116">
        <v>1634615.09</v>
      </c>
      <c r="D30" s="116">
        <v>34493213.343999997</v>
      </c>
      <c r="E30" s="116">
        <v>34995828.303999998</v>
      </c>
      <c r="F30" s="116">
        <v>1132000.1299999999</v>
      </c>
      <c r="G30" s="43" t="str">
        <f>_xlfn.XLOOKUP($A30,Map!$A:$A,Map!C:C)</f>
        <v>BS</v>
      </c>
      <c r="H30" s="43" t="str">
        <f>_xlfn.XLOOKUP($A30,Map!$A:$A,Map!D:D)</f>
        <v>Current Assets</v>
      </c>
      <c r="I30" s="43" t="str">
        <f>_xlfn.XLOOKUP($A30,Map!$A:$A,Map!E:E)</f>
        <v>Cash and cash equivalents</v>
      </c>
      <c r="J30" s="43" t="str">
        <f>_xlfn.XLOOKUP($A30,Map!$A:$A,Map!F:F)</f>
        <v>Bank balances</v>
      </c>
    </row>
    <row r="31" spans="1:10" x14ac:dyDescent="0.25">
      <c r="A31">
        <v>130008</v>
      </c>
      <c r="B31" t="s">
        <v>845</v>
      </c>
      <c r="C31" s="116">
        <v>4769151.58</v>
      </c>
      <c r="D31" s="116">
        <v>77706214.900000006</v>
      </c>
      <c r="E31" s="116">
        <v>80865809.329999998</v>
      </c>
      <c r="F31" s="116">
        <v>1609557.15</v>
      </c>
      <c r="G31" s="43" t="str">
        <f>_xlfn.XLOOKUP($A31,Map!$A:$A,Map!C:C)</f>
        <v>BS</v>
      </c>
      <c r="H31" s="43" t="str">
        <f>_xlfn.XLOOKUP($A31,Map!$A:$A,Map!D:D)</f>
        <v>Current Assets</v>
      </c>
      <c r="I31" s="43" t="str">
        <f>_xlfn.XLOOKUP($A31,Map!$A:$A,Map!E:E)</f>
        <v>Cash and cash equivalents</v>
      </c>
      <c r="J31" s="43" t="str">
        <f>_xlfn.XLOOKUP($A31,Map!$A:$A,Map!F:F)</f>
        <v>Bank balances</v>
      </c>
    </row>
    <row r="32" spans="1:10" x14ac:dyDescent="0.25">
      <c r="A32">
        <v>130009</v>
      </c>
      <c r="B32" t="s">
        <v>846</v>
      </c>
      <c r="C32" s="116">
        <v>0</v>
      </c>
      <c r="D32" s="116">
        <v>31451000.68</v>
      </c>
      <c r="E32" s="116">
        <v>30567417.18</v>
      </c>
      <c r="F32" s="116">
        <v>883583.5</v>
      </c>
      <c r="G32" s="43" t="str">
        <f>_xlfn.XLOOKUP($A32,Map!$A:$A,Map!C:C)</f>
        <v>BS</v>
      </c>
      <c r="H32" s="43" t="str">
        <f>_xlfn.XLOOKUP($A32,Map!$A:$A,Map!D:D)</f>
        <v>Current Assets</v>
      </c>
      <c r="I32" s="43" t="str">
        <f>_xlfn.XLOOKUP($A32,Map!$A:$A,Map!E:E)</f>
        <v>Cash and cash equivalents</v>
      </c>
      <c r="J32" s="43" t="str">
        <f>_xlfn.XLOOKUP($A32,Map!$A:$A,Map!F:F)</f>
        <v>Bank balances</v>
      </c>
    </row>
    <row r="33" spans="1:10" x14ac:dyDescent="0.25">
      <c r="A33">
        <v>130010</v>
      </c>
      <c r="B33" t="s">
        <v>847</v>
      </c>
      <c r="C33" s="116">
        <v>0</v>
      </c>
      <c r="D33" s="116">
        <v>14205354.698999999</v>
      </c>
      <c r="E33" s="116">
        <v>13786227.188999999</v>
      </c>
      <c r="F33" s="116">
        <v>419127.51</v>
      </c>
      <c r="G33" s="43" t="str">
        <f>_xlfn.XLOOKUP($A33,Map!$A:$A,Map!C:C)</f>
        <v>BS</v>
      </c>
      <c r="H33" s="43" t="str">
        <f>_xlfn.XLOOKUP($A33,Map!$A:$A,Map!D:D)</f>
        <v>Current Assets</v>
      </c>
      <c r="I33" s="43" t="str">
        <f>_xlfn.XLOOKUP($A33,Map!$A:$A,Map!E:E)</f>
        <v>Cash and cash equivalents</v>
      </c>
      <c r="J33" s="43" t="str">
        <f>_xlfn.XLOOKUP($A33,Map!$A:$A,Map!F:F)</f>
        <v>Bank balances</v>
      </c>
    </row>
    <row r="34" spans="1:10" x14ac:dyDescent="0.25">
      <c r="A34">
        <v>130099</v>
      </c>
      <c r="B34" t="s">
        <v>856</v>
      </c>
      <c r="C34" s="116">
        <v>0</v>
      </c>
      <c r="D34" s="116">
        <v>218353437.62</v>
      </c>
      <c r="E34" s="116">
        <v>218353437.62</v>
      </c>
      <c r="F34" s="116">
        <v>0</v>
      </c>
      <c r="G34" s="43" t="str">
        <f>_xlfn.XLOOKUP($A34,Map!$A:$A,Map!C:C)</f>
        <v>BS</v>
      </c>
      <c r="H34" s="43" t="str">
        <f>_xlfn.XLOOKUP($A34,Map!$A:$A,Map!D:D)</f>
        <v>Current Assets</v>
      </c>
      <c r="I34" s="43" t="str">
        <f>_xlfn.XLOOKUP($A34,Map!$A:$A,Map!E:E)</f>
        <v>Cash and cash equivalents</v>
      </c>
      <c r="J34" s="43" t="str">
        <f>_xlfn.XLOOKUP($A34,Map!$A:$A,Map!F:F)</f>
        <v>Bank balances</v>
      </c>
    </row>
    <row r="35" spans="1:10" x14ac:dyDescent="0.25">
      <c r="A35">
        <v>140001</v>
      </c>
      <c r="B35" t="s">
        <v>857</v>
      </c>
      <c r="C35" s="116">
        <v>38308186.048</v>
      </c>
      <c r="D35" s="116">
        <v>364298251.70700002</v>
      </c>
      <c r="E35" s="116">
        <v>359163078.426</v>
      </c>
      <c r="F35" s="116">
        <v>43443359.329000004</v>
      </c>
      <c r="G35" s="43" t="str">
        <f>_xlfn.XLOOKUP($A35,Map!$A:$A,Map!C:C)</f>
        <v>BS</v>
      </c>
      <c r="H35" s="43" t="str">
        <f>_xlfn.XLOOKUP($A35,Map!$A:$A,Map!D:D)</f>
        <v>Current Assets</v>
      </c>
      <c r="I35" s="43" t="str">
        <f>_xlfn.XLOOKUP($A35,Map!$A:$A,Map!E:E)</f>
        <v>Trade receivables</v>
      </c>
      <c r="J35" s="43" t="str">
        <f>_xlfn.XLOOKUP($A35,Map!$A:$A,Map!F:F)</f>
        <v>Trade receivables - current</v>
      </c>
    </row>
    <row r="36" spans="1:10" x14ac:dyDescent="0.25">
      <c r="A36">
        <v>140010</v>
      </c>
      <c r="B36" t="s">
        <v>858</v>
      </c>
      <c r="C36" s="116">
        <v>0</v>
      </c>
      <c r="D36" s="116">
        <v>0</v>
      </c>
      <c r="E36" s="116">
        <v>0</v>
      </c>
      <c r="F36" s="116">
        <v>0</v>
      </c>
      <c r="G36" s="43" t="str">
        <f>_xlfn.XLOOKUP($A36,Map!$A:$A,Map!C:C)</f>
        <v>BS</v>
      </c>
      <c r="H36" s="43" t="str">
        <f>_xlfn.XLOOKUP($A36,Map!$A:$A,Map!D:D)</f>
        <v>Current Assets</v>
      </c>
      <c r="I36" s="43" t="str">
        <f>_xlfn.XLOOKUP($A36,Map!$A:$A,Map!E:E)</f>
        <v>Trade receivables</v>
      </c>
      <c r="J36" s="43" t="str">
        <f>_xlfn.XLOOKUP($A36,Map!$A:$A,Map!F:F)</f>
        <v>Trade receivables - current</v>
      </c>
    </row>
    <row r="37" spans="1:10" x14ac:dyDescent="0.25">
      <c r="A37">
        <v>150001</v>
      </c>
      <c r="B37" t="s">
        <v>859</v>
      </c>
      <c r="C37" s="116">
        <v>383368</v>
      </c>
      <c r="D37" s="116">
        <v>407992.74</v>
      </c>
      <c r="E37" s="116">
        <v>274915</v>
      </c>
      <c r="F37" s="116">
        <v>516445.74</v>
      </c>
      <c r="G37" s="43" t="str">
        <f>_xlfn.XLOOKUP($A37,Map!$A:$A,Map!C:C)</f>
        <v>BS</v>
      </c>
      <c r="H37" s="43" t="str">
        <f>_xlfn.XLOOKUP($A37,Map!$A:$A,Map!D:D)</f>
        <v>Current Assets</v>
      </c>
      <c r="I37" s="43" t="str">
        <f>_xlfn.XLOOKUP($A37,Map!$A:$A,Map!E:E)</f>
        <v>Prepaid expenses</v>
      </c>
      <c r="J37" s="43" t="str">
        <f>_xlfn.XLOOKUP($A37,Map!$A:$A,Map!F:F)</f>
        <v>Advances - current</v>
      </c>
    </row>
    <row r="38" spans="1:10" x14ac:dyDescent="0.25">
      <c r="A38">
        <v>160001</v>
      </c>
      <c r="B38" t="s">
        <v>861</v>
      </c>
      <c r="C38" s="116">
        <v>30246.880000000001</v>
      </c>
      <c r="D38" s="116">
        <v>426547.51400000002</v>
      </c>
      <c r="E38" s="116">
        <v>431364.424</v>
      </c>
      <c r="F38" s="116">
        <v>25429.97</v>
      </c>
      <c r="G38" s="43" t="str">
        <f>_xlfn.XLOOKUP($A38,Map!$A:$A,Map!C:C)</f>
        <v>BS</v>
      </c>
      <c r="H38" s="43" t="str">
        <f>_xlfn.XLOOKUP($A38,Map!$A:$A,Map!D:D)</f>
        <v>Current Assets</v>
      </c>
      <c r="I38" s="43" t="str">
        <f>_xlfn.XLOOKUP($A38,Map!$A:$A,Map!E:E)</f>
        <v>Cash and cash equivalents</v>
      </c>
      <c r="J38" s="43" t="str">
        <f>_xlfn.XLOOKUP($A38,Map!$A:$A,Map!F:F)</f>
        <v>Petty cash</v>
      </c>
    </row>
    <row r="39" spans="1:10" x14ac:dyDescent="0.25">
      <c r="A39">
        <v>170000</v>
      </c>
      <c r="B39" t="s">
        <v>862</v>
      </c>
      <c r="C39" s="116">
        <v>821440.45499999996</v>
      </c>
      <c r="D39" s="116">
        <v>648788.24</v>
      </c>
      <c r="E39" s="116">
        <v>1415340.179</v>
      </c>
      <c r="F39" s="116">
        <v>54888.516000000003</v>
      </c>
      <c r="G39" s="43" t="str">
        <f>_xlfn.XLOOKUP($A39,Map!$A:$A,Map!C:C)</f>
        <v>BS</v>
      </c>
      <c r="H39" s="43" t="str">
        <f>_xlfn.XLOOKUP($A39,Map!$A:$A,Map!D:D)</f>
        <v>Current Liabilities</v>
      </c>
      <c r="I39" s="43" t="str">
        <f>_xlfn.XLOOKUP($A39,Map!$A:$A,Map!E:E)</f>
        <v>Short-term Murabaha loans</v>
      </c>
      <c r="J39" s="43" t="str">
        <f>_xlfn.XLOOKUP($A39,Map!$A:$A,Map!F:F)</f>
        <v>Prepayments - current</v>
      </c>
    </row>
    <row r="40" spans="1:10" x14ac:dyDescent="0.25">
      <c r="A40">
        <v>170001</v>
      </c>
      <c r="B40" t="s">
        <v>863</v>
      </c>
      <c r="C40" s="116">
        <v>0</v>
      </c>
      <c r="D40" s="116">
        <v>1016549.67</v>
      </c>
      <c r="E40" s="116">
        <v>144828.46</v>
      </c>
      <c r="F40" s="116">
        <v>871721.21</v>
      </c>
      <c r="G40" s="43" t="str">
        <f>_xlfn.XLOOKUP($A40,Map!$A:$A,Map!C:C)</f>
        <v>BS</v>
      </c>
      <c r="H40" s="43" t="str">
        <f>_xlfn.XLOOKUP($A40,Map!$A:$A,Map!D:D)</f>
        <v>Current Liabilities</v>
      </c>
      <c r="I40" s="43" t="str">
        <f>_xlfn.XLOOKUP($A40,Map!$A:$A,Map!E:E)</f>
        <v>Short-term Murabaha loans</v>
      </c>
      <c r="J40" s="43" t="str">
        <f>_xlfn.XLOOKUP($A40,Map!$A:$A,Map!F:F)</f>
        <v>Prepayments - current</v>
      </c>
    </row>
    <row r="41" spans="1:10" x14ac:dyDescent="0.25">
      <c r="A41">
        <v>170002</v>
      </c>
      <c r="B41" t="s">
        <v>864</v>
      </c>
      <c r="C41" s="116">
        <v>899145</v>
      </c>
      <c r="D41" s="116">
        <v>1799838.34</v>
      </c>
      <c r="E41" s="116">
        <v>2477513.4700000002</v>
      </c>
      <c r="F41" s="116">
        <v>221469.87</v>
      </c>
      <c r="G41" s="43" t="str">
        <f>_xlfn.XLOOKUP($A41,Map!$A:$A,Map!C:C)</f>
        <v>BS</v>
      </c>
      <c r="H41" s="43" t="str">
        <f>_xlfn.XLOOKUP($A41,Map!$A:$A,Map!D:D)</f>
        <v>Current Liabilities</v>
      </c>
      <c r="I41" s="43" t="str">
        <f>_xlfn.XLOOKUP($A41,Map!$A:$A,Map!E:E)</f>
        <v>Short-term Murabaha loans</v>
      </c>
      <c r="J41" s="43" t="str">
        <f>_xlfn.XLOOKUP($A41,Map!$A:$A,Map!F:F)</f>
        <v>Prepayments - current</v>
      </c>
    </row>
    <row r="42" spans="1:10" x14ac:dyDescent="0.25">
      <c r="A42">
        <v>170003</v>
      </c>
      <c r="B42" t="s">
        <v>865</v>
      </c>
      <c r="C42" s="116">
        <v>0</v>
      </c>
      <c r="D42" s="116">
        <v>0</v>
      </c>
      <c r="E42" s="116">
        <v>0</v>
      </c>
      <c r="F42" s="116">
        <v>0</v>
      </c>
      <c r="G42" s="43" t="str">
        <f>_xlfn.XLOOKUP($A42,Map!$A:$A,Map!C:C)</f>
        <v>BS</v>
      </c>
      <c r="H42" s="43" t="str">
        <f>_xlfn.XLOOKUP($A42,Map!$A:$A,Map!D:D)</f>
        <v>Current Liabilities</v>
      </c>
      <c r="I42" s="43" t="str">
        <f>_xlfn.XLOOKUP($A42,Map!$A:$A,Map!E:E)</f>
        <v>Short-term Murabaha loans</v>
      </c>
      <c r="J42" s="43" t="str">
        <f>_xlfn.XLOOKUP($A42,Map!$A:$A,Map!F:F)</f>
        <v>Prepayments - current</v>
      </c>
    </row>
    <row r="43" spans="1:10" x14ac:dyDescent="0.25">
      <c r="A43">
        <v>170004</v>
      </c>
      <c r="B43" t="s">
        <v>866</v>
      </c>
      <c r="C43" s="116">
        <v>0</v>
      </c>
      <c r="D43" s="116">
        <v>0</v>
      </c>
      <c r="E43" s="116">
        <v>0</v>
      </c>
      <c r="F43" s="116">
        <v>0</v>
      </c>
      <c r="G43" s="43" t="str">
        <f>_xlfn.XLOOKUP($A43,Map!$A:$A,Map!C:C)</f>
        <v>BS</v>
      </c>
      <c r="H43" s="43" t="str">
        <f>_xlfn.XLOOKUP($A43,Map!$A:$A,Map!D:D)</f>
        <v>Current Liabilities</v>
      </c>
      <c r="I43" s="43" t="str">
        <f>_xlfn.XLOOKUP($A43,Map!$A:$A,Map!E:E)</f>
        <v>Short-term Murabaha loans</v>
      </c>
      <c r="J43" s="43" t="str">
        <f>_xlfn.XLOOKUP($A43,Map!$A:$A,Map!F:F)</f>
        <v>Prepayments - current</v>
      </c>
    </row>
    <row r="44" spans="1:10" x14ac:dyDescent="0.25">
      <c r="A44">
        <v>170005</v>
      </c>
      <c r="B44" t="s">
        <v>867</v>
      </c>
      <c r="C44" s="116">
        <v>0</v>
      </c>
      <c r="D44" s="116">
        <v>0</v>
      </c>
      <c r="E44" s="116">
        <v>0</v>
      </c>
      <c r="F44" s="116">
        <v>0</v>
      </c>
      <c r="G44" s="43" t="str">
        <f>_xlfn.XLOOKUP($A44,Map!$A:$A,Map!C:C)</f>
        <v>BS</v>
      </c>
      <c r="H44" s="43" t="str">
        <f>_xlfn.XLOOKUP($A44,Map!$A:$A,Map!D:D)</f>
        <v>Current Assets</v>
      </c>
      <c r="I44" s="43" t="str">
        <f>_xlfn.XLOOKUP($A44,Map!$A:$A,Map!E:E)</f>
        <v>Prepaid expenses</v>
      </c>
      <c r="J44" s="43" t="str">
        <f>_xlfn.XLOOKUP($A44,Map!$A:$A,Map!F:F)</f>
        <v>Deposits - current</v>
      </c>
    </row>
    <row r="45" spans="1:10" x14ac:dyDescent="0.25">
      <c r="A45">
        <v>170006</v>
      </c>
      <c r="B45" t="s">
        <v>868</v>
      </c>
      <c r="C45" s="116">
        <v>0</v>
      </c>
      <c r="D45" s="116">
        <v>467963.5</v>
      </c>
      <c r="E45" s="116">
        <v>467963.5</v>
      </c>
      <c r="F45" s="116">
        <v>0</v>
      </c>
      <c r="G45" s="43" t="str">
        <f>_xlfn.XLOOKUP($A45,Map!$A:$A,Map!C:C)</f>
        <v>BS</v>
      </c>
      <c r="H45" s="43" t="str">
        <f>_xlfn.XLOOKUP($A45,Map!$A:$A,Map!D:D)</f>
        <v>Current Assets</v>
      </c>
      <c r="I45" s="43" t="str">
        <f>_xlfn.XLOOKUP($A45,Map!$A:$A,Map!E:E)</f>
        <v>Prepaid expenses</v>
      </c>
      <c r="J45" s="43" t="str">
        <f>_xlfn.XLOOKUP($A45,Map!$A:$A,Map!F:F)</f>
        <v>Deposits - current</v>
      </c>
    </row>
    <row r="46" spans="1:10" x14ac:dyDescent="0.25">
      <c r="A46">
        <v>170007</v>
      </c>
      <c r="B46" t="s">
        <v>869</v>
      </c>
      <c r="C46" s="116">
        <v>0</v>
      </c>
      <c r="D46" s="116">
        <v>0</v>
      </c>
      <c r="E46" s="116">
        <v>0</v>
      </c>
      <c r="F46" s="116">
        <v>0</v>
      </c>
      <c r="G46" s="43" t="str">
        <f>_xlfn.XLOOKUP($A46,Map!$A:$A,Map!C:C)</f>
        <v>BS</v>
      </c>
      <c r="H46" s="43" t="str">
        <f>_xlfn.XLOOKUP($A46,Map!$A:$A,Map!D:D)</f>
        <v>Current Assets</v>
      </c>
      <c r="I46" s="43" t="str">
        <f>_xlfn.XLOOKUP($A46,Map!$A:$A,Map!E:E)</f>
        <v>Prepaid expenses</v>
      </c>
      <c r="J46" s="43" t="str">
        <f>_xlfn.XLOOKUP($A46,Map!$A:$A,Map!F:F)</f>
        <v>Deposits - current</v>
      </c>
    </row>
    <row r="47" spans="1:10" x14ac:dyDescent="0.25">
      <c r="A47">
        <v>170008</v>
      </c>
      <c r="B47" t="s">
        <v>870</v>
      </c>
      <c r="C47" s="116">
        <v>0</v>
      </c>
      <c r="D47" s="116">
        <v>450889.49599999998</v>
      </c>
      <c r="E47" s="116">
        <v>375621.75599999999</v>
      </c>
      <c r="F47" s="116">
        <v>75267.740000000005</v>
      </c>
      <c r="G47" s="43" t="str">
        <f>_xlfn.XLOOKUP($A47,Map!$A:$A,Map!C:C)</f>
        <v>BS</v>
      </c>
      <c r="H47" s="43" t="str">
        <f>_xlfn.XLOOKUP($A47,Map!$A:$A,Map!D:D)</f>
        <v>Current Assets</v>
      </c>
      <c r="I47" s="43" t="str">
        <f>_xlfn.XLOOKUP($A47,Map!$A:$A,Map!E:E)</f>
        <v>Prepaid expenses</v>
      </c>
      <c r="J47" s="43" t="str">
        <f>_xlfn.XLOOKUP($A47,Map!$A:$A,Map!F:F)</f>
        <v>Deposits - current</v>
      </c>
    </row>
    <row r="48" spans="1:10" x14ac:dyDescent="0.25">
      <c r="A48">
        <v>170009</v>
      </c>
      <c r="B48" t="s">
        <v>871</v>
      </c>
      <c r="C48" s="116">
        <v>75235</v>
      </c>
      <c r="D48" s="116">
        <v>1168626.18</v>
      </c>
      <c r="E48" s="116">
        <v>1158348.18</v>
      </c>
      <c r="F48" s="116">
        <v>85513</v>
      </c>
      <c r="G48" s="43" t="str">
        <f>_xlfn.XLOOKUP($A48,Map!$A:$A,Map!C:C)</f>
        <v>BS</v>
      </c>
      <c r="H48" s="43" t="str">
        <f>_xlfn.XLOOKUP($A48,Map!$A:$A,Map!D:D)</f>
        <v>Current Assets</v>
      </c>
      <c r="I48" s="43" t="str">
        <f>_xlfn.XLOOKUP($A48,Map!$A:$A,Map!E:E)</f>
        <v>Prepaid expenses</v>
      </c>
      <c r="J48" s="43" t="str">
        <f>_xlfn.XLOOKUP($A48,Map!$A:$A,Map!F:F)</f>
        <v>Rent</v>
      </c>
    </row>
    <row r="49" spans="1:10" x14ac:dyDescent="0.25">
      <c r="A49">
        <v>170010</v>
      </c>
      <c r="B49" t="s">
        <v>872</v>
      </c>
      <c r="C49" s="116">
        <v>0</v>
      </c>
      <c r="D49" s="116">
        <v>819364</v>
      </c>
      <c r="E49" s="116">
        <v>819364</v>
      </c>
      <c r="F49" s="116">
        <v>0</v>
      </c>
      <c r="G49" s="43" t="str">
        <f>_xlfn.XLOOKUP($A49,Map!$A:$A,Map!C:C)</f>
        <v>BS</v>
      </c>
      <c r="H49" s="43" t="str">
        <f>_xlfn.XLOOKUP($A49,Map!$A:$A,Map!D:D)</f>
        <v>Current Assets</v>
      </c>
      <c r="I49" s="43" t="str">
        <f>_xlfn.XLOOKUP($A49,Map!$A:$A,Map!E:E)</f>
        <v>Prepaid expenses</v>
      </c>
      <c r="J49" s="43" t="str">
        <f>_xlfn.XLOOKUP($A49,Map!$A:$A,Map!F:F)</f>
        <v>Housing allowance</v>
      </c>
    </row>
    <row r="50" spans="1:10" x14ac:dyDescent="0.25">
      <c r="A50">
        <v>170011</v>
      </c>
      <c r="B50" t="s">
        <v>873</v>
      </c>
      <c r="C50" s="116">
        <v>175000</v>
      </c>
      <c r="D50" s="116">
        <v>2438753.19</v>
      </c>
      <c r="E50" s="116">
        <v>1159870.3899999999</v>
      </c>
      <c r="F50" s="116">
        <v>1453882.8</v>
      </c>
      <c r="G50" s="43" t="str">
        <f>_xlfn.XLOOKUP($A50,Map!$A:$A,Map!C:C)</f>
        <v>BS</v>
      </c>
      <c r="H50" s="43" t="str">
        <f>_xlfn.XLOOKUP($A50,Map!$A:$A,Map!D:D)</f>
        <v>Current Assets</v>
      </c>
      <c r="I50" s="43" t="str">
        <f>_xlfn.XLOOKUP($A50,Map!$A:$A,Map!E:E)</f>
        <v>Prepaid expenses</v>
      </c>
      <c r="J50" s="43" t="str">
        <f>_xlfn.XLOOKUP($A50,Map!$A:$A,Map!F:F)</f>
        <v>Air tickets</v>
      </c>
    </row>
    <row r="51" spans="1:10" x14ac:dyDescent="0.25">
      <c r="A51">
        <v>170012</v>
      </c>
      <c r="B51" t="s">
        <v>874</v>
      </c>
      <c r="C51" s="116">
        <v>0</v>
      </c>
      <c r="D51" s="116">
        <v>214300</v>
      </c>
      <c r="E51" s="116">
        <v>0</v>
      </c>
      <c r="F51" s="116">
        <v>214300</v>
      </c>
      <c r="G51" s="43" t="str">
        <f>_xlfn.XLOOKUP($A51,Map!$A:$A,Map!C:C)</f>
        <v>BS</v>
      </c>
      <c r="H51" s="43" t="str">
        <f>_xlfn.XLOOKUP($A51,Map!$A:$A,Map!D:D)</f>
        <v>Current Assets</v>
      </c>
      <c r="I51" s="43" t="str">
        <f>_xlfn.XLOOKUP($A51,Map!$A:$A,Map!E:E)</f>
        <v>Prepaid expenses</v>
      </c>
      <c r="J51" s="43" t="str">
        <f>_xlfn.XLOOKUP($A51,Map!$A:$A,Map!F:F)</f>
        <v>Furniture allowance</v>
      </c>
    </row>
    <row r="52" spans="1:10" x14ac:dyDescent="0.25">
      <c r="A52">
        <v>170013</v>
      </c>
      <c r="B52" t="s">
        <v>875</v>
      </c>
      <c r="C52" s="116">
        <v>64000</v>
      </c>
      <c r="D52" s="116">
        <v>503999.59899999999</v>
      </c>
      <c r="E52" s="116">
        <v>500000</v>
      </c>
      <c r="F52" s="116">
        <v>67999.599000000002</v>
      </c>
      <c r="G52" s="43" t="str">
        <f>_xlfn.XLOOKUP($A52,Map!$A:$A,Map!C:C)</f>
        <v>BS</v>
      </c>
      <c r="H52" s="43" t="str">
        <f>_xlfn.XLOOKUP($A52,Map!$A:$A,Map!D:D)</f>
        <v>Current Assets</v>
      </c>
      <c r="I52" s="43" t="str">
        <f>_xlfn.XLOOKUP($A52,Map!$A:$A,Map!E:E)</f>
        <v>Prepaid expenses</v>
      </c>
      <c r="J52" s="43" t="str">
        <f>_xlfn.XLOOKUP($A52,Map!$A:$A,Map!F:F)</f>
        <v>Insurance</v>
      </c>
    </row>
    <row r="53" spans="1:10" x14ac:dyDescent="0.25">
      <c r="A53">
        <v>170014</v>
      </c>
      <c r="B53" t="s">
        <v>876</v>
      </c>
      <c r="C53" s="116">
        <v>321097</v>
      </c>
      <c r="D53" s="116">
        <v>605030.696</v>
      </c>
      <c r="E53" s="116">
        <v>590577.99600000004</v>
      </c>
      <c r="F53" s="116">
        <v>335549.7</v>
      </c>
      <c r="G53" s="43" t="str">
        <f>_xlfn.XLOOKUP($A53,Map!$A:$A,Map!C:C)</f>
        <v>BS</v>
      </c>
      <c r="H53" s="43" t="str">
        <f>_xlfn.XLOOKUP($A53,Map!$A:$A,Map!D:D)</f>
        <v>Current Assets</v>
      </c>
      <c r="I53" s="43" t="str">
        <f>_xlfn.XLOOKUP($A53,Map!$A:$A,Map!E:E)</f>
        <v>Prepaid expenses</v>
      </c>
      <c r="J53" s="43" t="str">
        <f>_xlfn.XLOOKUP($A53,Map!$A:$A,Map!F:F)</f>
        <v>Insurance</v>
      </c>
    </row>
    <row r="54" spans="1:10" x14ac:dyDescent="0.25">
      <c r="A54">
        <v>170015</v>
      </c>
      <c r="B54" t="s">
        <v>877</v>
      </c>
      <c r="C54" s="116">
        <v>0</v>
      </c>
      <c r="D54" s="116">
        <v>23072.5</v>
      </c>
      <c r="E54" s="116">
        <v>23072.5</v>
      </c>
      <c r="F54" s="116">
        <v>0</v>
      </c>
      <c r="G54" s="43" t="str">
        <f>_xlfn.XLOOKUP($A54,Map!$A:$A,Map!C:C)</f>
        <v>BS</v>
      </c>
      <c r="H54" s="43" t="str">
        <f>_xlfn.XLOOKUP($A54,Map!$A:$A,Map!D:D)</f>
        <v>Current Assets</v>
      </c>
      <c r="I54" s="43" t="str">
        <f>_xlfn.XLOOKUP($A54,Map!$A:$A,Map!E:E)</f>
        <v>Prepaid expenses</v>
      </c>
      <c r="J54" s="43" t="str">
        <f>_xlfn.XLOOKUP($A54,Map!$A:$A,Map!F:F)</f>
        <v>Salaries and wages</v>
      </c>
    </row>
    <row r="55" spans="1:10" x14ac:dyDescent="0.25">
      <c r="A55">
        <v>170016</v>
      </c>
      <c r="B55" t="s">
        <v>878</v>
      </c>
      <c r="C55" s="116">
        <v>323178</v>
      </c>
      <c r="D55" s="116">
        <v>0</v>
      </c>
      <c r="E55" s="116">
        <v>323178</v>
      </c>
      <c r="F55" s="116">
        <v>0</v>
      </c>
      <c r="G55" s="43" t="str">
        <f>_xlfn.XLOOKUP($A55,Map!$A:$A,Map!C:C)</f>
        <v>BS</v>
      </c>
      <c r="H55" s="43" t="str">
        <f>_xlfn.XLOOKUP($A55,Map!$A:$A,Map!D:D)</f>
        <v>Current Assets</v>
      </c>
      <c r="I55" s="43" t="str">
        <f>_xlfn.XLOOKUP($A55,Map!$A:$A,Map!E:E)</f>
        <v>Prepaid expenses</v>
      </c>
      <c r="J55" s="43" t="str">
        <f>_xlfn.XLOOKUP($A55,Map!$A:$A,Map!F:F)</f>
        <v>Other receivables - current</v>
      </c>
    </row>
    <row r="56" spans="1:10" x14ac:dyDescent="0.25">
      <c r="A56">
        <v>180001</v>
      </c>
      <c r="B56" t="s">
        <v>884</v>
      </c>
      <c r="C56" s="116">
        <v>0</v>
      </c>
      <c r="D56" s="116">
        <v>1721796.615</v>
      </c>
      <c r="E56" s="116">
        <v>1721796.615</v>
      </c>
      <c r="F56" s="116">
        <v>0</v>
      </c>
      <c r="G56" s="43" t="str">
        <f>_xlfn.XLOOKUP($A56,Map!$A:$A,Map!C:C)</f>
        <v>BS</v>
      </c>
      <c r="H56" s="43" t="str">
        <f>_xlfn.XLOOKUP($A56,Map!$A:$A,Map!D:D)</f>
        <v>Current Assets</v>
      </c>
      <c r="I56" s="43" t="str">
        <f>_xlfn.XLOOKUP($A56,Map!$A:$A,Map!E:E)</f>
        <v>Inventories</v>
      </c>
      <c r="J56" s="43" t="str">
        <f>_xlfn.XLOOKUP($A56,Map!$A:$A,Map!F:F)</f>
        <v>Raw materials - Inventory</v>
      </c>
    </row>
    <row r="57" spans="1:10" x14ac:dyDescent="0.25">
      <c r="A57">
        <v>180002</v>
      </c>
      <c r="B57" t="s">
        <v>885</v>
      </c>
      <c r="C57" s="116">
        <v>0</v>
      </c>
      <c r="D57" s="116">
        <v>0</v>
      </c>
      <c r="E57" s="116">
        <v>0</v>
      </c>
      <c r="F57" s="116">
        <v>0</v>
      </c>
      <c r="G57" s="43" t="str">
        <f>_xlfn.XLOOKUP($A57,Map!$A:$A,Map!C:C)</f>
        <v>BS</v>
      </c>
      <c r="H57" s="43" t="str">
        <f>_xlfn.XLOOKUP($A57,Map!$A:$A,Map!D:D)</f>
        <v>Current Assets</v>
      </c>
      <c r="I57" s="43" t="str">
        <f>_xlfn.XLOOKUP($A57,Map!$A:$A,Map!E:E)</f>
        <v>Inventories</v>
      </c>
      <c r="J57" s="43" t="str">
        <f>_xlfn.XLOOKUP($A57,Map!$A:$A,Map!F:F)</f>
        <v>Raw materials - Inventory</v>
      </c>
    </row>
    <row r="58" spans="1:10" x14ac:dyDescent="0.25">
      <c r="A58">
        <v>180003</v>
      </c>
      <c r="B58" t="s">
        <v>886</v>
      </c>
      <c r="C58" s="116">
        <v>6617901.977</v>
      </c>
      <c r="D58" s="116">
        <v>7500450.9469999997</v>
      </c>
      <c r="E58" s="116">
        <v>4782913.676</v>
      </c>
      <c r="F58" s="116">
        <v>9335439.2479999997</v>
      </c>
      <c r="G58" s="43" t="str">
        <f>_xlfn.XLOOKUP($A58,Map!$A:$A,Map!C:C)</f>
        <v>BS</v>
      </c>
      <c r="H58" s="43" t="str">
        <f>_xlfn.XLOOKUP($A58,Map!$A:$A,Map!D:D)</f>
        <v>Current Assets</v>
      </c>
      <c r="I58" s="43" t="str">
        <f>_xlfn.XLOOKUP($A58,Map!$A:$A,Map!E:E)</f>
        <v>Inventories</v>
      </c>
      <c r="J58" s="43" t="str">
        <f>_xlfn.XLOOKUP($A58,Map!$A:$A,Map!F:F)</f>
        <v>Spare parts - Inventory</v>
      </c>
    </row>
    <row r="59" spans="1:10" x14ac:dyDescent="0.25">
      <c r="A59">
        <v>180004</v>
      </c>
      <c r="B59" t="s">
        <v>887</v>
      </c>
      <c r="C59" s="116">
        <v>17461290.598000001</v>
      </c>
      <c r="D59" s="116">
        <v>32230473.192000002</v>
      </c>
      <c r="E59" s="116">
        <v>39338154.954000004</v>
      </c>
      <c r="F59" s="116">
        <v>10353608.835999999</v>
      </c>
      <c r="G59" s="43" t="str">
        <f>_xlfn.XLOOKUP($A59,Map!$A:$A,Map!C:C)</f>
        <v>BS</v>
      </c>
      <c r="H59" s="43" t="str">
        <f>_xlfn.XLOOKUP($A59,Map!$A:$A,Map!D:D)</f>
        <v>Current Assets</v>
      </c>
      <c r="I59" s="43" t="str">
        <f>_xlfn.XLOOKUP($A59,Map!$A:$A,Map!E:E)</f>
        <v>Inventories</v>
      </c>
      <c r="J59" s="43" t="str">
        <f>_xlfn.XLOOKUP($A59,Map!$A:$A,Map!F:F)</f>
        <v>Raw materials - Inventory</v>
      </c>
    </row>
    <row r="60" spans="1:10" x14ac:dyDescent="0.25">
      <c r="A60">
        <v>180005</v>
      </c>
      <c r="B60" t="s">
        <v>888</v>
      </c>
      <c r="C60" s="116">
        <v>13671938.976</v>
      </c>
      <c r="D60" s="116">
        <v>36354681.316</v>
      </c>
      <c r="E60" s="116">
        <v>35102863.822999999</v>
      </c>
      <c r="F60" s="116">
        <v>14923756.469000001</v>
      </c>
      <c r="G60" s="43" t="str">
        <f>_xlfn.XLOOKUP($A60,Map!$A:$A,Map!C:C)</f>
        <v>BS</v>
      </c>
      <c r="H60" s="43" t="str">
        <f>_xlfn.XLOOKUP($A60,Map!$A:$A,Map!D:D)</f>
        <v>Current Assets</v>
      </c>
      <c r="I60" s="43" t="str">
        <f>_xlfn.XLOOKUP($A60,Map!$A:$A,Map!E:E)</f>
        <v>Inventories</v>
      </c>
      <c r="J60" s="43" t="str">
        <f>_xlfn.XLOOKUP($A60,Map!$A:$A,Map!F:F)</f>
        <v>Raw materials - Inventory</v>
      </c>
    </row>
    <row r="61" spans="1:10" x14ac:dyDescent="0.25">
      <c r="A61">
        <v>180006</v>
      </c>
      <c r="B61" t="s">
        <v>889</v>
      </c>
      <c r="C61" s="116">
        <v>3405824.1009999998</v>
      </c>
      <c r="D61" s="116">
        <v>3116836.3450000002</v>
      </c>
      <c r="E61" s="116">
        <v>4852856.733</v>
      </c>
      <c r="F61" s="116">
        <v>1669803.713</v>
      </c>
      <c r="G61" s="43" t="str">
        <f>_xlfn.XLOOKUP($A61,Map!$A:$A,Map!C:C)</f>
        <v>BS</v>
      </c>
      <c r="H61" s="43" t="str">
        <f>_xlfn.XLOOKUP($A61,Map!$A:$A,Map!D:D)</f>
        <v>Current Assets</v>
      </c>
      <c r="I61" s="43" t="str">
        <f>_xlfn.XLOOKUP($A61,Map!$A:$A,Map!E:E)</f>
        <v>Inventories</v>
      </c>
      <c r="J61" s="43" t="str">
        <f>_xlfn.XLOOKUP($A61,Map!$A:$A,Map!F:F)</f>
        <v>Raw materials - Inventory</v>
      </c>
    </row>
    <row r="62" spans="1:10" x14ac:dyDescent="0.25">
      <c r="A62">
        <v>180007</v>
      </c>
      <c r="B62" t="s">
        <v>890</v>
      </c>
      <c r="C62" s="116">
        <v>1973924.3</v>
      </c>
      <c r="D62" s="116">
        <v>17387180.508000001</v>
      </c>
      <c r="E62" s="116">
        <v>15141707.989</v>
      </c>
      <c r="F62" s="116">
        <v>4219396.8190000001</v>
      </c>
      <c r="G62" s="43" t="str">
        <f>_xlfn.XLOOKUP($A62,Map!$A:$A,Map!C:C)</f>
        <v>BS</v>
      </c>
      <c r="H62" s="43" t="str">
        <f>_xlfn.XLOOKUP($A62,Map!$A:$A,Map!D:D)</f>
        <v>Current Assets</v>
      </c>
      <c r="I62" s="43" t="str">
        <f>_xlfn.XLOOKUP($A62,Map!$A:$A,Map!E:E)</f>
        <v>Inventories</v>
      </c>
      <c r="J62" s="43" t="str">
        <f>_xlfn.XLOOKUP($A62,Map!$A:$A,Map!F:F)</f>
        <v>Raw materials - Inventory</v>
      </c>
    </row>
    <row r="63" spans="1:10" x14ac:dyDescent="0.25">
      <c r="A63">
        <v>180008</v>
      </c>
      <c r="B63" t="s">
        <v>891</v>
      </c>
      <c r="C63" s="116">
        <v>1868994.2479999999</v>
      </c>
      <c r="D63" s="116">
        <v>700490.9</v>
      </c>
      <c r="E63" s="116">
        <v>969559.48400000005</v>
      </c>
      <c r="F63" s="116">
        <v>1599925.6640000001</v>
      </c>
      <c r="G63" s="43" t="str">
        <f>_xlfn.XLOOKUP($A63,Map!$A:$A,Map!C:C)</f>
        <v>BS</v>
      </c>
      <c r="H63" s="43" t="str">
        <f>_xlfn.XLOOKUP($A63,Map!$A:$A,Map!D:D)</f>
        <v>Current Assets</v>
      </c>
      <c r="I63" s="43" t="str">
        <f>_xlfn.XLOOKUP($A63,Map!$A:$A,Map!E:E)</f>
        <v>Inventories</v>
      </c>
      <c r="J63" s="43" t="str">
        <f>_xlfn.XLOOKUP($A63,Map!$A:$A,Map!F:F)</f>
        <v>Raw materials - Inventory</v>
      </c>
    </row>
    <row r="64" spans="1:10" x14ac:dyDescent="0.25">
      <c r="A64">
        <v>180009</v>
      </c>
      <c r="B64" t="s">
        <v>892</v>
      </c>
      <c r="C64" s="116">
        <v>-4.0000000000000001E-3</v>
      </c>
      <c r="D64" s="116">
        <v>88437805.482999995</v>
      </c>
      <c r="E64" s="116">
        <v>88437805.479000002</v>
      </c>
      <c r="F64" s="116">
        <v>0</v>
      </c>
      <c r="G64" s="43" t="str">
        <f>_xlfn.XLOOKUP($A64,Map!$A:$A,Map!C:C)</f>
        <v>BS</v>
      </c>
      <c r="H64" s="43" t="str">
        <f>_xlfn.XLOOKUP($A64,Map!$A:$A,Map!D:D)</f>
        <v>Current Assets</v>
      </c>
      <c r="I64" s="43" t="str">
        <f>_xlfn.XLOOKUP($A64,Map!$A:$A,Map!E:E)</f>
        <v>Inventories</v>
      </c>
      <c r="J64" s="43" t="str">
        <f>_xlfn.XLOOKUP($A64,Map!$A:$A,Map!F:F)</f>
        <v>Raw materials - Inventory</v>
      </c>
    </row>
    <row r="65" spans="1:10" x14ac:dyDescent="0.25">
      <c r="A65">
        <v>180010</v>
      </c>
      <c r="B65" t="s">
        <v>893</v>
      </c>
      <c r="C65" s="116">
        <v>3284487.0350000001</v>
      </c>
      <c r="D65" s="116">
        <v>9338576.8110000007</v>
      </c>
      <c r="E65" s="116">
        <v>8379142.4720000001</v>
      </c>
      <c r="F65" s="116">
        <v>4243921.3739999998</v>
      </c>
      <c r="G65" s="43" t="str">
        <f>_xlfn.XLOOKUP($A65,Map!$A:$A,Map!C:C)</f>
        <v>BS</v>
      </c>
      <c r="H65" s="43" t="str">
        <f>_xlfn.XLOOKUP($A65,Map!$A:$A,Map!D:D)</f>
        <v>Current Assets</v>
      </c>
      <c r="I65" s="43" t="str">
        <f>_xlfn.XLOOKUP($A65,Map!$A:$A,Map!E:E)</f>
        <v>Inventories</v>
      </c>
      <c r="J65" s="43" t="str">
        <f>_xlfn.XLOOKUP($A65,Map!$A:$A,Map!F:F)</f>
        <v>Packaging materials - Inventory</v>
      </c>
    </row>
    <row r="66" spans="1:10" x14ac:dyDescent="0.25">
      <c r="A66">
        <v>180011</v>
      </c>
      <c r="B66" t="s">
        <v>894</v>
      </c>
      <c r="C66" s="116">
        <v>5990529.9390000002</v>
      </c>
      <c r="D66" s="116">
        <v>36329061.310999997</v>
      </c>
      <c r="E66" s="116">
        <v>37402719.285999998</v>
      </c>
      <c r="F66" s="116">
        <v>4916871.9639999997</v>
      </c>
      <c r="G66" s="43" t="str">
        <f>_xlfn.XLOOKUP($A66,Map!$A:$A,Map!C:C)</f>
        <v>BS</v>
      </c>
      <c r="H66" s="43" t="str">
        <f>_xlfn.XLOOKUP($A66,Map!$A:$A,Map!D:D)</f>
        <v>Current Assets</v>
      </c>
      <c r="I66" s="43" t="str">
        <f>_xlfn.XLOOKUP($A66,Map!$A:$A,Map!E:E)</f>
        <v>Inventories</v>
      </c>
      <c r="J66" s="43" t="str">
        <f>_xlfn.XLOOKUP($A66,Map!$A:$A,Map!F:F)</f>
        <v>Finished goods - Inventory</v>
      </c>
    </row>
    <row r="67" spans="1:10" x14ac:dyDescent="0.25">
      <c r="A67">
        <v>180012</v>
      </c>
      <c r="B67" t="s">
        <v>895</v>
      </c>
      <c r="C67" s="116">
        <v>4155373.4410000001</v>
      </c>
      <c r="D67" s="116">
        <v>45249662.266999997</v>
      </c>
      <c r="E67" s="116">
        <v>43081025.902999997</v>
      </c>
      <c r="F67" s="116">
        <v>6324009.8049999997</v>
      </c>
      <c r="G67" s="43" t="str">
        <f>_xlfn.XLOOKUP($A67,Map!$A:$A,Map!C:C)</f>
        <v>BS</v>
      </c>
      <c r="H67" s="43" t="str">
        <f>_xlfn.XLOOKUP($A67,Map!$A:$A,Map!D:D)</f>
        <v>Current Assets</v>
      </c>
      <c r="I67" s="43" t="str">
        <f>_xlfn.XLOOKUP($A67,Map!$A:$A,Map!E:E)</f>
        <v>Inventories</v>
      </c>
      <c r="J67" s="43" t="str">
        <f>_xlfn.XLOOKUP($A67,Map!$A:$A,Map!F:F)</f>
        <v>Work in progress - Inventory</v>
      </c>
    </row>
    <row r="68" spans="1:10" x14ac:dyDescent="0.25">
      <c r="A68">
        <v>180013</v>
      </c>
      <c r="B68" t="s">
        <v>896</v>
      </c>
      <c r="C68" s="116">
        <v>8323970.4850000003</v>
      </c>
      <c r="D68" s="116">
        <v>12750894.013</v>
      </c>
      <c r="E68" s="116">
        <v>14475834.356000001</v>
      </c>
      <c r="F68" s="116">
        <v>6599030.142</v>
      </c>
      <c r="G68" s="43" t="str">
        <f>_xlfn.XLOOKUP($A68,Map!$A:$A,Map!C:C)</f>
        <v>BS</v>
      </c>
      <c r="H68" s="43" t="str">
        <f>_xlfn.XLOOKUP($A68,Map!$A:$A,Map!D:D)</f>
        <v>Current Assets</v>
      </c>
      <c r="I68" s="43" t="str">
        <f>_xlfn.XLOOKUP($A68,Map!$A:$A,Map!E:E)</f>
        <v>Inventories</v>
      </c>
      <c r="J68" s="43" t="str">
        <f>_xlfn.XLOOKUP($A68,Map!$A:$A,Map!F:F)</f>
        <v>Finished goods - Inventory</v>
      </c>
    </row>
    <row r="69" spans="1:10" x14ac:dyDescent="0.25">
      <c r="A69">
        <v>180014</v>
      </c>
      <c r="B69" t="s">
        <v>897</v>
      </c>
      <c r="C69" s="116">
        <v>0</v>
      </c>
      <c r="D69" s="116">
        <v>50971249.057999998</v>
      </c>
      <c r="E69" s="116">
        <v>50971249.057999998</v>
      </c>
      <c r="F69" s="116">
        <v>0</v>
      </c>
      <c r="G69" s="43" t="str">
        <f>_xlfn.XLOOKUP($A69,Map!$A:$A,Map!C:C)</f>
        <v>BS</v>
      </c>
      <c r="H69" s="43" t="str">
        <f>_xlfn.XLOOKUP($A69,Map!$A:$A,Map!D:D)</f>
        <v>Current Assets</v>
      </c>
      <c r="I69" s="43" t="str">
        <f>_xlfn.XLOOKUP($A69,Map!$A:$A,Map!E:E)</f>
        <v>Inventories</v>
      </c>
      <c r="J69" s="43" t="str">
        <f>_xlfn.XLOOKUP($A69,Map!$A:$A,Map!F:F)</f>
        <v>Work in progress - Inventory</v>
      </c>
    </row>
    <row r="70" spans="1:10" x14ac:dyDescent="0.25">
      <c r="A70">
        <v>180096</v>
      </c>
      <c r="B70" t="s">
        <v>898</v>
      </c>
      <c r="C70" s="116">
        <v>-2E-3</v>
      </c>
      <c r="D70" s="116">
        <v>42523083.641999997</v>
      </c>
      <c r="E70" s="116">
        <v>42523083.640000001</v>
      </c>
      <c r="F70" s="116">
        <v>0</v>
      </c>
      <c r="G70" s="43" t="str">
        <f>_xlfn.XLOOKUP($A70,Map!$A:$A,Map!C:C)</f>
        <v>BS</v>
      </c>
      <c r="H70" s="43" t="str">
        <f>_xlfn.XLOOKUP($A70,Map!$A:$A,Map!D:D)</f>
        <v>Current Assets</v>
      </c>
      <c r="I70" s="43" t="str">
        <f>_xlfn.XLOOKUP($A70,Map!$A:$A,Map!E:E)</f>
        <v>Inventories</v>
      </c>
      <c r="J70" s="43" t="str">
        <f>_xlfn.XLOOKUP($A70,Map!$A:$A,Map!F:F)</f>
        <v>Work in progress - Inventory</v>
      </c>
    </row>
    <row r="71" spans="1:10" x14ac:dyDescent="0.25">
      <c r="A71">
        <v>180097</v>
      </c>
      <c r="B71" t="s">
        <v>899</v>
      </c>
      <c r="C71" s="116">
        <v>0</v>
      </c>
      <c r="D71" s="116">
        <v>0</v>
      </c>
      <c r="E71" s="116">
        <v>0</v>
      </c>
      <c r="F71" s="116">
        <v>0</v>
      </c>
      <c r="G71" s="43" t="str">
        <f>_xlfn.XLOOKUP($A71,Map!$A:$A,Map!C:C)</f>
        <v>BS</v>
      </c>
      <c r="H71" s="43" t="str">
        <f>_xlfn.XLOOKUP($A71,Map!$A:$A,Map!D:D)</f>
        <v>Current Assets</v>
      </c>
      <c r="I71" s="43" t="str">
        <f>_xlfn.XLOOKUP($A71,Map!$A:$A,Map!E:E)</f>
        <v>Inventories</v>
      </c>
      <c r="J71" s="43" t="str">
        <f>_xlfn.XLOOKUP($A71,Map!$A:$A,Map!F:F)</f>
        <v>Work in progress - Inventory</v>
      </c>
    </row>
    <row r="72" spans="1:10" x14ac:dyDescent="0.25">
      <c r="A72">
        <v>180098</v>
      </c>
      <c r="B72" t="s">
        <v>900</v>
      </c>
      <c r="C72" s="116">
        <v>0</v>
      </c>
      <c r="D72" s="116">
        <v>23437.505000000001</v>
      </c>
      <c r="E72" s="116">
        <v>23437.51</v>
      </c>
      <c r="F72" s="116">
        <v>-5.0000000000000001E-3</v>
      </c>
      <c r="G72" s="43" t="str">
        <f>_xlfn.XLOOKUP($A72,Map!$A:$A,Map!C:C)</f>
        <v>BS</v>
      </c>
      <c r="H72" s="43" t="str">
        <f>_xlfn.XLOOKUP($A72,Map!$A:$A,Map!D:D)</f>
        <v>Current Assets</v>
      </c>
      <c r="I72" s="43" t="str">
        <f>_xlfn.XLOOKUP($A72,Map!$A:$A,Map!E:E)</f>
        <v>Inventories</v>
      </c>
      <c r="J72" s="43" t="str">
        <f>_xlfn.XLOOKUP($A72,Map!$A:$A,Map!F:F)</f>
        <v>Work in progress - Inventory</v>
      </c>
    </row>
    <row r="73" spans="1:10" x14ac:dyDescent="0.25">
      <c r="A73">
        <v>180099</v>
      </c>
      <c r="B73" t="s">
        <v>901</v>
      </c>
      <c r="C73" s="116">
        <v>0</v>
      </c>
      <c r="D73" s="116">
        <v>198980.37100000001</v>
      </c>
      <c r="E73" s="116">
        <v>198980.36600000001</v>
      </c>
      <c r="F73" s="116">
        <v>5.0000000000000001E-3</v>
      </c>
      <c r="G73" s="43" t="str">
        <f>_xlfn.XLOOKUP($A73,Map!$A:$A,Map!C:C)</f>
        <v>BS</v>
      </c>
      <c r="H73" s="43" t="str">
        <f>_xlfn.XLOOKUP($A73,Map!$A:$A,Map!D:D)</f>
        <v>Current Assets</v>
      </c>
      <c r="I73" s="43" t="str">
        <f>_xlfn.XLOOKUP($A73,Map!$A:$A,Map!E:E)</f>
        <v>Inventories</v>
      </c>
      <c r="J73" s="43" t="str">
        <f>_xlfn.XLOOKUP($A73,Map!$A:$A,Map!F:F)</f>
        <v>Goods in transit - Inventory</v>
      </c>
    </row>
    <row r="74" spans="1:10" x14ac:dyDescent="0.25">
      <c r="A74">
        <v>210001</v>
      </c>
      <c r="B74" t="s">
        <v>902</v>
      </c>
      <c r="C74" s="116">
        <v>1927200.7350000001</v>
      </c>
      <c r="D74" s="116">
        <v>147932145.26699999</v>
      </c>
      <c r="E74" s="116">
        <v>148169195.51800001</v>
      </c>
      <c r="F74" s="116">
        <v>1690150.4839999999</v>
      </c>
      <c r="G74" s="43" t="str">
        <f>_xlfn.XLOOKUP($A74,Map!$A:$A,Map!C:C)</f>
        <v>BS</v>
      </c>
      <c r="H74" s="43" t="str">
        <f>_xlfn.XLOOKUP($A74,Map!$A:$A,Map!D:D)</f>
        <v>Current Liabilities</v>
      </c>
      <c r="I74" s="43" t="str">
        <f>_xlfn.XLOOKUP($A74,Map!$A:$A,Map!E:E)</f>
        <v>Tade payables and Accuals &amp; other credit balances</v>
      </c>
      <c r="J74" s="43" t="str">
        <f>_xlfn.XLOOKUP($A74,Map!$A:$A,Map!F:F)</f>
        <v>Trade payables - Foreign</v>
      </c>
    </row>
    <row r="75" spans="1:10" x14ac:dyDescent="0.25">
      <c r="A75">
        <v>210002</v>
      </c>
      <c r="B75" t="s">
        <v>903</v>
      </c>
      <c r="C75" s="116">
        <v>-3502984.73</v>
      </c>
      <c r="D75" s="116">
        <v>70069207.607999995</v>
      </c>
      <c r="E75" s="116">
        <v>70702468.783999994</v>
      </c>
      <c r="F75" s="116">
        <v>-4136245.906</v>
      </c>
      <c r="G75" s="43" t="str">
        <f>_xlfn.XLOOKUP($A75,Map!$A:$A,Map!C:C)</f>
        <v>BS</v>
      </c>
      <c r="H75" s="43" t="str">
        <f>_xlfn.XLOOKUP($A75,Map!$A:$A,Map!D:D)</f>
        <v>Current Liabilities</v>
      </c>
      <c r="I75" s="43" t="str">
        <f>_xlfn.XLOOKUP($A75,Map!$A:$A,Map!E:E)</f>
        <v>Tade payables and Accuals &amp; other credit balances</v>
      </c>
      <c r="J75" s="43" t="str">
        <f>_xlfn.XLOOKUP($A75,Map!$A:$A,Map!F:F)</f>
        <v>Trade payables - Local</v>
      </c>
    </row>
    <row r="76" spans="1:10" x14ac:dyDescent="0.25">
      <c r="A76">
        <v>220001</v>
      </c>
      <c r="B76" t="s">
        <v>904</v>
      </c>
      <c r="C76" s="116">
        <v>0</v>
      </c>
      <c r="D76" s="116">
        <v>0</v>
      </c>
      <c r="E76" s="116">
        <v>0</v>
      </c>
      <c r="F76" s="116">
        <v>0</v>
      </c>
      <c r="G76" s="43" t="str">
        <f>_xlfn.XLOOKUP($A76,Map!$A:$A,Map!C:C)</f>
        <v>BS</v>
      </c>
      <c r="H76" s="43" t="str">
        <f>_xlfn.XLOOKUP($A76,Map!$A:$A,Map!D:D)</f>
        <v>Current Liabilities</v>
      </c>
      <c r="I76" s="43" t="str">
        <f>_xlfn.XLOOKUP($A76,Map!$A:$A,Map!E:E)</f>
        <v>Short-term Murabaha loans</v>
      </c>
      <c r="J76" s="43" t="str">
        <f>_xlfn.XLOOKUP($A76,Map!$A:$A,Map!F:F)</f>
        <v>Other loans - current</v>
      </c>
    </row>
    <row r="77" spans="1:10" x14ac:dyDescent="0.25">
      <c r="A77">
        <v>220002</v>
      </c>
      <c r="B77" t="s">
        <v>905</v>
      </c>
      <c r="C77" s="116">
        <v>0</v>
      </c>
      <c r="D77" s="116">
        <v>0</v>
      </c>
      <c r="E77" s="116">
        <v>0</v>
      </c>
      <c r="F77" s="116">
        <v>0</v>
      </c>
      <c r="G77" s="43" t="str">
        <f>_xlfn.XLOOKUP($A77,Map!$A:$A,Map!C:C)</f>
        <v>BS</v>
      </c>
      <c r="H77" s="43" t="str">
        <f>_xlfn.XLOOKUP($A77,Map!$A:$A,Map!D:D)</f>
        <v>Current Liabilities</v>
      </c>
      <c r="I77" s="43" t="str">
        <f>_xlfn.XLOOKUP($A77,Map!$A:$A,Map!E:E)</f>
        <v>Short-term Murabaha loans</v>
      </c>
      <c r="J77" s="43" t="str">
        <f>_xlfn.XLOOKUP($A77,Map!$A:$A,Map!F:F)</f>
        <v>Other loans - current</v>
      </c>
    </row>
    <row r="78" spans="1:10" x14ac:dyDescent="0.25">
      <c r="A78">
        <v>220003</v>
      </c>
      <c r="B78" t="s">
        <v>906</v>
      </c>
      <c r="C78" s="116">
        <v>0</v>
      </c>
      <c r="D78" s="116">
        <v>0</v>
      </c>
      <c r="E78" s="116">
        <v>0</v>
      </c>
      <c r="F78" s="116">
        <v>0</v>
      </c>
      <c r="G78" s="43" t="str">
        <f>_xlfn.XLOOKUP($A78,Map!$A:$A,Map!C:C)</f>
        <v>BS</v>
      </c>
      <c r="H78" s="43" t="str">
        <f>_xlfn.XLOOKUP($A78,Map!$A:$A,Map!D:D)</f>
        <v>Current Liabilities</v>
      </c>
      <c r="I78" s="43" t="str">
        <f>_xlfn.XLOOKUP($A78,Map!$A:$A,Map!E:E)</f>
        <v>Short-term Murabaha loans</v>
      </c>
      <c r="J78" s="43" t="str">
        <f>_xlfn.XLOOKUP($A78,Map!$A:$A,Map!F:F)</f>
        <v>Other loans - current</v>
      </c>
    </row>
    <row r="79" spans="1:10" x14ac:dyDescent="0.25">
      <c r="A79">
        <v>220004</v>
      </c>
      <c r="B79" t="s">
        <v>907</v>
      </c>
      <c r="C79" s="116">
        <v>-42806538.75</v>
      </c>
      <c r="D79" s="116">
        <v>57594716.778999999</v>
      </c>
      <c r="E79" s="116">
        <v>23111433.039000001</v>
      </c>
      <c r="F79" s="116">
        <v>-8323255.0099999998</v>
      </c>
      <c r="G79" s="43" t="str">
        <f>_xlfn.XLOOKUP($A79,Map!$A:$A,Map!C:C)</f>
        <v>BS</v>
      </c>
      <c r="H79" s="43" t="str">
        <f>_xlfn.XLOOKUP($A79,Map!$A:$A,Map!D:D)</f>
        <v>Current Liabilities</v>
      </c>
      <c r="I79" s="43" t="str">
        <f>_xlfn.XLOOKUP($A79,Map!$A:$A,Map!E:E)</f>
        <v>Short-term Murabaha loans</v>
      </c>
      <c r="J79" s="43" t="str">
        <f>_xlfn.XLOOKUP($A79,Map!$A:$A,Map!F:F)</f>
        <v>Other loans - current</v>
      </c>
    </row>
    <row r="80" spans="1:10" x14ac:dyDescent="0.25">
      <c r="A80">
        <v>220005</v>
      </c>
      <c r="B80" t="s">
        <v>908</v>
      </c>
      <c r="C80" s="116">
        <v>-19749145</v>
      </c>
      <c r="D80" s="116">
        <v>50478604.967</v>
      </c>
      <c r="E80" s="116">
        <v>54888799.387000002</v>
      </c>
      <c r="F80" s="116">
        <v>-24159339.420000002</v>
      </c>
      <c r="G80" s="43" t="str">
        <f>_xlfn.XLOOKUP($A80,Map!$A:$A,Map!C:C)</f>
        <v>BS</v>
      </c>
      <c r="H80" s="43" t="str">
        <f>_xlfn.XLOOKUP($A80,Map!$A:$A,Map!D:D)</f>
        <v>Current Liabilities</v>
      </c>
      <c r="I80" s="43" t="str">
        <f>_xlfn.XLOOKUP($A80,Map!$A:$A,Map!E:E)</f>
        <v>Short-term Murabaha loans</v>
      </c>
      <c r="J80" s="43" t="str">
        <f>_xlfn.XLOOKUP($A80,Map!$A:$A,Map!F:F)</f>
        <v>Other loans - current</v>
      </c>
    </row>
    <row r="81" spans="1:10" x14ac:dyDescent="0.25">
      <c r="A81">
        <v>220006</v>
      </c>
      <c r="B81" t="s">
        <v>909</v>
      </c>
      <c r="C81" s="116">
        <v>0</v>
      </c>
      <c r="D81" s="116">
        <v>0</v>
      </c>
      <c r="E81" s="116">
        <v>36223842.005999997</v>
      </c>
      <c r="F81" s="116">
        <v>-36223842.005999997</v>
      </c>
      <c r="G81" s="43" t="str">
        <f>_xlfn.XLOOKUP($A81,Map!$A:$A,Map!C:C)</f>
        <v>BS</v>
      </c>
      <c r="H81" s="43" t="str">
        <f>_xlfn.XLOOKUP($A81,Map!$A:$A,Map!D:D)</f>
        <v>Current Liabilities</v>
      </c>
      <c r="I81" s="43" t="str">
        <f>_xlfn.XLOOKUP($A81,Map!$A:$A,Map!E:E)</f>
        <v>Short-term Murabaha loans</v>
      </c>
      <c r="J81" s="43" t="str">
        <f>_xlfn.XLOOKUP($A81,Map!$A:$A,Map!F:F)</f>
        <v>Other loans - current</v>
      </c>
    </row>
    <row r="82" spans="1:10" x14ac:dyDescent="0.25">
      <c r="A82">
        <v>230001</v>
      </c>
      <c r="B82" t="s">
        <v>911</v>
      </c>
      <c r="C82" s="116">
        <v>0</v>
      </c>
      <c r="D82" s="116">
        <v>124257755</v>
      </c>
      <c r="E82" s="116">
        <v>124257755</v>
      </c>
      <c r="F82" s="116">
        <v>0</v>
      </c>
      <c r="G82" s="43" t="str">
        <f>_xlfn.XLOOKUP($A82,Map!$A:$A,Map!C:C)</f>
        <v>BS</v>
      </c>
      <c r="H82" s="43" t="str">
        <f>_xlfn.XLOOKUP($A82,Map!$A:$A,Map!D:D)</f>
        <v>Current Liabilities</v>
      </c>
      <c r="I82" s="43" t="str">
        <f>_xlfn.XLOOKUP($A82,Map!$A:$A,Map!E:E)</f>
        <v>Tade payables and Accuals &amp; other credit balances</v>
      </c>
      <c r="J82" s="43" t="str">
        <f>_xlfn.XLOOKUP($A82,Map!$A:$A,Map!F:F)</f>
        <v>Clearing account</v>
      </c>
    </row>
    <row r="83" spans="1:10" x14ac:dyDescent="0.25">
      <c r="A83">
        <v>240001</v>
      </c>
      <c r="B83" t="s">
        <v>912</v>
      </c>
      <c r="C83" s="116">
        <v>0</v>
      </c>
      <c r="D83" s="116">
        <v>4851837.1140000001</v>
      </c>
      <c r="E83" s="116">
        <v>4851837.1109999996</v>
      </c>
      <c r="F83" s="116">
        <v>3.0000000000000001E-3</v>
      </c>
      <c r="G83" s="43" t="str">
        <f>_xlfn.XLOOKUP($A83,Map!$A:$A,Map!C:C)</f>
        <v>BS</v>
      </c>
      <c r="H83" s="43" t="str">
        <f>_xlfn.XLOOKUP($A83,Map!$A:$A,Map!D:D)</f>
        <v>Current Liabilities</v>
      </c>
      <c r="I83" s="43" t="str">
        <f>_xlfn.XLOOKUP($A83,Map!$A:$A,Map!E:E)</f>
        <v>Tade payables and Accuals &amp; other credit balances</v>
      </c>
      <c r="J83" s="43" t="str">
        <f>_xlfn.XLOOKUP($A83,Map!$A:$A,Map!F:F)</f>
        <v>Overhead</v>
      </c>
    </row>
    <row r="84" spans="1:10" x14ac:dyDescent="0.25">
      <c r="A84">
        <v>240002</v>
      </c>
      <c r="B84" t="s">
        <v>913</v>
      </c>
      <c r="C84" s="116">
        <v>845508</v>
      </c>
      <c r="D84" s="116">
        <v>88778</v>
      </c>
      <c r="E84" s="116">
        <v>934286</v>
      </c>
      <c r="F84" s="116">
        <v>0</v>
      </c>
      <c r="G84" s="43" t="str">
        <f>_xlfn.XLOOKUP($A84,Map!$A:$A,Map!C:C)</f>
        <v>BS</v>
      </c>
      <c r="H84" s="43" t="str">
        <f>_xlfn.XLOOKUP($A84,Map!$A:$A,Map!D:D)</f>
        <v>Current Liabilities</v>
      </c>
      <c r="I84" s="43" t="str">
        <f>_xlfn.XLOOKUP($A84,Map!$A:$A,Map!E:E)</f>
        <v>Tade payables and Accuals &amp; other credit balances</v>
      </c>
      <c r="J84" s="43" t="str">
        <f>_xlfn.XLOOKUP($A84,Map!$A:$A,Map!F:F)</f>
        <v>Landed Cost - Customs</v>
      </c>
    </row>
    <row r="85" spans="1:10" x14ac:dyDescent="0.25">
      <c r="A85">
        <v>240003</v>
      </c>
      <c r="B85" t="s">
        <v>914</v>
      </c>
      <c r="C85" s="116">
        <v>0</v>
      </c>
      <c r="D85" s="116">
        <v>0</v>
      </c>
      <c r="E85" s="116">
        <v>1874374</v>
      </c>
      <c r="F85" s="116">
        <v>-1874374</v>
      </c>
      <c r="G85" s="43" t="str">
        <f>_xlfn.XLOOKUP($A85,Map!$A:$A,Map!C:C)</f>
        <v>BS</v>
      </c>
      <c r="H85" s="43" t="str">
        <f>_xlfn.XLOOKUP($A85,Map!$A:$A,Map!D:D)</f>
        <v>Non-Current Liabilities</v>
      </c>
      <c r="I85" s="43" t="str">
        <f>_xlfn.XLOOKUP($A85,Map!$A:$A,Map!E:E)</f>
        <v xml:space="preserve">Lease liabilities non-current </v>
      </c>
      <c r="J85" s="43" t="str">
        <f>_xlfn.XLOOKUP($A85,Map!$A:$A,Map!F:F)</f>
        <v xml:space="preserve"> Lease Obligation</v>
      </c>
    </row>
    <row r="86" spans="1:10" x14ac:dyDescent="0.25">
      <c r="A86">
        <v>250001</v>
      </c>
      <c r="B86" t="s">
        <v>915</v>
      </c>
      <c r="C86" s="116">
        <v>0</v>
      </c>
      <c r="D86" s="116">
        <v>11474335.67</v>
      </c>
      <c r="E86" s="116">
        <v>11474335.67</v>
      </c>
      <c r="F86" s="116">
        <v>0</v>
      </c>
      <c r="G86" s="43" t="str">
        <f>_xlfn.XLOOKUP($A86,Map!$A:$A,Map!C:C)</f>
        <v>BS</v>
      </c>
      <c r="H86" s="43" t="str">
        <f>_xlfn.XLOOKUP($A86,Map!$A:$A,Map!D:D)</f>
        <v>Current Liabilities</v>
      </c>
      <c r="I86" s="43" t="str">
        <f>_xlfn.XLOOKUP($A86,Map!$A:$A,Map!E:E)</f>
        <v>Tade payables and Accuals &amp; other credit balances</v>
      </c>
      <c r="J86" s="43" t="str">
        <f>_xlfn.XLOOKUP($A86,Map!$A:$A,Map!F:F)</f>
        <v>Accrued salaries and wages</v>
      </c>
    </row>
    <row r="87" spans="1:10" x14ac:dyDescent="0.25">
      <c r="A87">
        <v>250002</v>
      </c>
      <c r="B87" t="s">
        <v>916</v>
      </c>
      <c r="C87" s="116">
        <v>0</v>
      </c>
      <c r="D87" s="116">
        <v>153551.47</v>
      </c>
      <c r="E87" s="116">
        <v>153551.47</v>
      </c>
      <c r="F87" s="116">
        <v>0</v>
      </c>
      <c r="G87" s="43" t="str">
        <f>_xlfn.XLOOKUP($A87,Map!$A:$A,Map!C:C)</f>
        <v>BS</v>
      </c>
      <c r="H87" s="43" t="str">
        <f>_xlfn.XLOOKUP($A87,Map!$A:$A,Map!D:D)</f>
        <v>Current Liabilities</v>
      </c>
      <c r="I87" s="43" t="str">
        <f>_xlfn.XLOOKUP($A87,Map!$A:$A,Map!E:E)</f>
        <v>Tade payables and Accuals &amp; other credit balances</v>
      </c>
      <c r="J87" s="43" t="str">
        <f>_xlfn.XLOOKUP($A87,Map!$A:$A,Map!F:F)</f>
        <v>Accrued utilities</v>
      </c>
    </row>
    <row r="88" spans="1:10" x14ac:dyDescent="0.25">
      <c r="A88">
        <v>250003</v>
      </c>
      <c r="B88" t="s">
        <v>917</v>
      </c>
      <c r="C88" s="116">
        <v>-1150000.5</v>
      </c>
      <c r="D88" s="116">
        <v>1666943.5</v>
      </c>
      <c r="E88" s="116">
        <v>1500000</v>
      </c>
      <c r="F88" s="116">
        <v>-983057</v>
      </c>
      <c r="G88" s="43" t="str">
        <f>_xlfn.XLOOKUP($A88,Map!$A:$A,Map!C:C)</f>
        <v>BS</v>
      </c>
      <c r="H88" s="43" t="str">
        <f>_xlfn.XLOOKUP($A88,Map!$A:$A,Map!D:D)</f>
        <v>Current Liabilities</v>
      </c>
      <c r="I88" s="43" t="str">
        <f>_xlfn.XLOOKUP($A88,Map!$A:$A,Map!E:E)</f>
        <v>Zakat provision</v>
      </c>
      <c r="J88" s="43" t="str">
        <f>_xlfn.XLOOKUP($A88,Map!$A:$A,Map!F:F)</f>
        <v>Zakat provision</v>
      </c>
    </row>
    <row r="89" spans="1:10" x14ac:dyDescent="0.25">
      <c r="A89">
        <v>250004</v>
      </c>
      <c r="B89" t="s">
        <v>918</v>
      </c>
      <c r="C89" s="116">
        <v>0</v>
      </c>
      <c r="D89" s="116">
        <v>139079</v>
      </c>
      <c r="E89" s="116">
        <v>139079</v>
      </c>
      <c r="F89" s="116">
        <v>0</v>
      </c>
      <c r="G89" s="43" t="str">
        <f>_xlfn.XLOOKUP($A89,Map!$A:$A,Map!C:C)</f>
        <v>BS</v>
      </c>
      <c r="H89" s="43" t="str">
        <f>_xlfn.XLOOKUP($A89,Map!$A:$A,Map!D:D)</f>
        <v>Current Liabilities</v>
      </c>
      <c r="I89" s="43" t="str">
        <f>_xlfn.XLOOKUP($A89,Map!$A:$A,Map!E:E)</f>
        <v>Tade payables and Accuals &amp; other credit balances</v>
      </c>
      <c r="J89" s="43" t="str">
        <f>_xlfn.XLOOKUP($A89,Map!$A:$A,Map!F:F)</f>
        <v>Accrued bonus</v>
      </c>
    </row>
    <row r="90" spans="1:10" x14ac:dyDescent="0.25">
      <c r="A90">
        <v>250005</v>
      </c>
      <c r="B90" t="s">
        <v>919</v>
      </c>
      <c r="C90" s="116">
        <v>-118000</v>
      </c>
      <c r="D90" s="116">
        <v>184150</v>
      </c>
      <c r="E90" s="116">
        <v>132300</v>
      </c>
      <c r="F90" s="116">
        <v>-66150</v>
      </c>
      <c r="G90" s="43" t="str">
        <f>_xlfn.XLOOKUP($A90,Map!$A:$A,Map!C:C)</f>
        <v>BS</v>
      </c>
      <c r="H90" s="43" t="str">
        <f>_xlfn.XLOOKUP($A90,Map!$A:$A,Map!D:D)</f>
        <v>Current Liabilities</v>
      </c>
      <c r="I90" s="43" t="str">
        <f>_xlfn.XLOOKUP($A90,Map!$A:$A,Map!E:E)</f>
        <v>Tade payables and Accuals &amp; other credit balances</v>
      </c>
      <c r="J90" s="43" t="str">
        <f>_xlfn.XLOOKUP($A90,Map!$A:$A,Map!F:F)</f>
        <v>Accrued expenses</v>
      </c>
    </row>
    <row r="91" spans="1:10" x14ac:dyDescent="0.25">
      <c r="A91">
        <v>260001</v>
      </c>
      <c r="B91" t="s">
        <v>922</v>
      </c>
      <c r="C91" s="116">
        <v>-6053397</v>
      </c>
      <c r="D91" s="116">
        <v>690280.58</v>
      </c>
      <c r="E91" s="116">
        <v>1321411.58</v>
      </c>
      <c r="F91" s="116">
        <v>-6684528</v>
      </c>
      <c r="G91" s="43" t="str">
        <f>_xlfn.XLOOKUP($A91,Map!$A:$A,Map!C:C)</f>
        <v>BS</v>
      </c>
      <c r="H91" s="43" t="str">
        <f>_xlfn.XLOOKUP($A91,Map!$A:$A,Map!D:D)</f>
        <v>Stockholder's equity</v>
      </c>
      <c r="I91" s="43" t="str">
        <f>_xlfn.XLOOKUP($A91,Map!$A:$A,Map!E:E)</f>
        <v>Statutory reserve</v>
      </c>
      <c r="J91" s="43" t="str">
        <f>_xlfn.XLOOKUP($A91,Map!$A:$A,Map!F:F)</f>
        <v>Statutory reserve</v>
      </c>
    </row>
    <row r="92" spans="1:10" x14ac:dyDescent="0.25">
      <c r="A92">
        <v>260002</v>
      </c>
      <c r="B92" t="s">
        <v>923</v>
      </c>
      <c r="C92" s="116">
        <v>-4633898</v>
      </c>
      <c r="D92" s="116">
        <v>1086028</v>
      </c>
      <c r="E92" s="116">
        <v>746771</v>
      </c>
      <c r="F92" s="116">
        <v>-4294641</v>
      </c>
      <c r="G92" s="43" t="str">
        <f>_xlfn.XLOOKUP($A92,Map!$A:$A,Map!C:C)</f>
        <v>BS</v>
      </c>
      <c r="H92" s="43" t="str">
        <f>_xlfn.XLOOKUP($A92,Map!$A:$A,Map!D:D)</f>
        <v>Non-Current Liabilities</v>
      </c>
      <c r="I92" s="43" t="str">
        <f>_xlfn.XLOOKUP($A92,Map!$A:$A,Map!E:E)</f>
        <v xml:space="preserve">End-of-service indemnities </v>
      </c>
      <c r="J92" s="43" t="str">
        <f>_xlfn.XLOOKUP($A92,Map!$A:$A,Map!F:F)</f>
        <v xml:space="preserve">End-of-service indemnities </v>
      </c>
    </row>
    <row r="93" spans="1:10" x14ac:dyDescent="0.25">
      <c r="A93">
        <v>260003</v>
      </c>
      <c r="B93" t="s">
        <v>924</v>
      </c>
      <c r="C93" s="116">
        <v>-3407320.1</v>
      </c>
      <c r="D93" s="116">
        <v>751979</v>
      </c>
      <c r="E93" s="116">
        <v>501386</v>
      </c>
      <c r="F93" s="116">
        <v>-3156727.1</v>
      </c>
      <c r="G93" s="43" t="str">
        <f>_xlfn.XLOOKUP($A93,Map!$A:$A,Map!C:C)</f>
        <v>BS</v>
      </c>
      <c r="H93" s="43" t="str">
        <f>_xlfn.XLOOKUP($A93,Map!$A:$A,Map!D:D)</f>
        <v>Current Assets</v>
      </c>
      <c r="I93" s="43" t="str">
        <f>_xlfn.XLOOKUP($A93,Map!$A:$A,Map!E:E)</f>
        <v>Trade receivables</v>
      </c>
      <c r="J93" s="43" t="str">
        <f>_xlfn.XLOOKUP($A93,Map!$A:$A,Map!F:F)</f>
        <v>Provisions</v>
      </c>
    </row>
    <row r="94" spans="1:10" x14ac:dyDescent="0.25">
      <c r="A94">
        <v>260004</v>
      </c>
      <c r="B94" t="s">
        <v>925</v>
      </c>
      <c r="C94" s="116">
        <v>-1121501.433</v>
      </c>
      <c r="D94" s="116">
        <v>816615</v>
      </c>
      <c r="E94" s="116">
        <v>544410</v>
      </c>
      <c r="F94" s="116">
        <v>-849296.43299999996</v>
      </c>
      <c r="G94" s="43" t="str">
        <f>_xlfn.XLOOKUP($A94,Map!$A:$A,Map!C:C)</f>
        <v>BS</v>
      </c>
      <c r="H94" s="43" t="str">
        <f>_xlfn.XLOOKUP($A94,Map!$A:$A,Map!D:D)</f>
        <v>Current Assets</v>
      </c>
      <c r="I94" s="43" t="str">
        <f>_xlfn.XLOOKUP($A94,Map!$A:$A,Map!E:E)</f>
        <v>Inventories</v>
      </c>
      <c r="J94" s="43" t="str">
        <f>_xlfn.XLOOKUP($A94,Map!$A:$A,Map!F:F)</f>
        <v>Allowance for slow moving/obsolete inventories - Inventory</v>
      </c>
    </row>
    <row r="95" spans="1:10" x14ac:dyDescent="0.25">
      <c r="A95">
        <v>260005</v>
      </c>
      <c r="B95" t="s">
        <v>926</v>
      </c>
      <c r="C95" s="116">
        <v>-4000000</v>
      </c>
      <c r="D95" s="116">
        <v>0</v>
      </c>
      <c r="E95" s="116">
        <v>120000</v>
      </c>
      <c r="F95" s="116">
        <v>-4120000</v>
      </c>
      <c r="G95" s="43" t="str">
        <f>_xlfn.XLOOKUP($A95,Map!$A:$A,Map!C:C)</f>
        <v>BS</v>
      </c>
      <c r="H95" s="43" t="str">
        <f>_xlfn.XLOOKUP($A95,Map!$A:$A,Map!D:D)</f>
        <v>Non-Current Liabilities</v>
      </c>
      <c r="I95" s="43" t="str">
        <f>_xlfn.XLOOKUP($A95,Map!$A:$A,Map!E:E)</f>
        <v>Provision for evacuation</v>
      </c>
      <c r="J95" s="43" t="str">
        <f>_xlfn.XLOOKUP($A95,Map!$A:$A,Map!F:F)</f>
        <v>Provision for evacuation</v>
      </c>
    </row>
    <row r="96" spans="1:10" x14ac:dyDescent="0.25">
      <c r="A96">
        <v>270001</v>
      </c>
      <c r="B96" t="s">
        <v>929</v>
      </c>
      <c r="C96" s="116">
        <v>-7696296.1699999999</v>
      </c>
      <c r="D96" s="116">
        <v>7501400</v>
      </c>
      <c r="E96" s="116">
        <v>307392.88</v>
      </c>
      <c r="F96" s="116">
        <v>-502289.05</v>
      </c>
      <c r="G96" s="43" t="str">
        <f>_xlfn.XLOOKUP($A96,Map!$A:$A,Map!C:C)</f>
        <v>BS</v>
      </c>
      <c r="H96" s="43" t="str">
        <f>_xlfn.XLOOKUP($A96,Map!$A:$A,Map!D:D)</f>
        <v>Non-Current Liabilities</v>
      </c>
      <c r="I96" s="43" t="str">
        <f>_xlfn.XLOOKUP($A96,Map!$A:$A,Map!E:E)</f>
        <v xml:space="preserve">Due to related parties </v>
      </c>
      <c r="J96" s="43" t="str">
        <f>_xlfn.XLOOKUP($A96,Map!$A:$A,Map!F:F)</f>
        <v>Aims Holding  Current Acc</v>
      </c>
    </row>
    <row r="97" spans="1:10" x14ac:dyDescent="0.25">
      <c r="A97">
        <v>270002</v>
      </c>
      <c r="B97" t="s">
        <v>930</v>
      </c>
      <c r="C97" s="116">
        <v>0</v>
      </c>
      <c r="D97" s="116">
        <v>10352108.399</v>
      </c>
      <c r="E97" s="116">
        <v>10352108.399</v>
      </c>
      <c r="F97" s="116">
        <v>0</v>
      </c>
      <c r="G97" s="43" t="str">
        <f>_xlfn.XLOOKUP($A97,Map!$A:$A,Map!C:C)</f>
        <v>BS</v>
      </c>
      <c r="H97" s="43" t="str">
        <f>_xlfn.XLOOKUP($A97,Map!$A:$A,Map!D:D)</f>
        <v>Current Liabilities</v>
      </c>
      <c r="I97" s="43" t="str">
        <f>_xlfn.XLOOKUP($A97,Map!$A:$A,Map!E:E)</f>
        <v>Tade payables and Accuals &amp; other credit balances</v>
      </c>
      <c r="J97" s="43" t="str">
        <f>_xlfn.XLOOKUP($A97,Map!$A:$A,Map!F:F)</f>
        <v>VAT payables</v>
      </c>
    </row>
    <row r="98" spans="1:10" x14ac:dyDescent="0.25">
      <c r="A98">
        <v>270003</v>
      </c>
      <c r="B98" t="s">
        <v>931</v>
      </c>
      <c r="C98" s="116">
        <v>0</v>
      </c>
      <c r="D98" s="116">
        <v>7218464.2489999998</v>
      </c>
      <c r="E98" s="116">
        <v>6398125.4869999997</v>
      </c>
      <c r="F98" s="116">
        <v>820338.76199999999</v>
      </c>
      <c r="G98" s="43" t="str">
        <f>_xlfn.XLOOKUP($A98,Map!$A:$A,Map!C:C)</f>
        <v>BS</v>
      </c>
      <c r="H98" s="43" t="str">
        <f>_xlfn.XLOOKUP($A98,Map!$A:$A,Map!D:D)</f>
        <v>Current Liabilities</v>
      </c>
      <c r="I98" s="43" t="str">
        <f>_xlfn.XLOOKUP($A98,Map!$A:$A,Map!E:E)</f>
        <v>Tade payables and Accuals &amp; other credit balances</v>
      </c>
      <c r="J98" s="43" t="str">
        <f>_xlfn.XLOOKUP($A98,Map!$A:$A,Map!F:F)</f>
        <v>VAT payables</v>
      </c>
    </row>
    <row r="99" spans="1:10" x14ac:dyDescent="0.25">
      <c r="A99">
        <v>270004</v>
      </c>
      <c r="B99" t="s">
        <v>932</v>
      </c>
      <c r="C99" s="116">
        <v>2109330.298</v>
      </c>
      <c r="D99" s="116">
        <v>931825.53</v>
      </c>
      <c r="E99" s="116">
        <v>3041155.8280000002</v>
      </c>
      <c r="F99" s="116">
        <v>0</v>
      </c>
      <c r="G99" s="43" t="str">
        <f>_xlfn.XLOOKUP($A99,Map!$A:$A,Map!C:C)</f>
        <v>BS</v>
      </c>
      <c r="H99" s="43" t="str">
        <f>_xlfn.XLOOKUP($A99,Map!$A:$A,Map!D:D)</f>
        <v>Current Liabilities</v>
      </c>
      <c r="I99" s="43" t="str">
        <f>_xlfn.XLOOKUP($A99,Map!$A:$A,Map!E:E)</f>
        <v>Tade payables and Accuals &amp; other credit balances</v>
      </c>
      <c r="J99" s="43" t="str">
        <f>_xlfn.XLOOKUP($A99,Map!$A:$A,Map!F:F)</f>
        <v>VAT payables</v>
      </c>
    </row>
    <row r="100" spans="1:10" x14ac:dyDescent="0.25">
      <c r="A100">
        <v>310001</v>
      </c>
      <c r="B100" t="s">
        <v>934</v>
      </c>
      <c r="C100" s="116">
        <v>-30380428.572000001</v>
      </c>
      <c r="D100" s="116">
        <v>5543817.5800000001</v>
      </c>
      <c r="E100" s="116">
        <v>690280.58</v>
      </c>
      <c r="F100" s="116">
        <v>-25526891.572000001</v>
      </c>
      <c r="G100" s="43" t="str">
        <f>_xlfn.XLOOKUP($A100,Map!$A:$A,Map!C:C)</f>
        <v>BS</v>
      </c>
      <c r="H100" s="43" t="str">
        <f>_xlfn.XLOOKUP($A100,Map!$A:$A,Map!D:D)</f>
        <v>Stockholder's equity</v>
      </c>
      <c r="I100" s="43" t="str">
        <f>_xlfn.XLOOKUP($A100,Map!$A:$A,Map!E:E)</f>
        <v>Retained earnings</v>
      </c>
      <c r="J100" s="43" t="str">
        <f>_xlfn.XLOOKUP($A100,Map!$A:$A,Map!F:F)</f>
        <v>Retained earnings</v>
      </c>
    </row>
    <row r="101" spans="1:10" x14ac:dyDescent="0.25">
      <c r="A101">
        <v>330001</v>
      </c>
      <c r="B101" t="s">
        <v>935</v>
      </c>
      <c r="C101" s="116">
        <v>-1766750</v>
      </c>
      <c r="D101" s="116">
        <v>0</v>
      </c>
      <c r="E101" s="116">
        <v>0</v>
      </c>
      <c r="F101" s="116">
        <v>-1766750</v>
      </c>
      <c r="G101" s="43" t="str">
        <f>_xlfn.XLOOKUP($A101,Map!$A:$A,Map!C:C)</f>
        <v>BS</v>
      </c>
      <c r="H101" s="43" t="str">
        <f>_xlfn.XLOOKUP($A101,Map!$A:$A,Map!D:D)</f>
        <v>Stockholder's equity</v>
      </c>
      <c r="I101" s="43" t="str">
        <f>_xlfn.XLOOKUP($A101,Map!$A:$A,Map!E:E)</f>
        <v>Retained earnings</v>
      </c>
      <c r="J101" s="43" t="str">
        <f>_xlfn.XLOOKUP($A101,Map!$A:$A,Map!F:F)</f>
        <v>Retained earnings</v>
      </c>
    </row>
    <row r="102" spans="1:10" x14ac:dyDescent="0.25">
      <c r="A102">
        <v>330002</v>
      </c>
      <c r="B102" t="s">
        <v>936</v>
      </c>
      <c r="C102" s="116">
        <v>-33568250</v>
      </c>
      <c r="D102" s="116">
        <v>0</v>
      </c>
      <c r="E102" s="116">
        <v>0</v>
      </c>
      <c r="F102" s="116">
        <v>-33568250</v>
      </c>
      <c r="G102" s="43" t="str">
        <f>_xlfn.XLOOKUP($A102,Map!$A:$A,Map!C:C)</f>
        <v>BS</v>
      </c>
      <c r="H102" s="43" t="str">
        <f>_xlfn.XLOOKUP($A102,Map!$A:$A,Map!D:D)</f>
        <v>Stockholder's equity</v>
      </c>
      <c r="I102" s="43" t="str">
        <f>_xlfn.XLOOKUP($A102,Map!$A:$A,Map!E:E)</f>
        <v>Share capital</v>
      </c>
      <c r="J102" s="43" t="str">
        <f>_xlfn.XLOOKUP($A102,Map!$A:$A,Map!F:F)</f>
        <v>Share capital</v>
      </c>
    </row>
    <row r="103" spans="1:10" x14ac:dyDescent="0.25">
      <c r="A103">
        <v>330003</v>
      </c>
      <c r="B103" t="s">
        <v>937</v>
      </c>
      <c r="C103" s="116">
        <v>-102255315.01000001</v>
      </c>
      <c r="D103" s="116">
        <v>0</v>
      </c>
      <c r="E103" s="116">
        <v>0</v>
      </c>
      <c r="F103" s="116">
        <v>-102255315.01000001</v>
      </c>
      <c r="G103" s="43" t="str">
        <f>_xlfn.XLOOKUP($A103,Map!$A:$A,Map!C:C)</f>
        <v>BS</v>
      </c>
      <c r="H103" s="43" t="str">
        <f>_xlfn.XLOOKUP($A103,Map!$A:$A,Map!D:D)</f>
        <v>Stockholder's equity</v>
      </c>
      <c r="I103" s="43" t="str">
        <f>_xlfn.XLOOKUP($A103,Map!$A:$A,Map!E:E)</f>
        <v>Additional contribution from shareholders</v>
      </c>
      <c r="J103" s="43" t="str">
        <f>_xlfn.XLOOKUP($A103,Map!$A:$A,Map!F:F)</f>
        <v>Additional contribution from shareholders</v>
      </c>
    </row>
    <row r="104" spans="1:10" x14ac:dyDescent="0.25">
      <c r="A104">
        <v>410001</v>
      </c>
      <c r="B104" t="s">
        <v>938</v>
      </c>
      <c r="C104" s="116">
        <v>0</v>
      </c>
      <c r="D104" s="116">
        <v>87122453.064999998</v>
      </c>
      <c r="E104" s="116">
        <v>249908135.10499999</v>
      </c>
      <c r="F104" s="116">
        <v>-162785682.03999999</v>
      </c>
      <c r="G104" s="43" t="str">
        <f>_xlfn.XLOOKUP($A104,Map!$A:$A,Map!C:C)</f>
        <v>IS</v>
      </c>
      <c r="H104" s="43" t="str">
        <f>_xlfn.XLOOKUP($A104,Map!$A:$A,Map!D:D)</f>
        <v>Sales</v>
      </c>
      <c r="I104" s="43" t="str">
        <f>_xlfn.XLOOKUP($A104,Map!$A:$A,Map!E:E)</f>
        <v>Sales</v>
      </c>
      <c r="J104" s="43" t="str">
        <f>_xlfn.XLOOKUP($A104,Map!$A:$A,Map!F:F)</f>
        <v>Trading revenue</v>
      </c>
    </row>
    <row r="105" spans="1:10" x14ac:dyDescent="0.25">
      <c r="A105">
        <v>410002</v>
      </c>
      <c r="B105" t="s">
        <v>939</v>
      </c>
      <c r="C105" s="116">
        <v>0</v>
      </c>
      <c r="D105" s="116">
        <v>1190555.308</v>
      </c>
      <c r="E105" s="116">
        <v>384238.51699999999</v>
      </c>
      <c r="F105" s="116">
        <v>806316.79099999997</v>
      </c>
      <c r="G105" s="43" t="str">
        <f>_xlfn.XLOOKUP($A105,Map!$A:$A,Map!C:C)</f>
        <v>IS</v>
      </c>
      <c r="H105" s="43" t="str">
        <f>_xlfn.XLOOKUP($A105,Map!$A:$A,Map!D:D)</f>
        <v>Sales</v>
      </c>
      <c r="I105" s="43" t="str">
        <f>_xlfn.XLOOKUP($A105,Map!$A:$A,Map!E:E)</f>
        <v>Sales</v>
      </c>
      <c r="J105" s="43" t="str">
        <f>_xlfn.XLOOKUP($A105,Map!$A:$A,Map!F:F)</f>
        <v>Trading revenue</v>
      </c>
    </row>
    <row r="106" spans="1:10" x14ac:dyDescent="0.25">
      <c r="A106">
        <v>410003</v>
      </c>
      <c r="B106" t="s">
        <v>940</v>
      </c>
      <c r="C106" s="116">
        <v>0</v>
      </c>
      <c r="D106" s="116">
        <v>63590.392999999996</v>
      </c>
      <c r="E106" s="116">
        <v>0.03</v>
      </c>
      <c r="F106" s="116">
        <v>63590.362999999998</v>
      </c>
      <c r="G106" s="43" t="str">
        <f>_xlfn.XLOOKUP($A106,Map!$A:$A,Map!C:C)</f>
        <v>IS</v>
      </c>
      <c r="H106" s="43" t="str">
        <f>_xlfn.XLOOKUP($A106,Map!$A:$A,Map!D:D)</f>
        <v>Sales</v>
      </c>
      <c r="I106" s="43" t="str">
        <f>_xlfn.XLOOKUP($A106,Map!$A:$A,Map!E:E)</f>
        <v>Sales</v>
      </c>
      <c r="J106" s="43" t="str">
        <f>_xlfn.XLOOKUP($A106,Map!$A:$A,Map!F:F)</f>
        <v>Trading revenue</v>
      </c>
    </row>
    <row r="107" spans="1:10" x14ac:dyDescent="0.25">
      <c r="A107">
        <v>410004</v>
      </c>
      <c r="B107" t="s">
        <v>941</v>
      </c>
      <c r="C107" s="116">
        <v>0</v>
      </c>
      <c r="D107" s="116">
        <v>0</v>
      </c>
      <c r="E107" s="116">
        <v>0</v>
      </c>
      <c r="F107" s="116">
        <v>0</v>
      </c>
      <c r="G107" s="43" t="str">
        <f>_xlfn.XLOOKUP($A107,Map!$A:$A,Map!C:C)</f>
        <v>IS</v>
      </c>
      <c r="H107" s="43" t="str">
        <f>_xlfn.XLOOKUP($A107,Map!$A:$A,Map!D:D)</f>
        <v>Sales</v>
      </c>
      <c r="I107" s="43" t="str">
        <f>_xlfn.XLOOKUP($A107,Map!$A:$A,Map!E:E)</f>
        <v>Sales</v>
      </c>
      <c r="J107" s="43" t="str">
        <f>_xlfn.XLOOKUP($A107,Map!$A:$A,Map!F:F)</f>
        <v>Scrap sales</v>
      </c>
    </row>
    <row r="108" spans="1:10" x14ac:dyDescent="0.25">
      <c r="A108">
        <v>420003</v>
      </c>
      <c r="B108" t="s">
        <v>944</v>
      </c>
      <c r="C108" s="116">
        <v>0</v>
      </c>
      <c r="D108" s="116">
        <v>8.4000000000000005E-2</v>
      </c>
      <c r="E108" s="116">
        <v>8.4000000000000005E-2</v>
      </c>
      <c r="F108" s="116">
        <v>0</v>
      </c>
      <c r="G108" s="43" t="str">
        <f>_xlfn.XLOOKUP($A108,Map!$A:$A,Map!C:C)</f>
        <v>IS</v>
      </c>
      <c r="H108" s="43" t="str">
        <f>_xlfn.XLOOKUP($A108,Map!$A:$A,Map!D:D)</f>
        <v>Sales</v>
      </c>
      <c r="I108" s="43" t="str">
        <f>_xlfn.XLOOKUP($A108,Map!$A:$A,Map!E:E)</f>
        <v>Sales</v>
      </c>
      <c r="J108" s="43" t="str">
        <f>_xlfn.XLOOKUP($A108,Map!$A:$A,Map!F:F)</f>
        <v>Scrap sales</v>
      </c>
    </row>
    <row r="109" spans="1:10" x14ac:dyDescent="0.25">
      <c r="A109">
        <v>510001</v>
      </c>
      <c r="B109" t="s">
        <v>945</v>
      </c>
      <c r="C109" s="116">
        <v>0</v>
      </c>
      <c r="D109" s="116">
        <v>124980432.021</v>
      </c>
      <c r="E109" s="116">
        <v>10445149.119000001</v>
      </c>
      <c r="F109" s="116">
        <v>114535282.902</v>
      </c>
      <c r="G109" s="43" t="str">
        <f>_xlfn.XLOOKUP($A109,Map!$A:$A,Map!C:C)</f>
        <v>IS</v>
      </c>
      <c r="H109" s="43" t="str">
        <f>_xlfn.XLOOKUP($A109,Map!$A:$A,Map!D:D)</f>
        <v>Cost of sales</v>
      </c>
      <c r="I109" s="43" t="str">
        <f>_xlfn.XLOOKUP($A109,Map!$A:$A,Map!E:E)</f>
        <v>Raw materials</v>
      </c>
      <c r="J109" s="43" t="str">
        <f>_xlfn.XLOOKUP($A109,Map!$A:$A,Map!F:F)</f>
        <v>Raw materials</v>
      </c>
    </row>
    <row r="110" spans="1:10" x14ac:dyDescent="0.25">
      <c r="A110">
        <v>510002</v>
      </c>
      <c r="B110" t="s">
        <v>946</v>
      </c>
      <c r="C110" s="116">
        <v>0</v>
      </c>
      <c r="D110" s="116">
        <v>6750188.551</v>
      </c>
      <c r="E110" s="116">
        <v>36138.402999999998</v>
      </c>
      <c r="F110" s="116">
        <v>6714050.148</v>
      </c>
      <c r="G110" s="43" t="str">
        <f>_xlfn.XLOOKUP($A110,Map!$A:$A,Map!C:C)</f>
        <v>IS</v>
      </c>
      <c r="H110" s="43" t="str">
        <f>_xlfn.XLOOKUP($A110,Map!$A:$A,Map!D:D)</f>
        <v>Cost of sales</v>
      </c>
      <c r="I110" s="43" t="str">
        <f>_xlfn.XLOOKUP($A110,Map!$A:$A,Map!E:E)</f>
        <v>Direct Labor</v>
      </c>
      <c r="J110" s="43" t="str">
        <f>_xlfn.XLOOKUP($A110,Map!$A:$A,Map!F:F)</f>
        <v>Direct Labor</v>
      </c>
    </row>
    <row r="111" spans="1:10" x14ac:dyDescent="0.25">
      <c r="A111">
        <v>510003</v>
      </c>
      <c r="B111" t="s">
        <v>947</v>
      </c>
      <c r="C111" s="116">
        <v>0</v>
      </c>
      <c r="D111" s="116">
        <v>3793525.9339999999</v>
      </c>
      <c r="E111" s="116">
        <v>40754.000999999997</v>
      </c>
      <c r="F111" s="116">
        <v>3752771.9330000002</v>
      </c>
      <c r="G111" s="43" t="str">
        <f>_xlfn.XLOOKUP($A111,Map!$A:$A,Map!C:C)</f>
        <v>IS</v>
      </c>
      <c r="H111" s="43" t="str">
        <f>_xlfn.XLOOKUP($A111,Map!$A:$A,Map!D:D)</f>
        <v>Cost of sales</v>
      </c>
      <c r="I111" s="43" t="str">
        <f>_xlfn.XLOOKUP($A111,Map!$A:$A,Map!E:E)</f>
        <v>Raw materials</v>
      </c>
      <c r="J111" s="43" t="str">
        <f>_xlfn.XLOOKUP($A111,Map!$A:$A,Map!F:F)</f>
        <v>Raw materials</v>
      </c>
    </row>
    <row r="112" spans="1:10" x14ac:dyDescent="0.25">
      <c r="A112">
        <v>510004</v>
      </c>
      <c r="B112" t="s">
        <v>948</v>
      </c>
      <c r="C112" s="116">
        <v>0</v>
      </c>
      <c r="D112" s="116">
        <v>14286991.217</v>
      </c>
      <c r="E112" s="116">
        <v>2307184.571</v>
      </c>
      <c r="F112" s="116">
        <v>11979806.646</v>
      </c>
      <c r="G112" s="43" t="str">
        <f>_xlfn.XLOOKUP($A112,Map!$A:$A,Map!C:C)</f>
        <v>IS</v>
      </c>
      <c r="H112" s="43" t="str">
        <f>_xlfn.XLOOKUP($A112,Map!$A:$A,Map!D:D)</f>
        <v>Cost of sales</v>
      </c>
      <c r="I112" s="43" t="str">
        <f>_xlfn.XLOOKUP($A112,Map!$A:$A,Map!E:E)</f>
        <v>Raw materials</v>
      </c>
      <c r="J112" s="43" t="str">
        <f>_xlfn.XLOOKUP($A112,Map!$A:$A,Map!F:F)</f>
        <v>Other expenses</v>
      </c>
    </row>
    <row r="113" spans="1:10" x14ac:dyDescent="0.25">
      <c r="A113">
        <v>510005</v>
      </c>
      <c r="B113" t="s">
        <v>949</v>
      </c>
      <c r="C113" s="116">
        <v>0</v>
      </c>
      <c r="D113" s="116">
        <v>6524.7640000000001</v>
      </c>
      <c r="E113" s="116">
        <v>6524.7640000000001</v>
      </c>
      <c r="F113" s="116">
        <v>0</v>
      </c>
      <c r="G113" s="43" t="str">
        <f>_xlfn.XLOOKUP($A113,Map!$A:$A,Map!C:C)</f>
        <v>IS</v>
      </c>
      <c r="H113" s="43" t="str">
        <f>_xlfn.XLOOKUP($A113,Map!$A:$A,Map!D:D)</f>
        <v>Cost of sales</v>
      </c>
      <c r="I113" s="43" t="str">
        <f>_xlfn.XLOOKUP($A113,Map!$A:$A,Map!E:E)</f>
        <v>Raw materials</v>
      </c>
      <c r="J113" s="43" t="str">
        <f>_xlfn.XLOOKUP($A113,Map!$A:$A,Map!F:F)</f>
        <v>Other expenses</v>
      </c>
    </row>
    <row r="114" spans="1:10" x14ac:dyDescent="0.25">
      <c r="A114">
        <v>520001</v>
      </c>
      <c r="B114" t="s">
        <v>950</v>
      </c>
      <c r="C114" s="116">
        <v>0</v>
      </c>
      <c r="D114" s="116">
        <v>3792518</v>
      </c>
      <c r="E114" s="116">
        <v>3792518</v>
      </c>
      <c r="F114" s="116">
        <v>0</v>
      </c>
      <c r="G114" s="43" t="str">
        <f>_xlfn.XLOOKUP($A114,Map!$A:$A,Map!C:C)</f>
        <v>IS</v>
      </c>
      <c r="H114" s="43" t="str">
        <f>_xlfn.XLOOKUP($A114,Map!$A:$A,Map!D:D)</f>
        <v>Cost of sales</v>
      </c>
      <c r="I114" s="43" t="str">
        <f>_xlfn.XLOOKUP($A114,Map!$A:$A,Map!E:E)</f>
        <v>Direct Labor</v>
      </c>
      <c r="J114" s="43" t="str">
        <f>_xlfn.XLOOKUP($A114,Map!$A:$A,Map!F:F)</f>
        <v>Salaries and wages</v>
      </c>
    </row>
    <row r="115" spans="1:10" x14ac:dyDescent="0.25">
      <c r="A115">
        <v>520002</v>
      </c>
      <c r="B115" t="s">
        <v>951</v>
      </c>
      <c r="C115" s="116">
        <v>0</v>
      </c>
      <c r="D115" s="116">
        <v>0</v>
      </c>
      <c r="E115" s="116">
        <v>0</v>
      </c>
      <c r="F115" s="116">
        <v>0</v>
      </c>
      <c r="G115" s="43" t="str">
        <f>_xlfn.XLOOKUP($A115,Map!$A:$A,Map!C:C)</f>
        <v>IS</v>
      </c>
      <c r="H115" s="43" t="str">
        <f>_xlfn.XLOOKUP($A115,Map!$A:$A,Map!D:D)</f>
        <v>Cost of sales</v>
      </c>
      <c r="I115" s="43" t="str">
        <f>_xlfn.XLOOKUP($A115,Map!$A:$A,Map!E:E)</f>
        <v>Direct Labor</v>
      </c>
      <c r="J115" s="43" t="str">
        <f>_xlfn.XLOOKUP($A115,Map!$A:$A,Map!F:F)</f>
        <v>Overtime pay</v>
      </c>
    </row>
    <row r="116" spans="1:10" x14ac:dyDescent="0.25">
      <c r="A116">
        <v>520003</v>
      </c>
      <c r="B116" t="s">
        <v>952</v>
      </c>
      <c r="C116" s="116">
        <v>0</v>
      </c>
      <c r="D116" s="116">
        <v>220936</v>
      </c>
      <c r="E116" s="116">
        <v>220936</v>
      </c>
      <c r="F116" s="116">
        <v>0</v>
      </c>
      <c r="G116" s="43" t="str">
        <f>_xlfn.XLOOKUP($A116,Map!$A:$A,Map!C:C)</f>
        <v>IS</v>
      </c>
      <c r="H116" s="43" t="str">
        <f>_xlfn.XLOOKUP($A116,Map!$A:$A,Map!D:D)</f>
        <v>Cost of sales</v>
      </c>
      <c r="I116" s="43" t="str">
        <f>_xlfn.XLOOKUP($A116,Map!$A:$A,Map!E:E)</f>
        <v>Direct Labor</v>
      </c>
      <c r="J116" s="43" t="str">
        <f>_xlfn.XLOOKUP($A116,Map!$A:$A,Map!F:F)</f>
        <v>Transportation allowance</v>
      </c>
    </row>
    <row r="117" spans="1:10" x14ac:dyDescent="0.25">
      <c r="A117">
        <v>520004</v>
      </c>
      <c r="B117" t="s">
        <v>957</v>
      </c>
      <c r="C117" s="116">
        <v>0</v>
      </c>
      <c r="D117" s="116">
        <v>42810</v>
      </c>
      <c r="E117" s="116">
        <v>42810</v>
      </c>
      <c r="F117" s="116">
        <v>0</v>
      </c>
      <c r="G117" s="43" t="str">
        <f>_xlfn.XLOOKUP($A117,Map!$A:$A,Map!C:C)</f>
        <v>IS</v>
      </c>
      <c r="H117" s="43" t="str">
        <f>_xlfn.XLOOKUP($A117,Map!$A:$A,Map!D:D)</f>
        <v>Cost of sales</v>
      </c>
      <c r="I117" s="43" t="str">
        <f>_xlfn.XLOOKUP($A117,Map!$A:$A,Map!E:E)</f>
        <v>Direct Labor</v>
      </c>
      <c r="J117" s="43" t="str">
        <f>_xlfn.XLOOKUP($A117,Map!$A:$A,Map!F:F)</f>
        <v>Food and housing</v>
      </c>
    </row>
    <row r="118" spans="1:10" x14ac:dyDescent="0.25">
      <c r="A118">
        <v>520005</v>
      </c>
      <c r="B118" t="s">
        <v>954</v>
      </c>
      <c r="C118" s="116">
        <v>0</v>
      </c>
      <c r="D118" s="116">
        <v>0</v>
      </c>
      <c r="E118" s="116">
        <v>0</v>
      </c>
      <c r="F118" s="116">
        <v>0</v>
      </c>
      <c r="G118" s="43" t="str">
        <f>_xlfn.XLOOKUP($A118,Map!$A:$A,Map!C:C)</f>
        <v>IS</v>
      </c>
      <c r="H118" s="43" t="str">
        <f>_xlfn.XLOOKUP($A118,Map!$A:$A,Map!D:D)</f>
        <v>Cost of sales</v>
      </c>
      <c r="I118" s="43" t="str">
        <f>_xlfn.XLOOKUP($A118,Map!$A:$A,Map!E:E)</f>
        <v>Direct Labor</v>
      </c>
      <c r="J118" s="43" t="str">
        <f>_xlfn.XLOOKUP($A118,Map!$A:$A,Map!F:F)</f>
        <v>Leave pay</v>
      </c>
    </row>
    <row r="119" spans="1:10" x14ac:dyDescent="0.25">
      <c r="A119">
        <v>520006</v>
      </c>
      <c r="B119" t="s">
        <v>955</v>
      </c>
      <c r="C119" s="116">
        <v>0</v>
      </c>
      <c r="D119" s="116">
        <v>222564</v>
      </c>
      <c r="E119" s="116">
        <v>222564</v>
      </c>
      <c r="F119" s="116">
        <v>0</v>
      </c>
      <c r="G119" s="43" t="str">
        <f>_xlfn.XLOOKUP($A119,Map!$A:$A,Map!C:C)</f>
        <v>IS</v>
      </c>
      <c r="H119" s="43" t="str">
        <f>_xlfn.XLOOKUP($A119,Map!$A:$A,Map!D:D)</f>
        <v>Cost of sales</v>
      </c>
      <c r="I119" s="43" t="str">
        <f>_xlfn.XLOOKUP($A119,Map!$A:$A,Map!E:E)</f>
        <v>Direct Labor</v>
      </c>
      <c r="J119" s="43" t="str">
        <f>_xlfn.XLOOKUP($A119,Map!$A:$A,Map!F:F)</f>
        <v>Medical insurance</v>
      </c>
    </row>
    <row r="120" spans="1:10" x14ac:dyDescent="0.25">
      <c r="A120">
        <v>520010</v>
      </c>
      <c r="B120" t="s">
        <v>956</v>
      </c>
      <c r="C120" s="116">
        <v>0</v>
      </c>
      <c r="D120" s="116">
        <v>0</v>
      </c>
      <c r="E120" s="116">
        <v>0</v>
      </c>
      <c r="F120" s="116">
        <v>0</v>
      </c>
      <c r="G120" s="43" t="str">
        <f>_xlfn.XLOOKUP($A120,Map!$A:$A,Map!C:C)</f>
        <v>IS</v>
      </c>
      <c r="H120" s="43" t="str">
        <f>_xlfn.XLOOKUP($A120,Map!$A:$A,Map!D:D)</f>
        <v>Cost of sales</v>
      </c>
      <c r="I120" s="43" t="str">
        <f>_xlfn.XLOOKUP($A120,Map!$A:$A,Map!E:E)</f>
        <v>Direct Labor</v>
      </c>
      <c r="J120" s="43" t="str">
        <f>_xlfn.XLOOKUP($A120,Map!$A:$A,Map!F:F)</f>
        <v>Salaries and wages</v>
      </c>
    </row>
    <row r="121" spans="1:10" x14ac:dyDescent="0.25">
      <c r="A121">
        <v>520011</v>
      </c>
      <c r="B121" t="s">
        <v>951</v>
      </c>
      <c r="C121" s="116">
        <v>0</v>
      </c>
      <c r="D121" s="116">
        <v>424845</v>
      </c>
      <c r="E121" s="116">
        <v>424845</v>
      </c>
      <c r="F121" s="116">
        <v>0</v>
      </c>
      <c r="G121" s="43" t="str">
        <f>_xlfn.XLOOKUP($A121,Map!$A:$A,Map!C:C)</f>
        <v>IS</v>
      </c>
      <c r="H121" s="43" t="str">
        <f>_xlfn.XLOOKUP($A121,Map!$A:$A,Map!D:D)</f>
        <v>Cost of sales</v>
      </c>
      <c r="I121" s="43" t="str">
        <f>_xlfn.XLOOKUP($A121,Map!$A:$A,Map!E:E)</f>
        <v>Direct Labor</v>
      </c>
      <c r="J121" s="43" t="str">
        <f>_xlfn.XLOOKUP($A121,Map!$A:$A,Map!F:F)</f>
        <v>Overtime pay</v>
      </c>
    </row>
    <row r="122" spans="1:10" x14ac:dyDescent="0.25">
      <c r="A122">
        <v>520013</v>
      </c>
      <c r="B122" t="s">
        <v>957</v>
      </c>
      <c r="C122" s="116">
        <v>0</v>
      </c>
      <c r="D122" s="116">
        <v>0</v>
      </c>
      <c r="E122" s="116">
        <v>0</v>
      </c>
      <c r="F122" s="116">
        <v>0</v>
      </c>
      <c r="G122" s="43" t="str">
        <f>_xlfn.XLOOKUP($A122,Map!$A:$A,Map!C:C)</f>
        <v>IS</v>
      </c>
      <c r="H122" s="43" t="str">
        <f>_xlfn.XLOOKUP($A122,Map!$A:$A,Map!D:D)</f>
        <v>Cost of sales</v>
      </c>
      <c r="I122" s="43" t="str">
        <f>_xlfn.XLOOKUP($A122,Map!$A:$A,Map!E:E)</f>
        <v>Direct Labor</v>
      </c>
      <c r="J122" s="43" t="str">
        <f>_xlfn.XLOOKUP($A122,Map!$A:$A,Map!F:F)</f>
        <v>Food and housing</v>
      </c>
    </row>
    <row r="123" spans="1:10" x14ac:dyDescent="0.25">
      <c r="A123">
        <v>520014</v>
      </c>
      <c r="B123" t="s">
        <v>954</v>
      </c>
      <c r="C123" s="116">
        <v>0</v>
      </c>
      <c r="D123" s="116">
        <v>0</v>
      </c>
      <c r="E123" s="116">
        <v>0</v>
      </c>
      <c r="F123" s="116">
        <v>0</v>
      </c>
      <c r="G123" s="43" t="str">
        <f>_xlfn.XLOOKUP($A123,Map!$A:$A,Map!C:C)</f>
        <v>IS</v>
      </c>
      <c r="H123" s="43" t="str">
        <f>_xlfn.XLOOKUP($A123,Map!$A:$A,Map!D:D)</f>
        <v>Cost of sales</v>
      </c>
      <c r="I123" s="43" t="str">
        <f>_xlfn.XLOOKUP($A123,Map!$A:$A,Map!E:E)</f>
        <v>Direct Labor</v>
      </c>
      <c r="J123" s="43" t="str">
        <f>_xlfn.XLOOKUP($A123,Map!$A:$A,Map!F:F)</f>
        <v>Leave pay</v>
      </c>
    </row>
    <row r="124" spans="1:10" x14ac:dyDescent="0.25">
      <c r="A124">
        <v>520021</v>
      </c>
      <c r="B124" t="s">
        <v>962</v>
      </c>
      <c r="C124" s="116">
        <v>0</v>
      </c>
      <c r="D124" s="116">
        <v>66876</v>
      </c>
      <c r="E124" s="116">
        <v>66876</v>
      </c>
      <c r="F124" s="116">
        <v>0</v>
      </c>
      <c r="G124" s="43" t="str">
        <f>_xlfn.XLOOKUP($A124,Map!$A:$A,Map!C:C)</f>
        <v>IS</v>
      </c>
      <c r="H124" s="43" t="str">
        <f>_xlfn.XLOOKUP($A124,Map!$A:$A,Map!D:D)</f>
        <v>Cost of sales</v>
      </c>
      <c r="I124" s="43" t="str">
        <f>_xlfn.XLOOKUP($A124,Map!$A:$A,Map!E:E)</f>
        <v>Direct Labor</v>
      </c>
      <c r="J124" s="43" t="str">
        <f>_xlfn.XLOOKUP($A124,Map!$A:$A,Map!F:F)</f>
        <v>Medical insurance</v>
      </c>
    </row>
    <row r="125" spans="1:10" x14ac:dyDescent="0.25">
      <c r="A125">
        <v>520022</v>
      </c>
      <c r="B125" t="s">
        <v>963</v>
      </c>
      <c r="C125" s="116">
        <v>0</v>
      </c>
      <c r="D125" s="116">
        <v>0</v>
      </c>
      <c r="E125" s="116">
        <v>0</v>
      </c>
      <c r="F125" s="116">
        <v>0</v>
      </c>
      <c r="G125" s="43" t="str">
        <f>_xlfn.XLOOKUP($A125,Map!$A:$A,Map!C:C)</f>
        <v>IS</v>
      </c>
      <c r="H125" s="43" t="str">
        <f>_xlfn.XLOOKUP($A125,Map!$A:$A,Map!D:D)</f>
        <v>Cost of sales</v>
      </c>
      <c r="I125" s="43" t="str">
        <f>_xlfn.XLOOKUP($A125,Map!$A:$A,Map!E:E)</f>
        <v>Direct Labor</v>
      </c>
      <c r="J125" s="43" t="str">
        <f>_xlfn.XLOOKUP($A125,Map!$A:$A,Map!F:F)</f>
        <v>Iqama renewal</v>
      </c>
    </row>
    <row r="126" spans="1:10" x14ac:dyDescent="0.25">
      <c r="A126">
        <v>520023</v>
      </c>
      <c r="B126" t="s">
        <v>964</v>
      </c>
      <c r="C126" s="116">
        <v>0</v>
      </c>
      <c r="D126" s="116">
        <v>52811.705000000002</v>
      </c>
      <c r="E126" s="116">
        <v>52811.705000000002</v>
      </c>
      <c r="F126" s="116">
        <v>0</v>
      </c>
      <c r="G126" s="43" t="str">
        <f>_xlfn.XLOOKUP($A126,Map!$A:$A,Map!C:C)</f>
        <v>IS</v>
      </c>
      <c r="H126" s="43" t="str">
        <f>_xlfn.XLOOKUP($A126,Map!$A:$A,Map!D:D)</f>
        <v>Cost of sales</v>
      </c>
      <c r="I126" s="43" t="str">
        <f>_xlfn.XLOOKUP($A126,Map!$A:$A,Map!E:E)</f>
        <v>Direct Labor</v>
      </c>
      <c r="J126" s="43" t="str">
        <f>_xlfn.XLOOKUP($A126,Map!$A:$A,Map!F:F)</f>
        <v>Medical insurance</v>
      </c>
    </row>
    <row r="127" spans="1:10" x14ac:dyDescent="0.25">
      <c r="A127">
        <v>520032</v>
      </c>
      <c r="B127" t="s">
        <v>965</v>
      </c>
      <c r="C127" s="116">
        <v>0</v>
      </c>
      <c r="D127" s="116">
        <v>0</v>
      </c>
      <c r="E127" s="116">
        <v>0</v>
      </c>
      <c r="F127" s="116">
        <v>0</v>
      </c>
      <c r="G127" s="43" t="str">
        <f>_xlfn.XLOOKUP($A127,Map!$A:$A,Map!C:C)</f>
        <v>IS</v>
      </c>
      <c r="H127" s="43" t="str">
        <f>_xlfn.XLOOKUP($A127,Map!$A:$A,Map!D:D)</f>
        <v>Cost of sales</v>
      </c>
      <c r="I127" s="43" t="str">
        <f>_xlfn.XLOOKUP($A127,Map!$A:$A,Map!E:E)</f>
        <v>Raw materials</v>
      </c>
      <c r="J127" s="43" t="str">
        <f>_xlfn.XLOOKUP($A127,Map!$A:$A,Map!F:F)</f>
        <v>Consumables</v>
      </c>
    </row>
    <row r="128" spans="1:10" x14ac:dyDescent="0.25">
      <c r="A128">
        <v>520036</v>
      </c>
      <c r="B128" t="s">
        <v>966</v>
      </c>
      <c r="C128" s="116">
        <v>0</v>
      </c>
      <c r="D128" s="116">
        <v>0.16900000000000001</v>
      </c>
      <c r="E128" s="116">
        <v>0.16900000000000001</v>
      </c>
      <c r="F128" s="116">
        <v>0</v>
      </c>
      <c r="G128" s="43" t="str">
        <f>_xlfn.XLOOKUP($A128,Map!$A:$A,Map!C:C)</f>
        <v>IS</v>
      </c>
      <c r="H128" s="43" t="str">
        <f>_xlfn.XLOOKUP($A128,Map!$A:$A,Map!D:D)</f>
        <v>Cost of sales</v>
      </c>
      <c r="I128" s="43" t="str">
        <f>_xlfn.XLOOKUP($A128,Map!$A:$A,Map!E:E)</f>
        <v>Raw materials</v>
      </c>
      <c r="J128" s="43" t="str">
        <f>_xlfn.XLOOKUP($A128,Map!$A:$A,Map!F:F)</f>
        <v>Raw materials</v>
      </c>
    </row>
    <row r="129" spans="1:10" x14ac:dyDescent="0.25">
      <c r="A129">
        <v>520037</v>
      </c>
      <c r="B129" t="s">
        <v>967</v>
      </c>
      <c r="C129" s="116">
        <v>0</v>
      </c>
      <c r="D129" s="116">
        <v>1038394.732</v>
      </c>
      <c r="E129" s="116">
        <v>1038394.732</v>
      </c>
      <c r="F129" s="116">
        <v>0</v>
      </c>
      <c r="G129" s="43" t="str">
        <f>_xlfn.XLOOKUP($A129,Map!$A:$A,Map!C:C)</f>
        <v>IS</v>
      </c>
      <c r="H129" s="43" t="str">
        <f>_xlfn.XLOOKUP($A129,Map!$A:$A,Map!D:D)</f>
        <v>Cost of sales</v>
      </c>
      <c r="I129" s="43" t="str">
        <f>_xlfn.XLOOKUP($A129,Map!$A:$A,Map!E:E)</f>
        <v>Raw materials</v>
      </c>
      <c r="J129" s="43" t="str">
        <f>_xlfn.XLOOKUP($A129,Map!$A:$A,Map!F:F)</f>
        <v>Raw materials</v>
      </c>
    </row>
    <row r="130" spans="1:10" x14ac:dyDescent="0.25">
      <c r="A130">
        <v>520040</v>
      </c>
      <c r="B130" t="s">
        <v>969</v>
      </c>
      <c r="C130" s="116">
        <v>0</v>
      </c>
      <c r="D130" s="116">
        <v>0</v>
      </c>
      <c r="E130" s="116">
        <v>0</v>
      </c>
      <c r="F130" s="116">
        <v>0</v>
      </c>
      <c r="G130" s="43" t="str">
        <f>_xlfn.XLOOKUP($A130,Map!$A:$A,Map!C:C)</f>
        <v>IS</v>
      </c>
      <c r="H130" s="43" t="str">
        <f>_xlfn.XLOOKUP($A130,Map!$A:$A,Map!D:D)</f>
        <v>Cost of sales</v>
      </c>
      <c r="I130" s="43" t="str">
        <f>_xlfn.XLOOKUP($A130,Map!$A:$A,Map!E:E)</f>
        <v>Raw materials</v>
      </c>
      <c r="J130" s="43" t="str">
        <f>_xlfn.XLOOKUP($A130,Map!$A:$A,Map!F:F)</f>
        <v>Other expenses</v>
      </c>
    </row>
    <row r="131" spans="1:10" x14ac:dyDescent="0.25">
      <c r="A131">
        <v>520041</v>
      </c>
      <c r="B131" t="s">
        <v>970</v>
      </c>
      <c r="C131" s="116">
        <v>0</v>
      </c>
      <c r="D131" s="116">
        <v>16687754.013</v>
      </c>
      <c r="E131" s="116">
        <v>16687754.013</v>
      </c>
      <c r="F131" s="116">
        <v>0</v>
      </c>
      <c r="G131" s="43" t="str">
        <f>_xlfn.XLOOKUP($A131,Map!$A:$A,Map!C:C)</f>
        <v>IS</v>
      </c>
      <c r="H131" s="43" t="str">
        <f>_xlfn.XLOOKUP($A131,Map!$A:$A,Map!D:D)</f>
        <v>Cost of sales</v>
      </c>
      <c r="I131" s="43" t="str">
        <f>_xlfn.XLOOKUP($A131,Map!$A:$A,Map!E:E)</f>
        <v>Raw materials</v>
      </c>
      <c r="J131" s="43" t="str">
        <f>_xlfn.XLOOKUP($A131,Map!$A:$A,Map!F:F)</f>
        <v>Other expenses</v>
      </c>
    </row>
    <row r="132" spans="1:10" x14ac:dyDescent="0.25">
      <c r="A132">
        <v>520042</v>
      </c>
      <c r="B132" t="s">
        <v>971</v>
      </c>
      <c r="C132" s="116">
        <v>0</v>
      </c>
      <c r="D132" s="116">
        <v>10803957.657</v>
      </c>
      <c r="E132" s="116">
        <v>10803957.657</v>
      </c>
      <c r="F132" s="116">
        <v>0</v>
      </c>
      <c r="G132" s="43" t="str">
        <f>_xlfn.XLOOKUP($A132,Map!$A:$A,Map!C:C)</f>
        <v>IS</v>
      </c>
      <c r="H132" s="43" t="str">
        <f>_xlfn.XLOOKUP($A132,Map!$A:$A,Map!D:D)</f>
        <v>Cost of sales</v>
      </c>
      <c r="I132" s="43" t="str">
        <f>_xlfn.XLOOKUP($A132,Map!$A:$A,Map!E:E)</f>
        <v>Raw materials</v>
      </c>
      <c r="J132" s="43" t="str">
        <f>_xlfn.XLOOKUP($A132,Map!$A:$A,Map!F:F)</f>
        <v>Inventory Adjustment</v>
      </c>
    </row>
    <row r="133" spans="1:10" x14ac:dyDescent="0.25">
      <c r="A133">
        <v>600001</v>
      </c>
      <c r="B133" t="s">
        <v>979</v>
      </c>
      <c r="C133" s="116">
        <v>0</v>
      </c>
      <c r="D133" s="116">
        <v>2326195.5</v>
      </c>
      <c r="E133" s="116">
        <v>2326195.5</v>
      </c>
      <c r="F133" s="116">
        <v>0</v>
      </c>
      <c r="G133" s="43" t="str">
        <f>_xlfn.XLOOKUP($A133,Map!$A:$A,Map!C:C)</f>
        <v>IS</v>
      </c>
      <c r="H133" s="43" t="str">
        <f>_xlfn.XLOOKUP($A133,Map!$A:$A,Map!D:D)</f>
        <v>Cost of sales</v>
      </c>
      <c r="I133" s="43" t="str">
        <f>_xlfn.XLOOKUP($A133,Map!$A:$A,Map!E:E)</f>
        <v>Overhead - Labor Cost</v>
      </c>
      <c r="J133" s="43" t="str">
        <f>_xlfn.XLOOKUP($A133,Map!$A:$A,Map!F:F)</f>
        <v>Indirect Salaries — factory supervisory / indirect floor labour (COGS)</v>
      </c>
    </row>
    <row r="134" spans="1:10" x14ac:dyDescent="0.25">
      <c r="A134">
        <v>600002</v>
      </c>
      <c r="B134" t="s">
        <v>980</v>
      </c>
      <c r="C134" s="116">
        <v>0</v>
      </c>
      <c r="D134" s="116">
        <v>408675</v>
      </c>
      <c r="E134" s="116">
        <v>408675</v>
      </c>
      <c r="F134" s="116">
        <v>0</v>
      </c>
      <c r="G134" s="43" t="str">
        <f>_xlfn.XLOOKUP($A134,Map!$A:$A,Map!C:C)</f>
        <v>IS</v>
      </c>
      <c r="H134" s="43" t="str">
        <f>_xlfn.XLOOKUP($A134,Map!$A:$A,Map!D:D)</f>
        <v>Cost of sales</v>
      </c>
      <c r="I134" s="43" t="str">
        <f>_xlfn.XLOOKUP($A134,Map!$A:$A,Map!E:E)</f>
        <v>Overhead - Labor Cost</v>
      </c>
      <c r="J134" s="43" t="str">
        <f>_xlfn.XLOOKUP($A134,Map!$A:$A,Map!F:F)</f>
        <v>Overtime pay</v>
      </c>
    </row>
    <row r="135" spans="1:10" x14ac:dyDescent="0.25">
      <c r="A135">
        <v>600003</v>
      </c>
      <c r="B135" t="s">
        <v>981</v>
      </c>
      <c r="C135" s="116">
        <v>0</v>
      </c>
      <c r="D135" s="116">
        <v>406582.76</v>
      </c>
      <c r="E135" s="116">
        <v>406582.76</v>
      </c>
      <c r="F135" s="116">
        <v>0</v>
      </c>
      <c r="G135" s="43" t="str">
        <f>_xlfn.XLOOKUP($A135,Map!$A:$A,Map!C:C)</f>
        <v>IS</v>
      </c>
      <c r="H135" s="43" t="str">
        <f>_xlfn.XLOOKUP($A135,Map!$A:$A,Map!D:D)</f>
        <v>Cost of sales</v>
      </c>
      <c r="I135" s="43" t="str">
        <f>_xlfn.XLOOKUP($A135,Map!$A:$A,Map!E:E)</f>
        <v>Overhead - Labor Cost</v>
      </c>
      <c r="J135" s="43" t="str">
        <f>_xlfn.XLOOKUP($A135,Map!$A:$A,Map!F:F)</f>
        <v xml:space="preserve">Food &amp; Housing </v>
      </c>
    </row>
    <row r="136" spans="1:10" x14ac:dyDescent="0.25">
      <c r="A136">
        <v>600004</v>
      </c>
      <c r="B136" t="s">
        <v>982</v>
      </c>
      <c r="C136" s="116">
        <v>0</v>
      </c>
      <c r="D136" s="116">
        <v>137202</v>
      </c>
      <c r="E136" s="116">
        <v>137202</v>
      </c>
      <c r="F136" s="116">
        <v>0</v>
      </c>
      <c r="G136" s="43" t="str">
        <f>_xlfn.XLOOKUP($A136,Map!$A:$A,Map!C:C)</f>
        <v>IS</v>
      </c>
      <c r="H136" s="43" t="str">
        <f>_xlfn.XLOOKUP($A136,Map!$A:$A,Map!D:D)</f>
        <v>Cost of sales</v>
      </c>
      <c r="I136" s="43" t="str">
        <f>_xlfn.XLOOKUP($A136,Map!$A:$A,Map!E:E)</f>
        <v>Overhead - Labor Cost</v>
      </c>
      <c r="J136" s="43" t="str">
        <f>_xlfn.XLOOKUP($A136,Map!$A:$A,Map!F:F)</f>
        <v>Medical insurance</v>
      </c>
    </row>
    <row r="137" spans="1:10" x14ac:dyDescent="0.25">
      <c r="A137">
        <v>600005</v>
      </c>
      <c r="B137" t="s">
        <v>983</v>
      </c>
      <c r="C137" s="116">
        <v>0</v>
      </c>
      <c r="D137" s="116">
        <v>1216863.5490000001</v>
      </c>
      <c r="E137" s="116">
        <v>1216863.5490000001</v>
      </c>
      <c r="F137" s="116">
        <v>0</v>
      </c>
      <c r="G137" s="43" t="str">
        <f>_xlfn.XLOOKUP($A137,Map!$A:$A,Map!C:C)</f>
        <v>IS</v>
      </c>
      <c r="H137" s="43" t="str">
        <f>_xlfn.XLOOKUP($A137,Map!$A:$A,Map!D:D)</f>
        <v>General and Admin</v>
      </c>
      <c r="I137" s="43" t="str">
        <f>_xlfn.XLOOKUP($A137,Map!$A:$A,Map!E:E)</f>
        <v>Govt license and fees (including modon)</v>
      </c>
      <c r="J137" s="43" t="str">
        <f>_xlfn.XLOOKUP($A137,Map!$A:$A,Map!F:F)</f>
        <v>Government fees</v>
      </c>
    </row>
    <row r="138" spans="1:10" x14ac:dyDescent="0.25">
      <c r="A138">
        <v>600006</v>
      </c>
      <c r="B138" t="s">
        <v>984</v>
      </c>
      <c r="C138" s="116">
        <v>0</v>
      </c>
      <c r="D138" s="116">
        <v>663421.11</v>
      </c>
      <c r="E138" s="116">
        <v>663421.11</v>
      </c>
      <c r="F138" s="116">
        <v>0</v>
      </c>
      <c r="G138" s="43" t="str">
        <f>_xlfn.XLOOKUP($A138,Map!$A:$A,Map!C:C)</f>
        <v>IS</v>
      </c>
      <c r="H138" s="43" t="str">
        <f>_xlfn.XLOOKUP($A138,Map!$A:$A,Map!D:D)</f>
        <v>Cost of sales</v>
      </c>
      <c r="I138" s="43" t="str">
        <f>_xlfn.XLOOKUP($A138,Map!$A:$A,Map!E:E)</f>
        <v>Overhead - Labor Cost</v>
      </c>
      <c r="J138" s="43" t="str">
        <f>_xlfn.XLOOKUP($A138,Map!$A:$A,Map!F:F)</f>
        <v xml:space="preserve">Food &amp; Housing </v>
      </c>
    </row>
    <row r="139" spans="1:10" x14ac:dyDescent="0.25">
      <c r="A139">
        <v>600007</v>
      </c>
      <c r="B139" t="s">
        <v>985</v>
      </c>
      <c r="C139" s="116">
        <v>0</v>
      </c>
      <c r="D139" s="116">
        <v>160242</v>
      </c>
      <c r="E139" s="116">
        <v>160242</v>
      </c>
      <c r="F139" s="116">
        <v>0</v>
      </c>
      <c r="G139" s="43" t="str">
        <f>_xlfn.XLOOKUP($A139,Map!$A:$A,Map!C:C)</f>
        <v>IS</v>
      </c>
      <c r="H139" s="43" t="str">
        <f>_xlfn.XLOOKUP($A139,Map!$A:$A,Map!D:D)</f>
        <v>Cost of sales</v>
      </c>
      <c r="I139" s="43" t="str">
        <f>_xlfn.XLOOKUP($A139,Map!$A:$A,Map!E:E)</f>
        <v>Overhead - Labor Cost</v>
      </c>
      <c r="J139" s="43" t="str">
        <f>_xlfn.XLOOKUP($A139,Map!$A:$A,Map!F:F)</f>
        <v>Transportation allowance</v>
      </c>
    </row>
    <row r="140" spans="1:10" x14ac:dyDescent="0.25">
      <c r="A140">
        <v>600008</v>
      </c>
      <c r="B140" t="s">
        <v>986</v>
      </c>
      <c r="C140" s="116">
        <v>0</v>
      </c>
      <c r="D140" s="116">
        <v>421563.03</v>
      </c>
      <c r="E140" s="116">
        <v>421563.03</v>
      </c>
      <c r="F140" s="116">
        <v>0</v>
      </c>
      <c r="G140" s="43" t="str">
        <f>_xlfn.XLOOKUP($A140,Map!$A:$A,Map!C:C)</f>
        <v>IS</v>
      </c>
      <c r="H140" s="43" t="str">
        <f>_xlfn.XLOOKUP($A140,Map!$A:$A,Map!D:D)</f>
        <v>Cost of sales</v>
      </c>
      <c r="I140" s="43" t="str">
        <f>_xlfn.XLOOKUP($A140,Map!$A:$A,Map!E:E)</f>
        <v>Overhead - Labor Cost</v>
      </c>
      <c r="J140" s="43" t="str">
        <f>_xlfn.XLOOKUP($A140,Map!$A:$A,Map!F:F)</f>
        <v>Air tickets</v>
      </c>
    </row>
    <row r="141" spans="1:10" x14ac:dyDescent="0.25">
      <c r="A141">
        <v>600009</v>
      </c>
      <c r="B141" t="s">
        <v>987</v>
      </c>
      <c r="C141" s="116">
        <v>0</v>
      </c>
      <c r="D141" s="116">
        <v>193286</v>
      </c>
      <c r="E141" s="116">
        <v>193286</v>
      </c>
      <c r="F141" s="116">
        <v>0</v>
      </c>
      <c r="G141" s="43" t="str">
        <f>_xlfn.XLOOKUP($A141,Map!$A:$A,Map!C:C)</f>
        <v>IS</v>
      </c>
      <c r="H141" s="43" t="str">
        <f>_xlfn.XLOOKUP($A141,Map!$A:$A,Map!D:D)</f>
        <v>Cost of sales</v>
      </c>
      <c r="I141" s="43" t="str">
        <f>_xlfn.XLOOKUP($A141,Map!$A:$A,Map!E:E)</f>
        <v>Overhead - Labor Cost</v>
      </c>
      <c r="J141" s="43" t="str">
        <f>_xlfn.XLOOKUP($A141,Map!$A:$A,Map!F:F)</f>
        <v>Vacation pay</v>
      </c>
    </row>
    <row r="142" spans="1:10" x14ac:dyDescent="0.25">
      <c r="A142">
        <v>600010</v>
      </c>
      <c r="B142" t="s">
        <v>988</v>
      </c>
      <c r="C142" s="116">
        <v>0</v>
      </c>
      <c r="D142" s="116">
        <v>0</v>
      </c>
      <c r="E142" s="116">
        <v>0</v>
      </c>
      <c r="F142" s="116">
        <v>0</v>
      </c>
      <c r="G142" s="43" t="str">
        <f>_xlfn.XLOOKUP($A142,Map!$A:$A,Map!C:C)</f>
        <v>IS</v>
      </c>
      <c r="H142" s="43" t="str">
        <f>_xlfn.XLOOKUP($A142,Map!$A:$A,Map!D:D)</f>
        <v>Cost of sales</v>
      </c>
      <c r="I142" s="43" t="str">
        <f>_xlfn.XLOOKUP($A142,Map!$A:$A,Map!E:E)</f>
        <v>Overhead - Labor Cost</v>
      </c>
      <c r="J142" s="43" t="str">
        <f>_xlfn.XLOOKUP($A142,Map!$A:$A,Map!F:F)</f>
        <v>EOS expenses</v>
      </c>
    </row>
    <row r="143" spans="1:10" x14ac:dyDescent="0.25">
      <c r="A143">
        <v>600011</v>
      </c>
      <c r="B143" t="s">
        <v>989</v>
      </c>
      <c r="C143" s="116">
        <v>0</v>
      </c>
      <c r="D143" s="116">
        <v>14500</v>
      </c>
      <c r="E143" s="116">
        <v>14500</v>
      </c>
      <c r="F143" s="116">
        <v>0</v>
      </c>
      <c r="G143" s="43" t="str">
        <f>_xlfn.XLOOKUP($A143,Map!$A:$A,Map!C:C)</f>
        <v>IS</v>
      </c>
      <c r="H143" s="43" t="str">
        <f>_xlfn.XLOOKUP($A143,Map!$A:$A,Map!D:D)</f>
        <v>Cost of sales</v>
      </c>
      <c r="I143" s="43" t="str">
        <f>_xlfn.XLOOKUP($A143,Map!$A:$A,Map!E:E)</f>
        <v>Overhead - Labor Cost</v>
      </c>
      <c r="J143" s="43" t="str">
        <f>_xlfn.XLOOKUP($A143,Map!$A:$A,Map!F:F)</f>
        <v>Air tickets</v>
      </c>
    </row>
    <row r="144" spans="1:10" x14ac:dyDescent="0.25">
      <c r="A144">
        <v>600012</v>
      </c>
      <c r="B144" t="s">
        <v>990</v>
      </c>
      <c r="C144" s="116">
        <v>0</v>
      </c>
      <c r="D144" s="116">
        <v>1535</v>
      </c>
      <c r="E144" s="116">
        <v>1535</v>
      </c>
      <c r="F144" s="116">
        <v>0</v>
      </c>
      <c r="G144" s="43" t="str">
        <f>_xlfn.XLOOKUP($A144,Map!$A:$A,Map!C:C)</f>
        <v>IS</v>
      </c>
      <c r="H144" s="43" t="str">
        <f>_xlfn.XLOOKUP($A144,Map!$A:$A,Map!D:D)</f>
        <v>Cost of sales</v>
      </c>
      <c r="I144" s="43" t="str">
        <f>_xlfn.XLOOKUP($A144,Map!$A:$A,Map!E:E)</f>
        <v>Overhead - Labor Cost</v>
      </c>
      <c r="J144" s="43" t="str">
        <f>_xlfn.XLOOKUP($A144,Map!$A:$A,Map!F:F)</f>
        <v xml:space="preserve">Education &amp; Furniture Allowances </v>
      </c>
    </row>
    <row r="145" spans="1:10" x14ac:dyDescent="0.25">
      <c r="A145">
        <v>600013</v>
      </c>
      <c r="B145" t="s">
        <v>991</v>
      </c>
      <c r="C145" s="116">
        <v>0</v>
      </c>
      <c r="D145" s="116">
        <v>0</v>
      </c>
      <c r="E145" s="116">
        <v>0</v>
      </c>
      <c r="F145" s="116">
        <v>0</v>
      </c>
      <c r="G145" s="43" t="str">
        <f>_xlfn.XLOOKUP($A145,Map!$A:$A,Map!C:C)</f>
        <v>IS</v>
      </c>
      <c r="H145" s="43" t="str">
        <f>_xlfn.XLOOKUP($A145,Map!$A:$A,Map!D:D)</f>
        <v>Cost of sales</v>
      </c>
      <c r="I145" s="43" t="str">
        <f>_xlfn.XLOOKUP($A145,Map!$A:$A,Map!E:E)</f>
        <v>Overhead - Labor Cost</v>
      </c>
      <c r="J145" s="43" t="str">
        <f>_xlfn.XLOOKUP($A145,Map!$A:$A,Map!F:F)</f>
        <v>Telephone allowance</v>
      </c>
    </row>
    <row r="146" spans="1:10" x14ac:dyDescent="0.25">
      <c r="A146">
        <v>600014</v>
      </c>
      <c r="B146" t="s">
        <v>884</v>
      </c>
      <c r="C146" s="116">
        <v>0</v>
      </c>
      <c r="D146" s="116">
        <v>1654321.1340000001</v>
      </c>
      <c r="E146" s="116">
        <v>1654321.1340000001</v>
      </c>
      <c r="F146" s="116">
        <v>0</v>
      </c>
      <c r="G146" s="43" t="str">
        <f>_xlfn.XLOOKUP($A146,Map!$A:$A,Map!C:C)</f>
        <v>IS</v>
      </c>
      <c r="H146" s="43" t="str">
        <f>_xlfn.XLOOKUP($A146,Map!$A:$A,Map!D:D)</f>
        <v>Cost of sales</v>
      </c>
      <c r="I146" s="43" t="str">
        <f>_xlfn.XLOOKUP($A146,Map!$A:$A,Map!E:E)</f>
        <v>Overhead - Consumables &amp; SP</v>
      </c>
      <c r="J146" s="43" t="str">
        <f>_xlfn.XLOOKUP($A146,Map!$A:$A,Map!F:F)</f>
        <v>Consumables</v>
      </c>
    </row>
    <row r="147" spans="1:10" x14ac:dyDescent="0.25">
      <c r="A147">
        <v>600015</v>
      </c>
      <c r="B147" t="s">
        <v>992</v>
      </c>
      <c r="C147" s="116">
        <v>0</v>
      </c>
      <c r="D147" s="116">
        <v>0</v>
      </c>
      <c r="E147" s="116">
        <v>0</v>
      </c>
      <c r="F147" s="116">
        <v>0</v>
      </c>
      <c r="G147" s="43" t="str">
        <f>_xlfn.XLOOKUP($A147,Map!$A:$A,Map!C:C)</f>
        <v>IS</v>
      </c>
      <c r="H147" s="43" t="str">
        <f>_xlfn.XLOOKUP($A147,Map!$A:$A,Map!D:D)</f>
        <v>Cost of sales</v>
      </c>
      <c r="I147" s="43" t="str">
        <f>_xlfn.XLOOKUP($A147,Map!$A:$A,Map!E:E)</f>
        <v>Overhead - Consumables &amp; SP</v>
      </c>
      <c r="J147" s="43" t="str">
        <f>_xlfn.XLOOKUP($A147,Map!$A:$A,Map!F:F)</f>
        <v>Consumables</v>
      </c>
    </row>
    <row r="148" spans="1:10" x14ac:dyDescent="0.25">
      <c r="A148">
        <v>600016</v>
      </c>
      <c r="B148" t="s">
        <v>993</v>
      </c>
      <c r="C148" s="116">
        <v>0</v>
      </c>
      <c r="D148" s="116">
        <v>1872605.669</v>
      </c>
      <c r="E148" s="116">
        <v>1872605.669</v>
      </c>
      <c r="F148" s="116">
        <v>0</v>
      </c>
      <c r="G148" s="43" t="str">
        <f>_xlfn.XLOOKUP($A148,Map!$A:$A,Map!C:C)</f>
        <v>IS</v>
      </c>
      <c r="H148" s="43" t="str">
        <f>_xlfn.XLOOKUP($A148,Map!$A:$A,Map!D:D)</f>
        <v>Cost of sales</v>
      </c>
      <c r="I148" s="43" t="str">
        <f>_xlfn.XLOOKUP($A148,Map!$A:$A,Map!E:E)</f>
        <v>Overhead - Consumables &amp; SP</v>
      </c>
      <c r="J148" s="43" t="str">
        <f>_xlfn.XLOOKUP($A148,Map!$A:$A,Map!F:F)</f>
        <v>Tools</v>
      </c>
    </row>
    <row r="149" spans="1:10" x14ac:dyDescent="0.25">
      <c r="A149">
        <v>600017</v>
      </c>
      <c r="B149" t="s">
        <v>994</v>
      </c>
      <c r="C149" s="116">
        <v>0</v>
      </c>
      <c r="D149" s="116">
        <v>2268897.7000000002</v>
      </c>
      <c r="E149" s="116">
        <v>2268897.7000000002</v>
      </c>
      <c r="F149" s="116">
        <v>0</v>
      </c>
      <c r="G149" s="43" t="str">
        <f>_xlfn.XLOOKUP($A149,Map!$A:$A,Map!C:C)</f>
        <v>IS</v>
      </c>
      <c r="H149" s="43" t="str">
        <f>_xlfn.XLOOKUP($A149,Map!$A:$A,Map!D:D)</f>
        <v>Cost of sales</v>
      </c>
      <c r="I149" s="43" t="str">
        <f>_xlfn.XLOOKUP($A149,Map!$A:$A,Map!E:E)</f>
        <v>Overhead - Utility</v>
      </c>
      <c r="J149" s="43" t="str">
        <f>_xlfn.XLOOKUP($A149,Map!$A:$A,Map!F:F)</f>
        <v>Electricity expenses</v>
      </c>
    </row>
    <row r="150" spans="1:10" x14ac:dyDescent="0.25">
      <c r="A150">
        <v>600018</v>
      </c>
      <c r="B150" t="s">
        <v>995</v>
      </c>
      <c r="C150" s="116">
        <v>0</v>
      </c>
      <c r="D150" s="116">
        <v>216247</v>
      </c>
      <c r="E150" s="116">
        <v>216247</v>
      </c>
      <c r="F150" s="116">
        <v>0</v>
      </c>
      <c r="G150" s="43" t="str">
        <f>_xlfn.XLOOKUP($A150,Map!$A:$A,Map!C:C)</f>
        <v>IS</v>
      </c>
      <c r="H150" s="43" t="str">
        <f>_xlfn.XLOOKUP($A150,Map!$A:$A,Map!D:D)</f>
        <v>Cost of sales</v>
      </c>
      <c r="I150" s="43" t="str">
        <f>_xlfn.XLOOKUP($A150,Map!$A:$A,Map!E:E)</f>
        <v>Overhead - Utility</v>
      </c>
      <c r="J150" s="43" t="str">
        <f>_xlfn.XLOOKUP($A150,Map!$A:$A,Map!F:F)</f>
        <v>Water expenses</v>
      </c>
    </row>
    <row r="151" spans="1:10" x14ac:dyDescent="0.25">
      <c r="A151">
        <v>600019</v>
      </c>
      <c r="B151" t="s">
        <v>996</v>
      </c>
      <c r="C151" s="116">
        <v>0</v>
      </c>
      <c r="D151" s="116">
        <v>118151.98299999999</v>
      </c>
      <c r="E151" s="116">
        <v>118151.98299999999</v>
      </c>
      <c r="F151" s="116">
        <v>0</v>
      </c>
      <c r="G151" s="43" t="str">
        <f>_xlfn.XLOOKUP($A151,Map!$A:$A,Map!C:C)</f>
        <v>IS</v>
      </c>
      <c r="H151" s="43" t="str">
        <f>_xlfn.XLOOKUP($A151,Map!$A:$A,Map!D:D)</f>
        <v>Cost of sales</v>
      </c>
      <c r="I151" s="43" t="str">
        <f>_xlfn.XLOOKUP($A151,Map!$A:$A,Map!E:E)</f>
        <v>Overhead - Utility</v>
      </c>
      <c r="J151" s="43" t="str">
        <f>_xlfn.XLOOKUP($A151,Map!$A:$A,Map!F:F)</f>
        <v>Fuel and oil</v>
      </c>
    </row>
    <row r="152" spans="1:10" x14ac:dyDescent="0.25">
      <c r="A152">
        <v>600020</v>
      </c>
      <c r="B152" t="s">
        <v>997</v>
      </c>
      <c r="C152" s="116">
        <v>0</v>
      </c>
      <c r="D152" s="116">
        <v>212023.36499999999</v>
      </c>
      <c r="E152" s="116">
        <v>212023.36499999999</v>
      </c>
      <c r="F152" s="116">
        <v>0</v>
      </c>
      <c r="G152" s="43" t="str">
        <f>_xlfn.XLOOKUP($A152,Map!$A:$A,Map!C:C)</f>
        <v>IS</v>
      </c>
      <c r="H152" s="43" t="str">
        <f>_xlfn.XLOOKUP($A152,Map!$A:$A,Map!D:D)</f>
        <v>Cost of sales</v>
      </c>
      <c r="I152" s="43" t="str">
        <f>_xlfn.XLOOKUP($A152,Map!$A:$A,Map!E:E)</f>
        <v>Overhead - R&amp;M</v>
      </c>
      <c r="J152" s="43" t="str">
        <f>_xlfn.XLOOKUP($A152,Map!$A:$A,Map!F:F)</f>
        <v>Machine and equipment</v>
      </c>
    </row>
    <row r="153" spans="1:10" x14ac:dyDescent="0.25">
      <c r="A153">
        <v>600021</v>
      </c>
      <c r="B153" t="s">
        <v>998</v>
      </c>
      <c r="C153" s="116">
        <v>0</v>
      </c>
      <c r="D153" s="116">
        <v>50408.18</v>
      </c>
      <c r="E153" s="116">
        <v>50408.18</v>
      </c>
      <c r="F153" s="116">
        <v>0</v>
      </c>
      <c r="G153" s="43" t="str">
        <f>_xlfn.XLOOKUP($A153,Map!$A:$A,Map!C:C)</f>
        <v>IS</v>
      </c>
      <c r="H153" s="43" t="str">
        <f>_xlfn.XLOOKUP($A153,Map!$A:$A,Map!D:D)</f>
        <v>Cost of sales</v>
      </c>
      <c r="I153" s="43" t="str">
        <f>_xlfn.XLOOKUP($A153,Map!$A:$A,Map!E:E)</f>
        <v>Overhead - R&amp;M</v>
      </c>
      <c r="J153" s="43" t="str">
        <f>_xlfn.XLOOKUP($A153,Map!$A:$A,Map!F:F)</f>
        <v>Vehicle maintenance</v>
      </c>
    </row>
    <row r="154" spans="1:10" x14ac:dyDescent="0.25">
      <c r="A154">
        <v>600022</v>
      </c>
      <c r="B154" t="s">
        <v>999</v>
      </c>
      <c r="C154" s="116">
        <v>0</v>
      </c>
      <c r="D154" s="116">
        <v>40689.25</v>
      </c>
      <c r="E154" s="116">
        <v>40689.25</v>
      </c>
      <c r="F154" s="116">
        <v>0</v>
      </c>
      <c r="G154" s="43" t="str">
        <f>_xlfn.XLOOKUP($A154,Map!$A:$A,Map!C:C)</f>
        <v>IS</v>
      </c>
      <c r="H154" s="43" t="str">
        <f>_xlfn.XLOOKUP($A154,Map!$A:$A,Map!D:D)</f>
        <v>Cost of sales</v>
      </c>
      <c r="I154" s="43" t="str">
        <f>_xlfn.XLOOKUP($A154,Map!$A:$A,Map!E:E)</f>
        <v>Overhead - R&amp;M</v>
      </c>
      <c r="J154" s="43" t="str">
        <f>_xlfn.XLOOKUP($A154,Map!$A:$A,Map!F:F)</f>
        <v>Building maintenance</v>
      </c>
    </row>
    <row r="155" spans="1:10" x14ac:dyDescent="0.25">
      <c r="A155">
        <v>600023</v>
      </c>
      <c r="B155" t="s">
        <v>1000</v>
      </c>
      <c r="C155" s="116">
        <v>0</v>
      </c>
      <c r="D155" s="116">
        <v>4014</v>
      </c>
      <c r="E155" s="116">
        <v>4014</v>
      </c>
      <c r="F155" s="116">
        <v>0</v>
      </c>
      <c r="G155" s="43" t="str">
        <f>_xlfn.XLOOKUP($A155,Map!$A:$A,Map!C:C)</f>
        <v>IS</v>
      </c>
      <c r="H155" s="43" t="str">
        <f>_xlfn.XLOOKUP($A155,Map!$A:$A,Map!D:D)</f>
        <v>Cost of sales</v>
      </c>
      <c r="I155" s="43" t="str">
        <f>_xlfn.XLOOKUP($A155,Map!$A:$A,Map!E:E)</f>
        <v>Overhead - R&amp;M</v>
      </c>
      <c r="J155" s="43" t="str">
        <f>_xlfn.XLOOKUP($A155,Map!$A:$A,Map!F:F)</f>
        <v>Office equipment maintenance</v>
      </c>
    </row>
    <row r="156" spans="1:10" x14ac:dyDescent="0.25">
      <c r="A156">
        <v>600024</v>
      </c>
      <c r="B156" t="s">
        <v>1001</v>
      </c>
      <c r="C156" s="116">
        <v>0</v>
      </c>
      <c r="D156" s="116">
        <v>7663.95</v>
      </c>
      <c r="E156" s="116">
        <v>7663.95</v>
      </c>
      <c r="F156" s="116">
        <v>0</v>
      </c>
      <c r="G156" s="43" t="str">
        <f>_xlfn.XLOOKUP($A156,Map!$A:$A,Map!C:C)</f>
        <v>IS</v>
      </c>
      <c r="H156" s="43" t="str">
        <f>_xlfn.XLOOKUP($A156,Map!$A:$A,Map!D:D)</f>
        <v>Cost of sales</v>
      </c>
      <c r="I156" s="43" t="str">
        <f>_xlfn.XLOOKUP($A156,Map!$A:$A,Map!E:E)</f>
        <v>Overhead - Rent</v>
      </c>
      <c r="J156" s="43" t="str">
        <f>_xlfn.XLOOKUP($A156,Map!$A:$A,Map!F:F)</f>
        <v>Pump rental expenses</v>
      </c>
    </row>
    <row r="157" spans="1:10" x14ac:dyDescent="0.25">
      <c r="A157">
        <v>600025</v>
      </c>
      <c r="B157" t="s">
        <v>1002</v>
      </c>
      <c r="C157" s="116">
        <v>0</v>
      </c>
      <c r="D157" s="116">
        <v>320</v>
      </c>
      <c r="E157" s="116">
        <v>320</v>
      </c>
      <c r="F157" s="116">
        <v>0</v>
      </c>
      <c r="G157" s="43" t="str">
        <f>_xlfn.XLOOKUP($A157,Map!$A:$A,Map!C:C)</f>
        <v>IS</v>
      </c>
      <c r="H157" s="43" t="str">
        <f>_xlfn.XLOOKUP($A157,Map!$A:$A,Map!D:D)</f>
        <v>Cost of sales</v>
      </c>
      <c r="I157" s="43" t="str">
        <f>_xlfn.XLOOKUP($A157,Map!$A:$A,Map!E:E)</f>
        <v>Overhead - Insurance</v>
      </c>
      <c r="J157" s="43" t="str">
        <f>_xlfn.XLOOKUP($A157,Map!$A:$A,Map!F:F)</f>
        <v>Building insurance</v>
      </c>
    </row>
    <row r="158" spans="1:10" x14ac:dyDescent="0.25">
      <c r="A158">
        <v>600026</v>
      </c>
      <c r="B158" t="s">
        <v>1003</v>
      </c>
      <c r="C158" s="116">
        <v>0</v>
      </c>
      <c r="D158" s="116">
        <v>0</v>
      </c>
      <c r="E158" s="116">
        <v>0</v>
      </c>
      <c r="F158" s="116">
        <v>0</v>
      </c>
      <c r="G158" s="43" t="str">
        <f>_xlfn.XLOOKUP($A158,Map!$A:$A,Map!C:C)</f>
        <v>IS</v>
      </c>
      <c r="H158" s="43" t="str">
        <f>_xlfn.XLOOKUP($A158,Map!$A:$A,Map!D:D)</f>
        <v>Cost of sales</v>
      </c>
      <c r="I158" s="43" t="str">
        <f>_xlfn.XLOOKUP($A158,Map!$A:$A,Map!E:E)</f>
        <v>Overhead - Insurance</v>
      </c>
      <c r="J158" s="43" t="str">
        <f>_xlfn.XLOOKUP($A158,Map!$A:$A,Map!F:F)</f>
        <v>Machine and equipment insurance</v>
      </c>
    </row>
    <row r="159" spans="1:10" x14ac:dyDescent="0.25">
      <c r="A159">
        <v>600027</v>
      </c>
      <c r="B159" t="s">
        <v>1004</v>
      </c>
      <c r="C159" s="116">
        <v>0</v>
      </c>
      <c r="D159" s="116">
        <v>203399</v>
      </c>
      <c r="E159" s="116">
        <v>203399</v>
      </c>
      <c r="F159" s="116">
        <v>0</v>
      </c>
      <c r="G159" s="43" t="str">
        <f>_xlfn.XLOOKUP($A159,Map!$A:$A,Map!C:C)</f>
        <v>IS</v>
      </c>
      <c r="H159" s="43" t="str">
        <f>_xlfn.XLOOKUP($A159,Map!$A:$A,Map!D:D)</f>
        <v>Cost of sales</v>
      </c>
      <c r="I159" s="43" t="str">
        <f>_xlfn.XLOOKUP($A159,Map!$A:$A,Map!E:E)</f>
        <v>Overhead - Rent</v>
      </c>
      <c r="J159" s="43" t="str">
        <f>_xlfn.XLOOKUP($A159,Map!$A:$A,Map!F:F)</f>
        <v>Production hall rental</v>
      </c>
    </row>
    <row r="160" spans="1:10" x14ac:dyDescent="0.25">
      <c r="A160">
        <v>600028</v>
      </c>
      <c r="B160" t="s">
        <v>1005</v>
      </c>
      <c r="C160" s="116">
        <v>0</v>
      </c>
      <c r="D160" s="116">
        <v>118089.66</v>
      </c>
      <c r="E160" s="116">
        <v>118089.66</v>
      </c>
      <c r="F160" s="116">
        <v>0</v>
      </c>
      <c r="G160" s="43" t="str">
        <f>_xlfn.XLOOKUP($A160,Map!$A:$A,Map!C:C)</f>
        <v>IS</v>
      </c>
      <c r="H160" s="43" t="str">
        <f>_xlfn.XLOOKUP($A160,Map!$A:$A,Map!D:D)</f>
        <v>Cost of sales</v>
      </c>
      <c r="I160" s="43" t="str">
        <f>_xlfn.XLOOKUP($A160,Map!$A:$A,Map!E:E)</f>
        <v>Overhead - Consumables &amp; SP</v>
      </c>
      <c r="J160" s="43" t="str">
        <f>_xlfn.XLOOKUP($A160,Map!$A:$A,Map!F:F)</f>
        <v xml:space="preserve">Education &amp; Furniture Allowances </v>
      </c>
    </row>
    <row r="161" spans="1:10" x14ac:dyDescent="0.25">
      <c r="A161">
        <v>600029</v>
      </c>
      <c r="B161" t="s">
        <v>1006</v>
      </c>
      <c r="C161" s="116">
        <v>0</v>
      </c>
      <c r="D161" s="116">
        <v>4715632.3930000002</v>
      </c>
      <c r="E161" s="116">
        <v>4715632.3930000002</v>
      </c>
      <c r="F161" s="116">
        <v>0</v>
      </c>
      <c r="G161" s="43" t="str">
        <f>_xlfn.XLOOKUP($A161,Map!$A:$A,Map!C:C)</f>
        <v>IS</v>
      </c>
      <c r="H161" s="43" t="str">
        <f>_xlfn.XLOOKUP($A161,Map!$A:$A,Map!D:D)</f>
        <v>Cost of sales</v>
      </c>
      <c r="I161" s="43" t="str">
        <f>_xlfn.XLOOKUP($A161,Map!$A:$A,Map!E:E)</f>
        <v>Depreciation - Machines</v>
      </c>
      <c r="J161" s="43" t="str">
        <f>_xlfn.XLOOKUP($A161,Map!$A:$A,Map!F:F)</f>
        <v>Depreciation of property, plant and equipment</v>
      </c>
    </row>
    <row r="162" spans="1:10" x14ac:dyDescent="0.25">
      <c r="A162">
        <v>600030</v>
      </c>
      <c r="B162" t="s">
        <v>1007</v>
      </c>
      <c r="C162" s="116">
        <v>0</v>
      </c>
      <c r="D162" s="116">
        <v>44636.800000000003</v>
      </c>
      <c r="E162" s="116">
        <v>44636.800000000003</v>
      </c>
      <c r="F162" s="116">
        <v>0</v>
      </c>
      <c r="G162" s="43" t="str">
        <f>_xlfn.XLOOKUP($A162,Map!$A:$A,Map!C:C)</f>
        <v>IS</v>
      </c>
      <c r="H162" s="43" t="str">
        <f>_xlfn.XLOOKUP($A162,Map!$A:$A,Map!D:D)</f>
        <v>Depreciation expenses</v>
      </c>
      <c r="I162" s="43" t="str">
        <f>_xlfn.XLOOKUP($A162,Map!$A:$A,Map!E:E)</f>
        <v>Depreciation expenses</v>
      </c>
      <c r="J162" s="43" t="str">
        <f>_xlfn.XLOOKUP($A162,Map!$A:$A,Map!F:F)</f>
        <v>Depreciation of property, plant and equipment</v>
      </c>
    </row>
    <row r="163" spans="1:10" x14ac:dyDescent="0.25">
      <c r="A163">
        <v>600031</v>
      </c>
      <c r="B163" t="s">
        <v>1008</v>
      </c>
      <c r="C163" s="116">
        <v>0</v>
      </c>
      <c r="D163" s="116">
        <v>14498.33</v>
      </c>
      <c r="E163" s="116">
        <v>14498.33</v>
      </c>
      <c r="F163" s="116">
        <v>0</v>
      </c>
      <c r="G163" s="43" t="str">
        <f>_xlfn.XLOOKUP($A163,Map!$A:$A,Map!C:C)</f>
        <v>IS</v>
      </c>
      <c r="H163" s="43" t="str">
        <f>_xlfn.XLOOKUP($A163,Map!$A:$A,Map!D:D)</f>
        <v>Depreciation expenses</v>
      </c>
      <c r="I163" s="43" t="str">
        <f>_xlfn.XLOOKUP($A163,Map!$A:$A,Map!E:E)</f>
        <v>Depreciation expenses</v>
      </c>
      <c r="J163" s="43" t="str">
        <f>_xlfn.XLOOKUP($A163,Map!$A:$A,Map!F:F)</f>
        <v>Depreciation of property, plant and equipment</v>
      </c>
    </row>
    <row r="164" spans="1:10" x14ac:dyDescent="0.25">
      <c r="A164">
        <v>600032</v>
      </c>
      <c r="B164" t="s">
        <v>1009</v>
      </c>
      <c r="C164" s="116">
        <v>0</v>
      </c>
      <c r="D164" s="116">
        <v>445185.70500000002</v>
      </c>
      <c r="E164" s="116">
        <v>445185.70500000002</v>
      </c>
      <c r="F164" s="116">
        <v>0</v>
      </c>
      <c r="G164" s="43" t="str">
        <f>_xlfn.XLOOKUP($A164,Map!$A:$A,Map!C:C)</f>
        <v>IS</v>
      </c>
      <c r="H164" s="43" t="str">
        <f>_xlfn.XLOOKUP($A164,Map!$A:$A,Map!D:D)</f>
        <v>Depreciation expenses</v>
      </c>
      <c r="I164" s="43" t="str">
        <f>_xlfn.XLOOKUP($A164,Map!$A:$A,Map!E:E)</f>
        <v>Depreciation expenses</v>
      </c>
      <c r="J164" s="43" t="str">
        <f>_xlfn.XLOOKUP($A164,Map!$A:$A,Map!F:F)</f>
        <v>Depreciation of property, plant and equipment</v>
      </c>
    </row>
    <row r="165" spans="1:10" x14ac:dyDescent="0.25">
      <c r="A165">
        <v>600033</v>
      </c>
      <c r="B165" t="s">
        <v>1010</v>
      </c>
      <c r="C165" s="116">
        <v>0</v>
      </c>
      <c r="D165" s="116">
        <v>24787</v>
      </c>
      <c r="E165" s="116">
        <v>24787</v>
      </c>
      <c r="F165" s="116">
        <v>0</v>
      </c>
      <c r="G165" s="43" t="str">
        <f>_xlfn.XLOOKUP($A165,Map!$A:$A,Map!C:C)</f>
        <v>IS</v>
      </c>
      <c r="H165" s="43" t="str">
        <f>_xlfn.XLOOKUP($A165,Map!$A:$A,Map!D:D)</f>
        <v>Depreciation expenses</v>
      </c>
      <c r="I165" s="43" t="str">
        <f>_xlfn.XLOOKUP($A165,Map!$A:$A,Map!E:E)</f>
        <v>Depreciation expenses</v>
      </c>
      <c r="J165" s="43" t="str">
        <f>_xlfn.XLOOKUP($A165,Map!$A:$A,Map!F:F)</f>
        <v>Depreciation of property, plant and equipment</v>
      </c>
    </row>
    <row r="166" spans="1:10" x14ac:dyDescent="0.25">
      <c r="A166">
        <v>700001</v>
      </c>
      <c r="B166" t="s">
        <v>1023</v>
      </c>
      <c r="C166" s="116">
        <v>0</v>
      </c>
      <c r="D166" s="116">
        <v>4662999.53</v>
      </c>
      <c r="E166" s="116">
        <v>644907</v>
      </c>
      <c r="F166" s="116">
        <v>4018092.53</v>
      </c>
      <c r="G166" s="43" t="str">
        <f>_xlfn.XLOOKUP($A166,Map!$A:$A,Map!C:C)</f>
        <v>IS</v>
      </c>
      <c r="H166" s="43" t="str">
        <f>_xlfn.XLOOKUP($A166,Map!$A:$A,Map!D:D)</f>
        <v>General and Admin</v>
      </c>
      <c r="I166" s="43" t="str">
        <f>_xlfn.XLOOKUP($A166,Map!$A:$A,Map!E:E)</f>
        <v>Salaries and wages</v>
      </c>
      <c r="J166" s="43" t="str">
        <f>_xlfn.XLOOKUP($A166,Map!$A:$A,Map!F:F)</f>
        <v>Salaries and wages</v>
      </c>
    </row>
    <row r="167" spans="1:10" x14ac:dyDescent="0.25">
      <c r="A167">
        <v>700002</v>
      </c>
      <c r="B167" t="s">
        <v>1024</v>
      </c>
      <c r="C167" s="116">
        <v>0</v>
      </c>
      <c r="D167" s="116">
        <v>131634</v>
      </c>
      <c r="E167" s="116">
        <v>127.875</v>
      </c>
      <c r="F167" s="116">
        <v>131506.125</v>
      </c>
      <c r="G167" s="43" t="str">
        <f>_xlfn.XLOOKUP($A167,Map!$A:$A,Map!C:C)</f>
        <v>IS</v>
      </c>
      <c r="H167" s="43" t="str">
        <f>_xlfn.XLOOKUP($A167,Map!$A:$A,Map!D:D)</f>
        <v>General and Admin</v>
      </c>
      <c r="I167" s="43" t="str">
        <f>_xlfn.XLOOKUP($A167,Map!$A:$A,Map!E:E)</f>
        <v>Salaries and wages</v>
      </c>
      <c r="J167" s="43" t="str">
        <f>_xlfn.XLOOKUP($A167,Map!$A:$A,Map!F:F)</f>
        <v>Overtime pay</v>
      </c>
    </row>
    <row r="168" spans="1:10" x14ac:dyDescent="0.25">
      <c r="A168">
        <v>700003</v>
      </c>
      <c r="B168" t="s">
        <v>1152</v>
      </c>
      <c r="C168" s="116">
        <v>0</v>
      </c>
      <c r="D168" s="116">
        <v>15574</v>
      </c>
      <c r="E168" s="116">
        <v>800</v>
      </c>
      <c r="F168" s="116">
        <v>14774</v>
      </c>
      <c r="G168" s="43" t="str">
        <f>_xlfn.XLOOKUP($A168,Map!$A:$A,Map!C:C)</f>
        <v>IS</v>
      </c>
      <c r="H168" s="43" t="str">
        <f>_xlfn.XLOOKUP($A168,Map!$A:$A,Map!D:D)</f>
        <v>General and Admin</v>
      </c>
      <c r="I168" s="43" t="str">
        <f>_xlfn.XLOOKUP($A168,Map!$A:$A,Map!E:E)</f>
        <v>Salaries and wages</v>
      </c>
      <c r="J168" s="43" t="str">
        <f>_xlfn.XLOOKUP($A168,Map!$A:$A,Map!F:F)</f>
        <v xml:space="preserve">Food &amp; Housing </v>
      </c>
    </row>
    <row r="169" spans="1:10" x14ac:dyDescent="0.25">
      <c r="A169">
        <v>700004</v>
      </c>
      <c r="B169" t="s">
        <v>1026</v>
      </c>
      <c r="C169" s="116">
        <v>0</v>
      </c>
      <c r="D169" s="116">
        <v>218640</v>
      </c>
      <c r="E169" s="116">
        <v>0</v>
      </c>
      <c r="F169" s="116">
        <v>218640</v>
      </c>
      <c r="G169" s="43" t="str">
        <f>_xlfn.XLOOKUP($A169,Map!$A:$A,Map!C:C)</f>
        <v>IS</v>
      </c>
      <c r="H169" s="43" t="str">
        <f>_xlfn.XLOOKUP($A169,Map!$A:$A,Map!D:D)</f>
        <v>General and Admin</v>
      </c>
      <c r="I169" s="43" t="str">
        <f>_xlfn.XLOOKUP($A169,Map!$A:$A,Map!E:E)</f>
        <v>Salaries and wages</v>
      </c>
      <c r="J169" s="43" t="str">
        <f>_xlfn.XLOOKUP($A169,Map!$A:$A,Map!F:F)</f>
        <v>Medical insurance</v>
      </c>
    </row>
    <row r="170" spans="1:10" x14ac:dyDescent="0.25">
      <c r="A170">
        <v>700005</v>
      </c>
      <c r="B170" t="s">
        <v>1027</v>
      </c>
      <c r="C170" s="116">
        <v>0</v>
      </c>
      <c r="D170" s="116">
        <v>319341.755</v>
      </c>
      <c r="E170" s="116">
        <v>164891.489</v>
      </c>
      <c r="F170" s="116">
        <v>154450.266</v>
      </c>
      <c r="G170" s="43" t="str">
        <f>_xlfn.XLOOKUP($A170,Map!$A:$A,Map!C:C)</f>
        <v>IS</v>
      </c>
      <c r="H170" s="43" t="str">
        <f>_xlfn.XLOOKUP($A170,Map!$A:$A,Map!D:D)</f>
        <v>General and Admin</v>
      </c>
      <c r="I170" s="43" t="str">
        <f>_xlfn.XLOOKUP($A170,Map!$A:$A,Map!E:E)</f>
        <v>Govt license and fees (including modon)</v>
      </c>
      <c r="J170" s="43" t="str">
        <f>_xlfn.XLOOKUP($A170,Map!$A:$A,Map!F:F)</f>
        <v>Government fees</v>
      </c>
    </row>
    <row r="171" spans="1:10" x14ac:dyDescent="0.25">
      <c r="A171">
        <v>700006</v>
      </c>
      <c r="B171" t="s">
        <v>1028</v>
      </c>
      <c r="C171" s="116">
        <v>0</v>
      </c>
      <c r="D171" s="116">
        <v>834708.48600000003</v>
      </c>
      <c r="E171" s="116">
        <v>0</v>
      </c>
      <c r="F171" s="116">
        <v>834708.48600000003</v>
      </c>
      <c r="G171" s="43" t="str">
        <f>_xlfn.XLOOKUP($A171,Map!$A:$A,Map!C:C)</f>
        <v>IS</v>
      </c>
      <c r="H171" s="43" t="str">
        <f>_xlfn.XLOOKUP($A171,Map!$A:$A,Map!D:D)</f>
        <v>General and Admin</v>
      </c>
      <c r="I171" s="43" t="str">
        <f>_xlfn.XLOOKUP($A171,Map!$A:$A,Map!E:E)</f>
        <v>Salaries and wages</v>
      </c>
      <c r="J171" s="43" t="str">
        <f>_xlfn.XLOOKUP($A171,Map!$A:$A,Map!F:F)</f>
        <v xml:space="preserve">Food &amp; Housing </v>
      </c>
    </row>
    <row r="172" spans="1:10" x14ac:dyDescent="0.25">
      <c r="A172">
        <v>700007</v>
      </c>
      <c r="B172" t="s">
        <v>1029</v>
      </c>
      <c r="C172" s="116">
        <v>0</v>
      </c>
      <c r="D172" s="116">
        <v>459183</v>
      </c>
      <c r="E172" s="116">
        <v>0</v>
      </c>
      <c r="F172" s="116">
        <v>459183</v>
      </c>
      <c r="G172" s="43" t="str">
        <f>_xlfn.XLOOKUP($A172,Map!$A:$A,Map!C:C)</f>
        <v>IS</v>
      </c>
      <c r="H172" s="43" t="str">
        <f>_xlfn.XLOOKUP($A172,Map!$A:$A,Map!D:D)</f>
        <v>General and Admin</v>
      </c>
      <c r="I172" s="43" t="str">
        <f>_xlfn.XLOOKUP($A172,Map!$A:$A,Map!E:E)</f>
        <v>Salaries and wages</v>
      </c>
      <c r="J172" s="43" t="str">
        <f>_xlfn.XLOOKUP($A172,Map!$A:$A,Map!F:F)</f>
        <v>Transportation allowance</v>
      </c>
    </row>
    <row r="173" spans="1:10" x14ac:dyDescent="0.25">
      <c r="A173">
        <v>700008</v>
      </c>
      <c r="B173" t="s">
        <v>1030</v>
      </c>
      <c r="C173" s="116">
        <v>0</v>
      </c>
      <c r="D173" s="116">
        <v>87301.263000000006</v>
      </c>
      <c r="E173" s="116">
        <v>0</v>
      </c>
      <c r="F173" s="116">
        <v>87301.263000000006</v>
      </c>
      <c r="G173" s="43" t="str">
        <f>_xlfn.XLOOKUP($A173,Map!$A:$A,Map!C:C)</f>
        <v>IS</v>
      </c>
      <c r="H173" s="43" t="str">
        <f>_xlfn.XLOOKUP($A173,Map!$A:$A,Map!D:D)</f>
        <v>General and Admin</v>
      </c>
      <c r="I173" s="43" t="str">
        <f>_xlfn.XLOOKUP($A173,Map!$A:$A,Map!E:E)</f>
        <v>Salaries and wages</v>
      </c>
      <c r="J173" s="43" t="str">
        <f>_xlfn.XLOOKUP($A173,Map!$A:$A,Map!F:F)</f>
        <v>Air tickets</v>
      </c>
    </row>
    <row r="174" spans="1:10" x14ac:dyDescent="0.25">
      <c r="A174">
        <v>700009</v>
      </c>
      <c r="B174" t="s">
        <v>1031</v>
      </c>
      <c r="C174" s="116">
        <v>0</v>
      </c>
      <c r="D174" s="116">
        <v>319535.33</v>
      </c>
      <c r="E174" s="116">
        <v>0</v>
      </c>
      <c r="F174" s="116">
        <v>319535.33</v>
      </c>
      <c r="G174" s="43" t="str">
        <f>_xlfn.XLOOKUP($A174,Map!$A:$A,Map!C:C)</f>
        <v>IS</v>
      </c>
      <c r="H174" s="43" t="str">
        <f>_xlfn.XLOOKUP($A174,Map!$A:$A,Map!D:D)</f>
        <v>General and Admin</v>
      </c>
      <c r="I174" s="43" t="str">
        <f>_xlfn.XLOOKUP($A174,Map!$A:$A,Map!E:E)</f>
        <v>Salaries and wages</v>
      </c>
      <c r="J174" s="43" t="str">
        <f>_xlfn.XLOOKUP($A174,Map!$A:$A,Map!F:F)</f>
        <v>Leave pay</v>
      </c>
    </row>
    <row r="175" spans="1:10" x14ac:dyDescent="0.25">
      <c r="A175">
        <v>700010</v>
      </c>
      <c r="B175" t="s">
        <v>1032</v>
      </c>
      <c r="C175" s="116">
        <v>0</v>
      </c>
      <c r="D175" s="116">
        <v>1791347</v>
      </c>
      <c r="E175" s="116">
        <v>1251058.52</v>
      </c>
      <c r="F175" s="116">
        <v>540288.48</v>
      </c>
      <c r="G175" s="43" t="str">
        <f>_xlfn.XLOOKUP($A175,Map!$A:$A,Map!C:C)</f>
        <v>IS</v>
      </c>
      <c r="H175" s="43" t="str">
        <f>_xlfn.XLOOKUP($A175,Map!$A:$A,Map!D:D)</f>
        <v>General and Admin</v>
      </c>
      <c r="I175" s="43" t="str">
        <f>_xlfn.XLOOKUP($A175,Map!$A:$A,Map!E:E)</f>
        <v>Salaries and wages</v>
      </c>
      <c r="J175" s="43" t="str">
        <f>_xlfn.XLOOKUP($A175,Map!$A:$A,Map!F:F)</f>
        <v>Indemnities</v>
      </c>
    </row>
    <row r="176" spans="1:10" x14ac:dyDescent="0.25">
      <c r="A176">
        <v>700011</v>
      </c>
      <c r="B176" t="s">
        <v>1033</v>
      </c>
      <c r="C176" s="116">
        <v>0</v>
      </c>
      <c r="D176" s="116">
        <v>103177.996</v>
      </c>
      <c r="E176" s="116">
        <v>0</v>
      </c>
      <c r="F176" s="116">
        <v>103177.996</v>
      </c>
      <c r="G176" s="43" t="str">
        <f>_xlfn.XLOOKUP($A176,Map!$A:$A,Map!C:C)</f>
        <v>IS</v>
      </c>
      <c r="H176" s="43" t="str">
        <f>_xlfn.XLOOKUP($A176,Map!$A:$A,Map!D:D)</f>
        <v>General and Admin</v>
      </c>
      <c r="I176" s="43" t="str">
        <f>_xlfn.XLOOKUP($A176,Map!$A:$A,Map!E:E)</f>
        <v>Salaries and wages</v>
      </c>
      <c r="J176" s="43" t="str">
        <f>_xlfn.XLOOKUP($A176,Map!$A:$A,Map!F:F)</f>
        <v>Air tickets</v>
      </c>
    </row>
    <row r="177" spans="1:10" x14ac:dyDescent="0.25">
      <c r="A177">
        <v>700012</v>
      </c>
      <c r="B177" t="s">
        <v>1034</v>
      </c>
      <c r="C177" s="116">
        <v>0</v>
      </c>
      <c r="D177" s="116">
        <v>243205</v>
      </c>
      <c r="E177" s="116">
        <v>0</v>
      </c>
      <c r="F177" s="116">
        <v>243205</v>
      </c>
      <c r="G177" s="43" t="str">
        <f>_xlfn.XLOOKUP($A177,Map!$A:$A,Map!C:C)</f>
        <v>IS</v>
      </c>
      <c r="H177" s="43" t="str">
        <f>_xlfn.XLOOKUP($A177,Map!$A:$A,Map!D:D)</f>
        <v>General and Admin</v>
      </c>
      <c r="I177" s="43" t="str">
        <f>_xlfn.XLOOKUP($A177,Map!$A:$A,Map!E:E)</f>
        <v>Salaries and wages</v>
      </c>
      <c r="J177" s="43" t="str">
        <f>_xlfn.XLOOKUP($A177,Map!$A:$A,Map!F:F)</f>
        <v xml:space="preserve">Education &amp; Furniture Allowances </v>
      </c>
    </row>
    <row r="178" spans="1:10" x14ac:dyDescent="0.25">
      <c r="A178">
        <v>700013</v>
      </c>
      <c r="B178" t="s">
        <v>1035</v>
      </c>
      <c r="C178" s="116">
        <v>0</v>
      </c>
      <c r="D178" s="116">
        <v>121645</v>
      </c>
      <c r="E178" s="116">
        <v>12791</v>
      </c>
      <c r="F178" s="116">
        <v>108854</v>
      </c>
      <c r="G178" s="43" t="str">
        <f>_xlfn.XLOOKUP($A178,Map!$A:$A,Map!C:C)</f>
        <v>IS</v>
      </c>
      <c r="H178" s="43" t="str">
        <f>_xlfn.XLOOKUP($A178,Map!$A:$A,Map!D:D)</f>
        <v>General and Admin</v>
      </c>
      <c r="I178" s="43" t="str">
        <f>_xlfn.XLOOKUP($A178,Map!$A:$A,Map!E:E)</f>
        <v>Utilities</v>
      </c>
      <c r="J178" s="43" t="str">
        <f>_xlfn.XLOOKUP($A178,Map!$A:$A,Map!F:F)</f>
        <v>Other general and administrative expenses</v>
      </c>
    </row>
    <row r="179" spans="1:10" x14ac:dyDescent="0.25">
      <c r="A179">
        <v>700014</v>
      </c>
      <c r="B179" t="s">
        <v>1036</v>
      </c>
      <c r="C179" s="116">
        <v>0</v>
      </c>
      <c r="D179" s="116">
        <v>8000</v>
      </c>
      <c r="E179" s="116">
        <v>0</v>
      </c>
      <c r="F179" s="116">
        <v>8000</v>
      </c>
      <c r="G179" s="43" t="str">
        <f>_xlfn.XLOOKUP($A179,Map!$A:$A,Map!C:C)</f>
        <v>IS</v>
      </c>
      <c r="H179" s="43" t="str">
        <f>_xlfn.XLOOKUP($A179,Map!$A:$A,Map!D:D)</f>
        <v>General and Admin</v>
      </c>
      <c r="I179" s="43" t="str">
        <f>_xlfn.XLOOKUP($A179,Map!$A:$A,Map!E:E)</f>
        <v>Salaries and wages</v>
      </c>
      <c r="J179" s="43" t="str">
        <f>_xlfn.XLOOKUP($A179,Map!$A:$A,Map!F:F)</f>
        <v xml:space="preserve">Education &amp; Furniture Allowances </v>
      </c>
    </row>
    <row r="180" spans="1:10" x14ac:dyDescent="0.25">
      <c r="A180">
        <v>700015</v>
      </c>
      <c r="B180" t="s">
        <v>1037</v>
      </c>
      <c r="C180" s="116">
        <v>0</v>
      </c>
      <c r="D180" s="116">
        <v>90044.5</v>
      </c>
      <c r="E180" s="116">
        <v>0</v>
      </c>
      <c r="F180" s="116">
        <v>90044.5</v>
      </c>
      <c r="G180" s="43" t="str">
        <f>_xlfn.XLOOKUP($A180,Map!$A:$A,Map!C:C)</f>
        <v>IS</v>
      </c>
      <c r="H180" s="43" t="str">
        <f>_xlfn.XLOOKUP($A180,Map!$A:$A,Map!D:D)</f>
        <v>General and Admin</v>
      </c>
      <c r="I180" s="43" t="str">
        <f>_xlfn.XLOOKUP($A180,Map!$A:$A,Map!E:E)</f>
        <v>Business travel</v>
      </c>
      <c r="J180" s="43" t="str">
        <f>_xlfn.XLOOKUP($A180,Map!$A:$A,Map!F:F)</f>
        <v>Transportation expenses</v>
      </c>
    </row>
    <row r="181" spans="1:10" x14ac:dyDescent="0.25">
      <c r="A181">
        <v>700016</v>
      </c>
      <c r="B181" t="s">
        <v>1038</v>
      </c>
      <c r="C181" s="116">
        <v>0</v>
      </c>
      <c r="D181" s="116">
        <v>8847.7800000000007</v>
      </c>
      <c r="E181" s="116">
        <v>0</v>
      </c>
      <c r="F181" s="116">
        <v>8847.7800000000007</v>
      </c>
      <c r="G181" s="43" t="str">
        <f>_xlfn.XLOOKUP($A181,Map!$A:$A,Map!C:C)</f>
        <v>IS</v>
      </c>
      <c r="H181" s="43" t="str">
        <f>_xlfn.XLOOKUP($A181,Map!$A:$A,Map!D:D)</f>
        <v>Selling and Marketing</v>
      </c>
      <c r="I181" s="43" t="str">
        <f>_xlfn.XLOOKUP($A181,Map!$A:$A,Map!E:E)</f>
        <v>Buffet expenses</v>
      </c>
      <c r="J181" s="43" t="str">
        <f>_xlfn.XLOOKUP($A181,Map!$A:$A,Map!F:F)</f>
        <v>Food expenses</v>
      </c>
    </row>
    <row r="182" spans="1:10" x14ac:dyDescent="0.25">
      <c r="A182">
        <v>700017</v>
      </c>
      <c r="B182" t="s">
        <v>1039</v>
      </c>
      <c r="C182" s="116">
        <v>0</v>
      </c>
      <c r="D182" s="116">
        <v>1420</v>
      </c>
      <c r="E182" s="116">
        <v>0</v>
      </c>
      <c r="F182" s="116">
        <v>1420</v>
      </c>
      <c r="G182" s="43" t="str">
        <f>_xlfn.XLOOKUP($A182,Map!$A:$A,Map!C:C)</f>
        <v>IS</v>
      </c>
      <c r="H182" s="43" t="str">
        <f>_xlfn.XLOOKUP($A182,Map!$A:$A,Map!D:D)</f>
        <v>General and Admin</v>
      </c>
      <c r="I182" s="43" t="str">
        <f>_xlfn.XLOOKUP($A182,Map!$A:$A,Map!E:E)</f>
        <v>Salaries and wages</v>
      </c>
      <c r="J182" s="43" t="str">
        <f>_xlfn.XLOOKUP($A182,Map!$A:$A,Map!F:F)</f>
        <v>Accommodation expenses</v>
      </c>
    </row>
    <row r="183" spans="1:10" x14ac:dyDescent="0.25">
      <c r="A183">
        <v>700018</v>
      </c>
      <c r="B183" t="s">
        <v>1040</v>
      </c>
      <c r="C183" s="116">
        <v>0</v>
      </c>
      <c r="D183" s="116">
        <v>65539.53</v>
      </c>
      <c r="E183" s="116">
        <v>123</v>
      </c>
      <c r="F183" s="116">
        <v>65416.53</v>
      </c>
      <c r="G183" s="43" t="str">
        <f>_xlfn.XLOOKUP($A183,Map!$A:$A,Map!C:C)</f>
        <v>IS</v>
      </c>
      <c r="H183" s="43" t="str">
        <f>_xlfn.XLOOKUP($A183,Map!$A:$A,Map!D:D)</f>
        <v>General and Admin</v>
      </c>
      <c r="I183" s="43" t="str">
        <f>_xlfn.XLOOKUP($A183,Map!$A:$A,Map!E:E)</f>
        <v>Salaries and wages</v>
      </c>
      <c r="J183" s="43" t="str">
        <f>_xlfn.XLOOKUP($A183,Map!$A:$A,Map!F:F)</f>
        <v xml:space="preserve">Employee Medical Emergency Expenses </v>
      </c>
    </row>
    <row r="184" spans="1:10" x14ac:dyDescent="0.25">
      <c r="A184">
        <v>700019</v>
      </c>
      <c r="B184" t="s">
        <v>1041</v>
      </c>
      <c r="C184" s="116">
        <v>0</v>
      </c>
      <c r="D184" s="116">
        <v>139079</v>
      </c>
      <c r="E184" s="116">
        <v>0</v>
      </c>
      <c r="F184" s="116">
        <v>139079</v>
      </c>
      <c r="G184" s="43" t="str">
        <f>_xlfn.XLOOKUP($A184,Map!$A:$A,Map!C:C)</f>
        <v>IS</v>
      </c>
      <c r="H184" s="43" t="str">
        <f>_xlfn.XLOOKUP($A184,Map!$A:$A,Map!D:D)</f>
        <v>General and Admin</v>
      </c>
      <c r="I184" s="43" t="str">
        <f>_xlfn.XLOOKUP($A184,Map!$A:$A,Map!E:E)</f>
        <v>Salaries and wages</v>
      </c>
      <c r="J184" s="43" t="str">
        <f>_xlfn.XLOOKUP($A184,Map!$A:$A,Map!F:F)</f>
        <v xml:space="preserve">Incentives </v>
      </c>
    </row>
    <row r="185" spans="1:10" x14ac:dyDescent="0.25">
      <c r="A185">
        <v>700020</v>
      </c>
      <c r="B185" t="s">
        <v>1042</v>
      </c>
      <c r="C185" s="116">
        <v>0</v>
      </c>
      <c r="D185" s="116">
        <v>95406.95</v>
      </c>
      <c r="E185" s="116">
        <v>0</v>
      </c>
      <c r="F185" s="116">
        <v>95406.95</v>
      </c>
      <c r="G185" s="43" t="str">
        <f>_xlfn.XLOOKUP($A185,Map!$A:$A,Map!C:C)</f>
        <v>IS</v>
      </c>
      <c r="H185" s="43" t="str">
        <f>_xlfn.XLOOKUP($A185,Map!$A:$A,Map!D:D)</f>
        <v>General and Admin</v>
      </c>
      <c r="I185" s="43" t="str">
        <f>_xlfn.XLOOKUP($A185,Map!$A:$A,Map!E:E)</f>
        <v>Utilities</v>
      </c>
      <c r="J185" s="43" t="str">
        <f>_xlfn.XLOOKUP($A185,Map!$A:$A,Map!F:F)</f>
        <v>Electricity expenses</v>
      </c>
    </row>
    <row r="186" spans="1:10" x14ac:dyDescent="0.25">
      <c r="A186">
        <v>700021</v>
      </c>
      <c r="B186" t="s">
        <v>1043</v>
      </c>
      <c r="C186" s="116">
        <v>0</v>
      </c>
      <c r="D186" s="116">
        <v>24785</v>
      </c>
      <c r="E186" s="116">
        <v>0</v>
      </c>
      <c r="F186" s="116">
        <v>24785</v>
      </c>
      <c r="G186" s="43" t="str">
        <f>_xlfn.XLOOKUP($A186,Map!$A:$A,Map!C:C)</f>
        <v>IS</v>
      </c>
      <c r="H186" s="43" t="str">
        <f>_xlfn.XLOOKUP($A186,Map!$A:$A,Map!D:D)</f>
        <v>General and Admin</v>
      </c>
      <c r="I186" s="43" t="str">
        <f>_xlfn.XLOOKUP($A186,Map!$A:$A,Map!E:E)</f>
        <v>Utilities</v>
      </c>
      <c r="J186" s="43" t="str">
        <f>_xlfn.XLOOKUP($A186,Map!$A:$A,Map!F:F)</f>
        <v>Other general and administrative expenses</v>
      </c>
    </row>
    <row r="187" spans="1:10" x14ac:dyDescent="0.25">
      <c r="A187">
        <v>700022</v>
      </c>
      <c r="B187" t="s">
        <v>1044</v>
      </c>
      <c r="C187" s="116">
        <v>0</v>
      </c>
      <c r="D187" s="116">
        <v>59905.19</v>
      </c>
      <c r="E187" s="116">
        <v>0</v>
      </c>
      <c r="F187" s="116">
        <v>59905.19</v>
      </c>
      <c r="G187" s="43" t="str">
        <f>_xlfn.XLOOKUP($A187,Map!$A:$A,Map!C:C)</f>
        <v>IS</v>
      </c>
      <c r="H187" s="43" t="str">
        <f>_xlfn.XLOOKUP($A187,Map!$A:$A,Map!D:D)</f>
        <v>General and Admin</v>
      </c>
      <c r="I187" s="43" t="str">
        <f>_xlfn.XLOOKUP($A187,Map!$A:$A,Map!E:E)</f>
        <v>Utilities</v>
      </c>
      <c r="J187" s="43" t="str">
        <f>_xlfn.XLOOKUP($A187,Map!$A:$A,Map!F:F)</f>
        <v>Other general and administrative expenses</v>
      </c>
    </row>
    <row r="188" spans="1:10" x14ac:dyDescent="0.25">
      <c r="A188">
        <v>700023</v>
      </c>
      <c r="B188" t="s">
        <v>1045</v>
      </c>
      <c r="C188" s="116">
        <v>0</v>
      </c>
      <c r="D188" s="116">
        <v>53720.82</v>
      </c>
      <c r="E188" s="116">
        <v>3135</v>
      </c>
      <c r="F188" s="116">
        <v>50585.82</v>
      </c>
      <c r="G188" s="43" t="str">
        <f>_xlfn.XLOOKUP($A188,Map!$A:$A,Map!C:C)</f>
        <v>IS</v>
      </c>
      <c r="H188" s="43" t="str">
        <f>_xlfn.XLOOKUP($A188,Map!$A:$A,Map!D:D)</f>
        <v>General and Admin</v>
      </c>
      <c r="I188" s="43" t="str">
        <f>_xlfn.XLOOKUP($A188,Map!$A:$A,Map!E:E)</f>
        <v>Utilities</v>
      </c>
      <c r="J188" s="43" t="str">
        <f>_xlfn.XLOOKUP($A188,Map!$A:$A,Map!F:F)</f>
        <v xml:space="preserve">Postage &amp; Printing </v>
      </c>
    </row>
    <row r="189" spans="1:10" x14ac:dyDescent="0.25">
      <c r="A189">
        <v>700024</v>
      </c>
      <c r="B189" t="s">
        <v>1046</v>
      </c>
      <c r="C189" s="116">
        <v>0</v>
      </c>
      <c r="D189" s="116">
        <v>535107.55500000005</v>
      </c>
      <c r="E189" s="116">
        <v>362090</v>
      </c>
      <c r="F189" s="116">
        <v>173017.55499999999</v>
      </c>
      <c r="G189" s="43" t="str">
        <f>_xlfn.XLOOKUP($A189,Map!$A:$A,Map!C:C)</f>
        <v>IS</v>
      </c>
      <c r="H189" s="43" t="str">
        <f>_xlfn.XLOOKUP($A189,Map!$A:$A,Map!D:D)</f>
        <v>General and Admin</v>
      </c>
      <c r="I189" s="43" t="str">
        <f>_xlfn.XLOOKUP($A189,Map!$A:$A,Map!E:E)</f>
        <v>IT expenses</v>
      </c>
      <c r="J189" s="43" t="str">
        <f>_xlfn.XLOOKUP($A189,Map!$A:$A,Map!F:F)</f>
        <v>Other general and administrative expenses</v>
      </c>
    </row>
    <row r="190" spans="1:10" x14ac:dyDescent="0.25">
      <c r="A190">
        <v>700025</v>
      </c>
      <c r="B190" t="s">
        <v>1047</v>
      </c>
      <c r="C190" s="116">
        <v>0</v>
      </c>
      <c r="D190" s="116">
        <v>359955.73100000003</v>
      </c>
      <c r="E190" s="116">
        <v>199426.35</v>
      </c>
      <c r="F190" s="116">
        <v>160529.38099999999</v>
      </c>
      <c r="G190" s="43" t="str">
        <f>_xlfn.XLOOKUP($A190,Map!$A:$A,Map!C:C)</f>
        <v>IS</v>
      </c>
      <c r="H190" s="43" t="str">
        <f>_xlfn.XLOOKUP($A190,Map!$A:$A,Map!D:D)</f>
        <v>General and Admin</v>
      </c>
      <c r="I190" s="43" t="str">
        <f>_xlfn.XLOOKUP($A190,Map!$A:$A,Map!E:E)</f>
        <v>Salaries and wages</v>
      </c>
      <c r="J190" s="43" t="str">
        <f>_xlfn.XLOOKUP($A190,Map!$A:$A,Map!F:F)</f>
        <v>Salaries and wages</v>
      </c>
    </row>
    <row r="191" spans="1:10" x14ac:dyDescent="0.25">
      <c r="A191">
        <v>700026</v>
      </c>
      <c r="B191" t="s">
        <v>1048</v>
      </c>
      <c r="C191" s="116">
        <v>0</v>
      </c>
      <c r="D191" s="116">
        <v>0</v>
      </c>
      <c r="E191" s="116">
        <v>0</v>
      </c>
      <c r="F191" s="116">
        <v>0</v>
      </c>
      <c r="G191" s="43" t="str">
        <f>_xlfn.XLOOKUP($A191,Map!$A:$A,Map!C:C)</f>
        <v>IS</v>
      </c>
      <c r="H191" s="43" t="str">
        <f>_xlfn.XLOOKUP($A191,Map!$A:$A,Map!D:D)</f>
        <v>General and Admin</v>
      </c>
      <c r="I191" s="43" t="str">
        <f>_xlfn.XLOOKUP($A191,Map!$A:$A,Map!E:E)</f>
        <v>Utilities</v>
      </c>
      <c r="J191" s="43" t="str">
        <f>_xlfn.XLOOKUP($A191,Map!$A:$A,Map!F:F)</f>
        <v>Magazines &amp; News Papers Exp.</v>
      </c>
    </row>
    <row r="192" spans="1:10" x14ac:dyDescent="0.25">
      <c r="A192">
        <v>700027</v>
      </c>
      <c r="B192" t="s">
        <v>1049</v>
      </c>
      <c r="C192" s="116">
        <v>0</v>
      </c>
      <c r="D192" s="116">
        <v>38300</v>
      </c>
      <c r="E192" s="116">
        <v>0</v>
      </c>
      <c r="F192" s="116">
        <v>38300</v>
      </c>
      <c r="G192" s="43" t="str">
        <f>_xlfn.XLOOKUP($A192,Map!$A:$A,Map!C:C)</f>
        <v>IS</v>
      </c>
      <c r="H192" s="43" t="str">
        <f>_xlfn.XLOOKUP($A192,Map!$A:$A,Map!D:D)</f>
        <v>General and Admin</v>
      </c>
      <c r="I192" s="43" t="str">
        <f>_xlfn.XLOOKUP($A192,Map!$A:$A,Map!E:E)</f>
        <v>Training</v>
      </c>
      <c r="J192" s="43" t="str">
        <f>_xlfn.XLOOKUP($A192,Map!$A:$A,Map!F:F)</f>
        <v>Training</v>
      </c>
    </row>
    <row r="193" spans="1:10" x14ac:dyDescent="0.25">
      <c r="A193">
        <v>700028</v>
      </c>
      <c r="B193" t="s">
        <v>1050</v>
      </c>
      <c r="C193" s="116">
        <v>0</v>
      </c>
      <c r="D193" s="116">
        <v>8892.16</v>
      </c>
      <c r="E193" s="116">
        <v>0</v>
      </c>
      <c r="F193" s="116">
        <v>8892.16</v>
      </c>
      <c r="G193" s="43" t="str">
        <f>_xlfn.XLOOKUP($A193,Map!$A:$A,Map!C:C)</f>
        <v>IS</v>
      </c>
      <c r="H193" s="43" t="str">
        <f>_xlfn.XLOOKUP($A193,Map!$A:$A,Map!D:D)</f>
        <v>General and Admin</v>
      </c>
      <c r="I193" s="43" t="str">
        <f>_xlfn.XLOOKUP($A193,Map!$A:$A,Map!E:E)</f>
        <v xml:space="preserve">Back office Support </v>
      </c>
      <c r="J193" s="43" t="str">
        <f>_xlfn.XLOOKUP($A193,Map!$A:$A,Map!F:F)</f>
        <v>Stationery expenses</v>
      </c>
    </row>
    <row r="194" spans="1:10" x14ac:dyDescent="0.25">
      <c r="A194">
        <v>700029</v>
      </c>
      <c r="B194" t="s">
        <v>1051</v>
      </c>
      <c r="C194" s="116">
        <v>0</v>
      </c>
      <c r="D194" s="116">
        <v>9137.875</v>
      </c>
      <c r="E194" s="116">
        <v>0</v>
      </c>
      <c r="F194" s="116">
        <v>9137.875</v>
      </c>
      <c r="G194" s="43" t="str">
        <f>_xlfn.XLOOKUP($A194,Map!$A:$A,Map!C:C)</f>
        <v>IS</v>
      </c>
      <c r="H194" s="43" t="str">
        <f>_xlfn.XLOOKUP($A194,Map!$A:$A,Map!D:D)</f>
        <v>General and Admin</v>
      </c>
      <c r="I194" s="43" t="str">
        <f>_xlfn.XLOOKUP($A194,Map!$A:$A,Map!E:E)</f>
        <v>Utilities</v>
      </c>
      <c r="J194" s="43" t="str">
        <f>_xlfn.XLOOKUP($A194,Map!$A:$A,Map!F:F)</f>
        <v xml:space="preserve">Postage &amp; Printing </v>
      </c>
    </row>
    <row r="195" spans="1:10" x14ac:dyDescent="0.25">
      <c r="A195">
        <v>700030</v>
      </c>
      <c r="B195" t="s">
        <v>1052</v>
      </c>
      <c r="C195" s="116">
        <v>0</v>
      </c>
      <c r="D195" s="116">
        <v>18503.849999999999</v>
      </c>
      <c r="E195" s="116">
        <v>0</v>
      </c>
      <c r="F195" s="116">
        <v>18503.849999999999</v>
      </c>
      <c r="G195" s="43" t="str">
        <f>_xlfn.XLOOKUP($A195,Map!$A:$A,Map!C:C)</f>
        <v>IS</v>
      </c>
      <c r="H195" s="43" t="str">
        <f>_xlfn.XLOOKUP($A195,Map!$A:$A,Map!D:D)</f>
        <v>General and Admin</v>
      </c>
      <c r="I195" s="43" t="str">
        <f>_xlfn.XLOOKUP($A195,Map!$A:$A,Map!E:E)</f>
        <v>Utilities</v>
      </c>
      <c r="J195" s="43" t="str">
        <f>_xlfn.XLOOKUP($A195,Map!$A:$A,Map!F:F)</f>
        <v>Building maintenance</v>
      </c>
    </row>
    <row r="196" spans="1:10" x14ac:dyDescent="0.25">
      <c r="A196">
        <v>700031</v>
      </c>
      <c r="B196" t="s">
        <v>1053</v>
      </c>
      <c r="C196" s="116">
        <v>0</v>
      </c>
      <c r="D196" s="116">
        <v>12017.14</v>
      </c>
      <c r="E196" s="116">
        <v>0</v>
      </c>
      <c r="F196" s="116">
        <v>12017.14</v>
      </c>
      <c r="G196" s="43" t="str">
        <f>_xlfn.XLOOKUP($A196,Map!$A:$A,Map!C:C)</f>
        <v>IS</v>
      </c>
      <c r="H196" s="43" t="str">
        <f>_xlfn.XLOOKUP($A196,Map!$A:$A,Map!D:D)</f>
        <v>General and Admin</v>
      </c>
      <c r="I196" s="43" t="str">
        <f>_xlfn.XLOOKUP($A196,Map!$A:$A,Map!E:E)</f>
        <v>Utilities</v>
      </c>
      <c r="J196" s="43" t="str">
        <f>_xlfn.XLOOKUP($A196,Map!$A:$A,Map!F:F)</f>
        <v>Office equipment maintenance</v>
      </c>
    </row>
    <row r="197" spans="1:10" x14ac:dyDescent="0.25">
      <c r="A197">
        <v>700032</v>
      </c>
      <c r="B197" t="s">
        <v>1054</v>
      </c>
      <c r="C197" s="116">
        <v>0</v>
      </c>
      <c r="D197" s="116">
        <v>127218.21</v>
      </c>
      <c r="E197" s="116">
        <v>4194</v>
      </c>
      <c r="F197" s="116">
        <v>123024.21</v>
      </c>
      <c r="G197" s="43" t="str">
        <f>_xlfn.XLOOKUP($A197,Map!$A:$A,Map!C:C)</f>
        <v>IS</v>
      </c>
      <c r="H197" s="43" t="str">
        <f>_xlfn.XLOOKUP($A197,Map!$A:$A,Map!D:D)</f>
        <v>General and Admin</v>
      </c>
      <c r="I197" s="43" t="str">
        <f>_xlfn.XLOOKUP($A197,Map!$A:$A,Map!E:E)</f>
        <v>Utilities</v>
      </c>
      <c r="J197" s="43" t="str">
        <f>_xlfn.XLOOKUP($A197,Map!$A:$A,Map!F:F)</f>
        <v>Vehicle maintenance</v>
      </c>
    </row>
    <row r="198" spans="1:10" x14ac:dyDescent="0.25">
      <c r="A198">
        <v>700033</v>
      </c>
      <c r="B198" t="s">
        <v>1055</v>
      </c>
      <c r="C198" s="116">
        <v>0</v>
      </c>
      <c r="D198" s="116">
        <v>46751.245000000003</v>
      </c>
      <c r="E198" s="116">
        <v>903.62800000000004</v>
      </c>
      <c r="F198" s="116">
        <v>45847.616999999998</v>
      </c>
      <c r="G198" s="43" t="str">
        <f>_xlfn.XLOOKUP($A198,Map!$A:$A,Map!C:C)</f>
        <v>IS</v>
      </c>
      <c r="H198" s="43" t="str">
        <f>_xlfn.XLOOKUP($A198,Map!$A:$A,Map!D:D)</f>
        <v>General and Admin</v>
      </c>
      <c r="I198" s="43" t="str">
        <f>_xlfn.XLOOKUP($A198,Map!$A:$A,Map!E:E)</f>
        <v>Utilities</v>
      </c>
      <c r="J198" s="43" t="str">
        <f>_xlfn.XLOOKUP($A198,Map!$A:$A,Map!F:F)</f>
        <v>Fuel and oil</v>
      </c>
    </row>
    <row r="199" spans="1:10" x14ac:dyDescent="0.25">
      <c r="A199">
        <v>700034</v>
      </c>
      <c r="B199" t="s">
        <v>1056</v>
      </c>
      <c r="C199" s="116">
        <v>0</v>
      </c>
      <c r="D199" s="116">
        <v>25959.58</v>
      </c>
      <c r="E199" s="116">
        <v>0</v>
      </c>
      <c r="F199" s="116">
        <v>25959.58</v>
      </c>
      <c r="G199" s="43" t="str">
        <f>_xlfn.XLOOKUP($A199,Map!$A:$A,Map!C:C)</f>
        <v>IS</v>
      </c>
      <c r="H199" s="43" t="str">
        <f>_xlfn.XLOOKUP($A199,Map!$A:$A,Map!D:D)</f>
        <v>General and Admin</v>
      </c>
      <c r="I199" s="43" t="str">
        <f>_xlfn.XLOOKUP($A199,Map!$A:$A,Map!E:E)</f>
        <v xml:space="preserve">Back office Support </v>
      </c>
      <c r="J199" s="43" t="str">
        <f>_xlfn.XLOOKUP($A199,Map!$A:$A,Map!F:F)</f>
        <v>Consumables</v>
      </c>
    </row>
    <row r="200" spans="1:10" x14ac:dyDescent="0.25">
      <c r="A200">
        <v>700035</v>
      </c>
      <c r="B200" t="s">
        <v>1057</v>
      </c>
      <c r="C200" s="116">
        <v>0</v>
      </c>
      <c r="D200" s="116">
        <v>7.35</v>
      </c>
      <c r="E200" s="116">
        <v>608448.35</v>
      </c>
      <c r="F200" s="116">
        <v>-608441</v>
      </c>
      <c r="G200" s="43" t="str">
        <f>_xlfn.XLOOKUP($A200,Map!$A:$A,Map!C:C)</f>
        <v>IS</v>
      </c>
      <c r="H200" s="43" t="str">
        <f>_xlfn.XLOOKUP($A200,Map!$A:$A,Map!D:D)</f>
        <v>General and Admin</v>
      </c>
      <c r="I200" s="43" t="str">
        <f>_xlfn.XLOOKUP($A200,Map!$A:$A,Map!E:E)</f>
        <v>Actuarial gains and losses</v>
      </c>
      <c r="J200" s="43" t="str">
        <f>_xlfn.XLOOKUP($A200,Map!$A:$A,Map!F:F)</f>
        <v>Other general and administrative expenses</v>
      </c>
    </row>
    <row r="201" spans="1:10" x14ac:dyDescent="0.25">
      <c r="A201">
        <v>700036</v>
      </c>
      <c r="B201" t="s">
        <v>1058</v>
      </c>
      <c r="C201" s="116">
        <v>0</v>
      </c>
      <c r="D201" s="116">
        <v>55653.146000000001</v>
      </c>
      <c r="E201" s="116">
        <v>0</v>
      </c>
      <c r="F201" s="116">
        <v>55653.146000000001</v>
      </c>
      <c r="G201" s="43" t="str">
        <f>_xlfn.XLOOKUP($A201,Map!$A:$A,Map!C:C)</f>
        <v>IS</v>
      </c>
      <c r="H201" s="43" t="str">
        <f>_xlfn.XLOOKUP($A201,Map!$A:$A,Map!D:D)</f>
        <v>General and Admin</v>
      </c>
      <c r="I201" s="43" t="str">
        <f>_xlfn.XLOOKUP($A201,Map!$A:$A,Map!E:E)</f>
        <v>Utilities</v>
      </c>
      <c r="J201" s="43" t="str">
        <f>_xlfn.XLOOKUP($A201,Map!$A:$A,Map!F:F)</f>
        <v>Vehicle insurance</v>
      </c>
    </row>
    <row r="202" spans="1:10" x14ac:dyDescent="0.25">
      <c r="A202">
        <v>700037</v>
      </c>
      <c r="B202" t="s">
        <v>1059</v>
      </c>
      <c r="C202" s="116">
        <v>0</v>
      </c>
      <c r="D202" s="116">
        <v>9639</v>
      </c>
      <c r="E202" s="116">
        <v>0</v>
      </c>
      <c r="F202" s="116">
        <v>9639</v>
      </c>
      <c r="G202" s="43" t="str">
        <f>_xlfn.XLOOKUP($A202,Map!$A:$A,Map!C:C)</f>
        <v>IS</v>
      </c>
      <c r="H202" s="43" t="str">
        <f>_xlfn.XLOOKUP($A202,Map!$A:$A,Map!D:D)</f>
        <v>Finance cost</v>
      </c>
      <c r="I202" s="43" t="str">
        <f>_xlfn.XLOOKUP($A202,Map!$A:$A,Map!E:E)</f>
        <v>Finance cost</v>
      </c>
      <c r="J202" s="43" t="str">
        <f>_xlfn.XLOOKUP($A202,Map!$A:$A,Map!F:F)</f>
        <v>Lease interest</v>
      </c>
    </row>
    <row r="203" spans="1:10" x14ac:dyDescent="0.25">
      <c r="A203">
        <v>700038</v>
      </c>
      <c r="B203" t="s">
        <v>1060</v>
      </c>
      <c r="C203" s="116">
        <v>0</v>
      </c>
      <c r="D203" s="116">
        <v>406541.02</v>
      </c>
      <c r="E203" s="116">
        <v>153710.84</v>
      </c>
      <c r="F203" s="116">
        <v>252830.18</v>
      </c>
      <c r="G203" s="43" t="str">
        <f>_xlfn.XLOOKUP($A203,Map!$A:$A,Map!C:C)</f>
        <v>IS</v>
      </c>
      <c r="H203" s="43" t="str">
        <f>_xlfn.XLOOKUP($A203,Map!$A:$A,Map!D:D)</f>
        <v>General and Admin</v>
      </c>
      <c r="I203" s="43" t="str">
        <f>_xlfn.XLOOKUP($A203,Map!$A:$A,Map!E:E)</f>
        <v>Business travel</v>
      </c>
      <c r="J203" s="43" t="str">
        <f>_xlfn.XLOOKUP($A203,Map!$A:$A,Map!F:F)</f>
        <v>Bussiness trip expenses</v>
      </c>
    </row>
    <row r="204" spans="1:10" x14ac:dyDescent="0.25">
      <c r="A204">
        <v>700039</v>
      </c>
      <c r="B204" t="s">
        <v>1061</v>
      </c>
      <c r="C204" s="116">
        <v>0</v>
      </c>
      <c r="D204" s="116">
        <v>21843.77</v>
      </c>
      <c r="E204" s="116">
        <v>0</v>
      </c>
      <c r="F204" s="116">
        <v>21843.77</v>
      </c>
      <c r="G204" s="43" t="str">
        <f>_xlfn.XLOOKUP($A204,Map!$A:$A,Map!C:C)</f>
        <v>IS</v>
      </c>
      <c r="H204" s="43" t="str">
        <f>_xlfn.XLOOKUP($A204,Map!$A:$A,Map!D:D)</f>
        <v>Selling and Marketing</v>
      </c>
      <c r="I204" s="43" t="str">
        <f>_xlfn.XLOOKUP($A204,Map!$A:$A,Map!E:E)</f>
        <v>Buffet expenses</v>
      </c>
      <c r="J204" s="43" t="str">
        <f>_xlfn.XLOOKUP($A204,Map!$A:$A,Map!F:F)</f>
        <v>Buffet expenses</v>
      </c>
    </row>
    <row r="205" spans="1:10" x14ac:dyDescent="0.25">
      <c r="A205">
        <v>700040</v>
      </c>
      <c r="B205" t="s">
        <v>1062</v>
      </c>
      <c r="C205" s="116">
        <v>0</v>
      </c>
      <c r="D205" s="116">
        <v>463312.95</v>
      </c>
      <c r="E205" s="116">
        <v>0</v>
      </c>
      <c r="F205" s="116">
        <v>463312.95</v>
      </c>
      <c r="G205" s="43" t="str">
        <f>_xlfn.XLOOKUP($A205,Map!$A:$A,Map!C:C)</f>
        <v>IS</v>
      </c>
      <c r="H205" s="43" t="str">
        <f>_xlfn.XLOOKUP($A205,Map!$A:$A,Map!D:D)</f>
        <v>General and Admin</v>
      </c>
      <c r="I205" s="43" t="str">
        <f>_xlfn.XLOOKUP($A205,Map!$A:$A,Map!E:E)</f>
        <v>Utilities</v>
      </c>
      <c r="J205" s="43" t="str">
        <f>_xlfn.XLOOKUP($A205,Map!$A:$A,Map!F:F)</f>
        <v xml:space="preserve">Cleaning Expenses </v>
      </c>
    </row>
    <row r="206" spans="1:10" x14ac:dyDescent="0.25">
      <c r="A206">
        <v>700041</v>
      </c>
      <c r="B206" t="s">
        <v>1063</v>
      </c>
      <c r="C206" s="116">
        <v>0</v>
      </c>
      <c r="D206" s="116">
        <v>537243.375</v>
      </c>
      <c r="E206" s="116">
        <v>159249.99600000001</v>
      </c>
      <c r="F206" s="116">
        <v>377993.37900000002</v>
      </c>
      <c r="G206" s="43" t="str">
        <f>_xlfn.XLOOKUP($A206,Map!$A:$A,Map!C:C)</f>
        <v>IS</v>
      </c>
      <c r="H206" s="43" t="str">
        <f>_xlfn.XLOOKUP($A206,Map!$A:$A,Map!D:D)</f>
        <v>General and Admin</v>
      </c>
      <c r="I206" s="43" t="str">
        <f>_xlfn.XLOOKUP($A206,Map!$A:$A,Map!E:E)</f>
        <v>Salaries and wages</v>
      </c>
      <c r="J206" s="43" t="str">
        <f>_xlfn.XLOOKUP($A206,Map!$A:$A,Map!F:F)</f>
        <v>Recruitment</v>
      </c>
    </row>
    <row r="207" spans="1:10" x14ac:dyDescent="0.25">
      <c r="A207">
        <v>700042</v>
      </c>
      <c r="B207" t="s">
        <v>1064</v>
      </c>
      <c r="C207" s="116">
        <v>0</v>
      </c>
      <c r="D207" s="116">
        <v>0</v>
      </c>
      <c r="E207" s="116">
        <v>522898</v>
      </c>
      <c r="F207" s="116">
        <v>-522898</v>
      </c>
      <c r="G207" s="43" t="str">
        <f>_xlfn.XLOOKUP($A207,Map!$A:$A,Map!C:C)</f>
        <v>IS</v>
      </c>
      <c r="H207" s="43" t="str">
        <f>_xlfn.XLOOKUP($A207,Map!$A:$A,Map!D:D)</f>
        <v>General and Admin</v>
      </c>
      <c r="I207" s="43" t="str">
        <f>_xlfn.XLOOKUP($A207,Map!$A:$A,Map!E:E)</f>
        <v xml:space="preserve">Back office Support </v>
      </c>
      <c r="J207" s="43" t="str">
        <f>_xlfn.XLOOKUP($A207,Map!$A:$A,Map!F:F)</f>
        <v>Other expenses</v>
      </c>
    </row>
    <row r="208" spans="1:10" x14ac:dyDescent="0.25">
      <c r="A208">
        <v>700043</v>
      </c>
      <c r="B208" t="s">
        <v>1065</v>
      </c>
      <c r="C208" s="116">
        <v>0</v>
      </c>
      <c r="D208" s="116">
        <v>108824</v>
      </c>
      <c r="E208" s="116">
        <v>0</v>
      </c>
      <c r="F208" s="116">
        <v>108824</v>
      </c>
      <c r="G208" s="43" t="str">
        <f>_xlfn.XLOOKUP($A208,Map!$A:$A,Map!C:C)</f>
        <v>IS</v>
      </c>
      <c r="H208" s="43" t="str">
        <f>_xlfn.XLOOKUP($A208,Map!$A:$A,Map!D:D)</f>
        <v>General and Admin</v>
      </c>
      <c r="I208" s="43" t="str">
        <f>_xlfn.XLOOKUP($A208,Map!$A:$A,Map!E:E)</f>
        <v>Govt license and fees (including modon)</v>
      </c>
      <c r="J208" s="43" t="str">
        <f>_xlfn.XLOOKUP($A208,Map!$A:$A,Map!F:F)</f>
        <v>Licenses and fees</v>
      </c>
    </row>
    <row r="209" spans="1:10" x14ac:dyDescent="0.25">
      <c r="A209">
        <v>700044</v>
      </c>
      <c r="B209" t="s">
        <v>1066</v>
      </c>
      <c r="C209" s="116">
        <v>0</v>
      </c>
      <c r="D209" s="116">
        <v>39739.51</v>
      </c>
      <c r="E209" s="116">
        <v>0</v>
      </c>
      <c r="F209" s="116">
        <v>39739.51</v>
      </c>
      <c r="G209" s="43" t="str">
        <f>_xlfn.XLOOKUP($A209,Map!$A:$A,Map!C:C)</f>
        <v>IS</v>
      </c>
      <c r="H209" s="43" t="str">
        <f>_xlfn.XLOOKUP($A209,Map!$A:$A,Map!D:D)</f>
        <v>General and Admin</v>
      </c>
      <c r="I209" s="43" t="str">
        <f>_xlfn.XLOOKUP($A209,Map!$A:$A,Map!E:E)</f>
        <v>Govt license and fees (including modon)</v>
      </c>
      <c r="J209" s="43" t="str">
        <f>_xlfn.XLOOKUP($A209,Map!$A:$A,Map!F:F)</f>
        <v>Government fees</v>
      </c>
    </row>
    <row r="210" spans="1:10" x14ac:dyDescent="0.25">
      <c r="A210">
        <v>700045</v>
      </c>
      <c r="B210" t="s">
        <v>1067</v>
      </c>
      <c r="C210" s="116">
        <v>0</v>
      </c>
      <c r="D210" s="116">
        <v>3552075.8360000001</v>
      </c>
      <c r="E210" s="116">
        <v>192462.80600000001</v>
      </c>
      <c r="F210" s="116">
        <v>3359613.03</v>
      </c>
      <c r="G210" s="43" t="str">
        <f>_xlfn.XLOOKUP($A210,Map!$A:$A,Map!C:C)</f>
        <v>IS</v>
      </c>
      <c r="H210" s="43" t="str">
        <f>_xlfn.XLOOKUP($A210,Map!$A:$A,Map!D:D)</f>
        <v>Finance cost</v>
      </c>
      <c r="I210" s="43" t="str">
        <f>_xlfn.XLOOKUP($A210,Map!$A:$A,Map!E:E)</f>
        <v>Finance cost</v>
      </c>
      <c r="J210" s="43" t="str">
        <f>_xlfn.XLOOKUP($A210,Map!$A:$A,Map!F:F)</f>
        <v>Bank charges</v>
      </c>
    </row>
    <row r="211" spans="1:10" x14ac:dyDescent="0.25">
      <c r="A211">
        <v>700048</v>
      </c>
      <c r="B211" t="s">
        <v>1069</v>
      </c>
      <c r="C211" s="116">
        <v>0</v>
      </c>
      <c r="D211" s="116">
        <v>1100001</v>
      </c>
      <c r="E211" s="116">
        <v>145576.47</v>
      </c>
      <c r="F211" s="116">
        <v>954424.53</v>
      </c>
      <c r="G211" s="43" t="str">
        <f>_xlfn.XLOOKUP($A211,Map!$A:$A,Map!C:C)</f>
        <v>IS</v>
      </c>
      <c r="H211" s="43" t="str">
        <f>_xlfn.XLOOKUP($A211,Map!$A:$A,Map!D:D)</f>
        <v>Zakat</v>
      </c>
      <c r="I211" s="43" t="str">
        <f>_xlfn.XLOOKUP($A211,Map!$A:$A,Map!E:E)</f>
        <v>Zakat expenses</v>
      </c>
      <c r="J211" s="43" t="str">
        <f>_xlfn.XLOOKUP($A211,Map!$A:$A,Map!F:F)</f>
        <v>Zakat expenses</v>
      </c>
    </row>
    <row r="212" spans="1:10" x14ac:dyDescent="0.25">
      <c r="A212">
        <v>700049</v>
      </c>
      <c r="B212" t="s">
        <v>1070</v>
      </c>
      <c r="C212" s="116">
        <v>0</v>
      </c>
      <c r="D212" s="116">
        <v>0</v>
      </c>
      <c r="E212" s="116">
        <v>0</v>
      </c>
      <c r="F212" s="116">
        <v>0</v>
      </c>
      <c r="G212" s="43" t="str">
        <f>_xlfn.XLOOKUP($A212,Map!$A:$A,Map!C:C)</f>
        <v>IS</v>
      </c>
      <c r="H212" s="43" t="str">
        <f>_xlfn.XLOOKUP($A212,Map!$A:$A,Map!D:D)</f>
        <v>General and Admin</v>
      </c>
      <c r="I212" s="43" t="str">
        <f>_xlfn.XLOOKUP($A212,Map!$A:$A,Map!E:E)</f>
        <v>Salaries and wages</v>
      </c>
      <c r="J212" s="43" t="str">
        <f>_xlfn.XLOOKUP($A212,Map!$A:$A,Map!F:F)</f>
        <v>Sadagat expense</v>
      </c>
    </row>
    <row r="213" spans="1:10" x14ac:dyDescent="0.25">
      <c r="A213">
        <v>700050</v>
      </c>
      <c r="B213" t="s">
        <v>1071</v>
      </c>
      <c r="C213" s="116">
        <v>0</v>
      </c>
      <c r="D213" s="116">
        <v>597210.005</v>
      </c>
      <c r="E213" s="116">
        <v>597209.995</v>
      </c>
      <c r="F213" s="116">
        <v>0.01</v>
      </c>
      <c r="G213" s="43" t="str">
        <f>_xlfn.XLOOKUP($A213,Map!$A:$A,Map!C:C)</f>
        <v>IS</v>
      </c>
      <c r="H213" s="43" t="str">
        <f>_xlfn.XLOOKUP($A213,Map!$A:$A,Map!D:D)</f>
        <v>Depreciation expenses</v>
      </c>
      <c r="I213" s="43" t="str">
        <f>_xlfn.XLOOKUP($A213,Map!$A:$A,Map!E:E)</f>
        <v>Depreciation expenses</v>
      </c>
      <c r="J213" s="43" t="str">
        <f>_xlfn.XLOOKUP($A213,Map!$A:$A,Map!F:F)</f>
        <v>Depreciation of property, plant and equipment</v>
      </c>
    </row>
    <row r="214" spans="1:10" x14ac:dyDescent="0.25">
      <c r="A214">
        <v>700052</v>
      </c>
      <c r="B214" t="s">
        <v>1073</v>
      </c>
      <c r="C214" s="116">
        <v>0</v>
      </c>
      <c r="D214" s="116">
        <v>0</v>
      </c>
      <c r="E214" s="116">
        <v>0</v>
      </c>
      <c r="F214" s="116">
        <v>0</v>
      </c>
      <c r="G214" s="43" t="str">
        <f>_xlfn.XLOOKUP($A214,Map!$A:$A,Map!C:C)</f>
        <v>IS</v>
      </c>
      <c r="H214" s="43" t="str">
        <f>_xlfn.XLOOKUP($A214,Map!$A:$A,Map!D:D)</f>
        <v>Depreciation expenses</v>
      </c>
      <c r="I214" s="43" t="str">
        <f>_xlfn.XLOOKUP($A214,Map!$A:$A,Map!E:E)</f>
        <v>Depreciation expenses</v>
      </c>
      <c r="J214" s="43" t="str">
        <f>_xlfn.XLOOKUP($A214,Map!$A:$A,Map!F:F)</f>
        <v>Depreciation of property, plant and equipment</v>
      </c>
    </row>
    <row r="215" spans="1:10" x14ac:dyDescent="0.25">
      <c r="A215">
        <v>700053</v>
      </c>
      <c r="B215" t="s">
        <v>1074</v>
      </c>
      <c r="C215" s="116">
        <v>0</v>
      </c>
      <c r="D215" s="116">
        <v>0</v>
      </c>
      <c r="E215" s="116">
        <v>0</v>
      </c>
      <c r="F215" s="116">
        <v>0</v>
      </c>
      <c r="G215" s="43" t="str">
        <f>_xlfn.XLOOKUP($A215,Map!$A:$A,Map!C:C)</f>
        <v>IS</v>
      </c>
      <c r="H215" s="43" t="str">
        <f>_xlfn.XLOOKUP($A215,Map!$A:$A,Map!D:D)</f>
        <v>Depreciation expenses</v>
      </c>
      <c r="I215" s="43" t="str">
        <f>_xlfn.XLOOKUP($A215,Map!$A:$A,Map!E:E)</f>
        <v>Depreciation expenses</v>
      </c>
      <c r="J215" s="43" t="str">
        <f>_xlfn.XLOOKUP($A215,Map!$A:$A,Map!F:F)</f>
        <v>Depreciation of property, plant and equipment</v>
      </c>
    </row>
    <row r="216" spans="1:10" x14ac:dyDescent="0.25">
      <c r="A216">
        <v>700054</v>
      </c>
      <c r="B216" t="s">
        <v>1075</v>
      </c>
      <c r="C216" s="116">
        <v>0</v>
      </c>
      <c r="D216" s="116">
        <v>293410.77</v>
      </c>
      <c r="E216" s="116">
        <v>97275.425000000003</v>
      </c>
      <c r="F216" s="116">
        <v>196135.345</v>
      </c>
      <c r="G216" s="43" t="str">
        <f>_xlfn.XLOOKUP($A216,Map!$A:$A,Map!C:C)</f>
        <v>IS</v>
      </c>
      <c r="H216" s="43" t="str">
        <f>_xlfn.XLOOKUP($A216,Map!$A:$A,Map!D:D)</f>
        <v>Depreciation expenses</v>
      </c>
      <c r="I216" s="43" t="str">
        <f>_xlfn.XLOOKUP($A216,Map!$A:$A,Map!E:E)</f>
        <v>Depreciation expenses</v>
      </c>
      <c r="J216" s="43" t="str">
        <f>_xlfn.XLOOKUP($A216,Map!$A:$A,Map!F:F)</f>
        <v>Depreciation of property, plant and equipment</v>
      </c>
    </row>
    <row r="217" spans="1:10" x14ac:dyDescent="0.25">
      <c r="A217">
        <v>700055</v>
      </c>
      <c r="B217" t="s">
        <v>1076</v>
      </c>
      <c r="C217" s="116">
        <v>0</v>
      </c>
      <c r="D217" s="116">
        <v>19498.400000000001</v>
      </c>
      <c r="E217" s="116">
        <v>0</v>
      </c>
      <c r="F217" s="116">
        <v>19498.400000000001</v>
      </c>
      <c r="G217" s="43" t="str">
        <f>_xlfn.XLOOKUP($A217,Map!$A:$A,Map!C:C)</f>
        <v>IS</v>
      </c>
      <c r="H217" s="43" t="str">
        <f>_xlfn.XLOOKUP($A217,Map!$A:$A,Map!D:D)</f>
        <v>Depreciation expenses</v>
      </c>
      <c r="I217" s="43" t="str">
        <f>_xlfn.XLOOKUP($A217,Map!$A:$A,Map!E:E)</f>
        <v>Depreciation expenses</v>
      </c>
      <c r="J217" s="43" t="str">
        <f>_xlfn.XLOOKUP($A217,Map!$A:$A,Map!F:F)</f>
        <v>Depreciation of property, plant and equipment</v>
      </c>
    </row>
    <row r="218" spans="1:10" x14ac:dyDescent="0.25">
      <c r="A218">
        <v>700056</v>
      </c>
      <c r="B218" t="s">
        <v>1077</v>
      </c>
      <c r="C218" s="116">
        <v>0</v>
      </c>
      <c r="D218" s="116">
        <v>2686.8719999999998</v>
      </c>
      <c r="E218" s="116">
        <v>2686.8719999999998</v>
      </c>
      <c r="F218" s="116">
        <v>0</v>
      </c>
      <c r="G218" s="43" t="str">
        <f>_xlfn.XLOOKUP($A218,Map!$A:$A,Map!C:C)</f>
        <v>IS</v>
      </c>
      <c r="H218" s="43" t="str">
        <f>_xlfn.XLOOKUP($A218,Map!$A:$A,Map!D:D)</f>
        <v>Depreciation expenses</v>
      </c>
      <c r="I218" s="43" t="str">
        <f>_xlfn.XLOOKUP($A218,Map!$A:$A,Map!E:E)</f>
        <v>Depreciation expenses</v>
      </c>
      <c r="J218" s="43" t="str">
        <f>_xlfn.XLOOKUP($A218,Map!$A:$A,Map!F:F)</f>
        <v>Depreciation of property, plant and equipment</v>
      </c>
    </row>
    <row r="219" spans="1:10" x14ac:dyDescent="0.25">
      <c r="A219">
        <v>700057</v>
      </c>
      <c r="B219" t="s">
        <v>1078</v>
      </c>
      <c r="C219" s="116">
        <v>0</v>
      </c>
      <c r="D219" s="116">
        <v>284000.00400000002</v>
      </c>
      <c r="E219" s="116">
        <v>0</v>
      </c>
      <c r="F219" s="116">
        <v>284000.00400000002</v>
      </c>
      <c r="G219" s="43" t="str">
        <f>_xlfn.XLOOKUP($A219,Map!$A:$A,Map!C:C)</f>
        <v>IS</v>
      </c>
      <c r="H219" s="43" t="str">
        <f>_xlfn.XLOOKUP($A219,Map!$A:$A,Map!D:D)</f>
        <v>Cost of sales</v>
      </c>
      <c r="I219" s="43" t="str">
        <f>_xlfn.XLOOKUP($A219,Map!$A:$A,Map!E:E)</f>
        <v>Overhead - Rent</v>
      </c>
      <c r="J219" s="43" t="str">
        <f>_xlfn.XLOOKUP($A219,Map!$A:$A,Map!F:F)</f>
        <v>Warehouse Rent ( Khamis, Rioyadh, Dammam)</v>
      </c>
    </row>
    <row r="220" spans="1:10" x14ac:dyDescent="0.25">
      <c r="A220">
        <v>700058</v>
      </c>
      <c r="B220" t="s">
        <v>1079</v>
      </c>
      <c r="C220" s="116">
        <v>0</v>
      </c>
      <c r="D220" s="116">
        <v>49980.544000000002</v>
      </c>
      <c r="E220" s="116">
        <v>1315.125</v>
      </c>
      <c r="F220" s="116">
        <v>48665.419000000002</v>
      </c>
      <c r="G220" s="43" t="str">
        <f>_xlfn.XLOOKUP($A220,Map!$A:$A,Map!C:C)</f>
        <v>IS</v>
      </c>
      <c r="H220" s="43" t="str">
        <f>_xlfn.XLOOKUP($A220,Map!$A:$A,Map!D:D)</f>
        <v>Selling and Marketing</v>
      </c>
      <c r="I220" s="43" t="str">
        <f>_xlfn.XLOOKUP($A220,Map!$A:$A,Map!E:E)</f>
        <v>Advertising and promotion expenses</v>
      </c>
      <c r="J220" s="43" t="str">
        <f>_xlfn.XLOOKUP($A220,Map!$A:$A,Map!F:F)</f>
        <v>Advertising and promotion expenses</v>
      </c>
    </row>
    <row r="221" spans="1:10" x14ac:dyDescent="0.25">
      <c r="A221">
        <v>700059</v>
      </c>
      <c r="B221" t="s">
        <v>1080</v>
      </c>
      <c r="C221" s="116">
        <v>0</v>
      </c>
      <c r="D221" s="116">
        <v>38150</v>
      </c>
      <c r="E221" s="116">
        <v>0</v>
      </c>
      <c r="F221" s="116">
        <v>38150</v>
      </c>
      <c r="G221" s="43" t="str">
        <f>_xlfn.XLOOKUP($A221,Map!$A:$A,Map!C:C)</f>
        <v>IS</v>
      </c>
      <c r="H221" s="43" t="str">
        <f>_xlfn.XLOOKUP($A221,Map!$A:$A,Map!D:D)</f>
        <v>Selling and Marketing</v>
      </c>
      <c r="I221" s="43" t="str">
        <f>_xlfn.XLOOKUP($A221,Map!$A:$A,Map!E:E)</f>
        <v>Exhibitions</v>
      </c>
      <c r="J221" s="43" t="str">
        <f>_xlfn.XLOOKUP($A221,Map!$A:$A,Map!F:F)</f>
        <v>Exhibitions</v>
      </c>
    </row>
    <row r="222" spans="1:10" x14ac:dyDescent="0.25">
      <c r="A222">
        <v>700060</v>
      </c>
      <c r="B222" t="s">
        <v>1081</v>
      </c>
      <c r="C222" s="116">
        <v>0</v>
      </c>
      <c r="D222" s="116">
        <v>5802913.9100000001</v>
      </c>
      <c r="E222" s="116">
        <v>2319534.196</v>
      </c>
      <c r="F222" s="116">
        <v>3483379.7140000002</v>
      </c>
      <c r="G222" s="43" t="str">
        <f>_xlfn.XLOOKUP($A222,Map!$A:$A,Map!C:C)</f>
        <v>IS</v>
      </c>
      <c r="H222" s="43" t="str">
        <f>_xlfn.XLOOKUP($A222,Map!$A:$A,Map!D:D)</f>
        <v>Selling and Marketing</v>
      </c>
      <c r="I222" s="43" t="str">
        <f>_xlfn.XLOOKUP($A222,Map!$A:$A,Map!E:E)</f>
        <v>Freight and shipping expenses (S&amp;D)</v>
      </c>
      <c r="J222" s="43" t="str">
        <f>_xlfn.XLOOKUP($A222,Map!$A:$A,Map!F:F)</f>
        <v>Outbound freight / shipping — reclassified below gross profit under IFRS</v>
      </c>
    </row>
    <row r="223" spans="1:10" x14ac:dyDescent="0.25">
      <c r="A223">
        <v>700061</v>
      </c>
      <c r="B223" t="s">
        <v>1082</v>
      </c>
      <c r="C223" s="116">
        <v>0</v>
      </c>
      <c r="D223" s="116">
        <v>222802.948</v>
      </c>
      <c r="E223" s="116">
        <v>0</v>
      </c>
      <c r="F223" s="116">
        <v>222802.948</v>
      </c>
      <c r="G223" s="43" t="str">
        <f>_xlfn.XLOOKUP($A223,Map!$A:$A,Map!C:C)</f>
        <v>IS</v>
      </c>
      <c r="H223" s="43" t="str">
        <f>_xlfn.XLOOKUP($A223,Map!$A:$A,Map!D:D)</f>
        <v>Selling and Marketing</v>
      </c>
      <c r="I223" s="43" t="str">
        <f>_xlfn.XLOOKUP($A223,Map!$A:$A,Map!E:E)</f>
        <v>Commission expenses</v>
      </c>
      <c r="J223" s="43" t="str">
        <f>_xlfn.XLOOKUP($A223,Map!$A:$A,Map!F:F)</f>
        <v>Commission expenses</v>
      </c>
    </row>
    <row r="224" spans="1:10" x14ac:dyDescent="0.25">
      <c r="A224">
        <v>700062</v>
      </c>
      <c r="B224" t="s">
        <v>1083</v>
      </c>
      <c r="C224" s="116">
        <v>0</v>
      </c>
      <c r="D224" s="116">
        <v>0</v>
      </c>
      <c r="E224" s="116">
        <v>0</v>
      </c>
      <c r="F224" s="116">
        <v>0</v>
      </c>
      <c r="G224" s="43" t="str">
        <f>_xlfn.XLOOKUP($A224,Map!$A:$A,Map!C:C)</f>
        <v>IS</v>
      </c>
      <c r="H224" s="43" t="str">
        <f>_xlfn.XLOOKUP($A224,Map!$A:$A,Map!D:D)</f>
        <v>Revised provision on Bad Debts</v>
      </c>
      <c r="I224" s="43" t="str">
        <f>_xlfn.XLOOKUP($A224,Map!$A:$A,Map!E:E)</f>
        <v>Bad debts expense</v>
      </c>
      <c r="J224" s="43" t="str">
        <f>_xlfn.XLOOKUP($A224,Map!$A:$A,Map!F:F)</f>
        <v>Bad debts expense</v>
      </c>
    </row>
    <row r="225" spans="1:10" x14ac:dyDescent="0.25">
      <c r="A225">
        <v>700063</v>
      </c>
      <c r="B225" t="s">
        <v>1084</v>
      </c>
      <c r="C225" s="116">
        <v>0</v>
      </c>
      <c r="D225" s="116">
        <v>1154534.3</v>
      </c>
      <c r="E225" s="116">
        <v>338022.43</v>
      </c>
      <c r="F225" s="116">
        <v>816511.87</v>
      </c>
      <c r="G225" s="43" t="str">
        <f>_xlfn.XLOOKUP($A225,Map!$A:$A,Map!C:C)</f>
        <v>IS</v>
      </c>
      <c r="H225" s="43" t="str">
        <f>_xlfn.XLOOKUP($A225,Map!$A:$A,Map!D:D)</f>
        <v>General and Admin</v>
      </c>
      <c r="I225" s="43" t="str">
        <f>_xlfn.XLOOKUP($A225,Map!$A:$A,Map!E:E)</f>
        <v>Salaries and wages</v>
      </c>
      <c r="J225" s="43" t="str">
        <f>_xlfn.XLOOKUP($A225,Map!$A:$A,Map!F:F)</f>
        <v>GOSI</v>
      </c>
    </row>
    <row r="226" spans="1:10" x14ac:dyDescent="0.25">
      <c r="A226">
        <v>700064</v>
      </c>
      <c r="B226" t="s">
        <v>1085</v>
      </c>
      <c r="C226" s="116">
        <v>0</v>
      </c>
      <c r="D226" s="116">
        <v>0</v>
      </c>
      <c r="E226" s="116">
        <v>0</v>
      </c>
      <c r="F226" s="116">
        <v>0</v>
      </c>
      <c r="G226" s="43" t="str">
        <f>_xlfn.XLOOKUP($A226,Map!$A:$A,Map!C:C)</f>
        <v>IS</v>
      </c>
      <c r="H226" s="43" t="str">
        <f>_xlfn.XLOOKUP($A226,Map!$A:$A,Map!D:D)</f>
        <v>Pre-operating expenses</v>
      </c>
      <c r="I226" s="43" t="str">
        <f>_xlfn.XLOOKUP($A226,Map!$A:$A,Map!E:E)</f>
        <v>Pre-operating expenses</v>
      </c>
      <c r="J226" s="43" t="str">
        <f>_xlfn.XLOOKUP($A226,Map!$A:$A,Map!F:F)</f>
        <v>Amortization</v>
      </c>
    </row>
    <row r="227" spans="1:10" x14ac:dyDescent="0.25">
      <c r="A227">
        <v>700065</v>
      </c>
      <c r="B227" t="s">
        <v>1086</v>
      </c>
      <c r="C227" s="116">
        <v>0</v>
      </c>
      <c r="D227" s="116">
        <v>9639</v>
      </c>
      <c r="E227" s="116">
        <v>9639</v>
      </c>
      <c r="F227" s="116">
        <v>0</v>
      </c>
      <c r="G227" s="43" t="str">
        <f>_xlfn.XLOOKUP($A227,Map!$A:$A,Map!C:C)</f>
        <v>IS</v>
      </c>
      <c r="H227" s="43" t="str">
        <f>_xlfn.XLOOKUP($A227,Map!$A:$A,Map!D:D)</f>
        <v>Finance cost</v>
      </c>
      <c r="I227" s="43" t="str">
        <f>_xlfn.XLOOKUP($A227,Map!$A:$A,Map!E:E)</f>
        <v>Finance cost</v>
      </c>
      <c r="J227" s="43" t="str">
        <f>_xlfn.XLOOKUP($A227,Map!$A:$A,Map!F:F)</f>
        <v>Lease interest</v>
      </c>
    </row>
    <row r="229" spans="1:10" x14ac:dyDescent="0.25">
      <c r="C229" s="153">
        <f>SUBTOTAL(9,C5:C228)</f>
        <v>1.0430812835693359E-7</v>
      </c>
      <c r="D229" s="153">
        <f>SUBTOTAL(9,D5:D228)</f>
        <v>2264650694.8410006</v>
      </c>
      <c r="E229" s="153">
        <f>SUBTOTAL(9,E5:E228)</f>
        <v>2264650694.8409996</v>
      </c>
      <c r="F229" s="153">
        <f>SUBTOTAL(9,F5:F228)</f>
        <v>5.1222741603851318E-9</v>
      </c>
    </row>
    <row r="230" spans="1:10" x14ac:dyDescent="0.25">
      <c r="C230" s="153"/>
      <c r="D230" s="153"/>
      <c r="E230" s="153"/>
      <c r="F230" s="153"/>
    </row>
    <row r="231" spans="1:10" x14ac:dyDescent="0.25">
      <c r="A231" s="85" t="s">
        <v>1341</v>
      </c>
    </row>
    <row r="232" spans="1:10" x14ac:dyDescent="0.25">
      <c r="A232">
        <v>600032</v>
      </c>
      <c r="B232" t="s">
        <v>1356</v>
      </c>
      <c r="D232" s="116">
        <v>445185.70500000002</v>
      </c>
      <c r="E232" s="116">
        <v>0</v>
      </c>
      <c r="F232" s="116">
        <f t="shared" ref="F232:F276" si="0">D232-E232</f>
        <v>445185.70500000002</v>
      </c>
      <c r="G232" s="43" t="str">
        <f>_xlfn.XLOOKUP($A232,Map!$A:$A,Map!C:C)</f>
        <v>IS</v>
      </c>
      <c r="H232" s="43" t="str">
        <f>_xlfn.XLOOKUP($A232,Map!$A:$A,Map!D:D)</f>
        <v>Depreciation expenses</v>
      </c>
      <c r="I232" s="43" t="str">
        <f>_xlfn.XLOOKUP($A232,Map!$A:$A,Map!E:E)</f>
        <v>Depreciation expenses</v>
      </c>
      <c r="J232" s="43" t="str">
        <f>_xlfn.XLOOKUP($A232,Map!$A:$A,Map!F:F)</f>
        <v>Depreciation of property, plant and equipment</v>
      </c>
    </row>
    <row r="233" spans="1:10" x14ac:dyDescent="0.25">
      <c r="A233">
        <v>600031</v>
      </c>
      <c r="B233" t="s">
        <v>1356</v>
      </c>
      <c r="D233" s="116">
        <v>14498.33</v>
      </c>
      <c r="E233" s="116">
        <v>0</v>
      </c>
      <c r="F233" s="116">
        <f t="shared" si="0"/>
        <v>14498.33</v>
      </c>
      <c r="G233" s="43" t="str">
        <f>_xlfn.XLOOKUP($A233,Map!$A:$A,Map!C:C)</f>
        <v>IS</v>
      </c>
      <c r="H233" s="43" t="str">
        <f>_xlfn.XLOOKUP($A233,Map!$A:$A,Map!D:D)</f>
        <v>Depreciation expenses</v>
      </c>
      <c r="I233" s="43" t="str">
        <f>_xlfn.XLOOKUP($A233,Map!$A:$A,Map!E:E)</f>
        <v>Depreciation expenses</v>
      </c>
      <c r="J233" s="43" t="str">
        <f>_xlfn.XLOOKUP($A233,Map!$A:$A,Map!F:F)</f>
        <v>Depreciation of property, plant and equipment</v>
      </c>
    </row>
    <row r="234" spans="1:10" x14ac:dyDescent="0.25">
      <c r="A234">
        <v>600030</v>
      </c>
      <c r="B234" t="s">
        <v>1356</v>
      </c>
      <c r="D234" s="116">
        <v>43190.017999999996</v>
      </c>
      <c r="E234" s="116">
        <v>0</v>
      </c>
      <c r="F234" s="116">
        <f t="shared" si="0"/>
        <v>43190.017999999996</v>
      </c>
      <c r="G234" s="43" t="str">
        <f>_xlfn.XLOOKUP($A234,Map!$A:$A,Map!C:C)</f>
        <v>IS</v>
      </c>
      <c r="H234" s="43" t="str">
        <f>_xlfn.XLOOKUP($A234,Map!$A:$A,Map!D:D)</f>
        <v>Depreciation expenses</v>
      </c>
      <c r="I234" s="43" t="str">
        <f>_xlfn.XLOOKUP($A234,Map!$A:$A,Map!E:E)</f>
        <v>Depreciation expenses</v>
      </c>
      <c r="J234" s="43" t="str">
        <f>_xlfn.XLOOKUP($A234,Map!$A:$A,Map!F:F)</f>
        <v>Depreciation of property, plant and equipment</v>
      </c>
    </row>
    <row r="235" spans="1:10" x14ac:dyDescent="0.25">
      <c r="A235">
        <v>600029</v>
      </c>
      <c r="B235" t="s">
        <v>1356</v>
      </c>
      <c r="D235" s="116">
        <v>3638104.1009999998</v>
      </c>
      <c r="E235" s="116">
        <v>0</v>
      </c>
      <c r="F235" s="116">
        <f t="shared" si="0"/>
        <v>3638104.1009999998</v>
      </c>
      <c r="G235" s="43" t="str">
        <f>_xlfn.XLOOKUP($A235,Map!$A:$A,Map!C:C)</f>
        <v>IS</v>
      </c>
      <c r="H235" s="43" t="str">
        <f>_xlfn.XLOOKUP($A235,Map!$A:$A,Map!D:D)</f>
        <v>Cost of sales</v>
      </c>
      <c r="I235" s="43" t="str">
        <f>_xlfn.XLOOKUP($A235,Map!$A:$A,Map!E:E)</f>
        <v>Depreciation - Machines</v>
      </c>
      <c r="J235" s="43" t="str">
        <f>_xlfn.XLOOKUP($A235,Map!$A:$A,Map!F:F)</f>
        <v>Depreciation of property, plant and equipment</v>
      </c>
    </row>
    <row r="236" spans="1:10" x14ac:dyDescent="0.25">
      <c r="A236">
        <v>600028</v>
      </c>
      <c r="B236" t="s">
        <v>1356</v>
      </c>
      <c r="D236" s="116">
        <v>118089.66</v>
      </c>
      <c r="E236" s="116">
        <v>0</v>
      </c>
      <c r="F236" s="116">
        <f t="shared" si="0"/>
        <v>118089.66</v>
      </c>
      <c r="G236" s="43" t="str">
        <f>_xlfn.XLOOKUP($A236,Map!$A:$A,Map!C:C)</f>
        <v>IS</v>
      </c>
      <c r="H236" s="43" t="str">
        <f>_xlfn.XLOOKUP($A236,Map!$A:$A,Map!D:D)</f>
        <v>Cost of sales</v>
      </c>
      <c r="I236" s="43" t="str">
        <f>_xlfn.XLOOKUP($A236,Map!$A:$A,Map!E:E)</f>
        <v>Overhead - Consumables &amp; SP</v>
      </c>
      <c r="J236" s="43" t="str">
        <f>_xlfn.XLOOKUP($A236,Map!$A:$A,Map!F:F)</f>
        <v xml:space="preserve">Education &amp; Furniture Allowances </v>
      </c>
    </row>
    <row r="237" spans="1:10" x14ac:dyDescent="0.25">
      <c r="A237">
        <v>600027</v>
      </c>
      <c r="B237" t="s">
        <v>1356</v>
      </c>
      <c r="D237" s="116">
        <v>173594</v>
      </c>
      <c r="E237" s="116">
        <v>0</v>
      </c>
      <c r="F237" s="116">
        <f t="shared" si="0"/>
        <v>173594</v>
      </c>
      <c r="G237" s="43" t="str">
        <f>_xlfn.XLOOKUP($A237,Map!$A:$A,Map!C:C)</f>
        <v>IS</v>
      </c>
      <c r="H237" s="43" t="str">
        <f>_xlfn.XLOOKUP($A237,Map!$A:$A,Map!D:D)</f>
        <v>Cost of sales</v>
      </c>
      <c r="I237" s="43" t="str">
        <f>_xlfn.XLOOKUP($A237,Map!$A:$A,Map!E:E)</f>
        <v>Overhead - Rent</v>
      </c>
      <c r="J237" s="43" t="str">
        <f>_xlfn.XLOOKUP($A237,Map!$A:$A,Map!F:F)</f>
        <v>Production hall rental</v>
      </c>
    </row>
    <row r="238" spans="1:10" x14ac:dyDescent="0.25">
      <c r="A238">
        <v>600025</v>
      </c>
      <c r="B238" t="s">
        <v>1356</v>
      </c>
      <c r="D238" s="116">
        <v>320</v>
      </c>
      <c r="E238" s="116">
        <v>0</v>
      </c>
      <c r="F238" s="116">
        <f t="shared" si="0"/>
        <v>320</v>
      </c>
      <c r="G238" s="43" t="str">
        <f>_xlfn.XLOOKUP($A238,Map!$A:$A,Map!C:C)</f>
        <v>IS</v>
      </c>
      <c r="H238" s="43" t="str">
        <f>_xlfn.XLOOKUP($A238,Map!$A:$A,Map!D:D)</f>
        <v>Cost of sales</v>
      </c>
      <c r="I238" s="43" t="str">
        <f>_xlfn.XLOOKUP($A238,Map!$A:$A,Map!E:E)</f>
        <v>Overhead - Insurance</v>
      </c>
      <c r="J238" s="43" t="str">
        <f>_xlfn.XLOOKUP($A238,Map!$A:$A,Map!F:F)</f>
        <v>Building insurance</v>
      </c>
    </row>
    <row r="239" spans="1:10" x14ac:dyDescent="0.25">
      <c r="A239">
        <v>600024</v>
      </c>
      <c r="B239" t="s">
        <v>1356</v>
      </c>
      <c r="D239" s="116">
        <v>7663.95</v>
      </c>
      <c r="E239" s="116">
        <v>0</v>
      </c>
      <c r="F239" s="116">
        <f t="shared" si="0"/>
        <v>7663.95</v>
      </c>
      <c r="G239" s="43" t="str">
        <f>_xlfn.XLOOKUP($A239,Map!$A:$A,Map!C:C)</f>
        <v>IS</v>
      </c>
      <c r="H239" s="43" t="str">
        <f>_xlfn.XLOOKUP($A239,Map!$A:$A,Map!D:D)</f>
        <v>Cost of sales</v>
      </c>
      <c r="I239" s="43" t="str">
        <f>_xlfn.XLOOKUP($A239,Map!$A:$A,Map!E:E)</f>
        <v>Overhead - Rent</v>
      </c>
      <c r="J239" s="43" t="str">
        <f>_xlfn.XLOOKUP($A239,Map!$A:$A,Map!F:F)</f>
        <v>Pump rental expenses</v>
      </c>
    </row>
    <row r="240" spans="1:10" x14ac:dyDescent="0.25">
      <c r="A240">
        <v>600023</v>
      </c>
      <c r="B240" t="s">
        <v>1356</v>
      </c>
      <c r="D240" s="116">
        <v>4014</v>
      </c>
      <c r="E240" s="116">
        <v>0</v>
      </c>
      <c r="F240" s="116">
        <f t="shared" si="0"/>
        <v>4014</v>
      </c>
      <c r="G240" s="43" t="str">
        <f>_xlfn.XLOOKUP($A240,Map!$A:$A,Map!C:C)</f>
        <v>IS</v>
      </c>
      <c r="H240" s="43" t="str">
        <f>_xlfn.XLOOKUP($A240,Map!$A:$A,Map!D:D)</f>
        <v>Cost of sales</v>
      </c>
      <c r="I240" s="43" t="str">
        <f>_xlfn.XLOOKUP($A240,Map!$A:$A,Map!E:E)</f>
        <v>Overhead - R&amp;M</v>
      </c>
      <c r="J240" s="43" t="str">
        <f>_xlfn.XLOOKUP($A240,Map!$A:$A,Map!F:F)</f>
        <v>Office equipment maintenance</v>
      </c>
    </row>
    <row r="241" spans="1:10" x14ac:dyDescent="0.25">
      <c r="A241">
        <v>600022</v>
      </c>
      <c r="B241" t="s">
        <v>1356</v>
      </c>
      <c r="D241" s="116">
        <v>40689.25</v>
      </c>
      <c r="E241" s="116">
        <v>0</v>
      </c>
      <c r="F241" s="116">
        <f t="shared" si="0"/>
        <v>40689.25</v>
      </c>
      <c r="G241" s="43" t="str">
        <f>_xlfn.XLOOKUP($A241,Map!$A:$A,Map!C:C)</f>
        <v>IS</v>
      </c>
      <c r="H241" s="43" t="str">
        <f>_xlfn.XLOOKUP($A241,Map!$A:$A,Map!D:D)</f>
        <v>Cost of sales</v>
      </c>
      <c r="I241" s="43" t="str">
        <f>_xlfn.XLOOKUP($A241,Map!$A:$A,Map!E:E)</f>
        <v>Overhead - R&amp;M</v>
      </c>
      <c r="J241" s="43" t="str">
        <f>_xlfn.XLOOKUP($A241,Map!$A:$A,Map!F:F)</f>
        <v>Building maintenance</v>
      </c>
    </row>
    <row r="242" spans="1:10" x14ac:dyDescent="0.25">
      <c r="A242">
        <v>600021</v>
      </c>
      <c r="B242" t="s">
        <v>1356</v>
      </c>
      <c r="D242" s="116">
        <v>50408.18</v>
      </c>
      <c r="E242" s="116">
        <v>0</v>
      </c>
      <c r="F242" s="116">
        <f t="shared" si="0"/>
        <v>50408.18</v>
      </c>
      <c r="G242" s="43" t="str">
        <f>_xlfn.XLOOKUP($A242,Map!$A:$A,Map!C:C)</f>
        <v>IS</v>
      </c>
      <c r="H242" s="43" t="str">
        <f>_xlfn.XLOOKUP($A242,Map!$A:$A,Map!D:D)</f>
        <v>Cost of sales</v>
      </c>
      <c r="I242" s="43" t="str">
        <f>_xlfn.XLOOKUP($A242,Map!$A:$A,Map!E:E)</f>
        <v>Overhead - R&amp;M</v>
      </c>
      <c r="J242" s="43" t="str">
        <f>_xlfn.XLOOKUP($A242,Map!$A:$A,Map!F:F)</f>
        <v>Vehicle maintenance</v>
      </c>
    </row>
    <row r="243" spans="1:10" x14ac:dyDescent="0.25">
      <c r="A243">
        <v>600020</v>
      </c>
      <c r="B243" t="s">
        <v>1356</v>
      </c>
      <c r="D243" s="116">
        <v>211989.478</v>
      </c>
      <c r="E243" s="116">
        <v>0</v>
      </c>
      <c r="F243" s="116">
        <f t="shared" si="0"/>
        <v>211989.478</v>
      </c>
      <c r="G243" s="43" t="str">
        <f>_xlfn.XLOOKUP($A243,Map!$A:$A,Map!C:C)</f>
        <v>IS</v>
      </c>
      <c r="H243" s="43" t="str">
        <f>_xlfn.XLOOKUP($A243,Map!$A:$A,Map!D:D)</f>
        <v>Cost of sales</v>
      </c>
      <c r="I243" s="43" t="str">
        <f>_xlfn.XLOOKUP($A243,Map!$A:$A,Map!E:E)</f>
        <v>Overhead - R&amp;M</v>
      </c>
      <c r="J243" s="43" t="str">
        <f>_xlfn.XLOOKUP($A243,Map!$A:$A,Map!F:F)</f>
        <v>Machine and equipment</v>
      </c>
    </row>
    <row r="244" spans="1:10" x14ac:dyDescent="0.25">
      <c r="A244">
        <v>600019</v>
      </c>
      <c r="B244" t="s">
        <v>1356</v>
      </c>
      <c r="D244" s="116">
        <v>118151.98299999999</v>
      </c>
      <c r="E244" s="116">
        <v>0</v>
      </c>
      <c r="F244" s="116">
        <f t="shared" si="0"/>
        <v>118151.98299999999</v>
      </c>
      <c r="G244" s="43" t="str">
        <f>_xlfn.XLOOKUP($A244,Map!$A:$A,Map!C:C)</f>
        <v>IS</v>
      </c>
      <c r="H244" s="43" t="str">
        <f>_xlfn.XLOOKUP($A244,Map!$A:$A,Map!D:D)</f>
        <v>Cost of sales</v>
      </c>
      <c r="I244" s="43" t="str">
        <f>_xlfn.XLOOKUP($A244,Map!$A:$A,Map!E:E)</f>
        <v>Overhead - Utility</v>
      </c>
      <c r="J244" s="43" t="str">
        <f>_xlfn.XLOOKUP($A244,Map!$A:$A,Map!F:F)</f>
        <v>Fuel and oil</v>
      </c>
    </row>
    <row r="245" spans="1:10" x14ac:dyDescent="0.25">
      <c r="A245">
        <v>600018</v>
      </c>
      <c r="B245" t="s">
        <v>1356</v>
      </c>
      <c r="D245" s="116">
        <v>216247</v>
      </c>
      <c r="E245" s="116">
        <v>0</v>
      </c>
      <c r="F245" s="116">
        <f t="shared" si="0"/>
        <v>216247</v>
      </c>
      <c r="G245" s="43" t="str">
        <f>_xlfn.XLOOKUP($A245,Map!$A:$A,Map!C:C)</f>
        <v>IS</v>
      </c>
      <c r="H245" s="43" t="str">
        <f>_xlfn.XLOOKUP($A245,Map!$A:$A,Map!D:D)</f>
        <v>Cost of sales</v>
      </c>
      <c r="I245" s="43" t="str">
        <f>_xlfn.XLOOKUP($A245,Map!$A:$A,Map!E:E)</f>
        <v>Overhead - Utility</v>
      </c>
      <c r="J245" s="43" t="str">
        <f>_xlfn.XLOOKUP($A245,Map!$A:$A,Map!F:F)</f>
        <v>Water expenses</v>
      </c>
    </row>
    <row r="246" spans="1:10" x14ac:dyDescent="0.25">
      <c r="A246">
        <v>600017</v>
      </c>
      <c r="B246" t="s">
        <v>1356</v>
      </c>
      <c r="D246" s="116">
        <v>2216881.2599999998</v>
      </c>
      <c r="E246" s="116">
        <v>0</v>
      </c>
      <c r="F246" s="116">
        <f t="shared" si="0"/>
        <v>2216881.2599999998</v>
      </c>
      <c r="G246" s="43" t="str">
        <f>_xlfn.XLOOKUP($A246,Map!$A:$A,Map!C:C)</f>
        <v>IS</v>
      </c>
      <c r="H246" s="43" t="str">
        <f>_xlfn.XLOOKUP($A246,Map!$A:$A,Map!D:D)</f>
        <v>Cost of sales</v>
      </c>
      <c r="I246" s="43" t="str">
        <f>_xlfn.XLOOKUP($A246,Map!$A:$A,Map!E:E)</f>
        <v>Overhead - Utility</v>
      </c>
      <c r="J246" s="43" t="str">
        <f>_xlfn.XLOOKUP($A246,Map!$A:$A,Map!F:F)</f>
        <v>Electricity expenses</v>
      </c>
    </row>
    <row r="247" spans="1:10" x14ac:dyDescent="0.25">
      <c r="A247">
        <v>600016</v>
      </c>
      <c r="B247" t="s">
        <v>1356</v>
      </c>
      <c r="D247" s="116">
        <v>1872605.669</v>
      </c>
      <c r="E247" s="116">
        <v>0</v>
      </c>
      <c r="F247" s="116">
        <f t="shared" si="0"/>
        <v>1872605.669</v>
      </c>
      <c r="G247" s="43" t="str">
        <f>_xlfn.XLOOKUP($A247,Map!$A:$A,Map!C:C)</f>
        <v>IS</v>
      </c>
      <c r="H247" s="43" t="str">
        <f>_xlfn.XLOOKUP($A247,Map!$A:$A,Map!D:D)</f>
        <v>Cost of sales</v>
      </c>
      <c r="I247" s="43" t="str">
        <f>_xlfn.XLOOKUP($A247,Map!$A:$A,Map!E:E)</f>
        <v>Overhead - Consumables &amp; SP</v>
      </c>
      <c r="J247" s="43" t="str">
        <f>_xlfn.XLOOKUP($A247,Map!$A:$A,Map!F:F)</f>
        <v>Tools</v>
      </c>
    </row>
    <row r="248" spans="1:10" x14ac:dyDescent="0.25">
      <c r="A248">
        <v>600014</v>
      </c>
      <c r="B248" t="s">
        <v>1356</v>
      </c>
      <c r="D248" s="116">
        <v>1642211.402</v>
      </c>
      <c r="E248" s="116">
        <v>0</v>
      </c>
      <c r="F248" s="116">
        <f t="shared" si="0"/>
        <v>1642211.402</v>
      </c>
      <c r="G248" s="43" t="str">
        <f>_xlfn.XLOOKUP($A248,Map!$A:$A,Map!C:C)</f>
        <v>IS</v>
      </c>
      <c r="H248" s="43" t="str">
        <f>_xlfn.XLOOKUP($A248,Map!$A:$A,Map!D:D)</f>
        <v>Cost of sales</v>
      </c>
      <c r="I248" s="43" t="str">
        <f>_xlfn.XLOOKUP($A248,Map!$A:$A,Map!E:E)</f>
        <v>Overhead - Consumables &amp; SP</v>
      </c>
      <c r="J248" s="43" t="str">
        <f>_xlfn.XLOOKUP($A248,Map!$A:$A,Map!F:F)</f>
        <v>Consumables</v>
      </c>
    </row>
    <row r="249" spans="1:10" x14ac:dyDescent="0.25">
      <c r="A249">
        <v>600012</v>
      </c>
      <c r="B249" t="s">
        <v>1356</v>
      </c>
      <c r="D249" s="116">
        <v>1535</v>
      </c>
      <c r="E249" s="116">
        <v>0</v>
      </c>
      <c r="F249" s="116">
        <f t="shared" si="0"/>
        <v>1535</v>
      </c>
      <c r="G249" s="43" t="str">
        <f>_xlfn.XLOOKUP($A249,Map!$A:$A,Map!C:C)</f>
        <v>IS</v>
      </c>
      <c r="H249" s="43" t="str">
        <f>_xlfn.XLOOKUP($A249,Map!$A:$A,Map!D:D)</f>
        <v>Cost of sales</v>
      </c>
      <c r="I249" s="43" t="str">
        <f>_xlfn.XLOOKUP($A249,Map!$A:$A,Map!E:E)</f>
        <v>Overhead - Labor Cost</v>
      </c>
      <c r="J249" s="43" t="str">
        <f>_xlfn.XLOOKUP($A249,Map!$A:$A,Map!F:F)</f>
        <v xml:space="preserve">Education &amp; Furniture Allowances </v>
      </c>
    </row>
    <row r="250" spans="1:10" x14ac:dyDescent="0.25">
      <c r="A250">
        <v>600011</v>
      </c>
      <c r="B250" t="s">
        <v>1356</v>
      </c>
      <c r="D250" s="116">
        <v>14500</v>
      </c>
      <c r="E250" s="116">
        <v>0</v>
      </c>
      <c r="F250" s="116">
        <f t="shared" si="0"/>
        <v>14500</v>
      </c>
      <c r="G250" s="43" t="str">
        <f>_xlfn.XLOOKUP($A250,Map!$A:$A,Map!C:C)</f>
        <v>IS</v>
      </c>
      <c r="H250" s="43" t="str">
        <f>_xlfn.XLOOKUP($A250,Map!$A:$A,Map!D:D)</f>
        <v>Cost of sales</v>
      </c>
      <c r="I250" s="43" t="str">
        <f>_xlfn.XLOOKUP($A250,Map!$A:$A,Map!E:E)</f>
        <v>Overhead - Labor Cost</v>
      </c>
      <c r="J250" s="43" t="str">
        <f>_xlfn.XLOOKUP($A250,Map!$A:$A,Map!F:F)</f>
        <v>Air tickets</v>
      </c>
    </row>
    <row r="251" spans="1:10" x14ac:dyDescent="0.25">
      <c r="A251">
        <v>600009</v>
      </c>
      <c r="B251" t="s">
        <v>1356</v>
      </c>
      <c r="D251" s="116">
        <v>191436</v>
      </c>
      <c r="E251" s="116">
        <v>0</v>
      </c>
      <c r="F251" s="116">
        <f t="shared" si="0"/>
        <v>191436</v>
      </c>
      <c r="G251" s="43" t="str">
        <f>_xlfn.XLOOKUP($A251,Map!$A:$A,Map!C:C)</f>
        <v>IS</v>
      </c>
      <c r="H251" s="43" t="str">
        <f>_xlfn.XLOOKUP($A251,Map!$A:$A,Map!D:D)</f>
        <v>Cost of sales</v>
      </c>
      <c r="I251" s="43" t="str">
        <f>_xlfn.XLOOKUP($A251,Map!$A:$A,Map!E:E)</f>
        <v>Overhead - Labor Cost</v>
      </c>
      <c r="J251" s="43" t="str">
        <f>_xlfn.XLOOKUP($A251,Map!$A:$A,Map!F:F)</f>
        <v>Vacation pay</v>
      </c>
    </row>
    <row r="252" spans="1:10" x14ac:dyDescent="0.25">
      <c r="A252">
        <v>600008</v>
      </c>
      <c r="B252" t="s">
        <v>1356</v>
      </c>
      <c r="D252" s="116">
        <v>421563.03</v>
      </c>
      <c r="E252" s="116">
        <v>0</v>
      </c>
      <c r="F252" s="116">
        <f t="shared" si="0"/>
        <v>421563.03</v>
      </c>
      <c r="G252" s="43" t="str">
        <f>_xlfn.XLOOKUP($A252,Map!$A:$A,Map!C:C)</f>
        <v>IS</v>
      </c>
      <c r="H252" s="43" t="str">
        <f>_xlfn.XLOOKUP($A252,Map!$A:$A,Map!D:D)</f>
        <v>Cost of sales</v>
      </c>
      <c r="I252" s="43" t="str">
        <f>_xlfn.XLOOKUP($A252,Map!$A:$A,Map!E:E)</f>
        <v>Overhead - Labor Cost</v>
      </c>
      <c r="J252" s="43" t="str">
        <f>_xlfn.XLOOKUP($A252,Map!$A:$A,Map!F:F)</f>
        <v>Air tickets</v>
      </c>
    </row>
    <row r="253" spans="1:10" x14ac:dyDescent="0.25">
      <c r="A253">
        <v>600007</v>
      </c>
      <c r="B253" t="s">
        <v>1356</v>
      </c>
      <c r="D253" s="116">
        <v>160242</v>
      </c>
      <c r="E253" s="116">
        <v>0</v>
      </c>
      <c r="F253" s="116">
        <f t="shared" si="0"/>
        <v>160242</v>
      </c>
      <c r="G253" s="43" t="str">
        <f>_xlfn.XLOOKUP($A253,Map!$A:$A,Map!C:C)</f>
        <v>IS</v>
      </c>
      <c r="H253" s="43" t="str">
        <f>_xlfn.XLOOKUP($A253,Map!$A:$A,Map!D:D)</f>
        <v>Cost of sales</v>
      </c>
      <c r="I253" s="43" t="str">
        <f>_xlfn.XLOOKUP($A253,Map!$A:$A,Map!E:E)</f>
        <v>Overhead - Labor Cost</v>
      </c>
      <c r="J253" s="43" t="str">
        <f>_xlfn.XLOOKUP($A253,Map!$A:$A,Map!F:F)</f>
        <v>Transportation allowance</v>
      </c>
    </row>
    <row r="254" spans="1:10" x14ac:dyDescent="0.25">
      <c r="A254">
        <v>600006</v>
      </c>
      <c r="B254" t="s">
        <v>1356</v>
      </c>
      <c r="D254" s="116">
        <v>437489.97</v>
      </c>
      <c r="E254" s="116">
        <v>0</v>
      </c>
      <c r="F254" s="116">
        <f t="shared" si="0"/>
        <v>437489.97</v>
      </c>
      <c r="G254" s="43" t="str">
        <f>_xlfn.XLOOKUP($A254,Map!$A:$A,Map!C:C)</f>
        <v>IS</v>
      </c>
      <c r="H254" s="43" t="str">
        <f>_xlfn.XLOOKUP($A254,Map!$A:$A,Map!D:D)</f>
        <v>Cost of sales</v>
      </c>
      <c r="I254" s="43" t="str">
        <f>_xlfn.XLOOKUP($A254,Map!$A:$A,Map!E:E)</f>
        <v>Overhead - Labor Cost</v>
      </c>
      <c r="J254" s="43" t="str">
        <f>_xlfn.XLOOKUP($A254,Map!$A:$A,Map!F:F)</f>
        <v xml:space="preserve">Food &amp; Housing </v>
      </c>
    </row>
    <row r="255" spans="1:10" x14ac:dyDescent="0.25">
      <c r="A255">
        <v>600005</v>
      </c>
      <c r="B255" t="s">
        <v>1356</v>
      </c>
      <c r="D255" s="116">
        <v>418592.77899999998</v>
      </c>
      <c r="E255" s="116">
        <v>0</v>
      </c>
      <c r="F255" s="116">
        <f t="shared" si="0"/>
        <v>418592.77899999998</v>
      </c>
      <c r="G255" s="43" t="str">
        <f>_xlfn.XLOOKUP($A255,Map!$A:$A,Map!C:C)</f>
        <v>IS</v>
      </c>
      <c r="H255" s="43" t="str">
        <f>_xlfn.XLOOKUP($A255,Map!$A:$A,Map!D:D)</f>
        <v>General and Admin</v>
      </c>
      <c r="I255" s="43" t="str">
        <f>_xlfn.XLOOKUP($A255,Map!$A:$A,Map!E:E)</f>
        <v>Govt license and fees (including modon)</v>
      </c>
      <c r="J255" s="43" t="str">
        <f>_xlfn.XLOOKUP($A255,Map!$A:$A,Map!F:F)</f>
        <v>Government fees</v>
      </c>
    </row>
    <row r="256" spans="1:10" x14ac:dyDescent="0.25">
      <c r="A256">
        <v>600004</v>
      </c>
      <c r="B256" t="s">
        <v>1356</v>
      </c>
      <c r="D256" s="116">
        <v>133520</v>
      </c>
      <c r="E256" s="116">
        <v>0</v>
      </c>
      <c r="F256" s="116">
        <f t="shared" si="0"/>
        <v>133520</v>
      </c>
      <c r="G256" s="43" t="str">
        <f>_xlfn.XLOOKUP($A256,Map!$A:$A,Map!C:C)</f>
        <v>IS</v>
      </c>
      <c r="H256" s="43" t="str">
        <f>_xlfn.XLOOKUP($A256,Map!$A:$A,Map!D:D)</f>
        <v>Cost of sales</v>
      </c>
      <c r="I256" s="43" t="str">
        <f>_xlfn.XLOOKUP($A256,Map!$A:$A,Map!E:E)</f>
        <v>Overhead - Labor Cost</v>
      </c>
      <c r="J256" s="43" t="str">
        <f>_xlfn.XLOOKUP($A256,Map!$A:$A,Map!F:F)</f>
        <v>Medical insurance</v>
      </c>
    </row>
    <row r="257" spans="1:10" x14ac:dyDescent="0.25">
      <c r="A257">
        <v>600003</v>
      </c>
      <c r="B257" t="s">
        <v>1356</v>
      </c>
      <c r="D257" s="116">
        <v>406049.76</v>
      </c>
      <c r="E257" s="116">
        <v>0</v>
      </c>
      <c r="F257" s="116">
        <f t="shared" si="0"/>
        <v>406049.76</v>
      </c>
      <c r="G257" s="43" t="str">
        <f>_xlfn.XLOOKUP($A257,Map!$A:$A,Map!C:C)</f>
        <v>IS</v>
      </c>
      <c r="H257" s="43" t="str">
        <f>_xlfn.XLOOKUP($A257,Map!$A:$A,Map!D:D)</f>
        <v>Cost of sales</v>
      </c>
      <c r="I257" s="43" t="str">
        <f>_xlfn.XLOOKUP($A257,Map!$A:$A,Map!E:E)</f>
        <v>Overhead - Labor Cost</v>
      </c>
      <c r="J257" s="43" t="str">
        <f>_xlfn.XLOOKUP($A257,Map!$A:$A,Map!F:F)</f>
        <v xml:space="preserve">Food &amp; Housing </v>
      </c>
    </row>
    <row r="258" spans="1:10" x14ac:dyDescent="0.25">
      <c r="A258">
        <v>600002</v>
      </c>
      <c r="B258" t="s">
        <v>1356</v>
      </c>
      <c r="D258" s="116">
        <v>397638</v>
      </c>
      <c r="E258" s="116">
        <v>0</v>
      </c>
      <c r="F258" s="116">
        <f t="shared" si="0"/>
        <v>397638</v>
      </c>
      <c r="G258" s="43" t="str">
        <f>_xlfn.XLOOKUP($A258,Map!$A:$A,Map!C:C)</f>
        <v>IS</v>
      </c>
      <c r="H258" s="43" t="str">
        <f>_xlfn.XLOOKUP($A258,Map!$A:$A,Map!D:D)</f>
        <v>Cost of sales</v>
      </c>
      <c r="I258" s="43" t="str">
        <f>_xlfn.XLOOKUP($A258,Map!$A:$A,Map!E:E)</f>
        <v>Overhead - Labor Cost</v>
      </c>
      <c r="J258" s="43" t="str">
        <f>_xlfn.XLOOKUP($A258,Map!$A:$A,Map!F:F)</f>
        <v>Overtime pay</v>
      </c>
    </row>
    <row r="259" spans="1:10" x14ac:dyDescent="0.25">
      <c r="A259">
        <v>600001</v>
      </c>
      <c r="B259" t="s">
        <v>1356</v>
      </c>
      <c r="D259" s="116">
        <v>1785105.375</v>
      </c>
      <c r="E259" s="116">
        <v>0</v>
      </c>
      <c r="F259" s="116">
        <f t="shared" si="0"/>
        <v>1785105.375</v>
      </c>
      <c r="G259" s="43" t="str">
        <f>_xlfn.XLOOKUP($A259,Map!$A:$A,Map!C:C)</f>
        <v>IS</v>
      </c>
      <c r="H259" s="43" t="str">
        <f>_xlfn.XLOOKUP($A259,Map!$A:$A,Map!D:D)</f>
        <v>Cost of sales</v>
      </c>
      <c r="I259" s="43" t="str">
        <f>_xlfn.XLOOKUP($A259,Map!$A:$A,Map!E:E)</f>
        <v>Overhead - Labor Cost</v>
      </c>
      <c r="J259" s="43" t="str">
        <f>_xlfn.XLOOKUP($A259,Map!$A:$A,Map!F:F)</f>
        <v>Indirect Salaries — factory supervisory / indirect floor labour (COGS)</v>
      </c>
    </row>
    <row r="260" spans="1:10" x14ac:dyDescent="0.25">
      <c r="A260">
        <v>520042</v>
      </c>
      <c r="B260" t="s">
        <v>1356</v>
      </c>
      <c r="D260" s="116">
        <v>829316.42799999996</v>
      </c>
      <c r="E260" s="116">
        <v>0</v>
      </c>
      <c r="F260" s="116">
        <f t="shared" si="0"/>
        <v>829316.42799999996</v>
      </c>
      <c r="G260" s="43" t="str">
        <f>_xlfn.XLOOKUP($A260,Map!$A:$A,Map!C:C)</f>
        <v>IS</v>
      </c>
      <c r="H260" s="43" t="str">
        <f>_xlfn.XLOOKUP($A260,Map!$A:$A,Map!D:D)</f>
        <v>Cost of sales</v>
      </c>
      <c r="I260" s="43" t="str">
        <f>_xlfn.XLOOKUP($A260,Map!$A:$A,Map!E:E)</f>
        <v>Raw materials</v>
      </c>
      <c r="J260" s="43" t="str">
        <f>_xlfn.XLOOKUP($A260,Map!$A:$A,Map!F:F)</f>
        <v>Inventory Adjustment</v>
      </c>
    </row>
    <row r="261" spans="1:10" x14ac:dyDescent="0.25">
      <c r="A261">
        <v>520041</v>
      </c>
      <c r="B261" t="s">
        <v>1356</v>
      </c>
      <c r="D261" s="116">
        <v>0</v>
      </c>
      <c r="E261" s="116">
        <v>13068657.573000001</v>
      </c>
      <c r="F261" s="116">
        <f t="shared" si="0"/>
        <v>-13068657.573000001</v>
      </c>
      <c r="G261" s="43" t="str">
        <f>_xlfn.XLOOKUP($A261,Map!$A:$A,Map!C:C)</f>
        <v>IS</v>
      </c>
      <c r="H261" s="43" t="str">
        <f>_xlfn.XLOOKUP($A261,Map!$A:$A,Map!D:D)</f>
        <v>Cost of sales</v>
      </c>
      <c r="I261" s="43" t="str">
        <f>_xlfn.XLOOKUP($A261,Map!$A:$A,Map!E:E)</f>
        <v>Raw materials</v>
      </c>
      <c r="J261" s="43" t="str">
        <f>_xlfn.XLOOKUP($A261,Map!$A:$A,Map!F:F)</f>
        <v>Other expenses</v>
      </c>
    </row>
    <row r="262" spans="1:10" x14ac:dyDescent="0.25">
      <c r="A262">
        <v>520037</v>
      </c>
      <c r="B262" t="s">
        <v>1356</v>
      </c>
      <c r="D262" s="116">
        <v>922472.60699999996</v>
      </c>
      <c r="E262" s="116">
        <v>0</v>
      </c>
      <c r="F262" s="116">
        <f t="shared" si="0"/>
        <v>922472.60699999996</v>
      </c>
      <c r="G262" s="43" t="str">
        <f>_xlfn.XLOOKUP($A262,Map!$A:$A,Map!C:C)</f>
        <v>IS</v>
      </c>
      <c r="H262" s="43" t="str">
        <f>_xlfn.XLOOKUP($A262,Map!$A:$A,Map!D:D)</f>
        <v>Cost of sales</v>
      </c>
      <c r="I262" s="43" t="str">
        <f>_xlfn.XLOOKUP($A262,Map!$A:$A,Map!E:E)</f>
        <v>Raw materials</v>
      </c>
      <c r="J262" s="43" t="str">
        <f>_xlfn.XLOOKUP($A262,Map!$A:$A,Map!F:F)</f>
        <v>Raw materials</v>
      </c>
    </row>
    <row r="263" spans="1:10" x14ac:dyDescent="0.25">
      <c r="A263">
        <v>520036</v>
      </c>
      <c r="B263" t="s">
        <v>1356</v>
      </c>
      <c r="D263" s="116">
        <v>0</v>
      </c>
      <c r="E263" s="116">
        <v>0.11600000000000001</v>
      </c>
      <c r="F263" s="116">
        <f t="shared" si="0"/>
        <v>-0.11600000000000001</v>
      </c>
      <c r="G263" s="43" t="str">
        <f>_xlfn.XLOOKUP($A263,Map!$A:$A,Map!C:C)</f>
        <v>IS</v>
      </c>
      <c r="H263" s="43" t="str">
        <f>_xlfn.XLOOKUP($A263,Map!$A:$A,Map!D:D)</f>
        <v>Cost of sales</v>
      </c>
      <c r="I263" s="43" t="str">
        <f>_xlfn.XLOOKUP($A263,Map!$A:$A,Map!E:E)</f>
        <v>Raw materials</v>
      </c>
      <c r="J263" s="43" t="str">
        <f>_xlfn.XLOOKUP($A263,Map!$A:$A,Map!F:F)</f>
        <v>Raw materials</v>
      </c>
    </row>
    <row r="264" spans="1:10" x14ac:dyDescent="0.25">
      <c r="A264">
        <v>520023</v>
      </c>
      <c r="B264" t="s">
        <v>1356</v>
      </c>
      <c r="D264" s="116">
        <v>52202.400000000001</v>
      </c>
      <c r="E264" s="116">
        <v>0</v>
      </c>
      <c r="F264" s="116">
        <f t="shared" si="0"/>
        <v>52202.400000000001</v>
      </c>
      <c r="G264" s="43" t="str">
        <f>_xlfn.XLOOKUP($A264,Map!$A:$A,Map!C:C)</f>
        <v>IS</v>
      </c>
      <c r="H264" s="43" t="str">
        <f>_xlfn.XLOOKUP($A264,Map!$A:$A,Map!D:D)</f>
        <v>Cost of sales</v>
      </c>
      <c r="I264" s="43" t="str">
        <f>_xlfn.XLOOKUP($A264,Map!$A:$A,Map!E:E)</f>
        <v>Direct Labor</v>
      </c>
      <c r="J264" s="43" t="str">
        <f>_xlfn.XLOOKUP($A264,Map!$A:$A,Map!F:F)</f>
        <v>Medical insurance</v>
      </c>
    </row>
    <row r="265" spans="1:10" x14ac:dyDescent="0.25">
      <c r="A265">
        <v>520021</v>
      </c>
      <c r="B265" t="s">
        <v>1356</v>
      </c>
      <c r="D265" s="116">
        <v>66506</v>
      </c>
      <c r="E265" s="116">
        <v>0</v>
      </c>
      <c r="F265" s="116">
        <f t="shared" si="0"/>
        <v>66506</v>
      </c>
      <c r="G265" s="43" t="str">
        <f>_xlfn.XLOOKUP($A265,Map!$A:$A,Map!C:C)</f>
        <v>IS</v>
      </c>
      <c r="H265" s="43" t="str">
        <f>_xlfn.XLOOKUP($A265,Map!$A:$A,Map!D:D)</f>
        <v>Cost of sales</v>
      </c>
      <c r="I265" s="43" t="str">
        <f>_xlfn.XLOOKUP($A265,Map!$A:$A,Map!E:E)</f>
        <v>Direct Labor</v>
      </c>
      <c r="J265" s="43" t="str">
        <f>_xlfn.XLOOKUP($A265,Map!$A:$A,Map!F:F)</f>
        <v>Medical insurance</v>
      </c>
    </row>
    <row r="266" spans="1:10" x14ac:dyDescent="0.25">
      <c r="A266">
        <v>520011</v>
      </c>
      <c r="B266" t="s">
        <v>1356</v>
      </c>
      <c r="D266" s="116">
        <v>424845</v>
      </c>
      <c r="E266" s="116">
        <v>0</v>
      </c>
      <c r="F266" s="116">
        <f t="shared" si="0"/>
        <v>424845</v>
      </c>
      <c r="G266" s="43" t="str">
        <f>_xlfn.XLOOKUP($A266,Map!$A:$A,Map!C:C)</f>
        <v>IS</v>
      </c>
      <c r="H266" s="43" t="str">
        <f>_xlfn.XLOOKUP($A266,Map!$A:$A,Map!D:D)</f>
        <v>Cost of sales</v>
      </c>
      <c r="I266" s="43" t="str">
        <f>_xlfn.XLOOKUP($A266,Map!$A:$A,Map!E:E)</f>
        <v>Direct Labor</v>
      </c>
      <c r="J266" s="43" t="str">
        <f>_xlfn.XLOOKUP($A266,Map!$A:$A,Map!F:F)</f>
        <v>Overtime pay</v>
      </c>
    </row>
    <row r="267" spans="1:10" x14ac:dyDescent="0.25">
      <c r="A267">
        <v>520006</v>
      </c>
      <c r="B267" t="s">
        <v>1356</v>
      </c>
      <c r="D267" s="116">
        <v>222564</v>
      </c>
      <c r="E267" s="116">
        <v>0</v>
      </c>
      <c r="F267" s="116">
        <f t="shared" si="0"/>
        <v>222564</v>
      </c>
      <c r="G267" s="43" t="str">
        <f>_xlfn.XLOOKUP($A267,Map!$A:$A,Map!C:C)</f>
        <v>IS</v>
      </c>
      <c r="H267" s="43" t="str">
        <f>_xlfn.XLOOKUP($A267,Map!$A:$A,Map!D:D)</f>
        <v>Cost of sales</v>
      </c>
      <c r="I267" s="43" t="str">
        <f>_xlfn.XLOOKUP($A267,Map!$A:$A,Map!E:E)</f>
        <v>Direct Labor</v>
      </c>
      <c r="J267" s="43" t="str">
        <f>_xlfn.XLOOKUP($A267,Map!$A:$A,Map!F:F)</f>
        <v>Medical insurance</v>
      </c>
    </row>
    <row r="268" spans="1:10" x14ac:dyDescent="0.25">
      <c r="A268">
        <v>520004</v>
      </c>
      <c r="B268" t="s">
        <v>1356</v>
      </c>
      <c r="D268" s="116">
        <v>33676</v>
      </c>
      <c r="E268" s="116">
        <v>0</v>
      </c>
      <c r="F268" s="116">
        <f t="shared" si="0"/>
        <v>33676</v>
      </c>
      <c r="G268" s="43" t="str">
        <f>_xlfn.XLOOKUP($A268,Map!$A:$A,Map!C:C)</f>
        <v>IS</v>
      </c>
      <c r="H268" s="43" t="str">
        <f>_xlfn.XLOOKUP($A268,Map!$A:$A,Map!D:D)</f>
        <v>Cost of sales</v>
      </c>
      <c r="I268" s="43" t="str">
        <f>_xlfn.XLOOKUP($A268,Map!$A:$A,Map!E:E)</f>
        <v>Direct Labor</v>
      </c>
      <c r="J268" s="43" t="str">
        <f>_xlfn.XLOOKUP($A268,Map!$A:$A,Map!F:F)</f>
        <v>Food and housing</v>
      </c>
    </row>
    <row r="269" spans="1:10" x14ac:dyDescent="0.25">
      <c r="A269">
        <v>520003</v>
      </c>
      <c r="B269" t="s">
        <v>1356</v>
      </c>
      <c r="D269" s="116">
        <v>204511</v>
      </c>
      <c r="E269" s="116">
        <v>0</v>
      </c>
      <c r="F269" s="116">
        <f t="shared" si="0"/>
        <v>204511</v>
      </c>
      <c r="G269" s="43" t="str">
        <f>_xlfn.XLOOKUP($A269,Map!$A:$A,Map!C:C)</f>
        <v>IS</v>
      </c>
      <c r="H269" s="43" t="str">
        <f>_xlfn.XLOOKUP($A269,Map!$A:$A,Map!D:D)</f>
        <v>Cost of sales</v>
      </c>
      <c r="I269" s="43" t="str">
        <f>_xlfn.XLOOKUP($A269,Map!$A:$A,Map!E:E)</f>
        <v>Direct Labor</v>
      </c>
      <c r="J269" s="43" t="str">
        <f>_xlfn.XLOOKUP($A269,Map!$A:$A,Map!F:F)</f>
        <v>Transportation allowance</v>
      </c>
    </row>
    <row r="270" spans="1:10" x14ac:dyDescent="0.25">
      <c r="A270">
        <v>520001</v>
      </c>
      <c r="B270" t="s">
        <v>1356</v>
      </c>
      <c r="D270" s="116">
        <v>3727041</v>
      </c>
      <c r="E270" s="116">
        <v>0</v>
      </c>
      <c r="F270" s="116">
        <f t="shared" si="0"/>
        <v>3727041</v>
      </c>
      <c r="G270" s="43" t="str">
        <f>_xlfn.XLOOKUP($A270,Map!$A:$A,Map!C:C)</f>
        <v>IS</v>
      </c>
      <c r="H270" s="43" t="str">
        <f>_xlfn.XLOOKUP($A270,Map!$A:$A,Map!D:D)</f>
        <v>Cost of sales</v>
      </c>
      <c r="I270" s="43" t="str">
        <f>_xlfn.XLOOKUP($A270,Map!$A:$A,Map!E:E)</f>
        <v>Direct Labor</v>
      </c>
      <c r="J270" s="43" t="str">
        <f>_xlfn.XLOOKUP($A270,Map!$A:$A,Map!F:F)</f>
        <v>Salaries and wages</v>
      </c>
    </row>
    <row r="271" spans="1:10" x14ac:dyDescent="0.25">
      <c r="A271">
        <v>510005</v>
      </c>
      <c r="B271" t="s">
        <v>1356</v>
      </c>
      <c r="D271" s="116">
        <v>2.4980000000000002</v>
      </c>
      <c r="E271" s="116">
        <v>0</v>
      </c>
      <c r="F271" s="116">
        <f t="shared" si="0"/>
        <v>2.4980000000000002</v>
      </c>
      <c r="G271" s="43" t="str">
        <f>_xlfn.XLOOKUP($A271,Map!$A:$A,Map!C:C)</f>
        <v>IS</v>
      </c>
      <c r="H271" s="43" t="str">
        <f>_xlfn.XLOOKUP($A271,Map!$A:$A,Map!D:D)</f>
        <v>Cost of sales</v>
      </c>
      <c r="I271" s="43" t="str">
        <f>_xlfn.XLOOKUP($A271,Map!$A:$A,Map!E:E)</f>
        <v>Raw materials</v>
      </c>
      <c r="J271" s="43" t="str">
        <f>_xlfn.XLOOKUP($A271,Map!$A:$A,Map!F:F)</f>
        <v>Other expenses</v>
      </c>
    </row>
    <row r="272" spans="1:10" x14ac:dyDescent="0.25">
      <c r="A272">
        <v>510004</v>
      </c>
      <c r="B272" t="s">
        <v>1356</v>
      </c>
      <c r="D272" s="116">
        <v>0</v>
      </c>
      <c r="E272" s="116">
        <v>8741046.102</v>
      </c>
      <c r="F272" s="116">
        <f t="shared" si="0"/>
        <v>-8741046.102</v>
      </c>
      <c r="G272" s="43" t="str">
        <f>_xlfn.XLOOKUP($A272,Map!$A:$A,Map!C:C)</f>
        <v>IS</v>
      </c>
      <c r="H272" s="43" t="str">
        <f>_xlfn.XLOOKUP($A272,Map!$A:$A,Map!D:D)</f>
        <v>Cost of sales</v>
      </c>
      <c r="I272" s="43" t="str">
        <f>_xlfn.XLOOKUP($A272,Map!$A:$A,Map!E:E)</f>
        <v>Raw materials</v>
      </c>
      <c r="J272" s="43" t="str">
        <f>_xlfn.XLOOKUP($A272,Map!$A:$A,Map!F:F)</f>
        <v>Other expenses</v>
      </c>
    </row>
    <row r="273" spans="1:10" x14ac:dyDescent="0.25">
      <c r="A273">
        <v>510003</v>
      </c>
      <c r="B273" t="s">
        <v>1356</v>
      </c>
      <c r="D273" s="116">
        <v>0</v>
      </c>
      <c r="E273" s="116">
        <v>221455.19200000001</v>
      </c>
      <c r="F273" s="116">
        <f t="shared" si="0"/>
        <v>-221455.19200000001</v>
      </c>
      <c r="G273" s="43" t="str">
        <f>_xlfn.XLOOKUP($A273,Map!$A:$A,Map!C:C)</f>
        <v>IS</v>
      </c>
      <c r="H273" s="43" t="str">
        <f>_xlfn.XLOOKUP($A273,Map!$A:$A,Map!D:D)</f>
        <v>Cost of sales</v>
      </c>
      <c r="I273" s="43" t="str">
        <f>_xlfn.XLOOKUP($A273,Map!$A:$A,Map!E:E)</f>
        <v>Raw materials</v>
      </c>
      <c r="J273" s="43" t="str">
        <f>_xlfn.XLOOKUP($A273,Map!$A:$A,Map!F:F)</f>
        <v>Raw materials</v>
      </c>
    </row>
    <row r="274" spans="1:10" x14ac:dyDescent="0.25">
      <c r="A274">
        <v>510002</v>
      </c>
      <c r="B274" t="s">
        <v>1356</v>
      </c>
      <c r="D274" s="116">
        <v>0</v>
      </c>
      <c r="E274" s="116">
        <v>6708201.5209999997</v>
      </c>
      <c r="F274" s="116">
        <f t="shared" si="0"/>
        <v>-6708201.5209999997</v>
      </c>
      <c r="G274" s="43" t="str">
        <f>_xlfn.XLOOKUP($A274,Map!$A:$A,Map!C:C)</f>
        <v>IS</v>
      </c>
      <c r="H274" s="43" t="str">
        <f>_xlfn.XLOOKUP($A274,Map!$A:$A,Map!D:D)</f>
        <v>Cost of sales</v>
      </c>
      <c r="I274" s="43" t="str">
        <f>_xlfn.XLOOKUP($A274,Map!$A:$A,Map!E:E)</f>
        <v>Direct Labor</v>
      </c>
      <c r="J274" s="43" t="str">
        <f>_xlfn.XLOOKUP($A274,Map!$A:$A,Map!F:F)</f>
        <v>Direct Labor</v>
      </c>
    </row>
    <row r="275" spans="1:10" x14ac:dyDescent="0.25">
      <c r="A275">
        <v>510001</v>
      </c>
      <c r="B275" t="s">
        <v>1356</v>
      </c>
      <c r="D275" s="116">
        <v>6556335.5659999996</v>
      </c>
      <c r="E275" s="116">
        <v>0</v>
      </c>
      <c r="F275" s="116">
        <f t="shared" si="0"/>
        <v>6556335.5659999996</v>
      </c>
      <c r="G275" s="43" t="str">
        <f>_xlfn.XLOOKUP($A275,Map!$A:$A,Map!C:C)</f>
        <v>IS</v>
      </c>
      <c r="H275" s="43" t="str">
        <f>_xlfn.XLOOKUP($A275,Map!$A:$A,Map!D:D)</f>
        <v>Cost of sales</v>
      </c>
      <c r="I275" s="43" t="str">
        <f>_xlfn.XLOOKUP($A275,Map!$A:$A,Map!E:E)</f>
        <v>Raw materials</v>
      </c>
      <c r="J275" s="43" t="str">
        <f>_xlfn.XLOOKUP($A275,Map!$A:$A,Map!F:F)</f>
        <v>Raw materials</v>
      </c>
    </row>
    <row r="276" spans="1:10" x14ac:dyDescent="0.25">
      <c r="A276">
        <v>230001</v>
      </c>
      <c r="B276" t="s">
        <v>1356</v>
      </c>
      <c r="D276" s="116">
        <v>518372.10499999998</v>
      </c>
      <c r="E276" s="116">
        <v>0</v>
      </c>
      <c r="F276" s="116">
        <f t="shared" si="0"/>
        <v>518372.10499999998</v>
      </c>
      <c r="G276" s="43" t="str">
        <f>_xlfn.XLOOKUP($A276,Map!$A:$A,Map!C:C)</f>
        <v>BS</v>
      </c>
      <c r="H276" s="43" t="str">
        <f>_xlfn.XLOOKUP($A276,Map!$A:$A,Map!D:D)</f>
        <v>Current Liabilities</v>
      </c>
      <c r="I276" s="43" t="str">
        <f>_xlfn.XLOOKUP($A276,Map!$A:$A,Map!E:E)</f>
        <v>Tade payables and Accuals &amp; other credit balances</v>
      </c>
      <c r="J276" s="43" t="str">
        <f>_xlfn.XLOOKUP($A276,Map!$A:$A,Map!F:F)</f>
        <v>Clearing account</v>
      </c>
    </row>
    <row r="279" spans="1:10" x14ac:dyDescent="0.25">
      <c r="A279">
        <v>170021</v>
      </c>
      <c r="B279" t="s">
        <v>883</v>
      </c>
      <c r="D279" s="154">
        <v>5773707.4500000002</v>
      </c>
      <c r="F279" s="147">
        <f>D279-E279</f>
        <v>5773707.4500000002</v>
      </c>
      <c r="G279" s="43" t="str">
        <f>_xlfn.XLOOKUP($A279,Map!$A:$A,Map!C:C)</f>
        <v>BS</v>
      </c>
      <c r="H279" s="43" t="str">
        <f>_xlfn.XLOOKUP($A279,Map!$A:$A,Map!D:D)</f>
        <v>Current Assets</v>
      </c>
      <c r="I279" s="43" t="str">
        <f>_xlfn.XLOOKUP($A279,Map!$A:$A,Map!E:E)</f>
        <v>Prepaid expenses</v>
      </c>
      <c r="J279" s="43" t="str">
        <f>_xlfn.XLOOKUP($A279,Map!$A:$A,Map!F:F)</f>
        <v>Prepaid expense</v>
      </c>
    </row>
    <row r="280" spans="1:10" x14ac:dyDescent="0.25">
      <c r="A280">
        <v>210001</v>
      </c>
      <c r="B280" t="s">
        <v>902</v>
      </c>
      <c r="E280" s="154">
        <f>D279</f>
        <v>5773707.4500000002</v>
      </c>
      <c r="F280" s="147">
        <f>D280-E280</f>
        <v>-5773707.4500000002</v>
      </c>
      <c r="G280" s="43" t="str">
        <f>_xlfn.XLOOKUP($A280,Map!$A:$A,Map!C:C)</f>
        <v>BS</v>
      </c>
      <c r="H280" s="43" t="str">
        <f>_xlfn.XLOOKUP($A280,Map!$A:$A,Map!D:D)</f>
        <v>Current Liabilities</v>
      </c>
      <c r="I280" s="43" t="str">
        <f>_xlfn.XLOOKUP($A280,Map!$A:$A,Map!E:E)</f>
        <v>Tade payables and Accuals &amp; other credit balances</v>
      </c>
      <c r="J280" s="43" t="str">
        <f>_xlfn.XLOOKUP($A280,Map!$A:$A,Map!F:F)</f>
        <v>Trade payables - Foreign</v>
      </c>
    </row>
    <row r="283" spans="1:10" x14ac:dyDescent="0.25">
      <c r="A283">
        <v>410001</v>
      </c>
      <c r="B283" t="s">
        <v>1344</v>
      </c>
      <c r="D283" s="88">
        <v>15834024.69858801</v>
      </c>
      <c r="E283" s="88"/>
      <c r="F283" s="147">
        <f>D283-E283</f>
        <v>15834024.69858801</v>
      </c>
      <c r="G283" s="43" t="str">
        <f>_xlfn.XLOOKUP($A283,Map!$A:$A,Map!C:C)</f>
        <v>IS</v>
      </c>
      <c r="H283" s="43" t="str">
        <f>_xlfn.XLOOKUP($A283,Map!$A:$A,Map!D:D)</f>
        <v>Sales</v>
      </c>
      <c r="I283" s="43" t="str">
        <f>_xlfn.XLOOKUP($A283,Map!$A:$A,Map!E:E)</f>
        <v>Sales</v>
      </c>
      <c r="J283" s="43" t="str">
        <f>_xlfn.XLOOKUP($A283,Map!$A:$A,Map!F:F)</f>
        <v>Trading revenue</v>
      </c>
    </row>
    <row r="284" spans="1:10" x14ac:dyDescent="0.25">
      <c r="A284">
        <v>510001</v>
      </c>
      <c r="B284" t="s">
        <v>1345</v>
      </c>
      <c r="D284" s="88"/>
      <c r="E284" s="88">
        <v>14744678.594825709</v>
      </c>
      <c r="F284" s="147">
        <f>D284-E284</f>
        <v>-14744678.594825709</v>
      </c>
      <c r="G284" s="43" t="str">
        <f>_xlfn.XLOOKUP($A284,Map!$A:$A,Map!C:C)</f>
        <v>IS</v>
      </c>
      <c r="H284" s="43" t="str">
        <f>_xlfn.XLOOKUP($A284,Map!$A:$A,Map!D:D)</f>
        <v>Cost of sales</v>
      </c>
      <c r="I284" s="43" t="str">
        <f>_xlfn.XLOOKUP($A284,Map!$A:$A,Map!E:E)</f>
        <v>Raw materials</v>
      </c>
      <c r="J284" s="43" t="str">
        <f>_xlfn.XLOOKUP($A284,Map!$A:$A,Map!F:F)</f>
        <v>Raw materials</v>
      </c>
    </row>
  </sheetData>
  <autoFilter ref="A4:K276" xr:uid="{00000000-0009-0000-0000-00001E000000}"/>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296"/>
  <sheetViews>
    <sheetView zoomScale="90" workbookViewId="0">
      <pane ySplit="267" topLeftCell="A268"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5" max="5" width="15.71093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85" t="s">
        <v>1251</v>
      </c>
    </row>
    <row r="2" spans="1:10" x14ac:dyDescent="0.25">
      <c r="A2" s="85" t="s">
        <v>1196</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110001</v>
      </c>
      <c r="B5" t="s">
        <v>818</v>
      </c>
      <c r="C5" s="116">
        <v>0</v>
      </c>
      <c r="D5" s="116">
        <v>0</v>
      </c>
      <c r="E5" s="116">
        <v>0</v>
      </c>
      <c r="F5" s="116">
        <v>0</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110002</v>
      </c>
      <c r="B6" t="s">
        <v>819</v>
      </c>
      <c r="C6" s="116">
        <v>106504996.56999999</v>
      </c>
      <c r="D6" s="116">
        <v>140681</v>
      </c>
      <c r="E6" s="116">
        <v>140681</v>
      </c>
      <c r="F6" s="116">
        <v>106504996.56999999</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110003</v>
      </c>
      <c r="B7" t="s">
        <v>820</v>
      </c>
      <c r="C7" s="116">
        <v>1920201.75</v>
      </c>
      <c r="D7" s="116">
        <v>13860</v>
      </c>
      <c r="E7" s="116">
        <v>168668</v>
      </c>
      <c r="F7" s="116">
        <v>1765393.75</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110004</v>
      </c>
      <c r="B8" t="s">
        <v>821</v>
      </c>
      <c r="C8" s="116">
        <v>66375893.005999997</v>
      </c>
      <c r="D8" s="116">
        <v>10046801.695</v>
      </c>
      <c r="E8" s="116">
        <v>5289608.9179999996</v>
      </c>
      <c r="F8" s="116">
        <v>71133085.783000007</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110006</v>
      </c>
      <c r="B9" t="s">
        <v>822</v>
      </c>
      <c r="C9" s="116">
        <v>2791352.0630000001</v>
      </c>
      <c r="D9" s="116">
        <v>212000</v>
      </c>
      <c r="E9" s="116">
        <v>400591.06</v>
      </c>
      <c r="F9" s="116">
        <v>2602761.003</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110007</v>
      </c>
      <c r="B10" t="s">
        <v>823</v>
      </c>
      <c r="C10" s="116">
        <v>876515.95</v>
      </c>
      <c r="D10" s="116">
        <v>315123</v>
      </c>
      <c r="E10" s="116">
        <v>0</v>
      </c>
      <c r="F10" s="116">
        <v>1191638.95</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110008</v>
      </c>
      <c r="B11" t="s">
        <v>824</v>
      </c>
      <c r="C11" s="116">
        <v>616788.348</v>
      </c>
      <c r="D11" s="116">
        <v>346992.08</v>
      </c>
      <c r="E11" s="116">
        <v>2478.75</v>
      </c>
      <c r="F11" s="116">
        <v>961301.67799999996</v>
      </c>
      <c r="G11" s="43" t="str">
        <f>_xlfn.XLOOKUP($A11,Map!$A:$A,Map!C:C)</f>
        <v>BS</v>
      </c>
      <c r="H11" s="43" t="str">
        <f>_xlfn.XLOOKUP($A11,Map!$A:$A,Map!D:D)</f>
        <v>Non-Current Assets</v>
      </c>
      <c r="I11" s="43" t="str">
        <f>_xlfn.XLOOKUP($A11,Map!$A:$A,Map!E:E)</f>
        <v>Property, plant and equipment</v>
      </c>
      <c r="J11" s="43" t="str">
        <f>_xlfn.XLOOKUP($A11,Map!$A:$A,Map!F:F)</f>
        <v>Property, plant and equipment</v>
      </c>
    </row>
    <row r="12" spans="1:10" x14ac:dyDescent="0.25">
      <c r="A12">
        <v>111009</v>
      </c>
      <c r="B12" t="s">
        <v>825</v>
      </c>
      <c r="C12" s="116">
        <v>2020135</v>
      </c>
      <c r="D12" s="116">
        <v>0</v>
      </c>
      <c r="E12" s="116">
        <v>0</v>
      </c>
      <c r="F12" s="116">
        <v>2020135</v>
      </c>
      <c r="G12" s="43" t="str">
        <f>_xlfn.XLOOKUP($A12,Map!$A:$A,Map!C:C)</f>
        <v>BS</v>
      </c>
      <c r="H12" s="43" t="str">
        <f>_xlfn.XLOOKUP($A12,Map!$A:$A,Map!D:D)</f>
        <v>Non-Current Assets</v>
      </c>
      <c r="I12" s="43" t="str">
        <f>_xlfn.XLOOKUP($A12,Map!$A:$A,Map!E:E)</f>
        <v>Right of use</v>
      </c>
      <c r="J12" s="43" t="str">
        <f>_xlfn.XLOOKUP($A12,Map!$A:$A,Map!F:F)</f>
        <v>Leases - right of use assets</v>
      </c>
    </row>
    <row r="13" spans="1:10" x14ac:dyDescent="0.25">
      <c r="A13">
        <v>111013</v>
      </c>
      <c r="B13" t="s">
        <v>827</v>
      </c>
      <c r="C13" s="116">
        <v>8976734.1539999992</v>
      </c>
      <c r="D13" s="116">
        <v>579318.83400000003</v>
      </c>
      <c r="E13" s="116">
        <v>9556052.9879999999</v>
      </c>
      <c r="F13" s="116">
        <v>0</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111099</v>
      </c>
      <c r="B14" t="s">
        <v>828</v>
      </c>
      <c r="C14" s="116">
        <v>0</v>
      </c>
      <c r="D14" s="116">
        <v>18062306.274</v>
      </c>
      <c r="E14" s="116">
        <v>18062306.274</v>
      </c>
      <c r="F14" s="116">
        <v>0</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120001</v>
      </c>
      <c r="B15" t="s">
        <v>829</v>
      </c>
      <c r="C15" s="116">
        <v>-2186446.301</v>
      </c>
      <c r="D15" s="116">
        <v>219.81399999999999</v>
      </c>
      <c r="E15" s="116">
        <v>1567064.0049999999</v>
      </c>
      <c r="F15" s="116">
        <v>-3753290.4920000001</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120002</v>
      </c>
      <c r="B16" t="s">
        <v>830</v>
      </c>
      <c r="C16" s="116">
        <v>-1796679.77</v>
      </c>
      <c r="D16" s="116">
        <v>50767.415999999997</v>
      </c>
      <c r="E16" s="116">
        <v>19481.419999999998</v>
      </c>
      <c r="F16" s="116">
        <v>-1765393.774</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120003</v>
      </c>
      <c r="B17" t="s">
        <v>831</v>
      </c>
      <c r="C17" s="116">
        <v>-38426515.730999999</v>
      </c>
      <c r="D17" s="116">
        <v>5155851.216</v>
      </c>
      <c r="E17" s="116">
        <v>3322531.83</v>
      </c>
      <c r="F17" s="116">
        <v>-36593196.344999999</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120005</v>
      </c>
      <c r="B18" t="s">
        <v>832</v>
      </c>
      <c r="C18" s="116">
        <v>-1767725.9750000001</v>
      </c>
      <c r="D18" s="116">
        <v>95242.45</v>
      </c>
      <c r="E18" s="116">
        <v>245363.56099999999</v>
      </c>
      <c r="F18" s="116">
        <v>-1917847.0859999999</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120006</v>
      </c>
      <c r="B19" t="s">
        <v>833</v>
      </c>
      <c r="C19" s="116">
        <v>-832232.89099999995</v>
      </c>
      <c r="D19" s="116">
        <v>0</v>
      </c>
      <c r="E19" s="116">
        <v>96341.123000000007</v>
      </c>
      <c r="F19" s="116">
        <v>-928574.01399999997</v>
      </c>
      <c r="G19" s="43" t="str">
        <f>_xlfn.XLOOKUP($A19,Map!$A:$A,Map!C:C)</f>
        <v>BS</v>
      </c>
      <c r="H19" s="43" t="str">
        <f>_xlfn.XLOOKUP($A19,Map!$A:$A,Map!D:D)</f>
        <v>Non-Current Assets</v>
      </c>
      <c r="I19" s="43" t="str">
        <f>_xlfn.XLOOKUP($A19,Map!$A:$A,Map!E:E)</f>
        <v>Property, plant and equipment</v>
      </c>
      <c r="J19" s="43" t="str">
        <f>_xlfn.XLOOKUP($A19,Map!$A:$A,Map!F:F)</f>
        <v>Property, plant and equipment - Accumulated depreciation</v>
      </c>
    </row>
    <row r="20" spans="1:10" x14ac:dyDescent="0.25">
      <c r="A20">
        <v>120007</v>
      </c>
      <c r="B20" t="s">
        <v>834</v>
      </c>
      <c r="C20" s="116">
        <v>-264210.005</v>
      </c>
      <c r="D20" s="116">
        <v>61465.21</v>
      </c>
      <c r="E20" s="116">
        <v>117612.825</v>
      </c>
      <c r="F20" s="116">
        <v>-320357.62</v>
      </c>
      <c r="G20" s="43" t="str">
        <f>_xlfn.XLOOKUP($A20,Map!$A:$A,Map!C:C)</f>
        <v>BS</v>
      </c>
      <c r="H20" s="43" t="str">
        <f>_xlfn.XLOOKUP($A20,Map!$A:$A,Map!D:D)</f>
        <v>Non-Current Assets</v>
      </c>
      <c r="I20" s="43" t="str">
        <f>_xlfn.XLOOKUP($A20,Map!$A:$A,Map!E:E)</f>
        <v>Property, plant and equipment</v>
      </c>
      <c r="J20" s="43" t="str">
        <f>_xlfn.XLOOKUP($A20,Map!$A:$A,Map!F:F)</f>
        <v>Property, plant and equipment - Accumulated depreciation</v>
      </c>
    </row>
    <row r="21" spans="1:10" x14ac:dyDescent="0.25">
      <c r="A21">
        <v>120008</v>
      </c>
      <c r="B21" t="s">
        <v>835</v>
      </c>
      <c r="C21" s="116">
        <v>-24787</v>
      </c>
      <c r="D21" s="116">
        <v>124425</v>
      </c>
      <c r="E21" s="116">
        <v>273147.50799999997</v>
      </c>
      <c r="F21" s="116">
        <v>-173509.508</v>
      </c>
      <c r="G21" s="43" t="str">
        <f>_xlfn.XLOOKUP($A21,Map!$A:$A,Map!C:C)</f>
        <v>BS</v>
      </c>
      <c r="H21" s="43" t="str">
        <f>_xlfn.XLOOKUP($A21,Map!$A:$A,Map!D:D)</f>
        <v>Non-Current Assets</v>
      </c>
      <c r="I21" s="43" t="str">
        <f>_xlfn.XLOOKUP($A21,Map!$A:$A,Map!E:E)</f>
        <v>Right of use</v>
      </c>
      <c r="J21" s="43" t="str">
        <f>_xlfn.XLOOKUP($A21,Map!$A:$A,Map!F:F)</f>
        <v>Depreciation/amortization of rights of use assets</v>
      </c>
    </row>
    <row r="22" spans="1:10" x14ac:dyDescent="0.25">
      <c r="A22">
        <v>121001</v>
      </c>
      <c r="B22" t="s">
        <v>836</v>
      </c>
      <c r="C22" s="116">
        <v>13762616.130000001</v>
      </c>
      <c r="D22" s="116">
        <v>0</v>
      </c>
      <c r="E22" s="116">
        <v>0</v>
      </c>
      <c r="F22" s="116">
        <v>13762616.130000001</v>
      </c>
      <c r="G22" s="43" t="str">
        <f>_xlfn.XLOOKUP($A22,Map!$A:$A,Map!C:C)</f>
        <v>BS</v>
      </c>
      <c r="H22" s="43" t="str">
        <f>_xlfn.XLOOKUP($A22,Map!$A:$A,Map!D:D)</f>
        <v>Current Assets</v>
      </c>
      <c r="I22" s="43" t="str">
        <f>_xlfn.XLOOKUP($A22,Map!$A:$A,Map!E:E)</f>
        <v>Prepaid expenses</v>
      </c>
      <c r="J22" s="43" t="str">
        <f>_xlfn.XLOOKUP($A22,Map!$A:$A,Map!F:F)</f>
        <v>Pre Operating Exps</v>
      </c>
    </row>
    <row r="23" spans="1:10" x14ac:dyDescent="0.25">
      <c r="A23">
        <v>121002</v>
      </c>
      <c r="B23" t="s">
        <v>837</v>
      </c>
      <c r="C23" s="116">
        <v>-13762616.130000001</v>
      </c>
      <c r="D23" s="116">
        <v>0</v>
      </c>
      <c r="E23" s="116">
        <v>0</v>
      </c>
      <c r="F23" s="116">
        <v>-13762616.130000001</v>
      </c>
      <c r="G23" s="43" t="str">
        <f>_xlfn.XLOOKUP($A23,Map!$A:$A,Map!C:C)</f>
        <v>BS</v>
      </c>
      <c r="H23" s="43" t="str">
        <f>_xlfn.XLOOKUP($A23,Map!$A:$A,Map!D:D)</f>
        <v>Current Assets</v>
      </c>
      <c r="I23" s="43" t="str">
        <f>_xlfn.XLOOKUP($A23,Map!$A:$A,Map!E:E)</f>
        <v>Prepaid expenses</v>
      </c>
      <c r="J23" s="43" t="str">
        <f>_xlfn.XLOOKUP($A23,Map!$A:$A,Map!F:F)</f>
        <v>Amortization Of Pre Operating Exps</v>
      </c>
    </row>
    <row r="24" spans="1:10" x14ac:dyDescent="0.25">
      <c r="A24">
        <v>130001</v>
      </c>
      <c r="B24" t="s">
        <v>838</v>
      </c>
      <c r="C24" s="116">
        <v>1482460.22</v>
      </c>
      <c r="D24" s="116">
        <v>77498542.508000001</v>
      </c>
      <c r="E24" s="116">
        <v>78981003.137999997</v>
      </c>
      <c r="F24" s="116">
        <v>-0.41</v>
      </c>
      <c r="G24" s="43" t="str">
        <f>_xlfn.XLOOKUP($A24,Map!$A:$A,Map!C:C)</f>
        <v>BS</v>
      </c>
      <c r="H24" s="43" t="str">
        <f>_xlfn.XLOOKUP($A24,Map!$A:$A,Map!D:D)</f>
        <v>Current Assets</v>
      </c>
      <c r="I24" s="43" t="str">
        <f>_xlfn.XLOOKUP($A24,Map!$A:$A,Map!E:E)</f>
        <v>Cash and cash equivalents</v>
      </c>
      <c r="J24" s="43" t="str">
        <f>_xlfn.XLOOKUP($A24,Map!$A:$A,Map!F:F)</f>
        <v>Bank balances</v>
      </c>
    </row>
    <row r="25" spans="1:10" x14ac:dyDescent="0.25">
      <c r="A25">
        <v>130002</v>
      </c>
      <c r="B25" t="s">
        <v>1205</v>
      </c>
      <c r="C25" s="116">
        <v>777923.25</v>
      </c>
      <c r="D25" s="116">
        <v>76926260.326000005</v>
      </c>
      <c r="E25" s="116">
        <v>76959265.175999999</v>
      </c>
      <c r="F25" s="116">
        <v>744918.4</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130003</v>
      </c>
      <c r="B26" t="s">
        <v>840</v>
      </c>
      <c r="C26" s="116">
        <v>0</v>
      </c>
      <c r="D26" s="116">
        <v>0</v>
      </c>
      <c r="E26" s="116">
        <v>0</v>
      </c>
      <c r="F26" s="116">
        <v>0</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130004</v>
      </c>
      <c r="B27" t="s">
        <v>841</v>
      </c>
      <c r="C27" s="116">
        <v>144938.85</v>
      </c>
      <c r="D27" s="116">
        <v>20440885.550999999</v>
      </c>
      <c r="E27" s="116">
        <v>20477645.601</v>
      </c>
      <c r="F27" s="116">
        <v>108178.8</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130005</v>
      </c>
      <c r="B28" t="s">
        <v>842</v>
      </c>
      <c r="C28" s="116">
        <v>0</v>
      </c>
      <c r="D28" s="116">
        <v>91725.5</v>
      </c>
      <c r="E28" s="116">
        <v>91725.5</v>
      </c>
      <c r="F28" s="116">
        <v>0</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130006</v>
      </c>
      <c r="B29" t="s">
        <v>843</v>
      </c>
      <c r="C29" s="116">
        <v>115009.41</v>
      </c>
      <c r="D29" s="116">
        <v>274228.24</v>
      </c>
      <c r="E29" s="116">
        <v>300000</v>
      </c>
      <c r="F29" s="116">
        <v>89237.65</v>
      </c>
      <c r="G29" s="43" t="str">
        <f>_xlfn.XLOOKUP($A29,Map!$A:$A,Map!C:C)</f>
        <v>BS</v>
      </c>
      <c r="H29" s="43" t="str">
        <f>_xlfn.XLOOKUP($A29,Map!$A:$A,Map!D:D)</f>
        <v>Current Assets</v>
      </c>
      <c r="I29" s="43" t="str">
        <f>_xlfn.XLOOKUP($A29,Map!$A:$A,Map!E:E)</f>
        <v>Cash and cash equivalents</v>
      </c>
      <c r="J29" s="43" t="str">
        <f>_xlfn.XLOOKUP($A29,Map!$A:$A,Map!F:F)</f>
        <v>Bank balances</v>
      </c>
    </row>
    <row r="30" spans="1:10" x14ac:dyDescent="0.25">
      <c r="A30">
        <v>130007</v>
      </c>
      <c r="B30" t="s">
        <v>844</v>
      </c>
      <c r="C30" s="116">
        <v>1132000.1299999999</v>
      </c>
      <c r="D30" s="116">
        <v>6060545.1500000004</v>
      </c>
      <c r="E30" s="116">
        <v>6920917.7199999997</v>
      </c>
      <c r="F30" s="116">
        <v>271627.56</v>
      </c>
      <c r="G30" s="43" t="str">
        <f>_xlfn.XLOOKUP($A30,Map!$A:$A,Map!C:C)</f>
        <v>BS</v>
      </c>
      <c r="H30" s="43" t="str">
        <f>_xlfn.XLOOKUP($A30,Map!$A:$A,Map!D:D)</f>
        <v>Current Assets</v>
      </c>
      <c r="I30" s="43" t="str">
        <f>_xlfn.XLOOKUP($A30,Map!$A:$A,Map!E:E)</f>
        <v>Cash and cash equivalents</v>
      </c>
      <c r="J30" s="43" t="str">
        <f>_xlfn.XLOOKUP($A30,Map!$A:$A,Map!F:F)</f>
        <v>Bank balances</v>
      </c>
    </row>
    <row r="31" spans="1:10" x14ac:dyDescent="0.25">
      <c r="A31">
        <v>130008</v>
      </c>
      <c r="B31" t="s">
        <v>845</v>
      </c>
      <c r="C31" s="116">
        <v>1609557.15</v>
      </c>
      <c r="D31" s="116">
        <v>23837464.272</v>
      </c>
      <c r="E31" s="116">
        <v>24112542.151999999</v>
      </c>
      <c r="F31" s="116">
        <v>1334479.27</v>
      </c>
      <c r="G31" s="43" t="str">
        <f>_xlfn.XLOOKUP($A31,Map!$A:$A,Map!C:C)</f>
        <v>BS</v>
      </c>
      <c r="H31" s="43" t="str">
        <f>_xlfn.XLOOKUP($A31,Map!$A:$A,Map!D:D)</f>
        <v>Current Assets</v>
      </c>
      <c r="I31" s="43" t="str">
        <f>_xlfn.XLOOKUP($A31,Map!$A:$A,Map!E:E)</f>
        <v>Cash and cash equivalents</v>
      </c>
      <c r="J31" s="43" t="str">
        <f>_xlfn.XLOOKUP($A31,Map!$A:$A,Map!F:F)</f>
        <v>Bank balances</v>
      </c>
    </row>
    <row r="32" spans="1:10" x14ac:dyDescent="0.25">
      <c r="A32">
        <v>130009</v>
      </c>
      <c r="B32" t="s">
        <v>846</v>
      </c>
      <c r="C32" s="116">
        <v>883583.5</v>
      </c>
      <c r="D32" s="116">
        <v>52917034.909999996</v>
      </c>
      <c r="E32" s="116">
        <v>53318824.630000003</v>
      </c>
      <c r="F32" s="116">
        <v>481793.78</v>
      </c>
      <c r="G32" s="43" t="str">
        <f>_xlfn.XLOOKUP($A32,Map!$A:$A,Map!C:C)</f>
        <v>BS</v>
      </c>
      <c r="H32" s="43" t="str">
        <f>_xlfn.XLOOKUP($A32,Map!$A:$A,Map!D:D)</f>
        <v>Current Assets</v>
      </c>
      <c r="I32" s="43" t="str">
        <f>_xlfn.XLOOKUP($A32,Map!$A:$A,Map!E:E)</f>
        <v>Cash and cash equivalents</v>
      </c>
      <c r="J32" s="43" t="str">
        <f>_xlfn.XLOOKUP($A32,Map!$A:$A,Map!F:F)</f>
        <v>Bank balances</v>
      </c>
    </row>
    <row r="33" spans="1:10" x14ac:dyDescent="0.25">
      <c r="A33">
        <v>130010</v>
      </c>
      <c r="B33" t="s">
        <v>847</v>
      </c>
      <c r="C33" s="116">
        <v>419127.51</v>
      </c>
      <c r="D33" s="116">
        <v>87851486.702999994</v>
      </c>
      <c r="E33" s="116">
        <v>73722529.143000007</v>
      </c>
      <c r="F33" s="116">
        <v>14548085.07</v>
      </c>
      <c r="G33" s="43" t="str">
        <f>_xlfn.XLOOKUP($A33,Map!$A:$A,Map!C:C)</f>
        <v>BS</v>
      </c>
      <c r="H33" s="43" t="str">
        <f>_xlfn.XLOOKUP($A33,Map!$A:$A,Map!D:D)</f>
        <v>Current Assets</v>
      </c>
      <c r="I33" s="43" t="str">
        <f>_xlfn.XLOOKUP($A33,Map!$A:$A,Map!E:E)</f>
        <v>Cash and cash equivalents</v>
      </c>
      <c r="J33" s="43" t="str">
        <f>_xlfn.XLOOKUP($A33,Map!$A:$A,Map!F:F)</f>
        <v>Bank balances</v>
      </c>
    </row>
    <row r="34" spans="1:10" x14ac:dyDescent="0.25">
      <c r="A34">
        <v>130011</v>
      </c>
      <c r="B34" t="s">
        <v>848</v>
      </c>
      <c r="C34" s="116">
        <v>0</v>
      </c>
      <c r="D34" s="116">
        <v>27765962.897999998</v>
      </c>
      <c r="E34" s="116">
        <v>17666515.508000001</v>
      </c>
      <c r="F34" s="116">
        <v>10099447.390000001</v>
      </c>
      <c r="G34" s="43" t="str">
        <f>_xlfn.XLOOKUP($A34,Map!$A:$A,Map!C:C)</f>
        <v>BS</v>
      </c>
      <c r="H34" s="43" t="str">
        <f>_xlfn.XLOOKUP($A34,Map!$A:$A,Map!D:D)</f>
        <v>Current Assets</v>
      </c>
      <c r="I34" s="43" t="str">
        <f>_xlfn.XLOOKUP($A34,Map!$A:$A,Map!E:E)</f>
        <v>Cash and cash equivalents</v>
      </c>
      <c r="J34" s="43" t="str">
        <f>_xlfn.XLOOKUP($A34,Map!$A:$A,Map!F:F)</f>
        <v>Bank balances</v>
      </c>
    </row>
    <row r="35" spans="1:10" x14ac:dyDescent="0.25">
      <c r="A35">
        <v>130012</v>
      </c>
      <c r="B35" t="s">
        <v>849</v>
      </c>
      <c r="C35" s="116">
        <v>0</v>
      </c>
      <c r="D35" s="116">
        <v>32493367.335999999</v>
      </c>
      <c r="E35" s="116">
        <v>20243930.127999999</v>
      </c>
      <c r="F35" s="116">
        <v>12249437.208000001</v>
      </c>
      <c r="G35" s="43" t="str">
        <f>_xlfn.XLOOKUP($A35,Map!$A:$A,Map!C:C)</f>
        <v>BS</v>
      </c>
      <c r="H35" s="43" t="str">
        <f>_xlfn.XLOOKUP($A35,Map!$A:$A,Map!D:D)</f>
        <v>Current Assets</v>
      </c>
      <c r="I35" s="43" t="str">
        <f>_xlfn.XLOOKUP($A35,Map!$A:$A,Map!E:E)</f>
        <v>Cash and cash equivalents</v>
      </c>
      <c r="J35" s="43" t="str">
        <f>_xlfn.XLOOKUP($A35,Map!$A:$A,Map!F:F)</f>
        <v>Bank balances</v>
      </c>
    </row>
    <row r="36" spans="1:10" x14ac:dyDescent="0.25">
      <c r="A36">
        <v>130013</v>
      </c>
      <c r="B36" t="s">
        <v>1206</v>
      </c>
      <c r="C36" s="116">
        <v>0</v>
      </c>
      <c r="D36" s="116">
        <v>804092.223</v>
      </c>
      <c r="E36" s="116">
        <v>2858.18</v>
      </c>
      <c r="F36" s="116">
        <v>801234.04299999995</v>
      </c>
      <c r="G36" s="43" t="str">
        <f>_xlfn.XLOOKUP($A36,Map!$A:$A,Map!C:C)</f>
        <v>BS</v>
      </c>
      <c r="H36" s="43" t="str">
        <f>_xlfn.XLOOKUP($A36,Map!$A:$A,Map!D:D)</f>
        <v>Current Assets</v>
      </c>
      <c r="I36" s="43" t="str">
        <f>_xlfn.XLOOKUP($A36,Map!$A:$A,Map!E:E)</f>
        <v>Cash and cash equivalents</v>
      </c>
      <c r="J36" s="43" t="str">
        <f>_xlfn.XLOOKUP($A36,Map!$A:$A,Map!F:F)</f>
        <v>Bank balances</v>
      </c>
    </row>
    <row r="37" spans="1:10" x14ac:dyDescent="0.25">
      <c r="A37">
        <v>130099</v>
      </c>
      <c r="B37" t="s">
        <v>856</v>
      </c>
      <c r="C37" s="116">
        <v>0</v>
      </c>
      <c r="D37" s="116">
        <v>162344169.11000001</v>
      </c>
      <c r="E37" s="116">
        <v>162344169.11000001</v>
      </c>
      <c r="F37" s="116">
        <v>0</v>
      </c>
      <c r="G37" s="43" t="str">
        <f>_xlfn.XLOOKUP($A37,Map!$A:$A,Map!C:C)</f>
        <v>BS</v>
      </c>
      <c r="H37" s="43" t="str">
        <f>_xlfn.XLOOKUP($A37,Map!$A:$A,Map!D:D)</f>
        <v>Current Assets</v>
      </c>
      <c r="I37" s="43" t="str">
        <f>_xlfn.XLOOKUP($A37,Map!$A:$A,Map!E:E)</f>
        <v>Cash and cash equivalents</v>
      </c>
      <c r="J37" s="43" t="str">
        <f>_xlfn.XLOOKUP($A37,Map!$A:$A,Map!F:F)</f>
        <v>Bank balances</v>
      </c>
    </row>
    <row r="38" spans="1:10" x14ac:dyDescent="0.25">
      <c r="A38">
        <v>140001</v>
      </c>
      <c r="B38" t="s">
        <v>857</v>
      </c>
      <c r="C38" s="116">
        <v>43443359.329000004</v>
      </c>
      <c r="D38" s="116">
        <v>418458916.55299997</v>
      </c>
      <c r="E38" s="116">
        <v>422968310.94099998</v>
      </c>
      <c r="F38" s="116">
        <v>38933964.941</v>
      </c>
      <c r="G38" s="43" t="str">
        <f>_xlfn.XLOOKUP($A38,Map!$A:$A,Map!C:C)</f>
        <v>BS</v>
      </c>
      <c r="H38" s="43" t="str">
        <f>_xlfn.XLOOKUP($A38,Map!$A:$A,Map!D:D)</f>
        <v>Current Assets</v>
      </c>
      <c r="I38" s="43" t="str">
        <f>_xlfn.XLOOKUP($A38,Map!$A:$A,Map!E:E)</f>
        <v>Trade receivables</v>
      </c>
      <c r="J38" s="43" t="str">
        <f>_xlfn.XLOOKUP($A38,Map!$A:$A,Map!F:F)</f>
        <v>Trade receivables - current</v>
      </c>
    </row>
    <row r="39" spans="1:10" x14ac:dyDescent="0.25">
      <c r="A39">
        <v>140010</v>
      </c>
      <c r="B39" t="s">
        <v>858</v>
      </c>
      <c r="C39" s="116">
        <v>0</v>
      </c>
      <c r="D39" s="116">
        <v>0</v>
      </c>
      <c r="E39" s="116">
        <v>0</v>
      </c>
      <c r="F39" s="116">
        <v>0</v>
      </c>
      <c r="G39" s="43" t="str">
        <f>_xlfn.XLOOKUP($A39,Map!$A:$A,Map!C:C)</f>
        <v>BS</v>
      </c>
      <c r="H39" s="43" t="str">
        <f>_xlfn.XLOOKUP($A39,Map!$A:$A,Map!D:D)</f>
        <v>Current Assets</v>
      </c>
      <c r="I39" s="43" t="str">
        <f>_xlfn.XLOOKUP($A39,Map!$A:$A,Map!E:E)</f>
        <v>Trade receivables</v>
      </c>
      <c r="J39" s="43" t="str">
        <f>_xlfn.XLOOKUP($A39,Map!$A:$A,Map!F:F)</f>
        <v>Trade receivables - current</v>
      </c>
    </row>
    <row r="40" spans="1:10" x14ac:dyDescent="0.25">
      <c r="A40">
        <v>150001</v>
      </c>
      <c r="B40" t="s">
        <v>859</v>
      </c>
      <c r="C40" s="116">
        <v>516445.74</v>
      </c>
      <c r="D40" s="116">
        <v>392120</v>
      </c>
      <c r="E40" s="116">
        <v>747285.74</v>
      </c>
      <c r="F40" s="116">
        <v>161280</v>
      </c>
      <c r="G40" s="43" t="str">
        <f>_xlfn.XLOOKUP($A40,Map!$A:$A,Map!C:C)</f>
        <v>BS</v>
      </c>
      <c r="H40" s="43" t="str">
        <f>_xlfn.XLOOKUP($A40,Map!$A:$A,Map!D:D)</f>
        <v>Current Assets</v>
      </c>
      <c r="I40" s="43" t="str">
        <f>_xlfn.XLOOKUP($A40,Map!$A:$A,Map!E:E)</f>
        <v>Prepaid expenses</v>
      </c>
      <c r="J40" s="43" t="str">
        <f>_xlfn.XLOOKUP($A40,Map!$A:$A,Map!F:F)</f>
        <v>Advances - current</v>
      </c>
    </row>
    <row r="41" spans="1:10" x14ac:dyDescent="0.25">
      <c r="A41">
        <v>150002</v>
      </c>
      <c r="B41" t="s">
        <v>860</v>
      </c>
      <c r="C41" s="116">
        <v>0</v>
      </c>
      <c r="D41" s="116">
        <v>3144764</v>
      </c>
      <c r="E41" s="116">
        <v>37309</v>
      </c>
      <c r="F41" s="116">
        <v>3107455</v>
      </c>
      <c r="G41" s="43" t="str">
        <f>_xlfn.XLOOKUP($A41,Map!$A:$A,Map!C:C)</f>
        <v>BS</v>
      </c>
      <c r="H41" s="43" t="str">
        <f>_xlfn.XLOOKUP($A41,Map!$A:$A,Map!D:D)</f>
        <v>Non-Current Liabilities</v>
      </c>
      <c r="I41" s="43" t="str">
        <f>_xlfn.XLOOKUP($A41,Map!$A:$A,Map!E:E)</f>
        <v xml:space="preserve">End-of-service indemnities </v>
      </c>
      <c r="J41" s="43" t="str">
        <f>_xlfn.XLOOKUP($A41,Map!$A:$A,Map!F:F)</f>
        <v xml:space="preserve">End-of-service indemnities </v>
      </c>
    </row>
    <row r="42" spans="1:10" x14ac:dyDescent="0.25">
      <c r="A42">
        <v>160001</v>
      </c>
      <c r="B42" t="s">
        <v>861</v>
      </c>
      <c r="C42" s="116">
        <v>25429.97</v>
      </c>
      <c r="D42" s="116">
        <v>389397.59</v>
      </c>
      <c r="E42" s="116">
        <v>397973.31</v>
      </c>
      <c r="F42" s="116">
        <v>16854.25</v>
      </c>
      <c r="G42" s="43" t="str">
        <f>_xlfn.XLOOKUP($A42,Map!$A:$A,Map!C:C)</f>
        <v>BS</v>
      </c>
      <c r="H42" s="43" t="str">
        <f>_xlfn.XLOOKUP($A42,Map!$A:$A,Map!D:D)</f>
        <v>Current Assets</v>
      </c>
      <c r="I42" s="43" t="str">
        <f>_xlfn.XLOOKUP($A42,Map!$A:$A,Map!E:E)</f>
        <v>Cash and cash equivalents</v>
      </c>
      <c r="J42" s="43" t="str">
        <f>_xlfn.XLOOKUP($A42,Map!$A:$A,Map!F:F)</f>
        <v>Petty cash</v>
      </c>
    </row>
    <row r="43" spans="1:10" x14ac:dyDescent="0.25">
      <c r="A43">
        <v>170000</v>
      </c>
      <c r="B43" t="s">
        <v>862</v>
      </c>
      <c r="C43" s="116">
        <v>54888.516000000003</v>
      </c>
      <c r="D43" s="116">
        <v>4.0000000000000001E-3</v>
      </c>
      <c r="E43" s="116">
        <v>54888.52</v>
      </c>
      <c r="F43" s="116">
        <v>0</v>
      </c>
      <c r="G43" s="43" t="str">
        <f>_xlfn.XLOOKUP($A43,Map!$A:$A,Map!C:C)</f>
        <v>BS</v>
      </c>
      <c r="H43" s="43" t="str">
        <f>_xlfn.XLOOKUP($A43,Map!$A:$A,Map!D:D)</f>
        <v>Current Liabilities</v>
      </c>
      <c r="I43" s="43" t="str">
        <f>_xlfn.XLOOKUP($A43,Map!$A:$A,Map!E:E)</f>
        <v>Short-term Murabaha loans</v>
      </c>
      <c r="J43" s="43" t="str">
        <f>_xlfn.XLOOKUP($A43,Map!$A:$A,Map!F:F)</f>
        <v>Prepayments - current</v>
      </c>
    </row>
    <row r="44" spans="1:10" x14ac:dyDescent="0.25">
      <c r="A44">
        <v>170001</v>
      </c>
      <c r="B44" t="s">
        <v>863</v>
      </c>
      <c r="C44" s="116">
        <v>871721.21</v>
      </c>
      <c r="D44" s="116">
        <v>589429.01599999995</v>
      </c>
      <c r="E44" s="116">
        <v>793659.42200000002</v>
      </c>
      <c r="F44" s="116">
        <v>667490.804</v>
      </c>
      <c r="G44" s="43" t="str">
        <f>_xlfn.XLOOKUP($A44,Map!$A:$A,Map!C:C)</f>
        <v>BS</v>
      </c>
      <c r="H44" s="43" t="str">
        <f>_xlfn.XLOOKUP($A44,Map!$A:$A,Map!D:D)</f>
        <v>Current Liabilities</v>
      </c>
      <c r="I44" s="43" t="str">
        <f>_xlfn.XLOOKUP($A44,Map!$A:$A,Map!E:E)</f>
        <v>Short-term Murabaha loans</v>
      </c>
      <c r="J44" s="43" t="str">
        <f>_xlfn.XLOOKUP($A44,Map!$A:$A,Map!F:F)</f>
        <v>Prepayments - current</v>
      </c>
    </row>
    <row r="45" spans="1:10" x14ac:dyDescent="0.25">
      <c r="A45">
        <v>170002</v>
      </c>
      <c r="B45" t="s">
        <v>864</v>
      </c>
      <c r="C45" s="116">
        <v>221469.87</v>
      </c>
      <c r="D45" s="116">
        <v>2098821.3990000002</v>
      </c>
      <c r="E45" s="116">
        <v>1983872.7679999999</v>
      </c>
      <c r="F45" s="116">
        <v>336418.50099999999</v>
      </c>
      <c r="G45" s="43" t="str">
        <f>_xlfn.XLOOKUP($A45,Map!$A:$A,Map!C:C)</f>
        <v>BS</v>
      </c>
      <c r="H45" s="43" t="str">
        <f>_xlfn.XLOOKUP($A45,Map!$A:$A,Map!D:D)</f>
        <v>Current Liabilities</v>
      </c>
      <c r="I45" s="43" t="str">
        <f>_xlfn.XLOOKUP($A45,Map!$A:$A,Map!E:E)</f>
        <v>Short-term Murabaha loans</v>
      </c>
      <c r="J45" s="43" t="str">
        <f>_xlfn.XLOOKUP($A45,Map!$A:$A,Map!F:F)</f>
        <v>Prepayments - current</v>
      </c>
    </row>
    <row r="46" spans="1:10" x14ac:dyDescent="0.25">
      <c r="A46">
        <v>170003</v>
      </c>
      <c r="B46" t="s">
        <v>865</v>
      </c>
      <c r="C46" s="116">
        <v>0</v>
      </c>
      <c r="D46" s="116">
        <v>0</v>
      </c>
      <c r="E46" s="116">
        <v>0</v>
      </c>
      <c r="F46" s="116">
        <v>0</v>
      </c>
      <c r="G46" s="43" t="str">
        <f>_xlfn.XLOOKUP($A46,Map!$A:$A,Map!C:C)</f>
        <v>BS</v>
      </c>
      <c r="H46" s="43" t="str">
        <f>_xlfn.XLOOKUP($A46,Map!$A:$A,Map!D:D)</f>
        <v>Current Liabilities</v>
      </c>
      <c r="I46" s="43" t="str">
        <f>_xlfn.XLOOKUP($A46,Map!$A:$A,Map!E:E)</f>
        <v>Short-term Murabaha loans</v>
      </c>
      <c r="J46" s="43" t="str">
        <f>_xlfn.XLOOKUP($A46,Map!$A:$A,Map!F:F)</f>
        <v>Prepayments - current</v>
      </c>
    </row>
    <row r="47" spans="1:10" x14ac:dyDescent="0.25">
      <c r="A47">
        <v>170004</v>
      </c>
      <c r="B47" t="s">
        <v>866</v>
      </c>
      <c r="C47" s="116">
        <v>0</v>
      </c>
      <c r="D47" s="116">
        <v>0</v>
      </c>
      <c r="E47" s="116">
        <v>0</v>
      </c>
      <c r="F47" s="116">
        <v>0</v>
      </c>
      <c r="G47" s="43" t="str">
        <f>_xlfn.XLOOKUP($A47,Map!$A:$A,Map!C:C)</f>
        <v>BS</v>
      </c>
      <c r="H47" s="43" t="str">
        <f>_xlfn.XLOOKUP($A47,Map!$A:$A,Map!D:D)</f>
        <v>Current Liabilities</v>
      </c>
      <c r="I47" s="43" t="str">
        <f>_xlfn.XLOOKUP($A47,Map!$A:$A,Map!E:E)</f>
        <v>Short-term Murabaha loans</v>
      </c>
      <c r="J47" s="43" t="str">
        <f>_xlfn.XLOOKUP($A47,Map!$A:$A,Map!F:F)</f>
        <v>Prepayments - current</v>
      </c>
    </row>
    <row r="48" spans="1:10" x14ac:dyDescent="0.25">
      <c r="A48">
        <v>170005</v>
      </c>
      <c r="B48" t="s">
        <v>867</v>
      </c>
      <c r="C48" s="116">
        <v>0</v>
      </c>
      <c r="D48" s="116">
        <v>0</v>
      </c>
      <c r="E48" s="116">
        <v>0</v>
      </c>
      <c r="F48" s="116">
        <v>0</v>
      </c>
      <c r="G48" s="43" t="str">
        <f>_xlfn.XLOOKUP($A48,Map!$A:$A,Map!C:C)</f>
        <v>BS</v>
      </c>
      <c r="H48" s="43" t="str">
        <f>_xlfn.XLOOKUP($A48,Map!$A:$A,Map!D:D)</f>
        <v>Current Assets</v>
      </c>
      <c r="I48" s="43" t="str">
        <f>_xlfn.XLOOKUP($A48,Map!$A:$A,Map!E:E)</f>
        <v>Prepaid expenses</v>
      </c>
      <c r="J48" s="43" t="str">
        <f>_xlfn.XLOOKUP($A48,Map!$A:$A,Map!F:F)</f>
        <v>Deposits - current</v>
      </c>
    </row>
    <row r="49" spans="1:10" x14ac:dyDescent="0.25">
      <c r="A49">
        <v>170006</v>
      </c>
      <c r="B49" t="s">
        <v>868</v>
      </c>
      <c r="C49" s="116">
        <v>0</v>
      </c>
      <c r="D49" s="116">
        <v>0</v>
      </c>
      <c r="E49" s="116">
        <v>0</v>
      </c>
      <c r="F49" s="116">
        <v>0</v>
      </c>
      <c r="G49" s="43" t="str">
        <f>_xlfn.XLOOKUP($A49,Map!$A:$A,Map!C:C)</f>
        <v>BS</v>
      </c>
      <c r="H49" s="43" t="str">
        <f>_xlfn.XLOOKUP($A49,Map!$A:$A,Map!D:D)</f>
        <v>Current Assets</v>
      </c>
      <c r="I49" s="43" t="str">
        <f>_xlfn.XLOOKUP($A49,Map!$A:$A,Map!E:E)</f>
        <v>Prepaid expenses</v>
      </c>
      <c r="J49" s="43" t="str">
        <f>_xlfn.XLOOKUP($A49,Map!$A:$A,Map!F:F)</f>
        <v>Deposits - current</v>
      </c>
    </row>
    <row r="50" spans="1:10" x14ac:dyDescent="0.25">
      <c r="A50">
        <v>170007</v>
      </c>
      <c r="B50" t="s">
        <v>869</v>
      </c>
      <c r="C50" s="116">
        <v>0</v>
      </c>
      <c r="D50" s="116">
        <v>0</v>
      </c>
      <c r="E50" s="116">
        <v>0</v>
      </c>
      <c r="F50" s="116">
        <v>0</v>
      </c>
      <c r="G50" s="43" t="str">
        <f>_xlfn.XLOOKUP($A50,Map!$A:$A,Map!C:C)</f>
        <v>BS</v>
      </c>
      <c r="H50" s="43" t="str">
        <f>_xlfn.XLOOKUP($A50,Map!$A:$A,Map!D:D)</f>
        <v>Current Assets</v>
      </c>
      <c r="I50" s="43" t="str">
        <f>_xlfn.XLOOKUP($A50,Map!$A:$A,Map!E:E)</f>
        <v>Prepaid expenses</v>
      </c>
      <c r="J50" s="43" t="str">
        <f>_xlfn.XLOOKUP($A50,Map!$A:$A,Map!F:F)</f>
        <v>Deposits - current</v>
      </c>
    </row>
    <row r="51" spans="1:10" x14ac:dyDescent="0.25">
      <c r="A51">
        <v>170008</v>
      </c>
      <c r="B51" t="s">
        <v>870</v>
      </c>
      <c r="C51" s="116">
        <v>75267.740000000005</v>
      </c>
      <c r="D51" s="116">
        <v>526316.29</v>
      </c>
      <c r="E51" s="116">
        <v>601584.03</v>
      </c>
      <c r="F51" s="116">
        <v>0</v>
      </c>
      <c r="G51" s="43" t="str">
        <f>_xlfn.XLOOKUP($A51,Map!$A:$A,Map!C:C)</f>
        <v>BS</v>
      </c>
      <c r="H51" s="43" t="str">
        <f>_xlfn.XLOOKUP($A51,Map!$A:$A,Map!D:D)</f>
        <v>Current Assets</v>
      </c>
      <c r="I51" s="43" t="str">
        <f>_xlfn.XLOOKUP($A51,Map!$A:$A,Map!E:E)</f>
        <v>Prepaid expenses</v>
      </c>
      <c r="J51" s="43" t="str">
        <f>_xlfn.XLOOKUP($A51,Map!$A:$A,Map!F:F)</f>
        <v>Deposits - current</v>
      </c>
    </row>
    <row r="52" spans="1:10" x14ac:dyDescent="0.25">
      <c r="A52">
        <v>170009</v>
      </c>
      <c r="B52" t="s">
        <v>871</v>
      </c>
      <c r="C52" s="116">
        <v>85513</v>
      </c>
      <c r="D52" s="116">
        <v>766608.5</v>
      </c>
      <c r="E52" s="116">
        <v>787512.5</v>
      </c>
      <c r="F52" s="116">
        <v>64609</v>
      </c>
      <c r="G52" s="43" t="str">
        <f>_xlfn.XLOOKUP($A52,Map!$A:$A,Map!C:C)</f>
        <v>BS</v>
      </c>
      <c r="H52" s="43" t="str">
        <f>_xlfn.XLOOKUP($A52,Map!$A:$A,Map!D:D)</f>
        <v>Current Assets</v>
      </c>
      <c r="I52" s="43" t="str">
        <f>_xlfn.XLOOKUP($A52,Map!$A:$A,Map!E:E)</f>
        <v>Prepaid expenses</v>
      </c>
      <c r="J52" s="43" t="str">
        <f>_xlfn.XLOOKUP($A52,Map!$A:$A,Map!F:F)</f>
        <v>Rent</v>
      </c>
    </row>
    <row r="53" spans="1:10" x14ac:dyDescent="0.25">
      <c r="A53">
        <v>170010</v>
      </c>
      <c r="B53" t="s">
        <v>872</v>
      </c>
      <c r="C53" s="116">
        <v>0</v>
      </c>
      <c r="D53" s="116">
        <v>855982</v>
      </c>
      <c r="E53" s="116">
        <v>855982</v>
      </c>
      <c r="F53" s="116">
        <v>0</v>
      </c>
      <c r="G53" s="43" t="str">
        <f>_xlfn.XLOOKUP($A53,Map!$A:$A,Map!C:C)</f>
        <v>BS</v>
      </c>
      <c r="H53" s="43" t="str">
        <f>_xlfn.XLOOKUP($A53,Map!$A:$A,Map!D:D)</f>
        <v>Current Assets</v>
      </c>
      <c r="I53" s="43" t="str">
        <f>_xlfn.XLOOKUP($A53,Map!$A:$A,Map!E:E)</f>
        <v>Prepaid expenses</v>
      </c>
      <c r="J53" s="43" t="str">
        <f>_xlfn.XLOOKUP($A53,Map!$A:$A,Map!F:F)</f>
        <v>Housing allowance</v>
      </c>
    </row>
    <row r="54" spans="1:10" x14ac:dyDescent="0.25">
      <c r="A54">
        <v>170011</v>
      </c>
      <c r="B54" t="s">
        <v>873</v>
      </c>
      <c r="C54" s="116">
        <v>1453882.8</v>
      </c>
      <c r="D54" s="116">
        <v>35000</v>
      </c>
      <c r="E54" s="116">
        <v>1488882.8</v>
      </c>
      <c r="F54" s="116">
        <v>0</v>
      </c>
      <c r="G54" s="43" t="str">
        <f>_xlfn.XLOOKUP($A54,Map!$A:$A,Map!C:C)</f>
        <v>BS</v>
      </c>
      <c r="H54" s="43" t="str">
        <f>_xlfn.XLOOKUP($A54,Map!$A:$A,Map!D:D)</f>
        <v>Current Assets</v>
      </c>
      <c r="I54" s="43" t="str">
        <f>_xlfn.XLOOKUP($A54,Map!$A:$A,Map!E:E)</f>
        <v>Prepaid expenses</v>
      </c>
      <c r="J54" s="43" t="str">
        <f>_xlfn.XLOOKUP($A54,Map!$A:$A,Map!F:F)</f>
        <v>Air tickets</v>
      </c>
    </row>
    <row r="55" spans="1:10" x14ac:dyDescent="0.25">
      <c r="A55">
        <v>170012</v>
      </c>
      <c r="B55" t="s">
        <v>874</v>
      </c>
      <c r="C55" s="116">
        <v>214300</v>
      </c>
      <c r="D55" s="116">
        <v>0</v>
      </c>
      <c r="E55" s="116">
        <v>42860</v>
      </c>
      <c r="F55" s="116">
        <v>171440</v>
      </c>
      <c r="G55" s="43" t="str">
        <f>_xlfn.XLOOKUP($A55,Map!$A:$A,Map!C:C)</f>
        <v>BS</v>
      </c>
      <c r="H55" s="43" t="str">
        <f>_xlfn.XLOOKUP($A55,Map!$A:$A,Map!D:D)</f>
        <v>Current Assets</v>
      </c>
      <c r="I55" s="43" t="str">
        <f>_xlfn.XLOOKUP($A55,Map!$A:$A,Map!E:E)</f>
        <v>Prepaid expenses</v>
      </c>
      <c r="J55" s="43" t="str">
        <f>_xlfn.XLOOKUP($A55,Map!$A:$A,Map!F:F)</f>
        <v>Furniture allowance</v>
      </c>
    </row>
    <row r="56" spans="1:10" x14ac:dyDescent="0.25">
      <c r="A56">
        <v>170013</v>
      </c>
      <c r="B56" t="s">
        <v>875</v>
      </c>
      <c r="C56" s="116">
        <v>67999.599000000002</v>
      </c>
      <c r="D56" s="116">
        <v>0</v>
      </c>
      <c r="E56" s="116">
        <v>0</v>
      </c>
      <c r="F56" s="116">
        <v>67999.599000000002</v>
      </c>
      <c r="G56" s="43" t="str">
        <f>_xlfn.XLOOKUP($A56,Map!$A:$A,Map!C:C)</f>
        <v>BS</v>
      </c>
      <c r="H56" s="43" t="str">
        <f>_xlfn.XLOOKUP($A56,Map!$A:$A,Map!D:D)</f>
        <v>Current Assets</v>
      </c>
      <c r="I56" s="43" t="str">
        <f>_xlfn.XLOOKUP($A56,Map!$A:$A,Map!E:E)</f>
        <v>Prepaid expenses</v>
      </c>
      <c r="J56" s="43" t="str">
        <f>_xlfn.XLOOKUP($A56,Map!$A:$A,Map!F:F)</f>
        <v>Insurance</v>
      </c>
    </row>
    <row r="57" spans="1:10" x14ac:dyDescent="0.25">
      <c r="A57">
        <v>170014</v>
      </c>
      <c r="B57" t="s">
        <v>876</v>
      </c>
      <c r="C57" s="116">
        <v>335549.7</v>
      </c>
      <c r="D57" s="116">
        <v>719887.84499999997</v>
      </c>
      <c r="E57" s="116">
        <v>764419.26199999999</v>
      </c>
      <c r="F57" s="116">
        <v>291018.283</v>
      </c>
      <c r="G57" s="43" t="str">
        <f>_xlfn.XLOOKUP($A57,Map!$A:$A,Map!C:C)</f>
        <v>BS</v>
      </c>
      <c r="H57" s="43" t="str">
        <f>_xlfn.XLOOKUP($A57,Map!$A:$A,Map!D:D)</f>
        <v>Current Assets</v>
      </c>
      <c r="I57" s="43" t="str">
        <f>_xlfn.XLOOKUP($A57,Map!$A:$A,Map!E:E)</f>
        <v>Prepaid expenses</v>
      </c>
      <c r="J57" s="43" t="str">
        <f>_xlfn.XLOOKUP($A57,Map!$A:$A,Map!F:F)</f>
        <v>Insurance</v>
      </c>
    </row>
    <row r="58" spans="1:10" x14ac:dyDescent="0.25">
      <c r="A58">
        <v>170015</v>
      </c>
      <c r="B58" t="s">
        <v>877</v>
      </c>
      <c r="C58" s="116">
        <v>0</v>
      </c>
      <c r="D58" s="116">
        <v>0</v>
      </c>
      <c r="E58" s="116">
        <v>0</v>
      </c>
      <c r="F58" s="116">
        <v>0</v>
      </c>
      <c r="G58" s="43" t="str">
        <f>_xlfn.XLOOKUP($A58,Map!$A:$A,Map!C:C)</f>
        <v>BS</v>
      </c>
      <c r="H58" s="43" t="str">
        <f>_xlfn.XLOOKUP($A58,Map!$A:$A,Map!D:D)</f>
        <v>Current Assets</v>
      </c>
      <c r="I58" s="43" t="str">
        <f>_xlfn.XLOOKUP($A58,Map!$A:$A,Map!E:E)</f>
        <v>Prepaid expenses</v>
      </c>
      <c r="J58" s="43" t="str">
        <f>_xlfn.XLOOKUP($A58,Map!$A:$A,Map!F:F)</f>
        <v>Salaries and wages</v>
      </c>
    </row>
    <row r="59" spans="1:10" x14ac:dyDescent="0.25">
      <c r="A59">
        <v>170016</v>
      </c>
      <c r="B59" t="s">
        <v>878</v>
      </c>
      <c r="C59" s="116">
        <v>0</v>
      </c>
      <c r="D59" s="116">
        <v>28547.62</v>
      </c>
      <c r="E59" s="116">
        <v>28547.62</v>
      </c>
      <c r="F59" s="116">
        <v>0</v>
      </c>
      <c r="G59" s="43" t="str">
        <f>_xlfn.XLOOKUP($A59,Map!$A:$A,Map!C:C)</f>
        <v>BS</v>
      </c>
      <c r="H59" s="43" t="str">
        <f>_xlfn.XLOOKUP($A59,Map!$A:$A,Map!D:D)</f>
        <v>Current Assets</v>
      </c>
      <c r="I59" s="43" t="str">
        <f>_xlfn.XLOOKUP($A59,Map!$A:$A,Map!E:E)</f>
        <v>Prepaid expenses</v>
      </c>
      <c r="J59" s="43" t="str">
        <f>_xlfn.XLOOKUP($A59,Map!$A:$A,Map!F:F)</f>
        <v>Other receivables - current</v>
      </c>
    </row>
    <row r="60" spans="1:10" x14ac:dyDescent="0.25">
      <c r="A60">
        <v>170017</v>
      </c>
      <c r="B60" t="s">
        <v>879</v>
      </c>
      <c r="C60" s="116">
        <v>0</v>
      </c>
      <c r="D60" s="116">
        <v>96000</v>
      </c>
      <c r="E60" s="116">
        <v>96000</v>
      </c>
      <c r="F60" s="116">
        <v>0</v>
      </c>
      <c r="G60" s="43" t="str">
        <f>_xlfn.XLOOKUP($A60,Map!$A:$A,Map!C:C)</f>
        <v>BS</v>
      </c>
      <c r="H60" s="43" t="str">
        <f>_xlfn.XLOOKUP($A60,Map!$A:$A,Map!D:D)</f>
        <v>Current Assets</v>
      </c>
      <c r="I60" s="43" t="str">
        <f>_xlfn.XLOOKUP($A60,Map!$A:$A,Map!E:E)</f>
        <v>Prepaid expenses</v>
      </c>
      <c r="J60" s="43" t="str">
        <f>_xlfn.XLOOKUP($A60,Map!$A:$A,Map!F:F)</f>
        <v>Family allowance</v>
      </c>
    </row>
    <row r="61" spans="1:10" x14ac:dyDescent="0.25">
      <c r="A61">
        <v>180001</v>
      </c>
      <c r="B61" t="s">
        <v>884</v>
      </c>
      <c r="C61" s="116">
        <v>0</v>
      </c>
      <c r="D61" s="116">
        <v>1886568.2560000001</v>
      </c>
      <c r="E61" s="116">
        <v>1425993.672</v>
      </c>
      <c r="F61" s="116">
        <v>460574.58399999997</v>
      </c>
      <c r="G61" s="43" t="str">
        <f>_xlfn.XLOOKUP($A61,Map!$A:$A,Map!C:C)</f>
        <v>BS</v>
      </c>
      <c r="H61" s="43" t="str">
        <f>_xlfn.XLOOKUP($A61,Map!$A:$A,Map!D:D)</f>
        <v>Current Assets</v>
      </c>
      <c r="I61" s="43" t="str">
        <f>_xlfn.XLOOKUP($A61,Map!$A:$A,Map!E:E)</f>
        <v>Inventories</v>
      </c>
      <c r="J61" s="43" t="str">
        <f>_xlfn.XLOOKUP($A61,Map!$A:$A,Map!F:F)</f>
        <v>Raw materials - Inventory</v>
      </c>
    </row>
    <row r="62" spans="1:10" x14ac:dyDescent="0.25">
      <c r="A62">
        <v>180002</v>
      </c>
      <c r="B62" t="s">
        <v>885</v>
      </c>
      <c r="C62" s="116">
        <v>0</v>
      </c>
      <c r="D62" s="116">
        <v>3275.25</v>
      </c>
      <c r="E62" s="116">
        <v>3275.25</v>
      </c>
      <c r="F62" s="116">
        <v>0</v>
      </c>
      <c r="G62" s="43" t="str">
        <f>_xlfn.XLOOKUP($A62,Map!$A:$A,Map!C:C)</f>
        <v>BS</v>
      </c>
      <c r="H62" s="43" t="str">
        <f>_xlfn.XLOOKUP($A62,Map!$A:$A,Map!D:D)</f>
        <v>Current Assets</v>
      </c>
      <c r="I62" s="43" t="str">
        <f>_xlfn.XLOOKUP($A62,Map!$A:$A,Map!E:E)</f>
        <v>Inventories</v>
      </c>
      <c r="J62" s="43" t="str">
        <f>_xlfn.XLOOKUP($A62,Map!$A:$A,Map!F:F)</f>
        <v>Raw materials - Inventory</v>
      </c>
    </row>
    <row r="63" spans="1:10" x14ac:dyDescent="0.25">
      <c r="A63">
        <v>180003</v>
      </c>
      <c r="B63" t="s">
        <v>886</v>
      </c>
      <c r="C63" s="116">
        <v>9335439.2479999997</v>
      </c>
      <c r="D63" s="116">
        <v>14089476.369000001</v>
      </c>
      <c r="E63" s="116">
        <v>13563762.804</v>
      </c>
      <c r="F63" s="116">
        <v>9861152.8129999992</v>
      </c>
      <c r="G63" s="43" t="str">
        <f>_xlfn.XLOOKUP($A63,Map!$A:$A,Map!C:C)</f>
        <v>BS</v>
      </c>
      <c r="H63" s="43" t="str">
        <f>_xlfn.XLOOKUP($A63,Map!$A:$A,Map!D:D)</f>
        <v>Current Assets</v>
      </c>
      <c r="I63" s="43" t="str">
        <f>_xlfn.XLOOKUP($A63,Map!$A:$A,Map!E:E)</f>
        <v>Inventories</v>
      </c>
      <c r="J63" s="43" t="str">
        <f>_xlfn.XLOOKUP($A63,Map!$A:$A,Map!F:F)</f>
        <v>Spare parts - Inventory</v>
      </c>
    </row>
    <row r="64" spans="1:10" x14ac:dyDescent="0.25">
      <c r="A64">
        <v>180004</v>
      </c>
      <c r="B64" t="s">
        <v>887</v>
      </c>
      <c r="C64" s="116">
        <v>10353608.835999999</v>
      </c>
      <c r="D64" s="116">
        <v>41109795.351000004</v>
      </c>
      <c r="E64" s="116">
        <v>45088340.254000001</v>
      </c>
      <c r="F64" s="116">
        <v>6375063.9330000002</v>
      </c>
      <c r="G64" s="43" t="str">
        <f>_xlfn.XLOOKUP($A64,Map!$A:$A,Map!C:C)</f>
        <v>BS</v>
      </c>
      <c r="H64" s="43" t="str">
        <f>_xlfn.XLOOKUP($A64,Map!$A:$A,Map!D:D)</f>
        <v>Current Assets</v>
      </c>
      <c r="I64" s="43" t="str">
        <f>_xlfn.XLOOKUP($A64,Map!$A:$A,Map!E:E)</f>
        <v>Inventories</v>
      </c>
      <c r="J64" s="43" t="str">
        <f>_xlfn.XLOOKUP($A64,Map!$A:$A,Map!F:F)</f>
        <v>Raw materials - Inventory</v>
      </c>
    </row>
    <row r="65" spans="1:10" x14ac:dyDescent="0.25">
      <c r="A65">
        <v>180005</v>
      </c>
      <c r="B65" t="s">
        <v>888</v>
      </c>
      <c r="C65" s="116">
        <v>14923756.469000001</v>
      </c>
      <c r="D65" s="116">
        <v>32086494.074000001</v>
      </c>
      <c r="E65" s="116">
        <v>33064385.041000001</v>
      </c>
      <c r="F65" s="116">
        <v>13945865.502</v>
      </c>
      <c r="G65" s="43" t="str">
        <f>_xlfn.XLOOKUP($A65,Map!$A:$A,Map!C:C)</f>
        <v>BS</v>
      </c>
      <c r="H65" s="43" t="str">
        <f>_xlfn.XLOOKUP($A65,Map!$A:$A,Map!D:D)</f>
        <v>Current Assets</v>
      </c>
      <c r="I65" s="43" t="str">
        <f>_xlfn.XLOOKUP($A65,Map!$A:$A,Map!E:E)</f>
        <v>Inventories</v>
      </c>
      <c r="J65" s="43" t="str">
        <f>_xlfn.XLOOKUP($A65,Map!$A:$A,Map!F:F)</f>
        <v>Raw materials - Inventory</v>
      </c>
    </row>
    <row r="66" spans="1:10" x14ac:dyDescent="0.25">
      <c r="A66">
        <v>180006</v>
      </c>
      <c r="B66" t="s">
        <v>889</v>
      </c>
      <c r="C66" s="116">
        <v>1669803.713</v>
      </c>
      <c r="D66" s="116">
        <v>2711065.162</v>
      </c>
      <c r="E66" s="116">
        <v>4001896.577</v>
      </c>
      <c r="F66" s="116">
        <v>378972.29800000001</v>
      </c>
      <c r="G66" s="43" t="str">
        <f>_xlfn.XLOOKUP($A66,Map!$A:$A,Map!C:C)</f>
        <v>BS</v>
      </c>
      <c r="H66" s="43" t="str">
        <f>_xlfn.XLOOKUP($A66,Map!$A:$A,Map!D:D)</f>
        <v>Current Assets</v>
      </c>
      <c r="I66" s="43" t="str">
        <f>_xlfn.XLOOKUP($A66,Map!$A:$A,Map!E:E)</f>
        <v>Inventories</v>
      </c>
      <c r="J66" s="43" t="str">
        <f>_xlfn.XLOOKUP($A66,Map!$A:$A,Map!F:F)</f>
        <v>Raw materials - Inventory</v>
      </c>
    </row>
    <row r="67" spans="1:10" x14ac:dyDescent="0.25">
      <c r="A67">
        <v>180007</v>
      </c>
      <c r="B67" t="s">
        <v>890</v>
      </c>
      <c r="C67" s="116">
        <v>4219396.8190000001</v>
      </c>
      <c r="D67" s="116">
        <v>19651106.844999999</v>
      </c>
      <c r="E67" s="116">
        <v>22750726.578000002</v>
      </c>
      <c r="F67" s="116">
        <v>1119777.0859999999</v>
      </c>
      <c r="G67" s="43" t="str">
        <f>_xlfn.XLOOKUP($A67,Map!$A:$A,Map!C:C)</f>
        <v>BS</v>
      </c>
      <c r="H67" s="43" t="str">
        <f>_xlfn.XLOOKUP($A67,Map!$A:$A,Map!D:D)</f>
        <v>Current Assets</v>
      </c>
      <c r="I67" s="43" t="str">
        <f>_xlfn.XLOOKUP($A67,Map!$A:$A,Map!E:E)</f>
        <v>Inventories</v>
      </c>
      <c r="J67" s="43" t="str">
        <f>_xlfn.XLOOKUP($A67,Map!$A:$A,Map!F:F)</f>
        <v>Raw materials - Inventory</v>
      </c>
    </row>
    <row r="68" spans="1:10" x14ac:dyDescent="0.25">
      <c r="A68">
        <v>180008</v>
      </c>
      <c r="B68" t="s">
        <v>891</v>
      </c>
      <c r="C68" s="116">
        <v>1599925.6640000001</v>
      </c>
      <c r="D68" s="116">
        <v>618884.46</v>
      </c>
      <c r="E68" s="116">
        <v>2218810.1239999998</v>
      </c>
      <c r="F68" s="116">
        <v>0</v>
      </c>
      <c r="G68" s="43" t="str">
        <f>_xlfn.XLOOKUP($A68,Map!$A:$A,Map!C:C)</f>
        <v>BS</v>
      </c>
      <c r="H68" s="43" t="str">
        <f>_xlfn.XLOOKUP($A68,Map!$A:$A,Map!D:D)</f>
        <v>Current Assets</v>
      </c>
      <c r="I68" s="43" t="str">
        <f>_xlfn.XLOOKUP($A68,Map!$A:$A,Map!E:E)</f>
        <v>Inventories</v>
      </c>
      <c r="J68" s="43" t="str">
        <f>_xlfn.XLOOKUP($A68,Map!$A:$A,Map!F:F)</f>
        <v>Raw materials - Inventory</v>
      </c>
    </row>
    <row r="69" spans="1:10" x14ac:dyDescent="0.25">
      <c r="A69">
        <v>180009</v>
      </c>
      <c r="B69" t="s">
        <v>892</v>
      </c>
      <c r="C69" s="116">
        <v>0</v>
      </c>
      <c r="D69" s="116">
        <v>17692688.967</v>
      </c>
      <c r="E69" s="116">
        <v>17692688.967</v>
      </c>
      <c r="F69" s="116">
        <v>0</v>
      </c>
      <c r="G69" s="43" t="str">
        <f>_xlfn.XLOOKUP($A69,Map!$A:$A,Map!C:C)</f>
        <v>BS</v>
      </c>
      <c r="H69" s="43" t="str">
        <f>_xlfn.XLOOKUP($A69,Map!$A:$A,Map!D:D)</f>
        <v>Current Assets</v>
      </c>
      <c r="I69" s="43" t="str">
        <f>_xlfn.XLOOKUP($A69,Map!$A:$A,Map!E:E)</f>
        <v>Inventories</v>
      </c>
      <c r="J69" s="43" t="str">
        <f>_xlfn.XLOOKUP($A69,Map!$A:$A,Map!F:F)</f>
        <v>Raw materials - Inventory</v>
      </c>
    </row>
    <row r="70" spans="1:10" x14ac:dyDescent="0.25">
      <c r="A70">
        <v>180010</v>
      </c>
      <c r="B70" t="s">
        <v>893</v>
      </c>
      <c r="C70" s="116">
        <v>4243921.3739999998</v>
      </c>
      <c r="D70" s="116">
        <v>6367438.051</v>
      </c>
      <c r="E70" s="116">
        <v>7687931.1699999999</v>
      </c>
      <c r="F70" s="116">
        <v>2923428.2549999999</v>
      </c>
      <c r="G70" s="43" t="str">
        <f>_xlfn.XLOOKUP($A70,Map!$A:$A,Map!C:C)</f>
        <v>BS</v>
      </c>
      <c r="H70" s="43" t="str">
        <f>_xlfn.XLOOKUP($A70,Map!$A:$A,Map!D:D)</f>
        <v>Current Assets</v>
      </c>
      <c r="I70" s="43" t="str">
        <f>_xlfn.XLOOKUP($A70,Map!$A:$A,Map!E:E)</f>
        <v>Inventories</v>
      </c>
      <c r="J70" s="43" t="str">
        <f>_xlfn.XLOOKUP($A70,Map!$A:$A,Map!F:F)</f>
        <v>Packaging materials - Inventory</v>
      </c>
    </row>
    <row r="71" spans="1:10" x14ac:dyDescent="0.25">
      <c r="A71">
        <v>180011</v>
      </c>
      <c r="B71" t="s">
        <v>894</v>
      </c>
      <c r="C71" s="116">
        <v>4916871.9639999997</v>
      </c>
      <c r="D71" s="116">
        <v>41327981.261</v>
      </c>
      <c r="E71" s="116">
        <v>43384707.397</v>
      </c>
      <c r="F71" s="116">
        <v>2860145.8280000002</v>
      </c>
      <c r="G71" s="43" t="str">
        <f>_xlfn.XLOOKUP($A71,Map!$A:$A,Map!C:C)</f>
        <v>BS</v>
      </c>
      <c r="H71" s="43" t="str">
        <f>_xlfn.XLOOKUP($A71,Map!$A:$A,Map!D:D)</f>
        <v>Current Assets</v>
      </c>
      <c r="I71" s="43" t="str">
        <f>_xlfn.XLOOKUP($A71,Map!$A:$A,Map!E:E)</f>
        <v>Inventories</v>
      </c>
      <c r="J71" s="43" t="str">
        <f>_xlfn.XLOOKUP($A71,Map!$A:$A,Map!F:F)</f>
        <v>Finished goods - Inventory</v>
      </c>
    </row>
    <row r="72" spans="1:10" x14ac:dyDescent="0.25">
      <c r="A72">
        <v>180012</v>
      </c>
      <c r="B72" t="s">
        <v>895</v>
      </c>
      <c r="C72" s="116">
        <v>6324009.8049999997</v>
      </c>
      <c r="D72" s="116">
        <v>39723570.140000001</v>
      </c>
      <c r="E72" s="116">
        <v>42878475.277999997</v>
      </c>
      <c r="F72" s="116">
        <v>3169104.6669999999</v>
      </c>
      <c r="G72" s="43" t="str">
        <f>_xlfn.XLOOKUP($A72,Map!$A:$A,Map!C:C)</f>
        <v>BS</v>
      </c>
      <c r="H72" s="43" t="str">
        <f>_xlfn.XLOOKUP($A72,Map!$A:$A,Map!D:D)</f>
        <v>Current Assets</v>
      </c>
      <c r="I72" s="43" t="str">
        <f>_xlfn.XLOOKUP($A72,Map!$A:$A,Map!E:E)</f>
        <v>Inventories</v>
      </c>
      <c r="J72" s="43" t="str">
        <f>_xlfn.XLOOKUP($A72,Map!$A:$A,Map!F:F)</f>
        <v>Work in progress - Inventory</v>
      </c>
    </row>
    <row r="73" spans="1:10" x14ac:dyDescent="0.25">
      <c r="A73">
        <v>180013</v>
      </c>
      <c r="B73" t="s">
        <v>896</v>
      </c>
      <c r="C73" s="116">
        <v>6599030.142</v>
      </c>
      <c r="D73" s="116">
        <v>11397061.696</v>
      </c>
      <c r="E73" s="116">
        <v>11279456.203</v>
      </c>
      <c r="F73" s="116">
        <v>6716635.6349999998</v>
      </c>
      <c r="G73" s="43" t="str">
        <f>_xlfn.XLOOKUP($A73,Map!$A:$A,Map!C:C)</f>
        <v>BS</v>
      </c>
      <c r="H73" s="43" t="str">
        <f>_xlfn.XLOOKUP($A73,Map!$A:$A,Map!D:D)</f>
        <v>Current Assets</v>
      </c>
      <c r="I73" s="43" t="str">
        <f>_xlfn.XLOOKUP($A73,Map!$A:$A,Map!E:E)</f>
        <v>Inventories</v>
      </c>
      <c r="J73" s="43" t="str">
        <f>_xlfn.XLOOKUP($A73,Map!$A:$A,Map!F:F)</f>
        <v>Finished goods - Inventory</v>
      </c>
    </row>
    <row r="74" spans="1:10" x14ac:dyDescent="0.25">
      <c r="A74">
        <v>180014</v>
      </c>
      <c r="B74" t="s">
        <v>897</v>
      </c>
      <c r="C74" s="116">
        <v>0</v>
      </c>
      <c r="D74" s="116">
        <v>26400384.046999998</v>
      </c>
      <c r="E74" s="116">
        <v>26400384.046999998</v>
      </c>
      <c r="F74" s="116">
        <v>0</v>
      </c>
      <c r="G74" s="43" t="str">
        <f>_xlfn.XLOOKUP($A74,Map!$A:$A,Map!C:C)</f>
        <v>BS</v>
      </c>
      <c r="H74" s="43" t="str">
        <f>_xlfn.XLOOKUP($A74,Map!$A:$A,Map!D:D)</f>
        <v>Current Assets</v>
      </c>
      <c r="I74" s="43" t="str">
        <f>_xlfn.XLOOKUP($A74,Map!$A:$A,Map!E:E)</f>
        <v>Inventories</v>
      </c>
      <c r="J74" s="43" t="str">
        <f>_xlfn.XLOOKUP($A74,Map!$A:$A,Map!F:F)</f>
        <v>Work in progress - Inventory</v>
      </c>
    </row>
    <row r="75" spans="1:10" x14ac:dyDescent="0.25">
      <c r="A75">
        <v>180096</v>
      </c>
      <c r="B75" t="s">
        <v>898</v>
      </c>
      <c r="C75" s="116">
        <v>0</v>
      </c>
      <c r="D75" s="116">
        <v>3807981.8709999998</v>
      </c>
      <c r="E75" s="116">
        <v>3807981.8709999998</v>
      </c>
      <c r="F75" s="116">
        <v>0</v>
      </c>
      <c r="G75" s="43" t="str">
        <f>_xlfn.XLOOKUP($A75,Map!$A:$A,Map!C:C)</f>
        <v>BS</v>
      </c>
      <c r="H75" s="43" t="str">
        <f>_xlfn.XLOOKUP($A75,Map!$A:$A,Map!D:D)</f>
        <v>Current Assets</v>
      </c>
      <c r="I75" s="43" t="str">
        <f>_xlfn.XLOOKUP($A75,Map!$A:$A,Map!E:E)</f>
        <v>Inventories</v>
      </c>
      <c r="J75" s="43" t="str">
        <f>_xlfn.XLOOKUP($A75,Map!$A:$A,Map!F:F)</f>
        <v>Work in progress - Inventory</v>
      </c>
    </row>
    <row r="76" spans="1:10" x14ac:dyDescent="0.25">
      <c r="A76">
        <v>180097</v>
      </c>
      <c r="B76" t="s">
        <v>899</v>
      </c>
      <c r="C76" s="116">
        <v>0</v>
      </c>
      <c r="D76" s="116">
        <v>27297259.699999999</v>
      </c>
      <c r="E76" s="116">
        <v>27297259.699999999</v>
      </c>
      <c r="F76" s="116">
        <v>0</v>
      </c>
      <c r="G76" s="43" t="str">
        <f>_xlfn.XLOOKUP($A76,Map!$A:$A,Map!C:C)</f>
        <v>BS</v>
      </c>
      <c r="H76" s="43" t="str">
        <f>_xlfn.XLOOKUP($A76,Map!$A:$A,Map!D:D)</f>
        <v>Current Assets</v>
      </c>
      <c r="I76" s="43" t="str">
        <f>_xlfn.XLOOKUP($A76,Map!$A:$A,Map!E:E)</f>
        <v>Inventories</v>
      </c>
      <c r="J76" s="43" t="str">
        <f>_xlfn.XLOOKUP($A76,Map!$A:$A,Map!F:F)</f>
        <v>Work in progress - Inventory</v>
      </c>
    </row>
    <row r="77" spans="1:10" x14ac:dyDescent="0.25">
      <c r="A77">
        <v>180098</v>
      </c>
      <c r="B77" t="s">
        <v>900</v>
      </c>
      <c r="C77" s="116">
        <v>-5.0000000000000001E-3</v>
      </c>
      <c r="D77" s="116">
        <v>1.4999999999999999E-2</v>
      </c>
      <c r="E77" s="116">
        <v>0.01</v>
      </c>
      <c r="F77" s="116">
        <v>0</v>
      </c>
      <c r="G77" s="43" t="str">
        <f>_xlfn.XLOOKUP($A77,Map!$A:$A,Map!C:C)</f>
        <v>BS</v>
      </c>
      <c r="H77" s="43" t="str">
        <f>_xlfn.XLOOKUP($A77,Map!$A:$A,Map!D:D)</f>
        <v>Current Assets</v>
      </c>
      <c r="I77" s="43" t="str">
        <f>_xlfn.XLOOKUP($A77,Map!$A:$A,Map!E:E)</f>
        <v>Inventories</v>
      </c>
      <c r="J77" s="43" t="str">
        <f>_xlfn.XLOOKUP($A77,Map!$A:$A,Map!F:F)</f>
        <v>Work in progress - Inventory</v>
      </c>
    </row>
    <row r="78" spans="1:10" x14ac:dyDescent="0.25">
      <c r="A78">
        <v>180099</v>
      </c>
      <c r="B78" t="s">
        <v>901</v>
      </c>
      <c r="C78" s="116">
        <v>5.0000000000000001E-3</v>
      </c>
      <c r="D78" s="116">
        <v>5.0000000000000001E-3</v>
      </c>
      <c r="E78" s="116">
        <v>0.01</v>
      </c>
      <c r="F78" s="116">
        <v>0</v>
      </c>
      <c r="G78" s="43" t="str">
        <f>_xlfn.XLOOKUP($A78,Map!$A:$A,Map!C:C)</f>
        <v>BS</v>
      </c>
      <c r="H78" s="43" t="str">
        <f>_xlfn.XLOOKUP($A78,Map!$A:$A,Map!D:D)</f>
        <v>Current Assets</v>
      </c>
      <c r="I78" s="43" t="str">
        <f>_xlfn.XLOOKUP($A78,Map!$A:$A,Map!E:E)</f>
        <v>Inventories</v>
      </c>
      <c r="J78" s="43" t="str">
        <f>_xlfn.XLOOKUP($A78,Map!$A:$A,Map!F:F)</f>
        <v>Goods in transit - Inventory</v>
      </c>
    </row>
    <row r="79" spans="1:10" x14ac:dyDescent="0.25">
      <c r="A79">
        <v>210001</v>
      </c>
      <c r="B79" t="s">
        <v>902</v>
      </c>
      <c r="C79" s="116">
        <v>1690150.4839999999</v>
      </c>
      <c r="D79" s="116">
        <v>84819980.104000002</v>
      </c>
      <c r="E79" s="116">
        <v>85161518.825000003</v>
      </c>
      <c r="F79" s="116">
        <v>1348611.763</v>
      </c>
      <c r="G79" s="43" t="str">
        <f>_xlfn.XLOOKUP($A79,Map!$A:$A,Map!C:C)</f>
        <v>BS</v>
      </c>
      <c r="H79" s="43" t="str">
        <f>_xlfn.XLOOKUP($A79,Map!$A:$A,Map!D:D)</f>
        <v>Current Liabilities</v>
      </c>
      <c r="I79" s="43" t="str">
        <f>_xlfn.XLOOKUP($A79,Map!$A:$A,Map!E:E)</f>
        <v>Tade payables and Accuals &amp; other credit balances</v>
      </c>
      <c r="J79" s="43" t="str">
        <f>_xlfn.XLOOKUP($A79,Map!$A:$A,Map!F:F)</f>
        <v>Trade payables - Foreign</v>
      </c>
    </row>
    <row r="80" spans="1:10" x14ac:dyDescent="0.25">
      <c r="A80">
        <v>210002</v>
      </c>
      <c r="B80" t="s">
        <v>903</v>
      </c>
      <c r="C80" s="116">
        <v>-4136245.906</v>
      </c>
      <c r="D80" s="116">
        <v>72681304.937999994</v>
      </c>
      <c r="E80" s="116">
        <v>74733025.006999999</v>
      </c>
      <c r="F80" s="116">
        <v>-6187965.9749999996</v>
      </c>
      <c r="G80" s="43" t="str">
        <f>_xlfn.XLOOKUP($A80,Map!$A:$A,Map!C:C)</f>
        <v>BS</v>
      </c>
      <c r="H80" s="43" t="str">
        <f>_xlfn.XLOOKUP($A80,Map!$A:$A,Map!D:D)</f>
        <v>Current Liabilities</v>
      </c>
      <c r="I80" s="43" t="str">
        <f>_xlfn.XLOOKUP($A80,Map!$A:$A,Map!E:E)</f>
        <v>Tade payables and Accuals &amp; other credit balances</v>
      </c>
      <c r="J80" s="43" t="str">
        <f>_xlfn.XLOOKUP($A80,Map!$A:$A,Map!F:F)</f>
        <v>Trade payables - Local</v>
      </c>
    </row>
    <row r="81" spans="1:10" x14ac:dyDescent="0.25">
      <c r="A81">
        <v>220001</v>
      </c>
      <c r="B81" t="s">
        <v>904</v>
      </c>
      <c r="C81" s="116">
        <v>0</v>
      </c>
      <c r="D81" s="116">
        <v>0</v>
      </c>
      <c r="E81" s="116">
        <v>0</v>
      </c>
      <c r="F81" s="116">
        <v>0</v>
      </c>
      <c r="G81" s="43" t="str">
        <f>_xlfn.XLOOKUP($A81,Map!$A:$A,Map!C:C)</f>
        <v>BS</v>
      </c>
      <c r="H81" s="43" t="str">
        <f>_xlfn.XLOOKUP($A81,Map!$A:$A,Map!D:D)</f>
        <v>Current Liabilities</v>
      </c>
      <c r="I81" s="43" t="str">
        <f>_xlfn.XLOOKUP($A81,Map!$A:$A,Map!E:E)</f>
        <v>Short-term Murabaha loans</v>
      </c>
      <c r="J81" s="43" t="str">
        <f>_xlfn.XLOOKUP($A81,Map!$A:$A,Map!F:F)</f>
        <v>Other loans - current</v>
      </c>
    </row>
    <row r="82" spans="1:10" x14ac:dyDescent="0.25">
      <c r="A82">
        <v>220002</v>
      </c>
      <c r="B82" t="s">
        <v>905</v>
      </c>
      <c r="C82" s="116">
        <v>0</v>
      </c>
      <c r="D82" s="116">
        <v>0</v>
      </c>
      <c r="E82" s="116">
        <v>0</v>
      </c>
      <c r="F82" s="116">
        <v>0</v>
      </c>
      <c r="G82" s="43" t="str">
        <f>_xlfn.XLOOKUP($A82,Map!$A:$A,Map!C:C)</f>
        <v>BS</v>
      </c>
      <c r="H82" s="43" t="str">
        <f>_xlfn.XLOOKUP($A82,Map!$A:$A,Map!D:D)</f>
        <v>Current Liabilities</v>
      </c>
      <c r="I82" s="43" t="str">
        <f>_xlfn.XLOOKUP($A82,Map!$A:$A,Map!E:E)</f>
        <v>Short-term Murabaha loans</v>
      </c>
      <c r="J82" s="43" t="str">
        <f>_xlfn.XLOOKUP($A82,Map!$A:$A,Map!F:F)</f>
        <v>Other loans - current</v>
      </c>
    </row>
    <row r="83" spans="1:10" x14ac:dyDescent="0.25">
      <c r="A83">
        <v>220003</v>
      </c>
      <c r="B83" t="s">
        <v>906</v>
      </c>
      <c r="C83" s="116">
        <v>0</v>
      </c>
      <c r="D83" s="116">
        <v>0</v>
      </c>
      <c r="E83" s="116">
        <v>0</v>
      </c>
      <c r="F83" s="116">
        <v>0</v>
      </c>
      <c r="G83" s="43" t="str">
        <f>_xlfn.XLOOKUP($A83,Map!$A:$A,Map!C:C)</f>
        <v>BS</v>
      </c>
      <c r="H83" s="43" t="str">
        <f>_xlfn.XLOOKUP($A83,Map!$A:$A,Map!D:D)</f>
        <v>Current Liabilities</v>
      </c>
      <c r="I83" s="43" t="str">
        <f>_xlfn.XLOOKUP($A83,Map!$A:$A,Map!E:E)</f>
        <v>Short-term Murabaha loans</v>
      </c>
      <c r="J83" s="43" t="str">
        <f>_xlfn.XLOOKUP($A83,Map!$A:$A,Map!F:F)</f>
        <v>Other loans - current</v>
      </c>
    </row>
    <row r="84" spans="1:10" x14ac:dyDescent="0.25">
      <c r="A84">
        <v>220004</v>
      </c>
      <c r="B84" t="s">
        <v>907</v>
      </c>
      <c r="C84" s="116">
        <v>-8323255.0099999998</v>
      </c>
      <c r="D84" s="116">
        <v>8323255.0099999998</v>
      </c>
      <c r="E84" s="116">
        <v>0</v>
      </c>
      <c r="F84" s="116">
        <v>0</v>
      </c>
      <c r="G84" s="43" t="str">
        <f>_xlfn.XLOOKUP($A84,Map!$A:$A,Map!C:C)</f>
        <v>BS</v>
      </c>
      <c r="H84" s="43" t="str">
        <f>_xlfn.XLOOKUP($A84,Map!$A:$A,Map!D:D)</f>
        <v>Current Liabilities</v>
      </c>
      <c r="I84" s="43" t="str">
        <f>_xlfn.XLOOKUP($A84,Map!$A:$A,Map!E:E)</f>
        <v>Short-term Murabaha loans</v>
      </c>
      <c r="J84" s="43" t="str">
        <f>_xlfn.XLOOKUP($A84,Map!$A:$A,Map!F:F)</f>
        <v>Other loans - current</v>
      </c>
    </row>
    <row r="85" spans="1:10" x14ac:dyDescent="0.25">
      <c r="A85">
        <v>220005</v>
      </c>
      <c r="B85" t="s">
        <v>908</v>
      </c>
      <c r="C85" s="116">
        <v>-24159339.420000002</v>
      </c>
      <c r="D85" s="116">
        <v>48202489.813000001</v>
      </c>
      <c r="E85" s="116">
        <v>47617110.287</v>
      </c>
      <c r="F85" s="116">
        <v>-23573959.894000001</v>
      </c>
      <c r="G85" s="43" t="str">
        <f>_xlfn.XLOOKUP($A85,Map!$A:$A,Map!C:C)</f>
        <v>BS</v>
      </c>
      <c r="H85" s="43" t="str">
        <f>_xlfn.XLOOKUP($A85,Map!$A:$A,Map!D:D)</f>
        <v>Current Liabilities</v>
      </c>
      <c r="I85" s="43" t="str">
        <f>_xlfn.XLOOKUP($A85,Map!$A:$A,Map!E:E)</f>
        <v>Short-term Murabaha loans</v>
      </c>
      <c r="J85" s="43" t="str">
        <f>_xlfn.XLOOKUP($A85,Map!$A:$A,Map!F:F)</f>
        <v>Other loans - current</v>
      </c>
    </row>
    <row r="86" spans="1:10" x14ac:dyDescent="0.25">
      <c r="A86">
        <v>220006</v>
      </c>
      <c r="B86" t="s">
        <v>909</v>
      </c>
      <c r="C86" s="116">
        <v>-36223842.005999997</v>
      </c>
      <c r="D86" s="116">
        <v>0</v>
      </c>
      <c r="E86" s="116">
        <v>28275745.649999999</v>
      </c>
      <c r="F86" s="116">
        <v>-64499587.656000003</v>
      </c>
      <c r="G86" s="43" t="str">
        <f>_xlfn.XLOOKUP($A86,Map!$A:$A,Map!C:C)</f>
        <v>BS</v>
      </c>
      <c r="H86" s="43" t="str">
        <f>_xlfn.XLOOKUP($A86,Map!$A:$A,Map!D:D)</f>
        <v>Current Liabilities</v>
      </c>
      <c r="I86" s="43" t="str">
        <f>_xlfn.XLOOKUP($A86,Map!$A:$A,Map!E:E)</f>
        <v>Short-term Murabaha loans</v>
      </c>
      <c r="J86" s="43" t="str">
        <f>_xlfn.XLOOKUP($A86,Map!$A:$A,Map!F:F)</f>
        <v>Other loans - current</v>
      </c>
    </row>
    <row r="87" spans="1:10" x14ac:dyDescent="0.25">
      <c r="A87">
        <v>230001</v>
      </c>
      <c r="B87" t="s">
        <v>911</v>
      </c>
      <c r="C87" s="116">
        <v>0</v>
      </c>
      <c r="D87" s="116">
        <v>115385756.705</v>
      </c>
      <c r="E87" s="116">
        <v>115385756.705</v>
      </c>
      <c r="F87" s="116">
        <v>0</v>
      </c>
      <c r="G87" s="43" t="str">
        <f>_xlfn.XLOOKUP($A87,Map!$A:$A,Map!C:C)</f>
        <v>BS</v>
      </c>
      <c r="H87" s="43" t="str">
        <f>_xlfn.XLOOKUP($A87,Map!$A:$A,Map!D:D)</f>
        <v>Current Liabilities</v>
      </c>
      <c r="I87" s="43" t="str">
        <f>_xlfn.XLOOKUP($A87,Map!$A:$A,Map!E:E)</f>
        <v>Tade payables and Accuals &amp; other credit balances</v>
      </c>
      <c r="J87" s="43" t="str">
        <f>_xlfn.XLOOKUP($A87,Map!$A:$A,Map!F:F)</f>
        <v>Clearing account</v>
      </c>
    </row>
    <row r="88" spans="1:10" x14ac:dyDescent="0.25">
      <c r="A88">
        <v>240001</v>
      </c>
      <c r="B88" t="s">
        <v>912</v>
      </c>
      <c r="C88" s="116">
        <v>3.0000000000000001E-3</v>
      </c>
      <c r="D88" s="116">
        <v>3213301.27</v>
      </c>
      <c r="E88" s="116">
        <v>3213301.273</v>
      </c>
      <c r="F88" s="116">
        <v>0</v>
      </c>
      <c r="G88" s="43" t="str">
        <f>_xlfn.XLOOKUP($A88,Map!$A:$A,Map!C:C)</f>
        <v>BS</v>
      </c>
      <c r="H88" s="43" t="str">
        <f>_xlfn.XLOOKUP($A88,Map!$A:$A,Map!D:D)</f>
        <v>Current Liabilities</v>
      </c>
      <c r="I88" s="43" t="str">
        <f>_xlfn.XLOOKUP($A88,Map!$A:$A,Map!E:E)</f>
        <v>Tade payables and Accuals &amp; other credit balances</v>
      </c>
      <c r="J88" s="43" t="str">
        <f>_xlfn.XLOOKUP($A88,Map!$A:$A,Map!F:F)</f>
        <v>Overhead</v>
      </c>
    </row>
    <row r="89" spans="1:10" x14ac:dyDescent="0.25">
      <c r="A89">
        <v>240002</v>
      </c>
      <c r="B89" t="s">
        <v>913</v>
      </c>
      <c r="C89" s="116">
        <v>0</v>
      </c>
      <c r="D89" s="116">
        <v>537448</v>
      </c>
      <c r="E89" s="116">
        <v>537448</v>
      </c>
      <c r="F89" s="116">
        <v>0</v>
      </c>
      <c r="G89" s="43" t="str">
        <f>_xlfn.XLOOKUP($A89,Map!$A:$A,Map!C:C)</f>
        <v>BS</v>
      </c>
      <c r="H89" s="43" t="str">
        <f>_xlfn.XLOOKUP($A89,Map!$A:$A,Map!D:D)</f>
        <v>Current Liabilities</v>
      </c>
      <c r="I89" s="43" t="str">
        <f>_xlfn.XLOOKUP($A89,Map!$A:$A,Map!E:E)</f>
        <v>Tade payables and Accuals &amp; other credit balances</v>
      </c>
      <c r="J89" s="43" t="str">
        <f>_xlfn.XLOOKUP($A89,Map!$A:$A,Map!F:F)</f>
        <v>Landed Cost - Customs</v>
      </c>
    </row>
    <row r="90" spans="1:10" x14ac:dyDescent="0.25">
      <c r="A90">
        <v>240003</v>
      </c>
      <c r="B90" t="s">
        <v>914</v>
      </c>
      <c r="C90" s="116">
        <v>-1874374</v>
      </c>
      <c r="D90" s="116">
        <v>114306.789</v>
      </c>
      <c r="E90" s="116">
        <v>63176.355000000003</v>
      </c>
      <c r="F90" s="116">
        <v>-1823243.5660000001</v>
      </c>
      <c r="G90" s="43" t="str">
        <f>_xlfn.XLOOKUP($A90,Map!$A:$A,Map!C:C)</f>
        <v>BS</v>
      </c>
      <c r="H90" s="43" t="str">
        <f>_xlfn.XLOOKUP($A90,Map!$A:$A,Map!D:D)</f>
        <v>Non-Current Liabilities</v>
      </c>
      <c r="I90" s="43" t="str">
        <f>_xlfn.XLOOKUP($A90,Map!$A:$A,Map!E:E)</f>
        <v xml:space="preserve">Lease liabilities non-current </v>
      </c>
      <c r="J90" s="43" t="str">
        <f>_xlfn.XLOOKUP($A90,Map!$A:$A,Map!F:F)</f>
        <v xml:space="preserve"> Lease Obligation</v>
      </c>
    </row>
    <row r="91" spans="1:10" x14ac:dyDescent="0.25">
      <c r="A91">
        <v>250001</v>
      </c>
      <c r="B91" t="s">
        <v>915</v>
      </c>
      <c r="C91" s="116">
        <v>0</v>
      </c>
      <c r="D91" s="116">
        <v>13456342</v>
      </c>
      <c r="E91" s="116">
        <v>13456342</v>
      </c>
      <c r="F91" s="116">
        <v>0</v>
      </c>
      <c r="G91" s="43" t="str">
        <f>_xlfn.XLOOKUP($A91,Map!$A:$A,Map!C:C)</f>
        <v>BS</v>
      </c>
      <c r="H91" s="43" t="str">
        <f>_xlfn.XLOOKUP($A91,Map!$A:$A,Map!D:D)</f>
        <v>Current Liabilities</v>
      </c>
      <c r="I91" s="43" t="str">
        <f>_xlfn.XLOOKUP($A91,Map!$A:$A,Map!E:E)</f>
        <v>Tade payables and Accuals &amp; other credit balances</v>
      </c>
      <c r="J91" s="43" t="str">
        <f>_xlfn.XLOOKUP($A91,Map!$A:$A,Map!F:F)</f>
        <v>Accrued salaries and wages</v>
      </c>
    </row>
    <row r="92" spans="1:10" x14ac:dyDescent="0.25">
      <c r="A92">
        <v>250002</v>
      </c>
      <c r="B92" t="s">
        <v>916</v>
      </c>
      <c r="C92" s="116">
        <v>0</v>
      </c>
      <c r="D92" s="116">
        <v>0</v>
      </c>
      <c r="E92" s="116">
        <v>0</v>
      </c>
      <c r="F92" s="116">
        <v>0</v>
      </c>
      <c r="G92" s="43" t="str">
        <f>_xlfn.XLOOKUP($A92,Map!$A:$A,Map!C:C)</f>
        <v>BS</v>
      </c>
      <c r="H92" s="43" t="str">
        <f>_xlfn.XLOOKUP($A92,Map!$A:$A,Map!D:D)</f>
        <v>Current Liabilities</v>
      </c>
      <c r="I92" s="43" t="str">
        <f>_xlfn.XLOOKUP($A92,Map!$A:$A,Map!E:E)</f>
        <v>Tade payables and Accuals &amp; other credit balances</v>
      </c>
      <c r="J92" s="43" t="str">
        <f>_xlfn.XLOOKUP($A92,Map!$A:$A,Map!F:F)</f>
        <v>Accrued utilities</v>
      </c>
    </row>
    <row r="93" spans="1:10" x14ac:dyDescent="0.25">
      <c r="A93">
        <v>250003</v>
      </c>
      <c r="B93" t="s">
        <v>917</v>
      </c>
      <c r="C93" s="116">
        <v>-983057</v>
      </c>
      <c r="D93" s="116">
        <v>1243670.8899999999</v>
      </c>
      <c r="E93" s="116">
        <v>904999.89</v>
      </c>
      <c r="F93" s="116">
        <v>-644386</v>
      </c>
      <c r="G93" s="43" t="str">
        <f>_xlfn.XLOOKUP($A93,Map!$A:$A,Map!C:C)</f>
        <v>BS</v>
      </c>
      <c r="H93" s="43" t="str">
        <f>_xlfn.XLOOKUP($A93,Map!$A:$A,Map!D:D)</f>
        <v>Current Liabilities</v>
      </c>
      <c r="I93" s="43" t="str">
        <f>_xlfn.XLOOKUP($A93,Map!$A:$A,Map!E:E)</f>
        <v>Zakat provision</v>
      </c>
      <c r="J93" s="43" t="str">
        <f>_xlfn.XLOOKUP($A93,Map!$A:$A,Map!F:F)</f>
        <v>Zakat provision</v>
      </c>
    </row>
    <row r="94" spans="1:10" x14ac:dyDescent="0.25">
      <c r="A94">
        <v>250004</v>
      </c>
      <c r="B94" t="s">
        <v>918</v>
      </c>
      <c r="C94" s="116">
        <v>0</v>
      </c>
      <c r="D94" s="116">
        <v>528870</v>
      </c>
      <c r="E94" s="116">
        <v>528870</v>
      </c>
      <c r="F94" s="116">
        <v>0</v>
      </c>
      <c r="G94" s="43" t="str">
        <f>_xlfn.XLOOKUP($A94,Map!$A:$A,Map!C:C)</f>
        <v>BS</v>
      </c>
      <c r="H94" s="43" t="str">
        <f>_xlfn.XLOOKUP($A94,Map!$A:$A,Map!D:D)</f>
        <v>Current Liabilities</v>
      </c>
      <c r="I94" s="43" t="str">
        <f>_xlfn.XLOOKUP($A94,Map!$A:$A,Map!E:E)</f>
        <v>Tade payables and Accuals &amp; other credit balances</v>
      </c>
      <c r="J94" s="43" t="str">
        <f>_xlfn.XLOOKUP($A94,Map!$A:$A,Map!F:F)</f>
        <v>Accrued bonus</v>
      </c>
    </row>
    <row r="95" spans="1:10" x14ac:dyDescent="0.25">
      <c r="A95">
        <v>250005</v>
      </c>
      <c r="B95" t="s">
        <v>919</v>
      </c>
      <c r="C95" s="116">
        <v>-66150</v>
      </c>
      <c r="D95" s="116">
        <v>103200</v>
      </c>
      <c r="E95" s="116">
        <v>65550</v>
      </c>
      <c r="F95" s="116">
        <v>-28500</v>
      </c>
      <c r="G95" s="43" t="str">
        <f>_xlfn.XLOOKUP($A95,Map!$A:$A,Map!C:C)</f>
        <v>BS</v>
      </c>
      <c r="H95" s="43" t="str">
        <f>_xlfn.XLOOKUP($A95,Map!$A:$A,Map!D:D)</f>
        <v>Current Liabilities</v>
      </c>
      <c r="I95" s="43" t="str">
        <f>_xlfn.XLOOKUP($A95,Map!$A:$A,Map!E:E)</f>
        <v>Tade payables and Accuals &amp; other credit balances</v>
      </c>
      <c r="J95" s="43" t="str">
        <f>_xlfn.XLOOKUP($A95,Map!$A:$A,Map!F:F)</f>
        <v>Accrued expenses</v>
      </c>
    </row>
    <row r="96" spans="1:10" x14ac:dyDescent="0.25">
      <c r="A96">
        <v>250006</v>
      </c>
      <c r="B96" t="s">
        <v>920</v>
      </c>
      <c r="C96" s="116">
        <v>0</v>
      </c>
      <c r="D96" s="116">
        <v>0</v>
      </c>
      <c r="E96" s="116">
        <v>388008.67</v>
      </c>
      <c r="F96" s="116">
        <v>-388008.67</v>
      </c>
      <c r="G96" s="43" t="str">
        <f>_xlfn.XLOOKUP($A96,Map!$A:$A,Map!C:C)</f>
        <v>BS</v>
      </c>
      <c r="H96" s="43" t="str">
        <f>_xlfn.XLOOKUP($A96,Map!$A:$A,Map!D:D)</f>
        <v>Current Liabilities</v>
      </c>
      <c r="I96" s="43" t="str">
        <f>_xlfn.XLOOKUP($A96,Map!$A:$A,Map!E:E)</f>
        <v>Tade payables and Accuals &amp; other credit balances</v>
      </c>
      <c r="J96" s="43" t="str">
        <f>_xlfn.XLOOKUP($A96,Map!$A:$A,Map!F:F)</f>
        <v>Accrued leave</v>
      </c>
    </row>
    <row r="97" spans="1:10" x14ac:dyDescent="0.25">
      <c r="A97">
        <v>260001</v>
      </c>
      <c r="B97" t="s">
        <v>922</v>
      </c>
      <c r="C97" s="116">
        <v>-6684528</v>
      </c>
      <c r="D97" s="116">
        <v>0</v>
      </c>
      <c r="E97" s="116">
        <v>0</v>
      </c>
      <c r="F97" s="116">
        <v>-6684528</v>
      </c>
      <c r="G97" s="43" t="str">
        <f>_xlfn.XLOOKUP($A97,Map!$A:$A,Map!C:C)</f>
        <v>BS</v>
      </c>
      <c r="H97" s="43" t="str">
        <f>_xlfn.XLOOKUP($A97,Map!$A:$A,Map!D:D)</f>
        <v>Stockholder's equity</v>
      </c>
      <c r="I97" s="43" t="str">
        <f>_xlfn.XLOOKUP($A97,Map!$A:$A,Map!E:E)</f>
        <v>Statutory reserve</v>
      </c>
      <c r="J97" s="43" t="str">
        <f>_xlfn.XLOOKUP($A97,Map!$A:$A,Map!F:F)</f>
        <v>Statutory reserve</v>
      </c>
    </row>
    <row r="98" spans="1:10" x14ac:dyDescent="0.25">
      <c r="A98">
        <v>260002</v>
      </c>
      <c r="B98" t="s">
        <v>923</v>
      </c>
      <c r="C98" s="116">
        <v>-4294641</v>
      </c>
      <c r="D98" s="116">
        <v>1040955.18</v>
      </c>
      <c r="E98" s="116">
        <v>4259209.18</v>
      </c>
      <c r="F98" s="116">
        <v>-7512895</v>
      </c>
      <c r="G98" s="43" t="str">
        <f>_xlfn.XLOOKUP($A98,Map!$A:$A,Map!C:C)</f>
        <v>BS</v>
      </c>
      <c r="H98" s="43" t="str">
        <f>_xlfn.XLOOKUP($A98,Map!$A:$A,Map!D:D)</f>
        <v>Non-Current Liabilities</v>
      </c>
      <c r="I98" s="43" t="str">
        <f>_xlfn.XLOOKUP($A98,Map!$A:$A,Map!E:E)</f>
        <v xml:space="preserve">End-of-service indemnities </v>
      </c>
      <c r="J98" s="43" t="str">
        <f>_xlfn.XLOOKUP($A98,Map!$A:$A,Map!F:F)</f>
        <v xml:space="preserve">End-of-service indemnities </v>
      </c>
    </row>
    <row r="99" spans="1:10" x14ac:dyDescent="0.25">
      <c r="A99">
        <v>260003</v>
      </c>
      <c r="B99" t="s">
        <v>924</v>
      </c>
      <c r="C99" s="116">
        <v>-3156727.1</v>
      </c>
      <c r="D99" s="116">
        <v>391297.46</v>
      </c>
      <c r="E99" s="116">
        <v>716658.44400000002</v>
      </c>
      <c r="F99" s="116">
        <v>-3482088.0839999998</v>
      </c>
      <c r="G99" s="43" t="str">
        <f>_xlfn.XLOOKUP($A99,Map!$A:$A,Map!C:C)</f>
        <v>BS</v>
      </c>
      <c r="H99" s="43" t="str">
        <f>_xlfn.XLOOKUP($A99,Map!$A:$A,Map!D:D)</f>
        <v>Current Assets</v>
      </c>
      <c r="I99" s="43" t="str">
        <f>_xlfn.XLOOKUP($A99,Map!$A:$A,Map!E:E)</f>
        <v>Trade receivables</v>
      </c>
      <c r="J99" s="43" t="str">
        <f>_xlfn.XLOOKUP($A99,Map!$A:$A,Map!F:F)</f>
        <v>Provisions</v>
      </c>
    </row>
    <row r="100" spans="1:10" x14ac:dyDescent="0.25">
      <c r="A100">
        <v>260004</v>
      </c>
      <c r="B100" t="s">
        <v>925</v>
      </c>
      <c r="C100" s="116">
        <v>-849296.43299999996</v>
      </c>
      <c r="D100" s="116">
        <v>1099296.433</v>
      </c>
      <c r="E100" s="116">
        <v>2250000</v>
      </c>
      <c r="F100" s="116">
        <v>-2000000</v>
      </c>
      <c r="G100" s="43" t="str">
        <f>_xlfn.XLOOKUP($A100,Map!$A:$A,Map!C:C)</f>
        <v>BS</v>
      </c>
      <c r="H100" s="43" t="str">
        <f>_xlfn.XLOOKUP($A100,Map!$A:$A,Map!D:D)</f>
        <v>Current Assets</v>
      </c>
      <c r="I100" s="43" t="str">
        <f>_xlfn.XLOOKUP($A100,Map!$A:$A,Map!E:E)</f>
        <v>Inventories</v>
      </c>
      <c r="J100" s="43" t="str">
        <f>_xlfn.XLOOKUP($A100,Map!$A:$A,Map!F:F)</f>
        <v>Allowance for slow moving/obsolete inventories - Inventory</v>
      </c>
    </row>
    <row r="101" spans="1:10" x14ac:dyDescent="0.25">
      <c r="A101">
        <v>260005</v>
      </c>
      <c r="B101" t="s">
        <v>926</v>
      </c>
      <c r="C101" s="116">
        <v>-4120000</v>
      </c>
      <c r="D101" s="116">
        <v>8240</v>
      </c>
      <c r="E101" s="116">
        <v>103000</v>
      </c>
      <c r="F101" s="116">
        <v>-4214760</v>
      </c>
      <c r="G101" s="43" t="str">
        <f>_xlfn.XLOOKUP($A101,Map!$A:$A,Map!C:C)</f>
        <v>BS</v>
      </c>
      <c r="H101" s="43" t="str">
        <f>_xlfn.XLOOKUP($A101,Map!$A:$A,Map!D:D)</f>
        <v>Non-Current Liabilities</v>
      </c>
      <c r="I101" s="43" t="str">
        <f>_xlfn.XLOOKUP($A101,Map!$A:$A,Map!E:E)</f>
        <v>Provision for evacuation</v>
      </c>
      <c r="J101" s="43" t="str">
        <f>_xlfn.XLOOKUP($A101,Map!$A:$A,Map!F:F)</f>
        <v>Provision for evacuation</v>
      </c>
    </row>
    <row r="102" spans="1:10" x14ac:dyDescent="0.25">
      <c r="A102">
        <v>270001</v>
      </c>
      <c r="B102" t="s">
        <v>929</v>
      </c>
      <c r="C102" s="116">
        <v>-502289.05</v>
      </c>
      <c r="D102" s="116">
        <v>729285</v>
      </c>
      <c r="E102" s="116">
        <v>60625.9</v>
      </c>
      <c r="F102" s="116">
        <v>166370.04999999999</v>
      </c>
      <c r="G102" s="43" t="str">
        <f>_xlfn.XLOOKUP($A102,Map!$A:$A,Map!C:C)</f>
        <v>BS</v>
      </c>
      <c r="H102" s="43" t="str">
        <f>_xlfn.XLOOKUP($A102,Map!$A:$A,Map!D:D)</f>
        <v>Non-Current Liabilities</v>
      </c>
      <c r="I102" s="43" t="str">
        <f>_xlfn.XLOOKUP($A102,Map!$A:$A,Map!E:E)</f>
        <v xml:space="preserve">Due to related parties </v>
      </c>
      <c r="J102" s="43" t="str">
        <f>_xlfn.XLOOKUP($A102,Map!$A:$A,Map!F:F)</f>
        <v>Aims Holding  Current Acc</v>
      </c>
    </row>
    <row r="103" spans="1:10" x14ac:dyDescent="0.25">
      <c r="A103">
        <v>270002</v>
      </c>
      <c r="B103" t="s">
        <v>930</v>
      </c>
      <c r="C103" s="116">
        <v>0</v>
      </c>
      <c r="D103" s="116">
        <v>19660697.335000001</v>
      </c>
      <c r="E103" s="116">
        <v>19660697.335000001</v>
      </c>
      <c r="F103" s="116">
        <v>0</v>
      </c>
      <c r="G103" s="43" t="str">
        <f>_xlfn.XLOOKUP($A103,Map!$A:$A,Map!C:C)</f>
        <v>BS</v>
      </c>
      <c r="H103" s="43" t="str">
        <f>_xlfn.XLOOKUP($A103,Map!$A:$A,Map!D:D)</f>
        <v>Current Liabilities</v>
      </c>
      <c r="I103" s="43" t="str">
        <f>_xlfn.XLOOKUP($A103,Map!$A:$A,Map!E:E)</f>
        <v>Tade payables and Accuals &amp; other credit balances</v>
      </c>
      <c r="J103" s="43" t="str">
        <f>_xlfn.XLOOKUP($A103,Map!$A:$A,Map!F:F)</f>
        <v>VAT payables</v>
      </c>
    </row>
    <row r="104" spans="1:10" x14ac:dyDescent="0.25">
      <c r="A104">
        <v>270003</v>
      </c>
      <c r="B104" t="s">
        <v>931</v>
      </c>
      <c r="C104" s="116">
        <v>820338.76199999999</v>
      </c>
      <c r="D104" s="116">
        <v>7531329.8099999996</v>
      </c>
      <c r="E104" s="116">
        <v>8351668.5719999997</v>
      </c>
      <c r="F104" s="116">
        <v>0</v>
      </c>
      <c r="G104" s="43" t="str">
        <f>_xlfn.XLOOKUP($A104,Map!$A:$A,Map!C:C)</f>
        <v>BS</v>
      </c>
      <c r="H104" s="43" t="str">
        <f>_xlfn.XLOOKUP($A104,Map!$A:$A,Map!D:D)</f>
        <v>Current Liabilities</v>
      </c>
      <c r="I104" s="43" t="str">
        <f>_xlfn.XLOOKUP($A104,Map!$A:$A,Map!E:E)</f>
        <v>Tade payables and Accuals &amp; other credit balances</v>
      </c>
      <c r="J104" s="43" t="str">
        <f>_xlfn.XLOOKUP($A104,Map!$A:$A,Map!F:F)</f>
        <v>VAT payables</v>
      </c>
    </row>
    <row r="105" spans="1:10" x14ac:dyDescent="0.25">
      <c r="A105">
        <v>270004</v>
      </c>
      <c r="B105" t="s">
        <v>932</v>
      </c>
      <c r="C105" s="116">
        <v>0</v>
      </c>
      <c r="D105" s="116">
        <v>5500949.2400000002</v>
      </c>
      <c r="E105" s="116">
        <v>7064396.7000000002</v>
      </c>
      <c r="F105" s="116">
        <v>-1563447.46</v>
      </c>
      <c r="G105" s="43" t="str">
        <f>_xlfn.XLOOKUP($A105,Map!$A:$A,Map!C:C)</f>
        <v>BS</v>
      </c>
      <c r="H105" s="43" t="str">
        <f>_xlfn.XLOOKUP($A105,Map!$A:$A,Map!D:D)</f>
        <v>Current Liabilities</v>
      </c>
      <c r="I105" s="43" t="str">
        <f>_xlfn.XLOOKUP($A105,Map!$A:$A,Map!E:E)</f>
        <v>Tade payables and Accuals &amp; other credit balances</v>
      </c>
      <c r="J105" s="43" t="str">
        <f>_xlfn.XLOOKUP($A105,Map!$A:$A,Map!F:F)</f>
        <v>VAT payables</v>
      </c>
    </row>
    <row r="106" spans="1:10" x14ac:dyDescent="0.25">
      <c r="A106">
        <v>310001</v>
      </c>
      <c r="B106" t="s">
        <v>934</v>
      </c>
      <c r="C106" s="116">
        <v>-32446640.010000002</v>
      </c>
      <c r="D106" s="116">
        <v>0</v>
      </c>
      <c r="E106" s="116">
        <v>0</v>
      </c>
      <c r="F106" s="116">
        <v>-32446640.010000002</v>
      </c>
      <c r="G106" s="43" t="str">
        <f>_xlfn.XLOOKUP($A106,Map!$A:$A,Map!C:C)</f>
        <v>BS</v>
      </c>
      <c r="H106" s="43" t="str">
        <f>_xlfn.XLOOKUP($A106,Map!$A:$A,Map!D:D)</f>
        <v>Stockholder's equity</v>
      </c>
      <c r="I106" s="43" t="str">
        <f>_xlfn.XLOOKUP($A106,Map!$A:$A,Map!E:E)</f>
        <v>Retained earnings</v>
      </c>
      <c r="J106" s="43" t="str">
        <f>_xlfn.XLOOKUP($A106,Map!$A:$A,Map!F:F)</f>
        <v>Retained earnings</v>
      </c>
    </row>
    <row r="107" spans="1:10" x14ac:dyDescent="0.25">
      <c r="A107">
        <v>330001</v>
      </c>
      <c r="B107" t="s">
        <v>935</v>
      </c>
      <c r="C107" s="116">
        <v>-1766750</v>
      </c>
      <c r="D107" s="116">
        <v>1766750</v>
      </c>
      <c r="E107" s="116">
        <v>0</v>
      </c>
      <c r="F107" s="116">
        <v>0</v>
      </c>
      <c r="G107" s="43" t="str">
        <f>_xlfn.XLOOKUP($A107,Map!$A:$A,Map!C:C)</f>
        <v>BS</v>
      </c>
      <c r="H107" s="43" t="str">
        <f>_xlfn.XLOOKUP($A107,Map!$A:$A,Map!D:D)</f>
        <v>Stockholder's equity</v>
      </c>
      <c r="I107" s="43" t="str">
        <f>_xlfn.XLOOKUP($A107,Map!$A:$A,Map!E:E)</f>
        <v>Retained earnings</v>
      </c>
      <c r="J107" s="43" t="str">
        <f>_xlfn.XLOOKUP($A107,Map!$A:$A,Map!F:F)</f>
        <v>Retained earnings</v>
      </c>
    </row>
    <row r="108" spans="1:10" x14ac:dyDescent="0.25">
      <c r="A108">
        <v>330002</v>
      </c>
      <c r="B108" t="s">
        <v>936</v>
      </c>
      <c r="C108" s="116">
        <v>-33568250</v>
      </c>
      <c r="D108" s="116">
        <v>0</v>
      </c>
      <c r="E108" s="116">
        <v>1766750</v>
      </c>
      <c r="F108" s="116">
        <v>-35335000</v>
      </c>
      <c r="G108" s="43" t="str">
        <f>_xlfn.XLOOKUP($A108,Map!$A:$A,Map!C:C)</f>
        <v>BS</v>
      </c>
      <c r="H108" s="43" t="str">
        <f>_xlfn.XLOOKUP($A108,Map!$A:$A,Map!D:D)</f>
        <v>Stockholder's equity</v>
      </c>
      <c r="I108" s="43" t="str">
        <f>_xlfn.XLOOKUP($A108,Map!$A:$A,Map!E:E)</f>
        <v>Share capital</v>
      </c>
      <c r="J108" s="43" t="str">
        <f>_xlfn.XLOOKUP($A108,Map!$A:$A,Map!F:F)</f>
        <v>Share capital</v>
      </c>
    </row>
    <row r="109" spans="1:10" x14ac:dyDescent="0.25">
      <c r="A109">
        <v>330003</v>
      </c>
      <c r="B109" t="s">
        <v>937</v>
      </c>
      <c r="C109" s="116">
        <v>-102255315.01000001</v>
      </c>
      <c r="D109" s="116">
        <v>0</v>
      </c>
      <c r="E109" s="116">
        <v>0</v>
      </c>
      <c r="F109" s="116">
        <v>-102255315.01000001</v>
      </c>
      <c r="G109" s="43" t="str">
        <f>_xlfn.XLOOKUP($A109,Map!$A:$A,Map!C:C)</f>
        <v>BS</v>
      </c>
      <c r="H109" s="43" t="str">
        <f>_xlfn.XLOOKUP($A109,Map!$A:$A,Map!D:D)</f>
        <v>Stockholder's equity</v>
      </c>
      <c r="I109" s="43" t="str">
        <f>_xlfn.XLOOKUP($A109,Map!$A:$A,Map!E:E)</f>
        <v>Additional contribution from shareholders</v>
      </c>
      <c r="J109" s="43" t="str">
        <f>_xlfn.XLOOKUP($A109,Map!$A:$A,Map!F:F)</f>
        <v>Additional contribution from shareholders</v>
      </c>
    </row>
    <row r="110" spans="1:10" x14ac:dyDescent="0.25">
      <c r="A110">
        <v>410001</v>
      </c>
      <c r="B110" t="s">
        <v>938</v>
      </c>
      <c r="C110" s="116">
        <v>0</v>
      </c>
      <c r="D110" s="116">
        <v>105062710.587</v>
      </c>
      <c r="E110" s="116">
        <v>254066071.155</v>
      </c>
      <c r="F110" s="116">
        <v>-149003360.56799999</v>
      </c>
      <c r="G110" s="43" t="str">
        <f>_xlfn.XLOOKUP($A110,Map!$A:$A,Map!C:C)</f>
        <v>IS</v>
      </c>
      <c r="H110" s="43" t="str">
        <f>_xlfn.XLOOKUP($A110,Map!$A:$A,Map!D:D)</f>
        <v>Sales</v>
      </c>
      <c r="I110" s="43" t="str">
        <f>_xlfn.XLOOKUP($A110,Map!$A:$A,Map!E:E)</f>
        <v>Sales</v>
      </c>
      <c r="J110" s="43" t="str">
        <f>_xlfn.XLOOKUP($A110,Map!$A:$A,Map!F:F)</f>
        <v>Trading revenue</v>
      </c>
    </row>
    <row r="111" spans="1:10" x14ac:dyDescent="0.25">
      <c r="A111">
        <v>410002</v>
      </c>
      <c r="B111" t="s">
        <v>939</v>
      </c>
      <c r="C111" s="116">
        <v>0</v>
      </c>
      <c r="D111" s="116">
        <v>362210.75099999999</v>
      </c>
      <c r="E111" s="116">
        <v>0</v>
      </c>
      <c r="F111" s="116">
        <v>362210.75099999999</v>
      </c>
      <c r="G111" s="43" t="str">
        <f>_xlfn.XLOOKUP($A111,Map!$A:$A,Map!C:C)</f>
        <v>IS</v>
      </c>
      <c r="H111" s="43" t="str">
        <f>_xlfn.XLOOKUP($A111,Map!$A:$A,Map!D:D)</f>
        <v>Sales</v>
      </c>
      <c r="I111" s="43" t="str">
        <f>_xlfn.XLOOKUP($A111,Map!$A:$A,Map!E:E)</f>
        <v>Sales</v>
      </c>
      <c r="J111" s="43" t="str">
        <f>_xlfn.XLOOKUP($A111,Map!$A:$A,Map!F:F)</f>
        <v>Trading revenue</v>
      </c>
    </row>
    <row r="112" spans="1:10" x14ac:dyDescent="0.25">
      <c r="A112">
        <v>410003</v>
      </c>
      <c r="B112" t="s">
        <v>940</v>
      </c>
      <c r="C112" s="116">
        <v>0</v>
      </c>
      <c r="D112" s="116">
        <v>25063.031999999999</v>
      </c>
      <c r="E112" s="116">
        <v>3600.1469999999999</v>
      </c>
      <c r="F112" s="116">
        <v>21462.884999999998</v>
      </c>
      <c r="G112" s="43" t="str">
        <f>_xlfn.XLOOKUP($A112,Map!$A:$A,Map!C:C)</f>
        <v>IS</v>
      </c>
      <c r="H112" s="43" t="str">
        <f>_xlfn.XLOOKUP($A112,Map!$A:$A,Map!D:D)</f>
        <v>Sales</v>
      </c>
      <c r="I112" s="43" t="str">
        <f>_xlfn.XLOOKUP($A112,Map!$A:$A,Map!E:E)</f>
        <v>Sales</v>
      </c>
      <c r="J112" s="43" t="str">
        <f>_xlfn.XLOOKUP($A112,Map!$A:$A,Map!F:F)</f>
        <v>Trading revenue</v>
      </c>
    </row>
    <row r="113" spans="1:10" x14ac:dyDescent="0.25">
      <c r="A113">
        <v>410004</v>
      </c>
      <c r="B113" t="s">
        <v>941</v>
      </c>
      <c r="C113" s="116">
        <v>0</v>
      </c>
      <c r="D113" s="116">
        <v>0</v>
      </c>
      <c r="E113" s="116">
        <v>0</v>
      </c>
      <c r="F113" s="116">
        <v>0</v>
      </c>
      <c r="G113" s="43" t="str">
        <f>_xlfn.XLOOKUP($A113,Map!$A:$A,Map!C:C)</f>
        <v>IS</v>
      </c>
      <c r="H113" s="43" t="str">
        <f>_xlfn.XLOOKUP($A113,Map!$A:$A,Map!D:D)</f>
        <v>Sales</v>
      </c>
      <c r="I113" s="43" t="str">
        <f>_xlfn.XLOOKUP($A113,Map!$A:$A,Map!E:E)</f>
        <v>Sales</v>
      </c>
      <c r="J113" s="43" t="str">
        <f>_xlfn.XLOOKUP($A113,Map!$A:$A,Map!F:F)</f>
        <v>Scrap sales</v>
      </c>
    </row>
    <row r="114" spans="1:10" x14ac:dyDescent="0.25">
      <c r="A114">
        <v>420003</v>
      </c>
      <c r="B114" t="s">
        <v>944</v>
      </c>
      <c r="C114" s="116">
        <v>0</v>
      </c>
      <c r="D114" s="116">
        <v>4.4999999999999998E-2</v>
      </c>
      <c r="E114" s="116">
        <v>4.4999999999999998E-2</v>
      </c>
      <c r="F114" s="116">
        <v>0</v>
      </c>
      <c r="G114" s="43" t="str">
        <f>_xlfn.XLOOKUP($A114,Map!$A:$A,Map!C:C)</f>
        <v>IS</v>
      </c>
      <c r="H114" s="43" t="str">
        <f>_xlfn.XLOOKUP($A114,Map!$A:$A,Map!D:D)</f>
        <v>Sales</v>
      </c>
      <c r="I114" s="43" t="str">
        <f>_xlfn.XLOOKUP($A114,Map!$A:$A,Map!E:E)</f>
        <v>Sales</v>
      </c>
      <c r="J114" s="43" t="str">
        <f>_xlfn.XLOOKUP($A114,Map!$A:$A,Map!F:F)</f>
        <v>Scrap sales</v>
      </c>
    </row>
    <row r="115" spans="1:10" x14ac:dyDescent="0.25">
      <c r="A115">
        <v>510001</v>
      </c>
      <c r="B115" t="s">
        <v>945</v>
      </c>
      <c r="C115" s="116">
        <v>0</v>
      </c>
      <c r="D115" s="116">
        <v>122825597.11300001</v>
      </c>
      <c r="E115" s="116">
        <v>2118896.0819999999</v>
      </c>
      <c r="F115" s="116">
        <v>120706701.031</v>
      </c>
      <c r="G115" s="43" t="str">
        <f>_xlfn.XLOOKUP($A115,Map!$A:$A,Map!C:C)</f>
        <v>IS</v>
      </c>
      <c r="H115" s="43" t="str">
        <f>_xlfn.XLOOKUP($A115,Map!$A:$A,Map!D:D)</f>
        <v>Cost of sales</v>
      </c>
      <c r="I115" s="43" t="str">
        <f>_xlfn.XLOOKUP($A115,Map!$A:$A,Map!E:E)</f>
        <v>Raw materials</v>
      </c>
      <c r="J115" s="43" t="str">
        <f>_xlfn.XLOOKUP($A115,Map!$A:$A,Map!F:F)</f>
        <v>Raw materials</v>
      </c>
    </row>
    <row r="116" spans="1:10" x14ac:dyDescent="0.25">
      <c r="A116">
        <v>510002</v>
      </c>
      <c r="B116" t="s">
        <v>946</v>
      </c>
      <c r="C116" s="116">
        <v>0</v>
      </c>
      <c r="D116" s="116">
        <v>7347405.7220000001</v>
      </c>
      <c r="E116" s="116">
        <v>303092.64799999999</v>
      </c>
      <c r="F116" s="116">
        <v>7044313.074</v>
      </c>
      <c r="G116" s="43" t="str">
        <f>_xlfn.XLOOKUP($A116,Map!$A:$A,Map!C:C)</f>
        <v>IS</v>
      </c>
      <c r="H116" s="43" t="str">
        <f>_xlfn.XLOOKUP($A116,Map!$A:$A,Map!D:D)</f>
        <v>Cost of sales</v>
      </c>
      <c r="I116" s="43" t="str">
        <f>_xlfn.XLOOKUP($A116,Map!$A:$A,Map!E:E)</f>
        <v>Direct Labor</v>
      </c>
      <c r="J116" s="43" t="str">
        <f>_xlfn.XLOOKUP($A116,Map!$A:$A,Map!F:F)</f>
        <v>Direct Labor</v>
      </c>
    </row>
    <row r="117" spans="1:10" x14ac:dyDescent="0.25">
      <c r="A117">
        <v>510003</v>
      </c>
      <c r="B117" t="s">
        <v>947</v>
      </c>
      <c r="C117" s="116">
        <v>0</v>
      </c>
      <c r="D117" s="116">
        <v>4807556.7860000003</v>
      </c>
      <c r="E117" s="116">
        <v>870186.67299999995</v>
      </c>
      <c r="F117" s="116">
        <v>3937370.1129999999</v>
      </c>
      <c r="G117" s="43" t="str">
        <f>_xlfn.XLOOKUP($A117,Map!$A:$A,Map!C:C)</f>
        <v>IS</v>
      </c>
      <c r="H117" s="43" t="str">
        <f>_xlfn.XLOOKUP($A117,Map!$A:$A,Map!D:D)</f>
        <v>Cost of sales</v>
      </c>
      <c r="I117" s="43" t="str">
        <f>_xlfn.XLOOKUP($A117,Map!$A:$A,Map!E:E)</f>
        <v>Raw materials</v>
      </c>
      <c r="J117" s="43" t="str">
        <f>_xlfn.XLOOKUP($A117,Map!$A:$A,Map!F:F)</f>
        <v>Raw materials</v>
      </c>
    </row>
    <row r="118" spans="1:10" x14ac:dyDescent="0.25">
      <c r="A118">
        <v>510004</v>
      </c>
      <c r="B118" t="s">
        <v>948</v>
      </c>
      <c r="C118" s="116">
        <v>0</v>
      </c>
      <c r="D118" s="116">
        <v>12851377.604</v>
      </c>
      <c r="E118" s="116">
        <v>218410.83600000001</v>
      </c>
      <c r="F118" s="116">
        <v>12632966.767999999</v>
      </c>
      <c r="G118" s="43" t="str">
        <f>_xlfn.XLOOKUP($A118,Map!$A:$A,Map!C:C)</f>
        <v>IS</v>
      </c>
      <c r="H118" s="43" t="str">
        <f>_xlfn.XLOOKUP($A118,Map!$A:$A,Map!D:D)</f>
        <v>Cost of sales</v>
      </c>
      <c r="I118" s="43" t="str">
        <f>_xlfn.XLOOKUP($A118,Map!$A:$A,Map!E:E)</f>
        <v>Raw materials</v>
      </c>
      <c r="J118" s="43" t="str">
        <f>_xlfn.XLOOKUP($A118,Map!$A:$A,Map!F:F)</f>
        <v>Other expenses</v>
      </c>
    </row>
    <row r="119" spans="1:10" x14ac:dyDescent="0.25">
      <c r="A119">
        <v>510005</v>
      </c>
      <c r="B119" t="s">
        <v>949</v>
      </c>
      <c r="C119" s="116">
        <v>0</v>
      </c>
      <c r="D119" s="116">
        <v>93662.607999999993</v>
      </c>
      <c r="E119" s="116">
        <v>93662.607999999993</v>
      </c>
      <c r="F119" s="116">
        <v>0</v>
      </c>
      <c r="G119" s="43" t="str">
        <f>_xlfn.XLOOKUP($A119,Map!$A:$A,Map!C:C)</f>
        <v>IS</v>
      </c>
      <c r="H119" s="43" t="str">
        <f>_xlfn.XLOOKUP($A119,Map!$A:$A,Map!D:D)</f>
        <v>Cost of sales</v>
      </c>
      <c r="I119" s="43" t="str">
        <f>_xlfn.XLOOKUP($A119,Map!$A:$A,Map!E:E)</f>
        <v>Raw materials</v>
      </c>
      <c r="J119" s="43" t="str">
        <f>_xlfn.XLOOKUP($A119,Map!$A:$A,Map!F:F)</f>
        <v>Other expenses</v>
      </c>
    </row>
    <row r="120" spans="1:10" x14ac:dyDescent="0.25">
      <c r="A120">
        <v>520001</v>
      </c>
      <c r="B120" t="s">
        <v>950</v>
      </c>
      <c r="C120" s="116">
        <v>0</v>
      </c>
      <c r="D120" s="116">
        <v>3766411.8769999999</v>
      </c>
      <c r="E120" s="116">
        <v>3766411.8769999999</v>
      </c>
      <c r="F120" s="116">
        <v>0</v>
      </c>
      <c r="G120" s="43" t="str">
        <f>_xlfn.XLOOKUP($A120,Map!$A:$A,Map!C:C)</f>
        <v>IS</v>
      </c>
      <c r="H120" s="43" t="str">
        <f>_xlfn.XLOOKUP($A120,Map!$A:$A,Map!D:D)</f>
        <v>Cost of sales</v>
      </c>
      <c r="I120" s="43" t="str">
        <f>_xlfn.XLOOKUP($A120,Map!$A:$A,Map!E:E)</f>
        <v>Direct Labor</v>
      </c>
      <c r="J120" s="43" t="str">
        <f>_xlfn.XLOOKUP($A120,Map!$A:$A,Map!F:F)</f>
        <v>Salaries and wages</v>
      </c>
    </row>
    <row r="121" spans="1:10" x14ac:dyDescent="0.25">
      <c r="A121">
        <v>520002</v>
      </c>
      <c r="B121" t="s">
        <v>951</v>
      </c>
      <c r="C121" s="116">
        <v>0</v>
      </c>
      <c r="D121" s="116">
        <v>0</v>
      </c>
      <c r="E121" s="116">
        <v>0</v>
      </c>
      <c r="F121" s="116">
        <v>0</v>
      </c>
      <c r="G121" s="43" t="str">
        <f>_xlfn.XLOOKUP($A121,Map!$A:$A,Map!C:C)</f>
        <v>IS</v>
      </c>
      <c r="H121" s="43" t="str">
        <f>_xlfn.XLOOKUP($A121,Map!$A:$A,Map!D:D)</f>
        <v>Cost of sales</v>
      </c>
      <c r="I121" s="43" t="str">
        <f>_xlfn.XLOOKUP($A121,Map!$A:$A,Map!E:E)</f>
        <v>Direct Labor</v>
      </c>
      <c r="J121" s="43" t="str">
        <f>_xlfn.XLOOKUP($A121,Map!$A:$A,Map!F:F)</f>
        <v>Overtime pay</v>
      </c>
    </row>
    <row r="122" spans="1:10" x14ac:dyDescent="0.25">
      <c r="A122">
        <v>520003</v>
      </c>
      <c r="B122" t="s">
        <v>952</v>
      </c>
      <c r="C122" s="116">
        <v>0</v>
      </c>
      <c r="D122" s="116">
        <v>359720.33299999998</v>
      </c>
      <c r="E122" s="116">
        <v>359720.33299999998</v>
      </c>
      <c r="F122" s="116">
        <v>0</v>
      </c>
      <c r="G122" s="43" t="str">
        <f>_xlfn.XLOOKUP($A122,Map!$A:$A,Map!C:C)</f>
        <v>IS</v>
      </c>
      <c r="H122" s="43" t="str">
        <f>_xlfn.XLOOKUP($A122,Map!$A:$A,Map!D:D)</f>
        <v>Cost of sales</v>
      </c>
      <c r="I122" s="43" t="str">
        <f>_xlfn.XLOOKUP($A122,Map!$A:$A,Map!E:E)</f>
        <v>Direct Labor</v>
      </c>
      <c r="J122" s="43" t="str">
        <f>_xlfn.XLOOKUP($A122,Map!$A:$A,Map!F:F)</f>
        <v>Transportation allowance</v>
      </c>
    </row>
    <row r="123" spans="1:10" x14ac:dyDescent="0.25">
      <c r="A123">
        <v>520004</v>
      </c>
      <c r="B123" t="s">
        <v>957</v>
      </c>
      <c r="C123" s="116">
        <v>0</v>
      </c>
      <c r="D123" s="116">
        <v>51062</v>
      </c>
      <c r="E123" s="116">
        <v>51062</v>
      </c>
      <c r="F123" s="116">
        <v>0</v>
      </c>
      <c r="G123" s="43" t="str">
        <f>_xlfn.XLOOKUP($A123,Map!$A:$A,Map!C:C)</f>
        <v>IS</v>
      </c>
      <c r="H123" s="43" t="str">
        <f>_xlfn.XLOOKUP($A123,Map!$A:$A,Map!D:D)</f>
        <v>Cost of sales</v>
      </c>
      <c r="I123" s="43" t="str">
        <f>_xlfn.XLOOKUP($A123,Map!$A:$A,Map!E:E)</f>
        <v>Direct Labor</v>
      </c>
      <c r="J123" s="43" t="str">
        <f>_xlfn.XLOOKUP($A123,Map!$A:$A,Map!F:F)</f>
        <v>Food and housing</v>
      </c>
    </row>
    <row r="124" spans="1:10" x14ac:dyDescent="0.25">
      <c r="A124">
        <v>520005</v>
      </c>
      <c r="B124" t="s">
        <v>954</v>
      </c>
      <c r="C124" s="116">
        <v>0</v>
      </c>
      <c r="D124" s="116">
        <v>0</v>
      </c>
      <c r="E124" s="116">
        <v>0</v>
      </c>
      <c r="F124" s="116">
        <v>0</v>
      </c>
      <c r="G124" s="43" t="str">
        <f>_xlfn.XLOOKUP($A124,Map!$A:$A,Map!C:C)</f>
        <v>IS</v>
      </c>
      <c r="H124" s="43" t="str">
        <f>_xlfn.XLOOKUP($A124,Map!$A:$A,Map!D:D)</f>
        <v>Cost of sales</v>
      </c>
      <c r="I124" s="43" t="str">
        <f>_xlfn.XLOOKUP($A124,Map!$A:$A,Map!E:E)</f>
        <v>Direct Labor</v>
      </c>
      <c r="J124" s="43" t="str">
        <f>_xlfn.XLOOKUP($A124,Map!$A:$A,Map!F:F)</f>
        <v>Leave pay</v>
      </c>
    </row>
    <row r="125" spans="1:10" x14ac:dyDescent="0.25">
      <c r="A125">
        <v>520006</v>
      </c>
      <c r="B125" t="s">
        <v>955</v>
      </c>
      <c r="C125" s="116">
        <v>0</v>
      </c>
      <c r="D125" s="116">
        <v>285799.93099999998</v>
      </c>
      <c r="E125" s="116">
        <v>285799.93099999998</v>
      </c>
      <c r="F125" s="116">
        <v>0</v>
      </c>
      <c r="G125" s="43" t="str">
        <f>_xlfn.XLOOKUP($A125,Map!$A:$A,Map!C:C)</f>
        <v>IS</v>
      </c>
      <c r="H125" s="43" t="str">
        <f>_xlfn.XLOOKUP($A125,Map!$A:$A,Map!D:D)</f>
        <v>Cost of sales</v>
      </c>
      <c r="I125" s="43" t="str">
        <f>_xlfn.XLOOKUP($A125,Map!$A:$A,Map!E:E)</f>
        <v>Direct Labor</v>
      </c>
      <c r="J125" s="43" t="str">
        <f>_xlfn.XLOOKUP($A125,Map!$A:$A,Map!F:F)</f>
        <v>Medical insurance</v>
      </c>
    </row>
    <row r="126" spans="1:10" x14ac:dyDescent="0.25">
      <c r="A126">
        <v>520010</v>
      </c>
      <c r="B126" t="s">
        <v>956</v>
      </c>
      <c r="C126" s="116">
        <v>0</v>
      </c>
      <c r="D126" s="116">
        <v>0</v>
      </c>
      <c r="E126" s="116">
        <v>0</v>
      </c>
      <c r="F126" s="116">
        <v>0</v>
      </c>
      <c r="G126" s="43" t="str">
        <f>_xlfn.XLOOKUP($A126,Map!$A:$A,Map!C:C)</f>
        <v>IS</v>
      </c>
      <c r="H126" s="43" t="str">
        <f>_xlfn.XLOOKUP($A126,Map!$A:$A,Map!D:D)</f>
        <v>Cost of sales</v>
      </c>
      <c r="I126" s="43" t="str">
        <f>_xlfn.XLOOKUP($A126,Map!$A:$A,Map!E:E)</f>
        <v>Direct Labor</v>
      </c>
      <c r="J126" s="43" t="str">
        <f>_xlfn.XLOOKUP($A126,Map!$A:$A,Map!F:F)</f>
        <v>Salaries and wages</v>
      </c>
    </row>
    <row r="127" spans="1:10" x14ac:dyDescent="0.25">
      <c r="A127">
        <v>520011</v>
      </c>
      <c r="B127" t="s">
        <v>951</v>
      </c>
      <c r="C127" s="116">
        <v>0</v>
      </c>
      <c r="D127" s="116">
        <v>638970.98</v>
      </c>
      <c r="E127" s="116">
        <v>638970.98</v>
      </c>
      <c r="F127" s="116">
        <v>0</v>
      </c>
      <c r="G127" s="43" t="str">
        <f>_xlfn.XLOOKUP($A127,Map!$A:$A,Map!C:C)</f>
        <v>IS</v>
      </c>
      <c r="H127" s="43" t="str">
        <f>_xlfn.XLOOKUP($A127,Map!$A:$A,Map!D:D)</f>
        <v>Cost of sales</v>
      </c>
      <c r="I127" s="43" t="str">
        <f>_xlfn.XLOOKUP($A127,Map!$A:$A,Map!E:E)</f>
        <v>Direct Labor</v>
      </c>
      <c r="J127" s="43" t="str">
        <f>_xlfn.XLOOKUP($A127,Map!$A:$A,Map!F:F)</f>
        <v>Overtime pay</v>
      </c>
    </row>
    <row r="128" spans="1:10" x14ac:dyDescent="0.25">
      <c r="A128">
        <v>520013</v>
      </c>
      <c r="B128" t="s">
        <v>957</v>
      </c>
      <c r="C128" s="116">
        <v>0</v>
      </c>
      <c r="D128" s="116">
        <v>0</v>
      </c>
      <c r="E128" s="116">
        <v>0</v>
      </c>
      <c r="F128" s="116">
        <v>0</v>
      </c>
      <c r="G128" s="43" t="str">
        <f>_xlfn.XLOOKUP($A128,Map!$A:$A,Map!C:C)</f>
        <v>IS</v>
      </c>
      <c r="H128" s="43" t="str">
        <f>_xlfn.XLOOKUP($A128,Map!$A:$A,Map!D:D)</f>
        <v>Cost of sales</v>
      </c>
      <c r="I128" s="43" t="str">
        <f>_xlfn.XLOOKUP($A128,Map!$A:$A,Map!E:E)</f>
        <v>Direct Labor</v>
      </c>
      <c r="J128" s="43" t="str">
        <f>_xlfn.XLOOKUP($A128,Map!$A:$A,Map!F:F)</f>
        <v>Food and housing</v>
      </c>
    </row>
    <row r="129" spans="1:10" x14ac:dyDescent="0.25">
      <c r="A129">
        <v>520014</v>
      </c>
      <c r="B129" t="s">
        <v>954</v>
      </c>
      <c r="C129" s="116">
        <v>0</v>
      </c>
      <c r="D129" s="116">
        <v>0</v>
      </c>
      <c r="E129" s="116">
        <v>0</v>
      </c>
      <c r="F129" s="116">
        <v>0</v>
      </c>
      <c r="G129" s="43" t="str">
        <f>_xlfn.XLOOKUP($A129,Map!$A:$A,Map!C:C)</f>
        <v>IS</v>
      </c>
      <c r="H129" s="43" t="str">
        <f>_xlfn.XLOOKUP($A129,Map!$A:$A,Map!D:D)</f>
        <v>Cost of sales</v>
      </c>
      <c r="I129" s="43" t="str">
        <f>_xlfn.XLOOKUP($A129,Map!$A:$A,Map!E:E)</f>
        <v>Direct Labor</v>
      </c>
      <c r="J129" s="43" t="str">
        <f>_xlfn.XLOOKUP($A129,Map!$A:$A,Map!F:F)</f>
        <v>Leave pay</v>
      </c>
    </row>
    <row r="130" spans="1:10" x14ac:dyDescent="0.25">
      <c r="A130">
        <v>520021</v>
      </c>
      <c r="B130" t="s">
        <v>962</v>
      </c>
      <c r="C130" s="116">
        <v>0</v>
      </c>
      <c r="D130" s="116">
        <v>39595</v>
      </c>
      <c r="E130" s="116">
        <v>39595</v>
      </c>
      <c r="F130" s="116">
        <v>0</v>
      </c>
      <c r="G130" s="43" t="str">
        <f>_xlfn.XLOOKUP($A130,Map!$A:$A,Map!C:C)</f>
        <v>IS</v>
      </c>
      <c r="H130" s="43" t="str">
        <f>_xlfn.XLOOKUP($A130,Map!$A:$A,Map!D:D)</f>
        <v>Cost of sales</v>
      </c>
      <c r="I130" s="43" t="str">
        <f>_xlfn.XLOOKUP($A130,Map!$A:$A,Map!E:E)</f>
        <v>Direct Labor</v>
      </c>
      <c r="J130" s="43" t="str">
        <f>_xlfn.XLOOKUP($A130,Map!$A:$A,Map!F:F)</f>
        <v>Medical insurance</v>
      </c>
    </row>
    <row r="131" spans="1:10" x14ac:dyDescent="0.25">
      <c r="A131">
        <v>520022</v>
      </c>
      <c r="B131" t="s">
        <v>963</v>
      </c>
      <c r="C131" s="116">
        <v>0</v>
      </c>
      <c r="D131" s="116">
        <v>0</v>
      </c>
      <c r="E131" s="116">
        <v>0</v>
      </c>
      <c r="F131" s="116">
        <v>0</v>
      </c>
      <c r="G131" s="43" t="str">
        <f>_xlfn.XLOOKUP($A131,Map!$A:$A,Map!C:C)</f>
        <v>IS</v>
      </c>
      <c r="H131" s="43" t="str">
        <f>_xlfn.XLOOKUP($A131,Map!$A:$A,Map!D:D)</f>
        <v>Cost of sales</v>
      </c>
      <c r="I131" s="43" t="str">
        <f>_xlfn.XLOOKUP($A131,Map!$A:$A,Map!E:E)</f>
        <v>Direct Labor</v>
      </c>
      <c r="J131" s="43" t="str">
        <f>_xlfn.XLOOKUP($A131,Map!$A:$A,Map!F:F)</f>
        <v>Iqama renewal</v>
      </c>
    </row>
    <row r="132" spans="1:10" x14ac:dyDescent="0.25">
      <c r="A132">
        <v>520023</v>
      </c>
      <c r="B132" t="s">
        <v>964</v>
      </c>
      <c r="C132" s="116">
        <v>0</v>
      </c>
      <c r="D132" s="116">
        <v>0</v>
      </c>
      <c r="E132" s="116">
        <v>0</v>
      </c>
      <c r="F132" s="116">
        <v>0</v>
      </c>
      <c r="G132" s="43" t="str">
        <f>_xlfn.XLOOKUP($A132,Map!$A:$A,Map!C:C)</f>
        <v>IS</v>
      </c>
      <c r="H132" s="43" t="str">
        <f>_xlfn.XLOOKUP($A132,Map!$A:$A,Map!D:D)</f>
        <v>Cost of sales</v>
      </c>
      <c r="I132" s="43" t="str">
        <f>_xlfn.XLOOKUP($A132,Map!$A:$A,Map!E:E)</f>
        <v>Direct Labor</v>
      </c>
      <c r="J132" s="43" t="str">
        <f>_xlfn.XLOOKUP($A132,Map!$A:$A,Map!F:F)</f>
        <v>Medical insurance</v>
      </c>
    </row>
    <row r="133" spans="1:10" x14ac:dyDescent="0.25">
      <c r="A133">
        <v>520032</v>
      </c>
      <c r="B133" t="s">
        <v>965</v>
      </c>
      <c r="C133" s="116">
        <v>0</v>
      </c>
      <c r="D133" s="116">
        <v>0</v>
      </c>
      <c r="E133" s="116">
        <v>0</v>
      </c>
      <c r="F133" s="116">
        <v>0</v>
      </c>
      <c r="G133" s="43" t="str">
        <f>_xlfn.XLOOKUP($A133,Map!$A:$A,Map!C:C)</f>
        <v>IS</v>
      </c>
      <c r="H133" s="43" t="str">
        <f>_xlfn.XLOOKUP($A133,Map!$A:$A,Map!D:D)</f>
        <v>Cost of sales</v>
      </c>
      <c r="I133" s="43" t="str">
        <f>_xlfn.XLOOKUP($A133,Map!$A:$A,Map!E:E)</f>
        <v>Raw materials</v>
      </c>
      <c r="J133" s="43" t="str">
        <f>_xlfn.XLOOKUP($A133,Map!$A:$A,Map!F:F)</f>
        <v>Consumables</v>
      </c>
    </row>
    <row r="134" spans="1:10" x14ac:dyDescent="0.25">
      <c r="A134">
        <v>520036</v>
      </c>
      <c r="B134" t="s">
        <v>966</v>
      </c>
      <c r="C134" s="116">
        <v>0</v>
      </c>
      <c r="D134" s="116">
        <v>9.2999999999999999E-2</v>
      </c>
      <c r="E134" s="116">
        <v>9.2999999999999999E-2</v>
      </c>
      <c r="F134" s="116">
        <v>0</v>
      </c>
      <c r="G134" s="43" t="str">
        <f>_xlfn.XLOOKUP($A134,Map!$A:$A,Map!C:C)</f>
        <v>IS</v>
      </c>
      <c r="H134" s="43" t="str">
        <f>_xlfn.XLOOKUP($A134,Map!$A:$A,Map!D:D)</f>
        <v>Cost of sales</v>
      </c>
      <c r="I134" s="43" t="str">
        <f>_xlfn.XLOOKUP($A134,Map!$A:$A,Map!E:E)</f>
        <v>Raw materials</v>
      </c>
      <c r="J134" s="43" t="str">
        <f>_xlfn.XLOOKUP($A134,Map!$A:$A,Map!F:F)</f>
        <v>Raw materials</v>
      </c>
    </row>
    <row r="135" spans="1:10" x14ac:dyDescent="0.25">
      <c r="A135">
        <v>520037</v>
      </c>
      <c r="B135" t="s">
        <v>967</v>
      </c>
      <c r="C135" s="116">
        <v>0</v>
      </c>
      <c r="D135" s="116">
        <v>1030573.758</v>
      </c>
      <c r="E135" s="116">
        <v>1030573.758</v>
      </c>
      <c r="F135" s="116">
        <v>0</v>
      </c>
      <c r="G135" s="43" t="str">
        <f>_xlfn.XLOOKUP($A135,Map!$A:$A,Map!C:C)</f>
        <v>IS</v>
      </c>
      <c r="H135" s="43" t="str">
        <f>_xlfn.XLOOKUP($A135,Map!$A:$A,Map!D:D)</f>
        <v>Cost of sales</v>
      </c>
      <c r="I135" s="43" t="str">
        <f>_xlfn.XLOOKUP($A135,Map!$A:$A,Map!E:E)</f>
        <v>Raw materials</v>
      </c>
      <c r="J135" s="43" t="str">
        <f>_xlfn.XLOOKUP($A135,Map!$A:$A,Map!F:F)</f>
        <v>Raw materials</v>
      </c>
    </row>
    <row r="136" spans="1:10" x14ac:dyDescent="0.25">
      <c r="A136">
        <v>520040</v>
      </c>
      <c r="B136" t="s">
        <v>969</v>
      </c>
      <c r="C136" s="116">
        <v>0</v>
      </c>
      <c r="D136" s="116">
        <v>0</v>
      </c>
      <c r="E136" s="116">
        <v>0</v>
      </c>
      <c r="F136" s="116">
        <v>0</v>
      </c>
      <c r="G136" s="43" t="str">
        <f>_xlfn.XLOOKUP($A136,Map!$A:$A,Map!C:C)</f>
        <v>IS</v>
      </c>
      <c r="H136" s="43" t="str">
        <f>_xlfn.XLOOKUP($A136,Map!$A:$A,Map!D:D)</f>
        <v>Cost of sales</v>
      </c>
      <c r="I136" s="43" t="str">
        <f>_xlfn.XLOOKUP($A136,Map!$A:$A,Map!E:E)</f>
        <v>Raw materials</v>
      </c>
      <c r="J136" s="43" t="str">
        <f>_xlfn.XLOOKUP($A136,Map!$A:$A,Map!F:F)</f>
        <v>Other expenses</v>
      </c>
    </row>
    <row r="137" spans="1:10" x14ac:dyDescent="0.25">
      <c r="A137">
        <v>520041</v>
      </c>
      <c r="B137" t="s">
        <v>970</v>
      </c>
      <c r="C137" s="116">
        <v>0</v>
      </c>
      <c r="D137" s="116">
        <v>10898591.267000001</v>
      </c>
      <c r="E137" s="116">
        <v>10898591.267000001</v>
      </c>
      <c r="F137" s="116">
        <v>0</v>
      </c>
      <c r="G137" s="43" t="str">
        <f>_xlfn.XLOOKUP($A137,Map!$A:$A,Map!C:C)</f>
        <v>IS</v>
      </c>
      <c r="H137" s="43" t="str">
        <f>_xlfn.XLOOKUP($A137,Map!$A:$A,Map!D:D)</f>
        <v>Cost of sales</v>
      </c>
      <c r="I137" s="43" t="str">
        <f>_xlfn.XLOOKUP($A137,Map!$A:$A,Map!E:E)</f>
        <v>Raw materials</v>
      </c>
      <c r="J137" s="43" t="str">
        <f>_xlfn.XLOOKUP($A137,Map!$A:$A,Map!F:F)</f>
        <v>Other expenses</v>
      </c>
    </row>
    <row r="138" spans="1:10" x14ac:dyDescent="0.25">
      <c r="A138">
        <v>520042</v>
      </c>
      <c r="B138" t="s">
        <v>971</v>
      </c>
      <c r="C138" s="116">
        <v>0</v>
      </c>
      <c r="D138" s="116">
        <v>19168632.975000001</v>
      </c>
      <c r="E138" s="116">
        <v>19168632.975000001</v>
      </c>
      <c r="F138" s="116">
        <v>0</v>
      </c>
      <c r="G138" s="43" t="str">
        <f>_xlfn.XLOOKUP($A138,Map!$A:$A,Map!C:C)</f>
        <v>IS</v>
      </c>
      <c r="H138" s="43" t="str">
        <f>_xlfn.XLOOKUP($A138,Map!$A:$A,Map!D:D)</f>
        <v>Cost of sales</v>
      </c>
      <c r="I138" s="43" t="str">
        <f>_xlfn.XLOOKUP($A138,Map!$A:$A,Map!E:E)</f>
        <v>Raw materials</v>
      </c>
      <c r="J138" s="43" t="str">
        <f>_xlfn.XLOOKUP($A138,Map!$A:$A,Map!F:F)</f>
        <v>Inventory Adjustment</v>
      </c>
    </row>
    <row r="139" spans="1:10" x14ac:dyDescent="0.25">
      <c r="A139">
        <v>600001</v>
      </c>
      <c r="B139" t="s">
        <v>979</v>
      </c>
      <c r="C139" s="116">
        <v>0</v>
      </c>
      <c r="D139" s="116">
        <v>2328745.65</v>
      </c>
      <c r="E139" s="116">
        <v>2328745.65</v>
      </c>
      <c r="F139" s="116">
        <v>0</v>
      </c>
      <c r="G139" s="43" t="str">
        <f>_xlfn.XLOOKUP($A139,Map!$A:$A,Map!C:C)</f>
        <v>IS</v>
      </c>
      <c r="H139" s="43" t="str">
        <f>_xlfn.XLOOKUP($A139,Map!$A:$A,Map!D:D)</f>
        <v>Cost of sales</v>
      </c>
      <c r="I139" s="43" t="str">
        <f>_xlfn.XLOOKUP($A139,Map!$A:$A,Map!E:E)</f>
        <v>Overhead - Labor Cost</v>
      </c>
      <c r="J139" s="43" t="str">
        <f>_xlfn.XLOOKUP($A139,Map!$A:$A,Map!F:F)</f>
        <v>Indirect Salaries — factory supervisory / indirect floor labour (COGS)</v>
      </c>
    </row>
    <row r="140" spans="1:10" x14ac:dyDescent="0.25">
      <c r="A140">
        <v>600002</v>
      </c>
      <c r="B140" t="s">
        <v>980</v>
      </c>
      <c r="C140" s="116">
        <v>0</v>
      </c>
      <c r="D140" s="116">
        <v>335597.125</v>
      </c>
      <c r="E140" s="116">
        <v>335597.125</v>
      </c>
      <c r="F140" s="116">
        <v>0</v>
      </c>
      <c r="G140" s="43" t="str">
        <f>_xlfn.XLOOKUP($A140,Map!$A:$A,Map!C:C)</f>
        <v>IS</v>
      </c>
      <c r="H140" s="43" t="str">
        <f>_xlfn.XLOOKUP($A140,Map!$A:$A,Map!D:D)</f>
        <v>Cost of sales</v>
      </c>
      <c r="I140" s="43" t="str">
        <f>_xlfn.XLOOKUP($A140,Map!$A:$A,Map!E:E)</f>
        <v>Overhead - Labor Cost</v>
      </c>
      <c r="J140" s="43" t="str">
        <f>_xlfn.XLOOKUP($A140,Map!$A:$A,Map!F:F)</f>
        <v>Overtime pay</v>
      </c>
    </row>
    <row r="141" spans="1:10" x14ac:dyDescent="0.25">
      <c r="A141">
        <v>600003</v>
      </c>
      <c r="B141" t="s">
        <v>981</v>
      </c>
      <c r="C141" s="116">
        <v>0</v>
      </c>
      <c r="D141" s="116">
        <v>559788</v>
      </c>
      <c r="E141" s="116">
        <v>559788</v>
      </c>
      <c r="F141" s="116">
        <v>0</v>
      </c>
      <c r="G141" s="43" t="str">
        <f>_xlfn.XLOOKUP($A141,Map!$A:$A,Map!C:C)</f>
        <v>IS</v>
      </c>
      <c r="H141" s="43" t="str">
        <f>_xlfn.XLOOKUP($A141,Map!$A:$A,Map!D:D)</f>
        <v>Cost of sales</v>
      </c>
      <c r="I141" s="43" t="str">
        <f>_xlfn.XLOOKUP($A141,Map!$A:$A,Map!E:E)</f>
        <v>Overhead - Labor Cost</v>
      </c>
      <c r="J141" s="43" t="str">
        <f>_xlfn.XLOOKUP($A141,Map!$A:$A,Map!F:F)</f>
        <v xml:space="preserve">Food &amp; Housing </v>
      </c>
    </row>
    <row r="142" spans="1:10" x14ac:dyDescent="0.25">
      <c r="A142">
        <v>600004</v>
      </c>
      <c r="B142" t="s">
        <v>982</v>
      </c>
      <c r="C142" s="116">
        <v>0</v>
      </c>
      <c r="D142" s="116">
        <v>132897.084</v>
      </c>
      <c r="E142" s="116">
        <v>132897.084</v>
      </c>
      <c r="F142" s="116">
        <v>0</v>
      </c>
      <c r="G142" s="43" t="str">
        <f>_xlfn.XLOOKUP($A142,Map!$A:$A,Map!C:C)</f>
        <v>IS</v>
      </c>
      <c r="H142" s="43" t="str">
        <f>_xlfn.XLOOKUP($A142,Map!$A:$A,Map!D:D)</f>
        <v>Cost of sales</v>
      </c>
      <c r="I142" s="43" t="str">
        <f>_xlfn.XLOOKUP($A142,Map!$A:$A,Map!E:E)</f>
        <v>Overhead - Labor Cost</v>
      </c>
      <c r="J142" s="43" t="str">
        <f>_xlfn.XLOOKUP($A142,Map!$A:$A,Map!F:F)</f>
        <v>Medical insurance</v>
      </c>
    </row>
    <row r="143" spans="1:10" x14ac:dyDescent="0.25">
      <c r="A143">
        <v>600005</v>
      </c>
      <c r="B143" t="s">
        <v>983</v>
      </c>
      <c r="C143" s="116">
        <v>0</v>
      </c>
      <c r="D143" s="116">
        <v>1628123.767</v>
      </c>
      <c r="E143" s="116">
        <v>1628123.767</v>
      </c>
      <c r="F143" s="116">
        <v>0</v>
      </c>
      <c r="G143" s="43" t="str">
        <f>_xlfn.XLOOKUP($A143,Map!$A:$A,Map!C:C)</f>
        <v>IS</v>
      </c>
      <c r="H143" s="43" t="str">
        <f>_xlfn.XLOOKUP($A143,Map!$A:$A,Map!D:D)</f>
        <v>General and Admin</v>
      </c>
      <c r="I143" s="43" t="str">
        <f>_xlfn.XLOOKUP($A143,Map!$A:$A,Map!E:E)</f>
        <v>Govt license and fees (including modon)</v>
      </c>
      <c r="J143" s="43" t="str">
        <f>_xlfn.XLOOKUP($A143,Map!$A:$A,Map!F:F)</f>
        <v>Government fees</v>
      </c>
    </row>
    <row r="144" spans="1:10" x14ac:dyDescent="0.25">
      <c r="A144">
        <v>600006</v>
      </c>
      <c r="B144" t="s">
        <v>984</v>
      </c>
      <c r="C144" s="116">
        <v>0</v>
      </c>
      <c r="D144" s="116">
        <v>488042.99599999998</v>
      </c>
      <c r="E144" s="116">
        <v>488042.99599999998</v>
      </c>
      <c r="F144" s="116">
        <v>0</v>
      </c>
      <c r="G144" s="43" t="str">
        <f>_xlfn.XLOOKUP($A144,Map!$A:$A,Map!C:C)</f>
        <v>IS</v>
      </c>
      <c r="H144" s="43" t="str">
        <f>_xlfn.XLOOKUP($A144,Map!$A:$A,Map!D:D)</f>
        <v>Cost of sales</v>
      </c>
      <c r="I144" s="43" t="str">
        <f>_xlfn.XLOOKUP($A144,Map!$A:$A,Map!E:E)</f>
        <v>Overhead - Labor Cost</v>
      </c>
      <c r="J144" s="43" t="str">
        <f>_xlfn.XLOOKUP($A144,Map!$A:$A,Map!F:F)</f>
        <v xml:space="preserve">Food &amp; Housing </v>
      </c>
    </row>
    <row r="145" spans="1:10" x14ac:dyDescent="0.25">
      <c r="A145">
        <v>600007</v>
      </c>
      <c r="B145" t="s">
        <v>985</v>
      </c>
      <c r="C145" s="116">
        <v>0</v>
      </c>
      <c r="D145" s="116">
        <v>112525.18</v>
      </c>
      <c r="E145" s="116">
        <v>112525.18</v>
      </c>
      <c r="F145" s="116">
        <v>0</v>
      </c>
      <c r="G145" s="43" t="str">
        <f>_xlfn.XLOOKUP($A145,Map!$A:$A,Map!C:C)</f>
        <v>IS</v>
      </c>
      <c r="H145" s="43" t="str">
        <f>_xlfn.XLOOKUP($A145,Map!$A:$A,Map!D:D)</f>
        <v>Cost of sales</v>
      </c>
      <c r="I145" s="43" t="str">
        <f>_xlfn.XLOOKUP($A145,Map!$A:$A,Map!E:E)</f>
        <v>Overhead - Labor Cost</v>
      </c>
      <c r="J145" s="43" t="str">
        <f>_xlfn.XLOOKUP($A145,Map!$A:$A,Map!F:F)</f>
        <v>Transportation allowance</v>
      </c>
    </row>
    <row r="146" spans="1:10" x14ac:dyDescent="0.25">
      <c r="A146">
        <v>600008</v>
      </c>
      <c r="B146" t="s">
        <v>986</v>
      </c>
      <c r="C146" s="116">
        <v>0</v>
      </c>
      <c r="D146" s="116">
        <v>133498.29</v>
      </c>
      <c r="E146" s="116">
        <v>133498.29</v>
      </c>
      <c r="F146" s="116">
        <v>0</v>
      </c>
      <c r="G146" s="43" t="str">
        <f>_xlfn.XLOOKUP($A146,Map!$A:$A,Map!C:C)</f>
        <v>IS</v>
      </c>
      <c r="H146" s="43" t="str">
        <f>_xlfn.XLOOKUP($A146,Map!$A:$A,Map!D:D)</f>
        <v>Cost of sales</v>
      </c>
      <c r="I146" s="43" t="str">
        <f>_xlfn.XLOOKUP($A146,Map!$A:$A,Map!E:E)</f>
        <v>Overhead - Labor Cost</v>
      </c>
      <c r="J146" s="43" t="str">
        <f>_xlfn.XLOOKUP($A146,Map!$A:$A,Map!F:F)</f>
        <v>Air tickets</v>
      </c>
    </row>
    <row r="147" spans="1:10" x14ac:dyDescent="0.25">
      <c r="A147">
        <v>600009</v>
      </c>
      <c r="B147" t="s">
        <v>987</v>
      </c>
      <c r="C147" s="116">
        <v>0</v>
      </c>
      <c r="D147" s="116">
        <v>304164.17</v>
      </c>
      <c r="E147" s="116">
        <v>304164.17</v>
      </c>
      <c r="F147" s="116">
        <v>0</v>
      </c>
      <c r="G147" s="43" t="str">
        <f>_xlfn.XLOOKUP($A147,Map!$A:$A,Map!C:C)</f>
        <v>IS</v>
      </c>
      <c r="H147" s="43" t="str">
        <f>_xlfn.XLOOKUP($A147,Map!$A:$A,Map!D:D)</f>
        <v>Cost of sales</v>
      </c>
      <c r="I147" s="43" t="str">
        <f>_xlfn.XLOOKUP($A147,Map!$A:$A,Map!E:E)</f>
        <v>Overhead - Labor Cost</v>
      </c>
      <c r="J147" s="43" t="str">
        <f>_xlfn.XLOOKUP($A147,Map!$A:$A,Map!F:F)</f>
        <v>Vacation pay</v>
      </c>
    </row>
    <row r="148" spans="1:10" x14ac:dyDescent="0.25">
      <c r="A148">
        <v>600010</v>
      </c>
      <c r="B148" t="s">
        <v>988</v>
      </c>
      <c r="C148" s="116">
        <v>0</v>
      </c>
      <c r="D148" s="116">
        <v>0</v>
      </c>
      <c r="E148" s="116">
        <v>0</v>
      </c>
      <c r="F148" s="116">
        <v>0</v>
      </c>
      <c r="G148" s="43" t="str">
        <f>_xlfn.XLOOKUP($A148,Map!$A:$A,Map!C:C)</f>
        <v>IS</v>
      </c>
      <c r="H148" s="43" t="str">
        <f>_xlfn.XLOOKUP($A148,Map!$A:$A,Map!D:D)</f>
        <v>Cost of sales</v>
      </c>
      <c r="I148" s="43" t="str">
        <f>_xlfn.XLOOKUP($A148,Map!$A:$A,Map!E:E)</f>
        <v>Overhead - Labor Cost</v>
      </c>
      <c r="J148" s="43" t="str">
        <f>_xlfn.XLOOKUP($A148,Map!$A:$A,Map!F:F)</f>
        <v>EOS expenses</v>
      </c>
    </row>
    <row r="149" spans="1:10" x14ac:dyDescent="0.25">
      <c r="A149">
        <v>600011</v>
      </c>
      <c r="B149" t="s">
        <v>989</v>
      </c>
      <c r="C149" s="116">
        <v>0</v>
      </c>
      <c r="D149" s="116">
        <v>12000</v>
      </c>
      <c r="E149" s="116">
        <v>12000</v>
      </c>
      <c r="F149" s="116">
        <v>0</v>
      </c>
      <c r="G149" s="43" t="str">
        <f>_xlfn.XLOOKUP($A149,Map!$A:$A,Map!C:C)</f>
        <v>IS</v>
      </c>
      <c r="H149" s="43" t="str">
        <f>_xlfn.XLOOKUP($A149,Map!$A:$A,Map!D:D)</f>
        <v>Cost of sales</v>
      </c>
      <c r="I149" s="43" t="str">
        <f>_xlfn.XLOOKUP($A149,Map!$A:$A,Map!E:E)</f>
        <v>Overhead - Labor Cost</v>
      </c>
      <c r="J149" s="43" t="str">
        <f>_xlfn.XLOOKUP($A149,Map!$A:$A,Map!F:F)</f>
        <v>Air tickets</v>
      </c>
    </row>
    <row r="150" spans="1:10" x14ac:dyDescent="0.25">
      <c r="A150">
        <v>600012</v>
      </c>
      <c r="B150" t="s">
        <v>990</v>
      </c>
      <c r="C150" s="116">
        <v>0</v>
      </c>
      <c r="D150" s="116">
        <v>1650</v>
      </c>
      <c r="E150" s="116">
        <v>1650</v>
      </c>
      <c r="F150" s="116">
        <v>0</v>
      </c>
      <c r="G150" s="43" t="str">
        <f>_xlfn.XLOOKUP($A150,Map!$A:$A,Map!C:C)</f>
        <v>IS</v>
      </c>
      <c r="H150" s="43" t="str">
        <f>_xlfn.XLOOKUP($A150,Map!$A:$A,Map!D:D)</f>
        <v>Cost of sales</v>
      </c>
      <c r="I150" s="43" t="str">
        <f>_xlfn.XLOOKUP($A150,Map!$A:$A,Map!E:E)</f>
        <v>Overhead - Labor Cost</v>
      </c>
      <c r="J150" s="43" t="str">
        <f>_xlfn.XLOOKUP($A150,Map!$A:$A,Map!F:F)</f>
        <v xml:space="preserve">Education &amp; Furniture Allowances </v>
      </c>
    </row>
    <row r="151" spans="1:10" x14ac:dyDescent="0.25">
      <c r="A151">
        <v>600013</v>
      </c>
      <c r="B151" t="s">
        <v>991</v>
      </c>
      <c r="C151" s="116">
        <v>0</v>
      </c>
      <c r="D151" s="116">
        <v>0</v>
      </c>
      <c r="E151" s="116">
        <v>0</v>
      </c>
      <c r="F151" s="116">
        <v>0</v>
      </c>
      <c r="G151" s="43" t="str">
        <f>_xlfn.XLOOKUP($A151,Map!$A:$A,Map!C:C)</f>
        <v>IS</v>
      </c>
      <c r="H151" s="43" t="str">
        <f>_xlfn.XLOOKUP($A151,Map!$A:$A,Map!D:D)</f>
        <v>Cost of sales</v>
      </c>
      <c r="I151" s="43" t="str">
        <f>_xlfn.XLOOKUP($A151,Map!$A:$A,Map!E:E)</f>
        <v>Overhead - Labor Cost</v>
      </c>
      <c r="J151" s="43" t="str">
        <f>_xlfn.XLOOKUP($A151,Map!$A:$A,Map!F:F)</f>
        <v>Telephone allowance</v>
      </c>
    </row>
    <row r="152" spans="1:10" x14ac:dyDescent="0.25">
      <c r="A152">
        <v>600014</v>
      </c>
      <c r="B152" t="s">
        <v>884</v>
      </c>
      <c r="C152" s="116">
        <v>0</v>
      </c>
      <c r="D152" s="116">
        <v>2418744.5660000001</v>
      </c>
      <c r="E152" s="116">
        <v>2418744.5660000001</v>
      </c>
      <c r="F152" s="116">
        <v>0</v>
      </c>
      <c r="G152" s="43" t="str">
        <f>_xlfn.XLOOKUP($A152,Map!$A:$A,Map!C:C)</f>
        <v>IS</v>
      </c>
      <c r="H152" s="43" t="str">
        <f>_xlfn.XLOOKUP($A152,Map!$A:$A,Map!D:D)</f>
        <v>Cost of sales</v>
      </c>
      <c r="I152" s="43" t="str">
        <f>_xlfn.XLOOKUP($A152,Map!$A:$A,Map!E:E)</f>
        <v>Overhead - Consumables &amp; SP</v>
      </c>
      <c r="J152" s="43" t="str">
        <f>_xlfn.XLOOKUP($A152,Map!$A:$A,Map!F:F)</f>
        <v>Consumables</v>
      </c>
    </row>
    <row r="153" spans="1:10" x14ac:dyDescent="0.25">
      <c r="A153">
        <v>600015</v>
      </c>
      <c r="B153" t="s">
        <v>992</v>
      </c>
      <c r="C153" s="116">
        <v>0</v>
      </c>
      <c r="D153" s="116">
        <v>0</v>
      </c>
      <c r="E153" s="116">
        <v>0</v>
      </c>
      <c r="F153" s="116">
        <v>0</v>
      </c>
      <c r="G153" s="43" t="str">
        <f>_xlfn.XLOOKUP($A153,Map!$A:$A,Map!C:C)</f>
        <v>IS</v>
      </c>
      <c r="H153" s="43" t="str">
        <f>_xlfn.XLOOKUP($A153,Map!$A:$A,Map!D:D)</f>
        <v>Cost of sales</v>
      </c>
      <c r="I153" s="43" t="str">
        <f>_xlfn.XLOOKUP($A153,Map!$A:$A,Map!E:E)</f>
        <v>Overhead - Consumables &amp; SP</v>
      </c>
      <c r="J153" s="43" t="str">
        <f>_xlfn.XLOOKUP($A153,Map!$A:$A,Map!F:F)</f>
        <v>Consumables</v>
      </c>
    </row>
    <row r="154" spans="1:10" x14ac:dyDescent="0.25">
      <c r="A154">
        <v>600016</v>
      </c>
      <c r="B154" t="s">
        <v>993</v>
      </c>
      <c r="C154" s="116">
        <v>0</v>
      </c>
      <c r="D154" s="116">
        <v>1838713.0889999999</v>
      </c>
      <c r="E154" s="116">
        <v>1838713.0889999999</v>
      </c>
      <c r="F154" s="116">
        <v>0</v>
      </c>
      <c r="G154" s="43" t="str">
        <f>_xlfn.XLOOKUP($A154,Map!$A:$A,Map!C:C)</f>
        <v>IS</v>
      </c>
      <c r="H154" s="43" t="str">
        <f>_xlfn.XLOOKUP($A154,Map!$A:$A,Map!D:D)</f>
        <v>Cost of sales</v>
      </c>
      <c r="I154" s="43" t="str">
        <f>_xlfn.XLOOKUP($A154,Map!$A:$A,Map!E:E)</f>
        <v>Overhead - Consumables &amp; SP</v>
      </c>
      <c r="J154" s="43" t="str">
        <f>_xlfn.XLOOKUP($A154,Map!$A:$A,Map!F:F)</f>
        <v>Tools</v>
      </c>
    </row>
    <row r="155" spans="1:10" x14ac:dyDescent="0.25">
      <c r="A155">
        <v>600017</v>
      </c>
      <c r="B155" t="s">
        <v>994</v>
      </c>
      <c r="C155" s="116">
        <v>0</v>
      </c>
      <c r="D155" s="116">
        <v>2418089.4890000001</v>
      </c>
      <c r="E155" s="116">
        <v>2418089.4890000001</v>
      </c>
      <c r="F155" s="116">
        <v>0</v>
      </c>
      <c r="G155" s="43" t="str">
        <f>_xlfn.XLOOKUP($A155,Map!$A:$A,Map!C:C)</f>
        <v>IS</v>
      </c>
      <c r="H155" s="43" t="str">
        <f>_xlfn.XLOOKUP($A155,Map!$A:$A,Map!D:D)</f>
        <v>Cost of sales</v>
      </c>
      <c r="I155" s="43" t="str">
        <f>_xlfn.XLOOKUP($A155,Map!$A:$A,Map!E:E)</f>
        <v>Overhead - Utility</v>
      </c>
      <c r="J155" s="43" t="str">
        <f>_xlfn.XLOOKUP($A155,Map!$A:$A,Map!F:F)</f>
        <v>Electricity expenses</v>
      </c>
    </row>
    <row r="156" spans="1:10" x14ac:dyDescent="0.25">
      <c r="A156">
        <v>600018</v>
      </c>
      <c r="B156" t="s">
        <v>995</v>
      </c>
      <c r="C156" s="116">
        <v>0</v>
      </c>
      <c r="D156" s="116">
        <v>270503</v>
      </c>
      <c r="E156" s="116">
        <v>270503</v>
      </c>
      <c r="F156" s="116">
        <v>0</v>
      </c>
      <c r="G156" s="43" t="str">
        <f>_xlfn.XLOOKUP($A156,Map!$A:$A,Map!C:C)</f>
        <v>IS</v>
      </c>
      <c r="H156" s="43" t="str">
        <f>_xlfn.XLOOKUP($A156,Map!$A:$A,Map!D:D)</f>
        <v>Cost of sales</v>
      </c>
      <c r="I156" s="43" t="str">
        <f>_xlfn.XLOOKUP($A156,Map!$A:$A,Map!E:E)</f>
        <v>Overhead - Utility</v>
      </c>
      <c r="J156" s="43" t="str">
        <f>_xlfn.XLOOKUP($A156,Map!$A:$A,Map!F:F)</f>
        <v>Water expenses</v>
      </c>
    </row>
    <row r="157" spans="1:10" x14ac:dyDescent="0.25">
      <c r="A157">
        <v>600019</v>
      </c>
      <c r="B157" t="s">
        <v>996</v>
      </c>
      <c r="C157" s="116">
        <v>0</v>
      </c>
      <c r="D157" s="116">
        <v>162035.36600000001</v>
      </c>
      <c r="E157" s="116">
        <v>162035.36600000001</v>
      </c>
      <c r="F157" s="116">
        <v>0</v>
      </c>
      <c r="G157" s="43" t="str">
        <f>_xlfn.XLOOKUP($A157,Map!$A:$A,Map!C:C)</f>
        <v>IS</v>
      </c>
      <c r="H157" s="43" t="str">
        <f>_xlfn.XLOOKUP($A157,Map!$A:$A,Map!D:D)</f>
        <v>Cost of sales</v>
      </c>
      <c r="I157" s="43" t="str">
        <f>_xlfn.XLOOKUP($A157,Map!$A:$A,Map!E:E)</f>
        <v>Overhead - Utility</v>
      </c>
      <c r="J157" s="43" t="str">
        <f>_xlfn.XLOOKUP($A157,Map!$A:$A,Map!F:F)</f>
        <v>Fuel and oil</v>
      </c>
    </row>
    <row r="158" spans="1:10" x14ac:dyDescent="0.25">
      <c r="A158">
        <v>600020</v>
      </c>
      <c r="B158" t="s">
        <v>997</v>
      </c>
      <c r="C158" s="116">
        <v>0</v>
      </c>
      <c r="D158" s="116">
        <v>242080.73699999999</v>
      </c>
      <c r="E158" s="116">
        <v>242080.73699999999</v>
      </c>
      <c r="F158" s="116">
        <v>0</v>
      </c>
      <c r="G158" s="43" t="str">
        <f>_xlfn.XLOOKUP($A158,Map!$A:$A,Map!C:C)</f>
        <v>IS</v>
      </c>
      <c r="H158" s="43" t="str">
        <f>_xlfn.XLOOKUP($A158,Map!$A:$A,Map!D:D)</f>
        <v>Cost of sales</v>
      </c>
      <c r="I158" s="43" t="str">
        <f>_xlfn.XLOOKUP($A158,Map!$A:$A,Map!E:E)</f>
        <v>Overhead - R&amp;M</v>
      </c>
      <c r="J158" s="43" t="str">
        <f>_xlfn.XLOOKUP($A158,Map!$A:$A,Map!F:F)</f>
        <v>Machine and equipment</v>
      </c>
    </row>
    <row r="159" spans="1:10" x14ac:dyDescent="0.25">
      <c r="A159">
        <v>600021</v>
      </c>
      <c r="B159" t="s">
        <v>998</v>
      </c>
      <c r="C159" s="116">
        <v>0</v>
      </c>
      <c r="D159" s="116">
        <v>102395.01</v>
      </c>
      <c r="E159" s="116">
        <v>102395.01</v>
      </c>
      <c r="F159" s="116">
        <v>0</v>
      </c>
      <c r="G159" s="43" t="str">
        <f>_xlfn.XLOOKUP($A159,Map!$A:$A,Map!C:C)</f>
        <v>IS</v>
      </c>
      <c r="H159" s="43" t="str">
        <f>_xlfn.XLOOKUP($A159,Map!$A:$A,Map!D:D)</f>
        <v>Cost of sales</v>
      </c>
      <c r="I159" s="43" t="str">
        <f>_xlfn.XLOOKUP($A159,Map!$A:$A,Map!E:E)</f>
        <v>Overhead - R&amp;M</v>
      </c>
      <c r="J159" s="43" t="str">
        <f>_xlfn.XLOOKUP($A159,Map!$A:$A,Map!F:F)</f>
        <v>Vehicle maintenance</v>
      </c>
    </row>
    <row r="160" spans="1:10" x14ac:dyDescent="0.25">
      <c r="A160">
        <v>600022</v>
      </c>
      <c r="B160" t="s">
        <v>999</v>
      </c>
      <c r="C160" s="116">
        <v>0</v>
      </c>
      <c r="D160" s="116">
        <v>122092.9</v>
      </c>
      <c r="E160" s="116">
        <v>122092.9</v>
      </c>
      <c r="F160" s="116">
        <v>0</v>
      </c>
      <c r="G160" s="43" t="str">
        <f>_xlfn.XLOOKUP($A160,Map!$A:$A,Map!C:C)</f>
        <v>IS</v>
      </c>
      <c r="H160" s="43" t="str">
        <f>_xlfn.XLOOKUP($A160,Map!$A:$A,Map!D:D)</f>
        <v>Cost of sales</v>
      </c>
      <c r="I160" s="43" t="str">
        <f>_xlfn.XLOOKUP($A160,Map!$A:$A,Map!E:E)</f>
        <v>Overhead - R&amp;M</v>
      </c>
      <c r="J160" s="43" t="str">
        <f>_xlfn.XLOOKUP($A160,Map!$A:$A,Map!F:F)</f>
        <v>Building maintenance</v>
      </c>
    </row>
    <row r="161" spans="1:10" x14ac:dyDescent="0.25">
      <c r="A161">
        <v>600023</v>
      </c>
      <c r="B161" t="s">
        <v>1000</v>
      </c>
      <c r="C161" s="116">
        <v>0</v>
      </c>
      <c r="D161" s="116">
        <v>2528.75</v>
      </c>
      <c r="E161" s="116">
        <v>2528.75</v>
      </c>
      <c r="F161" s="116">
        <v>0</v>
      </c>
      <c r="G161" s="43" t="str">
        <f>_xlfn.XLOOKUP($A161,Map!$A:$A,Map!C:C)</f>
        <v>IS</v>
      </c>
      <c r="H161" s="43" t="str">
        <f>_xlfn.XLOOKUP($A161,Map!$A:$A,Map!D:D)</f>
        <v>Cost of sales</v>
      </c>
      <c r="I161" s="43" t="str">
        <f>_xlfn.XLOOKUP($A161,Map!$A:$A,Map!E:E)</f>
        <v>Overhead - R&amp;M</v>
      </c>
      <c r="J161" s="43" t="str">
        <f>_xlfn.XLOOKUP($A161,Map!$A:$A,Map!F:F)</f>
        <v>Office equipment maintenance</v>
      </c>
    </row>
    <row r="162" spans="1:10" x14ac:dyDescent="0.25">
      <c r="A162">
        <v>600024</v>
      </c>
      <c r="B162" t="s">
        <v>1001</v>
      </c>
      <c r="C162" s="116">
        <v>0</v>
      </c>
      <c r="D162" s="116">
        <v>14937.3</v>
      </c>
      <c r="E162" s="116">
        <v>14937.3</v>
      </c>
      <c r="F162" s="116">
        <v>0</v>
      </c>
      <c r="G162" s="43" t="str">
        <f>_xlfn.XLOOKUP($A162,Map!$A:$A,Map!C:C)</f>
        <v>IS</v>
      </c>
      <c r="H162" s="43" t="str">
        <f>_xlfn.XLOOKUP($A162,Map!$A:$A,Map!D:D)</f>
        <v>Cost of sales</v>
      </c>
      <c r="I162" s="43" t="str">
        <f>_xlfn.XLOOKUP($A162,Map!$A:$A,Map!E:E)</f>
        <v>Overhead - Rent</v>
      </c>
      <c r="J162" s="43" t="str">
        <f>_xlfn.XLOOKUP($A162,Map!$A:$A,Map!F:F)</f>
        <v>Pump rental expenses</v>
      </c>
    </row>
    <row r="163" spans="1:10" x14ac:dyDescent="0.25">
      <c r="A163">
        <v>600025</v>
      </c>
      <c r="B163" t="s">
        <v>1002</v>
      </c>
      <c r="C163" s="116">
        <v>0</v>
      </c>
      <c r="D163" s="116">
        <v>0</v>
      </c>
      <c r="E163" s="116">
        <v>0</v>
      </c>
      <c r="F163" s="116">
        <v>0</v>
      </c>
      <c r="G163" s="43" t="str">
        <f>_xlfn.XLOOKUP($A163,Map!$A:$A,Map!C:C)</f>
        <v>IS</v>
      </c>
      <c r="H163" s="43" t="str">
        <f>_xlfn.XLOOKUP($A163,Map!$A:$A,Map!D:D)</f>
        <v>Cost of sales</v>
      </c>
      <c r="I163" s="43" t="str">
        <f>_xlfn.XLOOKUP($A163,Map!$A:$A,Map!E:E)</f>
        <v>Overhead - Insurance</v>
      </c>
      <c r="J163" s="43" t="str">
        <f>_xlfn.XLOOKUP($A163,Map!$A:$A,Map!F:F)</f>
        <v>Building insurance</v>
      </c>
    </row>
    <row r="164" spans="1:10" x14ac:dyDescent="0.25">
      <c r="A164">
        <v>600026</v>
      </c>
      <c r="B164" t="s">
        <v>1003</v>
      </c>
      <c r="C164" s="116">
        <v>0</v>
      </c>
      <c r="D164" s="116">
        <v>0</v>
      </c>
      <c r="E164" s="116">
        <v>0</v>
      </c>
      <c r="F164" s="116">
        <v>0</v>
      </c>
      <c r="G164" s="43" t="str">
        <f>_xlfn.XLOOKUP($A164,Map!$A:$A,Map!C:C)</f>
        <v>IS</v>
      </c>
      <c r="H164" s="43" t="str">
        <f>_xlfn.XLOOKUP($A164,Map!$A:$A,Map!D:D)</f>
        <v>Cost of sales</v>
      </c>
      <c r="I164" s="43" t="str">
        <f>_xlfn.XLOOKUP($A164,Map!$A:$A,Map!E:E)</f>
        <v>Overhead - Insurance</v>
      </c>
      <c r="J164" s="43" t="str">
        <f>_xlfn.XLOOKUP($A164,Map!$A:$A,Map!F:F)</f>
        <v>Machine and equipment insurance</v>
      </c>
    </row>
    <row r="165" spans="1:10" x14ac:dyDescent="0.25">
      <c r="A165">
        <v>600027</v>
      </c>
      <c r="B165" t="s">
        <v>1004</v>
      </c>
      <c r="C165" s="116">
        <v>0</v>
      </c>
      <c r="D165" s="116">
        <v>96092.847999999998</v>
      </c>
      <c r="E165" s="116">
        <v>96092.847999999998</v>
      </c>
      <c r="F165" s="116">
        <v>0</v>
      </c>
      <c r="G165" s="43" t="str">
        <f>_xlfn.XLOOKUP($A165,Map!$A:$A,Map!C:C)</f>
        <v>IS</v>
      </c>
      <c r="H165" s="43" t="str">
        <f>_xlfn.XLOOKUP($A165,Map!$A:$A,Map!D:D)</f>
        <v>Cost of sales</v>
      </c>
      <c r="I165" s="43" t="str">
        <f>_xlfn.XLOOKUP($A165,Map!$A:$A,Map!E:E)</f>
        <v>Overhead - Rent</v>
      </c>
      <c r="J165" s="43" t="str">
        <f>_xlfn.XLOOKUP($A165,Map!$A:$A,Map!F:F)</f>
        <v>Production hall rental</v>
      </c>
    </row>
    <row r="166" spans="1:10" x14ac:dyDescent="0.25">
      <c r="A166">
        <v>600028</v>
      </c>
      <c r="B166" t="s">
        <v>1005</v>
      </c>
      <c r="C166" s="116">
        <v>0</v>
      </c>
      <c r="D166" s="116">
        <v>38557.71</v>
      </c>
      <c r="E166" s="116">
        <v>38557.71</v>
      </c>
      <c r="F166" s="116">
        <v>0</v>
      </c>
      <c r="G166" s="43" t="str">
        <f>_xlfn.XLOOKUP($A166,Map!$A:$A,Map!C:C)</f>
        <v>IS</v>
      </c>
      <c r="H166" s="43" t="str">
        <f>_xlfn.XLOOKUP($A166,Map!$A:$A,Map!D:D)</f>
        <v>Cost of sales</v>
      </c>
      <c r="I166" s="43" t="str">
        <f>_xlfn.XLOOKUP($A166,Map!$A:$A,Map!E:E)</f>
        <v>Overhead - Consumables &amp; SP</v>
      </c>
      <c r="J166" s="43" t="str">
        <f>_xlfn.XLOOKUP($A166,Map!$A:$A,Map!F:F)</f>
        <v xml:space="preserve">Education &amp; Furniture Allowances </v>
      </c>
    </row>
    <row r="167" spans="1:10" x14ac:dyDescent="0.25">
      <c r="A167">
        <v>600029</v>
      </c>
      <c r="B167" t="s">
        <v>1006</v>
      </c>
      <c r="C167" s="116">
        <v>0</v>
      </c>
      <c r="D167" s="116">
        <v>3261134.06</v>
      </c>
      <c r="E167" s="116">
        <v>3261134.06</v>
      </c>
      <c r="F167" s="116">
        <v>0</v>
      </c>
      <c r="G167" s="43" t="str">
        <f>_xlfn.XLOOKUP($A167,Map!$A:$A,Map!C:C)</f>
        <v>IS</v>
      </c>
      <c r="H167" s="43" t="str">
        <f>_xlfn.XLOOKUP($A167,Map!$A:$A,Map!D:D)</f>
        <v>Cost of sales</v>
      </c>
      <c r="I167" s="43" t="str">
        <f>_xlfn.XLOOKUP($A167,Map!$A:$A,Map!E:E)</f>
        <v>Depreciation - Machines</v>
      </c>
      <c r="J167" s="43" t="str">
        <f>_xlfn.XLOOKUP($A167,Map!$A:$A,Map!F:F)</f>
        <v>Depreciation of property, plant and equipment</v>
      </c>
    </row>
    <row r="168" spans="1:10" x14ac:dyDescent="0.25">
      <c r="A168">
        <v>600030</v>
      </c>
      <c r="B168" t="s">
        <v>1007</v>
      </c>
      <c r="C168" s="116">
        <v>0</v>
      </c>
      <c r="D168" s="116">
        <v>117612.825</v>
      </c>
      <c r="E168" s="116">
        <v>117612.825</v>
      </c>
      <c r="F168" s="116">
        <v>0</v>
      </c>
      <c r="G168" s="43" t="str">
        <f>_xlfn.XLOOKUP($A168,Map!$A:$A,Map!C:C)</f>
        <v>IS</v>
      </c>
      <c r="H168" s="43" t="str">
        <f>_xlfn.XLOOKUP($A168,Map!$A:$A,Map!D:D)</f>
        <v>Depreciation expenses</v>
      </c>
      <c r="I168" s="43" t="str">
        <f>_xlfn.XLOOKUP($A168,Map!$A:$A,Map!E:E)</f>
        <v>Depreciation expenses</v>
      </c>
      <c r="J168" s="43" t="str">
        <f>_xlfn.XLOOKUP($A168,Map!$A:$A,Map!F:F)</f>
        <v>Depreciation of property, plant and equipment</v>
      </c>
    </row>
    <row r="169" spans="1:10" x14ac:dyDescent="0.25">
      <c r="A169">
        <v>600031</v>
      </c>
      <c r="B169" t="s">
        <v>1008</v>
      </c>
      <c r="C169" s="116">
        <v>0</v>
      </c>
      <c r="D169" s="116">
        <v>19481.419999999998</v>
      </c>
      <c r="E169" s="116">
        <v>19481.419999999998</v>
      </c>
      <c r="F169" s="116">
        <v>0</v>
      </c>
      <c r="G169" s="43" t="str">
        <f>_xlfn.XLOOKUP($A169,Map!$A:$A,Map!C:C)</f>
        <v>IS</v>
      </c>
      <c r="H169" s="43" t="str">
        <f>_xlfn.XLOOKUP($A169,Map!$A:$A,Map!D:D)</f>
        <v>Depreciation expenses</v>
      </c>
      <c r="I169" s="43" t="str">
        <f>_xlfn.XLOOKUP($A169,Map!$A:$A,Map!E:E)</f>
        <v>Depreciation expenses</v>
      </c>
      <c r="J169" s="43" t="str">
        <f>_xlfn.XLOOKUP($A169,Map!$A:$A,Map!F:F)</f>
        <v>Depreciation of property, plant and equipment</v>
      </c>
    </row>
    <row r="170" spans="1:10" x14ac:dyDescent="0.25">
      <c r="A170">
        <v>600032</v>
      </c>
      <c r="B170" t="s">
        <v>1009</v>
      </c>
      <c r="C170" s="116">
        <v>0</v>
      </c>
      <c r="D170" s="116">
        <v>1491798.43</v>
      </c>
      <c r="E170" s="116">
        <v>1491798.43</v>
      </c>
      <c r="F170" s="116">
        <v>0</v>
      </c>
      <c r="G170" s="43" t="str">
        <f>_xlfn.XLOOKUP($A170,Map!$A:$A,Map!C:C)</f>
        <v>IS</v>
      </c>
      <c r="H170" s="43" t="str">
        <f>_xlfn.XLOOKUP($A170,Map!$A:$A,Map!D:D)</f>
        <v>Depreciation expenses</v>
      </c>
      <c r="I170" s="43" t="str">
        <f>_xlfn.XLOOKUP($A170,Map!$A:$A,Map!E:E)</f>
        <v>Depreciation expenses</v>
      </c>
      <c r="J170" s="43" t="str">
        <f>_xlfn.XLOOKUP($A170,Map!$A:$A,Map!F:F)</f>
        <v>Depreciation of property, plant and equipment</v>
      </c>
    </row>
    <row r="171" spans="1:10" x14ac:dyDescent="0.25">
      <c r="A171">
        <v>600033</v>
      </c>
      <c r="B171" t="s">
        <v>1010</v>
      </c>
      <c r="C171" s="116">
        <v>0</v>
      </c>
      <c r="D171" s="116">
        <v>160112.508</v>
      </c>
      <c r="E171" s="116">
        <v>160112.508</v>
      </c>
      <c r="F171" s="116">
        <v>0</v>
      </c>
      <c r="G171" s="43" t="str">
        <f>_xlfn.XLOOKUP($A171,Map!$A:$A,Map!C:C)</f>
        <v>IS</v>
      </c>
      <c r="H171" s="43" t="str">
        <f>_xlfn.XLOOKUP($A171,Map!$A:$A,Map!D:D)</f>
        <v>Depreciation expenses</v>
      </c>
      <c r="I171" s="43" t="str">
        <f>_xlfn.XLOOKUP($A171,Map!$A:$A,Map!E:E)</f>
        <v>Depreciation expenses</v>
      </c>
      <c r="J171" s="43" t="str">
        <f>_xlfn.XLOOKUP($A171,Map!$A:$A,Map!F:F)</f>
        <v>Depreciation of property, plant and equipment</v>
      </c>
    </row>
    <row r="172" spans="1:10" x14ac:dyDescent="0.25">
      <c r="A172">
        <v>700001</v>
      </c>
      <c r="B172" t="s">
        <v>1023</v>
      </c>
      <c r="C172" s="116">
        <v>0</v>
      </c>
      <c r="D172" s="116">
        <v>5384379.6699999999</v>
      </c>
      <c r="E172" s="116">
        <v>559422</v>
      </c>
      <c r="F172" s="116">
        <v>4824957.67</v>
      </c>
      <c r="G172" s="43" t="str">
        <f>_xlfn.XLOOKUP($A172,Map!$A:$A,Map!C:C)</f>
        <v>IS</v>
      </c>
      <c r="H172" s="43" t="str">
        <f>_xlfn.XLOOKUP($A172,Map!$A:$A,Map!D:D)</f>
        <v>General and Admin</v>
      </c>
      <c r="I172" s="43" t="str">
        <f>_xlfn.XLOOKUP($A172,Map!$A:$A,Map!E:E)</f>
        <v>Salaries and wages</v>
      </c>
      <c r="J172" s="43" t="str">
        <f>_xlfn.XLOOKUP($A172,Map!$A:$A,Map!F:F)</f>
        <v>Salaries and wages</v>
      </c>
    </row>
    <row r="173" spans="1:10" x14ac:dyDescent="0.25">
      <c r="A173">
        <v>700002</v>
      </c>
      <c r="B173" t="s">
        <v>1024</v>
      </c>
      <c r="C173" s="116">
        <v>0</v>
      </c>
      <c r="D173" s="116">
        <v>276768.33299999998</v>
      </c>
      <c r="E173" s="116">
        <v>0</v>
      </c>
      <c r="F173" s="116">
        <v>276768.33299999998</v>
      </c>
      <c r="G173" s="43" t="str">
        <f>_xlfn.XLOOKUP($A173,Map!$A:$A,Map!C:C)</f>
        <v>IS</v>
      </c>
      <c r="H173" s="43" t="str">
        <f>_xlfn.XLOOKUP($A173,Map!$A:$A,Map!D:D)</f>
        <v>General and Admin</v>
      </c>
      <c r="I173" s="43" t="str">
        <f>_xlfn.XLOOKUP($A173,Map!$A:$A,Map!E:E)</f>
        <v>Salaries and wages</v>
      </c>
      <c r="J173" s="43" t="str">
        <f>_xlfn.XLOOKUP($A173,Map!$A:$A,Map!F:F)</f>
        <v>Overtime pay</v>
      </c>
    </row>
    <row r="174" spans="1:10" x14ac:dyDescent="0.25">
      <c r="A174">
        <v>700003</v>
      </c>
      <c r="B174" t="s">
        <v>1152</v>
      </c>
      <c r="C174" s="116">
        <v>0</v>
      </c>
      <c r="D174" s="116">
        <v>20070.75</v>
      </c>
      <c r="E174" s="116">
        <v>0</v>
      </c>
      <c r="F174" s="116">
        <v>20070.75</v>
      </c>
      <c r="G174" s="43" t="str">
        <f>_xlfn.XLOOKUP($A174,Map!$A:$A,Map!C:C)</f>
        <v>IS</v>
      </c>
      <c r="H174" s="43" t="str">
        <f>_xlfn.XLOOKUP($A174,Map!$A:$A,Map!D:D)</f>
        <v>General and Admin</v>
      </c>
      <c r="I174" s="43" t="str">
        <f>_xlfn.XLOOKUP($A174,Map!$A:$A,Map!E:E)</f>
        <v>Salaries and wages</v>
      </c>
      <c r="J174" s="43" t="str">
        <f>_xlfn.XLOOKUP($A174,Map!$A:$A,Map!F:F)</f>
        <v xml:space="preserve">Food &amp; Housing </v>
      </c>
    </row>
    <row r="175" spans="1:10" x14ac:dyDescent="0.25">
      <c r="A175">
        <v>700004</v>
      </c>
      <c r="B175" t="s">
        <v>1026</v>
      </c>
      <c r="C175" s="116">
        <v>0</v>
      </c>
      <c r="D175" s="116">
        <v>258995.701</v>
      </c>
      <c r="E175" s="116">
        <v>0</v>
      </c>
      <c r="F175" s="116">
        <v>258995.701</v>
      </c>
      <c r="G175" s="43" t="str">
        <f>_xlfn.XLOOKUP($A175,Map!$A:$A,Map!C:C)</f>
        <v>IS</v>
      </c>
      <c r="H175" s="43" t="str">
        <f>_xlfn.XLOOKUP($A175,Map!$A:$A,Map!D:D)</f>
        <v>General and Admin</v>
      </c>
      <c r="I175" s="43" t="str">
        <f>_xlfn.XLOOKUP($A175,Map!$A:$A,Map!E:E)</f>
        <v>Salaries and wages</v>
      </c>
      <c r="J175" s="43" t="str">
        <f>_xlfn.XLOOKUP($A175,Map!$A:$A,Map!F:F)</f>
        <v>Medical insurance</v>
      </c>
    </row>
    <row r="176" spans="1:10" x14ac:dyDescent="0.25">
      <c r="A176">
        <v>700005</v>
      </c>
      <c r="B176" t="s">
        <v>1027</v>
      </c>
      <c r="C176" s="116">
        <v>0</v>
      </c>
      <c r="D176" s="116">
        <v>362349.06300000002</v>
      </c>
      <c r="E176" s="116">
        <v>0</v>
      </c>
      <c r="F176" s="116">
        <v>362349.06300000002</v>
      </c>
      <c r="G176" s="43" t="str">
        <f>_xlfn.XLOOKUP($A176,Map!$A:$A,Map!C:C)</f>
        <v>IS</v>
      </c>
      <c r="H176" s="43" t="str">
        <f>_xlfn.XLOOKUP($A176,Map!$A:$A,Map!D:D)</f>
        <v>General and Admin</v>
      </c>
      <c r="I176" s="43" t="str">
        <f>_xlfn.XLOOKUP($A176,Map!$A:$A,Map!E:E)</f>
        <v>Govt license and fees (including modon)</v>
      </c>
      <c r="J176" s="43" t="str">
        <f>_xlfn.XLOOKUP($A176,Map!$A:$A,Map!F:F)</f>
        <v>Government fees</v>
      </c>
    </row>
    <row r="177" spans="1:10" x14ac:dyDescent="0.25">
      <c r="A177">
        <v>700006</v>
      </c>
      <c r="B177" t="s">
        <v>1028</v>
      </c>
      <c r="C177" s="116">
        <v>0</v>
      </c>
      <c r="D177" s="116">
        <v>963068</v>
      </c>
      <c r="E177" s="116">
        <v>72750.25</v>
      </c>
      <c r="F177" s="116">
        <v>890317.75</v>
      </c>
      <c r="G177" s="43" t="str">
        <f>_xlfn.XLOOKUP($A177,Map!$A:$A,Map!C:C)</f>
        <v>IS</v>
      </c>
      <c r="H177" s="43" t="str">
        <f>_xlfn.XLOOKUP($A177,Map!$A:$A,Map!D:D)</f>
        <v>General and Admin</v>
      </c>
      <c r="I177" s="43" t="str">
        <f>_xlfn.XLOOKUP($A177,Map!$A:$A,Map!E:E)</f>
        <v>Salaries and wages</v>
      </c>
      <c r="J177" s="43" t="str">
        <f>_xlfn.XLOOKUP($A177,Map!$A:$A,Map!F:F)</f>
        <v xml:space="preserve">Food &amp; Housing </v>
      </c>
    </row>
    <row r="178" spans="1:10" x14ac:dyDescent="0.25">
      <c r="A178">
        <v>700007</v>
      </c>
      <c r="B178" t="s">
        <v>1029</v>
      </c>
      <c r="C178" s="116">
        <v>0</v>
      </c>
      <c r="D178" s="116">
        <v>509336</v>
      </c>
      <c r="E178" s="116">
        <v>0</v>
      </c>
      <c r="F178" s="116">
        <v>509336</v>
      </c>
      <c r="G178" s="43" t="str">
        <f>_xlfn.XLOOKUP($A178,Map!$A:$A,Map!C:C)</f>
        <v>IS</v>
      </c>
      <c r="H178" s="43" t="str">
        <f>_xlfn.XLOOKUP($A178,Map!$A:$A,Map!D:D)</f>
        <v>General and Admin</v>
      </c>
      <c r="I178" s="43" t="str">
        <f>_xlfn.XLOOKUP($A178,Map!$A:$A,Map!E:E)</f>
        <v>Salaries and wages</v>
      </c>
      <c r="J178" s="43" t="str">
        <f>_xlfn.XLOOKUP($A178,Map!$A:$A,Map!F:F)</f>
        <v>Transportation allowance</v>
      </c>
    </row>
    <row r="179" spans="1:10" x14ac:dyDescent="0.25">
      <c r="A179">
        <v>700008</v>
      </c>
      <c r="B179" t="s">
        <v>1030</v>
      </c>
      <c r="C179" s="116">
        <v>0</v>
      </c>
      <c r="D179" s="116">
        <v>77116.650999999998</v>
      </c>
      <c r="E179" s="116">
        <v>1750</v>
      </c>
      <c r="F179" s="116">
        <v>75366.650999999998</v>
      </c>
      <c r="G179" s="43" t="str">
        <f>_xlfn.XLOOKUP($A179,Map!$A:$A,Map!C:C)</f>
        <v>IS</v>
      </c>
      <c r="H179" s="43" t="str">
        <f>_xlfn.XLOOKUP($A179,Map!$A:$A,Map!D:D)</f>
        <v>General and Admin</v>
      </c>
      <c r="I179" s="43" t="str">
        <f>_xlfn.XLOOKUP($A179,Map!$A:$A,Map!E:E)</f>
        <v>Salaries and wages</v>
      </c>
      <c r="J179" s="43" t="str">
        <f>_xlfn.XLOOKUP($A179,Map!$A:$A,Map!F:F)</f>
        <v>Air tickets</v>
      </c>
    </row>
    <row r="180" spans="1:10" x14ac:dyDescent="0.25">
      <c r="A180">
        <v>700009</v>
      </c>
      <c r="B180" t="s">
        <v>1031</v>
      </c>
      <c r="C180" s="116">
        <v>0</v>
      </c>
      <c r="D180" s="116">
        <v>506121.5</v>
      </c>
      <c r="E180" s="116">
        <v>50810</v>
      </c>
      <c r="F180" s="116">
        <v>455311.5</v>
      </c>
      <c r="G180" s="43" t="str">
        <f>_xlfn.XLOOKUP($A180,Map!$A:$A,Map!C:C)</f>
        <v>IS</v>
      </c>
      <c r="H180" s="43" t="str">
        <f>_xlfn.XLOOKUP($A180,Map!$A:$A,Map!D:D)</f>
        <v>General and Admin</v>
      </c>
      <c r="I180" s="43" t="str">
        <f>_xlfn.XLOOKUP($A180,Map!$A:$A,Map!E:E)</f>
        <v>Salaries and wages</v>
      </c>
      <c r="J180" s="43" t="str">
        <f>_xlfn.XLOOKUP($A180,Map!$A:$A,Map!F:F)</f>
        <v>Leave pay</v>
      </c>
    </row>
    <row r="181" spans="1:10" x14ac:dyDescent="0.25">
      <c r="A181">
        <v>700010</v>
      </c>
      <c r="B181" t="s">
        <v>1032</v>
      </c>
      <c r="C181" s="116">
        <v>0</v>
      </c>
      <c r="D181" s="116">
        <v>990092.62</v>
      </c>
      <c r="E181" s="116">
        <v>282848.62</v>
      </c>
      <c r="F181" s="116">
        <v>707244</v>
      </c>
      <c r="G181" s="43" t="str">
        <f>_xlfn.XLOOKUP($A181,Map!$A:$A,Map!C:C)</f>
        <v>IS</v>
      </c>
      <c r="H181" s="43" t="str">
        <f>_xlfn.XLOOKUP($A181,Map!$A:$A,Map!D:D)</f>
        <v>General and Admin</v>
      </c>
      <c r="I181" s="43" t="str">
        <f>_xlfn.XLOOKUP($A181,Map!$A:$A,Map!E:E)</f>
        <v>Salaries and wages</v>
      </c>
      <c r="J181" s="43" t="str">
        <f>_xlfn.XLOOKUP($A181,Map!$A:$A,Map!F:F)</f>
        <v>Indemnities</v>
      </c>
    </row>
    <row r="182" spans="1:10" x14ac:dyDescent="0.25">
      <c r="A182">
        <v>700011</v>
      </c>
      <c r="B182" t="s">
        <v>1033</v>
      </c>
      <c r="C182" s="116">
        <v>0</v>
      </c>
      <c r="D182" s="116">
        <v>155965</v>
      </c>
      <c r="E182" s="116">
        <v>6250</v>
      </c>
      <c r="F182" s="116">
        <v>149715</v>
      </c>
      <c r="G182" s="43" t="str">
        <f>_xlfn.XLOOKUP($A182,Map!$A:$A,Map!C:C)</f>
        <v>IS</v>
      </c>
      <c r="H182" s="43" t="str">
        <f>_xlfn.XLOOKUP($A182,Map!$A:$A,Map!D:D)</f>
        <v>General and Admin</v>
      </c>
      <c r="I182" s="43" t="str">
        <f>_xlfn.XLOOKUP($A182,Map!$A:$A,Map!E:E)</f>
        <v>Salaries and wages</v>
      </c>
      <c r="J182" s="43" t="str">
        <f>_xlfn.XLOOKUP($A182,Map!$A:$A,Map!F:F)</f>
        <v>Air tickets</v>
      </c>
    </row>
    <row r="183" spans="1:10" x14ac:dyDescent="0.25">
      <c r="A183">
        <v>700012</v>
      </c>
      <c r="B183" t="s">
        <v>1034</v>
      </c>
      <c r="C183" s="116">
        <v>0</v>
      </c>
      <c r="D183" s="116">
        <v>257011</v>
      </c>
      <c r="E183" s="116">
        <v>0</v>
      </c>
      <c r="F183" s="116">
        <v>257011</v>
      </c>
      <c r="G183" s="43" t="str">
        <f>_xlfn.XLOOKUP($A183,Map!$A:$A,Map!C:C)</f>
        <v>IS</v>
      </c>
      <c r="H183" s="43" t="str">
        <f>_xlfn.XLOOKUP($A183,Map!$A:$A,Map!D:D)</f>
        <v>General and Admin</v>
      </c>
      <c r="I183" s="43" t="str">
        <f>_xlfn.XLOOKUP($A183,Map!$A:$A,Map!E:E)</f>
        <v>Salaries and wages</v>
      </c>
      <c r="J183" s="43" t="str">
        <f>_xlfn.XLOOKUP($A183,Map!$A:$A,Map!F:F)</f>
        <v xml:space="preserve">Education &amp; Furniture Allowances </v>
      </c>
    </row>
    <row r="184" spans="1:10" x14ac:dyDescent="0.25">
      <c r="A184">
        <v>700013</v>
      </c>
      <c r="B184" t="s">
        <v>1035</v>
      </c>
      <c r="C184" s="116">
        <v>0</v>
      </c>
      <c r="D184" s="116">
        <v>52300</v>
      </c>
      <c r="E184" s="116">
        <v>0</v>
      </c>
      <c r="F184" s="116">
        <v>52300</v>
      </c>
      <c r="G184" s="43" t="str">
        <f>_xlfn.XLOOKUP($A184,Map!$A:$A,Map!C:C)</f>
        <v>IS</v>
      </c>
      <c r="H184" s="43" t="str">
        <f>_xlfn.XLOOKUP($A184,Map!$A:$A,Map!D:D)</f>
        <v>General and Admin</v>
      </c>
      <c r="I184" s="43" t="str">
        <f>_xlfn.XLOOKUP($A184,Map!$A:$A,Map!E:E)</f>
        <v>Utilities</v>
      </c>
      <c r="J184" s="43" t="str">
        <f>_xlfn.XLOOKUP($A184,Map!$A:$A,Map!F:F)</f>
        <v>Other general and administrative expenses</v>
      </c>
    </row>
    <row r="185" spans="1:10" x14ac:dyDescent="0.25">
      <c r="A185">
        <v>700014</v>
      </c>
      <c r="B185" t="s">
        <v>1036</v>
      </c>
      <c r="C185" s="116">
        <v>0</v>
      </c>
      <c r="D185" s="116">
        <v>99360</v>
      </c>
      <c r="E185" s="116">
        <v>0</v>
      </c>
      <c r="F185" s="116">
        <v>99360</v>
      </c>
      <c r="G185" s="43" t="str">
        <f>_xlfn.XLOOKUP($A185,Map!$A:$A,Map!C:C)</f>
        <v>IS</v>
      </c>
      <c r="H185" s="43" t="str">
        <f>_xlfn.XLOOKUP($A185,Map!$A:$A,Map!D:D)</f>
        <v>General and Admin</v>
      </c>
      <c r="I185" s="43" t="str">
        <f>_xlfn.XLOOKUP($A185,Map!$A:$A,Map!E:E)</f>
        <v>Salaries and wages</v>
      </c>
      <c r="J185" s="43" t="str">
        <f>_xlfn.XLOOKUP($A185,Map!$A:$A,Map!F:F)</f>
        <v xml:space="preserve">Education &amp; Furniture Allowances </v>
      </c>
    </row>
    <row r="186" spans="1:10" x14ac:dyDescent="0.25">
      <c r="A186">
        <v>700015</v>
      </c>
      <c r="B186" t="s">
        <v>1037</v>
      </c>
      <c r="C186" s="116">
        <v>0</v>
      </c>
      <c r="D186" s="116">
        <v>55111.199999999997</v>
      </c>
      <c r="E186" s="116">
        <v>20585</v>
      </c>
      <c r="F186" s="116">
        <v>34526.199999999997</v>
      </c>
      <c r="G186" s="43" t="str">
        <f>_xlfn.XLOOKUP($A186,Map!$A:$A,Map!C:C)</f>
        <v>IS</v>
      </c>
      <c r="H186" s="43" t="str">
        <f>_xlfn.XLOOKUP($A186,Map!$A:$A,Map!D:D)</f>
        <v>General and Admin</v>
      </c>
      <c r="I186" s="43" t="str">
        <f>_xlfn.XLOOKUP($A186,Map!$A:$A,Map!E:E)</f>
        <v>Business travel</v>
      </c>
      <c r="J186" s="43" t="str">
        <f>_xlfn.XLOOKUP($A186,Map!$A:$A,Map!F:F)</f>
        <v>Transportation expenses</v>
      </c>
    </row>
    <row r="187" spans="1:10" x14ac:dyDescent="0.25">
      <c r="A187">
        <v>700016</v>
      </c>
      <c r="B187" t="s">
        <v>1038</v>
      </c>
      <c r="C187" s="116">
        <v>0</v>
      </c>
      <c r="D187" s="116">
        <v>12299</v>
      </c>
      <c r="E187" s="116">
        <v>0</v>
      </c>
      <c r="F187" s="116">
        <v>12299</v>
      </c>
      <c r="G187" s="43" t="str">
        <f>_xlfn.XLOOKUP($A187,Map!$A:$A,Map!C:C)</f>
        <v>IS</v>
      </c>
      <c r="H187" s="43" t="str">
        <f>_xlfn.XLOOKUP($A187,Map!$A:$A,Map!D:D)</f>
        <v>Selling and Marketing</v>
      </c>
      <c r="I187" s="43" t="str">
        <f>_xlfn.XLOOKUP($A187,Map!$A:$A,Map!E:E)</f>
        <v>Buffet expenses</v>
      </c>
      <c r="J187" s="43" t="str">
        <f>_xlfn.XLOOKUP($A187,Map!$A:$A,Map!F:F)</f>
        <v>Food expenses</v>
      </c>
    </row>
    <row r="188" spans="1:10" x14ac:dyDescent="0.25">
      <c r="A188">
        <v>700017</v>
      </c>
      <c r="B188" t="s">
        <v>1039</v>
      </c>
      <c r="C188" s="116">
        <v>0</v>
      </c>
      <c r="D188" s="116">
        <v>11713.6</v>
      </c>
      <c r="E188" s="116">
        <v>0</v>
      </c>
      <c r="F188" s="116">
        <v>11713.6</v>
      </c>
      <c r="G188" s="43" t="str">
        <f>_xlfn.XLOOKUP($A188,Map!$A:$A,Map!C:C)</f>
        <v>IS</v>
      </c>
      <c r="H188" s="43" t="str">
        <f>_xlfn.XLOOKUP($A188,Map!$A:$A,Map!D:D)</f>
        <v>General and Admin</v>
      </c>
      <c r="I188" s="43" t="str">
        <f>_xlfn.XLOOKUP($A188,Map!$A:$A,Map!E:E)</f>
        <v>Salaries and wages</v>
      </c>
      <c r="J188" s="43" t="str">
        <f>_xlfn.XLOOKUP($A188,Map!$A:$A,Map!F:F)</f>
        <v>Accommodation expenses</v>
      </c>
    </row>
    <row r="189" spans="1:10" x14ac:dyDescent="0.25">
      <c r="A189">
        <v>700018</v>
      </c>
      <c r="B189" t="s">
        <v>1040</v>
      </c>
      <c r="C189" s="116">
        <v>0</v>
      </c>
      <c r="D189" s="116">
        <v>57590.44</v>
      </c>
      <c r="E189" s="116">
        <v>0</v>
      </c>
      <c r="F189" s="116">
        <v>57590.44</v>
      </c>
      <c r="G189" s="43" t="str">
        <f>_xlfn.XLOOKUP($A189,Map!$A:$A,Map!C:C)</f>
        <v>IS</v>
      </c>
      <c r="H189" s="43" t="str">
        <f>_xlfn.XLOOKUP($A189,Map!$A:$A,Map!D:D)</f>
        <v>General and Admin</v>
      </c>
      <c r="I189" s="43" t="str">
        <f>_xlfn.XLOOKUP($A189,Map!$A:$A,Map!E:E)</f>
        <v>Salaries and wages</v>
      </c>
      <c r="J189" s="43" t="str">
        <f>_xlfn.XLOOKUP($A189,Map!$A:$A,Map!F:F)</f>
        <v xml:space="preserve">Employee Medical Emergency Expenses </v>
      </c>
    </row>
    <row r="190" spans="1:10" x14ac:dyDescent="0.25">
      <c r="A190">
        <v>700019</v>
      </c>
      <c r="B190" t="s">
        <v>1041</v>
      </c>
      <c r="C190" s="116">
        <v>0</v>
      </c>
      <c r="D190" s="116">
        <v>597272.75100000005</v>
      </c>
      <c r="E190" s="116">
        <v>7875</v>
      </c>
      <c r="F190" s="116">
        <v>589397.75100000005</v>
      </c>
      <c r="G190" s="43" t="str">
        <f>_xlfn.XLOOKUP($A190,Map!$A:$A,Map!C:C)</f>
        <v>IS</v>
      </c>
      <c r="H190" s="43" t="str">
        <f>_xlfn.XLOOKUP($A190,Map!$A:$A,Map!D:D)</f>
        <v>General and Admin</v>
      </c>
      <c r="I190" s="43" t="str">
        <f>_xlfn.XLOOKUP($A190,Map!$A:$A,Map!E:E)</f>
        <v>Salaries and wages</v>
      </c>
      <c r="J190" s="43" t="str">
        <f>_xlfn.XLOOKUP($A190,Map!$A:$A,Map!F:F)</f>
        <v xml:space="preserve">Incentives </v>
      </c>
    </row>
    <row r="191" spans="1:10" x14ac:dyDescent="0.25">
      <c r="A191">
        <v>700020</v>
      </c>
      <c r="B191" t="s">
        <v>1042</v>
      </c>
      <c r="C191" s="116">
        <v>0</v>
      </c>
      <c r="D191" s="116">
        <v>106982.504</v>
      </c>
      <c r="E191" s="116">
        <v>657.33</v>
      </c>
      <c r="F191" s="116">
        <v>106325.174</v>
      </c>
      <c r="G191" s="43" t="str">
        <f>_xlfn.XLOOKUP($A191,Map!$A:$A,Map!C:C)</f>
        <v>IS</v>
      </c>
      <c r="H191" s="43" t="str">
        <f>_xlfn.XLOOKUP($A191,Map!$A:$A,Map!D:D)</f>
        <v>General and Admin</v>
      </c>
      <c r="I191" s="43" t="str">
        <f>_xlfn.XLOOKUP($A191,Map!$A:$A,Map!E:E)</f>
        <v>Utilities</v>
      </c>
      <c r="J191" s="43" t="str">
        <f>_xlfn.XLOOKUP($A191,Map!$A:$A,Map!F:F)</f>
        <v>Electricity expenses</v>
      </c>
    </row>
    <row r="192" spans="1:10" x14ac:dyDescent="0.25">
      <c r="A192">
        <v>700021</v>
      </c>
      <c r="B192" t="s">
        <v>1043</v>
      </c>
      <c r="C192" s="116">
        <v>0</v>
      </c>
      <c r="D192" s="116">
        <v>15494.5</v>
      </c>
      <c r="E192" s="116">
        <v>0</v>
      </c>
      <c r="F192" s="116">
        <v>15494.5</v>
      </c>
      <c r="G192" s="43" t="str">
        <f>_xlfn.XLOOKUP($A192,Map!$A:$A,Map!C:C)</f>
        <v>IS</v>
      </c>
      <c r="H192" s="43" t="str">
        <f>_xlfn.XLOOKUP($A192,Map!$A:$A,Map!D:D)</f>
        <v>General and Admin</v>
      </c>
      <c r="I192" s="43" t="str">
        <f>_xlfn.XLOOKUP($A192,Map!$A:$A,Map!E:E)</f>
        <v>Utilities</v>
      </c>
      <c r="J192" s="43" t="str">
        <f>_xlfn.XLOOKUP($A192,Map!$A:$A,Map!F:F)</f>
        <v>Other general and administrative expenses</v>
      </c>
    </row>
    <row r="193" spans="1:10" x14ac:dyDescent="0.25">
      <c r="A193">
        <v>700022</v>
      </c>
      <c r="B193" t="s">
        <v>1044</v>
      </c>
      <c r="C193" s="116">
        <v>0</v>
      </c>
      <c r="D193" s="116">
        <v>128410.341</v>
      </c>
      <c r="E193" s="116">
        <v>12314.22</v>
      </c>
      <c r="F193" s="116">
        <v>116096.121</v>
      </c>
      <c r="G193" s="43" t="str">
        <f>_xlfn.XLOOKUP($A193,Map!$A:$A,Map!C:C)</f>
        <v>IS</v>
      </c>
      <c r="H193" s="43" t="str">
        <f>_xlfn.XLOOKUP($A193,Map!$A:$A,Map!D:D)</f>
        <v>General and Admin</v>
      </c>
      <c r="I193" s="43" t="str">
        <f>_xlfn.XLOOKUP($A193,Map!$A:$A,Map!E:E)</f>
        <v>Utilities</v>
      </c>
      <c r="J193" s="43" t="str">
        <f>_xlfn.XLOOKUP($A193,Map!$A:$A,Map!F:F)</f>
        <v>Other general and administrative expenses</v>
      </c>
    </row>
    <row r="194" spans="1:10" x14ac:dyDescent="0.25">
      <c r="A194">
        <v>700023</v>
      </c>
      <c r="B194" t="s">
        <v>1045</v>
      </c>
      <c r="C194" s="116">
        <v>0</v>
      </c>
      <c r="D194" s="116">
        <v>46220.08</v>
      </c>
      <c r="E194" s="116">
        <v>1824</v>
      </c>
      <c r="F194" s="116">
        <v>44396.08</v>
      </c>
      <c r="G194" s="43" t="str">
        <f>_xlfn.XLOOKUP($A194,Map!$A:$A,Map!C:C)</f>
        <v>IS</v>
      </c>
      <c r="H194" s="43" t="str">
        <f>_xlfn.XLOOKUP($A194,Map!$A:$A,Map!D:D)</f>
        <v>General and Admin</v>
      </c>
      <c r="I194" s="43" t="str">
        <f>_xlfn.XLOOKUP($A194,Map!$A:$A,Map!E:E)</f>
        <v>Utilities</v>
      </c>
      <c r="J194" s="43" t="str">
        <f>_xlfn.XLOOKUP($A194,Map!$A:$A,Map!F:F)</f>
        <v xml:space="preserve">Postage &amp; Printing </v>
      </c>
    </row>
    <row r="195" spans="1:10" x14ac:dyDescent="0.25">
      <c r="A195">
        <v>700024</v>
      </c>
      <c r="B195" t="s">
        <v>1046</v>
      </c>
      <c r="C195" s="116">
        <v>0</v>
      </c>
      <c r="D195" s="116">
        <v>411485.44500000001</v>
      </c>
      <c r="E195" s="116">
        <v>63709.283000000003</v>
      </c>
      <c r="F195" s="116">
        <v>347776.16200000001</v>
      </c>
      <c r="G195" s="43" t="str">
        <f>_xlfn.XLOOKUP($A195,Map!$A:$A,Map!C:C)</f>
        <v>IS</v>
      </c>
      <c r="H195" s="43" t="str">
        <f>_xlfn.XLOOKUP($A195,Map!$A:$A,Map!D:D)</f>
        <v>General and Admin</v>
      </c>
      <c r="I195" s="43" t="str">
        <f>_xlfn.XLOOKUP($A195,Map!$A:$A,Map!E:E)</f>
        <v>IT expenses</v>
      </c>
      <c r="J195" s="43" t="str">
        <f>_xlfn.XLOOKUP($A195,Map!$A:$A,Map!F:F)</f>
        <v>Other general and administrative expenses</v>
      </c>
    </row>
    <row r="196" spans="1:10" x14ac:dyDescent="0.25">
      <c r="A196">
        <v>700025</v>
      </c>
      <c r="B196" t="s">
        <v>1047</v>
      </c>
      <c r="C196" s="116">
        <v>0</v>
      </c>
      <c r="D196" s="116">
        <v>307658.04200000002</v>
      </c>
      <c r="E196" s="116">
        <v>37703.571000000004</v>
      </c>
      <c r="F196" s="116">
        <v>269954.47100000002</v>
      </c>
      <c r="G196" s="43" t="str">
        <f>_xlfn.XLOOKUP($A196,Map!$A:$A,Map!C:C)</f>
        <v>IS</v>
      </c>
      <c r="H196" s="43" t="str">
        <f>_xlfn.XLOOKUP($A196,Map!$A:$A,Map!D:D)</f>
        <v>General and Admin</v>
      </c>
      <c r="I196" s="43" t="str">
        <f>_xlfn.XLOOKUP($A196,Map!$A:$A,Map!E:E)</f>
        <v>Salaries and wages</v>
      </c>
      <c r="J196" s="43" t="str">
        <f>_xlfn.XLOOKUP($A196,Map!$A:$A,Map!F:F)</f>
        <v>Salaries and wages</v>
      </c>
    </row>
    <row r="197" spans="1:10" x14ac:dyDescent="0.25">
      <c r="A197">
        <v>700026</v>
      </c>
      <c r="B197" t="s">
        <v>1048</v>
      </c>
      <c r="C197" s="116">
        <v>0</v>
      </c>
      <c r="D197" s="116">
        <v>0</v>
      </c>
      <c r="E197" s="116">
        <v>0</v>
      </c>
      <c r="F197" s="116">
        <v>0</v>
      </c>
      <c r="G197" s="43" t="str">
        <f>_xlfn.XLOOKUP($A197,Map!$A:$A,Map!C:C)</f>
        <v>IS</v>
      </c>
      <c r="H197" s="43" t="str">
        <f>_xlfn.XLOOKUP($A197,Map!$A:$A,Map!D:D)</f>
        <v>General and Admin</v>
      </c>
      <c r="I197" s="43" t="str">
        <f>_xlfn.XLOOKUP($A197,Map!$A:$A,Map!E:E)</f>
        <v>Utilities</v>
      </c>
      <c r="J197" s="43" t="str">
        <f>_xlfn.XLOOKUP($A197,Map!$A:$A,Map!F:F)</f>
        <v>Magazines &amp; News Papers Exp.</v>
      </c>
    </row>
    <row r="198" spans="1:10" x14ac:dyDescent="0.25">
      <c r="A198">
        <v>700027</v>
      </c>
      <c r="B198" t="s">
        <v>1049</v>
      </c>
      <c r="C198" s="116">
        <v>0</v>
      </c>
      <c r="D198" s="116">
        <v>55117</v>
      </c>
      <c r="E198" s="116">
        <v>15030</v>
      </c>
      <c r="F198" s="116">
        <v>40087</v>
      </c>
      <c r="G198" s="43" t="str">
        <f>_xlfn.XLOOKUP($A198,Map!$A:$A,Map!C:C)</f>
        <v>IS</v>
      </c>
      <c r="H198" s="43" t="str">
        <f>_xlfn.XLOOKUP($A198,Map!$A:$A,Map!D:D)</f>
        <v>General and Admin</v>
      </c>
      <c r="I198" s="43" t="str">
        <f>_xlfn.XLOOKUP($A198,Map!$A:$A,Map!E:E)</f>
        <v>Training</v>
      </c>
      <c r="J198" s="43" t="str">
        <f>_xlfn.XLOOKUP($A198,Map!$A:$A,Map!F:F)</f>
        <v>Training</v>
      </c>
    </row>
    <row r="199" spans="1:10" x14ac:dyDescent="0.25">
      <c r="A199">
        <v>700028</v>
      </c>
      <c r="B199" t="s">
        <v>1050</v>
      </c>
      <c r="C199" s="116">
        <v>0</v>
      </c>
      <c r="D199" s="116">
        <v>7251.1610000000001</v>
      </c>
      <c r="E199" s="116">
        <v>0</v>
      </c>
      <c r="F199" s="116">
        <v>7251.1610000000001</v>
      </c>
      <c r="G199" s="43" t="str">
        <f>_xlfn.XLOOKUP($A199,Map!$A:$A,Map!C:C)</f>
        <v>IS</v>
      </c>
      <c r="H199" s="43" t="str">
        <f>_xlfn.XLOOKUP($A199,Map!$A:$A,Map!D:D)</f>
        <v>General and Admin</v>
      </c>
      <c r="I199" s="43" t="str">
        <f>_xlfn.XLOOKUP($A199,Map!$A:$A,Map!E:E)</f>
        <v xml:space="preserve">Back office Support </v>
      </c>
      <c r="J199" s="43" t="str">
        <f>_xlfn.XLOOKUP($A199,Map!$A:$A,Map!F:F)</f>
        <v>Stationery expenses</v>
      </c>
    </row>
    <row r="200" spans="1:10" x14ac:dyDescent="0.25">
      <c r="A200">
        <v>700029</v>
      </c>
      <c r="B200" t="s">
        <v>1051</v>
      </c>
      <c r="C200" s="116">
        <v>0</v>
      </c>
      <c r="D200" s="116">
        <v>14196.5</v>
      </c>
      <c r="E200" s="116">
        <v>2745</v>
      </c>
      <c r="F200" s="116">
        <v>11451.5</v>
      </c>
      <c r="G200" s="43" t="str">
        <f>_xlfn.XLOOKUP($A200,Map!$A:$A,Map!C:C)</f>
        <v>IS</v>
      </c>
      <c r="H200" s="43" t="str">
        <f>_xlfn.XLOOKUP($A200,Map!$A:$A,Map!D:D)</f>
        <v>General and Admin</v>
      </c>
      <c r="I200" s="43" t="str">
        <f>_xlfn.XLOOKUP($A200,Map!$A:$A,Map!E:E)</f>
        <v>Utilities</v>
      </c>
      <c r="J200" s="43" t="str">
        <f>_xlfn.XLOOKUP($A200,Map!$A:$A,Map!F:F)</f>
        <v xml:space="preserve">Postage &amp; Printing </v>
      </c>
    </row>
    <row r="201" spans="1:10" x14ac:dyDescent="0.25">
      <c r="A201">
        <v>700030</v>
      </c>
      <c r="B201" t="s">
        <v>1052</v>
      </c>
      <c r="C201" s="116">
        <v>0</v>
      </c>
      <c r="D201" s="116">
        <v>47898</v>
      </c>
      <c r="E201" s="116">
        <v>22425</v>
      </c>
      <c r="F201" s="116">
        <v>25473</v>
      </c>
      <c r="G201" s="43" t="str">
        <f>_xlfn.XLOOKUP($A201,Map!$A:$A,Map!C:C)</f>
        <v>IS</v>
      </c>
      <c r="H201" s="43" t="str">
        <f>_xlfn.XLOOKUP($A201,Map!$A:$A,Map!D:D)</f>
        <v>General and Admin</v>
      </c>
      <c r="I201" s="43" t="str">
        <f>_xlfn.XLOOKUP($A201,Map!$A:$A,Map!E:E)</f>
        <v>Utilities</v>
      </c>
      <c r="J201" s="43" t="str">
        <f>_xlfn.XLOOKUP($A201,Map!$A:$A,Map!F:F)</f>
        <v>Building maintenance</v>
      </c>
    </row>
    <row r="202" spans="1:10" x14ac:dyDescent="0.25">
      <c r="A202">
        <v>700031</v>
      </c>
      <c r="B202" t="s">
        <v>1053</v>
      </c>
      <c r="C202" s="116">
        <v>0</v>
      </c>
      <c r="D202" s="116">
        <v>40810.51</v>
      </c>
      <c r="E202" s="116">
        <v>0</v>
      </c>
      <c r="F202" s="116">
        <v>40810.51</v>
      </c>
      <c r="G202" s="43" t="str">
        <f>_xlfn.XLOOKUP($A202,Map!$A:$A,Map!C:C)</f>
        <v>IS</v>
      </c>
      <c r="H202" s="43" t="str">
        <f>_xlfn.XLOOKUP($A202,Map!$A:$A,Map!D:D)</f>
        <v>General and Admin</v>
      </c>
      <c r="I202" s="43" t="str">
        <f>_xlfn.XLOOKUP($A202,Map!$A:$A,Map!E:E)</f>
        <v>Utilities</v>
      </c>
      <c r="J202" s="43" t="str">
        <f>_xlfn.XLOOKUP($A202,Map!$A:$A,Map!F:F)</f>
        <v>Office equipment maintenance</v>
      </c>
    </row>
    <row r="203" spans="1:10" x14ac:dyDescent="0.25">
      <c r="A203">
        <v>700032</v>
      </c>
      <c r="B203" t="s">
        <v>1054</v>
      </c>
      <c r="C203" s="116">
        <v>0</v>
      </c>
      <c r="D203" s="116">
        <v>106961.433</v>
      </c>
      <c r="E203" s="116">
        <v>14887.5</v>
      </c>
      <c r="F203" s="116">
        <v>92073.933000000005</v>
      </c>
      <c r="G203" s="43" t="str">
        <f>_xlfn.XLOOKUP($A203,Map!$A:$A,Map!C:C)</f>
        <v>IS</v>
      </c>
      <c r="H203" s="43" t="str">
        <f>_xlfn.XLOOKUP($A203,Map!$A:$A,Map!D:D)</f>
        <v>General and Admin</v>
      </c>
      <c r="I203" s="43" t="str">
        <f>_xlfn.XLOOKUP($A203,Map!$A:$A,Map!E:E)</f>
        <v>Utilities</v>
      </c>
      <c r="J203" s="43" t="str">
        <f>_xlfn.XLOOKUP($A203,Map!$A:$A,Map!F:F)</f>
        <v>Vehicle maintenance</v>
      </c>
    </row>
    <row r="204" spans="1:10" x14ac:dyDescent="0.25">
      <c r="A204">
        <v>700033</v>
      </c>
      <c r="B204" t="s">
        <v>1055</v>
      </c>
      <c r="C204" s="116">
        <v>0</v>
      </c>
      <c r="D204" s="116">
        <v>36286.665000000001</v>
      </c>
      <c r="E204" s="116">
        <v>2817.31</v>
      </c>
      <c r="F204" s="116">
        <v>33469.355000000003</v>
      </c>
      <c r="G204" s="43" t="str">
        <f>_xlfn.XLOOKUP($A204,Map!$A:$A,Map!C:C)</f>
        <v>IS</v>
      </c>
      <c r="H204" s="43" t="str">
        <f>_xlfn.XLOOKUP($A204,Map!$A:$A,Map!D:D)</f>
        <v>General and Admin</v>
      </c>
      <c r="I204" s="43" t="str">
        <f>_xlfn.XLOOKUP($A204,Map!$A:$A,Map!E:E)</f>
        <v>Utilities</v>
      </c>
      <c r="J204" s="43" t="str">
        <f>_xlfn.XLOOKUP($A204,Map!$A:$A,Map!F:F)</f>
        <v>Fuel and oil</v>
      </c>
    </row>
    <row r="205" spans="1:10" x14ac:dyDescent="0.25">
      <c r="A205">
        <v>700034</v>
      </c>
      <c r="B205" t="s">
        <v>1056</v>
      </c>
      <c r="C205" s="116">
        <v>0</v>
      </c>
      <c r="D205" s="116">
        <v>17875.099999999999</v>
      </c>
      <c r="E205" s="116">
        <v>0</v>
      </c>
      <c r="F205" s="116">
        <v>17875.099999999999</v>
      </c>
      <c r="G205" s="43" t="str">
        <f>_xlfn.XLOOKUP($A205,Map!$A:$A,Map!C:C)</f>
        <v>IS</v>
      </c>
      <c r="H205" s="43" t="str">
        <f>_xlfn.XLOOKUP($A205,Map!$A:$A,Map!D:D)</f>
        <v>General and Admin</v>
      </c>
      <c r="I205" s="43" t="str">
        <f>_xlfn.XLOOKUP($A205,Map!$A:$A,Map!E:E)</f>
        <v xml:space="preserve">Back office Support </v>
      </c>
      <c r="J205" s="43" t="str">
        <f>_xlfn.XLOOKUP($A205,Map!$A:$A,Map!F:F)</f>
        <v>Consumables</v>
      </c>
    </row>
    <row r="206" spans="1:10" x14ac:dyDescent="0.25">
      <c r="A206">
        <v>700035</v>
      </c>
      <c r="B206" t="s">
        <v>1057</v>
      </c>
      <c r="C206" s="116">
        <v>0</v>
      </c>
      <c r="D206" s="116">
        <v>180079</v>
      </c>
      <c r="E206" s="116">
        <v>0</v>
      </c>
      <c r="F206" s="116">
        <v>180079</v>
      </c>
      <c r="G206" s="43" t="str">
        <f>_xlfn.XLOOKUP($A206,Map!$A:$A,Map!C:C)</f>
        <v>IS</v>
      </c>
      <c r="H206" s="43" t="str">
        <f>_xlfn.XLOOKUP($A206,Map!$A:$A,Map!D:D)</f>
        <v>General and Admin</v>
      </c>
      <c r="I206" s="43" t="str">
        <f>_xlfn.XLOOKUP($A206,Map!$A:$A,Map!E:E)</f>
        <v>Actuarial gains and losses</v>
      </c>
      <c r="J206" s="43" t="str">
        <f>_xlfn.XLOOKUP($A206,Map!$A:$A,Map!F:F)</f>
        <v>Other general and administrative expenses</v>
      </c>
    </row>
    <row r="207" spans="1:10" x14ac:dyDescent="0.25">
      <c r="A207">
        <v>700036</v>
      </c>
      <c r="B207" t="s">
        <v>1058</v>
      </c>
      <c r="C207" s="116">
        <v>0</v>
      </c>
      <c r="D207" s="116">
        <v>67452.846000000005</v>
      </c>
      <c r="E207" s="116">
        <v>0</v>
      </c>
      <c r="F207" s="116">
        <v>67452.846000000005</v>
      </c>
      <c r="G207" s="43" t="str">
        <f>_xlfn.XLOOKUP($A207,Map!$A:$A,Map!C:C)</f>
        <v>IS</v>
      </c>
      <c r="H207" s="43" t="str">
        <f>_xlfn.XLOOKUP($A207,Map!$A:$A,Map!D:D)</f>
        <v>General and Admin</v>
      </c>
      <c r="I207" s="43" t="str">
        <f>_xlfn.XLOOKUP($A207,Map!$A:$A,Map!E:E)</f>
        <v>Utilities</v>
      </c>
      <c r="J207" s="43" t="str">
        <f>_xlfn.XLOOKUP($A207,Map!$A:$A,Map!F:F)</f>
        <v>Vehicle insurance</v>
      </c>
    </row>
    <row r="208" spans="1:10" x14ac:dyDescent="0.25">
      <c r="A208">
        <v>700037</v>
      </c>
      <c r="B208" t="s">
        <v>1059</v>
      </c>
      <c r="C208" s="116">
        <v>0</v>
      </c>
      <c r="D208" s="116">
        <v>0</v>
      </c>
      <c r="E208" s="116">
        <v>0</v>
      </c>
      <c r="F208" s="116">
        <v>0</v>
      </c>
      <c r="G208" s="43" t="str">
        <f>_xlfn.XLOOKUP($A208,Map!$A:$A,Map!C:C)</f>
        <v>IS</v>
      </c>
      <c r="H208" s="43" t="str">
        <f>_xlfn.XLOOKUP($A208,Map!$A:$A,Map!D:D)</f>
        <v>Finance cost</v>
      </c>
      <c r="I208" s="43" t="str">
        <f>_xlfn.XLOOKUP($A208,Map!$A:$A,Map!E:E)</f>
        <v>Finance cost</v>
      </c>
      <c r="J208" s="43" t="str">
        <f>_xlfn.XLOOKUP($A208,Map!$A:$A,Map!F:F)</f>
        <v>Lease interest</v>
      </c>
    </row>
    <row r="209" spans="1:10" x14ac:dyDescent="0.25">
      <c r="A209">
        <v>700038</v>
      </c>
      <c r="B209" t="s">
        <v>1060</v>
      </c>
      <c r="C209" s="116">
        <v>0</v>
      </c>
      <c r="D209" s="116">
        <v>51576.03</v>
      </c>
      <c r="E209" s="116">
        <v>8000</v>
      </c>
      <c r="F209" s="116">
        <v>43576.03</v>
      </c>
      <c r="G209" s="43" t="str">
        <f>_xlfn.XLOOKUP($A209,Map!$A:$A,Map!C:C)</f>
        <v>IS</v>
      </c>
      <c r="H209" s="43" t="str">
        <f>_xlfn.XLOOKUP($A209,Map!$A:$A,Map!D:D)</f>
        <v>General and Admin</v>
      </c>
      <c r="I209" s="43" t="str">
        <f>_xlfn.XLOOKUP($A209,Map!$A:$A,Map!E:E)</f>
        <v>Business travel</v>
      </c>
      <c r="J209" s="43" t="str">
        <f>_xlfn.XLOOKUP($A209,Map!$A:$A,Map!F:F)</f>
        <v>Bussiness trip expenses</v>
      </c>
    </row>
    <row r="210" spans="1:10" x14ac:dyDescent="0.25">
      <c r="A210">
        <v>700039</v>
      </c>
      <c r="B210" t="s">
        <v>1061</v>
      </c>
      <c r="C210" s="116">
        <v>0</v>
      </c>
      <c r="D210" s="116">
        <v>32688.73</v>
      </c>
      <c r="E210" s="116">
        <v>0</v>
      </c>
      <c r="F210" s="116">
        <v>32688.73</v>
      </c>
      <c r="G210" s="43" t="str">
        <f>_xlfn.XLOOKUP($A210,Map!$A:$A,Map!C:C)</f>
        <v>IS</v>
      </c>
      <c r="H210" s="43" t="str">
        <f>_xlfn.XLOOKUP($A210,Map!$A:$A,Map!D:D)</f>
        <v>Selling and Marketing</v>
      </c>
      <c r="I210" s="43" t="str">
        <f>_xlfn.XLOOKUP($A210,Map!$A:$A,Map!E:E)</f>
        <v>Buffet expenses</v>
      </c>
      <c r="J210" s="43" t="str">
        <f>_xlfn.XLOOKUP($A210,Map!$A:$A,Map!F:F)</f>
        <v>Buffet expenses</v>
      </c>
    </row>
    <row r="211" spans="1:10" x14ac:dyDescent="0.25">
      <c r="A211">
        <v>700040</v>
      </c>
      <c r="B211" t="s">
        <v>1062</v>
      </c>
      <c r="C211" s="116">
        <v>0</v>
      </c>
      <c r="D211" s="116">
        <v>790019.59</v>
      </c>
      <c r="E211" s="116">
        <v>4287.01</v>
      </c>
      <c r="F211" s="116">
        <v>785732.58</v>
      </c>
      <c r="G211" s="43" t="str">
        <f>_xlfn.XLOOKUP($A211,Map!$A:$A,Map!C:C)</f>
        <v>IS</v>
      </c>
      <c r="H211" s="43" t="str">
        <f>_xlfn.XLOOKUP($A211,Map!$A:$A,Map!D:D)</f>
        <v>General and Admin</v>
      </c>
      <c r="I211" s="43" t="str">
        <f>_xlfn.XLOOKUP($A211,Map!$A:$A,Map!E:E)</f>
        <v>Utilities</v>
      </c>
      <c r="J211" s="43" t="str">
        <f>_xlfn.XLOOKUP($A211,Map!$A:$A,Map!F:F)</f>
        <v xml:space="preserve">Cleaning Expenses </v>
      </c>
    </row>
    <row r="212" spans="1:10" x14ac:dyDescent="0.25">
      <c r="A212">
        <v>700041</v>
      </c>
      <c r="B212" t="s">
        <v>1063</v>
      </c>
      <c r="C212" s="116">
        <v>0</v>
      </c>
      <c r="D212" s="116">
        <v>144243.25</v>
      </c>
      <c r="E212" s="116">
        <v>0</v>
      </c>
      <c r="F212" s="116">
        <v>144243.25</v>
      </c>
      <c r="G212" s="43" t="str">
        <f>_xlfn.XLOOKUP($A212,Map!$A:$A,Map!C:C)</f>
        <v>IS</v>
      </c>
      <c r="H212" s="43" t="str">
        <f>_xlfn.XLOOKUP($A212,Map!$A:$A,Map!D:D)</f>
        <v>General and Admin</v>
      </c>
      <c r="I212" s="43" t="str">
        <f>_xlfn.XLOOKUP($A212,Map!$A:$A,Map!E:E)</f>
        <v>Salaries and wages</v>
      </c>
      <c r="J212" s="43" t="str">
        <f>_xlfn.XLOOKUP($A212,Map!$A:$A,Map!F:F)</f>
        <v>Recruitment</v>
      </c>
    </row>
    <row r="213" spans="1:10" x14ac:dyDescent="0.25">
      <c r="A213">
        <v>700042</v>
      </c>
      <c r="B213" t="s">
        <v>1064</v>
      </c>
      <c r="C213" s="116">
        <v>0</v>
      </c>
      <c r="D213" s="116">
        <v>2250000</v>
      </c>
      <c r="E213" s="116">
        <v>250000</v>
      </c>
      <c r="F213" s="116">
        <v>2000000</v>
      </c>
      <c r="G213" s="43" t="str">
        <f>_xlfn.XLOOKUP($A213,Map!$A:$A,Map!C:C)</f>
        <v>IS</v>
      </c>
      <c r="H213" s="43" t="str">
        <f>_xlfn.XLOOKUP($A213,Map!$A:$A,Map!D:D)</f>
        <v>General and Admin</v>
      </c>
      <c r="I213" s="43" t="str">
        <f>_xlfn.XLOOKUP($A213,Map!$A:$A,Map!E:E)</f>
        <v xml:space="preserve">Back office Support </v>
      </c>
      <c r="J213" s="43" t="str">
        <f>_xlfn.XLOOKUP($A213,Map!$A:$A,Map!F:F)</f>
        <v>Other expenses</v>
      </c>
    </row>
    <row r="214" spans="1:10" x14ac:dyDescent="0.25">
      <c r="A214">
        <v>700043</v>
      </c>
      <c r="B214" t="s">
        <v>1065</v>
      </c>
      <c r="C214" s="116">
        <v>0</v>
      </c>
      <c r="D214" s="116">
        <v>14025.3</v>
      </c>
      <c r="E214" s="116">
        <v>0</v>
      </c>
      <c r="F214" s="116">
        <v>14025.3</v>
      </c>
      <c r="G214" s="43" t="str">
        <f>_xlfn.XLOOKUP($A214,Map!$A:$A,Map!C:C)</f>
        <v>IS</v>
      </c>
      <c r="H214" s="43" t="str">
        <f>_xlfn.XLOOKUP($A214,Map!$A:$A,Map!D:D)</f>
        <v>General and Admin</v>
      </c>
      <c r="I214" s="43" t="str">
        <f>_xlfn.XLOOKUP($A214,Map!$A:$A,Map!E:E)</f>
        <v>Govt license and fees (including modon)</v>
      </c>
      <c r="J214" s="43" t="str">
        <f>_xlfn.XLOOKUP($A214,Map!$A:$A,Map!F:F)</f>
        <v>Licenses and fees</v>
      </c>
    </row>
    <row r="215" spans="1:10" x14ac:dyDescent="0.25">
      <c r="A215">
        <v>700044</v>
      </c>
      <c r="B215" t="s">
        <v>1066</v>
      </c>
      <c r="C215" s="116">
        <v>0</v>
      </c>
      <c r="D215" s="116">
        <v>75919.839999999997</v>
      </c>
      <c r="E215" s="116">
        <v>0</v>
      </c>
      <c r="F215" s="116">
        <v>75919.839999999997</v>
      </c>
      <c r="G215" s="43" t="str">
        <f>_xlfn.XLOOKUP($A215,Map!$A:$A,Map!C:C)</f>
        <v>IS</v>
      </c>
      <c r="H215" s="43" t="str">
        <f>_xlfn.XLOOKUP($A215,Map!$A:$A,Map!D:D)</f>
        <v>General and Admin</v>
      </c>
      <c r="I215" s="43" t="str">
        <f>_xlfn.XLOOKUP($A215,Map!$A:$A,Map!E:E)</f>
        <v>Govt license and fees (including modon)</v>
      </c>
      <c r="J215" s="43" t="str">
        <f>_xlfn.XLOOKUP($A215,Map!$A:$A,Map!F:F)</f>
        <v>Government fees</v>
      </c>
    </row>
    <row r="216" spans="1:10" x14ac:dyDescent="0.25">
      <c r="A216">
        <v>700045</v>
      </c>
      <c r="B216" t="s">
        <v>1067</v>
      </c>
      <c r="C216" s="116">
        <v>0</v>
      </c>
      <c r="D216" s="116">
        <v>3501089.7250000001</v>
      </c>
      <c r="E216" s="116">
        <v>423430.723</v>
      </c>
      <c r="F216" s="116">
        <v>3077659.0019999999</v>
      </c>
      <c r="G216" s="43" t="str">
        <f>_xlfn.XLOOKUP($A216,Map!$A:$A,Map!C:C)</f>
        <v>IS</v>
      </c>
      <c r="H216" s="43" t="str">
        <f>_xlfn.XLOOKUP($A216,Map!$A:$A,Map!D:D)</f>
        <v>Finance cost</v>
      </c>
      <c r="I216" s="43" t="str">
        <f>_xlfn.XLOOKUP($A216,Map!$A:$A,Map!E:E)</f>
        <v>Finance cost</v>
      </c>
      <c r="J216" s="43" t="str">
        <f>_xlfn.XLOOKUP($A216,Map!$A:$A,Map!F:F)</f>
        <v>Bank charges</v>
      </c>
    </row>
    <row r="217" spans="1:10" x14ac:dyDescent="0.25">
      <c r="A217">
        <v>700048</v>
      </c>
      <c r="B217" t="s">
        <v>1069</v>
      </c>
      <c r="C217" s="116">
        <v>0</v>
      </c>
      <c r="D217" s="116">
        <v>904999.89</v>
      </c>
      <c r="E217" s="116">
        <v>260614</v>
      </c>
      <c r="F217" s="116">
        <v>644385.89</v>
      </c>
      <c r="G217" s="43" t="str">
        <f>_xlfn.XLOOKUP($A217,Map!$A:$A,Map!C:C)</f>
        <v>IS</v>
      </c>
      <c r="H217" s="43" t="str">
        <f>_xlfn.XLOOKUP($A217,Map!$A:$A,Map!D:D)</f>
        <v>Zakat</v>
      </c>
      <c r="I217" s="43" t="str">
        <f>_xlfn.XLOOKUP($A217,Map!$A:$A,Map!E:E)</f>
        <v>Zakat expenses</v>
      </c>
      <c r="J217" s="43" t="str">
        <f>_xlfn.XLOOKUP($A217,Map!$A:$A,Map!F:F)</f>
        <v>Zakat expenses</v>
      </c>
    </row>
    <row r="218" spans="1:10" x14ac:dyDescent="0.25">
      <c r="A218">
        <v>700049</v>
      </c>
      <c r="B218" t="s">
        <v>1070</v>
      </c>
      <c r="C218" s="116">
        <v>0</v>
      </c>
      <c r="D218" s="116">
        <v>0</v>
      </c>
      <c r="E218" s="116">
        <v>0</v>
      </c>
      <c r="F218" s="116">
        <v>0</v>
      </c>
      <c r="G218" s="43" t="str">
        <f>_xlfn.XLOOKUP($A218,Map!$A:$A,Map!C:C)</f>
        <v>IS</v>
      </c>
      <c r="H218" s="43" t="str">
        <f>_xlfn.XLOOKUP($A218,Map!$A:$A,Map!D:D)</f>
        <v>General and Admin</v>
      </c>
      <c r="I218" s="43" t="str">
        <f>_xlfn.XLOOKUP($A218,Map!$A:$A,Map!E:E)</f>
        <v>Salaries and wages</v>
      </c>
      <c r="J218" s="43" t="str">
        <f>_xlfn.XLOOKUP($A218,Map!$A:$A,Map!F:F)</f>
        <v>Sadagat expense</v>
      </c>
    </row>
    <row r="219" spans="1:10" x14ac:dyDescent="0.25">
      <c r="A219">
        <v>700050</v>
      </c>
      <c r="B219" t="s">
        <v>1071</v>
      </c>
      <c r="C219" s="116">
        <v>0</v>
      </c>
      <c r="D219" s="116">
        <v>0</v>
      </c>
      <c r="E219" s="116">
        <v>0</v>
      </c>
      <c r="F219" s="116">
        <v>0</v>
      </c>
      <c r="G219" s="43" t="str">
        <f>_xlfn.XLOOKUP($A219,Map!$A:$A,Map!C:C)</f>
        <v>IS</v>
      </c>
      <c r="H219" s="43" t="str">
        <f>_xlfn.XLOOKUP($A219,Map!$A:$A,Map!D:D)</f>
        <v>Depreciation expenses</v>
      </c>
      <c r="I219" s="43" t="str">
        <f>_xlfn.XLOOKUP($A219,Map!$A:$A,Map!E:E)</f>
        <v>Depreciation expenses</v>
      </c>
      <c r="J219" s="43" t="str">
        <f>_xlfn.XLOOKUP($A219,Map!$A:$A,Map!F:F)</f>
        <v>Depreciation of property, plant and equipment</v>
      </c>
    </row>
    <row r="220" spans="1:10" x14ac:dyDescent="0.25">
      <c r="A220">
        <v>700052</v>
      </c>
      <c r="B220" t="s">
        <v>1073</v>
      </c>
      <c r="C220" s="116">
        <v>0</v>
      </c>
      <c r="D220" s="116">
        <v>0</v>
      </c>
      <c r="E220" s="116">
        <v>0</v>
      </c>
      <c r="F220" s="116">
        <v>0</v>
      </c>
      <c r="G220" s="43" t="str">
        <f>_xlfn.XLOOKUP($A220,Map!$A:$A,Map!C:C)</f>
        <v>IS</v>
      </c>
      <c r="H220" s="43" t="str">
        <f>_xlfn.XLOOKUP($A220,Map!$A:$A,Map!D:D)</f>
        <v>Depreciation expenses</v>
      </c>
      <c r="I220" s="43" t="str">
        <f>_xlfn.XLOOKUP($A220,Map!$A:$A,Map!E:E)</f>
        <v>Depreciation expenses</v>
      </c>
      <c r="J220" s="43" t="str">
        <f>_xlfn.XLOOKUP($A220,Map!$A:$A,Map!F:F)</f>
        <v>Depreciation of property, plant and equipment</v>
      </c>
    </row>
    <row r="221" spans="1:10" x14ac:dyDescent="0.25">
      <c r="A221">
        <v>700053</v>
      </c>
      <c r="B221" t="s">
        <v>1074</v>
      </c>
      <c r="C221" s="116">
        <v>0</v>
      </c>
      <c r="D221" s="116">
        <v>0</v>
      </c>
      <c r="E221" s="116">
        <v>0</v>
      </c>
      <c r="F221" s="116">
        <v>0</v>
      </c>
      <c r="G221" s="43" t="str">
        <f>_xlfn.XLOOKUP($A221,Map!$A:$A,Map!C:C)</f>
        <v>IS</v>
      </c>
      <c r="H221" s="43" t="str">
        <f>_xlfn.XLOOKUP($A221,Map!$A:$A,Map!D:D)</f>
        <v>Depreciation expenses</v>
      </c>
      <c r="I221" s="43" t="str">
        <f>_xlfn.XLOOKUP($A221,Map!$A:$A,Map!E:E)</f>
        <v>Depreciation expenses</v>
      </c>
      <c r="J221" s="43" t="str">
        <f>_xlfn.XLOOKUP($A221,Map!$A:$A,Map!F:F)</f>
        <v>Depreciation of property, plant and equipment</v>
      </c>
    </row>
    <row r="222" spans="1:10" x14ac:dyDescent="0.25">
      <c r="A222">
        <v>700054</v>
      </c>
      <c r="B222" t="s">
        <v>1075</v>
      </c>
      <c r="C222" s="116">
        <v>0</v>
      </c>
      <c r="D222" s="116">
        <v>248830.22099999999</v>
      </c>
      <c r="E222" s="116">
        <v>37311.339999999997</v>
      </c>
      <c r="F222" s="116">
        <v>211518.88099999999</v>
      </c>
      <c r="G222" s="43" t="str">
        <f>_xlfn.XLOOKUP($A222,Map!$A:$A,Map!C:C)</f>
        <v>IS</v>
      </c>
      <c r="H222" s="43" t="str">
        <f>_xlfn.XLOOKUP($A222,Map!$A:$A,Map!D:D)</f>
        <v>Depreciation expenses</v>
      </c>
      <c r="I222" s="43" t="str">
        <f>_xlfn.XLOOKUP($A222,Map!$A:$A,Map!E:E)</f>
        <v>Depreciation expenses</v>
      </c>
      <c r="J222" s="43" t="str">
        <f>_xlfn.XLOOKUP($A222,Map!$A:$A,Map!F:F)</f>
        <v>Depreciation of property, plant and equipment</v>
      </c>
    </row>
    <row r="223" spans="1:10" x14ac:dyDescent="0.25">
      <c r="A223">
        <v>700055</v>
      </c>
      <c r="B223" t="s">
        <v>1076</v>
      </c>
      <c r="C223" s="116">
        <v>0</v>
      </c>
      <c r="D223" s="116">
        <v>65055.127</v>
      </c>
      <c r="E223" s="116">
        <v>0</v>
      </c>
      <c r="F223" s="116">
        <v>65055.127</v>
      </c>
      <c r="G223" s="43" t="str">
        <f>_xlfn.XLOOKUP($A223,Map!$A:$A,Map!C:C)</f>
        <v>IS</v>
      </c>
      <c r="H223" s="43" t="str">
        <f>_xlfn.XLOOKUP($A223,Map!$A:$A,Map!D:D)</f>
        <v>Depreciation expenses</v>
      </c>
      <c r="I223" s="43" t="str">
        <f>_xlfn.XLOOKUP($A223,Map!$A:$A,Map!E:E)</f>
        <v>Depreciation expenses</v>
      </c>
      <c r="J223" s="43" t="str">
        <f>_xlfn.XLOOKUP($A223,Map!$A:$A,Map!F:F)</f>
        <v>Depreciation of property, plant and equipment</v>
      </c>
    </row>
    <row r="224" spans="1:10" x14ac:dyDescent="0.25">
      <c r="A224">
        <v>700056</v>
      </c>
      <c r="B224" t="s">
        <v>1077</v>
      </c>
      <c r="C224" s="116">
        <v>0</v>
      </c>
      <c r="D224" s="116">
        <v>0</v>
      </c>
      <c r="E224" s="116">
        <v>0</v>
      </c>
      <c r="F224" s="116">
        <v>0</v>
      </c>
      <c r="G224" s="43" t="str">
        <f>_xlfn.XLOOKUP($A224,Map!$A:$A,Map!C:C)</f>
        <v>IS</v>
      </c>
      <c r="H224" s="43" t="str">
        <f>_xlfn.XLOOKUP($A224,Map!$A:$A,Map!D:D)</f>
        <v>Depreciation expenses</v>
      </c>
      <c r="I224" s="43" t="str">
        <f>_xlfn.XLOOKUP($A224,Map!$A:$A,Map!E:E)</f>
        <v>Depreciation expenses</v>
      </c>
      <c r="J224" s="43" t="str">
        <f>_xlfn.XLOOKUP($A224,Map!$A:$A,Map!F:F)</f>
        <v>Depreciation of property, plant and equipment</v>
      </c>
    </row>
    <row r="225" spans="1:10" x14ac:dyDescent="0.25">
      <c r="A225">
        <v>700057</v>
      </c>
      <c r="B225" t="s">
        <v>1078</v>
      </c>
      <c r="C225" s="116">
        <v>0</v>
      </c>
      <c r="D225" s="116">
        <v>284000.00400000002</v>
      </c>
      <c r="E225" s="116">
        <v>0</v>
      </c>
      <c r="F225" s="116">
        <v>284000.00400000002</v>
      </c>
      <c r="G225" s="43" t="str">
        <f>_xlfn.XLOOKUP($A225,Map!$A:$A,Map!C:C)</f>
        <v>IS</v>
      </c>
      <c r="H225" s="43" t="str">
        <f>_xlfn.XLOOKUP($A225,Map!$A:$A,Map!D:D)</f>
        <v>Cost of sales</v>
      </c>
      <c r="I225" s="43" t="str">
        <f>_xlfn.XLOOKUP($A225,Map!$A:$A,Map!E:E)</f>
        <v>Overhead - Rent</v>
      </c>
      <c r="J225" s="43" t="str">
        <f>_xlfn.XLOOKUP($A225,Map!$A:$A,Map!F:F)</f>
        <v>Warehouse Rent ( Khamis, Rioyadh, Dammam)</v>
      </c>
    </row>
    <row r="226" spans="1:10" x14ac:dyDescent="0.25">
      <c r="A226">
        <v>700058</v>
      </c>
      <c r="B226" t="s">
        <v>1079</v>
      </c>
      <c r="C226" s="116">
        <v>0</v>
      </c>
      <c r="D226" s="116">
        <v>4000</v>
      </c>
      <c r="E226" s="116">
        <v>0</v>
      </c>
      <c r="F226" s="116">
        <v>4000</v>
      </c>
      <c r="G226" s="43" t="str">
        <f>_xlfn.XLOOKUP($A226,Map!$A:$A,Map!C:C)</f>
        <v>IS</v>
      </c>
      <c r="H226" s="43" t="str">
        <f>_xlfn.XLOOKUP($A226,Map!$A:$A,Map!D:D)</f>
        <v>Selling and Marketing</v>
      </c>
      <c r="I226" s="43" t="str">
        <f>_xlfn.XLOOKUP($A226,Map!$A:$A,Map!E:E)</f>
        <v>Advertising and promotion expenses</v>
      </c>
      <c r="J226" s="43" t="str">
        <f>_xlfn.XLOOKUP($A226,Map!$A:$A,Map!F:F)</f>
        <v>Advertising and promotion expenses</v>
      </c>
    </row>
    <row r="227" spans="1:10" x14ac:dyDescent="0.25">
      <c r="A227">
        <v>700059</v>
      </c>
      <c r="B227" t="s">
        <v>1080</v>
      </c>
      <c r="C227" s="116">
        <v>0</v>
      </c>
      <c r="D227" s="116">
        <v>0</v>
      </c>
      <c r="E227" s="116">
        <v>0</v>
      </c>
      <c r="F227" s="116">
        <v>0</v>
      </c>
      <c r="G227" s="43" t="str">
        <f>_xlfn.XLOOKUP($A227,Map!$A:$A,Map!C:C)</f>
        <v>IS</v>
      </c>
      <c r="H227" s="43" t="str">
        <f>_xlfn.XLOOKUP($A227,Map!$A:$A,Map!D:D)</f>
        <v>Selling and Marketing</v>
      </c>
      <c r="I227" s="43" t="str">
        <f>_xlfn.XLOOKUP($A227,Map!$A:$A,Map!E:E)</f>
        <v>Exhibitions</v>
      </c>
      <c r="J227" s="43" t="str">
        <f>_xlfn.XLOOKUP($A227,Map!$A:$A,Map!F:F)</f>
        <v>Exhibitions</v>
      </c>
    </row>
    <row r="228" spans="1:10" x14ac:dyDescent="0.25">
      <c r="A228">
        <v>700060</v>
      </c>
      <c r="B228" t="s">
        <v>1081</v>
      </c>
      <c r="C228" s="116">
        <v>0</v>
      </c>
      <c r="D228" s="116">
        <v>3879437.1570000001</v>
      </c>
      <c r="E228" s="116">
        <v>1187379.82</v>
      </c>
      <c r="F228" s="116">
        <v>2692057.3369999998</v>
      </c>
      <c r="G228" s="43" t="str">
        <f>_xlfn.XLOOKUP($A228,Map!$A:$A,Map!C:C)</f>
        <v>IS</v>
      </c>
      <c r="H228" s="43" t="str">
        <f>_xlfn.XLOOKUP($A228,Map!$A:$A,Map!D:D)</f>
        <v>Selling and Marketing</v>
      </c>
      <c r="I228" s="43" t="str">
        <f>_xlfn.XLOOKUP($A228,Map!$A:$A,Map!E:E)</f>
        <v>Freight and shipping expenses (S&amp;D)</v>
      </c>
      <c r="J228" s="43" t="str">
        <f>_xlfn.XLOOKUP($A228,Map!$A:$A,Map!F:F)</f>
        <v>Outbound freight / shipping — reclassified below gross profit under IFRS</v>
      </c>
    </row>
    <row r="229" spans="1:10" x14ac:dyDescent="0.25">
      <c r="A229">
        <v>700061</v>
      </c>
      <c r="B229" t="s">
        <v>1082</v>
      </c>
      <c r="C229" s="116">
        <v>0</v>
      </c>
      <c r="D229" s="116">
        <v>254893.24</v>
      </c>
      <c r="E229" s="116">
        <v>0</v>
      </c>
      <c r="F229" s="116">
        <v>254893.24</v>
      </c>
      <c r="G229" s="43" t="str">
        <f>_xlfn.XLOOKUP($A229,Map!$A:$A,Map!C:C)</f>
        <v>IS</v>
      </c>
      <c r="H229" s="43" t="str">
        <f>_xlfn.XLOOKUP($A229,Map!$A:$A,Map!D:D)</f>
        <v>Selling and Marketing</v>
      </c>
      <c r="I229" s="43" t="str">
        <f>_xlfn.XLOOKUP($A229,Map!$A:$A,Map!E:E)</f>
        <v>Commission expenses</v>
      </c>
      <c r="J229" s="43" t="str">
        <f>_xlfn.XLOOKUP($A229,Map!$A:$A,Map!F:F)</f>
        <v>Commission expenses</v>
      </c>
    </row>
    <row r="230" spans="1:10" x14ac:dyDescent="0.25">
      <c r="A230">
        <v>700062</v>
      </c>
      <c r="B230" t="s">
        <v>1083</v>
      </c>
      <c r="C230" s="116">
        <v>0</v>
      </c>
      <c r="D230" s="116">
        <v>333333.32400000002</v>
      </c>
      <c r="E230" s="116">
        <v>7872.32</v>
      </c>
      <c r="F230" s="116">
        <v>325461.00400000002</v>
      </c>
      <c r="G230" s="43" t="str">
        <f>_xlfn.XLOOKUP($A230,Map!$A:$A,Map!C:C)</f>
        <v>IS</v>
      </c>
      <c r="H230" s="43" t="str">
        <f>_xlfn.XLOOKUP($A230,Map!$A:$A,Map!D:D)</f>
        <v>Revised provision on Bad Debts</v>
      </c>
      <c r="I230" s="43" t="str">
        <f>_xlfn.XLOOKUP($A230,Map!$A:$A,Map!E:E)</f>
        <v>Bad debts expense</v>
      </c>
      <c r="J230" s="43" t="str">
        <f>_xlfn.XLOOKUP($A230,Map!$A:$A,Map!F:F)</f>
        <v>Bad debts expense</v>
      </c>
    </row>
    <row r="231" spans="1:10" x14ac:dyDescent="0.25">
      <c r="A231">
        <v>700063</v>
      </c>
      <c r="B231" t="s">
        <v>1084</v>
      </c>
      <c r="C231" s="116">
        <v>0</v>
      </c>
      <c r="D231" s="116">
        <v>1001491.04</v>
      </c>
      <c r="E231" s="116">
        <v>90937.32</v>
      </c>
      <c r="F231" s="116">
        <v>910553.72</v>
      </c>
      <c r="G231" s="43" t="str">
        <f>_xlfn.XLOOKUP($A231,Map!$A:$A,Map!C:C)</f>
        <v>IS</v>
      </c>
      <c r="H231" s="43" t="str">
        <f>_xlfn.XLOOKUP($A231,Map!$A:$A,Map!D:D)</f>
        <v>General and Admin</v>
      </c>
      <c r="I231" s="43" t="str">
        <f>_xlfn.XLOOKUP($A231,Map!$A:$A,Map!E:E)</f>
        <v>Salaries and wages</v>
      </c>
      <c r="J231" s="43" t="str">
        <f>_xlfn.XLOOKUP($A231,Map!$A:$A,Map!F:F)</f>
        <v>GOSI</v>
      </c>
    </row>
    <row r="232" spans="1:10" x14ac:dyDescent="0.25">
      <c r="A232">
        <v>700064</v>
      </c>
      <c r="B232" t="s">
        <v>1085</v>
      </c>
      <c r="C232" s="116">
        <v>0</v>
      </c>
      <c r="D232" s="116">
        <v>0</v>
      </c>
      <c r="E232" s="116">
        <v>0</v>
      </c>
      <c r="F232" s="116">
        <v>0</v>
      </c>
      <c r="G232" s="43" t="str">
        <f>_xlfn.XLOOKUP($A232,Map!$A:$A,Map!C:C)</f>
        <v>IS</v>
      </c>
      <c r="H232" s="43" t="str">
        <f>_xlfn.XLOOKUP($A232,Map!$A:$A,Map!D:D)</f>
        <v>Pre-operating expenses</v>
      </c>
      <c r="I232" s="43" t="str">
        <f>_xlfn.XLOOKUP($A232,Map!$A:$A,Map!E:E)</f>
        <v>Pre-operating expenses</v>
      </c>
      <c r="J232" s="43" t="str">
        <f>_xlfn.XLOOKUP($A232,Map!$A:$A,Map!F:F)</f>
        <v>Amortization</v>
      </c>
    </row>
    <row r="233" spans="1:10" x14ac:dyDescent="0.25">
      <c r="A233">
        <v>700065</v>
      </c>
      <c r="B233" t="s">
        <v>1086</v>
      </c>
      <c r="C233" s="116">
        <v>0</v>
      </c>
      <c r="D233" s="116">
        <v>63176.355000000003</v>
      </c>
      <c r="E233" s="116">
        <v>1271.789</v>
      </c>
      <c r="F233" s="116">
        <v>61904.565999999999</v>
      </c>
      <c r="G233" s="43" t="str">
        <f>_xlfn.XLOOKUP($A233,Map!$A:$A,Map!C:C)</f>
        <v>IS</v>
      </c>
      <c r="H233" s="43" t="str">
        <f>_xlfn.XLOOKUP($A233,Map!$A:$A,Map!D:D)</f>
        <v>Finance cost</v>
      </c>
      <c r="I233" s="43" t="str">
        <f>_xlfn.XLOOKUP($A233,Map!$A:$A,Map!E:E)</f>
        <v>Finance cost</v>
      </c>
      <c r="J233" s="43" t="str">
        <f>_xlfn.XLOOKUP($A233,Map!$A:$A,Map!F:F)</f>
        <v>Lease interest</v>
      </c>
    </row>
    <row r="234" spans="1:10" x14ac:dyDescent="0.25">
      <c r="A234">
        <v>700066</v>
      </c>
      <c r="B234" t="s">
        <v>1087</v>
      </c>
      <c r="C234" s="116">
        <v>0</v>
      </c>
      <c r="D234" s="116">
        <v>103000</v>
      </c>
      <c r="E234" s="116">
        <v>8240</v>
      </c>
      <c r="F234" s="116">
        <v>94760</v>
      </c>
      <c r="G234" s="43" t="str">
        <f>_xlfn.XLOOKUP($A234,Map!$A:$A,Map!C:C)</f>
        <v>IS</v>
      </c>
      <c r="H234" s="43" t="str">
        <f>_xlfn.XLOOKUP($A234,Map!$A:$A,Map!D:D)</f>
        <v>General and Admin</v>
      </c>
      <c r="I234" s="43" t="str">
        <f>_xlfn.XLOOKUP($A234,Map!$A:$A,Map!E:E)</f>
        <v>Govt license and fees (including modon)</v>
      </c>
      <c r="J234" s="43" t="str">
        <f>_xlfn.XLOOKUP($A234,Map!$A:$A,Map!F:F)</f>
        <v>3rd Industrial Area Lease Provision</v>
      </c>
    </row>
    <row r="235" spans="1:10" x14ac:dyDescent="0.25">
      <c r="A235">
        <v>800001</v>
      </c>
      <c r="B235" t="s">
        <v>1099</v>
      </c>
      <c r="C235" s="116">
        <v>0</v>
      </c>
      <c r="D235" s="116">
        <v>0</v>
      </c>
      <c r="E235" s="116">
        <v>444285</v>
      </c>
      <c r="F235" s="116">
        <v>-444285</v>
      </c>
      <c r="G235" s="43" t="str">
        <f>_xlfn.XLOOKUP($A235,Map!$A:$A,Map!C:C)</f>
        <v>IS</v>
      </c>
      <c r="H235" s="43" t="str">
        <f>_xlfn.XLOOKUP($A235,Map!$A:$A,Map!D:D)</f>
        <v>General and Admin</v>
      </c>
      <c r="I235" s="43" t="str">
        <f>_xlfn.XLOOKUP($A235,Map!$A:$A,Map!E:E)</f>
        <v>Salaries and wages</v>
      </c>
      <c r="J235" s="43" t="str">
        <f>_xlfn.XLOOKUP($A235,Map!$A:$A,Map!F:F)</f>
        <v>Aims Holding current account expense — per Sep-26 IFRS report</v>
      </c>
    </row>
    <row r="237" spans="1:10" x14ac:dyDescent="0.25">
      <c r="C237" s="153">
        <f>SUBTOTAL(9,C5:C236)</f>
        <v>-1.4901161193847656E-8</v>
      </c>
      <c r="D237" s="153">
        <f>SUBTOTAL(9,D5:D236)</f>
        <v>2039790130.9910004</v>
      </c>
      <c r="E237" s="153">
        <f>SUBTOTAL(9,E5:E236)</f>
        <v>2039790130.9910009</v>
      </c>
      <c r="F237" s="153">
        <f>SUBTOTAL(9,F5:F236)</f>
        <v>7.834751158952713E-8</v>
      </c>
    </row>
    <row r="238" spans="1:10" x14ac:dyDescent="0.25">
      <c r="C238" s="153"/>
      <c r="D238" s="153"/>
      <c r="E238" s="153"/>
      <c r="F238" s="153"/>
    </row>
    <row r="239" spans="1:10" x14ac:dyDescent="0.25">
      <c r="A239" s="85" t="s">
        <v>1341</v>
      </c>
      <c r="D239" s="116"/>
      <c r="E239" s="116"/>
    </row>
    <row r="240" spans="1:10" x14ac:dyDescent="0.25">
      <c r="A240">
        <v>600033</v>
      </c>
      <c r="B240" t="s">
        <v>1357</v>
      </c>
      <c r="D240" s="116">
        <v>160112.508</v>
      </c>
      <c r="E240" s="116">
        <v>0</v>
      </c>
      <c r="F240" s="116">
        <f t="shared" ref="F240:F271" si="0">D240-E240</f>
        <v>160112.508</v>
      </c>
      <c r="G240" s="43" t="str">
        <f>_xlfn.XLOOKUP($A240,Map!$A:$A,Map!C:C)</f>
        <v>IS</v>
      </c>
      <c r="H240" s="43" t="str">
        <f>_xlfn.XLOOKUP($A240,Map!$A:$A,Map!D:D)</f>
        <v>Depreciation expenses</v>
      </c>
      <c r="I240" s="43" t="str">
        <f>_xlfn.XLOOKUP($A240,Map!$A:$A,Map!E:E)</f>
        <v>Depreciation expenses</v>
      </c>
      <c r="J240" s="43" t="str">
        <f>_xlfn.XLOOKUP($A240,Map!$A:$A,Map!F:F)</f>
        <v>Depreciation of property, plant and equipment</v>
      </c>
    </row>
    <row r="241" spans="1:10" x14ac:dyDescent="0.25">
      <c r="A241">
        <v>600032</v>
      </c>
      <c r="B241" t="s">
        <v>1357</v>
      </c>
      <c r="D241" s="116">
        <v>1491578.6159999999</v>
      </c>
      <c r="E241" s="116">
        <v>0</v>
      </c>
      <c r="F241" s="116">
        <f t="shared" si="0"/>
        <v>1491578.6159999999</v>
      </c>
      <c r="G241" s="43" t="str">
        <f>_xlfn.XLOOKUP($A241,Map!$A:$A,Map!C:C)</f>
        <v>IS</v>
      </c>
      <c r="H241" s="43" t="str">
        <f>_xlfn.XLOOKUP($A241,Map!$A:$A,Map!D:D)</f>
        <v>Depreciation expenses</v>
      </c>
      <c r="I241" s="43" t="str">
        <f>_xlfn.XLOOKUP($A241,Map!$A:$A,Map!E:E)</f>
        <v>Depreciation expenses</v>
      </c>
      <c r="J241" s="43" t="str">
        <f>_xlfn.XLOOKUP($A241,Map!$A:$A,Map!F:F)</f>
        <v>Depreciation of property, plant and equipment</v>
      </c>
    </row>
    <row r="242" spans="1:10" x14ac:dyDescent="0.25">
      <c r="A242">
        <v>600031</v>
      </c>
      <c r="B242" t="s">
        <v>1357</v>
      </c>
      <c r="D242" s="116">
        <v>0</v>
      </c>
      <c r="E242" s="116">
        <v>0</v>
      </c>
      <c r="F242" s="116">
        <f t="shared" si="0"/>
        <v>0</v>
      </c>
      <c r="G242" s="43" t="str">
        <f>_xlfn.XLOOKUP($A242,Map!$A:$A,Map!C:C)</f>
        <v>IS</v>
      </c>
      <c r="H242" s="43" t="str">
        <f>_xlfn.XLOOKUP($A242,Map!$A:$A,Map!D:D)</f>
        <v>Depreciation expenses</v>
      </c>
      <c r="I242" s="43" t="str">
        <f>_xlfn.XLOOKUP($A242,Map!$A:$A,Map!E:E)</f>
        <v>Depreciation expenses</v>
      </c>
      <c r="J242" s="43" t="str">
        <f>_xlfn.XLOOKUP($A242,Map!$A:$A,Map!F:F)</f>
        <v>Depreciation of property, plant and equipment</v>
      </c>
    </row>
    <row r="243" spans="1:10" x14ac:dyDescent="0.25">
      <c r="A243">
        <v>600030</v>
      </c>
      <c r="B243" t="s">
        <v>1357</v>
      </c>
      <c r="D243" s="116">
        <v>56147.614999999998</v>
      </c>
      <c r="E243" s="116">
        <v>0</v>
      </c>
      <c r="F243" s="116">
        <f t="shared" si="0"/>
        <v>56147.614999999998</v>
      </c>
      <c r="G243" s="43" t="str">
        <f>_xlfn.XLOOKUP($A243,Map!$A:$A,Map!C:C)</f>
        <v>IS</v>
      </c>
      <c r="H243" s="43" t="str">
        <f>_xlfn.XLOOKUP($A243,Map!$A:$A,Map!D:D)</f>
        <v>Depreciation expenses</v>
      </c>
      <c r="I243" s="43" t="str">
        <f>_xlfn.XLOOKUP($A243,Map!$A:$A,Map!E:E)</f>
        <v>Depreciation expenses</v>
      </c>
      <c r="J243" s="43" t="str">
        <f>_xlfn.XLOOKUP($A243,Map!$A:$A,Map!F:F)</f>
        <v>Depreciation of property, plant and equipment</v>
      </c>
    </row>
    <row r="244" spans="1:10" x14ac:dyDescent="0.25">
      <c r="A244">
        <v>600029</v>
      </c>
      <c r="B244" t="s">
        <v>1357</v>
      </c>
      <c r="D244" s="116">
        <v>3256640.844</v>
      </c>
      <c r="E244" s="116">
        <v>0</v>
      </c>
      <c r="F244" s="116">
        <f t="shared" si="0"/>
        <v>3256640.844</v>
      </c>
      <c r="G244" s="43" t="str">
        <f>_xlfn.XLOOKUP($A244,Map!$A:$A,Map!C:C)</f>
        <v>IS</v>
      </c>
      <c r="H244" s="43" t="str">
        <f>_xlfn.XLOOKUP($A244,Map!$A:$A,Map!D:D)</f>
        <v>Cost of sales</v>
      </c>
      <c r="I244" s="43" t="str">
        <f>_xlfn.XLOOKUP($A244,Map!$A:$A,Map!E:E)</f>
        <v>Depreciation - Machines</v>
      </c>
      <c r="J244" s="43" t="str">
        <f>_xlfn.XLOOKUP($A244,Map!$A:$A,Map!F:F)</f>
        <v>Depreciation of property, plant and equipment</v>
      </c>
    </row>
    <row r="245" spans="1:10" x14ac:dyDescent="0.25">
      <c r="A245">
        <v>600028</v>
      </c>
      <c r="B245" t="s">
        <v>1357</v>
      </c>
      <c r="D245" s="116">
        <v>38057.71</v>
      </c>
      <c r="E245" s="116">
        <v>0</v>
      </c>
      <c r="F245" s="116">
        <f t="shared" si="0"/>
        <v>38057.71</v>
      </c>
      <c r="G245" s="43" t="str">
        <f>_xlfn.XLOOKUP($A245,Map!$A:$A,Map!C:C)</f>
        <v>IS</v>
      </c>
      <c r="H245" s="43" t="str">
        <f>_xlfn.XLOOKUP($A245,Map!$A:$A,Map!D:D)</f>
        <v>Cost of sales</v>
      </c>
      <c r="I245" s="43" t="str">
        <f>_xlfn.XLOOKUP($A245,Map!$A:$A,Map!E:E)</f>
        <v>Overhead - Consumables &amp; SP</v>
      </c>
      <c r="J245" s="43" t="str">
        <f>_xlfn.XLOOKUP($A245,Map!$A:$A,Map!F:F)</f>
        <v xml:space="preserve">Education &amp; Furniture Allowances </v>
      </c>
    </row>
    <row r="246" spans="1:10" x14ac:dyDescent="0.25">
      <c r="A246">
        <v>600027</v>
      </c>
      <c r="B246" t="s">
        <v>1357</v>
      </c>
      <c r="D246" s="116">
        <v>20884.348000000002</v>
      </c>
      <c r="E246" s="116">
        <v>0</v>
      </c>
      <c r="F246" s="116">
        <f t="shared" si="0"/>
        <v>20884.348000000002</v>
      </c>
      <c r="G246" s="43" t="str">
        <f>_xlfn.XLOOKUP($A246,Map!$A:$A,Map!C:C)</f>
        <v>IS</v>
      </c>
      <c r="H246" s="43" t="str">
        <f>_xlfn.XLOOKUP($A246,Map!$A:$A,Map!D:D)</f>
        <v>Cost of sales</v>
      </c>
      <c r="I246" s="43" t="str">
        <f>_xlfn.XLOOKUP($A246,Map!$A:$A,Map!E:E)</f>
        <v>Overhead - Rent</v>
      </c>
      <c r="J246" s="43" t="str">
        <f>_xlfn.XLOOKUP($A246,Map!$A:$A,Map!F:F)</f>
        <v>Production hall rental</v>
      </c>
    </row>
    <row r="247" spans="1:10" x14ac:dyDescent="0.25">
      <c r="A247">
        <v>600026</v>
      </c>
      <c r="B247" t="s">
        <v>1357</v>
      </c>
      <c r="D247" s="116">
        <v>0</v>
      </c>
      <c r="E247" s="116">
        <v>0</v>
      </c>
      <c r="F247" s="116">
        <f t="shared" si="0"/>
        <v>0</v>
      </c>
      <c r="G247" s="43" t="str">
        <f>_xlfn.XLOOKUP($A247,Map!$A:$A,Map!C:C)</f>
        <v>IS</v>
      </c>
      <c r="H247" s="43" t="str">
        <f>_xlfn.XLOOKUP($A247,Map!$A:$A,Map!D:D)</f>
        <v>Cost of sales</v>
      </c>
      <c r="I247" s="43" t="str">
        <f>_xlfn.XLOOKUP($A247,Map!$A:$A,Map!E:E)</f>
        <v>Overhead - Insurance</v>
      </c>
      <c r="J247" s="43" t="str">
        <f>_xlfn.XLOOKUP($A247,Map!$A:$A,Map!F:F)</f>
        <v>Machine and equipment insurance</v>
      </c>
    </row>
    <row r="248" spans="1:10" x14ac:dyDescent="0.25">
      <c r="A248">
        <v>600025</v>
      </c>
      <c r="B248" t="s">
        <v>1357</v>
      </c>
      <c r="D248" s="116">
        <v>0</v>
      </c>
      <c r="E248" s="116">
        <v>0</v>
      </c>
      <c r="F248" s="116">
        <f t="shared" si="0"/>
        <v>0</v>
      </c>
      <c r="G248" s="43" t="str">
        <f>_xlfn.XLOOKUP($A248,Map!$A:$A,Map!C:C)</f>
        <v>IS</v>
      </c>
      <c r="H248" s="43" t="str">
        <f>_xlfn.XLOOKUP($A248,Map!$A:$A,Map!D:D)</f>
        <v>Cost of sales</v>
      </c>
      <c r="I248" s="43" t="str">
        <f>_xlfn.XLOOKUP($A248,Map!$A:$A,Map!E:E)</f>
        <v>Overhead - Insurance</v>
      </c>
      <c r="J248" s="43" t="str">
        <f>_xlfn.XLOOKUP($A248,Map!$A:$A,Map!F:F)</f>
        <v>Building insurance</v>
      </c>
    </row>
    <row r="249" spans="1:10" x14ac:dyDescent="0.25">
      <c r="A249">
        <v>600024</v>
      </c>
      <c r="B249" t="s">
        <v>1357</v>
      </c>
      <c r="D249" s="116">
        <v>14937.3</v>
      </c>
      <c r="E249" s="116">
        <v>0</v>
      </c>
      <c r="F249" s="116">
        <f t="shared" si="0"/>
        <v>14937.3</v>
      </c>
      <c r="G249" s="43" t="str">
        <f>_xlfn.XLOOKUP($A249,Map!$A:$A,Map!C:C)</f>
        <v>IS</v>
      </c>
      <c r="H249" s="43" t="str">
        <f>_xlfn.XLOOKUP($A249,Map!$A:$A,Map!D:D)</f>
        <v>Cost of sales</v>
      </c>
      <c r="I249" s="43" t="str">
        <f>_xlfn.XLOOKUP($A249,Map!$A:$A,Map!E:E)</f>
        <v>Overhead - Rent</v>
      </c>
      <c r="J249" s="43" t="str">
        <f>_xlfn.XLOOKUP($A249,Map!$A:$A,Map!F:F)</f>
        <v>Pump rental expenses</v>
      </c>
    </row>
    <row r="250" spans="1:10" x14ac:dyDescent="0.25">
      <c r="A250">
        <v>600023</v>
      </c>
      <c r="B250" t="s">
        <v>1357</v>
      </c>
      <c r="D250" s="116">
        <v>2528.75</v>
      </c>
      <c r="E250" s="116">
        <v>0</v>
      </c>
      <c r="F250" s="116">
        <f t="shared" si="0"/>
        <v>2528.75</v>
      </c>
      <c r="G250" s="43" t="str">
        <f>_xlfn.XLOOKUP($A250,Map!$A:$A,Map!C:C)</f>
        <v>IS</v>
      </c>
      <c r="H250" s="43" t="str">
        <f>_xlfn.XLOOKUP($A250,Map!$A:$A,Map!D:D)</f>
        <v>Cost of sales</v>
      </c>
      <c r="I250" s="43" t="str">
        <f>_xlfn.XLOOKUP($A250,Map!$A:$A,Map!E:E)</f>
        <v>Overhead - R&amp;M</v>
      </c>
      <c r="J250" s="43" t="str">
        <f>_xlfn.XLOOKUP($A250,Map!$A:$A,Map!F:F)</f>
        <v>Office equipment maintenance</v>
      </c>
    </row>
    <row r="251" spans="1:10" x14ac:dyDescent="0.25">
      <c r="A251">
        <v>600022</v>
      </c>
      <c r="B251" t="s">
        <v>1357</v>
      </c>
      <c r="D251" s="116">
        <v>122092.9</v>
      </c>
      <c r="E251" s="116">
        <v>0</v>
      </c>
      <c r="F251" s="116">
        <f t="shared" si="0"/>
        <v>122092.9</v>
      </c>
      <c r="G251" s="43" t="str">
        <f>_xlfn.XLOOKUP($A251,Map!$A:$A,Map!C:C)</f>
        <v>IS</v>
      </c>
      <c r="H251" s="43" t="str">
        <f>_xlfn.XLOOKUP($A251,Map!$A:$A,Map!D:D)</f>
        <v>Cost of sales</v>
      </c>
      <c r="I251" s="43" t="str">
        <f>_xlfn.XLOOKUP($A251,Map!$A:$A,Map!E:E)</f>
        <v>Overhead - R&amp;M</v>
      </c>
      <c r="J251" s="43" t="str">
        <f>_xlfn.XLOOKUP($A251,Map!$A:$A,Map!F:F)</f>
        <v>Building maintenance</v>
      </c>
    </row>
    <row r="252" spans="1:10" x14ac:dyDescent="0.25">
      <c r="A252">
        <v>600021</v>
      </c>
      <c r="B252" t="s">
        <v>1357</v>
      </c>
      <c r="D252" s="116">
        <v>100491.51</v>
      </c>
      <c r="E252" s="116">
        <v>0</v>
      </c>
      <c r="F252" s="116">
        <f t="shared" si="0"/>
        <v>100491.51</v>
      </c>
      <c r="G252" s="43" t="str">
        <f>_xlfn.XLOOKUP($A252,Map!$A:$A,Map!C:C)</f>
        <v>IS</v>
      </c>
      <c r="H252" s="43" t="str">
        <f>_xlfn.XLOOKUP($A252,Map!$A:$A,Map!D:D)</f>
        <v>Cost of sales</v>
      </c>
      <c r="I252" s="43" t="str">
        <f>_xlfn.XLOOKUP($A252,Map!$A:$A,Map!E:E)</f>
        <v>Overhead - R&amp;M</v>
      </c>
      <c r="J252" s="43" t="str">
        <f>_xlfn.XLOOKUP($A252,Map!$A:$A,Map!F:F)</f>
        <v>Vehicle maintenance</v>
      </c>
    </row>
    <row r="253" spans="1:10" x14ac:dyDescent="0.25">
      <c r="A253">
        <v>600020</v>
      </c>
      <c r="B253" t="s">
        <v>1357</v>
      </c>
      <c r="D253" s="116">
        <v>241753.386</v>
      </c>
      <c r="E253" s="116">
        <v>0</v>
      </c>
      <c r="F253" s="116">
        <f t="shared" si="0"/>
        <v>241753.386</v>
      </c>
      <c r="G253" s="43" t="str">
        <f>_xlfn.XLOOKUP($A253,Map!$A:$A,Map!C:C)</f>
        <v>IS</v>
      </c>
      <c r="H253" s="43" t="str">
        <f>_xlfn.XLOOKUP($A253,Map!$A:$A,Map!D:D)</f>
        <v>Cost of sales</v>
      </c>
      <c r="I253" s="43" t="str">
        <f>_xlfn.XLOOKUP($A253,Map!$A:$A,Map!E:E)</f>
        <v>Overhead - R&amp;M</v>
      </c>
      <c r="J253" s="43" t="str">
        <f>_xlfn.XLOOKUP($A253,Map!$A:$A,Map!F:F)</f>
        <v>Machine and equipment</v>
      </c>
    </row>
    <row r="254" spans="1:10" x14ac:dyDescent="0.25">
      <c r="A254">
        <v>600019</v>
      </c>
      <c r="B254" t="s">
        <v>1357</v>
      </c>
      <c r="D254" s="116">
        <v>162035.36600000001</v>
      </c>
      <c r="E254" s="116">
        <v>0</v>
      </c>
      <c r="F254" s="116">
        <f t="shared" si="0"/>
        <v>162035.36600000001</v>
      </c>
      <c r="G254" s="43" t="str">
        <f>_xlfn.XLOOKUP($A254,Map!$A:$A,Map!C:C)</f>
        <v>IS</v>
      </c>
      <c r="H254" s="43" t="str">
        <f>_xlfn.XLOOKUP($A254,Map!$A:$A,Map!D:D)</f>
        <v>Cost of sales</v>
      </c>
      <c r="I254" s="43" t="str">
        <f>_xlfn.XLOOKUP($A254,Map!$A:$A,Map!E:E)</f>
        <v>Overhead - Utility</v>
      </c>
      <c r="J254" s="43" t="str">
        <f>_xlfn.XLOOKUP($A254,Map!$A:$A,Map!F:F)</f>
        <v>Fuel and oil</v>
      </c>
    </row>
    <row r="255" spans="1:10" x14ac:dyDescent="0.25">
      <c r="A255">
        <v>600018</v>
      </c>
      <c r="B255" t="s">
        <v>1357</v>
      </c>
      <c r="D255" s="116">
        <v>270503</v>
      </c>
      <c r="E255" s="116">
        <v>0</v>
      </c>
      <c r="F255" s="116">
        <f t="shared" si="0"/>
        <v>270503</v>
      </c>
      <c r="G255" s="43" t="str">
        <f>_xlfn.XLOOKUP($A255,Map!$A:$A,Map!C:C)</f>
        <v>IS</v>
      </c>
      <c r="H255" s="43" t="str">
        <f>_xlfn.XLOOKUP($A255,Map!$A:$A,Map!D:D)</f>
        <v>Cost of sales</v>
      </c>
      <c r="I255" s="43" t="str">
        <f>_xlfn.XLOOKUP($A255,Map!$A:$A,Map!E:E)</f>
        <v>Overhead - Utility</v>
      </c>
      <c r="J255" s="43" t="str">
        <f>_xlfn.XLOOKUP($A255,Map!$A:$A,Map!F:F)</f>
        <v>Water expenses</v>
      </c>
    </row>
    <row r="256" spans="1:10" x14ac:dyDescent="0.25">
      <c r="A256">
        <v>600017</v>
      </c>
      <c r="B256" t="s">
        <v>1357</v>
      </c>
      <c r="D256" s="116">
        <v>2001568.209</v>
      </c>
      <c r="E256" s="116">
        <v>0</v>
      </c>
      <c r="F256" s="116">
        <f t="shared" si="0"/>
        <v>2001568.209</v>
      </c>
      <c r="G256" s="43" t="str">
        <f>_xlfn.XLOOKUP($A256,Map!$A:$A,Map!C:C)</f>
        <v>IS</v>
      </c>
      <c r="H256" s="43" t="str">
        <f>_xlfn.XLOOKUP($A256,Map!$A:$A,Map!D:D)</f>
        <v>Cost of sales</v>
      </c>
      <c r="I256" s="43" t="str">
        <f>_xlfn.XLOOKUP($A256,Map!$A:$A,Map!E:E)</f>
        <v>Overhead - Utility</v>
      </c>
      <c r="J256" s="43" t="str">
        <f>_xlfn.XLOOKUP($A256,Map!$A:$A,Map!F:F)</f>
        <v>Electricity expenses</v>
      </c>
    </row>
    <row r="257" spans="1:10" x14ac:dyDescent="0.25">
      <c r="A257">
        <v>600016</v>
      </c>
      <c r="B257" t="s">
        <v>1357</v>
      </c>
      <c r="D257" s="116">
        <v>1838713.0889999999</v>
      </c>
      <c r="E257" s="116">
        <v>0</v>
      </c>
      <c r="F257" s="116">
        <f t="shared" si="0"/>
        <v>1838713.0889999999</v>
      </c>
      <c r="G257" s="43" t="str">
        <f>_xlfn.XLOOKUP($A257,Map!$A:$A,Map!C:C)</f>
        <v>IS</v>
      </c>
      <c r="H257" s="43" t="str">
        <f>_xlfn.XLOOKUP($A257,Map!$A:$A,Map!D:D)</f>
        <v>Cost of sales</v>
      </c>
      <c r="I257" s="43" t="str">
        <f>_xlfn.XLOOKUP($A257,Map!$A:$A,Map!E:E)</f>
        <v>Overhead - Consumables &amp; SP</v>
      </c>
      <c r="J257" s="43" t="str">
        <f>_xlfn.XLOOKUP($A257,Map!$A:$A,Map!F:F)</f>
        <v>Tools</v>
      </c>
    </row>
    <row r="258" spans="1:10" x14ac:dyDescent="0.25">
      <c r="A258">
        <v>600015</v>
      </c>
      <c r="B258" t="s">
        <v>1357</v>
      </c>
      <c r="D258" s="116">
        <v>0</v>
      </c>
      <c r="E258" s="116">
        <v>0</v>
      </c>
      <c r="F258" s="116">
        <f t="shared" si="0"/>
        <v>0</v>
      </c>
      <c r="G258" s="43" t="str">
        <f>_xlfn.XLOOKUP($A258,Map!$A:$A,Map!C:C)</f>
        <v>IS</v>
      </c>
      <c r="H258" s="43" t="str">
        <f>_xlfn.XLOOKUP($A258,Map!$A:$A,Map!D:D)</f>
        <v>Cost of sales</v>
      </c>
      <c r="I258" s="43" t="str">
        <f>_xlfn.XLOOKUP($A258,Map!$A:$A,Map!E:E)</f>
        <v>Overhead - Consumables &amp; SP</v>
      </c>
      <c r="J258" s="43" t="str">
        <f>_xlfn.XLOOKUP($A258,Map!$A:$A,Map!F:F)</f>
        <v>Consumables</v>
      </c>
    </row>
    <row r="259" spans="1:10" x14ac:dyDescent="0.25">
      <c r="A259">
        <v>600014</v>
      </c>
      <c r="B259" t="s">
        <v>1357</v>
      </c>
      <c r="D259" s="116">
        <v>2413846.3640000001</v>
      </c>
      <c r="E259" s="116">
        <v>0</v>
      </c>
      <c r="F259" s="116">
        <f t="shared" si="0"/>
        <v>2413846.3640000001</v>
      </c>
      <c r="G259" s="43" t="str">
        <f>_xlfn.XLOOKUP($A259,Map!$A:$A,Map!C:C)</f>
        <v>IS</v>
      </c>
      <c r="H259" s="43" t="str">
        <f>_xlfn.XLOOKUP($A259,Map!$A:$A,Map!D:D)</f>
        <v>Cost of sales</v>
      </c>
      <c r="I259" s="43" t="str">
        <f>_xlfn.XLOOKUP($A259,Map!$A:$A,Map!E:E)</f>
        <v>Overhead - Consumables &amp; SP</v>
      </c>
      <c r="J259" s="43" t="str">
        <f>_xlfn.XLOOKUP($A259,Map!$A:$A,Map!F:F)</f>
        <v>Consumables</v>
      </c>
    </row>
    <row r="260" spans="1:10" x14ac:dyDescent="0.25">
      <c r="A260">
        <v>600013</v>
      </c>
      <c r="B260" t="s">
        <v>1357</v>
      </c>
      <c r="D260" s="116">
        <v>0</v>
      </c>
      <c r="E260" s="116">
        <v>0</v>
      </c>
      <c r="F260" s="116">
        <f t="shared" si="0"/>
        <v>0</v>
      </c>
      <c r="G260" s="43" t="str">
        <f>_xlfn.XLOOKUP($A260,Map!$A:$A,Map!C:C)</f>
        <v>IS</v>
      </c>
      <c r="H260" s="43" t="str">
        <f>_xlfn.XLOOKUP($A260,Map!$A:$A,Map!D:D)</f>
        <v>Cost of sales</v>
      </c>
      <c r="I260" s="43" t="str">
        <f>_xlfn.XLOOKUP($A260,Map!$A:$A,Map!E:E)</f>
        <v>Overhead - Labor Cost</v>
      </c>
      <c r="J260" s="43" t="str">
        <f>_xlfn.XLOOKUP($A260,Map!$A:$A,Map!F:F)</f>
        <v>Telephone allowance</v>
      </c>
    </row>
    <row r="261" spans="1:10" x14ac:dyDescent="0.25">
      <c r="A261">
        <v>600012</v>
      </c>
      <c r="B261" t="s">
        <v>1357</v>
      </c>
      <c r="D261" s="116">
        <v>1650</v>
      </c>
      <c r="E261" s="116">
        <v>0</v>
      </c>
      <c r="F261" s="116">
        <f t="shared" si="0"/>
        <v>1650</v>
      </c>
      <c r="G261" s="43" t="str">
        <f>_xlfn.XLOOKUP($A261,Map!$A:$A,Map!C:C)</f>
        <v>IS</v>
      </c>
      <c r="H261" s="43" t="str">
        <f>_xlfn.XLOOKUP($A261,Map!$A:$A,Map!D:D)</f>
        <v>Cost of sales</v>
      </c>
      <c r="I261" s="43" t="str">
        <f>_xlfn.XLOOKUP($A261,Map!$A:$A,Map!E:E)</f>
        <v>Overhead - Labor Cost</v>
      </c>
      <c r="J261" s="43" t="str">
        <f>_xlfn.XLOOKUP($A261,Map!$A:$A,Map!F:F)</f>
        <v xml:space="preserve">Education &amp; Furniture Allowances </v>
      </c>
    </row>
    <row r="262" spans="1:10" x14ac:dyDescent="0.25">
      <c r="A262">
        <v>600011</v>
      </c>
      <c r="B262" t="s">
        <v>1357</v>
      </c>
      <c r="D262" s="116">
        <v>12000</v>
      </c>
      <c r="E262" s="116">
        <v>0</v>
      </c>
      <c r="F262" s="116">
        <f t="shared" si="0"/>
        <v>12000</v>
      </c>
      <c r="G262" s="43" t="str">
        <f>_xlfn.XLOOKUP($A262,Map!$A:$A,Map!C:C)</f>
        <v>IS</v>
      </c>
      <c r="H262" s="43" t="str">
        <f>_xlfn.XLOOKUP($A262,Map!$A:$A,Map!D:D)</f>
        <v>Cost of sales</v>
      </c>
      <c r="I262" s="43" t="str">
        <f>_xlfn.XLOOKUP($A262,Map!$A:$A,Map!E:E)</f>
        <v>Overhead - Labor Cost</v>
      </c>
      <c r="J262" s="43" t="str">
        <f>_xlfn.XLOOKUP($A262,Map!$A:$A,Map!F:F)</f>
        <v>Air tickets</v>
      </c>
    </row>
    <row r="263" spans="1:10" x14ac:dyDescent="0.25">
      <c r="A263">
        <v>600010</v>
      </c>
      <c r="B263" t="s">
        <v>1357</v>
      </c>
      <c r="D263" s="116">
        <v>0</v>
      </c>
      <c r="E263" s="116">
        <v>0</v>
      </c>
      <c r="F263" s="116">
        <f t="shared" si="0"/>
        <v>0</v>
      </c>
      <c r="G263" s="43" t="str">
        <f>_xlfn.XLOOKUP($A263,Map!$A:$A,Map!C:C)</f>
        <v>IS</v>
      </c>
      <c r="H263" s="43" t="str">
        <f>_xlfn.XLOOKUP($A263,Map!$A:$A,Map!D:D)</f>
        <v>Cost of sales</v>
      </c>
      <c r="I263" s="43" t="str">
        <f>_xlfn.XLOOKUP($A263,Map!$A:$A,Map!E:E)</f>
        <v>Overhead - Labor Cost</v>
      </c>
      <c r="J263" s="43" t="str">
        <f>_xlfn.XLOOKUP($A263,Map!$A:$A,Map!F:F)</f>
        <v>EOS expenses</v>
      </c>
    </row>
    <row r="264" spans="1:10" x14ac:dyDescent="0.25">
      <c r="A264">
        <v>600009</v>
      </c>
      <c r="B264" t="s">
        <v>1357</v>
      </c>
      <c r="D264" s="116">
        <v>304164.17</v>
      </c>
      <c r="E264" s="116">
        <v>0</v>
      </c>
      <c r="F264" s="116">
        <f t="shared" si="0"/>
        <v>304164.17</v>
      </c>
      <c r="G264" s="43" t="str">
        <f>_xlfn.XLOOKUP($A264,Map!$A:$A,Map!C:C)</f>
        <v>IS</v>
      </c>
      <c r="H264" s="43" t="str">
        <f>_xlfn.XLOOKUP($A264,Map!$A:$A,Map!D:D)</f>
        <v>Cost of sales</v>
      </c>
      <c r="I264" s="43" t="str">
        <f>_xlfn.XLOOKUP($A264,Map!$A:$A,Map!E:E)</f>
        <v>Overhead - Labor Cost</v>
      </c>
      <c r="J264" s="43" t="str">
        <f>_xlfn.XLOOKUP($A264,Map!$A:$A,Map!F:F)</f>
        <v>Vacation pay</v>
      </c>
    </row>
    <row r="265" spans="1:10" x14ac:dyDescent="0.25">
      <c r="A265">
        <v>600008</v>
      </c>
      <c r="B265" t="s">
        <v>1357</v>
      </c>
      <c r="D265" s="116">
        <v>133498.29</v>
      </c>
      <c r="E265" s="116">
        <v>0</v>
      </c>
      <c r="F265" s="116">
        <f t="shared" si="0"/>
        <v>133498.29</v>
      </c>
      <c r="G265" s="43" t="str">
        <f>_xlfn.XLOOKUP($A265,Map!$A:$A,Map!C:C)</f>
        <v>IS</v>
      </c>
      <c r="H265" s="43" t="str">
        <f>_xlfn.XLOOKUP($A265,Map!$A:$A,Map!D:D)</f>
        <v>Cost of sales</v>
      </c>
      <c r="I265" s="43" t="str">
        <f>_xlfn.XLOOKUP($A265,Map!$A:$A,Map!E:E)</f>
        <v>Overhead - Labor Cost</v>
      </c>
      <c r="J265" s="43" t="str">
        <f>_xlfn.XLOOKUP($A265,Map!$A:$A,Map!F:F)</f>
        <v>Air tickets</v>
      </c>
    </row>
    <row r="266" spans="1:10" x14ac:dyDescent="0.25">
      <c r="A266">
        <v>600007</v>
      </c>
      <c r="B266" t="s">
        <v>1357</v>
      </c>
      <c r="D266" s="116">
        <v>112525.18</v>
      </c>
      <c r="E266" s="116">
        <v>0</v>
      </c>
      <c r="F266" s="116">
        <f t="shared" si="0"/>
        <v>112525.18</v>
      </c>
      <c r="G266" s="43" t="str">
        <f>_xlfn.XLOOKUP($A266,Map!$A:$A,Map!C:C)</f>
        <v>IS</v>
      </c>
      <c r="H266" s="43" t="str">
        <f>_xlfn.XLOOKUP($A266,Map!$A:$A,Map!D:D)</f>
        <v>Cost of sales</v>
      </c>
      <c r="I266" s="43" t="str">
        <f>_xlfn.XLOOKUP($A266,Map!$A:$A,Map!E:E)</f>
        <v>Overhead - Labor Cost</v>
      </c>
      <c r="J266" s="43" t="str">
        <f>_xlfn.XLOOKUP($A266,Map!$A:$A,Map!F:F)</f>
        <v>Transportation allowance</v>
      </c>
    </row>
    <row r="267" spans="1:10" x14ac:dyDescent="0.25">
      <c r="A267">
        <v>600006</v>
      </c>
      <c r="B267" t="s">
        <v>1357</v>
      </c>
      <c r="D267" s="116">
        <v>488042.99599999998</v>
      </c>
      <c r="E267" s="116">
        <v>0</v>
      </c>
      <c r="F267" s="116">
        <f t="shared" si="0"/>
        <v>488042.99599999998</v>
      </c>
      <c r="G267" s="43" t="str">
        <f>_xlfn.XLOOKUP($A267,Map!$A:$A,Map!C:C)</f>
        <v>IS</v>
      </c>
      <c r="H267" s="43" t="str">
        <f>_xlfn.XLOOKUP($A267,Map!$A:$A,Map!D:D)</f>
        <v>Cost of sales</v>
      </c>
      <c r="I267" s="43" t="str">
        <f>_xlfn.XLOOKUP($A267,Map!$A:$A,Map!E:E)</f>
        <v>Overhead - Labor Cost</v>
      </c>
      <c r="J267" s="43" t="str">
        <f>_xlfn.XLOOKUP($A267,Map!$A:$A,Map!F:F)</f>
        <v xml:space="preserve">Food &amp; Housing </v>
      </c>
    </row>
    <row r="268" spans="1:10" x14ac:dyDescent="0.25">
      <c r="A268">
        <v>600005</v>
      </c>
      <c r="B268" t="s">
        <v>1357</v>
      </c>
      <c r="D268" s="116">
        <v>1625362.787</v>
      </c>
      <c r="E268" s="116">
        <v>0</v>
      </c>
      <c r="F268" s="116">
        <f t="shared" si="0"/>
        <v>1625362.787</v>
      </c>
      <c r="G268" s="43" t="str">
        <f>_xlfn.XLOOKUP($A268,Map!$A:$A,Map!C:C)</f>
        <v>IS</v>
      </c>
      <c r="H268" s="43" t="str">
        <f>_xlfn.XLOOKUP($A268,Map!$A:$A,Map!D:D)</f>
        <v>General and Admin</v>
      </c>
      <c r="I268" s="43" t="str">
        <f>_xlfn.XLOOKUP($A268,Map!$A:$A,Map!E:E)</f>
        <v>Govt license and fees (including modon)</v>
      </c>
      <c r="J268" s="43" t="str">
        <f>_xlfn.XLOOKUP($A268,Map!$A:$A,Map!F:F)</f>
        <v>Government fees</v>
      </c>
    </row>
    <row r="269" spans="1:10" x14ac:dyDescent="0.25">
      <c r="A269">
        <v>600004</v>
      </c>
      <c r="B269" t="s">
        <v>1357</v>
      </c>
      <c r="D269" s="116">
        <v>126933.814</v>
      </c>
      <c r="E269" s="116">
        <v>0</v>
      </c>
      <c r="F269" s="116">
        <f t="shared" si="0"/>
        <v>126933.814</v>
      </c>
      <c r="G269" s="43" t="str">
        <f>_xlfn.XLOOKUP($A269,Map!$A:$A,Map!C:C)</f>
        <v>IS</v>
      </c>
      <c r="H269" s="43" t="str">
        <f>_xlfn.XLOOKUP($A269,Map!$A:$A,Map!D:D)</f>
        <v>Cost of sales</v>
      </c>
      <c r="I269" s="43" t="str">
        <f>_xlfn.XLOOKUP($A269,Map!$A:$A,Map!E:E)</f>
        <v>Overhead - Labor Cost</v>
      </c>
      <c r="J269" s="43" t="str">
        <f>_xlfn.XLOOKUP($A269,Map!$A:$A,Map!F:F)</f>
        <v>Medical insurance</v>
      </c>
    </row>
    <row r="270" spans="1:10" x14ac:dyDescent="0.25">
      <c r="A270">
        <v>600003</v>
      </c>
      <c r="B270" t="s">
        <v>1357</v>
      </c>
      <c r="D270" s="116">
        <v>559788</v>
      </c>
      <c r="E270" s="116">
        <v>0</v>
      </c>
      <c r="F270" s="116">
        <f t="shared" si="0"/>
        <v>559788</v>
      </c>
      <c r="G270" s="43" t="str">
        <f>_xlfn.XLOOKUP($A270,Map!$A:$A,Map!C:C)</f>
        <v>IS</v>
      </c>
      <c r="H270" s="43" t="str">
        <f>_xlfn.XLOOKUP($A270,Map!$A:$A,Map!D:D)</f>
        <v>Cost of sales</v>
      </c>
      <c r="I270" s="43" t="str">
        <f>_xlfn.XLOOKUP($A270,Map!$A:$A,Map!E:E)</f>
        <v>Overhead - Labor Cost</v>
      </c>
      <c r="J270" s="43" t="str">
        <f>_xlfn.XLOOKUP($A270,Map!$A:$A,Map!F:F)</f>
        <v xml:space="preserve">Food &amp; Housing </v>
      </c>
    </row>
    <row r="271" spans="1:10" x14ac:dyDescent="0.25">
      <c r="A271">
        <v>600002</v>
      </c>
      <c r="B271" t="s">
        <v>1357</v>
      </c>
      <c r="D271" s="116">
        <v>335597.125</v>
      </c>
      <c r="E271" s="116">
        <v>0</v>
      </c>
      <c r="F271" s="116">
        <f t="shared" si="0"/>
        <v>335597.125</v>
      </c>
      <c r="G271" s="43" t="str">
        <f>_xlfn.XLOOKUP($A271,Map!$A:$A,Map!C:C)</f>
        <v>IS</v>
      </c>
      <c r="H271" s="43" t="str">
        <f>_xlfn.XLOOKUP($A271,Map!$A:$A,Map!D:D)</f>
        <v>Cost of sales</v>
      </c>
      <c r="I271" s="43" t="str">
        <f>_xlfn.XLOOKUP($A271,Map!$A:$A,Map!E:E)</f>
        <v>Overhead - Labor Cost</v>
      </c>
      <c r="J271" s="43" t="str">
        <f>_xlfn.XLOOKUP($A271,Map!$A:$A,Map!F:F)</f>
        <v>Overtime pay</v>
      </c>
    </row>
    <row r="272" spans="1:10" x14ac:dyDescent="0.25">
      <c r="A272">
        <v>600001</v>
      </c>
      <c r="B272" t="s">
        <v>1357</v>
      </c>
      <c r="D272" s="116">
        <v>2045805.402</v>
      </c>
      <c r="E272" s="116">
        <v>0</v>
      </c>
      <c r="F272" s="116">
        <f t="shared" ref="F272:F303" si="1">D272-E272</f>
        <v>2045805.402</v>
      </c>
      <c r="G272" s="43" t="str">
        <f>_xlfn.XLOOKUP($A272,Map!$A:$A,Map!C:C)</f>
        <v>IS</v>
      </c>
      <c r="H272" s="43" t="str">
        <f>_xlfn.XLOOKUP($A272,Map!$A:$A,Map!D:D)</f>
        <v>Cost of sales</v>
      </c>
      <c r="I272" s="43" t="str">
        <f>_xlfn.XLOOKUP($A272,Map!$A:$A,Map!E:E)</f>
        <v>Overhead - Labor Cost</v>
      </c>
      <c r="J272" s="43" t="str">
        <f>_xlfn.XLOOKUP($A272,Map!$A:$A,Map!F:F)</f>
        <v>Indirect Salaries — factory supervisory / indirect floor labour (COGS)</v>
      </c>
    </row>
    <row r="273" spans="1:10" x14ac:dyDescent="0.25">
      <c r="A273">
        <v>520042</v>
      </c>
      <c r="B273" t="s">
        <v>1357</v>
      </c>
      <c r="D273" s="116">
        <v>872205.701</v>
      </c>
      <c r="E273" s="116">
        <v>0</v>
      </c>
      <c r="F273" s="116">
        <f t="shared" si="1"/>
        <v>872205.701</v>
      </c>
      <c r="G273" s="43" t="str">
        <f>_xlfn.XLOOKUP($A273,Map!$A:$A,Map!C:C)</f>
        <v>IS</v>
      </c>
      <c r="H273" s="43" t="str">
        <f>_xlfn.XLOOKUP($A273,Map!$A:$A,Map!D:D)</f>
        <v>Cost of sales</v>
      </c>
      <c r="I273" s="43" t="str">
        <f>_xlfn.XLOOKUP($A273,Map!$A:$A,Map!E:E)</f>
        <v>Raw materials</v>
      </c>
      <c r="J273" s="43" t="str">
        <f>_xlfn.XLOOKUP($A273,Map!$A:$A,Map!F:F)</f>
        <v>Inventory Adjustment</v>
      </c>
    </row>
    <row r="274" spans="1:10" x14ac:dyDescent="0.25">
      <c r="A274">
        <v>520041</v>
      </c>
      <c r="B274" t="s">
        <v>1357</v>
      </c>
      <c r="D274" s="116">
        <v>0</v>
      </c>
      <c r="E274" s="116">
        <v>9910741.7579999994</v>
      </c>
      <c r="F274" s="116">
        <f t="shared" si="1"/>
        <v>-9910741.7579999994</v>
      </c>
      <c r="G274" s="43" t="str">
        <f>_xlfn.XLOOKUP($A274,Map!$A:$A,Map!C:C)</f>
        <v>IS</v>
      </c>
      <c r="H274" s="43" t="str">
        <f>_xlfn.XLOOKUP($A274,Map!$A:$A,Map!D:D)</f>
        <v>Cost of sales</v>
      </c>
      <c r="I274" s="43" t="str">
        <f>_xlfn.XLOOKUP($A274,Map!$A:$A,Map!E:E)</f>
        <v>Raw materials</v>
      </c>
      <c r="J274" s="43" t="str">
        <f>_xlfn.XLOOKUP($A274,Map!$A:$A,Map!F:F)</f>
        <v>Other expenses</v>
      </c>
    </row>
    <row r="275" spans="1:10" x14ac:dyDescent="0.25">
      <c r="A275">
        <v>520037</v>
      </c>
      <c r="B275" t="s">
        <v>1357</v>
      </c>
      <c r="D275" s="116">
        <v>891090.79</v>
      </c>
      <c r="E275" s="116">
        <v>0</v>
      </c>
      <c r="F275" s="116">
        <f t="shared" si="1"/>
        <v>891090.79</v>
      </c>
      <c r="G275" s="43" t="str">
        <f>_xlfn.XLOOKUP($A275,Map!$A:$A,Map!C:C)</f>
        <v>IS</v>
      </c>
      <c r="H275" s="43" t="str">
        <f>_xlfn.XLOOKUP($A275,Map!$A:$A,Map!D:D)</f>
        <v>Cost of sales</v>
      </c>
      <c r="I275" s="43" t="str">
        <f>_xlfn.XLOOKUP($A275,Map!$A:$A,Map!E:E)</f>
        <v>Raw materials</v>
      </c>
      <c r="J275" s="43" t="str">
        <f>_xlfn.XLOOKUP($A275,Map!$A:$A,Map!F:F)</f>
        <v>Raw materials</v>
      </c>
    </row>
    <row r="276" spans="1:10" x14ac:dyDescent="0.25">
      <c r="A276">
        <v>520036</v>
      </c>
      <c r="B276" t="s">
        <v>1357</v>
      </c>
      <c r="D276" s="116">
        <v>0</v>
      </c>
      <c r="E276" s="116">
        <v>4.4999999999999998E-2</v>
      </c>
      <c r="F276" s="116">
        <f t="shared" si="1"/>
        <v>-4.4999999999999998E-2</v>
      </c>
      <c r="G276" s="43" t="str">
        <f>_xlfn.XLOOKUP($A276,Map!$A:$A,Map!C:C)</f>
        <v>IS</v>
      </c>
      <c r="H276" s="43" t="str">
        <f>_xlfn.XLOOKUP($A276,Map!$A:$A,Map!D:D)</f>
        <v>Cost of sales</v>
      </c>
      <c r="I276" s="43" t="str">
        <f>_xlfn.XLOOKUP($A276,Map!$A:$A,Map!E:E)</f>
        <v>Raw materials</v>
      </c>
      <c r="J276" s="43" t="str">
        <f>_xlfn.XLOOKUP($A276,Map!$A:$A,Map!F:F)</f>
        <v>Raw materials</v>
      </c>
    </row>
    <row r="277" spans="1:10" x14ac:dyDescent="0.25">
      <c r="A277">
        <v>520021</v>
      </c>
      <c r="B277" t="s">
        <v>1357</v>
      </c>
      <c r="D277" s="116">
        <v>39595</v>
      </c>
      <c r="E277" s="116">
        <v>0</v>
      </c>
      <c r="F277" s="116">
        <f t="shared" si="1"/>
        <v>39595</v>
      </c>
      <c r="G277" s="43" t="str">
        <f>_xlfn.XLOOKUP($A277,Map!$A:$A,Map!C:C)</f>
        <v>IS</v>
      </c>
      <c r="H277" s="43" t="str">
        <f>_xlfn.XLOOKUP($A277,Map!$A:$A,Map!D:D)</f>
        <v>Cost of sales</v>
      </c>
      <c r="I277" s="43" t="str">
        <f>_xlfn.XLOOKUP($A277,Map!$A:$A,Map!E:E)</f>
        <v>Direct Labor</v>
      </c>
      <c r="J277" s="43" t="str">
        <f>_xlfn.XLOOKUP($A277,Map!$A:$A,Map!F:F)</f>
        <v>Medical insurance</v>
      </c>
    </row>
    <row r="278" spans="1:10" x14ac:dyDescent="0.25">
      <c r="A278">
        <v>520011</v>
      </c>
      <c r="B278" t="s">
        <v>1357</v>
      </c>
      <c r="D278" s="116">
        <v>638970.98</v>
      </c>
      <c r="E278" s="116">
        <v>0</v>
      </c>
      <c r="F278" s="116">
        <f t="shared" si="1"/>
        <v>638970.98</v>
      </c>
      <c r="G278" s="43" t="str">
        <f>_xlfn.XLOOKUP($A278,Map!$A:$A,Map!C:C)</f>
        <v>IS</v>
      </c>
      <c r="H278" s="43" t="str">
        <f>_xlfn.XLOOKUP($A278,Map!$A:$A,Map!D:D)</f>
        <v>Cost of sales</v>
      </c>
      <c r="I278" s="43" t="str">
        <f>_xlfn.XLOOKUP($A278,Map!$A:$A,Map!E:E)</f>
        <v>Direct Labor</v>
      </c>
      <c r="J278" s="43" t="str">
        <f>_xlfn.XLOOKUP($A278,Map!$A:$A,Map!F:F)</f>
        <v>Overtime pay</v>
      </c>
    </row>
    <row r="279" spans="1:10" x14ac:dyDescent="0.25">
      <c r="A279">
        <v>520006</v>
      </c>
      <c r="B279" t="s">
        <v>1357</v>
      </c>
      <c r="D279" s="116">
        <v>285799.93099999998</v>
      </c>
      <c r="E279" s="116">
        <v>0</v>
      </c>
      <c r="F279" s="116">
        <f t="shared" si="1"/>
        <v>285799.93099999998</v>
      </c>
      <c r="G279" s="43" t="str">
        <f>_xlfn.XLOOKUP($A279,Map!$A:$A,Map!C:C)</f>
        <v>IS</v>
      </c>
      <c r="H279" s="43" t="str">
        <f>_xlfn.XLOOKUP($A279,Map!$A:$A,Map!D:D)</f>
        <v>Cost of sales</v>
      </c>
      <c r="I279" s="43" t="str">
        <f>_xlfn.XLOOKUP($A279,Map!$A:$A,Map!E:E)</f>
        <v>Direct Labor</v>
      </c>
      <c r="J279" s="43" t="str">
        <f>_xlfn.XLOOKUP($A279,Map!$A:$A,Map!F:F)</f>
        <v>Medical insurance</v>
      </c>
    </row>
    <row r="280" spans="1:10" x14ac:dyDescent="0.25">
      <c r="A280">
        <v>520004</v>
      </c>
      <c r="B280" t="s">
        <v>1357</v>
      </c>
      <c r="D280" s="116">
        <v>51062</v>
      </c>
      <c r="E280" s="116">
        <v>0</v>
      </c>
      <c r="F280" s="116">
        <f t="shared" si="1"/>
        <v>51062</v>
      </c>
      <c r="G280" s="43" t="str">
        <f>_xlfn.XLOOKUP($A280,Map!$A:$A,Map!C:C)</f>
        <v>IS</v>
      </c>
      <c r="H280" s="43" t="str">
        <f>_xlfn.XLOOKUP($A280,Map!$A:$A,Map!D:D)</f>
        <v>Cost of sales</v>
      </c>
      <c r="I280" s="43" t="str">
        <f>_xlfn.XLOOKUP($A280,Map!$A:$A,Map!E:E)</f>
        <v>Direct Labor</v>
      </c>
      <c r="J280" s="43" t="str">
        <f>_xlfn.XLOOKUP($A280,Map!$A:$A,Map!F:F)</f>
        <v>Food and housing</v>
      </c>
    </row>
    <row r="281" spans="1:10" x14ac:dyDescent="0.25">
      <c r="A281">
        <v>520003</v>
      </c>
      <c r="B281" t="s">
        <v>1357</v>
      </c>
      <c r="D281" s="116">
        <v>359720.33299999998</v>
      </c>
      <c r="E281" s="116">
        <v>0</v>
      </c>
      <c r="F281" s="116">
        <f t="shared" si="1"/>
        <v>359720.33299999998</v>
      </c>
      <c r="G281" s="43" t="str">
        <f>_xlfn.XLOOKUP($A281,Map!$A:$A,Map!C:C)</f>
        <v>IS</v>
      </c>
      <c r="H281" s="43" t="str">
        <f>_xlfn.XLOOKUP($A281,Map!$A:$A,Map!D:D)</f>
        <v>Cost of sales</v>
      </c>
      <c r="I281" s="43" t="str">
        <f>_xlfn.XLOOKUP($A281,Map!$A:$A,Map!E:E)</f>
        <v>Direct Labor</v>
      </c>
      <c r="J281" s="43" t="str">
        <f>_xlfn.XLOOKUP($A281,Map!$A:$A,Map!F:F)</f>
        <v>Transportation allowance</v>
      </c>
    </row>
    <row r="282" spans="1:10" x14ac:dyDescent="0.25">
      <c r="A282">
        <v>520001</v>
      </c>
      <c r="B282" t="s">
        <v>1357</v>
      </c>
      <c r="D282" s="116">
        <v>3058090.8769999999</v>
      </c>
      <c r="E282" s="116">
        <v>0</v>
      </c>
      <c r="F282" s="116">
        <f t="shared" si="1"/>
        <v>3058090.8769999999</v>
      </c>
      <c r="G282" s="43" t="str">
        <f>_xlfn.XLOOKUP($A282,Map!$A:$A,Map!C:C)</f>
        <v>IS</v>
      </c>
      <c r="H282" s="43" t="str">
        <f>_xlfn.XLOOKUP($A282,Map!$A:$A,Map!D:D)</f>
        <v>Cost of sales</v>
      </c>
      <c r="I282" s="43" t="str">
        <f>_xlfn.XLOOKUP($A282,Map!$A:$A,Map!E:E)</f>
        <v>Direct Labor</v>
      </c>
      <c r="J282" s="43" t="str">
        <f>_xlfn.XLOOKUP($A282,Map!$A:$A,Map!F:F)</f>
        <v>Salaries and wages</v>
      </c>
    </row>
    <row r="283" spans="1:10" x14ac:dyDescent="0.25">
      <c r="A283">
        <v>510005</v>
      </c>
      <c r="B283" t="s">
        <v>1357</v>
      </c>
      <c r="D283" s="116">
        <v>0</v>
      </c>
      <c r="E283" s="116">
        <v>26968.514999999999</v>
      </c>
      <c r="F283" s="116">
        <f t="shared" si="1"/>
        <v>-26968.514999999999</v>
      </c>
      <c r="G283" s="43" t="str">
        <f>_xlfn.XLOOKUP($A283,Map!$A:$A,Map!C:C)</f>
        <v>IS</v>
      </c>
      <c r="H283" s="43" t="str">
        <f>_xlfn.XLOOKUP($A283,Map!$A:$A,Map!D:D)</f>
        <v>Cost of sales</v>
      </c>
      <c r="I283" s="43" t="str">
        <f>_xlfn.XLOOKUP($A283,Map!$A:$A,Map!E:E)</f>
        <v>Raw materials</v>
      </c>
      <c r="J283" s="43" t="str">
        <f>_xlfn.XLOOKUP($A283,Map!$A:$A,Map!F:F)</f>
        <v>Other expenses</v>
      </c>
    </row>
    <row r="284" spans="1:10" x14ac:dyDescent="0.25">
      <c r="A284">
        <v>510004</v>
      </c>
      <c r="B284" t="s">
        <v>1357</v>
      </c>
      <c r="D284" s="116">
        <v>0</v>
      </c>
      <c r="E284" s="116">
        <v>3263036.375</v>
      </c>
      <c r="F284" s="116">
        <f t="shared" si="1"/>
        <v>-3263036.375</v>
      </c>
      <c r="G284" s="43" t="str">
        <f>_xlfn.XLOOKUP($A284,Map!$A:$A,Map!C:C)</f>
        <v>IS</v>
      </c>
      <c r="H284" s="43" t="str">
        <f>_xlfn.XLOOKUP($A284,Map!$A:$A,Map!D:D)</f>
        <v>Cost of sales</v>
      </c>
      <c r="I284" s="43" t="str">
        <f>_xlfn.XLOOKUP($A284,Map!$A:$A,Map!E:E)</f>
        <v>Raw materials</v>
      </c>
      <c r="J284" s="43" t="str">
        <f>_xlfn.XLOOKUP($A284,Map!$A:$A,Map!F:F)</f>
        <v>Other expenses</v>
      </c>
    </row>
    <row r="285" spans="1:10" x14ac:dyDescent="0.25">
      <c r="A285">
        <v>510003</v>
      </c>
      <c r="B285" t="s">
        <v>1357</v>
      </c>
      <c r="D285" s="116">
        <v>841523.47199999995</v>
      </c>
      <c r="E285" s="116">
        <v>0</v>
      </c>
      <c r="F285" s="116">
        <f t="shared" si="1"/>
        <v>841523.47199999995</v>
      </c>
      <c r="G285" s="43" t="str">
        <f>_xlfn.XLOOKUP($A285,Map!$A:$A,Map!C:C)</f>
        <v>IS</v>
      </c>
      <c r="H285" s="43" t="str">
        <f>_xlfn.XLOOKUP($A285,Map!$A:$A,Map!D:D)</f>
        <v>Cost of sales</v>
      </c>
      <c r="I285" s="43" t="str">
        <f>_xlfn.XLOOKUP($A285,Map!$A:$A,Map!E:E)</f>
        <v>Raw materials</v>
      </c>
      <c r="J285" s="43" t="str">
        <f>_xlfn.XLOOKUP($A285,Map!$A:$A,Map!F:F)</f>
        <v>Raw materials</v>
      </c>
    </row>
    <row r="286" spans="1:10" x14ac:dyDescent="0.25">
      <c r="A286">
        <v>510002</v>
      </c>
      <c r="B286" t="s">
        <v>1357</v>
      </c>
      <c r="D286" s="116">
        <v>0</v>
      </c>
      <c r="E286" s="116">
        <v>6860872.0559999999</v>
      </c>
      <c r="F286" s="116">
        <f t="shared" si="1"/>
        <v>-6860872.0559999999</v>
      </c>
      <c r="G286" s="43" t="str">
        <f>_xlfn.XLOOKUP($A286,Map!$A:$A,Map!C:C)</f>
        <v>IS</v>
      </c>
      <c r="H286" s="43" t="str">
        <f>_xlfn.XLOOKUP($A286,Map!$A:$A,Map!D:D)</f>
        <v>Cost of sales</v>
      </c>
      <c r="I286" s="43" t="str">
        <f>_xlfn.XLOOKUP($A286,Map!$A:$A,Map!E:E)</f>
        <v>Direct Labor</v>
      </c>
      <c r="J286" s="43" t="str">
        <f>_xlfn.XLOOKUP($A286,Map!$A:$A,Map!F:F)</f>
        <v>Direct Labor</v>
      </c>
    </row>
    <row r="287" spans="1:10" x14ac:dyDescent="0.25">
      <c r="A287">
        <v>510001</v>
      </c>
      <c r="B287" t="s">
        <v>1357</v>
      </c>
      <c r="D287" s="116">
        <v>0</v>
      </c>
      <c r="E287" s="116">
        <v>4913699.63</v>
      </c>
      <c r="F287" s="116">
        <f t="shared" si="1"/>
        <v>-4913699.63</v>
      </c>
      <c r="G287" s="43" t="str">
        <f>_xlfn.XLOOKUP($A287,Map!$A:$A,Map!C:C)</f>
        <v>IS</v>
      </c>
      <c r="H287" s="43" t="str">
        <f>_xlfn.XLOOKUP($A287,Map!$A:$A,Map!D:D)</f>
        <v>Cost of sales</v>
      </c>
      <c r="I287" s="43" t="str">
        <f>_xlfn.XLOOKUP($A287,Map!$A:$A,Map!E:E)</f>
        <v>Raw materials</v>
      </c>
      <c r="J287" s="43" t="str">
        <f>_xlfn.XLOOKUP($A287,Map!$A:$A,Map!F:F)</f>
        <v>Raw materials</v>
      </c>
    </row>
    <row r="288" spans="1:10" x14ac:dyDescent="0.25">
      <c r="A288">
        <v>420003</v>
      </c>
      <c r="B288" t="s">
        <v>1357</v>
      </c>
      <c r="D288" s="116">
        <v>1.6E-2</v>
      </c>
      <c r="E288" s="116">
        <v>0</v>
      </c>
      <c r="F288" s="116">
        <f t="shared" si="1"/>
        <v>1.6E-2</v>
      </c>
      <c r="G288" s="43" t="str">
        <f>_xlfn.XLOOKUP($A288,Map!$A:$A,Map!C:C)</f>
        <v>IS</v>
      </c>
      <c r="H288" s="43" t="str">
        <f>_xlfn.XLOOKUP($A288,Map!$A:$A,Map!D:D)</f>
        <v>Sales</v>
      </c>
      <c r="I288" s="43" t="str">
        <f>_xlfn.XLOOKUP($A288,Map!$A:$A,Map!E:E)</f>
        <v>Sales</v>
      </c>
      <c r="J288" s="43" t="str">
        <f>_xlfn.XLOOKUP($A288,Map!$A:$A,Map!F:F)</f>
        <v>Scrap sales</v>
      </c>
    </row>
    <row r="291" spans="1:10" x14ac:dyDescent="0.25">
      <c r="A291">
        <v>170021</v>
      </c>
      <c r="B291" t="s">
        <v>883</v>
      </c>
      <c r="D291" s="154">
        <v>2935982.66</v>
      </c>
      <c r="F291" s="147">
        <f>D291-E291</f>
        <v>2935982.66</v>
      </c>
      <c r="G291" s="43" t="str">
        <f>_xlfn.XLOOKUP($A291,Map!$A:$A,Map!C:C)</f>
        <v>BS</v>
      </c>
      <c r="H291" s="43" t="str">
        <f>_xlfn.XLOOKUP($A291,Map!$A:$A,Map!D:D)</f>
        <v>Current Assets</v>
      </c>
      <c r="I291" s="43" t="str">
        <f>_xlfn.XLOOKUP($A291,Map!$A:$A,Map!E:E)</f>
        <v>Prepaid expenses</v>
      </c>
      <c r="J291" s="43" t="str">
        <f>_xlfn.XLOOKUP($A291,Map!$A:$A,Map!F:F)</f>
        <v>Prepaid expense</v>
      </c>
    </row>
    <row r="292" spans="1:10" x14ac:dyDescent="0.25">
      <c r="A292">
        <v>210001</v>
      </c>
      <c r="B292" t="s">
        <v>902</v>
      </c>
      <c r="E292" s="154">
        <f>D291</f>
        <v>2935982.66</v>
      </c>
      <c r="F292" s="147">
        <f>D292-E292</f>
        <v>-2935982.66</v>
      </c>
      <c r="G292" s="43" t="str">
        <f>_xlfn.XLOOKUP($A292,Map!$A:$A,Map!C:C)</f>
        <v>BS</v>
      </c>
      <c r="H292" s="43" t="str">
        <f>_xlfn.XLOOKUP($A292,Map!$A:$A,Map!D:D)</f>
        <v>Current Liabilities</v>
      </c>
      <c r="I292" s="43" t="str">
        <f>_xlfn.XLOOKUP($A292,Map!$A:$A,Map!E:E)</f>
        <v>Tade payables and Accuals &amp; other credit balances</v>
      </c>
      <c r="J292" s="43" t="str">
        <f>_xlfn.XLOOKUP($A292,Map!$A:$A,Map!F:F)</f>
        <v>Trade payables - Foreign</v>
      </c>
    </row>
    <row r="295" spans="1:10" x14ac:dyDescent="0.25">
      <c r="A295">
        <v>410001</v>
      </c>
      <c r="B295" t="s">
        <v>1344</v>
      </c>
      <c r="D295" s="88">
        <v>22016852.919456009</v>
      </c>
      <c r="E295" s="88"/>
      <c r="F295" s="147">
        <f>D295-E295</f>
        <v>22016852.919456009</v>
      </c>
      <c r="G295" s="43" t="str">
        <f>_xlfn.XLOOKUP($A295,Map!$A:$A,Map!C:C)</f>
        <v>IS</v>
      </c>
      <c r="H295" s="43" t="str">
        <f>_xlfn.XLOOKUP($A295,Map!$A:$A,Map!D:D)</f>
        <v>Sales</v>
      </c>
      <c r="I295" s="43" t="str">
        <f>_xlfn.XLOOKUP($A295,Map!$A:$A,Map!E:E)</f>
        <v>Sales</v>
      </c>
      <c r="J295" s="43" t="str">
        <f>_xlfn.XLOOKUP($A295,Map!$A:$A,Map!F:F)</f>
        <v>Trading revenue</v>
      </c>
    </row>
    <row r="296" spans="1:10" x14ac:dyDescent="0.25">
      <c r="A296">
        <v>510001</v>
      </c>
      <c r="B296" t="s">
        <v>1345</v>
      </c>
      <c r="D296" s="88"/>
      <c r="E296" s="88">
        <v>20778951.626437351</v>
      </c>
      <c r="F296" s="147">
        <f>D296-E296</f>
        <v>-20778951.626437351</v>
      </c>
      <c r="G296" s="43" t="str">
        <f>_xlfn.XLOOKUP($A296,Map!$A:$A,Map!C:C)</f>
        <v>IS</v>
      </c>
      <c r="H296" s="43" t="str">
        <f>_xlfn.XLOOKUP($A296,Map!$A:$A,Map!D:D)</f>
        <v>Cost of sales</v>
      </c>
      <c r="I296" s="43" t="str">
        <f>_xlfn.XLOOKUP($A296,Map!$A:$A,Map!E:E)</f>
        <v>Raw materials</v>
      </c>
      <c r="J296" s="43" t="str">
        <f>_xlfn.XLOOKUP($A296,Map!$A:$A,Map!F:F)</f>
        <v>Raw materials</v>
      </c>
    </row>
  </sheetData>
  <autoFilter ref="A4:K288" xr:uid="{00000000-0009-0000-0000-00001F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299"/>
  <sheetViews>
    <sheetView zoomScale="90" workbookViewId="0">
      <pane ySplit="271" topLeftCell="A272" activePane="bottomLeft" state="frozen"/>
      <selection pane="bottomLeft"/>
    </sheetView>
  </sheetViews>
  <sheetFormatPr defaultRowHeight="15" x14ac:dyDescent="0.25"/>
  <cols>
    <col min="1" max="1" width="13.42578125" customWidth="1"/>
    <col min="2" max="2" width="52.28515625" customWidth="1"/>
    <col min="3" max="3" width="17.28515625" customWidth="1"/>
    <col min="4" max="4" width="17.85546875" customWidth="1"/>
    <col min="6" max="6" width="17" customWidth="1"/>
    <col min="7" max="7" width="8.85546875" customWidth="1"/>
    <col min="8" max="8" width="26.7109375" customWidth="1"/>
    <col min="9" max="9" width="42.7109375" customWidth="1"/>
    <col min="10" max="10" width="20.5703125" customWidth="1"/>
    <col min="11" max="11" width="8.85546875" customWidth="1"/>
  </cols>
  <sheetData>
    <row r="1" spans="1:10" x14ac:dyDescent="0.25">
      <c r="A1" s="85" t="s">
        <v>1251</v>
      </c>
    </row>
    <row r="2" spans="1:10" x14ac:dyDescent="0.25">
      <c r="A2" s="85" t="s">
        <v>1197</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110001</v>
      </c>
      <c r="B5" t="s">
        <v>818</v>
      </c>
      <c r="C5" s="116">
        <v>0</v>
      </c>
      <c r="D5" s="116">
        <v>0</v>
      </c>
      <c r="E5" s="116">
        <v>0</v>
      </c>
      <c r="F5" s="116">
        <v>0</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110002</v>
      </c>
      <c r="B6" t="s">
        <v>819</v>
      </c>
      <c r="C6" s="116">
        <v>106504996.56999999</v>
      </c>
      <c r="D6" s="116">
        <v>0</v>
      </c>
      <c r="E6" s="116">
        <v>0</v>
      </c>
      <c r="F6" s="116">
        <v>106504996.56999999</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110003</v>
      </c>
      <c r="B7" t="s">
        <v>820</v>
      </c>
      <c r="C7" s="116">
        <v>1765393.75</v>
      </c>
      <c r="D7" s="116">
        <v>4600</v>
      </c>
      <c r="E7" s="116">
        <v>4600</v>
      </c>
      <c r="F7" s="116">
        <v>1765393.75</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110004</v>
      </c>
      <c r="B8" t="s">
        <v>821</v>
      </c>
      <c r="C8" s="116">
        <v>71133085.783000007</v>
      </c>
      <c r="D8" s="116">
        <v>1251266.24</v>
      </c>
      <c r="E8" s="116">
        <v>168049.625</v>
      </c>
      <c r="F8" s="116">
        <v>72216302.398000002</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110006</v>
      </c>
      <c r="B9" t="s">
        <v>822</v>
      </c>
      <c r="C9" s="116">
        <v>2602761.003</v>
      </c>
      <c r="D9" s="116">
        <v>177167.5</v>
      </c>
      <c r="E9" s="116">
        <v>104477.5</v>
      </c>
      <c r="F9" s="116">
        <v>2675451.003</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110007</v>
      </c>
      <c r="B10" t="s">
        <v>823</v>
      </c>
      <c r="C10" s="116">
        <v>1191638.95</v>
      </c>
      <c r="D10" s="116">
        <v>1331620.675</v>
      </c>
      <c r="E10" s="116">
        <v>466418.47499999998</v>
      </c>
      <c r="F10" s="116">
        <v>2056841.15</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110008</v>
      </c>
      <c r="B11" t="s">
        <v>824</v>
      </c>
      <c r="C11" s="116">
        <v>961301.67799999996</v>
      </c>
      <c r="D11" s="116">
        <v>54376.817999999999</v>
      </c>
      <c r="E11" s="116">
        <v>0</v>
      </c>
      <c r="F11" s="116">
        <v>1015678.496</v>
      </c>
      <c r="G11" s="43" t="str">
        <f>_xlfn.XLOOKUP($A11,Map!$A:$A,Map!C:C)</f>
        <v>BS</v>
      </c>
      <c r="H11" s="43" t="str">
        <f>_xlfn.XLOOKUP($A11,Map!$A:$A,Map!D:D)</f>
        <v>Non-Current Assets</v>
      </c>
      <c r="I11" s="43" t="str">
        <f>_xlfn.XLOOKUP($A11,Map!$A:$A,Map!E:E)</f>
        <v>Property, plant and equipment</v>
      </c>
      <c r="J11" s="43" t="str">
        <f>_xlfn.XLOOKUP($A11,Map!$A:$A,Map!F:F)</f>
        <v>Property, plant and equipment</v>
      </c>
    </row>
    <row r="12" spans="1:10" x14ac:dyDescent="0.25">
      <c r="A12">
        <v>111009</v>
      </c>
      <c r="B12" t="s">
        <v>825</v>
      </c>
      <c r="C12" s="116">
        <v>2020135</v>
      </c>
      <c r="D12" s="116">
        <v>0</v>
      </c>
      <c r="E12" s="116">
        <v>0</v>
      </c>
      <c r="F12" s="116">
        <v>2020135</v>
      </c>
      <c r="G12" s="43" t="str">
        <f>_xlfn.XLOOKUP($A12,Map!$A:$A,Map!C:C)</f>
        <v>BS</v>
      </c>
      <c r="H12" s="43" t="str">
        <f>_xlfn.XLOOKUP($A12,Map!$A:$A,Map!D:D)</f>
        <v>Non-Current Assets</v>
      </c>
      <c r="I12" s="43" t="str">
        <f>_xlfn.XLOOKUP($A12,Map!$A:$A,Map!E:E)</f>
        <v>Right of use</v>
      </c>
      <c r="J12" s="43" t="str">
        <f>_xlfn.XLOOKUP($A12,Map!$A:$A,Map!F:F)</f>
        <v>Leases - right of use assets</v>
      </c>
    </row>
    <row r="13" spans="1:10" x14ac:dyDescent="0.25">
      <c r="A13">
        <v>111013</v>
      </c>
      <c r="B13" t="s">
        <v>827</v>
      </c>
      <c r="C13" s="116">
        <v>0</v>
      </c>
      <c r="D13" s="116">
        <v>18359</v>
      </c>
      <c r="E13" s="116">
        <v>18359</v>
      </c>
      <c r="F13" s="116">
        <v>0</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111099</v>
      </c>
      <c r="B14" t="s">
        <v>828</v>
      </c>
      <c r="C14" s="116">
        <v>0</v>
      </c>
      <c r="D14" s="116">
        <v>3500000</v>
      </c>
      <c r="E14" s="116">
        <v>3500000</v>
      </c>
      <c r="F14" s="116">
        <v>0</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120001</v>
      </c>
      <c r="B15" t="s">
        <v>829</v>
      </c>
      <c r="C15" s="116">
        <v>-3753290.4920000001</v>
      </c>
      <c r="D15" s="116">
        <v>0</v>
      </c>
      <c r="E15" s="116">
        <v>1566844.1880000001</v>
      </c>
      <c r="F15" s="116">
        <v>-5320134.68</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120002</v>
      </c>
      <c r="B16" t="s">
        <v>830</v>
      </c>
      <c r="C16" s="116">
        <v>-1765393.774</v>
      </c>
      <c r="D16" s="116">
        <v>0</v>
      </c>
      <c r="E16" s="116">
        <v>0</v>
      </c>
      <c r="F16" s="116">
        <v>-1765393.774</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120003</v>
      </c>
      <c r="B17" t="s">
        <v>831</v>
      </c>
      <c r="C17" s="116">
        <v>-36593196.344999999</v>
      </c>
      <c r="D17" s="116">
        <v>1316.1120000000001</v>
      </c>
      <c r="E17" s="116">
        <v>3447986.2489999998</v>
      </c>
      <c r="F17" s="116">
        <v>-40039866.482000001</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120005</v>
      </c>
      <c r="B18" t="s">
        <v>832</v>
      </c>
      <c r="C18" s="116">
        <v>-1917847.0859999999</v>
      </c>
      <c r="D18" s="116">
        <v>101281.818</v>
      </c>
      <c r="E18" s="116">
        <v>208271.1</v>
      </c>
      <c r="F18" s="116">
        <v>-2024836.368</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120006</v>
      </c>
      <c r="B19" t="s">
        <v>833</v>
      </c>
      <c r="C19" s="116">
        <v>-928574.01399999997</v>
      </c>
      <c r="D19" s="116">
        <v>0</v>
      </c>
      <c r="E19" s="116">
        <v>119516.042</v>
      </c>
      <c r="F19" s="116">
        <v>-1048090.056</v>
      </c>
      <c r="G19" s="43" t="str">
        <f>_xlfn.XLOOKUP($A19,Map!$A:$A,Map!C:C)</f>
        <v>BS</v>
      </c>
      <c r="H19" s="43" t="str">
        <f>_xlfn.XLOOKUP($A19,Map!$A:$A,Map!D:D)</f>
        <v>Non-Current Assets</v>
      </c>
      <c r="I19" s="43" t="str">
        <f>_xlfn.XLOOKUP($A19,Map!$A:$A,Map!E:E)</f>
        <v>Property, plant and equipment</v>
      </c>
      <c r="J19" s="43" t="str">
        <f>_xlfn.XLOOKUP($A19,Map!$A:$A,Map!F:F)</f>
        <v>Property, plant and equipment - Accumulated depreciation</v>
      </c>
    </row>
    <row r="20" spans="1:10" x14ac:dyDescent="0.25">
      <c r="A20">
        <v>120007</v>
      </c>
      <c r="B20" t="s">
        <v>834</v>
      </c>
      <c r="C20" s="116">
        <v>-320357.62</v>
      </c>
      <c r="D20" s="116">
        <v>0</v>
      </c>
      <c r="E20" s="116">
        <v>76450.78</v>
      </c>
      <c r="F20" s="116">
        <v>-396808.4</v>
      </c>
      <c r="G20" s="43" t="str">
        <f>_xlfn.XLOOKUP($A20,Map!$A:$A,Map!C:C)</f>
        <v>BS</v>
      </c>
      <c r="H20" s="43" t="str">
        <f>_xlfn.XLOOKUP($A20,Map!$A:$A,Map!D:D)</f>
        <v>Non-Current Assets</v>
      </c>
      <c r="I20" s="43" t="str">
        <f>_xlfn.XLOOKUP($A20,Map!$A:$A,Map!E:E)</f>
        <v>Property, plant and equipment</v>
      </c>
      <c r="J20" s="43" t="str">
        <f>_xlfn.XLOOKUP($A20,Map!$A:$A,Map!F:F)</f>
        <v>Property, plant and equipment - Accumulated depreciation</v>
      </c>
    </row>
    <row r="21" spans="1:10" x14ac:dyDescent="0.25">
      <c r="A21">
        <v>120008</v>
      </c>
      <c r="B21" t="s">
        <v>835</v>
      </c>
      <c r="C21" s="116">
        <v>-173509.508</v>
      </c>
      <c r="D21" s="116">
        <v>0</v>
      </c>
      <c r="E21" s="116">
        <v>160113</v>
      </c>
      <c r="F21" s="116">
        <v>-333622.50799999997</v>
      </c>
      <c r="G21" s="43" t="str">
        <f>_xlfn.XLOOKUP($A21,Map!$A:$A,Map!C:C)</f>
        <v>BS</v>
      </c>
      <c r="H21" s="43" t="str">
        <f>_xlfn.XLOOKUP($A21,Map!$A:$A,Map!D:D)</f>
        <v>Non-Current Assets</v>
      </c>
      <c r="I21" s="43" t="str">
        <f>_xlfn.XLOOKUP($A21,Map!$A:$A,Map!E:E)</f>
        <v>Right of use</v>
      </c>
      <c r="J21" s="43" t="str">
        <f>_xlfn.XLOOKUP($A21,Map!$A:$A,Map!F:F)</f>
        <v>Depreciation/amortization of rights of use assets</v>
      </c>
    </row>
    <row r="22" spans="1:10" x14ac:dyDescent="0.25">
      <c r="A22">
        <v>121001</v>
      </c>
      <c r="B22" t="s">
        <v>836</v>
      </c>
      <c r="C22" s="116">
        <v>13762616.130000001</v>
      </c>
      <c r="D22" s="116">
        <v>0</v>
      </c>
      <c r="E22" s="116">
        <v>0</v>
      </c>
      <c r="F22" s="116">
        <v>13762616.130000001</v>
      </c>
      <c r="G22" s="43" t="str">
        <f>_xlfn.XLOOKUP($A22,Map!$A:$A,Map!C:C)</f>
        <v>BS</v>
      </c>
      <c r="H22" s="43" t="str">
        <f>_xlfn.XLOOKUP($A22,Map!$A:$A,Map!D:D)</f>
        <v>Current Assets</v>
      </c>
      <c r="I22" s="43" t="str">
        <f>_xlfn.XLOOKUP($A22,Map!$A:$A,Map!E:E)</f>
        <v>Prepaid expenses</v>
      </c>
      <c r="J22" s="43" t="str">
        <f>_xlfn.XLOOKUP($A22,Map!$A:$A,Map!F:F)</f>
        <v>Pre Operating Exps</v>
      </c>
    </row>
    <row r="23" spans="1:10" x14ac:dyDescent="0.25">
      <c r="A23">
        <v>121002</v>
      </c>
      <c r="B23" t="s">
        <v>837</v>
      </c>
      <c r="C23" s="116">
        <v>-13762616.130000001</v>
      </c>
      <c r="D23" s="116">
        <v>0</v>
      </c>
      <c r="E23" s="116">
        <v>0</v>
      </c>
      <c r="F23" s="116">
        <v>-13762616.130000001</v>
      </c>
      <c r="G23" s="43" t="str">
        <f>_xlfn.XLOOKUP($A23,Map!$A:$A,Map!C:C)</f>
        <v>BS</v>
      </c>
      <c r="H23" s="43" t="str">
        <f>_xlfn.XLOOKUP($A23,Map!$A:$A,Map!D:D)</f>
        <v>Current Assets</v>
      </c>
      <c r="I23" s="43" t="str">
        <f>_xlfn.XLOOKUP($A23,Map!$A:$A,Map!E:E)</f>
        <v>Prepaid expenses</v>
      </c>
      <c r="J23" s="43" t="str">
        <f>_xlfn.XLOOKUP($A23,Map!$A:$A,Map!F:F)</f>
        <v>Amortization Of Pre Operating Exps</v>
      </c>
    </row>
    <row r="24" spans="1:10" x14ac:dyDescent="0.25">
      <c r="A24">
        <v>130001</v>
      </c>
      <c r="B24" t="s">
        <v>838</v>
      </c>
      <c r="C24" s="116">
        <v>-0.41</v>
      </c>
      <c r="D24" s="116">
        <v>2217974.0699999998</v>
      </c>
      <c r="E24" s="116">
        <v>1963083.59</v>
      </c>
      <c r="F24" s="116">
        <v>254890.07</v>
      </c>
      <c r="G24" s="43" t="str">
        <f>_xlfn.XLOOKUP($A24,Map!$A:$A,Map!C:C)</f>
        <v>BS</v>
      </c>
      <c r="H24" s="43" t="str">
        <f>_xlfn.XLOOKUP($A24,Map!$A:$A,Map!D:D)</f>
        <v>Current Assets</v>
      </c>
      <c r="I24" s="43" t="str">
        <f>_xlfn.XLOOKUP($A24,Map!$A:$A,Map!E:E)</f>
        <v>Cash and cash equivalents</v>
      </c>
      <c r="J24" s="43" t="str">
        <f>_xlfn.XLOOKUP($A24,Map!$A:$A,Map!F:F)</f>
        <v>Bank balances</v>
      </c>
    </row>
    <row r="25" spans="1:10" x14ac:dyDescent="0.25">
      <c r="A25">
        <v>130002</v>
      </c>
      <c r="B25" t="s">
        <v>1205</v>
      </c>
      <c r="C25" s="116">
        <v>744918.4</v>
      </c>
      <c r="D25" s="116">
        <v>1993185.35</v>
      </c>
      <c r="E25" s="116">
        <v>2738103.75</v>
      </c>
      <c r="F25" s="116">
        <v>0</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130003</v>
      </c>
      <c r="B26" t="s">
        <v>840</v>
      </c>
      <c r="C26" s="116">
        <v>0</v>
      </c>
      <c r="D26" s="116">
        <v>0</v>
      </c>
      <c r="E26" s="116">
        <v>0</v>
      </c>
      <c r="F26" s="116">
        <v>0</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130004</v>
      </c>
      <c r="B27" t="s">
        <v>841</v>
      </c>
      <c r="C27" s="116">
        <v>108178.8</v>
      </c>
      <c r="D27" s="116">
        <v>464750.91</v>
      </c>
      <c r="E27" s="116">
        <v>541800.91</v>
      </c>
      <c r="F27" s="116">
        <v>31128.799999999999</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130005</v>
      </c>
      <c r="B28" t="s">
        <v>842</v>
      </c>
      <c r="C28" s="116">
        <v>0</v>
      </c>
      <c r="D28" s="116">
        <v>0</v>
      </c>
      <c r="E28" s="116">
        <v>0</v>
      </c>
      <c r="F28" s="116">
        <v>0</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130006</v>
      </c>
      <c r="B29" t="s">
        <v>843</v>
      </c>
      <c r="C29" s="116">
        <v>89237.65</v>
      </c>
      <c r="D29" s="116">
        <v>133216</v>
      </c>
      <c r="E29" s="116">
        <v>1380</v>
      </c>
      <c r="F29" s="116">
        <v>221073.65</v>
      </c>
      <c r="G29" s="43" t="str">
        <f>_xlfn.XLOOKUP($A29,Map!$A:$A,Map!C:C)</f>
        <v>BS</v>
      </c>
      <c r="H29" s="43" t="str">
        <f>_xlfn.XLOOKUP($A29,Map!$A:$A,Map!D:D)</f>
        <v>Current Assets</v>
      </c>
      <c r="I29" s="43" t="str">
        <f>_xlfn.XLOOKUP($A29,Map!$A:$A,Map!E:E)</f>
        <v>Cash and cash equivalents</v>
      </c>
      <c r="J29" s="43" t="str">
        <f>_xlfn.XLOOKUP($A29,Map!$A:$A,Map!F:F)</f>
        <v>Bank balances</v>
      </c>
    </row>
    <row r="30" spans="1:10" x14ac:dyDescent="0.25">
      <c r="A30">
        <v>130007</v>
      </c>
      <c r="B30" t="s">
        <v>844</v>
      </c>
      <c r="C30" s="116">
        <v>271627.56</v>
      </c>
      <c r="D30" s="116">
        <v>703485.92</v>
      </c>
      <c r="E30" s="116">
        <v>0</v>
      </c>
      <c r="F30" s="116">
        <v>975113.48</v>
      </c>
      <c r="G30" s="43" t="str">
        <f>_xlfn.XLOOKUP($A30,Map!$A:$A,Map!C:C)</f>
        <v>BS</v>
      </c>
      <c r="H30" s="43" t="str">
        <f>_xlfn.XLOOKUP($A30,Map!$A:$A,Map!D:D)</f>
        <v>Current Assets</v>
      </c>
      <c r="I30" s="43" t="str">
        <f>_xlfn.XLOOKUP($A30,Map!$A:$A,Map!E:E)</f>
        <v>Cash and cash equivalents</v>
      </c>
      <c r="J30" s="43" t="str">
        <f>_xlfn.XLOOKUP($A30,Map!$A:$A,Map!F:F)</f>
        <v>Bank balances</v>
      </c>
    </row>
    <row r="31" spans="1:10" x14ac:dyDescent="0.25">
      <c r="A31">
        <v>130008</v>
      </c>
      <c r="B31" t="s">
        <v>845</v>
      </c>
      <c r="C31" s="116">
        <v>1334479.27</v>
      </c>
      <c r="D31" s="116">
        <v>19070166.526000001</v>
      </c>
      <c r="E31" s="116">
        <v>19840814.076000001</v>
      </c>
      <c r="F31" s="116">
        <v>563831.72</v>
      </c>
      <c r="G31" s="43" t="str">
        <f>_xlfn.XLOOKUP($A31,Map!$A:$A,Map!C:C)</f>
        <v>BS</v>
      </c>
      <c r="H31" s="43" t="str">
        <f>_xlfn.XLOOKUP($A31,Map!$A:$A,Map!D:D)</f>
        <v>Current Assets</v>
      </c>
      <c r="I31" s="43" t="str">
        <f>_xlfn.XLOOKUP($A31,Map!$A:$A,Map!E:E)</f>
        <v>Cash and cash equivalents</v>
      </c>
      <c r="J31" s="43" t="str">
        <f>_xlfn.XLOOKUP($A31,Map!$A:$A,Map!F:F)</f>
        <v>Bank balances</v>
      </c>
    </row>
    <row r="32" spans="1:10" x14ac:dyDescent="0.25">
      <c r="A32">
        <v>130009</v>
      </c>
      <c r="B32" t="s">
        <v>846</v>
      </c>
      <c r="C32" s="116">
        <v>481793.78</v>
      </c>
      <c r="D32" s="116">
        <v>65840753.43</v>
      </c>
      <c r="E32" s="116">
        <v>65569651.669</v>
      </c>
      <c r="F32" s="116">
        <v>752895.54099999997</v>
      </c>
      <c r="G32" s="43" t="str">
        <f>_xlfn.XLOOKUP($A32,Map!$A:$A,Map!C:C)</f>
        <v>BS</v>
      </c>
      <c r="H32" s="43" t="str">
        <f>_xlfn.XLOOKUP($A32,Map!$A:$A,Map!D:D)</f>
        <v>Current Assets</v>
      </c>
      <c r="I32" s="43" t="str">
        <f>_xlfn.XLOOKUP($A32,Map!$A:$A,Map!E:E)</f>
        <v>Cash and cash equivalents</v>
      </c>
      <c r="J32" s="43" t="str">
        <f>_xlfn.XLOOKUP($A32,Map!$A:$A,Map!F:F)</f>
        <v>Bank balances</v>
      </c>
    </row>
    <row r="33" spans="1:10" x14ac:dyDescent="0.25">
      <c r="A33">
        <v>130010</v>
      </c>
      <c r="B33" t="s">
        <v>847</v>
      </c>
      <c r="C33" s="116">
        <v>14548085.07</v>
      </c>
      <c r="D33" s="116">
        <v>151025667.26899999</v>
      </c>
      <c r="E33" s="116">
        <v>164845246.435</v>
      </c>
      <c r="F33" s="116">
        <v>728505.90399999998</v>
      </c>
      <c r="G33" s="43" t="str">
        <f>_xlfn.XLOOKUP($A33,Map!$A:$A,Map!C:C)</f>
        <v>BS</v>
      </c>
      <c r="H33" s="43" t="str">
        <f>_xlfn.XLOOKUP($A33,Map!$A:$A,Map!D:D)</f>
        <v>Current Assets</v>
      </c>
      <c r="I33" s="43" t="str">
        <f>_xlfn.XLOOKUP($A33,Map!$A:$A,Map!E:E)</f>
        <v>Cash and cash equivalents</v>
      </c>
      <c r="J33" s="43" t="str">
        <f>_xlfn.XLOOKUP($A33,Map!$A:$A,Map!F:F)</f>
        <v>Bank balances</v>
      </c>
    </row>
    <row r="34" spans="1:10" x14ac:dyDescent="0.25">
      <c r="A34">
        <v>130011</v>
      </c>
      <c r="B34" t="s">
        <v>848</v>
      </c>
      <c r="C34" s="116">
        <v>10099447.390000001</v>
      </c>
      <c r="D34" s="116">
        <v>63598893.686999999</v>
      </c>
      <c r="E34" s="116">
        <v>71860490.834999993</v>
      </c>
      <c r="F34" s="116">
        <v>1837850.2420000001</v>
      </c>
      <c r="G34" s="43" t="str">
        <f>_xlfn.XLOOKUP($A34,Map!$A:$A,Map!C:C)</f>
        <v>BS</v>
      </c>
      <c r="H34" s="43" t="str">
        <f>_xlfn.XLOOKUP($A34,Map!$A:$A,Map!D:D)</f>
        <v>Current Assets</v>
      </c>
      <c r="I34" s="43" t="str">
        <f>_xlfn.XLOOKUP($A34,Map!$A:$A,Map!E:E)</f>
        <v>Cash and cash equivalents</v>
      </c>
      <c r="J34" s="43" t="str">
        <f>_xlfn.XLOOKUP($A34,Map!$A:$A,Map!F:F)</f>
        <v>Bank balances</v>
      </c>
    </row>
    <row r="35" spans="1:10" x14ac:dyDescent="0.25">
      <c r="A35">
        <v>130012</v>
      </c>
      <c r="B35" t="s">
        <v>849</v>
      </c>
      <c r="C35" s="116">
        <v>12249437.208000001</v>
      </c>
      <c r="D35" s="116">
        <v>49306158.825999998</v>
      </c>
      <c r="E35" s="116">
        <v>59276757.417000003</v>
      </c>
      <c r="F35" s="116">
        <v>2278838.6170000001</v>
      </c>
      <c r="G35" s="43" t="str">
        <f>_xlfn.XLOOKUP($A35,Map!$A:$A,Map!C:C)</f>
        <v>BS</v>
      </c>
      <c r="H35" s="43" t="str">
        <f>_xlfn.XLOOKUP($A35,Map!$A:$A,Map!D:D)</f>
        <v>Current Assets</v>
      </c>
      <c r="I35" s="43" t="str">
        <f>_xlfn.XLOOKUP($A35,Map!$A:$A,Map!E:E)</f>
        <v>Cash and cash equivalents</v>
      </c>
      <c r="J35" s="43" t="str">
        <f>_xlfn.XLOOKUP($A35,Map!$A:$A,Map!F:F)</f>
        <v>Bank balances</v>
      </c>
    </row>
    <row r="36" spans="1:10" x14ac:dyDescent="0.25">
      <c r="A36">
        <v>130013</v>
      </c>
      <c r="B36" t="s">
        <v>1206</v>
      </c>
      <c r="C36" s="116">
        <v>801234.04299999995</v>
      </c>
      <c r="D36" s="116">
        <v>28624595.043000001</v>
      </c>
      <c r="E36" s="116">
        <v>26446278.725000001</v>
      </c>
      <c r="F36" s="116">
        <v>2979550.361</v>
      </c>
      <c r="G36" s="43" t="str">
        <f>_xlfn.XLOOKUP($A36,Map!$A:$A,Map!C:C)</f>
        <v>BS</v>
      </c>
      <c r="H36" s="43" t="str">
        <f>_xlfn.XLOOKUP($A36,Map!$A:$A,Map!D:D)</f>
        <v>Current Assets</v>
      </c>
      <c r="I36" s="43" t="str">
        <f>_xlfn.XLOOKUP($A36,Map!$A:$A,Map!E:E)</f>
        <v>Cash and cash equivalents</v>
      </c>
      <c r="J36" s="43" t="str">
        <f>_xlfn.XLOOKUP($A36,Map!$A:$A,Map!F:F)</f>
        <v>Bank balances</v>
      </c>
    </row>
    <row r="37" spans="1:10" x14ac:dyDescent="0.25">
      <c r="A37">
        <v>130014</v>
      </c>
      <c r="B37" t="s">
        <v>851</v>
      </c>
      <c r="C37" s="116">
        <v>0</v>
      </c>
      <c r="D37" s="116">
        <v>3790175.25</v>
      </c>
      <c r="E37" s="116">
        <v>3771425.5</v>
      </c>
      <c r="F37" s="116">
        <v>18749.75</v>
      </c>
      <c r="G37" s="43" t="str">
        <f>_xlfn.XLOOKUP($A37,Map!$A:$A,Map!C:C)</f>
        <v>BS</v>
      </c>
      <c r="H37" s="43" t="str">
        <f>_xlfn.XLOOKUP($A37,Map!$A:$A,Map!D:D)</f>
        <v>Current Assets</v>
      </c>
      <c r="I37" s="43" t="str">
        <f>_xlfn.XLOOKUP($A37,Map!$A:$A,Map!E:E)</f>
        <v>Cash and cash equivalents</v>
      </c>
      <c r="J37" s="43" t="str">
        <f>_xlfn.XLOOKUP($A37,Map!$A:$A,Map!F:F)</f>
        <v>Bank balances</v>
      </c>
    </row>
    <row r="38" spans="1:10" x14ac:dyDescent="0.25">
      <c r="A38">
        <v>130099</v>
      </c>
      <c r="B38" t="s">
        <v>856</v>
      </c>
      <c r="C38" s="116">
        <v>0</v>
      </c>
      <c r="D38" s="116">
        <v>145338160.94</v>
      </c>
      <c r="E38" s="116">
        <v>145338160.94</v>
      </c>
      <c r="F38" s="116">
        <v>0</v>
      </c>
      <c r="G38" s="43" t="str">
        <f>_xlfn.XLOOKUP($A38,Map!$A:$A,Map!C:C)</f>
        <v>BS</v>
      </c>
      <c r="H38" s="43" t="str">
        <f>_xlfn.XLOOKUP($A38,Map!$A:$A,Map!D:D)</f>
        <v>Current Assets</v>
      </c>
      <c r="I38" s="43" t="str">
        <f>_xlfn.XLOOKUP($A38,Map!$A:$A,Map!E:E)</f>
        <v>Cash and cash equivalents</v>
      </c>
      <c r="J38" s="43" t="str">
        <f>_xlfn.XLOOKUP($A38,Map!$A:$A,Map!F:F)</f>
        <v>Bank balances</v>
      </c>
    </row>
    <row r="39" spans="1:10" x14ac:dyDescent="0.25">
      <c r="A39">
        <v>140001</v>
      </c>
      <c r="B39" t="s">
        <v>857</v>
      </c>
      <c r="C39" s="116">
        <v>38933964.941</v>
      </c>
      <c r="D39" s="116">
        <v>305534993.30900002</v>
      </c>
      <c r="E39" s="116">
        <v>281200658.741</v>
      </c>
      <c r="F39" s="116">
        <v>63268299.509000003</v>
      </c>
      <c r="G39" s="43" t="str">
        <f>_xlfn.XLOOKUP($A39,Map!$A:$A,Map!C:C)</f>
        <v>BS</v>
      </c>
      <c r="H39" s="43" t="str">
        <f>_xlfn.XLOOKUP($A39,Map!$A:$A,Map!D:D)</f>
        <v>Current Assets</v>
      </c>
      <c r="I39" s="43" t="str">
        <f>_xlfn.XLOOKUP($A39,Map!$A:$A,Map!E:E)</f>
        <v>Trade receivables</v>
      </c>
      <c r="J39" s="43" t="str">
        <f>_xlfn.XLOOKUP($A39,Map!$A:$A,Map!F:F)</f>
        <v>Trade receivables - current</v>
      </c>
    </row>
    <row r="40" spans="1:10" x14ac:dyDescent="0.25">
      <c r="A40">
        <v>140010</v>
      </c>
      <c r="B40" t="s">
        <v>858</v>
      </c>
      <c r="C40" s="116">
        <v>0</v>
      </c>
      <c r="D40" s="116">
        <v>0</v>
      </c>
      <c r="E40" s="116">
        <v>0</v>
      </c>
      <c r="F40" s="116">
        <v>0</v>
      </c>
      <c r="G40" s="43" t="str">
        <f>_xlfn.XLOOKUP($A40,Map!$A:$A,Map!C:C)</f>
        <v>BS</v>
      </c>
      <c r="H40" s="43" t="str">
        <f>_xlfn.XLOOKUP($A40,Map!$A:$A,Map!D:D)</f>
        <v>Current Assets</v>
      </c>
      <c r="I40" s="43" t="str">
        <f>_xlfn.XLOOKUP($A40,Map!$A:$A,Map!E:E)</f>
        <v>Trade receivables</v>
      </c>
      <c r="J40" s="43" t="str">
        <f>_xlfn.XLOOKUP($A40,Map!$A:$A,Map!F:F)</f>
        <v>Trade receivables - current</v>
      </c>
    </row>
    <row r="41" spans="1:10" x14ac:dyDescent="0.25">
      <c r="A41">
        <v>150001</v>
      </c>
      <c r="B41" t="s">
        <v>859</v>
      </c>
      <c r="C41" s="116">
        <v>161280</v>
      </c>
      <c r="D41" s="116">
        <v>134919</v>
      </c>
      <c r="E41" s="116">
        <v>258949</v>
      </c>
      <c r="F41" s="116">
        <v>37250</v>
      </c>
      <c r="G41" s="43" t="str">
        <f>_xlfn.XLOOKUP($A41,Map!$A:$A,Map!C:C)</f>
        <v>BS</v>
      </c>
      <c r="H41" s="43" t="str">
        <f>_xlfn.XLOOKUP($A41,Map!$A:$A,Map!D:D)</f>
        <v>Current Assets</v>
      </c>
      <c r="I41" s="43" t="str">
        <f>_xlfn.XLOOKUP($A41,Map!$A:$A,Map!E:E)</f>
        <v>Prepaid expenses</v>
      </c>
      <c r="J41" s="43" t="str">
        <f>_xlfn.XLOOKUP($A41,Map!$A:$A,Map!F:F)</f>
        <v>Advances - current</v>
      </c>
    </row>
    <row r="42" spans="1:10" x14ac:dyDescent="0.25">
      <c r="A42">
        <v>150002</v>
      </c>
      <c r="B42" t="s">
        <v>860</v>
      </c>
      <c r="C42" s="116">
        <v>3107455</v>
      </c>
      <c r="D42" s="116">
        <v>74226</v>
      </c>
      <c r="E42" s="116">
        <v>792899</v>
      </c>
      <c r="F42" s="116">
        <v>2388782</v>
      </c>
      <c r="G42" s="43" t="str">
        <f>_xlfn.XLOOKUP($A42,Map!$A:$A,Map!C:C)</f>
        <v>BS</v>
      </c>
      <c r="H42" s="43" t="str">
        <f>_xlfn.XLOOKUP($A42,Map!$A:$A,Map!D:D)</f>
        <v>Non-Current Liabilities</v>
      </c>
      <c r="I42" s="43" t="str">
        <f>_xlfn.XLOOKUP($A42,Map!$A:$A,Map!E:E)</f>
        <v xml:space="preserve">End-of-service indemnities </v>
      </c>
      <c r="J42" s="43" t="str">
        <f>_xlfn.XLOOKUP($A42,Map!$A:$A,Map!F:F)</f>
        <v xml:space="preserve">End-of-service indemnities </v>
      </c>
    </row>
    <row r="43" spans="1:10" x14ac:dyDescent="0.25">
      <c r="A43">
        <v>160001</v>
      </c>
      <c r="B43" t="s">
        <v>861</v>
      </c>
      <c r="C43" s="116">
        <v>16854.25</v>
      </c>
      <c r="D43" s="116">
        <v>354892.54</v>
      </c>
      <c r="E43" s="116">
        <v>363042.88</v>
      </c>
      <c r="F43" s="116">
        <v>8703.91</v>
      </c>
      <c r="G43" s="43" t="str">
        <f>_xlfn.XLOOKUP($A43,Map!$A:$A,Map!C:C)</f>
        <v>BS</v>
      </c>
      <c r="H43" s="43" t="str">
        <f>_xlfn.XLOOKUP($A43,Map!$A:$A,Map!D:D)</f>
        <v>Current Assets</v>
      </c>
      <c r="I43" s="43" t="str">
        <f>_xlfn.XLOOKUP($A43,Map!$A:$A,Map!E:E)</f>
        <v>Cash and cash equivalents</v>
      </c>
      <c r="J43" s="43" t="str">
        <f>_xlfn.XLOOKUP($A43,Map!$A:$A,Map!F:F)</f>
        <v>Petty cash</v>
      </c>
    </row>
    <row r="44" spans="1:10" x14ac:dyDescent="0.25">
      <c r="A44">
        <v>170000</v>
      </c>
      <c r="B44" t="s">
        <v>862</v>
      </c>
      <c r="C44" s="116">
        <v>0</v>
      </c>
      <c r="D44" s="116">
        <v>699908.11</v>
      </c>
      <c r="E44" s="116">
        <v>699908.11</v>
      </c>
      <c r="F44" s="116">
        <v>0</v>
      </c>
      <c r="G44" s="43" t="str">
        <f>_xlfn.XLOOKUP($A44,Map!$A:$A,Map!C:C)</f>
        <v>BS</v>
      </c>
      <c r="H44" s="43" t="str">
        <f>_xlfn.XLOOKUP($A44,Map!$A:$A,Map!D:D)</f>
        <v>Current Liabilities</v>
      </c>
      <c r="I44" s="43" t="str">
        <f>_xlfn.XLOOKUP($A44,Map!$A:$A,Map!E:E)</f>
        <v>Short-term Murabaha loans</v>
      </c>
      <c r="J44" s="43" t="str">
        <f>_xlfn.XLOOKUP($A44,Map!$A:$A,Map!F:F)</f>
        <v>Prepayments - current</v>
      </c>
    </row>
    <row r="45" spans="1:10" x14ac:dyDescent="0.25">
      <c r="A45">
        <v>170001</v>
      </c>
      <c r="B45" t="s">
        <v>863</v>
      </c>
      <c r="C45" s="116">
        <v>667490.804</v>
      </c>
      <c r="D45" s="116">
        <v>616817.86600000004</v>
      </c>
      <c r="E45" s="116">
        <v>1284308.67</v>
      </c>
      <c r="F45" s="116">
        <v>0</v>
      </c>
      <c r="G45" s="43" t="str">
        <f>_xlfn.XLOOKUP($A45,Map!$A:$A,Map!C:C)</f>
        <v>BS</v>
      </c>
      <c r="H45" s="43" t="str">
        <f>_xlfn.XLOOKUP($A45,Map!$A:$A,Map!D:D)</f>
        <v>Current Liabilities</v>
      </c>
      <c r="I45" s="43" t="str">
        <f>_xlfn.XLOOKUP($A45,Map!$A:$A,Map!E:E)</f>
        <v>Short-term Murabaha loans</v>
      </c>
      <c r="J45" s="43" t="str">
        <f>_xlfn.XLOOKUP($A45,Map!$A:$A,Map!F:F)</f>
        <v>Prepayments - current</v>
      </c>
    </row>
    <row r="46" spans="1:10" x14ac:dyDescent="0.25">
      <c r="A46">
        <v>170002</v>
      </c>
      <c r="B46" t="s">
        <v>864</v>
      </c>
      <c r="C46" s="116">
        <v>336418.50099999999</v>
      </c>
      <c r="D46" s="116">
        <v>1108905.5190000001</v>
      </c>
      <c r="E46" s="116">
        <v>1445324.02</v>
      </c>
      <c r="F46" s="116">
        <v>0</v>
      </c>
      <c r="G46" s="43" t="str">
        <f>_xlfn.XLOOKUP($A46,Map!$A:$A,Map!C:C)</f>
        <v>BS</v>
      </c>
      <c r="H46" s="43" t="str">
        <f>_xlfn.XLOOKUP($A46,Map!$A:$A,Map!D:D)</f>
        <v>Current Liabilities</v>
      </c>
      <c r="I46" s="43" t="str">
        <f>_xlfn.XLOOKUP($A46,Map!$A:$A,Map!E:E)</f>
        <v>Short-term Murabaha loans</v>
      </c>
      <c r="J46" s="43" t="str">
        <f>_xlfn.XLOOKUP($A46,Map!$A:$A,Map!F:F)</f>
        <v>Prepayments - current</v>
      </c>
    </row>
    <row r="47" spans="1:10" x14ac:dyDescent="0.25">
      <c r="A47">
        <v>170003</v>
      </c>
      <c r="B47" t="s">
        <v>865</v>
      </c>
      <c r="C47" s="116">
        <v>0</v>
      </c>
      <c r="D47" s="116">
        <v>0</v>
      </c>
      <c r="E47" s="116">
        <v>0</v>
      </c>
      <c r="F47" s="116">
        <v>0</v>
      </c>
      <c r="G47" s="43" t="str">
        <f>_xlfn.XLOOKUP($A47,Map!$A:$A,Map!C:C)</f>
        <v>BS</v>
      </c>
      <c r="H47" s="43" t="str">
        <f>_xlfn.XLOOKUP($A47,Map!$A:$A,Map!D:D)</f>
        <v>Current Liabilities</v>
      </c>
      <c r="I47" s="43" t="str">
        <f>_xlfn.XLOOKUP($A47,Map!$A:$A,Map!E:E)</f>
        <v>Short-term Murabaha loans</v>
      </c>
      <c r="J47" s="43" t="str">
        <f>_xlfn.XLOOKUP($A47,Map!$A:$A,Map!F:F)</f>
        <v>Prepayments - current</v>
      </c>
    </row>
    <row r="48" spans="1:10" x14ac:dyDescent="0.25">
      <c r="A48">
        <v>170004</v>
      </c>
      <c r="B48" t="s">
        <v>866</v>
      </c>
      <c r="C48" s="116">
        <v>0</v>
      </c>
      <c r="D48" s="116">
        <v>0</v>
      </c>
      <c r="E48" s="116">
        <v>0</v>
      </c>
      <c r="F48" s="116">
        <v>0</v>
      </c>
      <c r="G48" s="43" t="str">
        <f>_xlfn.XLOOKUP($A48,Map!$A:$A,Map!C:C)</f>
        <v>BS</v>
      </c>
      <c r="H48" s="43" t="str">
        <f>_xlfn.XLOOKUP($A48,Map!$A:$A,Map!D:D)</f>
        <v>Current Liabilities</v>
      </c>
      <c r="I48" s="43" t="str">
        <f>_xlfn.XLOOKUP($A48,Map!$A:$A,Map!E:E)</f>
        <v>Short-term Murabaha loans</v>
      </c>
      <c r="J48" s="43" t="str">
        <f>_xlfn.XLOOKUP($A48,Map!$A:$A,Map!F:F)</f>
        <v>Prepayments - current</v>
      </c>
    </row>
    <row r="49" spans="1:10" x14ac:dyDescent="0.25">
      <c r="A49">
        <v>170005</v>
      </c>
      <c r="B49" t="s">
        <v>867</v>
      </c>
      <c r="C49" s="116">
        <v>0</v>
      </c>
      <c r="D49" s="116">
        <v>0</v>
      </c>
      <c r="E49" s="116">
        <v>0</v>
      </c>
      <c r="F49" s="116">
        <v>0</v>
      </c>
      <c r="G49" s="43" t="str">
        <f>_xlfn.XLOOKUP($A49,Map!$A:$A,Map!C:C)</f>
        <v>BS</v>
      </c>
      <c r="H49" s="43" t="str">
        <f>_xlfn.XLOOKUP($A49,Map!$A:$A,Map!D:D)</f>
        <v>Current Assets</v>
      </c>
      <c r="I49" s="43" t="str">
        <f>_xlfn.XLOOKUP($A49,Map!$A:$A,Map!E:E)</f>
        <v>Prepaid expenses</v>
      </c>
      <c r="J49" s="43" t="str">
        <f>_xlfn.XLOOKUP($A49,Map!$A:$A,Map!F:F)</f>
        <v>Deposits - current</v>
      </c>
    </row>
    <row r="50" spans="1:10" x14ac:dyDescent="0.25">
      <c r="A50">
        <v>170006</v>
      </c>
      <c r="B50" t="s">
        <v>868</v>
      </c>
      <c r="C50" s="116">
        <v>0</v>
      </c>
      <c r="D50" s="116">
        <v>3855102.0970000001</v>
      </c>
      <c r="E50" s="116">
        <v>2614875.557</v>
      </c>
      <c r="F50" s="116">
        <v>1240226.54</v>
      </c>
      <c r="G50" s="43" t="str">
        <f>_xlfn.XLOOKUP($A50,Map!$A:$A,Map!C:C)</f>
        <v>BS</v>
      </c>
      <c r="H50" s="43" t="str">
        <f>_xlfn.XLOOKUP($A50,Map!$A:$A,Map!D:D)</f>
        <v>Current Assets</v>
      </c>
      <c r="I50" s="43" t="str">
        <f>_xlfn.XLOOKUP($A50,Map!$A:$A,Map!E:E)</f>
        <v>Prepaid expenses</v>
      </c>
      <c r="J50" s="43" t="str">
        <f>_xlfn.XLOOKUP($A50,Map!$A:$A,Map!F:F)</f>
        <v>Deposits - current</v>
      </c>
    </row>
    <row r="51" spans="1:10" x14ac:dyDescent="0.25">
      <c r="A51">
        <v>170007</v>
      </c>
      <c r="B51" t="s">
        <v>869</v>
      </c>
      <c r="C51" s="116">
        <v>0</v>
      </c>
      <c r="D51" s="116">
        <v>0</v>
      </c>
      <c r="E51" s="116">
        <v>0</v>
      </c>
      <c r="F51" s="116">
        <v>0</v>
      </c>
      <c r="G51" s="43" t="str">
        <f>_xlfn.XLOOKUP($A51,Map!$A:$A,Map!C:C)</f>
        <v>BS</v>
      </c>
      <c r="H51" s="43" t="str">
        <f>_xlfn.XLOOKUP($A51,Map!$A:$A,Map!D:D)</f>
        <v>Current Assets</v>
      </c>
      <c r="I51" s="43" t="str">
        <f>_xlfn.XLOOKUP($A51,Map!$A:$A,Map!E:E)</f>
        <v>Prepaid expenses</v>
      </c>
      <c r="J51" s="43" t="str">
        <f>_xlfn.XLOOKUP($A51,Map!$A:$A,Map!F:F)</f>
        <v>Deposits - current</v>
      </c>
    </row>
    <row r="52" spans="1:10" x14ac:dyDescent="0.25">
      <c r="A52">
        <v>170008</v>
      </c>
      <c r="B52" t="s">
        <v>870</v>
      </c>
      <c r="C52" s="116">
        <v>0</v>
      </c>
      <c r="D52" s="116">
        <v>1107239.19</v>
      </c>
      <c r="E52" s="116">
        <v>704349.56</v>
      </c>
      <c r="F52" s="116">
        <v>402889.63</v>
      </c>
      <c r="G52" s="43" t="str">
        <f>_xlfn.XLOOKUP($A52,Map!$A:$A,Map!C:C)</f>
        <v>BS</v>
      </c>
      <c r="H52" s="43" t="str">
        <f>_xlfn.XLOOKUP($A52,Map!$A:$A,Map!D:D)</f>
        <v>Current Assets</v>
      </c>
      <c r="I52" s="43" t="str">
        <f>_xlfn.XLOOKUP($A52,Map!$A:$A,Map!E:E)</f>
        <v>Prepaid expenses</v>
      </c>
      <c r="J52" s="43" t="str">
        <f>_xlfn.XLOOKUP($A52,Map!$A:$A,Map!F:F)</f>
        <v>Deposits - current</v>
      </c>
    </row>
    <row r="53" spans="1:10" x14ac:dyDescent="0.25">
      <c r="A53">
        <v>170009</v>
      </c>
      <c r="B53" t="s">
        <v>871</v>
      </c>
      <c r="C53" s="116">
        <v>64609</v>
      </c>
      <c r="D53" s="116">
        <v>383061.304</v>
      </c>
      <c r="E53" s="116">
        <v>414670.304</v>
      </c>
      <c r="F53" s="116">
        <v>33000</v>
      </c>
      <c r="G53" s="43" t="str">
        <f>_xlfn.XLOOKUP($A53,Map!$A:$A,Map!C:C)</f>
        <v>BS</v>
      </c>
      <c r="H53" s="43" t="str">
        <f>_xlfn.XLOOKUP($A53,Map!$A:$A,Map!D:D)</f>
        <v>Current Assets</v>
      </c>
      <c r="I53" s="43" t="str">
        <f>_xlfn.XLOOKUP($A53,Map!$A:$A,Map!E:E)</f>
        <v>Prepaid expenses</v>
      </c>
      <c r="J53" s="43" t="str">
        <f>_xlfn.XLOOKUP($A53,Map!$A:$A,Map!F:F)</f>
        <v>Rent</v>
      </c>
    </row>
    <row r="54" spans="1:10" x14ac:dyDescent="0.25">
      <c r="A54">
        <v>170010</v>
      </c>
      <c r="B54" t="s">
        <v>872</v>
      </c>
      <c r="C54" s="116">
        <v>0</v>
      </c>
      <c r="D54" s="116">
        <v>913383.37</v>
      </c>
      <c r="E54" s="116">
        <v>913383.37</v>
      </c>
      <c r="F54" s="116">
        <v>0</v>
      </c>
      <c r="G54" s="43" t="str">
        <f>_xlfn.XLOOKUP($A54,Map!$A:$A,Map!C:C)</f>
        <v>BS</v>
      </c>
      <c r="H54" s="43" t="str">
        <f>_xlfn.XLOOKUP($A54,Map!$A:$A,Map!D:D)</f>
        <v>Current Assets</v>
      </c>
      <c r="I54" s="43" t="str">
        <f>_xlfn.XLOOKUP($A54,Map!$A:$A,Map!E:E)</f>
        <v>Prepaid expenses</v>
      </c>
      <c r="J54" s="43" t="str">
        <f>_xlfn.XLOOKUP($A54,Map!$A:$A,Map!F:F)</f>
        <v>Housing allowance</v>
      </c>
    </row>
    <row r="55" spans="1:10" x14ac:dyDescent="0.25">
      <c r="A55">
        <v>170011</v>
      </c>
      <c r="B55" t="s">
        <v>873</v>
      </c>
      <c r="C55" s="116">
        <v>0</v>
      </c>
      <c r="D55" s="116">
        <v>235000</v>
      </c>
      <c r="E55" s="116">
        <v>235000</v>
      </c>
      <c r="F55" s="116">
        <v>0</v>
      </c>
      <c r="G55" s="43" t="str">
        <f>_xlfn.XLOOKUP($A55,Map!$A:$A,Map!C:C)</f>
        <v>BS</v>
      </c>
      <c r="H55" s="43" t="str">
        <f>_xlfn.XLOOKUP($A55,Map!$A:$A,Map!D:D)</f>
        <v>Current Assets</v>
      </c>
      <c r="I55" s="43" t="str">
        <f>_xlfn.XLOOKUP($A55,Map!$A:$A,Map!E:E)</f>
        <v>Prepaid expenses</v>
      </c>
      <c r="J55" s="43" t="str">
        <f>_xlfn.XLOOKUP($A55,Map!$A:$A,Map!F:F)</f>
        <v>Air tickets</v>
      </c>
    </row>
    <row r="56" spans="1:10" x14ac:dyDescent="0.25">
      <c r="A56">
        <v>170012</v>
      </c>
      <c r="B56" t="s">
        <v>874</v>
      </c>
      <c r="C56" s="116">
        <v>171440</v>
      </c>
      <c r="D56" s="116">
        <v>49500</v>
      </c>
      <c r="E56" s="116">
        <v>92360</v>
      </c>
      <c r="F56" s="116">
        <v>128580</v>
      </c>
      <c r="G56" s="43" t="str">
        <f>_xlfn.XLOOKUP($A56,Map!$A:$A,Map!C:C)</f>
        <v>BS</v>
      </c>
      <c r="H56" s="43" t="str">
        <f>_xlfn.XLOOKUP($A56,Map!$A:$A,Map!D:D)</f>
        <v>Current Assets</v>
      </c>
      <c r="I56" s="43" t="str">
        <f>_xlfn.XLOOKUP($A56,Map!$A:$A,Map!E:E)</f>
        <v>Prepaid expenses</v>
      </c>
      <c r="J56" s="43" t="str">
        <f>_xlfn.XLOOKUP($A56,Map!$A:$A,Map!F:F)</f>
        <v>Furniture allowance</v>
      </c>
    </row>
    <row r="57" spans="1:10" x14ac:dyDescent="0.25">
      <c r="A57">
        <v>170013</v>
      </c>
      <c r="B57" t="s">
        <v>875</v>
      </c>
      <c r="C57" s="116">
        <v>67999.599000000002</v>
      </c>
      <c r="D57" s="116">
        <v>0</v>
      </c>
      <c r="E57" s="116">
        <v>0</v>
      </c>
      <c r="F57" s="116">
        <v>67999.599000000002</v>
      </c>
      <c r="G57" s="43" t="str">
        <f>_xlfn.XLOOKUP($A57,Map!$A:$A,Map!C:C)</f>
        <v>BS</v>
      </c>
      <c r="H57" s="43" t="str">
        <f>_xlfn.XLOOKUP($A57,Map!$A:$A,Map!D:D)</f>
        <v>Current Assets</v>
      </c>
      <c r="I57" s="43" t="str">
        <f>_xlfn.XLOOKUP($A57,Map!$A:$A,Map!E:E)</f>
        <v>Prepaid expenses</v>
      </c>
      <c r="J57" s="43" t="str">
        <f>_xlfn.XLOOKUP($A57,Map!$A:$A,Map!F:F)</f>
        <v>Insurance</v>
      </c>
    </row>
    <row r="58" spans="1:10" x14ac:dyDescent="0.25">
      <c r="A58">
        <v>170014</v>
      </c>
      <c r="B58" t="s">
        <v>876</v>
      </c>
      <c r="C58" s="116">
        <v>291018.283</v>
      </c>
      <c r="D58" s="116">
        <v>983365.65</v>
      </c>
      <c r="E58" s="116">
        <v>910174.43299999996</v>
      </c>
      <c r="F58" s="116">
        <v>364209.5</v>
      </c>
      <c r="G58" s="43" t="str">
        <f>_xlfn.XLOOKUP($A58,Map!$A:$A,Map!C:C)</f>
        <v>BS</v>
      </c>
      <c r="H58" s="43" t="str">
        <f>_xlfn.XLOOKUP($A58,Map!$A:$A,Map!D:D)</f>
        <v>Current Assets</v>
      </c>
      <c r="I58" s="43" t="str">
        <f>_xlfn.XLOOKUP($A58,Map!$A:$A,Map!E:E)</f>
        <v>Prepaid expenses</v>
      </c>
      <c r="J58" s="43" t="str">
        <f>_xlfn.XLOOKUP($A58,Map!$A:$A,Map!F:F)</f>
        <v>Insurance</v>
      </c>
    </row>
    <row r="59" spans="1:10" x14ac:dyDescent="0.25">
      <c r="A59">
        <v>170015</v>
      </c>
      <c r="B59" t="s">
        <v>877</v>
      </c>
      <c r="C59" s="116">
        <v>0</v>
      </c>
      <c r="D59" s="116">
        <v>0</v>
      </c>
      <c r="E59" s="116">
        <v>0</v>
      </c>
      <c r="F59" s="116">
        <v>0</v>
      </c>
      <c r="G59" s="43" t="str">
        <f>_xlfn.XLOOKUP($A59,Map!$A:$A,Map!C:C)</f>
        <v>BS</v>
      </c>
      <c r="H59" s="43" t="str">
        <f>_xlfn.XLOOKUP($A59,Map!$A:$A,Map!D:D)</f>
        <v>Current Assets</v>
      </c>
      <c r="I59" s="43" t="str">
        <f>_xlfn.XLOOKUP($A59,Map!$A:$A,Map!E:E)</f>
        <v>Prepaid expenses</v>
      </c>
      <c r="J59" s="43" t="str">
        <f>_xlfn.XLOOKUP($A59,Map!$A:$A,Map!F:F)</f>
        <v>Salaries and wages</v>
      </c>
    </row>
    <row r="60" spans="1:10" x14ac:dyDescent="0.25">
      <c r="A60">
        <v>170016</v>
      </c>
      <c r="B60" t="s">
        <v>878</v>
      </c>
      <c r="C60" s="116">
        <v>0</v>
      </c>
      <c r="D60" s="116">
        <v>0</v>
      </c>
      <c r="E60" s="116">
        <v>0</v>
      </c>
      <c r="F60" s="116">
        <v>0</v>
      </c>
      <c r="G60" s="43" t="str">
        <f>_xlfn.XLOOKUP($A60,Map!$A:$A,Map!C:C)</f>
        <v>BS</v>
      </c>
      <c r="H60" s="43" t="str">
        <f>_xlfn.XLOOKUP($A60,Map!$A:$A,Map!D:D)</f>
        <v>Current Assets</v>
      </c>
      <c r="I60" s="43" t="str">
        <f>_xlfn.XLOOKUP($A60,Map!$A:$A,Map!E:E)</f>
        <v>Prepaid expenses</v>
      </c>
      <c r="J60" s="43" t="str">
        <f>_xlfn.XLOOKUP($A60,Map!$A:$A,Map!F:F)</f>
        <v>Other receivables - current</v>
      </c>
    </row>
    <row r="61" spans="1:10" x14ac:dyDescent="0.25">
      <c r="A61">
        <v>170017</v>
      </c>
      <c r="B61" t="s">
        <v>879</v>
      </c>
      <c r="C61" s="116">
        <v>0</v>
      </c>
      <c r="D61" s="116">
        <v>0</v>
      </c>
      <c r="E61" s="116">
        <v>0</v>
      </c>
      <c r="F61" s="116">
        <v>0</v>
      </c>
      <c r="G61" s="43" t="str">
        <f>_xlfn.XLOOKUP($A61,Map!$A:$A,Map!C:C)</f>
        <v>BS</v>
      </c>
      <c r="H61" s="43" t="str">
        <f>_xlfn.XLOOKUP($A61,Map!$A:$A,Map!D:D)</f>
        <v>Current Assets</v>
      </c>
      <c r="I61" s="43" t="str">
        <f>_xlfn.XLOOKUP($A61,Map!$A:$A,Map!E:E)</f>
        <v>Prepaid expenses</v>
      </c>
      <c r="J61" s="43" t="str">
        <f>_xlfn.XLOOKUP($A61,Map!$A:$A,Map!F:F)</f>
        <v>Family allowance</v>
      </c>
    </row>
    <row r="62" spans="1:10" x14ac:dyDescent="0.25">
      <c r="A62">
        <v>180001</v>
      </c>
      <c r="B62" t="s">
        <v>884</v>
      </c>
      <c r="C62" s="116">
        <v>460574.58399999997</v>
      </c>
      <c r="D62" s="116">
        <v>2757166.639</v>
      </c>
      <c r="E62" s="116">
        <v>2745656.6140000001</v>
      </c>
      <c r="F62" s="116">
        <v>472084.609</v>
      </c>
      <c r="G62" s="43" t="str">
        <f>_xlfn.XLOOKUP($A62,Map!$A:$A,Map!C:C)</f>
        <v>BS</v>
      </c>
      <c r="H62" s="43" t="str">
        <f>_xlfn.XLOOKUP($A62,Map!$A:$A,Map!D:D)</f>
        <v>Current Assets</v>
      </c>
      <c r="I62" s="43" t="str">
        <f>_xlfn.XLOOKUP($A62,Map!$A:$A,Map!E:E)</f>
        <v>Inventories</v>
      </c>
      <c r="J62" s="43" t="str">
        <f>_xlfn.XLOOKUP($A62,Map!$A:$A,Map!F:F)</f>
        <v>Raw materials - Inventory</v>
      </c>
    </row>
    <row r="63" spans="1:10" x14ac:dyDescent="0.25">
      <c r="A63">
        <v>180002</v>
      </c>
      <c r="B63" t="s">
        <v>885</v>
      </c>
      <c r="C63" s="116">
        <v>0</v>
      </c>
      <c r="D63" s="116">
        <v>0</v>
      </c>
      <c r="E63" s="116">
        <v>0</v>
      </c>
      <c r="F63" s="116">
        <v>0</v>
      </c>
      <c r="G63" s="43" t="str">
        <f>_xlfn.XLOOKUP($A63,Map!$A:$A,Map!C:C)</f>
        <v>BS</v>
      </c>
      <c r="H63" s="43" t="str">
        <f>_xlfn.XLOOKUP($A63,Map!$A:$A,Map!D:D)</f>
        <v>Current Assets</v>
      </c>
      <c r="I63" s="43" t="str">
        <f>_xlfn.XLOOKUP($A63,Map!$A:$A,Map!E:E)</f>
        <v>Inventories</v>
      </c>
      <c r="J63" s="43" t="str">
        <f>_xlfn.XLOOKUP($A63,Map!$A:$A,Map!F:F)</f>
        <v>Raw materials - Inventory</v>
      </c>
    </row>
    <row r="64" spans="1:10" x14ac:dyDescent="0.25">
      <c r="A64">
        <v>180003</v>
      </c>
      <c r="B64" t="s">
        <v>886</v>
      </c>
      <c r="C64" s="116">
        <v>9861152.8129999992</v>
      </c>
      <c r="D64" s="116">
        <v>5245927.193</v>
      </c>
      <c r="E64" s="116">
        <v>6902957.6270000003</v>
      </c>
      <c r="F64" s="116">
        <v>8204122.3789999997</v>
      </c>
      <c r="G64" s="43" t="str">
        <f>_xlfn.XLOOKUP($A64,Map!$A:$A,Map!C:C)</f>
        <v>BS</v>
      </c>
      <c r="H64" s="43" t="str">
        <f>_xlfn.XLOOKUP($A64,Map!$A:$A,Map!D:D)</f>
        <v>Current Assets</v>
      </c>
      <c r="I64" s="43" t="str">
        <f>_xlfn.XLOOKUP($A64,Map!$A:$A,Map!E:E)</f>
        <v>Inventories</v>
      </c>
      <c r="J64" s="43" t="str">
        <f>_xlfn.XLOOKUP($A64,Map!$A:$A,Map!F:F)</f>
        <v>Spare parts - Inventory</v>
      </c>
    </row>
    <row r="65" spans="1:10" x14ac:dyDescent="0.25">
      <c r="A65">
        <v>180004</v>
      </c>
      <c r="B65" t="s">
        <v>887</v>
      </c>
      <c r="C65" s="116">
        <v>6375063.9330000002</v>
      </c>
      <c r="D65" s="116">
        <v>72003256.836999997</v>
      </c>
      <c r="E65" s="116">
        <v>56963648.891000003</v>
      </c>
      <c r="F65" s="116">
        <v>21414671.879000001</v>
      </c>
      <c r="G65" s="43" t="str">
        <f>_xlfn.XLOOKUP($A65,Map!$A:$A,Map!C:C)</f>
        <v>BS</v>
      </c>
      <c r="H65" s="43" t="str">
        <f>_xlfn.XLOOKUP($A65,Map!$A:$A,Map!D:D)</f>
        <v>Current Assets</v>
      </c>
      <c r="I65" s="43" t="str">
        <f>_xlfn.XLOOKUP($A65,Map!$A:$A,Map!E:E)</f>
        <v>Inventories</v>
      </c>
      <c r="J65" s="43" t="str">
        <f>_xlfn.XLOOKUP($A65,Map!$A:$A,Map!F:F)</f>
        <v>Raw materials - Inventory</v>
      </c>
    </row>
    <row r="66" spans="1:10" x14ac:dyDescent="0.25">
      <c r="A66">
        <v>180005</v>
      </c>
      <c r="B66" t="s">
        <v>888</v>
      </c>
      <c r="C66" s="116">
        <v>13945865.502</v>
      </c>
      <c r="D66" s="116">
        <v>48268423.609999999</v>
      </c>
      <c r="E66" s="116">
        <v>51363985.730999999</v>
      </c>
      <c r="F66" s="116">
        <v>10850303.380999999</v>
      </c>
      <c r="G66" s="43" t="str">
        <f>_xlfn.XLOOKUP($A66,Map!$A:$A,Map!C:C)</f>
        <v>BS</v>
      </c>
      <c r="H66" s="43" t="str">
        <f>_xlfn.XLOOKUP($A66,Map!$A:$A,Map!D:D)</f>
        <v>Current Assets</v>
      </c>
      <c r="I66" s="43" t="str">
        <f>_xlfn.XLOOKUP($A66,Map!$A:$A,Map!E:E)</f>
        <v>Inventories</v>
      </c>
      <c r="J66" s="43" t="str">
        <f>_xlfn.XLOOKUP($A66,Map!$A:$A,Map!F:F)</f>
        <v>Raw materials - Inventory</v>
      </c>
    </row>
    <row r="67" spans="1:10" x14ac:dyDescent="0.25">
      <c r="A67">
        <v>180006</v>
      </c>
      <c r="B67" t="s">
        <v>889</v>
      </c>
      <c r="C67" s="116">
        <v>378972.29800000001</v>
      </c>
      <c r="D67" s="116">
        <v>4979741.7249999996</v>
      </c>
      <c r="E67" s="116">
        <v>4752685.0259999996</v>
      </c>
      <c r="F67" s="116">
        <v>606028.99699999997</v>
      </c>
      <c r="G67" s="43" t="str">
        <f>_xlfn.XLOOKUP($A67,Map!$A:$A,Map!C:C)</f>
        <v>BS</v>
      </c>
      <c r="H67" s="43" t="str">
        <f>_xlfn.XLOOKUP($A67,Map!$A:$A,Map!D:D)</f>
        <v>Current Assets</v>
      </c>
      <c r="I67" s="43" t="str">
        <f>_xlfn.XLOOKUP($A67,Map!$A:$A,Map!E:E)</f>
        <v>Inventories</v>
      </c>
      <c r="J67" s="43" t="str">
        <f>_xlfn.XLOOKUP($A67,Map!$A:$A,Map!F:F)</f>
        <v>Raw materials - Inventory</v>
      </c>
    </row>
    <row r="68" spans="1:10" x14ac:dyDescent="0.25">
      <c r="A68">
        <v>180007</v>
      </c>
      <c r="B68" t="s">
        <v>890</v>
      </c>
      <c r="C68" s="116">
        <v>1119777.0859999999</v>
      </c>
      <c r="D68" s="116">
        <v>18545955.566</v>
      </c>
      <c r="E68" s="116">
        <v>17199615.723000001</v>
      </c>
      <c r="F68" s="116">
        <v>2466116.929</v>
      </c>
      <c r="G68" s="43" t="str">
        <f>_xlfn.XLOOKUP($A68,Map!$A:$A,Map!C:C)</f>
        <v>BS</v>
      </c>
      <c r="H68" s="43" t="str">
        <f>_xlfn.XLOOKUP($A68,Map!$A:$A,Map!D:D)</f>
        <v>Current Assets</v>
      </c>
      <c r="I68" s="43" t="str">
        <f>_xlfn.XLOOKUP($A68,Map!$A:$A,Map!E:E)</f>
        <v>Inventories</v>
      </c>
      <c r="J68" s="43" t="str">
        <f>_xlfn.XLOOKUP($A68,Map!$A:$A,Map!F:F)</f>
        <v>Raw materials - Inventory</v>
      </c>
    </row>
    <row r="69" spans="1:10" x14ac:dyDescent="0.25">
      <c r="A69">
        <v>180008</v>
      </c>
      <c r="B69" t="s">
        <v>891</v>
      </c>
      <c r="C69" s="116">
        <v>0</v>
      </c>
      <c r="D69" s="116">
        <v>0</v>
      </c>
      <c r="E69" s="116">
        <v>0</v>
      </c>
      <c r="F69" s="116">
        <v>0</v>
      </c>
      <c r="G69" s="43" t="str">
        <f>_xlfn.XLOOKUP($A69,Map!$A:$A,Map!C:C)</f>
        <v>BS</v>
      </c>
      <c r="H69" s="43" t="str">
        <f>_xlfn.XLOOKUP($A69,Map!$A:$A,Map!D:D)</f>
        <v>Current Assets</v>
      </c>
      <c r="I69" s="43" t="str">
        <f>_xlfn.XLOOKUP($A69,Map!$A:$A,Map!E:E)</f>
        <v>Inventories</v>
      </c>
      <c r="J69" s="43" t="str">
        <f>_xlfn.XLOOKUP($A69,Map!$A:$A,Map!F:F)</f>
        <v>Raw materials - Inventory</v>
      </c>
    </row>
    <row r="70" spans="1:10" x14ac:dyDescent="0.25">
      <c r="A70">
        <v>180009</v>
      </c>
      <c r="B70" t="s">
        <v>892</v>
      </c>
      <c r="C70" s="116">
        <v>0</v>
      </c>
      <c r="D70" s="116">
        <v>950.55200000000002</v>
      </c>
      <c r="E70" s="116">
        <v>950.55200000000002</v>
      </c>
      <c r="F70" s="116">
        <v>0</v>
      </c>
      <c r="G70" s="43" t="str">
        <f>_xlfn.XLOOKUP($A70,Map!$A:$A,Map!C:C)</f>
        <v>BS</v>
      </c>
      <c r="H70" s="43" t="str">
        <f>_xlfn.XLOOKUP($A70,Map!$A:$A,Map!D:D)</f>
        <v>Current Assets</v>
      </c>
      <c r="I70" s="43" t="str">
        <f>_xlfn.XLOOKUP($A70,Map!$A:$A,Map!E:E)</f>
        <v>Inventories</v>
      </c>
      <c r="J70" s="43" t="str">
        <f>_xlfn.XLOOKUP($A70,Map!$A:$A,Map!F:F)</f>
        <v>Raw materials - Inventory</v>
      </c>
    </row>
    <row r="71" spans="1:10" x14ac:dyDescent="0.25">
      <c r="A71">
        <v>180010</v>
      </c>
      <c r="B71" t="s">
        <v>893</v>
      </c>
      <c r="C71" s="116">
        <v>2923428.2549999999</v>
      </c>
      <c r="D71" s="116">
        <v>6306397.25</v>
      </c>
      <c r="E71" s="116">
        <v>5558379.4340000004</v>
      </c>
      <c r="F71" s="116">
        <v>3671446.071</v>
      </c>
      <c r="G71" s="43" t="str">
        <f>_xlfn.XLOOKUP($A71,Map!$A:$A,Map!C:C)</f>
        <v>BS</v>
      </c>
      <c r="H71" s="43" t="str">
        <f>_xlfn.XLOOKUP($A71,Map!$A:$A,Map!D:D)</f>
        <v>Current Assets</v>
      </c>
      <c r="I71" s="43" t="str">
        <f>_xlfn.XLOOKUP($A71,Map!$A:$A,Map!E:E)</f>
        <v>Inventories</v>
      </c>
      <c r="J71" s="43" t="str">
        <f>_xlfn.XLOOKUP($A71,Map!$A:$A,Map!F:F)</f>
        <v>Packaging materials - Inventory</v>
      </c>
    </row>
    <row r="72" spans="1:10" x14ac:dyDescent="0.25">
      <c r="A72">
        <v>180011</v>
      </c>
      <c r="B72" t="s">
        <v>894</v>
      </c>
      <c r="C72" s="116">
        <v>2860145.8280000002</v>
      </c>
      <c r="D72" s="116">
        <v>67133960.322999999</v>
      </c>
      <c r="E72" s="116">
        <v>65640492.092</v>
      </c>
      <c r="F72" s="116">
        <v>4353614.0590000004</v>
      </c>
      <c r="G72" s="43" t="str">
        <f>_xlfn.XLOOKUP($A72,Map!$A:$A,Map!C:C)</f>
        <v>BS</v>
      </c>
      <c r="H72" s="43" t="str">
        <f>_xlfn.XLOOKUP($A72,Map!$A:$A,Map!D:D)</f>
        <v>Current Assets</v>
      </c>
      <c r="I72" s="43" t="str">
        <f>_xlfn.XLOOKUP($A72,Map!$A:$A,Map!E:E)</f>
        <v>Inventories</v>
      </c>
      <c r="J72" s="43" t="str">
        <f>_xlfn.XLOOKUP($A72,Map!$A:$A,Map!F:F)</f>
        <v>Finished goods - Inventory</v>
      </c>
    </row>
    <row r="73" spans="1:10" x14ac:dyDescent="0.25">
      <c r="A73">
        <v>180012</v>
      </c>
      <c r="B73" t="s">
        <v>895</v>
      </c>
      <c r="C73" s="116">
        <v>3169104.6669999999</v>
      </c>
      <c r="D73" s="116">
        <v>57270084.294</v>
      </c>
      <c r="E73" s="116">
        <v>56870856.824000001</v>
      </c>
      <c r="F73" s="116">
        <v>3568332.1370000001</v>
      </c>
      <c r="G73" s="43" t="str">
        <f>_xlfn.XLOOKUP($A73,Map!$A:$A,Map!C:C)</f>
        <v>BS</v>
      </c>
      <c r="H73" s="43" t="str">
        <f>_xlfn.XLOOKUP($A73,Map!$A:$A,Map!D:D)</f>
        <v>Current Assets</v>
      </c>
      <c r="I73" s="43" t="str">
        <f>_xlfn.XLOOKUP($A73,Map!$A:$A,Map!E:E)</f>
        <v>Inventories</v>
      </c>
      <c r="J73" s="43" t="str">
        <f>_xlfn.XLOOKUP($A73,Map!$A:$A,Map!F:F)</f>
        <v>Work in progress - Inventory</v>
      </c>
    </row>
    <row r="74" spans="1:10" x14ac:dyDescent="0.25">
      <c r="A74">
        <v>180013</v>
      </c>
      <c r="B74" t="s">
        <v>896</v>
      </c>
      <c r="C74" s="116">
        <v>6716635.6349999998</v>
      </c>
      <c r="D74" s="116">
        <v>7239923.023</v>
      </c>
      <c r="E74" s="116">
        <v>8923603.9409999996</v>
      </c>
      <c r="F74" s="116">
        <v>5032954.7170000002</v>
      </c>
      <c r="G74" s="43" t="str">
        <f>_xlfn.XLOOKUP($A74,Map!$A:$A,Map!C:C)</f>
        <v>BS</v>
      </c>
      <c r="H74" s="43" t="str">
        <f>_xlfn.XLOOKUP($A74,Map!$A:$A,Map!D:D)</f>
        <v>Current Assets</v>
      </c>
      <c r="I74" s="43" t="str">
        <f>_xlfn.XLOOKUP($A74,Map!$A:$A,Map!E:E)</f>
        <v>Inventories</v>
      </c>
      <c r="J74" s="43" t="str">
        <f>_xlfn.XLOOKUP($A74,Map!$A:$A,Map!F:F)</f>
        <v>Finished goods - Inventory</v>
      </c>
    </row>
    <row r="75" spans="1:10" x14ac:dyDescent="0.25">
      <c r="A75">
        <v>180014</v>
      </c>
      <c r="B75" t="s">
        <v>897</v>
      </c>
      <c r="C75" s="116">
        <v>0</v>
      </c>
      <c r="D75" s="116">
        <v>41914262.369999997</v>
      </c>
      <c r="E75" s="116">
        <v>41914262.369999997</v>
      </c>
      <c r="F75" s="116">
        <v>0</v>
      </c>
      <c r="G75" s="43" t="str">
        <f>_xlfn.XLOOKUP($A75,Map!$A:$A,Map!C:C)</f>
        <v>BS</v>
      </c>
      <c r="H75" s="43" t="str">
        <f>_xlfn.XLOOKUP($A75,Map!$A:$A,Map!D:D)</f>
        <v>Current Assets</v>
      </c>
      <c r="I75" s="43" t="str">
        <f>_xlfn.XLOOKUP($A75,Map!$A:$A,Map!E:E)</f>
        <v>Inventories</v>
      </c>
      <c r="J75" s="43" t="str">
        <f>_xlfn.XLOOKUP($A75,Map!$A:$A,Map!F:F)</f>
        <v>Work in progress - Inventory</v>
      </c>
    </row>
    <row r="76" spans="1:10" x14ac:dyDescent="0.25">
      <c r="A76">
        <v>180096</v>
      </c>
      <c r="B76" t="s">
        <v>898</v>
      </c>
      <c r="C76" s="116">
        <v>0</v>
      </c>
      <c r="D76" s="116">
        <v>12375527.142999999</v>
      </c>
      <c r="E76" s="116">
        <v>12375527.142999999</v>
      </c>
      <c r="F76" s="116">
        <v>0</v>
      </c>
      <c r="G76" s="43" t="str">
        <f>_xlfn.XLOOKUP($A76,Map!$A:$A,Map!C:C)</f>
        <v>BS</v>
      </c>
      <c r="H76" s="43" t="str">
        <f>_xlfn.XLOOKUP($A76,Map!$A:$A,Map!D:D)</f>
        <v>Current Assets</v>
      </c>
      <c r="I76" s="43" t="str">
        <f>_xlfn.XLOOKUP($A76,Map!$A:$A,Map!E:E)</f>
        <v>Inventories</v>
      </c>
      <c r="J76" s="43" t="str">
        <f>_xlfn.XLOOKUP($A76,Map!$A:$A,Map!F:F)</f>
        <v>Work in progress - Inventory</v>
      </c>
    </row>
    <row r="77" spans="1:10" x14ac:dyDescent="0.25">
      <c r="A77">
        <v>180097</v>
      </c>
      <c r="B77" t="s">
        <v>899</v>
      </c>
      <c r="C77" s="116">
        <v>0</v>
      </c>
      <c r="D77" s="116">
        <v>0</v>
      </c>
      <c r="E77" s="116">
        <v>0</v>
      </c>
      <c r="F77" s="116">
        <v>0</v>
      </c>
      <c r="G77" s="43" t="str">
        <f>_xlfn.XLOOKUP($A77,Map!$A:$A,Map!C:C)</f>
        <v>BS</v>
      </c>
      <c r="H77" s="43" t="str">
        <f>_xlfn.XLOOKUP($A77,Map!$A:$A,Map!D:D)</f>
        <v>Current Assets</v>
      </c>
      <c r="I77" s="43" t="str">
        <f>_xlfn.XLOOKUP($A77,Map!$A:$A,Map!E:E)</f>
        <v>Inventories</v>
      </c>
      <c r="J77" s="43" t="str">
        <f>_xlfn.XLOOKUP($A77,Map!$A:$A,Map!F:F)</f>
        <v>Work in progress - Inventory</v>
      </c>
    </row>
    <row r="78" spans="1:10" x14ac:dyDescent="0.25">
      <c r="A78">
        <v>180098</v>
      </c>
      <c r="B78" t="s">
        <v>900</v>
      </c>
      <c r="C78" s="116">
        <v>0</v>
      </c>
      <c r="D78" s="116">
        <v>2413658.2420000001</v>
      </c>
      <c r="E78" s="116">
        <v>2413658.2420000001</v>
      </c>
      <c r="F78" s="116">
        <v>0</v>
      </c>
      <c r="G78" s="43" t="str">
        <f>_xlfn.XLOOKUP($A78,Map!$A:$A,Map!C:C)</f>
        <v>BS</v>
      </c>
      <c r="H78" s="43" t="str">
        <f>_xlfn.XLOOKUP($A78,Map!$A:$A,Map!D:D)</f>
        <v>Current Assets</v>
      </c>
      <c r="I78" s="43" t="str">
        <f>_xlfn.XLOOKUP($A78,Map!$A:$A,Map!E:E)</f>
        <v>Inventories</v>
      </c>
      <c r="J78" s="43" t="str">
        <f>_xlfn.XLOOKUP($A78,Map!$A:$A,Map!F:F)</f>
        <v>Work in progress - Inventory</v>
      </c>
    </row>
    <row r="79" spans="1:10" x14ac:dyDescent="0.25">
      <c r="A79">
        <v>180099</v>
      </c>
      <c r="B79" t="s">
        <v>901</v>
      </c>
      <c r="C79" s="116">
        <v>0</v>
      </c>
      <c r="D79" s="116">
        <v>0</v>
      </c>
      <c r="E79" s="116">
        <v>0</v>
      </c>
      <c r="F79" s="116">
        <v>0</v>
      </c>
      <c r="G79" s="43" t="str">
        <f>_xlfn.XLOOKUP($A79,Map!$A:$A,Map!C:C)</f>
        <v>BS</v>
      </c>
      <c r="H79" s="43" t="str">
        <f>_xlfn.XLOOKUP($A79,Map!$A:$A,Map!D:D)</f>
        <v>Current Assets</v>
      </c>
      <c r="I79" s="43" t="str">
        <f>_xlfn.XLOOKUP($A79,Map!$A:$A,Map!E:E)</f>
        <v>Inventories</v>
      </c>
      <c r="J79" s="43" t="str">
        <f>_xlfn.XLOOKUP($A79,Map!$A:$A,Map!F:F)</f>
        <v>Goods in transit - Inventory</v>
      </c>
    </row>
    <row r="80" spans="1:10" x14ac:dyDescent="0.25">
      <c r="A80">
        <v>210001</v>
      </c>
      <c r="B80" t="s">
        <v>902</v>
      </c>
      <c r="C80" s="116">
        <v>1348611.763</v>
      </c>
      <c r="D80" s="116">
        <v>134101232.642</v>
      </c>
      <c r="E80" s="116">
        <v>130521906.206</v>
      </c>
      <c r="F80" s="116">
        <v>4927938.199</v>
      </c>
      <c r="G80" s="43" t="str">
        <f>_xlfn.XLOOKUP($A80,Map!$A:$A,Map!C:C)</f>
        <v>BS</v>
      </c>
      <c r="H80" s="43" t="str">
        <f>_xlfn.XLOOKUP($A80,Map!$A:$A,Map!D:D)</f>
        <v>Current Liabilities</v>
      </c>
      <c r="I80" s="43" t="str">
        <f>_xlfn.XLOOKUP($A80,Map!$A:$A,Map!E:E)</f>
        <v>Tade payables and Accuals &amp; other credit balances</v>
      </c>
      <c r="J80" s="43" t="str">
        <f>_xlfn.XLOOKUP($A80,Map!$A:$A,Map!F:F)</f>
        <v>Trade payables - Foreign</v>
      </c>
    </row>
    <row r="81" spans="1:10" x14ac:dyDescent="0.25">
      <c r="A81">
        <v>210002</v>
      </c>
      <c r="B81" t="s">
        <v>903</v>
      </c>
      <c r="C81" s="116">
        <v>-6187965.9749999996</v>
      </c>
      <c r="D81" s="116">
        <v>116715136.98</v>
      </c>
      <c r="E81" s="116">
        <v>113580173.921</v>
      </c>
      <c r="F81" s="116">
        <v>-3053002.9160000002</v>
      </c>
      <c r="G81" s="43" t="str">
        <f>_xlfn.XLOOKUP($A81,Map!$A:$A,Map!C:C)</f>
        <v>BS</v>
      </c>
      <c r="H81" s="43" t="str">
        <f>_xlfn.XLOOKUP($A81,Map!$A:$A,Map!D:D)</f>
        <v>Current Liabilities</v>
      </c>
      <c r="I81" s="43" t="str">
        <f>_xlfn.XLOOKUP($A81,Map!$A:$A,Map!E:E)</f>
        <v>Tade payables and Accuals &amp; other credit balances</v>
      </c>
      <c r="J81" s="43" t="str">
        <f>_xlfn.XLOOKUP($A81,Map!$A:$A,Map!F:F)</f>
        <v>Trade payables - Local</v>
      </c>
    </row>
    <row r="82" spans="1:10" x14ac:dyDescent="0.25">
      <c r="A82">
        <v>220001</v>
      </c>
      <c r="B82" t="s">
        <v>904</v>
      </c>
      <c r="C82" s="116">
        <v>0</v>
      </c>
      <c r="D82" s="116">
        <v>0</v>
      </c>
      <c r="E82" s="116">
        <v>0</v>
      </c>
      <c r="F82" s="116">
        <v>0</v>
      </c>
      <c r="G82" s="43" t="str">
        <f>_xlfn.XLOOKUP($A82,Map!$A:$A,Map!C:C)</f>
        <v>BS</v>
      </c>
      <c r="H82" s="43" t="str">
        <f>_xlfn.XLOOKUP($A82,Map!$A:$A,Map!D:D)</f>
        <v>Current Liabilities</v>
      </c>
      <c r="I82" s="43" t="str">
        <f>_xlfn.XLOOKUP($A82,Map!$A:$A,Map!E:E)</f>
        <v>Short-term Murabaha loans</v>
      </c>
      <c r="J82" s="43" t="str">
        <f>_xlfn.XLOOKUP($A82,Map!$A:$A,Map!F:F)</f>
        <v>Other loans - current</v>
      </c>
    </row>
    <row r="83" spans="1:10" x14ac:dyDescent="0.25">
      <c r="A83">
        <v>220002</v>
      </c>
      <c r="B83" t="s">
        <v>905</v>
      </c>
      <c r="C83" s="116">
        <v>0</v>
      </c>
      <c r="D83" s="116">
        <v>0</v>
      </c>
      <c r="E83" s="116">
        <v>0</v>
      </c>
      <c r="F83" s="116">
        <v>0</v>
      </c>
      <c r="G83" s="43" t="str">
        <f>_xlfn.XLOOKUP($A83,Map!$A:$A,Map!C:C)</f>
        <v>BS</v>
      </c>
      <c r="H83" s="43" t="str">
        <f>_xlfn.XLOOKUP($A83,Map!$A:$A,Map!D:D)</f>
        <v>Current Liabilities</v>
      </c>
      <c r="I83" s="43" t="str">
        <f>_xlfn.XLOOKUP($A83,Map!$A:$A,Map!E:E)</f>
        <v>Short-term Murabaha loans</v>
      </c>
      <c r="J83" s="43" t="str">
        <f>_xlfn.XLOOKUP($A83,Map!$A:$A,Map!F:F)</f>
        <v>Other loans - current</v>
      </c>
    </row>
    <row r="84" spans="1:10" x14ac:dyDescent="0.25">
      <c r="A84">
        <v>220003</v>
      </c>
      <c r="B84" t="s">
        <v>906</v>
      </c>
      <c r="C84" s="116">
        <v>0</v>
      </c>
      <c r="D84" s="116">
        <v>0</v>
      </c>
      <c r="E84" s="116">
        <v>0</v>
      </c>
      <c r="F84" s="116">
        <v>0</v>
      </c>
      <c r="G84" s="43" t="str">
        <f>_xlfn.XLOOKUP($A84,Map!$A:$A,Map!C:C)</f>
        <v>BS</v>
      </c>
      <c r="H84" s="43" t="str">
        <f>_xlfn.XLOOKUP($A84,Map!$A:$A,Map!D:D)</f>
        <v>Current Liabilities</v>
      </c>
      <c r="I84" s="43" t="str">
        <f>_xlfn.XLOOKUP($A84,Map!$A:$A,Map!E:E)</f>
        <v>Short-term Murabaha loans</v>
      </c>
      <c r="J84" s="43" t="str">
        <f>_xlfn.XLOOKUP($A84,Map!$A:$A,Map!F:F)</f>
        <v>Other loans - current</v>
      </c>
    </row>
    <row r="85" spans="1:10" x14ac:dyDescent="0.25">
      <c r="A85">
        <v>220004</v>
      </c>
      <c r="B85" t="s">
        <v>907</v>
      </c>
      <c r="C85" s="116">
        <v>0</v>
      </c>
      <c r="D85" s="116">
        <v>0</v>
      </c>
      <c r="E85" s="116">
        <v>34821818.277000003</v>
      </c>
      <c r="F85" s="116">
        <v>-34821818.277000003</v>
      </c>
      <c r="G85" s="43" t="str">
        <f>_xlfn.XLOOKUP($A85,Map!$A:$A,Map!C:C)</f>
        <v>BS</v>
      </c>
      <c r="H85" s="43" t="str">
        <f>_xlfn.XLOOKUP($A85,Map!$A:$A,Map!D:D)</f>
        <v>Current Liabilities</v>
      </c>
      <c r="I85" s="43" t="str">
        <f>_xlfn.XLOOKUP($A85,Map!$A:$A,Map!E:E)</f>
        <v>Short-term Murabaha loans</v>
      </c>
      <c r="J85" s="43" t="str">
        <f>_xlfn.XLOOKUP($A85,Map!$A:$A,Map!F:F)</f>
        <v>Other loans - current</v>
      </c>
    </row>
    <row r="86" spans="1:10" x14ac:dyDescent="0.25">
      <c r="A86">
        <v>220005</v>
      </c>
      <c r="B86" t="s">
        <v>908</v>
      </c>
      <c r="C86" s="116">
        <v>-23573959.894000001</v>
      </c>
      <c r="D86" s="116">
        <v>56563497.428000003</v>
      </c>
      <c r="E86" s="116">
        <v>59728447.307999998</v>
      </c>
      <c r="F86" s="116">
        <v>-26738909.774</v>
      </c>
      <c r="G86" s="43" t="str">
        <f>_xlfn.XLOOKUP($A86,Map!$A:$A,Map!C:C)</f>
        <v>BS</v>
      </c>
      <c r="H86" s="43" t="str">
        <f>_xlfn.XLOOKUP($A86,Map!$A:$A,Map!D:D)</f>
        <v>Current Liabilities</v>
      </c>
      <c r="I86" s="43" t="str">
        <f>_xlfn.XLOOKUP($A86,Map!$A:$A,Map!E:E)</f>
        <v>Short-term Murabaha loans</v>
      </c>
      <c r="J86" s="43" t="str">
        <f>_xlfn.XLOOKUP($A86,Map!$A:$A,Map!F:F)</f>
        <v>Other loans - current</v>
      </c>
    </row>
    <row r="87" spans="1:10" x14ac:dyDescent="0.25">
      <c r="A87">
        <v>220006</v>
      </c>
      <c r="B87" t="s">
        <v>909</v>
      </c>
      <c r="C87" s="116">
        <v>-64499587.656000003</v>
      </c>
      <c r="D87" s="116">
        <v>71861538.310000002</v>
      </c>
      <c r="E87" s="116">
        <v>39246080.612000003</v>
      </c>
      <c r="F87" s="116">
        <v>-31884129.958000001</v>
      </c>
      <c r="G87" s="43" t="str">
        <f>_xlfn.XLOOKUP($A87,Map!$A:$A,Map!C:C)</f>
        <v>BS</v>
      </c>
      <c r="H87" s="43" t="str">
        <f>_xlfn.XLOOKUP($A87,Map!$A:$A,Map!D:D)</f>
        <v>Current Liabilities</v>
      </c>
      <c r="I87" s="43" t="str">
        <f>_xlfn.XLOOKUP($A87,Map!$A:$A,Map!E:E)</f>
        <v>Short-term Murabaha loans</v>
      </c>
      <c r="J87" s="43" t="str">
        <f>_xlfn.XLOOKUP($A87,Map!$A:$A,Map!F:F)</f>
        <v>Other loans - current</v>
      </c>
    </row>
    <row r="88" spans="1:10" x14ac:dyDescent="0.25">
      <c r="A88">
        <v>230001</v>
      </c>
      <c r="B88" t="s">
        <v>911</v>
      </c>
      <c r="C88" s="116">
        <v>0</v>
      </c>
      <c r="D88" s="116">
        <v>173876138.498</v>
      </c>
      <c r="E88" s="116">
        <v>173876138.498</v>
      </c>
      <c r="F88" s="116">
        <v>0</v>
      </c>
      <c r="G88" s="43" t="str">
        <f>_xlfn.XLOOKUP($A88,Map!$A:$A,Map!C:C)</f>
        <v>BS</v>
      </c>
      <c r="H88" s="43" t="str">
        <f>_xlfn.XLOOKUP($A88,Map!$A:$A,Map!D:D)</f>
        <v>Current Liabilities</v>
      </c>
      <c r="I88" s="43" t="str">
        <f>_xlfn.XLOOKUP($A88,Map!$A:$A,Map!E:E)</f>
        <v>Tade payables and Accuals &amp; other credit balances</v>
      </c>
      <c r="J88" s="43" t="str">
        <f>_xlfn.XLOOKUP($A88,Map!$A:$A,Map!F:F)</f>
        <v>Clearing account</v>
      </c>
    </row>
    <row r="89" spans="1:10" x14ac:dyDescent="0.25">
      <c r="A89">
        <v>240001</v>
      </c>
      <c r="B89" t="s">
        <v>912</v>
      </c>
      <c r="C89" s="116">
        <v>0</v>
      </c>
      <c r="D89" s="116">
        <v>2734144.4180000001</v>
      </c>
      <c r="E89" s="116">
        <v>2734144.4180000001</v>
      </c>
      <c r="F89" s="116">
        <v>0</v>
      </c>
      <c r="G89" s="43" t="str">
        <f>_xlfn.XLOOKUP($A89,Map!$A:$A,Map!C:C)</f>
        <v>BS</v>
      </c>
      <c r="H89" s="43" t="str">
        <f>_xlfn.XLOOKUP($A89,Map!$A:$A,Map!D:D)</f>
        <v>Current Liabilities</v>
      </c>
      <c r="I89" s="43" t="str">
        <f>_xlfn.XLOOKUP($A89,Map!$A:$A,Map!E:E)</f>
        <v>Tade payables and Accuals &amp; other credit balances</v>
      </c>
      <c r="J89" s="43" t="str">
        <f>_xlfn.XLOOKUP($A89,Map!$A:$A,Map!F:F)</f>
        <v>Overhead</v>
      </c>
    </row>
    <row r="90" spans="1:10" x14ac:dyDescent="0.25">
      <c r="A90">
        <v>240002</v>
      </c>
      <c r="B90" t="s">
        <v>913</v>
      </c>
      <c r="C90" s="116">
        <v>0</v>
      </c>
      <c r="D90" s="116">
        <v>0</v>
      </c>
      <c r="E90" s="116">
        <v>0</v>
      </c>
      <c r="F90" s="116">
        <v>0</v>
      </c>
      <c r="G90" s="43" t="str">
        <f>_xlfn.XLOOKUP($A90,Map!$A:$A,Map!C:C)</f>
        <v>BS</v>
      </c>
      <c r="H90" s="43" t="str">
        <f>_xlfn.XLOOKUP($A90,Map!$A:$A,Map!D:D)</f>
        <v>Current Liabilities</v>
      </c>
      <c r="I90" s="43" t="str">
        <f>_xlfn.XLOOKUP($A90,Map!$A:$A,Map!E:E)</f>
        <v>Tade payables and Accuals &amp; other credit balances</v>
      </c>
      <c r="J90" s="43" t="str">
        <f>_xlfn.XLOOKUP($A90,Map!$A:$A,Map!F:F)</f>
        <v>Landed Cost - Customs</v>
      </c>
    </row>
    <row r="91" spans="1:10" x14ac:dyDescent="0.25">
      <c r="A91">
        <v>240003</v>
      </c>
      <c r="B91" t="s">
        <v>914</v>
      </c>
      <c r="C91" s="116">
        <v>-1823243.5660000001</v>
      </c>
      <c r="D91" s="116">
        <v>173321.1</v>
      </c>
      <c r="E91" s="116">
        <v>61904.56</v>
      </c>
      <c r="F91" s="116">
        <v>-1711827.0260000001</v>
      </c>
      <c r="G91" s="43" t="str">
        <f>_xlfn.XLOOKUP($A91,Map!$A:$A,Map!C:C)</f>
        <v>BS</v>
      </c>
      <c r="H91" s="43" t="str">
        <f>_xlfn.XLOOKUP($A91,Map!$A:$A,Map!D:D)</f>
        <v>Non-Current Liabilities</v>
      </c>
      <c r="I91" s="43" t="str">
        <f>_xlfn.XLOOKUP($A91,Map!$A:$A,Map!E:E)</f>
        <v xml:space="preserve">Lease liabilities non-current </v>
      </c>
      <c r="J91" s="43" t="str">
        <f>_xlfn.XLOOKUP($A91,Map!$A:$A,Map!F:F)</f>
        <v xml:space="preserve"> Lease Obligation</v>
      </c>
    </row>
    <row r="92" spans="1:10" x14ac:dyDescent="0.25">
      <c r="A92">
        <v>250001</v>
      </c>
      <c r="B92" t="s">
        <v>915</v>
      </c>
      <c r="C92" s="116">
        <v>0</v>
      </c>
      <c r="D92" s="116">
        <v>16286600.34</v>
      </c>
      <c r="E92" s="116">
        <v>16286600.34</v>
      </c>
      <c r="F92" s="116">
        <v>0</v>
      </c>
      <c r="G92" s="43" t="str">
        <f>_xlfn.XLOOKUP($A92,Map!$A:$A,Map!C:C)</f>
        <v>BS</v>
      </c>
      <c r="H92" s="43" t="str">
        <f>_xlfn.XLOOKUP($A92,Map!$A:$A,Map!D:D)</f>
        <v>Current Liabilities</v>
      </c>
      <c r="I92" s="43" t="str">
        <f>_xlfn.XLOOKUP($A92,Map!$A:$A,Map!E:E)</f>
        <v>Tade payables and Accuals &amp; other credit balances</v>
      </c>
      <c r="J92" s="43" t="str">
        <f>_xlfn.XLOOKUP($A92,Map!$A:$A,Map!F:F)</f>
        <v>Accrued salaries and wages</v>
      </c>
    </row>
    <row r="93" spans="1:10" x14ac:dyDescent="0.25">
      <c r="A93">
        <v>250002</v>
      </c>
      <c r="B93" t="s">
        <v>916</v>
      </c>
      <c r="C93" s="116">
        <v>0</v>
      </c>
      <c r="D93" s="116">
        <v>175025.261</v>
      </c>
      <c r="E93" s="116">
        <v>175025.261</v>
      </c>
      <c r="F93" s="116">
        <v>0</v>
      </c>
      <c r="G93" s="43" t="str">
        <f>_xlfn.XLOOKUP($A93,Map!$A:$A,Map!C:C)</f>
        <v>BS</v>
      </c>
      <c r="H93" s="43" t="str">
        <f>_xlfn.XLOOKUP($A93,Map!$A:$A,Map!D:D)</f>
        <v>Current Liabilities</v>
      </c>
      <c r="I93" s="43" t="str">
        <f>_xlfn.XLOOKUP($A93,Map!$A:$A,Map!E:E)</f>
        <v>Tade payables and Accuals &amp; other credit balances</v>
      </c>
      <c r="J93" s="43" t="str">
        <f>_xlfn.XLOOKUP($A93,Map!$A:$A,Map!F:F)</f>
        <v>Accrued utilities</v>
      </c>
    </row>
    <row r="94" spans="1:10" x14ac:dyDescent="0.25">
      <c r="A94">
        <v>250003</v>
      </c>
      <c r="B94" t="s">
        <v>917</v>
      </c>
      <c r="C94" s="116">
        <v>-644386</v>
      </c>
      <c r="D94" s="116">
        <v>1294386</v>
      </c>
      <c r="E94" s="116">
        <v>650000</v>
      </c>
      <c r="F94" s="116">
        <v>0</v>
      </c>
      <c r="G94" s="43" t="str">
        <f>_xlfn.XLOOKUP($A94,Map!$A:$A,Map!C:C)</f>
        <v>BS</v>
      </c>
      <c r="H94" s="43" t="str">
        <f>_xlfn.XLOOKUP($A94,Map!$A:$A,Map!D:D)</f>
        <v>Current Liabilities</v>
      </c>
      <c r="I94" s="43" t="str">
        <f>_xlfn.XLOOKUP($A94,Map!$A:$A,Map!E:E)</f>
        <v>Zakat provision</v>
      </c>
      <c r="J94" s="43" t="str">
        <f>_xlfn.XLOOKUP($A94,Map!$A:$A,Map!F:F)</f>
        <v>Zakat provision</v>
      </c>
    </row>
    <row r="95" spans="1:10" x14ac:dyDescent="0.25">
      <c r="A95">
        <v>250004</v>
      </c>
      <c r="B95" t="s">
        <v>918</v>
      </c>
      <c r="C95" s="116">
        <v>0</v>
      </c>
      <c r="D95" s="116">
        <v>0</v>
      </c>
      <c r="E95" s="116">
        <v>1108800</v>
      </c>
      <c r="F95" s="116">
        <v>-1108800</v>
      </c>
      <c r="G95" s="43" t="str">
        <f>_xlfn.XLOOKUP($A95,Map!$A:$A,Map!C:C)</f>
        <v>BS</v>
      </c>
      <c r="H95" s="43" t="str">
        <f>_xlfn.XLOOKUP($A95,Map!$A:$A,Map!D:D)</f>
        <v>Current Liabilities</v>
      </c>
      <c r="I95" s="43" t="str">
        <f>_xlfn.XLOOKUP($A95,Map!$A:$A,Map!E:E)</f>
        <v>Tade payables and Accuals &amp; other credit balances</v>
      </c>
      <c r="J95" s="43" t="str">
        <f>_xlfn.XLOOKUP($A95,Map!$A:$A,Map!F:F)</f>
        <v>Accrued bonus</v>
      </c>
    </row>
    <row r="96" spans="1:10" x14ac:dyDescent="0.25">
      <c r="A96">
        <v>250005</v>
      </c>
      <c r="B96" t="s">
        <v>919</v>
      </c>
      <c r="C96" s="116">
        <v>-28500</v>
      </c>
      <c r="D96" s="116">
        <v>3500553.83</v>
      </c>
      <c r="E96" s="116">
        <v>6145101.5800000001</v>
      </c>
      <c r="F96" s="116">
        <v>-2673047.75</v>
      </c>
      <c r="G96" s="43" t="str">
        <f>_xlfn.XLOOKUP($A96,Map!$A:$A,Map!C:C)</f>
        <v>BS</v>
      </c>
      <c r="H96" s="43" t="str">
        <f>_xlfn.XLOOKUP($A96,Map!$A:$A,Map!D:D)</f>
        <v>Current Liabilities</v>
      </c>
      <c r="I96" s="43" t="str">
        <f>_xlfn.XLOOKUP($A96,Map!$A:$A,Map!E:E)</f>
        <v>Tade payables and Accuals &amp; other credit balances</v>
      </c>
      <c r="J96" s="43" t="str">
        <f>_xlfn.XLOOKUP($A96,Map!$A:$A,Map!F:F)</f>
        <v>Accrued expenses</v>
      </c>
    </row>
    <row r="97" spans="1:10" x14ac:dyDescent="0.25">
      <c r="A97">
        <v>250006</v>
      </c>
      <c r="B97" t="s">
        <v>920</v>
      </c>
      <c r="C97" s="116">
        <v>-388008.67</v>
      </c>
      <c r="D97" s="116">
        <v>102772</v>
      </c>
      <c r="E97" s="116">
        <v>163913.035</v>
      </c>
      <c r="F97" s="116">
        <v>-449149.70500000002</v>
      </c>
      <c r="G97" s="43" t="str">
        <f>_xlfn.XLOOKUP($A97,Map!$A:$A,Map!C:C)</f>
        <v>BS</v>
      </c>
      <c r="H97" s="43" t="str">
        <f>_xlfn.XLOOKUP($A97,Map!$A:$A,Map!D:D)</f>
        <v>Current Liabilities</v>
      </c>
      <c r="I97" s="43" t="str">
        <f>_xlfn.XLOOKUP($A97,Map!$A:$A,Map!E:E)</f>
        <v>Tade payables and Accuals &amp; other credit balances</v>
      </c>
      <c r="J97" s="43" t="str">
        <f>_xlfn.XLOOKUP($A97,Map!$A:$A,Map!F:F)</f>
        <v>Accrued leave</v>
      </c>
    </row>
    <row r="98" spans="1:10" x14ac:dyDescent="0.25">
      <c r="A98">
        <v>260001</v>
      </c>
      <c r="B98" t="s">
        <v>922</v>
      </c>
      <c r="C98" s="116">
        <v>-6684528</v>
      </c>
      <c r="D98" s="116">
        <v>20370.5</v>
      </c>
      <c r="E98" s="116">
        <v>538800.5</v>
      </c>
      <c r="F98" s="116">
        <v>-7202958</v>
      </c>
      <c r="G98" s="43" t="str">
        <f>_xlfn.XLOOKUP($A98,Map!$A:$A,Map!C:C)</f>
        <v>BS</v>
      </c>
      <c r="H98" s="43" t="str">
        <f>_xlfn.XLOOKUP($A98,Map!$A:$A,Map!D:D)</f>
        <v>Stockholder's equity</v>
      </c>
      <c r="I98" s="43" t="str">
        <f>_xlfn.XLOOKUP($A98,Map!$A:$A,Map!E:E)</f>
        <v>Statutory reserve</v>
      </c>
      <c r="J98" s="43" t="str">
        <f>_xlfn.XLOOKUP($A98,Map!$A:$A,Map!F:F)</f>
        <v>Statutory reserve</v>
      </c>
    </row>
    <row r="99" spans="1:10" x14ac:dyDescent="0.25">
      <c r="A99">
        <v>260002</v>
      </c>
      <c r="B99" t="s">
        <v>923</v>
      </c>
      <c r="C99" s="116">
        <v>-7512895</v>
      </c>
      <c r="D99" s="116">
        <v>2323136</v>
      </c>
      <c r="E99" s="116">
        <v>1090985</v>
      </c>
      <c r="F99" s="116">
        <v>-6280744</v>
      </c>
      <c r="G99" s="43" t="str">
        <f>_xlfn.XLOOKUP($A99,Map!$A:$A,Map!C:C)</f>
        <v>BS</v>
      </c>
      <c r="H99" s="43" t="str">
        <f>_xlfn.XLOOKUP($A99,Map!$A:$A,Map!D:D)</f>
        <v>Non-Current Liabilities</v>
      </c>
      <c r="I99" s="43" t="str">
        <f>_xlfn.XLOOKUP($A99,Map!$A:$A,Map!E:E)</f>
        <v xml:space="preserve">End-of-service indemnities </v>
      </c>
      <c r="J99" s="43" t="str">
        <f>_xlfn.XLOOKUP($A99,Map!$A:$A,Map!F:F)</f>
        <v xml:space="preserve">End-of-service indemnities </v>
      </c>
    </row>
    <row r="100" spans="1:10" x14ac:dyDescent="0.25">
      <c r="A100">
        <v>260003</v>
      </c>
      <c r="B100" t="s">
        <v>924</v>
      </c>
      <c r="C100" s="116">
        <v>-3482088.0839999998</v>
      </c>
      <c r="D100" s="116">
        <v>958517.09</v>
      </c>
      <c r="E100" s="116">
        <v>930533.68</v>
      </c>
      <c r="F100" s="116">
        <v>-3454104.6740000001</v>
      </c>
      <c r="G100" s="43" t="str">
        <f>_xlfn.XLOOKUP($A100,Map!$A:$A,Map!C:C)</f>
        <v>BS</v>
      </c>
      <c r="H100" s="43" t="str">
        <f>_xlfn.XLOOKUP($A100,Map!$A:$A,Map!D:D)</f>
        <v>Current Assets</v>
      </c>
      <c r="I100" s="43" t="str">
        <f>_xlfn.XLOOKUP($A100,Map!$A:$A,Map!E:E)</f>
        <v>Trade receivables</v>
      </c>
      <c r="J100" s="43" t="str">
        <f>_xlfn.XLOOKUP($A100,Map!$A:$A,Map!F:F)</f>
        <v>Provisions</v>
      </c>
    </row>
    <row r="101" spans="1:10" x14ac:dyDescent="0.25">
      <c r="A101">
        <v>260004</v>
      </c>
      <c r="B101" t="s">
        <v>925</v>
      </c>
      <c r="C101" s="116">
        <v>-2000000</v>
      </c>
      <c r="D101" s="116">
        <v>2270000</v>
      </c>
      <c r="E101" s="116">
        <v>270000</v>
      </c>
      <c r="F101" s="116">
        <v>0</v>
      </c>
      <c r="G101" s="43" t="str">
        <f>_xlfn.XLOOKUP($A101,Map!$A:$A,Map!C:C)</f>
        <v>BS</v>
      </c>
      <c r="H101" s="43" t="str">
        <f>_xlfn.XLOOKUP($A101,Map!$A:$A,Map!D:D)</f>
        <v>Current Assets</v>
      </c>
      <c r="I101" s="43" t="str">
        <f>_xlfn.XLOOKUP($A101,Map!$A:$A,Map!E:E)</f>
        <v>Inventories</v>
      </c>
      <c r="J101" s="43" t="str">
        <f>_xlfn.XLOOKUP($A101,Map!$A:$A,Map!F:F)</f>
        <v>Allowance for slow moving/obsolete inventories - Inventory</v>
      </c>
    </row>
    <row r="102" spans="1:10" x14ac:dyDescent="0.25">
      <c r="A102">
        <v>260005</v>
      </c>
      <c r="B102" t="s">
        <v>926</v>
      </c>
      <c r="C102" s="116">
        <v>-4214760</v>
      </c>
      <c r="D102" s="116">
        <v>0</v>
      </c>
      <c r="E102" s="116">
        <v>115133.194</v>
      </c>
      <c r="F102" s="116">
        <v>-4329893.1940000001</v>
      </c>
      <c r="G102" s="43" t="str">
        <f>_xlfn.XLOOKUP($A102,Map!$A:$A,Map!C:C)</f>
        <v>BS</v>
      </c>
      <c r="H102" s="43" t="str">
        <f>_xlfn.XLOOKUP($A102,Map!$A:$A,Map!D:D)</f>
        <v>Non-Current Liabilities</v>
      </c>
      <c r="I102" s="43" t="str">
        <f>_xlfn.XLOOKUP($A102,Map!$A:$A,Map!E:E)</f>
        <v>Provision for evacuation</v>
      </c>
      <c r="J102" s="43" t="str">
        <f>_xlfn.XLOOKUP($A102,Map!$A:$A,Map!F:F)</f>
        <v>Provision for evacuation</v>
      </c>
    </row>
    <row r="103" spans="1:10" x14ac:dyDescent="0.25">
      <c r="A103">
        <v>270001</v>
      </c>
      <c r="B103" t="s">
        <v>929</v>
      </c>
      <c r="C103" s="116">
        <v>166370.04999999999</v>
      </c>
      <c r="D103" s="116">
        <v>61621.19</v>
      </c>
      <c r="E103" s="116">
        <v>81836.584000000003</v>
      </c>
      <c r="F103" s="116">
        <v>146154.65599999999</v>
      </c>
      <c r="G103" s="43" t="str">
        <f>_xlfn.XLOOKUP($A103,Map!$A:$A,Map!C:C)</f>
        <v>BS</v>
      </c>
      <c r="H103" s="43" t="str">
        <f>_xlfn.XLOOKUP($A103,Map!$A:$A,Map!D:D)</f>
        <v>Non-Current Liabilities</v>
      </c>
      <c r="I103" s="43" t="str">
        <f>_xlfn.XLOOKUP($A103,Map!$A:$A,Map!E:E)</f>
        <v xml:space="preserve">Due to related parties </v>
      </c>
      <c r="J103" s="43" t="str">
        <f>_xlfn.XLOOKUP($A103,Map!$A:$A,Map!F:F)</f>
        <v>Aims Holding  Current Acc</v>
      </c>
    </row>
    <row r="104" spans="1:10" x14ac:dyDescent="0.25">
      <c r="A104">
        <v>270002</v>
      </c>
      <c r="B104" t="s">
        <v>930</v>
      </c>
      <c r="C104" s="116">
        <v>0</v>
      </c>
      <c r="D104" s="116">
        <v>22087353.535</v>
      </c>
      <c r="E104" s="116">
        <v>22087353.535</v>
      </c>
      <c r="F104" s="116">
        <v>0</v>
      </c>
      <c r="G104" s="43" t="str">
        <f>_xlfn.XLOOKUP($A104,Map!$A:$A,Map!C:C)</f>
        <v>BS</v>
      </c>
      <c r="H104" s="43" t="str">
        <f>_xlfn.XLOOKUP($A104,Map!$A:$A,Map!D:D)</f>
        <v>Current Liabilities</v>
      </c>
      <c r="I104" s="43" t="str">
        <f>_xlfn.XLOOKUP($A104,Map!$A:$A,Map!E:E)</f>
        <v>Tade payables and Accuals &amp; other credit balances</v>
      </c>
      <c r="J104" s="43" t="str">
        <f>_xlfn.XLOOKUP($A104,Map!$A:$A,Map!F:F)</f>
        <v>VAT payables</v>
      </c>
    </row>
    <row r="105" spans="1:10" x14ac:dyDescent="0.25">
      <c r="A105">
        <v>270003</v>
      </c>
      <c r="B105" t="s">
        <v>931</v>
      </c>
      <c r="C105" s="116">
        <v>0</v>
      </c>
      <c r="D105" s="116">
        <v>11197210.389</v>
      </c>
      <c r="E105" s="116">
        <v>11197210.389</v>
      </c>
      <c r="F105" s="116">
        <v>0</v>
      </c>
      <c r="G105" s="43" t="str">
        <f>_xlfn.XLOOKUP($A105,Map!$A:$A,Map!C:C)</f>
        <v>BS</v>
      </c>
      <c r="H105" s="43" t="str">
        <f>_xlfn.XLOOKUP($A105,Map!$A:$A,Map!D:D)</f>
        <v>Current Liabilities</v>
      </c>
      <c r="I105" s="43" t="str">
        <f>_xlfn.XLOOKUP($A105,Map!$A:$A,Map!E:E)</f>
        <v>Tade payables and Accuals &amp; other credit balances</v>
      </c>
      <c r="J105" s="43" t="str">
        <f>_xlfn.XLOOKUP($A105,Map!$A:$A,Map!F:F)</f>
        <v>VAT payables</v>
      </c>
    </row>
    <row r="106" spans="1:10" x14ac:dyDescent="0.25">
      <c r="A106">
        <v>270004</v>
      </c>
      <c r="B106" t="s">
        <v>932</v>
      </c>
      <c r="C106" s="116">
        <v>-1563447.46</v>
      </c>
      <c r="D106" s="116">
        <v>7857550.3200000003</v>
      </c>
      <c r="E106" s="116">
        <v>7519660.21</v>
      </c>
      <c r="F106" s="116">
        <v>-1225557.3500000001</v>
      </c>
      <c r="G106" s="43" t="str">
        <f>_xlfn.XLOOKUP($A106,Map!$A:$A,Map!C:C)</f>
        <v>BS</v>
      </c>
      <c r="H106" s="43" t="str">
        <f>_xlfn.XLOOKUP($A106,Map!$A:$A,Map!D:D)</f>
        <v>Current Liabilities</v>
      </c>
      <c r="I106" s="43" t="str">
        <f>_xlfn.XLOOKUP($A106,Map!$A:$A,Map!E:E)</f>
        <v>Tade payables and Accuals &amp; other credit balances</v>
      </c>
      <c r="J106" s="43" t="str">
        <f>_xlfn.XLOOKUP($A106,Map!$A:$A,Map!F:F)</f>
        <v>VAT payables</v>
      </c>
    </row>
    <row r="107" spans="1:10" x14ac:dyDescent="0.25">
      <c r="A107">
        <v>310001</v>
      </c>
      <c r="B107" t="s">
        <v>934</v>
      </c>
      <c r="C107" s="116">
        <v>-14406130.132999999</v>
      </c>
      <c r="D107" s="116">
        <v>667457.37</v>
      </c>
      <c r="E107" s="116">
        <v>149027.37</v>
      </c>
      <c r="F107" s="116">
        <v>-13887700.132999999</v>
      </c>
      <c r="G107" s="43" t="str">
        <f>_xlfn.XLOOKUP($A107,Map!$A:$A,Map!C:C)</f>
        <v>BS</v>
      </c>
      <c r="H107" s="43" t="str">
        <f>_xlfn.XLOOKUP($A107,Map!$A:$A,Map!D:D)</f>
        <v>Stockholder's equity</v>
      </c>
      <c r="I107" s="43" t="str">
        <f>_xlfn.XLOOKUP($A107,Map!$A:$A,Map!E:E)</f>
        <v>Retained earnings</v>
      </c>
      <c r="J107" s="43" t="str">
        <f>_xlfn.XLOOKUP($A107,Map!$A:$A,Map!F:F)</f>
        <v>Retained earnings</v>
      </c>
    </row>
    <row r="108" spans="1:10" x14ac:dyDescent="0.25">
      <c r="A108">
        <v>330001</v>
      </c>
      <c r="B108" t="s">
        <v>935</v>
      </c>
      <c r="C108" s="116">
        <v>0</v>
      </c>
      <c r="D108" s="116">
        <v>0</v>
      </c>
      <c r="E108" s="116">
        <v>0</v>
      </c>
      <c r="F108" s="116">
        <v>0</v>
      </c>
      <c r="G108" s="43" t="str">
        <f>_xlfn.XLOOKUP($A108,Map!$A:$A,Map!C:C)</f>
        <v>BS</v>
      </c>
      <c r="H108" s="43" t="str">
        <f>_xlfn.XLOOKUP($A108,Map!$A:$A,Map!D:D)</f>
        <v>Stockholder's equity</v>
      </c>
      <c r="I108" s="43" t="str">
        <f>_xlfn.XLOOKUP($A108,Map!$A:$A,Map!E:E)</f>
        <v>Retained earnings</v>
      </c>
      <c r="J108" s="43" t="str">
        <f>_xlfn.XLOOKUP($A108,Map!$A:$A,Map!F:F)</f>
        <v>Retained earnings</v>
      </c>
    </row>
    <row r="109" spans="1:10" x14ac:dyDescent="0.25">
      <c r="A109">
        <v>330002</v>
      </c>
      <c r="B109" t="s">
        <v>936</v>
      </c>
      <c r="C109" s="116">
        <v>-35335000</v>
      </c>
      <c r="D109" s="116">
        <v>0</v>
      </c>
      <c r="E109" s="116">
        <v>0</v>
      </c>
      <c r="F109" s="116">
        <v>-35335000</v>
      </c>
      <c r="G109" s="43" t="str">
        <f>_xlfn.XLOOKUP($A109,Map!$A:$A,Map!C:C)</f>
        <v>BS</v>
      </c>
      <c r="H109" s="43" t="str">
        <f>_xlfn.XLOOKUP($A109,Map!$A:$A,Map!D:D)</f>
        <v>Stockholder's equity</v>
      </c>
      <c r="I109" s="43" t="str">
        <f>_xlfn.XLOOKUP($A109,Map!$A:$A,Map!E:E)</f>
        <v>Share capital</v>
      </c>
      <c r="J109" s="43" t="str">
        <f>_xlfn.XLOOKUP($A109,Map!$A:$A,Map!F:F)</f>
        <v>Share capital</v>
      </c>
    </row>
    <row r="110" spans="1:10" x14ac:dyDescent="0.25">
      <c r="A110">
        <v>330003</v>
      </c>
      <c r="B110" t="s">
        <v>937</v>
      </c>
      <c r="C110" s="116">
        <v>-102255315.01000001</v>
      </c>
      <c r="D110" s="116">
        <v>0</v>
      </c>
      <c r="E110" s="116">
        <v>0</v>
      </c>
      <c r="F110" s="116">
        <v>-102255315.01000001</v>
      </c>
      <c r="G110" s="43" t="str">
        <f>_xlfn.XLOOKUP($A110,Map!$A:$A,Map!C:C)</f>
        <v>BS</v>
      </c>
      <c r="H110" s="43" t="str">
        <f>_xlfn.XLOOKUP($A110,Map!$A:$A,Map!D:D)</f>
        <v>Stockholder's equity</v>
      </c>
      <c r="I110" s="43" t="str">
        <f>_xlfn.XLOOKUP($A110,Map!$A:$A,Map!E:E)</f>
        <v>Additional contribution from shareholders</v>
      </c>
      <c r="J110" s="43" t="str">
        <f>_xlfn.XLOOKUP($A110,Map!$A:$A,Map!F:F)</f>
        <v>Additional contribution from shareholders</v>
      </c>
    </row>
    <row r="111" spans="1:10" x14ac:dyDescent="0.25">
      <c r="A111">
        <v>410001</v>
      </c>
      <c r="B111" t="s">
        <v>938</v>
      </c>
      <c r="C111" s="116">
        <v>0</v>
      </c>
      <c r="D111" s="116">
        <v>24845336.616</v>
      </c>
      <c r="E111" s="116">
        <v>227234284.92500001</v>
      </c>
      <c r="F111" s="116">
        <v>-202388948.30899999</v>
      </c>
      <c r="G111" s="43" t="str">
        <f>_xlfn.XLOOKUP($A111,Map!$A:$A,Map!C:C)</f>
        <v>IS</v>
      </c>
      <c r="H111" s="43" t="str">
        <f>_xlfn.XLOOKUP($A111,Map!$A:$A,Map!D:D)</f>
        <v>Sales</v>
      </c>
      <c r="I111" s="43" t="str">
        <f>_xlfn.XLOOKUP($A111,Map!$A:$A,Map!E:E)</f>
        <v>Sales</v>
      </c>
      <c r="J111" s="43" t="str">
        <f>_xlfn.XLOOKUP($A111,Map!$A:$A,Map!F:F)</f>
        <v>Trading revenue</v>
      </c>
    </row>
    <row r="112" spans="1:10" x14ac:dyDescent="0.25">
      <c r="A112">
        <v>410002</v>
      </c>
      <c r="B112" t="s">
        <v>939</v>
      </c>
      <c r="C112" s="116">
        <v>0</v>
      </c>
      <c r="D112" s="116">
        <v>815298.13600000006</v>
      </c>
      <c r="E112" s="116">
        <v>0</v>
      </c>
      <c r="F112" s="116">
        <v>815298.13600000006</v>
      </c>
      <c r="G112" s="43" t="str">
        <f>_xlfn.XLOOKUP($A112,Map!$A:$A,Map!C:C)</f>
        <v>IS</v>
      </c>
      <c r="H112" s="43" t="str">
        <f>_xlfn.XLOOKUP($A112,Map!$A:$A,Map!D:D)</f>
        <v>Sales</v>
      </c>
      <c r="I112" s="43" t="str">
        <f>_xlfn.XLOOKUP($A112,Map!$A:$A,Map!E:E)</f>
        <v>Sales</v>
      </c>
      <c r="J112" s="43" t="str">
        <f>_xlfn.XLOOKUP($A112,Map!$A:$A,Map!F:F)</f>
        <v>Trading revenue</v>
      </c>
    </row>
    <row r="113" spans="1:10" x14ac:dyDescent="0.25">
      <c r="A113">
        <v>410003</v>
      </c>
      <c r="B113" t="s">
        <v>940</v>
      </c>
      <c r="C113" s="116">
        <v>0</v>
      </c>
      <c r="D113" s="116">
        <v>23793.195</v>
      </c>
      <c r="E113" s="116">
        <v>318.5</v>
      </c>
      <c r="F113" s="116">
        <v>23474.695</v>
      </c>
      <c r="G113" s="43" t="str">
        <f>_xlfn.XLOOKUP($A113,Map!$A:$A,Map!C:C)</f>
        <v>IS</v>
      </c>
      <c r="H113" s="43" t="str">
        <f>_xlfn.XLOOKUP($A113,Map!$A:$A,Map!D:D)</f>
        <v>Sales</v>
      </c>
      <c r="I113" s="43" t="str">
        <f>_xlfn.XLOOKUP($A113,Map!$A:$A,Map!E:E)</f>
        <v>Sales</v>
      </c>
      <c r="J113" s="43" t="str">
        <f>_xlfn.XLOOKUP($A113,Map!$A:$A,Map!F:F)</f>
        <v>Trading revenue</v>
      </c>
    </row>
    <row r="114" spans="1:10" x14ac:dyDescent="0.25">
      <c r="A114">
        <v>410004</v>
      </c>
      <c r="B114" t="s">
        <v>941</v>
      </c>
      <c r="C114" s="116">
        <v>0</v>
      </c>
      <c r="D114" s="116">
        <v>175175</v>
      </c>
      <c r="E114" s="116">
        <v>1443356.379</v>
      </c>
      <c r="F114" s="116">
        <v>-1268181.379</v>
      </c>
      <c r="G114" s="43" t="str">
        <f>_xlfn.XLOOKUP($A114,Map!$A:$A,Map!C:C)</f>
        <v>IS</v>
      </c>
      <c r="H114" s="43" t="str">
        <f>_xlfn.XLOOKUP($A114,Map!$A:$A,Map!D:D)</f>
        <v>Sales</v>
      </c>
      <c r="I114" s="43" t="str">
        <f>_xlfn.XLOOKUP($A114,Map!$A:$A,Map!E:E)</f>
        <v>Sales</v>
      </c>
      <c r="J114" s="43" t="str">
        <f>_xlfn.XLOOKUP($A114,Map!$A:$A,Map!F:F)</f>
        <v>Scrap sales</v>
      </c>
    </row>
    <row r="115" spans="1:10" x14ac:dyDescent="0.25">
      <c r="A115">
        <v>420001</v>
      </c>
      <c r="B115" t="s">
        <v>942</v>
      </c>
      <c r="C115" s="116">
        <v>0</v>
      </c>
      <c r="D115" s="116">
        <v>0</v>
      </c>
      <c r="E115" s="116">
        <v>11208</v>
      </c>
      <c r="F115" s="116">
        <v>-11208</v>
      </c>
      <c r="G115" s="43" t="str">
        <f>_xlfn.XLOOKUP($A115,Map!$A:$A,Map!C:C)</f>
        <v>IS</v>
      </c>
      <c r="H115" s="43" t="str">
        <f>_xlfn.XLOOKUP($A115,Map!$A:$A,Map!D:D)</f>
        <v>Sales</v>
      </c>
      <c r="I115" s="43" t="str">
        <f>_xlfn.XLOOKUP($A115,Map!$A:$A,Map!E:E)</f>
        <v>Sales</v>
      </c>
      <c r="J115" s="43" t="str">
        <f>_xlfn.XLOOKUP($A115,Map!$A:$A,Map!F:F)</f>
        <v>Other income</v>
      </c>
    </row>
    <row r="116" spans="1:10" x14ac:dyDescent="0.25">
      <c r="A116">
        <v>420003</v>
      </c>
      <c r="B116" t="s">
        <v>944</v>
      </c>
      <c r="C116" s="116">
        <v>0</v>
      </c>
      <c r="D116" s="116">
        <v>3.2000000000000001E-2</v>
      </c>
      <c r="E116" s="116">
        <v>3.2000000000000001E-2</v>
      </c>
      <c r="F116" s="116">
        <v>0</v>
      </c>
      <c r="G116" s="43" t="str">
        <f>_xlfn.XLOOKUP($A116,Map!$A:$A,Map!C:C)</f>
        <v>IS</v>
      </c>
      <c r="H116" s="43" t="str">
        <f>_xlfn.XLOOKUP($A116,Map!$A:$A,Map!D:D)</f>
        <v>Sales</v>
      </c>
      <c r="I116" s="43" t="str">
        <f>_xlfn.XLOOKUP($A116,Map!$A:$A,Map!E:E)</f>
        <v>Sales</v>
      </c>
      <c r="J116" s="43" t="str">
        <f>_xlfn.XLOOKUP($A116,Map!$A:$A,Map!F:F)</f>
        <v>Scrap sales</v>
      </c>
    </row>
    <row r="117" spans="1:10" x14ac:dyDescent="0.25">
      <c r="A117">
        <v>510001</v>
      </c>
      <c r="B117" t="s">
        <v>945</v>
      </c>
      <c r="C117" s="116">
        <v>0</v>
      </c>
      <c r="D117" s="116">
        <v>575068259.06099999</v>
      </c>
      <c r="E117" s="116">
        <v>435866919.73199999</v>
      </c>
      <c r="F117" s="116">
        <v>139201339.329</v>
      </c>
      <c r="G117" s="43" t="str">
        <f>_xlfn.XLOOKUP($A117,Map!$A:$A,Map!C:C)</f>
        <v>IS</v>
      </c>
      <c r="H117" s="43" t="str">
        <f>_xlfn.XLOOKUP($A117,Map!$A:$A,Map!D:D)</f>
        <v>Cost of sales</v>
      </c>
      <c r="I117" s="43" t="str">
        <f>_xlfn.XLOOKUP($A117,Map!$A:$A,Map!E:E)</f>
        <v>Raw materials</v>
      </c>
      <c r="J117" s="43" t="str">
        <f>_xlfn.XLOOKUP($A117,Map!$A:$A,Map!F:F)</f>
        <v>Raw materials</v>
      </c>
    </row>
    <row r="118" spans="1:10" x14ac:dyDescent="0.25">
      <c r="A118">
        <v>510002</v>
      </c>
      <c r="B118" t="s">
        <v>946</v>
      </c>
      <c r="C118" s="116">
        <v>0</v>
      </c>
      <c r="D118" s="116">
        <v>22110324.796999998</v>
      </c>
      <c r="E118" s="116">
        <v>11082486.596999999</v>
      </c>
      <c r="F118" s="116">
        <v>11027838.199999999</v>
      </c>
      <c r="G118" s="43" t="str">
        <f>_xlfn.XLOOKUP($A118,Map!$A:$A,Map!C:C)</f>
        <v>IS</v>
      </c>
      <c r="H118" s="43" t="str">
        <f>_xlfn.XLOOKUP($A118,Map!$A:$A,Map!D:D)</f>
        <v>Cost of sales</v>
      </c>
      <c r="I118" s="43" t="str">
        <f>_xlfn.XLOOKUP($A118,Map!$A:$A,Map!E:E)</f>
        <v>Direct Labor</v>
      </c>
      <c r="J118" s="43" t="str">
        <f>_xlfn.XLOOKUP($A118,Map!$A:$A,Map!F:F)</f>
        <v>Direct Labor</v>
      </c>
    </row>
    <row r="119" spans="1:10" x14ac:dyDescent="0.25">
      <c r="A119">
        <v>510003</v>
      </c>
      <c r="B119" t="s">
        <v>947</v>
      </c>
      <c r="C119" s="116">
        <v>0</v>
      </c>
      <c r="D119" s="116">
        <v>20429476.774</v>
      </c>
      <c r="E119" s="116">
        <v>14265542.818</v>
      </c>
      <c r="F119" s="116">
        <v>6163933.9560000002</v>
      </c>
      <c r="G119" s="43" t="str">
        <f>_xlfn.XLOOKUP($A119,Map!$A:$A,Map!C:C)</f>
        <v>IS</v>
      </c>
      <c r="H119" s="43" t="str">
        <f>_xlfn.XLOOKUP($A119,Map!$A:$A,Map!D:D)</f>
        <v>Cost of sales</v>
      </c>
      <c r="I119" s="43" t="str">
        <f>_xlfn.XLOOKUP($A119,Map!$A:$A,Map!E:E)</f>
        <v>Raw materials</v>
      </c>
      <c r="J119" s="43" t="str">
        <f>_xlfn.XLOOKUP($A119,Map!$A:$A,Map!F:F)</f>
        <v>Raw materials</v>
      </c>
    </row>
    <row r="120" spans="1:10" x14ac:dyDescent="0.25">
      <c r="A120">
        <v>510004</v>
      </c>
      <c r="B120" t="s">
        <v>948</v>
      </c>
      <c r="C120" s="116">
        <v>0</v>
      </c>
      <c r="D120" s="116">
        <v>52061369.383000001</v>
      </c>
      <c r="E120" s="116">
        <v>32284520.727000002</v>
      </c>
      <c r="F120" s="116">
        <v>19776848.655999999</v>
      </c>
      <c r="G120" s="43" t="str">
        <f>_xlfn.XLOOKUP($A120,Map!$A:$A,Map!C:C)</f>
        <v>IS</v>
      </c>
      <c r="H120" s="43" t="str">
        <f>_xlfn.XLOOKUP($A120,Map!$A:$A,Map!D:D)</f>
        <v>Cost of sales</v>
      </c>
      <c r="I120" s="43" t="str">
        <f>_xlfn.XLOOKUP($A120,Map!$A:$A,Map!E:E)</f>
        <v>Raw materials</v>
      </c>
      <c r="J120" s="43" t="str">
        <f>_xlfn.XLOOKUP($A120,Map!$A:$A,Map!F:F)</f>
        <v>Other expenses</v>
      </c>
    </row>
    <row r="121" spans="1:10" x14ac:dyDescent="0.25">
      <c r="A121">
        <v>510005</v>
      </c>
      <c r="B121" t="s">
        <v>949</v>
      </c>
      <c r="C121" s="116">
        <v>0</v>
      </c>
      <c r="D121" s="116">
        <v>78967.600999999995</v>
      </c>
      <c r="E121" s="116">
        <v>78967.600999999995</v>
      </c>
      <c r="F121" s="116">
        <v>0</v>
      </c>
      <c r="G121" s="43" t="str">
        <f>_xlfn.XLOOKUP($A121,Map!$A:$A,Map!C:C)</f>
        <v>IS</v>
      </c>
      <c r="H121" s="43" t="str">
        <f>_xlfn.XLOOKUP($A121,Map!$A:$A,Map!D:D)</f>
        <v>Cost of sales</v>
      </c>
      <c r="I121" s="43" t="str">
        <f>_xlfn.XLOOKUP($A121,Map!$A:$A,Map!E:E)</f>
        <v>Raw materials</v>
      </c>
      <c r="J121" s="43" t="str">
        <f>_xlfn.XLOOKUP($A121,Map!$A:$A,Map!F:F)</f>
        <v>Other expenses</v>
      </c>
    </row>
    <row r="122" spans="1:10" x14ac:dyDescent="0.25">
      <c r="A122">
        <v>520001</v>
      </c>
      <c r="B122" t="s">
        <v>950</v>
      </c>
      <c r="C122" s="116">
        <v>0</v>
      </c>
      <c r="D122" s="116">
        <v>7816373</v>
      </c>
      <c r="E122" s="116">
        <v>7816373</v>
      </c>
      <c r="F122" s="116">
        <v>0</v>
      </c>
      <c r="G122" s="43" t="str">
        <f>_xlfn.XLOOKUP($A122,Map!$A:$A,Map!C:C)</f>
        <v>IS</v>
      </c>
      <c r="H122" s="43" t="str">
        <f>_xlfn.XLOOKUP($A122,Map!$A:$A,Map!D:D)</f>
        <v>Cost of sales</v>
      </c>
      <c r="I122" s="43" t="str">
        <f>_xlfn.XLOOKUP($A122,Map!$A:$A,Map!E:E)</f>
        <v>Direct Labor</v>
      </c>
      <c r="J122" s="43" t="str">
        <f>_xlfn.XLOOKUP($A122,Map!$A:$A,Map!F:F)</f>
        <v>Salaries and wages</v>
      </c>
    </row>
    <row r="123" spans="1:10" x14ac:dyDescent="0.25">
      <c r="A123">
        <v>520002</v>
      </c>
      <c r="B123" t="s">
        <v>951</v>
      </c>
      <c r="C123" s="116">
        <v>0</v>
      </c>
      <c r="D123" s="116">
        <v>0</v>
      </c>
      <c r="E123" s="116">
        <v>0</v>
      </c>
      <c r="F123" s="116">
        <v>0</v>
      </c>
      <c r="G123" s="43" t="str">
        <f>_xlfn.XLOOKUP($A123,Map!$A:$A,Map!C:C)</f>
        <v>IS</v>
      </c>
      <c r="H123" s="43" t="str">
        <f>_xlfn.XLOOKUP($A123,Map!$A:$A,Map!D:D)</f>
        <v>Cost of sales</v>
      </c>
      <c r="I123" s="43" t="str">
        <f>_xlfn.XLOOKUP($A123,Map!$A:$A,Map!E:E)</f>
        <v>Direct Labor</v>
      </c>
      <c r="J123" s="43" t="str">
        <f>_xlfn.XLOOKUP($A123,Map!$A:$A,Map!F:F)</f>
        <v>Overtime pay</v>
      </c>
    </row>
    <row r="124" spans="1:10" x14ac:dyDescent="0.25">
      <c r="A124">
        <v>520003</v>
      </c>
      <c r="B124" t="s">
        <v>952</v>
      </c>
      <c r="C124" s="116">
        <v>0</v>
      </c>
      <c r="D124" s="116">
        <v>689006</v>
      </c>
      <c r="E124" s="116">
        <v>689006</v>
      </c>
      <c r="F124" s="116">
        <v>0</v>
      </c>
      <c r="G124" s="43" t="str">
        <f>_xlfn.XLOOKUP($A124,Map!$A:$A,Map!C:C)</f>
        <v>IS</v>
      </c>
      <c r="H124" s="43" t="str">
        <f>_xlfn.XLOOKUP($A124,Map!$A:$A,Map!D:D)</f>
        <v>Cost of sales</v>
      </c>
      <c r="I124" s="43" t="str">
        <f>_xlfn.XLOOKUP($A124,Map!$A:$A,Map!E:E)</f>
        <v>Direct Labor</v>
      </c>
      <c r="J124" s="43" t="str">
        <f>_xlfn.XLOOKUP($A124,Map!$A:$A,Map!F:F)</f>
        <v>Transportation allowance</v>
      </c>
    </row>
    <row r="125" spans="1:10" x14ac:dyDescent="0.25">
      <c r="A125">
        <v>520004</v>
      </c>
      <c r="B125" t="s">
        <v>957</v>
      </c>
      <c r="C125" s="116">
        <v>0</v>
      </c>
      <c r="D125" s="116">
        <v>0</v>
      </c>
      <c r="E125" s="116">
        <v>0</v>
      </c>
      <c r="F125" s="116">
        <v>0</v>
      </c>
      <c r="G125" s="43" t="str">
        <f>_xlfn.XLOOKUP($A125,Map!$A:$A,Map!C:C)</f>
        <v>IS</v>
      </c>
      <c r="H125" s="43" t="str">
        <f>_xlfn.XLOOKUP($A125,Map!$A:$A,Map!D:D)</f>
        <v>Cost of sales</v>
      </c>
      <c r="I125" s="43" t="str">
        <f>_xlfn.XLOOKUP($A125,Map!$A:$A,Map!E:E)</f>
        <v>Direct Labor</v>
      </c>
      <c r="J125" s="43" t="str">
        <f>_xlfn.XLOOKUP($A125,Map!$A:$A,Map!F:F)</f>
        <v>Food and housing</v>
      </c>
    </row>
    <row r="126" spans="1:10" x14ac:dyDescent="0.25">
      <c r="A126">
        <v>520005</v>
      </c>
      <c r="B126" t="s">
        <v>954</v>
      </c>
      <c r="C126" s="116">
        <v>0</v>
      </c>
      <c r="D126" s="116">
        <v>370834</v>
      </c>
      <c r="E126" s="116">
        <v>370834</v>
      </c>
      <c r="F126" s="116">
        <v>0</v>
      </c>
      <c r="G126" s="43" t="str">
        <f>_xlfn.XLOOKUP($A126,Map!$A:$A,Map!C:C)</f>
        <v>IS</v>
      </c>
      <c r="H126" s="43" t="str">
        <f>_xlfn.XLOOKUP($A126,Map!$A:$A,Map!D:D)</f>
        <v>Cost of sales</v>
      </c>
      <c r="I126" s="43" t="str">
        <f>_xlfn.XLOOKUP($A126,Map!$A:$A,Map!E:E)</f>
        <v>Direct Labor</v>
      </c>
      <c r="J126" s="43" t="str">
        <f>_xlfn.XLOOKUP($A126,Map!$A:$A,Map!F:F)</f>
        <v>Leave pay</v>
      </c>
    </row>
    <row r="127" spans="1:10" x14ac:dyDescent="0.25">
      <c r="A127">
        <v>520006</v>
      </c>
      <c r="B127" t="s">
        <v>955</v>
      </c>
      <c r="C127" s="116">
        <v>0</v>
      </c>
      <c r="D127" s="116">
        <v>521953.09399999998</v>
      </c>
      <c r="E127" s="116">
        <v>521953.09399999998</v>
      </c>
      <c r="F127" s="116">
        <v>0</v>
      </c>
      <c r="G127" s="43" t="str">
        <f>_xlfn.XLOOKUP($A127,Map!$A:$A,Map!C:C)</f>
        <v>IS</v>
      </c>
      <c r="H127" s="43" t="str">
        <f>_xlfn.XLOOKUP($A127,Map!$A:$A,Map!D:D)</f>
        <v>Cost of sales</v>
      </c>
      <c r="I127" s="43" t="str">
        <f>_xlfn.XLOOKUP($A127,Map!$A:$A,Map!E:E)</f>
        <v>Direct Labor</v>
      </c>
      <c r="J127" s="43" t="str">
        <f>_xlfn.XLOOKUP($A127,Map!$A:$A,Map!F:F)</f>
        <v>Medical insurance</v>
      </c>
    </row>
    <row r="128" spans="1:10" x14ac:dyDescent="0.25">
      <c r="A128">
        <v>520010</v>
      </c>
      <c r="B128" t="s">
        <v>956</v>
      </c>
      <c r="C128" s="116">
        <v>0</v>
      </c>
      <c r="D128" s="116">
        <v>0</v>
      </c>
      <c r="E128" s="116">
        <v>0</v>
      </c>
      <c r="F128" s="116">
        <v>0</v>
      </c>
      <c r="G128" s="43" t="str">
        <f>_xlfn.XLOOKUP($A128,Map!$A:$A,Map!C:C)</f>
        <v>IS</v>
      </c>
      <c r="H128" s="43" t="str">
        <f>_xlfn.XLOOKUP($A128,Map!$A:$A,Map!D:D)</f>
        <v>Cost of sales</v>
      </c>
      <c r="I128" s="43" t="str">
        <f>_xlfn.XLOOKUP($A128,Map!$A:$A,Map!E:E)</f>
        <v>Direct Labor</v>
      </c>
      <c r="J128" s="43" t="str">
        <f>_xlfn.XLOOKUP($A128,Map!$A:$A,Map!F:F)</f>
        <v>Salaries and wages</v>
      </c>
    </row>
    <row r="129" spans="1:10" x14ac:dyDescent="0.25">
      <c r="A129">
        <v>520011</v>
      </c>
      <c r="B129" t="s">
        <v>951</v>
      </c>
      <c r="C129" s="116">
        <v>0</v>
      </c>
      <c r="D129" s="116">
        <v>2427058</v>
      </c>
      <c r="E129" s="116">
        <v>2427058</v>
      </c>
      <c r="F129" s="116">
        <v>0</v>
      </c>
      <c r="G129" s="43" t="str">
        <f>_xlfn.XLOOKUP($A129,Map!$A:$A,Map!C:C)</f>
        <v>IS</v>
      </c>
      <c r="H129" s="43" t="str">
        <f>_xlfn.XLOOKUP($A129,Map!$A:$A,Map!D:D)</f>
        <v>Cost of sales</v>
      </c>
      <c r="I129" s="43" t="str">
        <f>_xlfn.XLOOKUP($A129,Map!$A:$A,Map!E:E)</f>
        <v>Direct Labor</v>
      </c>
      <c r="J129" s="43" t="str">
        <f>_xlfn.XLOOKUP($A129,Map!$A:$A,Map!F:F)</f>
        <v>Overtime pay</v>
      </c>
    </row>
    <row r="130" spans="1:10" x14ac:dyDescent="0.25">
      <c r="A130">
        <v>520013</v>
      </c>
      <c r="B130" t="s">
        <v>957</v>
      </c>
      <c r="C130" s="116">
        <v>0</v>
      </c>
      <c r="D130" s="116">
        <v>0</v>
      </c>
      <c r="E130" s="116">
        <v>0</v>
      </c>
      <c r="F130" s="116">
        <v>0</v>
      </c>
      <c r="G130" s="43" t="str">
        <f>_xlfn.XLOOKUP($A130,Map!$A:$A,Map!C:C)</f>
        <v>IS</v>
      </c>
      <c r="H130" s="43" t="str">
        <f>_xlfn.XLOOKUP($A130,Map!$A:$A,Map!D:D)</f>
        <v>Cost of sales</v>
      </c>
      <c r="I130" s="43" t="str">
        <f>_xlfn.XLOOKUP($A130,Map!$A:$A,Map!E:E)</f>
        <v>Direct Labor</v>
      </c>
      <c r="J130" s="43" t="str">
        <f>_xlfn.XLOOKUP($A130,Map!$A:$A,Map!F:F)</f>
        <v>Food and housing</v>
      </c>
    </row>
    <row r="131" spans="1:10" x14ac:dyDescent="0.25">
      <c r="A131">
        <v>520014</v>
      </c>
      <c r="B131" t="s">
        <v>954</v>
      </c>
      <c r="C131" s="116">
        <v>0</v>
      </c>
      <c r="D131" s="116">
        <v>0</v>
      </c>
      <c r="E131" s="116">
        <v>0</v>
      </c>
      <c r="F131" s="116">
        <v>0</v>
      </c>
      <c r="G131" s="43" t="str">
        <f>_xlfn.XLOOKUP($A131,Map!$A:$A,Map!C:C)</f>
        <v>IS</v>
      </c>
      <c r="H131" s="43" t="str">
        <f>_xlfn.XLOOKUP($A131,Map!$A:$A,Map!D:D)</f>
        <v>Cost of sales</v>
      </c>
      <c r="I131" s="43" t="str">
        <f>_xlfn.XLOOKUP($A131,Map!$A:$A,Map!E:E)</f>
        <v>Direct Labor</v>
      </c>
      <c r="J131" s="43" t="str">
        <f>_xlfn.XLOOKUP($A131,Map!$A:$A,Map!F:F)</f>
        <v>Leave pay</v>
      </c>
    </row>
    <row r="132" spans="1:10" x14ac:dyDescent="0.25">
      <c r="A132">
        <v>520015</v>
      </c>
      <c r="B132" t="s">
        <v>958</v>
      </c>
      <c r="C132" s="116">
        <v>0</v>
      </c>
      <c r="D132" s="116">
        <v>238956</v>
      </c>
      <c r="E132" s="116">
        <v>238956</v>
      </c>
      <c r="F132" s="116">
        <v>0</v>
      </c>
      <c r="G132" s="43" t="str">
        <f>_xlfn.XLOOKUP($A132,Map!$A:$A,Map!C:C)</f>
        <v>IS</v>
      </c>
      <c r="H132" s="43" t="str">
        <f>_xlfn.XLOOKUP($A132,Map!$A:$A,Map!D:D)</f>
        <v>Cost of sales</v>
      </c>
      <c r="I132" s="43" t="str">
        <f>_xlfn.XLOOKUP($A132,Map!$A:$A,Map!E:E)</f>
        <v>Direct Labor</v>
      </c>
      <c r="J132" s="43" t="str">
        <f>_xlfn.XLOOKUP($A132,Map!$A:$A,Map!F:F)</f>
        <v>Food and housing</v>
      </c>
    </row>
    <row r="133" spans="1:10" x14ac:dyDescent="0.25">
      <c r="A133">
        <v>520021</v>
      </c>
      <c r="B133" t="s">
        <v>962</v>
      </c>
      <c r="C133" s="116">
        <v>0</v>
      </c>
      <c r="D133" s="116">
        <v>17216.238000000001</v>
      </c>
      <c r="E133" s="116">
        <v>17216.238000000001</v>
      </c>
      <c r="F133" s="116">
        <v>0</v>
      </c>
      <c r="G133" s="43" t="str">
        <f>_xlfn.XLOOKUP($A133,Map!$A:$A,Map!C:C)</f>
        <v>IS</v>
      </c>
      <c r="H133" s="43" t="str">
        <f>_xlfn.XLOOKUP($A133,Map!$A:$A,Map!D:D)</f>
        <v>Cost of sales</v>
      </c>
      <c r="I133" s="43" t="str">
        <f>_xlfn.XLOOKUP($A133,Map!$A:$A,Map!E:E)</f>
        <v>Direct Labor</v>
      </c>
      <c r="J133" s="43" t="str">
        <f>_xlfn.XLOOKUP($A133,Map!$A:$A,Map!F:F)</f>
        <v>Medical insurance</v>
      </c>
    </row>
    <row r="134" spans="1:10" x14ac:dyDescent="0.25">
      <c r="A134">
        <v>520022</v>
      </c>
      <c r="B134" t="s">
        <v>963</v>
      </c>
      <c r="C134" s="116">
        <v>0</v>
      </c>
      <c r="D134" s="116">
        <v>0</v>
      </c>
      <c r="E134" s="116">
        <v>0</v>
      </c>
      <c r="F134" s="116">
        <v>0</v>
      </c>
      <c r="G134" s="43" t="str">
        <f>_xlfn.XLOOKUP($A134,Map!$A:$A,Map!C:C)</f>
        <v>IS</v>
      </c>
      <c r="H134" s="43" t="str">
        <f>_xlfn.XLOOKUP($A134,Map!$A:$A,Map!D:D)</f>
        <v>Cost of sales</v>
      </c>
      <c r="I134" s="43" t="str">
        <f>_xlfn.XLOOKUP($A134,Map!$A:$A,Map!E:E)</f>
        <v>Direct Labor</v>
      </c>
      <c r="J134" s="43" t="str">
        <f>_xlfn.XLOOKUP($A134,Map!$A:$A,Map!F:F)</f>
        <v>Iqama renewal</v>
      </c>
    </row>
    <row r="135" spans="1:10" x14ac:dyDescent="0.25">
      <c r="A135">
        <v>520023</v>
      </c>
      <c r="B135" t="s">
        <v>964</v>
      </c>
      <c r="C135" s="116">
        <v>0</v>
      </c>
      <c r="D135" s="116">
        <v>0</v>
      </c>
      <c r="E135" s="116">
        <v>0</v>
      </c>
      <c r="F135" s="116">
        <v>0</v>
      </c>
      <c r="G135" s="43" t="str">
        <f>_xlfn.XLOOKUP($A135,Map!$A:$A,Map!C:C)</f>
        <v>IS</v>
      </c>
      <c r="H135" s="43" t="str">
        <f>_xlfn.XLOOKUP($A135,Map!$A:$A,Map!D:D)</f>
        <v>Cost of sales</v>
      </c>
      <c r="I135" s="43" t="str">
        <f>_xlfn.XLOOKUP($A135,Map!$A:$A,Map!E:E)</f>
        <v>Direct Labor</v>
      </c>
      <c r="J135" s="43" t="str">
        <f>_xlfn.XLOOKUP($A135,Map!$A:$A,Map!F:F)</f>
        <v>Medical insurance</v>
      </c>
    </row>
    <row r="136" spans="1:10" x14ac:dyDescent="0.25">
      <c r="A136">
        <v>520032</v>
      </c>
      <c r="B136" t="s">
        <v>965</v>
      </c>
      <c r="C136" s="116">
        <v>0</v>
      </c>
      <c r="D136" s="116">
        <v>0</v>
      </c>
      <c r="E136" s="116">
        <v>0</v>
      </c>
      <c r="F136" s="116">
        <v>0</v>
      </c>
      <c r="G136" s="43" t="str">
        <f>_xlfn.XLOOKUP($A136,Map!$A:$A,Map!C:C)</f>
        <v>IS</v>
      </c>
      <c r="H136" s="43" t="str">
        <f>_xlfn.XLOOKUP($A136,Map!$A:$A,Map!D:D)</f>
        <v>Cost of sales</v>
      </c>
      <c r="I136" s="43" t="str">
        <f>_xlfn.XLOOKUP($A136,Map!$A:$A,Map!E:E)</f>
        <v>Raw materials</v>
      </c>
      <c r="J136" s="43" t="str">
        <f>_xlfn.XLOOKUP($A136,Map!$A:$A,Map!F:F)</f>
        <v>Consumables</v>
      </c>
    </row>
    <row r="137" spans="1:10" x14ac:dyDescent="0.25">
      <c r="A137">
        <v>520036</v>
      </c>
      <c r="B137" t="s">
        <v>966</v>
      </c>
      <c r="C137" s="116">
        <v>0</v>
      </c>
      <c r="D137" s="116">
        <v>0.193</v>
      </c>
      <c r="E137" s="116">
        <v>0.193</v>
      </c>
      <c r="F137" s="116">
        <v>0</v>
      </c>
      <c r="G137" s="43" t="str">
        <f>_xlfn.XLOOKUP($A137,Map!$A:$A,Map!C:C)</f>
        <v>IS</v>
      </c>
      <c r="H137" s="43" t="str">
        <f>_xlfn.XLOOKUP($A137,Map!$A:$A,Map!D:D)</f>
        <v>Cost of sales</v>
      </c>
      <c r="I137" s="43" t="str">
        <f>_xlfn.XLOOKUP($A137,Map!$A:$A,Map!E:E)</f>
        <v>Raw materials</v>
      </c>
      <c r="J137" s="43" t="str">
        <f>_xlfn.XLOOKUP($A137,Map!$A:$A,Map!F:F)</f>
        <v>Raw materials</v>
      </c>
    </row>
    <row r="138" spans="1:10" x14ac:dyDescent="0.25">
      <c r="A138">
        <v>520037</v>
      </c>
      <c r="B138" t="s">
        <v>967</v>
      </c>
      <c r="C138" s="116">
        <v>0</v>
      </c>
      <c r="D138" s="116">
        <v>763101.13399999996</v>
      </c>
      <c r="E138" s="116">
        <v>763101.13399999996</v>
      </c>
      <c r="F138" s="116">
        <v>0</v>
      </c>
      <c r="G138" s="43" t="str">
        <f>_xlfn.XLOOKUP($A138,Map!$A:$A,Map!C:C)</f>
        <v>IS</v>
      </c>
      <c r="H138" s="43" t="str">
        <f>_xlfn.XLOOKUP($A138,Map!$A:$A,Map!D:D)</f>
        <v>Cost of sales</v>
      </c>
      <c r="I138" s="43" t="str">
        <f>_xlfn.XLOOKUP($A138,Map!$A:$A,Map!E:E)</f>
        <v>Raw materials</v>
      </c>
      <c r="J138" s="43" t="str">
        <f>_xlfn.XLOOKUP($A138,Map!$A:$A,Map!F:F)</f>
        <v>Raw materials</v>
      </c>
    </row>
    <row r="139" spans="1:10" x14ac:dyDescent="0.25">
      <c r="A139">
        <v>520040</v>
      </c>
      <c r="B139" t="s">
        <v>969</v>
      </c>
      <c r="C139" s="116">
        <v>0</v>
      </c>
      <c r="D139" s="116">
        <v>252.684</v>
      </c>
      <c r="E139" s="116">
        <v>252.684</v>
      </c>
      <c r="F139" s="116">
        <v>0</v>
      </c>
      <c r="G139" s="43" t="str">
        <f>_xlfn.XLOOKUP($A139,Map!$A:$A,Map!C:C)</f>
        <v>IS</v>
      </c>
      <c r="H139" s="43" t="str">
        <f>_xlfn.XLOOKUP($A139,Map!$A:$A,Map!D:D)</f>
        <v>Cost of sales</v>
      </c>
      <c r="I139" s="43" t="str">
        <f>_xlfn.XLOOKUP($A139,Map!$A:$A,Map!E:E)</f>
        <v>Raw materials</v>
      </c>
      <c r="J139" s="43" t="str">
        <f>_xlfn.XLOOKUP($A139,Map!$A:$A,Map!F:F)</f>
        <v>Other expenses</v>
      </c>
    </row>
    <row r="140" spans="1:10" x14ac:dyDescent="0.25">
      <c r="A140">
        <v>520041</v>
      </c>
      <c r="B140" t="s">
        <v>970</v>
      </c>
      <c r="C140" s="116">
        <v>0</v>
      </c>
      <c r="D140" s="116">
        <v>21084066.015000001</v>
      </c>
      <c r="E140" s="116">
        <v>21084066.015000001</v>
      </c>
      <c r="F140" s="116">
        <v>0</v>
      </c>
      <c r="G140" s="43" t="str">
        <f>_xlfn.XLOOKUP($A140,Map!$A:$A,Map!C:C)</f>
        <v>IS</v>
      </c>
      <c r="H140" s="43" t="str">
        <f>_xlfn.XLOOKUP($A140,Map!$A:$A,Map!D:D)</f>
        <v>Cost of sales</v>
      </c>
      <c r="I140" s="43" t="str">
        <f>_xlfn.XLOOKUP($A140,Map!$A:$A,Map!E:E)</f>
        <v>Raw materials</v>
      </c>
      <c r="J140" s="43" t="str">
        <f>_xlfn.XLOOKUP($A140,Map!$A:$A,Map!F:F)</f>
        <v>Other expenses</v>
      </c>
    </row>
    <row r="141" spans="1:10" x14ac:dyDescent="0.25">
      <c r="A141">
        <v>520042</v>
      </c>
      <c r="B141" t="s">
        <v>971</v>
      </c>
      <c r="C141" s="116">
        <v>0</v>
      </c>
      <c r="D141" s="116">
        <v>20114965.186000001</v>
      </c>
      <c r="E141" s="116">
        <v>20114965.186000001</v>
      </c>
      <c r="F141" s="116">
        <v>0</v>
      </c>
      <c r="G141" s="43" t="str">
        <f>_xlfn.XLOOKUP($A141,Map!$A:$A,Map!C:C)</f>
        <v>IS</v>
      </c>
      <c r="H141" s="43" t="str">
        <f>_xlfn.XLOOKUP($A141,Map!$A:$A,Map!D:D)</f>
        <v>Cost of sales</v>
      </c>
      <c r="I141" s="43" t="str">
        <f>_xlfn.XLOOKUP($A141,Map!$A:$A,Map!E:E)</f>
        <v>Raw materials</v>
      </c>
      <c r="J141" s="43" t="str">
        <f>_xlfn.XLOOKUP($A141,Map!$A:$A,Map!F:F)</f>
        <v>Inventory Adjustment</v>
      </c>
    </row>
    <row r="142" spans="1:10" x14ac:dyDescent="0.25">
      <c r="A142">
        <v>600001</v>
      </c>
      <c r="B142" t="s">
        <v>979</v>
      </c>
      <c r="C142" s="116">
        <v>0</v>
      </c>
      <c r="D142" s="116">
        <v>5738897</v>
      </c>
      <c r="E142" s="116">
        <v>5738897</v>
      </c>
      <c r="F142" s="116">
        <v>0</v>
      </c>
      <c r="G142" s="43" t="str">
        <f>_xlfn.XLOOKUP($A142,Map!$A:$A,Map!C:C)</f>
        <v>IS</v>
      </c>
      <c r="H142" s="43" t="str">
        <f>_xlfn.XLOOKUP($A142,Map!$A:$A,Map!D:D)</f>
        <v>Cost of sales</v>
      </c>
      <c r="I142" s="43" t="str">
        <f>_xlfn.XLOOKUP($A142,Map!$A:$A,Map!E:E)</f>
        <v>Overhead - Labor Cost</v>
      </c>
      <c r="J142" s="43" t="str">
        <f>_xlfn.XLOOKUP($A142,Map!$A:$A,Map!F:F)</f>
        <v>Indirect Salaries — factory supervisory / indirect floor labour (COGS)</v>
      </c>
    </row>
    <row r="143" spans="1:10" x14ac:dyDescent="0.25">
      <c r="A143">
        <v>600002</v>
      </c>
      <c r="B143" t="s">
        <v>980</v>
      </c>
      <c r="C143" s="116">
        <v>0</v>
      </c>
      <c r="D143" s="116">
        <v>1172328</v>
      </c>
      <c r="E143" s="116">
        <v>1172328</v>
      </c>
      <c r="F143" s="116">
        <v>0</v>
      </c>
      <c r="G143" s="43" t="str">
        <f>_xlfn.XLOOKUP($A143,Map!$A:$A,Map!C:C)</f>
        <v>IS</v>
      </c>
      <c r="H143" s="43" t="str">
        <f>_xlfn.XLOOKUP($A143,Map!$A:$A,Map!D:D)</f>
        <v>Cost of sales</v>
      </c>
      <c r="I143" s="43" t="str">
        <f>_xlfn.XLOOKUP($A143,Map!$A:$A,Map!E:E)</f>
        <v>Overhead - Labor Cost</v>
      </c>
      <c r="J143" s="43" t="str">
        <f>_xlfn.XLOOKUP($A143,Map!$A:$A,Map!F:F)</f>
        <v>Overtime pay</v>
      </c>
    </row>
    <row r="144" spans="1:10" x14ac:dyDescent="0.25">
      <c r="A144">
        <v>600003</v>
      </c>
      <c r="B144" t="s">
        <v>981</v>
      </c>
      <c r="C144" s="116">
        <v>0</v>
      </c>
      <c r="D144" s="116">
        <v>2091400.3859999999</v>
      </c>
      <c r="E144" s="116">
        <v>2091400.3859999999</v>
      </c>
      <c r="F144" s="116">
        <v>0</v>
      </c>
      <c r="G144" s="43" t="str">
        <f>_xlfn.XLOOKUP($A144,Map!$A:$A,Map!C:C)</f>
        <v>IS</v>
      </c>
      <c r="H144" s="43" t="str">
        <f>_xlfn.XLOOKUP($A144,Map!$A:$A,Map!D:D)</f>
        <v>Cost of sales</v>
      </c>
      <c r="I144" s="43" t="str">
        <f>_xlfn.XLOOKUP($A144,Map!$A:$A,Map!E:E)</f>
        <v>Overhead - Labor Cost</v>
      </c>
      <c r="J144" s="43" t="str">
        <f>_xlfn.XLOOKUP($A144,Map!$A:$A,Map!F:F)</f>
        <v xml:space="preserve">Food &amp; Housing </v>
      </c>
    </row>
    <row r="145" spans="1:10" x14ac:dyDescent="0.25">
      <c r="A145">
        <v>600004</v>
      </c>
      <c r="B145" t="s">
        <v>982</v>
      </c>
      <c r="C145" s="116">
        <v>0</v>
      </c>
      <c r="D145" s="116">
        <v>205302.3</v>
      </c>
      <c r="E145" s="116">
        <v>205302.3</v>
      </c>
      <c r="F145" s="116">
        <v>0</v>
      </c>
      <c r="G145" s="43" t="str">
        <f>_xlfn.XLOOKUP($A145,Map!$A:$A,Map!C:C)</f>
        <v>IS</v>
      </c>
      <c r="H145" s="43" t="str">
        <f>_xlfn.XLOOKUP($A145,Map!$A:$A,Map!D:D)</f>
        <v>Cost of sales</v>
      </c>
      <c r="I145" s="43" t="str">
        <f>_xlfn.XLOOKUP($A145,Map!$A:$A,Map!E:E)</f>
        <v>Overhead - Labor Cost</v>
      </c>
      <c r="J145" s="43" t="str">
        <f>_xlfn.XLOOKUP($A145,Map!$A:$A,Map!F:F)</f>
        <v>Medical insurance</v>
      </c>
    </row>
    <row r="146" spans="1:10" x14ac:dyDescent="0.25">
      <c r="A146">
        <v>600005</v>
      </c>
      <c r="B146" t="s">
        <v>983</v>
      </c>
      <c r="C146" s="116">
        <v>0</v>
      </c>
      <c r="D146" s="116">
        <v>1371054.52</v>
      </c>
      <c r="E146" s="116">
        <v>1371054.52</v>
      </c>
      <c r="F146" s="116">
        <v>0</v>
      </c>
      <c r="G146" s="43" t="str">
        <f>_xlfn.XLOOKUP($A146,Map!$A:$A,Map!C:C)</f>
        <v>IS</v>
      </c>
      <c r="H146" s="43" t="str">
        <f>_xlfn.XLOOKUP($A146,Map!$A:$A,Map!D:D)</f>
        <v>General and Admin</v>
      </c>
      <c r="I146" s="43" t="str">
        <f>_xlfn.XLOOKUP($A146,Map!$A:$A,Map!E:E)</f>
        <v>Govt license and fees (including modon)</v>
      </c>
      <c r="J146" s="43" t="str">
        <f>_xlfn.XLOOKUP($A146,Map!$A:$A,Map!F:F)</f>
        <v>Government fees</v>
      </c>
    </row>
    <row r="147" spans="1:10" x14ac:dyDescent="0.25">
      <c r="A147">
        <v>600006</v>
      </c>
      <c r="B147" t="s">
        <v>984</v>
      </c>
      <c r="C147" s="116">
        <v>0</v>
      </c>
      <c r="D147" s="116">
        <v>2205274.5789999999</v>
      </c>
      <c r="E147" s="116">
        <v>2205274.5789999999</v>
      </c>
      <c r="F147" s="116">
        <v>0</v>
      </c>
      <c r="G147" s="43" t="str">
        <f>_xlfn.XLOOKUP($A147,Map!$A:$A,Map!C:C)</f>
        <v>IS</v>
      </c>
      <c r="H147" s="43" t="str">
        <f>_xlfn.XLOOKUP($A147,Map!$A:$A,Map!D:D)</f>
        <v>Cost of sales</v>
      </c>
      <c r="I147" s="43" t="str">
        <f>_xlfn.XLOOKUP($A147,Map!$A:$A,Map!E:E)</f>
        <v>Overhead - Labor Cost</v>
      </c>
      <c r="J147" s="43" t="str">
        <f>_xlfn.XLOOKUP($A147,Map!$A:$A,Map!F:F)</f>
        <v xml:space="preserve">Food &amp; Housing </v>
      </c>
    </row>
    <row r="148" spans="1:10" x14ac:dyDescent="0.25">
      <c r="A148">
        <v>600007</v>
      </c>
      <c r="B148" t="s">
        <v>985</v>
      </c>
      <c r="C148" s="116">
        <v>0</v>
      </c>
      <c r="D148" s="116">
        <v>145200</v>
      </c>
      <c r="E148" s="116">
        <v>145200</v>
      </c>
      <c r="F148" s="116">
        <v>0</v>
      </c>
      <c r="G148" s="43" t="str">
        <f>_xlfn.XLOOKUP($A148,Map!$A:$A,Map!C:C)</f>
        <v>IS</v>
      </c>
      <c r="H148" s="43" t="str">
        <f>_xlfn.XLOOKUP($A148,Map!$A:$A,Map!D:D)</f>
        <v>Cost of sales</v>
      </c>
      <c r="I148" s="43" t="str">
        <f>_xlfn.XLOOKUP($A148,Map!$A:$A,Map!E:E)</f>
        <v>Overhead - Labor Cost</v>
      </c>
      <c r="J148" s="43" t="str">
        <f>_xlfn.XLOOKUP($A148,Map!$A:$A,Map!F:F)</f>
        <v>Transportation allowance</v>
      </c>
    </row>
    <row r="149" spans="1:10" x14ac:dyDescent="0.25">
      <c r="A149">
        <v>600008</v>
      </c>
      <c r="B149" t="s">
        <v>986</v>
      </c>
      <c r="C149" s="116">
        <v>0</v>
      </c>
      <c r="D149" s="116">
        <v>841906.27500000002</v>
      </c>
      <c r="E149" s="116">
        <v>841906.27500000002</v>
      </c>
      <c r="F149" s="116">
        <v>0</v>
      </c>
      <c r="G149" s="43" t="str">
        <f>_xlfn.XLOOKUP($A149,Map!$A:$A,Map!C:C)</f>
        <v>IS</v>
      </c>
      <c r="H149" s="43" t="str">
        <f>_xlfn.XLOOKUP($A149,Map!$A:$A,Map!D:D)</f>
        <v>Cost of sales</v>
      </c>
      <c r="I149" s="43" t="str">
        <f>_xlfn.XLOOKUP($A149,Map!$A:$A,Map!E:E)</f>
        <v>Overhead - Labor Cost</v>
      </c>
      <c r="J149" s="43" t="str">
        <f>_xlfn.XLOOKUP($A149,Map!$A:$A,Map!F:F)</f>
        <v>Air tickets</v>
      </c>
    </row>
    <row r="150" spans="1:10" x14ac:dyDescent="0.25">
      <c r="A150">
        <v>600009</v>
      </c>
      <c r="B150" t="s">
        <v>987</v>
      </c>
      <c r="C150" s="116">
        <v>0</v>
      </c>
      <c r="D150" s="116">
        <v>660912.06999999995</v>
      </c>
      <c r="E150" s="116">
        <v>660912.06999999995</v>
      </c>
      <c r="F150" s="116">
        <v>0</v>
      </c>
      <c r="G150" s="43" t="str">
        <f>_xlfn.XLOOKUP($A150,Map!$A:$A,Map!C:C)</f>
        <v>IS</v>
      </c>
      <c r="H150" s="43" t="str">
        <f>_xlfn.XLOOKUP($A150,Map!$A:$A,Map!D:D)</f>
        <v>Cost of sales</v>
      </c>
      <c r="I150" s="43" t="str">
        <f>_xlfn.XLOOKUP($A150,Map!$A:$A,Map!E:E)</f>
        <v>Overhead - Labor Cost</v>
      </c>
      <c r="J150" s="43" t="str">
        <f>_xlfn.XLOOKUP($A150,Map!$A:$A,Map!F:F)</f>
        <v>Vacation pay</v>
      </c>
    </row>
    <row r="151" spans="1:10" x14ac:dyDescent="0.25">
      <c r="A151">
        <v>600010</v>
      </c>
      <c r="B151" t="s">
        <v>988</v>
      </c>
      <c r="C151" s="116">
        <v>0</v>
      </c>
      <c r="D151" s="116">
        <v>40886</v>
      </c>
      <c r="E151" s="116">
        <v>40886</v>
      </c>
      <c r="F151" s="116">
        <v>0</v>
      </c>
      <c r="G151" s="43" t="str">
        <f>_xlfn.XLOOKUP($A151,Map!$A:$A,Map!C:C)</f>
        <v>IS</v>
      </c>
      <c r="H151" s="43" t="str">
        <f>_xlfn.XLOOKUP($A151,Map!$A:$A,Map!D:D)</f>
        <v>Cost of sales</v>
      </c>
      <c r="I151" s="43" t="str">
        <f>_xlfn.XLOOKUP($A151,Map!$A:$A,Map!E:E)</f>
        <v>Overhead - Labor Cost</v>
      </c>
      <c r="J151" s="43" t="str">
        <f>_xlfn.XLOOKUP($A151,Map!$A:$A,Map!F:F)</f>
        <v>EOS expenses</v>
      </c>
    </row>
    <row r="152" spans="1:10" x14ac:dyDescent="0.25">
      <c r="A152">
        <v>600011</v>
      </c>
      <c r="B152" t="s">
        <v>989</v>
      </c>
      <c r="C152" s="116">
        <v>0</v>
      </c>
      <c r="D152" s="116">
        <v>46780</v>
      </c>
      <c r="E152" s="116">
        <v>46780</v>
      </c>
      <c r="F152" s="116">
        <v>0</v>
      </c>
      <c r="G152" s="43" t="str">
        <f>_xlfn.XLOOKUP($A152,Map!$A:$A,Map!C:C)</f>
        <v>IS</v>
      </c>
      <c r="H152" s="43" t="str">
        <f>_xlfn.XLOOKUP($A152,Map!$A:$A,Map!D:D)</f>
        <v>Cost of sales</v>
      </c>
      <c r="I152" s="43" t="str">
        <f>_xlfn.XLOOKUP($A152,Map!$A:$A,Map!E:E)</f>
        <v>Overhead - Labor Cost</v>
      </c>
      <c r="J152" s="43" t="str">
        <f>_xlfn.XLOOKUP($A152,Map!$A:$A,Map!F:F)</f>
        <v>Air tickets</v>
      </c>
    </row>
    <row r="153" spans="1:10" x14ac:dyDescent="0.25">
      <c r="A153">
        <v>600012</v>
      </c>
      <c r="B153" t="s">
        <v>990</v>
      </c>
      <c r="C153" s="116">
        <v>0</v>
      </c>
      <c r="D153" s="116">
        <v>0</v>
      </c>
      <c r="E153" s="116">
        <v>0</v>
      </c>
      <c r="F153" s="116">
        <v>0</v>
      </c>
      <c r="G153" s="43" t="str">
        <f>_xlfn.XLOOKUP($A153,Map!$A:$A,Map!C:C)</f>
        <v>IS</v>
      </c>
      <c r="H153" s="43" t="str">
        <f>_xlfn.XLOOKUP($A153,Map!$A:$A,Map!D:D)</f>
        <v>Cost of sales</v>
      </c>
      <c r="I153" s="43" t="str">
        <f>_xlfn.XLOOKUP($A153,Map!$A:$A,Map!E:E)</f>
        <v>Overhead - Labor Cost</v>
      </c>
      <c r="J153" s="43" t="str">
        <f>_xlfn.XLOOKUP($A153,Map!$A:$A,Map!F:F)</f>
        <v xml:space="preserve">Education &amp; Furniture Allowances </v>
      </c>
    </row>
    <row r="154" spans="1:10" x14ac:dyDescent="0.25">
      <c r="A154">
        <v>600013</v>
      </c>
      <c r="B154" t="s">
        <v>991</v>
      </c>
      <c r="C154" s="116">
        <v>0</v>
      </c>
      <c r="D154" s="116">
        <v>300</v>
      </c>
      <c r="E154" s="116">
        <v>300</v>
      </c>
      <c r="F154" s="116">
        <v>0</v>
      </c>
      <c r="G154" s="43" t="str">
        <f>_xlfn.XLOOKUP($A154,Map!$A:$A,Map!C:C)</f>
        <v>IS</v>
      </c>
      <c r="H154" s="43" t="str">
        <f>_xlfn.XLOOKUP($A154,Map!$A:$A,Map!D:D)</f>
        <v>Cost of sales</v>
      </c>
      <c r="I154" s="43" t="str">
        <f>_xlfn.XLOOKUP($A154,Map!$A:$A,Map!E:E)</f>
        <v>Overhead - Labor Cost</v>
      </c>
      <c r="J154" s="43" t="str">
        <f>_xlfn.XLOOKUP($A154,Map!$A:$A,Map!F:F)</f>
        <v>Telephone allowance</v>
      </c>
    </row>
    <row r="155" spans="1:10" x14ac:dyDescent="0.25">
      <c r="A155">
        <v>600014</v>
      </c>
      <c r="B155" t="s">
        <v>884</v>
      </c>
      <c r="C155" s="116">
        <v>0</v>
      </c>
      <c r="D155" s="116">
        <v>3033861.2</v>
      </c>
      <c r="E155" s="116">
        <v>3033861.2</v>
      </c>
      <c r="F155" s="116">
        <v>0</v>
      </c>
      <c r="G155" s="43" t="str">
        <f>_xlfn.XLOOKUP($A155,Map!$A:$A,Map!C:C)</f>
        <v>IS</v>
      </c>
      <c r="H155" s="43" t="str">
        <f>_xlfn.XLOOKUP($A155,Map!$A:$A,Map!D:D)</f>
        <v>Cost of sales</v>
      </c>
      <c r="I155" s="43" t="str">
        <f>_xlfn.XLOOKUP($A155,Map!$A:$A,Map!E:E)</f>
        <v>Overhead - Consumables &amp; SP</v>
      </c>
      <c r="J155" s="43" t="str">
        <f>_xlfn.XLOOKUP($A155,Map!$A:$A,Map!F:F)</f>
        <v>Consumables</v>
      </c>
    </row>
    <row r="156" spans="1:10" x14ac:dyDescent="0.25">
      <c r="A156">
        <v>600015</v>
      </c>
      <c r="B156" t="s">
        <v>992</v>
      </c>
      <c r="C156" s="116">
        <v>0</v>
      </c>
      <c r="D156" s="116">
        <v>0</v>
      </c>
      <c r="E156" s="116">
        <v>0</v>
      </c>
      <c r="F156" s="116">
        <v>0</v>
      </c>
      <c r="G156" s="43" t="str">
        <f>_xlfn.XLOOKUP($A156,Map!$A:$A,Map!C:C)</f>
        <v>IS</v>
      </c>
      <c r="H156" s="43" t="str">
        <f>_xlfn.XLOOKUP($A156,Map!$A:$A,Map!D:D)</f>
        <v>Cost of sales</v>
      </c>
      <c r="I156" s="43" t="str">
        <f>_xlfn.XLOOKUP($A156,Map!$A:$A,Map!E:E)</f>
        <v>Overhead - Consumables &amp; SP</v>
      </c>
      <c r="J156" s="43" t="str">
        <f>_xlfn.XLOOKUP($A156,Map!$A:$A,Map!F:F)</f>
        <v>Consumables</v>
      </c>
    </row>
    <row r="157" spans="1:10" x14ac:dyDescent="0.25">
      <c r="A157">
        <v>600016</v>
      </c>
      <c r="B157" t="s">
        <v>993</v>
      </c>
      <c r="C157" s="116">
        <v>0</v>
      </c>
      <c r="D157" s="116">
        <v>16587906.378</v>
      </c>
      <c r="E157" s="116">
        <v>16587906.378</v>
      </c>
      <c r="F157" s="116">
        <v>0</v>
      </c>
      <c r="G157" s="43" t="str">
        <f>_xlfn.XLOOKUP($A157,Map!$A:$A,Map!C:C)</f>
        <v>IS</v>
      </c>
      <c r="H157" s="43" t="str">
        <f>_xlfn.XLOOKUP($A157,Map!$A:$A,Map!D:D)</f>
        <v>Cost of sales</v>
      </c>
      <c r="I157" s="43" t="str">
        <f>_xlfn.XLOOKUP($A157,Map!$A:$A,Map!E:E)</f>
        <v>Overhead - Consumables &amp; SP</v>
      </c>
      <c r="J157" s="43" t="str">
        <f>_xlfn.XLOOKUP($A157,Map!$A:$A,Map!F:F)</f>
        <v>Tools</v>
      </c>
    </row>
    <row r="158" spans="1:10" x14ac:dyDescent="0.25">
      <c r="A158">
        <v>600017</v>
      </c>
      <c r="B158" t="s">
        <v>994</v>
      </c>
      <c r="C158" s="116">
        <v>0</v>
      </c>
      <c r="D158" s="116">
        <v>4992660.8870000001</v>
      </c>
      <c r="E158" s="116">
        <v>4992660.8870000001</v>
      </c>
      <c r="F158" s="116">
        <v>0</v>
      </c>
      <c r="G158" s="43" t="str">
        <f>_xlfn.XLOOKUP($A158,Map!$A:$A,Map!C:C)</f>
        <v>IS</v>
      </c>
      <c r="H158" s="43" t="str">
        <f>_xlfn.XLOOKUP($A158,Map!$A:$A,Map!D:D)</f>
        <v>Cost of sales</v>
      </c>
      <c r="I158" s="43" t="str">
        <f>_xlfn.XLOOKUP($A158,Map!$A:$A,Map!E:E)</f>
        <v>Overhead - Utility</v>
      </c>
      <c r="J158" s="43" t="str">
        <f>_xlfn.XLOOKUP($A158,Map!$A:$A,Map!F:F)</f>
        <v>Electricity expenses</v>
      </c>
    </row>
    <row r="159" spans="1:10" x14ac:dyDescent="0.25">
      <c r="A159">
        <v>600018</v>
      </c>
      <c r="B159" t="s">
        <v>995</v>
      </c>
      <c r="C159" s="116">
        <v>0</v>
      </c>
      <c r="D159" s="116">
        <v>412504.174</v>
      </c>
      <c r="E159" s="116">
        <v>412504.174</v>
      </c>
      <c r="F159" s="116">
        <v>0</v>
      </c>
      <c r="G159" s="43" t="str">
        <f>_xlfn.XLOOKUP($A159,Map!$A:$A,Map!C:C)</f>
        <v>IS</v>
      </c>
      <c r="H159" s="43" t="str">
        <f>_xlfn.XLOOKUP($A159,Map!$A:$A,Map!D:D)</f>
        <v>Cost of sales</v>
      </c>
      <c r="I159" s="43" t="str">
        <f>_xlfn.XLOOKUP($A159,Map!$A:$A,Map!E:E)</f>
        <v>Overhead - Utility</v>
      </c>
      <c r="J159" s="43" t="str">
        <f>_xlfn.XLOOKUP($A159,Map!$A:$A,Map!F:F)</f>
        <v>Water expenses</v>
      </c>
    </row>
    <row r="160" spans="1:10" x14ac:dyDescent="0.25">
      <c r="A160">
        <v>600019</v>
      </c>
      <c r="B160" t="s">
        <v>996</v>
      </c>
      <c r="C160" s="116">
        <v>0</v>
      </c>
      <c r="D160" s="116">
        <v>426469.05800000002</v>
      </c>
      <c r="E160" s="116">
        <v>426469.05800000002</v>
      </c>
      <c r="F160" s="116">
        <v>0</v>
      </c>
      <c r="G160" s="43" t="str">
        <f>_xlfn.XLOOKUP($A160,Map!$A:$A,Map!C:C)</f>
        <v>IS</v>
      </c>
      <c r="H160" s="43" t="str">
        <f>_xlfn.XLOOKUP($A160,Map!$A:$A,Map!D:D)</f>
        <v>Cost of sales</v>
      </c>
      <c r="I160" s="43" t="str">
        <f>_xlfn.XLOOKUP($A160,Map!$A:$A,Map!E:E)</f>
        <v>Overhead - Utility</v>
      </c>
      <c r="J160" s="43" t="str">
        <f>_xlfn.XLOOKUP($A160,Map!$A:$A,Map!F:F)</f>
        <v>Fuel and oil</v>
      </c>
    </row>
    <row r="161" spans="1:10" x14ac:dyDescent="0.25">
      <c r="A161">
        <v>600020</v>
      </c>
      <c r="B161" t="s">
        <v>997</v>
      </c>
      <c r="C161" s="116">
        <v>0</v>
      </c>
      <c r="D161" s="116">
        <v>2996894.9920000001</v>
      </c>
      <c r="E161" s="116">
        <v>2996894.9920000001</v>
      </c>
      <c r="F161" s="116">
        <v>0</v>
      </c>
      <c r="G161" s="43" t="str">
        <f>_xlfn.XLOOKUP($A161,Map!$A:$A,Map!C:C)</f>
        <v>IS</v>
      </c>
      <c r="H161" s="43" t="str">
        <f>_xlfn.XLOOKUP($A161,Map!$A:$A,Map!D:D)</f>
        <v>Cost of sales</v>
      </c>
      <c r="I161" s="43" t="str">
        <f>_xlfn.XLOOKUP($A161,Map!$A:$A,Map!E:E)</f>
        <v>Overhead - R&amp;M</v>
      </c>
      <c r="J161" s="43" t="str">
        <f>_xlfn.XLOOKUP($A161,Map!$A:$A,Map!F:F)</f>
        <v>Machine and equipment</v>
      </c>
    </row>
    <row r="162" spans="1:10" x14ac:dyDescent="0.25">
      <c r="A162">
        <v>600021</v>
      </c>
      <c r="B162" t="s">
        <v>998</v>
      </c>
      <c r="C162" s="116">
        <v>0</v>
      </c>
      <c r="D162" s="116">
        <v>103316.67</v>
      </c>
      <c r="E162" s="116">
        <v>103316.67</v>
      </c>
      <c r="F162" s="116">
        <v>0</v>
      </c>
      <c r="G162" s="43" t="str">
        <f>_xlfn.XLOOKUP($A162,Map!$A:$A,Map!C:C)</f>
        <v>IS</v>
      </c>
      <c r="H162" s="43" t="str">
        <f>_xlfn.XLOOKUP($A162,Map!$A:$A,Map!D:D)</f>
        <v>Cost of sales</v>
      </c>
      <c r="I162" s="43" t="str">
        <f>_xlfn.XLOOKUP($A162,Map!$A:$A,Map!E:E)</f>
        <v>Overhead - R&amp;M</v>
      </c>
      <c r="J162" s="43" t="str">
        <f>_xlfn.XLOOKUP($A162,Map!$A:$A,Map!F:F)</f>
        <v>Vehicle maintenance</v>
      </c>
    </row>
    <row r="163" spans="1:10" x14ac:dyDescent="0.25">
      <c r="A163">
        <v>600022</v>
      </c>
      <c r="B163" t="s">
        <v>999</v>
      </c>
      <c r="C163" s="116">
        <v>0</v>
      </c>
      <c r="D163" s="116">
        <v>377036.73200000002</v>
      </c>
      <c r="E163" s="116">
        <v>377036.73200000002</v>
      </c>
      <c r="F163" s="116">
        <v>0</v>
      </c>
      <c r="G163" s="43" t="str">
        <f>_xlfn.XLOOKUP($A163,Map!$A:$A,Map!C:C)</f>
        <v>IS</v>
      </c>
      <c r="H163" s="43" t="str">
        <f>_xlfn.XLOOKUP($A163,Map!$A:$A,Map!D:D)</f>
        <v>Cost of sales</v>
      </c>
      <c r="I163" s="43" t="str">
        <f>_xlfn.XLOOKUP($A163,Map!$A:$A,Map!E:E)</f>
        <v>Overhead - R&amp;M</v>
      </c>
      <c r="J163" s="43" t="str">
        <f>_xlfn.XLOOKUP($A163,Map!$A:$A,Map!F:F)</f>
        <v>Building maintenance</v>
      </c>
    </row>
    <row r="164" spans="1:10" x14ac:dyDescent="0.25">
      <c r="A164">
        <v>600023</v>
      </c>
      <c r="B164" t="s">
        <v>1000</v>
      </c>
      <c r="C164" s="116">
        <v>0</v>
      </c>
      <c r="D164" s="116">
        <v>202905</v>
      </c>
      <c r="E164" s="116">
        <v>202905</v>
      </c>
      <c r="F164" s="116">
        <v>0</v>
      </c>
      <c r="G164" s="43" t="str">
        <f>_xlfn.XLOOKUP($A164,Map!$A:$A,Map!C:C)</f>
        <v>IS</v>
      </c>
      <c r="H164" s="43" t="str">
        <f>_xlfn.XLOOKUP($A164,Map!$A:$A,Map!D:D)</f>
        <v>Cost of sales</v>
      </c>
      <c r="I164" s="43" t="str">
        <f>_xlfn.XLOOKUP($A164,Map!$A:$A,Map!E:E)</f>
        <v>Overhead - R&amp;M</v>
      </c>
      <c r="J164" s="43" t="str">
        <f>_xlfn.XLOOKUP($A164,Map!$A:$A,Map!F:F)</f>
        <v>Office equipment maintenance</v>
      </c>
    </row>
    <row r="165" spans="1:10" x14ac:dyDescent="0.25">
      <c r="A165">
        <v>600024</v>
      </c>
      <c r="B165" t="s">
        <v>1001</v>
      </c>
      <c r="C165" s="116">
        <v>0</v>
      </c>
      <c r="D165" s="116">
        <v>0</v>
      </c>
      <c r="E165" s="116">
        <v>0</v>
      </c>
      <c r="F165" s="116">
        <v>0</v>
      </c>
      <c r="G165" s="43" t="str">
        <f>_xlfn.XLOOKUP($A165,Map!$A:$A,Map!C:C)</f>
        <v>IS</v>
      </c>
      <c r="H165" s="43" t="str">
        <f>_xlfn.XLOOKUP($A165,Map!$A:$A,Map!D:D)</f>
        <v>Cost of sales</v>
      </c>
      <c r="I165" s="43" t="str">
        <f>_xlfn.XLOOKUP($A165,Map!$A:$A,Map!E:E)</f>
        <v>Overhead - Rent</v>
      </c>
      <c r="J165" s="43" t="str">
        <f>_xlfn.XLOOKUP($A165,Map!$A:$A,Map!F:F)</f>
        <v>Pump rental expenses</v>
      </c>
    </row>
    <row r="166" spans="1:10" x14ac:dyDescent="0.25">
      <c r="A166">
        <v>600025</v>
      </c>
      <c r="B166" t="s">
        <v>1002</v>
      </c>
      <c r="C166" s="116">
        <v>0</v>
      </c>
      <c r="D166" s="116">
        <v>0</v>
      </c>
      <c r="E166" s="116">
        <v>0</v>
      </c>
      <c r="F166" s="116">
        <v>0</v>
      </c>
      <c r="G166" s="43" t="str">
        <f>_xlfn.XLOOKUP($A166,Map!$A:$A,Map!C:C)</f>
        <v>IS</v>
      </c>
      <c r="H166" s="43" t="str">
        <f>_xlfn.XLOOKUP($A166,Map!$A:$A,Map!D:D)</f>
        <v>Cost of sales</v>
      </c>
      <c r="I166" s="43" t="str">
        <f>_xlfn.XLOOKUP($A166,Map!$A:$A,Map!E:E)</f>
        <v>Overhead - Insurance</v>
      </c>
      <c r="J166" s="43" t="str">
        <f>_xlfn.XLOOKUP($A166,Map!$A:$A,Map!F:F)</f>
        <v>Building insurance</v>
      </c>
    </row>
    <row r="167" spans="1:10" x14ac:dyDescent="0.25">
      <c r="A167">
        <v>600026</v>
      </c>
      <c r="B167" t="s">
        <v>1003</v>
      </c>
      <c r="C167" s="116">
        <v>0</v>
      </c>
      <c r="D167" s="116">
        <v>0</v>
      </c>
      <c r="E167" s="116">
        <v>0</v>
      </c>
      <c r="F167" s="116">
        <v>0</v>
      </c>
      <c r="G167" s="43" t="str">
        <f>_xlfn.XLOOKUP($A167,Map!$A:$A,Map!C:C)</f>
        <v>IS</v>
      </c>
      <c r="H167" s="43" t="str">
        <f>_xlfn.XLOOKUP($A167,Map!$A:$A,Map!D:D)</f>
        <v>Cost of sales</v>
      </c>
      <c r="I167" s="43" t="str">
        <f>_xlfn.XLOOKUP($A167,Map!$A:$A,Map!E:E)</f>
        <v>Overhead - Insurance</v>
      </c>
      <c r="J167" s="43" t="str">
        <f>_xlfn.XLOOKUP($A167,Map!$A:$A,Map!F:F)</f>
        <v>Machine and equipment insurance</v>
      </c>
    </row>
    <row r="168" spans="1:10" x14ac:dyDescent="0.25">
      <c r="A168">
        <v>600027</v>
      </c>
      <c r="B168" t="s">
        <v>1004</v>
      </c>
      <c r="C168" s="116">
        <v>0</v>
      </c>
      <c r="D168" s="116">
        <v>0</v>
      </c>
      <c r="E168" s="116">
        <v>0</v>
      </c>
      <c r="F168" s="116">
        <v>0</v>
      </c>
      <c r="G168" s="43" t="str">
        <f>_xlfn.XLOOKUP($A168,Map!$A:$A,Map!C:C)</f>
        <v>IS</v>
      </c>
      <c r="H168" s="43" t="str">
        <f>_xlfn.XLOOKUP($A168,Map!$A:$A,Map!D:D)</f>
        <v>Cost of sales</v>
      </c>
      <c r="I168" s="43" t="str">
        <f>_xlfn.XLOOKUP($A168,Map!$A:$A,Map!E:E)</f>
        <v>Overhead - Rent</v>
      </c>
      <c r="J168" s="43" t="str">
        <f>_xlfn.XLOOKUP($A168,Map!$A:$A,Map!F:F)</f>
        <v>Production hall rental</v>
      </c>
    </row>
    <row r="169" spans="1:10" x14ac:dyDescent="0.25">
      <c r="A169">
        <v>600028</v>
      </c>
      <c r="B169" t="s">
        <v>1005</v>
      </c>
      <c r="C169" s="116">
        <v>0</v>
      </c>
      <c r="D169" s="116">
        <v>23873.54</v>
      </c>
      <c r="E169" s="116">
        <v>23873.54</v>
      </c>
      <c r="F169" s="116">
        <v>0</v>
      </c>
      <c r="G169" s="43" t="str">
        <f>_xlfn.XLOOKUP($A169,Map!$A:$A,Map!C:C)</f>
        <v>IS</v>
      </c>
      <c r="H169" s="43" t="str">
        <f>_xlfn.XLOOKUP($A169,Map!$A:$A,Map!D:D)</f>
        <v>Cost of sales</v>
      </c>
      <c r="I169" s="43" t="str">
        <f>_xlfn.XLOOKUP($A169,Map!$A:$A,Map!E:E)</f>
        <v>Overhead - Consumables &amp; SP</v>
      </c>
      <c r="J169" s="43" t="str">
        <f>_xlfn.XLOOKUP($A169,Map!$A:$A,Map!F:F)</f>
        <v xml:space="preserve">Education &amp; Furniture Allowances </v>
      </c>
    </row>
    <row r="170" spans="1:10" x14ac:dyDescent="0.25">
      <c r="A170">
        <v>600029</v>
      </c>
      <c r="B170" t="s">
        <v>1006</v>
      </c>
      <c r="C170" s="116">
        <v>0</v>
      </c>
      <c r="D170" s="116">
        <v>6894955.8320000004</v>
      </c>
      <c r="E170" s="116">
        <v>6894955.8320000004</v>
      </c>
      <c r="F170" s="116">
        <v>0</v>
      </c>
      <c r="G170" s="43" t="str">
        <f>_xlfn.XLOOKUP($A170,Map!$A:$A,Map!C:C)</f>
        <v>IS</v>
      </c>
      <c r="H170" s="43" t="str">
        <f>_xlfn.XLOOKUP($A170,Map!$A:$A,Map!D:D)</f>
        <v>Cost of sales</v>
      </c>
      <c r="I170" s="43" t="str">
        <f>_xlfn.XLOOKUP($A170,Map!$A:$A,Map!E:E)</f>
        <v>Depreciation - Machines</v>
      </c>
      <c r="J170" s="43" t="str">
        <f>_xlfn.XLOOKUP($A170,Map!$A:$A,Map!F:F)</f>
        <v>Depreciation of property, plant and equipment</v>
      </c>
    </row>
    <row r="171" spans="1:10" x14ac:dyDescent="0.25">
      <c r="A171">
        <v>600030</v>
      </c>
      <c r="B171" t="s">
        <v>1007</v>
      </c>
      <c r="C171" s="116">
        <v>0</v>
      </c>
      <c r="D171" s="116">
        <v>152901.56</v>
      </c>
      <c r="E171" s="116">
        <v>152901.56</v>
      </c>
      <c r="F171" s="116">
        <v>0</v>
      </c>
      <c r="G171" s="43" t="str">
        <f>_xlfn.XLOOKUP($A171,Map!$A:$A,Map!C:C)</f>
        <v>IS</v>
      </c>
      <c r="H171" s="43" t="str">
        <f>_xlfn.XLOOKUP($A171,Map!$A:$A,Map!D:D)</f>
        <v>Depreciation expenses</v>
      </c>
      <c r="I171" s="43" t="str">
        <f>_xlfn.XLOOKUP($A171,Map!$A:$A,Map!E:E)</f>
        <v>Depreciation expenses</v>
      </c>
      <c r="J171" s="43" t="str">
        <f>_xlfn.XLOOKUP($A171,Map!$A:$A,Map!F:F)</f>
        <v>Depreciation of property, plant and equipment</v>
      </c>
    </row>
    <row r="172" spans="1:10" x14ac:dyDescent="0.25">
      <c r="A172">
        <v>600031</v>
      </c>
      <c r="B172" t="s">
        <v>1008</v>
      </c>
      <c r="C172" s="116">
        <v>0</v>
      </c>
      <c r="D172" s="116">
        <v>0</v>
      </c>
      <c r="E172" s="116">
        <v>0</v>
      </c>
      <c r="F172" s="116">
        <v>0</v>
      </c>
      <c r="G172" s="43" t="str">
        <f>_xlfn.XLOOKUP($A172,Map!$A:$A,Map!C:C)</f>
        <v>IS</v>
      </c>
      <c r="H172" s="43" t="str">
        <f>_xlfn.XLOOKUP($A172,Map!$A:$A,Map!D:D)</f>
        <v>Depreciation expenses</v>
      </c>
      <c r="I172" s="43" t="str">
        <f>_xlfn.XLOOKUP($A172,Map!$A:$A,Map!E:E)</f>
        <v>Depreciation expenses</v>
      </c>
      <c r="J172" s="43" t="str">
        <f>_xlfn.XLOOKUP($A172,Map!$A:$A,Map!F:F)</f>
        <v>Depreciation of property, plant and equipment</v>
      </c>
    </row>
    <row r="173" spans="1:10" x14ac:dyDescent="0.25">
      <c r="A173">
        <v>600032</v>
      </c>
      <c r="B173" t="s">
        <v>1009</v>
      </c>
      <c r="C173" s="116">
        <v>0</v>
      </c>
      <c r="D173" s="116">
        <v>3133688.3760000002</v>
      </c>
      <c r="E173" s="116">
        <v>3133688.3760000002</v>
      </c>
      <c r="F173" s="116">
        <v>0</v>
      </c>
      <c r="G173" s="43" t="str">
        <f>_xlfn.XLOOKUP($A173,Map!$A:$A,Map!C:C)</f>
        <v>IS</v>
      </c>
      <c r="H173" s="43" t="str">
        <f>_xlfn.XLOOKUP($A173,Map!$A:$A,Map!D:D)</f>
        <v>Depreciation expenses</v>
      </c>
      <c r="I173" s="43" t="str">
        <f>_xlfn.XLOOKUP($A173,Map!$A:$A,Map!E:E)</f>
        <v>Depreciation expenses</v>
      </c>
      <c r="J173" s="43" t="str">
        <f>_xlfn.XLOOKUP($A173,Map!$A:$A,Map!F:F)</f>
        <v>Depreciation of property, plant and equipment</v>
      </c>
    </row>
    <row r="174" spans="1:10" x14ac:dyDescent="0.25">
      <c r="A174">
        <v>600033</v>
      </c>
      <c r="B174" t="s">
        <v>1010</v>
      </c>
      <c r="C174" s="116">
        <v>0</v>
      </c>
      <c r="D174" s="116">
        <v>320226</v>
      </c>
      <c r="E174" s="116">
        <v>320226</v>
      </c>
      <c r="F174" s="116">
        <v>0</v>
      </c>
      <c r="G174" s="43" t="str">
        <f>_xlfn.XLOOKUP($A174,Map!$A:$A,Map!C:C)</f>
        <v>IS</v>
      </c>
      <c r="H174" s="43" t="str">
        <f>_xlfn.XLOOKUP($A174,Map!$A:$A,Map!D:D)</f>
        <v>Depreciation expenses</v>
      </c>
      <c r="I174" s="43" t="str">
        <f>_xlfn.XLOOKUP($A174,Map!$A:$A,Map!E:E)</f>
        <v>Depreciation expenses</v>
      </c>
      <c r="J174" s="43" t="str">
        <f>_xlfn.XLOOKUP($A174,Map!$A:$A,Map!F:F)</f>
        <v>Depreciation of property, plant and equipment</v>
      </c>
    </row>
    <row r="175" spans="1:10" x14ac:dyDescent="0.25">
      <c r="A175">
        <v>600060</v>
      </c>
      <c r="B175" t="s">
        <v>1022</v>
      </c>
      <c r="C175" s="116">
        <v>0</v>
      </c>
      <c r="D175" s="116">
        <v>1537449.8</v>
      </c>
      <c r="E175" s="116">
        <v>1537449.8</v>
      </c>
      <c r="F175" s="116">
        <v>0</v>
      </c>
      <c r="G175" s="43" t="str">
        <f>_xlfn.XLOOKUP($A175,Map!$A:$A,Map!C:C)</f>
        <v>IS</v>
      </c>
      <c r="H175" s="43" t="str">
        <f>_xlfn.XLOOKUP($A175,Map!$A:$A,Map!D:D)</f>
        <v>Other Income</v>
      </c>
      <c r="I175" s="43" t="str">
        <f>_xlfn.XLOOKUP($A175,Map!$A:$A,Map!E:E)</f>
        <v>Other Income</v>
      </c>
      <c r="J175" s="43" t="str">
        <f>_xlfn.XLOOKUP($A175,Map!$A:$A,Map!F:F)</f>
        <v>Hadaf program</v>
      </c>
    </row>
    <row r="176" spans="1:10" x14ac:dyDescent="0.25">
      <c r="A176">
        <v>700001</v>
      </c>
      <c r="B176" t="s">
        <v>1023</v>
      </c>
      <c r="C176" s="116">
        <v>0</v>
      </c>
      <c r="D176" s="116">
        <v>5108168</v>
      </c>
      <c r="E176" s="116">
        <v>919</v>
      </c>
      <c r="F176" s="116">
        <v>5107249</v>
      </c>
      <c r="G176" s="43" t="str">
        <f>_xlfn.XLOOKUP($A176,Map!$A:$A,Map!C:C)</f>
        <v>IS</v>
      </c>
      <c r="H176" s="43" t="str">
        <f>_xlfn.XLOOKUP($A176,Map!$A:$A,Map!D:D)</f>
        <v>General and Admin</v>
      </c>
      <c r="I176" s="43" t="str">
        <f>_xlfn.XLOOKUP($A176,Map!$A:$A,Map!E:E)</f>
        <v>Salaries and wages</v>
      </c>
      <c r="J176" s="43" t="str">
        <f>_xlfn.XLOOKUP($A176,Map!$A:$A,Map!F:F)</f>
        <v>Salaries and wages</v>
      </c>
    </row>
    <row r="177" spans="1:10" x14ac:dyDescent="0.25">
      <c r="A177">
        <v>700002</v>
      </c>
      <c r="B177" t="s">
        <v>1024</v>
      </c>
      <c r="C177" s="116">
        <v>0</v>
      </c>
      <c r="D177" s="116">
        <v>121114</v>
      </c>
      <c r="E177" s="116">
        <v>0</v>
      </c>
      <c r="F177" s="116">
        <v>121114</v>
      </c>
      <c r="G177" s="43" t="str">
        <f>_xlfn.XLOOKUP($A177,Map!$A:$A,Map!C:C)</f>
        <v>IS</v>
      </c>
      <c r="H177" s="43" t="str">
        <f>_xlfn.XLOOKUP($A177,Map!$A:$A,Map!D:D)</f>
        <v>General and Admin</v>
      </c>
      <c r="I177" s="43" t="str">
        <f>_xlfn.XLOOKUP($A177,Map!$A:$A,Map!E:E)</f>
        <v>Salaries and wages</v>
      </c>
      <c r="J177" s="43" t="str">
        <f>_xlfn.XLOOKUP($A177,Map!$A:$A,Map!F:F)</f>
        <v>Overtime pay</v>
      </c>
    </row>
    <row r="178" spans="1:10" x14ac:dyDescent="0.25">
      <c r="A178">
        <v>700003</v>
      </c>
      <c r="B178" t="s">
        <v>1152</v>
      </c>
      <c r="C178" s="116">
        <v>0</v>
      </c>
      <c r="D178" s="116">
        <v>11200</v>
      </c>
      <c r="E178" s="116">
        <v>0</v>
      </c>
      <c r="F178" s="116">
        <v>11200</v>
      </c>
      <c r="G178" s="43" t="str">
        <f>_xlfn.XLOOKUP($A178,Map!$A:$A,Map!C:C)</f>
        <v>IS</v>
      </c>
      <c r="H178" s="43" t="str">
        <f>_xlfn.XLOOKUP($A178,Map!$A:$A,Map!D:D)</f>
        <v>General and Admin</v>
      </c>
      <c r="I178" s="43" t="str">
        <f>_xlfn.XLOOKUP($A178,Map!$A:$A,Map!E:E)</f>
        <v>Salaries and wages</v>
      </c>
      <c r="J178" s="43" t="str">
        <f>_xlfn.XLOOKUP($A178,Map!$A:$A,Map!F:F)</f>
        <v xml:space="preserve">Food &amp; Housing </v>
      </c>
    </row>
    <row r="179" spans="1:10" x14ac:dyDescent="0.25">
      <c r="A179">
        <v>700004</v>
      </c>
      <c r="B179" t="s">
        <v>1026</v>
      </c>
      <c r="C179" s="116">
        <v>0</v>
      </c>
      <c r="D179" s="116">
        <v>293385.2</v>
      </c>
      <c r="E179" s="116">
        <v>9125</v>
      </c>
      <c r="F179" s="116">
        <v>284260.2</v>
      </c>
      <c r="G179" s="43" t="str">
        <f>_xlfn.XLOOKUP($A179,Map!$A:$A,Map!C:C)</f>
        <v>IS</v>
      </c>
      <c r="H179" s="43" t="str">
        <f>_xlfn.XLOOKUP($A179,Map!$A:$A,Map!D:D)</f>
        <v>General and Admin</v>
      </c>
      <c r="I179" s="43" t="str">
        <f>_xlfn.XLOOKUP($A179,Map!$A:$A,Map!E:E)</f>
        <v>Salaries and wages</v>
      </c>
      <c r="J179" s="43" t="str">
        <f>_xlfn.XLOOKUP($A179,Map!$A:$A,Map!F:F)</f>
        <v>Medical insurance</v>
      </c>
    </row>
    <row r="180" spans="1:10" x14ac:dyDescent="0.25">
      <c r="A180">
        <v>700005</v>
      </c>
      <c r="B180" t="s">
        <v>1027</v>
      </c>
      <c r="C180" s="116">
        <v>0</v>
      </c>
      <c r="D180" s="116">
        <v>124092.61</v>
      </c>
      <c r="E180" s="116">
        <v>29867.03</v>
      </c>
      <c r="F180" s="116">
        <v>94225.58</v>
      </c>
      <c r="G180" s="43" t="str">
        <f>_xlfn.XLOOKUP($A180,Map!$A:$A,Map!C:C)</f>
        <v>IS</v>
      </c>
      <c r="H180" s="43" t="str">
        <f>_xlfn.XLOOKUP($A180,Map!$A:$A,Map!D:D)</f>
        <v>General and Admin</v>
      </c>
      <c r="I180" s="43" t="str">
        <f>_xlfn.XLOOKUP($A180,Map!$A:$A,Map!E:E)</f>
        <v>Govt license and fees (including modon)</v>
      </c>
      <c r="J180" s="43" t="str">
        <f>_xlfn.XLOOKUP($A180,Map!$A:$A,Map!F:F)</f>
        <v>Government fees</v>
      </c>
    </row>
    <row r="181" spans="1:10" x14ac:dyDescent="0.25">
      <c r="A181">
        <v>700006</v>
      </c>
      <c r="B181" t="s">
        <v>1028</v>
      </c>
      <c r="C181" s="116">
        <v>0</v>
      </c>
      <c r="D181" s="116">
        <v>1152499.6040000001</v>
      </c>
      <c r="E181" s="116">
        <v>0</v>
      </c>
      <c r="F181" s="116">
        <v>1152499.6040000001</v>
      </c>
      <c r="G181" s="43" t="str">
        <f>_xlfn.XLOOKUP($A181,Map!$A:$A,Map!C:C)</f>
        <v>IS</v>
      </c>
      <c r="H181" s="43" t="str">
        <f>_xlfn.XLOOKUP($A181,Map!$A:$A,Map!D:D)</f>
        <v>General and Admin</v>
      </c>
      <c r="I181" s="43" t="str">
        <f>_xlfn.XLOOKUP($A181,Map!$A:$A,Map!E:E)</f>
        <v>Salaries and wages</v>
      </c>
      <c r="J181" s="43" t="str">
        <f>_xlfn.XLOOKUP($A181,Map!$A:$A,Map!F:F)</f>
        <v xml:space="preserve">Food &amp; Housing </v>
      </c>
    </row>
    <row r="182" spans="1:10" x14ac:dyDescent="0.25">
      <c r="A182">
        <v>700007</v>
      </c>
      <c r="B182" t="s">
        <v>1029</v>
      </c>
      <c r="C182" s="116">
        <v>0</v>
      </c>
      <c r="D182" s="116">
        <v>557335</v>
      </c>
      <c r="E182" s="116">
        <v>0</v>
      </c>
      <c r="F182" s="116">
        <v>557335</v>
      </c>
      <c r="G182" s="43" t="str">
        <f>_xlfn.XLOOKUP($A182,Map!$A:$A,Map!C:C)</f>
        <v>IS</v>
      </c>
      <c r="H182" s="43" t="str">
        <f>_xlfn.XLOOKUP($A182,Map!$A:$A,Map!D:D)</f>
        <v>General and Admin</v>
      </c>
      <c r="I182" s="43" t="str">
        <f>_xlfn.XLOOKUP($A182,Map!$A:$A,Map!E:E)</f>
        <v>Salaries and wages</v>
      </c>
      <c r="J182" s="43" t="str">
        <f>_xlfn.XLOOKUP($A182,Map!$A:$A,Map!F:F)</f>
        <v>Transportation allowance</v>
      </c>
    </row>
    <row r="183" spans="1:10" x14ac:dyDescent="0.25">
      <c r="A183">
        <v>700008</v>
      </c>
      <c r="B183" t="s">
        <v>1030</v>
      </c>
      <c r="C183" s="116">
        <v>0</v>
      </c>
      <c r="D183" s="116">
        <v>12888</v>
      </c>
      <c r="E183" s="116">
        <v>0</v>
      </c>
      <c r="F183" s="116">
        <v>12888</v>
      </c>
      <c r="G183" s="43" t="str">
        <f>_xlfn.XLOOKUP($A183,Map!$A:$A,Map!C:C)</f>
        <v>IS</v>
      </c>
      <c r="H183" s="43" t="str">
        <f>_xlfn.XLOOKUP($A183,Map!$A:$A,Map!D:D)</f>
        <v>General and Admin</v>
      </c>
      <c r="I183" s="43" t="str">
        <f>_xlfn.XLOOKUP($A183,Map!$A:$A,Map!E:E)</f>
        <v>Salaries and wages</v>
      </c>
      <c r="J183" s="43" t="str">
        <f>_xlfn.XLOOKUP($A183,Map!$A:$A,Map!F:F)</f>
        <v>Air tickets</v>
      </c>
    </row>
    <row r="184" spans="1:10" x14ac:dyDescent="0.25">
      <c r="A184">
        <v>700009</v>
      </c>
      <c r="B184" t="s">
        <v>1031</v>
      </c>
      <c r="C184" s="116">
        <v>0</v>
      </c>
      <c r="D184" s="116">
        <v>110835</v>
      </c>
      <c r="E184" s="116">
        <v>16000</v>
      </c>
      <c r="F184" s="116">
        <v>94835</v>
      </c>
      <c r="G184" s="43" t="str">
        <f>_xlfn.XLOOKUP($A184,Map!$A:$A,Map!C:C)</f>
        <v>IS</v>
      </c>
      <c r="H184" s="43" t="str">
        <f>_xlfn.XLOOKUP($A184,Map!$A:$A,Map!D:D)</f>
        <v>General and Admin</v>
      </c>
      <c r="I184" s="43" t="str">
        <f>_xlfn.XLOOKUP($A184,Map!$A:$A,Map!E:E)</f>
        <v>Salaries and wages</v>
      </c>
      <c r="J184" s="43" t="str">
        <f>_xlfn.XLOOKUP($A184,Map!$A:$A,Map!F:F)</f>
        <v>Leave pay</v>
      </c>
    </row>
    <row r="185" spans="1:10" x14ac:dyDescent="0.25">
      <c r="A185">
        <v>700010</v>
      </c>
      <c r="B185" t="s">
        <v>1032</v>
      </c>
      <c r="C185" s="116">
        <v>0</v>
      </c>
      <c r="D185" s="116">
        <v>1203844</v>
      </c>
      <c r="E185" s="116">
        <v>500052.67</v>
      </c>
      <c r="F185" s="116">
        <v>703791.33</v>
      </c>
      <c r="G185" s="43" t="str">
        <f>_xlfn.XLOOKUP($A185,Map!$A:$A,Map!C:C)</f>
        <v>IS</v>
      </c>
      <c r="H185" s="43" t="str">
        <f>_xlfn.XLOOKUP($A185,Map!$A:$A,Map!D:D)</f>
        <v>General and Admin</v>
      </c>
      <c r="I185" s="43" t="str">
        <f>_xlfn.XLOOKUP($A185,Map!$A:$A,Map!E:E)</f>
        <v>Salaries and wages</v>
      </c>
      <c r="J185" s="43" t="str">
        <f>_xlfn.XLOOKUP($A185,Map!$A:$A,Map!F:F)</f>
        <v>Indemnities</v>
      </c>
    </row>
    <row r="186" spans="1:10" x14ac:dyDescent="0.25">
      <c r="A186">
        <v>700011</v>
      </c>
      <c r="B186" t="s">
        <v>1033</v>
      </c>
      <c r="C186" s="116">
        <v>0</v>
      </c>
      <c r="D186" s="116">
        <v>68517.156000000003</v>
      </c>
      <c r="E186" s="116">
        <v>0</v>
      </c>
      <c r="F186" s="116">
        <v>68517.156000000003</v>
      </c>
      <c r="G186" s="43" t="str">
        <f>_xlfn.XLOOKUP($A186,Map!$A:$A,Map!C:C)</f>
        <v>IS</v>
      </c>
      <c r="H186" s="43" t="str">
        <f>_xlfn.XLOOKUP($A186,Map!$A:$A,Map!D:D)</f>
        <v>General and Admin</v>
      </c>
      <c r="I186" s="43" t="str">
        <f>_xlfn.XLOOKUP($A186,Map!$A:$A,Map!E:E)</f>
        <v>Salaries and wages</v>
      </c>
      <c r="J186" s="43" t="str">
        <f>_xlfn.XLOOKUP($A186,Map!$A:$A,Map!F:F)</f>
        <v>Air tickets</v>
      </c>
    </row>
    <row r="187" spans="1:10" x14ac:dyDescent="0.25">
      <c r="A187">
        <v>700012</v>
      </c>
      <c r="B187" t="s">
        <v>1034</v>
      </c>
      <c r="C187" s="116">
        <v>0</v>
      </c>
      <c r="D187" s="116">
        <v>298423</v>
      </c>
      <c r="E187" s="116">
        <v>0</v>
      </c>
      <c r="F187" s="116">
        <v>298423</v>
      </c>
      <c r="G187" s="43" t="str">
        <f>_xlfn.XLOOKUP($A187,Map!$A:$A,Map!C:C)</f>
        <v>IS</v>
      </c>
      <c r="H187" s="43" t="str">
        <f>_xlfn.XLOOKUP($A187,Map!$A:$A,Map!D:D)</f>
        <v>General and Admin</v>
      </c>
      <c r="I187" s="43" t="str">
        <f>_xlfn.XLOOKUP($A187,Map!$A:$A,Map!E:E)</f>
        <v>Salaries and wages</v>
      </c>
      <c r="J187" s="43" t="str">
        <f>_xlfn.XLOOKUP($A187,Map!$A:$A,Map!F:F)</f>
        <v xml:space="preserve">Education &amp; Furniture Allowances </v>
      </c>
    </row>
    <row r="188" spans="1:10" x14ac:dyDescent="0.25">
      <c r="A188">
        <v>700013</v>
      </c>
      <c r="B188" t="s">
        <v>1035</v>
      </c>
      <c r="C188" s="116">
        <v>0</v>
      </c>
      <c r="D188" s="116">
        <v>45775</v>
      </c>
      <c r="E188" s="116">
        <v>0</v>
      </c>
      <c r="F188" s="116">
        <v>45775</v>
      </c>
      <c r="G188" s="43" t="str">
        <f>_xlfn.XLOOKUP($A188,Map!$A:$A,Map!C:C)</f>
        <v>IS</v>
      </c>
      <c r="H188" s="43" t="str">
        <f>_xlfn.XLOOKUP($A188,Map!$A:$A,Map!D:D)</f>
        <v>General and Admin</v>
      </c>
      <c r="I188" s="43" t="str">
        <f>_xlfn.XLOOKUP($A188,Map!$A:$A,Map!E:E)</f>
        <v>Utilities</v>
      </c>
      <c r="J188" s="43" t="str">
        <f>_xlfn.XLOOKUP($A188,Map!$A:$A,Map!F:F)</f>
        <v>Other general and administrative expenses</v>
      </c>
    </row>
    <row r="189" spans="1:10" x14ac:dyDescent="0.25">
      <c r="A189">
        <v>700014</v>
      </c>
      <c r="B189" t="s">
        <v>1036</v>
      </c>
      <c r="C189" s="116">
        <v>0</v>
      </c>
      <c r="D189" s="116">
        <v>125709</v>
      </c>
      <c r="E189" s="116">
        <v>0</v>
      </c>
      <c r="F189" s="116">
        <v>125709</v>
      </c>
      <c r="G189" s="43" t="str">
        <f>_xlfn.XLOOKUP($A189,Map!$A:$A,Map!C:C)</f>
        <v>IS</v>
      </c>
      <c r="H189" s="43" t="str">
        <f>_xlfn.XLOOKUP($A189,Map!$A:$A,Map!D:D)</f>
        <v>General and Admin</v>
      </c>
      <c r="I189" s="43" t="str">
        <f>_xlfn.XLOOKUP($A189,Map!$A:$A,Map!E:E)</f>
        <v>Salaries and wages</v>
      </c>
      <c r="J189" s="43" t="str">
        <f>_xlfn.XLOOKUP($A189,Map!$A:$A,Map!F:F)</f>
        <v xml:space="preserve">Education &amp; Furniture Allowances </v>
      </c>
    </row>
    <row r="190" spans="1:10" x14ac:dyDescent="0.25">
      <c r="A190">
        <v>700015</v>
      </c>
      <c r="B190" t="s">
        <v>1037</v>
      </c>
      <c r="C190" s="116">
        <v>0</v>
      </c>
      <c r="D190" s="116">
        <v>43083.355000000003</v>
      </c>
      <c r="E190" s="116">
        <v>0</v>
      </c>
      <c r="F190" s="116">
        <v>43083.355000000003</v>
      </c>
      <c r="G190" s="43" t="str">
        <f>_xlfn.XLOOKUP($A190,Map!$A:$A,Map!C:C)</f>
        <v>IS</v>
      </c>
      <c r="H190" s="43" t="str">
        <f>_xlfn.XLOOKUP($A190,Map!$A:$A,Map!D:D)</f>
        <v>General and Admin</v>
      </c>
      <c r="I190" s="43" t="str">
        <f>_xlfn.XLOOKUP($A190,Map!$A:$A,Map!E:E)</f>
        <v>Business travel</v>
      </c>
      <c r="J190" s="43" t="str">
        <f>_xlfn.XLOOKUP($A190,Map!$A:$A,Map!F:F)</f>
        <v>Transportation expenses</v>
      </c>
    </row>
    <row r="191" spans="1:10" x14ac:dyDescent="0.25">
      <c r="A191">
        <v>700016</v>
      </c>
      <c r="B191" t="s">
        <v>1038</v>
      </c>
      <c r="C191" s="116">
        <v>0</v>
      </c>
      <c r="D191" s="116">
        <v>18458.11</v>
      </c>
      <c r="E191" s="116">
        <v>0</v>
      </c>
      <c r="F191" s="116">
        <v>18458.11</v>
      </c>
      <c r="G191" s="43" t="str">
        <f>_xlfn.XLOOKUP($A191,Map!$A:$A,Map!C:C)</f>
        <v>IS</v>
      </c>
      <c r="H191" s="43" t="str">
        <f>_xlfn.XLOOKUP($A191,Map!$A:$A,Map!D:D)</f>
        <v>Selling and Marketing</v>
      </c>
      <c r="I191" s="43" t="str">
        <f>_xlfn.XLOOKUP($A191,Map!$A:$A,Map!E:E)</f>
        <v>Buffet expenses</v>
      </c>
      <c r="J191" s="43" t="str">
        <f>_xlfn.XLOOKUP($A191,Map!$A:$A,Map!F:F)</f>
        <v>Food expenses</v>
      </c>
    </row>
    <row r="192" spans="1:10" x14ac:dyDescent="0.25">
      <c r="A192">
        <v>700017</v>
      </c>
      <c r="B192" t="s">
        <v>1039</v>
      </c>
      <c r="C192" s="116">
        <v>0</v>
      </c>
      <c r="D192" s="116">
        <v>0</v>
      </c>
      <c r="E192" s="116">
        <v>0</v>
      </c>
      <c r="F192" s="116">
        <v>0</v>
      </c>
      <c r="G192" s="43" t="str">
        <f>_xlfn.XLOOKUP($A192,Map!$A:$A,Map!C:C)</f>
        <v>IS</v>
      </c>
      <c r="H192" s="43" t="str">
        <f>_xlfn.XLOOKUP($A192,Map!$A:$A,Map!D:D)</f>
        <v>General and Admin</v>
      </c>
      <c r="I192" s="43" t="str">
        <f>_xlfn.XLOOKUP($A192,Map!$A:$A,Map!E:E)</f>
        <v>Salaries and wages</v>
      </c>
      <c r="J192" s="43" t="str">
        <f>_xlfn.XLOOKUP($A192,Map!$A:$A,Map!F:F)</f>
        <v>Accommodation expenses</v>
      </c>
    </row>
    <row r="193" spans="1:10" x14ac:dyDescent="0.25">
      <c r="A193">
        <v>700018</v>
      </c>
      <c r="B193" t="s">
        <v>1040</v>
      </c>
      <c r="C193" s="116">
        <v>0</v>
      </c>
      <c r="D193" s="116">
        <v>936</v>
      </c>
      <c r="E193" s="116">
        <v>0</v>
      </c>
      <c r="F193" s="116">
        <v>936</v>
      </c>
      <c r="G193" s="43" t="str">
        <f>_xlfn.XLOOKUP($A193,Map!$A:$A,Map!C:C)</f>
        <v>IS</v>
      </c>
      <c r="H193" s="43" t="str">
        <f>_xlfn.XLOOKUP($A193,Map!$A:$A,Map!D:D)</f>
        <v>General and Admin</v>
      </c>
      <c r="I193" s="43" t="str">
        <f>_xlfn.XLOOKUP($A193,Map!$A:$A,Map!E:E)</f>
        <v>Salaries and wages</v>
      </c>
      <c r="J193" s="43" t="str">
        <f>_xlfn.XLOOKUP($A193,Map!$A:$A,Map!F:F)</f>
        <v xml:space="preserve">Employee Medical Emergency Expenses </v>
      </c>
    </row>
    <row r="194" spans="1:10" x14ac:dyDescent="0.25">
      <c r="A194">
        <v>700019</v>
      </c>
      <c r="B194" t="s">
        <v>1041</v>
      </c>
      <c r="C194" s="116">
        <v>0</v>
      </c>
      <c r="D194" s="116">
        <v>1157158.33</v>
      </c>
      <c r="E194" s="116">
        <v>48358.33</v>
      </c>
      <c r="F194" s="116">
        <v>1108800</v>
      </c>
      <c r="G194" s="43" t="str">
        <f>_xlfn.XLOOKUP($A194,Map!$A:$A,Map!C:C)</f>
        <v>IS</v>
      </c>
      <c r="H194" s="43" t="str">
        <f>_xlfn.XLOOKUP($A194,Map!$A:$A,Map!D:D)</f>
        <v>General and Admin</v>
      </c>
      <c r="I194" s="43" t="str">
        <f>_xlfn.XLOOKUP($A194,Map!$A:$A,Map!E:E)</f>
        <v>Salaries and wages</v>
      </c>
      <c r="J194" s="43" t="str">
        <f>_xlfn.XLOOKUP($A194,Map!$A:$A,Map!F:F)</f>
        <v xml:space="preserve">Incentives </v>
      </c>
    </row>
    <row r="195" spans="1:10" x14ac:dyDescent="0.25">
      <c r="A195">
        <v>700020</v>
      </c>
      <c r="B195" t="s">
        <v>1042</v>
      </c>
      <c r="C195" s="116">
        <v>0</v>
      </c>
      <c r="D195" s="116">
        <v>75031.581000000006</v>
      </c>
      <c r="E195" s="116">
        <v>5151.3</v>
      </c>
      <c r="F195" s="116">
        <v>69880.281000000003</v>
      </c>
      <c r="G195" s="43" t="str">
        <f>_xlfn.XLOOKUP($A195,Map!$A:$A,Map!C:C)</f>
        <v>IS</v>
      </c>
      <c r="H195" s="43" t="str">
        <f>_xlfn.XLOOKUP($A195,Map!$A:$A,Map!D:D)</f>
        <v>General and Admin</v>
      </c>
      <c r="I195" s="43" t="str">
        <f>_xlfn.XLOOKUP($A195,Map!$A:$A,Map!E:E)</f>
        <v>Utilities</v>
      </c>
      <c r="J195" s="43" t="str">
        <f>_xlfn.XLOOKUP($A195,Map!$A:$A,Map!F:F)</f>
        <v>Electricity expenses</v>
      </c>
    </row>
    <row r="196" spans="1:10" x14ac:dyDescent="0.25">
      <c r="A196">
        <v>700021</v>
      </c>
      <c r="B196" t="s">
        <v>1043</v>
      </c>
      <c r="C196" s="116">
        <v>0</v>
      </c>
      <c r="D196" s="116">
        <v>27224</v>
      </c>
      <c r="E196" s="116">
        <v>0</v>
      </c>
      <c r="F196" s="116">
        <v>27224</v>
      </c>
      <c r="G196" s="43" t="str">
        <f>_xlfn.XLOOKUP($A196,Map!$A:$A,Map!C:C)</f>
        <v>IS</v>
      </c>
      <c r="H196" s="43" t="str">
        <f>_xlfn.XLOOKUP($A196,Map!$A:$A,Map!D:D)</f>
        <v>General and Admin</v>
      </c>
      <c r="I196" s="43" t="str">
        <f>_xlfn.XLOOKUP($A196,Map!$A:$A,Map!E:E)</f>
        <v>Utilities</v>
      </c>
      <c r="J196" s="43" t="str">
        <f>_xlfn.XLOOKUP($A196,Map!$A:$A,Map!F:F)</f>
        <v>Other general and administrative expenses</v>
      </c>
    </row>
    <row r="197" spans="1:10" x14ac:dyDescent="0.25">
      <c r="A197">
        <v>700022</v>
      </c>
      <c r="B197" t="s">
        <v>1044</v>
      </c>
      <c r="C197" s="116">
        <v>0</v>
      </c>
      <c r="D197" s="116">
        <v>101686.39999999999</v>
      </c>
      <c r="E197" s="116">
        <v>92</v>
      </c>
      <c r="F197" s="116">
        <v>101594.4</v>
      </c>
      <c r="G197" s="43" t="str">
        <f>_xlfn.XLOOKUP($A197,Map!$A:$A,Map!C:C)</f>
        <v>IS</v>
      </c>
      <c r="H197" s="43" t="str">
        <f>_xlfn.XLOOKUP($A197,Map!$A:$A,Map!D:D)</f>
        <v>General and Admin</v>
      </c>
      <c r="I197" s="43" t="str">
        <f>_xlfn.XLOOKUP($A197,Map!$A:$A,Map!E:E)</f>
        <v>Utilities</v>
      </c>
      <c r="J197" s="43" t="str">
        <f>_xlfn.XLOOKUP($A197,Map!$A:$A,Map!F:F)</f>
        <v>Other general and administrative expenses</v>
      </c>
    </row>
    <row r="198" spans="1:10" x14ac:dyDescent="0.25">
      <c r="A198">
        <v>700023</v>
      </c>
      <c r="B198" t="s">
        <v>1045</v>
      </c>
      <c r="C198" s="116">
        <v>0</v>
      </c>
      <c r="D198" s="116">
        <v>32352.641</v>
      </c>
      <c r="E198" s="116">
        <v>0</v>
      </c>
      <c r="F198" s="116">
        <v>32352.641</v>
      </c>
      <c r="G198" s="43" t="str">
        <f>_xlfn.XLOOKUP($A198,Map!$A:$A,Map!C:C)</f>
        <v>IS</v>
      </c>
      <c r="H198" s="43" t="str">
        <f>_xlfn.XLOOKUP($A198,Map!$A:$A,Map!D:D)</f>
        <v>General and Admin</v>
      </c>
      <c r="I198" s="43" t="str">
        <f>_xlfn.XLOOKUP($A198,Map!$A:$A,Map!E:E)</f>
        <v>Utilities</v>
      </c>
      <c r="J198" s="43" t="str">
        <f>_xlfn.XLOOKUP($A198,Map!$A:$A,Map!F:F)</f>
        <v xml:space="preserve">Postage &amp; Printing </v>
      </c>
    </row>
    <row r="199" spans="1:10" x14ac:dyDescent="0.25">
      <c r="A199">
        <v>700024</v>
      </c>
      <c r="B199" t="s">
        <v>1046</v>
      </c>
      <c r="C199" s="116">
        <v>0</v>
      </c>
      <c r="D199" s="116">
        <v>200895.38</v>
      </c>
      <c r="E199" s="116">
        <v>7751.1530000000002</v>
      </c>
      <c r="F199" s="116">
        <v>193144.22700000001</v>
      </c>
      <c r="G199" s="43" t="str">
        <f>_xlfn.XLOOKUP($A199,Map!$A:$A,Map!C:C)</f>
        <v>IS</v>
      </c>
      <c r="H199" s="43" t="str">
        <f>_xlfn.XLOOKUP($A199,Map!$A:$A,Map!D:D)</f>
        <v>General and Admin</v>
      </c>
      <c r="I199" s="43" t="str">
        <f>_xlfn.XLOOKUP($A199,Map!$A:$A,Map!E:E)</f>
        <v>IT expenses</v>
      </c>
      <c r="J199" s="43" t="str">
        <f>_xlfn.XLOOKUP($A199,Map!$A:$A,Map!F:F)</f>
        <v>Other general and administrative expenses</v>
      </c>
    </row>
    <row r="200" spans="1:10" x14ac:dyDescent="0.25">
      <c r="A200">
        <v>700025</v>
      </c>
      <c r="B200" t="s">
        <v>1047</v>
      </c>
      <c r="C200" s="116">
        <v>0</v>
      </c>
      <c r="D200" s="116">
        <v>240087.35</v>
      </c>
      <c r="E200" s="116">
        <v>0</v>
      </c>
      <c r="F200" s="116">
        <v>240087.35</v>
      </c>
      <c r="G200" s="43" t="str">
        <f>_xlfn.XLOOKUP($A200,Map!$A:$A,Map!C:C)</f>
        <v>IS</v>
      </c>
      <c r="H200" s="43" t="str">
        <f>_xlfn.XLOOKUP($A200,Map!$A:$A,Map!D:D)</f>
        <v>General and Admin</v>
      </c>
      <c r="I200" s="43" t="str">
        <f>_xlfn.XLOOKUP($A200,Map!$A:$A,Map!E:E)</f>
        <v>Salaries and wages</v>
      </c>
      <c r="J200" s="43" t="str">
        <f>_xlfn.XLOOKUP($A200,Map!$A:$A,Map!F:F)</f>
        <v>Salaries and wages</v>
      </c>
    </row>
    <row r="201" spans="1:10" x14ac:dyDescent="0.25">
      <c r="A201">
        <v>700026</v>
      </c>
      <c r="B201" t="s">
        <v>1048</v>
      </c>
      <c r="C201" s="116">
        <v>0</v>
      </c>
      <c r="D201" s="116">
        <v>0</v>
      </c>
      <c r="E201" s="116">
        <v>0</v>
      </c>
      <c r="F201" s="116">
        <v>0</v>
      </c>
      <c r="G201" s="43" t="str">
        <f>_xlfn.XLOOKUP($A201,Map!$A:$A,Map!C:C)</f>
        <v>IS</v>
      </c>
      <c r="H201" s="43" t="str">
        <f>_xlfn.XLOOKUP($A201,Map!$A:$A,Map!D:D)</f>
        <v>General and Admin</v>
      </c>
      <c r="I201" s="43" t="str">
        <f>_xlfn.XLOOKUP($A201,Map!$A:$A,Map!E:E)</f>
        <v>Utilities</v>
      </c>
      <c r="J201" s="43" t="str">
        <f>_xlfn.XLOOKUP($A201,Map!$A:$A,Map!F:F)</f>
        <v>Magazines &amp; News Papers Exp.</v>
      </c>
    </row>
    <row r="202" spans="1:10" x14ac:dyDescent="0.25">
      <c r="A202">
        <v>700027</v>
      </c>
      <c r="B202" t="s">
        <v>1049</v>
      </c>
      <c r="C202" s="116">
        <v>0</v>
      </c>
      <c r="D202" s="116">
        <v>122275.63</v>
      </c>
      <c r="E202" s="116">
        <v>1040</v>
      </c>
      <c r="F202" s="116">
        <v>121235.63</v>
      </c>
      <c r="G202" s="43" t="str">
        <f>_xlfn.XLOOKUP($A202,Map!$A:$A,Map!C:C)</f>
        <v>IS</v>
      </c>
      <c r="H202" s="43" t="str">
        <f>_xlfn.XLOOKUP($A202,Map!$A:$A,Map!D:D)</f>
        <v>General and Admin</v>
      </c>
      <c r="I202" s="43" t="str">
        <f>_xlfn.XLOOKUP($A202,Map!$A:$A,Map!E:E)</f>
        <v>Training</v>
      </c>
      <c r="J202" s="43" t="str">
        <f>_xlfn.XLOOKUP($A202,Map!$A:$A,Map!F:F)</f>
        <v>Training</v>
      </c>
    </row>
    <row r="203" spans="1:10" x14ac:dyDescent="0.25">
      <c r="A203">
        <v>700028</v>
      </c>
      <c r="B203" t="s">
        <v>1050</v>
      </c>
      <c r="C203" s="116">
        <v>0</v>
      </c>
      <c r="D203" s="116">
        <v>9845.5910000000003</v>
      </c>
      <c r="E203" s="116">
        <v>0</v>
      </c>
      <c r="F203" s="116">
        <v>9845.5910000000003</v>
      </c>
      <c r="G203" s="43" t="str">
        <f>_xlfn.XLOOKUP($A203,Map!$A:$A,Map!C:C)</f>
        <v>IS</v>
      </c>
      <c r="H203" s="43" t="str">
        <f>_xlfn.XLOOKUP($A203,Map!$A:$A,Map!D:D)</f>
        <v>General and Admin</v>
      </c>
      <c r="I203" s="43" t="str">
        <f>_xlfn.XLOOKUP($A203,Map!$A:$A,Map!E:E)</f>
        <v xml:space="preserve">Back office Support </v>
      </c>
      <c r="J203" s="43" t="str">
        <f>_xlfn.XLOOKUP($A203,Map!$A:$A,Map!F:F)</f>
        <v>Stationery expenses</v>
      </c>
    </row>
    <row r="204" spans="1:10" x14ac:dyDescent="0.25">
      <c r="A204">
        <v>700029</v>
      </c>
      <c r="B204" t="s">
        <v>1051</v>
      </c>
      <c r="C204" s="116">
        <v>0</v>
      </c>
      <c r="D204" s="116">
        <v>3402.741</v>
      </c>
      <c r="E204" s="116">
        <v>0</v>
      </c>
      <c r="F204" s="116">
        <v>3402.741</v>
      </c>
      <c r="G204" s="43" t="str">
        <f>_xlfn.XLOOKUP($A204,Map!$A:$A,Map!C:C)</f>
        <v>IS</v>
      </c>
      <c r="H204" s="43" t="str">
        <f>_xlfn.XLOOKUP($A204,Map!$A:$A,Map!D:D)</f>
        <v>General and Admin</v>
      </c>
      <c r="I204" s="43" t="str">
        <f>_xlfn.XLOOKUP($A204,Map!$A:$A,Map!E:E)</f>
        <v>Utilities</v>
      </c>
      <c r="J204" s="43" t="str">
        <f>_xlfn.XLOOKUP($A204,Map!$A:$A,Map!F:F)</f>
        <v xml:space="preserve">Postage &amp; Printing </v>
      </c>
    </row>
    <row r="205" spans="1:10" x14ac:dyDescent="0.25">
      <c r="A205">
        <v>700030</v>
      </c>
      <c r="B205" t="s">
        <v>1052</v>
      </c>
      <c r="C205" s="116">
        <v>0</v>
      </c>
      <c r="D205" s="116">
        <v>41310.536999999997</v>
      </c>
      <c r="E205" s="116">
        <v>0</v>
      </c>
      <c r="F205" s="116">
        <v>41310.536999999997</v>
      </c>
      <c r="G205" s="43" t="str">
        <f>_xlfn.XLOOKUP($A205,Map!$A:$A,Map!C:C)</f>
        <v>IS</v>
      </c>
      <c r="H205" s="43" t="str">
        <f>_xlfn.XLOOKUP($A205,Map!$A:$A,Map!D:D)</f>
        <v>General and Admin</v>
      </c>
      <c r="I205" s="43" t="str">
        <f>_xlfn.XLOOKUP($A205,Map!$A:$A,Map!E:E)</f>
        <v>Utilities</v>
      </c>
      <c r="J205" s="43" t="str">
        <f>_xlfn.XLOOKUP($A205,Map!$A:$A,Map!F:F)</f>
        <v>Building maintenance</v>
      </c>
    </row>
    <row r="206" spans="1:10" x14ac:dyDescent="0.25">
      <c r="A206">
        <v>700031</v>
      </c>
      <c r="B206" t="s">
        <v>1053</v>
      </c>
      <c r="C206" s="116">
        <v>0</v>
      </c>
      <c r="D206" s="116">
        <v>1705</v>
      </c>
      <c r="E206" s="116">
        <v>0</v>
      </c>
      <c r="F206" s="116">
        <v>1705</v>
      </c>
      <c r="G206" s="43" t="str">
        <f>_xlfn.XLOOKUP($A206,Map!$A:$A,Map!C:C)</f>
        <v>IS</v>
      </c>
      <c r="H206" s="43" t="str">
        <f>_xlfn.XLOOKUP($A206,Map!$A:$A,Map!D:D)</f>
        <v>General and Admin</v>
      </c>
      <c r="I206" s="43" t="str">
        <f>_xlfn.XLOOKUP($A206,Map!$A:$A,Map!E:E)</f>
        <v>Utilities</v>
      </c>
      <c r="J206" s="43" t="str">
        <f>_xlfn.XLOOKUP($A206,Map!$A:$A,Map!F:F)</f>
        <v>Office equipment maintenance</v>
      </c>
    </row>
    <row r="207" spans="1:10" x14ac:dyDescent="0.25">
      <c r="A207">
        <v>700032</v>
      </c>
      <c r="B207" t="s">
        <v>1054</v>
      </c>
      <c r="C207" s="116">
        <v>0</v>
      </c>
      <c r="D207" s="116">
        <v>113887.11900000001</v>
      </c>
      <c r="E207" s="116">
        <v>17000.16</v>
      </c>
      <c r="F207" s="116">
        <v>96886.959000000003</v>
      </c>
      <c r="G207" s="43" t="str">
        <f>_xlfn.XLOOKUP($A207,Map!$A:$A,Map!C:C)</f>
        <v>IS</v>
      </c>
      <c r="H207" s="43" t="str">
        <f>_xlfn.XLOOKUP($A207,Map!$A:$A,Map!D:D)</f>
        <v>General and Admin</v>
      </c>
      <c r="I207" s="43" t="str">
        <f>_xlfn.XLOOKUP($A207,Map!$A:$A,Map!E:E)</f>
        <v>Utilities</v>
      </c>
      <c r="J207" s="43" t="str">
        <f>_xlfn.XLOOKUP($A207,Map!$A:$A,Map!F:F)</f>
        <v>Vehicle maintenance</v>
      </c>
    </row>
    <row r="208" spans="1:10" x14ac:dyDescent="0.25">
      <c r="A208">
        <v>700033</v>
      </c>
      <c r="B208" t="s">
        <v>1055</v>
      </c>
      <c r="C208" s="116">
        <v>0</v>
      </c>
      <c r="D208" s="116">
        <v>18216.55</v>
      </c>
      <c r="E208" s="116">
        <v>0</v>
      </c>
      <c r="F208" s="116">
        <v>18216.55</v>
      </c>
      <c r="G208" s="43" t="str">
        <f>_xlfn.XLOOKUP($A208,Map!$A:$A,Map!C:C)</f>
        <v>IS</v>
      </c>
      <c r="H208" s="43" t="str">
        <f>_xlfn.XLOOKUP($A208,Map!$A:$A,Map!D:D)</f>
        <v>General and Admin</v>
      </c>
      <c r="I208" s="43" t="str">
        <f>_xlfn.XLOOKUP($A208,Map!$A:$A,Map!E:E)</f>
        <v>Utilities</v>
      </c>
      <c r="J208" s="43" t="str">
        <f>_xlfn.XLOOKUP($A208,Map!$A:$A,Map!F:F)</f>
        <v>Fuel and oil</v>
      </c>
    </row>
    <row r="209" spans="1:10" x14ac:dyDescent="0.25">
      <c r="A209">
        <v>700034</v>
      </c>
      <c r="B209" t="s">
        <v>1056</v>
      </c>
      <c r="C209" s="116">
        <v>0</v>
      </c>
      <c r="D209" s="116">
        <v>24134.670999999998</v>
      </c>
      <c r="E209" s="116">
        <v>0</v>
      </c>
      <c r="F209" s="116">
        <v>24134.670999999998</v>
      </c>
      <c r="G209" s="43" t="str">
        <f>_xlfn.XLOOKUP($A209,Map!$A:$A,Map!C:C)</f>
        <v>IS</v>
      </c>
      <c r="H209" s="43" t="str">
        <f>_xlfn.XLOOKUP($A209,Map!$A:$A,Map!D:D)</f>
        <v>General and Admin</v>
      </c>
      <c r="I209" s="43" t="str">
        <f>_xlfn.XLOOKUP($A209,Map!$A:$A,Map!E:E)</f>
        <v xml:space="preserve">Back office Support </v>
      </c>
      <c r="J209" s="43" t="str">
        <f>_xlfn.XLOOKUP($A209,Map!$A:$A,Map!F:F)</f>
        <v>Consumables</v>
      </c>
    </row>
    <row r="210" spans="1:10" x14ac:dyDescent="0.25">
      <c r="A210">
        <v>700035</v>
      </c>
      <c r="B210" t="s">
        <v>1057</v>
      </c>
      <c r="C210" s="116">
        <v>0</v>
      </c>
      <c r="D210" s="116">
        <v>0</v>
      </c>
      <c r="E210" s="116">
        <v>25921</v>
      </c>
      <c r="F210" s="116">
        <v>-25921</v>
      </c>
      <c r="G210" s="43" t="str">
        <f>_xlfn.XLOOKUP($A210,Map!$A:$A,Map!C:C)</f>
        <v>IS</v>
      </c>
      <c r="H210" s="43" t="str">
        <f>_xlfn.XLOOKUP($A210,Map!$A:$A,Map!D:D)</f>
        <v>General and Admin</v>
      </c>
      <c r="I210" s="43" t="str">
        <f>_xlfn.XLOOKUP($A210,Map!$A:$A,Map!E:E)</f>
        <v>Actuarial gains and losses</v>
      </c>
      <c r="J210" s="43" t="str">
        <f>_xlfn.XLOOKUP($A210,Map!$A:$A,Map!F:F)</f>
        <v>Other general and administrative expenses</v>
      </c>
    </row>
    <row r="211" spans="1:10" x14ac:dyDescent="0.25">
      <c r="A211">
        <v>700036</v>
      </c>
      <c r="B211" t="s">
        <v>1058</v>
      </c>
      <c r="C211" s="116">
        <v>0</v>
      </c>
      <c r="D211" s="116">
        <v>74763</v>
      </c>
      <c r="E211" s="116">
        <v>0</v>
      </c>
      <c r="F211" s="116">
        <v>74763</v>
      </c>
      <c r="G211" s="43" t="str">
        <f>_xlfn.XLOOKUP($A211,Map!$A:$A,Map!C:C)</f>
        <v>IS</v>
      </c>
      <c r="H211" s="43" t="str">
        <f>_xlfn.XLOOKUP($A211,Map!$A:$A,Map!D:D)</f>
        <v>General and Admin</v>
      </c>
      <c r="I211" s="43" t="str">
        <f>_xlfn.XLOOKUP($A211,Map!$A:$A,Map!E:E)</f>
        <v>Utilities</v>
      </c>
      <c r="J211" s="43" t="str">
        <f>_xlfn.XLOOKUP($A211,Map!$A:$A,Map!F:F)</f>
        <v>Vehicle insurance</v>
      </c>
    </row>
    <row r="212" spans="1:10" x14ac:dyDescent="0.25">
      <c r="A212">
        <v>700037</v>
      </c>
      <c r="B212" t="s">
        <v>1059</v>
      </c>
      <c r="C212" s="116">
        <v>0</v>
      </c>
      <c r="D212" s="116">
        <v>0</v>
      </c>
      <c r="E212" s="116">
        <v>0</v>
      </c>
      <c r="F212" s="116">
        <v>0</v>
      </c>
      <c r="G212" s="43" t="str">
        <f>_xlfn.XLOOKUP($A212,Map!$A:$A,Map!C:C)</f>
        <v>IS</v>
      </c>
      <c r="H212" s="43" t="str">
        <f>_xlfn.XLOOKUP($A212,Map!$A:$A,Map!D:D)</f>
        <v>Finance cost</v>
      </c>
      <c r="I212" s="43" t="str">
        <f>_xlfn.XLOOKUP($A212,Map!$A:$A,Map!E:E)</f>
        <v>Finance cost</v>
      </c>
      <c r="J212" s="43" t="str">
        <f>_xlfn.XLOOKUP($A212,Map!$A:$A,Map!F:F)</f>
        <v>Lease interest</v>
      </c>
    </row>
    <row r="213" spans="1:10" x14ac:dyDescent="0.25">
      <c r="A213">
        <v>700038</v>
      </c>
      <c r="B213" t="s">
        <v>1060</v>
      </c>
      <c r="C213" s="116">
        <v>0</v>
      </c>
      <c r="D213" s="116">
        <v>21990.956999999999</v>
      </c>
      <c r="E213" s="116">
        <v>0</v>
      </c>
      <c r="F213" s="116">
        <v>21990.956999999999</v>
      </c>
      <c r="G213" s="43" t="str">
        <f>_xlfn.XLOOKUP($A213,Map!$A:$A,Map!C:C)</f>
        <v>IS</v>
      </c>
      <c r="H213" s="43" t="str">
        <f>_xlfn.XLOOKUP($A213,Map!$A:$A,Map!D:D)</f>
        <v>General and Admin</v>
      </c>
      <c r="I213" s="43" t="str">
        <f>_xlfn.XLOOKUP($A213,Map!$A:$A,Map!E:E)</f>
        <v>Business travel</v>
      </c>
      <c r="J213" s="43" t="str">
        <f>_xlfn.XLOOKUP($A213,Map!$A:$A,Map!F:F)</f>
        <v>Bussiness trip expenses</v>
      </c>
    </row>
    <row r="214" spans="1:10" x14ac:dyDescent="0.25">
      <c r="A214">
        <v>700039</v>
      </c>
      <c r="B214" t="s">
        <v>1061</v>
      </c>
      <c r="C214" s="116">
        <v>0</v>
      </c>
      <c r="D214" s="116">
        <v>26050.937000000002</v>
      </c>
      <c r="E214" s="116">
        <v>0</v>
      </c>
      <c r="F214" s="116">
        <v>26050.937000000002</v>
      </c>
      <c r="G214" s="43" t="str">
        <f>_xlfn.XLOOKUP($A214,Map!$A:$A,Map!C:C)</f>
        <v>IS</v>
      </c>
      <c r="H214" s="43" t="str">
        <f>_xlfn.XLOOKUP($A214,Map!$A:$A,Map!D:D)</f>
        <v>Selling and Marketing</v>
      </c>
      <c r="I214" s="43" t="str">
        <f>_xlfn.XLOOKUP($A214,Map!$A:$A,Map!E:E)</f>
        <v>Buffet expenses</v>
      </c>
      <c r="J214" s="43" t="str">
        <f>_xlfn.XLOOKUP($A214,Map!$A:$A,Map!F:F)</f>
        <v>Buffet expenses</v>
      </c>
    </row>
    <row r="215" spans="1:10" x14ac:dyDescent="0.25">
      <c r="A215">
        <v>700040</v>
      </c>
      <c r="B215" t="s">
        <v>1062</v>
      </c>
      <c r="C215" s="116">
        <v>0</v>
      </c>
      <c r="D215" s="116">
        <v>659323.45200000005</v>
      </c>
      <c r="E215" s="116">
        <v>0</v>
      </c>
      <c r="F215" s="116">
        <v>659323.45200000005</v>
      </c>
      <c r="G215" s="43" t="str">
        <f>_xlfn.XLOOKUP($A215,Map!$A:$A,Map!C:C)</f>
        <v>IS</v>
      </c>
      <c r="H215" s="43" t="str">
        <f>_xlfn.XLOOKUP($A215,Map!$A:$A,Map!D:D)</f>
        <v>General and Admin</v>
      </c>
      <c r="I215" s="43" t="str">
        <f>_xlfn.XLOOKUP($A215,Map!$A:$A,Map!E:E)</f>
        <v>Utilities</v>
      </c>
      <c r="J215" s="43" t="str">
        <f>_xlfn.XLOOKUP($A215,Map!$A:$A,Map!F:F)</f>
        <v xml:space="preserve">Cleaning Expenses </v>
      </c>
    </row>
    <row r="216" spans="1:10" x14ac:dyDescent="0.25">
      <c r="A216">
        <v>700041</v>
      </c>
      <c r="B216" t="s">
        <v>1063</v>
      </c>
      <c r="C216" s="116">
        <v>0</v>
      </c>
      <c r="D216" s="116">
        <v>426881.42599999998</v>
      </c>
      <c r="E216" s="116">
        <v>41666.917999999998</v>
      </c>
      <c r="F216" s="116">
        <v>385214.50799999997</v>
      </c>
      <c r="G216" s="43" t="str">
        <f>_xlfn.XLOOKUP($A216,Map!$A:$A,Map!C:C)</f>
        <v>IS</v>
      </c>
      <c r="H216" s="43" t="str">
        <f>_xlfn.XLOOKUP($A216,Map!$A:$A,Map!D:D)</f>
        <v>General and Admin</v>
      </c>
      <c r="I216" s="43" t="str">
        <f>_xlfn.XLOOKUP($A216,Map!$A:$A,Map!E:E)</f>
        <v>Salaries and wages</v>
      </c>
      <c r="J216" s="43" t="str">
        <f>_xlfn.XLOOKUP($A216,Map!$A:$A,Map!F:F)</f>
        <v>Recruitment</v>
      </c>
    </row>
    <row r="217" spans="1:10" x14ac:dyDescent="0.25">
      <c r="A217">
        <v>700042</v>
      </c>
      <c r="B217" t="s">
        <v>1064</v>
      </c>
      <c r="C217" s="116">
        <v>0</v>
      </c>
      <c r="D217" s="116">
        <v>270000</v>
      </c>
      <c r="E217" s="116">
        <v>120000</v>
      </c>
      <c r="F217" s="116">
        <v>150000</v>
      </c>
      <c r="G217" s="43" t="str">
        <f>_xlfn.XLOOKUP($A217,Map!$A:$A,Map!C:C)</f>
        <v>IS</v>
      </c>
      <c r="H217" s="43" t="str">
        <f>_xlfn.XLOOKUP($A217,Map!$A:$A,Map!D:D)</f>
        <v>General and Admin</v>
      </c>
      <c r="I217" s="43" t="str">
        <f>_xlfn.XLOOKUP($A217,Map!$A:$A,Map!E:E)</f>
        <v xml:space="preserve">Back office Support </v>
      </c>
      <c r="J217" s="43" t="str">
        <f>_xlfn.XLOOKUP($A217,Map!$A:$A,Map!F:F)</f>
        <v>Other expenses</v>
      </c>
    </row>
    <row r="218" spans="1:10" x14ac:dyDescent="0.25">
      <c r="A218">
        <v>700043</v>
      </c>
      <c r="B218" t="s">
        <v>1065</v>
      </c>
      <c r="C218" s="116">
        <v>0</v>
      </c>
      <c r="D218" s="116">
        <v>1610</v>
      </c>
      <c r="E218" s="116">
        <v>539</v>
      </c>
      <c r="F218" s="116">
        <v>1071</v>
      </c>
      <c r="G218" s="43" t="str">
        <f>_xlfn.XLOOKUP($A218,Map!$A:$A,Map!C:C)</f>
        <v>IS</v>
      </c>
      <c r="H218" s="43" t="str">
        <f>_xlfn.XLOOKUP($A218,Map!$A:$A,Map!D:D)</f>
        <v>General and Admin</v>
      </c>
      <c r="I218" s="43" t="str">
        <f>_xlfn.XLOOKUP($A218,Map!$A:$A,Map!E:E)</f>
        <v>Govt license and fees (including modon)</v>
      </c>
      <c r="J218" s="43" t="str">
        <f>_xlfn.XLOOKUP($A218,Map!$A:$A,Map!F:F)</f>
        <v>Licenses and fees</v>
      </c>
    </row>
    <row r="219" spans="1:10" x14ac:dyDescent="0.25">
      <c r="A219">
        <v>700044</v>
      </c>
      <c r="B219" t="s">
        <v>1066</v>
      </c>
      <c r="C219" s="116">
        <v>0</v>
      </c>
      <c r="D219" s="116">
        <v>66803.25</v>
      </c>
      <c r="E219" s="116">
        <v>575</v>
      </c>
      <c r="F219" s="116">
        <v>66228.25</v>
      </c>
      <c r="G219" s="43" t="str">
        <f>_xlfn.XLOOKUP($A219,Map!$A:$A,Map!C:C)</f>
        <v>IS</v>
      </c>
      <c r="H219" s="43" t="str">
        <f>_xlfn.XLOOKUP($A219,Map!$A:$A,Map!D:D)</f>
        <v>General and Admin</v>
      </c>
      <c r="I219" s="43" t="str">
        <f>_xlfn.XLOOKUP($A219,Map!$A:$A,Map!E:E)</f>
        <v>Govt license and fees (including modon)</v>
      </c>
      <c r="J219" s="43" t="str">
        <f>_xlfn.XLOOKUP($A219,Map!$A:$A,Map!F:F)</f>
        <v>Government fees</v>
      </c>
    </row>
    <row r="220" spans="1:10" x14ac:dyDescent="0.25">
      <c r="A220">
        <v>700045</v>
      </c>
      <c r="B220" t="s">
        <v>1067</v>
      </c>
      <c r="C220" s="116">
        <v>0</v>
      </c>
      <c r="D220" s="116">
        <v>4571660.1720000003</v>
      </c>
      <c r="E220" s="116">
        <v>607967.45799999998</v>
      </c>
      <c r="F220" s="116">
        <v>3963692.7140000002</v>
      </c>
      <c r="G220" s="43" t="str">
        <f>_xlfn.XLOOKUP($A220,Map!$A:$A,Map!C:C)</f>
        <v>IS</v>
      </c>
      <c r="H220" s="43" t="str">
        <f>_xlfn.XLOOKUP($A220,Map!$A:$A,Map!D:D)</f>
        <v>Finance cost</v>
      </c>
      <c r="I220" s="43" t="str">
        <f>_xlfn.XLOOKUP($A220,Map!$A:$A,Map!E:E)</f>
        <v>Finance cost</v>
      </c>
      <c r="J220" s="43" t="str">
        <f>_xlfn.XLOOKUP($A220,Map!$A:$A,Map!F:F)</f>
        <v>Bank charges</v>
      </c>
    </row>
    <row r="221" spans="1:10" x14ac:dyDescent="0.25">
      <c r="A221">
        <v>700048</v>
      </c>
      <c r="B221" t="s">
        <v>1069</v>
      </c>
      <c r="C221" s="116">
        <v>0</v>
      </c>
      <c r="D221" s="116">
        <v>796434.87</v>
      </c>
      <c r="E221" s="116">
        <v>650000</v>
      </c>
      <c r="F221" s="116">
        <v>146434.87</v>
      </c>
      <c r="G221" s="43" t="str">
        <f>_xlfn.XLOOKUP($A221,Map!$A:$A,Map!C:C)</f>
        <v>IS</v>
      </c>
      <c r="H221" s="43" t="str">
        <f>_xlfn.XLOOKUP($A221,Map!$A:$A,Map!D:D)</f>
        <v>Zakat</v>
      </c>
      <c r="I221" s="43" t="str">
        <f>_xlfn.XLOOKUP($A221,Map!$A:$A,Map!E:E)</f>
        <v>Zakat expenses</v>
      </c>
      <c r="J221" s="43" t="str">
        <f>_xlfn.XLOOKUP($A221,Map!$A:$A,Map!F:F)</f>
        <v>Zakat expenses</v>
      </c>
    </row>
    <row r="222" spans="1:10" x14ac:dyDescent="0.25">
      <c r="A222">
        <v>700049</v>
      </c>
      <c r="B222" t="s">
        <v>1070</v>
      </c>
      <c r="C222" s="116">
        <v>0</v>
      </c>
      <c r="D222" s="116">
        <v>438</v>
      </c>
      <c r="E222" s="116">
        <v>438</v>
      </c>
      <c r="F222" s="116">
        <v>0</v>
      </c>
      <c r="G222" s="43" t="str">
        <f>_xlfn.XLOOKUP($A222,Map!$A:$A,Map!C:C)</f>
        <v>IS</v>
      </c>
      <c r="H222" s="43" t="str">
        <f>_xlfn.XLOOKUP($A222,Map!$A:$A,Map!D:D)</f>
        <v>General and Admin</v>
      </c>
      <c r="I222" s="43" t="str">
        <f>_xlfn.XLOOKUP($A222,Map!$A:$A,Map!E:E)</f>
        <v>Salaries and wages</v>
      </c>
      <c r="J222" s="43" t="str">
        <f>_xlfn.XLOOKUP($A222,Map!$A:$A,Map!F:F)</f>
        <v>Sadagat expense</v>
      </c>
    </row>
    <row r="223" spans="1:10" x14ac:dyDescent="0.25">
      <c r="A223">
        <v>700050</v>
      </c>
      <c r="B223" t="s">
        <v>1071</v>
      </c>
      <c r="C223" s="116">
        <v>0</v>
      </c>
      <c r="D223" s="116">
        <v>0</v>
      </c>
      <c r="E223" s="116">
        <v>0</v>
      </c>
      <c r="F223" s="116">
        <v>0</v>
      </c>
      <c r="G223" s="43" t="str">
        <f>_xlfn.XLOOKUP($A223,Map!$A:$A,Map!C:C)</f>
        <v>IS</v>
      </c>
      <c r="H223" s="43" t="str">
        <f>_xlfn.XLOOKUP($A223,Map!$A:$A,Map!D:D)</f>
        <v>Depreciation expenses</v>
      </c>
      <c r="I223" s="43" t="str">
        <f>_xlfn.XLOOKUP($A223,Map!$A:$A,Map!E:E)</f>
        <v>Depreciation expenses</v>
      </c>
      <c r="J223" s="43" t="str">
        <f>_xlfn.XLOOKUP($A223,Map!$A:$A,Map!F:F)</f>
        <v>Depreciation of property, plant and equipment</v>
      </c>
    </row>
    <row r="224" spans="1:10" x14ac:dyDescent="0.25">
      <c r="A224">
        <v>700052</v>
      </c>
      <c r="B224" t="s">
        <v>1073</v>
      </c>
      <c r="C224" s="116">
        <v>0</v>
      </c>
      <c r="D224" s="116">
        <v>0</v>
      </c>
      <c r="E224" s="116">
        <v>0</v>
      </c>
      <c r="F224" s="116">
        <v>0</v>
      </c>
      <c r="G224" s="43" t="str">
        <f>_xlfn.XLOOKUP($A224,Map!$A:$A,Map!C:C)</f>
        <v>IS</v>
      </c>
      <c r="H224" s="43" t="str">
        <f>_xlfn.XLOOKUP($A224,Map!$A:$A,Map!D:D)</f>
        <v>Depreciation expenses</v>
      </c>
      <c r="I224" s="43" t="str">
        <f>_xlfn.XLOOKUP($A224,Map!$A:$A,Map!E:E)</f>
        <v>Depreciation expenses</v>
      </c>
      <c r="J224" s="43" t="str">
        <f>_xlfn.XLOOKUP($A224,Map!$A:$A,Map!F:F)</f>
        <v>Depreciation of property, plant and equipment</v>
      </c>
    </row>
    <row r="225" spans="1:10" x14ac:dyDescent="0.25">
      <c r="A225">
        <v>700053</v>
      </c>
      <c r="B225" t="s">
        <v>1074</v>
      </c>
      <c r="C225" s="116">
        <v>0</v>
      </c>
      <c r="D225" s="116">
        <v>0</v>
      </c>
      <c r="E225" s="116">
        <v>0</v>
      </c>
      <c r="F225" s="116">
        <v>0</v>
      </c>
      <c r="G225" s="43" t="str">
        <f>_xlfn.XLOOKUP($A225,Map!$A:$A,Map!C:C)</f>
        <v>IS</v>
      </c>
      <c r="H225" s="43" t="str">
        <f>_xlfn.XLOOKUP($A225,Map!$A:$A,Map!D:D)</f>
        <v>Depreciation expenses</v>
      </c>
      <c r="I225" s="43" t="str">
        <f>_xlfn.XLOOKUP($A225,Map!$A:$A,Map!E:E)</f>
        <v>Depreciation expenses</v>
      </c>
      <c r="J225" s="43" t="str">
        <f>_xlfn.XLOOKUP($A225,Map!$A:$A,Map!F:F)</f>
        <v>Depreciation of property, plant and equipment</v>
      </c>
    </row>
    <row r="226" spans="1:10" x14ac:dyDescent="0.25">
      <c r="A226">
        <v>700054</v>
      </c>
      <c r="B226" t="s">
        <v>1075</v>
      </c>
      <c r="C226" s="116">
        <v>0</v>
      </c>
      <c r="D226" s="116">
        <v>203609.02</v>
      </c>
      <c r="E226" s="116">
        <v>2622.9079999999999</v>
      </c>
      <c r="F226" s="116">
        <v>200986.11199999999</v>
      </c>
      <c r="G226" s="43" t="str">
        <f>_xlfn.XLOOKUP($A226,Map!$A:$A,Map!C:C)</f>
        <v>IS</v>
      </c>
      <c r="H226" s="43" t="str">
        <f>_xlfn.XLOOKUP($A226,Map!$A:$A,Map!D:D)</f>
        <v>Depreciation expenses</v>
      </c>
      <c r="I226" s="43" t="str">
        <f>_xlfn.XLOOKUP($A226,Map!$A:$A,Map!E:E)</f>
        <v>Depreciation expenses</v>
      </c>
      <c r="J226" s="43" t="str">
        <f>_xlfn.XLOOKUP($A226,Map!$A:$A,Map!F:F)</f>
        <v>Depreciation of property, plant and equipment</v>
      </c>
    </row>
    <row r="227" spans="1:10" x14ac:dyDescent="0.25">
      <c r="A227">
        <v>700055</v>
      </c>
      <c r="B227" t="s">
        <v>1076</v>
      </c>
      <c r="C227" s="116">
        <v>0</v>
      </c>
      <c r="D227" s="116">
        <v>119516.042</v>
      </c>
      <c r="E227" s="116">
        <v>0</v>
      </c>
      <c r="F227" s="116">
        <v>119516.042</v>
      </c>
      <c r="G227" s="43" t="str">
        <f>_xlfn.XLOOKUP($A227,Map!$A:$A,Map!C:C)</f>
        <v>IS</v>
      </c>
      <c r="H227" s="43" t="str">
        <f>_xlfn.XLOOKUP($A227,Map!$A:$A,Map!D:D)</f>
        <v>Depreciation expenses</v>
      </c>
      <c r="I227" s="43" t="str">
        <f>_xlfn.XLOOKUP($A227,Map!$A:$A,Map!E:E)</f>
        <v>Depreciation expenses</v>
      </c>
      <c r="J227" s="43" t="str">
        <f>_xlfn.XLOOKUP($A227,Map!$A:$A,Map!F:F)</f>
        <v>Depreciation of property, plant and equipment</v>
      </c>
    </row>
    <row r="228" spans="1:10" x14ac:dyDescent="0.25">
      <c r="A228">
        <v>700056</v>
      </c>
      <c r="B228" t="s">
        <v>1077</v>
      </c>
      <c r="C228" s="116">
        <v>0</v>
      </c>
      <c r="D228" s="116">
        <v>6000</v>
      </c>
      <c r="E228" s="116">
        <v>6000</v>
      </c>
      <c r="F228" s="116">
        <v>0</v>
      </c>
      <c r="G228" s="43" t="str">
        <f>_xlfn.XLOOKUP($A228,Map!$A:$A,Map!C:C)</f>
        <v>IS</v>
      </c>
      <c r="H228" s="43" t="str">
        <f>_xlfn.XLOOKUP($A228,Map!$A:$A,Map!D:D)</f>
        <v>Depreciation expenses</v>
      </c>
      <c r="I228" s="43" t="str">
        <f>_xlfn.XLOOKUP($A228,Map!$A:$A,Map!E:E)</f>
        <v>Depreciation expenses</v>
      </c>
      <c r="J228" s="43" t="str">
        <f>_xlfn.XLOOKUP($A228,Map!$A:$A,Map!F:F)</f>
        <v>Depreciation of property, plant and equipment</v>
      </c>
    </row>
    <row r="229" spans="1:10" x14ac:dyDescent="0.25">
      <c r="A229">
        <v>700057</v>
      </c>
      <c r="B229" t="s">
        <v>1078</v>
      </c>
      <c r="C229" s="116">
        <v>0</v>
      </c>
      <c r="D229" s="116">
        <v>265999.92</v>
      </c>
      <c r="E229" s="116">
        <v>0</v>
      </c>
      <c r="F229" s="116">
        <v>265999.92</v>
      </c>
      <c r="G229" s="43" t="str">
        <f>_xlfn.XLOOKUP($A229,Map!$A:$A,Map!C:C)</f>
        <v>IS</v>
      </c>
      <c r="H229" s="43" t="str">
        <f>_xlfn.XLOOKUP($A229,Map!$A:$A,Map!D:D)</f>
        <v>Cost of sales</v>
      </c>
      <c r="I229" s="43" t="str">
        <f>_xlfn.XLOOKUP($A229,Map!$A:$A,Map!E:E)</f>
        <v>Overhead - Rent</v>
      </c>
      <c r="J229" s="43" t="str">
        <f>_xlfn.XLOOKUP($A229,Map!$A:$A,Map!F:F)</f>
        <v>Warehouse Rent ( Khamis, Rioyadh, Dammam)</v>
      </c>
    </row>
    <row r="230" spans="1:10" x14ac:dyDescent="0.25">
      <c r="A230">
        <v>700058</v>
      </c>
      <c r="B230" t="s">
        <v>1079</v>
      </c>
      <c r="C230" s="116">
        <v>0</v>
      </c>
      <c r="D230" s="116">
        <v>245</v>
      </c>
      <c r="E230" s="116">
        <v>0</v>
      </c>
      <c r="F230" s="116">
        <v>245</v>
      </c>
      <c r="G230" s="43" t="str">
        <f>_xlfn.XLOOKUP($A230,Map!$A:$A,Map!C:C)</f>
        <v>IS</v>
      </c>
      <c r="H230" s="43" t="str">
        <f>_xlfn.XLOOKUP($A230,Map!$A:$A,Map!D:D)</f>
        <v>Selling and Marketing</v>
      </c>
      <c r="I230" s="43" t="str">
        <f>_xlfn.XLOOKUP($A230,Map!$A:$A,Map!E:E)</f>
        <v>Advertising and promotion expenses</v>
      </c>
      <c r="J230" s="43" t="str">
        <f>_xlfn.XLOOKUP($A230,Map!$A:$A,Map!F:F)</f>
        <v>Advertising and promotion expenses</v>
      </c>
    </row>
    <row r="231" spans="1:10" x14ac:dyDescent="0.25">
      <c r="A231">
        <v>700059</v>
      </c>
      <c r="B231" t="s">
        <v>1080</v>
      </c>
      <c r="C231" s="116">
        <v>0</v>
      </c>
      <c r="D231" s="116">
        <v>1315</v>
      </c>
      <c r="E231" s="116">
        <v>0</v>
      </c>
      <c r="F231" s="116">
        <v>1315</v>
      </c>
      <c r="G231" s="43" t="str">
        <f>_xlfn.XLOOKUP($A231,Map!$A:$A,Map!C:C)</f>
        <v>IS</v>
      </c>
      <c r="H231" s="43" t="str">
        <f>_xlfn.XLOOKUP($A231,Map!$A:$A,Map!D:D)</f>
        <v>Selling and Marketing</v>
      </c>
      <c r="I231" s="43" t="str">
        <f>_xlfn.XLOOKUP($A231,Map!$A:$A,Map!E:E)</f>
        <v>Exhibitions</v>
      </c>
      <c r="J231" s="43" t="str">
        <f>_xlfn.XLOOKUP($A231,Map!$A:$A,Map!F:F)</f>
        <v>Exhibitions</v>
      </c>
    </row>
    <row r="232" spans="1:10" x14ac:dyDescent="0.25">
      <c r="A232">
        <v>700060</v>
      </c>
      <c r="B232" t="s">
        <v>1081</v>
      </c>
      <c r="C232" s="116">
        <v>0</v>
      </c>
      <c r="D232" s="116">
        <v>14893336.74</v>
      </c>
      <c r="E232" s="116">
        <v>12093125.491</v>
      </c>
      <c r="F232" s="116">
        <v>2800211.2489999998</v>
      </c>
      <c r="G232" s="43" t="str">
        <f>_xlfn.XLOOKUP($A232,Map!$A:$A,Map!C:C)</f>
        <v>IS</v>
      </c>
      <c r="H232" s="43" t="str">
        <f>_xlfn.XLOOKUP($A232,Map!$A:$A,Map!D:D)</f>
        <v>Selling and Marketing</v>
      </c>
      <c r="I232" s="43" t="str">
        <f>_xlfn.XLOOKUP($A232,Map!$A:$A,Map!E:E)</f>
        <v>Freight and shipping expenses (S&amp;D)</v>
      </c>
      <c r="J232" s="43" t="str">
        <f>_xlfn.XLOOKUP($A232,Map!$A:$A,Map!F:F)</f>
        <v>Outbound freight / shipping — reclassified below gross profit under IFRS</v>
      </c>
    </row>
    <row r="233" spans="1:10" x14ac:dyDescent="0.25">
      <c r="A233">
        <v>700061</v>
      </c>
      <c r="B233" t="s">
        <v>1082</v>
      </c>
      <c r="C233" s="116">
        <v>0</v>
      </c>
      <c r="D233" s="116">
        <v>367072.77</v>
      </c>
      <c r="E233" s="116">
        <v>34130</v>
      </c>
      <c r="F233" s="116">
        <v>332942.77</v>
      </c>
      <c r="G233" s="43" t="str">
        <f>_xlfn.XLOOKUP($A233,Map!$A:$A,Map!C:C)</f>
        <v>IS</v>
      </c>
      <c r="H233" s="43" t="str">
        <f>_xlfn.XLOOKUP($A233,Map!$A:$A,Map!D:D)</f>
        <v>Selling and Marketing</v>
      </c>
      <c r="I233" s="43" t="str">
        <f>_xlfn.XLOOKUP($A233,Map!$A:$A,Map!E:E)</f>
        <v>Commission expenses</v>
      </c>
      <c r="J233" s="43" t="str">
        <f>_xlfn.XLOOKUP($A233,Map!$A:$A,Map!F:F)</f>
        <v>Commission expenses</v>
      </c>
    </row>
    <row r="234" spans="1:10" x14ac:dyDescent="0.25">
      <c r="A234">
        <v>700062</v>
      </c>
      <c r="B234" t="s">
        <v>1083</v>
      </c>
      <c r="C234" s="116">
        <v>0</v>
      </c>
      <c r="D234" s="116">
        <v>472144.65</v>
      </c>
      <c r="E234" s="116">
        <v>223369.65</v>
      </c>
      <c r="F234" s="116">
        <v>248775</v>
      </c>
      <c r="G234" s="43" t="str">
        <f>_xlfn.XLOOKUP($A234,Map!$A:$A,Map!C:C)</f>
        <v>IS</v>
      </c>
      <c r="H234" s="43" t="str">
        <f>_xlfn.XLOOKUP($A234,Map!$A:$A,Map!D:D)</f>
        <v>Revised provision on Bad Debts</v>
      </c>
      <c r="I234" s="43" t="str">
        <f>_xlfn.XLOOKUP($A234,Map!$A:$A,Map!E:E)</f>
        <v>Bad debts expense</v>
      </c>
      <c r="J234" s="43" t="str">
        <f>_xlfn.XLOOKUP($A234,Map!$A:$A,Map!F:F)</f>
        <v>Bad debts expense</v>
      </c>
    </row>
    <row r="235" spans="1:10" x14ac:dyDescent="0.25">
      <c r="A235">
        <v>700063</v>
      </c>
      <c r="B235" t="s">
        <v>1084</v>
      </c>
      <c r="C235" s="116">
        <v>0</v>
      </c>
      <c r="D235" s="116">
        <v>1227517.8500000001</v>
      </c>
      <c r="E235" s="116">
        <v>224135.75</v>
      </c>
      <c r="F235" s="116">
        <v>1003382.1</v>
      </c>
      <c r="G235" s="43" t="str">
        <f>_xlfn.XLOOKUP($A235,Map!$A:$A,Map!C:C)</f>
        <v>IS</v>
      </c>
      <c r="H235" s="43" t="str">
        <f>_xlfn.XLOOKUP($A235,Map!$A:$A,Map!D:D)</f>
        <v>General and Admin</v>
      </c>
      <c r="I235" s="43" t="str">
        <f>_xlfn.XLOOKUP($A235,Map!$A:$A,Map!E:E)</f>
        <v>Salaries and wages</v>
      </c>
      <c r="J235" s="43" t="str">
        <f>_xlfn.XLOOKUP($A235,Map!$A:$A,Map!F:F)</f>
        <v>GOSI</v>
      </c>
    </row>
    <row r="236" spans="1:10" x14ac:dyDescent="0.25">
      <c r="A236">
        <v>700064</v>
      </c>
      <c r="B236" t="s">
        <v>1085</v>
      </c>
      <c r="C236" s="116">
        <v>0</v>
      </c>
      <c r="D236" s="116">
        <v>11184.8</v>
      </c>
      <c r="E236" s="116">
        <v>11184.8</v>
      </c>
      <c r="F236" s="116">
        <v>0</v>
      </c>
      <c r="G236" s="43" t="str">
        <f>_xlfn.XLOOKUP($A236,Map!$A:$A,Map!C:C)</f>
        <v>IS</v>
      </c>
      <c r="H236" s="43" t="str">
        <f>_xlfn.XLOOKUP($A236,Map!$A:$A,Map!D:D)</f>
        <v>Pre-operating expenses</v>
      </c>
      <c r="I236" s="43" t="str">
        <f>_xlfn.XLOOKUP($A236,Map!$A:$A,Map!E:E)</f>
        <v>Pre-operating expenses</v>
      </c>
      <c r="J236" s="43" t="str">
        <f>_xlfn.XLOOKUP($A236,Map!$A:$A,Map!F:F)</f>
        <v>Amortization</v>
      </c>
    </row>
    <row r="237" spans="1:10" x14ac:dyDescent="0.25">
      <c r="A237">
        <v>700065</v>
      </c>
      <c r="B237" t="s">
        <v>1086</v>
      </c>
      <c r="C237" s="116">
        <v>0</v>
      </c>
      <c r="D237" s="116">
        <v>61904.56</v>
      </c>
      <c r="E237" s="116">
        <v>0</v>
      </c>
      <c r="F237" s="116">
        <v>61904.56</v>
      </c>
      <c r="G237" s="43" t="str">
        <f>_xlfn.XLOOKUP($A237,Map!$A:$A,Map!C:C)</f>
        <v>IS</v>
      </c>
      <c r="H237" s="43" t="str">
        <f>_xlfn.XLOOKUP($A237,Map!$A:$A,Map!D:D)</f>
        <v>Finance cost</v>
      </c>
      <c r="I237" s="43" t="str">
        <f>_xlfn.XLOOKUP($A237,Map!$A:$A,Map!E:E)</f>
        <v>Finance cost</v>
      </c>
      <c r="J237" s="43" t="str">
        <f>_xlfn.XLOOKUP($A237,Map!$A:$A,Map!F:F)</f>
        <v>Lease interest</v>
      </c>
    </row>
    <row r="238" spans="1:10" x14ac:dyDescent="0.25">
      <c r="A238">
        <v>700066</v>
      </c>
      <c r="B238" t="s">
        <v>1087</v>
      </c>
      <c r="C238" s="116">
        <v>0</v>
      </c>
      <c r="D238" s="116">
        <v>115133.194</v>
      </c>
      <c r="E238" s="116">
        <v>0</v>
      </c>
      <c r="F238" s="116">
        <v>115133.194</v>
      </c>
      <c r="G238" s="43" t="str">
        <f>_xlfn.XLOOKUP($A238,Map!$A:$A,Map!C:C)</f>
        <v>IS</v>
      </c>
      <c r="H238" s="43" t="str">
        <f>_xlfn.XLOOKUP($A238,Map!$A:$A,Map!D:D)</f>
        <v>General and Admin</v>
      </c>
      <c r="I238" s="43" t="str">
        <f>_xlfn.XLOOKUP($A238,Map!$A:$A,Map!E:E)</f>
        <v>Govt license and fees (including modon)</v>
      </c>
      <c r="J238" s="43" t="str">
        <f>_xlfn.XLOOKUP($A238,Map!$A:$A,Map!F:F)</f>
        <v>3rd Industrial Area Lease Provision</v>
      </c>
    </row>
    <row r="239" spans="1:10" x14ac:dyDescent="0.25">
      <c r="A239">
        <v>800001</v>
      </c>
      <c r="B239" t="s">
        <v>1099</v>
      </c>
      <c r="C239" s="116">
        <v>0</v>
      </c>
      <c r="D239" s="116">
        <v>0</v>
      </c>
      <c r="E239" s="116">
        <v>0</v>
      </c>
      <c r="F239" s="116">
        <v>0</v>
      </c>
      <c r="G239" s="43" t="str">
        <f>_xlfn.XLOOKUP($A239,Map!$A:$A,Map!C:C)</f>
        <v>IS</v>
      </c>
      <c r="H239" s="43" t="str">
        <f>_xlfn.XLOOKUP($A239,Map!$A:$A,Map!D:D)</f>
        <v>General and Admin</v>
      </c>
      <c r="I239" s="43" t="str">
        <f>_xlfn.XLOOKUP($A239,Map!$A:$A,Map!E:E)</f>
        <v>Salaries and wages</v>
      </c>
      <c r="J239" s="43" t="str">
        <f>_xlfn.XLOOKUP($A239,Map!$A:$A,Map!F:F)</f>
        <v>Aims Holding current account expense — per Sep-26 IFRS report</v>
      </c>
    </row>
    <row r="241" spans="1:10" x14ac:dyDescent="0.25">
      <c r="C241" s="153">
        <f>SUBTOTAL(9,C5:C240)</f>
        <v>1.0430812835693359E-7</v>
      </c>
      <c r="D241" s="153">
        <f>SUBTOTAL(9,D5:D240)</f>
        <v>2667376368.9409981</v>
      </c>
      <c r="E241" s="153">
        <f>SUBTOTAL(9,E5:E240)</f>
        <v>2667376368.9409995</v>
      </c>
      <c r="F241" s="153">
        <f>SUBTOTAL(9,F5:F240)</f>
        <v>8.0253812484443188E-8</v>
      </c>
    </row>
    <row r="242" spans="1:10" x14ac:dyDescent="0.25">
      <c r="C242" s="153"/>
      <c r="D242" s="153"/>
      <c r="E242" s="153"/>
      <c r="F242" s="153"/>
    </row>
    <row r="243" spans="1:10" x14ac:dyDescent="0.25">
      <c r="A243" s="85" t="s">
        <v>1341</v>
      </c>
    </row>
    <row r="244" spans="1:10" x14ac:dyDescent="0.25">
      <c r="A244">
        <v>600060</v>
      </c>
      <c r="B244" t="s">
        <v>1022</v>
      </c>
      <c r="D244" s="116">
        <v>0</v>
      </c>
      <c r="E244" s="116">
        <v>751257.5</v>
      </c>
      <c r="F244" s="116">
        <f t="shared" ref="F244:F291" si="0">D244-E244</f>
        <v>-751257.5</v>
      </c>
      <c r="G244" s="43" t="str">
        <f>_xlfn.XLOOKUP($A244,Map!$A:$A,Map!C:C)</f>
        <v>IS</v>
      </c>
      <c r="H244" s="43" t="str">
        <f>_xlfn.XLOOKUP($A244,Map!$A:$A,Map!D:D)</f>
        <v>Other Income</v>
      </c>
      <c r="I244" s="43" t="str">
        <f>_xlfn.XLOOKUP($A244,Map!$A:$A,Map!E:E)</f>
        <v>Other Income</v>
      </c>
      <c r="J244" s="43" t="str">
        <f>_xlfn.XLOOKUP($A244,Map!$A:$A,Map!F:F)</f>
        <v>Hadaf program</v>
      </c>
    </row>
    <row r="245" spans="1:10" x14ac:dyDescent="0.25">
      <c r="A245">
        <v>600033</v>
      </c>
      <c r="B245" t="s">
        <v>1010</v>
      </c>
      <c r="D245" s="116">
        <v>160113</v>
      </c>
      <c r="E245" s="116">
        <v>0</v>
      </c>
      <c r="F245" s="116">
        <f t="shared" si="0"/>
        <v>160113</v>
      </c>
      <c r="G245" s="43" t="str">
        <f>_xlfn.XLOOKUP($A245,Map!$A:$A,Map!C:C)</f>
        <v>IS</v>
      </c>
      <c r="H245" s="43" t="str">
        <f>_xlfn.XLOOKUP($A245,Map!$A:$A,Map!D:D)</f>
        <v>Depreciation expenses</v>
      </c>
      <c r="I245" s="43" t="str">
        <f>_xlfn.XLOOKUP($A245,Map!$A:$A,Map!E:E)</f>
        <v>Depreciation expenses</v>
      </c>
      <c r="J245" s="43" t="str">
        <f>_xlfn.XLOOKUP($A245,Map!$A:$A,Map!F:F)</f>
        <v>Depreciation of property, plant and equipment</v>
      </c>
    </row>
    <row r="246" spans="1:10" x14ac:dyDescent="0.25">
      <c r="A246">
        <v>600032</v>
      </c>
      <c r="B246" t="s">
        <v>1009</v>
      </c>
      <c r="D246" s="116">
        <v>1566844.1880000001</v>
      </c>
      <c r="E246" s="116">
        <v>0</v>
      </c>
      <c r="F246" s="116">
        <f t="shared" si="0"/>
        <v>1566844.1880000001</v>
      </c>
      <c r="G246" s="43" t="str">
        <f>_xlfn.XLOOKUP($A246,Map!$A:$A,Map!C:C)</f>
        <v>IS</v>
      </c>
      <c r="H246" s="43" t="str">
        <f>_xlfn.XLOOKUP($A246,Map!$A:$A,Map!D:D)</f>
        <v>Depreciation expenses</v>
      </c>
      <c r="I246" s="43" t="str">
        <f>_xlfn.XLOOKUP($A246,Map!$A:$A,Map!E:E)</f>
        <v>Depreciation expenses</v>
      </c>
      <c r="J246" s="43" t="str">
        <f>_xlfn.XLOOKUP($A246,Map!$A:$A,Map!F:F)</f>
        <v>Depreciation of property, plant and equipment</v>
      </c>
    </row>
    <row r="247" spans="1:10" x14ac:dyDescent="0.25">
      <c r="A247">
        <v>600030</v>
      </c>
      <c r="B247" t="s">
        <v>1007</v>
      </c>
      <c r="D247" s="116">
        <v>76450.78</v>
      </c>
      <c r="E247" s="116">
        <v>0</v>
      </c>
      <c r="F247" s="116">
        <f t="shared" si="0"/>
        <v>76450.78</v>
      </c>
      <c r="G247" s="43" t="str">
        <f>_xlfn.XLOOKUP($A247,Map!$A:$A,Map!C:C)</f>
        <v>IS</v>
      </c>
      <c r="H247" s="43" t="str">
        <f>_xlfn.XLOOKUP($A247,Map!$A:$A,Map!D:D)</f>
        <v>Depreciation expenses</v>
      </c>
      <c r="I247" s="43" t="str">
        <f>_xlfn.XLOOKUP($A247,Map!$A:$A,Map!E:E)</f>
        <v>Depreciation expenses</v>
      </c>
      <c r="J247" s="43" t="str">
        <f>_xlfn.XLOOKUP($A247,Map!$A:$A,Map!F:F)</f>
        <v>Depreciation of property, plant and equipment</v>
      </c>
    </row>
    <row r="248" spans="1:10" x14ac:dyDescent="0.25">
      <c r="A248">
        <v>600029</v>
      </c>
      <c r="B248" t="s">
        <v>1006</v>
      </c>
      <c r="D248" s="116">
        <v>3446969.5830000001</v>
      </c>
      <c r="E248" s="116">
        <v>0</v>
      </c>
      <c r="F248" s="116">
        <f t="shared" si="0"/>
        <v>3446969.5830000001</v>
      </c>
      <c r="G248" s="43" t="str">
        <f>_xlfn.XLOOKUP($A248,Map!$A:$A,Map!C:C)</f>
        <v>IS</v>
      </c>
      <c r="H248" s="43" t="str">
        <f>_xlfn.XLOOKUP($A248,Map!$A:$A,Map!D:D)</f>
        <v>Cost of sales</v>
      </c>
      <c r="I248" s="43" t="str">
        <f>_xlfn.XLOOKUP($A248,Map!$A:$A,Map!E:E)</f>
        <v>Depreciation - Machines</v>
      </c>
      <c r="J248" s="43" t="str">
        <f>_xlfn.XLOOKUP($A248,Map!$A:$A,Map!F:F)</f>
        <v>Depreciation of property, plant and equipment</v>
      </c>
    </row>
    <row r="249" spans="1:10" x14ac:dyDescent="0.25">
      <c r="A249">
        <v>600028</v>
      </c>
      <c r="B249" t="s">
        <v>1005</v>
      </c>
      <c r="D249" s="116">
        <v>11936.77</v>
      </c>
      <c r="E249" s="116">
        <v>0</v>
      </c>
      <c r="F249" s="116">
        <f t="shared" si="0"/>
        <v>11936.77</v>
      </c>
      <c r="G249" s="43" t="str">
        <f>_xlfn.XLOOKUP($A249,Map!$A:$A,Map!C:C)</f>
        <v>IS</v>
      </c>
      <c r="H249" s="43" t="str">
        <f>_xlfn.XLOOKUP($A249,Map!$A:$A,Map!D:D)</f>
        <v>Cost of sales</v>
      </c>
      <c r="I249" s="43" t="str">
        <f>_xlfn.XLOOKUP($A249,Map!$A:$A,Map!E:E)</f>
        <v>Overhead - Consumables &amp; SP</v>
      </c>
      <c r="J249" s="43" t="str">
        <f>_xlfn.XLOOKUP($A249,Map!$A:$A,Map!F:F)</f>
        <v xml:space="preserve">Education &amp; Furniture Allowances </v>
      </c>
    </row>
    <row r="250" spans="1:10" x14ac:dyDescent="0.25">
      <c r="A250">
        <v>600023</v>
      </c>
      <c r="B250" t="s">
        <v>1000</v>
      </c>
      <c r="D250" s="116">
        <v>101452.5</v>
      </c>
      <c r="E250" s="116">
        <v>0</v>
      </c>
      <c r="F250" s="116">
        <f t="shared" si="0"/>
        <v>101452.5</v>
      </c>
      <c r="G250" s="43" t="str">
        <f>_xlfn.XLOOKUP($A250,Map!$A:$A,Map!C:C)</f>
        <v>IS</v>
      </c>
      <c r="H250" s="43" t="str">
        <f>_xlfn.XLOOKUP($A250,Map!$A:$A,Map!D:D)</f>
        <v>Cost of sales</v>
      </c>
      <c r="I250" s="43" t="str">
        <f>_xlfn.XLOOKUP($A250,Map!$A:$A,Map!E:E)</f>
        <v>Overhead - R&amp;M</v>
      </c>
      <c r="J250" s="43" t="str">
        <f>_xlfn.XLOOKUP($A250,Map!$A:$A,Map!F:F)</f>
        <v>Office equipment maintenance</v>
      </c>
    </row>
    <row r="251" spans="1:10" x14ac:dyDescent="0.25">
      <c r="A251">
        <v>600022</v>
      </c>
      <c r="B251" t="s">
        <v>999</v>
      </c>
      <c r="D251" s="116">
        <v>188518.36600000001</v>
      </c>
      <c r="E251" s="116">
        <v>0</v>
      </c>
      <c r="F251" s="116">
        <f t="shared" si="0"/>
        <v>188518.36600000001</v>
      </c>
      <c r="G251" s="43" t="str">
        <f>_xlfn.XLOOKUP($A251,Map!$A:$A,Map!C:C)</f>
        <v>IS</v>
      </c>
      <c r="H251" s="43" t="str">
        <f>_xlfn.XLOOKUP($A251,Map!$A:$A,Map!D:D)</f>
        <v>Cost of sales</v>
      </c>
      <c r="I251" s="43" t="str">
        <f>_xlfn.XLOOKUP($A251,Map!$A:$A,Map!E:E)</f>
        <v>Overhead - R&amp;M</v>
      </c>
      <c r="J251" s="43" t="str">
        <f>_xlfn.XLOOKUP($A251,Map!$A:$A,Map!F:F)</f>
        <v>Building maintenance</v>
      </c>
    </row>
    <row r="252" spans="1:10" x14ac:dyDescent="0.25">
      <c r="A252">
        <v>600021</v>
      </c>
      <c r="B252" t="s">
        <v>998</v>
      </c>
      <c r="D252" s="116">
        <v>51658.334999999999</v>
      </c>
      <c r="E252" s="116">
        <v>0</v>
      </c>
      <c r="F252" s="116">
        <f t="shared" si="0"/>
        <v>51658.334999999999</v>
      </c>
      <c r="G252" s="43" t="str">
        <f>_xlfn.XLOOKUP($A252,Map!$A:$A,Map!C:C)</f>
        <v>IS</v>
      </c>
      <c r="H252" s="43" t="str">
        <f>_xlfn.XLOOKUP($A252,Map!$A:$A,Map!D:D)</f>
        <v>Cost of sales</v>
      </c>
      <c r="I252" s="43" t="str">
        <f>_xlfn.XLOOKUP($A252,Map!$A:$A,Map!E:E)</f>
        <v>Overhead - R&amp;M</v>
      </c>
      <c r="J252" s="43" t="str">
        <f>_xlfn.XLOOKUP($A252,Map!$A:$A,Map!F:F)</f>
        <v>Vehicle maintenance</v>
      </c>
    </row>
    <row r="253" spans="1:10" x14ac:dyDescent="0.25">
      <c r="A253">
        <v>600020</v>
      </c>
      <c r="B253" t="s">
        <v>997</v>
      </c>
      <c r="D253" s="116">
        <v>1423670.814</v>
      </c>
      <c r="E253" s="116">
        <v>0</v>
      </c>
      <c r="F253" s="116">
        <f t="shared" si="0"/>
        <v>1423670.814</v>
      </c>
      <c r="G253" s="43" t="str">
        <f>_xlfn.XLOOKUP($A253,Map!$A:$A,Map!C:C)</f>
        <v>IS</v>
      </c>
      <c r="H253" s="43" t="str">
        <f>_xlfn.XLOOKUP($A253,Map!$A:$A,Map!D:D)</f>
        <v>Cost of sales</v>
      </c>
      <c r="I253" s="43" t="str">
        <f>_xlfn.XLOOKUP($A253,Map!$A:$A,Map!E:E)</f>
        <v>Overhead - R&amp;M</v>
      </c>
      <c r="J253" s="43" t="str">
        <f>_xlfn.XLOOKUP($A253,Map!$A:$A,Map!F:F)</f>
        <v>Machine and equipment</v>
      </c>
    </row>
    <row r="254" spans="1:10" x14ac:dyDescent="0.25">
      <c r="A254">
        <v>600019</v>
      </c>
      <c r="B254" t="s">
        <v>996</v>
      </c>
      <c r="D254" s="116">
        <v>213234.52900000001</v>
      </c>
      <c r="E254" s="116">
        <v>0</v>
      </c>
      <c r="F254" s="116">
        <f t="shared" si="0"/>
        <v>213234.52900000001</v>
      </c>
      <c r="G254" s="43" t="str">
        <f>_xlfn.XLOOKUP($A254,Map!$A:$A,Map!C:C)</f>
        <v>IS</v>
      </c>
      <c r="H254" s="43" t="str">
        <f>_xlfn.XLOOKUP($A254,Map!$A:$A,Map!D:D)</f>
        <v>Cost of sales</v>
      </c>
      <c r="I254" s="43" t="str">
        <f>_xlfn.XLOOKUP($A254,Map!$A:$A,Map!E:E)</f>
        <v>Overhead - Utility</v>
      </c>
      <c r="J254" s="43" t="str">
        <f>_xlfn.XLOOKUP($A254,Map!$A:$A,Map!F:F)</f>
        <v>Fuel and oil</v>
      </c>
    </row>
    <row r="255" spans="1:10" x14ac:dyDescent="0.25">
      <c r="A255">
        <v>600018</v>
      </c>
      <c r="B255" t="s">
        <v>995</v>
      </c>
      <c r="D255" s="116">
        <v>206252.087</v>
      </c>
      <c r="E255" s="116">
        <v>0</v>
      </c>
      <c r="F255" s="116">
        <f t="shared" si="0"/>
        <v>206252.087</v>
      </c>
      <c r="G255" s="43" t="str">
        <f>_xlfn.XLOOKUP($A255,Map!$A:$A,Map!C:C)</f>
        <v>IS</v>
      </c>
      <c r="H255" s="43" t="str">
        <f>_xlfn.XLOOKUP($A255,Map!$A:$A,Map!D:D)</f>
        <v>Cost of sales</v>
      </c>
      <c r="I255" s="43" t="str">
        <f>_xlfn.XLOOKUP($A255,Map!$A:$A,Map!E:E)</f>
        <v>Overhead - Utility</v>
      </c>
      <c r="J255" s="43" t="str">
        <f>_xlfn.XLOOKUP($A255,Map!$A:$A,Map!F:F)</f>
        <v>Water expenses</v>
      </c>
    </row>
    <row r="256" spans="1:10" x14ac:dyDescent="0.25">
      <c r="A256">
        <v>600017</v>
      </c>
      <c r="B256" t="s">
        <v>994</v>
      </c>
      <c r="D256" s="116">
        <v>2408817.8130000001</v>
      </c>
      <c r="E256" s="116">
        <v>0</v>
      </c>
      <c r="F256" s="116">
        <f t="shared" si="0"/>
        <v>2408817.8130000001</v>
      </c>
      <c r="G256" s="43" t="str">
        <f>_xlfn.XLOOKUP($A256,Map!$A:$A,Map!C:C)</f>
        <v>IS</v>
      </c>
      <c r="H256" s="43" t="str">
        <f>_xlfn.XLOOKUP($A256,Map!$A:$A,Map!D:D)</f>
        <v>Cost of sales</v>
      </c>
      <c r="I256" s="43" t="str">
        <f>_xlfn.XLOOKUP($A256,Map!$A:$A,Map!E:E)</f>
        <v>Overhead - Utility</v>
      </c>
      <c r="J256" s="43" t="str">
        <f>_xlfn.XLOOKUP($A256,Map!$A:$A,Map!F:F)</f>
        <v>Electricity expenses</v>
      </c>
    </row>
    <row r="257" spans="1:10" x14ac:dyDescent="0.25">
      <c r="A257">
        <v>600016</v>
      </c>
      <c r="B257" t="s">
        <v>993</v>
      </c>
      <c r="D257" s="116">
        <v>4889495.5690000001</v>
      </c>
      <c r="E257" s="116">
        <v>0</v>
      </c>
      <c r="F257" s="116">
        <f t="shared" si="0"/>
        <v>4889495.5690000001</v>
      </c>
      <c r="G257" s="43" t="str">
        <f>_xlfn.XLOOKUP($A257,Map!$A:$A,Map!C:C)</f>
        <v>IS</v>
      </c>
      <c r="H257" s="43" t="str">
        <f>_xlfn.XLOOKUP($A257,Map!$A:$A,Map!D:D)</f>
        <v>Cost of sales</v>
      </c>
      <c r="I257" s="43" t="str">
        <f>_xlfn.XLOOKUP($A257,Map!$A:$A,Map!E:E)</f>
        <v>Overhead - Consumables &amp; SP</v>
      </c>
      <c r="J257" s="43" t="str">
        <f>_xlfn.XLOOKUP($A257,Map!$A:$A,Map!F:F)</f>
        <v>Tools</v>
      </c>
    </row>
    <row r="258" spans="1:10" x14ac:dyDescent="0.25">
      <c r="A258">
        <v>600014</v>
      </c>
      <c r="B258" t="s">
        <v>884</v>
      </c>
      <c r="D258" s="116">
        <v>1509545.075</v>
      </c>
      <c r="E258" s="116">
        <v>0</v>
      </c>
      <c r="F258" s="116">
        <f t="shared" si="0"/>
        <v>1509545.075</v>
      </c>
      <c r="G258" s="43" t="str">
        <f>_xlfn.XLOOKUP($A258,Map!$A:$A,Map!C:C)</f>
        <v>IS</v>
      </c>
      <c r="H258" s="43" t="str">
        <f>_xlfn.XLOOKUP($A258,Map!$A:$A,Map!D:D)</f>
        <v>Cost of sales</v>
      </c>
      <c r="I258" s="43" t="str">
        <f>_xlfn.XLOOKUP($A258,Map!$A:$A,Map!E:E)</f>
        <v>Overhead - Consumables &amp; SP</v>
      </c>
      <c r="J258" s="43" t="str">
        <f>_xlfn.XLOOKUP($A258,Map!$A:$A,Map!F:F)</f>
        <v>Consumables</v>
      </c>
    </row>
    <row r="259" spans="1:10" x14ac:dyDescent="0.25">
      <c r="A259">
        <v>600013</v>
      </c>
      <c r="B259" t="s">
        <v>991</v>
      </c>
      <c r="D259" s="116">
        <v>150</v>
      </c>
      <c r="E259" s="116">
        <v>0</v>
      </c>
      <c r="F259" s="116">
        <f t="shared" si="0"/>
        <v>150</v>
      </c>
      <c r="G259" s="43" t="str">
        <f>_xlfn.XLOOKUP($A259,Map!$A:$A,Map!C:C)</f>
        <v>IS</v>
      </c>
      <c r="H259" s="43" t="str">
        <f>_xlfn.XLOOKUP($A259,Map!$A:$A,Map!D:D)</f>
        <v>Cost of sales</v>
      </c>
      <c r="I259" s="43" t="str">
        <f>_xlfn.XLOOKUP($A259,Map!$A:$A,Map!E:E)</f>
        <v>Overhead - Labor Cost</v>
      </c>
      <c r="J259" s="43" t="str">
        <f>_xlfn.XLOOKUP($A259,Map!$A:$A,Map!F:F)</f>
        <v>Telephone allowance</v>
      </c>
    </row>
    <row r="260" spans="1:10" x14ac:dyDescent="0.25">
      <c r="A260">
        <v>600011</v>
      </c>
      <c r="B260" t="s">
        <v>989</v>
      </c>
      <c r="D260" s="116">
        <v>23390</v>
      </c>
      <c r="E260" s="116">
        <v>0</v>
      </c>
      <c r="F260" s="116">
        <f t="shared" si="0"/>
        <v>23390</v>
      </c>
      <c r="G260" s="43" t="str">
        <f>_xlfn.XLOOKUP($A260,Map!$A:$A,Map!C:C)</f>
        <v>IS</v>
      </c>
      <c r="H260" s="43" t="str">
        <f>_xlfn.XLOOKUP($A260,Map!$A:$A,Map!D:D)</f>
        <v>Cost of sales</v>
      </c>
      <c r="I260" s="43" t="str">
        <f>_xlfn.XLOOKUP($A260,Map!$A:$A,Map!E:E)</f>
        <v>Overhead - Labor Cost</v>
      </c>
      <c r="J260" s="43" t="str">
        <f>_xlfn.XLOOKUP($A260,Map!$A:$A,Map!F:F)</f>
        <v>Air tickets</v>
      </c>
    </row>
    <row r="261" spans="1:10" x14ac:dyDescent="0.25">
      <c r="A261">
        <v>600010</v>
      </c>
      <c r="B261" t="s">
        <v>988</v>
      </c>
      <c r="D261" s="116">
        <v>20443</v>
      </c>
      <c r="E261" s="116">
        <v>0</v>
      </c>
      <c r="F261" s="116">
        <f t="shared" si="0"/>
        <v>20443</v>
      </c>
      <c r="G261" s="43" t="str">
        <f>_xlfn.XLOOKUP($A261,Map!$A:$A,Map!C:C)</f>
        <v>IS</v>
      </c>
      <c r="H261" s="43" t="str">
        <f>_xlfn.XLOOKUP($A261,Map!$A:$A,Map!D:D)</f>
        <v>Cost of sales</v>
      </c>
      <c r="I261" s="43" t="str">
        <f>_xlfn.XLOOKUP($A261,Map!$A:$A,Map!E:E)</f>
        <v>Overhead - Labor Cost</v>
      </c>
      <c r="J261" s="43" t="str">
        <f>_xlfn.XLOOKUP($A261,Map!$A:$A,Map!F:F)</f>
        <v>EOS expenses</v>
      </c>
    </row>
    <row r="262" spans="1:10" x14ac:dyDescent="0.25">
      <c r="A262">
        <v>600009</v>
      </c>
      <c r="B262" t="s">
        <v>987</v>
      </c>
      <c r="D262" s="116">
        <v>330456.03499999997</v>
      </c>
      <c r="E262" s="116">
        <v>0</v>
      </c>
      <c r="F262" s="116">
        <f t="shared" si="0"/>
        <v>330456.03499999997</v>
      </c>
      <c r="G262" s="43" t="str">
        <f>_xlfn.XLOOKUP($A262,Map!$A:$A,Map!C:C)</f>
        <v>IS</v>
      </c>
      <c r="H262" s="43" t="str">
        <f>_xlfn.XLOOKUP($A262,Map!$A:$A,Map!D:D)</f>
        <v>Cost of sales</v>
      </c>
      <c r="I262" s="43" t="str">
        <f>_xlfn.XLOOKUP($A262,Map!$A:$A,Map!E:E)</f>
        <v>Overhead - Labor Cost</v>
      </c>
      <c r="J262" s="43" t="str">
        <f>_xlfn.XLOOKUP($A262,Map!$A:$A,Map!F:F)</f>
        <v>Vacation pay</v>
      </c>
    </row>
    <row r="263" spans="1:10" x14ac:dyDescent="0.25">
      <c r="A263">
        <v>600008</v>
      </c>
      <c r="B263" t="s">
        <v>986</v>
      </c>
      <c r="D263" s="116">
        <v>419534.58600000001</v>
      </c>
      <c r="E263" s="116">
        <v>0</v>
      </c>
      <c r="F263" s="116">
        <f t="shared" si="0"/>
        <v>419534.58600000001</v>
      </c>
      <c r="G263" s="43" t="str">
        <f>_xlfn.XLOOKUP($A263,Map!$A:$A,Map!C:C)</f>
        <v>IS</v>
      </c>
      <c r="H263" s="43" t="str">
        <f>_xlfn.XLOOKUP($A263,Map!$A:$A,Map!D:D)</f>
        <v>Cost of sales</v>
      </c>
      <c r="I263" s="43" t="str">
        <f>_xlfn.XLOOKUP($A263,Map!$A:$A,Map!E:E)</f>
        <v>Overhead - Labor Cost</v>
      </c>
      <c r="J263" s="43" t="str">
        <f>_xlfn.XLOOKUP($A263,Map!$A:$A,Map!F:F)</f>
        <v>Air tickets</v>
      </c>
    </row>
    <row r="264" spans="1:10" x14ac:dyDescent="0.25">
      <c r="A264">
        <v>600007</v>
      </c>
      <c r="B264" t="s">
        <v>985</v>
      </c>
      <c r="D264" s="116">
        <v>72600</v>
      </c>
      <c r="E264" s="116">
        <v>0</v>
      </c>
      <c r="F264" s="116">
        <f t="shared" si="0"/>
        <v>72600</v>
      </c>
      <c r="G264" s="43" t="str">
        <f>_xlfn.XLOOKUP($A264,Map!$A:$A,Map!C:C)</f>
        <v>IS</v>
      </c>
      <c r="H264" s="43" t="str">
        <f>_xlfn.XLOOKUP($A264,Map!$A:$A,Map!D:D)</f>
        <v>Cost of sales</v>
      </c>
      <c r="I264" s="43" t="str">
        <f>_xlfn.XLOOKUP($A264,Map!$A:$A,Map!E:E)</f>
        <v>Overhead - Labor Cost</v>
      </c>
      <c r="J264" s="43" t="str">
        <f>_xlfn.XLOOKUP($A264,Map!$A:$A,Map!F:F)</f>
        <v>Transportation allowance</v>
      </c>
    </row>
    <row r="265" spans="1:10" x14ac:dyDescent="0.25">
      <c r="A265">
        <v>600006</v>
      </c>
      <c r="B265" t="s">
        <v>984</v>
      </c>
      <c r="D265" s="116">
        <v>1088432.7250000001</v>
      </c>
      <c r="E265" s="116">
        <v>0</v>
      </c>
      <c r="F265" s="116">
        <f t="shared" si="0"/>
        <v>1088432.7250000001</v>
      </c>
      <c r="G265" s="43" t="str">
        <f>_xlfn.XLOOKUP($A265,Map!$A:$A,Map!C:C)</f>
        <v>IS</v>
      </c>
      <c r="H265" s="43" t="str">
        <f>_xlfn.XLOOKUP($A265,Map!$A:$A,Map!D:D)</f>
        <v>Cost of sales</v>
      </c>
      <c r="I265" s="43" t="str">
        <f>_xlfn.XLOOKUP($A265,Map!$A:$A,Map!E:E)</f>
        <v>Overhead - Labor Cost</v>
      </c>
      <c r="J265" s="43" t="str">
        <f>_xlfn.XLOOKUP($A265,Map!$A:$A,Map!F:F)</f>
        <v xml:space="preserve">Food &amp; Housing </v>
      </c>
    </row>
    <row r="266" spans="1:10" x14ac:dyDescent="0.25">
      <c r="A266">
        <v>600005</v>
      </c>
      <c r="B266" t="s">
        <v>983</v>
      </c>
      <c r="D266" s="116">
        <v>675532.28</v>
      </c>
      <c r="E266" s="116">
        <v>0</v>
      </c>
      <c r="F266" s="116">
        <f t="shared" si="0"/>
        <v>675532.28</v>
      </c>
      <c r="G266" s="43" t="str">
        <f>_xlfn.XLOOKUP($A266,Map!$A:$A,Map!C:C)</f>
        <v>IS</v>
      </c>
      <c r="H266" s="43" t="str">
        <f>_xlfn.XLOOKUP($A266,Map!$A:$A,Map!D:D)</f>
        <v>General and Admin</v>
      </c>
      <c r="I266" s="43" t="str">
        <f>_xlfn.XLOOKUP($A266,Map!$A:$A,Map!E:E)</f>
        <v>Govt license and fees (including modon)</v>
      </c>
      <c r="J266" s="43" t="str">
        <f>_xlfn.XLOOKUP($A266,Map!$A:$A,Map!F:F)</f>
        <v>Government fees</v>
      </c>
    </row>
    <row r="267" spans="1:10" x14ac:dyDescent="0.25">
      <c r="A267">
        <v>600004</v>
      </c>
      <c r="B267" t="s">
        <v>982</v>
      </c>
      <c r="D267" s="116">
        <v>102651.15</v>
      </c>
      <c r="E267" s="116">
        <v>0</v>
      </c>
      <c r="F267" s="116">
        <f t="shared" si="0"/>
        <v>102651.15</v>
      </c>
      <c r="G267" s="43" t="str">
        <f>_xlfn.XLOOKUP($A267,Map!$A:$A,Map!C:C)</f>
        <v>IS</v>
      </c>
      <c r="H267" s="43" t="str">
        <f>_xlfn.XLOOKUP($A267,Map!$A:$A,Map!D:D)</f>
        <v>Cost of sales</v>
      </c>
      <c r="I267" s="43" t="str">
        <f>_xlfn.XLOOKUP($A267,Map!$A:$A,Map!E:E)</f>
        <v>Overhead - Labor Cost</v>
      </c>
      <c r="J267" s="43" t="str">
        <f>_xlfn.XLOOKUP($A267,Map!$A:$A,Map!F:F)</f>
        <v>Medical insurance</v>
      </c>
    </row>
    <row r="268" spans="1:10" x14ac:dyDescent="0.25">
      <c r="A268">
        <v>600003</v>
      </c>
      <c r="B268" t="s">
        <v>981</v>
      </c>
      <c r="D268" s="116">
        <v>1039923.953</v>
      </c>
      <c r="E268" s="116">
        <v>0</v>
      </c>
      <c r="F268" s="116">
        <f t="shared" si="0"/>
        <v>1039923.953</v>
      </c>
      <c r="G268" s="43" t="str">
        <f>_xlfn.XLOOKUP($A268,Map!$A:$A,Map!C:C)</f>
        <v>IS</v>
      </c>
      <c r="H268" s="43" t="str">
        <f>_xlfn.XLOOKUP($A268,Map!$A:$A,Map!D:D)</f>
        <v>Cost of sales</v>
      </c>
      <c r="I268" s="43" t="str">
        <f>_xlfn.XLOOKUP($A268,Map!$A:$A,Map!E:E)</f>
        <v>Overhead - Labor Cost</v>
      </c>
      <c r="J268" s="43" t="str">
        <f>_xlfn.XLOOKUP($A268,Map!$A:$A,Map!F:F)</f>
        <v xml:space="preserve">Food &amp; Housing </v>
      </c>
    </row>
    <row r="269" spans="1:10" x14ac:dyDescent="0.25">
      <c r="A269">
        <v>600002</v>
      </c>
      <c r="B269" t="s">
        <v>980</v>
      </c>
      <c r="D269" s="116">
        <v>586164</v>
      </c>
      <c r="E269" s="116">
        <v>0</v>
      </c>
      <c r="F269" s="116">
        <f t="shared" si="0"/>
        <v>586164</v>
      </c>
      <c r="G269" s="43" t="str">
        <f>_xlfn.XLOOKUP($A269,Map!$A:$A,Map!C:C)</f>
        <v>IS</v>
      </c>
      <c r="H269" s="43" t="str">
        <f>_xlfn.XLOOKUP($A269,Map!$A:$A,Map!D:D)</f>
        <v>Cost of sales</v>
      </c>
      <c r="I269" s="43" t="str">
        <f>_xlfn.XLOOKUP($A269,Map!$A:$A,Map!E:E)</f>
        <v>Overhead - Labor Cost</v>
      </c>
      <c r="J269" s="43" t="str">
        <f>_xlfn.XLOOKUP($A269,Map!$A:$A,Map!F:F)</f>
        <v>Overtime pay</v>
      </c>
    </row>
    <row r="270" spans="1:10" x14ac:dyDescent="0.25">
      <c r="A270">
        <v>600001</v>
      </c>
      <c r="B270" t="s">
        <v>979</v>
      </c>
      <c r="D270" s="116">
        <v>2864841</v>
      </c>
      <c r="E270" s="116">
        <v>0</v>
      </c>
      <c r="F270" s="116">
        <f t="shared" si="0"/>
        <v>2864841</v>
      </c>
      <c r="G270" s="43" t="str">
        <f>_xlfn.XLOOKUP($A270,Map!$A:$A,Map!C:C)</f>
        <v>IS</v>
      </c>
      <c r="H270" s="43" t="str">
        <f>_xlfn.XLOOKUP($A270,Map!$A:$A,Map!D:D)</f>
        <v>Cost of sales</v>
      </c>
      <c r="I270" s="43" t="str">
        <f>_xlfn.XLOOKUP($A270,Map!$A:$A,Map!E:E)</f>
        <v>Overhead - Labor Cost</v>
      </c>
      <c r="J270" s="43" t="str">
        <f>_xlfn.XLOOKUP($A270,Map!$A:$A,Map!F:F)</f>
        <v>Indirect Salaries — factory supervisory / indirect floor labour (COGS)</v>
      </c>
    </row>
    <row r="271" spans="1:10" x14ac:dyDescent="0.25">
      <c r="A271">
        <v>520042</v>
      </c>
      <c r="B271" t="s">
        <v>971</v>
      </c>
      <c r="D271" s="116">
        <v>0</v>
      </c>
      <c r="E271" s="116">
        <v>1093533.372</v>
      </c>
      <c r="F271" s="116">
        <f t="shared" si="0"/>
        <v>-1093533.372</v>
      </c>
      <c r="G271" s="43" t="str">
        <f>_xlfn.XLOOKUP($A271,Map!$A:$A,Map!C:C)</f>
        <v>IS</v>
      </c>
      <c r="H271" s="43" t="str">
        <f>_xlfn.XLOOKUP($A271,Map!$A:$A,Map!D:D)</f>
        <v>Cost of sales</v>
      </c>
      <c r="I271" s="43" t="str">
        <f>_xlfn.XLOOKUP($A271,Map!$A:$A,Map!E:E)</f>
        <v>Raw materials</v>
      </c>
      <c r="J271" s="43" t="str">
        <f>_xlfn.XLOOKUP($A271,Map!$A:$A,Map!F:F)</f>
        <v>Inventory Adjustment</v>
      </c>
    </row>
    <row r="272" spans="1:10" x14ac:dyDescent="0.25">
      <c r="A272">
        <v>520041</v>
      </c>
      <c r="B272" t="s">
        <v>970</v>
      </c>
      <c r="D272" s="116">
        <v>0</v>
      </c>
      <c r="E272" s="116">
        <v>10520550.005000001</v>
      </c>
      <c r="F272" s="116">
        <f t="shared" si="0"/>
        <v>-10520550.005000001</v>
      </c>
      <c r="G272" s="43" t="str">
        <f>_xlfn.XLOOKUP($A272,Map!$A:$A,Map!C:C)</f>
        <v>IS</v>
      </c>
      <c r="H272" s="43" t="str">
        <f>_xlfn.XLOOKUP($A272,Map!$A:$A,Map!D:D)</f>
        <v>Cost of sales</v>
      </c>
      <c r="I272" s="43" t="str">
        <f>_xlfn.XLOOKUP($A272,Map!$A:$A,Map!E:E)</f>
        <v>Raw materials</v>
      </c>
      <c r="J272" s="43" t="str">
        <f>_xlfn.XLOOKUP($A272,Map!$A:$A,Map!F:F)</f>
        <v>Other expenses</v>
      </c>
    </row>
    <row r="273" spans="1:10" x14ac:dyDescent="0.25">
      <c r="A273">
        <v>520040</v>
      </c>
      <c r="B273" t="s">
        <v>969</v>
      </c>
      <c r="D273" s="116">
        <v>126.342</v>
      </c>
      <c r="E273" s="116">
        <v>0</v>
      </c>
      <c r="F273" s="116">
        <f t="shared" si="0"/>
        <v>126.342</v>
      </c>
      <c r="G273" s="43" t="str">
        <f>_xlfn.XLOOKUP($A273,Map!$A:$A,Map!C:C)</f>
        <v>IS</v>
      </c>
      <c r="H273" s="43" t="str">
        <f>_xlfn.XLOOKUP($A273,Map!$A:$A,Map!D:D)</f>
        <v>Cost of sales</v>
      </c>
      <c r="I273" s="43" t="str">
        <f>_xlfn.XLOOKUP($A273,Map!$A:$A,Map!E:E)</f>
        <v>Raw materials</v>
      </c>
      <c r="J273" s="43" t="str">
        <f>_xlfn.XLOOKUP($A273,Map!$A:$A,Map!F:F)</f>
        <v>Other expenses</v>
      </c>
    </row>
    <row r="274" spans="1:10" x14ac:dyDescent="0.25">
      <c r="A274">
        <v>520037</v>
      </c>
      <c r="B274" t="s">
        <v>967</v>
      </c>
      <c r="D274" s="116">
        <v>0</v>
      </c>
      <c r="E274" s="116">
        <v>3705.01</v>
      </c>
      <c r="F274" s="116">
        <f t="shared" si="0"/>
        <v>-3705.01</v>
      </c>
      <c r="G274" s="43" t="str">
        <f>_xlfn.XLOOKUP($A274,Map!$A:$A,Map!C:C)</f>
        <v>IS</v>
      </c>
      <c r="H274" s="43" t="str">
        <f>_xlfn.XLOOKUP($A274,Map!$A:$A,Map!D:D)</f>
        <v>Cost of sales</v>
      </c>
      <c r="I274" s="43" t="str">
        <f>_xlfn.XLOOKUP($A274,Map!$A:$A,Map!E:E)</f>
        <v>Raw materials</v>
      </c>
      <c r="J274" s="43" t="str">
        <f>_xlfn.XLOOKUP($A274,Map!$A:$A,Map!F:F)</f>
        <v>Raw materials</v>
      </c>
    </row>
    <row r="275" spans="1:10" x14ac:dyDescent="0.25">
      <c r="A275">
        <v>520036</v>
      </c>
      <c r="B275" t="s">
        <v>966</v>
      </c>
      <c r="D275" s="116">
        <v>0</v>
      </c>
      <c r="E275" s="116">
        <v>3.7999999999999999E-2</v>
      </c>
      <c r="F275" s="116">
        <f t="shared" si="0"/>
        <v>-3.7999999999999999E-2</v>
      </c>
      <c r="G275" s="43" t="str">
        <f>_xlfn.XLOOKUP($A275,Map!$A:$A,Map!C:C)</f>
        <v>IS</v>
      </c>
      <c r="H275" s="43" t="str">
        <f>_xlfn.XLOOKUP($A275,Map!$A:$A,Map!D:D)</f>
        <v>Cost of sales</v>
      </c>
      <c r="I275" s="43" t="str">
        <f>_xlfn.XLOOKUP($A275,Map!$A:$A,Map!E:E)</f>
        <v>Raw materials</v>
      </c>
      <c r="J275" s="43" t="str">
        <f>_xlfn.XLOOKUP($A275,Map!$A:$A,Map!F:F)</f>
        <v>Raw materials</v>
      </c>
    </row>
    <row r="276" spans="1:10" x14ac:dyDescent="0.25">
      <c r="A276">
        <v>520021</v>
      </c>
      <c r="B276" t="s">
        <v>962</v>
      </c>
      <c r="D276" s="116">
        <v>8608.1190000000006</v>
      </c>
      <c r="E276" s="116">
        <v>0</v>
      </c>
      <c r="F276" s="116">
        <f t="shared" si="0"/>
        <v>8608.1190000000006</v>
      </c>
      <c r="G276" s="43" t="str">
        <f>_xlfn.XLOOKUP($A276,Map!$A:$A,Map!C:C)</f>
        <v>IS</v>
      </c>
      <c r="H276" s="43" t="str">
        <f>_xlfn.XLOOKUP($A276,Map!$A:$A,Map!D:D)</f>
        <v>Cost of sales</v>
      </c>
      <c r="I276" s="43" t="str">
        <f>_xlfn.XLOOKUP($A276,Map!$A:$A,Map!E:E)</f>
        <v>Direct Labor</v>
      </c>
      <c r="J276" s="43" t="str">
        <f>_xlfn.XLOOKUP($A276,Map!$A:$A,Map!F:F)</f>
        <v>Medical insurance</v>
      </c>
    </row>
    <row r="277" spans="1:10" x14ac:dyDescent="0.25">
      <c r="A277">
        <v>520015</v>
      </c>
      <c r="B277" t="s">
        <v>958</v>
      </c>
      <c r="D277" s="116">
        <v>119478</v>
      </c>
      <c r="E277" s="116">
        <v>0</v>
      </c>
      <c r="F277" s="116">
        <f t="shared" si="0"/>
        <v>119478</v>
      </c>
      <c r="G277" s="43" t="str">
        <f>_xlfn.XLOOKUP($A277,Map!$A:$A,Map!C:C)</f>
        <v>IS</v>
      </c>
      <c r="H277" s="43" t="str">
        <f>_xlfn.XLOOKUP($A277,Map!$A:$A,Map!D:D)</f>
        <v>Cost of sales</v>
      </c>
      <c r="I277" s="43" t="str">
        <f>_xlfn.XLOOKUP($A277,Map!$A:$A,Map!E:E)</f>
        <v>Direct Labor</v>
      </c>
      <c r="J277" s="43" t="str">
        <f>_xlfn.XLOOKUP($A277,Map!$A:$A,Map!F:F)</f>
        <v>Food and housing</v>
      </c>
    </row>
    <row r="278" spans="1:10" x14ac:dyDescent="0.25">
      <c r="A278">
        <v>520011</v>
      </c>
      <c r="B278" t="s">
        <v>951</v>
      </c>
      <c r="D278" s="116">
        <v>1213529</v>
      </c>
      <c r="E278" s="116">
        <v>0</v>
      </c>
      <c r="F278" s="116">
        <f t="shared" si="0"/>
        <v>1213529</v>
      </c>
      <c r="G278" s="43" t="str">
        <f>_xlfn.XLOOKUP($A278,Map!$A:$A,Map!C:C)</f>
        <v>IS</v>
      </c>
      <c r="H278" s="43" t="str">
        <f>_xlfn.XLOOKUP($A278,Map!$A:$A,Map!D:D)</f>
        <v>Cost of sales</v>
      </c>
      <c r="I278" s="43" t="str">
        <f>_xlfn.XLOOKUP($A278,Map!$A:$A,Map!E:E)</f>
        <v>Direct Labor</v>
      </c>
      <c r="J278" s="43" t="str">
        <f>_xlfn.XLOOKUP($A278,Map!$A:$A,Map!F:F)</f>
        <v>Overtime pay</v>
      </c>
    </row>
    <row r="279" spans="1:10" x14ac:dyDescent="0.25">
      <c r="A279">
        <v>520006</v>
      </c>
      <c r="B279" t="s">
        <v>955</v>
      </c>
      <c r="D279" s="116">
        <v>260976.54699999999</v>
      </c>
      <c r="E279" s="116">
        <v>0</v>
      </c>
      <c r="F279" s="116">
        <f t="shared" si="0"/>
        <v>260976.54699999999</v>
      </c>
      <c r="G279" s="43" t="str">
        <f>_xlfn.XLOOKUP($A279,Map!$A:$A,Map!C:C)</f>
        <v>IS</v>
      </c>
      <c r="H279" s="43" t="str">
        <f>_xlfn.XLOOKUP($A279,Map!$A:$A,Map!D:D)</f>
        <v>Cost of sales</v>
      </c>
      <c r="I279" s="43" t="str">
        <f>_xlfn.XLOOKUP($A279,Map!$A:$A,Map!E:E)</f>
        <v>Direct Labor</v>
      </c>
      <c r="J279" s="43" t="str">
        <f>_xlfn.XLOOKUP($A279,Map!$A:$A,Map!F:F)</f>
        <v>Medical insurance</v>
      </c>
    </row>
    <row r="280" spans="1:10" x14ac:dyDescent="0.25">
      <c r="A280">
        <v>520005</v>
      </c>
      <c r="B280" t="s">
        <v>954</v>
      </c>
      <c r="D280" s="116">
        <v>185417</v>
      </c>
      <c r="E280" s="116">
        <v>0</v>
      </c>
      <c r="F280" s="116">
        <f t="shared" si="0"/>
        <v>185417</v>
      </c>
      <c r="G280" s="43" t="str">
        <f>_xlfn.XLOOKUP($A280,Map!$A:$A,Map!C:C)</f>
        <v>IS</v>
      </c>
      <c r="H280" s="43" t="str">
        <f>_xlfn.XLOOKUP($A280,Map!$A:$A,Map!D:D)</f>
        <v>Cost of sales</v>
      </c>
      <c r="I280" s="43" t="str">
        <f>_xlfn.XLOOKUP($A280,Map!$A:$A,Map!E:E)</f>
        <v>Direct Labor</v>
      </c>
      <c r="J280" s="43" t="str">
        <f>_xlfn.XLOOKUP($A280,Map!$A:$A,Map!F:F)</f>
        <v>Leave pay</v>
      </c>
    </row>
    <row r="281" spans="1:10" x14ac:dyDescent="0.25">
      <c r="A281">
        <v>520003</v>
      </c>
      <c r="B281" t="s">
        <v>952</v>
      </c>
      <c r="D281" s="116">
        <v>344503</v>
      </c>
      <c r="E281" s="116">
        <v>0</v>
      </c>
      <c r="F281" s="116">
        <f t="shared" si="0"/>
        <v>344503</v>
      </c>
      <c r="G281" s="43" t="str">
        <f>_xlfn.XLOOKUP($A281,Map!$A:$A,Map!C:C)</f>
        <v>IS</v>
      </c>
      <c r="H281" s="43" t="str">
        <f>_xlfn.XLOOKUP($A281,Map!$A:$A,Map!D:D)</f>
        <v>Cost of sales</v>
      </c>
      <c r="I281" s="43" t="str">
        <f>_xlfn.XLOOKUP($A281,Map!$A:$A,Map!E:E)</f>
        <v>Direct Labor</v>
      </c>
      <c r="J281" s="43" t="str">
        <f>_xlfn.XLOOKUP($A281,Map!$A:$A,Map!F:F)</f>
        <v>Transportation allowance</v>
      </c>
    </row>
    <row r="282" spans="1:10" x14ac:dyDescent="0.25">
      <c r="A282">
        <v>520001</v>
      </c>
      <c r="B282" t="s">
        <v>950</v>
      </c>
      <c r="D282" s="116">
        <v>3868161</v>
      </c>
      <c r="E282" s="116">
        <v>0</v>
      </c>
      <c r="F282" s="116">
        <f t="shared" si="0"/>
        <v>3868161</v>
      </c>
      <c r="G282" s="43" t="str">
        <f>_xlfn.XLOOKUP($A282,Map!$A:$A,Map!C:C)</f>
        <v>IS</v>
      </c>
      <c r="H282" s="43" t="str">
        <f>_xlfn.XLOOKUP($A282,Map!$A:$A,Map!D:D)</f>
        <v>Cost of sales</v>
      </c>
      <c r="I282" s="43" t="str">
        <f>_xlfn.XLOOKUP($A282,Map!$A:$A,Map!E:E)</f>
        <v>Direct Labor</v>
      </c>
      <c r="J282" s="43" t="str">
        <f>_xlfn.XLOOKUP($A282,Map!$A:$A,Map!F:F)</f>
        <v>Salaries and wages</v>
      </c>
    </row>
    <row r="283" spans="1:10" x14ac:dyDescent="0.25">
      <c r="A283">
        <v>510005</v>
      </c>
      <c r="B283" t="s">
        <v>949</v>
      </c>
      <c r="D283" s="116">
        <v>39483.442999999999</v>
      </c>
      <c r="E283" s="116">
        <v>0</v>
      </c>
      <c r="F283" s="116">
        <f t="shared" si="0"/>
        <v>39483.442999999999</v>
      </c>
      <c r="G283" s="43" t="str">
        <f>_xlfn.XLOOKUP($A283,Map!$A:$A,Map!C:C)</f>
        <v>IS</v>
      </c>
      <c r="H283" s="43" t="str">
        <f>_xlfn.XLOOKUP($A283,Map!$A:$A,Map!D:D)</f>
        <v>Cost of sales</v>
      </c>
      <c r="I283" s="43" t="str">
        <f>_xlfn.XLOOKUP($A283,Map!$A:$A,Map!E:E)</f>
        <v>Raw materials</v>
      </c>
      <c r="J283" s="43" t="str">
        <f>_xlfn.XLOOKUP($A283,Map!$A:$A,Map!F:F)</f>
        <v>Other expenses</v>
      </c>
    </row>
    <row r="284" spans="1:10" x14ac:dyDescent="0.25">
      <c r="A284">
        <v>510004</v>
      </c>
      <c r="B284" t="s">
        <v>948</v>
      </c>
      <c r="D284" s="116">
        <v>6282579.5109999999</v>
      </c>
      <c r="E284" s="116">
        <v>0</v>
      </c>
      <c r="F284" s="116">
        <f t="shared" si="0"/>
        <v>6282579.5109999999</v>
      </c>
      <c r="G284" s="43" t="str">
        <f>_xlfn.XLOOKUP($A284,Map!$A:$A,Map!C:C)</f>
        <v>IS</v>
      </c>
      <c r="H284" s="43" t="str">
        <f>_xlfn.XLOOKUP($A284,Map!$A:$A,Map!D:D)</f>
        <v>Cost of sales</v>
      </c>
      <c r="I284" s="43" t="str">
        <f>_xlfn.XLOOKUP($A284,Map!$A:$A,Map!E:E)</f>
        <v>Raw materials</v>
      </c>
      <c r="J284" s="43" t="str">
        <f>_xlfn.XLOOKUP($A284,Map!$A:$A,Map!F:F)</f>
        <v>Other expenses</v>
      </c>
    </row>
    <row r="285" spans="1:10" x14ac:dyDescent="0.25">
      <c r="A285">
        <v>510004</v>
      </c>
      <c r="B285" t="s">
        <v>948</v>
      </c>
      <c r="D285" s="116">
        <v>0</v>
      </c>
      <c r="E285" s="116">
        <v>19674559.010000002</v>
      </c>
      <c r="F285" s="116">
        <f t="shared" si="0"/>
        <v>-19674559.010000002</v>
      </c>
      <c r="G285" s="43" t="str">
        <f>_xlfn.XLOOKUP($A285,Map!$A:$A,Map!C:C)</f>
        <v>IS</v>
      </c>
      <c r="H285" s="43" t="str">
        <f>_xlfn.XLOOKUP($A285,Map!$A:$A,Map!D:D)</f>
        <v>Cost of sales</v>
      </c>
      <c r="I285" s="43" t="str">
        <f>_xlfn.XLOOKUP($A285,Map!$A:$A,Map!E:E)</f>
        <v>Raw materials</v>
      </c>
      <c r="J285" s="43" t="str">
        <f>_xlfn.XLOOKUP($A285,Map!$A:$A,Map!F:F)</f>
        <v>Other expenses</v>
      </c>
    </row>
    <row r="286" spans="1:10" x14ac:dyDescent="0.25">
      <c r="A286">
        <v>510003</v>
      </c>
      <c r="B286" t="s">
        <v>947</v>
      </c>
      <c r="D286" s="116">
        <v>4048629.3169999998</v>
      </c>
      <c r="E286" s="116">
        <v>0</v>
      </c>
      <c r="F286" s="116">
        <f t="shared" si="0"/>
        <v>4048629.3169999998</v>
      </c>
      <c r="G286" s="43" t="str">
        <f>_xlfn.XLOOKUP($A286,Map!$A:$A,Map!C:C)</f>
        <v>IS</v>
      </c>
      <c r="H286" s="43" t="str">
        <f>_xlfn.XLOOKUP($A286,Map!$A:$A,Map!D:D)</f>
        <v>Cost of sales</v>
      </c>
      <c r="I286" s="43" t="str">
        <f>_xlfn.XLOOKUP($A286,Map!$A:$A,Map!E:E)</f>
        <v>Raw materials</v>
      </c>
      <c r="J286" s="43" t="str">
        <f>_xlfn.XLOOKUP($A286,Map!$A:$A,Map!F:F)</f>
        <v>Raw materials</v>
      </c>
    </row>
    <row r="287" spans="1:10" x14ac:dyDescent="0.25">
      <c r="A287">
        <v>510003</v>
      </c>
      <c r="B287" t="s">
        <v>947</v>
      </c>
      <c r="D287" s="116">
        <v>0</v>
      </c>
      <c r="E287" s="116">
        <v>6132052.9100000001</v>
      </c>
      <c r="F287" s="116">
        <f t="shared" si="0"/>
        <v>-6132052.9100000001</v>
      </c>
      <c r="G287" s="43" t="str">
        <f>_xlfn.XLOOKUP($A287,Map!$A:$A,Map!C:C)</f>
        <v>IS</v>
      </c>
      <c r="H287" s="43" t="str">
        <f>_xlfn.XLOOKUP($A287,Map!$A:$A,Map!D:D)</f>
        <v>Cost of sales</v>
      </c>
      <c r="I287" s="43" t="str">
        <f>_xlfn.XLOOKUP($A287,Map!$A:$A,Map!E:E)</f>
        <v>Raw materials</v>
      </c>
      <c r="J287" s="43" t="str">
        <f>_xlfn.XLOOKUP($A287,Map!$A:$A,Map!F:F)</f>
        <v>Raw materials</v>
      </c>
    </row>
    <row r="288" spans="1:10" x14ac:dyDescent="0.25">
      <c r="A288">
        <v>510002</v>
      </c>
      <c r="B288" t="s">
        <v>946</v>
      </c>
      <c r="D288" s="116">
        <v>55838.237000000001</v>
      </c>
      <c r="E288" s="116">
        <v>0</v>
      </c>
      <c r="F288" s="116">
        <f t="shared" si="0"/>
        <v>55838.237000000001</v>
      </c>
      <c r="G288" s="43" t="str">
        <f>_xlfn.XLOOKUP($A288,Map!$A:$A,Map!C:C)</f>
        <v>IS</v>
      </c>
      <c r="H288" s="43" t="str">
        <f>_xlfn.XLOOKUP($A288,Map!$A:$A,Map!D:D)</f>
        <v>Cost of sales</v>
      </c>
      <c r="I288" s="43" t="str">
        <f>_xlfn.XLOOKUP($A288,Map!$A:$A,Map!E:E)</f>
        <v>Direct Labor</v>
      </c>
      <c r="J288" s="43" t="str">
        <f>_xlfn.XLOOKUP($A288,Map!$A:$A,Map!F:F)</f>
        <v>Direct Labor</v>
      </c>
    </row>
    <row r="289" spans="1:10" x14ac:dyDescent="0.25">
      <c r="A289">
        <v>510002</v>
      </c>
      <c r="B289" t="s">
        <v>946</v>
      </c>
      <c r="D289" s="116">
        <v>0</v>
      </c>
      <c r="E289" s="116">
        <v>10970800.109999999</v>
      </c>
      <c r="F289" s="116">
        <f t="shared" si="0"/>
        <v>-10970800.109999999</v>
      </c>
      <c r="G289" s="43" t="str">
        <f>_xlfn.XLOOKUP($A289,Map!$A:$A,Map!C:C)</f>
        <v>IS</v>
      </c>
      <c r="H289" s="43" t="str">
        <f>_xlfn.XLOOKUP($A289,Map!$A:$A,Map!D:D)</f>
        <v>Cost of sales</v>
      </c>
      <c r="I289" s="43" t="str">
        <f>_xlfn.XLOOKUP($A289,Map!$A:$A,Map!E:E)</f>
        <v>Direct Labor</v>
      </c>
      <c r="J289" s="43" t="str">
        <f>_xlfn.XLOOKUP($A289,Map!$A:$A,Map!F:F)</f>
        <v>Direct Labor</v>
      </c>
    </row>
    <row r="290" spans="1:10" x14ac:dyDescent="0.25">
      <c r="A290">
        <v>510001</v>
      </c>
      <c r="B290" t="s">
        <v>945</v>
      </c>
      <c r="D290" s="116">
        <v>147593171.801</v>
      </c>
      <c r="E290" s="116">
        <v>0</v>
      </c>
      <c r="F290" s="116">
        <f t="shared" si="0"/>
        <v>147593171.801</v>
      </c>
      <c r="G290" s="43" t="str">
        <f>_xlfn.XLOOKUP($A290,Map!$A:$A,Map!C:C)</f>
        <v>IS</v>
      </c>
      <c r="H290" s="43" t="str">
        <f>_xlfn.XLOOKUP($A290,Map!$A:$A,Map!D:D)</f>
        <v>Cost of sales</v>
      </c>
      <c r="I290" s="43" t="str">
        <f>_xlfn.XLOOKUP($A290,Map!$A:$A,Map!E:E)</f>
        <v>Raw materials</v>
      </c>
      <c r="J290" s="43" t="str">
        <f>_xlfn.XLOOKUP($A290,Map!$A:$A,Map!F:F)</f>
        <v>Raw materials</v>
      </c>
    </row>
    <row r="291" spans="1:10" x14ac:dyDescent="0.25">
      <c r="A291">
        <v>510001</v>
      </c>
      <c r="B291" t="s">
        <v>945</v>
      </c>
      <c r="D291" s="116">
        <v>0</v>
      </c>
      <c r="E291" s="116">
        <v>138353121.5</v>
      </c>
      <c r="F291" s="116">
        <f t="shared" si="0"/>
        <v>-138353121.5</v>
      </c>
      <c r="G291" s="43" t="str">
        <f>_xlfn.XLOOKUP($A291,Map!$A:$A,Map!C:C)</f>
        <v>IS</v>
      </c>
      <c r="H291" s="43" t="str">
        <f>_xlfn.XLOOKUP($A291,Map!$A:$A,Map!D:D)</f>
        <v>Cost of sales</v>
      </c>
      <c r="I291" s="43" t="str">
        <f>_xlfn.XLOOKUP($A291,Map!$A:$A,Map!E:E)</f>
        <v>Raw materials</v>
      </c>
      <c r="J291" s="43" t="str">
        <f>_xlfn.XLOOKUP($A291,Map!$A:$A,Map!F:F)</f>
        <v>Raw materials</v>
      </c>
    </row>
    <row r="294" spans="1:10" x14ac:dyDescent="0.25">
      <c r="A294">
        <v>170021</v>
      </c>
      <c r="B294" t="s">
        <v>883</v>
      </c>
      <c r="D294" s="154">
        <v>2935982.66</v>
      </c>
      <c r="F294" s="147">
        <f>D294-E294</f>
        <v>2935982.66</v>
      </c>
      <c r="G294" s="43" t="str">
        <f>_xlfn.XLOOKUP($A294,Map!$A:$A,Map!C:C)</f>
        <v>BS</v>
      </c>
      <c r="H294" s="43" t="str">
        <f>_xlfn.XLOOKUP($A294,Map!$A:$A,Map!D:D)</f>
        <v>Current Assets</v>
      </c>
      <c r="I294" s="43" t="str">
        <f>_xlfn.XLOOKUP($A294,Map!$A:$A,Map!E:E)</f>
        <v>Prepaid expenses</v>
      </c>
      <c r="J294" s="43" t="str">
        <f>_xlfn.XLOOKUP($A294,Map!$A:$A,Map!F:F)</f>
        <v>Prepaid expense</v>
      </c>
    </row>
    <row r="295" spans="1:10" x14ac:dyDescent="0.25">
      <c r="A295">
        <v>210001</v>
      </c>
      <c r="B295" t="s">
        <v>902</v>
      </c>
      <c r="E295" s="154">
        <f>D294</f>
        <v>2935982.66</v>
      </c>
      <c r="F295" s="147">
        <f>D295-E295</f>
        <v>-2935982.66</v>
      </c>
      <c r="G295" s="43" t="str">
        <f>_xlfn.XLOOKUP($A295,Map!$A:$A,Map!C:C)</f>
        <v>BS</v>
      </c>
      <c r="H295" s="43" t="str">
        <f>_xlfn.XLOOKUP($A295,Map!$A:$A,Map!D:D)</f>
        <v>Current Liabilities</v>
      </c>
      <c r="I295" s="43" t="str">
        <f>_xlfn.XLOOKUP($A295,Map!$A:$A,Map!E:E)</f>
        <v>Tade payables and Accuals &amp; other credit balances</v>
      </c>
      <c r="J295" s="43" t="str">
        <f>_xlfn.XLOOKUP($A295,Map!$A:$A,Map!F:F)</f>
        <v>Trade payables - Foreign</v>
      </c>
    </row>
    <row r="298" spans="1:10" x14ac:dyDescent="0.25">
      <c r="A298">
        <v>410001</v>
      </c>
      <c r="B298" t="s">
        <v>1344</v>
      </c>
      <c r="D298" s="88">
        <v>20210817.529001001</v>
      </c>
      <c r="E298" s="88"/>
      <c r="F298" s="147">
        <f>D298-E298</f>
        <v>20210817.529001001</v>
      </c>
      <c r="G298" s="43" t="str">
        <f>_xlfn.XLOOKUP($A298,Map!$A:$A,Map!C:C)</f>
        <v>IS</v>
      </c>
      <c r="H298" s="43" t="str">
        <f>_xlfn.XLOOKUP($A298,Map!$A:$A,Map!D:D)</f>
        <v>Sales</v>
      </c>
      <c r="I298" s="43" t="str">
        <f>_xlfn.XLOOKUP($A298,Map!$A:$A,Map!E:E)</f>
        <v>Sales</v>
      </c>
      <c r="J298" s="43" t="str">
        <f>_xlfn.XLOOKUP($A298,Map!$A:$A,Map!F:F)</f>
        <v>Trading revenue</v>
      </c>
    </row>
    <row r="299" spans="1:10" x14ac:dyDescent="0.25">
      <c r="A299">
        <v>510001</v>
      </c>
      <c r="B299" t="s">
        <v>1345</v>
      </c>
      <c r="D299" s="88"/>
      <c r="E299" s="88">
        <v>18871437.28154796</v>
      </c>
      <c r="F299" s="147">
        <f>D299-E299</f>
        <v>-18871437.28154796</v>
      </c>
      <c r="G299" s="43" t="str">
        <f>_xlfn.XLOOKUP($A299,Map!$A:$A,Map!C:C)</f>
        <v>IS</v>
      </c>
      <c r="H299" s="43" t="str">
        <f>_xlfn.XLOOKUP($A299,Map!$A:$A,Map!D:D)</f>
        <v>Cost of sales</v>
      </c>
      <c r="I299" s="43" t="str">
        <f>_xlfn.XLOOKUP($A299,Map!$A:$A,Map!E:E)</f>
        <v>Raw materials</v>
      </c>
      <c r="J299" s="43" t="str">
        <f>_xlfn.XLOOKUP($A299,Map!$A:$A,Map!F:F)</f>
        <v>Raw materials</v>
      </c>
    </row>
  </sheetData>
  <autoFilter ref="A4:K243" xr:uid="{00000000-0009-0000-0000-000020000000}"/>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376"/>
  <sheetViews>
    <sheetView zoomScale="90" workbookViewId="0">
      <pane ySplit="350" topLeftCell="A351" activePane="bottomLeft" state="frozen"/>
      <selection pane="bottomLeft"/>
    </sheetView>
  </sheetViews>
  <sheetFormatPr defaultRowHeight="15" x14ac:dyDescent="0.25"/>
  <cols>
    <col min="1" max="1" width="13.42578125" customWidth="1"/>
    <col min="2" max="2" width="35.85546875" customWidth="1"/>
    <col min="3" max="3" width="17.28515625" customWidth="1"/>
    <col min="4" max="4" width="17.85546875" customWidth="1"/>
    <col min="6" max="6" width="17" customWidth="1"/>
    <col min="7" max="7" width="8.85546875" customWidth="1"/>
    <col min="8" max="8" width="26.7109375" customWidth="1"/>
    <col min="9" max="9" width="30.7109375" customWidth="1"/>
    <col min="10" max="10" width="20.5703125" customWidth="1"/>
    <col min="11" max="11" width="8.85546875" customWidth="1"/>
  </cols>
  <sheetData>
    <row r="1" spans="1:10" x14ac:dyDescent="0.25">
      <c r="A1" s="85" t="s">
        <v>1251</v>
      </c>
    </row>
    <row r="2" spans="1:10" x14ac:dyDescent="0.25">
      <c r="A2" s="85" t="s">
        <v>1198</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110001</v>
      </c>
      <c r="B5" t="s">
        <v>818</v>
      </c>
      <c r="C5" s="116">
        <v>0</v>
      </c>
      <c r="D5" s="116">
        <v>0</v>
      </c>
      <c r="E5" s="116">
        <v>0</v>
      </c>
      <c r="F5" s="116">
        <v>0</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110002</v>
      </c>
      <c r="B6" t="s">
        <v>819</v>
      </c>
      <c r="C6" s="116">
        <v>106504996.56999999</v>
      </c>
      <c r="D6" s="116">
        <v>0</v>
      </c>
      <c r="E6" s="116">
        <v>0</v>
      </c>
      <c r="F6" s="116">
        <v>106504996.56999999</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110003</v>
      </c>
      <c r="B7" t="s">
        <v>820</v>
      </c>
      <c r="C7" s="116">
        <v>1765393.75</v>
      </c>
      <c r="D7" s="116">
        <v>0</v>
      </c>
      <c r="E7" s="116">
        <v>0</v>
      </c>
      <c r="F7" s="116">
        <v>1765393.75</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110004</v>
      </c>
      <c r="B8" t="s">
        <v>821</v>
      </c>
      <c r="C8" s="116">
        <v>72216302.398000002</v>
      </c>
      <c r="D8" s="116">
        <v>17440965.057999998</v>
      </c>
      <c r="E8" s="116">
        <v>9374395.4059999995</v>
      </c>
      <c r="F8" s="116">
        <v>80282872.049999997</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110006</v>
      </c>
      <c r="B9" t="s">
        <v>822</v>
      </c>
      <c r="C9" s="116">
        <v>2675451.003</v>
      </c>
      <c r="D9" s="116">
        <v>358008.7</v>
      </c>
      <c r="E9" s="116">
        <v>4.0000000000000001E-3</v>
      </c>
      <c r="F9" s="116">
        <v>3033459.699</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110007</v>
      </c>
      <c r="B10" t="s">
        <v>823</v>
      </c>
      <c r="C10" s="116">
        <v>2056841.15</v>
      </c>
      <c r="D10" s="116">
        <v>43446.748</v>
      </c>
      <c r="E10" s="116">
        <v>0</v>
      </c>
      <c r="F10" s="116">
        <v>2100287.898</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110008</v>
      </c>
      <c r="B11" t="s">
        <v>824</v>
      </c>
      <c r="C11" s="116">
        <v>1015678.496</v>
      </c>
      <c r="D11" s="116">
        <v>86974</v>
      </c>
      <c r="E11" s="116">
        <v>851.49599999999998</v>
      </c>
      <c r="F11" s="116">
        <v>1101801</v>
      </c>
      <c r="G11" s="43" t="str">
        <f>_xlfn.XLOOKUP($A11,Map!$A:$A,Map!C:C)</f>
        <v>BS</v>
      </c>
      <c r="H11" s="43" t="str">
        <f>_xlfn.XLOOKUP($A11,Map!$A:$A,Map!D:D)</f>
        <v>Non-Current Assets</v>
      </c>
      <c r="I11" s="43" t="str">
        <f>_xlfn.XLOOKUP($A11,Map!$A:$A,Map!E:E)</f>
        <v>Property, plant and equipment</v>
      </c>
      <c r="J11" s="43" t="str">
        <f>_xlfn.XLOOKUP($A11,Map!$A:$A,Map!F:F)</f>
        <v>Property, plant and equipment</v>
      </c>
    </row>
    <row r="12" spans="1:10" x14ac:dyDescent="0.25">
      <c r="A12">
        <v>111009</v>
      </c>
      <c r="B12" t="s">
        <v>825</v>
      </c>
      <c r="C12" s="116">
        <v>2020135</v>
      </c>
      <c r="D12" s="116">
        <v>0</v>
      </c>
      <c r="E12" s="116">
        <v>0</v>
      </c>
      <c r="F12" s="116">
        <v>2020135</v>
      </c>
      <c r="G12" s="43" t="str">
        <f>_xlfn.XLOOKUP($A12,Map!$A:$A,Map!C:C)</f>
        <v>BS</v>
      </c>
      <c r="H12" s="43" t="str">
        <f>_xlfn.XLOOKUP($A12,Map!$A:$A,Map!D:D)</f>
        <v>Non-Current Assets</v>
      </c>
      <c r="I12" s="43" t="str">
        <f>_xlfn.XLOOKUP($A12,Map!$A:$A,Map!E:E)</f>
        <v>Right of use</v>
      </c>
      <c r="J12" s="43" t="str">
        <f>_xlfn.XLOOKUP($A12,Map!$A:$A,Map!F:F)</f>
        <v>Leases - right of use assets</v>
      </c>
    </row>
    <row r="13" spans="1:10" x14ac:dyDescent="0.25">
      <c r="A13">
        <v>111010</v>
      </c>
      <c r="B13" t="s">
        <v>826</v>
      </c>
      <c r="C13" s="116">
        <v>0</v>
      </c>
      <c r="D13" s="116">
        <v>99000</v>
      </c>
      <c r="E13" s="116">
        <v>99000</v>
      </c>
      <c r="F13" s="116">
        <v>0</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111013</v>
      </c>
      <c r="B14" t="s">
        <v>827</v>
      </c>
      <c r="C14" s="116">
        <v>0</v>
      </c>
      <c r="D14" s="116">
        <v>9300</v>
      </c>
      <c r="E14" s="116">
        <v>9300</v>
      </c>
      <c r="F14" s="116">
        <v>0</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111099</v>
      </c>
      <c r="B15" t="s">
        <v>828</v>
      </c>
      <c r="C15" s="116">
        <v>0</v>
      </c>
      <c r="D15" s="116">
        <v>6215</v>
      </c>
      <c r="E15" s="116">
        <v>6215</v>
      </c>
      <c r="F15" s="116">
        <v>0</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120001</v>
      </c>
      <c r="B16" t="s">
        <v>829</v>
      </c>
      <c r="C16" s="116">
        <v>-5320134.68</v>
      </c>
      <c r="D16" s="116">
        <v>0</v>
      </c>
      <c r="E16" s="116">
        <v>1566844.2</v>
      </c>
      <c r="F16" s="116">
        <v>-6886978.8799999999</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120002</v>
      </c>
      <c r="B17" t="s">
        <v>830</v>
      </c>
      <c r="C17" s="116">
        <v>-1765393.774</v>
      </c>
      <c r="D17" s="116">
        <v>0</v>
      </c>
      <c r="E17" s="116">
        <v>0</v>
      </c>
      <c r="F17" s="116">
        <v>-1765393.774</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120003</v>
      </c>
      <c r="B18" t="s">
        <v>831</v>
      </c>
      <c r="C18" s="116">
        <v>-40039866.482000001</v>
      </c>
      <c r="D18" s="116">
        <v>6190804.6210000003</v>
      </c>
      <c r="E18" s="116">
        <v>10021386.022</v>
      </c>
      <c r="F18" s="116">
        <v>-43870447.883000001</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120005</v>
      </c>
      <c r="B19" t="s">
        <v>832</v>
      </c>
      <c r="C19" s="116">
        <v>-2024836.368</v>
      </c>
      <c r="D19" s="116">
        <v>0</v>
      </c>
      <c r="E19" s="116">
        <v>160023.08199999999</v>
      </c>
      <c r="F19" s="116">
        <v>-2184859.4500000002</v>
      </c>
      <c r="G19" s="43" t="str">
        <f>_xlfn.XLOOKUP($A19,Map!$A:$A,Map!C:C)</f>
        <v>BS</v>
      </c>
      <c r="H19" s="43" t="str">
        <f>_xlfn.XLOOKUP($A19,Map!$A:$A,Map!D:D)</f>
        <v>Non-Current Assets</v>
      </c>
      <c r="I19" s="43" t="str">
        <f>_xlfn.XLOOKUP($A19,Map!$A:$A,Map!E:E)</f>
        <v>Property, plant and equipment</v>
      </c>
      <c r="J19" s="43" t="str">
        <f>_xlfn.XLOOKUP($A19,Map!$A:$A,Map!F:F)</f>
        <v>Property, plant and equipment - Accumulated depreciation</v>
      </c>
    </row>
    <row r="20" spans="1:10" x14ac:dyDescent="0.25">
      <c r="A20">
        <v>120006</v>
      </c>
      <c r="B20" t="s">
        <v>833</v>
      </c>
      <c r="C20" s="116">
        <v>-1048090.056</v>
      </c>
      <c r="D20" s="116">
        <v>0</v>
      </c>
      <c r="E20" s="116">
        <v>290261.74900000001</v>
      </c>
      <c r="F20" s="116">
        <v>-1338351.8049999999</v>
      </c>
      <c r="G20" s="43" t="str">
        <f>_xlfn.XLOOKUP($A20,Map!$A:$A,Map!C:C)</f>
        <v>BS</v>
      </c>
      <c r="H20" s="43" t="str">
        <f>_xlfn.XLOOKUP($A20,Map!$A:$A,Map!D:D)</f>
        <v>Non-Current Assets</v>
      </c>
      <c r="I20" s="43" t="str">
        <f>_xlfn.XLOOKUP($A20,Map!$A:$A,Map!E:E)</f>
        <v>Property, plant and equipment</v>
      </c>
      <c r="J20" s="43" t="str">
        <f>_xlfn.XLOOKUP($A20,Map!$A:$A,Map!F:F)</f>
        <v>Property, plant and equipment - Accumulated depreciation</v>
      </c>
    </row>
    <row r="21" spans="1:10" x14ac:dyDescent="0.25">
      <c r="A21">
        <v>120007</v>
      </c>
      <c r="B21" t="s">
        <v>834</v>
      </c>
      <c r="C21" s="116">
        <v>-396808.4</v>
      </c>
      <c r="D21" s="116">
        <v>0</v>
      </c>
      <c r="E21" s="116">
        <v>82730.331999999995</v>
      </c>
      <c r="F21" s="116">
        <v>-479538.73200000002</v>
      </c>
      <c r="G21" s="43" t="str">
        <f>_xlfn.XLOOKUP($A21,Map!$A:$A,Map!C:C)</f>
        <v>BS</v>
      </c>
      <c r="H21" s="43" t="str">
        <f>_xlfn.XLOOKUP($A21,Map!$A:$A,Map!D:D)</f>
        <v>Non-Current Assets</v>
      </c>
      <c r="I21" s="43" t="str">
        <f>_xlfn.XLOOKUP($A21,Map!$A:$A,Map!E:E)</f>
        <v>Property, plant and equipment</v>
      </c>
      <c r="J21" s="43" t="str">
        <f>_xlfn.XLOOKUP($A21,Map!$A:$A,Map!F:F)</f>
        <v>Property, plant and equipment - Accumulated depreciation</v>
      </c>
    </row>
    <row r="22" spans="1:10" x14ac:dyDescent="0.25">
      <c r="A22">
        <v>120008</v>
      </c>
      <c r="B22" t="s">
        <v>835</v>
      </c>
      <c r="C22" s="116">
        <v>-333622.50799999997</v>
      </c>
      <c r="D22" s="116">
        <v>0</v>
      </c>
      <c r="E22" s="116">
        <v>149331.413</v>
      </c>
      <c r="F22" s="116">
        <v>-482953.92099999997</v>
      </c>
      <c r="G22" s="43" t="str">
        <f>_xlfn.XLOOKUP($A22,Map!$A:$A,Map!C:C)</f>
        <v>BS</v>
      </c>
      <c r="H22" s="43" t="str">
        <f>_xlfn.XLOOKUP($A22,Map!$A:$A,Map!D:D)</f>
        <v>Non-Current Assets</v>
      </c>
      <c r="I22" s="43" t="str">
        <f>_xlfn.XLOOKUP($A22,Map!$A:$A,Map!E:E)</f>
        <v>Right of use</v>
      </c>
      <c r="J22" s="43" t="str">
        <f>_xlfn.XLOOKUP($A22,Map!$A:$A,Map!F:F)</f>
        <v>Depreciation/amortization of rights of use assets</v>
      </c>
    </row>
    <row r="23" spans="1:10" x14ac:dyDescent="0.25">
      <c r="A23">
        <v>121001</v>
      </c>
      <c r="B23" t="s">
        <v>836</v>
      </c>
      <c r="C23" s="116">
        <v>13762616.130000001</v>
      </c>
      <c r="D23" s="116">
        <v>0</v>
      </c>
      <c r="E23" s="116">
        <v>0</v>
      </c>
      <c r="F23" s="116">
        <v>13762616.130000001</v>
      </c>
      <c r="G23" s="43" t="str">
        <f>_xlfn.XLOOKUP($A23,Map!$A:$A,Map!C:C)</f>
        <v>BS</v>
      </c>
      <c r="H23" s="43" t="str">
        <f>_xlfn.XLOOKUP($A23,Map!$A:$A,Map!D:D)</f>
        <v>Current Assets</v>
      </c>
      <c r="I23" s="43" t="str">
        <f>_xlfn.XLOOKUP($A23,Map!$A:$A,Map!E:E)</f>
        <v>Prepaid expenses</v>
      </c>
      <c r="J23" s="43" t="str">
        <f>_xlfn.XLOOKUP($A23,Map!$A:$A,Map!F:F)</f>
        <v>Pre Operating Exps</v>
      </c>
    </row>
    <row r="24" spans="1:10" x14ac:dyDescent="0.25">
      <c r="A24">
        <v>121002</v>
      </c>
      <c r="B24" t="s">
        <v>837</v>
      </c>
      <c r="C24" s="116">
        <v>-13762616.130000001</v>
      </c>
      <c r="D24" s="116">
        <v>0</v>
      </c>
      <c r="E24" s="116">
        <v>0</v>
      </c>
      <c r="F24" s="116">
        <v>-13762616.130000001</v>
      </c>
      <c r="G24" s="43" t="str">
        <f>_xlfn.XLOOKUP($A24,Map!$A:$A,Map!C:C)</f>
        <v>BS</v>
      </c>
      <c r="H24" s="43" t="str">
        <f>_xlfn.XLOOKUP($A24,Map!$A:$A,Map!D:D)</f>
        <v>Current Assets</v>
      </c>
      <c r="I24" s="43" t="str">
        <f>_xlfn.XLOOKUP($A24,Map!$A:$A,Map!E:E)</f>
        <v>Prepaid expenses</v>
      </c>
      <c r="J24" s="43" t="str">
        <f>_xlfn.XLOOKUP($A24,Map!$A:$A,Map!F:F)</f>
        <v>Amortization Of Pre Operating Exps</v>
      </c>
    </row>
    <row r="25" spans="1:10" x14ac:dyDescent="0.25">
      <c r="A25">
        <v>130001</v>
      </c>
      <c r="B25" t="s">
        <v>838</v>
      </c>
      <c r="C25" s="116">
        <v>254890.07</v>
      </c>
      <c r="D25" s="116">
        <v>565037.44999999995</v>
      </c>
      <c r="E25" s="116">
        <v>819927.52</v>
      </c>
      <c r="F25" s="116">
        <v>0</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130002</v>
      </c>
      <c r="B26" t="s">
        <v>1205</v>
      </c>
      <c r="C26" s="116">
        <v>0</v>
      </c>
      <c r="D26" s="116">
        <v>1355240.32</v>
      </c>
      <c r="E26" s="116">
        <v>1355240.32</v>
      </c>
      <c r="F26" s="116">
        <v>0</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130003</v>
      </c>
      <c r="B27" t="s">
        <v>840</v>
      </c>
      <c r="C27" s="116">
        <v>0</v>
      </c>
      <c r="D27" s="116">
        <v>0</v>
      </c>
      <c r="E27" s="116">
        <v>0</v>
      </c>
      <c r="F27" s="116">
        <v>0</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130004</v>
      </c>
      <c r="B28" t="s">
        <v>841</v>
      </c>
      <c r="C28" s="116">
        <v>31128.799999999999</v>
      </c>
      <c r="D28" s="116">
        <v>645348.75</v>
      </c>
      <c r="E28" s="116">
        <v>661448.75</v>
      </c>
      <c r="F28" s="116">
        <v>15028.8</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130005</v>
      </c>
      <c r="B29" t="s">
        <v>842</v>
      </c>
      <c r="C29" s="116">
        <v>0</v>
      </c>
      <c r="D29" s="116">
        <v>27528.7</v>
      </c>
      <c r="E29" s="116">
        <v>27528.7</v>
      </c>
      <c r="F29" s="116">
        <v>0</v>
      </c>
      <c r="G29" s="43" t="str">
        <f>_xlfn.XLOOKUP($A29,Map!$A:$A,Map!C:C)</f>
        <v>BS</v>
      </c>
      <c r="H29" s="43" t="str">
        <f>_xlfn.XLOOKUP($A29,Map!$A:$A,Map!D:D)</f>
        <v>Current Assets</v>
      </c>
      <c r="I29" s="43" t="str">
        <f>_xlfn.XLOOKUP($A29,Map!$A:$A,Map!E:E)</f>
        <v>Cash and cash equivalents</v>
      </c>
      <c r="J29" s="43" t="str">
        <f>_xlfn.XLOOKUP($A29,Map!$A:$A,Map!F:F)</f>
        <v>Bank balances</v>
      </c>
    </row>
    <row r="30" spans="1:10" x14ac:dyDescent="0.25">
      <c r="A30">
        <v>130006</v>
      </c>
      <c r="B30" t="s">
        <v>843</v>
      </c>
      <c r="C30" s="116">
        <v>221073.65</v>
      </c>
      <c r="D30" s="116">
        <v>345</v>
      </c>
      <c r="E30" s="116">
        <v>221418.65</v>
      </c>
      <c r="F30" s="116">
        <v>0</v>
      </c>
      <c r="G30" s="43" t="str">
        <f>_xlfn.XLOOKUP($A30,Map!$A:$A,Map!C:C)</f>
        <v>BS</v>
      </c>
      <c r="H30" s="43" t="str">
        <f>_xlfn.XLOOKUP($A30,Map!$A:$A,Map!D:D)</f>
        <v>Current Assets</v>
      </c>
      <c r="I30" s="43" t="str">
        <f>_xlfn.XLOOKUP($A30,Map!$A:$A,Map!E:E)</f>
        <v>Cash and cash equivalents</v>
      </c>
      <c r="J30" s="43" t="str">
        <f>_xlfn.XLOOKUP($A30,Map!$A:$A,Map!F:F)</f>
        <v>Bank balances</v>
      </c>
    </row>
    <row r="31" spans="1:10" x14ac:dyDescent="0.25">
      <c r="A31">
        <v>130007</v>
      </c>
      <c r="B31" t="s">
        <v>844</v>
      </c>
      <c r="C31" s="116">
        <v>975113.48</v>
      </c>
      <c r="D31" s="116">
        <v>422028.51</v>
      </c>
      <c r="E31" s="116">
        <v>0</v>
      </c>
      <c r="F31" s="116">
        <v>1397141.99</v>
      </c>
      <c r="G31" s="43" t="str">
        <f>_xlfn.XLOOKUP($A31,Map!$A:$A,Map!C:C)</f>
        <v>BS</v>
      </c>
      <c r="H31" s="43" t="str">
        <f>_xlfn.XLOOKUP($A31,Map!$A:$A,Map!D:D)</f>
        <v>Current Assets</v>
      </c>
      <c r="I31" s="43" t="str">
        <f>_xlfn.XLOOKUP($A31,Map!$A:$A,Map!E:E)</f>
        <v>Cash and cash equivalents</v>
      </c>
      <c r="J31" s="43" t="str">
        <f>_xlfn.XLOOKUP($A31,Map!$A:$A,Map!F:F)</f>
        <v>Bank balances</v>
      </c>
    </row>
    <row r="32" spans="1:10" x14ac:dyDescent="0.25">
      <c r="A32">
        <v>130008</v>
      </c>
      <c r="B32" t="s">
        <v>845</v>
      </c>
      <c r="C32" s="116">
        <v>563831.72</v>
      </c>
      <c r="D32" s="116">
        <v>52934470.100000001</v>
      </c>
      <c r="E32" s="116">
        <v>53372955.759000003</v>
      </c>
      <c r="F32" s="116">
        <v>125346.061</v>
      </c>
      <c r="G32" s="43" t="str">
        <f>_xlfn.XLOOKUP($A32,Map!$A:$A,Map!C:C)</f>
        <v>BS</v>
      </c>
      <c r="H32" s="43" t="str">
        <f>_xlfn.XLOOKUP($A32,Map!$A:$A,Map!D:D)</f>
        <v>Current Assets</v>
      </c>
      <c r="I32" s="43" t="str">
        <f>_xlfn.XLOOKUP($A32,Map!$A:$A,Map!E:E)</f>
        <v>Cash and cash equivalents</v>
      </c>
      <c r="J32" s="43" t="str">
        <f>_xlfn.XLOOKUP($A32,Map!$A:$A,Map!F:F)</f>
        <v>Bank balances</v>
      </c>
    </row>
    <row r="33" spans="1:10" x14ac:dyDescent="0.25">
      <c r="A33">
        <v>130009</v>
      </c>
      <c r="B33" t="s">
        <v>846</v>
      </c>
      <c r="C33" s="116">
        <v>752895.54099999997</v>
      </c>
      <c r="D33" s="116">
        <v>58305316.412</v>
      </c>
      <c r="E33" s="116">
        <v>54634096.954000004</v>
      </c>
      <c r="F33" s="116">
        <v>4424114.9989999998</v>
      </c>
      <c r="G33" s="43" t="str">
        <f>_xlfn.XLOOKUP($A33,Map!$A:$A,Map!C:C)</f>
        <v>BS</v>
      </c>
      <c r="H33" s="43" t="str">
        <f>_xlfn.XLOOKUP($A33,Map!$A:$A,Map!D:D)</f>
        <v>Current Assets</v>
      </c>
      <c r="I33" s="43" t="str">
        <f>_xlfn.XLOOKUP($A33,Map!$A:$A,Map!E:E)</f>
        <v>Cash and cash equivalents</v>
      </c>
      <c r="J33" s="43" t="str">
        <f>_xlfn.XLOOKUP($A33,Map!$A:$A,Map!F:F)</f>
        <v>Bank balances</v>
      </c>
    </row>
    <row r="34" spans="1:10" x14ac:dyDescent="0.25">
      <c r="A34">
        <v>130010</v>
      </c>
      <c r="B34" t="s">
        <v>847</v>
      </c>
      <c r="C34" s="116">
        <v>728505.90399999998</v>
      </c>
      <c r="D34" s="116">
        <v>196565862.69</v>
      </c>
      <c r="E34" s="116">
        <v>192436283.208</v>
      </c>
      <c r="F34" s="116">
        <v>4858085.3859999999</v>
      </c>
      <c r="G34" s="43" t="str">
        <f>_xlfn.XLOOKUP($A34,Map!$A:$A,Map!C:C)</f>
        <v>BS</v>
      </c>
      <c r="H34" s="43" t="str">
        <f>_xlfn.XLOOKUP($A34,Map!$A:$A,Map!D:D)</f>
        <v>Current Assets</v>
      </c>
      <c r="I34" s="43" t="str">
        <f>_xlfn.XLOOKUP($A34,Map!$A:$A,Map!E:E)</f>
        <v>Cash and cash equivalents</v>
      </c>
      <c r="J34" s="43" t="str">
        <f>_xlfn.XLOOKUP($A34,Map!$A:$A,Map!F:F)</f>
        <v>Bank balances</v>
      </c>
    </row>
    <row r="35" spans="1:10" x14ac:dyDescent="0.25">
      <c r="A35">
        <v>130011</v>
      </c>
      <c r="B35" t="s">
        <v>848</v>
      </c>
      <c r="C35" s="116">
        <v>1837850.2420000001</v>
      </c>
      <c r="D35" s="116">
        <v>101389074.10699999</v>
      </c>
      <c r="E35" s="116">
        <v>102197771.469</v>
      </c>
      <c r="F35" s="116">
        <v>1029152.88</v>
      </c>
      <c r="G35" s="43" t="str">
        <f>_xlfn.XLOOKUP($A35,Map!$A:$A,Map!C:C)</f>
        <v>BS</v>
      </c>
      <c r="H35" s="43" t="str">
        <f>_xlfn.XLOOKUP($A35,Map!$A:$A,Map!D:D)</f>
        <v>Current Assets</v>
      </c>
      <c r="I35" s="43" t="str">
        <f>_xlfn.XLOOKUP($A35,Map!$A:$A,Map!E:E)</f>
        <v>Cash and cash equivalents</v>
      </c>
      <c r="J35" s="43" t="str">
        <f>_xlfn.XLOOKUP($A35,Map!$A:$A,Map!F:F)</f>
        <v>Bank balances</v>
      </c>
    </row>
    <row r="36" spans="1:10" x14ac:dyDescent="0.25">
      <c r="A36">
        <v>130012</v>
      </c>
      <c r="B36" t="s">
        <v>849</v>
      </c>
      <c r="C36" s="116">
        <v>2278838.6170000001</v>
      </c>
      <c r="D36" s="116">
        <v>58887852.167999998</v>
      </c>
      <c r="E36" s="116">
        <v>59914251.248000003</v>
      </c>
      <c r="F36" s="116">
        <v>1252439.537</v>
      </c>
      <c r="G36" s="43" t="str">
        <f>_xlfn.XLOOKUP($A36,Map!$A:$A,Map!C:C)</f>
        <v>BS</v>
      </c>
      <c r="H36" s="43" t="str">
        <f>_xlfn.XLOOKUP($A36,Map!$A:$A,Map!D:D)</f>
        <v>Current Assets</v>
      </c>
      <c r="I36" s="43" t="str">
        <f>_xlfn.XLOOKUP($A36,Map!$A:$A,Map!E:E)</f>
        <v>Cash and cash equivalents</v>
      </c>
      <c r="J36" s="43" t="str">
        <f>_xlfn.XLOOKUP($A36,Map!$A:$A,Map!F:F)</f>
        <v>Bank balances</v>
      </c>
    </row>
    <row r="37" spans="1:10" x14ac:dyDescent="0.25">
      <c r="A37">
        <v>130013</v>
      </c>
      <c r="B37" t="s">
        <v>1206</v>
      </c>
      <c r="C37" s="116">
        <v>2979550.361</v>
      </c>
      <c r="D37" s="116">
        <v>70896318.189999998</v>
      </c>
      <c r="E37" s="116">
        <v>73574930.713</v>
      </c>
      <c r="F37" s="116">
        <v>300937.83799999999</v>
      </c>
      <c r="G37" s="43" t="str">
        <f>_xlfn.XLOOKUP($A37,Map!$A:$A,Map!C:C)</f>
        <v>BS</v>
      </c>
      <c r="H37" s="43" t="str">
        <f>_xlfn.XLOOKUP($A37,Map!$A:$A,Map!D:D)</f>
        <v>Current Assets</v>
      </c>
      <c r="I37" s="43" t="str">
        <f>_xlfn.XLOOKUP($A37,Map!$A:$A,Map!E:E)</f>
        <v>Cash and cash equivalents</v>
      </c>
      <c r="J37" s="43" t="str">
        <f>_xlfn.XLOOKUP($A37,Map!$A:$A,Map!F:F)</f>
        <v>Bank balances</v>
      </c>
    </row>
    <row r="38" spans="1:10" x14ac:dyDescent="0.25">
      <c r="A38">
        <v>130014</v>
      </c>
      <c r="B38" t="s">
        <v>851</v>
      </c>
      <c r="C38" s="116">
        <v>18749.75</v>
      </c>
      <c r="D38" s="116">
        <v>2906165</v>
      </c>
      <c r="E38" s="116">
        <v>2649183</v>
      </c>
      <c r="F38" s="116">
        <v>275731.75</v>
      </c>
      <c r="G38" s="43" t="str">
        <f>_xlfn.XLOOKUP($A38,Map!$A:$A,Map!C:C)</f>
        <v>BS</v>
      </c>
      <c r="H38" s="43" t="str">
        <f>_xlfn.XLOOKUP($A38,Map!$A:$A,Map!D:D)</f>
        <v>Current Assets</v>
      </c>
      <c r="I38" s="43" t="str">
        <f>_xlfn.XLOOKUP($A38,Map!$A:$A,Map!E:E)</f>
        <v>Cash and cash equivalents</v>
      </c>
      <c r="J38" s="43" t="str">
        <f>_xlfn.XLOOKUP($A38,Map!$A:$A,Map!F:F)</f>
        <v>Bank balances</v>
      </c>
    </row>
    <row r="39" spans="1:10" x14ac:dyDescent="0.25">
      <c r="A39">
        <v>130099</v>
      </c>
      <c r="B39" t="s">
        <v>856</v>
      </c>
      <c r="C39" s="116">
        <v>0</v>
      </c>
      <c r="D39" s="116">
        <v>227157270.28999999</v>
      </c>
      <c r="E39" s="116">
        <v>227157270.28999999</v>
      </c>
      <c r="F39" s="116">
        <v>0</v>
      </c>
      <c r="G39" s="43" t="str">
        <f>_xlfn.XLOOKUP($A39,Map!$A:$A,Map!C:C)</f>
        <v>BS</v>
      </c>
      <c r="H39" s="43" t="str">
        <f>_xlfn.XLOOKUP($A39,Map!$A:$A,Map!D:D)</f>
        <v>Current Assets</v>
      </c>
      <c r="I39" s="43" t="str">
        <f>_xlfn.XLOOKUP($A39,Map!$A:$A,Map!E:E)</f>
        <v>Cash and cash equivalents</v>
      </c>
      <c r="J39" s="43" t="str">
        <f>_xlfn.XLOOKUP($A39,Map!$A:$A,Map!F:F)</f>
        <v>Bank balances</v>
      </c>
    </row>
    <row r="40" spans="1:10" x14ac:dyDescent="0.25">
      <c r="A40">
        <v>140001</v>
      </c>
      <c r="B40" t="s">
        <v>857</v>
      </c>
      <c r="C40" s="116">
        <v>63268299.509000003</v>
      </c>
      <c r="D40" s="116">
        <v>348458694.40799999</v>
      </c>
      <c r="E40" s="116">
        <v>338725133.49800003</v>
      </c>
      <c r="F40" s="116">
        <v>73001860.419</v>
      </c>
      <c r="G40" s="43" t="str">
        <f>_xlfn.XLOOKUP($A40,Map!$A:$A,Map!C:C)</f>
        <v>BS</v>
      </c>
      <c r="H40" s="43" t="str">
        <f>_xlfn.XLOOKUP($A40,Map!$A:$A,Map!D:D)</f>
        <v>Current Assets</v>
      </c>
      <c r="I40" s="43" t="str">
        <f>_xlfn.XLOOKUP($A40,Map!$A:$A,Map!E:E)</f>
        <v>Trade receivables</v>
      </c>
      <c r="J40" s="43" t="str">
        <f>_xlfn.XLOOKUP($A40,Map!$A:$A,Map!F:F)</f>
        <v>Trade receivables - current</v>
      </c>
    </row>
    <row r="41" spans="1:10" x14ac:dyDescent="0.25">
      <c r="A41">
        <v>140010</v>
      </c>
      <c r="B41" t="s">
        <v>858</v>
      </c>
      <c r="C41" s="116">
        <v>0</v>
      </c>
      <c r="D41" s="116">
        <v>0</v>
      </c>
      <c r="E41" s="116">
        <v>0</v>
      </c>
      <c r="F41" s="116">
        <v>0</v>
      </c>
      <c r="G41" s="43" t="str">
        <f>_xlfn.XLOOKUP($A41,Map!$A:$A,Map!C:C)</f>
        <v>BS</v>
      </c>
      <c r="H41" s="43" t="str">
        <f>_xlfn.XLOOKUP($A41,Map!$A:$A,Map!D:D)</f>
        <v>Current Assets</v>
      </c>
      <c r="I41" s="43" t="str">
        <f>_xlfn.XLOOKUP($A41,Map!$A:$A,Map!E:E)</f>
        <v>Trade receivables</v>
      </c>
      <c r="J41" s="43" t="str">
        <f>_xlfn.XLOOKUP($A41,Map!$A:$A,Map!F:F)</f>
        <v>Trade receivables - current</v>
      </c>
    </row>
    <row r="42" spans="1:10" x14ac:dyDescent="0.25">
      <c r="A42">
        <v>150001</v>
      </c>
      <c r="B42" t="s">
        <v>859</v>
      </c>
      <c r="C42" s="116">
        <v>37250</v>
      </c>
      <c r="D42" s="116">
        <v>52923.5</v>
      </c>
      <c r="E42" s="116">
        <v>71173</v>
      </c>
      <c r="F42" s="116">
        <v>19000.5</v>
      </c>
      <c r="G42" s="43" t="str">
        <f>_xlfn.XLOOKUP($A42,Map!$A:$A,Map!C:C)</f>
        <v>BS</v>
      </c>
      <c r="H42" s="43" t="str">
        <f>_xlfn.XLOOKUP($A42,Map!$A:$A,Map!D:D)</f>
        <v>Current Assets</v>
      </c>
      <c r="I42" s="43" t="str">
        <f>_xlfn.XLOOKUP($A42,Map!$A:$A,Map!E:E)</f>
        <v>Prepaid expenses</v>
      </c>
      <c r="J42" s="43" t="str">
        <f>_xlfn.XLOOKUP($A42,Map!$A:$A,Map!F:F)</f>
        <v>Advances - current</v>
      </c>
    </row>
    <row r="43" spans="1:10" x14ac:dyDescent="0.25">
      <c r="A43">
        <v>150002</v>
      </c>
      <c r="B43" t="s">
        <v>860</v>
      </c>
      <c r="C43" s="116">
        <v>2388782</v>
      </c>
      <c r="D43" s="116">
        <v>60691</v>
      </c>
      <c r="E43" s="116">
        <v>75235</v>
      </c>
      <c r="F43" s="116">
        <v>2374238</v>
      </c>
      <c r="G43" s="43" t="str">
        <f>_xlfn.XLOOKUP($A43,Map!$A:$A,Map!C:C)</f>
        <v>BS</v>
      </c>
      <c r="H43" s="43" t="str">
        <f>_xlfn.XLOOKUP($A43,Map!$A:$A,Map!D:D)</f>
        <v>Non-Current Liabilities</v>
      </c>
      <c r="I43" s="43" t="str">
        <f>_xlfn.XLOOKUP($A43,Map!$A:$A,Map!E:E)</f>
        <v xml:space="preserve">End-of-service indemnities </v>
      </c>
      <c r="J43" s="43" t="str">
        <f>_xlfn.XLOOKUP($A43,Map!$A:$A,Map!F:F)</f>
        <v xml:space="preserve">End-of-service indemnities </v>
      </c>
    </row>
    <row r="44" spans="1:10" x14ac:dyDescent="0.25">
      <c r="A44">
        <v>160001</v>
      </c>
      <c r="B44" t="s">
        <v>861</v>
      </c>
      <c r="C44" s="116">
        <v>8703.91</v>
      </c>
      <c r="D44" s="116">
        <v>238666</v>
      </c>
      <c r="E44" s="116">
        <v>230320.22</v>
      </c>
      <c r="F44" s="116">
        <v>17049.689999999999</v>
      </c>
      <c r="G44" s="43" t="str">
        <f>_xlfn.XLOOKUP($A44,Map!$A:$A,Map!C:C)</f>
        <v>BS</v>
      </c>
      <c r="H44" s="43" t="str">
        <f>_xlfn.XLOOKUP($A44,Map!$A:$A,Map!D:D)</f>
        <v>Current Assets</v>
      </c>
      <c r="I44" s="43" t="str">
        <f>_xlfn.XLOOKUP($A44,Map!$A:$A,Map!E:E)</f>
        <v>Cash and cash equivalents</v>
      </c>
      <c r="J44" s="43" t="str">
        <f>_xlfn.XLOOKUP($A44,Map!$A:$A,Map!F:F)</f>
        <v>Petty cash</v>
      </c>
    </row>
    <row r="45" spans="1:10" x14ac:dyDescent="0.25">
      <c r="A45">
        <v>170000</v>
      </c>
      <c r="B45" t="s">
        <v>862</v>
      </c>
      <c r="C45" s="116">
        <v>0</v>
      </c>
      <c r="D45" s="116">
        <v>1505659.591</v>
      </c>
      <c r="E45" s="116">
        <v>788311.51</v>
      </c>
      <c r="F45" s="116">
        <v>717348.08100000001</v>
      </c>
      <c r="G45" s="43" t="str">
        <f>_xlfn.XLOOKUP($A45,Map!$A:$A,Map!C:C)</f>
        <v>BS</v>
      </c>
      <c r="H45" s="43" t="str">
        <f>_xlfn.XLOOKUP($A45,Map!$A:$A,Map!D:D)</f>
        <v>Current Liabilities</v>
      </c>
      <c r="I45" s="43" t="str">
        <f>_xlfn.XLOOKUP($A45,Map!$A:$A,Map!E:E)</f>
        <v>Short-term Murabaha loans</v>
      </c>
      <c r="J45" s="43" t="str">
        <f>_xlfn.XLOOKUP($A45,Map!$A:$A,Map!F:F)</f>
        <v>Prepayments - current</v>
      </c>
    </row>
    <row r="46" spans="1:10" x14ac:dyDescent="0.25">
      <c r="A46">
        <v>170001</v>
      </c>
      <c r="B46" t="s">
        <v>863</v>
      </c>
      <c r="C46" s="116">
        <v>0</v>
      </c>
      <c r="D46" s="116">
        <v>2355093.8050000002</v>
      </c>
      <c r="E46" s="116">
        <v>1166259.8289999999</v>
      </c>
      <c r="F46" s="116">
        <v>1188833.976</v>
      </c>
      <c r="G46" s="43" t="str">
        <f>_xlfn.XLOOKUP($A46,Map!$A:$A,Map!C:C)</f>
        <v>BS</v>
      </c>
      <c r="H46" s="43" t="str">
        <f>_xlfn.XLOOKUP($A46,Map!$A:$A,Map!D:D)</f>
        <v>Current Liabilities</v>
      </c>
      <c r="I46" s="43" t="str">
        <f>_xlfn.XLOOKUP($A46,Map!$A:$A,Map!E:E)</f>
        <v>Short-term Murabaha loans</v>
      </c>
      <c r="J46" s="43" t="str">
        <f>_xlfn.XLOOKUP($A46,Map!$A:$A,Map!F:F)</f>
        <v>Prepayments - current</v>
      </c>
    </row>
    <row r="47" spans="1:10" x14ac:dyDescent="0.25">
      <c r="A47">
        <v>170002</v>
      </c>
      <c r="B47" t="s">
        <v>864</v>
      </c>
      <c r="C47" s="116">
        <v>0</v>
      </c>
      <c r="D47" s="116">
        <v>2590543.906</v>
      </c>
      <c r="E47" s="116">
        <v>1907884.5430000001</v>
      </c>
      <c r="F47" s="116">
        <v>682659.36300000001</v>
      </c>
      <c r="G47" s="43" t="str">
        <f>_xlfn.XLOOKUP($A47,Map!$A:$A,Map!C:C)</f>
        <v>BS</v>
      </c>
      <c r="H47" s="43" t="str">
        <f>_xlfn.XLOOKUP($A47,Map!$A:$A,Map!D:D)</f>
        <v>Current Liabilities</v>
      </c>
      <c r="I47" s="43" t="str">
        <f>_xlfn.XLOOKUP($A47,Map!$A:$A,Map!E:E)</f>
        <v>Short-term Murabaha loans</v>
      </c>
      <c r="J47" s="43" t="str">
        <f>_xlfn.XLOOKUP($A47,Map!$A:$A,Map!F:F)</f>
        <v>Prepayments - current</v>
      </c>
    </row>
    <row r="48" spans="1:10" x14ac:dyDescent="0.25">
      <c r="A48">
        <v>170003</v>
      </c>
      <c r="B48" t="s">
        <v>865</v>
      </c>
      <c r="C48" s="116">
        <v>0</v>
      </c>
      <c r="D48" s="116">
        <v>0</v>
      </c>
      <c r="E48" s="116">
        <v>0</v>
      </c>
      <c r="F48" s="116">
        <v>0</v>
      </c>
      <c r="G48" s="43" t="str">
        <f>_xlfn.XLOOKUP($A48,Map!$A:$A,Map!C:C)</f>
        <v>BS</v>
      </c>
      <c r="H48" s="43" t="str">
        <f>_xlfn.XLOOKUP($A48,Map!$A:$A,Map!D:D)</f>
        <v>Current Liabilities</v>
      </c>
      <c r="I48" s="43" t="str">
        <f>_xlfn.XLOOKUP($A48,Map!$A:$A,Map!E:E)</f>
        <v>Short-term Murabaha loans</v>
      </c>
      <c r="J48" s="43" t="str">
        <f>_xlfn.XLOOKUP($A48,Map!$A:$A,Map!F:F)</f>
        <v>Prepayments - current</v>
      </c>
    </row>
    <row r="49" spans="1:10" x14ac:dyDescent="0.25">
      <c r="A49">
        <v>170004</v>
      </c>
      <c r="B49" t="s">
        <v>866</v>
      </c>
      <c r="C49" s="116">
        <v>0</v>
      </c>
      <c r="D49" s="116">
        <v>0</v>
      </c>
      <c r="E49" s="116">
        <v>0</v>
      </c>
      <c r="F49" s="116">
        <v>0</v>
      </c>
      <c r="G49" s="43" t="str">
        <f>_xlfn.XLOOKUP($A49,Map!$A:$A,Map!C:C)</f>
        <v>BS</v>
      </c>
      <c r="H49" s="43" t="str">
        <f>_xlfn.XLOOKUP($A49,Map!$A:$A,Map!D:D)</f>
        <v>Current Liabilities</v>
      </c>
      <c r="I49" s="43" t="str">
        <f>_xlfn.XLOOKUP($A49,Map!$A:$A,Map!E:E)</f>
        <v>Short-term Murabaha loans</v>
      </c>
      <c r="J49" s="43" t="str">
        <f>_xlfn.XLOOKUP($A49,Map!$A:$A,Map!F:F)</f>
        <v>Prepayments - current</v>
      </c>
    </row>
    <row r="50" spans="1:10" x14ac:dyDescent="0.25">
      <c r="A50">
        <v>170005</v>
      </c>
      <c r="B50" t="s">
        <v>867</v>
      </c>
      <c r="C50" s="116">
        <v>0</v>
      </c>
      <c r="D50" s="116">
        <v>0</v>
      </c>
      <c r="E50" s="116">
        <v>0</v>
      </c>
      <c r="F50" s="116">
        <v>0</v>
      </c>
      <c r="G50" s="43" t="str">
        <f>_xlfn.XLOOKUP($A50,Map!$A:$A,Map!C:C)</f>
        <v>BS</v>
      </c>
      <c r="H50" s="43" t="str">
        <f>_xlfn.XLOOKUP($A50,Map!$A:$A,Map!D:D)</f>
        <v>Current Assets</v>
      </c>
      <c r="I50" s="43" t="str">
        <f>_xlfn.XLOOKUP($A50,Map!$A:$A,Map!E:E)</f>
        <v>Prepaid expenses</v>
      </c>
      <c r="J50" s="43" t="str">
        <f>_xlfn.XLOOKUP($A50,Map!$A:$A,Map!F:F)</f>
        <v>Deposits - current</v>
      </c>
    </row>
    <row r="51" spans="1:10" x14ac:dyDescent="0.25">
      <c r="A51">
        <v>170006</v>
      </c>
      <c r="B51" t="s">
        <v>868</v>
      </c>
      <c r="C51" s="116">
        <v>1240226.54</v>
      </c>
      <c r="D51" s="116">
        <v>2309689.267</v>
      </c>
      <c r="E51" s="116">
        <v>3531586.3870000001</v>
      </c>
      <c r="F51" s="116">
        <v>18329.419999999998</v>
      </c>
      <c r="G51" s="43" t="str">
        <f>_xlfn.XLOOKUP($A51,Map!$A:$A,Map!C:C)</f>
        <v>BS</v>
      </c>
      <c r="H51" s="43" t="str">
        <f>_xlfn.XLOOKUP($A51,Map!$A:$A,Map!D:D)</f>
        <v>Current Assets</v>
      </c>
      <c r="I51" s="43" t="str">
        <f>_xlfn.XLOOKUP($A51,Map!$A:$A,Map!E:E)</f>
        <v>Prepaid expenses</v>
      </c>
      <c r="J51" s="43" t="str">
        <f>_xlfn.XLOOKUP($A51,Map!$A:$A,Map!F:F)</f>
        <v>Deposits - current</v>
      </c>
    </row>
    <row r="52" spans="1:10" x14ac:dyDescent="0.25">
      <c r="A52">
        <v>170007</v>
      </c>
      <c r="B52" t="s">
        <v>869</v>
      </c>
      <c r="C52" s="116">
        <v>0</v>
      </c>
      <c r="D52" s="116">
        <v>0</v>
      </c>
      <c r="E52" s="116">
        <v>0</v>
      </c>
      <c r="F52" s="116">
        <v>0</v>
      </c>
      <c r="G52" s="43" t="str">
        <f>_xlfn.XLOOKUP($A52,Map!$A:$A,Map!C:C)</f>
        <v>BS</v>
      </c>
      <c r="H52" s="43" t="str">
        <f>_xlfn.XLOOKUP($A52,Map!$A:$A,Map!D:D)</f>
        <v>Current Assets</v>
      </c>
      <c r="I52" s="43" t="str">
        <f>_xlfn.XLOOKUP($A52,Map!$A:$A,Map!E:E)</f>
        <v>Prepaid expenses</v>
      </c>
      <c r="J52" s="43" t="str">
        <f>_xlfn.XLOOKUP($A52,Map!$A:$A,Map!F:F)</f>
        <v>Deposits - current</v>
      </c>
    </row>
    <row r="53" spans="1:10" x14ac:dyDescent="0.25">
      <c r="A53">
        <v>170008</v>
      </c>
      <c r="B53" t="s">
        <v>870</v>
      </c>
      <c r="C53" s="116">
        <v>402889.63</v>
      </c>
      <c r="D53" s="116">
        <v>662111.29</v>
      </c>
      <c r="E53" s="116">
        <v>1065000.92</v>
      </c>
      <c r="F53" s="116">
        <v>0</v>
      </c>
      <c r="G53" s="43" t="str">
        <f>_xlfn.XLOOKUP($A53,Map!$A:$A,Map!C:C)</f>
        <v>BS</v>
      </c>
      <c r="H53" s="43" t="str">
        <f>_xlfn.XLOOKUP($A53,Map!$A:$A,Map!D:D)</f>
        <v>Current Assets</v>
      </c>
      <c r="I53" s="43" t="str">
        <f>_xlfn.XLOOKUP($A53,Map!$A:$A,Map!E:E)</f>
        <v>Prepaid expenses</v>
      </c>
      <c r="J53" s="43" t="str">
        <f>_xlfn.XLOOKUP($A53,Map!$A:$A,Map!F:F)</f>
        <v>Deposits - current</v>
      </c>
    </row>
    <row r="54" spans="1:10" x14ac:dyDescent="0.25">
      <c r="A54">
        <v>170009</v>
      </c>
      <c r="B54" t="s">
        <v>871</v>
      </c>
      <c r="C54" s="116">
        <v>33000</v>
      </c>
      <c r="D54" s="116">
        <v>266540</v>
      </c>
      <c r="E54" s="116">
        <v>236763</v>
      </c>
      <c r="F54" s="116">
        <v>62777</v>
      </c>
      <c r="G54" s="43" t="str">
        <f>_xlfn.XLOOKUP($A54,Map!$A:$A,Map!C:C)</f>
        <v>BS</v>
      </c>
      <c r="H54" s="43" t="str">
        <f>_xlfn.XLOOKUP($A54,Map!$A:$A,Map!D:D)</f>
        <v>Current Assets</v>
      </c>
      <c r="I54" s="43" t="str">
        <f>_xlfn.XLOOKUP($A54,Map!$A:$A,Map!E:E)</f>
        <v>Prepaid expenses</v>
      </c>
      <c r="J54" s="43" t="str">
        <f>_xlfn.XLOOKUP($A54,Map!$A:$A,Map!F:F)</f>
        <v>Rent</v>
      </c>
    </row>
    <row r="55" spans="1:10" x14ac:dyDescent="0.25">
      <c r="A55">
        <v>170010</v>
      </c>
      <c r="B55" t="s">
        <v>872</v>
      </c>
      <c r="C55" s="116">
        <v>0</v>
      </c>
      <c r="D55" s="116">
        <v>798321</v>
      </c>
      <c r="E55" s="116">
        <v>798321</v>
      </c>
      <c r="F55" s="116">
        <v>0</v>
      </c>
      <c r="G55" s="43" t="str">
        <f>_xlfn.XLOOKUP($A55,Map!$A:$A,Map!C:C)</f>
        <v>BS</v>
      </c>
      <c r="H55" s="43" t="str">
        <f>_xlfn.XLOOKUP($A55,Map!$A:$A,Map!D:D)</f>
        <v>Current Assets</v>
      </c>
      <c r="I55" s="43" t="str">
        <f>_xlfn.XLOOKUP($A55,Map!$A:$A,Map!E:E)</f>
        <v>Prepaid expenses</v>
      </c>
      <c r="J55" s="43" t="str">
        <f>_xlfn.XLOOKUP($A55,Map!$A:$A,Map!F:F)</f>
        <v>Housing allowance</v>
      </c>
    </row>
    <row r="56" spans="1:10" x14ac:dyDescent="0.25">
      <c r="A56">
        <v>170011</v>
      </c>
      <c r="B56" t="s">
        <v>873</v>
      </c>
      <c r="C56" s="116">
        <v>0</v>
      </c>
      <c r="D56" s="116">
        <v>78000</v>
      </c>
      <c r="E56" s="116">
        <v>78000</v>
      </c>
      <c r="F56" s="116">
        <v>0</v>
      </c>
      <c r="G56" s="43" t="str">
        <f>_xlfn.XLOOKUP($A56,Map!$A:$A,Map!C:C)</f>
        <v>BS</v>
      </c>
      <c r="H56" s="43" t="str">
        <f>_xlfn.XLOOKUP($A56,Map!$A:$A,Map!D:D)</f>
        <v>Current Assets</v>
      </c>
      <c r="I56" s="43" t="str">
        <f>_xlfn.XLOOKUP($A56,Map!$A:$A,Map!E:E)</f>
        <v>Prepaid expenses</v>
      </c>
      <c r="J56" s="43" t="str">
        <f>_xlfn.XLOOKUP($A56,Map!$A:$A,Map!F:F)</f>
        <v>Air tickets</v>
      </c>
    </row>
    <row r="57" spans="1:10" x14ac:dyDescent="0.25">
      <c r="A57">
        <v>170012</v>
      </c>
      <c r="B57" t="s">
        <v>874</v>
      </c>
      <c r="C57" s="116">
        <v>128580</v>
      </c>
      <c r="D57" s="116">
        <v>0</v>
      </c>
      <c r="E57" s="116">
        <v>128580.00599999999</v>
      </c>
      <c r="F57" s="116">
        <v>-6.0000000000000001E-3</v>
      </c>
      <c r="G57" s="43" t="str">
        <f>_xlfn.XLOOKUP($A57,Map!$A:$A,Map!C:C)</f>
        <v>BS</v>
      </c>
      <c r="H57" s="43" t="str">
        <f>_xlfn.XLOOKUP($A57,Map!$A:$A,Map!D:D)</f>
        <v>Current Assets</v>
      </c>
      <c r="I57" s="43" t="str">
        <f>_xlfn.XLOOKUP($A57,Map!$A:$A,Map!E:E)</f>
        <v>Prepaid expenses</v>
      </c>
      <c r="J57" s="43" t="str">
        <f>_xlfn.XLOOKUP($A57,Map!$A:$A,Map!F:F)</f>
        <v>Furniture allowance</v>
      </c>
    </row>
    <row r="58" spans="1:10" x14ac:dyDescent="0.25">
      <c r="A58">
        <v>170013</v>
      </c>
      <c r="B58" t="s">
        <v>875</v>
      </c>
      <c r="C58" s="116">
        <v>67999.599000000002</v>
      </c>
      <c r="D58" s="116">
        <v>0</v>
      </c>
      <c r="E58" s="116">
        <v>67999.599000000002</v>
      </c>
      <c r="F58" s="116">
        <v>0</v>
      </c>
      <c r="G58" s="43" t="str">
        <f>_xlfn.XLOOKUP($A58,Map!$A:$A,Map!C:C)</f>
        <v>BS</v>
      </c>
      <c r="H58" s="43" t="str">
        <f>_xlfn.XLOOKUP($A58,Map!$A:$A,Map!D:D)</f>
        <v>Current Assets</v>
      </c>
      <c r="I58" s="43" t="str">
        <f>_xlfn.XLOOKUP($A58,Map!$A:$A,Map!E:E)</f>
        <v>Prepaid expenses</v>
      </c>
      <c r="J58" s="43" t="str">
        <f>_xlfn.XLOOKUP($A58,Map!$A:$A,Map!F:F)</f>
        <v>Insurance</v>
      </c>
    </row>
    <row r="59" spans="1:10" x14ac:dyDescent="0.25">
      <c r="A59">
        <v>170014</v>
      </c>
      <c r="B59" t="s">
        <v>876</v>
      </c>
      <c r="C59" s="116">
        <v>364209.5</v>
      </c>
      <c r="D59" s="116">
        <v>1139321.0160000001</v>
      </c>
      <c r="E59" s="116">
        <v>933870.00600000005</v>
      </c>
      <c r="F59" s="116">
        <v>569660.51</v>
      </c>
      <c r="G59" s="43" t="str">
        <f>_xlfn.XLOOKUP($A59,Map!$A:$A,Map!C:C)</f>
        <v>BS</v>
      </c>
      <c r="H59" s="43" t="str">
        <f>_xlfn.XLOOKUP($A59,Map!$A:$A,Map!D:D)</f>
        <v>Current Assets</v>
      </c>
      <c r="I59" s="43" t="str">
        <f>_xlfn.XLOOKUP($A59,Map!$A:$A,Map!E:E)</f>
        <v>Prepaid expenses</v>
      </c>
      <c r="J59" s="43" t="str">
        <f>_xlfn.XLOOKUP($A59,Map!$A:$A,Map!F:F)</f>
        <v>Insurance</v>
      </c>
    </row>
    <row r="60" spans="1:10" x14ac:dyDescent="0.25">
      <c r="A60">
        <v>170015</v>
      </c>
      <c r="B60" t="s">
        <v>877</v>
      </c>
      <c r="C60" s="116">
        <v>0</v>
      </c>
      <c r="D60" s="116">
        <v>0</v>
      </c>
      <c r="E60" s="116">
        <v>0</v>
      </c>
      <c r="F60" s="116">
        <v>0</v>
      </c>
      <c r="G60" s="43" t="str">
        <f>_xlfn.XLOOKUP($A60,Map!$A:$A,Map!C:C)</f>
        <v>BS</v>
      </c>
      <c r="H60" s="43" t="str">
        <f>_xlfn.XLOOKUP($A60,Map!$A:$A,Map!D:D)</f>
        <v>Current Assets</v>
      </c>
      <c r="I60" s="43" t="str">
        <f>_xlfn.XLOOKUP($A60,Map!$A:$A,Map!E:E)</f>
        <v>Prepaid expenses</v>
      </c>
      <c r="J60" s="43" t="str">
        <f>_xlfn.XLOOKUP($A60,Map!$A:$A,Map!F:F)</f>
        <v>Salaries and wages</v>
      </c>
    </row>
    <row r="61" spans="1:10" x14ac:dyDescent="0.25">
      <c r="A61">
        <v>170016</v>
      </c>
      <c r="B61" t="s">
        <v>878</v>
      </c>
      <c r="C61" s="116">
        <v>0</v>
      </c>
      <c r="D61" s="116">
        <v>437398.6</v>
      </c>
      <c r="E61" s="116">
        <v>0</v>
      </c>
      <c r="F61" s="116">
        <v>437398.6</v>
      </c>
      <c r="G61" s="43" t="str">
        <f>_xlfn.XLOOKUP($A61,Map!$A:$A,Map!C:C)</f>
        <v>BS</v>
      </c>
      <c r="H61" s="43" t="str">
        <f>_xlfn.XLOOKUP($A61,Map!$A:$A,Map!D:D)</f>
        <v>Current Assets</v>
      </c>
      <c r="I61" s="43" t="str">
        <f>_xlfn.XLOOKUP($A61,Map!$A:$A,Map!E:E)</f>
        <v>Prepaid expenses</v>
      </c>
      <c r="J61" s="43" t="str">
        <f>_xlfn.XLOOKUP($A61,Map!$A:$A,Map!F:F)</f>
        <v>Other receivables - current</v>
      </c>
    </row>
    <row r="62" spans="1:10" x14ac:dyDescent="0.25">
      <c r="A62">
        <v>170017</v>
      </c>
      <c r="B62" t="s">
        <v>879</v>
      </c>
      <c r="C62" s="116">
        <v>0</v>
      </c>
      <c r="D62" s="116">
        <v>0</v>
      </c>
      <c r="E62" s="116">
        <v>0</v>
      </c>
      <c r="F62" s="116">
        <v>0</v>
      </c>
      <c r="G62" s="43" t="str">
        <f>_xlfn.XLOOKUP($A62,Map!$A:$A,Map!C:C)</f>
        <v>BS</v>
      </c>
      <c r="H62" s="43" t="str">
        <f>_xlfn.XLOOKUP($A62,Map!$A:$A,Map!D:D)</f>
        <v>Current Assets</v>
      </c>
      <c r="I62" s="43" t="str">
        <f>_xlfn.XLOOKUP($A62,Map!$A:$A,Map!E:E)</f>
        <v>Prepaid expenses</v>
      </c>
      <c r="J62" s="43" t="str">
        <f>_xlfn.XLOOKUP($A62,Map!$A:$A,Map!F:F)</f>
        <v>Family allowance</v>
      </c>
    </row>
    <row r="63" spans="1:10" x14ac:dyDescent="0.25">
      <c r="A63">
        <v>180001</v>
      </c>
      <c r="B63" t="s">
        <v>884</v>
      </c>
      <c r="C63" s="116">
        <v>472084.609</v>
      </c>
      <c r="D63" s="116">
        <v>3514031.7039999999</v>
      </c>
      <c r="E63" s="116">
        <v>3406401.219</v>
      </c>
      <c r="F63" s="116">
        <v>579715.09400000004</v>
      </c>
      <c r="G63" s="43" t="str">
        <f>_xlfn.XLOOKUP($A63,Map!$A:$A,Map!C:C)</f>
        <v>BS</v>
      </c>
      <c r="H63" s="43" t="str">
        <f>_xlfn.XLOOKUP($A63,Map!$A:$A,Map!D:D)</f>
        <v>Current Assets</v>
      </c>
      <c r="I63" s="43" t="str">
        <f>_xlfn.XLOOKUP($A63,Map!$A:$A,Map!E:E)</f>
        <v>Inventories</v>
      </c>
      <c r="J63" s="43" t="str">
        <f>_xlfn.XLOOKUP($A63,Map!$A:$A,Map!F:F)</f>
        <v>Raw materials - Inventory</v>
      </c>
    </row>
    <row r="64" spans="1:10" x14ac:dyDescent="0.25">
      <c r="A64">
        <v>180002</v>
      </c>
      <c r="B64" t="s">
        <v>885</v>
      </c>
      <c r="C64" s="116">
        <v>0</v>
      </c>
      <c r="D64" s="116">
        <v>0</v>
      </c>
      <c r="E64" s="116">
        <v>0</v>
      </c>
      <c r="F64" s="116">
        <v>0</v>
      </c>
      <c r="G64" s="43" t="str">
        <f>_xlfn.XLOOKUP($A64,Map!$A:$A,Map!C:C)</f>
        <v>BS</v>
      </c>
      <c r="H64" s="43" t="str">
        <f>_xlfn.XLOOKUP($A64,Map!$A:$A,Map!D:D)</f>
        <v>Current Assets</v>
      </c>
      <c r="I64" s="43" t="str">
        <f>_xlfn.XLOOKUP($A64,Map!$A:$A,Map!E:E)</f>
        <v>Inventories</v>
      </c>
      <c r="J64" s="43" t="str">
        <f>_xlfn.XLOOKUP($A64,Map!$A:$A,Map!F:F)</f>
        <v>Raw materials - Inventory</v>
      </c>
    </row>
    <row r="65" spans="1:10" x14ac:dyDescent="0.25">
      <c r="A65">
        <v>180003</v>
      </c>
      <c r="B65" t="s">
        <v>886</v>
      </c>
      <c r="C65" s="116">
        <v>8204122.3789999997</v>
      </c>
      <c r="D65" s="116">
        <v>6041789</v>
      </c>
      <c r="E65" s="116">
        <v>5792732.0159999998</v>
      </c>
      <c r="F65" s="116">
        <v>8453179.3629999999</v>
      </c>
      <c r="G65" s="43" t="str">
        <f>_xlfn.XLOOKUP($A65,Map!$A:$A,Map!C:C)</f>
        <v>BS</v>
      </c>
      <c r="H65" s="43" t="str">
        <f>_xlfn.XLOOKUP($A65,Map!$A:$A,Map!D:D)</f>
        <v>Current Assets</v>
      </c>
      <c r="I65" s="43" t="str">
        <f>_xlfn.XLOOKUP($A65,Map!$A:$A,Map!E:E)</f>
        <v>Inventories</v>
      </c>
      <c r="J65" s="43" t="str">
        <f>_xlfn.XLOOKUP($A65,Map!$A:$A,Map!F:F)</f>
        <v>Spare parts - Inventory</v>
      </c>
    </row>
    <row r="66" spans="1:10" x14ac:dyDescent="0.25">
      <c r="A66">
        <v>180004</v>
      </c>
      <c r="B66" t="s">
        <v>887</v>
      </c>
      <c r="C66" s="116">
        <v>21414671.879000001</v>
      </c>
      <c r="D66" s="116">
        <v>71881423.789000005</v>
      </c>
      <c r="E66" s="116">
        <v>68667286.877000004</v>
      </c>
      <c r="F66" s="116">
        <v>24628808.791000001</v>
      </c>
      <c r="G66" s="43" t="str">
        <f>_xlfn.XLOOKUP($A66,Map!$A:$A,Map!C:C)</f>
        <v>BS</v>
      </c>
      <c r="H66" s="43" t="str">
        <f>_xlfn.XLOOKUP($A66,Map!$A:$A,Map!D:D)</f>
        <v>Current Assets</v>
      </c>
      <c r="I66" s="43" t="str">
        <f>_xlfn.XLOOKUP($A66,Map!$A:$A,Map!E:E)</f>
        <v>Inventories</v>
      </c>
      <c r="J66" s="43" t="str">
        <f>_xlfn.XLOOKUP($A66,Map!$A:$A,Map!F:F)</f>
        <v>Raw materials - Inventory</v>
      </c>
    </row>
    <row r="67" spans="1:10" x14ac:dyDescent="0.25">
      <c r="A67">
        <v>180005</v>
      </c>
      <c r="B67" t="s">
        <v>888</v>
      </c>
      <c r="C67" s="116">
        <v>10850303.380999999</v>
      </c>
      <c r="D67" s="116">
        <v>101529980.373</v>
      </c>
      <c r="E67" s="116">
        <v>90056629.711999997</v>
      </c>
      <c r="F67" s="116">
        <v>22323654.041999999</v>
      </c>
      <c r="G67" s="43" t="str">
        <f>_xlfn.XLOOKUP($A67,Map!$A:$A,Map!C:C)</f>
        <v>BS</v>
      </c>
      <c r="H67" s="43" t="str">
        <f>_xlfn.XLOOKUP($A67,Map!$A:$A,Map!D:D)</f>
        <v>Current Assets</v>
      </c>
      <c r="I67" s="43" t="str">
        <f>_xlfn.XLOOKUP($A67,Map!$A:$A,Map!E:E)</f>
        <v>Inventories</v>
      </c>
      <c r="J67" s="43" t="str">
        <f>_xlfn.XLOOKUP($A67,Map!$A:$A,Map!F:F)</f>
        <v>Raw materials - Inventory</v>
      </c>
    </row>
    <row r="68" spans="1:10" x14ac:dyDescent="0.25">
      <c r="A68">
        <v>180006</v>
      </c>
      <c r="B68" t="s">
        <v>889</v>
      </c>
      <c r="C68" s="116">
        <v>606028.99699999997</v>
      </c>
      <c r="D68" s="116">
        <v>5222066.0729999999</v>
      </c>
      <c r="E68" s="116">
        <v>4527732.2949999999</v>
      </c>
      <c r="F68" s="116">
        <v>1300362.7749999999</v>
      </c>
      <c r="G68" s="43" t="str">
        <f>_xlfn.XLOOKUP($A68,Map!$A:$A,Map!C:C)</f>
        <v>BS</v>
      </c>
      <c r="H68" s="43" t="str">
        <f>_xlfn.XLOOKUP($A68,Map!$A:$A,Map!D:D)</f>
        <v>Current Assets</v>
      </c>
      <c r="I68" s="43" t="str">
        <f>_xlfn.XLOOKUP($A68,Map!$A:$A,Map!E:E)</f>
        <v>Inventories</v>
      </c>
      <c r="J68" s="43" t="str">
        <f>_xlfn.XLOOKUP($A68,Map!$A:$A,Map!F:F)</f>
        <v>Raw materials - Inventory</v>
      </c>
    </row>
    <row r="69" spans="1:10" x14ac:dyDescent="0.25">
      <c r="A69">
        <v>180007</v>
      </c>
      <c r="B69" t="s">
        <v>890</v>
      </c>
      <c r="C69" s="116">
        <v>2466116.929</v>
      </c>
      <c r="D69" s="116">
        <v>37047270.648000002</v>
      </c>
      <c r="E69" s="116">
        <v>32929547.640000001</v>
      </c>
      <c r="F69" s="116">
        <v>6583839.9369999999</v>
      </c>
      <c r="G69" s="43" t="str">
        <f>_xlfn.XLOOKUP($A69,Map!$A:$A,Map!C:C)</f>
        <v>BS</v>
      </c>
      <c r="H69" s="43" t="str">
        <f>_xlfn.XLOOKUP($A69,Map!$A:$A,Map!D:D)</f>
        <v>Current Assets</v>
      </c>
      <c r="I69" s="43" t="str">
        <f>_xlfn.XLOOKUP($A69,Map!$A:$A,Map!E:E)</f>
        <v>Inventories</v>
      </c>
      <c r="J69" s="43" t="str">
        <f>_xlfn.XLOOKUP($A69,Map!$A:$A,Map!F:F)</f>
        <v>Raw materials - Inventory</v>
      </c>
    </row>
    <row r="70" spans="1:10" x14ac:dyDescent="0.25">
      <c r="A70">
        <v>180008</v>
      </c>
      <c r="B70" t="s">
        <v>891</v>
      </c>
      <c r="C70" s="116">
        <v>0</v>
      </c>
      <c r="D70" s="116">
        <v>0</v>
      </c>
      <c r="E70" s="116">
        <v>0</v>
      </c>
      <c r="F70" s="116">
        <v>0</v>
      </c>
      <c r="G70" s="43" t="str">
        <f>_xlfn.XLOOKUP($A70,Map!$A:$A,Map!C:C)</f>
        <v>BS</v>
      </c>
      <c r="H70" s="43" t="str">
        <f>_xlfn.XLOOKUP($A70,Map!$A:$A,Map!D:D)</f>
        <v>Current Assets</v>
      </c>
      <c r="I70" s="43" t="str">
        <f>_xlfn.XLOOKUP($A70,Map!$A:$A,Map!E:E)</f>
        <v>Inventories</v>
      </c>
      <c r="J70" s="43" t="str">
        <f>_xlfn.XLOOKUP($A70,Map!$A:$A,Map!F:F)</f>
        <v>Raw materials - Inventory</v>
      </c>
    </row>
    <row r="71" spans="1:10" x14ac:dyDescent="0.25">
      <c r="A71">
        <v>180009</v>
      </c>
      <c r="B71" t="s">
        <v>892</v>
      </c>
      <c r="C71" s="116">
        <v>0</v>
      </c>
      <c r="D71" s="116">
        <v>0</v>
      </c>
      <c r="E71" s="116">
        <v>0</v>
      </c>
      <c r="F71" s="116">
        <v>0</v>
      </c>
      <c r="G71" s="43" t="str">
        <f>_xlfn.XLOOKUP($A71,Map!$A:$A,Map!C:C)</f>
        <v>BS</v>
      </c>
      <c r="H71" s="43" t="str">
        <f>_xlfn.XLOOKUP($A71,Map!$A:$A,Map!D:D)</f>
        <v>Current Assets</v>
      </c>
      <c r="I71" s="43" t="str">
        <f>_xlfn.XLOOKUP($A71,Map!$A:$A,Map!E:E)</f>
        <v>Inventories</v>
      </c>
      <c r="J71" s="43" t="str">
        <f>_xlfn.XLOOKUP($A71,Map!$A:$A,Map!F:F)</f>
        <v>Raw materials - Inventory</v>
      </c>
    </row>
    <row r="72" spans="1:10" x14ac:dyDescent="0.25">
      <c r="A72">
        <v>180010</v>
      </c>
      <c r="B72" t="s">
        <v>893</v>
      </c>
      <c r="C72" s="116">
        <v>3671446.071</v>
      </c>
      <c r="D72" s="116">
        <v>8437155.773</v>
      </c>
      <c r="E72" s="116">
        <v>8304463.5549999997</v>
      </c>
      <c r="F72" s="116">
        <v>3804138.2889999999</v>
      </c>
      <c r="G72" s="43" t="str">
        <f>_xlfn.XLOOKUP($A72,Map!$A:$A,Map!C:C)</f>
        <v>BS</v>
      </c>
      <c r="H72" s="43" t="str">
        <f>_xlfn.XLOOKUP($A72,Map!$A:$A,Map!D:D)</f>
        <v>Current Assets</v>
      </c>
      <c r="I72" s="43" t="str">
        <f>_xlfn.XLOOKUP($A72,Map!$A:$A,Map!E:E)</f>
        <v>Inventories</v>
      </c>
      <c r="J72" s="43" t="str">
        <f>_xlfn.XLOOKUP($A72,Map!$A:$A,Map!F:F)</f>
        <v>Packaging materials - Inventory</v>
      </c>
    </row>
    <row r="73" spans="1:10" x14ac:dyDescent="0.25">
      <c r="A73">
        <v>180011</v>
      </c>
      <c r="B73" t="s">
        <v>894</v>
      </c>
      <c r="C73" s="116">
        <v>4353614.0590000004</v>
      </c>
      <c r="D73" s="116">
        <v>98474647.379999995</v>
      </c>
      <c r="E73" s="116">
        <v>87770522.856999993</v>
      </c>
      <c r="F73" s="116">
        <v>15057738.582</v>
      </c>
      <c r="G73" s="43" t="str">
        <f>_xlfn.XLOOKUP($A73,Map!$A:$A,Map!C:C)</f>
        <v>BS</v>
      </c>
      <c r="H73" s="43" t="str">
        <f>_xlfn.XLOOKUP($A73,Map!$A:$A,Map!D:D)</f>
        <v>Current Assets</v>
      </c>
      <c r="I73" s="43" t="str">
        <f>_xlfn.XLOOKUP($A73,Map!$A:$A,Map!E:E)</f>
        <v>Inventories</v>
      </c>
      <c r="J73" s="43" t="str">
        <f>_xlfn.XLOOKUP($A73,Map!$A:$A,Map!F:F)</f>
        <v>Finished goods - Inventory</v>
      </c>
    </row>
    <row r="74" spans="1:10" x14ac:dyDescent="0.25">
      <c r="A74">
        <v>180012</v>
      </c>
      <c r="B74" t="s">
        <v>895</v>
      </c>
      <c r="C74" s="116">
        <v>3568332.1370000001</v>
      </c>
      <c r="D74" s="116">
        <v>58000324.568000004</v>
      </c>
      <c r="E74" s="116">
        <v>56541264.844999999</v>
      </c>
      <c r="F74" s="116">
        <v>5027391.8600000003</v>
      </c>
      <c r="G74" s="43" t="str">
        <f>_xlfn.XLOOKUP($A74,Map!$A:$A,Map!C:C)</f>
        <v>BS</v>
      </c>
      <c r="H74" s="43" t="str">
        <f>_xlfn.XLOOKUP($A74,Map!$A:$A,Map!D:D)</f>
        <v>Current Assets</v>
      </c>
      <c r="I74" s="43" t="str">
        <f>_xlfn.XLOOKUP($A74,Map!$A:$A,Map!E:E)</f>
        <v>Inventories</v>
      </c>
      <c r="J74" s="43" t="str">
        <f>_xlfn.XLOOKUP($A74,Map!$A:$A,Map!F:F)</f>
        <v>Work in progress - Inventory</v>
      </c>
    </row>
    <row r="75" spans="1:10" x14ac:dyDescent="0.25">
      <c r="A75">
        <v>180013</v>
      </c>
      <c r="B75" t="s">
        <v>896</v>
      </c>
      <c r="C75" s="116">
        <v>5032954.7170000002</v>
      </c>
      <c r="D75" s="116">
        <v>11003940.595000001</v>
      </c>
      <c r="E75" s="116">
        <v>10380258.889</v>
      </c>
      <c r="F75" s="116">
        <v>5656636.4230000004</v>
      </c>
      <c r="G75" s="43" t="str">
        <f>_xlfn.XLOOKUP($A75,Map!$A:$A,Map!C:C)</f>
        <v>BS</v>
      </c>
      <c r="H75" s="43" t="str">
        <f>_xlfn.XLOOKUP($A75,Map!$A:$A,Map!D:D)</f>
        <v>Current Assets</v>
      </c>
      <c r="I75" s="43" t="str">
        <f>_xlfn.XLOOKUP($A75,Map!$A:$A,Map!E:E)</f>
        <v>Inventories</v>
      </c>
      <c r="J75" s="43" t="str">
        <f>_xlfn.XLOOKUP($A75,Map!$A:$A,Map!F:F)</f>
        <v>Finished goods - Inventory</v>
      </c>
    </row>
    <row r="76" spans="1:10" x14ac:dyDescent="0.25">
      <c r="A76">
        <v>180014</v>
      </c>
      <c r="B76" t="s">
        <v>897</v>
      </c>
      <c r="C76" s="116">
        <v>0</v>
      </c>
      <c r="D76" s="116">
        <v>138414708.59099999</v>
      </c>
      <c r="E76" s="116">
        <v>138414708.60100001</v>
      </c>
      <c r="F76" s="116">
        <v>-0.01</v>
      </c>
      <c r="G76" s="43" t="str">
        <f>_xlfn.XLOOKUP($A76,Map!$A:$A,Map!C:C)</f>
        <v>BS</v>
      </c>
      <c r="H76" s="43" t="str">
        <f>_xlfn.XLOOKUP($A76,Map!$A:$A,Map!D:D)</f>
        <v>Current Assets</v>
      </c>
      <c r="I76" s="43" t="str">
        <f>_xlfn.XLOOKUP($A76,Map!$A:$A,Map!E:E)</f>
        <v>Inventories</v>
      </c>
      <c r="J76" s="43" t="str">
        <f>_xlfn.XLOOKUP($A76,Map!$A:$A,Map!F:F)</f>
        <v>Work in progress - Inventory</v>
      </c>
    </row>
    <row r="77" spans="1:10" x14ac:dyDescent="0.25">
      <c r="A77">
        <v>180096</v>
      </c>
      <c r="B77" t="s">
        <v>898</v>
      </c>
      <c r="C77" s="116">
        <v>0</v>
      </c>
      <c r="D77" s="116">
        <v>19199994.844999999</v>
      </c>
      <c r="E77" s="116">
        <v>19199994.844999999</v>
      </c>
      <c r="F77" s="116">
        <v>0</v>
      </c>
      <c r="G77" s="43" t="str">
        <f>_xlfn.XLOOKUP($A77,Map!$A:$A,Map!C:C)</f>
        <v>BS</v>
      </c>
      <c r="H77" s="43" t="str">
        <f>_xlfn.XLOOKUP($A77,Map!$A:$A,Map!D:D)</f>
        <v>Current Assets</v>
      </c>
      <c r="I77" s="43" t="str">
        <f>_xlfn.XLOOKUP($A77,Map!$A:$A,Map!E:E)</f>
        <v>Inventories</v>
      </c>
      <c r="J77" s="43" t="str">
        <f>_xlfn.XLOOKUP($A77,Map!$A:$A,Map!F:F)</f>
        <v>Work in progress - Inventory</v>
      </c>
    </row>
    <row r="78" spans="1:10" x14ac:dyDescent="0.25">
      <c r="A78">
        <v>180097</v>
      </c>
      <c r="B78" t="s">
        <v>899</v>
      </c>
      <c r="C78" s="116">
        <v>0</v>
      </c>
      <c r="D78" s="116">
        <v>0</v>
      </c>
      <c r="E78" s="116">
        <v>0</v>
      </c>
      <c r="F78" s="116">
        <v>0</v>
      </c>
      <c r="G78" s="43" t="str">
        <f>_xlfn.XLOOKUP($A78,Map!$A:$A,Map!C:C)</f>
        <v>BS</v>
      </c>
      <c r="H78" s="43" t="str">
        <f>_xlfn.XLOOKUP($A78,Map!$A:$A,Map!D:D)</f>
        <v>Current Assets</v>
      </c>
      <c r="I78" s="43" t="str">
        <f>_xlfn.XLOOKUP($A78,Map!$A:$A,Map!E:E)</f>
        <v>Inventories</v>
      </c>
      <c r="J78" s="43" t="str">
        <f>_xlfn.XLOOKUP($A78,Map!$A:$A,Map!F:F)</f>
        <v>Work in progress - Inventory</v>
      </c>
    </row>
    <row r="79" spans="1:10" x14ac:dyDescent="0.25">
      <c r="A79">
        <v>180098</v>
      </c>
      <c r="B79" t="s">
        <v>900</v>
      </c>
      <c r="C79" s="116">
        <v>0</v>
      </c>
      <c r="D79" s="116">
        <v>15448887.885</v>
      </c>
      <c r="E79" s="116">
        <v>15448887.884</v>
      </c>
      <c r="F79" s="116">
        <v>1E-3</v>
      </c>
      <c r="G79" s="43" t="str">
        <f>_xlfn.XLOOKUP($A79,Map!$A:$A,Map!C:C)</f>
        <v>BS</v>
      </c>
      <c r="H79" s="43" t="str">
        <f>_xlfn.XLOOKUP($A79,Map!$A:$A,Map!D:D)</f>
        <v>Current Assets</v>
      </c>
      <c r="I79" s="43" t="str">
        <f>_xlfn.XLOOKUP($A79,Map!$A:$A,Map!E:E)</f>
        <v>Inventories</v>
      </c>
      <c r="J79" s="43" t="str">
        <f>_xlfn.XLOOKUP($A79,Map!$A:$A,Map!F:F)</f>
        <v>Work in progress - Inventory</v>
      </c>
    </row>
    <row r="80" spans="1:10" x14ac:dyDescent="0.25">
      <c r="A80">
        <v>180099</v>
      </c>
      <c r="B80" t="s">
        <v>901</v>
      </c>
      <c r="C80" s="116">
        <v>0</v>
      </c>
      <c r="D80" s="116">
        <v>0</v>
      </c>
      <c r="E80" s="116">
        <v>0</v>
      </c>
      <c r="F80" s="116">
        <v>0</v>
      </c>
      <c r="G80" s="43" t="str">
        <f>_xlfn.XLOOKUP($A80,Map!$A:$A,Map!C:C)</f>
        <v>BS</v>
      </c>
      <c r="H80" s="43" t="str">
        <f>_xlfn.XLOOKUP($A80,Map!$A:$A,Map!D:D)</f>
        <v>Current Assets</v>
      </c>
      <c r="I80" s="43" t="str">
        <f>_xlfn.XLOOKUP($A80,Map!$A:$A,Map!E:E)</f>
        <v>Inventories</v>
      </c>
      <c r="J80" s="43" t="str">
        <f>_xlfn.XLOOKUP($A80,Map!$A:$A,Map!F:F)</f>
        <v>Goods in transit - Inventory</v>
      </c>
    </row>
    <row r="81" spans="1:10" x14ac:dyDescent="0.25">
      <c r="A81">
        <v>210001</v>
      </c>
      <c r="B81" t="s">
        <v>902</v>
      </c>
      <c r="C81" s="116">
        <v>4927938.199</v>
      </c>
      <c r="D81" s="116">
        <v>188970081.49399999</v>
      </c>
      <c r="E81" s="116">
        <v>193570072.11700001</v>
      </c>
      <c r="F81" s="116">
        <v>327947.576</v>
      </c>
      <c r="G81" s="43" t="str">
        <f>_xlfn.XLOOKUP($A81,Map!$A:$A,Map!C:C)</f>
        <v>BS</v>
      </c>
      <c r="H81" s="43" t="str">
        <f>_xlfn.XLOOKUP($A81,Map!$A:$A,Map!D:D)</f>
        <v>Current Liabilities</v>
      </c>
      <c r="I81" s="43" t="str">
        <f>_xlfn.XLOOKUP($A81,Map!$A:$A,Map!E:E)</f>
        <v>Tade payables and Accuals &amp; other credit balances</v>
      </c>
      <c r="J81" s="43" t="str">
        <f>_xlfn.XLOOKUP($A81,Map!$A:$A,Map!F:F)</f>
        <v>Trade payables - Foreign</v>
      </c>
    </row>
    <row r="82" spans="1:10" x14ac:dyDescent="0.25">
      <c r="A82">
        <v>210002</v>
      </c>
      <c r="B82" t="s">
        <v>903</v>
      </c>
      <c r="C82" s="116">
        <v>-3053002.9160000002</v>
      </c>
      <c r="D82" s="116">
        <v>132660847.824</v>
      </c>
      <c r="E82" s="116">
        <v>135212349.44100001</v>
      </c>
      <c r="F82" s="116">
        <v>-5604504.5329999998</v>
      </c>
      <c r="G82" s="43" t="str">
        <f>_xlfn.XLOOKUP($A82,Map!$A:$A,Map!C:C)</f>
        <v>BS</v>
      </c>
      <c r="H82" s="43" t="str">
        <f>_xlfn.XLOOKUP($A82,Map!$A:$A,Map!D:D)</f>
        <v>Current Liabilities</v>
      </c>
      <c r="I82" s="43" t="str">
        <f>_xlfn.XLOOKUP($A82,Map!$A:$A,Map!E:E)</f>
        <v>Tade payables and Accuals &amp; other credit balances</v>
      </c>
      <c r="J82" s="43" t="str">
        <f>_xlfn.XLOOKUP($A82,Map!$A:$A,Map!F:F)</f>
        <v>Trade payables - Local</v>
      </c>
    </row>
    <row r="83" spans="1:10" x14ac:dyDescent="0.25">
      <c r="A83">
        <v>220001</v>
      </c>
      <c r="B83" t="s">
        <v>904</v>
      </c>
      <c r="C83" s="116">
        <v>0</v>
      </c>
      <c r="D83" s="116">
        <v>0</v>
      </c>
      <c r="E83" s="116">
        <v>0</v>
      </c>
      <c r="F83" s="116">
        <v>0</v>
      </c>
      <c r="G83" s="43" t="str">
        <f>_xlfn.XLOOKUP($A83,Map!$A:$A,Map!C:C)</f>
        <v>BS</v>
      </c>
      <c r="H83" s="43" t="str">
        <f>_xlfn.XLOOKUP($A83,Map!$A:$A,Map!D:D)</f>
        <v>Current Liabilities</v>
      </c>
      <c r="I83" s="43" t="str">
        <f>_xlfn.XLOOKUP($A83,Map!$A:$A,Map!E:E)</f>
        <v>Short-term Murabaha loans</v>
      </c>
      <c r="J83" s="43" t="str">
        <f>_xlfn.XLOOKUP($A83,Map!$A:$A,Map!F:F)</f>
        <v>Other loans - current</v>
      </c>
    </row>
    <row r="84" spans="1:10" x14ac:dyDescent="0.25">
      <c r="A84">
        <v>220002</v>
      </c>
      <c r="B84" t="s">
        <v>905</v>
      </c>
      <c r="C84" s="116">
        <v>0</v>
      </c>
      <c r="D84" s="116">
        <v>0</v>
      </c>
      <c r="E84" s="116">
        <v>0</v>
      </c>
      <c r="F84" s="116">
        <v>0</v>
      </c>
      <c r="G84" s="43" t="str">
        <f>_xlfn.XLOOKUP($A84,Map!$A:$A,Map!C:C)</f>
        <v>BS</v>
      </c>
      <c r="H84" s="43" t="str">
        <f>_xlfn.XLOOKUP($A84,Map!$A:$A,Map!D:D)</f>
        <v>Current Liabilities</v>
      </c>
      <c r="I84" s="43" t="str">
        <f>_xlfn.XLOOKUP($A84,Map!$A:$A,Map!E:E)</f>
        <v>Short-term Murabaha loans</v>
      </c>
      <c r="J84" s="43" t="str">
        <f>_xlfn.XLOOKUP($A84,Map!$A:$A,Map!F:F)</f>
        <v>Other loans - current</v>
      </c>
    </row>
    <row r="85" spans="1:10" x14ac:dyDescent="0.25">
      <c r="A85">
        <v>220003</v>
      </c>
      <c r="B85" t="s">
        <v>906</v>
      </c>
      <c r="C85" s="116">
        <v>0</v>
      </c>
      <c r="D85" s="116">
        <v>0</v>
      </c>
      <c r="E85" s="116">
        <v>0</v>
      </c>
      <c r="F85" s="116">
        <v>0</v>
      </c>
      <c r="G85" s="43" t="str">
        <f>_xlfn.XLOOKUP($A85,Map!$A:$A,Map!C:C)</f>
        <v>BS</v>
      </c>
      <c r="H85" s="43" t="str">
        <f>_xlfn.XLOOKUP($A85,Map!$A:$A,Map!D:D)</f>
        <v>Current Liabilities</v>
      </c>
      <c r="I85" s="43" t="str">
        <f>_xlfn.XLOOKUP($A85,Map!$A:$A,Map!E:E)</f>
        <v>Short-term Murabaha loans</v>
      </c>
      <c r="J85" s="43" t="str">
        <f>_xlfn.XLOOKUP($A85,Map!$A:$A,Map!F:F)</f>
        <v>Other loans - current</v>
      </c>
    </row>
    <row r="86" spans="1:10" x14ac:dyDescent="0.25">
      <c r="A86">
        <v>220004</v>
      </c>
      <c r="B86" t="s">
        <v>907</v>
      </c>
      <c r="C86" s="116">
        <v>-34821818.277000003</v>
      </c>
      <c r="D86" s="116">
        <v>37838303.755999997</v>
      </c>
      <c r="E86" s="116">
        <v>39628003.359999999</v>
      </c>
      <c r="F86" s="116">
        <v>-36611517.880999997</v>
      </c>
      <c r="G86" s="43" t="str">
        <f>_xlfn.XLOOKUP($A86,Map!$A:$A,Map!C:C)</f>
        <v>BS</v>
      </c>
      <c r="H86" s="43" t="str">
        <f>_xlfn.XLOOKUP($A86,Map!$A:$A,Map!D:D)</f>
        <v>Current Liabilities</v>
      </c>
      <c r="I86" s="43" t="str">
        <f>_xlfn.XLOOKUP($A86,Map!$A:$A,Map!E:E)</f>
        <v>Short-term Murabaha loans</v>
      </c>
      <c r="J86" s="43" t="str">
        <f>_xlfn.XLOOKUP($A86,Map!$A:$A,Map!F:F)</f>
        <v>Other loans - current</v>
      </c>
    </row>
    <row r="87" spans="1:10" x14ac:dyDescent="0.25">
      <c r="A87">
        <v>220005</v>
      </c>
      <c r="B87" t="s">
        <v>908</v>
      </c>
      <c r="C87" s="116">
        <v>-26738909.774</v>
      </c>
      <c r="D87" s="116">
        <v>36225309.560000002</v>
      </c>
      <c r="E87" s="116">
        <v>68575778.289000005</v>
      </c>
      <c r="F87" s="116">
        <v>-59089378.502999999</v>
      </c>
      <c r="G87" s="43" t="str">
        <f>_xlfn.XLOOKUP($A87,Map!$A:$A,Map!C:C)</f>
        <v>BS</v>
      </c>
      <c r="H87" s="43" t="str">
        <f>_xlfn.XLOOKUP($A87,Map!$A:$A,Map!D:D)</f>
        <v>Current Liabilities</v>
      </c>
      <c r="I87" s="43" t="str">
        <f>_xlfn.XLOOKUP($A87,Map!$A:$A,Map!E:E)</f>
        <v>Short-term Murabaha loans</v>
      </c>
      <c r="J87" s="43" t="str">
        <f>_xlfn.XLOOKUP($A87,Map!$A:$A,Map!F:F)</f>
        <v>Other loans - current</v>
      </c>
    </row>
    <row r="88" spans="1:10" x14ac:dyDescent="0.25">
      <c r="A88">
        <v>220006</v>
      </c>
      <c r="B88" t="s">
        <v>909</v>
      </c>
      <c r="C88" s="116">
        <v>-31884129.958000001</v>
      </c>
      <c r="D88" s="116">
        <v>68733951.579999998</v>
      </c>
      <c r="E88" s="116">
        <v>72918929.588</v>
      </c>
      <c r="F88" s="116">
        <v>-36069107.965999998</v>
      </c>
      <c r="G88" s="43" t="str">
        <f>_xlfn.XLOOKUP($A88,Map!$A:$A,Map!C:C)</f>
        <v>BS</v>
      </c>
      <c r="H88" s="43" t="str">
        <f>_xlfn.XLOOKUP($A88,Map!$A:$A,Map!D:D)</f>
        <v>Current Liabilities</v>
      </c>
      <c r="I88" s="43" t="str">
        <f>_xlfn.XLOOKUP($A88,Map!$A:$A,Map!E:E)</f>
        <v>Short-term Murabaha loans</v>
      </c>
      <c r="J88" s="43" t="str">
        <f>_xlfn.XLOOKUP($A88,Map!$A:$A,Map!F:F)</f>
        <v>Other loans - current</v>
      </c>
    </row>
    <row r="89" spans="1:10" x14ac:dyDescent="0.25">
      <c r="A89">
        <v>230001</v>
      </c>
      <c r="B89" t="s">
        <v>911</v>
      </c>
      <c r="C89" s="116">
        <v>0</v>
      </c>
      <c r="D89" s="116">
        <v>229840993.52399999</v>
      </c>
      <c r="E89" s="116">
        <v>229840993.52399999</v>
      </c>
      <c r="F89" s="116">
        <v>0</v>
      </c>
      <c r="G89" s="43" t="str">
        <f>_xlfn.XLOOKUP($A89,Map!$A:$A,Map!C:C)</f>
        <v>BS</v>
      </c>
      <c r="H89" s="43" t="str">
        <f>_xlfn.XLOOKUP($A89,Map!$A:$A,Map!D:D)</f>
        <v>Current Liabilities</v>
      </c>
      <c r="I89" s="43" t="str">
        <f>_xlfn.XLOOKUP($A89,Map!$A:$A,Map!E:E)</f>
        <v>Tade payables and Accuals &amp; other credit balances</v>
      </c>
      <c r="J89" s="43" t="str">
        <f>_xlfn.XLOOKUP($A89,Map!$A:$A,Map!F:F)</f>
        <v>Clearing account</v>
      </c>
    </row>
    <row r="90" spans="1:10" x14ac:dyDescent="0.25">
      <c r="A90">
        <v>240001</v>
      </c>
      <c r="B90" t="s">
        <v>912</v>
      </c>
      <c r="C90" s="116">
        <v>0</v>
      </c>
      <c r="D90" s="116">
        <v>5609205.2649999997</v>
      </c>
      <c r="E90" s="116">
        <v>5609205.2649999997</v>
      </c>
      <c r="F90" s="116">
        <v>0</v>
      </c>
      <c r="G90" s="43" t="str">
        <f>_xlfn.XLOOKUP($A90,Map!$A:$A,Map!C:C)</f>
        <v>BS</v>
      </c>
      <c r="H90" s="43" t="str">
        <f>_xlfn.XLOOKUP($A90,Map!$A:$A,Map!D:D)</f>
        <v>Current Liabilities</v>
      </c>
      <c r="I90" s="43" t="str">
        <f>_xlfn.XLOOKUP($A90,Map!$A:$A,Map!E:E)</f>
        <v>Tade payables and Accuals &amp; other credit balances</v>
      </c>
      <c r="J90" s="43" t="str">
        <f>_xlfn.XLOOKUP($A90,Map!$A:$A,Map!F:F)</f>
        <v>Overhead</v>
      </c>
    </row>
    <row r="91" spans="1:10" x14ac:dyDescent="0.25">
      <c r="A91">
        <v>240002</v>
      </c>
      <c r="B91" t="s">
        <v>913</v>
      </c>
      <c r="C91" s="116">
        <v>0</v>
      </c>
      <c r="D91" s="116">
        <v>5805307.2450000001</v>
      </c>
      <c r="E91" s="116">
        <v>5805307.2450000001</v>
      </c>
      <c r="F91" s="116">
        <v>0</v>
      </c>
      <c r="G91" s="43" t="str">
        <f>_xlfn.XLOOKUP($A91,Map!$A:$A,Map!C:C)</f>
        <v>BS</v>
      </c>
      <c r="H91" s="43" t="str">
        <f>_xlfn.XLOOKUP($A91,Map!$A:$A,Map!D:D)</f>
        <v>Current Liabilities</v>
      </c>
      <c r="I91" s="43" t="str">
        <f>_xlfn.XLOOKUP($A91,Map!$A:$A,Map!E:E)</f>
        <v>Tade payables and Accuals &amp; other credit balances</v>
      </c>
      <c r="J91" s="43" t="str">
        <f>_xlfn.XLOOKUP($A91,Map!$A:$A,Map!F:F)</f>
        <v>Landed Cost - Customs</v>
      </c>
    </row>
    <row r="92" spans="1:10" x14ac:dyDescent="0.25">
      <c r="A92">
        <v>240003</v>
      </c>
      <c r="B92" t="s">
        <v>914</v>
      </c>
      <c r="C92" s="116">
        <v>-1711827.0260000001</v>
      </c>
      <c r="D92" s="116">
        <v>150714</v>
      </c>
      <c r="E92" s="116">
        <v>35684</v>
      </c>
      <c r="F92" s="116">
        <v>-1596797.0260000001</v>
      </c>
      <c r="G92" s="43" t="str">
        <f>_xlfn.XLOOKUP($A92,Map!$A:$A,Map!C:C)</f>
        <v>BS</v>
      </c>
      <c r="H92" s="43" t="str">
        <f>_xlfn.XLOOKUP($A92,Map!$A:$A,Map!D:D)</f>
        <v>Non-Current Liabilities</v>
      </c>
      <c r="I92" s="43" t="str">
        <f>_xlfn.XLOOKUP($A92,Map!$A:$A,Map!E:E)</f>
        <v xml:space="preserve">Lease liabilities non-current </v>
      </c>
      <c r="J92" s="43" t="str">
        <f>_xlfn.XLOOKUP($A92,Map!$A:$A,Map!F:F)</f>
        <v xml:space="preserve"> Lease Obligation</v>
      </c>
    </row>
    <row r="93" spans="1:10" x14ac:dyDescent="0.25">
      <c r="A93">
        <v>250001</v>
      </c>
      <c r="B93" t="s">
        <v>915</v>
      </c>
      <c r="C93" s="116">
        <v>0</v>
      </c>
      <c r="D93" s="116">
        <v>18064217.16</v>
      </c>
      <c r="E93" s="116">
        <v>18064217.16</v>
      </c>
      <c r="F93" s="116">
        <v>0</v>
      </c>
      <c r="G93" s="43" t="str">
        <f>_xlfn.XLOOKUP($A93,Map!$A:$A,Map!C:C)</f>
        <v>BS</v>
      </c>
      <c r="H93" s="43" t="str">
        <f>_xlfn.XLOOKUP($A93,Map!$A:$A,Map!D:D)</f>
        <v>Current Liabilities</v>
      </c>
      <c r="I93" s="43" t="str">
        <f>_xlfn.XLOOKUP($A93,Map!$A:$A,Map!E:E)</f>
        <v>Tade payables and Accuals &amp; other credit balances</v>
      </c>
      <c r="J93" s="43" t="str">
        <f>_xlfn.XLOOKUP($A93,Map!$A:$A,Map!F:F)</f>
        <v>Accrued salaries and wages</v>
      </c>
    </row>
    <row r="94" spans="1:10" x14ac:dyDescent="0.25">
      <c r="A94">
        <v>250002</v>
      </c>
      <c r="B94" t="s">
        <v>916</v>
      </c>
      <c r="C94" s="116">
        <v>0</v>
      </c>
      <c r="D94" s="116">
        <v>0</v>
      </c>
      <c r="E94" s="116">
        <v>0</v>
      </c>
      <c r="F94" s="116">
        <v>0</v>
      </c>
      <c r="G94" s="43" t="str">
        <f>_xlfn.XLOOKUP($A94,Map!$A:$A,Map!C:C)</f>
        <v>BS</v>
      </c>
      <c r="H94" s="43" t="str">
        <f>_xlfn.XLOOKUP($A94,Map!$A:$A,Map!D:D)</f>
        <v>Current Liabilities</v>
      </c>
      <c r="I94" s="43" t="str">
        <f>_xlfn.XLOOKUP($A94,Map!$A:$A,Map!E:E)</f>
        <v>Tade payables and Accuals &amp; other credit balances</v>
      </c>
      <c r="J94" s="43" t="str">
        <f>_xlfn.XLOOKUP($A94,Map!$A:$A,Map!F:F)</f>
        <v>Accrued utilities</v>
      </c>
    </row>
    <row r="95" spans="1:10" x14ac:dyDescent="0.25">
      <c r="A95">
        <v>250003</v>
      </c>
      <c r="B95" t="s">
        <v>917</v>
      </c>
      <c r="C95" s="116">
        <v>0</v>
      </c>
      <c r="D95" s="116">
        <v>193826.13</v>
      </c>
      <c r="E95" s="116">
        <v>193826.13</v>
      </c>
      <c r="F95" s="116">
        <v>0</v>
      </c>
      <c r="G95" s="43" t="str">
        <f>_xlfn.XLOOKUP($A95,Map!$A:$A,Map!C:C)</f>
        <v>BS</v>
      </c>
      <c r="H95" s="43" t="str">
        <f>_xlfn.XLOOKUP($A95,Map!$A:$A,Map!D:D)</f>
        <v>Current Liabilities</v>
      </c>
      <c r="I95" s="43" t="str">
        <f>_xlfn.XLOOKUP($A95,Map!$A:$A,Map!E:E)</f>
        <v>Zakat provision</v>
      </c>
      <c r="J95" s="43" t="str">
        <f>_xlfn.XLOOKUP($A95,Map!$A:$A,Map!F:F)</f>
        <v>Zakat provision</v>
      </c>
    </row>
    <row r="96" spans="1:10" x14ac:dyDescent="0.25">
      <c r="A96">
        <v>250004</v>
      </c>
      <c r="B96" t="s">
        <v>918</v>
      </c>
      <c r="C96" s="116">
        <v>-1108800</v>
      </c>
      <c r="D96" s="116">
        <v>2023800</v>
      </c>
      <c r="E96" s="116">
        <v>915000</v>
      </c>
      <c r="F96" s="116">
        <v>0</v>
      </c>
      <c r="G96" s="43" t="str">
        <f>_xlfn.XLOOKUP($A96,Map!$A:$A,Map!C:C)</f>
        <v>BS</v>
      </c>
      <c r="H96" s="43" t="str">
        <f>_xlfn.XLOOKUP($A96,Map!$A:$A,Map!D:D)</f>
        <v>Current Liabilities</v>
      </c>
      <c r="I96" s="43" t="str">
        <f>_xlfn.XLOOKUP($A96,Map!$A:$A,Map!E:E)</f>
        <v>Tade payables and Accuals &amp; other credit balances</v>
      </c>
      <c r="J96" s="43" t="str">
        <f>_xlfn.XLOOKUP($A96,Map!$A:$A,Map!F:F)</f>
        <v>Accrued bonus</v>
      </c>
    </row>
    <row r="97" spans="1:10" x14ac:dyDescent="0.25">
      <c r="A97">
        <v>250005</v>
      </c>
      <c r="B97" t="s">
        <v>919</v>
      </c>
      <c r="C97" s="116">
        <v>-2673047.75</v>
      </c>
      <c r="D97" s="116">
        <v>28377403.300000001</v>
      </c>
      <c r="E97" s="116">
        <v>25704355.550000001</v>
      </c>
      <c r="F97" s="116">
        <v>0</v>
      </c>
      <c r="G97" s="43" t="str">
        <f>_xlfn.XLOOKUP($A97,Map!$A:$A,Map!C:C)</f>
        <v>BS</v>
      </c>
      <c r="H97" s="43" t="str">
        <f>_xlfn.XLOOKUP($A97,Map!$A:$A,Map!D:D)</f>
        <v>Current Liabilities</v>
      </c>
      <c r="I97" s="43" t="str">
        <f>_xlfn.XLOOKUP($A97,Map!$A:$A,Map!E:E)</f>
        <v>Tade payables and Accuals &amp; other credit balances</v>
      </c>
      <c r="J97" s="43" t="str">
        <f>_xlfn.XLOOKUP($A97,Map!$A:$A,Map!F:F)</f>
        <v>Accrued expenses</v>
      </c>
    </row>
    <row r="98" spans="1:10" x14ac:dyDescent="0.25">
      <c r="A98">
        <v>250006</v>
      </c>
      <c r="B98" t="s">
        <v>920</v>
      </c>
      <c r="C98" s="116">
        <v>-449149.70500000002</v>
      </c>
      <c r="D98" s="116">
        <v>1153274.7050000001</v>
      </c>
      <c r="E98" s="116">
        <v>704125</v>
      </c>
      <c r="F98" s="116">
        <v>0</v>
      </c>
      <c r="G98" s="43" t="str">
        <f>_xlfn.XLOOKUP($A98,Map!$A:$A,Map!C:C)</f>
        <v>BS</v>
      </c>
      <c r="H98" s="43" t="str">
        <f>_xlfn.XLOOKUP($A98,Map!$A:$A,Map!D:D)</f>
        <v>Current Liabilities</v>
      </c>
      <c r="I98" s="43" t="str">
        <f>_xlfn.XLOOKUP($A98,Map!$A:$A,Map!E:E)</f>
        <v>Tade payables and Accuals &amp; other credit balances</v>
      </c>
      <c r="J98" s="43" t="str">
        <f>_xlfn.XLOOKUP($A98,Map!$A:$A,Map!F:F)</f>
        <v>Accrued leave</v>
      </c>
    </row>
    <row r="99" spans="1:10" x14ac:dyDescent="0.25">
      <c r="A99">
        <v>260001</v>
      </c>
      <c r="B99" t="s">
        <v>922</v>
      </c>
      <c r="C99" s="116">
        <v>-7202958</v>
      </c>
      <c r="D99" s="116">
        <v>2592.5</v>
      </c>
      <c r="E99" s="116">
        <v>645771.5</v>
      </c>
      <c r="F99" s="116">
        <v>-7846137</v>
      </c>
      <c r="G99" s="43" t="str">
        <f>_xlfn.XLOOKUP($A99,Map!$A:$A,Map!C:C)</f>
        <v>BS</v>
      </c>
      <c r="H99" s="43" t="str">
        <f>_xlfn.XLOOKUP($A99,Map!$A:$A,Map!D:D)</f>
        <v>Stockholder's equity</v>
      </c>
      <c r="I99" s="43" t="str">
        <f>_xlfn.XLOOKUP($A99,Map!$A:$A,Map!E:E)</f>
        <v>Statutory reserve</v>
      </c>
      <c r="J99" s="43" t="str">
        <f>_xlfn.XLOOKUP($A99,Map!$A:$A,Map!F:F)</f>
        <v>Statutory reserve</v>
      </c>
    </row>
    <row r="100" spans="1:10" x14ac:dyDescent="0.25">
      <c r="A100">
        <v>260002</v>
      </c>
      <c r="B100" t="s">
        <v>923</v>
      </c>
      <c r="C100" s="116">
        <v>-6280744</v>
      </c>
      <c r="D100" s="116">
        <v>1190242</v>
      </c>
      <c r="E100" s="116">
        <v>1718503</v>
      </c>
      <c r="F100" s="116">
        <v>-6809005</v>
      </c>
      <c r="G100" s="43" t="str">
        <f>_xlfn.XLOOKUP($A100,Map!$A:$A,Map!C:C)</f>
        <v>BS</v>
      </c>
      <c r="H100" s="43" t="str">
        <f>_xlfn.XLOOKUP($A100,Map!$A:$A,Map!D:D)</f>
        <v>Non-Current Liabilities</v>
      </c>
      <c r="I100" s="43" t="str">
        <f>_xlfn.XLOOKUP($A100,Map!$A:$A,Map!E:E)</f>
        <v xml:space="preserve">End-of-service indemnities </v>
      </c>
      <c r="J100" s="43" t="str">
        <f>_xlfn.XLOOKUP($A100,Map!$A:$A,Map!F:F)</f>
        <v xml:space="preserve">End-of-service indemnities </v>
      </c>
    </row>
    <row r="101" spans="1:10" x14ac:dyDescent="0.25">
      <c r="A101">
        <v>260003</v>
      </c>
      <c r="B101" t="s">
        <v>924</v>
      </c>
      <c r="C101" s="116">
        <v>-3454104.6740000001</v>
      </c>
      <c r="D101" s="116">
        <v>14474</v>
      </c>
      <c r="E101" s="116">
        <v>117807.326</v>
      </c>
      <c r="F101" s="116">
        <v>-3557438</v>
      </c>
      <c r="G101" s="43" t="str">
        <f>_xlfn.XLOOKUP($A101,Map!$A:$A,Map!C:C)</f>
        <v>BS</v>
      </c>
      <c r="H101" s="43" t="str">
        <f>_xlfn.XLOOKUP($A101,Map!$A:$A,Map!D:D)</f>
        <v>Current Assets</v>
      </c>
      <c r="I101" s="43" t="str">
        <f>_xlfn.XLOOKUP($A101,Map!$A:$A,Map!E:E)</f>
        <v>Trade receivables</v>
      </c>
      <c r="J101" s="43" t="str">
        <f>_xlfn.XLOOKUP($A101,Map!$A:$A,Map!F:F)</f>
        <v>Provisions</v>
      </c>
    </row>
    <row r="102" spans="1:10" x14ac:dyDescent="0.25">
      <c r="A102">
        <v>260004</v>
      </c>
      <c r="B102" t="s">
        <v>925</v>
      </c>
      <c r="C102" s="116">
        <v>0</v>
      </c>
      <c r="D102" s="116">
        <v>158333.32999999999</v>
      </c>
      <c r="E102" s="116">
        <v>158333.32999999999</v>
      </c>
      <c r="F102" s="116">
        <v>0</v>
      </c>
      <c r="G102" s="43" t="str">
        <f>_xlfn.XLOOKUP($A102,Map!$A:$A,Map!C:C)</f>
        <v>BS</v>
      </c>
      <c r="H102" s="43" t="str">
        <f>_xlfn.XLOOKUP($A102,Map!$A:$A,Map!D:D)</f>
        <v>Current Assets</v>
      </c>
      <c r="I102" s="43" t="str">
        <f>_xlfn.XLOOKUP($A102,Map!$A:$A,Map!E:E)</f>
        <v>Inventories</v>
      </c>
      <c r="J102" s="43" t="str">
        <f>_xlfn.XLOOKUP($A102,Map!$A:$A,Map!F:F)</f>
        <v>Allowance for slow moving/obsolete inventories - Inventory</v>
      </c>
    </row>
    <row r="103" spans="1:10" x14ac:dyDescent="0.25">
      <c r="A103">
        <v>260005</v>
      </c>
      <c r="B103" t="s">
        <v>926</v>
      </c>
      <c r="C103" s="116">
        <v>-4329893.1940000001</v>
      </c>
      <c r="D103" s="116">
        <v>0</v>
      </c>
      <c r="E103" s="116">
        <v>96686.520999999993</v>
      </c>
      <c r="F103" s="116">
        <v>-4426579.7149999999</v>
      </c>
      <c r="G103" s="43" t="str">
        <f>_xlfn.XLOOKUP($A103,Map!$A:$A,Map!C:C)</f>
        <v>BS</v>
      </c>
      <c r="H103" s="43" t="str">
        <f>_xlfn.XLOOKUP($A103,Map!$A:$A,Map!D:D)</f>
        <v>Non-Current Liabilities</v>
      </c>
      <c r="I103" s="43" t="str">
        <f>_xlfn.XLOOKUP($A103,Map!$A:$A,Map!E:E)</f>
        <v>Provision for evacuation</v>
      </c>
      <c r="J103" s="43" t="str">
        <f>_xlfn.XLOOKUP($A103,Map!$A:$A,Map!F:F)</f>
        <v>Provision for evacuation</v>
      </c>
    </row>
    <row r="104" spans="1:10" x14ac:dyDescent="0.25">
      <c r="A104">
        <v>270001</v>
      </c>
      <c r="B104" t="s">
        <v>929</v>
      </c>
      <c r="C104" s="116">
        <v>146154.65599999999</v>
      </c>
      <c r="D104" s="116">
        <v>0</v>
      </c>
      <c r="E104" s="116">
        <v>1245151.26</v>
      </c>
      <c r="F104" s="116">
        <v>-1098996.6040000001</v>
      </c>
      <c r="G104" s="43" t="str">
        <f>_xlfn.XLOOKUP($A104,Map!$A:$A,Map!C:C)</f>
        <v>BS</v>
      </c>
      <c r="H104" s="43" t="str">
        <f>_xlfn.XLOOKUP($A104,Map!$A:$A,Map!D:D)</f>
        <v>Non-Current Liabilities</v>
      </c>
      <c r="I104" s="43" t="str">
        <f>_xlfn.XLOOKUP($A104,Map!$A:$A,Map!E:E)</f>
        <v xml:space="preserve">Due to related parties </v>
      </c>
      <c r="J104" s="43" t="str">
        <f>_xlfn.XLOOKUP($A104,Map!$A:$A,Map!F:F)</f>
        <v>Aims Holding  Current Acc</v>
      </c>
    </row>
    <row r="105" spans="1:10" x14ac:dyDescent="0.25">
      <c r="A105">
        <v>270002</v>
      </c>
      <c r="B105" t="s">
        <v>930</v>
      </c>
      <c r="C105" s="116">
        <v>0</v>
      </c>
      <c r="D105" s="116">
        <v>21790152.028000001</v>
      </c>
      <c r="E105" s="116">
        <v>21790152.028000001</v>
      </c>
      <c r="F105" s="116">
        <v>0</v>
      </c>
      <c r="G105" s="43" t="str">
        <f>_xlfn.XLOOKUP($A105,Map!$A:$A,Map!C:C)</f>
        <v>BS</v>
      </c>
      <c r="H105" s="43" t="str">
        <f>_xlfn.XLOOKUP($A105,Map!$A:$A,Map!D:D)</f>
        <v>Current Liabilities</v>
      </c>
      <c r="I105" s="43" t="str">
        <f>_xlfn.XLOOKUP($A105,Map!$A:$A,Map!E:E)</f>
        <v>Tade payables and Accuals &amp; other credit balances</v>
      </c>
      <c r="J105" s="43" t="str">
        <f>_xlfn.XLOOKUP($A105,Map!$A:$A,Map!F:F)</f>
        <v>VAT payables</v>
      </c>
    </row>
    <row r="106" spans="1:10" x14ac:dyDescent="0.25">
      <c r="A106">
        <v>270003</v>
      </c>
      <c r="B106" t="s">
        <v>931</v>
      </c>
      <c r="C106" s="116">
        <v>0</v>
      </c>
      <c r="D106" s="116">
        <v>10890322.437999999</v>
      </c>
      <c r="E106" s="116">
        <v>10890322.437999999</v>
      </c>
      <c r="F106" s="116">
        <v>0</v>
      </c>
      <c r="G106" s="43" t="str">
        <f>_xlfn.XLOOKUP($A106,Map!$A:$A,Map!C:C)</f>
        <v>BS</v>
      </c>
      <c r="H106" s="43" t="str">
        <f>_xlfn.XLOOKUP($A106,Map!$A:$A,Map!D:D)</f>
        <v>Current Liabilities</v>
      </c>
      <c r="I106" s="43" t="str">
        <f>_xlfn.XLOOKUP($A106,Map!$A:$A,Map!E:E)</f>
        <v>Tade payables and Accuals &amp; other credit balances</v>
      </c>
      <c r="J106" s="43" t="str">
        <f>_xlfn.XLOOKUP($A106,Map!$A:$A,Map!F:F)</f>
        <v>VAT payables</v>
      </c>
    </row>
    <row r="107" spans="1:10" x14ac:dyDescent="0.25">
      <c r="A107">
        <v>270004</v>
      </c>
      <c r="B107" t="s">
        <v>932</v>
      </c>
      <c r="C107" s="116">
        <v>-1225557.3500000001</v>
      </c>
      <c r="D107" s="116">
        <v>10109504.08</v>
      </c>
      <c r="E107" s="116">
        <v>10044224.689999999</v>
      </c>
      <c r="F107" s="116">
        <v>-1160277.96</v>
      </c>
      <c r="G107" s="43" t="str">
        <f>_xlfn.XLOOKUP($A107,Map!$A:$A,Map!C:C)</f>
        <v>BS</v>
      </c>
      <c r="H107" s="43" t="str">
        <f>_xlfn.XLOOKUP($A107,Map!$A:$A,Map!D:D)</f>
        <v>Current Liabilities</v>
      </c>
      <c r="I107" s="43" t="str">
        <f>_xlfn.XLOOKUP($A107,Map!$A:$A,Map!E:E)</f>
        <v>Tade payables and Accuals &amp; other credit balances</v>
      </c>
      <c r="J107" s="43" t="str">
        <f>_xlfn.XLOOKUP($A107,Map!$A:$A,Map!F:F)</f>
        <v>VAT payables</v>
      </c>
    </row>
    <row r="108" spans="1:10" x14ac:dyDescent="0.25">
      <c r="A108">
        <v>310001</v>
      </c>
      <c r="B108" t="s">
        <v>934</v>
      </c>
      <c r="C108" s="116">
        <v>-19097925.300999999</v>
      </c>
      <c r="D108" s="116">
        <v>3676320.6669999999</v>
      </c>
      <c r="E108" s="116">
        <v>3033141.6669999999</v>
      </c>
      <c r="F108" s="116">
        <v>-18454746.300999999</v>
      </c>
      <c r="G108" s="43" t="str">
        <f>_xlfn.XLOOKUP($A108,Map!$A:$A,Map!C:C)</f>
        <v>BS</v>
      </c>
      <c r="H108" s="43" t="str">
        <f>_xlfn.XLOOKUP($A108,Map!$A:$A,Map!D:D)</f>
        <v>Stockholder's equity</v>
      </c>
      <c r="I108" s="43" t="str">
        <f>_xlfn.XLOOKUP($A108,Map!$A:$A,Map!E:E)</f>
        <v>Retained earnings</v>
      </c>
      <c r="J108" s="43" t="str">
        <f>_xlfn.XLOOKUP($A108,Map!$A:$A,Map!F:F)</f>
        <v>Retained earnings</v>
      </c>
    </row>
    <row r="109" spans="1:10" x14ac:dyDescent="0.25">
      <c r="A109">
        <v>330001</v>
      </c>
      <c r="B109" t="s">
        <v>935</v>
      </c>
      <c r="C109" s="116">
        <v>0</v>
      </c>
      <c r="D109" s="116">
        <v>0</v>
      </c>
      <c r="E109" s="116">
        <v>0</v>
      </c>
      <c r="F109" s="116">
        <v>0</v>
      </c>
      <c r="G109" s="43" t="str">
        <f>_xlfn.XLOOKUP($A109,Map!$A:$A,Map!C:C)</f>
        <v>BS</v>
      </c>
      <c r="H109" s="43" t="str">
        <f>_xlfn.XLOOKUP($A109,Map!$A:$A,Map!D:D)</f>
        <v>Stockholder's equity</v>
      </c>
      <c r="I109" s="43" t="str">
        <f>_xlfn.XLOOKUP($A109,Map!$A:$A,Map!E:E)</f>
        <v>Retained earnings</v>
      </c>
      <c r="J109" s="43" t="str">
        <f>_xlfn.XLOOKUP($A109,Map!$A:$A,Map!F:F)</f>
        <v>Retained earnings</v>
      </c>
    </row>
    <row r="110" spans="1:10" x14ac:dyDescent="0.25">
      <c r="A110">
        <v>330002</v>
      </c>
      <c r="B110" t="s">
        <v>936</v>
      </c>
      <c r="C110" s="116">
        <v>-35335000</v>
      </c>
      <c r="D110" s="116">
        <v>0</v>
      </c>
      <c r="E110" s="116">
        <v>0</v>
      </c>
      <c r="F110" s="116">
        <v>-35335000</v>
      </c>
      <c r="G110" s="43" t="str">
        <f>_xlfn.XLOOKUP($A110,Map!$A:$A,Map!C:C)</f>
        <v>BS</v>
      </c>
      <c r="H110" s="43" t="str">
        <f>_xlfn.XLOOKUP($A110,Map!$A:$A,Map!D:D)</f>
        <v>Stockholder's equity</v>
      </c>
      <c r="I110" s="43" t="str">
        <f>_xlfn.XLOOKUP($A110,Map!$A:$A,Map!E:E)</f>
        <v>Share capital</v>
      </c>
      <c r="J110" s="43" t="str">
        <f>_xlfn.XLOOKUP($A110,Map!$A:$A,Map!F:F)</f>
        <v>Share capital</v>
      </c>
    </row>
    <row r="111" spans="1:10" x14ac:dyDescent="0.25">
      <c r="A111">
        <v>330003</v>
      </c>
      <c r="B111" t="s">
        <v>937</v>
      </c>
      <c r="C111" s="116">
        <v>-102255315.01000001</v>
      </c>
      <c r="D111" s="116">
        <v>0</v>
      </c>
      <c r="E111" s="116">
        <v>0</v>
      </c>
      <c r="F111" s="116">
        <v>-102255315.01000001</v>
      </c>
      <c r="G111" s="43" t="str">
        <f>_xlfn.XLOOKUP($A111,Map!$A:$A,Map!C:C)</f>
        <v>BS</v>
      </c>
      <c r="H111" s="43" t="str">
        <f>_xlfn.XLOOKUP($A111,Map!$A:$A,Map!D:D)</f>
        <v>Stockholder's equity</v>
      </c>
      <c r="I111" s="43" t="str">
        <f>_xlfn.XLOOKUP($A111,Map!$A:$A,Map!E:E)</f>
        <v>Additional contribution from shareholders</v>
      </c>
      <c r="J111" s="43" t="str">
        <f>_xlfn.XLOOKUP($A111,Map!$A:$A,Map!F:F)</f>
        <v>Additional contribution from shareholders</v>
      </c>
    </row>
    <row r="112" spans="1:10" x14ac:dyDescent="0.25">
      <c r="A112">
        <v>410001</v>
      </c>
      <c r="B112" t="s">
        <v>938</v>
      </c>
      <c r="C112" s="116">
        <v>0</v>
      </c>
      <c r="D112" s="116">
        <v>23723394.247000001</v>
      </c>
      <c r="E112" s="116">
        <v>258169849.63699999</v>
      </c>
      <c r="F112" s="116">
        <v>-234446455.38999999</v>
      </c>
      <c r="G112" s="43" t="str">
        <f>_xlfn.XLOOKUP($A112,Map!$A:$A,Map!C:C)</f>
        <v>IS</v>
      </c>
      <c r="H112" s="43" t="str">
        <f>_xlfn.XLOOKUP($A112,Map!$A:$A,Map!D:D)</f>
        <v>Sales</v>
      </c>
      <c r="I112" s="43" t="str">
        <f>_xlfn.XLOOKUP($A112,Map!$A:$A,Map!E:E)</f>
        <v>Sales</v>
      </c>
      <c r="J112" s="43" t="str">
        <f>_xlfn.XLOOKUP($A112,Map!$A:$A,Map!F:F)</f>
        <v>Trading revenue</v>
      </c>
    </row>
    <row r="113" spans="1:10" x14ac:dyDescent="0.25">
      <c r="A113">
        <v>410002</v>
      </c>
      <c r="B113" t="s">
        <v>939</v>
      </c>
      <c r="C113" s="116">
        <v>0</v>
      </c>
      <c r="D113" s="116">
        <v>957497.96</v>
      </c>
      <c r="E113" s="116">
        <v>0</v>
      </c>
      <c r="F113" s="116">
        <v>957497.96</v>
      </c>
      <c r="G113" s="43" t="str">
        <f>_xlfn.XLOOKUP($A113,Map!$A:$A,Map!C:C)</f>
        <v>IS</v>
      </c>
      <c r="H113" s="43" t="str">
        <f>_xlfn.XLOOKUP($A113,Map!$A:$A,Map!D:D)</f>
        <v>Sales</v>
      </c>
      <c r="I113" s="43" t="str">
        <f>_xlfn.XLOOKUP($A113,Map!$A:$A,Map!E:E)</f>
        <v>Sales</v>
      </c>
      <c r="J113" s="43" t="str">
        <f>_xlfn.XLOOKUP($A113,Map!$A:$A,Map!F:F)</f>
        <v>Trading revenue</v>
      </c>
    </row>
    <row r="114" spans="1:10" x14ac:dyDescent="0.25">
      <c r="A114">
        <v>410003</v>
      </c>
      <c r="B114" t="s">
        <v>940</v>
      </c>
      <c r="C114" s="116">
        <v>0</v>
      </c>
      <c r="D114" s="116">
        <v>51127.25</v>
      </c>
      <c r="E114" s="116">
        <v>50000</v>
      </c>
      <c r="F114" s="116">
        <v>1127.25</v>
      </c>
      <c r="G114" s="43" t="str">
        <f>_xlfn.XLOOKUP($A114,Map!$A:$A,Map!C:C)</f>
        <v>IS</v>
      </c>
      <c r="H114" s="43" t="str">
        <f>_xlfn.XLOOKUP($A114,Map!$A:$A,Map!D:D)</f>
        <v>Sales</v>
      </c>
      <c r="I114" s="43" t="str">
        <f>_xlfn.XLOOKUP($A114,Map!$A:$A,Map!E:E)</f>
        <v>Sales</v>
      </c>
      <c r="J114" s="43" t="str">
        <f>_xlfn.XLOOKUP($A114,Map!$A:$A,Map!F:F)</f>
        <v>Trading revenue</v>
      </c>
    </row>
    <row r="115" spans="1:10" x14ac:dyDescent="0.25">
      <c r="A115">
        <v>410004</v>
      </c>
      <c r="B115" t="s">
        <v>941</v>
      </c>
      <c r="C115" s="116">
        <v>0</v>
      </c>
      <c r="D115" s="116">
        <v>113065.02499999999</v>
      </c>
      <c r="E115" s="116">
        <v>1430694.578</v>
      </c>
      <c r="F115" s="116">
        <v>-1317629.5530000001</v>
      </c>
      <c r="G115" s="43" t="str">
        <f>_xlfn.XLOOKUP($A115,Map!$A:$A,Map!C:C)</f>
        <v>IS</v>
      </c>
      <c r="H115" s="43" t="str">
        <f>_xlfn.XLOOKUP($A115,Map!$A:$A,Map!D:D)</f>
        <v>Sales</v>
      </c>
      <c r="I115" s="43" t="str">
        <f>_xlfn.XLOOKUP($A115,Map!$A:$A,Map!E:E)</f>
        <v>Sales</v>
      </c>
      <c r="J115" s="43" t="str">
        <f>_xlfn.XLOOKUP($A115,Map!$A:$A,Map!F:F)</f>
        <v>Scrap sales</v>
      </c>
    </row>
    <row r="116" spans="1:10" x14ac:dyDescent="0.25">
      <c r="A116">
        <v>420001</v>
      </c>
      <c r="B116" t="s">
        <v>942</v>
      </c>
      <c r="C116" s="116">
        <v>0</v>
      </c>
      <c r="D116" s="116">
        <v>0</v>
      </c>
      <c r="E116" s="116">
        <v>0</v>
      </c>
      <c r="F116" s="116">
        <v>0</v>
      </c>
      <c r="G116" s="43" t="str">
        <f>_xlfn.XLOOKUP($A116,Map!$A:$A,Map!C:C)</f>
        <v>IS</v>
      </c>
      <c r="H116" s="43" t="str">
        <f>_xlfn.XLOOKUP($A116,Map!$A:$A,Map!D:D)</f>
        <v>Sales</v>
      </c>
      <c r="I116" s="43" t="str">
        <f>_xlfn.XLOOKUP($A116,Map!$A:$A,Map!E:E)</f>
        <v>Sales</v>
      </c>
      <c r="J116" s="43" t="str">
        <f>_xlfn.XLOOKUP($A116,Map!$A:$A,Map!F:F)</f>
        <v>Other income</v>
      </c>
    </row>
    <row r="117" spans="1:10" x14ac:dyDescent="0.25">
      <c r="A117">
        <v>420003</v>
      </c>
      <c r="B117" t="s">
        <v>944</v>
      </c>
      <c r="C117" s="116">
        <v>0</v>
      </c>
      <c r="D117" s="116">
        <v>193.53</v>
      </c>
      <c r="E117" s="116">
        <v>193.53</v>
      </c>
      <c r="F117" s="116">
        <v>0</v>
      </c>
      <c r="G117" s="43" t="str">
        <f>_xlfn.XLOOKUP($A117,Map!$A:$A,Map!C:C)</f>
        <v>IS</v>
      </c>
      <c r="H117" s="43" t="str">
        <f>_xlfn.XLOOKUP($A117,Map!$A:$A,Map!D:D)</f>
        <v>Sales</v>
      </c>
      <c r="I117" s="43" t="str">
        <f>_xlfn.XLOOKUP($A117,Map!$A:$A,Map!E:E)</f>
        <v>Sales</v>
      </c>
      <c r="J117" s="43" t="str">
        <f>_xlfn.XLOOKUP($A117,Map!$A:$A,Map!F:F)</f>
        <v>Scrap sales</v>
      </c>
    </row>
    <row r="118" spans="1:10" x14ac:dyDescent="0.25">
      <c r="A118">
        <v>510001</v>
      </c>
      <c r="B118" t="s">
        <v>945</v>
      </c>
      <c r="C118" s="116">
        <v>0</v>
      </c>
      <c r="D118" s="116">
        <v>372404169.87800002</v>
      </c>
      <c r="E118" s="116">
        <v>181638172.877</v>
      </c>
      <c r="F118" s="116">
        <v>190765997.00099999</v>
      </c>
      <c r="G118" s="43" t="str">
        <f>_xlfn.XLOOKUP($A118,Map!$A:$A,Map!C:C)</f>
        <v>IS</v>
      </c>
      <c r="H118" s="43" t="str">
        <f>_xlfn.XLOOKUP($A118,Map!$A:$A,Map!D:D)</f>
        <v>Cost of sales</v>
      </c>
      <c r="I118" s="43" t="str">
        <f>_xlfn.XLOOKUP($A118,Map!$A:$A,Map!E:E)</f>
        <v>Raw materials</v>
      </c>
      <c r="J118" s="43" t="str">
        <f>_xlfn.XLOOKUP($A118,Map!$A:$A,Map!F:F)</f>
        <v>Raw materials</v>
      </c>
    </row>
    <row r="119" spans="1:10" x14ac:dyDescent="0.25">
      <c r="A119">
        <v>510002</v>
      </c>
      <c r="B119" t="s">
        <v>946</v>
      </c>
      <c r="C119" s="116">
        <v>0</v>
      </c>
      <c r="D119" s="116">
        <v>14104522.117000001</v>
      </c>
      <c r="E119" s="116">
        <v>8624365.1170000006</v>
      </c>
      <c r="F119" s="116">
        <v>5480157</v>
      </c>
      <c r="G119" s="43" t="str">
        <f>_xlfn.XLOOKUP($A119,Map!$A:$A,Map!C:C)</f>
        <v>IS</v>
      </c>
      <c r="H119" s="43" t="str">
        <f>_xlfn.XLOOKUP($A119,Map!$A:$A,Map!D:D)</f>
        <v>Cost of sales</v>
      </c>
      <c r="I119" s="43" t="str">
        <f>_xlfn.XLOOKUP($A119,Map!$A:$A,Map!E:E)</f>
        <v>Direct Labor</v>
      </c>
      <c r="J119" s="43" t="str">
        <f>_xlfn.XLOOKUP($A119,Map!$A:$A,Map!F:F)</f>
        <v>Direct Labor</v>
      </c>
    </row>
    <row r="120" spans="1:10" x14ac:dyDescent="0.25">
      <c r="A120">
        <v>510003</v>
      </c>
      <c r="B120" t="s">
        <v>947</v>
      </c>
      <c r="C120" s="116">
        <v>0</v>
      </c>
      <c r="D120" s="116">
        <v>13455958.67</v>
      </c>
      <c r="E120" s="116">
        <v>5022419.67</v>
      </c>
      <c r="F120" s="116">
        <v>8433539</v>
      </c>
      <c r="G120" s="43" t="str">
        <f>_xlfn.XLOOKUP($A120,Map!$A:$A,Map!C:C)</f>
        <v>IS</v>
      </c>
      <c r="H120" s="43" t="str">
        <f>_xlfn.XLOOKUP($A120,Map!$A:$A,Map!D:D)</f>
        <v>Cost of sales</v>
      </c>
      <c r="I120" s="43" t="str">
        <f>_xlfn.XLOOKUP($A120,Map!$A:$A,Map!E:E)</f>
        <v>Raw materials</v>
      </c>
      <c r="J120" s="43" t="str">
        <f>_xlfn.XLOOKUP($A120,Map!$A:$A,Map!F:F)</f>
        <v>Raw materials</v>
      </c>
    </row>
    <row r="121" spans="1:10" x14ac:dyDescent="0.25">
      <c r="A121">
        <v>510004</v>
      </c>
      <c r="B121" t="s">
        <v>948</v>
      </c>
      <c r="C121" s="116">
        <v>0</v>
      </c>
      <c r="D121" s="116">
        <v>27818228.526999999</v>
      </c>
      <c r="E121" s="116">
        <v>27668897.532000002</v>
      </c>
      <c r="F121" s="116">
        <v>149330.995</v>
      </c>
      <c r="G121" s="43" t="str">
        <f>_xlfn.XLOOKUP($A121,Map!$A:$A,Map!C:C)</f>
        <v>IS</v>
      </c>
      <c r="H121" s="43" t="str">
        <f>_xlfn.XLOOKUP($A121,Map!$A:$A,Map!D:D)</f>
        <v>Cost of sales</v>
      </c>
      <c r="I121" s="43" t="str">
        <f>_xlfn.XLOOKUP($A121,Map!$A:$A,Map!E:E)</f>
        <v>Raw materials</v>
      </c>
      <c r="J121" s="43" t="str">
        <f>_xlfn.XLOOKUP($A121,Map!$A:$A,Map!F:F)</f>
        <v>Other expenses</v>
      </c>
    </row>
    <row r="122" spans="1:10" x14ac:dyDescent="0.25">
      <c r="A122">
        <v>510005</v>
      </c>
      <c r="B122" t="s">
        <v>949</v>
      </c>
      <c r="C122" s="116">
        <v>0</v>
      </c>
      <c r="D122" s="116">
        <v>400000</v>
      </c>
      <c r="E122" s="116">
        <v>400000</v>
      </c>
      <c r="F122" s="116">
        <v>0</v>
      </c>
      <c r="G122" s="43" t="str">
        <f>_xlfn.XLOOKUP($A122,Map!$A:$A,Map!C:C)</f>
        <v>IS</v>
      </c>
      <c r="H122" s="43" t="str">
        <f>_xlfn.XLOOKUP($A122,Map!$A:$A,Map!D:D)</f>
        <v>Cost of sales</v>
      </c>
      <c r="I122" s="43" t="str">
        <f>_xlfn.XLOOKUP($A122,Map!$A:$A,Map!E:E)</f>
        <v>Raw materials</v>
      </c>
      <c r="J122" s="43" t="str">
        <f>_xlfn.XLOOKUP($A122,Map!$A:$A,Map!F:F)</f>
        <v>Other expenses</v>
      </c>
    </row>
    <row r="123" spans="1:10" x14ac:dyDescent="0.25">
      <c r="A123">
        <v>520001</v>
      </c>
      <c r="B123" t="s">
        <v>950</v>
      </c>
      <c r="C123" s="116">
        <v>0</v>
      </c>
      <c r="D123" s="116">
        <v>5573214.7599999998</v>
      </c>
      <c r="E123" s="116">
        <v>5573214.7599999998</v>
      </c>
      <c r="F123" s="116">
        <v>0</v>
      </c>
      <c r="G123" s="43" t="str">
        <f>_xlfn.XLOOKUP($A123,Map!$A:$A,Map!C:C)</f>
        <v>IS</v>
      </c>
      <c r="H123" s="43" t="str">
        <f>_xlfn.XLOOKUP($A123,Map!$A:$A,Map!D:D)</f>
        <v>Cost of sales</v>
      </c>
      <c r="I123" s="43" t="str">
        <f>_xlfn.XLOOKUP($A123,Map!$A:$A,Map!E:E)</f>
        <v>Direct Labor</v>
      </c>
      <c r="J123" s="43" t="str">
        <f>_xlfn.XLOOKUP($A123,Map!$A:$A,Map!F:F)</f>
        <v>Salaries and wages</v>
      </c>
    </row>
    <row r="124" spans="1:10" x14ac:dyDescent="0.25">
      <c r="A124">
        <v>520002</v>
      </c>
      <c r="B124" t="s">
        <v>951</v>
      </c>
      <c r="C124" s="116">
        <v>0</v>
      </c>
      <c r="D124" s="116">
        <v>0</v>
      </c>
      <c r="E124" s="116">
        <v>0</v>
      </c>
      <c r="F124" s="116">
        <v>0</v>
      </c>
      <c r="G124" s="43" t="str">
        <f>_xlfn.XLOOKUP($A124,Map!$A:$A,Map!C:C)</f>
        <v>IS</v>
      </c>
      <c r="H124" s="43" t="str">
        <f>_xlfn.XLOOKUP($A124,Map!$A:$A,Map!D:D)</f>
        <v>Cost of sales</v>
      </c>
      <c r="I124" s="43" t="str">
        <f>_xlfn.XLOOKUP($A124,Map!$A:$A,Map!E:E)</f>
        <v>Direct Labor</v>
      </c>
      <c r="J124" s="43" t="str">
        <f>_xlfn.XLOOKUP($A124,Map!$A:$A,Map!F:F)</f>
        <v>Overtime pay</v>
      </c>
    </row>
    <row r="125" spans="1:10" x14ac:dyDescent="0.25">
      <c r="A125">
        <v>520003</v>
      </c>
      <c r="B125" t="s">
        <v>952</v>
      </c>
      <c r="C125" s="116">
        <v>0</v>
      </c>
      <c r="D125" s="116">
        <v>513869.97</v>
      </c>
      <c r="E125" s="116">
        <v>513869.97</v>
      </c>
      <c r="F125" s="116">
        <v>0</v>
      </c>
      <c r="G125" s="43" t="str">
        <f>_xlfn.XLOOKUP($A125,Map!$A:$A,Map!C:C)</f>
        <v>IS</v>
      </c>
      <c r="H125" s="43" t="str">
        <f>_xlfn.XLOOKUP($A125,Map!$A:$A,Map!D:D)</f>
        <v>Cost of sales</v>
      </c>
      <c r="I125" s="43" t="str">
        <f>_xlfn.XLOOKUP($A125,Map!$A:$A,Map!E:E)</f>
        <v>Direct Labor</v>
      </c>
      <c r="J125" s="43" t="str">
        <f>_xlfn.XLOOKUP($A125,Map!$A:$A,Map!F:F)</f>
        <v>Transportation allowance</v>
      </c>
    </row>
    <row r="126" spans="1:10" x14ac:dyDescent="0.25">
      <c r="A126">
        <v>520004</v>
      </c>
      <c r="B126" t="s">
        <v>957</v>
      </c>
      <c r="C126" s="116">
        <v>0</v>
      </c>
      <c r="D126" s="116">
        <v>0</v>
      </c>
      <c r="E126" s="116">
        <v>0</v>
      </c>
      <c r="F126" s="116">
        <v>0</v>
      </c>
      <c r="G126" s="43" t="str">
        <f>_xlfn.XLOOKUP($A126,Map!$A:$A,Map!C:C)</f>
        <v>IS</v>
      </c>
      <c r="H126" s="43" t="str">
        <f>_xlfn.XLOOKUP($A126,Map!$A:$A,Map!D:D)</f>
        <v>Cost of sales</v>
      </c>
      <c r="I126" s="43" t="str">
        <f>_xlfn.XLOOKUP($A126,Map!$A:$A,Map!E:E)</f>
        <v>Direct Labor</v>
      </c>
      <c r="J126" s="43" t="str">
        <f>_xlfn.XLOOKUP($A126,Map!$A:$A,Map!F:F)</f>
        <v>Food and housing</v>
      </c>
    </row>
    <row r="127" spans="1:10" x14ac:dyDescent="0.25">
      <c r="A127">
        <v>520005</v>
      </c>
      <c r="B127" t="s">
        <v>954</v>
      </c>
      <c r="C127" s="116">
        <v>0</v>
      </c>
      <c r="D127" s="116">
        <v>490973.72</v>
      </c>
      <c r="E127" s="116">
        <v>490973.72</v>
      </c>
      <c r="F127" s="116">
        <v>0</v>
      </c>
      <c r="G127" s="43" t="str">
        <f>_xlfn.XLOOKUP($A127,Map!$A:$A,Map!C:C)</f>
        <v>IS</v>
      </c>
      <c r="H127" s="43" t="str">
        <f>_xlfn.XLOOKUP($A127,Map!$A:$A,Map!D:D)</f>
        <v>Cost of sales</v>
      </c>
      <c r="I127" s="43" t="str">
        <f>_xlfn.XLOOKUP($A127,Map!$A:$A,Map!E:E)</f>
        <v>Direct Labor</v>
      </c>
      <c r="J127" s="43" t="str">
        <f>_xlfn.XLOOKUP($A127,Map!$A:$A,Map!F:F)</f>
        <v>Leave pay</v>
      </c>
    </row>
    <row r="128" spans="1:10" x14ac:dyDescent="0.25">
      <c r="A128">
        <v>520006</v>
      </c>
      <c r="B128" t="s">
        <v>955</v>
      </c>
      <c r="C128" s="116">
        <v>0</v>
      </c>
      <c r="D128" s="116">
        <v>334585.158</v>
      </c>
      <c r="E128" s="116">
        <v>334585.158</v>
      </c>
      <c r="F128" s="116">
        <v>0</v>
      </c>
      <c r="G128" s="43" t="str">
        <f>_xlfn.XLOOKUP($A128,Map!$A:$A,Map!C:C)</f>
        <v>IS</v>
      </c>
      <c r="H128" s="43" t="str">
        <f>_xlfn.XLOOKUP($A128,Map!$A:$A,Map!D:D)</f>
        <v>Cost of sales</v>
      </c>
      <c r="I128" s="43" t="str">
        <f>_xlfn.XLOOKUP($A128,Map!$A:$A,Map!E:E)</f>
        <v>Direct Labor</v>
      </c>
      <c r="J128" s="43" t="str">
        <f>_xlfn.XLOOKUP($A128,Map!$A:$A,Map!F:F)</f>
        <v>Medical insurance</v>
      </c>
    </row>
    <row r="129" spans="1:10" x14ac:dyDescent="0.25">
      <c r="A129">
        <v>520010</v>
      </c>
      <c r="B129" t="s">
        <v>956</v>
      </c>
      <c r="C129" s="116">
        <v>0</v>
      </c>
      <c r="D129" s="116">
        <v>0</v>
      </c>
      <c r="E129" s="116">
        <v>0</v>
      </c>
      <c r="F129" s="116">
        <v>0</v>
      </c>
      <c r="G129" s="43" t="str">
        <f>_xlfn.XLOOKUP($A129,Map!$A:$A,Map!C:C)</f>
        <v>IS</v>
      </c>
      <c r="H129" s="43" t="str">
        <f>_xlfn.XLOOKUP($A129,Map!$A:$A,Map!D:D)</f>
        <v>Cost of sales</v>
      </c>
      <c r="I129" s="43" t="str">
        <f>_xlfn.XLOOKUP($A129,Map!$A:$A,Map!E:E)</f>
        <v>Direct Labor</v>
      </c>
      <c r="J129" s="43" t="str">
        <f>_xlfn.XLOOKUP($A129,Map!$A:$A,Map!F:F)</f>
        <v>Salaries and wages</v>
      </c>
    </row>
    <row r="130" spans="1:10" x14ac:dyDescent="0.25">
      <c r="A130">
        <v>520011</v>
      </c>
      <c r="B130" t="s">
        <v>951</v>
      </c>
      <c r="C130" s="116">
        <v>0</v>
      </c>
      <c r="D130" s="116">
        <v>1189797.2</v>
      </c>
      <c r="E130" s="116">
        <v>1189797.2</v>
      </c>
      <c r="F130" s="116">
        <v>0</v>
      </c>
      <c r="G130" s="43" t="str">
        <f>_xlfn.XLOOKUP($A130,Map!$A:$A,Map!C:C)</f>
        <v>IS</v>
      </c>
      <c r="H130" s="43" t="str">
        <f>_xlfn.XLOOKUP($A130,Map!$A:$A,Map!D:D)</f>
        <v>Cost of sales</v>
      </c>
      <c r="I130" s="43" t="str">
        <f>_xlfn.XLOOKUP($A130,Map!$A:$A,Map!E:E)</f>
        <v>Direct Labor</v>
      </c>
      <c r="J130" s="43" t="str">
        <f>_xlfn.XLOOKUP($A130,Map!$A:$A,Map!F:F)</f>
        <v>Overtime pay</v>
      </c>
    </row>
    <row r="131" spans="1:10" x14ac:dyDescent="0.25">
      <c r="A131">
        <v>520013</v>
      </c>
      <c r="B131" t="s">
        <v>957</v>
      </c>
      <c r="C131" s="116">
        <v>0</v>
      </c>
      <c r="D131" s="116">
        <v>0</v>
      </c>
      <c r="E131" s="116">
        <v>0</v>
      </c>
      <c r="F131" s="116">
        <v>0</v>
      </c>
      <c r="G131" s="43" t="str">
        <f>_xlfn.XLOOKUP($A131,Map!$A:$A,Map!C:C)</f>
        <v>IS</v>
      </c>
      <c r="H131" s="43" t="str">
        <f>_xlfn.XLOOKUP($A131,Map!$A:$A,Map!D:D)</f>
        <v>Cost of sales</v>
      </c>
      <c r="I131" s="43" t="str">
        <f>_xlfn.XLOOKUP($A131,Map!$A:$A,Map!E:E)</f>
        <v>Direct Labor</v>
      </c>
      <c r="J131" s="43" t="str">
        <f>_xlfn.XLOOKUP($A131,Map!$A:$A,Map!F:F)</f>
        <v>Food and housing</v>
      </c>
    </row>
    <row r="132" spans="1:10" x14ac:dyDescent="0.25">
      <c r="A132">
        <v>520014</v>
      </c>
      <c r="B132" t="s">
        <v>954</v>
      </c>
      <c r="C132" s="116">
        <v>0</v>
      </c>
      <c r="D132" s="116">
        <v>0</v>
      </c>
      <c r="E132" s="116">
        <v>0</v>
      </c>
      <c r="F132" s="116">
        <v>0</v>
      </c>
      <c r="G132" s="43" t="str">
        <f>_xlfn.XLOOKUP($A132,Map!$A:$A,Map!C:C)</f>
        <v>IS</v>
      </c>
      <c r="H132" s="43" t="str">
        <f>_xlfn.XLOOKUP($A132,Map!$A:$A,Map!D:D)</f>
        <v>Cost of sales</v>
      </c>
      <c r="I132" s="43" t="str">
        <f>_xlfn.XLOOKUP($A132,Map!$A:$A,Map!E:E)</f>
        <v>Direct Labor</v>
      </c>
      <c r="J132" s="43" t="str">
        <f>_xlfn.XLOOKUP($A132,Map!$A:$A,Map!F:F)</f>
        <v>Leave pay</v>
      </c>
    </row>
    <row r="133" spans="1:10" x14ac:dyDescent="0.25">
      <c r="A133">
        <v>520015</v>
      </c>
      <c r="B133" t="s">
        <v>958</v>
      </c>
      <c r="C133" s="116">
        <v>0</v>
      </c>
      <c r="D133" s="116">
        <v>0</v>
      </c>
      <c r="E133" s="116">
        <v>0</v>
      </c>
      <c r="F133" s="116">
        <v>0</v>
      </c>
      <c r="G133" s="43" t="str">
        <f>_xlfn.XLOOKUP($A133,Map!$A:$A,Map!C:C)</f>
        <v>IS</v>
      </c>
      <c r="H133" s="43" t="str">
        <f>_xlfn.XLOOKUP($A133,Map!$A:$A,Map!D:D)</f>
        <v>Cost of sales</v>
      </c>
      <c r="I133" s="43" t="str">
        <f>_xlfn.XLOOKUP($A133,Map!$A:$A,Map!E:E)</f>
        <v>Direct Labor</v>
      </c>
      <c r="J133" s="43" t="str">
        <f>_xlfn.XLOOKUP($A133,Map!$A:$A,Map!F:F)</f>
        <v>Food and housing</v>
      </c>
    </row>
    <row r="134" spans="1:10" x14ac:dyDescent="0.25">
      <c r="A134">
        <v>520021</v>
      </c>
      <c r="B134" t="s">
        <v>962</v>
      </c>
      <c r="C134" s="116">
        <v>0</v>
      </c>
      <c r="D134" s="116">
        <v>5404.2979999999998</v>
      </c>
      <c r="E134" s="116">
        <v>5404.2979999999998</v>
      </c>
      <c r="F134" s="116">
        <v>0</v>
      </c>
      <c r="G134" s="43" t="str">
        <f>_xlfn.XLOOKUP($A134,Map!$A:$A,Map!C:C)</f>
        <v>IS</v>
      </c>
      <c r="H134" s="43" t="str">
        <f>_xlfn.XLOOKUP($A134,Map!$A:$A,Map!D:D)</f>
        <v>Cost of sales</v>
      </c>
      <c r="I134" s="43" t="str">
        <f>_xlfn.XLOOKUP($A134,Map!$A:$A,Map!E:E)</f>
        <v>Direct Labor</v>
      </c>
      <c r="J134" s="43" t="str">
        <f>_xlfn.XLOOKUP($A134,Map!$A:$A,Map!F:F)</f>
        <v>Medical insurance</v>
      </c>
    </row>
    <row r="135" spans="1:10" x14ac:dyDescent="0.25">
      <c r="A135">
        <v>520022</v>
      </c>
      <c r="B135" t="s">
        <v>963</v>
      </c>
      <c r="C135" s="116">
        <v>0</v>
      </c>
      <c r="D135" s="116">
        <v>0</v>
      </c>
      <c r="E135" s="116">
        <v>0</v>
      </c>
      <c r="F135" s="116">
        <v>0</v>
      </c>
      <c r="G135" s="43" t="str">
        <f>_xlfn.XLOOKUP($A135,Map!$A:$A,Map!C:C)</f>
        <v>IS</v>
      </c>
      <c r="H135" s="43" t="str">
        <f>_xlfn.XLOOKUP($A135,Map!$A:$A,Map!D:D)</f>
        <v>Cost of sales</v>
      </c>
      <c r="I135" s="43" t="str">
        <f>_xlfn.XLOOKUP($A135,Map!$A:$A,Map!E:E)</f>
        <v>Direct Labor</v>
      </c>
      <c r="J135" s="43" t="str">
        <f>_xlfn.XLOOKUP($A135,Map!$A:$A,Map!F:F)</f>
        <v>Iqama renewal</v>
      </c>
    </row>
    <row r="136" spans="1:10" x14ac:dyDescent="0.25">
      <c r="A136">
        <v>520023</v>
      </c>
      <c r="B136" t="s">
        <v>964</v>
      </c>
      <c r="C136" s="116">
        <v>0</v>
      </c>
      <c r="D136" s="116">
        <v>0</v>
      </c>
      <c r="E136" s="116">
        <v>0</v>
      </c>
      <c r="F136" s="116">
        <v>0</v>
      </c>
      <c r="G136" s="43" t="str">
        <f>_xlfn.XLOOKUP($A136,Map!$A:$A,Map!C:C)</f>
        <v>IS</v>
      </c>
      <c r="H136" s="43" t="str">
        <f>_xlfn.XLOOKUP($A136,Map!$A:$A,Map!D:D)</f>
        <v>Cost of sales</v>
      </c>
      <c r="I136" s="43" t="str">
        <f>_xlfn.XLOOKUP($A136,Map!$A:$A,Map!E:E)</f>
        <v>Direct Labor</v>
      </c>
      <c r="J136" s="43" t="str">
        <f>_xlfn.XLOOKUP($A136,Map!$A:$A,Map!F:F)</f>
        <v>Medical insurance</v>
      </c>
    </row>
    <row r="137" spans="1:10" x14ac:dyDescent="0.25">
      <c r="A137">
        <v>520032</v>
      </c>
      <c r="B137" t="s">
        <v>965</v>
      </c>
      <c r="C137" s="116">
        <v>0</v>
      </c>
      <c r="D137" s="116">
        <v>0</v>
      </c>
      <c r="E137" s="116">
        <v>0</v>
      </c>
      <c r="F137" s="116">
        <v>0</v>
      </c>
      <c r="G137" s="43" t="str">
        <f>_xlfn.XLOOKUP($A137,Map!$A:$A,Map!C:C)</f>
        <v>IS</v>
      </c>
      <c r="H137" s="43" t="str">
        <f>_xlfn.XLOOKUP($A137,Map!$A:$A,Map!D:D)</f>
        <v>Cost of sales</v>
      </c>
      <c r="I137" s="43" t="str">
        <f>_xlfn.XLOOKUP($A137,Map!$A:$A,Map!E:E)</f>
        <v>Raw materials</v>
      </c>
      <c r="J137" s="43" t="str">
        <f>_xlfn.XLOOKUP($A137,Map!$A:$A,Map!F:F)</f>
        <v>Consumables</v>
      </c>
    </row>
    <row r="138" spans="1:10" x14ac:dyDescent="0.25">
      <c r="A138">
        <v>520036</v>
      </c>
      <c r="B138" t="s">
        <v>966</v>
      </c>
      <c r="C138" s="116">
        <v>0</v>
      </c>
      <c r="D138" s="116">
        <v>0.20200000000000001</v>
      </c>
      <c r="E138" s="116">
        <v>0.20200000000000001</v>
      </c>
      <c r="F138" s="116">
        <v>0</v>
      </c>
      <c r="G138" s="43" t="str">
        <f>_xlfn.XLOOKUP($A138,Map!$A:$A,Map!C:C)</f>
        <v>IS</v>
      </c>
      <c r="H138" s="43" t="str">
        <f>_xlfn.XLOOKUP($A138,Map!$A:$A,Map!D:D)</f>
        <v>Cost of sales</v>
      </c>
      <c r="I138" s="43" t="str">
        <f>_xlfn.XLOOKUP($A138,Map!$A:$A,Map!E:E)</f>
        <v>Raw materials</v>
      </c>
      <c r="J138" s="43" t="str">
        <f>_xlfn.XLOOKUP($A138,Map!$A:$A,Map!F:F)</f>
        <v>Raw materials</v>
      </c>
    </row>
    <row r="139" spans="1:10" x14ac:dyDescent="0.25">
      <c r="A139">
        <v>520037</v>
      </c>
      <c r="B139" t="s">
        <v>967</v>
      </c>
      <c r="C139" s="116">
        <v>0</v>
      </c>
      <c r="D139" s="116">
        <v>886940.70799999998</v>
      </c>
      <c r="E139" s="116">
        <v>886940.70799999998</v>
      </c>
      <c r="F139" s="116">
        <v>0</v>
      </c>
      <c r="G139" s="43" t="str">
        <f>_xlfn.XLOOKUP($A139,Map!$A:$A,Map!C:C)</f>
        <v>IS</v>
      </c>
      <c r="H139" s="43" t="str">
        <f>_xlfn.XLOOKUP($A139,Map!$A:$A,Map!D:D)</f>
        <v>Cost of sales</v>
      </c>
      <c r="I139" s="43" t="str">
        <f>_xlfn.XLOOKUP($A139,Map!$A:$A,Map!E:E)</f>
        <v>Raw materials</v>
      </c>
      <c r="J139" s="43" t="str">
        <f>_xlfn.XLOOKUP($A139,Map!$A:$A,Map!F:F)</f>
        <v>Raw materials</v>
      </c>
    </row>
    <row r="140" spans="1:10" x14ac:dyDescent="0.25">
      <c r="A140">
        <v>520040</v>
      </c>
      <c r="B140" t="s">
        <v>969</v>
      </c>
      <c r="C140" s="116">
        <v>0</v>
      </c>
      <c r="D140" s="116">
        <v>462.22</v>
      </c>
      <c r="E140" s="116">
        <v>462.22</v>
      </c>
      <c r="F140" s="116">
        <v>0</v>
      </c>
      <c r="G140" s="43" t="str">
        <f>_xlfn.XLOOKUP($A140,Map!$A:$A,Map!C:C)</f>
        <v>IS</v>
      </c>
      <c r="H140" s="43" t="str">
        <f>_xlfn.XLOOKUP($A140,Map!$A:$A,Map!D:D)</f>
        <v>Cost of sales</v>
      </c>
      <c r="I140" s="43" t="str">
        <f>_xlfn.XLOOKUP($A140,Map!$A:$A,Map!E:E)</f>
        <v>Raw materials</v>
      </c>
      <c r="J140" s="43" t="str">
        <f>_xlfn.XLOOKUP($A140,Map!$A:$A,Map!F:F)</f>
        <v>Other expenses</v>
      </c>
    </row>
    <row r="141" spans="1:10" x14ac:dyDescent="0.25">
      <c r="A141">
        <v>520041</v>
      </c>
      <c r="B141" t="s">
        <v>970</v>
      </c>
      <c r="C141" s="116">
        <v>0</v>
      </c>
      <c r="D141" s="116">
        <v>14000088.23</v>
      </c>
      <c r="E141" s="116">
        <v>14000088.23</v>
      </c>
      <c r="F141" s="116">
        <v>0</v>
      </c>
      <c r="G141" s="43" t="str">
        <f>_xlfn.XLOOKUP($A141,Map!$A:$A,Map!C:C)</f>
        <v>IS</v>
      </c>
      <c r="H141" s="43" t="str">
        <f>_xlfn.XLOOKUP($A141,Map!$A:$A,Map!D:D)</f>
        <v>Cost of sales</v>
      </c>
      <c r="I141" s="43" t="str">
        <f>_xlfn.XLOOKUP($A141,Map!$A:$A,Map!E:E)</f>
        <v>Raw materials</v>
      </c>
      <c r="J141" s="43" t="str">
        <f>_xlfn.XLOOKUP($A141,Map!$A:$A,Map!F:F)</f>
        <v>Other expenses</v>
      </c>
    </row>
    <row r="142" spans="1:10" x14ac:dyDescent="0.25">
      <c r="A142">
        <v>520042</v>
      </c>
      <c r="B142" t="s">
        <v>971</v>
      </c>
      <c r="C142" s="116">
        <v>0</v>
      </c>
      <c r="D142" s="116">
        <v>9734018.193</v>
      </c>
      <c r="E142" s="116">
        <v>9734018.193</v>
      </c>
      <c r="F142" s="116">
        <v>0</v>
      </c>
      <c r="G142" s="43" t="str">
        <f>_xlfn.XLOOKUP($A142,Map!$A:$A,Map!C:C)</f>
        <v>IS</v>
      </c>
      <c r="H142" s="43" t="str">
        <f>_xlfn.XLOOKUP($A142,Map!$A:$A,Map!D:D)</f>
        <v>Cost of sales</v>
      </c>
      <c r="I142" s="43" t="str">
        <f>_xlfn.XLOOKUP($A142,Map!$A:$A,Map!E:E)</f>
        <v>Raw materials</v>
      </c>
      <c r="J142" s="43" t="str">
        <f>_xlfn.XLOOKUP($A142,Map!$A:$A,Map!F:F)</f>
        <v>Inventory Adjustment</v>
      </c>
    </row>
    <row r="143" spans="1:10" x14ac:dyDescent="0.25">
      <c r="A143">
        <v>600001</v>
      </c>
      <c r="B143" t="s">
        <v>979</v>
      </c>
      <c r="C143" s="116">
        <v>0</v>
      </c>
      <c r="D143" s="116">
        <v>3165711.25</v>
      </c>
      <c r="E143" s="116">
        <v>3165711.25</v>
      </c>
      <c r="F143" s="116">
        <v>0</v>
      </c>
      <c r="G143" s="43" t="str">
        <f>_xlfn.XLOOKUP($A143,Map!$A:$A,Map!C:C)</f>
        <v>IS</v>
      </c>
      <c r="H143" s="43" t="str">
        <f>_xlfn.XLOOKUP($A143,Map!$A:$A,Map!D:D)</f>
        <v>Cost of sales</v>
      </c>
      <c r="I143" s="43" t="str">
        <f>_xlfn.XLOOKUP($A143,Map!$A:$A,Map!E:E)</f>
        <v>Overhead - Labor Cost</v>
      </c>
      <c r="J143" s="43" t="str">
        <f>_xlfn.XLOOKUP($A143,Map!$A:$A,Map!F:F)</f>
        <v>Indirect Salaries — factory supervisory / indirect floor labour (COGS)</v>
      </c>
    </row>
    <row r="144" spans="1:10" x14ac:dyDescent="0.25">
      <c r="A144">
        <v>600002</v>
      </c>
      <c r="B144" t="s">
        <v>980</v>
      </c>
      <c r="C144" s="116">
        <v>0</v>
      </c>
      <c r="D144" s="116">
        <v>399808.31</v>
      </c>
      <c r="E144" s="116">
        <v>399808.31</v>
      </c>
      <c r="F144" s="116">
        <v>0</v>
      </c>
      <c r="G144" s="43" t="str">
        <f>_xlfn.XLOOKUP($A144,Map!$A:$A,Map!C:C)</f>
        <v>IS</v>
      </c>
      <c r="H144" s="43" t="str">
        <f>_xlfn.XLOOKUP($A144,Map!$A:$A,Map!D:D)</f>
        <v>Cost of sales</v>
      </c>
      <c r="I144" s="43" t="str">
        <f>_xlfn.XLOOKUP($A144,Map!$A:$A,Map!E:E)</f>
        <v>Overhead - Labor Cost</v>
      </c>
      <c r="J144" s="43" t="str">
        <f>_xlfn.XLOOKUP($A144,Map!$A:$A,Map!F:F)</f>
        <v>Overtime pay</v>
      </c>
    </row>
    <row r="145" spans="1:11" x14ac:dyDescent="0.25">
      <c r="A145">
        <v>600003</v>
      </c>
      <c r="B145" t="s">
        <v>981</v>
      </c>
      <c r="C145" s="116">
        <v>0</v>
      </c>
      <c r="D145" s="116">
        <v>941816.5</v>
      </c>
      <c r="E145" s="116">
        <v>941816.5</v>
      </c>
      <c r="F145" s="116">
        <v>0</v>
      </c>
      <c r="G145" s="43" t="str">
        <f>_xlfn.XLOOKUP($A145,Map!$A:$A,Map!C:C)</f>
        <v>IS</v>
      </c>
      <c r="H145" s="43" t="str">
        <f>_xlfn.XLOOKUP($A145,Map!$A:$A,Map!D:D)</f>
        <v>Cost of sales</v>
      </c>
      <c r="I145" s="43" t="str">
        <f>_xlfn.XLOOKUP($A145,Map!$A:$A,Map!E:E)</f>
        <v>Overhead - Labor Cost</v>
      </c>
      <c r="J145" s="43" t="str">
        <f>_xlfn.XLOOKUP($A145,Map!$A:$A,Map!F:F)</f>
        <v xml:space="preserve">Food &amp; Housing </v>
      </c>
    </row>
    <row r="146" spans="1:11" x14ac:dyDescent="0.25">
      <c r="A146">
        <v>600004</v>
      </c>
      <c r="B146" t="s">
        <v>982</v>
      </c>
      <c r="C146" s="116">
        <v>0</v>
      </c>
      <c r="D146" s="116">
        <v>741268.83400000003</v>
      </c>
      <c r="E146" s="116">
        <v>741268.83400000003</v>
      </c>
      <c r="F146" s="116">
        <v>0</v>
      </c>
      <c r="G146" s="43" t="str">
        <f>_xlfn.XLOOKUP($A146,Map!$A:$A,Map!C:C)</f>
        <v>IS</v>
      </c>
      <c r="H146" s="43" t="str">
        <f>_xlfn.XLOOKUP($A146,Map!$A:$A,Map!D:D)</f>
        <v>Cost of sales</v>
      </c>
      <c r="I146" s="43" t="str">
        <f>_xlfn.XLOOKUP($A146,Map!$A:$A,Map!E:E)</f>
        <v>Overhead - Labor Cost</v>
      </c>
      <c r="J146" s="43" t="str">
        <f>_xlfn.XLOOKUP($A146,Map!$A:$A,Map!F:F)</f>
        <v>Medical insurance</v>
      </c>
    </row>
    <row r="147" spans="1:11" x14ac:dyDescent="0.25">
      <c r="A147">
        <v>600005</v>
      </c>
      <c r="B147" t="s">
        <v>983</v>
      </c>
      <c r="C147" s="116">
        <v>0</v>
      </c>
      <c r="D147" s="116">
        <v>236068.13</v>
      </c>
      <c r="E147" s="116">
        <v>236068.13</v>
      </c>
      <c r="F147" s="116">
        <v>0</v>
      </c>
      <c r="G147" s="43" t="str">
        <f>_xlfn.XLOOKUP($A147,Map!$A:$A,Map!C:C)</f>
        <v>IS</v>
      </c>
      <c r="H147" s="43" t="str">
        <f>_xlfn.XLOOKUP($A147,Map!$A:$A,Map!D:D)</f>
        <v>General and Admin</v>
      </c>
      <c r="I147" s="43" t="str">
        <f>_xlfn.XLOOKUP($A147,Map!$A:$A,Map!E:E)</f>
        <v>Govt license and fees (including modon)</v>
      </c>
      <c r="J147" s="43" t="str">
        <f>_xlfn.XLOOKUP($A147,Map!$A:$A,Map!F:F)</f>
        <v>Government fees</v>
      </c>
      <c r="K147" t="str">
        <f>_xlfn.XLOOKUP(I147,'P&amp;L_2014-2025'!A:A,'P&amp;L_2014-2025'!A:A)</f>
        <v>Govt license and fees (including modon)</v>
      </c>
    </row>
    <row r="148" spans="1:11" x14ac:dyDescent="0.25">
      <c r="A148">
        <v>600006</v>
      </c>
      <c r="B148" t="s">
        <v>984</v>
      </c>
      <c r="C148" s="116">
        <v>0</v>
      </c>
      <c r="D148" s="116">
        <v>1786383.83</v>
      </c>
      <c r="E148" s="116">
        <v>1786383.83</v>
      </c>
      <c r="F148" s="116">
        <v>0</v>
      </c>
      <c r="G148" s="43" t="str">
        <f>_xlfn.XLOOKUP($A148,Map!$A:$A,Map!C:C)</f>
        <v>IS</v>
      </c>
      <c r="H148" s="43" t="str">
        <f>_xlfn.XLOOKUP($A148,Map!$A:$A,Map!D:D)</f>
        <v>Cost of sales</v>
      </c>
      <c r="I148" s="43" t="str">
        <f>_xlfn.XLOOKUP($A148,Map!$A:$A,Map!E:E)</f>
        <v>Overhead - Labor Cost</v>
      </c>
      <c r="J148" s="43" t="str">
        <f>_xlfn.XLOOKUP($A148,Map!$A:$A,Map!F:F)</f>
        <v xml:space="preserve">Food &amp; Housing </v>
      </c>
    </row>
    <row r="149" spans="1:11" x14ac:dyDescent="0.25">
      <c r="A149">
        <v>600007</v>
      </c>
      <c r="B149" t="s">
        <v>985</v>
      </c>
      <c r="C149" s="116">
        <v>0</v>
      </c>
      <c r="D149" s="116">
        <v>2500</v>
      </c>
      <c r="E149" s="116">
        <v>2500</v>
      </c>
      <c r="F149" s="116">
        <v>0</v>
      </c>
      <c r="G149" s="43" t="str">
        <f>_xlfn.XLOOKUP($A149,Map!$A:$A,Map!C:C)</f>
        <v>IS</v>
      </c>
      <c r="H149" s="43" t="str">
        <f>_xlfn.XLOOKUP($A149,Map!$A:$A,Map!D:D)</f>
        <v>Cost of sales</v>
      </c>
      <c r="I149" s="43" t="str">
        <f>_xlfn.XLOOKUP($A149,Map!$A:$A,Map!E:E)</f>
        <v>Overhead - Labor Cost</v>
      </c>
      <c r="J149" s="43" t="str">
        <f>_xlfn.XLOOKUP($A149,Map!$A:$A,Map!F:F)</f>
        <v>Transportation allowance</v>
      </c>
    </row>
    <row r="150" spans="1:11" x14ac:dyDescent="0.25">
      <c r="A150">
        <v>600008</v>
      </c>
      <c r="B150" t="s">
        <v>986</v>
      </c>
      <c r="C150" s="116">
        <v>0</v>
      </c>
      <c r="D150" s="116">
        <v>631090.38199999998</v>
      </c>
      <c r="E150" s="116">
        <v>631090.38199999998</v>
      </c>
      <c r="F150" s="116">
        <v>0</v>
      </c>
      <c r="G150" s="43" t="str">
        <f>_xlfn.XLOOKUP($A150,Map!$A:$A,Map!C:C)</f>
        <v>IS</v>
      </c>
      <c r="H150" s="43" t="str">
        <f>_xlfn.XLOOKUP($A150,Map!$A:$A,Map!D:D)</f>
        <v>Cost of sales</v>
      </c>
      <c r="I150" s="43" t="str">
        <f>_xlfn.XLOOKUP($A150,Map!$A:$A,Map!E:E)</f>
        <v>Overhead - Labor Cost</v>
      </c>
      <c r="J150" s="43" t="str">
        <f>_xlfn.XLOOKUP($A150,Map!$A:$A,Map!F:F)</f>
        <v>Air tickets</v>
      </c>
    </row>
    <row r="151" spans="1:11" x14ac:dyDescent="0.25">
      <c r="A151">
        <v>600009</v>
      </c>
      <c r="B151" t="s">
        <v>987</v>
      </c>
      <c r="C151" s="116">
        <v>0</v>
      </c>
      <c r="D151" s="116">
        <v>96617.77</v>
      </c>
      <c r="E151" s="116">
        <v>96617.77</v>
      </c>
      <c r="F151" s="116">
        <v>0</v>
      </c>
      <c r="G151" s="43" t="str">
        <f>_xlfn.XLOOKUP($A151,Map!$A:$A,Map!C:C)</f>
        <v>IS</v>
      </c>
      <c r="H151" s="43" t="str">
        <f>_xlfn.XLOOKUP($A151,Map!$A:$A,Map!D:D)</f>
        <v>Cost of sales</v>
      </c>
      <c r="I151" s="43" t="str">
        <f>_xlfn.XLOOKUP($A151,Map!$A:$A,Map!E:E)</f>
        <v>Overhead - Labor Cost</v>
      </c>
      <c r="J151" s="43" t="str">
        <f>_xlfn.XLOOKUP($A151,Map!$A:$A,Map!F:F)</f>
        <v>Vacation pay</v>
      </c>
    </row>
    <row r="152" spans="1:11" x14ac:dyDescent="0.25">
      <c r="A152">
        <v>600010</v>
      </c>
      <c r="B152" t="s">
        <v>988</v>
      </c>
      <c r="C152" s="116">
        <v>0</v>
      </c>
      <c r="D152" s="116">
        <v>4434</v>
      </c>
      <c r="E152" s="116">
        <v>4434</v>
      </c>
      <c r="F152" s="116">
        <v>0</v>
      </c>
      <c r="G152" s="43" t="str">
        <f>_xlfn.XLOOKUP($A152,Map!$A:$A,Map!C:C)</f>
        <v>IS</v>
      </c>
      <c r="H152" s="43" t="str">
        <f>_xlfn.XLOOKUP($A152,Map!$A:$A,Map!D:D)</f>
        <v>Cost of sales</v>
      </c>
      <c r="I152" s="43" t="str">
        <f>_xlfn.XLOOKUP($A152,Map!$A:$A,Map!E:E)</f>
        <v>Overhead - Labor Cost</v>
      </c>
      <c r="J152" s="43" t="str">
        <f>_xlfn.XLOOKUP($A152,Map!$A:$A,Map!F:F)</f>
        <v>EOS expenses</v>
      </c>
    </row>
    <row r="153" spans="1:11" x14ac:dyDescent="0.25">
      <c r="A153">
        <v>600011</v>
      </c>
      <c r="B153" t="s">
        <v>989</v>
      </c>
      <c r="C153" s="116">
        <v>0</v>
      </c>
      <c r="D153" s="116">
        <v>13251</v>
      </c>
      <c r="E153" s="116">
        <v>13251</v>
      </c>
      <c r="F153" s="116">
        <v>0</v>
      </c>
      <c r="G153" s="43" t="str">
        <f>_xlfn.XLOOKUP($A153,Map!$A:$A,Map!C:C)</f>
        <v>IS</v>
      </c>
      <c r="H153" s="43" t="str">
        <f>_xlfn.XLOOKUP($A153,Map!$A:$A,Map!D:D)</f>
        <v>Cost of sales</v>
      </c>
      <c r="I153" s="43" t="str">
        <f>_xlfn.XLOOKUP($A153,Map!$A:$A,Map!E:E)</f>
        <v>Overhead - Labor Cost</v>
      </c>
      <c r="J153" s="43" t="str">
        <f>_xlfn.XLOOKUP($A153,Map!$A:$A,Map!F:F)</f>
        <v>Air tickets</v>
      </c>
    </row>
    <row r="154" spans="1:11" x14ac:dyDescent="0.25">
      <c r="A154">
        <v>600012</v>
      </c>
      <c r="B154" t="s">
        <v>990</v>
      </c>
      <c r="C154" s="116">
        <v>0</v>
      </c>
      <c r="D154" s="116">
        <v>0</v>
      </c>
      <c r="E154" s="116">
        <v>0</v>
      </c>
      <c r="F154" s="116">
        <v>0</v>
      </c>
      <c r="G154" s="43" t="str">
        <f>_xlfn.XLOOKUP($A154,Map!$A:$A,Map!C:C)</f>
        <v>IS</v>
      </c>
      <c r="H154" s="43" t="str">
        <f>_xlfn.XLOOKUP($A154,Map!$A:$A,Map!D:D)</f>
        <v>Cost of sales</v>
      </c>
      <c r="I154" s="43" t="str">
        <f>_xlfn.XLOOKUP($A154,Map!$A:$A,Map!E:E)</f>
        <v>Overhead - Labor Cost</v>
      </c>
      <c r="J154" s="43" t="str">
        <f>_xlfn.XLOOKUP($A154,Map!$A:$A,Map!F:F)</f>
        <v xml:space="preserve">Education &amp; Furniture Allowances </v>
      </c>
    </row>
    <row r="155" spans="1:11" x14ac:dyDescent="0.25">
      <c r="A155">
        <v>600013</v>
      </c>
      <c r="B155" t="s">
        <v>991</v>
      </c>
      <c r="C155" s="116">
        <v>0</v>
      </c>
      <c r="D155" s="116">
        <v>0</v>
      </c>
      <c r="E155" s="116">
        <v>0</v>
      </c>
      <c r="F155" s="116">
        <v>0</v>
      </c>
      <c r="G155" s="43" t="str">
        <f>_xlfn.XLOOKUP($A155,Map!$A:$A,Map!C:C)</f>
        <v>IS</v>
      </c>
      <c r="H155" s="43" t="str">
        <f>_xlfn.XLOOKUP($A155,Map!$A:$A,Map!D:D)</f>
        <v>Cost of sales</v>
      </c>
      <c r="I155" s="43" t="str">
        <f>_xlfn.XLOOKUP($A155,Map!$A:$A,Map!E:E)</f>
        <v>Overhead - Labor Cost</v>
      </c>
      <c r="J155" s="43" t="str">
        <f>_xlfn.XLOOKUP($A155,Map!$A:$A,Map!F:F)</f>
        <v>Telephone allowance</v>
      </c>
    </row>
    <row r="156" spans="1:11" x14ac:dyDescent="0.25">
      <c r="A156">
        <v>600014</v>
      </c>
      <c r="B156" t="s">
        <v>884</v>
      </c>
      <c r="C156" s="116">
        <v>0</v>
      </c>
      <c r="D156" s="116">
        <v>3138365.591</v>
      </c>
      <c r="E156" s="116">
        <v>3138365.591</v>
      </c>
      <c r="F156" s="116">
        <v>0</v>
      </c>
      <c r="G156" s="43" t="str">
        <f>_xlfn.XLOOKUP($A156,Map!$A:$A,Map!C:C)</f>
        <v>IS</v>
      </c>
      <c r="H156" s="43" t="str">
        <f>_xlfn.XLOOKUP($A156,Map!$A:$A,Map!D:D)</f>
        <v>Cost of sales</v>
      </c>
      <c r="I156" s="43" t="str">
        <f>_xlfn.XLOOKUP($A156,Map!$A:$A,Map!E:E)</f>
        <v>Overhead - Consumables &amp; SP</v>
      </c>
      <c r="J156" s="43" t="str">
        <f>_xlfn.XLOOKUP($A156,Map!$A:$A,Map!F:F)</f>
        <v>Consumables</v>
      </c>
    </row>
    <row r="157" spans="1:11" x14ac:dyDescent="0.25">
      <c r="A157">
        <v>600015</v>
      </c>
      <c r="B157" t="s">
        <v>992</v>
      </c>
      <c r="C157" s="116">
        <v>0</v>
      </c>
      <c r="D157" s="116">
        <v>0</v>
      </c>
      <c r="E157" s="116">
        <v>0</v>
      </c>
      <c r="F157" s="116">
        <v>0</v>
      </c>
      <c r="G157" s="43" t="str">
        <f>_xlfn.XLOOKUP($A157,Map!$A:$A,Map!C:C)</f>
        <v>IS</v>
      </c>
      <c r="H157" s="43" t="str">
        <f>_xlfn.XLOOKUP($A157,Map!$A:$A,Map!D:D)</f>
        <v>Cost of sales</v>
      </c>
      <c r="I157" s="43" t="str">
        <f>_xlfn.XLOOKUP($A157,Map!$A:$A,Map!E:E)</f>
        <v>Overhead - Consumables &amp; SP</v>
      </c>
      <c r="J157" s="43" t="str">
        <f>_xlfn.XLOOKUP($A157,Map!$A:$A,Map!F:F)</f>
        <v>Consumables</v>
      </c>
    </row>
    <row r="158" spans="1:11" x14ac:dyDescent="0.25">
      <c r="A158">
        <v>600016</v>
      </c>
      <c r="B158" t="s">
        <v>993</v>
      </c>
      <c r="C158" s="116">
        <v>0</v>
      </c>
      <c r="D158" s="116">
        <v>6908262.074</v>
      </c>
      <c r="E158" s="116">
        <v>6908262.074</v>
      </c>
      <c r="F158" s="116">
        <v>0</v>
      </c>
      <c r="G158" s="43" t="str">
        <f>_xlfn.XLOOKUP($A158,Map!$A:$A,Map!C:C)</f>
        <v>IS</v>
      </c>
      <c r="H158" s="43" t="str">
        <f>_xlfn.XLOOKUP($A158,Map!$A:$A,Map!D:D)</f>
        <v>Cost of sales</v>
      </c>
      <c r="I158" s="43" t="str">
        <f>_xlfn.XLOOKUP($A158,Map!$A:$A,Map!E:E)</f>
        <v>Overhead - Consumables &amp; SP</v>
      </c>
      <c r="J158" s="43" t="str">
        <f>_xlfn.XLOOKUP($A158,Map!$A:$A,Map!F:F)</f>
        <v>Tools</v>
      </c>
    </row>
    <row r="159" spans="1:11" x14ac:dyDescent="0.25">
      <c r="A159">
        <v>600017</v>
      </c>
      <c r="B159" t="s">
        <v>994</v>
      </c>
      <c r="C159" s="116">
        <v>0</v>
      </c>
      <c r="D159" s="116">
        <v>2358711.4180000001</v>
      </c>
      <c r="E159" s="116">
        <v>2358711.4180000001</v>
      </c>
      <c r="F159" s="116">
        <v>0</v>
      </c>
      <c r="G159" s="43" t="str">
        <f>_xlfn.XLOOKUP($A159,Map!$A:$A,Map!C:C)</f>
        <v>IS</v>
      </c>
      <c r="H159" s="43" t="str">
        <f>_xlfn.XLOOKUP($A159,Map!$A:$A,Map!D:D)</f>
        <v>Cost of sales</v>
      </c>
      <c r="I159" s="43" t="str">
        <f>_xlfn.XLOOKUP($A159,Map!$A:$A,Map!E:E)</f>
        <v>Overhead - Utility</v>
      </c>
      <c r="J159" s="43" t="str">
        <f>_xlfn.XLOOKUP($A159,Map!$A:$A,Map!F:F)</f>
        <v>Electricity expenses</v>
      </c>
    </row>
    <row r="160" spans="1:11" x14ac:dyDescent="0.25">
      <c r="A160">
        <v>600018</v>
      </c>
      <c r="B160" t="s">
        <v>995</v>
      </c>
      <c r="C160" s="116">
        <v>0</v>
      </c>
      <c r="D160" s="116">
        <v>209580</v>
      </c>
      <c r="E160" s="116">
        <v>209580</v>
      </c>
      <c r="F160" s="116">
        <v>0</v>
      </c>
      <c r="G160" s="43" t="str">
        <f>_xlfn.XLOOKUP($A160,Map!$A:$A,Map!C:C)</f>
        <v>IS</v>
      </c>
      <c r="H160" s="43" t="str">
        <f>_xlfn.XLOOKUP($A160,Map!$A:$A,Map!D:D)</f>
        <v>Cost of sales</v>
      </c>
      <c r="I160" s="43" t="str">
        <f>_xlfn.XLOOKUP($A160,Map!$A:$A,Map!E:E)</f>
        <v>Overhead - Utility</v>
      </c>
      <c r="J160" s="43" t="str">
        <f>_xlfn.XLOOKUP($A160,Map!$A:$A,Map!F:F)</f>
        <v>Water expenses</v>
      </c>
    </row>
    <row r="161" spans="1:10" x14ac:dyDescent="0.25">
      <c r="A161">
        <v>600019</v>
      </c>
      <c r="B161" t="s">
        <v>996</v>
      </c>
      <c r="C161" s="116">
        <v>0</v>
      </c>
      <c r="D161" s="116">
        <v>42545.82</v>
      </c>
      <c r="E161" s="116">
        <v>42545.82</v>
      </c>
      <c r="F161" s="116">
        <v>0</v>
      </c>
      <c r="G161" s="43" t="str">
        <f>_xlfn.XLOOKUP($A161,Map!$A:$A,Map!C:C)</f>
        <v>IS</v>
      </c>
      <c r="H161" s="43" t="str">
        <f>_xlfn.XLOOKUP($A161,Map!$A:$A,Map!D:D)</f>
        <v>Cost of sales</v>
      </c>
      <c r="I161" s="43" t="str">
        <f>_xlfn.XLOOKUP($A161,Map!$A:$A,Map!E:E)</f>
        <v>Overhead - Utility</v>
      </c>
      <c r="J161" s="43" t="str">
        <f>_xlfn.XLOOKUP($A161,Map!$A:$A,Map!F:F)</f>
        <v>Fuel and oil</v>
      </c>
    </row>
    <row r="162" spans="1:10" x14ac:dyDescent="0.25">
      <c r="A162">
        <v>600020</v>
      </c>
      <c r="B162" t="s">
        <v>997</v>
      </c>
      <c r="C162" s="116">
        <v>0</v>
      </c>
      <c r="D162" s="116">
        <v>1797953.3829999999</v>
      </c>
      <c r="E162" s="116">
        <v>1797953.3829999999</v>
      </c>
      <c r="F162" s="116">
        <v>0</v>
      </c>
      <c r="G162" s="43" t="str">
        <f>_xlfn.XLOOKUP($A162,Map!$A:$A,Map!C:C)</f>
        <v>IS</v>
      </c>
      <c r="H162" s="43" t="str">
        <f>_xlfn.XLOOKUP($A162,Map!$A:$A,Map!D:D)</f>
        <v>Cost of sales</v>
      </c>
      <c r="I162" s="43" t="str">
        <f>_xlfn.XLOOKUP($A162,Map!$A:$A,Map!E:E)</f>
        <v>Overhead - R&amp;M</v>
      </c>
      <c r="J162" s="43" t="str">
        <f>_xlfn.XLOOKUP($A162,Map!$A:$A,Map!F:F)</f>
        <v>Machine and equipment</v>
      </c>
    </row>
    <row r="163" spans="1:10" x14ac:dyDescent="0.25">
      <c r="A163">
        <v>600021</v>
      </c>
      <c r="B163" t="s">
        <v>998</v>
      </c>
      <c r="C163" s="116">
        <v>0</v>
      </c>
      <c r="D163" s="116">
        <v>38833.552000000003</v>
      </c>
      <c r="E163" s="116">
        <v>38833.552000000003</v>
      </c>
      <c r="F163" s="116">
        <v>0</v>
      </c>
      <c r="G163" s="43" t="str">
        <f>_xlfn.XLOOKUP($A163,Map!$A:$A,Map!C:C)</f>
        <v>IS</v>
      </c>
      <c r="H163" s="43" t="str">
        <f>_xlfn.XLOOKUP($A163,Map!$A:$A,Map!D:D)</f>
        <v>Cost of sales</v>
      </c>
      <c r="I163" s="43" t="str">
        <f>_xlfn.XLOOKUP($A163,Map!$A:$A,Map!E:E)</f>
        <v>Overhead - R&amp;M</v>
      </c>
      <c r="J163" s="43" t="str">
        <f>_xlfn.XLOOKUP($A163,Map!$A:$A,Map!F:F)</f>
        <v>Vehicle maintenance</v>
      </c>
    </row>
    <row r="164" spans="1:10" x14ac:dyDescent="0.25">
      <c r="A164">
        <v>600022</v>
      </c>
      <c r="B164" t="s">
        <v>999</v>
      </c>
      <c r="C164" s="116">
        <v>0</v>
      </c>
      <c r="D164" s="116">
        <v>52835</v>
      </c>
      <c r="E164" s="116">
        <v>52835</v>
      </c>
      <c r="F164" s="116">
        <v>0</v>
      </c>
      <c r="G164" s="43" t="str">
        <f>_xlfn.XLOOKUP($A164,Map!$A:$A,Map!C:C)</f>
        <v>IS</v>
      </c>
      <c r="H164" s="43" t="str">
        <f>_xlfn.XLOOKUP($A164,Map!$A:$A,Map!D:D)</f>
        <v>Cost of sales</v>
      </c>
      <c r="I164" s="43" t="str">
        <f>_xlfn.XLOOKUP($A164,Map!$A:$A,Map!E:E)</f>
        <v>Overhead - R&amp;M</v>
      </c>
      <c r="J164" s="43" t="str">
        <f>_xlfn.XLOOKUP($A164,Map!$A:$A,Map!F:F)</f>
        <v>Building maintenance</v>
      </c>
    </row>
    <row r="165" spans="1:10" x14ac:dyDescent="0.25">
      <c r="A165">
        <v>600023</v>
      </c>
      <c r="B165" t="s">
        <v>1000</v>
      </c>
      <c r="C165" s="116">
        <v>0</v>
      </c>
      <c r="D165" s="116">
        <v>0</v>
      </c>
      <c r="E165" s="116">
        <v>0</v>
      </c>
      <c r="F165" s="116">
        <v>0</v>
      </c>
      <c r="G165" s="43" t="str">
        <f>_xlfn.XLOOKUP($A165,Map!$A:$A,Map!C:C)</f>
        <v>IS</v>
      </c>
      <c r="H165" s="43" t="str">
        <f>_xlfn.XLOOKUP($A165,Map!$A:$A,Map!D:D)</f>
        <v>Cost of sales</v>
      </c>
      <c r="I165" s="43" t="str">
        <f>_xlfn.XLOOKUP($A165,Map!$A:$A,Map!E:E)</f>
        <v>Overhead - R&amp;M</v>
      </c>
      <c r="J165" s="43" t="str">
        <f>_xlfn.XLOOKUP($A165,Map!$A:$A,Map!F:F)</f>
        <v>Office equipment maintenance</v>
      </c>
    </row>
    <row r="166" spans="1:10" x14ac:dyDescent="0.25">
      <c r="A166">
        <v>600024</v>
      </c>
      <c r="B166" t="s">
        <v>1001</v>
      </c>
      <c r="C166" s="116">
        <v>0</v>
      </c>
      <c r="D166" s="116">
        <v>0</v>
      </c>
      <c r="E166" s="116">
        <v>0</v>
      </c>
      <c r="F166" s="116">
        <v>0</v>
      </c>
      <c r="G166" s="43" t="str">
        <f>_xlfn.XLOOKUP($A166,Map!$A:$A,Map!C:C)</f>
        <v>IS</v>
      </c>
      <c r="H166" s="43" t="str">
        <f>_xlfn.XLOOKUP($A166,Map!$A:$A,Map!D:D)</f>
        <v>Cost of sales</v>
      </c>
      <c r="I166" s="43" t="str">
        <f>_xlfn.XLOOKUP($A166,Map!$A:$A,Map!E:E)</f>
        <v>Overhead - Rent</v>
      </c>
      <c r="J166" s="43" t="str">
        <f>_xlfn.XLOOKUP($A166,Map!$A:$A,Map!F:F)</f>
        <v>Pump rental expenses</v>
      </c>
    </row>
    <row r="167" spans="1:10" x14ac:dyDescent="0.25">
      <c r="A167">
        <v>600025</v>
      </c>
      <c r="B167" t="s">
        <v>1002</v>
      </c>
      <c r="C167" s="116">
        <v>0</v>
      </c>
      <c r="D167" s="116">
        <v>0</v>
      </c>
      <c r="E167" s="116">
        <v>0</v>
      </c>
      <c r="F167" s="116">
        <v>0</v>
      </c>
      <c r="G167" s="43" t="str">
        <f>_xlfn.XLOOKUP($A167,Map!$A:$A,Map!C:C)</f>
        <v>IS</v>
      </c>
      <c r="H167" s="43" t="str">
        <f>_xlfn.XLOOKUP($A167,Map!$A:$A,Map!D:D)</f>
        <v>Cost of sales</v>
      </c>
      <c r="I167" s="43" t="str">
        <f>_xlfn.XLOOKUP($A167,Map!$A:$A,Map!E:E)</f>
        <v>Overhead - Insurance</v>
      </c>
      <c r="J167" s="43" t="str">
        <f>_xlfn.XLOOKUP($A167,Map!$A:$A,Map!F:F)</f>
        <v>Building insurance</v>
      </c>
    </row>
    <row r="168" spans="1:10" x14ac:dyDescent="0.25">
      <c r="A168">
        <v>600026</v>
      </c>
      <c r="B168" t="s">
        <v>1003</v>
      </c>
      <c r="C168" s="116">
        <v>0</v>
      </c>
      <c r="D168" s="116">
        <v>0</v>
      </c>
      <c r="E168" s="116">
        <v>0</v>
      </c>
      <c r="F168" s="116">
        <v>0</v>
      </c>
      <c r="G168" s="43" t="str">
        <f>_xlfn.XLOOKUP($A168,Map!$A:$A,Map!C:C)</f>
        <v>IS</v>
      </c>
      <c r="H168" s="43" t="str">
        <f>_xlfn.XLOOKUP($A168,Map!$A:$A,Map!D:D)</f>
        <v>Cost of sales</v>
      </c>
      <c r="I168" s="43" t="str">
        <f>_xlfn.XLOOKUP($A168,Map!$A:$A,Map!E:E)</f>
        <v>Overhead - Insurance</v>
      </c>
      <c r="J168" s="43" t="str">
        <f>_xlfn.XLOOKUP($A168,Map!$A:$A,Map!F:F)</f>
        <v>Machine and equipment insurance</v>
      </c>
    </row>
    <row r="169" spans="1:10" x14ac:dyDescent="0.25">
      <c r="A169">
        <v>600027</v>
      </c>
      <c r="B169" t="s">
        <v>1004</v>
      </c>
      <c r="C169" s="116">
        <v>0</v>
      </c>
      <c r="D169" s="116">
        <v>0</v>
      </c>
      <c r="E169" s="116">
        <v>0</v>
      </c>
      <c r="F169" s="116">
        <v>0</v>
      </c>
      <c r="G169" s="43" t="str">
        <f>_xlfn.XLOOKUP($A169,Map!$A:$A,Map!C:C)</f>
        <v>IS</v>
      </c>
      <c r="H169" s="43" t="str">
        <f>_xlfn.XLOOKUP($A169,Map!$A:$A,Map!D:D)</f>
        <v>Cost of sales</v>
      </c>
      <c r="I169" s="43" t="str">
        <f>_xlfn.XLOOKUP($A169,Map!$A:$A,Map!E:E)</f>
        <v>Overhead - Rent</v>
      </c>
      <c r="J169" s="43" t="str">
        <f>_xlfn.XLOOKUP($A169,Map!$A:$A,Map!F:F)</f>
        <v>Production hall rental</v>
      </c>
    </row>
    <row r="170" spans="1:10" x14ac:dyDescent="0.25">
      <c r="A170">
        <v>600028</v>
      </c>
      <c r="B170" t="s">
        <v>1005</v>
      </c>
      <c r="C170" s="116">
        <v>0</v>
      </c>
      <c r="D170" s="116">
        <v>0</v>
      </c>
      <c r="E170" s="116">
        <v>0</v>
      </c>
      <c r="F170" s="116">
        <v>0</v>
      </c>
      <c r="G170" s="43" t="str">
        <f>_xlfn.XLOOKUP($A170,Map!$A:$A,Map!C:C)</f>
        <v>IS</v>
      </c>
      <c r="H170" s="43" t="str">
        <f>_xlfn.XLOOKUP($A170,Map!$A:$A,Map!D:D)</f>
        <v>Cost of sales</v>
      </c>
      <c r="I170" s="43" t="str">
        <f>_xlfn.XLOOKUP($A170,Map!$A:$A,Map!E:E)</f>
        <v>Overhead - Consumables &amp; SP</v>
      </c>
      <c r="J170" s="43" t="str">
        <f>_xlfn.XLOOKUP($A170,Map!$A:$A,Map!F:F)</f>
        <v xml:space="preserve">Education &amp; Furniture Allowances </v>
      </c>
    </row>
    <row r="171" spans="1:10" x14ac:dyDescent="0.25">
      <c r="A171">
        <v>600029</v>
      </c>
      <c r="B171" t="s">
        <v>1006</v>
      </c>
      <c r="C171" s="116">
        <v>0</v>
      </c>
      <c r="D171" s="116">
        <v>3787622.0819999999</v>
      </c>
      <c r="E171" s="116">
        <v>3787622.0819999999</v>
      </c>
      <c r="F171" s="116">
        <v>0</v>
      </c>
      <c r="G171" s="43" t="str">
        <f>_xlfn.XLOOKUP($A171,Map!$A:$A,Map!C:C)</f>
        <v>IS</v>
      </c>
      <c r="H171" s="43" t="str">
        <f>_xlfn.XLOOKUP($A171,Map!$A:$A,Map!D:D)</f>
        <v>Cost of sales</v>
      </c>
      <c r="I171" s="43" t="str">
        <f>_xlfn.XLOOKUP($A171,Map!$A:$A,Map!E:E)</f>
        <v>Depreciation - Machines</v>
      </c>
      <c r="J171" s="43" t="str">
        <f>_xlfn.XLOOKUP($A171,Map!$A:$A,Map!F:F)</f>
        <v>Depreciation of property, plant and equipment</v>
      </c>
    </row>
    <row r="172" spans="1:10" x14ac:dyDescent="0.25">
      <c r="A172">
        <v>600030</v>
      </c>
      <c r="B172" t="s">
        <v>1007</v>
      </c>
      <c r="C172" s="116">
        <v>0</v>
      </c>
      <c r="D172" s="116">
        <v>82730.331999999995</v>
      </c>
      <c r="E172" s="116">
        <v>82730.331999999995</v>
      </c>
      <c r="F172" s="116">
        <v>0</v>
      </c>
      <c r="G172" s="43" t="str">
        <f>_xlfn.XLOOKUP($A172,Map!$A:$A,Map!C:C)</f>
        <v>IS</v>
      </c>
      <c r="H172" s="43" t="str">
        <f>_xlfn.XLOOKUP($A172,Map!$A:$A,Map!D:D)</f>
        <v>Depreciation expenses</v>
      </c>
      <c r="I172" s="43" t="str">
        <f>_xlfn.XLOOKUP($A172,Map!$A:$A,Map!E:E)</f>
        <v>Depreciation expenses</v>
      </c>
      <c r="J172" s="43" t="str">
        <f>_xlfn.XLOOKUP($A172,Map!$A:$A,Map!F:F)</f>
        <v>Depreciation of property, plant and equipment</v>
      </c>
    </row>
    <row r="173" spans="1:10" x14ac:dyDescent="0.25">
      <c r="A173">
        <v>600031</v>
      </c>
      <c r="B173" t="s">
        <v>1008</v>
      </c>
      <c r="C173" s="116">
        <v>0</v>
      </c>
      <c r="D173" s="116">
        <v>17592.71</v>
      </c>
      <c r="E173" s="116">
        <v>17592.71</v>
      </c>
      <c r="F173" s="116">
        <v>0</v>
      </c>
      <c r="G173" s="43" t="str">
        <f>_xlfn.XLOOKUP($A173,Map!$A:$A,Map!C:C)</f>
        <v>IS</v>
      </c>
      <c r="H173" s="43" t="str">
        <f>_xlfn.XLOOKUP($A173,Map!$A:$A,Map!D:D)</f>
        <v>Depreciation expenses</v>
      </c>
      <c r="I173" s="43" t="str">
        <f>_xlfn.XLOOKUP($A173,Map!$A:$A,Map!E:E)</f>
        <v>Depreciation expenses</v>
      </c>
      <c r="J173" s="43" t="str">
        <f>_xlfn.XLOOKUP($A173,Map!$A:$A,Map!F:F)</f>
        <v>Depreciation of property, plant and equipment</v>
      </c>
    </row>
    <row r="174" spans="1:10" x14ac:dyDescent="0.25">
      <c r="A174">
        <v>600032</v>
      </c>
      <c r="B174" t="s">
        <v>1009</v>
      </c>
      <c r="C174" s="116">
        <v>0</v>
      </c>
      <c r="D174" s="116">
        <v>1566844.2</v>
      </c>
      <c r="E174" s="116">
        <v>1566844.2</v>
      </c>
      <c r="F174" s="116">
        <v>0</v>
      </c>
      <c r="G174" s="43" t="str">
        <f>_xlfn.XLOOKUP($A174,Map!$A:$A,Map!C:C)</f>
        <v>IS</v>
      </c>
      <c r="H174" s="43" t="str">
        <f>_xlfn.XLOOKUP($A174,Map!$A:$A,Map!D:D)</f>
        <v>Depreciation expenses</v>
      </c>
      <c r="I174" s="43" t="str">
        <f>_xlfn.XLOOKUP($A174,Map!$A:$A,Map!E:E)</f>
        <v>Depreciation expenses</v>
      </c>
      <c r="J174" s="43" t="str">
        <f>_xlfn.XLOOKUP($A174,Map!$A:$A,Map!F:F)</f>
        <v>Depreciation of property, plant and equipment</v>
      </c>
    </row>
    <row r="175" spans="1:10" x14ac:dyDescent="0.25">
      <c r="A175">
        <v>600033</v>
      </c>
      <c r="B175" t="s">
        <v>1010</v>
      </c>
      <c r="C175" s="116">
        <v>0</v>
      </c>
      <c r="D175" s="116">
        <v>149331.413</v>
      </c>
      <c r="E175" s="116">
        <v>149331.413</v>
      </c>
      <c r="F175" s="116">
        <v>0</v>
      </c>
      <c r="G175" s="43" t="str">
        <f>_xlfn.XLOOKUP($A175,Map!$A:$A,Map!C:C)</f>
        <v>IS</v>
      </c>
      <c r="H175" s="43" t="str">
        <f>_xlfn.XLOOKUP($A175,Map!$A:$A,Map!D:D)</f>
        <v>Depreciation expenses</v>
      </c>
      <c r="I175" s="43" t="str">
        <f>_xlfn.XLOOKUP($A175,Map!$A:$A,Map!E:E)</f>
        <v>Depreciation expenses</v>
      </c>
      <c r="J175" s="43" t="str">
        <f>_xlfn.XLOOKUP($A175,Map!$A:$A,Map!F:F)</f>
        <v>Depreciation of property, plant and equipment</v>
      </c>
    </row>
    <row r="176" spans="1:10" x14ac:dyDescent="0.25">
      <c r="A176">
        <v>600060</v>
      </c>
      <c r="B176" t="s">
        <v>1022</v>
      </c>
      <c r="C176" s="116">
        <v>0</v>
      </c>
      <c r="D176" s="116">
        <v>2360739.645</v>
      </c>
      <c r="E176" s="116">
        <v>2360739.645</v>
      </c>
      <c r="F176" s="116">
        <v>0</v>
      </c>
      <c r="G176" s="43" t="str">
        <f>_xlfn.XLOOKUP($A176,Map!$A:$A,Map!C:C)</f>
        <v>IS</v>
      </c>
      <c r="H176" s="43" t="str">
        <f>_xlfn.XLOOKUP($A176,Map!$A:$A,Map!D:D)</f>
        <v>Other Income</v>
      </c>
      <c r="I176" s="43" t="str">
        <f>_xlfn.XLOOKUP($A176,Map!$A:$A,Map!E:E)</f>
        <v>Other Income</v>
      </c>
      <c r="J176" s="43" t="str">
        <f>_xlfn.XLOOKUP($A176,Map!$A:$A,Map!F:F)</f>
        <v>Hadaf program</v>
      </c>
    </row>
    <row r="177" spans="1:11" x14ac:dyDescent="0.25">
      <c r="A177">
        <v>700001</v>
      </c>
      <c r="B177" t="s">
        <v>1023</v>
      </c>
      <c r="C177" s="116">
        <v>0</v>
      </c>
      <c r="D177" s="116">
        <v>5720900.7300000004</v>
      </c>
      <c r="E177" s="116">
        <v>17185.93</v>
      </c>
      <c r="F177" s="116">
        <v>5703714.7999999998</v>
      </c>
      <c r="G177" s="43" t="str">
        <f>_xlfn.XLOOKUP($A177,Map!$A:$A,Map!C:C)</f>
        <v>IS</v>
      </c>
      <c r="H177" s="43" t="str">
        <f>_xlfn.XLOOKUP($A177,Map!$A:$A,Map!D:D)</f>
        <v>General and Admin</v>
      </c>
      <c r="I177" s="43" t="str">
        <f>_xlfn.XLOOKUP($A177,Map!$A:$A,Map!E:E)</f>
        <v>Salaries and wages</v>
      </c>
      <c r="J177" s="43" t="str">
        <f>_xlfn.XLOOKUP($A177,Map!$A:$A,Map!F:F)</f>
        <v>Salaries and wages</v>
      </c>
      <c r="K177" t="str">
        <f>_xlfn.XLOOKUP(I177,'P&amp;L_2014-2025'!A:A,'P&amp;L_2014-2025'!A:A)</f>
        <v>Salaries and wages</v>
      </c>
    </row>
    <row r="178" spans="1:11" x14ac:dyDescent="0.25">
      <c r="A178">
        <v>700002</v>
      </c>
      <c r="B178" t="s">
        <v>1024</v>
      </c>
      <c r="C178" s="116">
        <v>0</v>
      </c>
      <c r="D178" s="116">
        <v>62087.839999999997</v>
      </c>
      <c r="E178" s="116">
        <v>0</v>
      </c>
      <c r="F178" s="116">
        <v>62087.839999999997</v>
      </c>
      <c r="G178" s="43" t="str">
        <f>_xlfn.XLOOKUP($A178,Map!$A:$A,Map!C:C)</f>
        <v>IS</v>
      </c>
      <c r="H178" s="43" t="str">
        <f>_xlfn.XLOOKUP($A178,Map!$A:$A,Map!D:D)</f>
        <v>General and Admin</v>
      </c>
      <c r="I178" s="43" t="str">
        <f>_xlfn.XLOOKUP($A178,Map!$A:$A,Map!E:E)</f>
        <v>Salaries and wages</v>
      </c>
      <c r="J178" s="43" t="str">
        <f>_xlfn.XLOOKUP($A178,Map!$A:$A,Map!F:F)</f>
        <v>Overtime pay</v>
      </c>
      <c r="K178" t="str">
        <f>_xlfn.XLOOKUP(I178,'P&amp;L_2014-2025'!A:A,'P&amp;L_2014-2025'!A:A)</f>
        <v>Salaries and wages</v>
      </c>
    </row>
    <row r="179" spans="1:11" x14ac:dyDescent="0.25">
      <c r="A179">
        <v>700003</v>
      </c>
      <c r="B179" t="s">
        <v>1152</v>
      </c>
      <c r="C179" s="116">
        <v>0</v>
      </c>
      <c r="D179" s="116">
        <v>9704</v>
      </c>
      <c r="E179" s="116">
        <v>0</v>
      </c>
      <c r="F179" s="116">
        <v>9704</v>
      </c>
      <c r="G179" s="43" t="str">
        <f>_xlfn.XLOOKUP($A179,Map!$A:$A,Map!C:C)</f>
        <v>IS</v>
      </c>
      <c r="H179" s="43" t="str">
        <f>_xlfn.XLOOKUP($A179,Map!$A:$A,Map!D:D)</f>
        <v>General and Admin</v>
      </c>
      <c r="I179" s="43" t="str">
        <f>_xlfn.XLOOKUP($A179,Map!$A:$A,Map!E:E)</f>
        <v>Salaries and wages</v>
      </c>
      <c r="J179" s="43" t="str">
        <f>_xlfn.XLOOKUP($A179,Map!$A:$A,Map!F:F)</f>
        <v xml:space="preserve">Food &amp; Housing </v>
      </c>
      <c r="K179" t="str">
        <f>_xlfn.XLOOKUP(I179,'P&amp;L_2014-2025'!A:A,'P&amp;L_2014-2025'!A:A)</f>
        <v>Salaries and wages</v>
      </c>
    </row>
    <row r="180" spans="1:11" x14ac:dyDescent="0.25">
      <c r="A180">
        <v>700004</v>
      </c>
      <c r="B180" t="s">
        <v>1026</v>
      </c>
      <c r="C180" s="116">
        <v>0</v>
      </c>
      <c r="D180" s="116">
        <v>280307.54399999999</v>
      </c>
      <c r="E180" s="116">
        <v>0</v>
      </c>
      <c r="F180" s="116">
        <v>280307.54399999999</v>
      </c>
      <c r="G180" s="43" t="str">
        <f>_xlfn.XLOOKUP($A180,Map!$A:$A,Map!C:C)</f>
        <v>IS</v>
      </c>
      <c r="H180" s="43" t="str">
        <f>_xlfn.XLOOKUP($A180,Map!$A:$A,Map!D:D)</f>
        <v>General and Admin</v>
      </c>
      <c r="I180" s="43" t="str">
        <f>_xlfn.XLOOKUP($A180,Map!$A:$A,Map!E:E)</f>
        <v>Salaries and wages</v>
      </c>
      <c r="J180" s="43" t="str">
        <f>_xlfn.XLOOKUP($A180,Map!$A:$A,Map!F:F)</f>
        <v>Medical insurance</v>
      </c>
      <c r="K180" t="str">
        <f>_xlfn.XLOOKUP(I180,'P&amp;L_2014-2025'!A:A,'P&amp;L_2014-2025'!A:A)</f>
        <v>Salaries and wages</v>
      </c>
    </row>
    <row r="181" spans="1:11" x14ac:dyDescent="0.25">
      <c r="A181">
        <v>700005</v>
      </c>
      <c r="B181" t="s">
        <v>1027</v>
      </c>
      <c r="C181" s="116">
        <v>0</v>
      </c>
      <c r="D181" s="116">
        <v>154303.54999999999</v>
      </c>
      <c r="E181" s="116">
        <v>0</v>
      </c>
      <c r="F181" s="116">
        <v>154303.54999999999</v>
      </c>
      <c r="G181" s="43" t="str">
        <f>_xlfn.XLOOKUP($A181,Map!$A:$A,Map!C:C)</f>
        <v>IS</v>
      </c>
      <c r="H181" s="43" t="str">
        <f>_xlfn.XLOOKUP($A181,Map!$A:$A,Map!D:D)</f>
        <v>General and Admin</v>
      </c>
      <c r="I181" s="43" t="str">
        <f>_xlfn.XLOOKUP($A181,Map!$A:$A,Map!E:E)</f>
        <v>Govt license and fees (including modon)</v>
      </c>
      <c r="J181" s="43" t="str">
        <f>_xlfn.XLOOKUP($A181,Map!$A:$A,Map!F:F)</f>
        <v>Government fees</v>
      </c>
      <c r="K181" t="str">
        <f>_xlfn.XLOOKUP(I181,'P&amp;L_2014-2025'!A:A,'P&amp;L_2014-2025'!A:A)</f>
        <v>Govt license and fees (including modon)</v>
      </c>
    </row>
    <row r="182" spans="1:11" x14ac:dyDescent="0.25">
      <c r="A182">
        <v>700006</v>
      </c>
      <c r="B182" t="s">
        <v>1028</v>
      </c>
      <c r="C182" s="116">
        <v>0</v>
      </c>
      <c r="D182" s="116">
        <v>1172467.5179999999</v>
      </c>
      <c r="E182" s="116">
        <v>137374</v>
      </c>
      <c r="F182" s="116">
        <v>1035093.518</v>
      </c>
      <c r="G182" s="43" t="str">
        <f>_xlfn.XLOOKUP($A182,Map!$A:$A,Map!C:C)</f>
        <v>IS</v>
      </c>
      <c r="H182" s="43" t="str">
        <f>_xlfn.XLOOKUP($A182,Map!$A:$A,Map!D:D)</f>
        <v>General and Admin</v>
      </c>
      <c r="I182" s="43" t="str">
        <f>_xlfn.XLOOKUP($A182,Map!$A:$A,Map!E:E)</f>
        <v>Salaries and wages</v>
      </c>
      <c r="J182" s="43" t="str">
        <f>_xlfn.XLOOKUP($A182,Map!$A:$A,Map!F:F)</f>
        <v xml:space="preserve">Food &amp; Housing </v>
      </c>
      <c r="K182" t="str">
        <f>_xlfn.XLOOKUP(I182,'P&amp;L_2014-2025'!A:A,'P&amp;L_2014-2025'!A:A)</f>
        <v>Salaries and wages</v>
      </c>
    </row>
    <row r="183" spans="1:11" x14ac:dyDescent="0.25">
      <c r="A183">
        <v>700007</v>
      </c>
      <c r="B183" t="s">
        <v>1029</v>
      </c>
      <c r="C183" s="116">
        <v>0</v>
      </c>
      <c r="D183" s="116">
        <v>610058.86</v>
      </c>
      <c r="E183" s="116">
        <v>0</v>
      </c>
      <c r="F183" s="116">
        <v>610058.86</v>
      </c>
      <c r="G183" s="43" t="str">
        <f>_xlfn.XLOOKUP($A183,Map!$A:$A,Map!C:C)</f>
        <v>IS</v>
      </c>
      <c r="H183" s="43" t="str">
        <f>_xlfn.XLOOKUP($A183,Map!$A:$A,Map!D:D)</f>
        <v>General and Admin</v>
      </c>
      <c r="I183" s="43" t="str">
        <f>_xlfn.XLOOKUP($A183,Map!$A:$A,Map!E:E)</f>
        <v>Salaries and wages</v>
      </c>
      <c r="J183" s="43" t="str">
        <f>_xlfn.XLOOKUP($A183,Map!$A:$A,Map!F:F)</f>
        <v>Transportation allowance</v>
      </c>
      <c r="K183" t="str">
        <f>_xlfn.XLOOKUP(I183,'P&amp;L_2014-2025'!A:A,'P&amp;L_2014-2025'!A:A)</f>
        <v>Salaries and wages</v>
      </c>
    </row>
    <row r="184" spans="1:11" x14ac:dyDescent="0.25">
      <c r="A184">
        <v>700008</v>
      </c>
      <c r="B184" t="s">
        <v>1030</v>
      </c>
      <c r="C184" s="116">
        <v>0</v>
      </c>
      <c r="D184" s="116">
        <v>61774.529000000002</v>
      </c>
      <c r="E184" s="116">
        <v>0</v>
      </c>
      <c r="F184" s="116">
        <v>61774.529000000002</v>
      </c>
      <c r="G184" s="43" t="str">
        <f>_xlfn.XLOOKUP($A184,Map!$A:$A,Map!C:C)</f>
        <v>IS</v>
      </c>
      <c r="H184" s="43" t="str">
        <f>_xlfn.XLOOKUP($A184,Map!$A:$A,Map!D:D)</f>
        <v>General and Admin</v>
      </c>
      <c r="I184" s="43" t="str">
        <f>_xlfn.XLOOKUP($A184,Map!$A:$A,Map!E:E)</f>
        <v>Salaries and wages</v>
      </c>
      <c r="J184" s="43" t="str">
        <f>_xlfn.XLOOKUP($A184,Map!$A:$A,Map!F:F)</f>
        <v>Air tickets</v>
      </c>
      <c r="K184" t="str">
        <f>_xlfn.XLOOKUP(I184,'P&amp;L_2014-2025'!A:A,'P&amp;L_2014-2025'!A:A)</f>
        <v>Salaries and wages</v>
      </c>
    </row>
    <row r="185" spans="1:11" x14ac:dyDescent="0.25">
      <c r="A185">
        <v>700009</v>
      </c>
      <c r="B185" t="s">
        <v>1031</v>
      </c>
      <c r="C185" s="116">
        <v>0</v>
      </c>
      <c r="D185" s="116">
        <v>555498.04</v>
      </c>
      <c r="E185" s="116">
        <v>534917</v>
      </c>
      <c r="F185" s="116">
        <v>20581.04</v>
      </c>
      <c r="G185" s="43" t="str">
        <f>_xlfn.XLOOKUP($A185,Map!$A:$A,Map!C:C)</f>
        <v>IS</v>
      </c>
      <c r="H185" s="43" t="str">
        <f>_xlfn.XLOOKUP($A185,Map!$A:$A,Map!D:D)</f>
        <v>General and Admin</v>
      </c>
      <c r="I185" s="43" t="str">
        <f>_xlfn.XLOOKUP($A185,Map!$A:$A,Map!E:E)</f>
        <v>Salaries and wages</v>
      </c>
      <c r="J185" s="43" t="str">
        <f>_xlfn.XLOOKUP($A185,Map!$A:$A,Map!F:F)</f>
        <v>Leave pay</v>
      </c>
      <c r="K185" t="str">
        <f>_xlfn.XLOOKUP(I185,'P&amp;L_2014-2025'!A:A,'P&amp;L_2014-2025'!A:A)</f>
        <v>Salaries and wages</v>
      </c>
    </row>
    <row r="186" spans="1:11" x14ac:dyDescent="0.25">
      <c r="A186">
        <v>700010</v>
      </c>
      <c r="B186" t="s">
        <v>1032</v>
      </c>
      <c r="C186" s="116">
        <v>0</v>
      </c>
      <c r="D186" s="116">
        <v>1702695.67</v>
      </c>
      <c r="E186" s="116">
        <v>965140.67</v>
      </c>
      <c r="F186" s="116">
        <v>737555</v>
      </c>
      <c r="G186" s="43" t="str">
        <f>_xlfn.XLOOKUP($A186,Map!$A:$A,Map!C:C)</f>
        <v>IS</v>
      </c>
      <c r="H186" s="43" t="str">
        <f>_xlfn.XLOOKUP($A186,Map!$A:$A,Map!D:D)</f>
        <v>General and Admin</v>
      </c>
      <c r="I186" s="43" t="str">
        <f>_xlfn.XLOOKUP($A186,Map!$A:$A,Map!E:E)</f>
        <v>Salaries and wages</v>
      </c>
      <c r="J186" s="43" t="str">
        <f>_xlfn.XLOOKUP($A186,Map!$A:$A,Map!F:F)</f>
        <v>Indemnities</v>
      </c>
      <c r="K186" t="str">
        <f>_xlfn.XLOOKUP(I186,'P&amp;L_2014-2025'!A:A,'P&amp;L_2014-2025'!A:A)</f>
        <v>Salaries and wages</v>
      </c>
    </row>
    <row r="187" spans="1:11" x14ac:dyDescent="0.25">
      <c r="A187">
        <v>700011</v>
      </c>
      <c r="B187" t="s">
        <v>1033</v>
      </c>
      <c r="C187" s="116">
        <v>0</v>
      </c>
      <c r="D187" s="116">
        <v>66000.138000000006</v>
      </c>
      <c r="E187" s="116">
        <v>2235</v>
      </c>
      <c r="F187" s="116">
        <v>63765.137999999999</v>
      </c>
      <c r="G187" s="43" t="str">
        <f>_xlfn.XLOOKUP($A187,Map!$A:$A,Map!C:C)</f>
        <v>IS</v>
      </c>
      <c r="H187" s="43" t="str">
        <f>_xlfn.XLOOKUP($A187,Map!$A:$A,Map!D:D)</f>
        <v>General and Admin</v>
      </c>
      <c r="I187" s="43" t="str">
        <f>_xlfn.XLOOKUP($A187,Map!$A:$A,Map!E:E)</f>
        <v>Salaries and wages</v>
      </c>
      <c r="J187" s="43" t="str">
        <f>_xlfn.XLOOKUP($A187,Map!$A:$A,Map!F:F)</f>
        <v>Air tickets</v>
      </c>
      <c r="K187" t="str">
        <f>_xlfn.XLOOKUP(I187,'P&amp;L_2014-2025'!A:A,'P&amp;L_2014-2025'!A:A)</f>
        <v>Salaries and wages</v>
      </c>
    </row>
    <row r="188" spans="1:11" x14ac:dyDescent="0.25">
      <c r="A188">
        <v>700012</v>
      </c>
      <c r="B188" t="s">
        <v>1034</v>
      </c>
      <c r="C188" s="116">
        <v>0</v>
      </c>
      <c r="D188" s="116">
        <v>318136.44</v>
      </c>
      <c r="E188" s="116">
        <v>0</v>
      </c>
      <c r="F188" s="116">
        <v>318136.44</v>
      </c>
      <c r="G188" s="43" t="str">
        <f>_xlfn.XLOOKUP($A188,Map!$A:$A,Map!C:C)</f>
        <v>IS</v>
      </c>
      <c r="H188" s="43" t="str">
        <f>_xlfn.XLOOKUP($A188,Map!$A:$A,Map!D:D)</f>
        <v>General and Admin</v>
      </c>
      <c r="I188" s="43" t="str">
        <f>_xlfn.XLOOKUP($A188,Map!$A:$A,Map!E:E)</f>
        <v>Salaries and wages</v>
      </c>
      <c r="J188" s="43" t="str">
        <f>_xlfn.XLOOKUP($A188,Map!$A:$A,Map!F:F)</f>
        <v xml:space="preserve">Education &amp; Furniture Allowances </v>
      </c>
      <c r="K188" t="str">
        <f>_xlfn.XLOOKUP(I188,'P&amp;L_2014-2025'!A:A,'P&amp;L_2014-2025'!A:A)</f>
        <v>Salaries and wages</v>
      </c>
    </row>
    <row r="189" spans="1:11" x14ac:dyDescent="0.25">
      <c r="A189">
        <v>700013</v>
      </c>
      <c r="B189" t="s">
        <v>1035</v>
      </c>
      <c r="C189" s="116">
        <v>0</v>
      </c>
      <c r="D189" s="116">
        <v>43216.67</v>
      </c>
      <c r="E189" s="116">
        <v>0</v>
      </c>
      <c r="F189" s="116">
        <v>43216.67</v>
      </c>
      <c r="G189" s="43" t="str">
        <f>_xlfn.XLOOKUP($A189,Map!$A:$A,Map!C:C)</f>
        <v>IS</v>
      </c>
      <c r="H189" s="43" t="str">
        <f>_xlfn.XLOOKUP($A189,Map!$A:$A,Map!D:D)</f>
        <v>General and Admin</v>
      </c>
      <c r="I189" s="43" t="str">
        <f>_xlfn.XLOOKUP($A189,Map!$A:$A,Map!E:E)</f>
        <v>Utilities</v>
      </c>
      <c r="J189" s="43" t="str">
        <f>_xlfn.XLOOKUP($A189,Map!$A:$A,Map!F:F)</f>
        <v>Other general and administrative expenses</v>
      </c>
      <c r="K189" t="str">
        <f>_xlfn.XLOOKUP(I189,'P&amp;L_2014-2025'!A:A,'P&amp;L_2014-2025'!A:A)</f>
        <v>Utilities</v>
      </c>
    </row>
    <row r="190" spans="1:11" x14ac:dyDescent="0.25">
      <c r="A190">
        <v>700014</v>
      </c>
      <c r="B190" t="s">
        <v>1036</v>
      </c>
      <c r="C190" s="116">
        <v>0</v>
      </c>
      <c r="D190" s="116">
        <v>129680.003</v>
      </c>
      <c r="E190" s="116">
        <v>0</v>
      </c>
      <c r="F190" s="116">
        <v>129680.003</v>
      </c>
      <c r="G190" s="43" t="str">
        <f>_xlfn.XLOOKUP($A190,Map!$A:$A,Map!C:C)</f>
        <v>IS</v>
      </c>
      <c r="H190" s="43" t="str">
        <f>_xlfn.XLOOKUP($A190,Map!$A:$A,Map!D:D)</f>
        <v>General and Admin</v>
      </c>
      <c r="I190" s="43" t="str">
        <f>_xlfn.XLOOKUP($A190,Map!$A:$A,Map!E:E)</f>
        <v>Salaries and wages</v>
      </c>
      <c r="J190" s="43" t="str">
        <f>_xlfn.XLOOKUP($A190,Map!$A:$A,Map!F:F)</f>
        <v xml:space="preserve">Education &amp; Furniture Allowances </v>
      </c>
      <c r="K190" t="str">
        <f>_xlfn.XLOOKUP(I190,'P&amp;L_2014-2025'!A:A,'P&amp;L_2014-2025'!A:A)</f>
        <v>Salaries and wages</v>
      </c>
    </row>
    <row r="191" spans="1:11" x14ac:dyDescent="0.25">
      <c r="A191">
        <v>700015</v>
      </c>
      <c r="B191" t="s">
        <v>1037</v>
      </c>
      <c r="C191" s="116">
        <v>0</v>
      </c>
      <c r="D191" s="116">
        <v>20387.061000000002</v>
      </c>
      <c r="E191" s="116">
        <v>0</v>
      </c>
      <c r="F191" s="116">
        <v>20387.061000000002</v>
      </c>
      <c r="G191" s="43" t="str">
        <f>_xlfn.XLOOKUP($A191,Map!$A:$A,Map!C:C)</f>
        <v>IS</v>
      </c>
      <c r="H191" s="43" t="str">
        <f>_xlfn.XLOOKUP($A191,Map!$A:$A,Map!D:D)</f>
        <v>General and Admin</v>
      </c>
      <c r="I191" s="43" t="str">
        <f>_xlfn.XLOOKUP($A191,Map!$A:$A,Map!E:E)</f>
        <v>Business travel</v>
      </c>
      <c r="J191" s="43" t="str">
        <f>_xlfn.XLOOKUP($A191,Map!$A:$A,Map!F:F)</f>
        <v>Transportation expenses</v>
      </c>
      <c r="K191" t="str">
        <f>_xlfn.XLOOKUP(I191,'P&amp;L_2014-2025'!A:A,'P&amp;L_2014-2025'!A:A)</f>
        <v>Business travel</v>
      </c>
    </row>
    <row r="192" spans="1:11" x14ac:dyDescent="0.25">
      <c r="A192">
        <v>700016</v>
      </c>
      <c r="B192" t="s">
        <v>1038</v>
      </c>
      <c r="C192" s="116">
        <v>0</v>
      </c>
      <c r="D192" s="116">
        <v>36224.739000000001</v>
      </c>
      <c r="E192" s="116">
        <v>0</v>
      </c>
      <c r="F192" s="116">
        <v>36224.739000000001</v>
      </c>
      <c r="G192" s="43" t="str">
        <f>_xlfn.XLOOKUP($A192,Map!$A:$A,Map!C:C)</f>
        <v>IS</v>
      </c>
      <c r="H192" s="43" t="str">
        <f>_xlfn.XLOOKUP($A192,Map!$A:$A,Map!D:D)</f>
        <v>Selling and Marketing</v>
      </c>
      <c r="I192" s="43" t="str">
        <f>_xlfn.XLOOKUP($A192,Map!$A:$A,Map!E:E)</f>
        <v>Buffet expenses</v>
      </c>
      <c r="J192" s="43" t="str">
        <f>_xlfn.XLOOKUP($A192,Map!$A:$A,Map!F:F)</f>
        <v>Food expenses</v>
      </c>
    </row>
    <row r="193" spans="1:11" x14ac:dyDescent="0.25">
      <c r="A193">
        <v>700017</v>
      </c>
      <c r="B193" t="s">
        <v>1039</v>
      </c>
      <c r="C193" s="116">
        <v>0</v>
      </c>
      <c r="D193" s="116">
        <v>0</v>
      </c>
      <c r="E193" s="116">
        <v>0</v>
      </c>
      <c r="F193" s="116">
        <v>0</v>
      </c>
      <c r="G193" s="43" t="str">
        <f>_xlfn.XLOOKUP($A193,Map!$A:$A,Map!C:C)</f>
        <v>IS</v>
      </c>
      <c r="H193" s="43" t="str">
        <f>_xlfn.XLOOKUP($A193,Map!$A:$A,Map!D:D)</f>
        <v>General and Admin</v>
      </c>
      <c r="I193" s="43" t="str">
        <f>_xlfn.XLOOKUP($A193,Map!$A:$A,Map!E:E)</f>
        <v>Salaries and wages</v>
      </c>
      <c r="J193" s="43" t="str">
        <f>_xlfn.XLOOKUP($A193,Map!$A:$A,Map!F:F)</f>
        <v>Accommodation expenses</v>
      </c>
      <c r="K193" t="str">
        <f>_xlfn.XLOOKUP(I193,'P&amp;L_2014-2025'!A:A,'P&amp;L_2014-2025'!A:A)</f>
        <v>Salaries and wages</v>
      </c>
    </row>
    <row r="194" spans="1:11" x14ac:dyDescent="0.25">
      <c r="A194">
        <v>700018</v>
      </c>
      <c r="B194" t="s">
        <v>1040</v>
      </c>
      <c r="C194" s="116">
        <v>0</v>
      </c>
      <c r="D194" s="116">
        <v>0</v>
      </c>
      <c r="E194" s="116">
        <v>0</v>
      </c>
      <c r="F194" s="116">
        <v>0</v>
      </c>
      <c r="G194" s="43" t="str">
        <f>_xlfn.XLOOKUP($A194,Map!$A:$A,Map!C:C)</f>
        <v>IS</v>
      </c>
      <c r="H194" s="43" t="str">
        <f>_xlfn.XLOOKUP($A194,Map!$A:$A,Map!D:D)</f>
        <v>General and Admin</v>
      </c>
      <c r="I194" s="43" t="str">
        <f>_xlfn.XLOOKUP($A194,Map!$A:$A,Map!E:E)</f>
        <v>Salaries and wages</v>
      </c>
      <c r="J194" s="43" t="str">
        <f>_xlfn.XLOOKUP($A194,Map!$A:$A,Map!F:F)</f>
        <v xml:space="preserve">Employee Medical Emergency Expenses </v>
      </c>
      <c r="K194" t="str">
        <f>_xlfn.XLOOKUP(I194,'P&amp;L_2014-2025'!A:A,'P&amp;L_2014-2025'!A:A)</f>
        <v>Salaries and wages</v>
      </c>
    </row>
    <row r="195" spans="1:11" x14ac:dyDescent="0.25">
      <c r="A195">
        <v>700019</v>
      </c>
      <c r="B195" t="s">
        <v>1041</v>
      </c>
      <c r="C195" s="116">
        <v>0</v>
      </c>
      <c r="D195" s="116">
        <v>1027400</v>
      </c>
      <c r="E195" s="116">
        <v>1027400</v>
      </c>
      <c r="F195" s="116">
        <v>0</v>
      </c>
      <c r="G195" s="43" t="str">
        <f>_xlfn.XLOOKUP($A195,Map!$A:$A,Map!C:C)</f>
        <v>IS</v>
      </c>
      <c r="H195" s="43" t="str">
        <f>_xlfn.XLOOKUP($A195,Map!$A:$A,Map!D:D)</f>
        <v>General and Admin</v>
      </c>
      <c r="I195" s="43" t="str">
        <f>_xlfn.XLOOKUP($A195,Map!$A:$A,Map!E:E)</f>
        <v>Salaries and wages</v>
      </c>
      <c r="J195" s="43" t="str">
        <f>_xlfn.XLOOKUP($A195,Map!$A:$A,Map!F:F)</f>
        <v xml:space="preserve">Incentives </v>
      </c>
      <c r="K195" t="str">
        <f>_xlfn.XLOOKUP(I195,'P&amp;L_2014-2025'!A:A,'P&amp;L_2014-2025'!A:A)</f>
        <v>Salaries and wages</v>
      </c>
    </row>
    <row r="196" spans="1:11" x14ac:dyDescent="0.25">
      <c r="A196">
        <v>700020</v>
      </c>
      <c r="B196" t="s">
        <v>1042</v>
      </c>
      <c r="C196" s="116">
        <v>0</v>
      </c>
      <c r="D196" s="116">
        <v>15953.803</v>
      </c>
      <c r="E196" s="116">
        <v>1413.52</v>
      </c>
      <c r="F196" s="116">
        <v>14540.282999999999</v>
      </c>
      <c r="G196" s="43" t="str">
        <f>_xlfn.XLOOKUP($A196,Map!$A:$A,Map!C:C)</f>
        <v>IS</v>
      </c>
      <c r="H196" s="43" t="str">
        <f>_xlfn.XLOOKUP($A196,Map!$A:$A,Map!D:D)</f>
        <v>General and Admin</v>
      </c>
      <c r="I196" s="43" t="str">
        <f>_xlfn.XLOOKUP($A196,Map!$A:$A,Map!E:E)</f>
        <v>Utilities</v>
      </c>
      <c r="J196" s="43" t="str">
        <f>_xlfn.XLOOKUP($A196,Map!$A:$A,Map!F:F)</f>
        <v>Electricity expenses</v>
      </c>
      <c r="K196" t="str">
        <f>_xlfn.XLOOKUP(I196,'P&amp;L_2014-2025'!A:A,'P&amp;L_2014-2025'!A:A)</f>
        <v>Utilities</v>
      </c>
    </row>
    <row r="197" spans="1:11" x14ac:dyDescent="0.25">
      <c r="A197">
        <v>700021</v>
      </c>
      <c r="B197" t="s">
        <v>1043</v>
      </c>
      <c r="C197" s="116">
        <v>0</v>
      </c>
      <c r="D197" s="116">
        <v>28399</v>
      </c>
      <c r="E197" s="116">
        <v>0</v>
      </c>
      <c r="F197" s="116">
        <v>28399</v>
      </c>
      <c r="G197" s="43" t="str">
        <f>_xlfn.XLOOKUP($A197,Map!$A:$A,Map!C:C)</f>
        <v>IS</v>
      </c>
      <c r="H197" s="43" t="str">
        <f>_xlfn.XLOOKUP($A197,Map!$A:$A,Map!D:D)</f>
        <v>General and Admin</v>
      </c>
      <c r="I197" s="43" t="str">
        <f>_xlfn.XLOOKUP($A197,Map!$A:$A,Map!E:E)</f>
        <v>Utilities</v>
      </c>
      <c r="J197" s="43" t="str">
        <f>_xlfn.XLOOKUP($A197,Map!$A:$A,Map!F:F)</f>
        <v>Other general and administrative expenses</v>
      </c>
      <c r="K197" t="str">
        <f>_xlfn.XLOOKUP(I197,'P&amp;L_2014-2025'!A:A,'P&amp;L_2014-2025'!A:A)</f>
        <v>Utilities</v>
      </c>
    </row>
    <row r="198" spans="1:11" x14ac:dyDescent="0.25">
      <c r="A198">
        <v>700022</v>
      </c>
      <c r="B198" t="s">
        <v>1044</v>
      </c>
      <c r="C198" s="116">
        <v>0</v>
      </c>
      <c r="D198" s="116">
        <v>99293.07</v>
      </c>
      <c r="E198" s="116">
        <v>0</v>
      </c>
      <c r="F198" s="116">
        <v>99293.07</v>
      </c>
      <c r="G198" s="43" t="str">
        <f>_xlfn.XLOOKUP($A198,Map!$A:$A,Map!C:C)</f>
        <v>IS</v>
      </c>
      <c r="H198" s="43" t="str">
        <f>_xlfn.XLOOKUP($A198,Map!$A:$A,Map!D:D)</f>
        <v>General and Admin</v>
      </c>
      <c r="I198" s="43" t="str">
        <f>_xlfn.XLOOKUP($A198,Map!$A:$A,Map!E:E)</f>
        <v>Utilities</v>
      </c>
      <c r="J198" s="43" t="str">
        <f>_xlfn.XLOOKUP($A198,Map!$A:$A,Map!F:F)</f>
        <v>Other general and administrative expenses</v>
      </c>
      <c r="K198" t="str">
        <f>_xlfn.XLOOKUP(I198,'P&amp;L_2014-2025'!A:A,'P&amp;L_2014-2025'!A:A)</f>
        <v>Utilities</v>
      </c>
    </row>
    <row r="199" spans="1:11" x14ac:dyDescent="0.25">
      <c r="A199">
        <v>700023</v>
      </c>
      <c r="B199" t="s">
        <v>1045</v>
      </c>
      <c r="C199" s="116">
        <v>0</v>
      </c>
      <c r="D199" s="116">
        <v>25235.39</v>
      </c>
      <c r="E199" s="116">
        <v>0</v>
      </c>
      <c r="F199" s="116">
        <v>25235.39</v>
      </c>
      <c r="G199" s="43" t="str">
        <f>_xlfn.XLOOKUP($A199,Map!$A:$A,Map!C:C)</f>
        <v>IS</v>
      </c>
      <c r="H199" s="43" t="str">
        <f>_xlfn.XLOOKUP($A199,Map!$A:$A,Map!D:D)</f>
        <v>General and Admin</v>
      </c>
      <c r="I199" s="43" t="str">
        <f>_xlfn.XLOOKUP($A199,Map!$A:$A,Map!E:E)</f>
        <v>Utilities</v>
      </c>
      <c r="J199" s="43" t="str">
        <f>_xlfn.XLOOKUP($A199,Map!$A:$A,Map!F:F)</f>
        <v xml:space="preserve">Postage &amp; Printing </v>
      </c>
      <c r="K199" t="str">
        <f>_xlfn.XLOOKUP(I199,'P&amp;L_2014-2025'!A:A,'P&amp;L_2014-2025'!A:A)</f>
        <v>Utilities</v>
      </c>
    </row>
    <row r="200" spans="1:11" x14ac:dyDescent="0.25">
      <c r="A200">
        <v>700024</v>
      </c>
      <c r="B200" t="s">
        <v>1046</v>
      </c>
      <c r="C200" s="116">
        <v>0</v>
      </c>
      <c r="D200" s="116">
        <v>722240.95</v>
      </c>
      <c r="E200" s="116">
        <v>22619.808000000001</v>
      </c>
      <c r="F200" s="116">
        <v>699621.14199999999</v>
      </c>
      <c r="G200" s="43" t="str">
        <f>_xlfn.XLOOKUP($A200,Map!$A:$A,Map!C:C)</f>
        <v>IS</v>
      </c>
      <c r="H200" s="43" t="str">
        <f>_xlfn.XLOOKUP($A200,Map!$A:$A,Map!D:D)</f>
        <v>General and Admin</v>
      </c>
      <c r="I200" s="43" t="str">
        <f>_xlfn.XLOOKUP($A200,Map!$A:$A,Map!E:E)</f>
        <v>IT expenses</v>
      </c>
      <c r="J200" s="43" t="str">
        <f>_xlfn.XLOOKUP($A200,Map!$A:$A,Map!F:F)</f>
        <v>Other general and administrative expenses</v>
      </c>
      <c r="K200" t="str">
        <f>_xlfn.XLOOKUP(I200,'P&amp;L_2014-2025'!A:A,'P&amp;L_2014-2025'!A:A)</f>
        <v>IT expenses</v>
      </c>
    </row>
    <row r="201" spans="1:11" x14ac:dyDescent="0.25">
      <c r="A201">
        <v>700025</v>
      </c>
      <c r="B201" t="s">
        <v>1047</v>
      </c>
      <c r="C201" s="116">
        <v>0</v>
      </c>
      <c r="D201" s="116">
        <v>247225</v>
      </c>
      <c r="E201" s="116">
        <v>12000</v>
      </c>
      <c r="F201" s="116">
        <v>235225</v>
      </c>
      <c r="G201" s="43" t="str">
        <f>_xlfn.XLOOKUP($A201,Map!$A:$A,Map!C:C)</f>
        <v>IS</v>
      </c>
      <c r="H201" s="43" t="str">
        <f>_xlfn.XLOOKUP($A201,Map!$A:$A,Map!D:D)</f>
        <v>General and Admin</v>
      </c>
      <c r="I201" s="43" t="str">
        <f>_xlfn.XLOOKUP($A201,Map!$A:$A,Map!E:E)</f>
        <v>Salaries and wages</v>
      </c>
      <c r="J201" s="43" t="str">
        <f>_xlfn.XLOOKUP($A201,Map!$A:$A,Map!F:F)</f>
        <v>Salaries and wages</v>
      </c>
      <c r="K201" t="str">
        <f>_xlfn.XLOOKUP(I201,'P&amp;L_2014-2025'!A:A,'P&amp;L_2014-2025'!A:A)</f>
        <v>Salaries and wages</v>
      </c>
    </row>
    <row r="202" spans="1:11" x14ac:dyDescent="0.25">
      <c r="A202">
        <v>700026</v>
      </c>
      <c r="B202" t="s">
        <v>1048</v>
      </c>
      <c r="C202" s="116">
        <v>0</v>
      </c>
      <c r="D202" s="116">
        <v>0</v>
      </c>
      <c r="E202" s="116">
        <v>0</v>
      </c>
      <c r="F202" s="116">
        <v>0</v>
      </c>
      <c r="G202" s="43" t="str">
        <f>_xlfn.XLOOKUP($A202,Map!$A:$A,Map!C:C)</f>
        <v>IS</v>
      </c>
      <c r="H202" s="43" t="str">
        <f>_xlfn.XLOOKUP($A202,Map!$A:$A,Map!D:D)</f>
        <v>General and Admin</v>
      </c>
      <c r="I202" s="43" t="str">
        <f>_xlfn.XLOOKUP($A202,Map!$A:$A,Map!E:E)</f>
        <v>Utilities</v>
      </c>
      <c r="J202" s="43" t="str">
        <f>_xlfn.XLOOKUP($A202,Map!$A:$A,Map!F:F)</f>
        <v>Magazines &amp; News Papers Exp.</v>
      </c>
      <c r="K202" t="str">
        <f>_xlfn.XLOOKUP(I202,'P&amp;L_2014-2025'!A:A,'P&amp;L_2014-2025'!A:A)</f>
        <v>Utilities</v>
      </c>
    </row>
    <row r="203" spans="1:11" x14ac:dyDescent="0.25">
      <c r="A203">
        <v>700027</v>
      </c>
      <c r="B203" t="s">
        <v>1049</v>
      </c>
      <c r="C203" s="116">
        <v>0</v>
      </c>
      <c r="D203" s="116">
        <v>101818</v>
      </c>
      <c r="E203" s="116">
        <v>27054</v>
      </c>
      <c r="F203" s="116">
        <v>74764</v>
      </c>
      <c r="G203" s="43" t="str">
        <f>_xlfn.XLOOKUP($A203,Map!$A:$A,Map!C:C)</f>
        <v>IS</v>
      </c>
      <c r="H203" s="43" t="str">
        <f>_xlfn.XLOOKUP($A203,Map!$A:$A,Map!D:D)</f>
        <v>General and Admin</v>
      </c>
      <c r="I203" s="43" t="str">
        <f>_xlfn.XLOOKUP($A203,Map!$A:$A,Map!E:E)</f>
        <v>Training</v>
      </c>
      <c r="J203" s="43" t="str">
        <f>_xlfn.XLOOKUP($A203,Map!$A:$A,Map!F:F)</f>
        <v>Training</v>
      </c>
      <c r="K203" t="str">
        <f>_xlfn.XLOOKUP(I203,'P&amp;L_2014-2025'!A:A,'P&amp;L_2014-2025'!A:A)</f>
        <v>Training</v>
      </c>
    </row>
    <row r="204" spans="1:11" x14ac:dyDescent="0.25">
      <c r="A204">
        <v>700028</v>
      </c>
      <c r="B204" t="s">
        <v>1050</v>
      </c>
      <c r="C204" s="116">
        <v>0</v>
      </c>
      <c r="D204" s="116">
        <v>573</v>
      </c>
      <c r="E204" s="116">
        <v>0</v>
      </c>
      <c r="F204" s="116">
        <v>573</v>
      </c>
      <c r="G204" s="43" t="str">
        <f>_xlfn.XLOOKUP($A204,Map!$A:$A,Map!C:C)</f>
        <v>IS</v>
      </c>
      <c r="H204" s="43" t="str">
        <f>_xlfn.XLOOKUP($A204,Map!$A:$A,Map!D:D)</f>
        <v>General and Admin</v>
      </c>
      <c r="I204" s="43" t="str">
        <f>_xlfn.XLOOKUP($A204,Map!$A:$A,Map!E:E)</f>
        <v xml:space="preserve">Back office Support </v>
      </c>
      <c r="J204" s="43" t="str">
        <f>_xlfn.XLOOKUP($A204,Map!$A:$A,Map!F:F)</f>
        <v>Stationery expenses</v>
      </c>
      <c r="K204" t="str">
        <f>_xlfn.XLOOKUP(I204,'P&amp;L_2014-2025'!A:A,'P&amp;L_2014-2025'!A:A)</f>
        <v xml:space="preserve">Back office Support </v>
      </c>
    </row>
    <row r="205" spans="1:11" x14ac:dyDescent="0.25">
      <c r="A205">
        <v>700029</v>
      </c>
      <c r="B205" t="s">
        <v>1051</v>
      </c>
      <c r="C205" s="116">
        <v>0</v>
      </c>
      <c r="D205" s="116">
        <v>6122.5</v>
      </c>
      <c r="E205" s="116">
        <v>0</v>
      </c>
      <c r="F205" s="116">
        <v>6122.5</v>
      </c>
      <c r="G205" s="43" t="str">
        <f>_xlfn.XLOOKUP($A205,Map!$A:$A,Map!C:C)</f>
        <v>IS</v>
      </c>
      <c r="H205" s="43" t="str">
        <f>_xlfn.XLOOKUP($A205,Map!$A:$A,Map!D:D)</f>
        <v>General and Admin</v>
      </c>
      <c r="I205" s="43" t="str">
        <f>_xlfn.XLOOKUP($A205,Map!$A:$A,Map!E:E)</f>
        <v>Utilities</v>
      </c>
      <c r="J205" s="43" t="str">
        <f>_xlfn.XLOOKUP($A205,Map!$A:$A,Map!F:F)</f>
        <v xml:space="preserve">Postage &amp; Printing </v>
      </c>
      <c r="K205" t="str">
        <f>_xlfn.XLOOKUP(I205,'P&amp;L_2014-2025'!A:A,'P&amp;L_2014-2025'!A:A)</f>
        <v>Utilities</v>
      </c>
    </row>
    <row r="206" spans="1:11" x14ac:dyDescent="0.25">
      <c r="A206">
        <v>700030</v>
      </c>
      <c r="B206" t="s">
        <v>1052</v>
      </c>
      <c r="C206" s="116">
        <v>0</v>
      </c>
      <c r="D206" s="116">
        <v>6043</v>
      </c>
      <c r="E206" s="116">
        <v>0</v>
      </c>
      <c r="F206" s="116">
        <v>6043</v>
      </c>
      <c r="G206" s="43" t="str">
        <f>_xlfn.XLOOKUP($A206,Map!$A:$A,Map!C:C)</f>
        <v>IS</v>
      </c>
      <c r="H206" s="43" t="str">
        <f>_xlfn.XLOOKUP($A206,Map!$A:$A,Map!D:D)</f>
        <v>General and Admin</v>
      </c>
      <c r="I206" s="43" t="str">
        <f>_xlfn.XLOOKUP($A206,Map!$A:$A,Map!E:E)</f>
        <v>Utilities</v>
      </c>
      <c r="J206" s="43" t="str">
        <f>_xlfn.XLOOKUP($A206,Map!$A:$A,Map!F:F)</f>
        <v>Building maintenance</v>
      </c>
      <c r="K206" t="str">
        <f>_xlfn.XLOOKUP(I206,'P&amp;L_2014-2025'!A:A,'P&amp;L_2014-2025'!A:A)</f>
        <v>Utilities</v>
      </c>
    </row>
    <row r="207" spans="1:11" x14ac:dyDescent="0.25">
      <c r="A207">
        <v>700031</v>
      </c>
      <c r="B207" t="s">
        <v>1053</v>
      </c>
      <c r="C207" s="116">
        <v>0</v>
      </c>
      <c r="D207" s="116">
        <v>400</v>
      </c>
      <c r="E207" s="116">
        <v>0</v>
      </c>
      <c r="F207" s="116">
        <v>400</v>
      </c>
      <c r="G207" s="43" t="str">
        <f>_xlfn.XLOOKUP($A207,Map!$A:$A,Map!C:C)</f>
        <v>IS</v>
      </c>
      <c r="H207" s="43" t="str">
        <f>_xlfn.XLOOKUP($A207,Map!$A:$A,Map!D:D)</f>
        <v>General and Admin</v>
      </c>
      <c r="I207" s="43" t="str">
        <f>_xlfn.XLOOKUP($A207,Map!$A:$A,Map!E:E)</f>
        <v>Utilities</v>
      </c>
      <c r="J207" s="43" t="str">
        <f>_xlfn.XLOOKUP($A207,Map!$A:$A,Map!F:F)</f>
        <v>Office equipment maintenance</v>
      </c>
      <c r="K207" t="str">
        <f>_xlfn.XLOOKUP(I207,'P&amp;L_2014-2025'!A:A,'P&amp;L_2014-2025'!A:A)</f>
        <v>Utilities</v>
      </c>
    </row>
    <row r="208" spans="1:11" x14ac:dyDescent="0.25">
      <c r="A208">
        <v>700032</v>
      </c>
      <c r="B208" t="s">
        <v>1054</v>
      </c>
      <c r="C208" s="116">
        <v>0</v>
      </c>
      <c r="D208" s="116">
        <v>113108.82</v>
      </c>
      <c r="E208" s="116">
        <v>13603.3</v>
      </c>
      <c r="F208" s="116">
        <v>99505.52</v>
      </c>
      <c r="G208" s="43" t="str">
        <f>_xlfn.XLOOKUP($A208,Map!$A:$A,Map!C:C)</f>
        <v>IS</v>
      </c>
      <c r="H208" s="43" t="str">
        <f>_xlfn.XLOOKUP($A208,Map!$A:$A,Map!D:D)</f>
        <v>General and Admin</v>
      </c>
      <c r="I208" s="43" t="str">
        <f>_xlfn.XLOOKUP($A208,Map!$A:$A,Map!E:E)</f>
        <v>Utilities</v>
      </c>
      <c r="J208" s="43" t="str">
        <f>_xlfn.XLOOKUP($A208,Map!$A:$A,Map!F:F)</f>
        <v>Vehicle maintenance</v>
      </c>
      <c r="K208" t="str">
        <f>_xlfn.XLOOKUP(I208,'P&amp;L_2014-2025'!A:A,'P&amp;L_2014-2025'!A:A)</f>
        <v>Utilities</v>
      </c>
    </row>
    <row r="209" spans="1:11" x14ac:dyDescent="0.25">
      <c r="A209">
        <v>700033</v>
      </c>
      <c r="B209" t="s">
        <v>1055</v>
      </c>
      <c r="C209" s="116">
        <v>0</v>
      </c>
      <c r="D209" s="116">
        <v>19260.34</v>
      </c>
      <c r="E209" s="116">
        <v>0</v>
      </c>
      <c r="F209" s="116">
        <v>19260.34</v>
      </c>
      <c r="G209" s="43" t="str">
        <f>_xlfn.XLOOKUP($A209,Map!$A:$A,Map!C:C)</f>
        <v>IS</v>
      </c>
      <c r="H209" s="43" t="str">
        <f>_xlfn.XLOOKUP($A209,Map!$A:$A,Map!D:D)</f>
        <v>General and Admin</v>
      </c>
      <c r="I209" s="43" t="str">
        <f>_xlfn.XLOOKUP($A209,Map!$A:$A,Map!E:E)</f>
        <v>Utilities</v>
      </c>
      <c r="J209" s="43" t="str">
        <f>_xlfn.XLOOKUP($A209,Map!$A:$A,Map!F:F)</f>
        <v>Fuel and oil</v>
      </c>
      <c r="K209" t="str">
        <f>_xlfn.XLOOKUP(I209,'P&amp;L_2014-2025'!A:A,'P&amp;L_2014-2025'!A:A)</f>
        <v>Utilities</v>
      </c>
    </row>
    <row r="210" spans="1:11" x14ac:dyDescent="0.25">
      <c r="A210">
        <v>700034</v>
      </c>
      <c r="B210" t="s">
        <v>1056</v>
      </c>
      <c r="C210" s="116">
        <v>0</v>
      </c>
      <c r="D210" s="116">
        <v>19985.752</v>
      </c>
      <c r="E210" s="116">
        <v>8625</v>
      </c>
      <c r="F210" s="116">
        <v>11360.752</v>
      </c>
      <c r="G210" s="43" t="str">
        <f>_xlfn.XLOOKUP($A210,Map!$A:$A,Map!C:C)</f>
        <v>IS</v>
      </c>
      <c r="H210" s="43" t="str">
        <f>_xlfn.XLOOKUP($A210,Map!$A:$A,Map!D:D)</f>
        <v>General and Admin</v>
      </c>
      <c r="I210" s="43" t="str">
        <f>_xlfn.XLOOKUP($A210,Map!$A:$A,Map!E:E)</f>
        <v xml:space="preserve">Back office Support </v>
      </c>
      <c r="J210" s="43" t="str">
        <f>_xlfn.XLOOKUP($A210,Map!$A:$A,Map!F:F)</f>
        <v>Consumables</v>
      </c>
      <c r="K210" t="str">
        <f>_xlfn.XLOOKUP(I210,'P&amp;L_2014-2025'!A:A,'P&amp;L_2014-2025'!A:A)</f>
        <v xml:space="preserve">Back office Support </v>
      </c>
    </row>
    <row r="211" spans="1:11" x14ac:dyDescent="0.25">
      <c r="A211">
        <v>700035</v>
      </c>
      <c r="B211" t="s">
        <v>1057</v>
      </c>
      <c r="C211" s="116">
        <v>0</v>
      </c>
      <c r="D211" s="116">
        <v>35621</v>
      </c>
      <c r="E211" s="116">
        <v>0</v>
      </c>
      <c r="F211" s="116">
        <v>35621</v>
      </c>
      <c r="G211" s="43" t="str">
        <f>_xlfn.XLOOKUP($A211,Map!$A:$A,Map!C:C)</f>
        <v>IS</v>
      </c>
      <c r="H211" s="43" t="str">
        <f>_xlfn.XLOOKUP($A211,Map!$A:$A,Map!D:D)</f>
        <v>General and Admin</v>
      </c>
      <c r="I211" s="43" t="str">
        <f>_xlfn.XLOOKUP($A211,Map!$A:$A,Map!E:E)</f>
        <v>Actuarial gains and losses</v>
      </c>
      <c r="J211" s="43" t="str">
        <f>_xlfn.XLOOKUP($A211,Map!$A:$A,Map!F:F)</f>
        <v>Other general and administrative expenses</v>
      </c>
      <c r="K211" t="str">
        <f>_xlfn.XLOOKUP(I211,'P&amp;L_2014-2025'!A:A,'P&amp;L_2014-2025'!A:A)</f>
        <v>Actuarial gains and losses</v>
      </c>
    </row>
    <row r="212" spans="1:11" x14ac:dyDescent="0.25">
      <c r="A212">
        <v>700036</v>
      </c>
      <c r="B212" t="s">
        <v>1058</v>
      </c>
      <c r="C212" s="116">
        <v>0</v>
      </c>
      <c r="D212" s="116">
        <v>3169.8</v>
      </c>
      <c r="E212" s="116">
        <v>0</v>
      </c>
      <c r="F212" s="116">
        <v>3169.8</v>
      </c>
      <c r="G212" s="43" t="str">
        <f>_xlfn.XLOOKUP($A212,Map!$A:$A,Map!C:C)</f>
        <v>IS</v>
      </c>
      <c r="H212" s="43" t="str">
        <f>_xlfn.XLOOKUP($A212,Map!$A:$A,Map!D:D)</f>
        <v>General and Admin</v>
      </c>
      <c r="I212" s="43" t="str">
        <f>_xlfn.XLOOKUP($A212,Map!$A:$A,Map!E:E)</f>
        <v>Utilities</v>
      </c>
      <c r="J212" s="43" t="str">
        <f>_xlfn.XLOOKUP($A212,Map!$A:$A,Map!F:F)</f>
        <v>Vehicle insurance</v>
      </c>
      <c r="K212" t="str">
        <f>_xlfn.XLOOKUP(I212,'P&amp;L_2014-2025'!A:A,'P&amp;L_2014-2025'!A:A)</f>
        <v>Utilities</v>
      </c>
    </row>
    <row r="213" spans="1:11" x14ac:dyDescent="0.25">
      <c r="A213">
        <v>700037</v>
      </c>
      <c r="B213" t="s">
        <v>1059</v>
      </c>
      <c r="C213" s="116">
        <v>0</v>
      </c>
      <c r="D213" s="116">
        <v>0</v>
      </c>
      <c r="E213" s="116">
        <v>0</v>
      </c>
      <c r="F213" s="116">
        <v>0</v>
      </c>
      <c r="G213" s="43" t="str">
        <f>_xlfn.XLOOKUP($A213,Map!$A:$A,Map!C:C)</f>
        <v>IS</v>
      </c>
      <c r="H213" s="43" t="str">
        <f>_xlfn.XLOOKUP($A213,Map!$A:$A,Map!D:D)</f>
        <v>Finance cost</v>
      </c>
      <c r="I213" s="43" t="str">
        <f>_xlfn.XLOOKUP($A213,Map!$A:$A,Map!E:E)</f>
        <v>Finance cost</v>
      </c>
      <c r="J213" s="43" t="str">
        <f>_xlfn.XLOOKUP($A213,Map!$A:$A,Map!F:F)</f>
        <v>Lease interest</v>
      </c>
    </row>
    <row r="214" spans="1:11" x14ac:dyDescent="0.25">
      <c r="A214">
        <v>700038</v>
      </c>
      <c r="B214" t="s">
        <v>1060</v>
      </c>
      <c r="C214" s="116">
        <v>0</v>
      </c>
      <c r="D214" s="116">
        <v>143982.80900000001</v>
      </c>
      <c r="E214" s="116">
        <v>1293.5989999999999</v>
      </c>
      <c r="F214" s="116">
        <v>142689.21</v>
      </c>
      <c r="G214" s="43" t="str">
        <f>_xlfn.XLOOKUP($A214,Map!$A:$A,Map!C:C)</f>
        <v>IS</v>
      </c>
      <c r="H214" s="43" t="str">
        <f>_xlfn.XLOOKUP($A214,Map!$A:$A,Map!D:D)</f>
        <v>General and Admin</v>
      </c>
      <c r="I214" s="43" t="str">
        <f>_xlfn.XLOOKUP($A214,Map!$A:$A,Map!E:E)</f>
        <v>Business travel</v>
      </c>
      <c r="J214" s="43" t="str">
        <f>_xlfn.XLOOKUP($A214,Map!$A:$A,Map!F:F)</f>
        <v>Bussiness trip expenses</v>
      </c>
      <c r="K214" t="str">
        <f>_xlfn.XLOOKUP(I214,'P&amp;L_2014-2025'!A:A,'P&amp;L_2014-2025'!A:A)</f>
        <v>Business travel</v>
      </c>
    </row>
    <row r="215" spans="1:11" x14ac:dyDescent="0.25">
      <c r="A215">
        <v>700039</v>
      </c>
      <c r="B215" t="s">
        <v>1061</v>
      </c>
      <c r="C215" s="116">
        <v>0</v>
      </c>
      <c r="D215" s="116">
        <v>10504.65</v>
      </c>
      <c r="E215" s="116">
        <v>0</v>
      </c>
      <c r="F215" s="116">
        <v>10504.65</v>
      </c>
      <c r="G215" s="43" t="str">
        <f>_xlfn.XLOOKUP($A215,Map!$A:$A,Map!C:C)</f>
        <v>IS</v>
      </c>
      <c r="H215" s="43" t="str">
        <f>_xlfn.XLOOKUP($A215,Map!$A:$A,Map!D:D)</f>
        <v>Selling and Marketing</v>
      </c>
      <c r="I215" s="43" t="str">
        <f>_xlfn.XLOOKUP($A215,Map!$A:$A,Map!E:E)</f>
        <v>Buffet expenses</v>
      </c>
      <c r="J215" s="43" t="str">
        <f>_xlfn.XLOOKUP($A215,Map!$A:$A,Map!F:F)</f>
        <v>Buffet expenses</v>
      </c>
    </row>
    <row r="216" spans="1:11" x14ac:dyDescent="0.25">
      <c r="A216">
        <v>700040</v>
      </c>
      <c r="B216" t="s">
        <v>1062</v>
      </c>
      <c r="C216" s="116">
        <v>0</v>
      </c>
      <c r="D216" s="116">
        <v>1008997.247</v>
      </c>
      <c r="E216" s="116">
        <v>3236.1</v>
      </c>
      <c r="F216" s="116">
        <v>1005761.147</v>
      </c>
      <c r="G216" s="43" t="str">
        <f>_xlfn.XLOOKUP($A216,Map!$A:$A,Map!C:C)</f>
        <v>IS</v>
      </c>
      <c r="H216" s="43" t="str">
        <f>_xlfn.XLOOKUP($A216,Map!$A:$A,Map!D:D)</f>
        <v>General and Admin</v>
      </c>
      <c r="I216" s="43" t="str">
        <f>_xlfn.XLOOKUP($A216,Map!$A:$A,Map!E:E)</f>
        <v>Utilities</v>
      </c>
      <c r="J216" s="43" t="str">
        <f>_xlfn.XLOOKUP($A216,Map!$A:$A,Map!F:F)</f>
        <v xml:space="preserve">Cleaning Expenses </v>
      </c>
      <c r="K216" t="str">
        <f>_xlfn.XLOOKUP(I216,'P&amp;L_2014-2025'!A:A,'P&amp;L_2014-2025'!A:A)</f>
        <v>Utilities</v>
      </c>
    </row>
    <row r="217" spans="1:11" x14ac:dyDescent="0.25">
      <c r="A217">
        <v>700041</v>
      </c>
      <c r="B217" t="s">
        <v>1063</v>
      </c>
      <c r="C217" s="116">
        <v>0</v>
      </c>
      <c r="D217" s="116">
        <v>204356.34299999999</v>
      </c>
      <c r="E217" s="116">
        <v>0</v>
      </c>
      <c r="F217" s="116">
        <v>204356.34299999999</v>
      </c>
      <c r="G217" s="43" t="str">
        <f>_xlfn.XLOOKUP($A217,Map!$A:$A,Map!C:C)</f>
        <v>IS</v>
      </c>
      <c r="H217" s="43" t="str">
        <f>_xlfn.XLOOKUP($A217,Map!$A:$A,Map!D:D)</f>
        <v>General and Admin</v>
      </c>
      <c r="I217" s="43" t="str">
        <f>_xlfn.XLOOKUP($A217,Map!$A:$A,Map!E:E)</f>
        <v>Salaries and wages</v>
      </c>
      <c r="J217" s="43" t="str">
        <f>_xlfn.XLOOKUP($A217,Map!$A:$A,Map!F:F)</f>
        <v>Recruitment</v>
      </c>
      <c r="K217" t="str">
        <f>_xlfn.XLOOKUP(I217,'P&amp;L_2014-2025'!A:A,'P&amp;L_2014-2025'!A:A)</f>
        <v>Salaries and wages</v>
      </c>
    </row>
    <row r="218" spans="1:11" x14ac:dyDescent="0.25">
      <c r="A218">
        <v>700042</v>
      </c>
      <c r="B218" t="s">
        <v>1064</v>
      </c>
      <c r="C218" s="116">
        <v>0</v>
      </c>
      <c r="D218" s="116">
        <v>200000</v>
      </c>
      <c r="E218" s="116">
        <v>41666.67</v>
      </c>
      <c r="F218" s="116">
        <v>158333.32999999999</v>
      </c>
      <c r="G218" s="43" t="str">
        <f>_xlfn.XLOOKUP($A218,Map!$A:$A,Map!C:C)</f>
        <v>IS</v>
      </c>
      <c r="H218" s="43" t="str">
        <f>_xlfn.XLOOKUP($A218,Map!$A:$A,Map!D:D)</f>
        <v>General and Admin</v>
      </c>
      <c r="I218" s="43" t="str">
        <f>_xlfn.XLOOKUP($A218,Map!$A:$A,Map!E:E)</f>
        <v xml:space="preserve">Back office Support </v>
      </c>
      <c r="J218" s="43" t="str">
        <f>_xlfn.XLOOKUP($A218,Map!$A:$A,Map!F:F)</f>
        <v>Other expenses</v>
      </c>
      <c r="K218" t="str">
        <f>_xlfn.XLOOKUP(I218,'P&amp;L_2014-2025'!A:A,'P&amp;L_2014-2025'!A:A)</f>
        <v xml:space="preserve">Back office Support </v>
      </c>
    </row>
    <row r="219" spans="1:11" x14ac:dyDescent="0.25">
      <c r="A219">
        <v>700043</v>
      </c>
      <c r="B219" t="s">
        <v>1065</v>
      </c>
      <c r="C219" s="116">
        <v>0</v>
      </c>
      <c r="D219" s="116">
        <v>11613</v>
      </c>
      <c r="E219" s="116">
        <v>0</v>
      </c>
      <c r="F219" s="116">
        <v>11613</v>
      </c>
      <c r="G219" s="43" t="str">
        <f>_xlfn.XLOOKUP($A219,Map!$A:$A,Map!C:C)</f>
        <v>IS</v>
      </c>
      <c r="H219" s="43" t="str">
        <f>_xlfn.XLOOKUP($A219,Map!$A:$A,Map!D:D)</f>
        <v>General and Admin</v>
      </c>
      <c r="I219" s="43" t="str">
        <f>_xlfn.XLOOKUP($A219,Map!$A:$A,Map!E:E)</f>
        <v>Govt license and fees (including modon)</v>
      </c>
      <c r="J219" s="43" t="str">
        <f>_xlfn.XLOOKUP($A219,Map!$A:$A,Map!F:F)</f>
        <v>Licenses and fees</v>
      </c>
      <c r="K219" t="str">
        <f>_xlfn.XLOOKUP(I219,'P&amp;L_2014-2025'!A:A,'P&amp;L_2014-2025'!A:A)</f>
        <v>Govt license and fees (including modon)</v>
      </c>
    </row>
    <row r="220" spans="1:11" x14ac:dyDescent="0.25">
      <c r="A220">
        <v>700044</v>
      </c>
      <c r="B220" t="s">
        <v>1066</v>
      </c>
      <c r="C220" s="116">
        <v>0</v>
      </c>
      <c r="D220" s="116">
        <v>83699.47</v>
      </c>
      <c r="E220" s="116">
        <v>0</v>
      </c>
      <c r="F220" s="116">
        <v>83699.47</v>
      </c>
      <c r="G220" s="43" t="str">
        <f>_xlfn.XLOOKUP($A220,Map!$A:$A,Map!C:C)</f>
        <v>IS</v>
      </c>
      <c r="H220" s="43" t="str">
        <f>_xlfn.XLOOKUP($A220,Map!$A:$A,Map!D:D)</f>
        <v>General and Admin</v>
      </c>
      <c r="I220" s="43" t="str">
        <f>_xlfn.XLOOKUP($A220,Map!$A:$A,Map!E:E)</f>
        <v>Govt license and fees (including modon)</v>
      </c>
      <c r="J220" s="43" t="str">
        <f>_xlfn.XLOOKUP($A220,Map!$A:$A,Map!F:F)</f>
        <v>Government fees</v>
      </c>
      <c r="K220" t="str">
        <f>_xlfn.XLOOKUP(I220,'P&amp;L_2014-2025'!A:A,'P&amp;L_2014-2025'!A:A)</f>
        <v>Govt license and fees (including modon)</v>
      </c>
    </row>
    <row r="221" spans="1:11" x14ac:dyDescent="0.25">
      <c r="A221">
        <v>700045</v>
      </c>
      <c r="B221" t="s">
        <v>1067</v>
      </c>
      <c r="C221" s="116">
        <v>0</v>
      </c>
      <c r="D221" s="116">
        <v>5561040.8119999999</v>
      </c>
      <c r="E221" s="116">
        <v>955414.67200000002</v>
      </c>
      <c r="F221" s="116">
        <v>4605626.1399999997</v>
      </c>
      <c r="G221" s="43" t="str">
        <f>_xlfn.XLOOKUP($A221,Map!$A:$A,Map!C:C)</f>
        <v>IS</v>
      </c>
      <c r="H221" s="43" t="str">
        <f>_xlfn.XLOOKUP($A221,Map!$A:$A,Map!D:D)</f>
        <v>Finance cost</v>
      </c>
      <c r="I221" s="43" t="str">
        <f>_xlfn.XLOOKUP($A221,Map!$A:$A,Map!E:E)</f>
        <v>Finance cost</v>
      </c>
      <c r="J221" s="43" t="str">
        <f>_xlfn.XLOOKUP($A221,Map!$A:$A,Map!F:F)</f>
        <v>Bank charges</v>
      </c>
    </row>
    <row r="222" spans="1:11" x14ac:dyDescent="0.25">
      <c r="A222">
        <v>700048</v>
      </c>
      <c r="B222" t="s">
        <v>1069</v>
      </c>
      <c r="C222" s="116">
        <v>0</v>
      </c>
      <c r="D222" s="116">
        <v>890301.33</v>
      </c>
      <c r="E222" s="116">
        <v>218054.39</v>
      </c>
      <c r="F222" s="116">
        <v>672246.94</v>
      </c>
      <c r="G222" s="43" t="str">
        <f>_xlfn.XLOOKUP($A222,Map!$A:$A,Map!C:C)</f>
        <v>IS</v>
      </c>
      <c r="H222" s="43" t="str">
        <f>_xlfn.XLOOKUP($A222,Map!$A:$A,Map!D:D)</f>
        <v>Zakat</v>
      </c>
      <c r="I222" s="43" t="str">
        <f>_xlfn.XLOOKUP($A222,Map!$A:$A,Map!E:E)</f>
        <v>Zakat expenses</v>
      </c>
      <c r="J222" s="43" t="str">
        <f>_xlfn.XLOOKUP($A222,Map!$A:$A,Map!F:F)</f>
        <v>Zakat expenses</v>
      </c>
    </row>
    <row r="223" spans="1:11" x14ac:dyDescent="0.25">
      <c r="A223">
        <v>700049</v>
      </c>
      <c r="B223" t="s">
        <v>1070</v>
      </c>
      <c r="C223" s="116">
        <v>0</v>
      </c>
      <c r="D223" s="116">
        <v>0</v>
      </c>
      <c r="E223" s="116">
        <v>0</v>
      </c>
      <c r="F223" s="116">
        <v>0</v>
      </c>
      <c r="G223" s="43" t="str">
        <f>_xlfn.XLOOKUP($A223,Map!$A:$A,Map!C:C)</f>
        <v>IS</v>
      </c>
      <c r="H223" s="43" t="str">
        <f>_xlfn.XLOOKUP($A223,Map!$A:$A,Map!D:D)</f>
        <v>General and Admin</v>
      </c>
      <c r="I223" s="43" t="str">
        <f>_xlfn.XLOOKUP($A223,Map!$A:$A,Map!E:E)</f>
        <v>Salaries and wages</v>
      </c>
      <c r="J223" s="43" t="str">
        <f>_xlfn.XLOOKUP($A223,Map!$A:$A,Map!F:F)</f>
        <v>Sadagat expense</v>
      </c>
      <c r="K223" t="str">
        <f>_xlfn.XLOOKUP(I223,'P&amp;L_2014-2025'!A:A,'P&amp;L_2014-2025'!A:A)</f>
        <v>Salaries and wages</v>
      </c>
    </row>
    <row r="224" spans="1:11" x14ac:dyDescent="0.25">
      <c r="A224">
        <v>700050</v>
      </c>
      <c r="B224" t="s">
        <v>1071</v>
      </c>
      <c r="C224" s="116">
        <v>0</v>
      </c>
      <c r="D224" s="116">
        <v>0</v>
      </c>
      <c r="E224" s="116">
        <v>0</v>
      </c>
      <c r="F224" s="116">
        <v>0</v>
      </c>
      <c r="G224" s="43" t="str">
        <f>_xlfn.XLOOKUP($A224,Map!$A:$A,Map!C:C)</f>
        <v>IS</v>
      </c>
      <c r="H224" s="43" t="str">
        <f>_xlfn.XLOOKUP($A224,Map!$A:$A,Map!D:D)</f>
        <v>Depreciation expenses</v>
      </c>
      <c r="I224" s="43" t="str">
        <f>_xlfn.XLOOKUP($A224,Map!$A:$A,Map!E:E)</f>
        <v>Depreciation expenses</v>
      </c>
      <c r="J224" s="43" t="str">
        <f>_xlfn.XLOOKUP($A224,Map!$A:$A,Map!F:F)</f>
        <v>Depreciation of property, plant and equipment</v>
      </c>
    </row>
    <row r="225" spans="1:11" x14ac:dyDescent="0.25">
      <c r="A225">
        <v>700052</v>
      </c>
      <c r="B225" t="s">
        <v>1073</v>
      </c>
      <c r="C225" s="116">
        <v>0</v>
      </c>
      <c r="D225" s="116">
        <v>0</v>
      </c>
      <c r="E225" s="116">
        <v>0</v>
      </c>
      <c r="F225" s="116">
        <v>0</v>
      </c>
      <c r="G225" s="43" t="str">
        <f>_xlfn.XLOOKUP($A225,Map!$A:$A,Map!C:C)</f>
        <v>IS</v>
      </c>
      <c r="H225" s="43" t="str">
        <f>_xlfn.XLOOKUP($A225,Map!$A:$A,Map!D:D)</f>
        <v>Depreciation expenses</v>
      </c>
      <c r="I225" s="43" t="str">
        <f>_xlfn.XLOOKUP($A225,Map!$A:$A,Map!E:E)</f>
        <v>Depreciation expenses</v>
      </c>
      <c r="J225" s="43" t="str">
        <f>_xlfn.XLOOKUP($A225,Map!$A:$A,Map!F:F)</f>
        <v>Depreciation of property, plant and equipment</v>
      </c>
    </row>
    <row r="226" spans="1:11" x14ac:dyDescent="0.25">
      <c r="A226">
        <v>700053</v>
      </c>
      <c r="B226" t="s">
        <v>1074</v>
      </c>
      <c r="C226" s="116">
        <v>0</v>
      </c>
      <c r="D226" s="116">
        <v>0</v>
      </c>
      <c r="E226" s="116">
        <v>0</v>
      </c>
      <c r="F226" s="116">
        <v>0</v>
      </c>
      <c r="G226" s="43" t="str">
        <f>_xlfn.XLOOKUP($A226,Map!$A:$A,Map!C:C)</f>
        <v>IS</v>
      </c>
      <c r="H226" s="43" t="str">
        <f>_xlfn.XLOOKUP($A226,Map!$A:$A,Map!D:D)</f>
        <v>Depreciation expenses</v>
      </c>
      <c r="I226" s="43" t="str">
        <f>_xlfn.XLOOKUP($A226,Map!$A:$A,Map!E:E)</f>
        <v>Depreciation expenses</v>
      </c>
      <c r="J226" s="43" t="str">
        <f>_xlfn.XLOOKUP($A226,Map!$A:$A,Map!F:F)</f>
        <v>Depreciation of property, plant and equipment</v>
      </c>
    </row>
    <row r="227" spans="1:11" x14ac:dyDescent="0.25">
      <c r="A227">
        <v>700054</v>
      </c>
      <c r="B227" t="s">
        <v>1075</v>
      </c>
      <c r="C227" s="116">
        <v>0</v>
      </c>
      <c r="D227" s="116">
        <v>160023.08199999999</v>
      </c>
      <c r="E227" s="116">
        <v>0</v>
      </c>
      <c r="F227" s="116">
        <v>160023.08199999999</v>
      </c>
      <c r="G227" s="43" t="str">
        <f>_xlfn.XLOOKUP($A227,Map!$A:$A,Map!C:C)</f>
        <v>IS</v>
      </c>
      <c r="H227" s="43" t="str">
        <f>_xlfn.XLOOKUP($A227,Map!$A:$A,Map!D:D)</f>
        <v>Depreciation expenses</v>
      </c>
      <c r="I227" s="43" t="str">
        <f>_xlfn.XLOOKUP($A227,Map!$A:$A,Map!E:E)</f>
        <v>Depreciation expenses</v>
      </c>
      <c r="J227" s="43" t="str">
        <f>_xlfn.XLOOKUP($A227,Map!$A:$A,Map!F:F)</f>
        <v>Depreciation of property, plant and equipment</v>
      </c>
    </row>
    <row r="228" spans="1:11" x14ac:dyDescent="0.25">
      <c r="A228">
        <v>700055</v>
      </c>
      <c r="B228" t="s">
        <v>1076</v>
      </c>
      <c r="C228" s="116">
        <v>0</v>
      </c>
      <c r="D228" s="116">
        <v>290261.74900000001</v>
      </c>
      <c r="E228" s="116">
        <v>0</v>
      </c>
      <c r="F228" s="116">
        <v>290261.74900000001</v>
      </c>
      <c r="G228" s="43" t="str">
        <f>_xlfn.XLOOKUP($A228,Map!$A:$A,Map!C:C)</f>
        <v>IS</v>
      </c>
      <c r="H228" s="43" t="str">
        <f>_xlfn.XLOOKUP($A228,Map!$A:$A,Map!D:D)</f>
        <v>Depreciation expenses</v>
      </c>
      <c r="I228" s="43" t="str">
        <f>_xlfn.XLOOKUP($A228,Map!$A:$A,Map!E:E)</f>
        <v>Depreciation expenses</v>
      </c>
      <c r="J228" s="43" t="str">
        <f>_xlfn.XLOOKUP($A228,Map!$A:$A,Map!F:F)</f>
        <v>Depreciation of property, plant and equipment</v>
      </c>
    </row>
    <row r="229" spans="1:11" x14ac:dyDescent="0.25">
      <c r="A229">
        <v>700056</v>
      </c>
      <c r="B229" t="s">
        <v>1077</v>
      </c>
      <c r="C229" s="116">
        <v>0</v>
      </c>
      <c r="D229" s="116">
        <v>0</v>
      </c>
      <c r="E229" s="116">
        <v>0</v>
      </c>
      <c r="F229" s="116">
        <v>0</v>
      </c>
      <c r="G229" s="43" t="str">
        <f>_xlfn.XLOOKUP($A229,Map!$A:$A,Map!C:C)</f>
        <v>IS</v>
      </c>
      <c r="H229" s="43" t="str">
        <f>_xlfn.XLOOKUP($A229,Map!$A:$A,Map!D:D)</f>
        <v>Depreciation expenses</v>
      </c>
      <c r="I229" s="43" t="str">
        <f>_xlfn.XLOOKUP($A229,Map!$A:$A,Map!E:E)</f>
        <v>Depreciation expenses</v>
      </c>
      <c r="J229" s="43" t="str">
        <f>_xlfn.XLOOKUP($A229,Map!$A:$A,Map!F:F)</f>
        <v>Depreciation of property, plant and equipment</v>
      </c>
    </row>
    <row r="230" spans="1:11" x14ac:dyDescent="0.25">
      <c r="A230">
        <v>700057</v>
      </c>
      <c r="B230" t="s">
        <v>1078</v>
      </c>
      <c r="C230" s="116">
        <v>0</v>
      </c>
      <c r="D230" s="116">
        <v>275000</v>
      </c>
      <c r="E230" s="116">
        <v>0</v>
      </c>
      <c r="F230" s="116">
        <v>275000</v>
      </c>
      <c r="G230" s="43" t="str">
        <f>_xlfn.XLOOKUP($A230,Map!$A:$A,Map!C:C)</f>
        <v>IS</v>
      </c>
      <c r="H230" s="43" t="str">
        <f>_xlfn.XLOOKUP($A230,Map!$A:$A,Map!D:D)</f>
        <v>Cost of sales</v>
      </c>
      <c r="I230" s="43" t="str">
        <f>_xlfn.XLOOKUP($A230,Map!$A:$A,Map!E:E)</f>
        <v>Overhead - Rent</v>
      </c>
      <c r="J230" s="43" t="str">
        <f>_xlfn.XLOOKUP($A230,Map!$A:$A,Map!F:F)</f>
        <v>Warehouse Rent ( Khamis, Rioyadh, Dammam)</v>
      </c>
    </row>
    <row r="231" spans="1:11" x14ac:dyDescent="0.25">
      <c r="A231">
        <v>700058</v>
      </c>
      <c r="B231" t="s">
        <v>1079</v>
      </c>
      <c r="C231" s="116">
        <v>0</v>
      </c>
      <c r="D231" s="116">
        <v>115924.49</v>
      </c>
      <c r="E231" s="116">
        <v>20290.5</v>
      </c>
      <c r="F231" s="116">
        <v>95633.99</v>
      </c>
      <c r="G231" s="43" t="str">
        <f>_xlfn.XLOOKUP($A231,Map!$A:$A,Map!C:C)</f>
        <v>IS</v>
      </c>
      <c r="H231" s="43" t="str">
        <f>_xlfn.XLOOKUP($A231,Map!$A:$A,Map!D:D)</f>
        <v>Selling and Marketing</v>
      </c>
      <c r="I231" s="43" t="str">
        <f>_xlfn.XLOOKUP($A231,Map!$A:$A,Map!E:E)</f>
        <v>Advertising and promotion expenses</v>
      </c>
      <c r="J231" s="43" t="str">
        <f>_xlfn.XLOOKUP($A231,Map!$A:$A,Map!F:F)</f>
        <v>Advertising and promotion expenses</v>
      </c>
    </row>
    <row r="232" spans="1:11" x14ac:dyDescent="0.25">
      <c r="A232">
        <v>700059</v>
      </c>
      <c r="B232" t="s">
        <v>1080</v>
      </c>
      <c r="C232" s="116">
        <v>0</v>
      </c>
      <c r="D232" s="116">
        <v>111132.78</v>
      </c>
      <c r="E232" s="116">
        <v>15000</v>
      </c>
      <c r="F232" s="116">
        <v>96132.78</v>
      </c>
      <c r="G232" s="43" t="str">
        <f>_xlfn.XLOOKUP($A232,Map!$A:$A,Map!C:C)</f>
        <v>IS</v>
      </c>
      <c r="H232" s="43" t="str">
        <f>_xlfn.XLOOKUP($A232,Map!$A:$A,Map!D:D)</f>
        <v>Selling and Marketing</v>
      </c>
      <c r="I232" s="43" t="str">
        <f>_xlfn.XLOOKUP($A232,Map!$A:$A,Map!E:E)</f>
        <v>Exhibitions</v>
      </c>
      <c r="J232" s="43" t="str">
        <f>_xlfn.XLOOKUP($A232,Map!$A:$A,Map!F:F)</f>
        <v>Exhibitions</v>
      </c>
    </row>
    <row r="233" spans="1:11" x14ac:dyDescent="0.25">
      <c r="A233">
        <v>700060</v>
      </c>
      <c r="B233" t="s">
        <v>1081</v>
      </c>
      <c r="C233" s="116">
        <v>0</v>
      </c>
      <c r="D233" s="116">
        <v>5329285.9570000004</v>
      </c>
      <c r="E233" s="116">
        <v>2600796.5669999998</v>
      </c>
      <c r="F233" s="116">
        <v>2728489.39</v>
      </c>
      <c r="G233" s="43" t="str">
        <f>_xlfn.XLOOKUP($A233,Map!$A:$A,Map!C:C)</f>
        <v>IS</v>
      </c>
      <c r="H233" s="43" t="str">
        <f>_xlfn.XLOOKUP($A233,Map!$A:$A,Map!D:D)</f>
        <v>Selling and Marketing</v>
      </c>
      <c r="I233" s="43" t="str">
        <f>_xlfn.XLOOKUP($A233,Map!$A:$A,Map!E:E)</f>
        <v>Freight and shipping expenses (S&amp;D)</v>
      </c>
      <c r="J233" s="43" t="str">
        <f>_xlfn.XLOOKUP($A233,Map!$A:$A,Map!F:F)</f>
        <v>Outbound freight / shipping — reclassified below gross profit under IFRS</v>
      </c>
    </row>
    <row r="234" spans="1:11" x14ac:dyDescent="0.25">
      <c r="A234">
        <v>700061</v>
      </c>
      <c r="B234" t="s">
        <v>1082</v>
      </c>
      <c r="C234" s="116">
        <v>0</v>
      </c>
      <c r="D234" s="116">
        <v>262263</v>
      </c>
      <c r="E234" s="116">
        <v>0</v>
      </c>
      <c r="F234" s="116">
        <v>262263</v>
      </c>
      <c r="G234" s="43" t="str">
        <f>_xlfn.XLOOKUP($A234,Map!$A:$A,Map!C:C)</f>
        <v>IS</v>
      </c>
      <c r="H234" s="43" t="str">
        <f>_xlfn.XLOOKUP($A234,Map!$A:$A,Map!D:D)</f>
        <v>Selling and Marketing</v>
      </c>
      <c r="I234" s="43" t="str">
        <f>_xlfn.XLOOKUP($A234,Map!$A:$A,Map!E:E)</f>
        <v>Commission expenses</v>
      </c>
      <c r="J234" s="43" t="str">
        <f>_xlfn.XLOOKUP($A234,Map!$A:$A,Map!F:F)</f>
        <v>Commission expenses</v>
      </c>
    </row>
    <row r="235" spans="1:11" x14ac:dyDescent="0.25">
      <c r="A235">
        <v>700062</v>
      </c>
      <c r="B235" t="s">
        <v>1083</v>
      </c>
      <c r="C235" s="116">
        <v>0</v>
      </c>
      <c r="D235" s="116">
        <v>153333.326</v>
      </c>
      <c r="E235" s="116">
        <v>50000</v>
      </c>
      <c r="F235" s="116">
        <v>103333.326</v>
      </c>
      <c r="G235" s="43" t="str">
        <f>_xlfn.XLOOKUP($A235,Map!$A:$A,Map!C:C)</f>
        <v>IS</v>
      </c>
      <c r="H235" s="43" t="str">
        <f>_xlfn.XLOOKUP($A235,Map!$A:$A,Map!D:D)</f>
        <v>Revised provision on Bad Debts</v>
      </c>
      <c r="I235" s="43" t="str">
        <f>_xlfn.XLOOKUP($A235,Map!$A:$A,Map!E:E)</f>
        <v>Bad debts expense</v>
      </c>
      <c r="J235" s="43" t="str">
        <f>_xlfn.XLOOKUP($A235,Map!$A:$A,Map!F:F)</f>
        <v>Bad debts expense</v>
      </c>
    </row>
    <row r="236" spans="1:11" x14ac:dyDescent="0.25">
      <c r="A236">
        <v>700063</v>
      </c>
      <c r="B236" t="s">
        <v>1084</v>
      </c>
      <c r="C236" s="116">
        <v>0</v>
      </c>
      <c r="D236" s="116">
        <v>1733817.96</v>
      </c>
      <c r="E236" s="116">
        <v>538498.36</v>
      </c>
      <c r="F236" s="116">
        <v>1195319.6000000001</v>
      </c>
      <c r="G236" s="43" t="str">
        <f>_xlfn.XLOOKUP($A236,Map!$A:$A,Map!C:C)</f>
        <v>IS</v>
      </c>
      <c r="H236" s="43" t="str">
        <f>_xlfn.XLOOKUP($A236,Map!$A:$A,Map!D:D)</f>
        <v>General and Admin</v>
      </c>
      <c r="I236" s="43" t="str">
        <f>_xlfn.XLOOKUP($A236,Map!$A:$A,Map!E:E)</f>
        <v>Salaries and wages</v>
      </c>
      <c r="J236" s="43" t="str">
        <f>_xlfn.XLOOKUP($A236,Map!$A:$A,Map!F:F)</f>
        <v>GOSI</v>
      </c>
      <c r="K236" t="str">
        <f>_xlfn.XLOOKUP(I236,'P&amp;L_2014-2025'!A:A,'P&amp;L_2014-2025'!A:A)</f>
        <v>Salaries and wages</v>
      </c>
    </row>
    <row r="237" spans="1:11" x14ac:dyDescent="0.25">
      <c r="A237">
        <v>700064</v>
      </c>
      <c r="B237" t="s">
        <v>1085</v>
      </c>
      <c r="C237" s="116">
        <v>0</v>
      </c>
      <c r="D237" s="116">
        <v>0</v>
      </c>
      <c r="E237" s="116">
        <v>0</v>
      </c>
      <c r="F237" s="116">
        <v>0</v>
      </c>
      <c r="G237" s="43" t="str">
        <f>_xlfn.XLOOKUP($A237,Map!$A:$A,Map!C:C)</f>
        <v>IS</v>
      </c>
      <c r="H237" s="43" t="str">
        <f>_xlfn.XLOOKUP($A237,Map!$A:$A,Map!D:D)</f>
        <v>Pre-operating expenses</v>
      </c>
      <c r="I237" s="43" t="str">
        <f>_xlfn.XLOOKUP($A237,Map!$A:$A,Map!E:E)</f>
        <v>Pre-operating expenses</v>
      </c>
      <c r="J237" s="43" t="str">
        <f>_xlfn.XLOOKUP($A237,Map!$A:$A,Map!F:F)</f>
        <v>Amortization</v>
      </c>
    </row>
    <row r="238" spans="1:11" x14ac:dyDescent="0.25">
      <c r="A238">
        <v>700065</v>
      </c>
      <c r="B238" t="s">
        <v>1086</v>
      </c>
      <c r="C238" s="116">
        <v>0</v>
      </c>
      <c r="D238" s="116">
        <v>35684</v>
      </c>
      <c r="E238" s="116">
        <v>0</v>
      </c>
      <c r="F238" s="116">
        <v>35684</v>
      </c>
      <c r="G238" s="43" t="str">
        <f>_xlfn.XLOOKUP($A238,Map!$A:$A,Map!C:C)</f>
        <v>IS</v>
      </c>
      <c r="H238" s="43" t="str">
        <f>_xlfn.XLOOKUP($A238,Map!$A:$A,Map!D:D)</f>
        <v>Finance cost</v>
      </c>
      <c r="I238" s="43" t="str">
        <f>_xlfn.XLOOKUP($A238,Map!$A:$A,Map!E:E)</f>
        <v>Finance cost</v>
      </c>
      <c r="J238" s="43" t="str">
        <f>_xlfn.XLOOKUP($A238,Map!$A:$A,Map!F:F)</f>
        <v>Lease interest</v>
      </c>
    </row>
    <row r="239" spans="1:11" x14ac:dyDescent="0.25">
      <c r="A239">
        <v>700066</v>
      </c>
      <c r="B239" t="s">
        <v>1087</v>
      </c>
      <c r="C239" s="116">
        <v>0</v>
      </c>
      <c r="D239" s="116">
        <v>96686.520999999993</v>
      </c>
      <c r="E239" s="116">
        <v>0</v>
      </c>
      <c r="F239" s="116">
        <v>96686.520999999993</v>
      </c>
      <c r="G239" s="43" t="str">
        <f>_xlfn.XLOOKUP($A239,Map!$A:$A,Map!C:C)</f>
        <v>IS</v>
      </c>
      <c r="H239" s="43" t="str">
        <f>_xlfn.XLOOKUP($A239,Map!$A:$A,Map!D:D)</f>
        <v>General and Admin</v>
      </c>
      <c r="I239" s="43" t="str">
        <f>_xlfn.XLOOKUP($A239,Map!$A:$A,Map!E:E)</f>
        <v>Govt license and fees (including modon)</v>
      </c>
      <c r="J239" s="43" t="str">
        <f>_xlfn.XLOOKUP($A239,Map!$A:$A,Map!F:F)</f>
        <v>3rd Industrial Area Lease Provision</v>
      </c>
      <c r="K239" t="str">
        <f>_xlfn.XLOOKUP(I239,'P&amp;L_2014-2025'!A:A,'P&amp;L_2014-2025'!A:A)</f>
        <v>Govt license and fees (including modon)</v>
      </c>
    </row>
    <row r="240" spans="1:11" x14ac:dyDescent="0.25">
      <c r="A240">
        <v>800001</v>
      </c>
      <c r="B240" t="s">
        <v>1099</v>
      </c>
      <c r="C240" s="116">
        <v>0</v>
      </c>
      <c r="D240" s="116">
        <v>0</v>
      </c>
      <c r="E240" s="116">
        <v>0</v>
      </c>
      <c r="F240" s="116">
        <v>0</v>
      </c>
      <c r="G240" s="43" t="str">
        <f>_xlfn.XLOOKUP($A240,Map!$A:$A,Map!C:C)</f>
        <v>IS</v>
      </c>
      <c r="H240" s="43" t="str">
        <f>_xlfn.XLOOKUP($A240,Map!$A:$A,Map!D:D)</f>
        <v>General and Admin</v>
      </c>
      <c r="I240" s="43" t="str">
        <f>_xlfn.XLOOKUP($A240,Map!$A:$A,Map!E:E)</f>
        <v>Salaries and wages</v>
      </c>
      <c r="J240" s="43" t="str">
        <f>_xlfn.XLOOKUP($A240,Map!$A:$A,Map!F:F)</f>
        <v>Aims Holding current account expense — per Sep-26 IFRS report</v>
      </c>
    </row>
    <row r="241" spans="1:10" x14ac:dyDescent="0.25">
      <c r="A241">
        <v>800002</v>
      </c>
      <c r="B241" t="s">
        <v>1100</v>
      </c>
      <c r="C241" s="116">
        <v>0</v>
      </c>
      <c r="D241" s="116">
        <v>700886</v>
      </c>
      <c r="E241" s="116">
        <v>0</v>
      </c>
      <c r="F241" s="116">
        <v>700886</v>
      </c>
      <c r="G241" s="43" t="str">
        <f>_xlfn.XLOOKUP($A241,Map!$A:$A,Map!C:C)</f>
        <v>IS</v>
      </c>
      <c r="H241" s="43" t="str">
        <f>_xlfn.XLOOKUP($A241,Map!$A:$A,Map!D:D)</f>
        <v>General and Admin</v>
      </c>
      <c r="I241" s="43" t="str">
        <f>_xlfn.XLOOKUP($A241,Map!$A:$A,Map!E:E)</f>
        <v>AIMS expenses</v>
      </c>
      <c r="J241" s="43" t="str">
        <f>_xlfn.XLOOKUP($A241,Map!$A:$A,Map!F:F)</f>
        <v>Aims Holding  Current Acc</v>
      </c>
    </row>
    <row r="242" spans="1:10" x14ac:dyDescent="0.25">
      <c r="G242" s="43"/>
      <c r="H242" s="43"/>
      <c r="I242" s="43"/>
      <c r="J242" s="43"/>
    </row>
    <row r="243" spans="1:10" x14ac:dyDescent="0.25">
      <c r="C243" s="153">
        <f>SUBTOTAL(9,C5:C242)</f>
        <v>7.4505805969238281E-8</v>
      </c>
      <c r="D243" s="153">
        <f>SUBTOTAL(9,D5:D242)</f>
        <v>3082024119.3789997</v>
      </c>
      <c r="E243" s="153">
        <f>SUBTOTAL(9,E5:E242)</f>
        <v>3082024119.3790007</v>
      </c>
      <c r="F243" s="153">
        <f>SUBTOTAL(9,F5:F242)</f>
        <v>3.14321368932724E-8</v>
      </c>
    </row>
    <row r="244" spans="1:10" x14ac:dyDescent="0.25">
      <c r="C244" s="153"/>
      <c r="D244" s="153"/>
      <c r="E244" s="153"/>
      <c r="F244" s="153"/>
    </row>
    <row r="245" spans="1:10" x14ac:dyDescent="0.25">
      <c r="A245" s="85" t="s">
        <v>1341</v>
      </c>
    </row>
    <row r="246" spans="1:10" x14ac:dyDescent="0.25">
      <c r="A246">
        <v>600060</v>
      </c>
      <c r="B246" t="s">
        <v>1358</v>
      </c>
      <c r="D246" s="116">
        <v>0</v>
      </c>
      <c r="E246" s="116">
        <v>1286277.1000000001</v>
      </c>
      <c r="F246" s="116">
        <f t="shared" ref="F246:F277" si="0">D246-E246</f>
        <v>-1286277.1000000001</v>
      </c>
      <c r="G246" s="43" t="str">
        <f>_xlfn.XLOOKUP($A246,Map!$A:$A,Map!C:C)</f>
        <v>IS</v>
      </c>
      <c r="H246" s="43" t="str">
        <f>_xlfn.XLOOKUP($A246,Map!$A:$A,Map!D:D)</f>
        <v>Other Income</v>
      </c>
      <c r="I246" s="43" t="str">
        <f>_xlfn.XLOOKUP($A246,Map!$A:$A,Map!E:E)</f>
        <v>Other Income</v>
      </c>
      <c r="J246" s="43" t="str">
        <f>_xlfn.XLOOKUP($A246,Map!$A:$A,Map!F:F)</f>
        <v>Hadaf program</v>
      </c>
    </row>
    <row r="247" spans="1:10" x14ac:dyDescent="0.25">
      <c r="A247">
        <v>600060</v>
      </c>
      <c r="B247" t="s">
        <v>1022</v>
      </c>
      <c r="D247" s="116">
        <v>0</v>
      </c>
      <c r="E247" s="116">
        <v>3890</v>
      </c>
      <c r="F247" s="116">
        <f t="shared" si="0"/>
        <v>-3890</v>
      </c>
      <c r="G247" s="43" t="str">
        <f>_xlfn.XLOOKUP($A247,Map!$A:$A,Map!C:C)</f>
        <v>IS</v>
      </c>
      <c r="H247" s="43" t="str">
        <f>_xlfn.XLOOKUP($A247,Map!$A:$A,Map!D:D)</f>
        <v>Other Income</v>
      </c>
      <c r="I247" s="43" t="str">
        <f>_xlfn.XLOOKUP($A247,Map!$A:$A,Map!E:E)</f>
        <v>Other Income</v>
      </c>
      <c r="J247" s="43" t="str">
        <f>_xlfn.XLOOKUP($A247,Map!$A:$A,Map!F:F)</f>
        <v>Hadaf program</v>
      </c>
    </row>
    <row r="248" spans="1:10" x14ac:dyDescent="0.25">
      <c r="A248">
        <v>600033</v>
      </c>
      <c r="B248" t="s">
        <v>1359</v>
      </c>
      <c r="D248" s="116">
        <v>149331.413</v>
      </c>
      <c r="E248" s="116">
        <v>0</v>
      </c>
      <c r="F248" s="116">
        <f t="shared" si="0"/>
        <v>149331.413</v>
      </c>
      <c r="G248" s="43" t="str">
        <f>_xlfn.XLOOKUP($A248,Map!$A:$A,Map!C:C)</f>
        <v>IS</v>
      </c>
      <c r="H248" s="43" t="str">
        <f>_xlfn.XLOOKUP($A248,Map!$A:$A,Map!D:D)</f>
        <v>Depreciation expenses</v>
      </c>
      <c r="I248" s="43" t="str">
        <f>_xlfn.XLOOKUP($A248,Map!$A:$A,Map!E:E)</f>
        <v>Depreciation expenses</v>
      </c>
      <c r="J248" s="43" t="str">
        <f>_xlfn.XLOOKUP($A248,Map!$A:$A,Map!F:F)</f>
        <v>Depreciation of property, plant and equipment</v>
      </c>
    </row>
    <row r="249" spans="1:10" x14ac:dyDescent="0.25">
      <c r="A249">
        <v>600032</v>
      </c>
      <c r="B249" t="s">
        <v>1360</v>
      </c>
      <c r="D249" s="116">
        <v>1566844.2</v>
      </c>
      <c r="E249" s="116">
        <v>0</v>
      </c>
      <c r="F249" s="116">
        <f t="shared" si="0"/>
        <v>1566844.2</v>
      </c>
      <c r="G249" s="43" t="str">
        <f>_xlfn.XLOOKUP($A249,Map!$A:$A,Map!C:C)</f>
        <v>IS</v>
      </c>
      <c r="H249" s="43" t="str">
        <f>_xlfn.XLOOKUP($A249,Map!$A:$A,Map!D:D)</f>
        <v>Depreciation expenses</v>
      </c>
      <c r="I249" s="43" t="str">
        <f>_xlfn.XLOOKUP($A249,Map!$A:$A,Map!E:E)</f>
        <v>Depreciation expenses</v>
      </c>
      <c r="J249" s="43" t="str">
        <f>_xlfn.XLOOKUP($A249,Map!$A:$A,Map!F:F)</f>
        <v>Depreciation of property, plant and equipment</v>
      </c>
    </row>
    <row r="250" spans="1:10" x14ac:dyDescent="0.25">
      <c r="A250">
        <v>600031</v>
      </c>
      <c r="B250" t="s">
        <v>1361</v>
      </c>
      <c r="D250" s="116">
        <v>17592.71</v>
      </c>
      <c r="E250" s="116">
        <v>0</v>
      </c>
      <c r="F250" s="116">
        <f t="shared" si="0"/>
        <v>17592.71</v>
      </c>
      <c r="G250" s="43" t="str">
        <f>_xlfn.XLOOKUP($A250,Map!$A:$A,Map!C:C)</f>
        <v>IS</v>
      </c>
      <c r="H250" s="43" t="str">
        <f>_xlfn.XLOOKUP($A250,Map!$A:$A,Map!D:D)</f>
        <v>Depreciation expenses</v>
      </c>
      <c r="I250" s="43" t="str">
        <f>_xlfn.XLOOKUP($A250,Map!$A:$A,Map!E:E)</f>
        <v>Depreciation expenses</v>
      </c>
      <c r="J250" s="43" t="str">
        <f>_xlfn.XLOOKUP($A250,Map!$A:$A,Map!F:F)</f>
        <v>Depreciation of property, plant and equipment</v>
      </c>
    </row>
    <row r="251" spans="1:10" x14ac:dyDescent="0.25">
      <c r="A251">
        <v>600031</v>
      </c>
      <c r="B251" t="s">
        <v>1008</v>
      </c>
      <c r="D251" s="116">
        <v>0</v>
      </c>
      <c r="E251" s="116">
        <v>17592.71</v>
      </c>
      <c r="F251" s="116">
        <f t="shared" si="0"/>
        <v>-17592.71</v>
      </c>
      <c r="G251" s="43" t="str">
        <f>_xlfn.XLOOKUP($A251,Map!$A:$A,Map!C:C)</f>
        <v>IS</v>
      </c>
      <c r="H251" s="43" t="str">
        <f>_xlfn.XLOOKUP($A251,Map!$A:$A,Map!D:D)</f>
        <v>Depreciation expenses</v>
      </c>
      <c r="I251" s="43" t="str">
        <f>_xlfn.XLOOKUP($A251,Map!$A:$A,Map!E:E)</f>
        <v>Depreciation expenses</v>
      </c>
      <c r="J251" s="43" t="str">
        <f>_xlfn.XLOOKUP($A251,Map!$A:$A,Map!F:F)</f>
        <v>Depreciation of property, plant and equipment</v>
      </c>
    </row>
    <row r="252" spans="1:10" x14ac:dyDescent="0.25">
      <c r="A252">
        <v>600030</v>
      </c>
      <c r="B252" t="s">
        <v>1362</v>
      </c>
      <c r="D252" s="116">
        <v>82730.331999999995</v>
      </c>
      <c r="E252" s="116">
        <v>0</v>
      </c>
      <c r="F252" s="116">
        <f t="shared" si="0"/>
        <v>82730.331999999995</v>
      </c>
      <c r="G252" s="43" t="str">
        <f>_xlfn.XLOOKUP($A252,Map!$A:$A,Map!C:C)</f>
        <v>IS</v>
      </c>
      <c r="H252" s="43" t="str">
        <f>_xlfn.XLOOKUP($A252,Map!$A:$A,Map!D:D)</f>
        <v>Depreciation expenses</v>
      </c>
      <c r="I252" s="43" t="str">
        <f>_xlfn.XLOOKUP($A252,Map!$A:$A,Map!E:E)</f>
        <v>Depreciation expenses</v>
      </c>
      <c r="J252" s="43" t="str">
        <f>_xlfn.XLOOKUP($A252,Map!$A:$A,Map!F:F)</f>
        <v>Depreciation of property, plant and equipment</v>
      </c>
    </row>
    <row r="253" spans="1:10" x14ac:dyDescent="0.25">
      <c r="A253">
        <v>600029</v>
      </c>
      <c r="B253" t="s">
        <v>1363</v>
      </c>
      <c r="D253" s="116">
        <v>3787622.0819999999</v>
      </c>
      <c r="E253" s="116">
        <v>0</v>
      </c>
      <c r="F253" s="116">
        <f t="shared" si="0"/>
        <v>3787622.0819999999</v>
      </c>
      <c r="G253" s="43" t="str">
        <f>_xlfn.XLOOKUP($A253,Map!$A:$A,Map!C:C)</f>
        <v>IS</v>
      </c>
      <c r="H253" s="43" t="str">
        <f>_xlfn.XLOOKUP($A253,Map!$A:$A,Map!D:D)</f>
        <v>Cost of sales</v>
      </c>
      <c r="I253" s="43" t="str">
        <f>_xlfn.XLOOKUP($A253,Map!$A:$A,Map!E:E)</f>
        <v>Depreciation - Machines</v>
      </c>
      <c r="J253" s="43" t="str">
        <f>_xlfn.XLOOKUP($A253,Map!$A:$A,Map!F:F)</f>
        <v>Depreciation of property, plant and equipment</v>
      </c>
    </row>
    <row r="254" spans="1:10" x14ac:dyDescent="0.25">
      <c r="A254">
        <v>600022</v>
      </c>
      <c r="B254" t="s">
        <v>1364</v>
      </c>
      <c r="D254" s="116">
        <v>34835</v>
      </c>
      <c r="E254" s="116">
        <v>0</v>
      </c>
      <c r="F254" s="116">
        <f t="shared" si="0"/>
        <v>34835</v>
      </c>
      <c r="G254" s="43" t="str">
        <f>_xlfn.XLOOKUP($A254,Map!$A:$A,Map!C:C)</f>
        <v>IS</v>
      </c>
      <c r="H254" s="43" t="str">
        <f>_xlfn.XLOOKUP($A254,Map!$A:$A,Map!D:D)</f>
        <v>Cost of sales</v>
      </c>
      <c r="I254" s="43" t="str">
        <f>_xlfn.XLOOKUP($A254,Map!$A:$A,Map!E:E)</f>
        <v>Overhead - R&amp;M</v>
      </c>
      <c r="J254" s="43" t="str">
        <f>_xlfn.XLOOKUP($A254,Map!$A:$A,Map!F:F)</f>
        <v>Building maintenance</v>
      </c>
    </row>
    <row r="255" spans="1:10" x14ac:dyDescent="0.25">
      <c r="A255">
        <v>600021</v>
      </c>
      <c r="B255" t="s">
        <v>1365</v>
      </c>
      <c r="D255" s="116">
        <v>34791.302000000003</v>
      </c>
      <c r="E255" s="116">
        <v>0</v>
      </c>
      <c r="F255" s="116">
        <f t="shared" si="0"/>
        <v>34791.302000000003</v>
      </c>
      <c r="G255" s="43" t="str">
        <f>_xlfn.XLOOKUP($A255,Map!$A:$A,Map!C:C)</f>
        <v>IS</v>
      </c>
      <c r="H255" s="43" t="str">
        <f>_xlfn.XLOOKUP($A255,Map!$A:$A,Map!D:D)</f>
        <v>Cost of sales</v>
      </c>
      <c r="I255" s="43" t="str">
        <f>_xlfn.XLOOKUP($A255,Map!$A:$A,Map!E:E)</f>
        <v>Overhead - R&amp;M</v>
      </c>
      <c r="J255" s="43" t="str">
        <f>_xlfn.XLOOKUP($A255,Map!$A:$A,Map!F:F)</f>
        <v>Vehicle maintenance</v>
      </c>
    </row>
    <row r="256" spans="1:10" x14ac:dyDescent="0.25">
      <c r="A256">
        <v>600020</v>
      </c>
      <c r="B256" t="s">
        <v>1366</v>
      </c>
      <c r="D256" s="116">
        <v>1696601.281</v>
      </c>
      <c r="E256" s="116">
        <v>0</v>
      </c>
      <c r="F256" s="116">
        <f t="shared" si="0"/>
        <v>1696601.281</v>
      </c>
      <c r="G256" s="43" t="str">
        <f>_xlfn.XLOOKUP($A256,Map!$A:$A,Map!C:C)</f>
        <v>IS</v>
      </c>
      <c r="H256" s="43" t="str">
        <f>_xlfn.XLOOKUP($A256,Map!$A:$A,Map!D:D)</f>
        <v>Cost of sales</v>
      </c>
      <c r="I256" s="43" t="str">
        <f>_xlfn.XLOOKUP($A256,Map!$A:$A,Map!E:E)</f>
        <v>Overhead - R&amp;M</v>
      </c>
      <c r="J256" s="43" t="str">
        <f>_xlfn.XLOOKUP($A256,Map!$A:$A,Map!F:F)</f>
        <v>Machine and equipment</v>
      </c>
    </row>
    <row r="257" spans="1:10" x14ac:dyDescent="0.25">
      <c r="A257">
        <v>600020</v>
      </c>
      <c r="B257" t="s">
        <v>997</v>
      </c>
      <c r="D257" s="116">
        <v>10650</v>
      </c>
      <c r="E257" s="116">
        <v>0</v>
      </c>
      <c r="F257" s="116">
        <f t="shared" si="0"/>
        <v>10650</v>
      </c>
      <c r="G257" s="43" t="str">
        <f>_xlfn.XLOOKUP($A257,Map!$A:$A,Map!C:C)</f>
        <v>IS</v>
      </c>
      <c r="H257" s="43" t="str">
        <f>_xlfn.XLOOKUP($A257,Map!$A:$A,Map!D:D)</f>
        <v>Cost of sales</v>
      </c>
      <c r="I257" s="43" t="str">
        <f>_xlfn.XLOOKUP($A257,Map!$A:$A,Map!E:E)</f>
        <v>Overhead - R&amp;M</v>
      </c>
      <c r="J257" s="43" t="str">
        <f>_xlfn.XLOOKUP($A257,Map!$A:$A,Map!F:F)</f>
        <v>Machine and equipment</v>
      </c>
    </row>
    <row r="258" spans="1:10" x14ac:dyDescent="0.25">
      <c r="A258">
        <v>600019</v>
      </c>
      <c r="B258" t="s">
        <v>1367</v>
      </c>
      <c r="D258" s="116">
        <v>42545.82</v>
      </c>
      <c r="E258" s="116">
        <v>0</v>
      </c>
      <c r="F258" s="116">
        <f t="shared" si="0"/>
        <v>42545.82</v>
      </c>
      <c r="G258" s="43" t="str">
        <f>_xlfn.XLOOKUP($A258,Map!$A:$A,Map!C:C)</f>
        <v>IS</v>
      </c>
      <c r="H258" s="43" t="str">
        <f>_xlfn.XLOOKUP($A258,Map!$A:$A,Map!D:D)</f>
        <v>Cost of sales</v>
      </c>
      <c r="I258" s="43" t="str">
        <f>_xlfn.XLOOKUP($A258,Map!$A:$A,Map!E:E)</f>
        <v>Overhead - Utility</v>
      </c>
      <c r="J258" s="43" t="str">
        <f>_xlfn.XLOOKUP($A258,Map!$A:$A,Map!F:F)</f>
        <v>Fuel and oil</v>
      </c>
    </row>
    <row r="259" spans="1:10" x14ac:dyDescent="0.25">
      <c r="A259">
        <v>600018</v>
      </c>
      <c r="B259" t="s">
        <v>1368</v>
      </c>
      <c r="D259" s="116">
        <v>77430</v>
      </c>
      <c r="E259" s="116">
        <v>0</v>
      </c>
      <c r="F259" s="116">
        <f t="shared" si="0"/>
        <v>77430</v>
      </c>
      <c r="G259" s="43" t="str">
        <f>_xlfn.XLOOKUP($A259,Map!$A:$A,Map!C:C)</f>
        <v>IS</v>
      </c>
      <c r="H259" s="43" t="str">
        <f>_xlfn.XLOOKUP($A259,Map!$A:$A,Map!D:D)</f>
        <v>Cost of sales</v>
      </c>
      <c r="I259" s="43" t="str">
        <f>_xlfn.XLOOKUP($A259,Map!$A:$A,Map!E:E)</f>
        <v>Overhead - Utility</v>
      </c>
      <c r="J259" s="43" t="str">
        <f>_xlfn.XLOOKUP($A259,Map!$A:$A,Map!F:F)</f>
        <v>Water expenses</v>
      </c>
    </row>
    <row r="260" spans="1:10" x14ac:dyDescent="0.25">
      <c r="A260">
        <v>600018</v>
      </c>
      <c r="B260" t="s">
        <v>995</v>
      </c>
      <c r="D260" s="116">
        <v>113280</v>
      </c>
      <c r="E260" s="116">
        <v>0</v>
      </c>
      <c r="F260" s="116">
        <f t="shared" si="0"/>
        <v>113280</v>
      </c>
      <c r="G260" s="43" t="str">
        <f>_xlfn.XLOOKUP($A260,Map!$A:$A,Map!C:C)</f>
        <v>IS</v>
      </c>
      <c r="H260" s="43" t="str">
        <f>_xlfn.XLOOKUP($A260,Map!$A:$A,Map!D:D)</f>
        <v>Cost of sales</v>
      </c>
      <c r="I260" s="43" t="str">
        <f>_xlfn.XLOOKUP($A260,Map!$A:$A,Map!E:E)</f>
        <v>Overhead - Utility</v>
      </c>
      <c r="J260" s="43" t="str">
        <f>_xlfn.XLOOKUP($A260,Map!$A:$A,Map!F:F)</f>
        <v>Water expenses</v>
      </c>
    </row>
    <row r="261" spans="1:10" x14ac:dyDescent="0.25">
      <c r="A261">
        <v>600017</v>
      </c>
      <c r="B261" t="s">
        <v>1369</v>
      </c>
      <c r="D261" s="116">
        <v>2358711.4180000001</v>
      </c>
      <c r="E261" s="116">
        <v>0</v>
      </c>
      <c r="F261" s="116">
        <f t="shared" si="0"/>
        <v>2358711.4180000001</v>
      </c>
      <c r="G261" s="43" t="str">
        <f>_xlfn.XLOOKUP($A261,Map!$A:$A,Map!C:C)</f>
        <v>IS</v>
      </c>
      <c r="H261" s="43" t="str">
        <f>_xlfn.XLOOKUP($A261,Map!$A:$A,Map!D:D)</f>
        <v>Cost of sales</v>
      </c>
      <c r="I261" s="43" t="str">
        <f>_xlfn.XLOOKUP($A261,Map!$A:$A,Map!E:E)</f>
        <v>Overhead - Utility</v>
      </c>
      <c r="J261" s="43" t="str">
        <f>_xlfn.XLOOKUP($A261,Map!$A:$A,Map!F:F)</f>
        <v>Electricity expenses</v>
      </c>
    </row>
    <row r="262" spans="1:10" x14ac:dyDescent="0.25">
      <c r="A262">
        <v>600016</v>
      </c>
      <c r="B262" t="s">
        <v>1370</v>
      </c>
      <c r="D262" s="116">
        <v>459210.62699999998</v>
      </c>
      <c r="E262" s="116">
        <v>0</v>
      </c>
      <c r="F262" s="116">
        <f t="shared" si="0"/>
        <v>459210.62699999998</v>
      </c>
      <c r="G262" s="43" t="str">
        <f>_xlfn.XLOOKUP($A262,Map!$A:$A,Map!C:C)</f>
        <v>IS</v>
      </c>
      <c r="H262" s="43" t="str">
        <f>_xlfn.XLOOKUP($A262,Map!$A:$A,Map!D:D)</f>
        <v>Cost of sales</v>
      </c>
      <c r="I262" s="43" t="str">
        <f>_xlfn.XLOOKUP($A262,Map!$A:$A,Map!E:E)</f>
        <v>Overhead - Consumables &amp; SP</v>
      </c>
      <c r="J262" s="43" t="str">
        <f>_xlfn.XLOOKUP($A262,Map!$A:$A,Map!F:F)</f>
        <v>Tools</v>
      </c>
    </row>
    <row r="263" spans="1:10" x14ac:dyDescent="0.25">
      <c r="A263">
        <v>600016</v>
      </c>
      <c r="B263" t="s">
        <v>1371</v>
      </c>
      <c r="D263" s="116">
        <v>432.5</v>
      </c>
      <c r="E263" s="116">
        <v>0</v>
      </c>
      <c r="F263" s="116">
        <f t="shared" si="0"/>
        <v>432.5</v>
      </c>
      <c r="G263" s="43" t="str">
        <f>_xlfn.XLOOKUP($A263,Map!$A:$A,Map!C:C)</f>
        <v>IS</v>
      </c>
      <c r="H263" s="43" t="str">
        <f>_xlfn.XLOOKUP($A263,Map!$A:$A,Map!D:D)</f>
        <v>Cost of sales</v>
      </c>
      <c r="I263" s="43" t="str">
        <f>_xlfn.XLOOKUP($A263,Map!$A:$A,Map!E:E)</f>
        <v>Overhead - Consumables &amp; SP</v>
      </c>
      <c r="J263" s="43" t="str">
        <f>_xlfn.XLOOKUP($A263,Map!$A:$A,Map!F:F)</f>
        <v>Tools</v>
      </c>
    </row>
    <row r="264" spans="1:10" x14ac:dyDescent="0.25">
      <c r="A264">
        <v>600016</v>
      </c>
      <c r="B264" t="s">
        <v>993</v>
      </c>
      <c r="D264" s="116">
        <v>5970993.6390000004</v>
      </c>
      <c r="E264" s="116">
        <v>0</v>
      </c>
      <c r="F264" s="116">
        <f t="shared" si="0"/>
        <v>5970993.6390000004</v>
      </c>
      <c r="G264" s="43" t="str">
        <f>_xlfn.XLOOKUP($A264,Map!$A:$A,Map!C:C)</f>
        <v>IS</v>
      </c>
      <c r="H264" s="43" t="str">
        <f>_xlfn.XLOOKUP($A264,Map!$A:$A,Map!D:D)</f>
        <v>Cost of sales</v>
      </c>
      <c r="I264" s="43" t="str">
        <f>_xlfn.XLOOKUP($A264,Map!$A:$A,Map!E:E)</f>
        <v>Overhead - Consumables &amp; SP</v>
      </c>
      <c r="J264" s="43" t="str">
        <f>_xlfn.XLOOKUP($A264,Map!$A:$A,Map!F:F)</f>
        <v>Tools</v>
      </c>
    </row>
    <row r="265" spans="1:10" x14ac:dyDescent="0.25">
      <c r="A265">
        <v>600014</v>
      </c>
      <c r="B265" t="s">
        <v>1372</v>
      </c>
      <c r="D265" s="116">
        <v>310703.31900000002</v>
      </c>
      <c r="E265" s="116">
        <v>0</v>
      </c>
      <c r="F265" s="116">
        <f t="shared" si="0"/>
        <v>310703.31900000002</v>
      </c>
      <c r="G265" s="43" t="str">
        <f>_xlfn.XLOOKUP($A265,Map!$A:$A,Map!C:C)</f>
        <v>IS</v>
      </c>
      <c r="H265" s="43" t="str">
        <f>_xlfn.XLOOKUP($A265,Map!$A:$A,Map!D:D)</f>
        <v>Cost of sales</v>
      </c>
      <c r="I265" s="43" t="str">
        <f>_xlfn.XLOOKUP($A265,Map!$A:$A,Map!E:E)</f>
        <v>Overhead - Consumables &amp; SP</v>
      </c>
      <c r="J265" s="43" t="str">
        <f>_xlfn.XLOOKUP($A265,Map!$A:$A,Map!F:F)</f>
        <v>Consumables</v>
      </c>
    </row>
    <row r="266" spans="1:10" x14ac:dyDescent="0.25">
      <c r="A266">
        <v>600014</v>
      </c>
      <c r="B266" t="s">
        <v>884</v>
      </c>
      <c r="D266" s="116">
        <v>2807071.8309999998</v>
      </c>
      <c r="E266" s="116">
        <v>0</v>
      </c>
      <c r="F266" s="116">
        <f t="shared" si="0"/>
        <v>2807071.8309999998</v>
      </c>
      <c r="G266" s="43" t="str">
        <f>_xlfn.XLOOKUP($A266,Map!$A:$A,Map!C:C)</f>
        <v>IS</v>
      </c>
      <c r="H266" s="43" t="str">
        <f>_xlfn.XLOOKUP($A266,Map!$A:$A,Map!D:D)</f>
        <v>Cost of sales</v>
      </c>
      <c r="I266" s="43" t="str">
        <f>_xlfn.XLOOKUP($A266,Map!$A:$A,Map!E:E)</f>
        <v>Overhead - Consumables &amp; SP</v>
      </c>
      <c r="J266" s="43" t="str">
        <f>_xlfn.XLOOKUP($A266,Map!$A:$A,Map!F:F)</f>
        <v>Consumables</v>
      </c>
    </row>
    <row r="267" spans="1:10" x14ac:dyDescent="0.25">
      <c r="A267">
        <v>600011</v>
      </c>
      <c r="B267" t="s">
        <v>1373</v>
      </c>
      <c r="D267" s="116">
        <v>13251</v>
      </c>
      <c r="E267" s="116">
        <v>0</v>
      </c>
      <c r="F267" s="116">
        <f t="shared" si="0"/>
        <v>13251</v>
      </c>
      <c r="G267" s="43" t="str">
        <f>_xlfn.XLOOKUP($A267,Map!$A:$A,Map!C:C)</f>
        <v>IS</v>
      </c>
      <c r="H267" s="43" t="str">
        <f>_xlfn.XLOOKUP($A267,Map!$A:$A,Map!D:D)</f>
        <v>Cost of sales</v>
      </c>
      <c r="I267" s="43" t="str">
        <f>_xlfn.XLOOKUP($A267,Map!$A:$A,Map!E:E)</f>
        <v>Overhead - Labor Cost</v>
      </c>
      <c r="J267" s="43" t="str">
        <f>_xlfn.XLOOKUP($A267,Map!$A:$A,Map!F:F)</f>
        <v>Air tickets</v>
      </c>
    </row>
    <row r="268" spans="1:10" x14ac:dyDescent="0.25">
      <c r="A268">
        <v>600010</v>
      </c>
      <c r="B268" t="s">
        <v>1374</v>
      </c>
      <c r="D268" s="116">
        <v>4434</v>
      </c>
      <c r="E268" s="116">
        <v>0</v>
      </c>
      <c r="F268" s="116">
        <f t="shared" si="0"/>
        <v>4434</v>
      </c>
      <c r="G268" s="43" t="str">
        <f>_xlfn.XLOOKUP($A268,Map!$A:$A,Map!C:C)</f>
        <v>IS</v>
      </c>
      <c r="H268" s="43" t="str">
        <f>_xlfn.XLOOKUP($A268,Map!$A:$A,Map!D:D)</f>
        <v>Cost of sales</v>
      </c>
      <c r="I268" s="43" t="str">
        <f>_xlfn.XLOOKUP($A268,Map!$A:$A,Map!E:E)</f>
        <v>Overhead - Labor Cost</v>
      </c>
      <c r="J268" s="43" t="str">
        <f>_xlfn.XLOOKUP($A268,Map!$A:$A,Map!F:F)</f>
        <v>EOS expenses</v>
      </c>
    </row>
    <row r="269" spans="1:10" x14ac:dyDescent="0.25">
      <c r="A269">
        <v>600009</v>
      </c>
      <c r="B269" t="s">
        <v>1375</v>
      </c>
      <c r="D269" s="116">
        <v>96617.77</v>
      </c>
      <c r="E269" s="116">
        <v>0</v>
      </c>
      <c r="F269" s="116">
        <f t="shared" si="0"/>
        <v>96617.77</v>
      </c>
      <c r="G269" s="43" t="str">
        <f>_xlfn.XLOOKUP($A269,Map!$A:$A,Map!C:C)</f>
        <v>IS</v>
      </c>
      <c r="H269" s="43" t="str">
        <f>_xlfn.XLOOKUP($A269,Map!$A:$A,Map!D:D)</f>
        <v>Cost of sales</v>
      </c>
      <c r="I269" s="43" t="str">
        <f>_xlfn.XLOOKUP($A269,Map!$A:$A,Map!E:E)</f>
        <v>Overhead - Labor Cost</v>
      </c>
      <c r="J269" s="43" t="str">
        <f>_xlfn.XLOOKUP($A269,Map!$A:$A,Map!F:F)</f>
        <v>Vacation pay</v>
      </c>
    </row>
    <row r="270" spans="1:10" x14ac:dyDescent="0.25">
      <c r="A270">
        <v>600008</v>
      </c>
      <c r="B270" t="s">
        <v>1376</v>
      </c>
      <c r="D270" s="116">
        <v>629537.38199999998</v>
      </c>
      <c r="E270" s="116">
        <v>0</v>
      </c>
      <c r="F270" s="116">
        <f t="shared" si="0"/>
        <v>629537.38199999998</v>
      </c>
      <c r="G270" s="43" t="str">
        <f>_xlfn.XLOOKUP($A270,Map!$A:$A,Map!C:C)</f>
        <v>IS</v>
      </c>
      <c r="H270" s="43" t="str">
        <f>_xlfn.XLOOKUP($A270,Map!$A:$A,Map!D:D)</f>
        <v>Cost of sales</v>
      </c>
      <c r="I270" s="43" t="str">
        <f>_xlfn.XLOOKUP($A270,Map!$A:$A,Map!E:E)</f>
        <v>Overhead - Labor Cost</v>
      </c>
      <c r="J270" s="43" t="str">
        <f>_xlfn.XLOOKUP($A270,Map!$A:$A,Map!F:F)</f>
        <v>Air tickets</v>
      </c>
    </row>
    <row r="271" spans="1:10" x14ac:dyDescent="0.25">
      <c r="A271">
        <v>600007</v>
      </c>
      <c r="B271" t="s">
        <v>1377</v>
      </c>
      <c r="D271" s="116">
        <v>2500</v>
      </c>
      <c r="E271" s="116">
        <v>0</v>
      </c>
      <c r="F271" s="116">
        <f t="shared" si="0"/>
        <v>2500</v>
      </c>
      <c r="G271" s="43" t="str">
        <f>_xlfn.XLOOKUP($A271,Map!$A:$A,Map!C:C)</f>
        <v>IS</v>
      </c>
      <c r="H271" s="43" t="str">
        <f>_xlfn.XLOOKUP($A271,Map!$A:$A,Map!D:D)</f>
        <v>Cost of sales</v>
      </c>
      <c r="I271" s="43" t="str">
        <f>_xlfn.XLOOKUP($A271,Map!$A:$A,Map!E:E)</f>
        <v>Overhead - Labor Cost</v>
      </c>
      <c r="J271" s="43" t="str">
        <f>_xlfn.XLOOKUP($A271,Map!$A:$A,Map!F:F)</f>
        <v>Transportation allowance</v>
      </c>
    </row>
    <row r="272" spans="1:10" x14ac:dyDescent="0.25">
      <c r="A272">
        <v>600006</v>
      </c>
      <c r="B272" t="s">
        <v>1378</v>
      </c>
      <c r="D272" s="116">
        <v>1751226.83</v>
      </c>
      <c r="E272" s="116">
        <v>0</v>
      </c>
      <c r="F272" s="116">
        <f t="shared" si="0"/>
        <v>1751226.83</v>
      </c>
      <c r="G272" s="43" t="str">
        <f>_xlfn.XLOOKUP($A272,Map!$A:$A,Map!C:C)</f>
        <v>IS</v>
      </c>
      <c r="H272" s="43" t="str">
        <f>_xlfn.XLOOKUP($A272,Map!$A:$A,Map!D:D)</f>
        <v>Cost of sales</v>
      </c>
      <c r="I272" s="43" t="str">
        <f>_xlfn.XLOOKUP($A272,Map!$A:$A,Map!E:E)</f>
        <v>Overhead - Labor Cost</v>
      </c>
      <c r="J272" s="43" t="str">
        <f>_xlfn.XLOOKUP($A272,Map!$A:$A,Map!F:F)</f>
        <v xml:space="preserve">Food &amp; Housing </v>
      </c>
    </row>
    <row r="273" spans="1:10" x14ac:dyDescent="0.25">
      <c r="A273">
        <v>600005</v>
      </c>
      <c r="B273" t="s">
        <v>1379</v>
      </c>
      <c r="D273" s="116">
        <v>171568.13</v>
      </c>
      <c r="E273" s="116">
        <v>0</v>
      </c>
      <c r="F273" s="116">
        <f t="shared" si="0"/>
        <v>171568.13</v>
      </c>
      <c r="G273" s="43" t="str">
        <f>_xlfn.XLOOKUP($A273,Map!$A:$A,Map!C:C)</f>
        <v>IS</v>
      </c>
      <c r="H273" s="43" t="str">
        <f>_xlfn.XLOOKUP($A273,Map!$A:$A,Map!D:D)</f>
        <v>General and Admin</v>
      </c>
      <c r="I273" s="43" t="str">
        <f>_xlfn.XLOOKUP($A273,Map!$A:$A,Map!E:E)</f>
        <v>Govt license and fees (including modon)</v>
      </c>
      <c r="J273" s="43" t="str">
        <f>_xlfn.XLOOKUP($A273,Map!$A:$A,Map!F:F)</f>
        <v>Government fees</v>
      </c>
    </row>
    <row r="274" spans="1:10" x14ac:dyDescent="0.25">
      <c r="A274">
        <v>600005</v>
      </c>
      <c r="B274" t="s">
        <v>983</v>
      </c>
      <c r="D274" s="116">
        <v>500</v>
      </c>
      <c r="E274" s="116">
        <v>0</v>
      </c>
      <c r="F274" s="116">
        <f t="shared" si="0"/>
        <v>500</v>
      </c>
      <c r="G274" s="43" t="str">
        <f>_xlfn.XLOOKUP($A274,Map!$A:$A,Map!C:C)</f>
        <v>IS</v>
      </c>
      <c r="H274" s="43" t="str">
        <f>_xlfn.XLOOKUP($A274,Map!$A:$A,Map!D:D)</f>
        <v>General and Admin</v>
      </c>
      <c r="I274" s="43" t="str">
        <f>_xlfn.XLOOKUP($A274,Map!$A:$A,Map!E:E)</f>
        <v>Govt license and fees (including modon)</v>
      </c>
      <c r="J274" s="43" t="str">
        <f>_xlfn.XLOOKUP($A274,Map!$A:$A,Map!F:F)</f>
        <v>Government fees</v>
      </c>
    </row>
    <row r="275" spans="1:10" x14ac:dyDescent="0.25">
      <c r="A275">
        <v>600004</v>
      </c>
      <c r="B275" t="s">
        <v>1380</v>
      </c>
      <c r="D275" s="116">
        <v>474558.39399999997</v>
      </c>
      <c r="E275" s="116">
        <v>0</v>
      </c>
      <c r="F275" s="116">
        <f t="shared" si="0"/>
        <v>474558.39399999997</v>
      </c>
      <c r="G275" s="43" t="str">
        <f>_xlfn.XLOOKUP($A275,Map!$A:$A,Map!C:C)</f>
        <v>IS</v>
      </c>
      <c r="H275" s="43" t="str">
        <f>_xlfn.XLOOKUP($A275,Map!$A:$A,Map!D:D)</f>
        <v>Cost of sales</v>
      </c>
      <c r="I275" s="43" t="str">
        <f>_xlfn.XLOOKUP($A275,Map!$A:$A,Map!E:E)</f>
        <v>Overhead - Labor Cost</v>
      </c>
      <c r="J275" s="43" t="str">
        <f>_xlfn.XLOOKUP($A275,Map!$A:$A,Map!F:F)</f>
        <v>Medical insurance</v>
      </c>
    </row>
    <row r="276" spans="1:10" x14ac:dyDescent="0.25">
      <c r="A276">
        <v>600003</v>
      </c>
      <c r="B276" t="s">
        <v>1381</v>
      </c>
      <c r="D276" s="116">
        <v>941816.5</v>
      </c>
      <c r="E276" s="116">
        <v>0</v>
      </c>
      <c r="F276" s="116">
        <f t="shared" si="0"/>
        <v>941816.5</v>
      </c>
      <c r="G276" s="43" t="str">
        <f>_xlfn.XLOOKUP($A276,Map!$A:$A,Map!C:C)</f>
        <v>IS</v>
      </c>
      <c r="H276" s="43" t="str">
        <f>_xlfn.XLOOKUP($A276,Map!$A:$A,Map!D:D)</f>
        <v>Cost of sales</v>
      </c>
      <c r="I276" s="43" t="str">
        <f>_xlfn.XLOOKUP($A276,Map!$A:$A,Map!E:E)</f>
        <v>Overhead - Labor Cost</v>
      </c>
      <c r="J276" s="43" t="str">
        <f>_xlfn.XLOOKUP($A276,Map!$A:$A,Map!F:F)</f>
        <v xml:space="preserve">Food &amp; Housing </v>
      </c>
    </row>
    <row r="277" spans="1:10" x14ac:dyDescent="0.25">
      <c r="A277">
        <v>600002</v>
      </c>
      <c r="B277" t="s">
        <v>1382</v>
      </c>
      <c r="D277" s="116">
        <v>399808.31</v>
      </c>
      <c r="E277" s="116">
        <v>0</v>
      </c>
      <c r="F277" s="116">
        <f t="shared" si="0"/>
        <v>399808.31</v>
      </c>
      <c r="G277" s="43" t="str">
        <f>_xlfn.XLOOKUP($A277,Map!$A:$A,Map!C:C)</f>
        <v>IS</v>
      </c>
      <c r="H277" s="43" t="str">
        <f>_xlfn.XLOOKUP($A277,Map!$A:$A,Map!D:D)</f>
        <v>Cost of sales</v>
      </c>
      <c r="I277" s="43" t="str">
        <f>_xlfn.XLOOKUP($A277,Map!$A:$A,Map!E:E)</f>
        <v>Overhead - Labor Cost</v>
      </c>
      <c r="J277" s="43" t="str">
        <f>_xlfn.XLOOKUP($A277,Map!$A:$A,Map!F:F)</f>
        <v>Overtime pay</v>
      </c>
    </row>
    <row r="278" spans="1:10" x14ac:dyDescent="0.25">
      <c r="A278">
        <v>600001</v>
      </c>
      <c r="B278" t="s">
        <v>1383</v>
      </c>
      <c r="D278" s="116">
        <v>3145810.7</v>
      </c>
      <c r="E278" s="116">
        <v>0</v>
      </c>
      <c r="F278" s="116">
        <f t="shared" ref="F278:F309" si="1">D278-E278</f>
        <v>3145810.7</v>
      </c>
      <c r="G278" s="43" t="str">
        <f>_xlfn.XLOOKUP($A278,Map!$A:$A,Map!C:C)</f>
        <v>IS</v>
      </c>
      <c r="H278" s="43" t="str">
        <f>_xlfn.XLOOKUP($A278,Map!$A:$A,Map!D:D)</f>
        <v>Cost of sales</v>
      </c>
      <c r="I278" s="43" t="str">
        <f>_xlfn.XLOOKUP($A278,Map!$A:$A,Map!E:E)</f>
        <v>Overhead - Labor Cost</v>
      </c>
      <c r="J278" s="43" t="str">
        <f>_xlfn.XLOOKUP($A278,Map!$A:$A,Map!F:F)</f>
        <v>Indirect Salaries — factory supervisory / indirect floor labour (COGS)</v>
      </c>
    </row>
    <row r="279" spans="1:10" x14ac:dyDescent="0.25">
      <c r="A279">
        <v>600001</v>
      </c>
      <c r="B279" t="s">
        <v>979</v>
      </c>
      <c r="D279" s="116">
        <v>3753</v>
      </c>
      <c r="E279" s="116">
        <v>0</v>
      </c>
      <c r="F279" s="116">
        <f t="shared" si="1"/>
        <v>3753</v>
      </c>
      <c r="G279" s="43" t="str">
        <f>_xlfn.XLOOKUP($A279,Map!$A:$A,Map!C:C)</f>
        <v>IS</v>
      </c>
      <c r="H279" s="43" t="str">
        <f>_xlfn.XLOOKUP($A279,Map!$A:$A,Map!D:D)</f>
        <v>Cost of sales</v>
      </c>
      <c r="I279" s="43" t="str">
        <f>_xlfn.XLOOKUP($A279,Map!$A:$A,Map!E:E)</f>
        <v>Overhead - Labor Cost</v>
      </c>
      <c r="J279" s="43" t="str">
        <f>_xlfn.XLOOKUP($A279,Map!$A:$A,Map!F:F)</f>
        <v>Indirect Salaries — factory supervisory / indirect floor labour (COGS)</v>
      </c>
    </row>
    <row r="280" spans="1:10" x14ac:dyDescent="0.25">
      <c r="A280">
        <v>520042</v>
      </c>
      <c r="B280" t="s">
        <v>971</v>
      </c>
      <c r="D280" s="116">
        <v>989833.52599999995</v>
      </c>
      <c r="E280" s="116">
        <v>0</v>
      </c>
      <c r="F280" s="116">
        <f t="shared" si="1"/>
        <v>989833.52599999995</v>
      </c>
      <c r="G280" s="43" t="str">
        <f>_xlfn.XLOOKUP($A280,Map!$A:$A,Map!C:C)</f>
        <v>IS</v>
      </c>
      <c r="H280" s="43" t="str">
        <f>_xlfn.XLOOKUP($A280,Map!$A:$A,Map!D:D)</f>
        <v>Cost of sales</v>
      </c>
      <c r="I280" s="43" t="str">
        <f>_xlfn.XLOOKUP($A280,Map!$A:$A,Map!E:E)</f>
        <v>Raw materials</v>
      </c>
      <c r="J280" s="43" t="str">
        <f>_xlfn.XLOOKUP($A280,Map!$A:$A,Map!F:F)</f>
        <v>Inventory Adjustment</v>
      </c>
    </row>
    <row r="281" spans="1:10" x14ac:dyDescent="0.25">
      <c r="A281">
        <v>520041</v>
      </c>
      <c r="B281" t="s">
        <v>970</v>
      </c>
      <c r="D281" s="116">
        <v>0</v>
      </c>
      <c r="E281" s="116">
        <v>14000088.23</v>
      </c>
      <c r="F281" s="116">
        <f t="shared" si="1"/>
        <v>-14000088.23</v>
      </c>
      <c r="G281" s="43" t="str">
        <f>_xlfn.XLOOKUP($A281,Map!$A:$A,Map!C:C)</f>
        <v>IS</v>
      </c>
      <c r="H281" s="43" t="str">
        <f>_xlfn.XLOOKUP($A281,Map!$A:$A,Map!D:D)</f>
        <v>Cost of sales</v>
      </c>
      <c r="I281" s="43" t="str">
        <f>_xlfn.XLOOKUP($A281,Map!$A:$A,Map!E:E)</f>
        <v>Raw materials</v>
      </c>
      <c r="J281" s="43" t="str">
        <f>_xlfn.XLOOKUP($A281,Map!$A:$A,Map!F:F)</f>
        <v>Other expenses</v>
      </c>
    </row>
    <row r="282" spans="1:10" x14ac:dyDescent="0.25">
      <c r="A282">
        <v>520040</v>
      </c>
      <c r="B282" t="s">
        <v>969</v>
      </c>
      <c r="D282" s="116">
        <v>372.28899999999999</v>
      </c>
      <c r="E282" s="116">
        <v>0</v>
      </c>
      <c r="F282" s="116">
        <f t="shared" si="1"/>
        <v>372.28899999999999</v>
      </c>
      <c r="G282" s="43" t="str">
        <f>_xlfn.XLOOKUP($A282,Map!$A:$A,Map!C:C)</f>
        <v>IS</v>
      </c>
      <c r="H282" s="43" t="str">
        <f>_xlfn.XLOOKUP($A282,Map!$A:$A,Map!D:D)</f>
        <v>Cost of sales</v>
      </c>
      <c r="I282" s="43" t="str">
        <f>_xlfn.XLOOKUP($A282,Map!$A:$A,Map!E:E)</f>
        <v>Raw materials</v>
      </c>
      <c r="J282" s="43" t="str">
        <f>_xlfn.XLOOKUP($A282,Map!$A:$A,Map!F:F)</f>
        <v>Other expenses</v>
      </c>
    </row>
    <row r="283" spans="1:10" x14ac:dyDescent="0.25">
      <c r="A283">
        <v>520037</v>
      </c>
      <c r="B283" t="s">
        <v>1384</v>
      </c>
      <c r="D283" s="116">
        <v>0</v>
      </c>
      <c r="E283" s="116">
        <v>2E-3</v>
      </c>
      <c r="F283" s="116">
        <f t="shared" si="1"/>
        <v>-2E-3</v>
      </c>
      <c r="G283" s="43" t="str">
        <f>_xlfn.XLOOKUP($A283,Map!$A:$A,Map!C:C)</f>
        <v>IS</v>
      </c>
      <c r="H283" s="43" t="str">
        <f>_xlfn.XLOOKUP($A283,Map!$A:$A,Map!D:D)</f>
        <v>Cost of sales</v>
      </c>
      <c r="I283" s="43" t="str">
        <f>_xlfn.XLOOKUP($A283,Map!$A:$A,Map!E:E)</f>
        <v>Raw materials</v>
      </c>
      <c r="J283" s="43" t="str">
        <f>_xlfn.XLOOKUP($A283,Map!$A:$A,Map!F:F)</f>
        <v>Raw materials</v>
      </c>
    </row>
    <row r="284" spans="1:10" x14ac:dyDescent="0.25">
      <c r="A284">
        <v>520037</v>
      </c>
      <c r="B284" t="s">
        <v>1385</v>
      </c>
      <c r="D284" s="116">
        <v>3.0000000000000001E-3</v>
      </c>
      <c r="E284" s="116">
        <v>0</v>
      </c>
      <c r="F284" s="116">
        <f t="shared" si="1"/>
        <v>3.0000000000000001E-3</v>
      </c>
      <c r="G284" s="43" t="str">
        <f>_xlfn.XLOOKUP($A284,Map!$A:$A,Map!C:C)</f>
        <v>IS</v>
      </c>
      <c r="H284" s="43" t="str">
        <f>_xlfn.XLOOKUP($A284,Map!$A:$A,Map!D:D)</f>
        <v>Cost of sales</v>
      </c>
      <c r="I284" s="43" t="str">
        <f>_xlfn.XLOOKUP($A284,Map!$A:$A,Map!E:E)</f>
        <v>Raw materials</v>
      </c>
      <c r="J284" s="43" t="str">
        <f>_xlfn.XLOOKUP($A284,Map!$A:$A,Map!F:F)</f>
        <v>Raw materials</v>
      </c>
    </row>
    <row r="285" spans="1:10" x14ac:dyDescent="0.25">
      <c r="A285">
        <v>520037</v>
      </c>
      <c r="B285" t="s">
        <v>1386</v>
      </c>
      <c r="D285" s="116">
        <v>4.0000000000000001E-3</v>
      </c>
      <c r="E285" s="116">
        <v>0</v>
      </c>
      <c r="F285" s="116">
        <f t="shared" si="1"/>
        <v>4.0000000000000001E-3</v>
      </c>
      <c r="G285" s="43" t="str">
        <f>_xlfn.XLOOKUP($A285,Map!$A:$A,Map!C:C)</f>
        <v>IS</v>
      </c>
      <c r="H285" s="43" t="str">
        <f>_xlfn.XLOOKUP($A285,Map!$A:$A,Map!D:D)</f>
        <v>Cost of sales</v>
      </c>
      <c r="I285" s="43" t="str">
        <f>_xlfn.XLOOKUP($A285,Map!$A:$A,Map!E:E)</f>
        <v>Raw materials</v>
      </c>
      <c r="J285" s="43" t="str">
        <f>_xlfn.XLOOKUP($A285,Map!$A:$A,Map!F:F)</f>
        <v>Raw materials</v>
      </c>
    </row>
    <row r="286" spans="1:10" x14ac:dyDescent="0.25">
      <c r="A286">
        <v>520037</v>
      </c>
      <c r="B286" t="s">
        <v>967</v>
      </c>
      <c r="D286" s="116">
        <v>0</v>
      </c>
      <c r="E286" s="116">
        <v>1.4370000000000001</v>
      </c>
      <c r="F286" s="116">
        <f t="shared" si="1"/>
        <v>-1.4370000000000001</v>
      </c>
      <c r="G286" s="43" t="str">
        <f>_xlfn.XLOOKUP($A286,Map!$A:$A,Map!C:C)</f>
        <v>IS</v>
      </c>
      <c r="H286" s="43" t="str">
        <f>_xlfn.XLOOKUP($A286,Map!$A:$A,Map!D:D)</f>
        <v>Cost of sales</v>
      </c>
      <c r="I286" s="43" t="str">
        <f>_xlfn.XLOOKUP($A286,Map!$A:$A,Map!E:E)</f>
        <v>Raw materials</v>
      </c>
      <c r="J286" s="43" t="str">
        <f>_xlfn.XLOOKUP($A286,Map!$A:$A,Map!F:F)</f>
        <v>Raw materials</v>
      </c>
    </row>
    <row r="287" spans="1:10" x14ac:dyDescent="0.25">
      <c r="A287">
        <v>520036</v>
      </c>
      <c r="B287" t="s">
        <v>966</v>
      </c>
      <c r="D287" s="116">
        <v>0</v>
      </c>
      <c r="E287" s="116">
        <v>0.124</v>
      </c>
      <c r="F287" s="116">
        <f t="shared" si="1"/>
        <v>-0.124</v>
      </c>
      <c r="G287" s="43" t="str">
        <f>_xlfn.XLOOKUP($A287,Map!$A:$A,Map!C:C)</f>
        <v>IS</v>
      </c>
      <c r="H287" s="43" t="str">
        <f>_xlfn.XLOOKUP($A287,Map!$A:$A,Map!D:D)</f>
        <v>Cost of sales</v>
      </c>
      <c r="I287" s="43" t="str">
        <f>_xlfn.XLOOKUP($A287,Map!$A:$A,Map!E:E)</f>
        <v>Raw materials</v>
      </c>
      <c r="J287" s="43" t="str">
        <f>_xlfn.XLOOKUP($A287,Map!$A:$A,Map!F:F)</f>
        <v>Raw materials</v>
      </c>
    </row>
    <row r="288" spans="1:10" x14ac:dyDescent="0.25">
      <c r="A288">
        <v>520021</v>
      </c>
      <c r="B288" t="s">
        <v>1387</v>
      </c>
      <c r="D288" s="116">
        <v>5404.2979999999998</v>
      </c>
      <c r="E288" s="116">
        <v>0</v>
      </c>
      <c r="F288" s="116">
        <f t="shared" si="1"/>
        <v>5404.2979999999998</v>
      </c>
      <c r="G288" s="43" t="str">
        <f>_xlfn.XLOOKUP($A288,Map!$A:$A,Map!C:C)</f>
        <v>IS</v>
      </c>
      <c r="H288" s="43" t="str">
        <f>_xlfn.XLOOKUP($A288,Map!$A:$A,Map!D:D)</f>
        <v>Cost of sales</v>
      </c>
      <c r="I288" s="43" t="str">
        <f>_xlfn.XLOOKUP($A288,Map!$A:$A,Map!E:E)</f>
        <v>Direct Labor</v>
      </c>
      <c r="J288" s="43" t="str">
        <f>_xlfn.XLOOKUP($A288,Map!$A:$A,Map!F:F)</f>
        <v>Medical insurance</v>
      </c>
    </row>
    <row r="289" spans="1:10" x14ac:dyDescent="0.25">
      <c r="A289">
        <v>520011</v>
      </c>
      <c r="B289" t="s">
        <v>1388</v>
      </c>
      <c r="D289" s="116">
        <v>622620.99</v>
      </c>
      <c r="E289" s="116">
        <v>0</v>
      </c>
      <c r="F289" s="116">
        <f t="shared" si="1"/>
        <v>622620.99</v>
      </c>
      <c r="G289" s="43" t="str">
        <f>_xlfn.XLOOKUP($A289,Map!$A:$A,Map!C:C)</f>
        <v>IS</v>
      </c>
      <c r="H289" s="43" t="str">
        <f>_xlfn.XLOOKUP($A289,Map!$A:$A,Map!D:D)</f>
        <v>Cost of sales</v>
      </c>
      <c r="I289" s="43" t="str">
        <f>_xlfn.XLOOKUP($A289,Map!$A:$A,Map!E:E)</f>
        <v>Direct Labor</v>
      </c>
      <c r="J289" s="43" t="str">
        <f>_xlfn.XLOOKUP($A289,Map!$A:$A,Map!F:F)</f>
        <v>Overtime pay</v>
      </c>
    </row>
    <row r="290" spans="1:10" x14ac:dyDescent="0.25">
      <c r="A290">
        <v>520011</v>
      </c>
      <c r="B290" t="s">
        <v>1389</v>
      </c>
      <c r="D290" s="116">
        <v>69154.149999999994</v>
      </c>
      <c r="E290" s="116">
        <v>0</v>
      </c>
      <c r="F290" s="116">
        <f t="shared" si="1"/>
        <v>69154.149999999994</v>
      </c>
      <c r="G290" s="43" t="str">
        <f>_xlfn.XLOOKUP($A290,Map!$A:$A,Map!C:C)</f>
        <v>IS</v>
      </c>
      <c r="H290" s="43" t="str">
        <f>_xlfn.XLOOKUP($A290,Map!$A:$A,Map!D:D)</f>
        <v>Cost of sales</v>
      </c>
      <c r="I290" s="43" t="str">
        <f>_xlfn.XLOOKUP($A290,Map!$A:$A,Map!E:E)</f>
        <v>Direct Labor</v>
      </c>
      <c r="J290" s="43" t="str">
        <f>_xlfn.XLOOKUP($A290,Map!$A:$A,Map!F:F)</f>
        <v>Overtime pay</v>
      </c>
    </row>
    <row r="291" spans="1:10" x14ac:dyDescent="0.25">
      <c r="A291">
        <v>520011</v>
      </c>
      <c r="B291" t="s">
        <v>1390</v>
      </c>
      <c r="D291" s="116">
        <v>261043.83</v>
      </c>
      <c r="E291" s="116">
        <v>0</v>
      </c>
      <c r="F291" s="116">
        <f t="shared" si="1"/>
        <v>261043.83</v>
      </c>
      <c r="G291" s="43" t="str">
        <f>_xlfn.XLOOKUP($A291,Map!$A:$A,Map!C:C)</f>
        <v>IS</v>
      </c>
      <c r="H291" s="43" t="str">
        <f>_xlfn.XLOOKUP($A291,Map!$A:$A,Map!D:D)</f>
        <v>Cost of sales</v>
      </c>
      <c r="I291" s="43" t="str">
        <f>_xlfn.XLOOKUP($A291,Map!$A:$A,Map!E:E)</f>
        <v>Direct Labor</v>
      </c>
      <c r="J291" s="43" t="str">
        <f>_xlfn.XLOOKUP($A291,Map!$A:$A,Map!F:F)</f>
        <v>Overtime pay</v>
      </c>
    </row>
    <row r="292" spans="1:10" x14ac:dyDescent="0.25">
      <c r="A292">
        <v>520011</v>
      </c>
      <c r="B292" t="s">
        <v>1391</v>
      </c>
      <c r="D292" s="116">
        <v>157488.17000000001</v>
      </c>
      <c r="E292" s="116">
        <v>0</v>
      </c>
      <c r="F292" s="116">
        <f t="shared" si="1"/>
        <v>157488.17000000001</v>
      </c>
      <c r="G292" s="43" t="str">
        <f>_xlfn.XLOOKUP($A292,Map!$A:$A,Map!C:C)</f>
        <v>IS</v>
      </c>
      <c r="H292" s="43" t="str">
        <f>_xlfn.XLOOKUP($A292,Map!$A:$A,Map!D:D)</f>
        <v>Cost of sales</v>
      </c>
      <c r="I292" s="43" t="str">
        <f>_xlfn.XLOOKUP($A292,Map!$A:$A,Map!E:E)</f>
        <v>Direct Labor</v>
      </c>
      <c r="J292" s="43" t="str">
        <f>_xlfn.XLOOKUP($A292,Map!$A:$A,Map!F:F)</f>
        <v>Overtime pay</v>
      </c>
    </row>
    <row r="293" spans="1:10" x14ac:dyDescent="0.25">
      <c r="A293">
        <v>520011</v>
      </c>
      <c r="B293" t="s">
        <v>1392</v>
      </c>
      <c r="D293" s="116">
        <v>79490.06</v>
      </c>
      <c r="E293" s="116">
        <v>0</v>
      </c>
      <c r="F293" s="116">
        <f t="shared" si="1"/>
        <v>79490.06</v>
      </c>
      <c r="G293" s="43" t="str">
        <f>_xlfn.XLOOKUP($A293,Map!$A:$A,Map!C:C)</f>
        <v>IS</v>
      </c>
      <c r="H293" s="43" t="str">
        <f>_xlfn.XLOOKUP($A293,Map!$A:$A,Map!D:D)</f>
        <v>Cost of sales</v>
      </c>
      <c r="I293" s="43" t="str">
        <f>_xlfn.XLOOKUP($A293,Map!$A:$A,Map!E:E)</f>
        <v>Direct Labor</v>
      </c>
      <c r="J293" s="43" t="str">
        <f>_xlfn.XLOOKUP($A293,Map!$A:$A,Map!F:F)</f>
        <v>Overtime pay</v>
      </c>
    </row>
    <row r="294" spans="1:10" x14ac:dyDescent="0.25">
      <c r="A294">
        <v>520006</v>
      </c>
      <c r="B294" t="s">
        <v>1393</v>
      </c>
      <c r="D294" s="116">
        <v>117439.446</v>
      </c>
      <c r="E294" s="116">
        <v>0</v>
      </c>
      <c r="F294" s="116">
        <f t="shared" si="1"/>
        <v>117439.446</v>
      </c>
      <c r="G294" s="43" t="str">
        <f>_xlfn.XLOOKUP($A294,Map!$A:$A,Map!C:C)</f>
        <v>IS</v>
      </c>
      <c r="H294" s="43" t="str">
        <f>_xlfn.XLOOKUP($A294,Map!$A:$A,Map!D:D)</f>
        <v>Cost of sales</v>
      </c>
      <c r="I294" s="43" t="str">
        <f>_xlfn.XLOOKUP($A294,Map!$A:$A,Map!E:E)</f>
        <v>Direct Labor</v>
      </c>
      <c r="J294" s="43" t="str">
        <f>_xlfn.XLOOKUP($A294,Map!$A:$A,Map!F:F)</f>
        <v>Medical insurance</v>
      </c>
    </row>
    <row r="295" spans="1:10" x14ac:dyDescent="0.25">
      <c r="A295">
        <v>520006</v>
      </c>
      <c r="B295" t="s">
        <v>1394</v>
      </c>
      <c r="D295" s="116">
        <v>63283.811999999998</v>
      </c>
      <c r="E295" s="116">
        <v>0</v>
      </c>
      <c r="F295" s="116">
        <f t="shared" si="1"/>
        <v>63283.811999999998</v>
      </c>
      <c r="G295" s="43" t="str">
        <f>_xlfn.XLOOKUP($A295,Map!$A:$A,Map!C:C)</f>
        <v>IS</v>
      </c>
      <c r="H295" s="43" t="str">
        <f>_xlfn.XLOOKUP($A295,Map!$A:$A,Map!D:D)</f>
        <v>Cost of sales</v>
      </c>
      <c r="I295" s="43" t="str">
        <f>_xlfn.XLOOKUP($A295,Map!$A:$A,Map!E:E)</f>
        <v>Direct Labor</v>
      </c>
      <c r="J295" s="43" t="str">
        <f>_xlfn.XLOOKUP($A295,Map!$A:$A,Map!F:F)</f>
        <v>Medical insurance</v>
      </c>
    </row>
    <row r="296" spans="1:10" x14ac:dyDescent="0.25">
      <c r="A296">
        <v>520006</v>
      </c>
      <c r="B296" t="s">
        <v>1395</v>
      </c>
      <c r="D296" s="116">
        <v>40715.946000000004</v>
      </c>
      <c r="E296" s="116">
        <v>0</v>
      </c>
      <c r="F296" s="116">
        <f t="shared" si="1"/>
        <v>40715.946000000004</v>
      </c>
      <c r="G296" s="43" t="str">
        <f>_xlfn.XLOOKUP($A296,Map!$A:$A,Map!C:C)</f>
        <v>IS</v>
      </c>
      <c r="H296" s="43" t="str">
        <f>_xlfn.XLOOKUP($A296,Map!$A:$A,Map!D:D)</f>
        <v>Cost of sales</v>
      </c>
      <c r="I296" s="43" t="str">
        <f>_xlfn.XLOOKUP($A296,Map!$A:$A,Map!E:E)</f>
        <v>Direct Labor</v>
      </c>
      <c r="J296" s="43" t="str">
        <f>_xlfn.XLOOKUP($A296,Map!$A:$A,Map!F:F)</f>
        <v>Medical insurance</v>
      </c>
    </row>
    <row r="297" spans="1:10" x14ac:dyDescent="0.25">
      <c r="A297">
        <v>520006</v>
      </c>
      <c r="B297" t="s">
        <v>1396</v>
      </c>
      <c r="D297" s="116">
        <v>36512.658000000003</v>
      </c>
      <c r="E297" s="116">
        <v>0</v>
      </c>
      <c r="F297" s="116">
        <f t="shared" si="1"/>
        <v>36512.658000000003</v>
      </c>
      <c r="G297" s="43" t="str">
        <f>_xlfn.XLOOKUP($A297,Map!$A:$A,Map!C:C)</f>
        <v>IS</v>
      </c>
      <c r="H297" s="43" t="str">
        <f>_xlfn.XLOOKUP($A297,Map!$A:$A,Map!D:D)</f>
        <v>Cost of sales</v>
      </c>
      <c r="I297" s="43" t="str">
        <f>_xlfn.XLOOKUP($A297,Map!$A:$A,Map!E:E)</f>
        <v>Direct Labor</v>
      </c>
      <c r="J297" s="43" t="str">
        <f>_xlfn.XLOOKUP($A297,Map!$A:$A,Map!F:F)</f>
        <v>Medical insurance</v>
      </c>
    </row>
    <row r="298" spans="1:10" x14ac:dyDescent="0.25">
      <c r="A298">
        <v>520006</v>
      </c>
      <c r="B298" t="s">
        <v>1397</v>
      </c>
      <c r="D298" s="116">
        <v>44883.161999999997</v>
      </c>
      <c r="E298" s="116">
        <v>0</v>
      </c>
      <c r="F298" s="116">
        <f t="shared" si="1"/>
        <v>44883.161999999997</v>
      </c>
      <c r="G298" s="43" t="str">
        <f>_xlfn.XLOOKUP($A298,Map!$A:$A,Map!C:C)</f>
        <v>IS</v>
      </c>
      <c r="H298" s="43" t="str">
        <f>_xlfn.XLOOKUP($A298,Map!$A:$A,Map!D:D)</f>
        <v>Cost of sales</v>
      </c>
      <c r="I298" s="43" t="str">
        <f>_xlfn.XLOOKUP($A298,Map!$A:$A,Map!E:E)</f>
        <v>Direct Labor</v>
      </c>
      <c r="J298" s="43" t="str">
        <f>_xlfn.XLOOKUP($A298,Map!$A:$A,Map!F:F)</f>
        <v>Medical insurance</v>
      </c>
    </row>
    <row r="299" spans="1:10" x14ac:dyDescent="0.25">
      <c r="A299">
        <v>520006</v>
      </c>
      <c r="B299" t="s">
        <v>1398</v>
      </c>
      <c r="D299" s="116">
        <v>31750.133999999998</v>
      </c>
      <c r="E299" s="116">
        <v>0</v>
      </c>
      <c r="F299" s="116">
        <f t="shared" si="1"/>
        <v>31750.133999999998</v>
      </c>
      <c r="G299" s="43" t="str">
        <f>_xlfn.XLOOKUP($A299,Map!$A:$A,Map!C:C)</f>
        <v>IS</v>
      </c>
      <c r="H299" s="43" t="str">
        <f>_xlfn.XLOOKUP($A299,Map!$A:$A,Map!D:D)</f>
        <v>Cost of sales</v>
      </c>
      <c r="I299" s="43" t="str">
        <f>_xlfn.XLOOKUP($A299,Map!$A:$A,Map!E:E)</f>
        <v>Direct Labor</v>
      </c>
      <c r="J299" s="43" t="str">
        <f>_xlfn.XLOOKUP($A299,Map!$A:$A,Map!F:F)</f>
        <v>Medical insurance</v>
      </c>
    </row>
    <row r="300" spans="1:10" x14ac:dyDescent="0.25">
      <c r="A300">
        <v>520005</v>
      </c>
      <c r="B300" t="s">
        <v>1399</v>
      </c>
      <c r="D300" s="116">
        <v>335144.22499999998</v>
      </c>
      <c r="E300" s="116">
        <v>0</v>
      </c>
      <c r="F300" s="116">
        <f t="shared" si="1"/>
        <v>335144.22499999998</v>
      </c>
      <c r="G300" s="43" t="str">
        <f>_xlfn.XLOOKUP($A300,Map!$A:$A,Map!C:C)</f>
        <v>IS</v>
      </c>
      <c r="H300" s="43" t="str">
        <f>_xlfn.XLOOKUP($A300,Map!$A:$A,Map!D:D)</f>
        <v>Cost of sales</v>
      </c>
      <c r="I300" s="43" t="str">
        <f>_xlfn.XLOOKUP($A300,Map!$A:$A,Map!E:E)</f>
        <v>Direct Labor</v>
      </c>
      <c r="J300" s="43" t="str">
        <f>_xlfn.XLOOKUP($A300,Map!$A:$A,Map!F:F)</f>
        <v>Leave pay</v>
      </c>
    </row>
    <row r="301" spans="1:10" x14ac:dyDescent="0.25">
      <c r="A301">
        <v>520005</v>
      </c>
      <c r="B301" t="s">
        <v>1400</v>
      </c>
      <c r="D301" s="116">
        <v>2446.08</v>
      </c>
      <c r="E301" s="116">
        <v>0</v>
      </c>
      <c r="F301" s="116">
        <f t="shared" si="1"/>
        <v>2446.08</v>
      </c>
      <c r="G301" s="43" t="str">
        <f>_xlfn.XLOOKUP($A301,Map!$A:$A,Map!C:C)</f>
        <v>IS</v>
      </c>
      <c r="H301" s="43" t="str">
        <f>_xlfn.XLOOKUP($A301,Map!$A:$A,Map!D:D)</f>
        <v>Cost of sales</v>
      </c>
      <c r="I301" s="43" t="str">
        <f>_xlfn.XLOOKUP($A301,Map!$A:$A,Map!E:E)</f>
        <v>Direct Labor</v>
      </c>
      <c r="J301" s="43" t="str">
        <f>_xlfn.XLOOKUP($A301,Map!$A:$A,Map!F:F)</f>
        <v>Leave pay</v>
      </c>
    </row>
    <row r="302" spans="1:10" x14ac:dyDescent="0.25">
      <c r="A302">
        <v>520005</v>
      </c>
      <c r="B302" t="s">
        <v>1401</v>
      </c>
      <c r="D302" s="116">
        <v>5464.17</v>
      </c>
      <c r="E302" s="116">
        <v>0</v>
      </c>
      <c r="F302" s="116">
        <f t="shared" si="1"/>
        <v>5464.17</v>
      </c>
      <c r="G302" s="43" t="str">
        <f>_xlfn.XLOOKUP($A302,Map!$A:$A,Map!C:C)</f>
        <v>IS</v>
      </c>
      <c r="H302" s="43" t="str">
        <f>_xlfn.XLOOKUP($A302,Map!$A:$A,Map!D:D)</f>
        <v>Cost of sales</v>
      </c>
      <c r="I302" s="43" t="str">
        <f>_xlfn.XLOOKUP($A302,Map!$A:$A,Map!E:E)</f>
        <v>Direct Labor</v>
      </c>
      <c r="J302" s="43" t="str">
        <f>_xlfn.XLOOKUP($A302,Map!$A:$A,Map!F:F)</f>
        <v>Leave pay</v>
      </c>
    </row>
    <row r="303" spans="1:10" x14ac:dyDescent="0.25">
      <c r="A303">
        <v>520003</v>
      </c>
      <c r="B303" t="s">
        <v>1402</v>
      </c>
      <c r="D303" s="116">
        <v>228493.92</v>
      </c>
      <c r="E303" s="116">
        <v>0</v>
      </c>
      <c r="F303" s="116">
        <f t="shared" si="1"/>
        <v>228493.92</v>
      </c>
      <c r="G303" s="43" t="str">
        <f>_xlfn.XLOOKUP($A303,Map!$A:$A,Map!C:C)</f>
        <v>IS</v>
      </c>
      <c r="H303" s="43" t="str">
        <f>_xlfn.XLOOKUP($A303,Map!$A:$A,Map!D:D)</f>
        <v>Cost of sales</v>
      </c>
      <c r="I303" s="43" t="str">
        <f>_xlfn.XLOOKUP($A303,Map!$A:$A,Map!E:E)</f>
        <v>Direct Labor</v>
      </c>
      <c r="J303" s="43" t="str">
        <f>_xlfn.XLOOKUP($A303,Map!$A:$A,Map!F:F)</f>
        <v>Transportation allowance</v>
      </c>
    </row>
    <row r="304" spans="1:10" x14ac:dyDescent="0.25">
      <c r="A304">
        <v>520003</v>
      </c>
      <c r="B304" t="s">
        <v>1403</v>
      </c>
      <c r="D304" s="116">
        <v>26600.47</v>
      </c>
      <c r="E304" s="116">
        <v>0</v>
      </c>
      <c r="F304" s="116">
        <f t="shared" si="1"/>
        <v>26600.47</v>
      </c>
      <c r="G304" s="43" t="str">
        <f>_xlfn.XLOOKUP($A304,Map!$A:$A,Map!C:C)</f>
        <v>IS</v>
      </c>
      <c r="H304" s="43" t="str">
        <f>_xlfn.XLOOKUP($A304,Map!$A:$A,Map!D:D)</f>
        <v>Cost of sales</v>
      </c>
      <c r="I304" s="43" t="str">
        <f>_xlfn.XLOOKUP($A304,Map!$A:$A,Map!E:E)</f>
        <v>Direct Labor</v>
      </c>
      <c r="J304" s="43" t="str">
        <f>_xlfn.XLOOKUP($A304,Map!$A:$A,Map!F:F)</f>
        <v>Transportation allowance</v>
      </c>
    </row>
    <row r="305" spans="1:10" x14ac:dyDescent="0.25">
      <c r="A305">
        <v>520003</v>
      </c>
      <c r="B305" t="s">
        <v>1404</v>
      </c>
      <c r="D305" s="116">
        <v>42456.57</v>
      </c>
      <c r="E305" s="116">
        <v>0</v>
      </c>
      <c r="F305" s="116">
        <f t="shared" si="1"/>
        <v>42456.57</v>
      </c>
      <c r="G305" s="43" t="str">
        <f>_xlfn.XLOOKUP($A305,Map!$A:$A,Map!C:C)</f>
        <v>IS</v>
      </c>
      <c r="H305" s="43" t="str">
        <f>_xlfn.XLOOKUP($A305,Map!$A:$A,Map!D:D)</f>
        <v>Cost of sales</v>
      </c>
      <c r="I305" s="43" t="str">
        <f>_xlfn.XLOOKUP($A305,Map!$A:$A,Map!E:E)</f>
        <v>Direct Labor</v>
      </c>
      <c r="J305" s="43" t="str">
        <f>_xlfn.XLOOKUP($A305,Map!$A:$A,Map!F:F)</f>
        <v>Transportation allowance</v>
      </c>
    </row>
    <row r="306" spans="1:10" x14ac:dyDescent="0.25">
      <c r="A306">
        <v>520003</v>
      </c>
      <c r="B306" t="s">
        <v>1405</v>
      </c>
      <c r="D306" s="116">
        <v>216319.01</v>
      </c>
      <c r="E306" s="116">
        <v>0</v>
      </c>
      <c r="F306" s="116">
        <f t="shared" si="1"/>
        <v>216319.01</v>
      </c>
      <c r="G306" s="43" t="str">
        <f>_xlfn.XLOOKUP($A306,Map!$A:$A,Map!C:C)</f>
        <v>IS</v>
      </c>
      <c r="H306" s="43" t="str">
        <f>_xlfn.XLOOKUP($A306,Map!$A:$A,Map!D:D)</f>
        <v>Cost of sales</v>
      </c>
      <c r="I306" s="43" t="str">
        <f>_xlfn.XLOOKUP($A306,Map!$A:$A,Map!E:E)</f>
        <v>Direct Labor</v>
      </c>
      <c r="J306" s="43" t="str">
        <f>_xlfn.XLOOKUP($A306,Map!$A:$A,Map!F:F)</f>
        <v>Transportation allowance</v>
      </c>
    </row>
    <row r="307" spans="1:10" x14ac:dyDescent="0.25">
      <c r="A307">
        <v>520001</v>
      </c>
      <c r="B307" t="s">
        <v>1406</v>
      </c>
      <c r="D307" s="116">
        <v>3462150.41</v>
      </c>
      <c r="E307" s="116">
        <v>0</v>
      </c>
      <c r="F307" s="116">
        <f t="shared" si="1"/>
        <v>3462150.41</v>
      </c>
      <c r="G307" s="43" t="str">
        <f>_xlfn.XLOOKUP($A307,Map!$A:$A,Map!C:C)</f>
        <v>IS</v>
      </c>
      <c r="H307" s="43" t="str">
        <f>_xlfn.XLOOKUP($A307,Map!$A:$A,Map!D:D)</f>
        <v>Cost of sales</v>
      </c>
      <c r="I307" s="43" t="str">
        <f>_xlfn.XLOOKUP($A307,Map!$A:$A,Map!E:E)</f>
        <v>Direct Labor</v>
      </c>
      <c r="J307" s="43" t="str">
        <f>_xlfn.XLOOKUP($A307,Map!$A:$A,Map!F:F)</f>
        <v>Salaries and wages</v>
      </c>
    </row>
    <row r="308" spans="1:10" x14ac:dyDescent="0.25">
      <c r="A308">
        <v>520001</v>
      </c>
      <c r="B308" t="s">
        <v>1407</v>
      </c>
      <c r="D308" s="116">
        <v>186049.47</v>
      </c>
      <c r="E308" s="116">
        <v>0</v>
      </c>
      <c r="F308" s="116">
        <f t="shared" si="1"/>
        <v>186049.47</v>
      </c>
      <c r="G308" s="43" t="str">
        <f>_xlfn.XLOOKUP($A308,Map!$A:$A,Map!C:C)</f>
        <v>IS</v>
      </c>
      <c r="H308" s="43" t="str">
        <f>_xlfn.XLOOKUP($A308,Map!$A:$A,Map!D:D)</f>
        <v>Cost of sales</v>
      </c>
      <c r="I308" s="43" t="str">
        <f>_xlfn.XLOOKUP($A308,Map!$A:$A,Map!E:E)</f>
        <v>Direct Labor</v>
      </c>
      <c r="J308" s="43" t="str">
        <f>_xlfn.XLOOKUP($A308,Map!$A:$A,Map!F:F)</f>
        <v>Salaries and wages</v>
      </c>
    </row>
    <row r="309" spans="1:10" x14ac:dyDescent="0.25">
      <c r="A309">
        <v>520001</v>
      </c>
      <c r="B309" t="s">
        <v>1408</v>
      </c>
      <c r="D309" s="116">
        <v>793570.78</v>
      </c>
      <c r="E309" s="116">
        <v>0</v>
      </c>
      <c r="F309" s="116">
        <f t="shared" si="1"/>
        <v>793570.78</v>
      </c>
      <c r="G309" s="43" t="str">
        <f>_xlfn.XLOOKUP($A309,Map!$A:$A,Map!C:C)</f>
        <v>IS</v>
      </c>
      <c r="H309" s="43" t="str">
        <f>_xlfn.XLOOKUP($A309,Map!$A:$A,Map!D:D)</f>
        <v>Cost of sales</v>
      </c>
      <c r="I309" s="43" t="str">
        <f>_xlfn.XLOOKUP($A309,Map!$A:$A,Map!E:E)</f>
        <v>Direct Labor</v>
      </c>
      <c r="J309" s="43" t="str">
        <f>_xlfn.XLOOKUP($A309,Map!$A:$A,Map!F:F)</f>
        <v>Salaries and wages</v>
      </c>
    </row>
    <row r="310" spans="1:10" x14ac:dyDescent="0.25">
      <c r="A310">
        <v>520001</v>
      </c>
      <c r="B310" t="s">
        <v>1409</v>
      </c>
      <c r="D310" s="116">
        <v>764465.77</v>
      </c>
      <c r="E310" s="116">
        <v>0</v>
      </c>
      <c r="F310" s="116">
        <f t="shared" ref="F310:F341" si="2">D310-E310</f>
        <v>764465.77</v>
      </c>
      <c r="G310" s="43" t="str">
        <f>_xlfn.XLOOKUP($A310,Map!$A:$A,Map!C:C)</f>
        <v>IS</v>
      </c>
      <c r="H310" s="43" t="str">
        <f>_xlfn.XLOOKUP($A310,Map!$A:$A,Map!D:D)</f>
        <v>Cost of sales</v>
      </c>
      <c r="I310" s="43" t="str">
        <f>_xlfn.XLOOKUP($A310,Map!$A:$A,Map!E:E)</f>
        <v>Direct Labor</v>
      </c>
      <c r="J310" s="43" t="str">
        <f>_xlfn.XLOOKUP($A310,Map!$A:$A,Map!F:F)</f>
        <v>Salaries and wages</v>
      </c>
    </row>
    <row r="311" spans="1:10" x14ac:dyDescent="0.25">
      <c r="A311">
        <v>520001</v>
      </c>
      <c r="B311" t="s">
        <v>1410</v>
      </c>
      <c r="D311" s="116">
        <v>166247</v>
      </c>
      <c r="E311" s="116">
        <v>0</v>
      </c>
      <c r="F311" s="116">
        <f t="shared" si="2"/>
        <v>166247</v>
      </c>
      <c r="G311" s="43" t="str">
        <f>_xlfn.XLOOKUP($A311,Map!$A:$A,Map!C:C)</f>
        <v>IS</v>
      </c>
      <c r="H311" s="43" t="str">
        <f>_xlfn.XLOOKUP($A311,Map!$A:$A,Map!D:D)</f>
        <v>Cost of sales</v>
      </c>
      <c r="I311" s="43" t="str">
        <f>_xlfn.XLOOKUP($A311,Map!$A:$A,Map!E:E)</f>
        <v>Direct Labor</v>
      </c>
      <c r="J311" s="43" t="str">
        <f>_xlfn.XLOOKUP($A311,Map!$A:$A,Map!F:F)</f>
        <v>Salaries and wages</v>
      </c>
    </row>
    <row r="312" spans="1:10" x14ac:dyDescent="0.25">
      <c r="A312">
        <v>510005</v>
      </c>
      <c r="B312" t="s">
        <v>1411</v>
      </c>
      <c r="D312" s="116">
        <v>0</v>
      </c>
      <c r="E312" s="116">
        <v>400000</v>
      </c>
      <c r="F312" s="116">
        <f t="shared" si="2"/>
        <v>-400000</v>
      </c>
      <c r="G312" s="43" t="str">
        <f>_xlfn.XLOOKUP($A312,Map!$A:$A,Map!C:C)</f>
        <v>IS</v>
      </c>
      <c r="H312" s="43" t="str">
        <f>_xlfn.XLOOKUP($A312,Map!$A:$A,Map!D:D)</f>
        <v>Cost of sales</v>
      </c>
      <c r="I312" s="43" t="str">
        <f>_xlfn.XLOOKUP($A312,Map!$A:$A,Map!E:E)</f>
        <v>Raw materials</v>
      </c>
      <c r="J312" s="43" t="str">
        <f>_xlfn.XLOOKUP($A312,Map!$A:$A,Map!F:F)</f>
        <v>Other expenses</v>
      </c>
    </row>
    <row r="313" spans="1:10" x14ac:dyDescent="0.25">
      <c r="A313">
        <v>510004</v>
      </c>
      <c r="B313" t="s">
        <v>1412</v>
      </c>
      <c r="D313" s="116">
        <v>2188535.7829999998</v>
      </c>
      <c r="E313" s="116">
        <v>0</v>
      </c>
      <c r="F313" s="116">
        <f t="shared" si="2"/>
        <v>2188535.7829999998</v>
      </c>
      <c r="G313" s="43" t="str">
        <f>_xlfn.XLOOKUP($A313,Map!$A:$A,Map!C:C)</f>
        <v>IS</v>
      </c>
      <c r="H313" s="43" t="str">
        <f>_xlfn.XLOOKUP($A313,Map!$A:$A,Map!D:D)</f>
        <v>Cost of sales</v>
      </c>
      <c r="I313" s="43" t="str">
        <f>_xlfn.XLOOKUP($A313,Map!$A:$A,Map!E:E)</f>
        <v>Raw materials</v>
      </c>
      <c r="J313" s="43" t="str">
        <f>_xlfn.XLOOKUP($A313,Map!$A:$A,Map!F:F)</f>
        <v>Other expenses</v>
      </c>
    </row>
    <row r="314" spans="1:10" x14ac:dyDescent="0.25">
      <c r="A314">
        <v>510004</v>
      </c>
      <c r="B314" t="s">
        <v>1413</v>
      </c>
      <c r="D314" s="116">
        <v>257642.571</v>
      </c>
      <c r="E314" s="116">
        <v>0</v>
      </c>
      <c r="F314" s="116">
        <f t="shared" si="2"/>
        <v>257642.571</v>
      </c>
      <c r="G314" s="43" t="str">
        <f>_xlfn.XLOOKUP($A314,Map!$A:$A,Map!C:C)</f>
        <v>IS</v>
      </c>
      <c r="H314" s="43" t="str">
        <f>_xlfn.XLOOKUP($A314,Map!$A:$A,Map!D:D)</f>
        <v>Cost of sales</v>
      </c>
      <c r="I314" s="43" t="str">
        <f>_xlfn.XLOOKUP($A314,Map!$A:$A,Map!E:E)</f>
        <v>Raw materials</v>
      </c>
      <c r="J314" s="43" t="str">
        <f>_xlfn.XLOOKUP($A314,Map!$A:$A,Map!F:F)</f>
        <v>Other expenses</v>
      </c>
    </row>
    <row r="315" spans="1:10" x14ac:dyDescent="0.25">
      <c r="A315">
        <v>510004</v>
      </c>
      <c r="B315" t="s">
        <v>1414</v>
      </c>
      <c r="D315" s="116">
        <v>66.668999999999997</v>
      </c>
      <c r="E315" s="116">
        <v>0</v>
      </c>
      <c r="F315" s="116">
        <f t="shared" si="2"/>
        <v>66.668999999999997</v>
      </c>
      <c r="G315" s="43" t="str">
        <f>_xlfn.XLOOKUP($A315,Map!$A:$A,Map!C:C)</f>
        <v>IS</v>
      </c>
      <c r="H315" s="43" t="str">
        <f>_xlfn.XLOOKUP($A315,Map!$A:$A,Map!D:D)</f>
        <v>Cost of sales</v>
      </c>
      <c r="I315" s="43" t="str">
        <f>_xlfn.XLOOKUP($A315,Map!$A:$A,Map!E:E)</f>
        <v>Raw materials</v>
      </c>
      <c r="J315" s="43" t="str">
        <f>_xlfn.XLOOKUP($A315,Map!$A:$A,Map!F:F)</f>
        <v>Other expenses</v>
      </c>
    </row>
    <row r="316" spans="1:10" x14ac:dyDescent="0.25">
      <c r="A316">
        <v>510004</v>
      </c>
      <c r="B316" t="s">
        <v>1415</v>
      </c>
      <c r="D316" s="116">
        <v>9353.759</v>
      </c>
      <c r="E316" s="116">
        <v>0</v>
      </c>
      <c r="F316" s="116">
        <f t="shared" si="2"/>
        <v>9353.759</v>
      </c>
      <c r="G316" s="43" t="str">
        <f>_xlfn.XLOOKUP($A316,Map!$A:$A,Map!C:C)</f>
        <v>IS</v>
      </c>
      <c r="H316" s="43" t="str">
        <f>_xlfn.XLOOKUP($A316,Map!$A:$A,Map!D:D)</f>
        <v>Cost of sales</v>
      </c>
      <c r="I316" s="43" t="str">
        <f>_xlfn.XLOOKUP($A316,Map!$A:$A,Map!E:E)</f>
        <v>Raw materials</v>
      </c>
      <c r="J316" s="43" t="str">
        <f>_xlfn.XLOOKUP($A316,Map!$A:$A,Map!F:F)</f>
        <v>Other expenses</v>
      </c>
    </row>
    <row r="317" spans="1:10" x14ac:dyDescent="0.25">
      <c r="A317">
        <v>510004</v>
      </c>
      <c r="B317" t="s">
        <v>1416</v>
      </c>
      <c r="D317" s="116">
        <v>96.908000000000001</v>
      </c>
      <c r="E317" s="116">
        <v>0</v>
      </c>
      <c r="F317" s="116">
        <f t="shared" si="2"/>
        <v>96.908000000000001</v>
      </c>
      <c r="G317" s="43" t="str">
        <f>_xlfn.XLOOKUP($A317,Map!$A:$A,Map!C:C)</f>
        <v>IS</v>
      </c>
      <c r="H317" s="43" t="str">
        <f>_xlfn.XLOOKUP($A317,Map!$A:$A,Map!D:D)</f>
        <v>Cost of sales</v>
      </c>
      <c r="I317" s="43" t="str">
        <f>_xlfn.XLOOKUP($A317,Map!$A:$A,Map!E:E)</f>
        <v>Raw materials</v>
      </c>
      <c r="J317" s="43" t="str">
        <f>_xlfn.XLOOKUP($A317,Map!$A:$A,Map!F:F)</f>
        <v>Other expenses</v>
      </c>
    </row>
    <row r="318" spans="1:10" x14ac:dyDescent="0.25">
      <c r="A318">
        <v>510004</v>
      </c>
      <c r="B318" t="s">
        <v>1417</v>
      </c>
      <c r="D318" s="116">
        <v>334095.50599999999</v>
      </c>
      <c r="E318" s="116">
        <v>0</v>
      </c>
      <c r="F318" s="116">
        <f t="shared" si="2"/>
        <v>334095.50599999999</v>
      </c>
      <c r="G318" s="43" t="str">
        <f>_xlfn.XLOOKUP($A318,Map!$A:$A,Map!C:C)</f>
        <v>IS</v>
      </c>
      <c r="H318" s="43" t="str">
        <f>_xlfn.XLOOKUP($A318,Map!$A:$A,Map!D:D)</f>
        <v>Cost of sales</v>
      </c>
      <c r="I318" s="43" t="str">
        <f>_xlfn.XLOOKUP($A318,Map!$A:$A,Map!E:E)</f>
        <v>Raw materials</v>
      </c>
      <c r="J318" s="43" t="str">
        <f>_xlfn.XLOOKUP($A318,Map!$A:$A,Map!F:F)</f>
        <v>Other expenses</v>
      </c>
    </row>
    <row r="319" spans="1:10" x14ac:dyDescent="0.25">
      <c r="A319">
        <v>510004</v>
      </c>
      <c r="B319" t="s">
        <v>1418</v>
      </c>
      <c r="D319" s="116">
        <v>63992.752</v>
      </c>
      <c r="E319" s="116">
        <v>0</v>
      </c>
      <c r="F319" s="116">
        <f t="shared" si="2"/>
        <v>63992.752</v>
      </c>
      <c r="G319" s="43" t="str">
        <f>_xlfn.XLOOKUP($A319,Map!$A:$A,Map!C:C)</f>
        <v>IS</v>
      </c>
      <c r="H319" s="43" t="str">
        <f>_xlfn.XLOOKUP($A319,Map!$A:$A,Map!D:D)</f>
        <v>Cost of sales</v>
      </c>
      <c r="I319" s="43" t="str">
        <f>_xlfn.XLOOKUP($A319,Map!$A:$A,Map!E:E)</f>
        <v>Raw materials</v>
      </c>
      <c r="J319" s="43" t="str">
        <f>_xlfn.XLOOKUP($A319,Map!$A:$A,Map!F:F)</f>
        <v>Other expenses</v>
      </c>
    </row>
    <row r="320" spans="1:10" x14ac:dyDescent="0.25">
      <c r="A320">
        <v>510004</v>
      </c>
      <c r="B320" t="s">
        <v>1419</v>
      </c>
      <c r="D320" s="116">
        <v>227033.44500000001</v>
      </c>
      <c r="E320" s="116">
        <v>0</v>
      </c>
      <c r="F320" s="116">
        <f t="shared" si="2"/>
        <v>227033.44500000001</v>
      </c>
      <c r="G320" s="43" t="str">
        <f>_xlfn.XLOOKUP($A320,Map!$A:$A,Map!C:C)</f>
        <v>IS</v>
      </c>
      <c r="H320" s="43" t="str">
        <f>_xlfn.XLOOKUP($A320,Map!$A:$A,Map!D:D)</f>
        <v>Cost of sales</v>
      </c>
      <c r="I320" s="43" t="str">
        <f>_xlfn.XLOOKUP($A320,Map!$A:$A,Map!E:E)</f>
        <v>Raw materials</v>
      </c>
      <c r="J320" s="43" t="str">
        <f>_xlfn.XLOOKUP($A320,Map!$A:$A,Map!F:F)</f>
        <v>Other expenses</v>
      </c>
    </row>
    <row r="321" spans="1:10" x14ac:dyDescent="0.25">
      <c r="A321">
        <v>510004</v>
      </c>
      <c r="B321" t="s">
        <v>1420</v>
      </c>
      <c r="D321" s="116">
        <v>696878.20499999996</v>
      </c>
      <c r="E321" s="116">
        <v>0</v>
      </c>
      <c r="F321" s="116">
        <f t="shared" si="2"/>
        <v>696878.20499999996</v>
      </c>
      <c r="G321" s="43" t="str">
        <f>_xlfn.XLOOKUP($A321,Map!$A:$A,Map!C:C)</f>
        <v>IS</v>
      </c>
      <c r="H321" s="43" t="str">
        <f>_xlfn.XLOOKUP($A321,Map!$A:$A,Map!D:D)</f>
        <v>Cost of sales</v>
      </c>
      <c r="I321" s="43" t="str">
        <f>_xlfn.XLOOKUP($A321,Map!$A:$A,Map!E:E)</f>
        <v>Raw materials</v>
      </c>
      <c r="J321" s="43" t="str">
        <f>_xlfn.XLOOKUP($A321,Map!$A:$A,Map!F:F)</f>
        <v>Other expenses</v>
      </c>
    </row>
    <row r="322" spans="1:10" x14ac:dyDescent="0.25">
      <c r="A322">
        <v>510004</v>
      </c>
      <c r="B322" t="s">
        <v>1421</v>
      </c>
      <c r="D322" s="116">
        <v>106105.226</v>
      </c>
      <c r="E322" s="116">
        <v>0</v>
      </c>
      <c r="F322" s="116">
        <f t="shared" si="2"/>
        <v>106105.226</v>
      </c>
      <c r="G322" s="43" t="str">
        <f>_xlfn.XLOOKUP($A322,Map!$A:$A,Map!C:C)</f>
        <v>IS</v>
      </c>
      <c r="H322" s="43" t="str">
        <f>_xlfn.XLOOKUP($A322,Map!$A:$A,Map!D:D)</f>
        <v>Cost of sales</v>
      </c>
      <c r="I322" s="43" t="str">
        <f>_xlfn.XLOOKUP($A322,Map!$A:$A,Map!E:E)</f>
        <v>Raw materials</v>
      </c>
      <c r="J322" s="43" t="str">
        <f>_xlfn.XLOOKUP($A322,Map!$A:$A,Map!F:F)</f>
        <v>Other expenses</v>
      </c>
    </row>
    <row r="323" spans="1:10" x14ac:dyDescent="0.25">
      <c r="A323">
        <v>510004</v>
      </c>
      <c r="B323" t="s">
        <v>1422</v>
      </c>
      <c r="D323" s="116">
        <v>232093.071</v>
      </c>
      <c r="E323" s="116">
        <v>0</v>
      </c>
      <c r="F323" s="116">
        <f t="shared" si="2"/>
        <v>232093.071</v>
      </c>
      <c r="G323" s="43" t="str">
        <f>_xlfn.XLOOKUP($A323,Map!$A:$A,Map!C:C)</f>
        <v>IS</v>
      </c>
      <c r="H323" s="43" t="str">
        <f>_xlfn.XLOOKUP($A323,Map!$A:$A,Map!D:D)</f>
        <v>Cost of sales</v>
      </c>
      <c r="I323" s="43" t="str">
        <f>_xlfn.XLOOKUP($A323,Map!$A:$A,Map!E:E)</f>
        <v>Raw materials</v>
      </c>
      <c r="J323" s="43" t="str">
        <f>_xlfn.XLOOKUP($A323,Map!$A:$A,Map!F:F)</f>
        <v>Other expenses</v>
      </c>
    </row>
    <row r="324" spans="1:10" x14ac:dyDescent="0.25">
      <c r="A324">
        <v>510004</v>
      </c>
      <c r="B324" t="s">
        <v>948</v>
      </c>
      <c r="D324" s="116">
        <v>0</v>
      </c>
      <c r="E324" s="116">
        <v>22329883.833999999</v>
      </c>
      <c r="F324" s="116">
        <f t="shared" si="2"/>
        <v>-22329883.833999999</v>
      </c>
      <c r="G324" s="43" t="str">
        <f>_xlfn.XLOOKUP($A324,Map!$A:$A,Map!C:C)</f>
        <v>IS</v>
      </c>
      <c r="H324" s="43" t="str">
        <f>_xlfn.XLOOKUP($A324,Map!$A:$A,Map!D:D)</f>
        <v>Cost of sales</v>
      </c>
      <c r="I324" s="43" t="str">
        <f>_xlfn.XLOOKUP($A324,Map!$A:$A,Map!E:E)</f>
        <v>Raw materials</v>
      </c>
      <c r="J324" s="43" t="str">
        <f>_xlfn.XLOOKUP($A324,Map!$A:$A,Map!F:F)</f>
        <v>Other expenses</v>
      </c>
    </row>
    <row r="325" spans="1:10" x14ac:dyDescent="0.25">
      <c r="A325">
        <v>510003</v>
      </c>
      <c r="B325" t="s">
        <v>1423</v>
      </c>
      <c r="D325" s="116">
        <v>1121110.1000000001</v>
      </c>
      <c r="E325" s="116">
        <v>0</v>
      </c>
      <c r="F325" s="116">
        <f t="shared" si="2"/>
        <v>1121110.1000000001</v>
      </c>
      <c r="G325" s="43" t="str">
        <f>_xlfn.XLOOKUP($A325,Map!$A:$A,Map!C:C)</f>
        <v>IS</v>
      </c>
      <c r="H325" s="43" t="str">
        <f>_xlfn.XLOOKUP($A325,Map!$A:$A,Map!D:D)</f>
        <v>Cost of sales</v>
      </c>
      <c r="I325" s="43" t="str">
        <f>_xlfn.XLOOKUP($A325,Map!$A:$A,Map!E:E)</f>
        <v>Raw materials</v>
      </c>
      <c r="J325" s="43" t="str">
        <f>_xlfn.XLOOKUP($A325,Map!$A:$A,Map!F:F)</f>
        <v>Raw materials</v>
      </c>
    </row>
    <row r="326" spans="1:10" x14ac:dyDescent="0.25">
      <c r="A326">
        <v>510003</v>
      </c>
      <c r="B326" t="s">
        <v>1424</v>
      </c>
      <c r="D326" s="116">
        <v>50555.362999999998</v>
      </c>
      <c r="E326" s="116">
        <v>0</v>
      </c>
      <c r="F326" s="116">
        <f t="shared" si="2"/>
        <v>50555.362999999998</v>
      </c>
      <c r="G326" s="43" t="str">
        <f>_xlfn.XLOOKUP($A326,Map!$A:$A,Map!C:C)</f>
        <v>IS</v>
      </c>
      <c r="H326" s="43" t="str">
        <f>_xlfn.XLOOKUP($A326,Map!$A:$A,Map!D:D)</f>
        <v>Cost of sales</v>
      </c>
      <c r="I326" s="43" t="str">
        <f>_xlfn.XLOOKUP($A326,Map!$A:$A,Map!E:E)</f>
        <v>Raw materials</v>
      </c>
      <c r="J326" s="43" t="str">
        <f>_xlfn.XLOOKUP($A326,Map!$A:$A,Map!F:F)</f>
        <v>Raw materials</v>
      </c>
    </row>
    <row r="327" spans="1:10" x14ac:dyDescent="0.25">
      <c r="A327">
        <v>510003</v>
      </c>
      <c r="B327" t="s">
        <v>1425</v>
      </c>
      <c r="D327" s="116">
        <v>36.521000000000001</v>
      </c>
      <c r="E327" s="116">
        <v>0</v>
      </c>
      <c r="F327" s="116">
        <f t="shared" si="2"/>
        <v>36.521000000000001</v>
      </c>
      <c r="G327" s="43" t="str">
        <f>_xlfn.XLOOKUP($A327,Map!$A:$A,Map!C:C)</f>
        <v>IS</v>
      </c>
      <c r="H327" s="43" t="str">
        <f>_xlfn.XLOOKUP($A327,Map!$A:$A,Map!D:D)</f>
        <v>Cost of sales</v>
      </c>
      <c r="I327" s="43" t="str">
        <f>_xlfn.XLOOKUP($A327,Map!$A:$A,Map!E:E)</f>
        <v>Raw materials</v>
      </c>
      <c r="J327" s="43" t="str">
        <f>_xlfn.XLOOKUP($A327,Map!$A:$A,Map!F:F)</f>
        <v>Raw materials</v>
      </c>
    </row>
    <row r="328" spans="1:10" x14ac:dyDescent="0.25">
      <c r="A328">
        <v>510003</v>
      </c>
      <c r="B328" t="s">
        <v>1426</v>
      </c>
      <c r="D328" s="116">
        <v>698119.81299999997</v>
      </c>
      <c r="E328" s="116">
        <v>0</v>
      </c>
      <c r="F328" s="116">
        <f t="shared" si="2"/>
        <v>698119.81299999997</v>
      </c>
      <c r="G328" s="43" t="str">
        <f>_xlfn.XLOOKUP($A328,Map!$A:$A,Map!C:C)</f>
        <v>IS</v>
      </c>
      <c r="H328" s="43" t="str">
        <f>_xlfn.XLOOKUP($A328,Map!$A:$A,Map!D:D)</f>
        <v>Cost of sales</v>
      </c>
      <c r="I328" s="43" t="str">
        <f>_xlfn.XLOOKUP($A328,Map!$A:$A,Map!E:E)</f>
        <v>Raw materials</v>
      </c>
      <c r="J328" s="43" t="str">
        <f>_xlfn.XLOOKUP($A328,Map!$A:$A,Map!F:F)</f>
        <v>Raw materials</v>
      </c>
    </row>
    <row r="329" spans="1:10" x14ac:dyDescent="0.25">
      <c r="A329">
        <v>510003</v>
      </c>
      <c r="B329" t="s">
        <v>1427</v>
      </c>
      <c r="D329" s="116">
        <v>515.42200000000003</v>
      </c>
      <c r="E329" s="116">
        <v>0</v>
      </c>
      <c r="F329" s="116">
        <f t="shared" si="2"/>
        <v>515.42200000000003</v>
      </c>
      <c r="G329" s="43" t="str">
        <f>_xlfn.XLOOKUP($A329,Map!$A:$A,Map!C:C)</f>
        <v>IS</v>
      </c>
      <c r="H329" s="43" t="str">
        <f>_xlfn.XLOOKUP($A329,Map!$A:$A,Map!D:D)</f>
        <v>Cost of sales</v>
      </c>
      <c r="I329" s="43" t="str">
        <f>_xlfn.XLOOKUP($A329,Map!$A:$A,Map!E:E)</f>
        <v>Raw materials</v>
      </c>
      <c r="J329" s="43" t="str">
        <f>_xlfn.XLOOKUP($A329,Map!$A:$A,Map!F:F)</f>
        <v>Raw materials</v>
      </c>
    </row>
    <row r="330" spans="1:10" x14ac:dyDescent="0.25">
      <c r="A330">
        <v>510003</v>
      </c>
      <c r="B330" t="s">
        <v>1428</v>
      </c>
      <c r="D330" s="116">
        <v>983182.57900000003</v>
      </c>
      <c r="E330" s="116">
        <v>0</v>
      </c>
      <c r="F330" s="116">
        <f t="shared" si="2"/>
        <v>983182.57900000003</v>
      </c>
      <c r="G330" s="43" t="str">
        <f>_xlfn.XLOOKUP($A330,Map!$A:$A,Map!C:C)</f>
        <v>IS</v>
      </c>
      <c r="H330" s="43" t="str">
        <f>_xlfn.XLOOKUP($A330,Map!$A:$A,Map!D:D)</f>
        <v>Cost of sales</v>
      </c>
      <c r="I330" s="43" t="str">
        <f>_xlfn.XLOOKUP($A330,Map!$A:$A,Map!E:E)</f>
        <v>Raw materials</v>
      </c>
      <c r="J330" s="43" t="str">
        <f>_xlfn.XLOOKUP($A330,Map!$A:$A,Map!F:F)</f>
        <v>Raw materials</v>
      </c>
    </row>
    <row r="331" spans="1:10" x14ac:dyDescent="0.25">
      <c r="A331">
        <v>510003</v>
      </c>
      <c r="B331" t="s">
        <v>1429</v>
      </c>
      <c r="D331" s="116">
        <v>354015.435</v>
      </c>
      <c r="E331" s="116">
        <v>0</v>
      </c>
      <c r="F331" s="116">
        <f t="shared" si="2"/>
        <v>354015.435</v>
      </c>
      <c r="G331" s="43" t="str">
        <f>_xlfn.XLOOKUP($A331,Map!$A:$A,Map!C:C)</f>
        <v>IS</v>
      </c>
      <c r="H331" s="43" t="str">
        <f>_xlfn.XLOOKUP($A331,Map!$A:$A,Map!D:D)</f>
        <v>Cost of sales</v>
      </c>
      <c r="I331" s="43" t="str">
        <f>_xlfn.XLOOKUP($A331,Map!$A:$A,Map!E:E)</f>
        <v>Raw materials</v>
      </c>
      <c r="J331" s="43" t="str">
        <f>_xlfn.XLOOKUP($A331,Map!$A:$A,Map!F:F)</f>
        <v>Raw materials</v>
      </c>
    </row>
    <row r="332" spans="1:10" x14ac:dyDescent="0.25">
      <c r="A332">
        <v>510003</v>
      </c>
      <c r="B332" t="s">
        <v>1430</v>
      </c>
      <c r="D332" s="116">
        <v>846560.88899999997</v>
      </c>
      <c r="E332" s="116">
        <v>0</v>
      </c>
      <c r="F332" s="116">
        <f t="shared" si="2"/>
        <v>846560.88899999997</v>
      </c>
      <c r="G332" s="43" t="str">
        <f>_xlfn.XLOOKUP($A332,Map!$A:$A,Map!C:C)</f>
        <v>IS</v>
      </c>
      <c r="H332" s="43" t="str">
        <f>_xlfn.XLOOKUP($A332,Map!$A:$A,Map!D:D)</f>
        <v>Cost of sales</v>
      </c>
      <c r="I332" s="43" t="str">
        <f>_xlfn.XLOOKUP($A332,Map!$A:$A,Map!E:E)</f>
        <v>Raw materials</v>
      </c>
      <c r="J332" s="43" t="str">
        <f>_xlfn.XLOOKUP($A332,Map!$A:$A,Map!F:F)</f>
        <v>Raw materials</v>
      </c>
    </row>
    <row r="333" spans="1:10" x14ac:dyDescent="0.25">
      <c r="A333">
        <v>510003</v>
      </c>
      <c r="B333" t="s">
        <v>1431</v>
      </c>
      <c r="D333" s="116">
        <v>333915.52500000002</v>
      </c>
      <c r="E333" s="116">
        <v>0</v>
      </c>
      <c r="F333" s="116">
        <f t="shared" si="2"/>
        <v>333915.52500000002</v>
      </c>
      <c r="G333" s="43" t="str">
        <f>_xlfn.XLOOKUP($A333,Map!$A:$A,Map!C:C)</f>
        <v>IS</v>
      </c>
      <c r="H333" s="43" t="str">
        <f>_xlfn.XLOOKUP($A333,Map!$A:$A,Map!D:D)</f>
        <v>Cost of sales</v>
      </c>
      <c r="I333" s="43" t="str">
        <f>_xlfn.XLOOKUP($A333,Map!$A:$A,Map!E:E)</f>
        <v>Raw materials</v>
      </c>
      <c r="J333" s="43" t="str">
        <f>_xlfn.XLOOKUP($A333,Map!$A:$A,Map!F:F)</f>
        <v>Raw materials</v>
      </c>
    </row>
    <row r="334" spans="1:10" x14ac:dyDescent="0.25">
      <c r="A334">
        <v>510003</v>
      </c>
      <c r="B334" t="s">
        <v>1432</v>
      </c>
      <c r="D334" s="116">
        <v>55448.440999999999</v>
      </c>
      <c r="E334" s="116">
        <v>0</v>
      </c>
      <c r="F334" s="116">
        <f t="shared" si="2"/>
        <v>55448.440999999999</v>
      </c>
      <c r="G334" s="43" t="str">
        <f>_xlfn.XLOOKUP($A334,Map!$A:$A,Map!C:C)</f>
        <v>IS</v>
      </c>
      <c r="H334" s="43" t="str">
        <f>_xlfn.XLOOKUP($A334,Map!$A:$A,Map!D:D)</f>
        <v>Cost of sales</v>
      </c>
      <c r="I334" s="43" t="str">
        <f>_xlfn.XLOOKUP($A334,Map!$A:$A,Map!E:E)</f>
        <v>Raw materials</v>
      </c>
      <c r="J334" s="43" t="str">
        <f>_xlfn.XLOOKUP($A334,Map!$A:$A,Map!F:F)</f>
        <v>Raw materials</v>
      </c>
    </row>
    <row r="335" spans="1:10" x14ac:dyDescent="0.25">
      <c r="A335">
        <v>510003</v>
      </c>
      <c r="B335" t="s">
        <v>1433</v>
      </c>
      <c r="D335" s="116">
        <v>469050.71799999999</v>
      </c>
      <c r="E335" s="116">
        <v>0</v>
      </c>
      <c r="F335" s="116">
        <f t="shared" si="2"/>
        <v>469050.71799999999</v>
      </c>
      <c r="G335" s="43" t="str">
        <f>_xlfn.XLOOKUP($A335,Map!$A:$A,Map!C:C)</f>
        <v>IS</v>
      </c>
      <c r="H335" s="43" t="str">
        <f>_xlfn.XLOOKUP($A335,Map!$A:$A,Map!D:D)</f>
        <v>Cost of sales</v>
      </c>
      <c r="I335" s="43" t="str">
        <f>_xlfn.XLOOKUP($A335,Map!$A:$A,Map!E:E)</f>
        <v>Raw materials</v>
      </c>
      <c r="J335" s="43" t="str">
        <f>_xlfn.XLOOKUP($A335,Map!$A:$A,Map!F:F)</f>
        <v>Raw materials</v>
      </c>
    </row>
    <row r="336" spans="1:10" x14ac:dyDescent="0.25">
      <c r="A336">
        <v>510003</v>
      </c>
      <c r="B336" t="s">
        <v>1434</v>
      </c>
      <c r="D336" s="116">
        <v>50682.754000000001</v>
      </c>
      <c r="E336" s="116">
        <v>0</v>
      </c>
      <c r="F336" s="116">
        <f t="shared" si="2"/>
        <v>50682.754000000001</v>
      </c>
      <c r="G336" s="43" t="str">
        <f>_xlfn.XLOOKUP($A336,Map!$A:$A,Map!C:C)</f>
        <v>IS</v>
      </c>
      <c r="H336" s="43" t="str">
        <f>_xlfn.XLOOKUP($A336,Map!$A:$A,Map!D:D)</f>
        <v>Cost of sales</v>
      </c>
      <c r="I336" s="43" t="str">
        <f>_xlfn.XLOOKUP($A336,Map!$A:$A,Map!E:E)</f>
        <v>Raw materials</v>
      </c>
      <c r="J336" s="43" t="str">
        <f>_xlfn.XLOOKUP($A336,Map!$A:$A,Map!F:F)</f>
        <v>Raw materials</v>
      </c>
    </row>
    <row r="337" spans="1:10" x14ac:dyDescent="0.25">
      <c r="A337">
        <v>510003</v>
      </c>
      <c r="B337" t="s">
        <v>1435</v>
      </c>
      <c r="D337" s="116">
        <v>29892.269</v>
      </c>
      <c r="E337" s="116">
        <v>0</v>
      </c>
      <c r="F337" s="116">
        <f t="shared" si="2"/>
        <v>29892.269</v>
      </c>
      <c r="G337" s="43" t="str">
        <f>_xlfn.XLOOKUP($A337,Map!$A:$A,Map!C:C)</f>
        <v>IS</v>
      </c>
      <c r="H337" s="43" t="str">
        <f>_xlfn.XLOOKUP($A337,Map!$A:$A,Map!D:D)</f>
        <v>Cost of sales</v>
      </c>
      <c r="I337" s="43" t="str">
        <f>_xlfn.XLOOKUP($A337,Map!$A:$A,Map!E:E)</f>
        <v>Raw materials</v>
      </c>
      <c r="J337" s="43" t="str">
        <f>_xlfn.XLOOKUP($A337,Map!$A:$A,Map!F:F)</f>
        <v>Raw materials</v>
      </c>
    </row>
    <row r="338" spans="1:10" x14ac:dyDescent="0.25">
      <c r="A338">
        <v>510003</v>
      </c>
      <c r="B338" t="s">
        <v>947</v>
      </c>
      <c r="D338" s="116">
        <v>0</v>
      </c>
      <c r="E338" s="116">
        <v>4993085.8289999999</v>
      </c>
      <c r="F338" s="116">
        <f t="shared" si="2"/>
        <v>-4993085.8289999999</v>
      </c>
      <c r="G338" s="43" t="str">
        <f>_xlfn.XLOOKUP($A338,Map!$A:$A,Map!C:C)</f>
        <v>IS</v>
      </c>
      <c r="H338" s="43" t="str">
        <f>_xlfn.XLOOKUP($A338,Map!$A:$A,Map!D:D)</f>
        <v>Cost of sales</v>
      </c>
      <c r="I338" s="43" t="str">
        <f>_xlfn.XLOOKUP($A338,Map!$A:$A,Map!E:E)</f>
        <v>Raw materials</v>
      </c>
      <c r="J338" s="43" t="str">
        <f>_xlfn.XLOOKUP($A338,Map!$A:$A,Map!F:F)</f>
        <v>Raw materials</v>
      </c>
    </row>
    <row r="339" spans="1:10" x14ac:dyDescent="0.25">
      <c r="A339">
        <v>510002</v>
      </c>
      <c r="B339" t="s">
        <v>1436</v>
      </c>
      <c r="D339" s="116">
        <v>33.813000000000002</v>
      </c>
      <c r="E339" s="116">
        <v>0</v>
      </c>
      <c r="F339" s="116">
        <f t="shared" si="2"/>
        <v>33.813000000000002</v>
      </c>
      <c r="G339" s="43" t="str">
        <f>_xlfn.XLOOKUP($A339,Map!$A:$A,Map!C:C)</f>
        <v>IS</v>
      </c>
      <c r="H339" s="43" t="str">
        <f>_xlfn.XLOOKUP($A339,Map!$A:$A,Map!D:D)</f>
        <v>Cost of sales</v>
      </c>
      <c r="I339" s="43" t="str">
        <f>_xlfn.XLOOKUP($A339,Map!$A:$A,Map!E:E)</f>
        <v>Direct Labor</v>
      </c>
      <c r="J339" s="43" t="str">
        <f>_xlfn.XLOOKUP($A339,Map!$A:$A,Map!F:F)</f>
        <v>Direct Labor</v>
      </c>
    </row>
    <row r="340" spans="1:10" x14ac:dyDescent="0.25">
      <c r="A340">
        <v>510002</v>
      </c>
      <c r="B340" t="s">
        <v>1437</v>
      </c>
      <c r="D340" s="116">
        <v>0.02</v>
      </c>
      <c r="E340" s="116">
        <v>0</v>
      </c>
      <c r="F340" s="116">
        <f t="shared" si="2"/>
        <v>0.02</v>
      </c>
      <c r="G340" s="43" t="str">
        <f>_xlfn.XLOOKUP($A340,Map!$A:$A,Map!C:C)</f>
        <v>IS</v>
      </c>
      <c r="H340" s="43" t="str">
        <f>_xlfn.XLOOKUP($A340,Map!$A:$A,Map!D:D)</f>
        <v>Cost of sales</v>
      </c>
      <c r="I340" s="43" t="str">
        <f>_xlfn.XLOOKUP($A340,Map!$A:$A,Map!E:E)</f>
        <v>Direct Labor</v>
      </c>
      <c r="J340" s="43" t="str">
        <f>_xlfn.XLOOKUP($A340,Map!$A:$A,Map!F:F)</f>
        <v>Direct Labor</v>
      </c>
    </row>
    <row r="341" spans="1:10" x14ac:dyDescent="0.25">
      <c r="A341">
        <v>510002</v>
      </c>
      <c r="B341" t="s">
        <v>1438</v>
      </c>
      <c r="D341" s="116">
        <v>1.0269999999999999</v>
      </c>
      <c r="E341" s="116">
        <v>0</v>
      </c>
      <c r="F341" s="116">
        <f t="shared" si="2"/>
        <v>1.0269999999999999</v>
      </c>
      <c r="G341" s="43" t="str">
        <f>_xlfn.XLOOKUP($A341,Map!$A:$A,Map!C:C)</f>
        <v>IS</v>
      </c>
      <c r="H341" s="43" t="str">
        <f>_xlfn.XLOOKUP($A341,Map!$A:$A,Map!D:D)</f>
        <v>Cost of sales</v>
      </c>
      <c r="I341" s="43" t="str">
        <f>_xlfn.XLOOKUP($A341,Map!$A:$A,Map!E:E)</f>
        <v>Direct Labor</v>
      </c>
      <c r="J341" s="43" t="str">
        <f>_xlfn.XLOOKUP($A341,Map!$A:$A,Map!F:F)</f>
        <v>Direct Labor</v>
      </c>
    </row>
    <row r="342" spans="1:10" x14ac:dyDescent="0.25">
      <c r="A342">
        <v>510002</v>
      </c>
      <c r="B342" t="s">
        <v>1439</v>
      </c>
      <c r="D342" s="116">
        <v>14.374000000000001</v>
      </c>
      <c r="E342" s="116">
        <v>0</v>
      </c>
      <c r="F342" s="116">
        <f t="shared" ref="F342:F373" si="3">D342-E342</f>
        <v>14.374000000000001</v>
      </c>
      <c r="G342" s="43" t="str">
        <f>_xlfn.XLOOKUP($A342,Map!$A:$A,Map!C:C)</f>
        <v>IS</v>
      </c>
      <c r="H342" s="43" t="str">
        <f>_xlfn.XLOOKUP($A342,Map!$A:$A,Map!D:D)</f>
        <v>Cost of sales</v>
      </c>
      <c r="I342" s="43" t="str">
        <f>_xlfn.XLOOKUP($A342,Map!$A:$A,Map!E:E)</f>
        <v>Direct Labor</v>
      </c>
      <c r="J342" s="43" t="str">
        <f>_xlfn.XLOOKUP($A342,Map!$A:$A,Map!F:F)</f>
        <v>Direct Labor</v>
      </c>
    </row>
    <row r="343" spans="1:10" x14ac:dyDescent="0.25">
      <c r="A343">
        <v>510002</v>
      </c>
      <c r="B343" t="s">
        <v>1440</v>
      </c>
      <c r="D343" s="116">
        <v>4.8689999999999998</v>
      </c>
      <c r="E343" s="116">
        <v>0</v>
      </c>
      <c r="F343" s="116">
        <f t="shared" si="3"/>
        <v>4.8689999999999998</v>
      </c>
      <c r="G343" s="43" t="str">
        <f>_xlfn.XLOOKUP($A343,Map!$A:$A,Map!C:C)</f>
        <v>IS</v>
      </c>
      <c r="H343" s="43" t="str">
        <f>_xlfn.XLOOKUP($A343,Map!$A:$A,Map!D:D)</f>
        <v>Cost of sales</v>
      </c>
      <c r="I343" s="43" t="str">
        <f>_xlfn.XLOOKUP($A343,Map!$A:$A,Map!E:E)</f>
        <v>Direct Labor</v>
      </c>
      <c r="J343" s="43" t="str">
        <f>_xlfn.XLOOKUP($A343,Map!$A:$A,Map!F:F)</f>
        <v>Direct Labor</v>
      </c>
    </row>
    <row r="344" spans="1:10" x14ac:dyDescent="0.25">
      <c r="A344">
        <v>510002</v>
      </c>
      <c r="B344" t="s">
        <v>946</v>
      </c>
      <c r="D344" s="116">
        <v>0</v>
      </c>
      <c r="E344" s="116">
        <v>14104463.550000001</v>
      </c>
      <c r="F344" s="116">
        <f t="shared" si="3"/>
        <v>-14104463.550000001</v>
      </c>
      <c r="G344" s="43" t="str">
        <f>_xlfn.XLOOKUP($A344,Map!$A:$A,Map!C:C)</f>
        <v>IS</v>
      </c>
      <c r="H344" s="43" t="str">
        <f>_xlfn.XLOOKUP($A344,Map!$A:$A,Map!D:D)</f>
        <v>Cost of sales</v>
      </c>
      <c r="I344" s="43" t="str">
        <f>_xlfn.XLOOKUP($A344,Map!$A:$A,Map!E:E)</f>
        <v>Direct Labor</v>
      </c>
      <c r="J344" s="43" t="str">
        <f>_xlfn.XLOOKUP($A344,Map!$A:$A,Map!F:F)</f>
        <v>Direct Labor</v>
      </c>
    </row>
    <row r="345" spans="1:10" x14ac:dyDescent="0.25">
      <c r="A345">
        <v>510001</v>
      </c>
      <c r="B345" t="s">
        <v>1441</v>
      </c>
      <c r="D345" s="116">
        <v>3465645.6690000002</v>
      </c>
      <c r="E345" s="116">
        <v>0</v>
      </c>
      <c r="F345" s="116">
        <f t="shared" si="3"/>
        <v>3465645.6690000002</v>
      </c>
      <c r="G345" s="43" t="str">
        <f>_xlfn.XLOOKUP($A345,Map!$A:$A,Map!C:C)</f>
        <v>IS</v>
      </c>
      <c r="H345" s="43" t="str">
        <f>_xlfn.XLOOKUP($A345,Map!$A:$A,Map!D:D)</f>
        <v>Cost of sales</v>
      </c>
      <c r="I345" s="43" t="str">
        <f>_xlfn.XLOOKUP($A345,Map!$A:$A,Map!E:E)</f>
        <v>Raw materials</v>
      </c>
      <c r="J345" s="43" t="str">
        <f>_xlfn.XLOOKUP($A345,Map!$A:$A,Map!F:F)</f>
        <v>Raw materials</v>
      </c>
    </row>
    <row r="346" spans="1:10" x14ac:dyDescent="0.25">
      <c r="A346">
        <v>510001</v>
      </c>
      <c r="B346" t="s">
        <v>1442</v>
      </c>
      <c r="D346" s="116">
        <v>0</v>
      </c>
      <c r="E346" s="116">
        <v>481324</v>
      </c>
      <c r="F346" s="116">
        <f t="shared" si="3"/>
        <v>-481324</v>
      </c>
      <c r="G346" s="43" t="str">
        <f>_xlfn.XLOOKUP($A346,Map!$A:$A,Map!C:C)</f>
        <v>IS</v>
      </c>
      <c r="H346" s="43" t="str">
        <f>_xlfn.XLOOKUP($A346,Map!$A:$A,Map!D:D)</f>
        <v>Cost of sales</v>
      </c>
      <c r="I346" s="43" t="str">
        <f>_xlfn.XLOOKUP($A346,Map!$A:$A,Map!E:E)</f>
        <v>Raw materials</v>
      </c>
      <c r="J346" s="43" t="str">
        <f>_xlfn.XLOOKUP($A346,Map!$A:$A,Map!F:F)</f>
        <v>Raw materials</v>
      </c>
    </row>
    <row r="347" spans="1:10" x14ac:dyDescent="0.25">
      <c r="A347">
        <v>510001</v>
      </c>
      <c r="B347" t="s">
        <v>1443</v>
      </c>
      <c r="D347" s="116">
        <v>45939654.425999999</v>
      </c>
      <c r="E347" s="116">
        <v>0</v>
      </c>
      <c r="F347" s="116">
        <f t="shared" si="3"/>
        <v>45939654.425999999</v>
      </c>
      <c r="G347" s="43" t="str">
        <f>_xlfn.XLOOKUP($A347,Map!$A:$A,Map!C:C)</f>
        <v>IS</v>
      </c>
      <c r="H347" s="43" t="str">
        <f>_xlfn.XLOOKUP($A347,Map!$A:$A,Map!D:D)</f>
        <v>Cost of sales</v>
      </c>
      <c r="I347" s="43" t="str">
        <f>_xlfn.XLOOKUP($A347,Map!$A:$A,Map!E:E)</f>
        <v>Raw materials</v>
      </c>
      <c r="J347" s="43" t="str">
        <f>_xlfn.XLOOKUP($A347,Map!$A:$A,Map!F:F)</f>
        <v>Raw materials</v>
      </c>
    </row>
    <row r="348" spans="1:10" x14ac:dyDescent="0.25">
      <c r="A348">
        <v>510001</v>
      </c>
      <c r="B348" t="s">
        <v>1444</v>
      </c>
      <c r="D348" s="116">
        <v>2921199.0419999999</v>
      </c>
      <c r="E348" s="116">
        <v>0</v>
      </c>
      <c r="F348" s="116">
        <f t="shared" si="3"/>
        <v>2921199.0419999999</v>
      </c>
      <c r="G348" s="43" t="str">
        <f>_xlfn.XLOOKUP($A348,Map!$A:$A,Map!C:C)</f>
        <v>IS</v>
      </c>
      <c r="H348" s="43" t="str">
        <f>_xlfn.XLOOKUP($A348,Map!$A:$A,Map!D:D)</f>
        <v>Cost of sales</v>
      </c>
      <c r="I348" s="43" t="str">
        <f>_xlfn.XLOOKUP($A348,Map!$A:$A,Map!E:E)</f>
        <v>Raw materials</v>
      </c>
      <c r="J348" s="43" t="str">
        <f>_xlfn.XLOOKUP($A348,Map!$A:$A,Map!F:F)</f>
        <v>Raw materials</v>
      </c>
    </row>
    <row r="349" spans="1:10" x14ac:dyDescent="0.25">
      <c r="A349">
        <v>510001</v>
      </c>
      <c r="B349" t="s">
        <v>945</v>
      </c>
      <c r="D349" s="116">
        <v>53600</v>
      </c>
      <c r="E349" s="116">
        <v>0</v>
      </c>
      <c r="F349" s="116">
        <f t="shared" si="3"/>
        <v>53600</v>
      </c>
      <c r="G349" s="43" t="str">
        <f>_xlfn.XLOOKUP($A349,Map!$A:$A,Map!C:C)</f>
        <v>IS</v>
      </c>
      <c r="H349" s="43" t="str">
        <f>_xlfn.XLOOKUP($A349,Map!$A:$A,Map!D:D)</f>
        <v>Cost of sales</v>
      </c>
      <c r="I349" s="43" t="str">
        <f>_xlfn.XLOOKUP($A349,Map!$A:$A,Map!E:E)</f>
        <v>Raw materials</v>
      </c>
      <c r="J349" s="43" t="str">
        <f>_xlfn.XLOOKUP($A349,Map!$A:$A,Map!F:F)</f>
        <v>Raw materials</v>
      </c>
    </row>
    <row r="350" spans="1:10" x14ac:dyDescent="0.25">
      <c r="A350">
        <v>510001</v>
      </c>
      <c r="B350" t="s">
        <v>1445</v>
      </c>
      <c r="D350" s="116">
        <v>808.51499999999999</v>
      </c>
      <c r="E350" s="116">
        <v>0</v>
      </c>
      <c r="F350" s="116">
        <f t="shared" si="3"/>
        <v>808.51499999999999</v>
      </c>
      <c r="G350" s="43" t="str">
        <f>_xlfn.XLOOKUP($A350,Map!$A:$A,Map!C:C)</f>
        <v>IS</v>
      </c>
      <c r="H350" s="43" t="str">
        <f>_xlfn.XLOOKUP($A350,Map!$A:$A,Map!D:D)</f>
        <v>Cost of sales</v>
      </c>
      <c r="I350" s="43" t="str">
        <f>_xlfn.XLOOKUP($A350,Map!$A:$A,Map!E:E)</f>
        <v>Raw materials</v>
      </c>
      <c r="J350" s="43" t="str">
        <f>_xlfn.XLOOKUP($A350,Map!$A:$A,Map!F:F)</f>
        <v>Raw materials</v>
      </c>
    </row>
    <row r="351" spans="1:10" x14ac:dyDescent="0.25">
      <c r="A351">
        <v>510001</v>
      </c>
      <c r="B351" t="s">
        <v>1446</v>
      </c>
      <c r="D351" s="116">
        <v>5197253.5520000001</v>
      </c>
      <c r="E351" s="116">
        <v>0</v>
      </c>
      <c r="F351" s="116">
        <f t="shared" si="3"/>
        <v>5197253.5520000001</v>
      </c>
      <c r="G351" s="43" t="str">
        <f>_xlfn.XLOOKUP($A351,Map!$A:$A,Map!C:C)</f>
        <v>IS</v>
      </c>
      <c r="H351" s="43" t="str">
        <f>_xlfn.XLOOKUP($A351,Map!$A:$A,Map!D:D)</f>
        <v>Cost of sales</v>
      </c>
      <c r="I351" s="43" t="str">
        <f>_xlfn.XLOOKUP($A351,Map!$A:$A,Map!E:E)</f>
        <v>Raw materials</v>
      </c>
      <c r="J351" s="43" t="str">
        <f>_xlfn.XLOOKUP($A351,Map!$A:$A,Map!F:F)</f>
        <v>Raw materials</v>
      </c>
    </row>
    <row r="352" spans="1:10" x14ac:dyDescent="0.25">
      <c r="A352">
        <v>510001</v>
      </c>
      <c r="B352" t="s">
        <v>1447</v>
      </c>
      <c r="D352" s="116">
        <v>59789.55</v>
      </c>
      <c r="E352" s="116">
        <v>0</v>
      </c>
      <c r="F352" s="116">
        <f t="shared" si="3"/>
        <v>59789.55</v>
      </c>
      <c r="G352" s="43" t="str">
        <f>_xlfn.XLOOKUP($A352,Map!$A:$A,Map!C:C)</f>
        <v>IS</v>
      </c>
      <c r="H352" s="43" t="str">
        <f>_xlfn.XLOOKUP($A352,Map!$A:$A,Map!D:D)</f>
        <v>Cost of sales</v>
      </c>
      <c r="I352" s="43" t="str">
        <f>_xlfn.XLOOKUP($A352,Map!$A:$A,Map!E:E)</f>
        <v>Raw materials</v>
      </c>
      <c r="J352" s="43" t="str">
        <f>_xlfn.XLOOKUP($A352,Map!$A:$A,Map!F:F)</f>
        <v>Raw materials</v>
      </c>
    </row>
    <row r="353" spans="1:10" x14ac:dyDescent="0.25">
      <c r="A353">
        <v>510001</v>
      </c>
      <c r="B353" t="s">
        <v>1448</v>
      </c>
      <c r="D353" s="116">
        <v>3056.2979999999998</v>
      </c>
      <c r="E353" s="116">
        <v>0</v>
      </c>
      <c r="F353" s="116">
        <f t="shared" si="3"/>
        <v>3056.2979999999998</v>
      </c>
      <c r="G353" s="43" t="str">
        <f>_xlfn.XLOOKUP($A353,Map!$A:$A,Map!C:C)</f>
        <v>IS</v>
      </c>
      <c r="H353" s="43" t="str">
        <f>_xlfn.XLOOKUP($A353,Map!$A:$A,Map!D:D)</f>
        <v>Cost of sales</v>
      </c>
      <c r="I353" s="43" t="str">
        <f>_xlfn.XLOOKUP($A353,Map!$A:$A,Map!E:E)</f>
        <v>Raw materials</v>
      </c>
      <c r="J353" s="43" t="str">
        <f>_xlfn.XLOOKUP($A353,Map!$A:$A,Map!F:F)</f>
        <v>Raw materials</v>
      </c>
    </row>
    <row r="354" spans="1:10" x14ac:dyDescent="0.25">
      <c r="A354">
        <v>510001</v>
      </c>
      <c r="B354" t="s">
        <v>1449</v>
      </c>
      <c r="D354" s="116">
        <v>29100899.267999999</v>
      </c>
      <c r="E354" s="116">
        <v>0</v>
      </c>
      <c r="F354" s="116">
        <f t="shared" si="3"/>
        <v>29100899.267999999</v>
      </c>
      <c r="G354" s="43" t="str">
        <f>_xlfn.XLOOKUP($A354,Map!$A:$A,Map!C:C)</f>
        <v>IS</v>
      </c>
      <c r="H354" s="43" t="str">
        <f>_xlfn.XLOOKUP($A354,Map!$A:$A,Map!D:D)</f>
        <v>Cost of sales</v>
      </c>
      <c r="I354" s="43" t="str">
        <f>_xlfn.XLOOKUP($A354,Map!$A:$A,Map!E:E)</f>
        <v>Raw materials</v>
      </c>
      <c r="J354" s="43" t="str">
        <f>_xlfn.XLOOKUP($A354,Map!$A:$A,Map!F:F)</f>
        <v>Raw materials</v>
      </c>
    </row>
    <row r="355" spans="1:10" x14ac:dyDescent="0.25">
      <c r="A355">
        <v>510001</v>
      </c>
      <c r="B355" t="s">
        <v>1450</v>
      </c>
      <c r="D355" s="116">
        <v>8581043.7660000008</v>
      </c>
      <c r="E355" s="116">
        <v>0</v>
      </c>
      <c r="F355" s="116">
        <f t="shared" si="3"/>
        <v>8581043.7660000008</v>
      </c>
      <c r="G355" s="43" t="str">
        <f>_xlfn.XLOOKUP($A355,Map!$A:$A,Map!C:C)</f>
        <v>IS</v>
      </c>
      <c r="H355" s="43" t="str">
        <f>_xlfn.XLOOKUP($A355,Map!$A:$A,Map!D:D)</f>
        <v>Cost of sales</v>
      </c>
      <c r="I355" s="43" t="str">
        <f>_xlfn.XLOOKUP($A355,Map!$A:$A,Map!E:E)</f>
        <v>Raw materials</v>
      </c>
      <c r="J355" s="43" t="str">
        <f>_xlfn.XLOOKUP($A355,Map!$A:$A,Map!F:F)</f>
        <v>Raw materials</v>
      </c>
    </row>
    <row r="356" spans="1:10" x14ac:dyDescent="0.25">
      <c r="A356">
        <v>510001</v>
      </c>
      <c r="B356" t="s">
        <v>1451</v>
      </c>
      <c r="D356" s="116">
        <v>28186380.557</v>
      </c>
      <c r="E356" s="116">
        <v>0</v>
      </c>
      <c r="F356" s="116">
        <f t="shared" si="3"/>
        <v>28186380.557</v>
      </c>
      <c r="G356" s="43" t="str">
        <f>_xlfn.XLOOKUP($A356,Map!$A:$A,Map!C:C)</f>
        <v>IS</v>
      </c>
      <c r="H356" s="43" t="str">
        <f>_xlfn.XLOOKUP($A356,Map!$A:$A,Map!D:D)</f>
        <v>Cost of sales</v>
      </c>
      <c r="I356" s="43" t="str">
        <f>_xlfn.XLOOKUP($A356,Map!$A:$A,Map!E:E)</f>
        <v>Raw materials</v>
      </c>
      <c r="J356" s="43" t="str">
        <f>_xlfn.XLOOKUP($A356,Map!$A:$A,Map!F:F)</f>
        <v>Raw materials</v>
      </c>
    </row>
    <row r="357" spans="1:10" x14ac:dyDescent="0.25">
      <c r="A357">
        <v>510001</v>
      </c>
      <c r="B357" t="s">
        <v>1452</v>
      </c>
      <c r="D357" s="116">
        <v>0</v>
      </c>
      <c r="E357" s="116">
        <v>1388.1489999999999</v>
      </c>
      <c r="F357" s="116">
        <f t="shared" si="3"/>
        <v>-1388.1489999999999</v>
      </c>
      <c r="G357" s="43" t="str">
        <f>_xlfn.XLOOKUP($A357,Map!$A:$A,Map!C:C)</f>
        <v>IS</v>
      </c>
      <c r="H357" s="43" t="str">
        <f>_xlfn.XLOOKUP($A357,Map!$A:$A,Map!D:D)</f>
        <v>Cost of sales</v>
      </c>
      <c r="I357" s="43" t="str">
        <f>_xlfn.XLOOKUP($A357,Map!$A:$A,Map!E:E)</f>
        <v>Raw materials</v>
      </c>
      <c r="J357" s="43" t="str">
        <f>_xlfn.XLOOKUP($A357,Map!$A:$A,Map!F:F)</f>
        <v>Raw materials</v>
      </c>
    </row>
    <row r="358" spans="1:10" x14ac:dyDescent="0.25">
      <c r="A358">
        <v>510001</v>
      </c>
      <c r="B358" t="s">
        <v>1453</v>
      </c>
      <c r="D358" s="116">
        <v>13678453.585000001</v>
      </c>
      <c r="E358" s="116">
        <v>0</v>
      </c>
      <c r="F358" s="116">
        <f t="shared" si="3"/>
        <v>13678453.585000001</v>
      </c>
      <c r="G358" s="43" t="str">
        <f>_xlfn.XLOOKUP($A358,Map!$A:$A,Map!C:C)</f>
        <v>IS</v>
      </c>
      <c r="H358" s="43" t="str">
        <f>_xlfn.XLOOKUP($A358,Map!$A:$A,Map!D:D)</f>
        <v>Cost of sales</v>
      </c>
      <c r="I358" s="43" t="str">
        <f>_xlfn.XLOOKUP($A358,Map!$A:$A,Map!E:E)</f>
        <v>Raw materials</v>
      </c>
      <c r="J358" s="43" t="str">
        <f>_xlfn.XLOOKUP($A358,Map!$A:$A,Map!F:F)</f>
        <v>Raw materials</v>
      </c>
    </row>
    <row r="359" spans="1:10" x14ac:dyDescent="0.25">
      <c r="A359">
        <v>510001</v>
      </c>
      <c r="B359" t="s">
        <v>1454</v>
      </c>
      <c r="D359" s="116">
        <v>18573848.226</v>
      </c>
      <c r="E359" s="116">
        <v>0</v>
      </c>
      <c r="F359" s="116">
        <f t="shared" si="3"/>
        <v>18573848.226</v>
      </c>
      <c r="G359" s="43" t="str">
        <f>_xlfn.XLOOKUP($A359,Map!$A:$A,Map!C:C)</f>
        <v>IS</v>
      </c>
      <c r="H359" s="43" t="str">
        <f>_xlfn.XLOOKUP($A359,Map!$A:$A,Map!D:D)</f>
        <v>Cost of sales</v>
      </c>
      <c r="I359" s="43" t="str">
        <f>_xlfn.XLOOKUP($A359,Map!$A:$A,Map!E:E)</f>
        <v>Raw materials</v>
      </c>
      <c r="J359" s="43" t="str">
        <f>_xlfn.XLOOKUP($A359,Map!$A:$A,Map!F:F)</f>
        <v>Raw materials</v>
      </c>
    </row>
    <row r="360" spans="1:10" x14ac:dyDescent="0.25">
      <c r="A360">
        <v>510001</v>
      </c>
      <c r="B360" t="s">
        <v>1455</v>
      </c>
      <c r="D360" s="116">
        <v>13636241.593</v>
      </c>
      <c r="E360" s="116">
        <v>0</v>
      </c>
      <c r="F360" s="116">
        <f t="shared" si="3"/>
        <v>13636241.593</v>
      </c>
      <c r="G360" s="43" t="str">
        <f>_xlfn.XLOOKUP($A360,Map!$A:$A,Map!C:C)</f>
        <v>IS</v>
      </c>
      <c r="H360" s="43" t="str">
        <f>_xlfn.XLOOKUP($A360,Map!$A:$A,Map!D:D)</f>
        <v>Cost of sales</v>
      </c>
      <c r="I360" s="43" t="str">
        <f>_xlfn.XLOOKUP($A360,Map!$A:$A,Map!E:E)</f>
        <v>Raw materials</v>
      </c>
      <c r="J360" s="43" t="str">
        <f>_xlfn.XLOOKUP($A360,Map!$A:$A,Map!F:F)</f>
        <v>Raw materials</v>
      </c>
    </row>
    <row r="361" spans="1:10" x14ac:dyDescent="0.25">
      <c r="A361">
        <v>510001</v>
      </c>
      <c r="B361" t="s">
        <v>1456</v>
      </c>
      <c r="D361" s="116">
        <v>1851971.4129999999</v>
      </c>
      <c r="E361" s="116">
        <v>0</v>
      </c>
      <c r="F361" s="116">
        <f t="shared" si="3"/>
        <v>1851971.4129999999</v>
      </c>
      <c r="G361" s="43" t="str">
        <f>_xlfn.XLOOKUP($A361,Map!$A:$A,Map!C:C)</f>
        <v>IS</v>
      </c>
      <c r="H361" s="43" t="str">
        <f>_xlfn.XLOOKUP($A361,Map!$A:$A,Map!D:D)</f>
        <v>Cost of sales</v>
      </c>
      <c r="I361" s="43" t="str">
        <f>_xlfn.XLOOKUP($A361,Map!$A:$A,Map!E:E)</f>
        <v>Raw materials</v>
      </c>
      <c r="J361" s="43" t="str">
        <f>_xlfn.XLOOKUP($A361,Map!$A:$A,Map!F:F)</f>
        <v>Raw materials</v>
      </c>
    </row>
    <row r="362" spans="1:10" x14ac:dyDescent="0.25">
      <c r="A362">
        <v>510001</v>
      </c>
      <c r="B362" t="s">
        <v>1354</v>
      </c>
      <c r="D362" s="116">
        <v>0</v>
      </c>
      <c r="E362" s="116">
        <v>158647044.16499999</v>
      </c>
      <c r="F362" s="116">
        <f t="shared" si="3"/>
        <v>-158647044.16499999</v>
      </c>
      <c r="G362" s="43" t="str">
        <f>_xlfn.XLOOKUP($A362,Map!$A:$A,Map!C:C)</f>
        <v>IS</v>
      </c>
      <c r="H362" s="43" t="str">
        <f>_xlfn.XLOOKUP($A362,Map!$A:$A,Map!D:D)</f>
        <v>Cost of sales</v>
      </c>
      <c r="I362" s="43" t="str">
        <f>_xlfn.XLOOKUP($A362,Map!$A:$A,Map!E:E)</f>
        <v>Raw materials</v>
      </c>
      <c r="J362" s="43" t="str">
        <f>_xlfn.XLOOKUP($A362,Map!$A:$A,Map!F:F)</f>
        <v>Raw materials</v>
      </c>
    </row>
    <row r="364" spans="1:10" x14ac:dyDescent="0.25">
      <c r="A364">
        <v>700034</v>
      </c>
      <c r="B364" t="s">
        <v>1457</v>
      </c>
      <c r="D364" s="116">
        <v>0</v>
      </c>
      <c r="E364" s="116">
        <v>201.91200000000001</v>
      </c>
      <c r="F364" s="116">
        <f>D364-E364</f>
        <v>-201.91200000000001</v>
      </c>
      <c r="G364" s="43" t="str">
        <f>_xlfn.XLOOKUP($A364,Map!$A:$A,Map!C:C)</f>
        <v>IS</v>
      </c>
      <c r="H364" s="43" t="str">
        <f>_xlfn.XLOOKUP($A364,Map!$A:$A,Map!D:D)</f>
        <v>General and Admin</v>
      </c>
      <c r="I364" s="43" t="str">
        <f>_xlfn.XLOOKUP($A364,Map!$A:$A,Map!E:E)</f>
        <v xml:space="preserve">Back office Support </v>
      </c>
      <c r="J364" s="43" t="str">
        <f>_xlfn.XLOOKUP($A364,Map!$A:$A,Map!F:F)</f>
        <v>Consumables</v>
      </c>
    </row>
    <row r="365" spans="1:10" x14ac:dyDescent="0.25">
      <c r="A365">
        <v>510004</v>
      </c>
      <c r="B365" t="s">
        <v>1457</v>
      </c>
      <c r="D365" s="116">
        <v>23497156.940000001</v>
      </c>
      <c r="E365" s="116">
        <v>0</v>
      </c>
      <c r="F365" s="116">
        <f>D365-E365</f>
        <v>23497156.940000001</v>
      </c>
      <c r="G365" s="43" t="str">
        <f>_xlfn.XLOOKUP($A365,Map!$A:$A,Map!C:C)</f>
        <v>IS</v>
      </c>
      <c r="H365" s="43" t="str">
        <f>_xlfn.XLOOKUP($A365,Map!$A:$A,Map!D:D)</f>
        <v>Cost of sales</v>
      </c>
      <c r="I365" s="43" t="str">
        <f>_xlfn.XLOOKUP($A365,Map!$A:$A,Map!E:E)</f>
        <v>Raw materials</v>
      </c>
      <c r="J365" s="43" t="str">
        <f>_xlfn.XLOOKUP($A365,Map!$A:$A,Map!F:F)</f>
        <v>Other expenses</v>
      </c>
    </row>
    <row r="366" spans="1:10" x14ac:dyDescent="0.25">
      <c r="A366">
        <v>510003</v>
      </c>
      <c r="B366" t="s">
        <v>1457</v>
      </c>
      <c r="D366" s="116">
        <v>0</v>
      </c>
      <c r="E366" s="116">
        <v>3451718.284</v>
      </c>
      <c r="F366" s="116">
        <f>D366-E366</f>
        <v>-3451718.284</v>
      </c>
      <c r="G366" s="43" t="str">
        <f>_xlfn.XLOOKUP($A366,Map!$A:$A,Map!C:C)</f>
        <v>IS</v>
      </c>
      <c r="H366" s="43" t="str">
        <f>_xlfn.XLOOKUP($A366,Map!$A:$A,Map!D:D)</f>
        <v>Cost of sales</v>
      </c>
      <c r="I366" s="43" t="str">
        <f>_xlfn.XLOOKUP($A366,Map!$A:$A,Map!E:E)</f>
        <v>Raw materials</v>
      </c>
      <c r="J366" s="43" t="str">
        <f>_xlfn.XLOOKUP($A366,Map!$A:$A,Map!F:F)</f>
        <v>Raw materials</v>
      </c>
    </row>
    <row r="367" spans="1:10" x14ac:dyDescent="0.25">
      <c r="A367">
        <v>510002</v>
      </c>
      <c r="B367" t="s">
        <v>1457</v>
      </c>
      <c r="D367" s="116">
        <v>8436506.5960000008</v>
      </c>
      <c r="E367" s="116">
        <v>0</v>
      </c>
      <c r="F367" s="116">
        <f>D367-E367</f>
        <v>8436506.5960000008</v>
      </c>
      <c r="G367" s="43" t="str">
        <f>_xlfn.XLOOKUP($A367,Map!$A:$A,Map!C:C)</f>
        <v>IS</v>
      </c>
      <c r="H367" s="43" t="str">
        <f>_xlfn.XLOOKUP($A367,Map!$A:$A,Map!D:D)</f>
        <v>Cost of sales</v>
      </c>
      <c r="I367" s="43" t="str">
        <f>_xlfn.XLOOKUP($A367,Map!$A:$A,Map!E:E)</f>
        <v>Direct Labor</v>
      </c>
      <c r="J367" s="43" t="str">
        <f>_xlfn.XLOOKUP($A367,Map!$A:$A,Map!F:F)</f>
        <v>Direct Labor</v>
      </c>
    </row>
    <row r="368" spans="1:10" x14ac:dyDescent="0.25">
      <c r="A368">
        <v>510001</v>
      </c>
      <c r="B368" t="s">
        <v>1457</v>
      </c>
      <c r="D368" s="116">
        <v>0</v>
      </c>
      <c r="E368" s="116">
        <v>28481743.34</v>
      </c>
      <c r="F368" s="116">
        <f>D368-E368</f>
        <v>-28481743.34</v>
      </c>
      <c r="G368" s="43" t="str">
        <f>_xlfn.XLOOKUP($A368,Map!$A:$A,Map!C:C)</f>
        <v>IS</v>
      </c>
      <c r="H368" s="43" t="str">
        <f>_xlfn.XLOOKUP($A368,Map!$A:$A,Map!D:D)</f>
        <v>Cost of sales</v>
      </c>
      <c r="I368" s="43" t="str">
        <f>_xlfn.XLOOKUP($A368,Map!$A:$A,Map!E:E)</f>
        <v>Raw materials</v>
      </c>
      <c r="J368" s="43" t="str">
        <f>_xlfn.XLOOKUP($A368,Map!$A:$A,Map!F:F)</f>
        <v>Raw materials</v>
      </c>
    </row>
    <row r="371" spans="1:10" x14ac:dyDescent="0.25">
      <c r="A371">
        <v>170021</v>
      </c>
      <c r="B371" t="s">
        <v>883</v>
      </c>
      <c r="D371" s="154"/>
      <c r="F371" s="147">
        <f>D371-E371</f>
        <v>0</v>
      </c>
      <c r="G371" s="43" t="str">
        <f>_xlfn.XLOOKUP($A371,Map!$A:$A,Map!C:C)</f>
        <v>BS</v>
      </c>
      <c r="H371" s="43" t="str">
        <f>_xlfn.XLOOKUP($A371,Map!$A:$A,Map!D:D)</f>
        <v>Current Assets</v>
      </c>
      <c r="I371" s="43" t="str">
        <f>_xlfn.XLOOKUP($A371,Map!$A:$A,Map!E:E)</f>
        <v>Prepaid expenses</v>
      </c>
      <c r="J371" s="43" t="str">
        <f>_xlfn.XLOOKUP($A371,Map!$A:$A,Map!F:F)</f>
        <v>Prepaid expense</v>
      </c>
    </row>
    <row r="372" spans="1:10" x14ac:dyDescent="0.25">
      <c r="A372">
        <v>210001</v>
      </c>
      <c r="B372" t="s">
        <v>902</v>
      </c>
      <c r="E372" s="154">
        <f>D371</f>
        <v>0</v>
      </c>
      <c r="F372" s="147">
        <f>D372-E372</f>
        <v>0</v>
      </c>
      <c r="G372" s="43" t="str">
        <f>_xlfn.XLOOKUP($A372,Map!$A:$A,Map!C:C)</f>
        <v>BS</v>
      </c>
      <c r="H372" s="43" t="str">
        <f>_xlfn.XLOOKUP($A372,Map!$A:$A,Map!D:D)</f>
        <v>Current Liabilities</v>
      </c>
      <c r="I372" s="43" t="str">
        <f>_xlfn.XLOOKUP($A372,Map!$A:$A,Map!E:E)</f>
        <v>Tade payables and Accuals &amp; other credit balances</v>
      </c>
      <c r="J372" s="43" t="str">
        <f>_xlfn.XLOOKUP($A372,Map!$A:$A,Map!F:F)</f>
        <v>Trade payables - Foreign</v>
      </c>
    </row>
    <row r="375" spans="1:10" x14ac:dyDescent="0.25">
      <c r="A375">
        <v>410001</v>
      </c>
      <c r="B375" t="s">
        <v>1344</v>
      </c>
      <c r="D375" s="88">
        <v>12840704.702583</v>
      </c>
      <c r="E375" s="88"/>
      <c r="F375" s="147">
        <f>D375-E375</f>
        <v>12840704.702583</v>
      </c>
      <c r="G375" s="43" t="str">
        <f>_xlfn.XLOOKUP($A375,Map!$A:$A,Map!C:C)</f>
        <v>IS</v>
      </c>
      <c r="H375" s="43" t="str">
        <f>_xlfn.XLOOKUP($A375,Map!$A:$A,Map!D:D)</f>
        <v>Sales</v>
      </c>
      <c r="I375" s="43" t="str">
        <f>_xlfn.XLOOKUP($A375,Map!$A:$A,Map!E:E)</f>
        <v>Sales</v>
      </c>
      <c r="J375" s="43" t="str">
        <f>_xlfn.XLOOKUP($A375,Map!$A:$A,Map!F:F)</f>
        <v>Trading revenue</v>
      </c>
    </row>
    <row r="376" spans="1:10" x14ac:dyDescent="0.25">
      <c r="A376">
        <v>510001</v>
      </c>
      <c r="B376" t="s">
        <v>1345</v>
      </c>
      <c r="D376" s="88"/>
      <c r="E376" s="88">
        <v>12415156.92321823</v>
      </c>
      <c r="F376" s="147">
        <f>D376-E376</f>
        <v>-12415156.92321823</v>
      </c>
      <c r="G376" s="43" t="str">
        <f>_xlfn.XLOOKUP($A376,Map!$A:$A,Map!C:C)</f>
        <v>IS</v>
      </c>
      <c r="H376" s="43" t="str">
        <f>_xlfn.XLOOKUP($A376,Map!$A:$A,Map!D:D)</f>
        <v>Cost of sales</v>
      </c>
      <c r="I376" s="43" t="str">
        <f>_xlfn.XLOOKUP($A376,Map!$A:$A,Map!E:E)</f>
        <v>Raw materials</v>
      </c>
      <c r="J376" s="43" t="str">
        <f>_xlfn.XLOOKUP($A376,Map!$A:$A,Map!F:F)</f>
        <v>Raw materials</v>
      </c>
    </row>
  </sheetData>
  <autoFilter ref="A4:J362" xr:uid="{00000000-0009-0000-0000-000021000000}"/>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383"/>
  <sheetViews>
    <sheetView zoomScale="90" workbookViewId="0">
      <pane ySplit="85" topLeftCell="A86" activePane="bottomLeft" state="frozen"/>
      <selection pane="bottomLeft"/>
    </sheetView>
  </sheetViews>
  <sheetFormatPr defaultRowHeight="15" x14ac:dyDescent="0.25"/>
  <cols>
    <col min="1" max="1" width="13.42578125" customWidth="1"/>
    <col min="2" max="2" width="35.85546875" customWidth="1"/>
    <col min="3" max="3" width="17.28515625" customWidth="1"/>
    <col min="4" max="4" width="17.85546875" customWidth="1"/>
    <col min="6" max="6" width="17" customWidth="1"/>
    <col min="7" max="7" width="8.85546875" customWidth="1"/>
    <col min="8" max="8" width="26.7109375" customWidth="1"/>
    <col min="9" max="9" width="30.7109375" customWidth="1"/>
    <col min="10" max="10" width="20.5703125" customWidth="1"/>
    <col min="11" max="11" width="8.85546875" customWidth="1"/>
  </cols>
  <sheetData>
    <row r="1" spans="1:10" x14ac:dyDescent="0.25">
      <c r="A1" s="85" t="s">
        <v>1251</v>
      </c>
    </row>
    <row r="2" spans="1:10" x14ac:dyDescent="0.25">
      <c r="A2" s="85" t="s">
        <v>1199</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110001</v>
      </c>
      <c r="B5" t="s">
        <v>818</v>
      </c>
      <c r="C5" s="116">
        <v>0</v>
      </c>
      <c r="D5" s="116">
        <v>0</v>
      </c>
      <c r="E5" s="116">
        <v>0</v>
      </c>
      <c r="F5" s="116">
        <v>0</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110002</v>
      </c>
      <c r="B6" t="s">
        <v>819</v>
      </c>
      <c r="C6" s="116">
        <v>106504996.56999999</v>
      </c>
      <c r="D6" s="116">
        <v>0</v>
      </c>
      <c r="E6" s="116">
        <v>0</v>
      </c>
      <c r="F6" s="116">
        <v>106504996.56999999</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110003</v>
      </c>
      <c r="B7" t="s">
        <v>820</v>
      </c>
      <c r="C7" s="116">
        <v>1765393.75</v>
      </c>
      <c r="D7" s="116">
        <v>0</v>
      </c>
      <c r="E7" s="116">
        <v>0</v>
      </c>
      <c r="F7" s="116">
        <v>1765393.75</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110004</v>
      </c>
      <c r="B8" t="s">
        <v>821</v>
      </c>
      <c r="C8" s="116">
        <v>80282872.049999997</v>
      </c>
      <c r="D8" s="116">
        <v>1450709.6980000001</v>
      </c>
      <c r="E8" s="116">
        <v>9255300.7180000003</v>
      </c>
      <c r="F8" s="116">
        <v>72478281.030000001</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110006</v>
      </c>
      <c r="B9" t="s">
        <v>822</v>
      </c>
      <c r="C9" s="116">
        <v>3033459.699</v>
      </c>
      <c r="D9" s="116">
        <v>57300</v>
      </c>
      <c r="E9" s="116">
        <v>4</v>
      </c>
      <c r="F9" s="116">
        <v>3090755.699</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110007</v>
      </c>
      <c r="B10" t="s">
        <v>823</v>
      </c>
      <c r="C10" s="116">
        <v>2100287.898</v>
      </c>
      <c r="D10" s="116">
        <v>0</v>
      </c>
      <c r="E10" s="116">
        <v>0</v>
      </c>
      <c r="F10" s="116">
        <v>2100287.898</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110008</v>
      </c>
      <c r="B11" t="s">
        <v>824</v>
      </c>
      <c r="C11" s="116">
        <v>1101801</v>
      </c>
      <c r="D11" s="116">
        <v>0</v>
      </c>
      <c r="E11" s="116">
        <v>0</v>
      </c>
      <c r="F11" s="116">
        <v>1101801</v>
      </c>
      <c r="G11" s="43" t="str">
        <f>_xlfn.XLOOKUP($A11,Map!$A:$A,Map!C:C)</f>
        <v>BS</v>
      </c>
      <c r="H11" s="43" t="str">
        <f>_xlfn.XLOOKUP($A11,Map!$A:$A,Map!D:D)</f>
        <v>Non-Current Assets</v>
      </c>
      <c r="I11" s="43" t="str">
        <f>_xlfn.XLOOKUP($A11,Map!$A:$A,Map!E:E)</f>
        <v>Property, plant and equipment</v>
      </c>
      <c r="J11" s="43" t="str">
        <f>_xlfn.XLOOKUP($A11,Map!$A:$A,Map!F:F)</f>
        <v>Property, plant and equipment</v>
      </c>
    </row>
    <row r="12" spans="1:10" x14ac:dyDescent="0.25">
      <c r="A12">
        <v>111009</v>
      </c>
      <c r="B12" t="s">
        <v>825</v>
      </c>
      <c r="C12" s="116">
        <v>2020135</v>
      </c>
      <c r="D12" s="116">
        <v>0</v>
      </c>
      <c r="E12" s="116">
        <v>0</v>
      </c>
      <c r="F12" s="116">
        <v>2020135</v>
      </c>
      <c r="G12" s="43" t="str">
        <f>_xlfn.XLOOKUP($A12,Map!$A:$A,Map!C:C)</f>
        <v>BS</v>
      </c>
      <c r="H12" s="43" t="str">
        <f>_xlfn.XLOOKUP($A12,Map!$A:$A,Map!D:D)</f>
        <v>Non-Current Assets</v>
      </c>
      <c r="I12" s="43" t="str">
        <f>_xlfn.XLOOKUP($A12,Map!$A:$A,Map!E:E)</f>
        <v>Right of use</v>
      </c>
      <c r="J12" s="43" t="str">
        <f>_xlfn.XLOOKUP($A12,Map!$A:$A,Map!F:F)</f>
        <v>Leases - right of use assets</v>
      </c>
    </row>
    <row r="13" spans="1:10" x14ac:dyDescent="0.25">
      <c r="A13">
        <v>111010</v>
      </c>
      <c r="B13" t="s">
        <v>826</v>
      </c>
      <c r="C13" s="116">
        <v>0</v>
      </c>
      <c r="D13" s="116">
        <v>0</v>
      </c>
      <c r="E13" s="116">
        <v>0</v>
      </c>
      <c r="F13" s="116">
        <v>0</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111013</v>
      </c>
      <c r="B14" t="s">
        <v>827</v>
      </c>
      <c r="C14" s="116">
        <v>0</v>
      </c>
      <c r="D14" s="116">
        <v>1360670.017</v>
      </c>
      <c r="E14" s="116">
        <v>791200</v>
      </c>
      <c r="F14" s="116">
        <v>569470.01699999999</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111099</v>
      </c>
      <c r="B15" t="s">
        <v>828</v>
      </c>
      <c r="C15" s="116">
        <v>0</v>
      </c>
      <c r="D15" s="116">
        <v>0</v>
      </c>
      <c r="E15" s="116">
        <v>0</v>
      </c>
      <c r="F15" s="116">
        <v>0</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120001</v>
      </c>
      <c r="B16" t="s">
        <v>829</v>
      </c>
      <c r="C16" s="116">
        <v>-6886978.8799999999</v>
      </c>
      <c r="D16" s="116">
        <v>0</v>
      </c>
      <c r="E16" s="116">
        <v>1566844.2</v>
      </c>
      <c r="F16" s="116">
        <v>-8453823.0800000001</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120002</v>
      </c>
      <c r="B17" t="s">
        <v>830</v>
      </c>
      <c r="C17" s="116">
        <v>-1765393.774</v>
      </c>
      <c r="D17" s="116">
        <v>0</v>
      </c>
      <c r="E17" s="116">
        <v>0</v>
      </c>
      <c r="F17" s="116">
        <v>-1765393.774</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120003</v>
      </c>
      <c r="B18" t="s">
        <v>831</v>
      </c>
      <c r="C18" s="116">
        <v>-43870447.883000001</v>
      </c>
      <c r="D18" s="116">
        <v>6233316.2379999999</v>
      </c>
      <c r="E18" s="116">
        <v>3892923.0929999999</v>
      </c>
      <c r="F18" s="116">
        <v>-41530054.737999998</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120005</v>
      </c>
      <c r="B19" t="s">
        <v>832</v>
      </c>
      <c r="C19" s="116">
        <v>-2184859.4500000002</v>
      </c>
      <c r="D19" s="116">
        <v>0</v>
      </c>
      <c r="E19" s="116">
        <v>193147.36</v>
      </c>
      <c r="F19" s="116">
        <v>-2378006.81</v>
      </c>
      <c r="G19" s="43" t="str">
        <f>_xlfn.XLOOKUP($A19,Map!$A:$A,Map!C:C)</f>
        <v>BS</v>
      </c>
      <c r="H19" s="43" t="str">
        <f>_xlfn.XLOOKUP($A19,Map!$A:$A,Map!D:D)</f>
        <v>Non-Current Assets</v>
      </c>
      <c r="I19" s="43" t="str">
        <f>_xlfn.XLOOKUP($A19,Map!$A:$A,Map!E:E)</f>
        <v>Property, plant and equipment</v>
      </c>
      <c r="J19" s="43" t="str">
        <f>_xlfn.XLOOKUP($A19,Map!$A:$A,Map!F:F)</f>
        <v>Property, plant and equipment - Accumulated depreciation</v>
      </c>
    </row>
    <row r="20" spans="1:10" x14ac:dyDescent="0.25">
      <c r="A20">
        <v>120006</v>
      </c>
      <c r="B20" t="s">
        <v>833</v>
      </c>
      <c r="C20" s="116">
        <v>-1338351.8049999999</v>
      </c>
      <c r="D20" s="116">
        <v>0</v>
      </c>
      <c r="E20" s="116">
        <v>290954.66800000001</v>
      </c>
      <c r="F20" s="116">
        <v>-1629306.473</v>
      </c>
      <c r="G20" s="43" t="str">
        <f>_xlfn.XLOOKUP($A20,Map!$A:$A,Map!C:C)</f>
        <v>BS</v>
      </c>
      <c r="H20" s="43" t="str">
        <f>_xlfn.XLOOKUP($A20,Map!$A:$A,Map!D:D)</f>
        <v>Non-Current Assets</v>
      </c>
      <c r="I20" s="43" t="str">
        <f>_xlfn.XLOOKUP($A20,Map!$A:$A,Map!E:E)</f>
        <v>Property, plant and equipment</v>
      </c>
      <c r="J20" s="43" t="str">
        <f>_xlfn.XLOOKUP($A20,Map!$A:$A,Map!F:F)</f>
        <v>Property, plant and equipment - Accumulated depreciation</v>
      </c>
    </row>
    <row r="21" spans="1:10" x14ac:dyDescent="0.25">
      <c r="A21">
        <v>120007</v>
      </c>
      <c r="B21" t="s">
        <v>834</v>
      </c>
      <c r="C21" s="116">
        <v>-479538.73200000002</v>
      </c>
      <c r="D21" s="116">
        <v>0</v>
      </c>
      <c r="E21" s="116">
        <v>87931.763999999996</v>
      </c>
      <c r="F21" s="116">
        <v>-567470.49600000004</v>
      </c>
      <c r="G21" s="43" t="str">
        <f>_xlfn.XLOOKUP($A21,Map!$A:$A,Map!C:C)</f>
        <v>BS</v>
      </c>
      <c r="H21" s="43" t="str">
        <f>_xlfn.XLOOKUP($A21,Map!$A:$A,Map!D:D)</f>
        <v>Non-Current Assets</v>
      </c>
      <c r="I21" s="43" t="str">
        <f>_xlfn.XLOOKUP($A21,Map!$A:$A,Map!E:E)</f>
        <v>Property, plant and equipment</v>
      </c>
      <c r="J21" s="43" t="str">
        <f>_xlfn.XLOOKUP($A21,Map!$A:$A,Map!F:F)</f>
        <v>Property, plant and equipment - Accumulated depreciation</v>
      </c>
    </row>
    <row r="22" spans="1:10" x14ac:dyDescent="0.25">
      <c r="A22">
        <v>120008</v>
      </c>
      <c r="B22" t="s">
        <v>835</v>
      </c>
      <c r="C22" s="116">
        <v>-482953.92099999997</v>
      </c>
      <c r="D22" s="116">
        <v>0</v>
      </c>
      <c r="E22" s="116">
        <v>162906.99600000001</v>
      </c>
      <c r="F22" s="116">
        <v>-645860.91700000002</v>
      </c>
      <c r="G22" s="43" t="str">
        <f>_xlfn.XLOOKUP($A22,Map!$A:$A,Map!C:C)</f>
        <v>BS</v>
      </c>
      <c r="H22" s="43" t="str">
        <f>_xlfn.XLOOKUP($A22,Map!$A:$A,Map!D:D)</f>
        <v>Non-Current Assets</v>
      </c>
      <c r="I22" s="43" t="str">
        <f>_xlfn.XLOOKUP($A22,Map!$A:$A,Map!E:E)</f>
        <v>Right of use</v>
      </c>
      <c r="J22" s="43" t="str">
        <f>_xlfn.XLOOKUP($A22,Map!$A:$A,Map!F:F)</f>
        <v>Depreciation/amortization of rights of use assets</v>
      </c>
    </row>
    <row r="23" spans="1:10" x14ac:dyDescent="0.25">
      <c r="A23">
        <v>121001</v>
      </c>
      <c r="B23" t="s">
        <v>836</v>
      </c>
      <c r="C23" s="116">
        <v>13762616.130000001</v>
      </c>
      <c r="D23" s="116">
        <v>0</v>
      </c>
      <c r="E23" s="116">
        <v>0</v>
      </c>
      <c r="F23" s="116">
        <v>13762616.130000001</v>
      </c>
      <c r="G23" s="43" t="str">
        <f>_xlfn.XLOOKUP($A23,Map!$A:$A,Map!C:C)</f>
        <v>BS</v>
      </c>
      <c r="H23" s="43" t="str">
        <f>_xlfn.XLOOKUP($A23,Map!$A:$A,Map!D:D)</f>
        <v>Current Assets</v>
      </c>
      <c r="I23" s="43" t="str">
        <f>_xlfn.XLOOKUP($A23,Map!$A:$A,Map!E:E)</f>
        <v>Prepaid expenses</v>
      </c>
      <c r="J23" s="43" t="str">
        <f>_xlfn.XLOOKUP($A23,Map!$A:$A,Map!F:F)</f>
        <v>Pre Operating Exps</v>
      </c>
    </row>
    <row r="24" spans="1:10" x14ac:dyDescent="0.25">
      <c r="A24">
        <v>121002</v>
      </c>
      <c r="B24" t="s">
        <v>837</v>
      </c>
      <c r="C24" s="116">
        <v>-13762616.130000001</v>
      </c>
      <c r="D24" s="116">
        <v>0</v>
      </c>
      <c r="E24" s="116">
        <v>0</v>
      </c>
      <c r="F24" s="116">
        <v>-13762616.130000001</v>
      </c>
      <c r="G24" s="43" t="str">
        <f>_xlfn.XLOOKUP($A24,Map!$A:$A,Map!C:C)</f>
        <v>BS</v>
      </c>
      <c r="H24" s="43" t="str">
        <f>_xlfn.XLOOKUP($A24,Map!$A:$A,Map!D:D)</f>
        <v>Current Assets</v>
      </c>
      <c r="I24" s="43" t="str">
        <f>_xlfn.XLOOKUP($A24,Map!$A:$A,Map!E:E)</f>
        <v>Prepaid expenses</v>
      </c>
      <c r="J24" s="43" t="str">
        <f>_xlfn.XLOOKUP($A24,Map!$A:$A,Map!F:F)</f>
        <v>Amortization Of Pre Operating Exps</v>
      </c>
    </row>
    <row r="25" spans="1:10" x14ac:dyDescent="0.25">
      <c r="A25">
        <v>130001</v>
      </c>
      <c r="B25" t="s">
        <v>838</v>
      </c>
      <c r="C25" s="116">
        <v>0</v>
      </c>
      <c r="D25" s="116">
        <v>152754</v>
      </c>
      <c r="E25" s="116">
        <v>152754</v>
      </c>
      <c r="F25" s="116">
        <v>0</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130002</v>
      </c>
      <c r="B26" t="s">
        <v>1205</v>
      </c>
      <c r="C26" s="116">
        <v>0</v>
      </c>
      <c r="D26" s="116">
        <v>152754</v>
      </c>
      <c r="E26" s="116">
        <v>152754</v>
      </c>
      <c r="F26" s="116">
        <v>0</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130003</v>
      </c>
      <c r="B27" t="s">
        <v>840</v>
      </c>
      <c r="C27" s="116">
        <v>0</v>
      </c>
      <c r="D27" s="116">
        <v>0</v>
      </c>
      <c r="E27" s="116">
        <v>0</v>
      </c>
      <c r="F27" s="116">
        <v>0</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130004</v>
      </c>
      <c r="B28" t="s">
        <v>841</v>
      </c>
      <c r="C28" s="116">
        <v>15028.8</v>
      </c>
      <c r="D28" s="116">
        <v>84032.23</v>
      </c>
      <c r="E28" s="116">
        <v>99061.03</v>
      </c>
      <c r="F28" s="116">
        <v>0</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130005</v>
      </c>
      <c r="B29" t="s">
        <v>842</v>
      </c>
      <c r="C29" s="116">
        <v>0</v>
      </c>
      <c r="D29" s="116">
        <v>0</v>
      </c>
      <c r="E29" s="116">
        <v>0</v>
      </c>
      <c r="F29" s="116">
        <v>0</v>
      </c>
      <c r="G29" s="43" t="str">
        <f>_xlfn.XLOOKUP($A29,Map!$A:$A,Map!C:C)</f>
        <v>BS</v>
      </c>
      <c r="H29" s="43" t="str">
        <f>_xlfn.XLOOKUP($A29,Map!$A:$A,Map!D:D)</f>
        <v>Current Assets</v>
      </c>
      <c r="I29" s="43" t="str">
        <f>_xlfn.XLOOKUP($A29,Map!$A:$A,Map!E:E)</f>
        <v>Cash and cash equivalents</v>
      </c>
      <c r="J29" s="43" t="str">
        <f>_xlfn.XLOOKUP($A29,Map!$A:$A,Map!F:F)</f>
        <v>Bank balances</v>
      </c>
    </row>
    <row r="30" spans="1:10" x14ac:dyDescent="0.25">
      <c r="A30">
        <v>130006</v>
      </c>
      <c r="B30" t="s">
        <v>843</v>
      </c>
      <c r="C30" s="116">
        <v>0</v>
      </c>
      <c r="D30" s="116">
        <v>0</v>
      </c>
      <c r="E30" s="116">
        <v>0</v>
      </c>
      <c r="F30" s="116">
        <v>0</v>
      </c>
      <c r="G30" s="43" t="str">
        <f>_xlfn.XLOOKUP($A30,Map!$A:$A,Map!C:C)</f>
        <v>BS</v>
      </c>
      <c r="H30" s="43" t="str">
        <f>_xlfn.XLOOKUP($A30,Map!$A:$A,Map!D:D)</f>
        <v>Current Assets</v>
      </c>
      <c r="I30" s="43" t="str">
        <f>_xlfn.XLOOKUP($A30,Map!$A:$A,Map!E:E)</f>
        <v>Cash and cash equivalents</v>
      </c>
      <c r="J30" s="43" t="str">
        <f>_xlfn.XLOOKUP($A30,Map!$A:$A,Map!F:F)</f>
        <v>Bank balances</v>
      </c>
    </row>
    <row r="31" spans="1:10" x14ac:dyDescent="0.25">
      <c r="A31">
        <v>130007</v>
      </c>
      <c r="B31" t="s">
        <v>844</v>
      </c>
      <c r="C31" s="116">
        <v>1397141.99</v>
      </c>
      <c r="D31" s="116">
        <v>16000</v>
      </c>
      <c r="E31" s="116">
        <v>1413141.99</v>
      </c>
      <c r="F31" s="116">
        <v>0</v>
      </c>
      <c r="G31" s="43" t="str">
        <f>_xlfn.XLOOKUP($A31,Map!$A:$A,Map!C:C)</f>
        <v>BS</v>
      </c>
      <c r="H31" s="43" t="str">
        <f>_xlfn.XLOOKUP($A31,Map!$A:$A,Map!D:D)</f>
        <v>Current Assets</v>
      </c>
      <c r="I31" s="43" t="str">
        <f>_xlfn.XLOOKUP($A31,Map!$A:$A,Map!E:E)</f>
        <v>Cash and cash equivalents</v>
      </c>
      <c r="J31" s="43" t="str">
        <f>_xlfn.XLOOKUP($A31,Map!$A:$A,Map!F:F)</f>
        <v>Bank balances</v>
      </c>
    </row>
    <row r="32" spans="1:10" x14ac:dyDescent="0.25">
      <c r="A32">
        <v>130008</v>
      </c>
      <c r="B32" t="s">
        <v>845</v>
      </c>
      <c r="C32" s="116">
        <v>125346.061</v>
      </c>
      <c r="D32" s="116">
        <v>123175481.20999999</v>
      </c>
      <c r="E32" s="116">
        <v>123048093.471</v>
      </c>
      <c r="F32" s="116">
        <v>252733.8</v>
      </c>
      <c r="G32" s="43" t="str">
        <f>_xlfn.XLOOKUP($A32,Map!$A:$A,Map!C:C)</f>
        <v>BS</v>
      </c>
      <c r="H32" s="43" t="str">
        <f>_xlfn.XLOOKUP($A32,Map!$A:$A,Map!D:D)</f>
        <v>Current Assets</v>
      </c>
      <c r="I32" s="43" t="str">
        <f>_xlfn.XLOOKUP($A32,Map!$A:$A,Map!E:E)</f>
        <v>Cash and cash equivalents</v>
      </c>
      <c r="J32" s="43" t="str">
        <f>_xlfn.XLOOKUP($A32,Map!$A:$A,Map!F:F)</f>
        <v>Bank balances</v>
      </c>
    </row>
    <row r="33" spans="1:10" x14ac:dyDescent="0.25">
      <c r="A33">
        <v>130009</v>
      </c>
      <c r="B33" t="s">
        <v>846</v>
      </c>
      <c r="C33" s="116">
        <v>4424114.9989999998</v>
      </c>
      <c r="D33" s="116">
        <v>135754607.98100001</v>
      </c>
      <c r="E33" s="116">
        <v>139603258.30000001</v>
      </c>
      <c r="F33" s="116">
        <v>575464.68000000005</v>
      </c>
      <c r="G33" s="43" t="str">
        <f>_xlfn.XLOOKUP($A33,Map!$A:$A,Map!C:C)</f>
        <v>BS</v>
      </c>
      <c r="H33" s="43" t="str">
        <f>_xlfn.XLOOKUP($A33,Map!$A:$A,Map!D:D)</f>
        <v>Current Assets</v>
      </c>
      <c r="I33" s="43" t="str">
        <f>_xlfn.XLOOKUP($A33,Map!$A:$A,Map!E:E)</f>
        <v>Cash and cash equivalents</v>
      </c>
      <c r="J33" s="43" t="str">
        <f>_xlfn.XLOOKUP($A33,Map!$A:$A,Map!F:F)</f>
        <v>Bank balances</v>
      </c>
    </row>
    <row r="34" spans="1:10" x14ac:dyDescent="0.25">
      <c r="A34">
        <v>130010</v>
      </c>
      <c r="B34" t="s">
        <v>847</v>
      </c>
      <c r="C34" s="116">
        <v>4858085.3859999999</v>
      </c>
      <c r="D34" s="116">
        <v>119941869.65099999</v>
      </c>
      <c r="E34" s="116">
        <v>123887213.087</v>
      </c>
      <c r="F34" s="116">
        <v>912741.95</v>
      </c>
      <c r="G34" s="43" t="str">
        <f>_xlfn.XLOOKUP($A34,Map!$A:$A,Map!C:C)</f>
        <v>BS</v>
      </c>
      <c r="H34" s="43" t="str">
        <f>_xlfn.XLOOKUP($A34,Map!$A:$A,Map!D:D)</f>
        <v>Current Assets</v>
      </c>
      <c r="I34" s="43" t="str">
        <f>_xlfn.XLOOKUP($A34,Map!$A:$A,Map!E:E)</f>
        <v>Cash and cash equivalents</v>
      </c>
      <c r="J34" s="43" t="str">
        <f>_xlfn.XLOOKUP($A34,Map!$A:$A,Map!F:F)</f>
        <v>Bank balances</v>
      </c>
    </row>
    <row r="35" spans="1:10" x14ac:dyDescent="0.25">
      <c r="A35">
        <v>130011</v>
      </c>
      <c r="B35" t="s">
        <v>848</v>
      </c>
      <c r="C35" s="116">
        <v>1029152.88</v>
      </c>
      <c r="D35" s="116">
        <v>55320041.762000002</v>
      </c>
      <c r="E35" s="116">
        <v>55977556.372000001</v>
      </c>
      <c r="F35" s="116">
        <v>371638.27</v>
      </c>
      <c r="G35" s="43" t="str">
        <f>_xlfn.XLOOKUP($A35,Map!$A:$A,Map!C:C)</f>
        <v>BS</v>
      </c>
      <c r="H35" s="43" t="str">
        <f>_xlfn.XLOOKUP($A35,Map!$A:$A,Map!D:D)</f>
        <v>Current Assets</v>
      </c>
      <c r="I35" s="43" t="str">
        <f>_xlfn.XLOOKUP($A35,Map!$A:$A,Map!E:E)</f>
        <v>Cash and cash equivalents</v>
      </c>
      <c r="J35" s="43" t="str">
        <f>_xlfn.XLOOKUP($A35,Map!$A:$A,Map!F:F)</f>
        <v>Bank balances</v>
      </c>
    </row>
    <row r="36" spans="1:10" x14ac:dyDescent="0.25">
      <c r="A36">
        <v>130012</v>
      </c>
      <c r="B36" t="s">
        <v>849</v>
      </c>
      <c r="C36" s="116">
        <v>1252439.537</v>
      </c>
      <c r="D36" s="116">
        <v>39849843.245999999</v>
      </c>
      <c r="E36" s="116">
        <v>40176533.142999999</v>
      </c>
      <c r="F36" s="116">
        <v>925749.64</v>
      </c>
      <c r="G36" s="43" t="str">
        <f>_xlfn.XLOOKUP($A36,Map!$A:$A,Map!C:C)</f>
        <v>BS</v>
      </c>
      <c r="H36" s="43" t="str">
        <f>_xlfn.XLOOKUP($A36,Map!$A:$A,Map!D:D)</f>
        <v>Current Assets</v>
      </c>
      <c r="I36" s="43" t="str">
        <f>_xlfn.XLOOKUP($A36,Map!$A:$A,Map!E:E)</f>
        <v>Cash and cash equivalents</v>
      </c>
      <c r="J36" s="43" t="str">
        <f>_xlfn.XLOOKUP($A36,Map!$A:$A,Map!F:F)</f>
        <v>Bank balances</v>
      </c>
    </row>
    <row r="37" spans="1:10" x14ac:dyDescent="0.25">
      <c r="A37">
        <v>130013</v>
      </c>
      <c r="B37" t="s">
        <v>1206</v>
      </c>
      <c r="C37" s="116">
        <v>300937.83799999999</v>
      </c>
      <c r="D37" s="116">
        <v>31198778.577</v>
      </c>
      <c r="E37" s="116">
        <v>31262096.136</v>
      </c>
      <c r="F37" s="116">
        <v>237620.27900000001</v>
      </c>
      <c r="G37" s="43" t="str">
        <f>_xlfn.XLOOKUP($A37,Map!$A:$A,Map!C:C)</f>
        <v>BS</v>
      </c>
      <c r="H37" s="43" t="str">
        <f>_xlfn.XLOOKUP($A37,Map!$A:$A,Map!D:D)</f>
        <v>Current Assets</v>
      </c>
      <c r="I37" s="43" t="str">
        <f>_xlfn.XLOOKUP($A37,Map!$A:$A,Map!E:E)</f>
        <v>Cash and cash equivalents</v>
      </c>
      <c r="J37" s="43" t="str">
        <f>_xlfn.XLOOKUP($A37,Map!$A:$A,Map!F:F)</f>
        <v>Bank balances</v>
      </c>
    </row>
    <row r="38" spans="1:10" x14ac:dyDescent="0.25">
      <c r="A38">
        <v>130014</v>
      </c>
      <c r="B38" t="s">
        <v>851</v>
      </c>
      <c r="C38" s="116">
        <v>275731.75</v>
      </c>
      <c r="D38" s="116">
        <v>2089521.25</v>
      </c>
      <c r="E38" s="116">
        <v>1990016.75</v>
      </c>
      <c r="F38" s="116">
        <v>375236.25</v>
      </c>
      <c r="G38" s="43" t="str">
        <f>_xlfn.XLOOKUP($A38,Map!$A:$A,Map!C:C)</f>
        <v>BS</v>
      </c>
      <c r="H38" s="43" t="str">
        <f>_xlfn.XLOOKUP($A38,Map!$A:$A,Map!D:D)</f>
        <v>Current Assets</v>
      </c>
      <c r="I38" s="43" t="str">
        <f>_xlfn.XLOOKUP($A38,Map!$A:$A,Map!E:E)</f>
        <v>Cash and cash equivalents</v>
      </c>
      <c r="J38" s="43" t="str">
        <f>_xlfn.XLOOKUP($A38,Map!$A:$A,Map!F:F)</f>
        <v>Bank balances</v>
      </c>
    </row>
    <row r="39" spans="1:10" x14ac:dyDescent="0.25">
      <c r="A39">
        <v>130015</v>
      </c>
      <c r="B39" t="s">
        <v>852</v>
      </c>
      <c r="C39" s="116">
        <v>0</v>
      </c>
      <c r="D39" s="116">
        <v>60920</v>
      </c>
      <c r="E39" s="116">
        <v>28886.42</v>
      </c>
      <c r="F39" s="116">
        <v>32033.58</v>
      </c>
      <c r="G39" s="43" t="str">
        <f>_xlfn.XLOOKUP($A39,Map!$A:$A,Map!C:C)</f>
        <v>BS</v>
      </c>
      <c r="H39" s="43" t="str">
        <f>_xlfn.XLOOKUP($A39,Map!$A:$A,Map!D:D)</f>
        <v>Current Assets</v>
      </c>
      <c r="I39" s="43" t="str">
        <f>_xlfn.XLOOKUP($A39,Map!$A:$A,Map!E:E)</f>
        <v>Cash and cash equivalents</v>
      </c>
      <c r="J39" s="43" t="str">
        <f>_xlfn.XLOOKUP($A39,Map!$A:$A,Map!F:F)</f>
        <v>Bank balances</v>
      </c>
    </row>
    <row r="40" spans="1:10" x14ac:dyDescent="0.25">
      <c r="A40">
        <v>130016</v>
      </c>
      <c r="B40" t="s">
        <v>853</v>
      </c>
      <c r="C40" s="116">
        <v>0</v>
      </c>
      <c r="D40" s="116">
        <v>4984742.75</v>
      </c>
      <c r="E40" s="116">
        <v>4617248</v>
      </c>
      <c r="F40" s="116">
        <v>367494.75</v>
      </c>
      <c r="G40" s="43" t="str">
        <f>_xlfn.XLOOKUP($A40,Map!$A:$A,Map!C:C)</f>
        <v>BS</v>
      </c>
      <c r="H40" s="43" t="str">
        <f>_xlfn.XLOOKUP($A40,Map!$A:$A,Map!D:D)</f>
        <v>Current Assets</v>
      </c>
      <c r="I40" s="43" t="str">
        <f>_xlfn.XLOOKUP($A40,Map!$A:$A,Map!E:E)</f>
        <v>Cash and cash equivalents</v>
      </c>
      <c r="J40" s="43" t="str">
        <f>_xlfn.XLOOKUP($A40,Map!$A:$A,Map!F:F)</f>
        <v>Bank balances</v>
      </c>
    </row>
    <row r="41" spans="1:10" x14ac:dyDescent="0.25">
      <c r="A41">
        <v>130099</v>
      </c>
      <c r="B41" t="s">
        <v>856</v>
      </c>
      <c r="C41" s="116">
        <v>0</v>
      </c>
      <c r="D41" s="116">
        <v>197045524.84</v>
      </c>
      <c r="E41" s="116">
        <v>197045524.84</v>
      </c>
      <c r="F41" s="116">
        <v>0</v>
      </c>
      <c r="G41" s="43" t="str">
        <f>_xlfn.XLOOKUP($A41,Map!$A:$A,Map!C:C)</f>
        <v>BS</v>
      </c>
      <c r="H41" s="43" t="str">
        <f>_xlfn.XLOOKUP($A41,Map!$A:$A,Map!D:D)</f>
        <v>Current Assets</v>
      </c>
      <c r="I41" s="43" t="str">
        <f>_xlfn.XLOOKUP($A41,Map!$A:$A,Map!E:E)</f>
        <v>Cash and cash equivalents</v>
      </c>
      <c r="J41" s="43" t="str">
        <f>_xlfn.XLOOKUP($A41,Map!$A:$A,Map!F:F)</f>
        <v>Bank balances</v>
      </c>
    </row>
    <row r="42" spans="1:10" x14ac:dyDescent="0.25">
      <c r="A42">
        <v>140001</v>
      </c>
      <c r="B42" t="s">
        <v>857</v>
      </c>
      <c r="C42" s="116">
        <v>73001860.419</v>
      </c>
      <c r="D42" s="116">
        <v>153987876.34099999</v>
      </c>
      <c r="E42" s="116">
        <v>181526382.958</v>
      </c>
      <c r="F42" s="116">
        <v>45463353.802000001</v>
      </c>
      <c r="G42" s="43" t="str">
        <f>_xlfn.XLOOKUP($A42,Map!$A:$A,Map!C:C)</f>
        <v>BS</v>
      </c>
      <c r="H42" s="43" t="str">
        <f>_xlfn.XLOOKUP($A42,Map!$A:$A,Map!D:D)</f>
        <v>Current Assets</v>
      </c>
      <c r="I42" s="43" t="str">
        <f>_xlfn.XLOOKUP($A42,Map!$A:$A,Map!E:E)</f>
        <v>Trade receivables</v>
      </c>
      <c r="J42" s="43" t="str">
        <f>_xlfn.XLOOKUP($A42,Map!$A:$A,Map!F:F)</f>
        <v>Trade receivables - current</v>
      </c>
    </row>
    <row r="43" spans="1:10" x14ac:dyDescent="0.25">
      <c r="A43">
        <v>140010</v>
      </c>
      <c r="B43" t="s">
        <v>858</v>
      </c>
      <c r="C43" s="116">
        <v>0</v>
      </c>
      <c r="D43" s="116">
        <v>0</v>
      </c>
      <c r="E43" s="116">
        <v>0</v>
      </c>
      <c r="F43" s="116">
        <v>0</v>
      </c>
      <c r="G43" s="43" t="str">
        <f>_xlfn.XLOOKUP($A43,Map!$A:$A,Map!C:C)</f>
        <v>BS</v>
      </c>
      <c r="H43" s="43" t="str">
        <f>_xlfn.XLOOKUP($A43,Map!$A:$A,Map!D:D)</f>
        <v>Current Assets</v>
      </c>
      <c r="I43" s="43" t="str">
        <f>_xlfn.XLOOKUP($A43,Map!$A:$A,Map!E:E)</f>
        <v>Trade receivables</v>
      </c>
      <c r="J43" s="43" t="str">
        <f>_xlfn.XLOOKUP($A43,Map!$A:$A,Map!F:F)</f>
        <v>Trade receivables - current</v>
      </c>
    </row>
    <row r="44" spans="1:10" x14ac:dyDescent="0.25">
      <c r="A44">
        <v>150001</v>
      </c>
      <c r="B44" t="s">
        <v>859</v>
      </c>
      <c r="C44" s="116">
        <v>19000.5</v>
      </c>
      <c r="D44" s="116">
        <v>157007.34700000001</v>
      </c>
      <c r="E44" s="116">
        <v>44819.67</v>
      </c>
      <c r="F44" s="116">
        <v>131188.177</v>
      </c>
      <c r="G44" s="43" t="str">
        <f>_xlfn.XLOOKUP($A44,Map!$A:$A,Map!C:C)</f>
        <v>BS</v>
      </c>
      <c r="H44" s="43" t="str">
        <f>_xlfn.XLOOKUP($A44,Map!$A:$A,Map!D:D)</f>
        <v>Current Assets</v>
      </c>
      <c r="I44" s="43" t="str">
        <f>_xlfn.XLOOKUP($A44,Map!$A:$A,Map!E:E)</f>
        <v>Prepaid expenses</v>
      </c>
      <c r="J44" s="43" t="str">
        <f>_xlfn.XLOOKUP($A44,Map!$A:$A,Map!F:F)</f>
        <v>Advances - current</v>
      </c>
    </row>
    <row r="45" spans="1:10" x14ac:dyDescent="0.25">
      <c r="A45">
        <v>150002</v>
      </c>
      <c r="B45" t="s">
        <v>860</v>
      </c>
      <c r="C45" s="116">
        <v>2374238</v>
      </c>
      <c r="D45" s="116">
        <v>10750</v>
      </c>
      <c r="E45" s="116">
        <v>13000</v>
      </c>
      <c r="F45" s="116">
        <v>2371988</v>
      </c>
      <c r="G45" s="43" t="str">
        <f>_xlfn.XLOOKUP($A45,Map!$A:$A,Map!C:C)</f>
        <v>BS</v>
      </c>
      <c r="H45" s="43" t="str">
        <f>_xlfn.XLOOKUP($A45,Map!$A:$A,Map!D:D)</f>
        <v>Non-Current Liabilities</v>
      </c>
      <c r="I45" s="43" t="str">
        <f>_xlfn.XLOOKUP($A45,Map!$A:$A,Map!E:E)</f>
        <v xml:space="preserve">End-of-service indemnities </v>
      </c>
      <c r="J45" s="43" t="str">
        <f>_xlfn.XLOOKUP($A45,Map!$A:$A,Map!F:F)</f>
        <v xml:space="preserve">End-of-service indemnities </v>
      </c>
    </row>
    <row r="46" spans="1:10" x14ac:dyDescent="0.25">
      <c r="A46">
        <v>160001</v>
      </c>
      <c r="B46" t="s">
        <v>861</v>
      </c>
      <c r="C46" s="116">
        <v>17049.689999999999</v>
      </c>
      <c r="D46" s="116">
        <v>74145.149999999994</v>
      </c>
      <c r="E46" s="116">
        <v>78383.64</v>
      </c>
      <c r="F46" s="116">
        <v>12811.2</v>
      </c>
      <c r="G46" s="43" t="str">
        <f>_xlfn.XLOOKUP($A46,Map!$A:$A,Map!C:C)</f>
        <v>BS</v>
      </c>
      <c r="H46" s="43" t="str">
        <f>_xlfn.XLOOKUP($A46,Map!$A:$A,Map!D:D)</f>
        <v>Current Assets</v>
      </c>
      <c r="I46" s="43" t="str">
        <f>_xlfn.XLOOKUP($A46,Map!$A:$A,Map!E:E)</f>
        <v>Cash and cash equivalents</v>
      </c>
      <c r="J46" s="43" t="str">
        <f>_xlfn.XLOOKUP($A46,Map!$A:$A,Map!F:F)</f>
        <v>Petty cash</v>
      </c>
    </row>
    <row r="47" spans="1:10" x14ac:dyDescent="0.25">
      <c r="A47">
        <v>170000</v>
      </c>
      <c r="B47" t="s">
        <v>862</v>
      </c>
      <c r="C47" s="116">
        <v>717348.08100000001</v>
      </c>
      <c r="D47" s="116">
        <v>2197946.44</v>
      </c>
      <c r="E47" s="116">
        <v>2086302.155</v>
      </c>
      <c r="F47" s="116">
        <v>828992.36600000004</v>
      </c>
      <c r="G47" s="43" t="str">
        <f>_xlfn.XLOOKUP($A47,Map!$A:$A,Map!C:C)</f>
        <v>BS</v>
      </c>
      <c r="H47" s="43" t="str">
        <f>_xlfn.XLOOKUP($A47,Map!$A:$A,Map!D:D)</f>
        <v>Current Liabilities</v>
      </c>
      <c r="I47" s="43" t="str">
        <f>_xlfn.XLOOKUP($A47,Map!$A:$A,Map!E:E)</f>
        <v>Short-term Murabaha loans</v>
      </c>
      <c r="J47" s="43" t="str">
        <f>_xlfn.XLOOKUP($A47,Map!$A:$A,Map!F:F)</f>
        <v>Prepayments - current</v>
      </c>
    </row>
    <row r="48" spans="1:10" x14ac:dyDescent="0.25">
      <c r="A48">
        <v>170001</v>
      </c>
      <c r="B48" t="s">
        <v>863</v>
      </c>
      <c r="C48" s="116">
        <v>1188833.976</v>
      </c>
      <c r="D48" s="116">
        <v>1842650.709</v>
      </c>
      <c r="E48" s="116">
        <v>2186474.9530000002</v>
      </c>
      <c r="F48" s="116">
        <v>845009.73199999996</v>
      </c>
      <c r="G48" s="43" t="str">
        <f>_xlfn.XLOOKUP($A48,Map!$A:$A,Map!C:C)</f>
        <v>BS</v>
      </c>
      <c r="H48" s="43" t="str">
        <f>_xlfn.XLOOKUP($A48,Map!$A:$A,Map!D:D)</f>
        <v>Current Liabilities</v>
      </c>
      <c r="I48" s="43" t="str">
        <f>_xlfn.XLOOKUP($A48,Map!$A:$A,Map!E:E)</f>
        <v>Short-term Murabaha loans</v>
      </c>
      <c r="J48" s="43" t="str">
        <f>_xlfn.XLOOKUP($A48,Map!$A:$A,Map!F:F)</f>
        <v>Prepayments - current</v>
      </c>
    </row>
    <row r="49" spans="1:10" x14ac:dyDescent="0.25">
      <c r="A49">
        <v>170002</v>
      </c>
      <c r="B49" t="s">
        <v>864</v>
      </c>
      <c r="C49" s="116">
        <v>682659.36300000001</v>
      </c>
      <c r="D49" s="116">
        <v>2047996.6</v>
      </c>
      <c r="E49" s="116">
        <v>2038034.7590000001</v>
      </c>
      <c r="F49" s="116">
        <v>692621.20400000003</v>
      </c>
      <c r="G49" s="43" t="str">
        <f>_xlfn.XLOOKUP($A49,Map!$A:$A,Map!C:C)</f>
        <v>BS</v>
      </c>
      <c r="H49" s="43" t="str">
        <f>_xlfn.XLOOKUP($A49,Map!$A:$A,Map!D:D)</f>
        <v>Current Liabilities</v>
      </c>
      <c r="I49" s="43" t="str">
        <f>_xlfn.XLOOKUP($A49,Map!$A:$A,Map!E:E)</f>
        <v>Short-term Murabaha loans</v>
      </c>
      <c r="J49" s="43" t="str">
        <f>_xlfn.XLOOKUP($A49,Map!$A:$A,Map!F:F)</f>
        <v>Prepayments - current</v>
      </c>
    </row>
    <row r="50" spans="1:10" x14ac:dyDescent="0.25">
      <c r="A50">
        <v>170003</v>
      </c>
      <c r="B50" t="s">
        <v>865</v>
      </c>
      <c r="C50" s="116">
        <v>0</v>
      </c>
      <c r="D50" s="116">
        <v>0</v>
      </c>
      <c r="E50" s="116">
        <v>0</v>
      </c>
      <c r="F50" s="116">
        <v>0</v>
      </c>
      <c r="G50" s="43" t="str">
        <f>_xlfn.XLOOKUP($A50,Map!$A:$A,Map!C:C)</f>
        <v>BS</v>
      </c>
      <c r="H50" s="43" t="str">
        <f>_xlfn.XLOOKUP($A50,Map!$A:$A,Map!D:D)</f>
        <v>Current Liabilities</v>
      </c>
      <c r="I50" s="43" t="str">
        <f>_xlfn.XLOOKUP($A50,Map!$A:$A,Map!E:E)</f>
        <v>Short-term Murabaha loans</v>
      </c>
      <c r="J50" s="43" t="str">
        <f>_xlfn.XLOOKUP($A50,Map!$A:$A,Map!F:F)</f>
        <v>Prepayments - current</v>
      </c>
    </row>
    <row r="51" spans="1:10" x14ac:dyDescent="0.25">
      <c r="A51">
        <v>170004</v>
      </c>
      <c r="B51" t="s">
        <v>866</v>
      </c>
      <c r="C51" s="116">
        <v>0</v>
      </c>
      <c r="D51" s="116">
        <v>0</v>
      </c>
      <c r="E51" s="116">
        <v>0</v>
      </c>
      <c r="F51" s="116">
        <v>0</v>
      </c>
      <c r="G51" s="43" t="str">
        <f>_xlfn.XLOOKUP($A51,Map!$A:$A,Map!C:C)</f>
        <v>BS</v>
      </c>
      <c r="H51" s="43" t="str">
        <f>_xlfn.XLOOKUP($A51,Map!$A:$A,Map!D:D)</f>
        <v>Current Liabilities</v>
      </c>
      <c r="I51" s="43" t="str">
        <f>_xlfn.XLOOKUP($A51,Map!$A:$A,Map!E:E)</f>
        <v>Short-term Murabaha loans</v>
      </c>
      <c r="J51" s="43" t="str">
        <f>_xlfn.XLOOKUP($A51,Map!$A:$A,Map!F:F)</f>
        <v>Prepayments - current</v>
      </c>
    </row>
    <row r="52" spans="1:10" x14ac:dyDescent="0.25">
      <c r="A52">
        <v>170005</v>
      </c>
      <c r="B52" t="s">
        <v>867</v>
      </c>
      <c r="C52" s="116">
        <v>0</v>
      </c>
      <c r="D52" s="116">
        <v>0</v>
      </c>
      <c r="E52" s="116">
        <v>0</v>
      </c>
      <c r="F52" s="116">
        <v>0</v>
      </c>
      <c r="G52" s="43" t="str">
        <f>_xlfn.XLOOKUP($A52,Map!$A:$A,Map!C:C)</f>
        <v>BS</v>
      </c>
      <c r="H52" s="43" t="str">
        <f>_xlfn.XLOOKUP($A52,Map!$A:$A,Map!D:D)</f>
        <v>Current Assets</v>
      </c>
      <c r="I52" s="43" t="str">
        <f>_xlfn.XLOOKUP($A52,Map!$A:$A,Map!E:E)</f>
        <v>Prepaid expenses</v>
      </c>
      <c r="J52" s="43" t="str">
        <f>_xlfn.XLOOKUP($A52,Map!$A:$A,Map!F:F)</f>
        <v>Deposits - current</v>
      </c>
    </row>
    <row r="53" spans="1:10" x14ac:dyDescent="0.25">
      <c r="A53">
        <v>170006</v>
      </c>
      <c r="B53" t="s">
        <v>868</v>
      </c>
      <c r="C53" s="116">
        <v>18329.419999999998</v>
      </c>
      <c r="D53" s="116">
        <v>398475</v>
      </c>
      <c r="E53" s="116">
        <v>416804.42</v>
      </c>
      <c r="F53" s="116">
        <v>0</v>
      </c>
      <c r="G53" s="43" t="str">
        <f>_xlfn.XLOOKUP($A53,Map!$A:$A,Map!C:C)</f>
        <v>BS</v>
      </c>
      <c r="H53" s="43" t="str">
        <f>_xlfn.XLOOKUP($A53,Map!$A:$A,Map!D:D)</f>
        <v>Current Assets</v>
      </c>
      <c r="I53" s="43" t="str">
        <f>_xlfn.XLOOKUP($A53,Map!$A:$A,Map!E:E)</f>
        <v>Prepaid expenses</v>
      </c>
      <c r="J53" s="43" t="str">
        <f>_xlfn.XLOOKUP($A53,Map!$A:$A,Map!F:F)</f>
        <v>Deposits - current</v>
      </c>
    </row>
    <row r="54" spans="1:10" x14ac:dyDescent="0.25">
      <c r="A54">
        <v>170007</v>
      </c>
      <c r="B54" t="s">
        <v>869</v>
      </c>
      <c r="C54" s="116">
        <v>0</v>
      </c>
      <c r="D54" s="116">
        <v>0</v>
      </c>
      <c r="E54" s="116">
        <v>0</v>
      </c>
      <c r="F54" s="116">
        <v>0</v>
      </c>
      <c r="G54" s="43" t="str">
        <f>_xlfn.XLOOKUP($A54,Map!$A:$A,Map!C:C)</f>
        <v>BS</v>
      </c>
      <c r="H54" s="43" t="str">
        <f>_xlfn.XLOOKUP($A54,Map!$A:$A,Map!D:D)</f>
        <v>Current Assets</v>
      </c>
      <c r="I54" s="43" t="str">
        <f>_xlfn.XLOOKUP($A54,Map!$A:$A,Map!E:E)</f>
        <v>Prepaid expenses</v>
      </c>
      <c r="J54" s="43" t="str">
        <f>_xlfn.XLOOKUP($A54,Map!$A:$A,Map!F:F)</f>
        <v>Deposits - current</v>
      </c>
    </row>
    <row r="55" spans="1:10" x14ac:dyDescent="0.25">
      <c r="A55">
        <v>170008</v>
      </c>
      <c r="B55" t="s">
        <v>870</v>
      </c>
      <c r="C55" s="116">
        <v>0</v>
      </c>
      <c r="D55" s="116">
        <v>669651.71799999999</v>
      </c>
      <c r="E55" s="116">
        <v>669651.71799999999</v>
      </c>
      <c r="F55" s="116">
        <v>0</v>
      </c>
      <c r="G55" s="43" t="str">
        <f>_xlfn.XLOOKUP($A55,Map!$A:$A,Map!C:C)</f>
        <v>BS</v>
      </c>
      <c r="H55" s="43" t="str">
        <f>_xlfn.XLOOKUP($A55,Map!$A:$A,Map!D:D)</f>
        <v>Current Assets</v>
      </c>
      <c r="I55" s="43" t="str">
        <f>_xlfn.XLOOKUP($A55,Map!$A:$A,Map!E:E)</f>
        <v>Prepaid expenses</v>
      </c>
      <c r="J55" s="43" t="str">
        <f>_xlfn.XLOOKUP($A55,Map!$A:$A,Map!F:F)</f>
        <v>Deposits - current</v>
      </c>
    </row>
    <row r="56" spans="1:10" x14ac:dyDescent="0.25">
      <c r="A56">
        <v>170009</v>
      </c>
      <c r="B56" t="s">
        <v>871</v>
      </c>
      <c r="C56" s="116">
        <v>62777</v>
      </c>
      <c r="D56" s="116">
        <v>277040</v>
      </c>
      <c r="E56" s="116">
        <v>278855</v>
      </c>
      <c r="F56" s="116">
        <v>60962</v>
      </c>
      <c r="G56" s="43" t="str">
        <f>_xlfn.XLOOKUP($A56,Map!$A:$A,Map!C:C)</f>
        <v>BS</v>
      </c>
      <c r="H56" s="43" t="str">
        <f>_xlfn.XLOOKUP($A56,Map!$A:$A,Map!D:D)</f>
        <v>Current Assets</v>
      </c>
      <c r="I56" s="43" t="str">
        <f>_xlfn.XLOOKUP($A56,Map!$A:$A,Map!E:E)</f>
        <v>Prepaid expenses</v>
      </c>
      <c r="J56" s="43" t="str">
        <f>_xlfn.XLOOKUP($A56,Map!$A:$A,Map!F:F)</f>
        <v>Rent</v>
      </c>
    </row>
    <row r="57" spans="1:10" x14ac:dyDescent="0.25">
      <c r="A57">
        <v>170010</v>
      </c>
      <c r="B57" t="s">
        <v>872</v>
      </c>
      <c r="C57" s="116">
        <v>0</v>
      </c>
      <c r="D57" s="116">
        <v>625947</v>
      </c>
      <c r="E57" s="116">
        <v>625947</v>
      </c>
      <c r="F57" s="116">
        <v>0</v>
      </c>
      <c r="G57" s="43" t="str">
        <f>_xlfn.XLOOKUP($A57,Map!$A:$A,Map!C:C)</f>
        <v>BS</v>
      </c>
      <c r="H57" s="43" t="str">
        <f>_xlfn.XLOOKUP($A57,Map!$A:$A,Map!D:D)</f>
        <v>Current Assets</v>
      </c>
      <c r="I57" s="43" t="str">
        <f>_xlfn.XLOOKUP($A57,Map!$A:$A,Map!E:E)</f>
        <v>Prepaid expenses</v>
      </c>
      <c r="J57" s="43" t="str">
        <f>_xlfn.XLOOKUP($A57,Map!$A:$A,Map!F:F)</f>
        <v>Housing allowance</v>
      </c>
    </row>
    <row r="58" spans="1:10" x14ac:dyDescent="0.25">
      <c r="A58">
        <v>170011</v>
      </c>
      <c r="B58" t="s">
        <v>873</v>
      </c>
      <c r="C58" s="116">
        <v>0</v>
      </c>
      <c r="D58" s="116">
        <v>73000</v>
      </c>
      <c r="E58" s="116">
        <v>73000</v>
      </c>
      <c r="F58" s="116">
        <v>0</v>
      </c>
      <c r="G58" s="43" t="str">
        <f>_xlfn.XLOOKUP($A58,Map!$A:$A,Map!C:C)</f>
        <v>BS</v>
      </c>
      <c r="H58" s="43" t="str">
        <f>_xlfn.XLOOKUP($A58,Map!$A:$A,Map!D:D)</f>
        <v>Current Assets</v>
      </c>
      <c r="I58" s="43" t="str">
        <f>_xlfn.XLOOKUP($A58,Map!$A:$A,Map!E:E)</f>
        <v>Prepaid expenses</v>
      </c>
      <c r="J58" s="43" t="str">
        <f>_xlfn.XLOOKUP($A58,Map!$A:$A,Map!F:F)</f>
        <v>Air tickets</v>
      </c>
    </row>
    <row r="59" spans="1:10" x14ac:dyDescent="0.25">
      <c r="A59">
        <v>170012</v>
      </c>
      <c r="B59" t="s">
        <v>874</v>
      </c>
      <c r="C59" s="116">
        <v>-6.0000000000000001E-3</v>
      </c>
      <c r="D59" s="116">
        <v>6.0000000000000001E-3</v>
      </c>
      <c r="E59" s="116">
        <v>0</v>
      </c>
      <c r="F59" s="116">
        <v>0</v>
      </c>
      <c r="G59" s="43" t="str">
        <f>_xlfn.XLOOKUP($A59,Map!$A:$A,Map!C:C)</f>
        <v>BS</v>
      </c>
      <c r="H59" s="43" t="str">
        <f>_xlfn.XLOOKUP($A59,Map!$A:$A,Map!D:D)</f>
        <v>Current Assets</v>
      </c>
      <c r="I59" s="43" t="str">
        <f>_xlfn.XLOOKUP($A59,Map!$A:$A,Map!E:E)</f>
        <v>Prepaid expenses</v>
      </c>
      <c r="J59" s="43" t="str">
        <f>_xlfn.XLOOKUP($A59,Map!$A:$A,Map!F:F)</f>
        <v>Furniture allowance</v>
      </c>
    </row>
    <row r="60" spans="1:10" x14ac:dyDescent="0.25">
      <c r="A60">
        <v>170013</v>
      </c>
      <c r="B60" t="s">
        <v>875</v>
      </c>
      <c r="C60" s="116">
        <v>0</v>
      </c>
      <c r="D60" s="116">
        <v>0</v>
      </c>
      <c r="E60" s="116">
        <v>0</v>
      </c>
      <c r="F60" s="116">
        <v>0</v>
      </c>
      <c r="G60" s="43" t="str">
        <f>_xlfn.XLOOKUP($A60,Map!$A:$A,Map!C:C)</f>
        <v>BS</v>
      </c>
      <c r="H60" s="43" t="str">
        <f>_xlfn.XLOOKUP($A60,Map!$A:$A,Map!D:D)</f>
        <v>Current Assets</v>
      </c>
      <c r="I60" s="43" t="str">
        <f>_xlfn.XLOOKUP($A60,Map!$A:$A,Map!E:E)</f>
        <v>Prepaid expenses</v>
      </c>
      <c r="J60" s="43" t="str">
        <f>_xlfn.XLOOKUP($A60,Map!$A:$A,Map!F:F)</f>
        <v>Insurance</v>
      </c>
    </row>
    <row r="61" spans="1:10" x14ac:dyDescent="0.25">
      <c r="A61">
        <v>170014</v>
      </c>
      <c r="B61" t="s">
        <v>876</v>
      </c>
      <c r="C61" s="116">
        <v>569660.51</v>
      </c>
      <c r="D61" s="116">
        <v>675876.01800000004</v>
      </c>
      <c r="E61" s="116">
        <v>907598.52800000005</v>
      </c>
      <c r="F61" s="116">
        <v>337938</v>
      </c>
      <c r="G61" s="43" t="str">
        <f>_xlfn.XLOOKUP($A61,Map!$A:$A,Map!C:C)</f>
        <v>BS</v>
      </c>
      <c r="H61" s="43" t="str">
        <f>_xlfn.XLOOKUP($A61,Map!$A:$A,Map!D:D)</f>
        <v>Current Assets</v>
      </c>
      <c r="I61" s="43" t="str">
        <f>_xlfn.XLOOKUP($A61,Map!$A:$A,Map!E:E)</f>
        <v>Prepaid expenses</v>
      </c>
      <c r="J61" s="43" t="str">
        <f>_xlfn.XLOOKUP($A61,Map!$A:$A,Map!F:F)</f>
        <v>Insurance</v>
      </c>
    </row>
    <row r="62" spans="1:10" x14ac:dyDescent="0.25">
      <c r="A62">
        <v>170015</v>
      </c>
      <c r="B62" t="s">
        <v>877</v>
      </c>
      <c r="C62" s="116">
        <v>0</v>
      </c>
      <c r="D62" s="116">
        <v>0</v>
      </c>
      <c r="E62" s="116">
        <v>0</v>
      </c>
      <c r="F62" s="116">
        <v>0</v>
      </c>
      <c r="G62" s="43" t="str">
        <f>_xlfn.XLOOKUP($A62,Map!$A:$A,Map!C:C)</f>
        <v>BS</v>
      </c>
      <c r="H62" s="43" t="str">
        <f>_xlfn.XLOOKUP($A62,Map!$A:$A,Map!D:D)</f>
        <v>Current Assets</v>
      </c>
      <c r="I62" s="43" t="str">
        <f>_xlfn.XLOOKUP($A62,Map!$A:$A,Map!E:E)</f>
        <v>Prepaid expenses</v>
      </c>
      <c r="J62" s="43" t="str">
        <f>_xlfn.XLOOKUP($A62,Map!$A:$A,Map!F:F)</f>
        <v>Salaries and wages</v>
      </c>
    </row>
    <row r="63" spans="1:10" x14ac:dyDescent="0.25">
      <c r="A63">
        <v>170016</v>
      </c>
      <c r="B63" t="s">
        <v>878</v>
      </c>
      <c r="C63" s="116">
        <v>437398.6</v>
      </c>
      <c r="D63" s="116">
        <v>0</v>
      </c>
      <c r="E63" s="116">
        <v>437398.6</v>
      </c>
      <c r="F63" s="116">
        <v>0</v>
      </c>
      <c r="G63" s="43" t="str">
        <f>_xlfn.XLOOKUP($A63,Map!$A:$A,Map!C:C)</f>
        <v>BS</v>
      </c>
      <c r="H63" s="43" t="str">
        <f>_xlfn.XLOOKUP($A63,Map!$A:$A,Map!D:D)</f>
        <v>Current Assets</v>
      </c>
      <c r="I63" s="43" t="str">
        <f>_xlfn.XLOOKUP($A63,Map!$A:$A,Map!E:E)</f>
        <v>Prepaid expenses</v>
      </c>
      <c r="J63" s="43" t="str">
        <f>_xlfn.XLOOKUP($A63,Map!$A:$A,Map!F:F)</f>
        <v>Other receivables - current</v>
      </c>
    </row>
    <row r="64" spans="1:10" x14ac:dyDescent="0.25">
      <c r="A64">
        <v>170017</v>
      </c>
      <c r="B64" t="s">
        <v>879</v>
      </c>
      <c r="C64" s="116">
        <v>0</v>
      </c>
      <c r="D64" s="116">
        <v>0</v>
      </c>
      <c r="E64" s="116">
        <v>0</v>
      </c>
      <c r="F64" s="116">
        <v>0</v>
      </c>
      <c r="G64" s="43" t="str">
        <f>_xlfn.XLOOKUP($A64,Map!$A:$A,Map!C:C)</f>
        <v>BS</v>
      </c>
      <c r="H64" s="43" t="str">
        <f>_xlfn.XLOOKUP($A64,Map!$A:$A,Map!D:D)</f>
        <v>Current Assets</v>
      </c>
      <c r="I64" s="43" t="str">
        <f>_xlfn.XLOOKUP($A64,Map!$A:$A,Map!E:E)</f>
        <v>Prepaid expenses</v>
      </c>
      <c r="J64" s="43" t="str">
        <f>_xlfn.XLOOKUP($A64,Map!$A:$A,Map!F:F)</f>
        <v>Family allowance</v>
      </c>
    </row>
    <row r="65" spans="1:10" x14ac:dyDescent="0.25">
      <c r="A65">
        <v>170018</v>
      </c>
      <c r="B65" t="s">
        <v>880</v>
      </c>
      <c r="C65" s="116">
        <v>0</v>
      </c>
      <c r="D65" s="116">
        <v>61596.357000000004</v>
      </c>
      <c r="E65" s="116">
        <v>61596.357000000004</v>
      </c>
      <c r="F65" s="116">
        <v>0</v>
      </c>
      <c r="G65" s="43" t="str">
        <f>_xlfn.XLOOKUP($A65,Map!$A:$A,Map!C:C)</f>
        <v>BS</v>
      </c>
      <c r="H65" s="43" t="str">
        <f>_xlfn.XLOOKUP($A65,Map!$A:$A,Map!D:D)</f>
        <v>Current Assets</v>
      </c>
      <c r="I65" s="43" t="str">
        <f>_xlfn.XLOOKUP($A65,Map!$A:$A,Map!E:E)</f>
        <v>Prepaid expenses</v>
      </c>
      <c r="J65" s="43" t="str">
        <f>_xlfn.XLOOKUP($A65,Map!$A:$A,Map!F:F)</f>
        <v>Other receivables - current</v>
      </c>
    </row>
    <row r="66" spans="1:10" x14ac:dyDescent="0.25">
      <c r="A66">
        <v>170019</v>
      </c>
      <c r="B66" t="s">
        <v>881</v>
      </c>
      <c r="C66" s="116">
        <v>0</v>
      </c>
      <c r="D66" s="116">
        <v>2364865.6519999998</v>
      </c>
      <c r="E66" s="116">
        <v>2364865.6519999998</v>
      </c>
      <c r="F66" s="116">
        <v>0</v>
      </c>
      <c r="G66" s="43" t="str">
        <f>_xlfn.XLOOKUP($A66,Map!$A:$A,Map!C:C)</f>
        <v>BS</v>
      </c>
      <c r="H66" s="43" t="str">
        <f>_xlfn.XLOOKUP($A66,Map!$A:$A,Map!D:D)</f>
        <v>Current Assets</v>
      </c>
      <c r="I66" s="43" t="str">
        <f>_xlfn.XLOOKUP($A66,Map!$A:$A,Map!E:E)</f>
        <v>Prepaid expenses</v>
      </c>
      <c r="J66" s="43" t="str">
        <f>_xlfn.XLOOKUP($A66,Map!$A:$A,Map!F:F)</f>
        <v>Other receivables - current</v>
      </c>
    </row>
    <row r="67" spans="1:10" x14ac:dyDescent="0.25">
      <c r="A67">
        <v>170020</v>
      </c>
      <c r="B67" t="s">
        <v>882</v>
      </c>
      <c r="C67" s="116">
        <v>0</v>
      </c>
      <c r="D67" s="116">
        <v>187932.64</v>
      </c>
      <c r="E67" s="116">
        <v>0</v>
      </c>
      <c r="F67" s="116">
        <v>187932.64</v>
      </c>
      <c r="G67" s="43" t="str">
        <f>_xlfn.XLOOKUP($A67,Map!$A:$A,Map!C:C)</f>
        <v>BS</v>
      </c>
      <c r="H67" s="43" t="str">
        <f>_xlfn.XLOOKUP($A67,Map!$A:$A,Map!D:D)</f>
        <v>Current Assets</v>
      </c>
      <c r="I67" s="43" t="str">
        <f>_xlfn.XLOOKUP($A67,Map!$A:$A,Map!E:E)</f>
        <v>Prepaid expenses</v>
      </c>
      <c r="J67" s="43" t="str">
        <f>_xlfn.XLOOKUP($A67,Map!$A:$A,Map!F:F)</f>
        <v>Insurance</v>
      </c>
    </row>
    <row r="68" spans="1:10" x14ac:dyDescent="0.25">
      <c r="A68">
        <v>180001</v>
      </c>
      <c r="B68" t="s">
        <v>884</v>
      </c>
      <c r="C68" s="116">
        <v>579715.09400000004</v>
      </c>
      <c r="D68" s="116">
        <v>1471579.915</v>
      </c>
      <c r="E68" s="116">
        <v>1657698.236</v>
      </c>
      <c r="F68" s="116">
        <v>393596.77299999999</v>
      </c>
      <c r="G68" s="43" t="str">
        <f>_xlfn.XLOOKUP($A68,Map!$A:$A,Map!C:C)</f>
        <v>BS</v>
      </c>
      <c r="H68" s="43" t="str">
        <f>_xlfn.XLOOKUP($A68,Map!$A:$A,Map!D:D)</f>
        <v>Current Assets</v>
      </c>
      <c r="I68" s="43" t="str">
        <f>_xlfn.XLOOKUP($A68,Map!$A:$A,Map!E:E)</f>
        <v>Inventories</v>
      </c>
      <c r="J68" s="43" t="str">
        <f>_xlfn.XLOOKUP($A68,Map!$A:$A,Map!F:F)</f>
        <v>Raw materials - Inventory</v>
      </c>
    </row>
    <row r="69" spans="1:10" x14ac:dyDescent="0.25">
      <c r="A69">
        <v>180002</v>
      </c>
      <c r="B69" t="s">
        <v>885</v>
      </c>
      <c r="C69" s="116">
        <v>0</v>
      </c>
      <c r="D69" s="116">
        <v>15055.01</v>
      </c>
      <c r="E69" s="116">
        <v>15055.01</v>
      </c>
      <c r="F69" s="116">
        <v>0</v>
      </c>
      <c r="G69" s="43" t="str">
        <f>_xlfn.XLOOKUP($A69,Map!$A:$A,Map!C:C)</f>
        <v>BS</v>
      </c>
      <c r="H69" s="43" t="str">
        <f>_xlfn.XLOOKUP($A69,Map!$A:$A,Map!D:D)</f>
        <v>Current Assets</v>
      </c>
      <c r="I69" s="43" t="str">
        <f>_xlfn.XLOOKUP($A69,Map!$A:$A,Map!E:E)</f>
        <v>Inventories</v>
      </c>
      <c r="J69" s="43" t="str">
        <f>_xlfn.XLOOKUP($A69,Map!$A:$A,Map!F:F)</f>
        <v>Raw materials - Inventory</v>
      </c>
    </row>
    <row r="70" spans="1:10" x14ac:dyDescent="0.25">
      <c r="A70">
        <v>180003</v>
      </c>
      <c r="B70" t="s">
        <v>886</v>
      </c>
      <c r="C70" s="116">
        <v>8453179.3629999999</v>
      </c>
      <c r="D70" s="116">
        <v>676527.72900000005</v>
      </c>
      <c r="E70" s="116">
        <v>2094841.9950000001</v>
      </c>
      <c r="F70" s="116">
        <v>7034865.0970000001</v>
      </c>
      <c r="G70" s="43" t="str">
        <f>_xlfn.XLOOKUP($A70,Map!$A:$A,Map!C:C)</f>
        <v>BS</v>
      </c>
      <c r="H70" s="43" t="str">
        <f>_xlfn.XLOOKUP($A70,Map!$A:$A,Map!D:D)</f>
        <v>Current Assets</v>
      </c>
      <c r="I70" s="43" t="str">
        <f>_xlfn.XLOOKUP($A70,Map!$A:$A,Map!E:E)</f>
        <v>Inventories</v>
      </c>
      <c r="J70" s="43" t="str">
        <f>_xlfn.XLOOKUP($A70,Map!$A:$A,Map!F:F)</f>
        <v>Spare parts - Inventory</v>
      </c>
    </row>
    <row r="71" spans="1:10" x14ac:dyDescent="0.25">
      <c r="A71">
        <v>180004</v>
      </c>
      <c r="B71" t="s">
        <v>887</v>
      </c>
      <c r="C71" s="116">
        <v>24628808.791000001</v>
      </c>
      <c r="D71" s="116">
        <v>31738048.017999999</v>
      </c>
      <c r="E71" s="116">
        <v>43645335.689000003</v>
      </c>
      <c r="F71" s="116">
        <v>12721521.119999999</v>
      </c>
      <c r="G71" s="43" t="str">
        <f>_xlfn.XLOOKUP($A71,Map!$A:$A,Map!C:C)</f>
        <v>BS</v>
      </c>
      <c r="H71" s="43" t="str">
        <f>_xlfn.XLOOKUP($A71,Map!$A:$A,Map!D:D)</f>
        <v>Current Assets</v>
      </c>
      <c r="I71" s="43" t="str">
        <f>_xlfn.XLOOKUP($A71,Map!$A:$A,Map!E:E)</f>
        <v>Inventories</v>
      </c>
      <c r="J71" s="43" t="str">
        <f>_xlfn.XLOOKUP($A71,Map!$A:$A,Map!F:F)</f>
        <v>Raw materials - Inventory</v>
      </c>
    </row>
    <row r="72" spans="1:10" x14ac:dyDescent="0.25">
      <c r="A72">
        <v>180005</v>
      </c>
      <c r="B72" t="s">
        <v>888</v>
      </c>
      <c r="C72" s="116">
        <v>22323654.041999999</v>
      </c>
      <c r="D72" s="116">
        <v>4262311.3949999996</v>
      </c>
      <c r="E72" s="116">
        <v>20164898.947000001</v>
      </c>
      <c r="F72" s="116">
        <v>6421066.4900000002</v>
      </c>
      <c r="G72" s="43" t="str">
        <f>_xlfn.XLOOKUP($A72,Map!$A:$A,Map!C:C)</f>
        <v>BS</v>
      </c>
      <c r="H72" s="43" t="str">
        <f>_xlfn.XLOOKUP($A72,Map!$A:$A,Map!D:D)</f>
        <v>Current Assets</v>
      </c>
      <c r="I72" s="43" t="str">
        <f>_xlfn.XLOOKUP($A72,Map!$A:$A,Map!E:E)</f>
        <v>Inventories</v>
      </c>
      <c r="J72" s="43" t="str">
        <f>_xlfn.XLOOKUP($A72,Map!$A:$A,Map!F:F)</f>
        <v>Raw materials - Inventory</v>
      </c>
    </row>
    <row r="73" spans="1:10" x14ac:dyDescent="0.25">
      <c r="A73">
        <v>180006</v>
      </c>
      <c r="B73" t="s">
        <v>889</v>
      </c>
      <c r="C73" s="116">
        <v>1300362.7749999999</v>
      </c>
      <c r="D73" s="116">
        <v>669430.46100000001</v>
      </c>
      <c r="E73" s="116">
        <v>1484653.885</v>
      </c>
      <c r="F73" s="116">
        <v>485139.35100000002</v>
      </c>
      <c r="G73" s="43" t="str">
        <f>_xlfn.XLOOKUP($A73,Map!$A:$A,Map!C:C)</f>
        <v>BS</v>
      </c>
      <c r="H73" s="43" t="str">
        <f>_xlfn.XLOOKUP($A73,Map!$A:$A,Map!D:D)</f>
        <v>Current Assets</v>
      </c>
      <c r="I73" s="43" t="str">
        <f>_xlfn.XLOOKUP($A73,Map!$A:$A,Map!E:E)</f>
        <v>Inventories</v>
      </c>
      <c r="J73" s="43" t="str">
        <f>_xlfn.XLOOKUP($A73,Map!$A:$A,Map!F:F)</f>
        <v>Raw materials - Inventory</v>
      </c>
    </row>
    <row r="74" spans="1:10" x14ac:dyDescent="0.25">
      <c r="A74">
        <v>180007</v>
      </c>
      <c r="B74" t="s">
        <v>890</v>
      </c>
      <c r="C74" s="116">
        <v>6583839.9369999999</v>
      </c>
      <c r="D74" s="116">
        <v>0</v>
      </c>
      <c r="E74" s="116">
        <v>6439473.4359999998</v>
      </c>
      <c r="F74" s="116">
        <v>144366.50099999999</v>
      </c>
      <c r="G74" s="43" t="str">
        <f>_xlfn.XLOOKUP($A74,Map!$A:$A,Map!C:C)</f>
        <v>BS</v>
      </c>
      <c r="H74" s="43" t="str">
        <f>_xlfn.XLOOKUP($A74,Map!$A:$A,Map!D:D)</f>
        <v>Current Assets</v>
      </c>
      <c r="I74" s="43" t="str">
        <f>_xlfn.XLOOKUP($A74,Map!$A:$A,Map!E:E)</f>
        <v>Inventories</v>
      </c>
      <c r="J74" s="43" t="str">
        <f>_xlfn.XLOOKUP($A74,Map!$A:$A,Map!F:F)</f>
        <v>Raw materials - Inventory</v>
      </c>
    </row>
    <row r="75" spans="1:10" x14ac:dyDescent="0.25">
      <c r="A75">
        <v>180008</v>
      </c>
      <c r="B75" t="s">
        <v>891</v>
      </c>
      <c r="C75" s="116">
        <v>0</v>
      </c>
      <c r="D75" s="116">
        <v>0</v>
      </c>
      <c r="E75" s="116">
        <v>0</v>
      </c>
      <c r="F75" s="116">
        <v>0</v>
      </c>
      <c r="G75" s="43" t="str">
        <f>_xlfn.XLOOKUP($A75,Map!$A:$A,Map!C:C)</f>
        <v>BS</v>
      </c>
      <c r="H75" s="43" t="str">
        <f>_xlfn.XLOOKUP($A75,Map!$A:$A,Map!D:D)</f>
        <v>Current Assets</v>
      </c>
      <c r="I75" s="43" t="str">
        <f>_xlfn.XLOOKUP($A75,Map!$A:$A,Map!E:E)</f>
        <v>Inventories</v>
      </c>
      <c r="J75" s="43" t="str">
        <f>_xlfn.XLOOKUP($A75,Map!$A:$A,Map!F:F)</f>
        <v>Raw materials - Inventory</v>
      </c>
    </row>
    <row r="76" spans="1:10" x14ac:dyDescent="0.25">
      <c r="A76">
        <v>180009</v>
      </c>
      <c r="B76" t="s">
        <v>892</v>
      </c>
      <c r="C76" s="116">
        <v>0</v>
      </c>
      <c r="D76" s="116">
        <v>0</v>
      </c>
      <c r="E76" s="116">
        <v>0</v>
      </c>
      <c r="F76" s="116">
        <v>0</v>
      </c>
      <c r="G76" s="43" t="str">
        <f>_xlfn.XLOOKUP($A76,Map!$A:$A,Map!C:C)</f>
        <v>BS</v>
      </c>
      <c r="H76" s="43" t="str">
        <f>_xlfn.XLOOKUP($A76,Map!$A:$A,Map!D:D)</f>
        <v>Current Assets</v>
      </c>
      <c r="I76" s="43" t="str">
        <f>_xlfn.XLOOKUP($A76,Map!$A:$A,Map!E:E)</f>
        <v>Inventories</v>
      </c>
      <c r="J76" s="43" t="str">
        <f>_xlfn.XLOOKUP($A76,Map!$A:$A,Map!F:F)</f>
        <v>Raw materials - Inventory</v>
      </c>
    </row>
    <row r="77" spans="1:10" x14ac:dyDescent="0.25">
      <c r="A77">
        <v>180010</v>
      </c>
      <c r="B77" t="s">
        <v>893</v>
      </c>
      <c r="C77" s="116">
        <v>3804138.2889999999</v>
      </c>
      <c r="D77" s="116">
        <v>3560337.875</v>
      </c>
      <c r="E77" s="116">
        <v>5159349.0199999996</v>
      </c>
      <c r="F77" s="116">
        <v>2205127.1439999999</v>
      </c>
      <c r="G77" s="43" t="str">
        <f>_xlfn.XLOOKUP($A77,Map!$A:$A,Map!C:C)</f>
        <v>BS</v>
      </c>
      <c r="H77" s="43" t="str">
        <f>_xlfn.XLOOKUP($A77,Map!$A:$A,Map!D:D)</f>
        <v>Current Assets</v>
      </c>
      <c r="I77" s="43" t="str">
        <f>_xlfn.XLOOKUP($A77,Map!$A:$A,Map!E:E)</f>
        <v>Inventories</v>
      </c>
      <c r="J77" s="43" t="str">
        <f>_xlfn.XLOOKUP($A77,Map!$A:$A,Map!F:F)</f>
        <v>Packaging materials - Inventory</v>
      </c>
    </row>
    <row r="78" spans="1:10" x14ac:dyDescent="0.25">
      <c r="A78">
        <v>180011</v>
      </c>
      <c r="B78" t="s">
        <v>894</v>
      </c>
      <c r="C78" s="116">
        <v>15057738.582</v>
      </c>
      <c r="D78" s="116">
        <v>41795237.869000003</v>
      </c>
      <c r="E78" s="116">
        <v>47197359.660999998</v>
      </c>
      <c r="F78" s="116">
        <v>9655616.7899999991</v>
      </c>
      <c r="G78" s="43" t="str">
        <f>_xlfn.XLOOKUP($A78,Map!$A:$A,Map!C:C)</f>
        <v>BS</v>
      </c>
      <c r="H78" s="43" t="str">
        <f>_xlfn.XLOOKUP($A78,Map!$A:$A,Map!D:D)</f>
        <v>Current Assets</v>
      </c>
      <c r="I78" s="43" t="str">
        <f>_xlfn.XLOOKUP($A78,Map!$A:$A,Map!E:E)</f>
        <v>Inventories</v>
      </c>
      <c r="J78" s="43" t="str">
        <f>_xlfn.XLOOKUP($A78,Map!$A:$A,Map!F:F)</f>
        <v>Finished goods - Inventory</v>
      </c>
    </row>
    <row r="79" spans="1:10" x14ac:dyDescent="0.25">
      <c r="A79">
        <v>180012</v>
      </c>
      <c r="B79" t="s">
        <v>895</v>
      </c>
      <c r="C79" s="116">
        <v>5027391.8600000003</v>
      </c>
      <c r="D79" s="116">
        <v>13099645.653999999</v>
      </c>
      <c r="E79" s="116">
        <v>16627848.443</v>
      </c>
      <c r="F79" s="116">
        <v>1499189.071</v>
      </c>
      <c r="G79" s="43" t="str">
        <f>_xlfn.XLOOKUP($A79,Map!$A:$A,Map!C:C)</f>
        <v>BS</v>
      </c>
      <c r="H79" s="43" t="str">
        <f>_xlfn.XLOOKUP($A79,Map!$A:$A,Map!D:D)</f>
        <v>Current Assets</v>
      </c>
      <c r="I79" s="43" t="str">
        <f>_xlfn.XLOOKUP($A79,Map!$A:$A,Map!E:E)</f>
        <v>Inventories</v>
      </c>
      <c r="J79" s="43" t="str">
        <f>_xlfn.XLOOKUP($A79,Map!$A:$A,Map!F:F)</f>
        <v>Work in progress - Inventory</v>
      </c>
    </row>
    <row r="80" spans="1:10" x14ac:dyDescent="0.25">
      <c r="A80">
        <v>180013</v>
      </c>
      <c r="B80" t="s">
        <v>896</v>
      </c>
      <c r="C80" s="116">
        <v>5656636.4230000004</v>
      </c>
      <c r="D80" s="116">
        <v>4582374.7630000003</v>
      </c>
      <c r="E80" s="116">
        <v>5387894.96</v>
      </c>
      <c r="F80" s="116">
        <v>4851116.2259999998</v>
      </c>
      <c r="G80" s="43" t="str">
        <f>_xlfn.XLOOKUP($A80,Map!$A:$A,Map!C:C)</f>
        <v>BS</v>
      </c>
      <c r="H80" s="43" t="str">
        <f>_xlfn.XLOOKUP($A80,Map!$A:$A,Map!D:D)</f>
        <v>Current Assets</v>
      </c>
      <c r="I80" s="43" t="str">
        <f>_xlfn.XLOOKUP($A80,Map!$A:$A,Map!E:E)</f>
        <v>Inventories</v>
      </c>
      <c r="J80" s="43" t="str">
        <f>_xlfn.XLOOKUP($A80,Map!$A:$A,Map!F:F)</f>
        <v>Finished goods - Inventory</v>
      </c>
    </row>
    <row r="81" spans="1:10" x14ac:dyDescent="0.25">
      <c r="A81">
        <v>180014</v>
      </c>
      <c r="B81" t="s">
        <v>897</v>
      </c>
      <c r="C81" s="116">
        <v>-0.01</v>
      </c>
      <c r="D81" s="116">
        <v>29258757.963</v>
      </c>
      <c r="E81" s="116">
        <v>29258757.953000002</v>
      </c>
      <c r="F81" s="116">
        <v>0</v>
      </c>
      <c r="G81" s="43" t="str">
        <f>_xlfn.XLOOKUP($A81,Map!$A:$A,Map!C:C)</f>
        <v>BS</v>
      </c>
      <c r="H81" s="43" t="str">
        <f>_xlfn.XLOOKUP($A81,Map!$A:$A,Map!D:D)</f>
        <v>Current Assets</v>
      </c>
      <c r="I81" s="43" t="str">
        <f>_xlfn.XLOOKUP($A81,Map!$A:$A,Map!E:E)</f>
        <v>Inventories</v>
      </c>
      <c r="J81" s="43" t="str">
        <f>_xlfn.XLOOKUP($A81,Map!$A:$A,Map!F:F)</f>
        <v>Work in progress - Inventory</v>
      </c>
    </row>
    <row r="82" spans="1:10" x14ac:dyDescent="0.25">
      <c r="A82">
        <v>180096</v>
      </c>
      <c r="B82" t="s">
        <v>898</v>
      </c>
      <c r="C82" s="116">
        <v>0</v>
      </c>
      <c r="D82" s="116">
        <v>5124608.8770000003</v>
      </c>
      <c r="E82" s="116">
        <v>5124608.8770000003</v>
      </c>
      <c r="F82" s="116">
        <v>0</v>
      </c>
      <c r="G82" s="43" t="str">
        <f>_xlfn.XLOOKUP($A82,Map!$A:$A,Map!C:C)</f>
        <v>BS</v>
      </c>
      <c r="H82" s="43" t="str">
        <f>_xlfn.XLOOKUP($A82,Map!$A:$A,Map!D:D)</f>
        <v>Current Assets</v>
      </c>
      <c r="I82" s="43" t="str">
        <f>_xlfn.XLOOKUP($A82,Map!$A:$A,Map!E:E)</f>
        <v>Inventories</v>
      </c>
      <c r="J82" s="43" t="str">
        <f>_xlfn.XLOOKUP($A82,Map!$A:$A,Map!F:F)</f>
        <v>Work in progress - Inventory</v>
      </c>
    </row>
    <row r="83" spans="1:10" x14ac:dyDescent="0.25">
      <c r="A83">
        <v>180097</v>
      </c>
      <c r="B83" t="s">
        <v>899</v>
      </c>
      <c r="C83" s="116">
        <v>0</v>
      </c>
      <c r="D83" s="116">
        <v>0</v>
      </c>
      <c r="E83" s="116">
        <v>0</v>
      </c>
      <c r="F83" s="116">
        <v>0</v>
      </c>
      <c r="G83" s="43" t="str">
        <f>_xlfn.XLOOKUP($A83,Map!$A:$A,Map!C:C)</f>
        <v>BS</v>
      </c>
      <c r="H83" s="43" t="str">
        <f>_xlfn.XLOOKUP($A83,Map!$A:$A,Map!D:D)</f>
        <v>Current Assets</v>
      </c>
      <c r="I83" s="43" t="str">
        <f>_xlfn.XLOOKUP($A83,Map!$A:$A,Map!E:E)</f>
        <v>Inventories</v>
      </c>
      <c r="J83" s="43" t="str">
        <f>_xlfn.XLOOKUP($A83,Map!$A:$A,Map!F:F)</f>
        <v>Work in progress - Inventory</v>
      </c>
    </row>
    <row r="84" spans="1:10" x14ac:dyDescent="0.25">
      <c r="A84">
        <v>180098</v>
      </c>
      <c r="B84" t="s">
        <v>900</v>
      </c>
      <c r="C84" s="116">
        <v>1E-3</v>
      </c>
      <c r="D84" s="116">
        <v>0</v>
      </c>
      <c r="E84" s="116">
        <v>0</v>
      </c>
      <c r="F84" s="116">
        <v>1E-3</v>
      </c>
      <c r="G84" s="43" t="str">
        <f>_xlfn.XLOOKUP($A84,Map!$A:$A,Map!C:C)</f>
        <v>BS</v>
      </c>
      <c r="H84" s="43" t="str">
        <f>_xlfn.XLOOKUP($A84,Map!$A:$A,Map!D:D)</f>
        <v>Current Assets</v>
      </c>
      <c r="I84" s="43" t="str">
        <f>_xlfn.XLOOKUP($A84,Map!$A:$A,Map!E:E)</f>
        <v>Inventories</v>
      </c>
      <c r="J84" s="43" t="str">
        <f>_xlfn.XLOOKUP($A84,Map!$A:$A,Map!F:F)</f>
        <v>Work in progress - Inventory</v>
      </c>
    </row>
    <row r="85" spans="1:10" x14ac:dyDescent="0.25">
      <c r="A85">
        <v>180099</v>
      </c>
      <c r="B85" t="s">
        <v>901</v>
      </c>
      <c r="C85" s="116">
        <v>0</v>
      </c>
      <c r="D85" s="116">
        <v>0</v>
      </c>
      <c r="E85" s="116">
        <v>0</v>
      </c>
      <c r="F85" s="116">
        <v>0</v>
      </c>
      <c r="G85" s="43" t="str">
        <f>_xlfn.XLOOKUP($A85,Map!$A:$A,Map!C:C)</f>
        <v>BS</v>
      </c>
      <c r="H85" s="43" t="str">
        <f>_xlfn.XLOOKUP($A85,Map!$A:$A,Map!D:D)</f>
        <v>Current Assets</v>
      </c>
      <c r="I85" s="43" t="str">
        <f>_xlfn.XLOOKUP($A85,Map!$A:$A,Map!E:E)</f>
        <v>Inventories</v>
      </c>
      <c r="J85" s="43" t="str">
        <f>_xlfn.XLOOKUP($A85,Map!$A:$A,Map!F:F)</f>
        <v>Goods in transit - Inventory</v>
      </c>
    </row>
    <row r="86" spans="1:10" x14ac:dyDescent="0.25">
      <c r="A86">
        <v>210001</v>
      </c>
      <c r="B86" t="s">
        <v>902</v>
      </c>
      <c r="C86" s="116">
        <v>327947.576</v>
      </c>
      <c r="D86" s="116">
        <v>29705472.221000001</v>
      </c>
      <c r="E86" s="116">
        <v>29320857.57</v>
      </c>
      <c r="F86" s="116">
        <v>712562.22699999996</v>
      </c>
      <c r="G86" s="43" t="str">
        <f>_xlfn.XLOOKUP($A86,Map!$A:$A,Map!C:C)</f>
        <v>BS</v>
      </c>
      <c r="H86" s="43" t="str">
        <f>_xlfn.XLOOKUP($A86,Map!$A:$A,Map!D:D)</f>
        <v>Current Liabilities</v>
      </c>
      <c r="I86" s="43" t="str">
        <f>_xlfn.XLOOKUP($A86,Map!$A:$A,Map!E:E)</f>
        <v>Tade payables and Accuals &amp; other credit balances</v>
      </c>
      <c r="J86" s="43" t="str">
        <f>_xlfn.XLOOKUP($A86,Map!$A:$A,Map!F:F)</f>
        <v>Trade payables - Foreign</v>
      </c>
    </row>
    <row r="87" spans="1:10" x14ac:dyDescent="0.25">
      <c r="A87">
        <v>210002</v>
      </c>
      <c r="B87" t="s">
        <v>903</v>
      </c>
      <c r="C87" s="116">
        <v>-5604504.5329999998</v>
      </c>
      <c r="D87" s="116">
        <v>201100792.317</v>
      </c>
      <c r="E87" s="116">
        <v>197729628.98300001</v>
      </c>
      <c r="F87" s="116">
        <v>-2233341.199</v>
      </c>
      <c r="G87" s="43" t="str">
        <f>_xlfn.XLOOKUP($A87,Map!$A:$A,Map!C:C)</f>
        <v>BS</v>
      </c>
      <c r="H87" s="43" t="str">
        <f>_xlfn.XLOOKUP($A87,Map!$A:$A,Map!D:D)</f>
        <v>Current Liabilities</v>
      </c>
      <c r="I87" s="43" t="str">
        <f>_xlfn.XLOOKUP($A87,Map!$A:$A,Map!E:E)</f>
        <v>Tade payables and Accuals &amp; other credit balances</v>
      </c>
      <c r="J87" s="43" t="str">
        <f>_xlfn.XLOOKUP($A87,Map!$A:$A,Map!F:F)</f>
        <v>Trade payables - Local</v>
      </c>
    </row>
    <row r="88" spans="1:10" x14ac:dyDescent="0.25">
      <c r="A88">
        <v>220001</v>
      </c>
      <c r="B88" t="s">
        <v>904</v>
      </c>
      <c r="C88" s="116">
        <v>0</v>
      </c>
      <c r="D88" s="116">
        <v>9764796.9959999993</v>
      </c>
      <c r="E88" s="116">
        <v>9764796.9959999993</v>
      </c>
      <c r="F88" s="116">
        <v>0</v>
      </c>
      <c r="G88" s="43" t="str">
        <f>_xlfn.XLOOKUP($A88,Map!$A:$A,Map!C:C)</f>
        <v>BS</v>
      </c>
      <c r="H88" s="43" t="str">
        <f>_xlfn.XLOOKUP($A88,Map!$A:$A,Map!D:D)</f>
        <v>Current Liabilities</v>
      </c>
      <c r="I88" s="43" t="str">
        <f>_xlfn.XLOOKUP($A88,Map!$A:$A,Map!E:E)</f>
        <v>Short-term Murabaha loans</v>
      </c>
      <c r="J88" s="43" t="str">
        <f>_xlfn.XLOOKUP($A88,Map!$A:$A,Map!F:F)</f>
        <v>Other loans - current</v>
      </c>
    </row>
    <row r="89" spans="1:10" x14ac:dyDescent="0.25">
      <c r="A89">
        <v>220002</v>
      </c>
      <c r="B89" t="s">
        <v>905</v>
      </c>
      <c r="C89" s="116">
        <v>0</v>
      </c>
      <c r="D89" s="116">
        <v>0</v>
      </c>
      <c r="E89" s="116">
        <v>0</v>
      </c>
      <c r="F89" s="116">
        <v>0</v>
      </c>
      <c r="G89" s="43" t="str">
        <f>_xlfn.XLOOKUP($A89,Map!$A:$A,Map!C:C)</f>
        <v>BS</v>
      </c>
      <c r="H89" s="43" t="str">
        <f>_xlfn.XLOOKUP($A89,Map!$A:$A,Map!D:D)</f>
        <v>Current Liabilities</v>
      </c>
      <c r="I89" s="43" t="str">
        <f>_xlfn.XLOOKUP($A89,Map!$A:$A,Map!E:E)</f>
        <v>Short-term Murabaha loans</v>
      </c>
      <c r="J89" s="43" t="str">
        <f>_xlfn.XLOOKUP($A89,Map!$A:$A,Map!F:F)</f>
        <v>Other loans - current</v>
      </c>
    </row>
    <row r="90" spans="1:10" x14ac:dyDescent="0.25">
      <c r="A90">
        <v>220003</v>
      </c>
      <c r="B90" t="s">
        <v>906</v>
      </c>
      <c r="C90" s="116">
        <v>0</v>
      </c>
      <c r="D90" s="116">
        <v>0</v>
      </c>
      <c r="E90" s="116">
        <v>0</v>
      </c>
      <c r="F90" s="116">
        <v>0</v>
      </c>
      <c r="G90" s="43" t="str">
        <f>_xlfn.XLOOKUP($A90,Map!$A:$A,Map!C:C)</f>
        <v>BS</v>
      </c>
      <c r="H90" s="43" t="str">
        <f>_xlfn.XLOOKUP($A90,Map!$A:$A,Map!D:D)</f>
        <v>Current Liabilities</v>
      </c>
      <c r="I90" s="43" t="str">
        <f>_xlfn.XLOOKUP($A90,Map!$A:$A,Map!E:E)</f>
        <v>Short-term Murabaha loans</v>
      </c>
      <c r="J90" s="43" t="str">
        <f>_xlfn.XLOOKUP($A90,Map!$A:$A,Map!F:F)</f>
        <v>Other loans - current</v>
      </c>
    </row>
    <row r="91" spans="1:10" x14ac:dyDescent="0.25">
      <c r="A91">
        <v>220004</v>
      </c>
      <c r="B91" t="s">
        <v>907</v>
      </c>
      <c r="C91" s="116">
        <v>-36611517.880999997</v>
      </c>
      <c r="D91" s="116">
        <v>95532704.231999993</v>
      </c>
      <c r="E91" s="116">
        <v>84055594.990999997</v>
      </c>
      <c r="F91" s="116">
        <v>-25134408.640000001</v>
      </c>
      <c r="G91" s="43" t="str">
        <f>_xlfn.XLOOKUP($A91,Map!$A:$A,Map!C:C)</f>
        <v>BS</v>
      </c>
      <c r="H91" s="43" t="str">
        <f>_xlfn.XLOOKUP($A91,Map!$A:$A,Map!D:D)</f>
        <v>Current Liabilities</v>
      </c>
      <c r="I91" s="43" t="str">
        <f>_xlfn.XLOOKUP($A91,Map!$A:$A,Map!E:E)</f>
        <v>Short-term Murabaha loans</v>
      </c>
      <c r="J91" s="43" t="str">
        <f>_xlfn.XLOOKUP($A91,Map!$A:$A,Map!F:F)</f>
        <v>Other loans - current</v>
      </c>
    </row>
    <row r="92" spans="1:10" x14ac:dyDescent="0.25">
      <c r="A92">
        <v>220005</v>
      </c>
      <c r="B92" t="s">
        <v>908</v>
      </c>
      <c r="C92" s="116">
        <v>-59089378.502999999</v>
      </c>
      <c r="D92" s="116">
        <v>142361979.27000001</v>
      </c>
      <c r="E92" s="116">
        <v>88658523.267000005</v>
      </c>
      <c r="F92" s="116">
        <v>-5385922.5</v>
      </c>
      <c r="G92" s="43" t="str">
        <f>_xlfn.XLOOKUP($A92,Map!$A:$A,Map!C:C)</f>
        <v>BS</v>
      </c>
      <c r="H92" s="43" t="str">
        <f>_xlfn.XLOOKUP($A92,Map!$A:$A,Map!D:D)</f>
        <v>Current Liabilities</v>
      </c>
      <c r="I92" s="43" t="str">
        <f>_xlfn.XLOOKUP($A92,Map!$A:$A,Map!E:E)</f>
        <v>Short-term Murabaha loans</v>
      </c>
      <c r="J92" s="43" t="str">
        <f>_xlfn.XLOOKUP($A92,Map!$A:$A,Map!F:F)</f>
        <v>Other loans - current</v>
      </c>
    </row>
    <row r="93" spans="1:10" x14ac:dyDescent="0.25">
      <c r="A93">
        <v>220006</v>
      </c>
      <c r="B93" t="s">
        <v>909</v>
      </c>
      <c r="C93" s="116">
        <v>-36069107.965999998</v>
      </c>
      <c r="D93" s="116">
        <v>38256824.710000001</v>
      </c>
      <c r="E93" s="116">
        <v>57733252.167999998</v>
      </c>
      <c r="F93" s="116">
        <v>-55545535.424000002</v>
      </c>
      <c r="G93" s="43" t="str">
        <f>_xlfn.XLOOKUP($A93,Map!$A:$A,Map!C:C)</f>
        <v>BS</v>
      </c>
      <c r="H93" s="43" t="str">
        <f>_xlfn.XLOOKUP($A93,Map!$A:$A,Map!D:D)</f>
        <v>Current Liabilities</v>
      </c>
      <c r="I93" s="43" t="str">
        <f>_xlfn.XLOOKUP($A93,Map!$A:$A,Map!E:E)</f>
        <v>Short-term Murabaha loans</v>
      </c>
      <c r="J93" s="43" t="str">
        <f>_xlfn.XLOOKUP($A93,Map!$A:$A,Map!F:F)</f>
        <v>Other loans - current</v>
      </c>
    </row>
    <row r="94" spans="1:10" x14ac:dyDescent="0.25">
      <c r="A94">
        <v>230001</v>
      </c>
      <c r="B94" t="s">
        <v>911</v>
      </c>
      <c r="C94" s="116">
        <v>0</v>
      </c>
      <c r="D94" s="116">
        <v>51386779.752999999</v>
      </c>
      <c r="E94" s="116">
        <v>51386779.752999999</v>
      </c>
      <c r="F94" s="116">
        <v>0</v>
      </c>
      <c r="G94" s="43" t="str">
        <f>_xlfn.XLOOKUP($A94,Map!$A:$A,Map!C:C)</f>
        <v>BS</v>
      </c>
      <c r="H94" s="43" t="str">
        <f>_xlfn.XLOOKUP($A94,Map!$A:$A,Map!D:D)</f>
        <v>Current Liabilities</v>
      </c>
      <c r="I94" s="43" t="str">
        <f>_xlfn.XLOOKUP($A94,Map!$A:$A,Map!E:E)</f>
        <v>Tade payables and Accuals &amp; other credit balances</v>
      </c>
      <c r="J94" s="43" t="str">
        <f>_xlfn.XLOOKUP($A94,Map!$A:$A,Map!F:F)</f>
        <v>Clearing account</v>
      </c>
    </row>
    <row r="95" spans="1:10" x14ac:dyDescent="0.25">
      <c r="A95">
        <v>240001</v>
      </c>
      <c r="B95" t="s">
        <v>912</v>
      </c>
      <c r="C95" s="116">
        <v>0</v>
      </c>
      <c r="D95" s="116">
        <v>1247629.557</v>
      </c>
      <c r="E95" s="116">
        <v>1180129.9469999999</v>
      </c>
      <c r="F95" s="116">
        <v>67499.61</v>
      </c>
      <c r="G95" s="43" t="str">
        <f>_xlfn.XLOOKUP($A95,Map!$A:$A,Map!C:C)</f>
        <v>BS</v>
      </c>
      <c r="H95" s="43" t="str">
        <f>_xlfn.XLOOKUP($A95,Map!$A:$A,Map!D:D)</f>
        <v>Current Liabilities</v>
      </c>
      <c r="I95" s="43" t="str">
        <f>_xlfn.XLOOKUP($A95,Map!$A:$A,Map!E:E)</f>
        <v>Tade payables and Accuals &amp; other credit balances</v>
      </c>
      <c r="J95" s="43" t="str">
        <f>_xlfn.XLOOKUP($A95,Map!$A:$A,Map!F:F)</f>
        <v>Overhead</v>
      </c>
    </row>
    <row r="96" spans="1:10" x14ac:dyDescent="0.25">
      <c r="A96">
        <v>240002</v>
      </c>
      <c r="B96" t="s">
        <v>913</v>
      </c>
      <c r="C96" s="116">
        <v>0</v>
      </c>
      <c r="D96" s="116">
        <v>0</v>
      </c>
      <c r="E96" s="116">
        <v>0</v>
      </c>
      <c r="F96" s="116">
        <v>0</v>
      </c>
      <c r="G96" s="43" t="str">
        <f>_xlfn.XLOOKUP($A96,Map!$A:$A,Map!C:C)</f>
        <v>BS</v>
      </c>
      <c r="H96" s="43" t="str">
        <f>_xlfn.XLOOKUP($A96,Map!$A:$A,Map!D:D)</f>
        <v>Current Liabilities</v>
      </c>
      <c r="I96" s="43" t="str">
        <f>_xlfn.XLOOKUP($A96,Map!$A:$A,Map!E:E)</f>
        <v>Tade payables and Accuals &amp; other credit balances</v>
      </c>
      <c r="J96" s="43" t="str">
        <f>_xlfn.XLOOKUP($A96,Map!$A:$A,Map!F:F)</f>
        <v>Landed Cost - Customs</v>
      </c>
    </row>
    <row r="97" spans="1:10" x14ac:dyDescent="0.25">
      <c r="A97">
        <v>240003</v>
      </c>
      <c r="B97" t="s">
        <v>914</v>
      </c>
      <c r="C97" s="116">
        <v>-1596797.0260000001</v>
      </c>
      <c r="D97" s="116">
        <v>172674.95699999999</v>
      </c>
      <c r="E97" s="116">
        <v>81723</v>
      </c>
      <c r="F97" s="116">
        <v>-1505845.0689999999</v>
      </c>
      <c r="G97" s="43" t="str">
        <f>_xlfn.XLOOKUP($A97,Map!$A:$A,Map!C:C)</f>
        <v>BS</v>
      </c>
      <c r="H97" s="43" t="str">
        <f>_xlfn.XLOOKUP($A97,Map!$A:$A,Map!D:D)</f>
        <v>Non-Current Liabilities</v>
      </c>
      <c r="I97" s="43" t="str">
        <f>_xlfn.XLOOKUP($A97,Map!$A:$A,Map!E:E)</f>
        <v xml:space="preserve">Lease liabilities non-current </v>
      </c>
      <c r="J97" s="43" t="str">
        <f>_xlfn.XLOOKUP($A97,Map!$A:$A,Map!F:F)</f>
        <v xml:space="preserve"> Lease Obligation</v>
      </c>
    </row>
    <row r="98" spans="1:10" x14ac:dyDescent="0.25">
      <c r="A98">
        <v>250001</v>
      </c>
      <c r="B98" t="s">
        <v>915</v>
      </c>
      <c r="C98" s="116">
        <v>0</v>
      </c>
      <c r="D98" s="116">
        <v>11824437.300000001</v>
      </c>
      <c r="E98" s="116">
        <v>11824437.300000001</v>
      </c>
      <c r="F98" s="116">
        <v>0</v>
      </c>
      <c r="G98" s="43" t="str">
        <f>_xlfn.XLOOKUP($A98,Map!$A:$A,Map!C:C)</f>
        <v>BS</v>
      </c>
      <c r="H98" s="43" t="str">
        <f>_xlfn.XLOOKUP($A98,Map!$A:$A,Map!D:D)</f>
        <v>Current Liabilities</v>
      </c>
      <c r="I98" s="43" t="str">
        <f>_xlfn.XLOOKUP($A98,Map!$A:$A,Map!E:E)</f>
        <v>Tade payables and Accuals &amp; other credit balances</v>
      </c>
      <c r="J98" s="43" t="str">
        <f>_xlfn.XLOOKUP($A98,Map!$A:$A,Map!F:F)</f>
        <v>Accrued salaries and wages</v>
      </c>
    </row>
    <row r="99" spans="1:10" x14ac:dyDescent="0.25">
      <c r="A99">
        <v>250002</v>
      </c>
      <c r="B99" t="s">
        <v>916</v>
      </c>
      <c r="C99" s="116">
        <v>0</v>
      </c>
      <c r="D99" s="116">
        <v>0</v>
      </c>
      <c r="E99" s="116">
        <v>0</v>
      </c>
      <c r="F99" s="116">
        <v>0</v>
      </c>
      <c r="G99" s="43" t="str">
        <f>_xlfn.XLOOKUP($A99,Map!$A:$A,Map!C:C)</f>
        <v>BS</v>
      </c>
      <c r="H99" s="43" t="str">
        <f>_xlfn.XLOOKUP($A99,Map!$A:$A,Map!D:D)</f>
        <v>Current Liabilities</v>
      </c>
      <c r="I99" s="43" t="str">
        <f>_xlfn.XLOOKUP($A99,Map!$A:$A,Map!E:E)</f>
        <v>Tade payables and Accuals &amp; other credit balances</v>
      </c>
      <c r="J99" s="43" t="str">
        <f>_xlfn.XLOOKUP($A99,Map!$A:$A,Map!F:F)</f>
        <v>Accrued utilities</v>
      </c>
    </row>
    <row r="100" spans="1:10" x14ac:dyDescent="0.25">
      <c r="A100">
        <v>250003</v>
      </c>
      <c r="B100" t="s">
        <v>917</v>
      </c>
      <c r="C100" s="116">
        <v>0</v>
      </c>
      <c r="D100" s="116">
        <v>388623</v>
      </c>
      <c r="E100" s="116">
        <v>1356670.97</v>
      </c>
      <c r="F100" s="116">
        <v>-968047.97</v>
      </c>
      <c r="G100" s="43" t="str">
        <f>_xlfn.XLOOKUP($A100,Map!$A:$A,Map!C:C)</f>
        <v>BS</v>
      </c>
      <c r="H100" s="43" t="str">
        <f>_xlfn.XLOOKUP($A100,Map!$A:$A,Map!D:D)</f>
        <v>Current Liabilities</v>
      </c>
      <c r="I100" s="43" t="str">
        <f>_xlfn.XLOOKUP($A100,Map!$A:$A,Map!E:E)</f>
        <v>Zakat provision</v>
      </c>
      <c r="J100" s="43" t="str">
        <f>_xlfn.XLOOKUP($A100,Map!$A:$A,Map!F:F)</f>
        <v>Zakat provision</v>
      </c>
    </row>
    <row r="101" spans="1:10" x14ac:dyDescent="0.25">
      <c r="A101">
        <v>250004</v>
      </c>
      <c r="B101" t="s">
        <v>918</v>
      </c>
      <c r="C101" s="116">
        <v>0</v>
      </c>
      <c r="D101" s="116">
        <v>300000</v>
      </c>
      <c r="E101" s="116">
        <v>300000</v>
      </c>
      <c r="F101" s="116">
        <v>0</v>
      </c>
      <c r="G101" s="43" t="str">
        <f>_xlfn.XLOOKUP($A101,Map!$A:$A,Map!C:C)</f>
        <v>BS</v>
      </c>
      <c r="H101" s="43" t="str">
        <f>_xlfn.XLOOKUP($A101,Map!$A:$A,Map!D:D)</f>
        <v>Current Liabilities</v>
      </c>
      <c r="I101" s="43" t="str">
        <f>_xlfn.XLOOKUP($A101,Map!$A:$A,Map!E:E)</f>
        <v>Tade payables and Accuals &amp; other credit balances</v>
      </c>
      <c r="J101" s="43" t="str">
        <f>_xlfn.XLOOKUP($A101,Map!$A:$A,Map!F:F)</f>
        <v>Accrued bonus</v>
      </c>
    </row>
    <row r="102" spans="1:10" x14ac:dyDescent="0.25">
      <c r="A102">
        <v>250005</v>
      </c>
      <c r="B102" t="s">
        <v>919</v>
      </c>
      <c r="C102" s="116">
        <v>0</v>
      </c>
      <c r="D102" s="116">
        <v>1443958.41</v>
      </c>
      <c r="E102" s="116">
        <v>1443958.41</v>
      </c>
      <c r="F102" s="116">
        <v>0</v>
      </c>
      <c r="G102" s="43" t="str">
        <f>_xlfn.XLOOKUP($A102,Map!$A:$A,Map!C:C)</f>
        <v>BS</v>
      </c>
      <c r="H102" s="43" t="str">
        <f>_xlfn.XLOOKUP($A102,Map!$A:$A,Map!D:D)</f>
        <v>Current Liabilities</v>
      </c>
      <c r="I102" s="43" t="str">
        <f>_xlfn.XLOOKUP($A102,Map!$A:$A,Map!E:E)</f>
        <v>Tade payables and Accuals &amp; other credit balances</v>
      </c>
      <c r="J102" s="43" t="str">
        <f>_xlfn.XLOOKUP($A102,Map!$A:$A,Map!F:F)</f>
        <v>Accrued expenses</v>
      </c>
    </row>
    <row r="103" spans="1:10" x14ac:dyDescent="0.25">
      <c r="A103">
        <v>250006</v>
      </c>
      <c r="B103" t="s">
        <v>920</v>
      </c>
      <c r="C103" s="116">
        <v>0</v>
      </c>
      <c r="D103" s="116">
        <v>9921</v>
      </c>
      <c r="E103" s="116">
        <v>9921</v>
      </c>
      <c r="F103" s="116">
        <v>0</v>
      </c>
      <c r="G103" s="43" t="str">
        <f>_xlfn.XLOOKUP($A103,Map!$A:$A,Map!C:C)</f>
        <v>BS</v>
      </c>
      <c r="H103" s="43" t="str">
        <f>_xlfn.XLOOKUP($A103,Map!$A:$A,Map!D:D)</f>
        <v>Current Liabilities</v>
      </c>
      <c r="I103" s="43" t="str">
        <f>_xlfn.XLOOKUP($A103,Map!$A:$A,Map!E:E)</f>
        <v>Tade payables and Accuals &amp; other credit balances</v>
      </c>
      <c r="J103" s="43" t="str">
        <f>_xlfn.XLOOKUP($A103,Map!$A:$A,Map!F:F)</f>
        <v>Accrued leave</v>
      </c>
    </row>
    <row r="104" spans="1:10" x14ac:dyDescent="0.25">
      <c r="A104">
        <v>260001</v>
      </c>
      <c r="B104" t="s">
        <v>922</v>
      </c>
      <c r="C104" s="116">
        <v>-7846137</v>
      </c>
      <c r="D104" s="116">
        <v>5500</v>
      </c>
      <c r="E104" s="116">
        <v>5500</v>
      </c>
      <c r="F104" s="116">
        <v>-7846137</v>
      </c>
      <c r="G104" s="43" t="str">
        <f>_xlfn.XLOOKUP($A104,Map!$A:$A,Map!C:C)</f>
        <v>BS</v>
      </c>
      <c r="H104" s="43" t="str">
        <f>_xlfn.XLOOKUP($A104,Map!$A:$A,Map!D:D)</f>
        <v>Stockholder's equity</v>
      </c>
      <c r="I104" s="43" t="str">
        <f>_xlfn.XLOOKUP($A104,Map!$A:$A,Map!E:E)</f>
        <v>Statutory reserve</v>
      </c>
      <c r="J104" s="43" t="str">
        <f>_xlfn.XLOOKUP($A104,Map!$A:$A,Map!F:F)</f>
        <v>Statutory reserve</v>
      </c>
    </row>
    <row r="105" spans="1:10" x14ac:dyDescent="0.25">
      <c r="A105">
        <v>260002</v>
      </c>
      <c r="B105" t="s">
        <v>923</v>
      </c>
      <c r="C105" s="116">
        <v>-6809005</v>
      </c>
      <c r="D105" s="116">
        <v>851943.68</v>
      </c>
      <c r="E105" s="116">
        <v>2214197</v>
      </c>
      <c r="F105" s="116">
        <v>-8171258.3200000003</v>
      </c>
      <c r="G105" s="43" t="str">
        <f>_xlfn.XLOOKUP($A105,Map!$A:$A,Map!C:C)</f>
        <v>BS</v>
      </c>
      <c r="H105" s="43" t="str">
        <f>_xlfn.XLOOKUP($A105,Map!$A:$A,Map!D:D)</f>
        <v>Non-Current Liabilities</v>
      </c>
      <c r="I105" s="43" t="str">
        <f>_xlfn.XLOOKUP($A105,Map!$A:$A,Map!E:E)</f>
        <v xml:space="preserve">End-of-service indemnities </v>
      </c>
      <c r="J105" s="43" t="str">
        <f>_xlfn.XLOOKUP($A105,Map!$A:$A,Map!F:F)</f>
        <v xml:space="preserve">End-of-service indemnities </v>
      </c>
    </row>
    <row r="106" spans="1:10" x14ac:dyDescent="0.25">
      <c r="A106">
        <v>260003</v>
      </c>
      <c r="B106" t="s">
        <v>924</v>
      </c>
      <c r="C106" s="116">
        <v>-3557438</v>
      </c>
      <c r="D106" s="116">
        <v>0</v>
      </c>
      <c r="E106" s="116">
        <v>8931099.4389999993</v>
      </c>
      <c r="F106" s="116">
        <v>-12488537.438999999</v>
      </c>
      <c r="G106" s="43" t="str">
        <f>_xlfn.XLOOKUP($A106,Map!$A:$A,Map!C:C)</f>
        <v>BS</v>
      </c>
      <c r="H106" s="43" t="str">
        <f>_xlfn.XLOOKUP($A106,Map!$A:$A,Map!D:D)</f>
        <v>Current Assets</v>
      </c>
      <c r="I106" s="43" t="str">
        <f>_xlfn.XLOOKUP($A106,Map!$A:$A,Map!E:E)</f>
        <v>Trade receivables</v>
      </c>
      <c r="J106" s="43" t="str">
        <f>_xlfn.XLOOKUP($A106,Map!$A:$A,Map!F:F)</f>
        <v>Provisions</v>
      </c>
    </row>
    <row r="107" spans="1:10" x14ac:dyDescent="0.25">
      <c r="A107">
        <v>260004</v>
      </c>
      <c r="B107" t="s">
        <v>925</v>
      </c>
      <c r="C107" s="116">
        <v>0</v>
      </c>
      <c r="D107" s="116">
        <v>0</v>
      </c>
      <c r="E107" s="116">
        <v>0</v>
      </c>
      <c r="F107" s="116">
        <v>0</v>
      </c>
      <c r="G107" s="43" t="str">
        <f>_xlfn.XLOOKUP($A107,Map!$A:$A,Map!C:C)</f>
        <v>BS</v>
      </c>
      <c r="H107" s="43" t="str">
        <f>_xlfn.XLOOKUP($A107,Map!$A:$A,Map!D:D)</f>
        <v>Current Assets</v>
      </c>
      <c r="I107" s="43" t="str">
        <f>_xlfn.XLOOKUP($A107,Map!$A:$A,Map!E:E)</f>
        <v>Inventories</v>
      </c>
      <c r="J107" s="43" t="str">
        <f>_xlfn.XLOOKUP($A107,Map!$A:$A,Map!F:F)</f>
        <v>Allowance for slow moving/obsolete inventories - Inventory</v>
      </c>
    </row>
    <row r="108" spans="1:10" x14ac:dyDescent="0.25">
      <c r="A108">
        <v>260005</v>
      </c>
      <c r="B108" t="s">
        <v>926</v>
      </c>
      <c r="C108" s="116">
        <v>-4426579.7149999999</v>
      </c>
      <c r="D108" s="116">
        <v>0</v>
      </c>
      <c r="E108" s="116">
        <v>271791.99400000001</v>
      </c>
      <c r="F108" s="116">
        <v>-4698371.7089999998</v>
      </c>
      <c r="G108" s="43" t="str">
        <f>_xlfn.XLOOKUP($A108,Map!$A:$A,Map!C:C)</f>
        <v>BS</v>
      </c>
      <c r="H108" s="43" t="str">
        <f>_xlfn.XLOOKUP($A108,Map!$A:$A,Map!D:D)</f>
        <v>Non-Current Liabilities</v>
      </c>
      <c r="I108" s="43" t="str">
        <f>_xlfn.XLOOKUP($A108,Map!$A:$A,Map!E:E)</f>
        <v>Provision for evacuation</v>
      </c>
      <c r="J108" s="43" t="str">
        <f>_xlfn.XLOOKUP($A108,Map!$A:$A,Map!F:F)</f>
        <v>Provision for evacuation</v>
      </c>
    </row>
    <row r="109" spans="1:10" x14ac:dyDescent="0.25">
      <c r="A109">
        <v>270001</v>
      </c>
      <c r="B109" t="s">
        <v>929</v>
      </c>
      <c r="C109" s="116">
        <v>-1098996.6040000001</v>
      </c>
      <c r="D109" s="116">
        <v>9582672.0999999996</v>
      </c>
      <c r="E109" s="116">
        <v>12259838.495999999</v>
      </c>
      <c r="F109" s="116">
        <v>-3776163</v>
      </c>
      <c r="G109" s="43" t="str">
        <f>_xlfn.XLOOKUP($A109,Map!$A:$A,Map!C:C)</f>
        <v>BS</v>
      </c>
      <c r="H109" s="43" t="str">
        <f>_xlfn.XLOOKUP($A109,Map!$A:$A,Map!D:D)</f>
        <v>Non-Current Liabilities</v>
      </c>
      <c r="I109" s="43" t="str">
        <f>_xlfn.XLOOKUP($A109,Map!$A:$A,Map!E:E)</f>
        <v xml:space="preserve">Due to related parties </v>
      </c>
      <c r="J109" s="43" t="str">
        <f>_xlfn.XLOOKUP($A109,Map!$A:$A,Map!F:F)</f>
        <v>Aims Holding  Current Acc</v>
      </c>
    </row>
    <row r="110" spans="1:10" x14ac:dyDescent="0.25">
      <c r="A110">
        <v>270002</v>
      </c>
      <c r="B110" t="s">
        <v>930</v>
      </c>
      <c r="C110" s="116">
        <v>0</v>
      </c>
      <c r="D110" s="116">
        <v>14127205.227</v>
      </c>
      <c r="E110" s="116">
        <v>14127205.227</v>
      </c>
      <c r="F110" s="116">
        <v>0</v>
      </c>
      <c r="G110" s="43" t="str">
        <f>_xlfn.XLOOKUP($A110,Map!$A:$A,Map!C:C)</f>
        <v>BS</v>
      </c>
      <c r="H110" s="43" t="str">
        <f>_xlfn.XLOOKUP($A110,Map!$A:$A,Map!D:D)</f>
        <v>Current Liabilities</v>
      </c>
      <c r="I110" s="43" t="str">
        <f>_xlfn.XLOOKUP($A110,Map!$A:$A,Map!E:E)</f>
        <v>Tade payables and Accuals &amp; other credit balances</v>
      </c>
      <c r="J110" s="43" t="str">
        <f>_xlfn.XLOOKUP($A110,Map!$A:$A,Map!F:F)</f>
        <v>VAT payables</v>
      </c>
    </row>
    <row r="111" spans="1:10" x14ac:dyDescent="0.25">
      <c r="A111">
        <v>270003</v>
      </c>
      <c r="B111" t="s">
        <v>931</v>
      </c>
      <c r="C111" s="116">
        <v>0</v>
      </c>
      <c r="D111" s="116">
        <v>4625830.2369999997</v>
      </c>
      <c r="E111" s="116">
        <v>4625830.2369999997</v>
      </c>
      <c r="F111" s="116">
        <v>0</v>
      </c>
      <c r="G111" s="43" t="str">
        <f>_xlfn.XLOOKUP($A111,Map!$A:$A,Map!C:C)</f>
        <v>BS</v>
      </c>
      <c r="H111" s="43" t="str">
        <f>_xlfn.XLOOKUP($A111,Map!$A:$A,Map!D:D)</f>
        <v>Current Liabilities</v>
      </c>
      <c r="I111" s="43" t="str">
        <f>_xlfn.XLOOKUP($A111,Map!$A:$A,Map!E:E)</f>
        <v>Tade payables and Accuals &amp; other credit balances</v>
      </c>
      <c r="J111" s="43" t="str">
        <f>_xlfn.XLOOKUP($A111,Map!$A:$A,Map!F:F)</f>
        <v>VAT payables</v>
      </c>
    </row>
    <row r="112" spans="1:10" x14ac:dyDescent="0.25">
      <c r="A112">
        <v>270004</v>
      </c>
      <c r="B112" t="s">
        <v>932</v>
      </c>
      <c r="C112" s="116">
        <v>-1160277.96</v>
      </c>
      <c r="D112" s="116">
        <v>9009010.0099999998</v>
      </c>
      <c r="E112" s="116">
        <v>8913885.2699999996</v>
      </c>
      <c r="F112" s="116">
        <v>-1065153.22</v>
      </c>
      <c r="G112" s="43" t="str">
        <f>_xlfn.XLOOKUP($A112,Map!$A:$A,Map!C:C)</f>
        <v>BS</v>
      </c>
      <c r="H112" s="43" t="str">
        <f>_xlfn.XLOOKUP($A112,Map!$A:$A,Map!D:D)</f>
        <v>Current Liabilities</v>
      </c>
      <c r="I112" s="43" t="str">
        <f>_xlfn.XLOOKUP($A112,Map!$A:$A,Map!E:E)</f>
        <v>Tade payables and Accuals &amp; other credit balances</v>
      </c>
      <c r="J112" s="43" t="str">
        <f>_xlfn.XLOOKUP($A112,Map!$A:$A,Map!F:F)</f>
        <v>VAT payables</v>
      </c>
    </row>
    <row r="113" spans="1:10" x14ac:dyDescent="0.25">
      <c r="A113">
        <v>270005</v>
      </c>
      <c r="B113" t="s">
        <v>933</v>
      </c>
      <c r="C113" s="116">
        <v>0</v>
      </c>
      <c r="D113" s="116">
        <v>31495207.576000001</v>
      </c>
      <c r="E113" s="116">
        <v>10795684.84</v>
      </c>
      <c r="F113" s="116">
        <v>20699522.736000001</v>
      </c>
      <c r="G113" s="43" t="str">
        <f>_xlfn.XLOOKUP($A113,Map!$A:$A,Map!C:C)</f>
        <v>BS</v>
      </c>
      <c r="H113" s="43" t="str">
        <f>_xlfn.XLOOKUP($A113,Map!$A:$A,Map!D:D)</f>
        <v>Non-Current Liabilities</v>
      </c>
      <c r="I113" s="43" t="str">
        <f>_xlfn.XLOOKUP($A113,Map!$A:$A,Map!E:E)</f>
        <v xml:space="preserve">Due to related parties </v>
      </c>
      <c r="J113" s="43" t="str">
        <f>_xlfn.XLOOKUP($A113,Map!$A:$A,Map!F:F)</f>
        <v>Vision Horzon Indestrial Company</v>
      </c>
    </row>
    <row r="114" spans="1:10" x14ac:dyDescent="0.25">
      <c r="A114">
        <v>310001</v>
      </c>
      <c r="B114" t="s">
        <v>934</v>
      </c>
      <c r="C114" s="116">
        <v>-24850913.840999998</v>
      </c>
      <c r="D114" s="116">
        <v>0</v>
      </c>
      <c r="E114" s="116">
        <v>0</v>
      </c>
      <c r="F114" s="116">
        <v>-24850913.840999998</v>
      </c>
      <c r="G114" s="43" t="str">
        <f>_xlfn.XLOOKUP($A114,Map!$A:$A,Map!C:C)</f>
        <v>BS</v>
      </c>
      <c r="H114" s="43" t="str">
        <f>_xlfn.XLOOKUP($A114,Map!$A:$A,Map!D:D)</f>
        <v>Stockholder's equity</v>
      </c>
      <c r="I114" s="43" t="str">
        <f>_xlfn.XLOOKUP($A114,Map!$A:$A,Map!E:E)</f>
        <v>Retained earnings</v>
      </c>
      <c r="J114" s="43" t="str">
        <f>_xlfn.XLOOKUP($A114,Map!$A:$A,Map!F:F)</f>
        <v>Retained earnings</v>
      </c>
    </row>
    <row r="115" spans="1:10" x14ac:dyDescent="0.25">
      <c r="A115">
        <v>330001</v>
      </c>
      <c r="B115" t="s">
        <v>935</v>
      </c>
      <c r="C115" s="116">
        <v>0</v>
      </c>
      <c r="D115" s="116">
        <v>0</v>
      </c>
      <c r="E115" s="116">
        <v>0</v>
      </c>
      <c r="F115" s="116">
        <v>0</v>
      </c>
      <c r="G115" s="43" t="str">
        <f>_xlfn.XLOOKUP($A115,Map!$A:$A,Map!C:C)</f>
        <v>BS</v>
      </c>
      <c r="H115" s="43" t="str">
        <f>_xlfn.XLOOKUP($A115,Map!$A:$A,Map!D:D)</f>
        <v>Stockholder's equity</v>
      </c>
      <c r="I115" s="43" t="str">
        <f>_xlfn.XLOOKUP($A115,Map!$A:$A,Map!E:E)</f>
        <v>Retained earnings</v>
      </c>
      <c r="J115" s="43" t="str">
        <f>_xlfn.XLOOKUP($A115,Map!$A:$A,Map!F:F)</f>
        <v>Retained earnings</v>
      </c>
    </row>
    <row r="116" spans="1:10" x14ac:dyDescent="0.25">
      <c r="A116">
        <v>330002</v>
      </c>
      <c r="B116" t="s">
        <v>936</v>
      </c>
      <c r="C116" s="116">
        <v>-35335000</v>
      </c>
      <c r="D116" s="116">
        <v>707.93</v>
      </c>
      <c r="E116" s="116">
        <v>707.93</v>
      </c>
      <c r="F116" s="116">
        <v>-35335000</v>
      </c>
      <c r="G116" s="43" t="str">
        <f>_xlfn.XLOOKUP($A116,Map!$A:$A,Map!C:C)</f>
        <v>BS</v>
      </c>
      <c r="H116" s="43" t="str">
        <f>_xlfn.XLOOKUP($A116,Map!$A:$A,Map!D:D)</f>
        <v>Stockholder's equity</v>
      </c>
      <c r="I116" s="43" t="str">
        <f>_xlfn.XLOOKUP($A116,Map!$A:$A,Map!E:E)</f>
        <v>Share capital</v>
      </c>
      <c r="J116" s="43" t="str">
        <f>_xlfn.XLOOKUP($A116,Map!$A:$A,Map!F:F)</f>
        <v>Share capital</v>
      </c>
    </row>
    <row r="117" spans="1:10" x14ac:dyDescent="0.25">
      <c r="A117">
        <v>330003</v>
      </c>
      <c r="B117" t="s">
        <v>937</v>
      </c>
      <c r="C117" s="116">
        <v>-102255315.01000001</v>
      </c>
      <c r="D117" s="116">
        <v>0</v>
      </c>
      <c r="E117" s="116">
        <v>0</v>
      </c>
      <c r="F117" s="116">
        <v>-102255315.01000001</v>
      </c>
      <c r="G117" s="43" t="str">
        <f>_xlfn.XLOOKUP($A117,Map!$A:$A,Map!C:C)</f>
        <v>BS</v>
      </c>
      <c r="H117" s="43" t="str">
        <f>_xlfn.XLOOKUP($A117,Map!$A:$A,Map!D:D)</f>
        <v>Stockholder's equity</v>
      </c>
      <c r="I117" s="43" t="str">
        <f>_xlfn.XLOOKUP($A117,Map!$A:$A,Map!E:E)</f>
        <v>Additional contribution from shareholders</v>
      </c>
      <c r="J117" s="43" t="str">
        <f>_xlfn.XLOOKUP($A117,Map!$A:$A,Map!F:F)</f>
        <v>Additional contribution from shareholders</v>
      </c>
    </row>
    <row r="118" spans="1:10" x14ac:dyDescent="0.25">
      <c r="A118">
        <v>410001</v>
      </c>
      <c r="B118" t="s">
        <v>938</v>
      </c>
      <c r="C118" s="116">
        <v>0</v>
      </c>
      <c r="D118" s="116">
        <v>3670995.9130000002</v>
      </c>
      <c r="E118" s="116">
        <v>112607455.145</v>
      </c>
      <c r="F118" s="116">
        <v>-108936459.23199999</v>
      </c>
      <c r="G118" s="43" t="str">
        <f>_xlfn.XLOOKUP($A118,Map!$A:$A,Map!C:C)</f>
        <v>IS</v>
      </c>
      <c r="H118" s="43" t="str">
        <f>_xlfn.XLOOKUP($A118,Map!$A:$A,Map!D:D)</f>
        <v>Sales</v>
      </c>
      <c r="I118" s="43" t="str">
        <f>_xlfn.XLOOKUP($A118,Map!$A:$A,Map!E:E)</f>
        <v>Sales</v>
      </c>
      <c r="J118" s="43" t="str">
        <f>_xlfn.XLOOKUP($A118,Map!$A:$A,Map!F:F)</f>
        <v>Trading revenue</v>
      </c>
    </row>
    <row r="119" spans="1:10" x14ac:dyDescent="0.25">
      <c r="A119">
        <v>410002</v>
      </c>
      <c r="B119" t="s">
        <v>939</v>
      </c>
      <c r="C119" s="116">
        <v>0</v>
      </c>
      <c r="D119" s="116">
        <v>1079316.101</v>
      </c>
      <c r="E119" s="116">
        <v>0</v>
      </c>
      <c r="F119" s="116">
        <v>1079316.101</v>
      </c>
      <c r="G119" s="43" t="str">
        <f>_xlfn.XLOOKUP($A119,Map!$A:$A,Map!C:C)</f>
        <v>IS</v>
      </c>
      <c r="H119" s="43" t="str">
        <f>_xlfn.XLOOKUP($A119,Map!$A:$A,Map!D:D)</f>
        <v>Sales</v>
      </c>
      <c r="I119" s="43" t="str">
        <f>_xlfn.XLOOKUP($A119,Map!$A:$A,Map!E:E)</f>
        <v>Sales</v>
      </c>
      <c r="J119" s="43" t="str">
        <f>_xlfn.XLOOKUP($A119,Map!$A:$A,Map!F:F)</f>
        <v>Trading revenue</v>
      </c>
    </row>
    <row r="120" spans="1:10" x14ac:dyDescent="0.25">
      <c r="A120">
        <v>410003</v>
      </c>
      <c r="B120" t="s">
        <v>940</v>
      </c>
      <c r="C120" s="116">
        <v>0</v>
      </c>
      <c r="D120" s="116">
        <v>1702.06</v>
      </c>
      <c r="E120" s="116">
        <v>0</v>
      </c>
      <c r="F120" s="116">
        <v>1702.06</v>
      </c>
      <c r="G120" s="43" t="str">
        <f>_xlfn.XLOOKUP($A120,Map!$A:$A,Map!C:C)</f>
        <v>IS</v>
      </c>
      <c r="H120" s="43" t="str">
        <f>_xlfn.XLOOKUP($A120,Map!$A:$A,Map!D:D)</f>
        <v>Sales</v>
      </c>
      <c r="I120" s="43" t="str">
        <f>_xlfn.XLOOKUP($A120,Map!$A:$A,Map!E:E)</f>
        <v>Sales</v>
      </c>
      <c r="J120" s="43" t="str">
        <f>_xlfn.XLOOKUP($A120,Map!$A:$A,Map!F:F)</f>
        <v>Trading revenue</v>
      </c>
    </row>
    <row r="121" spans="1:10" x14ac:dyDescent="0.25">
      <c r="A121">
        <v>410004</v>
      </c>
      <c r="B121" t="s">
        <v>941</v>
      </c>
      <c r="C121" s="116">
        <v>0</v>
      </c>
      <c r="D121" s="116">
        <v>60261</v>
      </c>
      <c r="E121" s="116">
        <v>650599.68200000003</v>
      </c>
      <c r="F121" s="116">
        <v>-590338.68200000003</v>
      </c>
      <c r="G121" s="43" t="str">
        <f>_xlfn.XLOOKUP($A121,Map!$A:$A,Map!C:C)</f>
        <v>IS</v>
      </c>
      <c r="H121" s="43" t="str">
        <f>_xlfn.XLOOKUP($A121,Map!$A:$A,Map!D:D)</f>
        <v>Sales</v>
      </c>
      <c r="I121" s="43" t="str">
        <f>_xlfn.XLOOKUP($A121,Map!$A:$A,Map!E:E)</f>
        <v>Sales</v>
      </c>
      <c r="J121" s="43" t="str">
        <f>_xlfn.XLOOKUP($A121,Map!$A:$A,Map!F:F)</f>
        <v>Scrap sales</v>
      </c>
    </row>
    <row r="122" spans="1:10" x14ac:dyDescent="0.25">
      <c r="A122">
        <v>420001</v>
      </c>
      <c r="B122" t="s">
        <v>942</v>
      </c>
      <c r="C122" s="116">
        <v>0</v>
      </c>
      <c r="D122" s="116">
        <v>0</v>
      </c>
      <c r="E122" s="116">
        <v>0</v>
      </c>
      <c r="F122" s="116">
        <v>0</v>
      </c>
      <c r="G122" s="43" t="str">
        <f>_xlfn.XLOOKUP($A122,Map!$A:$A,Map!C:C)</f>
        <v>IS</v>
      </c>
      <c r="H122" s="43" t="str">
        <f>_xlfn.XLOOKUP($A122,Map!$A:$A,Map!D:D)</f>
        <v>Sales</v>
      </c>
      <c r="I122" s="43" t="str">
        <f>_xlfn.XLOOKUP($A122,Map!$A:$A,Map!E:E)</f>
        <v>Sales</v>
      </c>
      <c r="J122" s="43" t="str">
        <f>_xlfn.XLOOKUP($A122,Map!$A:$A,Map!F:F)</f>
        <v>Other income</v>
      </c>
    </row>
    <row r="123" spans="1:10" x14ac:dyDescent="0.25">
      <c r="A123">
        <v>420003</v>
      </c>
      <c r="B123" t="s">
        <v>944</v>
      </c>
      <c r="C123" s="116">
        <v>0</v>
      </c>
      <c r="D123" s="116">
        <v>0.51</v>
      </c>
      <c r="E123" s="116">
        <v>0.51</v>
      </c>
      <c r="F123" s="116">
        <v>0</v>
      </c>
      <c r="G123" s="43" t="str">
        <f>_xlfn.XLOOKUP($A123,Map!$A:$A,Map!C:C)</f>
        <v>IS</v>
      </c>
      <c r="H123" s="43" t="str">
        <f>_xlfn.XLOOKUP($A123,Map!$A:$A,Map!D:D)</f>
        <v>Sales</v>
      </c>
      <c r="I123" s="43" t="str">
        <f>_xlfn.XLOOKUP($A123,Map!$A:$A,Map!E:E)</f>
        <v>Sales</v>
      </c>
      <c r="J123" s="43" t="str">
        <f>_xlfn.XLOOKUP($A123,Map!$A:$A,Map!F:F)</f>
        <v>Scrap sales</v>
      </c>
    </row>
    <row r="124" spans="1:10" x14ac:dyDescent="0.25">
      <c r="A124">
        <v>510001</v>
      </c>
      <c r="B124" t="s">
        <v>945</v>
      </c>
      <c r="C124" s="116">
        <v>0</v>
      </c>
      <c r="D124" s="116">
        <v>188640897.33199999</v>
      </c>
      <c r="E124" s="116">
        <v>95878352.891000003</v>
      </c>
      <c r="F124" s="116">
        <v>92762544.441</v>
      </c>
      <c r="G124" s="43" t="str">
        <f>_xlfn.XLOOKUP($A124,Map!$A:$A,Map!C:C)</f>
        <v>IS</v>
      </c>
      <c r="H124" s="43" t="str">
        <f>_xlfn.XLOOKUP($A124,Map!$A:$A,Map!D:D)</f>
        <v>Cost of sales</v>
      </c>
      <c r="I124" s="43" t="str">
        <f>_xlfn.XLOOKUP($A124,Map!$A:$A,Map!E:E)</f>
        <v>Raw materials</v>
      </c>
      <c r="J124" s="43" t="str">
        <f>_xlfn.XLOOKUP($A124,Map!$A:$A,Map!F:F)</f>
        <v>Raw materials</v>
      </c>
    </row>
    <row r="125" spans="1:10" x14ac:dyDescent="0.25">
      <c r="A125">
        <v>510002</v>
      </c>
      <c r="B125" t="s">
        <v>946</v>
      </c>
      <c r="C125" s="116">
        <v>0</v>
      </c>
      <c r="D125" s="116">
        <v>7290736.2889999999</v>
      </c>
      <c r="E125" s="116">
        <v>46.61</v>
      </c>
      <c r="F125" s="116">
        <v>7290689.6789999995</v>
      </c>
      <c r="G125" s="43" t="str">
        <f>_xlfn.XLOOKUP($A125,Map!$A:$A,Map!C:C)</f>
        <v>IS</v>
      </c>
      <c r="H125" s="43" t="str">
        <f>_xlfn.XLOOKUP($A125,Map!$A:$A,Map!D:D)</f>
        <v>Cost of sales</v>
      </c>
      <c r="I125" s="43" t="str">
        <f>_xlfn.XLOOKUP($A125,Map!$A:$A,Map!E:E)</f>
        <v>Direct Labor</v>
      </c>
      <c r="J125" s="43" t="str">
        <f>_xlfn.XLOOKUP($A125,Map!$A:$A,Map!F:F)</f>
        <v>Direct Labor</v>
      </c>
    </row>
    <row r="126" spans="1:10" x14ac:dyDescent="0.25">
      <c r="A126">
        <v>510003</v>
      </c>
      <c r="B126" t="s">
        <v>947</v>
      </c>
      <c r="C126" s="116">
        <v>0</v>
      </c>
      <c r="D126" s="116">
        <v>5152762.6160000004</v>
      </c>
      <c r="E126" s="116">
        <v>2542057.514</v>
      </c>
      <c r="F126" s="116">
        <v>2610705.102</v>
      </c>
      <c r="G126" s="43" t="str">
        <f>_xlfn.XLOOKUP($A126,Map!$A:$A,Map!C:C)</f>
        <v>IS</v>
      </c>
      <c r="H126" s="43" t="str">
        <f>_xlfn.XLOOKUP($A126,Map!$A:$A,Map!D:D)</f>
        <v>Cost of sales</v>
      </c>
      <c r="I126" s="43" t="str">
        <f>_xlfn.XLOOKUP($A126,Map!$A:$A,Map!E:E)</f>
        <v>Raw materials</v>
      </c>
      <c r="J126" s="43" t="str">
        <f>_xlfn.XLOOKUP($A126,Map!$A:$A,Map!F:F)</f>
        <v>Raw materials</v>
      </c>
    </row>
    <row r="127" spans="1:10" x14ac:dyDescent="0.25">
      <c r="A127">
        <v>510004</v>
      </c>
      <c r="B127" t="s">
        <v>948</v>
      </c>
      <c r="C127" s="116">
        <v>0</v>
      </c>
      <c r="D127" s="116">
        <v>12976306.972999999</v>
      </c>
      <c r="E127" s="116">
        <v>3268398.7089999998</v>
      </c>
      <c r="F127" s="116">
        <v>9707908.2640000004</v>
      </c>
      <c r="G127" s="43" t="str">
        <f>_xlfn.XLOOKUP($A127,Map!$A:$A,Map!C:C)</f>
        <v>IS</v>
      </c>
      <c r="H127" s="43" t="str">
        <f>_xlfn.XLOOKUP($A127,Map!$A:$A,Map!D:D)</f>
        <v>Cost of sales</v>
      </c>
      <c r="I127" s="43" t="str">
        <f>_xlfn.XLOOKUP($A127,Map!$A:$A,Map!E:E)</f>
        <v>Raw materials</v>
      </c>
      <c r="J127" s="43" t="str">
        <f>_xlfn.XLOOKUP($A127,Map!$A:$A,Map!F:F)</f>
        <v>Other expenses</v>
      </c>
    </row>
    <row r="128" spans="1:10" x14ac:dyDescent="0.25">
      <c r="A128">
        <v>510005</v>
      </c>
      <c r="B128" t="s">
        <v>949</v>
      </c>
      <c r="C128" s="116">
        <v>0</v>
      </c>
      <c r="D128" s="116">
        <v>83096.134000000005</v>
      </c>
      <c r="E128" s="116">
        <v>83096.134000000005</v>
      </c>
      <c r="F128" s="116">
        <v>0</v>
      </c>
      <c r="G128" s="43" t="str">
        <f>_xlfn.XLOOKUP($A128,Map!$A:$A,Map!C:C)</f>
        <v>IS</v>
      </c>
      <c r="H128" s="43" t="str">
        <f>_xlfn.XLOOKUP($A128,Map!$A:$A,Map!D:D)</f>
        <v>Cost of sales</v>
      </c>
      <c r="I128" s="43" t="str">
        <f>_xlfn.XLOOKUP($A128,Map!$A:$A,Map!E:E)</f>
        <v>Raw materials</v>
      </c>
      <c r="J128" s="43" t="str">
        <f>_xlfn.XLOOKUP($A128,Map!$A:$A,Map!F:F)</f>
        <v>Other expenses</v>
      </c>
    </row>
    <row r="129" spans="1:10" x14ac:dyDescent="0.25">
      <c r="A129">
        <v>520001</v>
      </c>
      <c r="B129" t="s">
        <v>950</v>
      </c>
      <c r="C129" s="116">
        <v>0</v>
      </c>
      <c r="D129" s="116">
        <v>3511854.37</v>
      </c>
      <c r="E129" s="116">
        <v>3511854.37</v>
      </c>
      <c r="F129" s="116">
        <v>0</v>
      </c>
      <c r="G129" s="43" t="str">
        <f>_xlfn.XLOOKUP($A129,Map!$A:$A,Map!C:C)</f>
        <v>IS</v>
      </c>
      <c r="H129" s="43" t="str">
        <f>_xlfn.XLOOKUP($A129,Map!$A:$A,Map!D:D)</f>
        <v>Cost of sales</v>
      </c>
      <c r="I129" s="43" t="str">
        <f>_xlfn.XLOOKUP($A129,Map!$A:$A,Map!E:E)</f>
        <v>Direct Labor</v>
      </c>
      <c r="J129" s="43" t="str">
        <f>_xlfn.XLOOKUP($A129,Map!$A:$A,Map!F:F)</f>
        <v>Salaries and wages</v>
      </c>
    </row>
    <row r="130" spans="1:10" x14ac:dyDescent="0.25">
      <c r="A130">
        <v>520002</v>
      </c>
      <c r="B130" t="s">
        <v>951</v>
      </c>
      <c r="C130" s="116">
        <v>0</v>
      </c>
      <c r="D130" s="116">
        <v>0</v>
      </c>
      <c r="E130" s="116">
        <v>0</v>
      </c>
      <c r="F130" s="116">
        <v>0</v>
      </c>
      <c r="G130" s="43" t="str">
        <f>_xlfn.XLOOKUP($A130,Map!$A:$A,Map!C:C)</f>
        <v>IS</v>
      </c>
      <c r="H130" s="43" t="str">
        <f>_xlfn.XLOOKUP($A130,Map!$A:$A,Map!D:D)</f>
        <v>Cost of sales</v>
      </c>
      <c r="I130" s="43" t="str">
        <f>_xlfn.XLOOKUP($A130,Map!$A:$A,Map!E:E)</f>
        <v>Direct Labor</v>
      </c>
      <c r="J130" s="43" t="str">
        <f>_xlfn.XLOOKUP($A130,Map!$A:$A,Map!F:F)</f>
        <v>Overtime pay</v>
      </c>
    </row>
    <row r="131" spans="1:10" x14ac:dyDescent="0.25">
      <c r="A131">
        <v>520003</v>
      </c>
      <c r="B131" t="s">
        <v>952</v>
      </c>
      <c r="C131" s="116">
        <v>0</v>
      </c>
      <c r="D131" s="116">
        <v>329306.02</v>
      </c>
      <c r="E131" s="116">
        <v>329306.02</v>
      </c>
      <c r="F131" s="116">
        <v>0</v>
      </c>
      <c r="G131" s="43" t="str">
        <f>_xlfn.XLOOKUP($A131,Map!$A:$A,Map!C:C)</f>
        <v>IS</v>
      </c>
      <c r="H131" s="43" t="str">
        <f>_xlfn.XLOOKUP($A131,Map!$A:$A,Map!D:D)</f>
        <v>Cost of sales</v>
      </c>
      <c r="I131" s="43" t="str">
        <f>_xlfn.XLOOKUP($A131,Map!$A:$A,Map!E:E)</f>
        <v>Direct Labor</v>
      </c>
      <c r="J131" s="43" t="str">
        <f>_xlfn.XLOOKUP($A131,Map!$A:$A,Map!F:F)</f>
        <v>Transportation allowance</v>
      </c>
    </row>
    <row r="132" spans="1:10" x14ac:dyDescent="0.25">
      <c r="A132">
        <v>520004</v>
      </c>
      <c r="B132" t="s">
        <v>957</v>
      </c>
      <c r="C132" s="116">
        <v>0</v>
      </c>
      <c r="D132" s="116">
        <v>0</v>
      </c>
      <c r="E132" s="116">
        <v>0</v>
      </c>
      <c r="F132" s="116">
        <v>0</v>
      </c>
      <c r="G132" s="43" t="str">
        <f>_xlfn.XLOOKUP($A132,Map!$A:$A,Map!C:C)</f>
        <v>IS</v>
      </c>
      <c r="H132" s="43" t="str">
        <f>_xlfn.XLOOKUP($A132,Map!$A:$A,Map!D:D)</f>
        <v>Cost of sales</v>
      </c>
      <c r="I132" s="43" t="str">
        <f>_xlfn.XLOOKUP($A132,Map!$A:$A,Map!E:E)</f>
        <v>Direct Labor</v>
      </c>
      <c r="J132" s="43" t="str">
        <f>_xlfn.XLOOKUP($A132,Map!$A:$A,Map!F:F)</f>
        <v>Food and housing</v>
      </c>
    </row>
    <row r="133" spans="1:10" x14ac:dyDescent="0.25">
      <c r="A133">
        <v>520005</v>
      </c>
      <c r="B133" t="s">
        <v>954</v>
      </c>
      <c r="C133" s="116">
        <v>0</v>
      </c>
      <c r="D133" s="116">
        <v>114314.51</v>
      </c>
      <c r="E133" s="116">
        <v>114314.51</v>
      </c>
      <c r="F133" s="116">
        <v>0</v>
      </c>
      <c r="G133" s="43" t="str">
        <f>_xlfn.XLOOKUP($A133,Map!$A:$A,Map!C:C)</f>
        <v>IS</v>
      </c>
      <c r="H133" s="43" t="str">
        <f>_xlfn.XLOOKUP($A133,Map!$A:$A,Map!D:D)</f>
        <v>Cost of sales</v>
      </c>
      <c r="I133" s="43" t="str">
        <f>_xlfn.XLOOKUP($A133,Map!$A:$A,Map!E:E)</f>
        <v>Direct Labor</v>
      </c>
      <c r="J133" s="43" t="str">
        <f>_xlfn.XLOOKUP($A133,Map!$A:$A,Map!F:F)</f>
        <v>Leave pay</v>
      </c>
    </row>
    <row r="134" spans="1:10" x14ac:dyDescent="0.25">
      <c r="A134">
        <v>520006</v>
      </c>
      <c r="B134" t="s">
        <v>955</v>
      </c>
      <c r="C134" s="116">
        <v>0</v>
      </c>
      <c r="D134" s="116">
        <v>289565.61300000001</v>
      </c>
      <c r="E134" s="116">
        <v>289565.61300000001</v>
      </c>
      <c r="F134" s="116">
        <v>0</v>
      </c>
      <c r="G134" s="43" t="str">
        <f>_xlfn.XLOOKUP($A134,Map!$A:$A,Map!C:C)</f>
        <v>IS</v>
      </c>
      <c r="H134" s="43" t="str">
        <f>_xlfn.XLOOKUP($A134,Map!$A:$A,Map!D:D)</f>
        <v>Cost of sales</v>
      </c>
      <c r="I134" s="43" t="str">
        <f>_xlfn.XLOOKUP($A134,Map!$A:$A,Map!E:E)</f>
        <v>Direct Labor</v>
      </c>
      <c r="J134" s="43" t="str">
        <f>_xlfn.XLOOKUP($A134,Map!$A:$A,Map!F:F)</f>
        <v>Medical insurance</v>
      </c>
    </row>
    <row r="135" spans="1:10" x14ac:dyDescent="0.25">
      <c r="A135">
        <v>520010</v>
      </c>
      <c r="B135" t="s">
        <v>956</v>
      </c>
      <c r="C135" s="116">
        <v>0</v>
      </c>
      <c r="D135" s="116">
        <v>0</v>
      </c>
      <c r="E135" s="116">
        <v>0</v>
      </c>
      <c r="F135" s="116">
        <v>0</v>
      </c>
      <c r="G135" s="43" t="str">
        <f>_xlfn.XLOOKUP($A135,Map!$A:$A,Map!C:C)</f>
        <v>IS</v>
      </c>
      <c r="H135" s="43" t="str">
        <f>_xlfn.XLOOKUP($A135,Map!$A:$A,Map!D:D)</f>
        <v>Cost of sales</v>
      </c>
      <c r="I135" s="43" t="str">
        <f>_xlfn.XLOOKUP($A135,Map!$A:$A,Map!E:E)</f>
        <v>Direct Labor</v>
      </c>
      <c r="J135" s="43" t="str">
        <f>_xlfn.XLOOKUP($A135,Map!$A:$A,Map!F:F)</f>
        <v>Salaries and wages</v>
      </c>
    </row>
    <row r="136" spans="1:10" x14ac:dyDescent="0.25">
      <c r="A136">
        <v>520011</v>
      </c>
      <c r="B136" t="s">
        <v>951</v>
      </c>
      <c r="C136" s="116">
        <v>0</v>
      </c>
      <c r="D136" s="116">
        <v>0</v>
      </c>
      <c r="E136" s="116">
        <v>0</v>
      </c>
      <c r="F136" s="116">
        <v>0</v>
      </c>
      <c r="G136" s="43" t="str">
        <f>_xlfn.XLOOKUP($A136,Map!$A:$A,Map!C:C)</f>
        <v>IS</v>
      </c>
      <c r="H136" s="43" t="str">
        <f>_xlfn.XLOOKUP($A136,Map!$A:$A,Map!D:D)</f>
        <v>Cost of sales</v>
      </c>
      <c r="I136" s="43" t="str">
        <f>_xlfn.XLOOKUP($A136,Map!$A:$A,Map!E:E)</f>
        <v>Direct Labor</v>
      </c>
      <c r="J136" s="43" t="str">
        <f>_xlfn.XLOOKUP($A136,Map!$A:$A,Map!F:F)</f>
        <v>Overtime pay</v>
      </c>
    </row>
    <row r="137" spans="1:10" x14ac:dyDescent="0.25">
      <c r="A137">
        <v>520013</v>
      </c>
      <c r="B137" t="s">
        <v>957</v>
      </c>
      <c r="C137" s="116">
        <v>0</v>
      </c>
      <c r="D137" s="116">
        <v>0</v>
      </c>
      <c r="E137" s="116">
        <v>0</v>
      </c>
      <c r="F137" s="116">
        <v>0</v>
      </c>
      <c r="G137" s="43" t="str">
        <f>_xlfn.XLOOKUP($A137,Map!$A:$A,Map!C:C)</f>
        <v>IS</v>
      </c>
      <c r="H137" s="43" t="str">
        <f>_xlfn.XLOOKUP($A137,Map!$A:$A,Map!D:D)</f>
        <v>Cost of sales</v>
      </c>
      <c r="I137" s="43" t="str">
        <f>_xlfn.XLOOKUP($A137,Map!$A:$A,Map!E:E)</f>
        <v>Direct Labor</v>
      </c>
      <c r="J137" s="43" t="str">
        <f>_xlfn.XLOOKUP($A137,Map!$A:$A,Map!F:F)</f>
        <v>Food and housing</v>
      </c>
    </row>
    <row r="138" spans="1:10" x14ac:dyDescent="0.25">
      <c r="A138">
        <v>520014</v>
      </c>
      <c r="B138" t="s">
        <v>954</v>
      </c>
      <c r="C138" s="116">
        <v>0</v>
      </c>
      <c r="D138" s="116">
        <v>0</v>
      </c>
      <c r="E138" s="116">
        <v>0</v>
      </c>
      <c r="F138" s="116">
        <v>0</v>
      </c>
      <c r="G138" s="43" t="str">
        <f>_xlfn.XLOOKUP($A138,Map!$A:$A,Map!C:C)</f>
        <v>IS</v>
      </c>
      <c r="H138" s="43" t="str">
        <f>_xlfn.XLOOKUP($A138,Map!$A:$A,Map!D:D)</f>
        <v>Cost of sales</v>
      </c>
      <c r="I138" s="43" t="str">
        <f>_xlfn.XLOOKUP($A138,Map!$A:$A,Map!E:E)</f>
        <v>Direct Labor</v>
      </c>
      <c r="J138" s="43" t="str">
        <f>_xlfn.XLOOKUP($A138,Map!$A:$A,Map!F:F)</f>
        <v>Leave pay</v>
      </c>
    </row>
    <row r="139" spans="1:10" x14ac:dyDescent="0.25">
      <c r="A139">
        <v>520015</v>
      </c>
      <c r="B139" t="s">
        <v>958</v>
      </c>
      <c r="C139" s="116">
        <v>0</v>
      </c>
      <c r="D139" s="116">
        <v>292511.38</v>
      </c>
      <c r="E139" s="116">
        <v>292511.38</v>
      </c>
      <c r="F139" s="116">
        <v>0</v>
      </c>
      <c r="G139" s="43" t="str">
        <f>_xlfn.XLOOKUP($A139,Map!$A:$A,Map!C:C)</f>
        <v>IS</v>
      </c>
      <c r="H139" s="43" t="str">
        <f>_xlfn.XLOOKUP($A139,Map!$A:$A,Map!D:D)</f>
        <v>Cost of sales</v>
      </c>
      <c r="I139" s="43" t="str">
        <f>_xlfn.XLOOKUP($A139,Map!$A:$A,Map!E:E)</f>
        <v>Direct Labor</v>
      </c>
      <c r="J139" s="43" t="str">
        <f>_xlfn.XLOOKUP($A139,Map!$A:$A,Map!F:F)</f>
        <v>Food and housing</v>
      </c>
    </row>
    <row r="140" spans="1:10" x14ac:dyDescent="0.25">
      <c r="A140">
        <v>520021</v>
      </c>
      <c r="B140" t="s">
        <v>962</v>
      </c>
      <c r="C140" s="116">
        <v>0</v>
      </c>
      <c r="D140" s="116">
        <v>300</v>
      </c>
      <c r="E140" s="116">
        <v>300</v>
      </c>
      <c r="F140" s="116">
        <v>0</v>
      </c>
      <c r="G140" s="43" t="str">
        <f>_xlfn.XLOOKUP($A140,Map!$A:$A,Map!C:C)</f>
        <v>IS</v>
      </c>
      <c r="H140" s="43" t="str">
        <f>_xlfn.XLOOKUP($A140,Map!$A:$A,Map!D:D)</f>
        <v>Cost of sales</v>
      </c>
      <c r="I140" s="43" t="str">
        <f>_xlfn.XLOOKUP($A140,Map!$A:$A,Map!E:E)</f>
        <v>Direct Labor</v>
      </c>
      <c r="J140" s="43" t="str">
        <f>_xlfn.XLOOKUP($A140,Map!$A:$A,Map!F:F)</f>
        <v>Medical insurance</v>
      </c>
    </row>
    <row r="141" spans="1:10" x14ac:dyDescent="0.25">
      <c r="A141">
        <v>520022</v>
      </c>
      <c r="B141" t="s">
        <v>963</v>
      </c>
      <c r="C141" s="116">
        <v>0</v>
      </c>
      <c r="D141" s="116">
        <v>0</v>
      </c>
      <c r="E141" s="116">
        <v>0</v>
      </c>
      <c r="F141" s="116">
        <v>0</v>
      </c>
      <c r="G141" s="43" t="str">
        <f>_xlfn.XLOOKUP($A141,Map!$A:$A,Map!C:C)</f>
        <v>IS</v>
      </c>
      <c r="H141" s="43" t="str">
        <f>_xlfn.XLOOKUP($A141,Map!$A:$A,Map!D:D)</f>
        <v>Cost of sales</v>
      </c>
      <c r="I141" s="43" t="str">
        <f>_xlfn.XLOOKUP($A141,Map!$A:$A,Map!E:E)</f>
        <v>Direct Labor</v>
      </c>
      <c r="J141" s="43" t="str">
        <f>_xlfn.XLOOKUP($A141,Map!$A:$A,Map!F:F)</f>
        <v>Iqama renewal</v>
      </c>
    </row>
    <row r="142" spans="1:10" x14ac:dyDescent="0.25">
      <c r="A142">
        <v>520023</v>
      </c>
      <c r="B142" t="s">
        <v>964</v>
      </c>
      <c r="C142" s="116">
        <v>0</v>
      </c>
      <c r="D142" s="116">
        <v>0</v>
      </c>
      <c r="E142" s="116">
        <v>0</v>
      </c>
      <c r="F142" s="116">
        <v>0</v>
      </c>
      <c r="G142" s="43" t="str">
        <f>_xlfn.XLOOKUP($A142,Map!$A:$A,Map!C:C)</f>
        <v>IS</v>
      </c>
      <c r="H142" s="43" t="str">
        <f>_xlfn.XLOOKUP($A142,Map!$A:$A,Map!D:D)</f>
        <v>Cost of sales</v>
      </c>
      <c r="I142" s="43" t="str">
        <f>_xlfn.XLOOKUP($A142,Map!$A:$A,Map!E:E)</f>
        <v>Direct Labor</v>
      </c>
      <c r="J142" s="43" t="str">
        <f>_xlfn.XLOOKUP($A142,Map!$A:$A,Map!F:F)</f>
        <v>Medical insurance</v>
      </c>
    </row>
    <row r="143" spans="1:10" x14ac:dyDescent="0.25">
      <c r="A143">
        <v>520032</v>
      </c>
      <c r="B143" t="s">
        <v>965</v>
      </c>
      <c r="C143" s="116">
        <v>0</v>
      </c>
      <c r="D143" s="116">
        <v>0</v>
      </c>
      <c r="E143" s="116">
        <v>0</v>
      </c>
      <c r="F143" s="116">
        <v>0</v>
      </c>
      <c r="G143" s="43" t="str">
        <f>_xlfn.XLOOKUP($A143,Map!$A:$A,Map!C:C)</f>
        <v>IS</v>
      </c>
      <c r="H143" s="43" t="str">
        <f>_xlfn.XLOOKUP($A143,Map!$A:$A,Map!D:D)</f>
        <v>Cost of sales</v>
      </c>
      <c r="I143" s="43" t="str">
        <f>_xlfn.XLOOKUP($A143,Map!$A:$A,Map!E:E)</f>
        <v>Raw materials</v>
      </c>
      <c r="J143" s="43" t="str">
        <f>_xlfn.XLOOKUP($A143,Map!$A:$A,Map!F:F)</f>
        <v>Consumables</v>
      </c>
    </row>
    <row r="144" spans="1:10" x14ac:dyDescent="0.25">
      <c r="A144">
        <v>520036</v>
      </c>
      <c r="B144" t="s">
        <v>966</v>
      </c>
      <c r="C144" s="116">
        <v>0</v>
      </c>
      <c r="D144" s="116">
        <v>0.05</v>
      </c>
      <c r="E144" s="116">
        <v>0.05</v>
      </c>
      <c r="F144" s="116">
        <v>0</v>
      </c>
      <c r="G144" s="43" t="str">
        <f>_xlfn.XLOOKUP($A144,Map!$A:$A,Map!C:C)</f>
        <v>IS</v>
      </c>
      <c r="H144" s="43" t="str">
        <f>_xlfn.XLOOKUP($A144,Map!$A:$A,Map!D:D)</f>
        <v>Cost of sales</v>
      </c>
      <c r="I144" s="43" t="str">
        <f>_xlfn.XLOOKUP($A144,Map!$A:$A,Map!E:E)</f>
        <v>Raw materials</v>
      </c>
      <c r="J144" s="43" t="str">
        <f>_xlfn.XLOOKUP($A144,Map!$A:$A,Map!F:F)</f>
        <v>Raw materials</v>
      </c>
    </row>
    <row r="145" spans="1:10" x14ac:dyDescent="0.25">
      <c r="A145">
        <v>520037</v>
      </c>
      <c r="B145" t="s">
        <v>967</v>
      </c>
      <c r="C145" s="116">
        <v>0</v>
      </c>
      <c r="D145" s="116">
        <v>209109.84400000001</v>
      </c>
      <c r="E145" s="116">
        <v>209109.84400000001</v>
      </c>
      <c r="F145" s="116">
        <v>0</v>
      </c>
      <c r="G145" s="43" t="str">
        <f>_xlfn.XLOOKUP($A145,Map!$A:$A,Map!C:C)</f>
        <v>IS</v>
      </c>
      <c r="H145" s="43" t="str">
        <f>_xlfn.XLOOKUP($A145,Map!$A:$A,Map!D:D)</f>
        <v>Cost of sales</v>
      </c>
      <c r="I145" s="43" t="str">
        <f>_xlfn.XLOOKUP($A145,Map!$A:$A,Map!E:E)</f>
        <v>Raw materials</v>
      </c>
      <c r="J145" s="43" t="str">
        <f>_xlfn.XLOOKUP($A145,Map!$A:$A,Map!F:F)</f>
        <v>Raw materials</v>
      </c>
    </row>
    <row r="146" spans="1:10" x14ac:dyDescent="0.25">
      <c r="A146">
        <v>520040</v>
      </c>
      <c r="B146" t="s">
        <v>969</v>
      </c>
      <c r="C146" s="116">
        <v>0</v>
      </c>
      <c r="D146" s="116">
        <v>0</v>
      </c>
      <c r="E146" s="116">
        <v>0</v>
      </c>
      <c r="F146" s="116">
        <v>0</v>
      </c>
      <c r="G146" s="43" t="str">
        <f>_xlfn.XLOOKUP($A146,Map!$A:$A,Map!C:C)</f>
        <v>IS</v>
      </c>
      <c r="H146" s="43" t="str">
        <f>_xlfn.XLOOKUP($A146,Map!$A:$A,Map!D:D)</f>
        <v>Cost of sales</v>
      </c>
      <c r="I146" s="43" t="str">
        <f>_xlfn.XLOOKUP($A146,Map!$A:$A,Map!E:E)</f>
        <v>Raw materials</v>
      </c>
      <c r="J146" s="43" t="str">
        <f>_xlfn.XLOOKUP($A146,Map!$A:$A,Map!F:F)</f>
        <v>Other expenses</v>
      </c>
    </row>
    <row r="147" spans="1:10" x14ac:dyDescent="0.25">
      <c r="A147">
        <v>520041</v>
      </c>
      <c r="B147" t="s">
        <v>970</v>
      </c>
      <c r="C147" s="116">
        <v>0</v>
      </c>
      <c r="D147" s="116">
        <v>7931145.6780000003</v>
      </c>
      <c r="E147" s="116">
        <v>7931145.6780000003</v>
      </c>
      <c r="F147" s="116">
        <v>0</v>
      </c>
      <c r="G147" s="43" t="str">
        <f>_xlfn.XLOOKUP($A147,Map!$A:$A,Map!C:C)</f>
        <v>IS</v>
      </c>
      <c r="H147" s="43" t="str">
        <f>_xlfn.XLOOKUP($A147,Map!$A:$A,Map!D:D)</f>
        <v>Cost of sales</v>
      </c>
      <c r="I147" s="43" t="str">
        <f>_xlfn.XLOOKUP($A147,Map!$A:$A,Map!E:E)</f>
        <v>Raw materials</v>
      </c>
      <c r="J147" s="43" t="str">
        <f>_xlfn.XLOOKUP($A147,Map!$A:$A,Map!F:F)</f>
        <v>Other expenses</v>
      </c>
    </row>
    <row r="148" spans="1:10" x14ac:dyDescent="0.25">
      <c r="A148">
        <v>520042</v>
      </c>
      <c r="B148" t="s">
        <v>971</v>
      </c>
      <c r="C148" s="116">
        <v>0</v>
      </c>
      <c r="D148" s="116">
        <v>2405869.9879999999</v>
      </c>
      <c r="E148" s="116">
        <v>2405869.9879999999</v>
      </c>
      <c r="F148" s="116">
        <v>0</v>
      </c>
      <c r="G148" s="43" t="str">
        <f>_xlfn.XLOOKUP($A148,Map!$A:$A,Map!C:C)</f>
        <v>IS</v>
      </c>
      <c r="H148" s="43" t="str">
        <f>_xlfn.XLOOKUP($A148,Map!$A:$A,Map!D:D)</f>
        <v>Cost of sales</v>
      </c>
      <c r="I148" s="43" t="str">
        <f>_xlfn.XLOOKUP($A148,Map!$A:$A,Map!E:E)</f>
        <v>Raw materials</v>
      </c>
      <c r="J148" s="43" t="str">
        <f>_xlfn.XLOOKUP($A148,Map!$A:$A,Map!F:F)</f>
        <v>Inventory Adjustment</v>
      </c>
    </row>
    <row r="149" spans="1:10" x14ac:dyDescent="0.25">
      <c r="A149">
        <v>600001</v>
      </c>
      <c r="B149" t="s">
        <v>979</v>
      </c>
      <c r="C149" s="116">
        <v>0</v>
      </c>
      <c r="D149" s="116">
        <v>2298569.54</v>
      </c>
      <c r="E149" s="116">
        <v>2298569.54</v>
      </c>
      <c r="F149" s="116">
        <v>0</v>
      </c>
      <c r="G149" s="43" t="str">
        <f>_xlfn.XLOOKUP($A149,Map!$A:$A,Map!C:C)</f>
        <v>IS</v>
      </c>
      <c r="H149" s="43" t="str">
        <f>_xlfn.XLOOKUP($A149,Map!$A:$A,Map!D:D)</f>
        <v>Cost of sales</v>
      </c>
      <c r="I149" s="43" t="str">
        <f>_xlfn.XLOOKUP($A149,Map!$A:$A,Map!E:E)</f>
        <v>Overhead - Labor Cost</v>
      </c>
      <c r="J149" s="43" t="str">
        <f>_xlfn.XLOOKUP($A149,Map!$A:$A,Map!F:F)</f>
        <v>Indirect Salaries — factory supervisory / indirect floor labour (COGS)</v>
      </c>
    </row>
    <row r="150" spans="1:10" x14ac:dyDescent="0.25">
      <c r="A150">
        <v>600002</v>
      </c>
      <c r="B150" t="s">
        <v>980</v>
      </c>
      <c r="C150" s="116">
        <v>0</v>
      </c>
      <c r="D150" s="116">
        <v>74</v>
      </c>
      <c r="E150" s="116">
        <v>74</v>
      </c>
      <c r="F150" s="116">
        <v>0</v>
      </c>
      <c r="G150" s="43" t="str">
        <f>_xlfn.XLOOKUP($A150,Map!$A:$A,Map!C:C)</f>
        <v>IS</v>
      </c>
      <c r="H150" s="43" t="str">
        <f>_xlfn.XLOOKUP($A150,Map!$A:$A,Map!D:D)</f>
        <v>Cost of sales</v>
      </c>
      <c r="I150" s="43" t="str">
        <f>_xlfn.XLOOKUP($A150,Map!$A:$A,Map!E:E)</f>
        <v>Overhead - Labor Cost</v>
      </c>
      <c r="J150" s="43" t="str">
        <f>_xlfn.XLOOKUP($A150,Map!$A:$A,Map!F:F)</f>
        <v>Overtime pay</v>
      </c>
    </row>
    <row r="151" spans="1:10" x14ac:dyDescent="0.25">
      <c r="A151">
        <v>600003</v>
      </c>
      <c r="B151" t="s">
        <v>981</v>
      </c>
      <c r="C151" s="116">
        <v>0</v>
      </c>
      <c r="D151" s="116">
        <v>884347.2</v>
      </c>
      <c r="E151" s="116">
        <v>884347.2</v>
      </c>
      <c r="F151" s="116">
        <v>0</v>
      </c>
      <c r="G151" s="43" t="str">
        <f>_xlfn.XLOOKUP($A151,Map!$A:$A,Map!C:C)</f>
        <v>IS</v>
      </c>
      <c r="H151" s="43" t="str">
        <f>_xlfn.XLOOKUP($A151,Map!$A:$A,Map!D:D)</f>
        <v>Cost of sales</v>
      </c>
      <c r="I151" s="43" t="str">
        <f>_xlfn.XLOOKUP($A151,Map!$A:$A,Map!E:E)</f>
        <v>Overhead - Labor Cost</v>
      </c>
      <c r="J151" s="43" t="str">
        <f>_xlfn.XLOOKUP($A151,Map!$A:$A,Map!F:F)</f>
        <v xml:space="preserve">Food &amp; Housing </v>
      </c>
    </row>
    <row r="152" spans="1:10" x14ac:dyDescent="0.25">
      <c r="A152">
        <v>600004</v>
      </c>
      <c r="B152" t="s">
        <v>982</v>
      </c>
      <c r="C152" s="116">
        <v>0</v>
      </c>
      <c r="D152" s="116">
        <v>405544.04300000001</v>
      </c>
      <c r="E152" s="116">
        <v>405544.04300000001</v>
      </c>
      <c r="F152" s="116">
        <v>0</v>
      </c>
      <c r="G152" s="43" t="str">
        <f>_xlfn.XLOOKUP($A152,Map!$A:$A,Map!C:C)</f>
        <v>IS</v>
      </c>
      <c r="H152" s="43" t="str">
        <f>_xlfn.XLOOKUP($A152,Map!$A:$A,Map!D:D)</f>
        <v>Cost of sales</v>
      </c>
      <c r="I152" s="43" t="str">
        <f>_xlfn.XLOOKUP($A152,Map!$A:$A,Map!E:E)</f>
        <v>Overhead - Labor Cost</v>
      </c>
      <c r="J152" s="43" t="str">
        <f>_xlfn.XLOOKUP($A152,Map!$A:$A,Map!F:F)</f>
        <v>Medical insurance</v>
      </c>
    </row>
    <row r="153" spans="1:10" x14ac:dyDescent="0.25">
      <c r="A153">
        <v>600005</v>
      </c>
      <c r="B153" t="s">
        <v>983</v>
      </c>
      <c r="C153" s="116">
        <v>0</v>
      </c>
      <c r="D153" s="116">
        <v>201285.76000000001</v>
      </c>
      <c r="E153" s="116">
        <v>201285.76000000001</v>
      </c>
      <c r="F153" s="116">
        <v>0</v>
      </c>
      <c r="G153" s="43" t="str">
        <f>_xlfn.XLOOKUP($A153,Map!$A:$A,Map!C:C)</f>
        <v>IS</v>
      </c>
      <c r="H153" s="43" t="str">
        <f>_xlfn.XLOOKUP($A153,Map!$A:$A,Map!D:D)</f>
        <v>General and Admin</v>
      </c>
      <c r="I153" s="43" t="str">
        <f>_xlfn.XLOOKUP($A153,Map!$A:$A,Map!E:E)</f>
        <v>Govt license and fees (including modon)</v>
      </c>
      <c r="J153" s="43" t="str">
        <f>_xlfn.XLOOKUP($A153,Map!$A:$A,Map!F:F)</f>
        <v>Government fees</v>
      </c>
    </row>
    <row r="154" spans="1:10" x14ac:dyDescent="0.25">
      <c r="A154">
        <v>600006</v>
      </c>
      <c r="B154" t="s">
        <v>984</v>
      </c>
      <c r="C154" s="116">
        <v>0</v>
      </c>
      <c r="D154" s="116">
        <v>1100797.699</v>
      </c>
      <c r="E154" s="116">
        <v>1100797.699</v>
      </c>
      <c r="F154" s="116">
        <v>0</v>
      </c>
      <c r="G154" s="43" t="str">
        <f>_xlfn.XLOOKUP($A154,Map!$A:$A,Map!C:C)</f>
        <v>IS</v>
      </c>
      <c r="H154" s="43" t="str">
        <f>_xlfn.XLOOKUP($A154,Map!$A:$A,Map!D:D)</f>
        <v>Cost of sales</v>
      </c>
      <c r="I154" s="43" t="str">
        <f>_xlfn.XLOOKUP($A154,Map!$A:$A,Map!E:E)</f>
        <v>Overhead - Labor Cost</v>
      </c>
      <c r="J154" s="43" t="str">
        <f>_xlfn.XLOOKUP($A154,Map!$A:$A,Map!F:F)</f>
        <v xml:space="preserve">Food &amp; Housing </v>
      </c>
    </row>
    <row r="155" spans="1:10" x14ac:dyDescent="0.25">
      <c r="A155">
        <v>600007</v>
      </c>
      <c r="B155" t="s">
        <v>985</v>
      </c>
      <c r="C155" s="116">
        <v>0</v>
      </c>
      <c r="D155" s="116">
        <v>0</v>
      </c>
      <c r="E155" s="116">
        <v>0</v>
      </c>
      <c r="F155" s="116">
        <v>0</v>
      </c>
      <c r="G155" s="43" t="str">
        <f>_xlfn.XLOOKUP($A155,Map!$A:$A,Map!C:C)</f>
        <v>IS</v>
      </c>
      <c r="H155" s="43" t="str">
        <f>_xlfn.XLOOKUP($A155,Map!$A:$A,Map!D:D)</f>
        <v>Cost of sales</v>
      </c>
      <c r="I155" s="43" t="str">
        <f>_xlfn.XLOOKUP($A155,Map!$A:$A,Map!E:E)</f>
        <v>Overhead - Labor Cost</v>
      </c>
      <c r="J155" s="43" t="str">
        <f>_xlfn.XLOOKUP($A155,Map!$A:$A,Map!F:F)</f>
        <v>Transportation allowance</v>
      </c>
    </row>
    <row r="156" spans="1:10" x14ac:dyDescent="0.25">
      <c r="A156">
        <v>600008</v>
      </c>
      <c r="B156" t="s">
        <v>986</v>
      </c>
      <c r="C156" s="116">
        <v>0</v>
      </c>
      <c r="D156" s="116">
        <v>322112.43599999999</v>
      </c>
      <c r="E156" s="116">
        <v>322112.43599999999</v>
      </c>
      <c r="F156" s="116">
        <v>0</v>
      </c>
      <c r="G156" s="43" t="str">
        <f>_xlfn.XLOOKUP($A156,Map!$A:$A,Map!C:C)</f>
        <v>IS</v>
      </c>
      <c r="H156" s="43" t="str">
        <f>_xlfn.XLOOKUP($A156,Map!$A:$A,Map!D:D)</f>
        <v>Cost of sales</v>
      </c>
      <c r="I156" s="43" t="str">
        <f>_xlfn.XLOOKUP($A156,Map!$A:$A,Map!E:E)</f>
        <v>Overhead - Labor Cost</v>
      </c>
      <c r="J156" s="43" t="str">
        <f>_xlfn.XLOOKUP($A156,Map!$A:$A,Map!F:F)</f>
        <v>Air tickets</v>
      </c>
    </row>
    <row r="157" spans="1:10" x14ac:dyDescent="0.25">
      <c r="A157">
        <v>600009</v>
      </c>
      <c r="B157" t="s">
        <v>987</v>
      </c>
      <c r="C157" s="116">
        <v>0</v>
      </c>
      <c r="D157" s="116">
        <v>328949.90000000002</v>
      </c>
      <c r="E157" s="116">
        <v>328949.90000000002</v>
      </c>
      <c r="F157" s="116">
        <v>0</v>
      </c>
      <c r="G157" s="43" t="str">
        <f>_xlfn.XLOOKUP($A157,Map!$A:$A,Map!C:C)</f>
        <v>IS</v>
      </c>
      <c r="H157" s="43" t="str">
        <f>_xlfn.XLOOKUP($A157,Map!$A:$A,Map!D:D)</f>
        <v>Cost of sales</v>
      </c>
      <c r="I157" s="43" t="str">
        <f>_xlfn.XLOOKUP($A157,Map!$A:$A,Map!E:E)</f>
        <v>Overhead - Labor Cost</v>
      </c>
      <c r="J157" s="43" t="str">
        <f>_xlfn.XLOOKUP($A157,Map!$A:$A,Map!F:F)</f>
        <v>Vacation pay</v>
      </c>
    </row>
    <row r="158" spans="1:10" x14ac:dyDescent="0.25">
      <c r="A158">
        <v>600010</v>
      </c>
      <c r="B158" t="s">
        <v>988</v>
      </c>
      <c r="C158" s="116">
        <v>0</v>
      </c>
      <c r="D158" s="116">
        <v>22591</v>
      </c>
      <c r="E158" s="116">
        <v>22591</v>
      </c>
      <c r="F158" s="116">
        <v>0</v>
      </c>
      <c r="G158" s="43" t="str">
        <f>_xlfn.XLOOKUP($A158,Map!$A:$A,Map!C:C)</f>
        <v>IS</v>
      </c>
      <c r="H158" s="43" t="str">
        <f>_xlfn.XLOOKUP($A158,Map!$A:$A,Map!D:D)</f>
        <v>Cost of sales</v>
      </c>
      <c r="I158" s="43" t="str">
        <f>_xlfn.XLOOKUP($A158,Map!$A:$A,Map!E:E)</f>
        <v>Overhead - Labor Cost</v>
      </c>
      <c r="J158" s="43" t="str">
        <f>_xlfn.XLOOKUP($A158,Map!$A:$A,Map!F:F)</f>
        <v>EOS expenses</v>
      </c>
    </row>
    <row r="159" spans="1:10" x14ac:dyDescent="0.25">
      <c r="A159">
        <v>600011</v>
      </c>
      <c r="B159" t="s">
        <v>989</v>
      </c>
      <c r="C159" s="116">
        <v>0</v>
      </c>
      <c r="D159" s="116">
        <v>12000</v>
      </c>
      <c r="E159" s="116">
        <v>12000</v>
      </c>
      <c r="F159" s="116">
        <v>0</v>
      </c>
      <c r="G159" s="43" t="str">
        <f>_xlfn.XLOOKUP($A159,Map!$A:$A,Map!C:C)</f>
        <v>IS</v>
      </c>
      <c r="H159" s="43" t="str">
        <f>_xlfn.XLOOKUP($A159,Map!$A:$A,Map!D:D)</f>
        <v>Cost of sales</v>
      </c>
      <c r="I159" s="43" t="str">
        <f>_xlfn.XLOOKUP($A159,Map!$A:$A,Map!E:E)</f>
        <v>Overhead - Labor Cost</v>
      </c>
      <c r="J159" s="43" t="str">
        <f>_xlfn.XLOOKUP($A159,Map!$A:$A,Map!F:F)</f>
        <v>Air tickets</v>
      </c>
    </row>
    <row r="160" spans="1:10" x14ac:dyDescent="0.25">
      <c r="A160">
        <v>600012</v>
      </c>
      <c r="B160" t="s">
        <v>990</v>
      </c>
      <c r="C160" s="116">
        <v>0</v>
      </c>
      <c r="D160" s="116">
        <v>0</v>
      </c>
      <c r="E160" s="116">
        <v>0</v>
      </c>
      <c r="F160" s="116">
        <v>0</v>
      </c>
      <c r="G160" s="43" t="str">
        <f>_xlfn.XLOOKUP($A160,Map!$A:$A,Map!C:C)</f>
        <v>IS</v>
      </c>
      <c r="H160" s="43" t="str">
        <f>_xlfn.XLOOKUP($A160,Map!$A:$A,Map!D:D)</f>
        <v>Cost of sales</v>
      </c>
      <c r="I160" s="43" t="str">
        <f>_xlfn.XLOOKUP($A160,Map!$A:$A,Map!E:E)</f>
        <v>Overhead - Labor Cost</v>
      </c>
      <c r="J160" s="43" t="str">
        <f>_xlfn.XLOOKUP($A160,Map!$A:$A,Map!F:F)</f>
        <v xml:space="preserve">Education &amp; Furniture Allowances </v>
      </c>
    </row>
    <row r="161" spans="1:10" x14ac:dyDescent="0.25">
      <c r="A161">
        <v>600013</v>
      </c>
      <c r="B161" t="s">
        <v>991</v>
      </c>
      <c r="C161" s="116">
        <v>0</v>
      </c>
      <c r="D161" s="116">
        <v>0</v>
      </c>
      <c r="E161" s="116">
        <v>0</v>
      </c>
      <c r="F161" s="116">
        <v>0</v>
      </c>
      <c r="G161" s="43" t="str">
        <f>_xlfn.XLOOKUP($A161,Map!$A:$A,Map!C:C)</f>
        <v>IS</v>
      </c>
      <c r="H161" s="43" t="str">
        <f>_xlfn.XLOOKUP($A161,Map!$A:$A,Map!D:D)</f>
        <v>Cost of sales</v>
      </c>
      <c r="I161" s="43" t="str">
        <f>_xlfn.XLOOKUP($A161,Map!$A:$A,Map!E:E)</f>
        <v>Overhead - Labor Cost</v>
      </c>
      <c r="J161" s="43" t="str">
        <f>_xlfn.XLOOKUP($A161,Map!$A:$A,Map!F:F)</f>
        <v>Telephone allowance</v>
      </c>
    </row>
    <row r="162" spans="1:10" x14ac:dyDescent="0.25">
      <c r="A162">
        <v>600014</v>
      </c>
      <c r="B162" t="s">
        <v>884</v>
      </c>
      <c r="C162" s="116">
        <v>0</v>
      </c>
      <c r="D162" s="116">
        <v>2121649.3220000002</v>
      </c>
      <c r="E162" s="116">
        <v>2121649.3220000002</v>
      </c>
      <c r="F162" s="116">
        <v>0</v>
      </c>
      <c r="G162" s="43" t="str">
        <f>_xlfn.XLOOKUP($A162,Map!$A:$A,Map!C:C)</f>
        <v>IS</v>
      </c>
      <c r="H162" s="43" t="str">
        <f>_xlfn.XLOOKUP($A162,Map!$A:$A,Map!D:D)</f>
        <v>Cost of sales</v>
      </c>
      <c r="I162" s="43" t="str">
        <f>_xlfn.XLOOKUP($A162,Map!$A:$A,Map!E:E)</f>
        <v>Overhead - Consumables &amp; SP</v>
      </c>
      <c r="J162" s="43" t="str">
        <f>_xlfn.XLOOKUP($A162,Map!$A:$A,Map!F:F)</f>
        <v>Consumables</v>
      </c>
    </row>
    <row r="163" spans="1:10" x14ac:dyDescent="0.25">
      <c r="A163">
        <v>600015</v>
      </c>
      <c r="B163" t="s">
        <v>992</v>
      </c>
      <c r="C163" s="116">
        <v>0</v>
      </c>
      <c r="D163" s="116">
        <v>0</v>
      </c>
      <c r="E163" s="116">
        <v>0</v>
      </c>
      <c r="F163" s="116">
        <v>0</v>
      </c>
      <c r="G163" s="43" t="str">
        <f>_xlfn.XLOOKUP($A163,Map!$A:$A,Map!C:C)</f>
        <v>IS</v>
      </c>
      <c r="H163" s="43" t="str">
        <f>_xlfn.XLOOKUP($A163,Map!$A:$A,Map!D:D)</f>
        <v>Cost of sales</v>
      </c>
      <c r="I163" s="43" t="str">
        <f>_xlfn.XLOOKUP($A163,Map!$A:$A,Map!E:E)</f>
        <v>Overhead - Consumables &amp; SP</v>
      </c>
      <c r="J163" s="43" t="str">
        <f>_xlfn.XLOOKUP($A163,Map!$A:$A,Map!F:F)</f>
        <v>Consumables</v>
      </c>
    </row>
    <row r="164" spans="1:10" x14ac:dyDescent="0.25">
      <c r="A164">
        <v>600016</v>
      </c>
      <c r="B164" t="s">
        <v>993</v>
      </c>
      <c r="C164" s="116">
        <v>0</v>
      </c>
      <c r="D164" s="116">
        <v>2368143.1830000002</v>
      </c>
      <c r="E164" s="116">
        <v>2368143.1830000002</v>
      </c>
      <c r="F164" s="116">
        <v>0</v>
      </c>
      <c r="G164" s="43" t="str">
        <f>_xlfn.XLOOKUP($A164,Map!$A:$A,Map!C:C)</f>
        <v>IS</v>
      </c>
      <c r="H164" s="43" t="str">
        <f>_xlfn.XLOOKUP($A164,Map!$A:$A,Map!D:D)</f>
        <v>Cost of sales</v>
      </c>
      <c r="I164" s="43" t="str">
        <f>_xlfn.XLOOKUP($A164,Map!$A:$A,Map!E:E)</f>
        <v>Overhead - Consumables &amp; SP</v>
      </c>
      <c r="J164" s="43" t="str">
        <f>_xlfn.XLOOKUP($A164,Map!$A:$A,Map!F:F)</f>
        <v>Tools</v>
      </c>
    </row>
    <row r="165" spans="1:10" x14ac:dyDescent="0.25">
      <c r="A165">
        <v>600017</v>
      </c>
      <c r="B165" t="s">
        <v>994</v>
      </c>
      <c r="C165" s="116">
        <v>0</v>
      </c>
      <c r="D165" s="116">
        <v>1447152.747</v>
      </c>
      <c r="E165" s="116">
        <v>1447152.747</v>
      </c>
      <c r="F165" s="116">
        <v>0</v>
      </c>
      <c r="G165" s="43" t="str">
        <f>_xlfn.XLOOKUP($A165,Map!$A:$A,Map!C:C)</f>
        <v>IS</v>
      </c>
      <c r="H165" s="43" t="str">
        <f>_xlfn.XLOOKUP($A165,Map!$A:$A,Map!D:D)</f>
        <v>Cost of sales</v>
      </c>
      <c r="I165" s="43" t="str">
        <f>_xlfn.XLOOKUP($A165,Map!$A:$A,Map!E:E)</f>
        <v>Overhead - Utility</v>
      </c>
      <c r="J165" s="43" t="str">
        <f>_xlfn.XLOOKUP($A165,Map!$A:$A,Map!F:F)</f>
        <v>Electricity expenses</v>
      </c>
    </row>
    <row r="166" spans="1:10" x14ac:dyDescent="0.25">
      <c r="A166">
        <v>600018</v>
      </c>
      <c r="B166" t="s">
        <v>995</v>
      </c>
      <c r="C166" s="116">
        <v>0</v>
      </c>
      <c r="D166" s="116">
        <v>135380.5</v>
      </c>
      <c r="E166" s="116">
        <v>135380.5</v>
      </c>
      <c r="F166" s="116">
        <v>0</v>
      </c>
      <c r="G166" s="43" t="str">
        <f>_xlfn.XLOOKUP($A166,Map!$A:$A,Map!C:C)</f>
        <v>IS</v>
      </c>
      <c r="H166" s="43" t="str">
        <f>_xlfn.XLOOKUP($A166,Map!$A:$A,Map!D:D)</f>
        <v>Cost of sales</v>
      </c>
      <c r="I166" s="43" t="str">
        <f>_xlfn.XLOOKUP($A166,Map!$A:$A,Map!E:E)</f>
        <v>Overhead - Utility</v>
      </c>
      <c r="J166" s="43" t="str">
        <f>_xlfn.XLOOKUP($A166,Map!$A:$A,Map!F:F)</f>
        <v>Water expenses</v>
      </c>
    </row>
    <row r="167" spans="1:10" x14ac:dyDescent="0.25">
      <c r="A167">
        <v>600019</v>
      </c>
      <c r="B167" t="s">
        <v>996</v>
      </c>
      <c r="C167" s="116">
        <v>0</v>
      </c>
      <c r="D167" s="116">
        <v>74965.739000000001</v>
      </c>
      <c r="E167" s="116">
        <v>74965.739000000001</v>
      </c>
      <c r="F167" s="116">
        <v>0</v>
      </c>
      <c r="G167" s="43" t="str">
        <f>_xlfn.XLOOKUP($A167,Map!$A:$A,Map!C:C)</f>
        <v>IS</v>
      </c>
      <c r="H167" s="43" t="str">
        <f>_xlfn.XLOOKUP($A167,Map!$A:$A,Map!D:D)</f>
        <v>Cost of sales</v>
      </c>
      <c r="I167" s="43" t="str">
        <f>_xlfn.XLOOKUP($A167,Map!$A:$A,Map!E:E)</f>
        <v>Overhead - Utility</v>
      </c>
      <c r="J167" s="43" t="str">
        <f>_xlfn.XLOOKUP($A167,Map!$A:$A,Map!F:F)</f>
        <v>Fuel and oil</v>
      </c>
    </row>
    <row r="168" spans="1:10" x14ac:dyDescent="0.25">
      <c r="A168">
        <v>600020</v>
      </c>
      <c r="B168" t="s">
        <v>997</v>
      </c>
      <c r="C168" s="116">
        <v>0</v>
      </c>
      <c r="D168" s="116">
        <v>295843.37900000002</v>
      </c>
      <c r="E168" s="116">
        <v>295843.37900000002</v>
      </c>
      <c r="F168" s="116">
        <v>0</v>
      </c>
      <c r="G168" s="43" t="str">
        <f>_xlfn.XLOOKUP($A168,Map!$A:$A,Map!C:C)</f>
        <v>IS</v>
      </c>
      <c r="H168" s="43" t="str">
        <f>_xlfn.XLOOKUP($A168,Map!$A:$A,Map!D:D)</f>
        <v>Cost of sales</v>
      </c>
      <c r="I168" s="43" t="str">
        <f>_xlfn.XLOOKUP($A168,Map!$A:$A,Map!E:E)</f>
        <v>Overhead - R&amp;M</v>
      </c>
      <c r="J168" s="43" t="str">
        <f>_xlfn.XLOOKUP($A168,Map!$A:$A,Map!F:F)</f>
        <v>Machine and equipment</v>
      </c>
    </row>
    <row r="169" spans="1:10" x14ac:dyDescent="0.25">
      <c r="A169">
        <v>600021</v>
      </c>
      <c r="B169" t="s">
        <v>998</v>
      </c>
      <c r="C169" s="116">
        <v>0</v>
      </c>
      <c r="D169" s="116">
        <v>25387.22</v>
      </c>
      <c r="E169" s="116">
        <v>25387.22</v>
      </c>
      <c r="F169" s="116">
        <v>0</v>
      </c>
      <c r="G169" s="43" t="str">
        <f>_xlfn.XLOOKUP($A169,Map!$A:$A,Map!C:C)</f>
        <v>IS</v>
      </c>
      <c r="H169" s="43" t="str">
        <f>_xlfn.XLOOKUP($A169,Map!$A:$A,Map!D:D)</f>
        <v>Cost of sales</v>
      </c>
      <c r="I169" s="43" t="str">
        <f>_xlfn.XLOOKUP($A169,Map!$A:$A,Map!E:E)</f>
        <v>Overhead - R&amp;M</v>
      </c>
      <c r="J169" s="43" t="str">
        <f>_xlfn.XLOOKUP($A169,Map!$A:$A,Map!F:F)</f>
        <v>Vehicle maintenance</v>
      </c>
    </row>
    <row r="170" spans="1:10" x14ac:dyDescent="0.25">
      <c r="A170">
        <v>600022</v>
      </c>
      <c r="B170" t="s">
        <v>999</v>
      </c>
      <c r="C170" s="116">
        <v>0</v>
      </c>
      <c r="D170" s="116">
        <v>35757.97</v>
      </c>
      <c r="E170" s="116">
        <v>35757.97</v>
      </c>
      <c r="F170" s="116">
        <v>0</v>
      </c>
      <c r="G170" s="43" t="str">
        <f>_xlfn.XLOOKUP($A170,Map!$A:$A,Map!C:C)</f>
        <v>IS</v>
      </c>
      <c r="H170" s="43" t="str">
        <f>_xlfn.XLOOKUP($A170,Map!$A:$A,Map!D:D)</f>
        <v>Cost of sales</v>
      </c>
      <c r="I170" s="43" t="str">
        <f>_xlfn.XLOOKUP($A170,Map!$A:$A,Map!E:E)</f>
        <v>Overhead - R&amp;M</v>
      </c>
      <c r="J170" s="43" t="str">
        <f>_xlfn.XLOOKUP($A170,Map!$A:$A,Map!F:F)</f>
        <v>Building maintenance</v>
      </c>
    </row>
    <row r="171" spans="1:10" x14ac:dyDescent="0.25">
      <c r="A171">
        <v>600023</v>
      </c>
      <c r="B171" t="s">
        <v>1000</v>
      </c>
      <c r="C171" s="116">
        <v>0</v>
      </c>
      <c r="D171" s="116">
        <v>0</v>
      </c>
      <c r="E171" s="116">
        <v>0</v>
      </c>
      <c r="F171" s="116">
        <v>0</v>
      </c>
      <c r="G171" s="43" t="str">
        <f>_xlfn.XLOOKUP($A171,Map!$A:$A,Map!C:C)</f>
        <v>IS</v>
      </c>
      <c r="H171" s="43" t="str">
        <f>_xlfn.XLOOKUP($A171,Map!$A:$A,Map!D:D)</f>
        <v>Cost of sales</v>
      </c>
      <c r="I171" s="43" t="str">
        <f>_xlfn.XLOOKUP($A171,Map!$A:$A,Map!E:E)</f>
        <v>Overhead - R&amp;M</v>
      </c>
      <c r="J171" s="43" t="str">
        <f>_xlfn.XLOOKUP($A171,Map!$A:$A,Map!F:F)</f>
        <v>Office equipment maintenance</v>
      </c>
    </row>
    <row r="172" spans="1:10" x14ac:dyDescent="0.25">
      <c r="A172">
        <v>600024</v>
      </c>
      <c r="B172" t="s">
        <v>1001</v>
      </c>
      <c r="C172" s="116">
        <v>0</v>
      </c>
      <c r="D172" s="116">
        <v>0</v>
      </c>
      <c r="E172" s="116">
        <v>0</v>
      </c>
      <c r="F172" s="116">
        <v>0</v>
      </c>
      <c r="G172" s="43" t="str">
        <f>_xlfn.XLOOKUP($A172,Map!$A:$A,Map!C:C)</f>
        <v>IS</v>
      </c>
      <c r="H172" s="43" t="str">
        <f>_xlfn.XLOOKUP($A172,Map!$A:$A,Map!D:D)</f>
        <v>Cost of sales</v>
      </c>
      <c r="I172" s="43" t="str">
        <f>_xlfn.XLOOKUP($A172,Map!$A:$A,Map!E:E)</f>
        <v>Overhead - Rent</v>
      </c>
      <c r="J172" s="43" t="str">
        <f>_xlfn.XLOOKUP($A172,Map!$A:$A,Map!F:F)</f>
        <v>Pump rental expenses</v>
      </c>
    </row>
    <row r="173" spans="1:10" x14ac:dyDescent="0.25">
      <c r="A173">
        <v>600025</v>
      </c>
      <c r="B173" t="s">
        <v>1002</v>
      </c>
      <c r="C173" s="116">
        <v>0</v>
      </c>
      <c r="D173" s="116">
        <v>0</v>
      </c>
      <c r="E173" s="116">
        <v>0</v>
      </c>
      <c r="F173" s="116">
        <v>0</v>
      </c>
      <c r="G173" s="43" t="str">
        <f>_xlfn.XLOOKUP($A173,Map!$A:$A,Map!C:C)</f>
        <v>IS</v>
      </c>
      <c r="H173" s="43" t="str">
        <f>_xlfn.XLOOKUP($A173,Map!$A:$A,Map!D:D)</f>
        <v>Cost of sales</v>
      </c>
      <c r="I173" s="43" t="str">
        <f>_xlfn.XLOOKUP($A173,Map!$A:$A,Map!E:E)</f>
        <v>Overhead - Insurance</v>
      </c>
      <c r="J173" s="43" t="str">
        <f>_xlfn.XLOOKUP($A173,Map!$A:$A,Map!F:F)</f>
        <v>Building insurance</v>
      </c>
    </row>
    <row r="174" spans="1:10" x14ac:dyDescent="0.25">
      <c r="A174">
        <v>600026</v>
      </c>
      <c r="B174" t="s">
        <v>1003</v>
      </c>
      <c r="C174" s="116">
        <v>0</v>
      </c>
      <c r="D174" s="116">
        <v>0</v>
      </c>
      <c r="E174" s="116">
        <v>0</v>
      </c>
      <c r="F174" s="116">
        <v>0</v>
      </c>
      <c r="G174" s="43" t="str">
        <f>_xlfn.XLOOKUP($A174,Map!$A:$A,Map!C:C)</f>
        <v>IS</v>
      </c>
      <c r="H174" s="43" t="str">
        <f>_xlfn.XLOOKUP($A174,Map!$A:$A,Map!D:D)</f>
        <v>Cost of sales</v>
      </c>
      <c r="I174" s="43" t="str">
        <f>_xlfn.XLOOKUP($A174,Map!$A:$A,Map!E:E)</f>
        <v>Overhead - Insurance</v>
      </c>
      <c r="J174" s="43" t="str">
        <f>_xlfn.XLOOKUP($A174,Map!$A:$A,Map!F:F)</f>
        <v>Machine and equipment insurance</v>
      </c>
    </row>
    <row r="175" spans="1:10" x14ac:dyDescent="0.25">
      <c r="A175">
        <v>600027</v>
      </c>
      <c r="B175" t="s">
        <v>1004</v>
      </c>
      <c r="C175" s="116">
        <v>0</v>
      </c>
      <c r="D175" s="116">
        <v>0</v>
      </c>
      <c r="E175" s="116">
        <v>0</v>
      </c>
      <c r="F175" s="116">
        <v>0</v>
      </c>
      <c r="G175" s="43" t="str">
        <f>_xlfn.XLOOKUP($A175,Map!$A:$A,Map!C:C)</f>
        <v>IS</v>
      </c>
      <c r="H175" s="43" t="str">
        <f>_xlfn.XLOOKUP($A175,Map!$A:$A,Map!D:D)</f>
        <v>Cost of sales</v>
      </c>
      <c r="I175" s="43" t="str">
        <f>_xlfn.XLOOKUP($A175,Map!$A:$A,Map!E:E)</f>
        <v>Overhead - Rent</v>
      </c>
      <c r="J175" s="43" t="str">
        <f>_xlfn.XLOOKUP($A175,Map!$A:$A,Map!F:F)</f>
        <v>Production hall rental</v>
      </c>
    </row>
    <row r="176" spans="1:10" x14ac:dyDescent="0.25">
      <c r="A176">
        <v>600028</v>
      </c>
      <c r="B176" t="s">
        <v>1005</v>
      </c>
      <c r="C176" s="116">
        <v>0</v>
      </c>
      <c r="D176" s="116">
        <v>0</v>
      </c>
      <c r="E176" s="116">
        <v>0</v>
      </c>
      <c r="F176" s="116">
        <v>0</v>
      </c>
      <c r="G176" s="43" t="str">
        <f>_xlfn.XLOOKUP($A176,Map!$A:$A,Map!C:C)</f>
        <v>IS</v>
      </c>
      <c r="H176" s="43" t="str">
        <f>_xlfn.XLOOKUP($A176,Map!$A:$A,Map!D:D)</f>
        <v>Cost of sales</v>
      </c>
      <c r="I176" s="43" t="str">
        <f>_xlfn.XLOOKUP($A176,Map!$A:$A,Map!E:E)</f>
        <v>Overhead - Consumables &amp; SP</v>
      </c>
      <c r="J176" s="43" t="str">
        <f>_xlfn.XLOOKUP($A176,Map!$A:$A,Map!F:F)</f>
        <v xml:space="preserve">Education &amp; Furniture Allowances </v>
      </c>
    </row>
    <row r="177" spans="1:10" x14ac:dyDescent="0.25">
      <c r="A177">
        <v>600029</v>
      </c>
      <c r="B177" t="s">
        <v>1006</v>
      </c>
      <c r="C177" s="116">
        <v>0</v>
      </c>
      <c r="D177" s="116">
        <v>3892923.0929999999</v>
      </c>
      <c r="E177" s="116">
        <v>3892923.0929999999</v>
      </c>
      <c r="F177" s="116">
        <v>0</v>
      </c>
      <c r="G177" s="43" t="str">
        <f>_xlfn.XLOOKUP($A177,Map!$A:$A,Map!C:C)</f>
        <v>IS</v>
      </c>
      <c r="H177" s="43" t="str">
        <f>_xlfn.XLOOKUP($A177,Map!$A:$A,Map!D:D)</f>
        <v>Cost of sales</v>
      </c>
      <c r="I177" s="43" t="str">
        <f>_xlfn.XLOOKUP($A177,Map!$A:$A,Map!E:E)</f>
        <v>Depreciation - Machines</v>
      </c>
      <c r="J177" s="43" t="str">
        <f>_xlfn.XLOOKUP($A177,Map!$A:$A,Map!F:F)</f>
        <v>Depreciation of property, plant and equipment</v>
      </c>
    </row>
    <row r="178" spans="1:10" x14ac:dyDescent="0.25">
      <c r="A178">
        <v>600030</v>
      </c>
      <c r="B178" t="s">
        <v>1007</v>
      </c>
      <c r="C178" s="116">
        <v>0</v>
      </c>
      <c r="D178" s="116">
        <v>87931.763999999996</v>
      </c>
      <c r="E178" s="116">
        <v>87931.763999999996</v>
      </c>
      <c r="F178" s="116">
        <v>0</v>
      </c>
      <c r="G178" s="43" t="str">
        <f>_xlfn.XLOOKUP($A178,Map!$A:$A,Map!C:C)</f>
        <v>IS</v>
      </c>
      <c r="H178" s="43" t="str">
        <f>_xlfn.XLOOKUP($A178,Map!$A:$A,Map!D:D)</f>
        <v>Depreciation expenses</v>
      </c>
      <c r="I178" s="43" t="str">
        <f>_xlfn.XLOOKUP($A178,Map!$A:$A,Map!E:E)</f>
        <v>Depreciation expenses</v>
      </c>
      <c r="J178" s="43" t="str">
        <f>_xlfn.XLOOKUP($A178,Map!$A:$A,Map!F:F)</f>
        <v>Depreciation of property, plant and equipment</v>
      </c>
    </row>
    <row r="179" spans="1:10" x14ac:dyDescent="0.25">
      <c r="A179">
        <v>600031</v>
      </c>
      <c r="B179" t="s">
        <v>1008</v>
      </c>
      <c r="C179" s="116">
        <v>0</v>
      </c>
      <c r="D179" s="116">
        <v>0</v>
      </c>
      <c r="E179" s="116">
        <v>0</v>
      </c>
      <c r="F179" s="116">
        <v>0</v>
      </c>
      <c r="G179" s="43" t="str">
        <f>_xlfn.XLOOKUP($A179,Map!$A:$A,Map!C:C)</f>
        <v>IS</v>
      </c>
      <c r="H179" s="43" t="str">
        <f>_xlfn.XLOOKUP($A179,Map!$A:$A,Map!D:D)</f>
        <v>Depreciation expenses</v>
      </c>
      <c r="I179" s="43" t="str">
        <f>_xlfn.XLOOKUP($A179,Map!$A:$A,Map!E:E)</f>
        <v>Depreciation expenses</v>
      </c>
      <c r="J179" s="43" t="str">
        <f>_xlfn.XLOOKUP($A179,Map!$A:$A,Map!F:F)</f>
        <v>Depreciation of property, plant and equipment</v>
      </c>
    </row>
    <row r="180" spans="1:10" x14ac:dyDescent="0.25">
      <c r="A180">
        <v>600032</v>
      </c>
      <c r="B180" t="s">
        <v>1009</v>
      </c>
      <c r="C180" s="116">
        <v>0</v>
      </c>
      <c r="D180" s="116">
        <v>1566844.2</v>
      </c>
      <c r="E180" s="116">
        <v>1566844.2</v>
      </c>
      <c r="F180" s="116">
        <v>0</v>
      </c>
      <c r="G180" s="43" t="str">
        <f>_xlfn.XLOOKUP($A180,Map!$A:$A,Map!C:C)</f>
        <v>IS</v>
      </c>
      <c r="H180" s="43" t="str">
        <f>_xlfn.XLOOKUP($A180,Map!$A:$A,Map!D:D)</f>
        <v>Depreciation expenses</v>
      </c>
      <c r="I180" s="43" t="str">
        <f>_xlfn.XLOOKUP($A180,Map!$A:$A,Map!E:E)</f>
        <v>Depreciation expenses</v>
      </c>
      <c r="J180" s="43" t="str">
        <f>_xlfn.XLOOKUP($A180,Map!$A:$A,Map!F:F)</f>
        <v>Depreciation of property, plant and equipment</v>
      </c>
    </row>
    <row r="181" spans="1:10" x14ac:dyDescent="0.25">
      <c r="A181">
        <v>600033</v>
      </c>
      <c r="B181" t="s">
        <v>1010</v>
      </c>
      <c r="C181" s="116">
        <v>0</v>
      </c>
      <c r="D181" s="116">
        <v>162906.99600000001</v>
      </c>
      <c r="E181" s="116">
        <v>162906.99600000001</v>
      </c>
      <c r="F181" s="116">
        <v>0</v>
      </c>
      <c r="G181" s="43" t="str">
        <f>_xlfn.XLOOKUP($A181,Map!$A:$A,Map!C:C)</f>
        <v>IS</v>
      </c>
      <c r="H181" s="43" t="str">
        <f>_xlfn.XLOOKUP($A181,Map!$A:$A,Map!D:D)</f>
        <v>Depreciation expenses</v>
      </c>
      <c r="I181" s="43" t="str">
        <f>_xlfn.XLOOKUP($A181,Map!$A:$A,Map!E:E)</f>
        <v>Depreciation expenses</v>
      </c>
      <c r="J181" s="43" t="str">
        <f>_xlfn.XLOOKUP($A181,Map!$A:$A,Map!F:F)</f>
        <v>Depreciation of property, plant and equipment</v>
      </c>
    </row>
    <row r="182" spans="1:10" x14ac:dyDescent="0.25">
      <c r="A182">
        <v>600034</v>
      </c>
      <c r="B182" t="s">
        <v>1011</v>
      </c>
      <c r="C182" s="116">
        <v>0</v>
      </c>
      <c r="D182" s="116">
        <v>853044.42599999998</v>
      </c>
      <c r="E182" s="116">
        <v>853044.42599999998</v>
      </c>
      <c r="F182" s="116">
        <v>0</v>
      </c>
      <c r="G182" s="43" t="str">
        <f>_xlfn.XLOOKUP($A182,Map!$A:$A,Map!C:C)</f>
        <v>IS</v>
      </c>
      <c r="H182" s="43" t="str">
        <f>_xlfn.XLOOKUP($A182,Map!$A:$A,Map!D:D)</f>
        <v>Cost of sales</v>
      </c>
      <c r="I182" s="43" t="str">
        <f>_xlfn.XLOOKUP($A182,Map!$A:$A,Map!E:E)</f>
        <v>Overhead - Rent Labor</v>
      </c>
      <c r="J182" s="43" t="str">
        <f>_xlfn.XLOOKUP($A182,Map!$A:$A,Map!F:F)</f>
        <v>Rental labor</v>
      </c>
    </row>
    <row r="183" spans="1:10" x14ac:dyDescent="0.25">
      <c r="A183">
        <v>600060</v>
      </c>
      <c r="B183" t="s">
        <v>1022</v>
      </c>
      <c r="C183" s="116">
        <v>0</v>
      </c>
      <c r="D183" s="116">
        <v>790007.2</v>
      </c>
      <c r="E183" s="116">
        <v>790007.2</v>
      </c>
      <c r="F183" s="116">
        <v>0</v>
      </c>
      <c r="G183" s="43" t="str">
        <f>_xlfn.XLOOKUP($A183,Map!$A:$A,Map!C:C)</f>
        <v>IS</v>
      </c>
      <c r="H183" s="43" t="str">
        <f>_xlfn.XLOOKUP($A183,Map!$A:$A,Map!D:D)</f>
        <v>Other Income</v>
      </c>
      <c r="I183" s="43" t="str">
        <f>_xlfn.XLOOKUP($A183,Map!$A:$A,Map!E:E)</f>
        <v>Other Income</v>
      </c>
      <c r="J183" s="43" t="str">
        <f>_xlfn.XLOOKUP($A183,Map!$A:$A,Map!F:F)</f>
        <v>Hadaf program</v>
      </c>
    </row>
    <row r="184" spans="1:10" x14ac:dyDescent="0.25">
      <c r="A184">
        <v>700001</v>
      </c>
      <c r="B184" t="s">
        <v>1023</v>
      </c>
      <c r="C184" s="116">
        <v>0</v>
      </c>
      <c r="D184" s="116">
        <v>5032049.4000000004</v>
      </c>
      <c r="E184" s="116">
        <v>14368</v>
      </c>
      <c r="F184" s="116">
        <v>5017681.4000000004</v>
      </c>
      <c r="G184" s="43" t="str">
        <f>_xlfn.XLOOKUP($A184,Map!$A:$A,Map!C:C)</f>
        <v>IS</v>
      </c>
      <c r="H184" s="43" t="str">
        <f>_xlfn.XLOOKUP($A184,Map!$A:$A,Map!D:D)</f>
        <v>General and Admin</v>
      </c>
      <c r="I184" s="43" t="str">
        <f>_xlfn.XLOOKUP($A184,Map!$A:$A,Map!E:E)</f>
        <v>Salaries and wages</v>
      </c>
      <c r="J184" s="43" t="str">
        <f>_xlfn.XLOOKUP($A184,Map!$A:$A,Map!F:F)</f>
        <v>Salaries and wages</v>
      </c>
    </row>
    <row r="185" spans="1:10" x14ac:dyDescent="0.25">
      <c r="A185">
        <v>700002</v>
      </c>
      <c r="B185" t="s">
        <v>1024</v>
      </c>
      <c r="C185" s="116">
        <v>0</v>
      </c>
      <c r="D185" s="116">
        <v>5730.22</v>
      </c>
      <c r="E185" s="116">
        <v>0</v>
      </c>
      <c r="F185" s="116">
        <v>5730.22</v>
      </c>
      <c r="G185" s="43" t="str">
        <f>_xlfn.XLOOKUP($A185,Map!$A:$A,Map!C:C)</f>
        <v>IS</v>
      </c>
      <c r="H185" s="43" t="str">
        <f>_xlfn.XLOOKUP($A185,Map!$A:$A,Map!D:D)</f>
        <v>General and Admin</v>
      </c>
      <c r="I185" s="43" t="str">
        <f>_xlfn.XLOOKUP($A185,Map!$A:$A,Map!E:E)</f>
        <v>Salaries and wages</v>
      </c>
      <c r="J185" s="43" t="str">
        <f>_xlfn.XLOOKUP($A185,Map!$A:$A,Map!F:F)</f>
        <v>Overtime pay</v>
      </c>
    </row>
    <row r="186" spans="1:10" x14ac:dyDescent="0.25">
      <c r="A186">
        <v>700003</v>
      </c>
      <c r="B186" t="s">
        <v>1152</v>
      </c>
      <c r="C186" s="116">
        <v>0</v>
      </c>
      <c r="D186" s="116">
        <v>9600</v>
      </c>
      <c r="E186" s="116">
        <v>0</v>
      </c>
      <c r="F186" s="116">
        <v>9600</v>
      </c>
      <c r="G186" s="43" t="str">
        <f>_xlfn.XLOOKUP($A186,Map!$A:$A,Map!C:C)</f>
        <v>IS</v>
      </c>
      <c r="H186" s="43" t="str">
        <f>_xlfn.XLOOKUP($A186,Map!$A:$A,Map!D:D)</f>
        <v>General and Admin</v>
      </c>
      <c r="I186" s="43" t="str">
        <f>_xlfn.XLOOKUP($A186,Map!$A:$A,Map!E:E)</f>
        <v>Salaries and wages</v>
      </c>
      <c r="J186" s="43" t="str">
        <f>_xlfn.XLOOKUP($A186,Map!$A:$A,Map!F:F)</f>
        <v xml:space="preserve">Food &amp; Housing </v>
      </c>
    </row>
    <row r="187" spans="1:10" x14ac:dyDescent="0.25">
      <c r="A187">
        <v>700004</v>
      </c>
      <c r="B187" t="s">
        <v>1026</v>
      </c>
      <c r="C187" s="116">
        <v>0</v>
      </c>
      <c r="D187" s="116">
        <v>341975.08799999999</v>
      </c>
      <c r="E187" s="116">
        <v>0</v>
      </c>
      <c r="F187" s="116">
        <v>341975.08799999999</v>
      </c>
      <c r="G187" s="43" t="str">
        <f>_xlfn.XLOOKUP($A187,Map!$A:$A,Map!C:C)</f>
        <v>IS</v>
      </c>
      <c r="H187" s="43" t="str">
        <f>_xlfn.XLOOKUP($A187,Map!$A:$A,Map!D:D)</f>
        <v>General and Admin</v>
      </c>
      <c r="I187" s="43" t="str">
        <f>_xlfn.XLOOKUP($A187,Map!$A:$A,Map!E:E)</f>
        <v>Salaries and wages</v>
      </c>
      <c r="J187" s="43" t="str">
        <f>_xlfn.XLOOKUP($A187,Map!$A:$A,Map!F:F)</f>
        <v>Medical insurance</v>
      </c>
    </row>
    <row r="188" spans="1:10" x14ac:dyDescent="0.25">
      <c r="A188">
        <v>700005</v>
      </c>
      <c r="B188" t="s">
        <v>1027</v>
      </c>
      <c r="C188" s="116">
        <v>0</v>
      </c>
      <c r="D188" s="116">
        <v>152832.95999999999</v>
      </c>
      <c r="E188" s="116">
        <v>19985.5</v>
      </c>
      <c r="F188" s="116">
        <v>132847.46</v>
      </c>
      <c r="G188" s="43" t="str">
        <f>_xlfn.XLOOKUP($A188,Map!$A:$A,Map!C:C)</f>
        <v>IS</v>
      </c>
      <c r="H188" s="43" t="str">
        <f>_xlfn.XLOOKUP($A188,Map!$A:$A,Map!D:D)</f>
        <v>General and Admin</v>
      </c>
      <c r="I188" s="43" t="str">
        <f>_xlfn.XLOOKUP($A188,Map!$A:$A,Map!E:E)</f>
        <v>Govt license and fees (including modon)</v>
      </c>
      <c r="J188" s="43" t="str">
        <f>_xlfn.XLOOKUP($A188,Map!$A:$A,Map!F:F)</f>
        <v>Government fees</v>
      </c>
    </row>
    <row r="189" spans="1:10" x14ac:dyDescent="0.25">
      <c r="A189">
        <v>700006</v>
      </c>
      <c r="B189" t="s">
        <v>1028</v>
      </c>
      <c r="C189" s="116">
        <v>0</v>
      </c>
      <c r="D189" s="116">
        <v>998821.82900000003</v>
      </c>
      <c r="E189" s="116">
        <v>10528</v>
      </c>
      <c r="F189" s="116">
        <v>988293.82900000003</v>
      </c>
      <c r="G189" s="43" t="str">
        <f>_xlfn.XLOOKUP($A189,Map!$A:$A,Map!C:C)</f>
        <v>IS</v>
      </c>
      <c r="H189" s="43" t="str">
        <f>_xlfn.XLOOKUP($A189,Map!$A:$A,Map!D:D)</f>
        <v>General and Admin</v>
      </c>
      <c r="I189" s="43" t="str">
        <f>_xlfn.XLOOKUP($A189,Map!$A:$A,Map!E:E)</f>
        <v>Salaries and wages</v>
      </c>
      <c r="J189" s="43" t="str">
        <f>_xlfn.XLOOKUP($A189,Map!$A:$A,Map!F:F)</f>
        <v xml:space="preserve">Food &amp; Housing </v>
      </c>
    </row>
    <row r="190" spans="1:10" x14ac:dyDescent="0.25">
      <c r="A190">
        <v>700007</v>
      </c>
      <c r="B190" t="s">
        <v>1029</v>
      </c>
      <c r="C190" s="116">
        <v>0</v>
      </c>
      <c r="D190" s="116">
        <v>514862.5</v>
      </c>
      <c r="E190" s="116">
        <v>0</v>
      </c>
      <c r="F190" s="116">
        <v>514862.5</v>
      </c>
      <c r="G190" s="43" t="str">
        <f>_xlfn.XLOOKUP($A190,Map!$A:$A,Map!C:C)</f>
        <v>IS</v>
      </c>
      <c r="H190" s="43" t="str">
        <f>_xlfn.XLOOKUP($A190,Map!$A:$A,Map!D:D)</f>
        <v>General and Admin</v>
      </c>
      <c r="I190" s="43" t="str">
        <f>_xlfn.XLOOKUP($A190,Map!$A:$A,Map!E:E)</f>
        <v>Salaries and wages</v>
      </c>
      <c r="J190" s="43" t="str">
        <f>_xlfn.XLOOKUP($A190,Map!$A:$A,Map!F:F)</f>
        <v>Transportation allowance</v>
      </c>
    </row>
    <row r="191" spans="1:10" x14ac:dyDescent="0.25">
      <c r="A191">
        <v>700008</v>
      </c>
      <c r="B191" t="s">
        <v>1030</v>
      </c>
      <c r="C191" s="116">
        <v>0</v>
      </c>
      <c r="D191" s="116">
        <v>170163.93599999999</v>
      </c>
      <c r="E191" s="116">
        <v>32177.698</v>
      </c>
      <c r="F191" s="116">
        <v>137986.23800000001</v>
      </c>
      <c r="G191" s="43" t="str">
        <f>_xlfn.XLOOKUP($A191,Map!$A:$A,Map!C:C)</f>
        <v>IS</v>
      </c>
      <c r="H191" s="43" t="str">
        <f>_xlfn.XLOOKUP($A191,Map!$A:$A,Map!D:D)</f>
        <v>General and Admin</v>
      </c>
      <c r="I191" s="43" t="str">
        <f>_xlfn.XLOOKUP($A191,Map!$A:$A,Map!E:E)</f>
        <v>Salaries and wages</v>
      </c>
      <c r="J191" s="43" t="str">
        <f>_xlfn.XLOOKUP($A191,Map!$A:$A,Map!F:F)</f>
        <v>Air tickets</v>
      </c>
    </row>
    <row r="192" spans="1:10" x14ac:dyDescent="0.25">
      <c r="A192">
        <v>700009</v>
      </c>
      <c r="B192" t="s">
        <v>1031</v>
      </c>
      <c r="C192" s="116">
        <v>0</v>
      </c>
      <c r="D192" s="116">
        <v>224753.43</v>
      </c>
      <c r="E192" s="116">
        <v>17459</v>
      </c>
      <c r="F192" s="116">
        <v>207294.43</v>
      </c>
      <c r="G192" s="43" t="str">
        <f>_xlfn.XLOOKUP($A192,Map!$A:$A,Map!C:C)</f>
        <v>IS</v>
      </c>
      <c r="H192" s="43" t="str">
        <f>_xlfn.XLOOKUP($A192,Map!$A:$A,Map!D:D)</f>
        <v>General and Admin</v>
      </c>
      <c r="I192" s="43" t="str">
        <f>_xlfn.XLOOKUP($A192,Map!$A:$A,Map!E:E)</f>
        <v>Salaries and wages</v>
      </c>
      <c r="J192" s="43" t="str">
        <f>_xlfn.XLOOKUP($A192,Map!$A:$A,Map!F:F)</f>
        <v>Leave pay</v>
      </c>
    </row>
    <row r="193" spans="1:10" x14ac:dyDescent="0.25">
      <c r="A193">
        <v>700010</v>
      </c>
      <c r="B193" t="s">
        <v>1032</v>
      </c>
      <c r="C193" s="116">
        <v>0</v>
      </c>
      <c r="D193" s="116">
        <v>1015763.133</v>
      </c>
      <c r="E193" s="116">
        <v>280236.93300000002</v>
      </c>
      <c r="F193" s="116">
        <v>735526.2</v>
      </c>
      <c r="G193" s="43" t="str">
        <f>_xlfn.XLOOKUP($A193,Map!$A:$A,Map!C:C)</f>
        <v>IS</v>
      </c>
      <c r="H193" s="43" t="str">
        <f>_xlfn.XLOOKUP($A193,Map!$A:$A,Map!D:D)</f>
        <v>General and Admin</v>
      </c>
      <c r="I193" s="43" t="str">
        <f>_xlfn.XLOOKUP($A193,Map!$A:$A,Map!E:E)</f>
        <v>Salaries and wages</v>
      </c>
      <c r="J193" s="43" t="str">
        <f>_xlfn.XLOOKUP($A193,Map!$A:$A,Map!F:F)</f>
        <v>Indemnities</v>
      </c>
    </row>
    <row r="194" spans="1:10" x14ac:dyDescent="0.25">
      <c r="A194">
        <v>700011</v>
      </c>
      <c r="B194" t="s">
        <v>1033</v>
      </c>
      <c r="C194" s="116">
        <v>0</v>
      </c>
      <c r="D194" s="116">
        <v>66000.002999999997</v>
      </c>
      <c r="E194" s="116">
        <v>2333</v>
      </c>
      <c r="F194" s="116">
        <v>63667.002999999997</v>
      </c>
      <c r="G194" s="43" t="str">
        <f>_xlfn.XLOOKUP($A194,Map!$A:$A,Map!C:C)</f>
        <v>IS</v>
      </c>
      <c r="H194" s="43" t="str">
        <f>_xlfn.XLOOKUP($A194,Map!$A:$A,Map!D:D)</f>
        <v>General and Admin</v>
      </c>
      <c r="I194" s="43" t="str">
        <f>_xlfn.XLOOKUP($A194,Map!$A:$A,Map!E:E)</f>
        <v>Salaries and wages</v>
      </c>
      <c r="J194" s="43" t="str">
        <f>_xlfn.XLOOKUP($A194,Map!$A:$A,Map!F:F)</f>
        <v>Air tickets</v>
      </c>
    </row>
    <row r="195" spans="1:10" x14ac:dyDescent="0.25">
      <c r="A195">
        <v>700012</v>
      </c>
      <c r="B195" t="s">
        <v>1034</v>
      </c>
      <c r="C195" s="116">
        <v>0</v>
      </c>
      <c r="D195" s="116">
        <v>275807.88</v>
      </c>
      <c r="E195" s="116">
        <v>0</v>
      </c>
      <c r="F195" s="116">
        <v>275807.88</v>
      </c>
      <c r="G195" s="43" t="str">
        <f>_xlfn.XLOOKUP($A195,Map!$A:$A,Map!C:C)</f>
        <v>IS</v>
      </c>
      <c r="H195" s="43" t="str">
        <f>_xlfn.XLOOKUP($A195,Map!$A:$A,Map!D:D)</f>
        <v>General and Admin</v>
      </c>
      <c r="I195" s="43" t="str">
        <f>_xlfn.XLOOKUP($A195,Map!$A:$A,Map!E:E)</f>
        <v>Salaries and wages</v>
      </c>
      <c r="J195" s="43" t="str">
        <f>_xlfn.XLOOKUP($A195,Map!$A:$A,Map!F:F)</f>
        <v xml:space="preserve">Education &amp; Furniture Allowances </v>
      </c>
    </row>
    <row r="196" spans="1:10" x14ac:dyDescent="0.25">
      <c r="A196">
        <v>700013</v>
      </c>
      <c r="B196" t="s">
        <v>1035</v>
      </c>
      <c r="C196" s="116">
        <v>0</v>
      </c>
      <c r="D196" s="116">
        <v>34333</v>
      </c>
      <c r="E196" s="116">
        <v>0</v>
      </c>
      <c r="F196" s="116">
        <v>34333</v>
      </c>
      <c r="G196" s="43" t="str">
        <f>_xlfn.XLOOKUP($A196,Map!$A:$A,Map!C:C)</f>
        <v>IS</v>
      </c>
      <c r="H196" s="43" t="str">
        <f>_xlfn.XLOOKUP($A196,Map!$A:$A,Map!D:D)</f>
        <v>General and Admin</v>
      </c>
      <c r="I196" s="43" t="str">
        <f>_xlfn.XLOOKUP($A196,Map!$A:$A,Map!E:E)</f>
        <v>Utilities</v>
      </c>
      <c r="J196" s="43" t="str">
        <f>_xlfn.XLOOKUP($A196,Map!$A:$A,Map!F:F)</f>
        <v>Other general and administrative expenses</v>
      </c>
    </row>
    <row r="197" spans="1:10" x14ac:dyDescent="0.25">
      <c r="A197">
        <v>700014</v>
      </c>
      <c r="B197" t="s">
        <v>1036</v>
      </c>
      <c r="C197" s="116">
        <v>0</v>
      </c>
      <c r="D197" s="116">
        <v>900</v>
      </c>
      <c r="E197" s="116">
        <v>0</v>
      </c>
      <c r="F197" s="116">
        <v>900</v>
      </c>
      <c r="G197" s="43" t="str">
        <f>_xlfn.XLOOKUP($A197,Map!$A:$A,Map!C:C)</f>
        <v>IS</v>
      </c>
      <c r="H197" s="43" t="str">
        <f>_xlfn.XLOOKUP($A197,Map!$A:$A,Map!D:D)</f>
        <v>General and Admin</v>
      </c>
      <c r="I197" s="43" t="str">
        <f>_xlfn.XLOOKUP($A197,Map!$A:$A,Map!E:E)</f>
        <v>Salaries and wages</v>
      </c>
      <c r="J197" s="43" t="str">
        <f>_xlfn.XLOOKUP($A197,Map!$A:$A,Map!F:F)</f>
        <v xml:space="preserve">Education &amp; Furniture Allowances </v>
      </c>
    </row>
    <row r="198" spans="1:10" x14ac:dyDescent="0.25">
      <c r="A198">
        <v>700015</v>
      </c>
      <c r="B198" t="s">
        <v>1037</v>
      </c>
      <c r="C198" s="116">
        <v>0</v>
      </c>
      <c r="D198" s="116">
        <v>65340.118999999999</v>
      </c>
      <c r="E198" s="116">
        <v>8790.4</v>
      </c>
      <c r="F198" s="116">
        <v>56549.718999999997</v>
      </c>
      <c r="G198" s="43" t="str">
        <f>_xlfn.XLOOKUP($A198,Map!$A:$A,Map!C:C)</f>
        <v>IS</v>
      </c>
      <c r="H198" s="43" t="str">
        <f>_xlfn.XLOOKUP($A198,Map!$A:$A,Map!D:D)</f>
        <v>General and Admin</v>
      </c>
      <c r="I198" s="43" t="str">
        <f>_xlfn.XLOOKUP($A198,Map!$A:$A,Map!E:E)</f>
        <v>Business travel</v>
      </c>
      <c r="J198" s="43" t="str">
        <f>_xlfn.XLOOKUP($A198,Map!$A:$A,Map!F:F)</f>
        <v>Transportation expenses</v>
      </c>
    </row>
    <row r="199" spans="1:10" x14ac:dyDescent="0.25">
      <c r="A199">
        <v>700016</v>
      </c>
      <c r="B199" t="s">
        <v>1038</v>
      </c>
      <c r="C199" s="116">
        <v>0</v>
      </c>
      <c r="D199" s="116">
        <v>5411.4570000000003</v>
      </c>
      <c r="E199" s="116">
        <v>0</v>
      </c>
      <c r="F199" s="116">
        <v>5411.4570000000003</v>
      </c>
      <c r="G199" s="43" t="str">
        <f>_xlfn.XLOOKUP($A199,Map!$A:$A,Map!C:C)</f>
        <v>IS</v>
      </c>
      <c r="H199" s="43" t="str">
        <f>_xlfn.XLOOKUP($A199,Map!$A:$A,Map!D:D)</f>
        <v>Selling and Marketing</v>
      </c>
      <c r="I199" s="43" t="str">
        <f>_xlfn.XLOOKUP($A199,Map!$A:$A,Map!E:E)</f>
        <v>Buffet expenses</v>
      </c>
      <c r="J199" s="43" t="str">
        <f>_xlfn.XLOOKUP($A199,Map!$A:$A,Map!F:F)</f>
        <v>Food expenses</v>
      </c>
    </row>
    <row r="200" spans="1:10" x14ac:dyDescent="0.25">
      <c r="A200">
        <v>700017</v>
      </c>
      <c r="B200" t="s">
        <v>1039</v>
      </c>
      <c r="C200" s="116">
        <v>0</v>
      </c>
      <c r="D200" s="116">
        <v>0</v>
      </c>
      <c r="E200" s="116">
        <v>0</v>
      </c>
      <c r="F200" s="116">
        <v>0</v>
      </c>
      <c r="G200" s="43" t="str">
        <f>_xlfn.XLOOKUP($A200,Map!$A:$A,Map!C:C)</f>
        <v>IS</v>
      </c>
      <c r="H200" s="43" t="str">
        <f>_xlfn.XLOOKUP($A200,Map!$A:$A,Map!D:D)</f>
        <v>General and Admin</v>
      </c>
      <c r="I200" s="43" t="str">
        <f>_xlfn.XLOOKUP($A200,Map!$A:$A,Map!E:E)</f>
        <v>Salaries and wages</v>
      </c>
      <c r="J200" s="43" t="str">
        <f>_xlfn.XLOOKUP($A200,Map!$A:$A,Map!F:F)</f>
        <v>Accommodation expenses</v>
      </c>
    </row>
    <row r="201" spans="1:10" x14ac:dyDescent="0.25">
      <c r="A201">
        <v>700018</v>
      </c>
      <c r="B201" t="s">
        <v>1040</v>
      </c>
      <c r="C201" s="116">
        <v>0</v>
      </c>
      <c r="D201" s="116">
        <v>0</v>
      </c>
      <c r="E201" s="116">
        <v>0</v>
      </c>
      <c r="F201" s="116">
        <v>0</v>
      </c>
      <c r="G201" s="43" t="str">
        <f>_xlfn.XLOOKUP($A201,Map!$A:$A,Map!C:C)</f>
        <v>IS</v>
      </c>
      <c r="H201" s="43" t="str">
        <f>_xlfn.XLOOKUP($A201,Map!$A:$A,Map!D:D)</f>
        <v>General and Admin</v>
      </c>
      <c r="I201" s="43" t="str">
        <f>_xlfn.XLOOKUP($A201,Map!$A:$A,Map!E:E)</f>
        <v>Salaries and wages</v>
      </c>
      <c r="J201" s="43" t="str">
        <f>_xlfn.XLOOKUP($A201,Map!$A:$A,Map!F:F)</f>
        <v xml:space="preserve">Employee Medical Emergency Expenses </v>
      </c>
    </row>
    <row r="202" spans="1:10" x14ac:dyDescent="0.25">
      <c r="A202">
        <v>700019</v>
      </c>
      <c r="B202" t="s">
        <v>1041</v>
      </c>
      <c r="C202" s="116">
        <v>0</v>
      </c>
      <c r="D202" s="116">
        <v>300000</v>
      </c>
      <c r="E202" s="116">
        <v>300000</v>
      </c>
      <c r="F202" s="116">
        <v>0</v>
      </c>
      <c r="G202" s="43" t="str">
        <f>_xlfn.XLOOKUP($A202,Map!$A:$A,Map!C:C)</f>
        <v>IS</v>
      </c>
      <c r="H202" s="43" t="str">
        <f>_xlfn.XLOOKUP($A202,Map!$A:$A,Map!D:D)</f>
        <v>General and Admin</v>
      </c>
      <c r="I202" s="43" t="str">
        <f>_xlfn.XLOOKUP($A202,Map!$A:$A,Map!E:E)</f>
        <v>Salaries and wages</v>
      </c>
      <c r="J202" s="43" t="str">
        <f>_xlfn.XLOOKUP($A202,Map!$A:$A,Map!F:F)</f>
        <v xml:space="preserve">Incentives </v>
      </c>
    </row>
    <row r="203" spans="1:10" x14ac:dyDescent="0.25">
      <c r="A203">
        <v>700020</v>
      </c>
      <c r="B203" t="s">
        <v>1042</v>
      </c>
      <c r="C203" s="116">
        <v>0</v>
      </c>
      <c r="D203" s="116">
        <v>29908.76</v>
      </c>
      <c r="E203" s="116">
        <v>98.76</v>
      </c>
      <c r="F203" s="116">
        <v>29810</v>
      </c>
      <c r="G203" s="43" t="str">
        <f>_xlfn.XLOOKUP($A203,Map!$A:$A,Map!C:C)</f>
        <v>IS</v>
      </c>
      <c r="H203" s="43" t="str">
        <f>_xlfn.XLOOKUP($A203,Map!$A:$A,Map!D:D)</f>
        <v>General and Admin</v>
      </c>
      <c r="I203" s="43" t="str">
        <f>_xlfn.XLOOKUP($A203,Map!$A:$A,Map!E:E)</f>
        <v>Utilities</v>
      </c>
      <c r="J203" s="43" t="str">
        <f>_xlfn.XLOOKUP($A203,Map!$A:$A,Map!F:F)</f>
        <v>Electricity expenses</v>
      </c>
    </row>
    <row r="204" spans="1:10" x14ac:dyDescent="0.25">
      <c r="A204">
        <v>700021</v>
      </c>
      <c r="B204" t="s">
        <v>1043</v>
      </c>
      <c r="C204" s="116">
        <v>0</v>
      </c>
      <c r="D204" s="116">
        <v>1871</v>
      </c>
      <c r="E204" s="116">
        <v>0</v>
      </c>
      <c r="F204" s="116">
        <v>1871</v>
      </c>
      <c r="G204" s="43" t="str">
        <f>_xlfn.XLOOKUP($A204,Map!$A:$A,Map!C:C)</f>
        <v>IS</v>
      </c>
      <c r="H204" s="43" t="str">
        <f>_xlfn.XLOOKUP($A204,Map!$A:$A,Map!D:D)</f>
        <v>General and Admin</v>
      </c>
      <c r="I204" s="43" t="str">
        <f>_xlfn.XLOOKUP($A204,Map!$A:$A,Map!E:E)</f>
        <v>Utilities</v>
      </c>
      <c r="J204" s="43" t="str">
        <f>_xlfn.XLOOKUP($A204,Map!$A:$A,Map!F:F)</f>
        <v>Other general and administrative expenses</v>
      </c>
    </row>
    <row r="205" spans="1:10" x14ac:dyDescent="0.25">
      <c r="A205">
        <v>700022</v>
      </c>
      <c r="B205" t="s">
        <v>1044</v>
      </c>
      <c r="C205" s="116">
        <v>0</v>
      </c>
      <c r="D205" s="116">
        <v>93087.872000000003</v>
      </c>
      <c r="E205" s="116">
        <v>0</v>
      </c>
      <c r="F205" s="116">
        <v>93087.872000000003</v>
      </c>
      <c r="G205" s="43" t="str">
        <f>_xlfn.XLOOKUP($A205,Map!$A:$A,Map!C:C)</f>
        <v>IS</v>
      </c>
      <c r="H205" s="43" t="str">
        <f>_xlfn.XLOOKUP($A205,Map!$A:$A,Map!D:D)</f>
        <v>General and Admin</v>
      </c>
      <c r="I205" s="43" t="str">
        <f>_xlfn.XLOOKUP($A205,Map!$A:$A,Map!E:E)</f>
        <v>Utilities</v>
      </c>
      <c r="J205" s="43" t="str">
        <f>_xlfn.XLOOKUP($A205,Map!$A:$A,Map!F:F)</f>
        <v>Other general and administrative expenses</v>
      </c>
    </row>
    <row r="206" spans="1:10" x14ac:dyDescent="0.25">
      <c r="A206">
        <v>700023</v>
      </c>
      <c r="B206" t="s">
        <v>1045</v>
      </c>
      <c r="C206" s="116">
        <v>0</v>
      </c>
      <c r="D206" s="116">
        <v>34329.83</v>
      </c>
      <c r="E206" s="116">
        <v>156</v>
      </c>
      <c r="F206" s="116">
        <v>34173.83</v>
      </c>
      <c r="G206" s="43" t="str">
        <f>_xlfn.XLOOKUP($A206,Map!$A:$A,Map!C:C)</f>
        <v>IS</v>
      </c>
      <c r="H206" s="43" t="str">
        <f>_xlfn.XLOOKUP($A206,Map!$A:$A,Map!D:D)</f>
        <v>General and Admin</v>
      </c>
      <c r="I206" s="43" t="str">
        <f>_xlfn.XLOOKUP($A206,Map!$A:$A,Map!E:E)</f>
        <v>Utilities</v>
      </c>
      <c r="J206" s="43" t="str">
        <f>_xlfn.XLOOKUP($A206,Map!$A:$A,Map!F:F)</f>
        <v xml:space="preserve">Postage &amp; Printing </v>
      </c>
    </row>
    <row r="207" spans="1:10" x14ac:dyDescent="0.25">
      <c r="A207">
        <v>700024</v>
      </c>
      <c r="B207" t="s">
        <v>1046</v>
      </c>
      <c r="C207" s="116">
        <v>0</v>
      </c>
      <c r="D207" s="116">
        <v>932342.06099999999</v>
      </c>
      <c r="E207" s="116">
        <v>174534.47099999999</v>
      </c>
      <c r="F207" s="116">
        <v>757807.59</v>
      </c>
      <c r="G207" s="43" t="str">
        <f>_xlfn.XLOOKUP($A207,Map!$A:$A,Map!C:C)</f>
        <v>IS</v>
      </c>
      <c r="H207" s="43" t="str">
        <f>_xlfn.XLOOKUP($A207,Map!$A:$A,Map!D:D)</f>
        <v>General and Admin</v>
      </c>
      <c r="I207" s="43" t="str">
        <f>_xlfn.XLOOKUP($A207,Map!$A:$A,Map!E:E)</f>
        <v>IT expenses</v>
      </c>
      <c r="J207" s="43" t="str">
        <f>_xlfn.XLOOKUP($A207,Map!$A:$A,Map!F:F)</f>
        <v>Other general and administrative expenses</v>
      </c>
    </row>
    <row r="208" spans="1:10" x14ac:dyDescent="0.25">
      <c r="A208">
        <v>700025</v>
      </c>
      <c r="B208" t="s">
        <v>1047</v>
      </c>
      <c r="C208" s="116">
        <v>0</v>
      </c>
      <c r="D208" s="116">
        <v>3860634.2030000002</v>
      </c>
      <c r="E208" s="116">
        <v>2379419.5559999999</v>
      </c>
      <c r="F208" s="116">
        <v>1481214.6470000001</v>
      </c>
      <c r="G208" s="43" t="str">
        <f>_xlfn.XLOOKUP($A208,Map!$A:$A,Map!C:C)</f>
        <v>IS</v>
      </c>
      <c r="H208" s="43" t="str">
        <f>_xlfn.XLOOKUP($A208,Map!$A:$A,Map!D:D)</f>
        <v>General and Admin</v>
      </c>
      <c r="I208" s="43" t="str">
        <f>_xlfn.XLOOKUP($A208,Map!$A:$A,Map!E:E)</f>
        <v>Salaries and wages</v>
      </c>
      <c r="J208" s="43" t="str">
        <f>_xlfn.XLOOKUP($A208,Map!$A:$A,Map!F:F)</f>
        <v>Salaries and wages</v>
      </c>
    </row>
    <row r="209" spans="1:10" x14ac:dyDescent="0.25">
      <c r="A209">
        <v>700026</v>
      </c>
      <c r="B209" t="s">
        <v>1048</v>
      </c>
      <c r="C209" s="116">
        <v>0</v>
      </c>
      <c r="D209" s="116">
        <v>0</v>
      </c>
      <c r="E209" s="116">
        <v>0</v>
      </c>
      <c r="F209" s="116">
        <v>0</v>
      </c>
      <c r="G209" s="43" t="str">
        <f>_xlfn.XLOOKUP($A209,Map!$A:$A,Map!C:C)</f>
        <v>IS</v>
      </c>
      <c r="H209" s="43" t="str">
        <f>_xlfn.XLOOKUP($A209,Map!$A:$A,Map!D:D)</f>
        <v>General and Admin</v>
      </c>
      <c r="I209" s="43" t="str">
        <f>_xlfn.XLOOKUP($A209,Map!$A:$A,Map!E:E)</f>
        <v>Utilities</v>
      </c>
      <c r="J209" s="43" t="str">
        <f>_xlfn.XLOOKUP($A209,Map!$A:$A,Map!F:F)</f>
        <v>Magazines &amp; News Papers Exp.</v>
      </c>
    </row>
    <row r="210" spans="1:10" x14ac:dyDescent="0.25">
      <c r="A210">
        <v>700027</v>
      </c>
      <c r="B210" t="s">
        <v>1049</v>
      </c>
      <c r="C210" s="116">
        <v>0</v>
      </c>
      <c r="D210" s="116">
        <v>3329</v>
      </c>
      <c r="E210" s="116">
        <v>0</v>
      </c>
      <c r="F210" s="116">
        <v>3329</v>
      </c>
      <c r="G210" s="43" t="str">
        <f>_xlfn.XLOOKUP($A210,Map!$A:$A,Map!C:C)</f>
        <v>IS</v>
      </c>
      <c r="H210" s="43" t="str">
        <f>_xlfn.XLOOKUP($A210,Map!$A:$A,Map!D:D)</f>
        <v>General and Admin</v>
      </c>
      <c r="I210" s="43" t="str">
        <f>_xlfn.XLOOKUP($A210,Map!$A:$A,Map!E:E)</f>
        <v>Training</v>
      </c>
      <c r="J210" s="43" t="str">
        <f>_xlfn.XLOOKUP($A210,Map!$A:$A,Map!F:F)</f>
        <v>Training</v>
      </c>
    </row>
    <row r="211" spans="1:10" x14ac:dyDescent="0.25">
      <c r="A211">
        <v>700028</v>
      </c>
      <c r="B211" t="s">
        <v>1050</v>
      </c>
      <c r="C211" s="116">
        <v>0</v>
      </c>
      <c r="D211" s="116">
        <v>1388.7</v>
      </c>
      <c r="E211" s="116">
        <v>0</v>
      </c>
      <c r="F211" s="116">
        <v>1388.7</v>
      </c>
      <c r="G211" s="43" t="str">
        <f>_xlfn.XLOOKUP($A211,Map!$A:$A,Map!C:C)</f>
        <v>IS</v>
      </c>
      <c r="H211" s="43" t="str">
        <f>_xlfn.XLOOKUP($A211,Map!$A:$A,Map!D:D)</f>
        <v>General and Admin</v>
      </c>
      <c r="I211" s="43" t="str">
        <f>_xlfn.XLOOKUP($A211,Map!$A:$A,Map!E:E)</f>
        <v xml:space="preserve">Back office Support </v>
      </c>
      <c r="J211" s="43" t="str">
        <f>_xlfn.XLOOKUP($A211,Map!$A:$A,Map!F:F)</f>
        <v>Stationery expenses</v>
      </c>
    </row>
    <row r="212" spans="1:10" x14ac:dyDescent="0.25">
      <c r="A212">
        <v>700029</v>
      </c>
      <c r="B212" t="s">
        <v>1051</v>
      </c>
      <c r="C212" s="116">
        <v>0</v>
      </c>
      <c r="D212" s="116">
        <v>1191.6199999999999</v>
      </c>
      <c r="E212" s="116">
        <v>0</v>
      </c>
      <c r="F212" s="116">
        <v>1191.6199999999999</v>
      </c>
      <c r="G212" s="43" t="str">
        <f>_xlfn.XLOOKUP($A212,Map!$A:$A,Map!C:C)</f>
        <v>IS</v>
      </c>
      <c r="H212" s="43" t="str">
        <f>_xlfn.XLOOKUP($A212,Map!$A:$A,Map!D:D)</f>
        <v>General and Admin</v>
      </c>
      <c r="I212" s="43" t="str">
        <f>_xlfn.XLOOKUP($A212,Map!$A:$A,Map!E:E)</f>
        <v>Utilities</v>
      </c>
      <c r="J212" s="43" t="str">
        <f>_xlfn.XLOOKUP($A212,Map!$A:$A,Map!F:F)</f>
        <v xml:space="preserve">Postage &amp; Printing </v>
      </c>
    </row>
    <row r="213" spans="1:10" x14ac:dyDescent="0.25">
      <c r="A213">
        <v>700030</v>
      </c>
      <c r="B213" t="s">
        <v>1052</v>
      </c>
      <c r="C213" s="116">
        <v>0</v>
      </c>
      <c r="D213" s="116">
        <v>12567</v>
      </c>
      <c r="E213" s="116">
        <v>0</v>
      </c>
      <c r="F213" s="116">
        <v>12567</v>
      </c>
      <c r="G213" s="43" t="str">
        <f>_xlfn.XLOOKUP($A213,Map!$A:$A,Map!C:C)</f>
        <v>IS</v>
      </c>
      <c r="H213" s="43" t="str">
        <f>_xlfn.XLOOKUP($A213,Map!$A:$A,Map!D:D)</f>
        <v>General and Admin</v>
      </c>
      <c r="I213" s="43" t="str">
        <f>_xlfn.XLOOKUP($A213,Map!$A:$A,Map!E:E)</f>
        <v>Utilities</v>
      </c>
      <c r="J213" s="43" t="str">
        <f>_xlfn.XLOOKUP($A213,Map!$A:$A,Map!F:F)</f>
        <v>Building maintenance</v>
      </c>
    </row>
    <row r="214" spans="1:10" x14ac:dyDescent="0.25">
      <c r="A214">
        <v>700031</v>
      </c>
      <c r="B214" t="s">
        <v>1053</v>
      </c>
      <c r="C214" s="116">
        <v>0</v>
      </c>
      <c r="D214" s="116">
        <v>600</v>
      </c>
      <c r="E214" s="116">
        <v>0</v>
      </c>
      <c r="F214" s="116">
        <v>600</v>
      </c>
      <c r="G214" s="43" t="str">
        <f>_xlfn.XLOOKUP($A214,Map!$A:$A,Map!C:C)</f>
        <v>IS</v>
      </c>
      <c r="H214" s="43" t="str">
        <f>_xlfn.XLOOKUP($A214,Map!$A:$A,Map!D:D)</f>
        <v>General and Admin</v>
      </c>
      <c r="I214" s="43" t="str">
        <f>_xlfn.XLOOKUP($A214,Map!$A:$A,Map!E:E)</f>
        <v>Utilities</v>
      </c>
      <c r="J214" s="43" t="str">
        <f>_xlfn.XLOOKUP($A214,Map!$A:$A,Map!F:F)</f>
        <v>Office equipment maintenance</v>
      </c>
    </row>
    <row r="215" spans="1:10" x14ac:dyDescent="0.25">
      <c r="A215">
        <v>700032</v>
      </c>
      <c r="B215" t="s">
        <v>1054</v>
      </c>
      <c r="C215" s="116">
        <v>0</v>
      </c>
      <c r="D215" s="116">
        <v>92753.231</v>
      </c>
      <c r="E215" s="116">
        <v>0</v>
      </c>
      <c r="F215" s="116">
        <v>92753.231</v>
      </c>
      <c r="G215" s="43" t="str">
        <f>_xlfn.XLOOKUP($A215,Map!$A:$A,Map!C:C)</f>
        <v>IS</v>
      </c>
      <c r="H215" s="43" t="str">
        <f>_xlfn.XLOOKUP($A215,Map!$A:$A,Map!D:D)</f>
        <v>General and Admin</v>
      </c>
      <c r="I215" s="43" t="str">
        <f>_xlfn.XLOOKUP($A215,Map!$A:$A,Map!E:E)</f>
        <v>Utilities</v>
      </c>
      <c r="J215" s="43" t="str">
        <f>_xlfn.XLOOKUP($A215,Map!$A:$A,Map!F:F)</f>
        <v>Vehicle maintenance</v>
      </c>
    </row>
    <row r="216" spans="1:10" x14ac:dyDescent="0.25">
      <c r="A216">
        <v>700033</v>
      </c>
      <c r="B216" t="s">
        <v>1055</v>
      </c>
      <c r="C216" s="116">
        <v>0</v>
      </c>
      <c r="D216" s="116">
        <v>11587.82</v>
      </c>
      <c r="E216" s="116">
        <v>0</v>
      </c>
      <c r="F216" s="116">
        <v>11587.82</v>
      </c>
      <c r="G216" s="43" t="str">
        <f>_xlfn.XLOOKUP($A216,Map!$A:$A,Map!C:C)</f>
        <v>IS</v>
      </c>
      <c r="H216" s="43" t="str">
        <f>_xlfn.XLOOKUP($A216,Map!$A:$A,Map!D:D)</f>
        <v>General and Admin</v>
      </c>
      <c r="I216" s="43" t="str">
        <f>_xlfn.XLOOKUP($A216,Map!$A:$A,Map!E:E)</f>
        <v>Utilities</v>
      </c>
      <c r="J216" s="43" t="str">
        <f>_xlfn.XLOOKUP($A216,Map!$A:$A,Map!F:F)</f>
        <v>Fuel and oil</v>
      </c>
    </row>
    <row r="217" spans="1:10" x14ac:dyDescent="0.25">
      <c r="A217">
        <v>700034</v>
      </c>
      <c r="B217" t="s">
        <v>1056</v>
      </c>
      <c r="C217" s="116">
        <v>0</v>
      </c>
      <c r="D217" s="116">
        <v>7565.26</v>
      </c>
      <c r="E217" s="116">
        <v>0</v>
      </c>
      <c r="F217" s="116">
        <v>7565.26</v>
      </c>
      <c r="G217" s="43" t="str">
        <f>_xlfn.XLOOKUP($A217,Map!$A:$A,Map!C:C)</f>
        <v>IS</v>
      </c>
      <c r="H217" s="43" t="str">
        <f>_xlfn.XLOOKUP($A217,Map!$A:$A,Map!D:D)</f>
        <v>General and Admin</v>
      </c>
      <c r="I217" s="43" t="str">
        <f>_xlfn.XLOOKUP($A217,Map!$A:$A,Map!E:E)</f>
        <v xml:space="preserve">Back office Support </v>
      </c>
      <c r="J217" s="43" t="str">
        <f>_xlfn.XLOOKUP($A217,Map!$A:$A,Map!F:F)</f>
        <v>Consumables</v>
      </c>
    </row>
    <row r="218" spans="1:10" x14ac:dyDescent="0.25">
      <c r="A218">
        <v>700035</v>
      </c>
      <c r="B218" t="s">
        <v>1057</v>
      </c>
      <c r="C218" s="116">
        <v>0</v>
      </c>
      <c r="D218" s="156">
        <v>1563054</v>
      </c>
      <c r="E218" s="116">
        <v>411078.68</v>
      </c>
      <c r="F218" s="116">
        <v>1151975.32</v>
      </c>
      <c r="G218" s="43" t="str">
        <f>_xlfn.XLOOKUP($A218,Map!$A:$A,Map!C:C)</f>
        <v>IS</v>
      </c>
      <c r="H218" s="43" t="str">
        <f>_xlfn.XLOOKUP($A218,Map!$A:$A,Map!D:D)</f>
        <v>General and Admin</v>
      </c>
      <c r="I218" s="43" t="str">
        <f>_xlfn.XLOOKUP($A218,Map!$A:$A,Map!E:E)</f>
        <v>Actuarial gains and losses</v>
      </c>
      <c r="J218" s="43" t="str">
        <f>_xlfn.XLOOKUP($A218,Map!$A:$A,Map!F:F)</f>
        <v>Other general and administrative expenses</v>
      </c>
    </row>
    <row r="219" spans="1:10" x14ac:dyDescent="0.25">
      <c r="A219">
        <v>700036</v>
      </c>
      <c r="B219" t="s">
        <v>1058</v>
      </c>
      <c r="C219" s="116">
        <v>0</v>
      </c>
      <c r="D219" s="116">
        <v>40368.449999999997</v>
      </c>
      <c r="E219" s="116">
        <v>0</v>
      </c>
      <c r="F219" s="116">
        <v>40368.449999999997</v>
      </c>
      <c r="G219" s="43" t="str">
        <f>_xlfn.XLOOKUP($A219,Map!$A:$A,Map!C:C)</f>
        <v>IS</v>
      </c>
      <c r="H219" s="43" t="str">
        <f>_xlfn.XLOOKUP($A219,Map!$A:$A,Map!D:D)</f>
        <v>General and Admin</v>
      </c>
      <c r="I219" s="43" t="str">
        <f>_xlfn.XLOOKUP($A219,Map!$A:$A,Map!E:E)</f>
        <v>Utilities</v>
      </c>
      <c r="J219" s="43" t="str">
        <f>_xlfn.XLOOKUP($A219,Map!$A:$A,Map!F:F)</f>
        <v>Vehicle insurance</v>
      </c>
    </row>
    <row r="220" spans="1:10" x14ac:dyDescent="0.25">
      <c r="A220">
        <v>700037</v>
      </c>
      <c r="B220" t="s">
        <v>1059</v>
      </c>
      <c r="C220" s="116">
        <v>0</v>
      </c>
      <c r="D220" s="116">
        <v>0</v>
      </c>
      <c r="E220" s="116">
        <v>0</v>
      </c>
      <c r="F220" s="116">
        <v>0</v>
      </c>
      <c r="G220" s="43" t="str">
        <f>_xlfn.XLOOKUP($A220,Map!$A:$A,Map!C:C)</f>
        <v>IS</v>
      </c>
      <c r="H220" s="43" t="str">
        <f>_xlfn.XLOOKUP($A220,Map!$A:$A,Map!D:D)</f>
        <v>Finance cost</v>
      </c>
      <c r="I220" s="43" t="str">
        <f>_xlfn.XLOOKUP($A220,Map!$A:$A,Map!E:E)</f>
        <v>Finance cost</v>
      </c>
      <c r="J220" s="43" t="str">
        <f>_xlfn.XLOOKUP($A220,Map!$A:$A,Map!F:F)</f>
        <v>Lease interest</v>
      </c>
    </row>
    <row r="221" spans="1:10" x14ac:dyDescent="0.25">
      <c r="A221">
        <v>700038</v>
      </c>
      <c r="B221" t="s">
        <v>1060</v>
      </c>
      <c r="C221" s="116">
        <v>0</v>
      </c>
      <c r="D221" s="116">
        <v>270394.35800000001</v>
      </c>
      <c r="E221" s="116">
        <v>0</v>
      </c>
      <c r="F221" s="116">
        <v>270394.35800000001</v>
      </c>
      <c r="G221" s="43" t="str">
        <f>_xlfn.XLOOKUP($A221,Map!$A:$A,Map!C:C)</f>
        <v>IS</v>
      </c>
      <c r="H221" s="43" t="str">
        <f>_xlfn.XLOOKUP($A221,Map!$A:$A,Map!D:D)</f>
        <v>General and Admin</v>
      </c>
      <c r="I221" s="43" t="str">
        <f>_xlfn.XLOOKUP($A221,Map!$A:$A,Map!E:E)</f>
        <v>Business travel</v>
      </c>
      <c r="J221" s="43" t="str">
        <f>_xlfn.XLOOKUP($A221,Map!$A:$A,Map!F:F)</f>
        <v>Bussiness trip expenses</v>
      </c>
    </row>
    <row r="222" spans="1:10" x14ac:dyDescent="0.25">
      <c r="A222">
        <v>700039</v>
      </c>
      <c r="B222" t="s">
        <v>1061</v>
      </c>
      <c r="C222" s="116">
        <v>0</v>
      </c>
      <c r="D222" s="116">
        <v>3358.87</v>
      </c>
      <c r="E222" s="116">
        <v>0</v>
      </c>
      <c r="F222" s="116">
        <v>3358.87</v>
      </c>
      <c r="G222" s="43" t="str">
        <f>_xlfn.XLOOKUP($A222,Map!$A:$A,Map!C:C)</f>
        <v>IS</v>
      </c>
      <c r="H222" s="43" t="str">
        <f>_xlfn.XLOOKUP($A222,Map!$A:$A,Map!D:D)</f>
        <v>Selling and Marketing</v>
      </c>
      <c r="I222" s="43" t="str">
        <f>_xlfn.XLOOKUP($A222,Map!$A:$A,Map!E:E)</f>
        <v>Buffet expenses</v>
      </c>
      <c r="J222" s="43" t="str">
        <f>_xlfn.XLOOKUP($A222,Map!$A:$A,Map!F:F)</f>
        <v>Buffet expenses</v>
      </c>
    </row>
    <row r="223" spans="1:10" x14ac:dyDescent="0.25">
      <c r="A223">
        <v>700040</v>
      </c>
      <c r="B223" t="s">
        <v>1062</v>
      </c>
      <c r="C223" s="116">
        <v>0</v>
      </c>
      <c r="D223" s="116">
        <v>258748.342</v>
      </c>
      <c r="E223" s="116">
        <v>4782.6400000000003</v>
      </c>
      <c r="F223" s="116">
        <v>253965.70199999999</v>
      </c>
      <c r="G223" s="43" t="str">
        <f>_xlfn.XLOOKUP($A223,Map!$A:$A,Map!C:C)</f>
        <v>IS</v>
      </c>
      <c r="H223" s="43" t="str">
        <f>_xlfn.XLOOKUP($A223,Map!$A:$A,Map!D:D)</f>
        <v>General and Admin</v>
      </c>
      <c r="I223" s="43" t="str">
        <f>_xlfn.XLOOKUP($A223,Map!$A:$A,Map!E:E)</f>
        <v>Utilities</v>
      </c>
      <c r="J223" s="43" t="str">
        <f>_xlfn.XLOOKUP($A223,Map!$A:$A,Map!F:F)</f>
        <v xml:space="preserve">Cleaning Expenses </v>
      </c>
    </row>
    <row r="224" spans="1:10" x14ac:dyDescent="0.25">
      <c r="A224">
        <v>700041</v>
      </c>
      <c r="B224" t="s">
        <v>1063</v>
      </c>
      <c r="C224" s="116">
        <v>0</v>
      </c>
      <c r="D224" s="116">
        <v>0</v>
      </c>
      <c r="E224" s="116">
        <v>0</v>
      </c>
      <c r="F224" s="116">
        <v>0</v>
      </c>
      <c r="G224" s="43" t="str">
        <f>_xlfn.XLOOKUP($A224,Map!$A:$A,Map!C:C)</f>
        <v>IS</v>
      </c>
      <c r="H224" s="43" t="str">
        <f>_xlfn.XLOOKUP($A224,Map!$A:$A,Map!D:D)</f>
        <v>General and Admin</v>
      </c>
      <c r="I224" s="43" t="str">
        <f>_xlfn.XLOOKUP($A224,Map!$A:$A,Map!E:E)</f>
        <v>Salaries and wages</v>
      </c>
      <c r="J224" s="43" t="str">
        <f>_xlfn.XLOOKUP($A224,Map!$A:$A,Map!F:F)</f>
        <v>Recruitment</v>
      </c>
    </row>
    <row r="225" spans="1:10" x14ac:dyDescent="0.25">
      <c r="A225">
        <v>700042</v>
      </c>
      <c r="B225" t="s">
        <v>1064</v>
      </c>
      <c r="C225" s="116">
        <v>0</v>
      </c>
      <c r="D225" s="116">
        <v>0</v>
      </c>
      <c r="E225" s="116">
        <v>0</v>
      </c>
      <c r="F225" s="116">
        <v>0</v>
      </c>
      <c r="G225" s="43" t="str">
        <f>_xlfn.XLOOKUP($A225,Map!$A:$A,Map!C:C)</f>
        <v>IS</v>
      </c>
      <c r="H225" s="43" t="str">
        <f>_xlfn.XLOOKUP($A225,Map!$A:$A,Map!D:D)</f>
        <v>General and Admin</v>
      </c>
      <c r="I225" s="43" t="str">
        <f>_xlfn.XLOOKUP($A225,Map!$A:$A,Map!E:E)</f>
        <v xml:space="preserve">Back office Support </v>
      </c>
      <c r="J225" s="43" t="str">
        <f>_xlfn.XLOOKUP($A225,Map!$A:$A,Map!F:F)</f>
        <v>Other expenses</v>
      </c>
    </row>
    <row r="226" spans="1:10" x14ac:dyDescent="0.25">
      <c r="A226">
        <v>700043</v>
      </c>
      <c r="B226" t="s">
        <v>1065</v>
      </c>
      <c r="C226" s="116">
        <v>0</v>
      </c>
      <c r="D226" s="116">
        <v>9944</v>
      </c>
      <c r="E226" s="116">
        <v>1810</v>
      </c>
      <c r="F226" s="116">
        <v>8134</v>
      </c>
      <c r="G226" s="43" t="str">
        <f>_xlfn.XLOOKUP($A226,Map!$A:$A,Map!C:C)</f>
        <v>IS</v>
      </c>
      <c r="H226" s="43" t="str">
        <f>_xlfn.XLOOKUP($A226,Map!$A:$A,Map!D:D)</f>
        <v>General and Admin</v>
      </c>
      <c r="I226" s="43" t="str">
        <f>_xlfn.XLOOKUP($A226,Map!$A:$A,Map!E:E)</f>
        <v>Govt license and fees (including modon)</v>
      </c>
      <c r="J226" s="43" t="str">
        <f>_xlfn.XLOOKUP($A226,Map!$A:$A,Map!F:F)</f>
        <v>Licenses and fees</v>
      </c>
    </row>
    <row r="227" spans="1:10" x14ac:dyDescent="0.25">
      <c r="A227">
        <v>700044</v>
      </c>
      <c r="B227" t="s">
        <v>1066</v>
      </c>
      <c r="C227" s="116">
        <v>0</v>
      </c>
      <c r="D227" s="116">
        <v>80839.509999999995</v>
      </c>
      <c r="E227" s="116">
        <v>0</v>
      </c>
      <c r="F227" s="116">
        <v>80839.509999999995</v>
      </c>
      <c r="G227" s="43" t="str">
        <f>_xlfn.XLOOKUP($A227,Map!$A:$A,Map!C:C)</f>
        <v>IS</v>
      </c>
      <c r="H227" s="43" t="str">
        <f>_xlfn.XLOOKUP($A227,Map!$A:$A,Map!D:D)</f>
        <v>General and Admin</v>
      </c>
      <c r="I227" s="43" t="str">
        <f>_xlfn.XLOOKUP($A227,Map!$A:$A,Map!E:E)</f>
        <v>Govt license and fees (including modon)</v>
      </c>
      <c r="J227" s="43" t="str">
        <f>_xlfn.XLOOKUP($A227,Map!$A:$A,Map!F:F)</f>
        <v>Government fees</v>
      </c>
    </row>
    <row r="228" spans="1:10" x14ac:dyDescent="0.25">
      <c r="A228">
        <v>700045</v>
      </c>
      <c r="B228" t="s">
        <v>1067</v>
      </c>
      <c r="C228" s="116">
        <v>0</v>
      </c>
      <c r="D228" s="116">
        <v>6986715.8609999996</v>
      </c>
      <c r="E228" s="116">
        <v>1171070.31</v>
      </c>
      <c r="F228" s="116">
        <v>5815645.551</v>
      </c>
      <c r="G228" s="43" t="str">
        <f>_xlfn.XLOOKUP($A228,Map!$A:$A,Map!C:C)</f>
        <v>IS</v>
      </c>
      <c r="H228" s="43" t="str">
        <f>_xlfn.XLOOKUP($A228,Map!$A:$A,Map!D:D)</f>
        <v>Finance cost</v>
      </c>
      <c r="I228" s="43" t="str">
        <f>_xlfn.XLOOKUP($A228,Map!$A:$A,Map!E:E)</f>
        <v>Finance cost</v>
      </c>
      <c r="J228" s="43" t="str">
        <f>_xlfn.XLOOKUP($A228,Map!$A:$A,Map!F:F)</f>
        <v>Bank charges</v>
      </c>
    </row>
    <row r="229" spans="1:10" x14ac:dyDescent="0.25">
      <c r="A229">
        <v>700048</v>
      </c>
      <c r="B229" t="s">
        <v>1069</v>
      </c>
      <c r="C229" s="116">
        <v>0</v>
      </c>
      <c r="D229" s="116">
        <v>515302.94</v>
      </c>
      <c r="E229" s="116">
        <v>280000</v>
      </c>
      <c r="F229" s="116">
        <v>235302.94</v>
      </c>
      <c r="G229" s="43" t="str">
        <f>_xlfn.XLOOKUP($A229,Map!$A:$A,Map!C:C)</f>
        <v>IS</v>
      </c>
      <c r="H229" s="43" t="str">
        <f>_xlfn.XLOOKUP($A229,Map!$A:$A,Map!D:D)</f>
        <v>Zakat</v>
      </c>
      <c r="I229" s="43" t="str">
        <f>_xlfn.XLOOKUP($A229,Map!$A:$A,Map!E:E)</f>
        <v>Zakat expenses</v>
      </c>
      <c r="J229" s="43" t="str">
        <f>_xlfn.XLOOKUP($A229,Map!$A:$A,Map!F:F)</f>
        <v>Zakat expenses</v>
      </c>
    </row>
    <row r="230" spans="1:10" x14ac:dyDescent="0.25">
      <c r="A230">
        <v>700049</v>
      </c>
      <c r="B230" t="s">
        <v>1070</v>
      </c>
      <c r="C230" s="116">
        <v>0</v>
      </c>
      <c r="D230" s="116">
        <v>0</v>
      </c>
      <c r="E230" s="116">
        <v>0</v>
      </c>
      <c r="F230" s="116">
        <v>0</v>
      </c>
      <c r="G230" s="43" t="str">
        <f>_xlfn.XLOOKUP($A230,Map!$A:$A,Map!C:C)</f>
        <v>IS</v>
      </c>
      <c r="H230" s="43" t="str">
        <f>_xlfn.XLOOKUP($A230,Map!$A:$A,Map!D:D)</f>
        <v>General and Admin</v>
      </c>
      <c r="I230" s="43" t="str">
        <f>_xlfn.XLOOKUP($A230,Map!$A:$A,Map!E:E)</f>
        <v>Salaries and wages</v>
      </c>
      <c r="J230" s="43" t="str">
        <f>_xlfn.XLOOKUP($A230,Map!$A:$A,Map!F:F)</f>
        <v>Sadagat expense</v>
      </c>
    </row>
    <row r="231" spans="1:10" x14ac:dyDescent="0.25">
      <c r="A231">
        <v>700050</v>
      </c>
      <c r="B231" t="s">
        <v>1071</v>
      </c>
      <c r="C231" s="116">
        <v>0</v>
      </c>
      <c r="D231" s="116">
        <v>20</v>
      </c>
      <c r="E231" s="116">
        <v>20</v>
      </c>
      <c r="F231" s="116">
        <v>0</v>
      </c>
      <c r="G231" s="43" t="str">
        <f>_xlfn.XLOOKUP($A231,Map!$A:$A,Map!C:C)</f>
        <v>IS</v>
      </c>
      <c r="H231" s="43" t="str">
        <f>_xlfn.XLOOKUP($A231,Map!$A:$A,Map!D:D)</f>
        <v>Depreciation expenses</v>
      </c>
      <c r="I231" s="43" t="str">
        <f>_xlfn.XLOOKUP($A231,Map!$A:$A,Map!E:E)</f>
        <v>Depreciation expenses</v>
      </c>
      <c r="J231" s="43" t="str">
        <f>_xlfn.XLOOKUP($A231,Map!$A:$A,Map!F:F)</f>
        <v>Depreciation of property, plant and equipment</v>
      </c>
    </row>
    <row r="232" spans="1:10" x14ac:dyDescent="0.25">
      <c r="A232">
        <v>700052</v>
      </c>
      <c r="B232" t="s">
        <v>1073</v>
      </c>
      <c r="C232" s="116">
        <v>0</v>
      </c>
      <c r="D232" s="116">
        <v>0</v>
      </c>
      <c r="E232" s="116">
        <v>0</v>
      </c>
      <c r="F232" s="116">
        <v>0</v>
      </c>
      <c r="G232" s="43" t="str">
        <f>_xlfn.XLOOKUP($A232,Map!$A:$A,Map!C:C)</f>
        <v>IS</v>
      </c>
      <c r="H232" s="43" t="str">
        <f>_xlfn.XLOOKUP($A232,Map!$A:$A,Map!D:D)</f>
        <v>Depreciation expenses</v>
      </c>
      <c r="I232" s="43" t="str">
        <f>_xlfn.XLOOKUP($A232,Map!$A:$A,Map!E:E)</f>
        <v>Depreciation expenses</v>
      </c>
      <c r="J232" s="43" t="str">
        <f>_xlfn.XLOOKUP($A232,Map!$A:$A,Map!F:F)</f>
        <v>Depreciation of property, plant and equipment</v>
      </c>
    </row>
    <row r="233" spans="1:10" x14ac:dyDescent="0.25">
      <c r="A233">
        <v>700053</v>
      </c>
      <c r="B233" t="s">
        <v>1074</v>
      </c>
      <c r="C233" s="116">
        <v>0</v>
      </c>
      <c r="D233" s="116">
        <v>0</v>
      </c>
      <c r="E233" s="116">
        <v>0</v>
      </c>
      <c r="F233" s="116">
        <v>0</v>
      </c>
      <c r="G233" s="43" t="str">
        <f>_xlfn.XLOOKUP($A233,Map!$A:$A,Map!C:C)</f>
        <v>IS</v>
      </c>
      <c r="H233" s="43" t="str">
        <f>_xlfn.XLOOKUP($A233,Map!$A:$A,Map!D:D)</f>
        <v>Depreciation expenses</v>
      </c>
      <c r="I233" s="43" t="str">
        <f>_xlfn.XLOOKUP($A233,Map!$A:$A,Map!E:E)</f>
        <v>Depreciation expenses</v>
      </c>
      <c r="J233" s="43" t="str">
        <f>_xlfn.XLOOKUP($A233,Map!$A:$A,Map!F:F)</f>
        <v>Depreciation of property, plant and equipment</v>
      </c>
    </row>
    <row r="234" spans="1:10" x14ac:dyDescent="0.25">
      <c r="A234">
        <v>700054</v>
      </c>
      <c r="B234" t="s">
        <v>1075</v>
      </c>
      <c r="C234" s="116">
        <v>0</v>
      </c>
      <c r="D234" s="116">
        <v>193147.36</v>
      </c>
      <c r="E234" s="116">
        <v>0</v>
      </c>
      <c r="F234" s="116">
        <v>193147.36</v>
      </c>
      <c r="G234" s="43" t="str">
        <f>_xlfn.XLOOKUP($A234,Map!$A:$A,Map!C:C)</f>
        <v>IS</v>
      </c>
      <c r="H234" s="43" t="str">
        <f>_xlfn.XLOOKUP($A234,Map!$A:$A,Map!D:D)</f>
        <v>Depreciation expenses</v>
      </c>
      <c r="I234" s="43" t="str">
        <f>_xlfn.XLOOKUP($A234,Map!$A:$A,Map!E:E)</f>
        <v>Depreciation expenses</v>
      </c>
      <c r="J234" s="43" t="str">
        <f>_xlfn.XLOOKUP($A234,Map!$A:$A,Map!F:F)</f>
        <v>Depreciation of property, plant and equipment</v>
      </c>
    </row>
    <row r="235" spans="1:10" x14ac:dyDescent="0.25">
      <c r="A235">
        <v>700055</v>
      </c>
      <c r="B235" t="s">
        <v>1076</v>
      </c>
      <c r="C235" s="116">
        <v>0</v>
      </c>
      <c r="D235" s="116">
        <v>290954.66800000001</v>
      </c>
      <c r="E235" s="116">
        <v>0</v>
      </c>
      <c r="F235" s="116">
        <v>290954.66800000001</v>
      </c>
      <c r="G235" s="43" t="str">
        <f>_xlfn.XLOOKUP($A235,Map!$A:$A,Map!C:C)</f>
        <v>IS</v>
      </c>
      <c r="H235" s="43" t="str">
        <f>_xlfn.XLOOKUP($A235,Map!$A:$A,Map!D:D)</f>
        <v>Depreciation expenses</v>
      </c>
      <c r="I235" s="43" t="str">
        <f>_xlfn.XLOOKUP($A235,Map!$A:$A,Map!E:E)</f>
        <v>Depreciation expenses</v>
      </c>
      <c r="J235" s="43" t="str">
        <f>_xlfn.XLOOKUP($A235,Map!$A:$A,Map!F:F)</f>
        <v>Depreciation of property, plant and equipment</v>
      </c>
    </row>
    <row r="236" spans="1:10" x14ac:dyDescent="0.25">
      <c r="A236">
        <v>700056</v>
      </c>
      <c r="B236" t="s">
        <v>1077</v>
      </c>
      <c r="C236" s="116">
        <v>0</v>
      </c>
      <c r="D236" s="116">
        <v>0</v>
      </c>
      <c r="E236" s="116">
        <v>0</v>
      </c>
      <c r="F236" s="116">
        <v>0</v>
      </c>
      <c r="G236" s="43" t="str">
        <f>_xlfn.XLOOKUP($A236,Map!$A:$A,Map!C:C)</f>
        <v>IS</v>
      </c>
      <c r="H236" s="43" t="str">
        <f>_xlfn.XLOOKUP($A236,Map!$A:$A,Map!D:D)</f>
        <v>Depreciation expenses</v>
      </c>
      <c r="I236" s="43" t="str">
        <f>_xlfn.XLOOKUP($A236,Map!$A:$A,Map!E:E)</f>
        <v>Depreciation expenses</v>
      </c>
      <c r="J236" s="43" t="str">
        <f>_xlfn.XLOOKUP($A236,Map!$A:$A,Map!F:F)</f>
        <v>Depreciation of property, plant and equipment</v>
      </c>
    </row>
    <row r="237" spans="1:10" x14ac:dyDescent="0.25">
      <c r="A237">
        <v>700057</v>
      </c>
      <c r="B237" t="s">
        <v>1078</v>
      </c>
      <c r="C237" s="116">
        <v>0</v>
      </c>
      <c r="D237" s="116">
        <v>277040</v>
      </c>
      <c r="E237" s="116">
        <v>0</v>
      </c>
      <c r="F237" s="116">
        <v>277040</v>
      </c>
      <c r="G237" s="43" t="str">
        <f>_xlfn.XLOOKUP($A237,Map!$A:$A,Map!C:C)</f>
        <v>IS</v>
      </c>
      <c r="H237" s="43" t="str">
        <f>_xlfn.XLOOKUP($A237,Map!$A:$A,Map!D:D)</f>
        <v>Cost of sales</v>
      </c>
      <c r="I237" s="43" t="str">
        <f>_xlfn.XLOOKUP($A237,Map!$A:$A,Map!E:E)</f>
        <v>Overhead - Rent</v>
      </c>
      <c r="J237" s="43" t="str">
        <f>_xlfn.XLOOKUP($A237,Map!$A:$A,Map!F:F)</f>
        <v>Warehouse Rent ( Khamis, Rioyadh, Dammam)</v>
      </c>
    </row>
    <row r="238" spans="1:10" x14ac:dyDescent="0.25">
      <c r="A238">
        <v>700058</v>
      </c>
      <c r="B238" t="s">
        <v>1079</v>
      </c>
      <c r="C238" s="116">
        <v>0</v>
      </c>
      <c r="D238" s="116">
        <v>139474.67000000001</v>
      </c>
      <c r="E238" s="116">
        <v>12338.377</v>
      </c>
      <c r="F238" s="116">
        <v>127136.29300000001</v>
      </c>
      <c r="G238" s="43" t="str">
        <f>_xlfn.XLOOKUP($A238,Map!$A:$A,Map!C:C)</f>
        <v>IS</v>
      </c>
      <c r="H238" s="43" t="str">
        <f>_xlfn.XLOOKUP($A238,Map!$A:$A,Map!D:D)</f>
        <v>Selling and Marketing</v>
      </c>
      <c r="I238" s="43" t="str">
        <f>_xlfn.XLOOKUP($A238,Map!$A:$A,Map!E:E)</f>
        <v>Advertising and promotion expenses</v>
      </c>
      <c r="J238" s="43" t="str">
        <f>_xlfn.XLOOKUP($A238,Map!$A:$A,Map!F:F)</f>
        <v>Advertising and promotion expenses</v>
      </c>
    </row>
    <row r="239" spans="1:10" x14ac:dyDescent="0.25">
      <c r="A239">
        <v>700059</v>
      </c>
      <c r="B239" t="s">
        <v>1080</v>
      </c>
      <c r="C239" s="116">
        <v>0</v>
      </c>
      <c r="D239" s="116">
        <v>95860.812999999995</v>
      </c>
      <c r="E239" s="116">
        <v>34321.813000000002</v>
      </c>
      <c r="F239" s="116">
        <v>61539</v>
      </c>
      <c r="G239" s="43" t="str">
        <f>_xlfn.XLOOKUP($A239,Map!$A:$A,Map!C:C)</f>
        <v>IS</v>
      </c>
      <c r="H239" s="43" t="str">
        <f>_xlfn.XLOOKUP($A239,Map!$A:$A,Map!D:D)</f>
        <v>Selling and Marketing</v>
      </c>
      <c r="I239" s="43" t="str">
        <f>_xlfn.XLOOKUP($A239,Map!$A:$A,Map!E:E)</f>
        <v>Exhibitions</v>
      </c>
      <c r="J239" s="43" t="str">
        <f>_xlfn.XLOOKUP($A239,Map!$A:$A,Map!F:F)</f>
        <v>Exhibitions</v>
      </c>
    </row>
    <row r="240" spans="1:10" x14ac:dyDescent="0.25">
      <c r="A240">
        <v>700060</v>
      </c>
      <c r="B240" t="s">
        <v>1081</v>
      </c>
      <c r="C240" s="116">
        <v>0</v>
      </c>
      <c r="D240" s="116">
        <v>3099014.2919999999</v>
      </c>
      <c r="E240" s="116">
        <v>459526.84100000001</v>
      </c>
      <c r="F240" s="116">
        <v>2639487.4509999999</v>
      </c>
      <c r="G240" s="43" t="str">
        <f>_xlfn.XLOOKUP($A240,Map!$A:$A,Map!C:C)</f>
        <v>IS</v>
      </c>
      <c r="H240" s="43" t="str">
        <f>_xlfn.XLOOKUP($A240,Map!$A:$A,Map!D:D)</f>
        <v>Selling and Marketing</v>
      </c>
      <c r="I240" s="43" t="str">
        <f>_xlfn.XLOOKUP($A240,Map!$A:$A,Map!E:E)</f>
        <v>Freight and shipping expenses (S&amp;D)</v>
      </c>
      <c r="J240" s="43" t="str">
        <f>_xlfn.XLOOKUP($A240,Map!$A:$A,Map!F:F)</f>
        <v>Outbound freight / shipping — reclassified below gross profit under IFRS</v>
      </c>
    </row>
    <row r="241" spans="1:10" x14ac:dyDescent="0.25">
      <c r="A241">
        <v>700061</v>
      </c>
      <c r="B241" t="s">
        <v>1082</v>
      </c>
      <c r="C241" s="116">
        <v>0</v>
      </c>
      <c r="D241" s="116">
        <v>43952.72</v>
      </c>
      <c r="E241" s="116">
        <v>0</v>
      </c>
      <c r="F241" s="116">
        <v>43952.72</v>
      </c>
      <c r="G241" s="43" t="str">
        <f>_xlfn.XLOOKUP($A241,Map!$A:$A,Map!C:C)</f>
        <v>IS</v>
      </c>
      <c r="H241" s="43" t="str">
        <f>_xlfn.XLOOKUP($A241,Map!$A:$A,Map!D:D)</f>
        <v>Selling and Marketing</v>
      </c>
      <c r="I241" s="43" t="str">
        <f>_xlfn.XLOOKUP($A241,Map!$A:$A,Map!E:E)</f>
        <v>Commission expenses</v>
      </c>
      <c r="J241" s="43" t="str">
        <f>_xlfn.XLOOKUP($A241,Map!$A:$A,Map!F:F)</f>
        <v>Commission expenses</v>
      </c>
    </row>
    <row r="242" spans="1:10" x14ac:dyDescent="0.25">
      <c r="A242">
        <v>700062</v>
      </c>
      <c r="B242" t="s">
        <v>1083</v>
      </c>
      <c r="C242" s="116">
        <v>0</v>
      </c>
      <c r="D242" s="116">
        <v>8931099.4389999993</v>
      </c>
      <c r="E242" s="116">
        <v>0</v>
      </c>
      <c r="F242" s="116">
        <v>8931099.4389999993</v>
      </c>
      <c r="G242" s="43" t="str">
        <f>_xlfn.XLOOKUP($A242,Map!$A:$A,Map!C:C)</f>
        <v>IS</v>
      </c>
      <c r="H242" s="43" t="str">
        <f>_xlfn.XLOOKUP($A242,Map!$A:$A,Map!D:D)</f>
        <v>Revised provision on Bad Debts</v>
      </c>
      <c r="I242" s="43" t="str">
        <f>_xlfn.XLOOKUP($A242,Map!$A:$A,Map!E:E)</f>
        <v>Bad debts expense</v>
      </c>
      <c r="J242" s="43" t="str">
        <f>_xlfn.XLOOKUP($A242,Map!$A:$A,Map!F:F)</f>
        <v>Bad debts expense</v>
      </c>
    </row>
    <row r="243" spans="1:10" x14ac:dyDescent="0.25">
      <c r="A243">
        <v>700063</v>
      </c>
      <c r="B243" t="s">
        <v>1084</v>
      </c>
      <c r="C243" s="116">
        <v>0</v>
      </c>
      <c r="D243" s="116">
        <v>1370946.26</v>
      </c>
      <c r="E243" s="116">
        <v>478083.39</v>
      </c>
      <c r="F243" s="116">
        <v>892862.87</v>
      </c>
      <c r="G243" s="43" t="str">
        <f>_xlfn.XLOOKUP($A243,Map!$A:$A,Map!C:C)</f>
        <v>IS</v>
      </c>
      <c r="H243" s="43" t="str">
        <f>_xlfn.XLOOKUP($A243,Map!$A:$A,Map!D:D)</f>
        <v>General and Admin</v>
      </c>
      <c r="I243" s="43" t="str">
        <f>_xlfn.XLOOKUP($A243,Map!$A:$A,Map!E:E)</f>
        <v>Salaries and wages</v>
      </c>
      <c r="J243" s="43" t="str">
        <f>_xlfn.XLOOKUP($A243,Map!$A:$A,Map!F:F)</f>
        <v>GOSI</v>
      </c>
    </row>
    <row r="244" spans="1:10" x14ac:dyDescent="0.25">
      <c r="A244">
        <v>700064</v>
      </c>
      <c r="B244" t="s">
        <v>1085</v>
      </c>
      <c r="C244" s="116">
        <v>0</v>
      </c>
      <c r="D244" s="116">
        <v>0</v>
      </c>
      <c r="E244" s="116">
        <v>0</v>
      </c>
      <c r="F244" s="116">
        <v>0</v>
      </c>
      <c r="G244" s="43" t="str">
        <f>_xlfn.XLOOKUP($A244,Map!$A:$A,Map!C:C)</f>
        <v>IS</v>
      </c>
      <c r="H244" s="43" t="str">
        <f>_xlfn.XLOOKUP($A244,Map!$A:$A,Map!D:D)</f>
        <v>Pre-operating expenses</v>
      </c>
      <c r="I244" s="43" t="str">
        <f>_xlfn.XLOOKUP($A244,Map!$A:$A,Map!E:E)</f>
        <v>Pre-operating expenses</v>
      </c>
      <c r="J244" s="43" t="str">
        <f>_xlfn.XLOOKUP($A244,Map!$A:$A,Map!F:F)</f>
        <v>Amortization</v>
      </c>
    </row>
    <row r="245" spans="1:10" x14ac:dyDescent="0.25">
      <c r="A245">
        <v>700065</v>
      </c>
      <c r="B245" t="s">
        <v>1086</v>
      </c>
      <c r="C245" s="116">
        <v>0</v>
      </c>
      <c r="D245" s="116">
        <v>81723</v>
      </c>
      <c r="E245" s="116">
        <v>3244</v>
      </c>
      <c r="F245" s="116">
        <v>78479</v>
      </c>
      <c r="G245" s="43" t="str">
        <f>_xlfn.XLOOKUP($A245,Map!$A:$A,Map!C:C)</f>
        <v>IS</v>
      </c>
      <c r="H245" s="43" t="str">
        <f>_xlfn.XLOOKUP($A245,Map!$A:$A,Map!D:D)</f>
        <v>Finance cost</v>
      </c>
      <c r="I245" s="43" t="str">
        <f>_xlfn.XLOOKUP($A245,Map!$A:$A,Map!E:E)</f>
        <v>Finance cost</v>
      </c>
      <c r="J245" s="43" t="str">
        <f>_xlfn.XLOOKUP($A245,Map!$A:$A,Map!F:F)</f>
        <v>Lease interest</v>
      </c>
    </row>
    <row r="246" spans="1:10" x14ac:dyDescent="0.25">
      <c r="A246">
        <v>700066</v>
      </c>
      <c r="B246" t="s">
        <v>1087</v>
      </c>
      <c r="C246" s="116">
        <v>0</v>
      </c>
      <c r="D246" s="116">
        <v>271791.99400000001</v>
      </c>
      <c r="E246" s="116">
        <v>0</v>
      </c>
      <c r="F246" s="116">
        <v>271791.99400000001</v>
      </c>
      <c r="G246" s="43" t="str">
        <f>_xlfn.XLOOKUP($A246,Map!$A:$A,Map!C:C)</f>
        <v>IS</v>
      </c>
      <c r="H246" s="43" t="str">
        <f>_xlfn.XLOOKUP($A246,Map!$A:$A,Map!D:D)</f>
        <v>General and Admin</v>
      </c>
      <c r="I246" s="43" t="str">
        <f>_xlfn.XLOOKUP($A246,Map!$A:$A,Map!E:E)</f>
        <v>Govt license and fees (including modon)</v>
      </c>
      <c r="J246" s="43" t="str">
        <f>_xlfn.XLOOKUP($A246,Map!$A:$A,Map!F:F)</f>
        <v>3rd Industrial Area Lease Provision</v>
      </c>
    </row>
    <row r="247" spans="1:10" x14ac:dyDescent="0.25">
      <c r="A247">
        <v>700067</v>
      </c>
      <c r="B247" t="s">
        <v>1088</v>
      </c>
      <c r="C247" s="116">
        <v>0</v>
      </c>
      <c r="D247" s="116">
        <v>272752.8</v>
      </c>
      <c r="E247" s="116">
        <v>199663.815</v>
      </c>
      <c r="F247" s="116">
        <v>73088.985000000001</v>
      </c>
      <c r="G247" s="43" t="str">
        <f>_xlfn.XLOOKUP($A247,Map!$A:$A,Map!C:C)</f>
        <v>IS</v>
      </c>
      <c r="H247" s="43" t="str">
        <f>_xlfn.XLOOKUP($A247,Map!$A:$A,Map!D:D)</f>
        <v>Selling and Marketing</v>
      </c>
      <c r="I247" s="43" t="str">
        <f>_xlfn.XLOOKUP($A247,Map!$A:$A,Map!E:E)</f>
        <v>Freight and shipping expenses (S&amp;D)</v>
      </c>
      <c r="J247" s="43" t="str">
        <f>_xlfn.XLOOKUP($A247,Map!$A:$A,Map!F:F)</f>
        <v>Outbound freight / shipping — reclassified below gross profit under IFRS</v>
      </c>
    </row>
    <row r="248" spans="1:10" x14ac:dyDescent="0.25">
      <c r="A248">
        <v>800001</v>
      </c>
      <c r="B248" t="s">
        <v>1099</v>
      </c>
      <c r="C248" s="116">
        <v>0</v>
      </c>
      <c r="D248" s="116">
        <v>0</v>
      </c>
      <c r="E248" s="116">
        <v>0</v>
      </c>
      <c r="F248" s="116">
        <v>0</v>
      </c>
      <c r="G248" s="43" t="str">
        <f>_xlfn.XLOOKUP($A248,Map!$A:$A,Map!C:C)</f>
        <v>IS</v>
      </c>
      <c r="H248" s="43" t="str">
        <f>_xlfn.XLOOKUP($A248,Map!$A:$A,Map!D:D)</f>
        <v>General and Admin</v>
      </c>
      <c r="I248" s="43" t="str">
        <f>_xlfn.XLOOKUP($A248,Map!$A:$A,Map!E:E)</f>
        <v>Salaries and wages</v>
      </c>
      <c r="J248" s="43" t="str">
        <f>_xlfn.XLOOKUP($A248,Map!$A:$A,Map!F:F)</f>
        <v>Aims Holding current account expense — per Sep-26 IFRS report</v>
      </c>
    </row>
    <row r="249" spans="1:10" x14ac:dyDescent="0.25">
      <c r="A249">
        <v>800002</v>
      </c>
      <c r="B249" t="s">
        <v>1100</v>
      </c>
      <c r="C249" s="116">
        <v>0</v>
      </c>
      <c r="D249" s="116">
        <v>0</v>
      </c>
      <c r="E249" s="116">
        <v>0</v>
      </c>
      <c r="F249" s="116">
        <v>0</v>
      </c>
      <c r="G249" s="43" t="str">
        <f>_xlfn.XLOOKUP($A249,Map!$A:$A,Map!C:C)</f>
        <v>IS</v>
      </c>
      <c r="H249" s="43" t="str">
        <f>_xlfn.XLOOKUP($A249,Map!$A:$A,Map!D:D)</f>
        <v>General and Admin</v>
      </c>
      <c r="I249" s="43" t="str">
        <f>_xlfn.XLOOKUP($A249,Map!$A:$A,Map!E:E)</f>
        <v>AIMS expenses</v>
      </c>
      <c r="J249" s="43" t="str">
        <f>_xlfn.XLOOKUP($A249,Map!$A:$A,Map!F:F)</f>
        <v>Aims Holding  Current Acc</v>
      </c>
    </row>
    <row r="250" spans="1:10" x14ac:dyDescent="0.25">
      <c r="G250" s="43"/>
      <c r="H250" s="43"/>
      <c r="I250" s="43"/>
      <c r="J250" s="43"/>
    </row>
    <row r="251" spans="1:10" x14ac:dyDescent="0.25">
      <c r="C251" s="153">
        <f>SUBTOTAL(9,C5:C250)</f>
        <v>1.4901161193847656E-8</v>
      </c>
      <c r="D251" s="153">
        <f>SUBTOTAL(9,D5:D250)</f>
        <v>1966598477.7970006</v>
      </c>
      <c r="E251" s="153">
        <f>SUBTOTAL(9,E5:E250)</f>
        <v>1966598477.7970004</v>
      </c>
      <c r="F251" s="153">
        <f>SUBTOTAL(9,F5:F250)</f>
        <v>-8.7748048827052116E-9</v>
      </c>
    </row>
    <row r="252" spans="1:10" x14ac:dyDescent="0.25">
      <c r="C252" s="153"/>
      <c r="D252" s="153"/>
      <c r="E252" s="153"/>
      <c r="F252" s="153"/>
    </row>
    <row r="253" spans="1:10" x14ac:dyDescent="0.25">
      <c r="A253" s="85" t="s">
        <v>1341</v>
      </c>
    </row>
    <row r="254" spans="1:10" x14ac:dyDescent="0.25">
      <c r="A254">
        <v>600060</v>
      </c>
      <c r="B254" t="s">
        <v>1358</v>
      </c>
      <c r="D254" s="116">
        <v>0</v>
      </c>
      <c r="E254" s="116">
        <v>776507.2</v>
      </c>
      <c r="F254" s="116">
        <f t="shared" ref="F254:F285" si="0">D254-E254</f>
        <v>-776507.2</v>
      </c>
      <c r="G254" s="43" t="str">
        <f>_xlfn.XLOOKUP($A254,Map!$A:$A,Map!C:C)</f>
        <v>IS</v>
      </c>
      <c r="H254" s="43" t="str">
        <f>_xlfn.XLOOKUP($A254,Map!$A:$A,Map!D:D)</f>
        <v>Other Income</v>
      </c>
      <c r="I254" s="43" t="str">
        <f>_xlfn.XLOOKUP($A254,Map!$A:$A,Map!E:E)</f>
        <v>Other Income</v>
      </c>
      <c r="J254" s="43" t="str">
        <f>_xlfn.XLOOKUP($A254,Map!$A:$A,Map!F:F)</f>
        <v>Hadaf program</v>
      </c>
    </row>
    <row r="255" spans="1:10" x14ac:dyDescent="0.25">
      <c r="A255">
        <v>600034</v>
      </c>
      <c r="B255" t="s">
        <v>1458</v>
      </c>
      <c r="D255" s="116">
        <v>511007.99800000002</v>
      </c>
      <c r="E255" s="116">
        <v>0</v>
      </c>
      <c r="F255" s="116">
        <f t="shared" si="0"/>
        <v>511007.99800000002</v>
      </c>
      <c r="G255" s="43" t="str">
        <f>_xlfn.XLOOKUP($A255,Map!$A:$A,Map!C:C)</f>
        <v>IS</v>
      </c>
      <c r="H255" s="43" t="str">
        <f>_xlfn.XLOOKUP($A255,Map!$A:$A,Map!D:D)</f>
        <v>Cost of sales</v>
      </c>
      <c r="I255" s="43" t="str">
        <f>_xlfn.XLOOKUP($A255,Map!$A:$A,Map!E:E)</f>
        <v>Overhead - Rent Labor</v>
      </c>
      <c r="J255" s="43" t="str">
        <f>_xlfn.XLOOKUP($A255,Map!$A:$A,Map!F:F)</f>
        <v>Rental labor</v>
      </c>
    </row>
    <row r="256" spans="1:10" x14ac:dyDescent="0.25">
      <c r="A256">
        <v>600034</v>
      </c>
      <c r="B256" t="s">
        <v>1011</v>
      </c>
      <c r="D256" s="116">
        <v>7200</v>
      </c>
      <c r="E256" s="116">
        <v>0</v>
      </c>
      <c r="F256" s="116">
        <f t="shared" si="0"/>
        <v>7200</v>
      </c>
      <c r="G256" s="43" t="str">
        <f>_xlfn.XLOOKUP($A256,Map!$A:$A,Map!C:C)</f>
        <v>IS</v>
      </c>
      <c r="H256" s="43" t="str">
        <f>_xlfn.XLOOKUP($A256,Map!$A:$A,Map!D:D)</f>
        <v>Cost of sales</v>
      </c>
      <c r="I256" s="43" t="str">
        <f>_xlfn.XLOOKUP($A256,Map!$A:$A,Map!E:E)</f>
        <v>Overhead - Rent Labor</v>
      </c>
      <c r="J256" s="43" t="str">
        <f>_xlfn.XLOOKUP($A256,Map!$A:$A,Map!F:F)</f>
        <v>Rental labor</v>
      </c>
    </row>
    <row r="257" spans="1:10" x14ac:dyDescent="0.25">
      <c r="A257">
        <v>600033</v>
      </c>
      <c r="B257" t="s">
        <v>1359</v>
      </c>
      <c r="D257" s="116">
        <v>162906.99600000001</v>
      </c>
      <c r="E257" s="116">
        <v>0</v>
      </c>
      <c r="F257" s="116">
        <f t="shared" si="0"/>
        <v>162906.99600000001</v>
      </c>
      <c r="G257" s="43" t="str">
        <f>_xlfn.XLOOKUP($A257,Map!$A:$A,Map!C:C)</f>
        <v>IS</v>
      </c>
      <c r="H257" s="43" t="str">
        <f>_xlfn.XLOOKUP($A257,Map!$A:$A,Map!D:D)</f>
        <v>Depreciation expenses</v>
      </c>
      <c r="I257" s="43" t="str">
        <f>_xlfn.XLOOKUP($A257,Map!$A:$A,Map!E:E)</f>
        <v>Depreciation expenses</v>
      </c>
      <c r="J257" s="43" t="str">
        <f>_xlfn.XLOOKUP($A257,Map!$A:$A,Map!F:F)</f>
        <v>Depreciation of property, plant and equipment</v>
      </c>
    </row>
    <row r="258" spans="1:10" x14ac:dyDescent="0.25">
      <c r="A258">
        <v>600032</v>
      </c>
      <c r="B258" t="s">
        <v>1360</v>
      </c>
      <c r="D258" s="116">
        <v>1566844.2</v>
      </c>
      <c r="E258" s="116">
        <v>0</v>
      </c>
      <c r="F258" s="116">
        <f t="shared" si="0"/>
        <v>1566844.2</v>
      </c>
      <c r="G258" s="43" t="str">
        <f>_xlfn.XLOOKUP($A258,Map!$A:$A,Map!C:C)</f>
        <v>IS</v>
      </c>
      <c r="H258" s="43" t="str">
        <f>_xlfn.XLOOKUP($A258,Map!$A:$A,Map!D:D)</f>
        <v>Depreciation expenses</v>
      </c>
      <c r="I258" s="43" t="str">
        <f>_xlfn.XLOOKUP($A258,Map!$A:$A,Map!E:E)</f>
        <v>Depreciation expenses</v>
      </c>
      <c r="J258" s="43" t="str">
        <f>_xlfn.XLOOKUP($A258,Map!$A:$A,Map!F:F)</f>
        <v>Depreciation of property, plant and equipment</v>
      </c>
    </row>
    <row r="259" spans="1:10" x14ac:dyDescent="0.25">
      <c r="A259">
        <v>600030</v>
      </c>
      <c r="B259" t="s">
        <v>1362</v>
      </c>
      <c r="D259" s="116">
        <v>87931.763999999996</v>
      </c>
      <c r="E259" s="116">
        <v>0</v>
      </c>
      <c r="F259" s="116">
        <f t="shared" si="0"/>
        <v>87931.763999999996</v>
      </c>
      <c r="G259" s="43" t="str">
        <f>_xlfn.XLOOKUP($A259,Map!$A:$A,Map!C:C)</f>
        <v>IS</v>
      </c>
      <c r="H259" s="43" t="str">
        <f>_xlfn.XLOOKUP($A259,Map!$A:$A,Map!D:D)</f>
        <v>Depreciation expenses</v>
      </c>
      <c r="I259" s="43" t="str">
        <f>_xlfn.XLOOKUP($A259,Map!$A:$A,Map!E:E)</f>
        <v>Depreciation expenses</v>
      </c>
      <c r="J259" s="43" t="str">
        <f>_xlfn.XLOOKUP($A259,Map!$A:$A,Map!F:F)</f>
        <v>Depreciation of property, plant and equipment</v>
      </c>
    </row>
    <row r="260" spans="1:10" x14ac:dyDescent="0.25">
      <c r="A260">
        <v>600029</v>
      </c>
      <c r="B260" t="s">
        <v>1363</v>
      </c>
      <c r="D260" s="116">
        <v>3892923.0929999999</v>
      </c>
      <c r="E260" s="116">
        <v>0</v>
      </c>
      <c r="F260" s="116">
        <f t="shared" si="0"/>
        <v>3892923.0929999999</v>
      </c>
      <c r="G260" s="43" t="str">
        <f>_xlfn.XLOOKUP($A260,Map!$A:$A,Map!C:C)</f>
        <v>IS</v>
      </c>
      <c r="H260" s="43" t="str">
        <f>_xlfn.XLOOKUP($A260,Map!$A:$A,Map!D:D)</f>
        <v>Cost of sales</v>
      </c>
      <c r="I260" s="43" t="str">
        <f>_xlfn.XLOOKUP($A260,Map!$A:$A,Map!E:E)</f>
        <v>Depreciation - Machines</v>
      </c>
      <c r="J260" s="43" t="str">
        <f>_xlfn.XLOOKUP($A260,Map!$A:$A,Map!F:F)</f>
        <v>Depreciation of property, plant and equipment</v>
      </c>
    </row>
    <row r="261" spans="1:10" x14ac:dyDescent="0.25">
      <c r="A261">
        <v>600022</v>
      </c>
      <c r="B261" t="s">
        <v>1364</v>
      </c>
      <c r="D261" s="116">
        <v>5883</v>
      </c>
      <c r="E261" s="116">
        <v>0</v>
      </c>
      <c r="F261" s="116">
        <f t="shared" si="0"/>
        <v>5883</v>
      </c>
      <c r="G261" s="43" t="str">
        <f>_xlfn.XLOOKUP($A261,Map!$A:$A,Map!C:C)</f>
        <v>IS</v>
      </c>
      <c r="H261" s="43" t="str">
        <f>_xlfn.XLOOKUP($A261,Map!$A:$A,Map!D:D)</f>
        <v>Cost of sales</v>
      </c>
      <c r="I261" s="43" t="str">
        <f>_xlfn.XLOOKUP($A261,Map!$A:$A,Map!E:E)</f>
        <v>Overhead - R&amp;M</v>
      </c>
      <c r="J261" s="43" t="str">
        <f>_xlfn.XLOOKUP($A261,Map!$A:$A,Map!F:F)</f>
        <v>Building maintenance</v>
      </c>
    </row>
    <row r="262" spans="1:10" x14ac:dyDescent="0.25">
      <c r="A262">
        <v>600022</v>
      </c>
      <c r="B262" t="s">
        <v>999</v>
      </c>
      <c r="D262" s="116">
        <v>0</v>
      </c>
      <c r="E262" s="116">
        <v>20774.97</v>
      </c>
      <c r="F262" s="116">
        <f t="shared" si="0"/>
        <v>-20774.97</v>
      </c>
      <c r="G262" s="43" t="str">
        <f>_xlfn.XLOOKUP($A262,Map!$A:$A,Map!C:C)</f>
        <v>IS</v>
      </c>
      <c r="H262" s="43" t="str">
        <f>_xlfn.XLOOKUP($A262,Map!$A:$A,Map!D:D)</f>
        <v>Cost of sales</v>
      </c>
      <c r="I262" s="43" t="str">
        <f>_xlfn.XLOOKUP($A262,Map!$A:$A,Map!E:E)</f>
        <v>Overhead - R&amp;M</v>
      </c>
      <c r="J262" s="43" t="str">
        <f>_xlfn.XLOOKUP($A262,Map!$A:$A,Map!F:F)</f>
        <v>Building maintenance</v>
      </c>
    </row>
    <row r="263" spans="1:10" x14ac:dyDescent="0.25">
      <c r="A263">
        <v>600021</v>
      </c>
      <c r="B263" t="s">
        <v>1365</v>
      </c>
      <c r="D263" s="116">
        <v>22187.22</v>
      </c>
      <c r="E263" s="116">
        <v>0</v>
      </c>
      <c r="F263" s="116">
        <f t="shared" si="0"/>
        <v>22187.22</v>
      </c>
      <c r="G263" s="43" t="str">
        <f>_xlfn.XLOOKUP($A263,Map!$A:$A,Map!C:C)</f>
        <v>IS</v>
      </c>
      <c r="H263" s="43" t="str">
        <f>_xlfn.XLOOKUP($A263,Map!$A:$A,Map!D:D)</f>
        <v>Cost of sales</v>
      </c>
      <c r="I263" s="43" t="str">
        <f>_xlfn.XLOOKUP($A263,Map!$A:$A,Map!E:E)</f>
        <v>Overhead - R&amp;M</v>
      </c>
      <c r="J263" s="43" t="str">
        <f>_xlfn.XLOOKUP($A263,Map!$A:$A,Map!F:F)</f>
        <v>Vehicle maintenance</v>
      </c>
    </row>
    <row r="264" spans="1:10" x14ac:dyDescent="0.25">
      <c r="A264">
        <v>600020</v>
      </c>
      <c r="B264" t="s">
        <v>1366</v>
      </c>
      <c r="D264" s="116">
        <v>278086.342</v>
      </c>
      <c r="E264" s="116">
        <v>0</v>
      </c>
      <c r="F264" s="116">
        <f t="shared" si="0"/>
        <v>278086.342</v>
      </c>
      <c r="G264" s="43" t="str">
        <f>_xlfn.XLOOKUP($A264,Map!$A:$A,Map!C:C)</f>
        <v>IS</v>
      </c>
      <c r="H264" s="43" t="str">
        <f>_xlfn.XLOOKUP($A264,Map!$A:$A,Map!D:D)</f>
        <v>Cost of sales</v>
      </c>
      <c r="I264" s="43" t="str">
        <f>_xlfn.XLOOKUP($A264,Map!$A:$A,Map!E:E)</f>
        <v>Overhead - R&amp;M</v>
      </c>
      <c r="J264" s="43" t="str">
        <f>_xlfn.XLOOKUP($A264,Map!$A:$A,Map!F:F)</f>
        <v>Machine and equipment</v>
      </c>
    </row>
    <row r="265" spans="1:10" x14ac:dyDescent="0.25">
      <c r="A265">
        <v>600019</v>
      </c>
      <c r="B265" t="s">
        <v>1367</v>
      </c>
      <c r="D265" s="116">
        <v>74965.739000000001</v>
      </c>
      <c r="E265" s="116">
        <v>0</v>
      </c>
      <c r="F265" s="116">
        <f t="shared" si="0"/>
        <v>74965.739000000001</v>
      </c>
      <c r="G265" s="43" t="str">
        <f>_xlfn.XLOOKUP($A265,Map!$A:$A,Map!C:C)</f>
        <v>IS</v>
      </c>
      <c r="H265" s="43" t="str">
        <f>_xlfn.XLOOKUP($A265,Map!$A:$A,Map!D:D)</f>
        <v>Cost of sales</v>
      </c>
      <c r="I265" s="43" t="str">
        <f>_xlfn.XLOOKUP($A265,Map!$A:$A,Map!E:E)</f>
        <v>Overhead - Utility</v>
      </c>
      <c r="J265" s="43" t="str">
        <f>_xlfn.XLOOKUP($A265,Map!$A:$A,Map!F:F)</f>
        <v>Fuel and oil</v>
      </c>
    </row>
    <row r="266" spans="1:10" x14ac:dyDescent="0.25">
      <c r="A266">
        <v>600018</v>
      </c>
      <c r="B266" t="s">
        <v>1368</v>
      </c>
      <c r="D266" s="116">
        <v>106290.5</v>
      </c>
      <c r="E266" s="116">
        <v>0</v>
      </c>
      <c r="F266" s="116">
        <f t="shared" si="0"/>
        <v>106290.5</v>
      </c>
      <c r="G266" s="43" t="str">
        <f>_xlfn.XLOOKUP($A266,Map!$A:$A,Map!C:C)</f>
        <v>IS</v>
      </c>
      <c r="H266" s="43" t="str">
        <f>_xlfn.XLOOKUP($A266,Map!$A:$A,Map!D:D)</f>
        <v>Cost of sales</v>
      </c>
      <c r="I266" s="43" t="str">
        <f>_xlfn.XLOOKUP($A266,Map!$A:$A,Map!E:E)</f>
        <v>Overhead - Utility</v>
      </c>
      <c r="J266" s="43" t="str">
        <f>_xlfn.XLOOKUP($A266,Map!$A:$A,Map!F:F)</f>
        <v>Water expenses</v>
      </c>
    </row>
    <row r="267" spans="1:10" x14ac:dyDescent="0.25">
      <c r="A267">
        <v>600018</v>
      </c>
      <c r="B267" t="s">
        <v>1459</v>
      </c>
      <c r="D267" s="116">
        <v>0</v>
      </c>
      <c r="E267" s="116">
        <v>0</v>
      </c>
      <c r="F267" s="116">
        <f t="shared" si="0"/>
        <v>0</v>
      </c>
      <c r="G267" s="43" t="str">
        <f>_xlfn.XLOOKUP($A267,Map!$A:$A,Map!C:C)</f>
        <v>IS</v>
      </c>
      <c r="H267" s="43" t="str">
        <f>_xlfn.XLOOKUP($A267,Map!$A:$A,Map!D:D)</f>
        <v>Cost of sales</v>
      </c>
      <c r="I267" s="43" t="str">
        <f>_xlfn.XLOOKUP($A267,Map!$A:$A,Map!E:E)</f>
        <v>Overhead - Utility</v>
      </c>
      <c r="J267" s="43" t="str">
        <f>_xlfn.XLOOKUP($A267,Map!$A:$A,Map!F:F)</f>
        <v>Water expenses</v>
      </c>
    </row>
    <row r="268" spans="1:10" x14ac:dyDescent="0.25">
      <c r="A268">
        <v>600018</v>
      </c>
      <c r="B268" t="s">
        <v>1460</v>
      </c>
      <c r="D268" s="116">
        <v>10070</v>
      </c>
      <c r="E268" s="116">
        <v>0</v>
      </c>
      <c r="F268" s="116">
        <f t="shared" si="0"/>
        <v>10070</v>
      </c>
      <c r="G268" s="43" t="str">
        <f>_xlfn.XLOOKUP($A268,Map!$A:$A,Map!C:C)</f>
        <v>IS</v>
      </c>
      <c r="H268" s="43" t="str">
        <f>_xlfn.XLOOKUP($A268,Map!$A:$A,Map!D:D)</f>
        <v>Cost of sales</v>
      </c>
      <c r="I268" s="43" t="str">
        <f>_xlfn.XLOOKUP($A268,Map!$A:$A,Map!E:E)</f>
        <v>Overhead - Utility</v>
      </c>
      <c r="J268" s="43" t="str">
        <f>_xlfn.XLOOKUP($A268,Map!$A:$A,Map!F:F)</f>
        <v>Water expenses</v>
      </c>
    </row>
    <row r="269" spans="1:10" x14ac:dyDescent="0.25">
      <c r="A269">
        <v>600018</v>
      </c>
      <c r="B269" t="s">
        <v>995</v>
      </c>
      <c r="D269" s="116">
        <v>19020</v>
      </c>
      <c r="E269" s="116">
        <v>0</v>
      </c>
      <c r="F269" s="116">
        <f t="shared" si="0"/>
        <v>19020</v>
      </c>
      <c r="G269" s="43" t="str">
        <f>_xlfn.XLOOKUP($A269,Map!$A:$A,Map!C:C)</f>
        <v>IS</v>
      </c>
      <c r="H269" s="43" t="str">
        <f>_xlfn.XLOOKUP($A269,Map!$A:$A,Map!D:D)</f>
        <v>Cost of sales</v>
      </c>
      <c r="I269" s="43" t="str">
        <f>_xlfn.XLOOKUP($A269,Map!$A:$A,Map!E:E)</f>
        <v>Overhead - Utility</v>
      </c>
      <c r="J269" s="43" t="str">
        <f>_xlfn.XLOOKUP($A269,Map!$A:$A,Map!F:F)</f>
        <v>Water expenses</v>
      </c>
    </row>
    <row r="270" spans="1:10" x14ac:dyDescent="0.25">
      <c r="A270">
        <v>600017</v>
      </c>
      <c r="B270" t="s">
        <v>1369</v>
      </c>
      <c r="D270" s="116">
        <v>1446669.747</v>
      </c>
      <c r="E270" s="116">
        <v>0</v>
      </c>
      <c r="F270" s="116">
        <f t="shared" si="0"/>
        <v>1446669.747</v>
      </c>
      <c r="G270" s="43" t="str">
        <f>_xlfn.XLOOKUP($A270,Map!$A:$A,Map!C:C)</f>
        <v>IS</v>
      </c>
      <c r="H270" s="43" t="str">
        <f>_xlfn.XLOOKUP($A270,Map!$A:$A,Map!D:D)</f>
        <v>Cost of sales</v>
      </c>
      <c r="I270" s="43" t="str">
        <f>_xlfn.XLOOKUP($A270,Map!$A:$A,Map!E:E)</f>
        <v>Overhead - Utility</v>
      </c>
      <c r="J270" s="43" t="str">
        <f>_xlfn.XLOOKUP($A270,Map!$A:$A,Map!F:F)</f>
        <v>Electricity expenses</v>
      </c>
    </row>
    <row r="271" spans="1:10" x14ac:dyDescent="0.25">
      <c r="A271">
        <v>600016</v>
      </c>
      <c r="B271" t="s">
        <v>1370</v>
      </c>
      <c r="D271" s="116">
        <v>146659.15400000001</v>
      </c>
      <c r="E271" s="116">
        <v>0</v>
      </c>
      <c r="F271" s="116">
        <f t="shared" si="0"/>
        <v>146659.15400000001</v>
      </c>
      <c r="G271" s="43" t="str">
        <f>_xlfn.XLOOKUP($A271,Map!$A:$A,Map!C:C)</f>
        <v>IS</v>
      </c>
      <c r="H271" s="43" t="str">
        <f>_xlfn.XLOOKUP($A271,Map!$A:$A,Map!D:D)</f>
        <v>Cost of sales</v>
      </c>
      <c r="I271" s="43" t="str">
        <f>_xlfn.XLOOKUP($A271,Map!$A:$A,Map!E:E)</f>
        <v>Overhead - Consumables &amp; SP</v>
      </c>
      <c r="J271" s="43" t="str">
        <f>_xlfn.XLOOKUP($A271,Map!$A:$A,Map!F:F)</f>
        <v>Tools</v>
      </c>
    </row>
    <row r="272" spans="1:10" x14ac:dyDescent="0.25">
      <c r="A272">
        <v>600016</v>
      </c>
      <c r="B272" t="s">
        <v>993</v>
      </c>
      <c r="D272" s="116">
        <v>2220400.0240000002</v>
      </c>
      <c r="E272" s="116">
        <v>0</v>
      </c>
      <c r="F272" s="116">
        <f t="shared" si="0"/>
        <v>2220400.0240000002</v>
      </c>
      <c r="G272" s="43" t="str">
        <f>_xlfn.XLOOKUP($A272,Map!$A:$A,Map!C:C)</f>
        <v>IS</v>
      </c>
      <c r="H272" s="43" t="str">
        <f>_xlfn.XLOOKUP($A272,Map!$A:$A,Map!D:D)</f>
        <v>Cost of sales</v>
      </c>
      <c r="I272" s="43" t="str">
        <f>_xlfn.XLOOKUP($A272,Map!$A:$A,Map!E:E)</f>
        <v>Overhead - Consumables &amp; SP</v>
      </c>
      <c r="J272" s="43" t="str">
        <f>_xlfn.XLOOKUP($A272,Map!$A:$A,Map!F:F)</f>
        <v>Tools</v>
      </c>
    </row>
    <row r="273" spans="1:10" x14ac:dyDescent="0.25">
      <c r="A273">
        <v>600014</v>
      </c>
      <c r="B273" t="s">
        <v>1372</v>
      </c>
      <c r="D273" s="116">
        <v>63251.538</v>
      </c>
      <c r="E273" s="116">
        <v>0</v>
      </c>
      <c r="F273" s="116">
        <f t="shared" si="0"/>
        <v>63251.538</v>
      </c>
      <c r="G273" s="43" t="str">
        <f>_xlfn.XLOOKUP($A273,Map!$A:$A,Map!C:C)</f>
        <v>IS</v>
      </c>
      <c r="H273" s="43" t="str">
        <f>_xlfn.XLOOKUP($A273,Map!$A:$A,Map!D:D)</f>
        <v>Cost of sales</v>
      </c>
      <c r="I273" s="43" t="str">
        <f>_xlfn.XLOOKUP($A273,Map!$A:$A,Map!E:E)</f>
        <v>Overhead - Consumables &amp; SP</v>
      </c>
      <c r="J273" s="43" t="str">
        <f>_xlfn.XLOOKUP($A273,Map!$A:$A,Map!F:F)</f>
        <v>Consumables</v>
      </c>
    </row>
    <row r="274" spans="1:10" x14ac:dyDescent="0.25">
      <c r="A274">
        <v>600014</v>
      </c>
      <c r="B274" t="s">
        <v>884</v>
      </c>
      <c r="D274" s="116">
        <v>2031503.598</v>
      </c>
      <c r="E274" s="116">
        <v>0</v>
      </c>
      <c r="F274" s="116">
        <f t="shared" si="0"/>
        <v>2031503.598</v>
      </c>
      <c r="G274" s="43" t="str">
        <f>_xlfn.XLOOKUP($A274,Map!$A:$A,Map!C:C)</f>
        <v>IS</v>
      </c>
      <c r="H274" s="43" t="str">
        <f>_xlfn.XLOOKUP($A274,Map!$A:$A,Map!D:D)</f>
        <v>Cost of sales</v>
      </c>
      <c r="I274" s="43" t="str">
        <f>_xlfn.XLOOKUP($A274,Map!$A:$A,Map!E:E)</f>
        <v>Overhead - Consumables &amp; SP</v>
      </c>
      <c r="J274" s="43" t="str">
        <f>_xlfn.XLOOKUP($A274,Map!$A:$A,Map!F:F)</f>
        <v>Consumables</v>
      </c>
    </row>
    <row r="275" spans="1:10" x14ac:dyDescent="0.25">
      <c r="A275">
        <v>600011</v>
      </c>
      <c r="B275" t="s">
        <v>1373</v>
      </c>
      <c r="D275" s="116">
        <v>12000</v>
      </c>
      <c r="E275" s="116">
        <v>0</v>
      </c>
      <c r="F275" s="116">
        <f t="shared" si="0"/>
        <v>12000</v>
      </c>
      <c r="G275" s="43" t="str">
        <f>_xlfn.XLOOKUP($A275,Map!$A:$A,Map!C:C)</f>
        <v>IS</v>
      </c>
      <c r="H275" s="43" t="str">
        <f>_xlfn.XLOOKUP($A275,Map!$A:$A,Map!D:D)</f>
        <v>Cost of sales</v>
      </c>
      <c r="I275" s="43" t="str">
        <f>_xlfn.XLOOKUP($A275,Map!$A:$A,Map!E:E)</f>
        <v>Overhead - Labor Cost</v>
      </c>
      <c r="J275" s="43" t="str">
        <f>_xlfn.XLOOKUP($A275,Map!$A:$A,Map!F:F)</f>
        <v>Air tickets</v>
      </c>
    </row>
    <row r="276" spans="1:10" x14ac:dyDescent="0.25">
      <c r="A276">
        <v>600010</v>
      </c>
      <c r="B276" t="s">
        <v>1374</v>
      </c>
      <c r="D276" s="116">
        <v>22591</v>
      </c>
      <c r="E276" s="116">
        <v>0</v>
      </c>
      <c r="F276" s="116">
        <f t="shared" si="0"/>
        <v>22591</v>
      </c>
      <c r="G276" s="43" t="str">
        <f>_xlfn.XLOOKUP($A276,Map!$A:$A,Map!C:C)</f>
        <v>IS</v>
      </c>
      <c r="H276" s="43" t="str">
        <f>_xlfn.XLOOKUP($A276,Map!$A:$A,Map!D:D)</f>
        <v>Cost of sales</v>
      </c>
      <c r="I276" s="43" t="str">
        <f>_xlfn.XLOOKUP($A276,Map!$A:$A,Map!E:E)</f>
        <v>Overhead - Labor Cost</v>
      </c>
      <c r="J276" s="43" t="str">
        <f>_xlfn.XLOOKUP($A276,Map!$A:$A,Map!F:F)</f>
        <v>EOS expenses</v>
      </c>
    </row>
    <row r="277" spans="1:10" x14ac:dyDescent="0.25">
      <c r="A277">
        <v>600009</v>
      </c>
      <c r="B277" t="s">
        <v>1375</v>
      </c>
      <c r="D277" s="116">
        <v>327325.90000000002</v>
      </c>
      <c r="E277" s="116">
        <v>0</v>
      </c>
      <c r="F277" s="116">
        <f t="shared" si="0"/>
        <v>327325.90000000002</v>
      </c>
      <c r="G277" s="43" t="str">
        <f>_xlfn.XLOOKUP($A277,Map!$A:$A,Map!C:C)</f>
        <v>IS</v>
      </c>
      <c r="H277" s="43" t="str">
        <f>_xlfn.XLOOKUP($A277,Map!$A:$A,Map!D:D)</f>
        <v>Cost of sales</v>
      </c>
      <c r="I277" s="43" t="str">
        <f>_xlfn.XLOOKUP($A277,Map!$A:$A,Map!E:E)</f>
        <v>Overhead - Labor Cost</v>
      </c>
      <c r="J277" s="43" t="str">
        <f>_xlfn.XLOOKUP($A277,Map!$A:$A,Map!F:F)</f>
        <v>Vacation pay</v>
      </c>
    </row>
    <row r="278" spans="1:10" x14ac:dyDescent="0.25">
      <c r="A278">
        <v>600008</v>
      </c>
      <c r="B278" t="s">
        <v>1376</v>
      </c>
      <c r="D278" s="116">
        <v>313336.43599999999</v>
      </c>
      <c r="E278" s="116">
        <v>0</v>
      </c>
      <c r="F278" s="116">
        <f t="shared" si="0"/>
        <v>313336.43599999999</v>
      </c>
      <c r="G278" s="43" t="str">
        <f>_xlfn.XLOOKUP($A278,Map!$A:$A,Map!C:C)</f>
        <v>IS</v>
      </c>
      <c r="H278" s="43" t="str">
        <f>_xlfn.XLOOKUP($A278,Map!$A:$A,Map!D:D)</f>
        <v>Cost of sales</v>
      </c>
      <c r="I278" s="43" t="str">
        <f>_xlfn.XLOOKUP($A278,Map!$A:$A,Map!E:E)</f>
        <v>Overhead - Labor Cost</v>
      </c>
      <c r="J278" s="43" t="str">
        <f>_xlfn.XLOOKUP($A278,Map!$A:$A,Map!F:F)</f>
        <v>Air tickets</v>
      </c>
    </row>
    <row r="279" spans="1:10" x14ac:dyDescent="0.25">
      <c r="A279">
        <v>600006</v>
      </c>
      <c r="B279" t="s">
        <v>1378</v>
      </c>
      <c r="D279" s="116">
        <v>1093343.699</v>
      </c>
      <c r="E279" s="116">
        <v>0</v>
      </c>
      <c r="F279" s="116">
        <f t="shared" si="0"/>
        <v>1093343.699</v>
      </c>
      <c r="G279" s="43" t="str">
        <f>_xlfn.XLOOKUP($A279,Map!$A:$A,Map!C:C)</f>
        <v>IS</v>
      </c>
      <c r="H279" s="43" t="str">
        <f>_xlfn.XLOOKUP($A279,Map!$A:$A,Map!D:D)</f>
        <v>Cost of sales</v>
      </c>
      <c r="I279" s="43" t="str">
        <f>_xlfn.XLOOKUP($A279,Map!$A:$A,Map!E:E)</f>
        <v>Overhead - Labor Cost</v>
      </c>
      <c r="J279" s="43" t="str">
        <f>_xlfn.XLOOKUP($A279,Map!$A:$A,Map!F:F)</f>
        <v xml:space="preserve">Food &amp; Housing </v>
      </c>
    </row>
    <row r="280" spans="1:10" x14ac:dyDescent="0.25">
      <c r="A280">
        <v>600005</v>
      </c>
      <c r="B280" t="s">
        <v>1379</v>
      </c>
      <c r="D280" s="116">
        <v>148435.76</v>
      </c>
      <c r="E280" s="116">
        <v>0</v>
      </c>
      <c r="F280" s="116">
        <f t="shared" si="0"/>
        <v>148435.76</v>
      </c>
      <c r="G280" s="43" t="str">
        <f>_xlfn.XLOOKUP($A280,Map!$A:$A,Map!C:C)</f>
        <v>IS</v>
      </c>
      <c r="H280" s="43" t="str">
        <f>_xlfn.XLOOKUP($A280,Map!$A:$A,Map!D:D)</f>
        <v>General and Admin</v>
      </c>
      <c r="I280" s="43" t="str">
        <f>_xlfn.XLOOKUP($A280,Map!$A:$A,Map!E:E)</f>
        <v>Govt license and fees (including modon)</v>
      </c>
      <c r="J280" s="43" t="str">
        <f>_xlfn.XLOOKUP($A280,Map!$A:$A,Map!F:F)</f>
        <v>Government fees</v>
      </c>
    </row>
    <row r="281" spans="1:10" x14ac:dyDescent="0.25">
      <c r="A281">
        <v>600005</v>
      </c>
      <c r="B281" t="s">
        <v>1461</v>
      </c>
      <c r="D281" s="116">
        <v>18200</v>
      </c>
      <c r="E281" s="116">
        <v>0</v>
      </c>
      <c r="F281" s="116">
        <f t="shared" si="0"/>
        <v>18200</v>
      </c>
      <c r="G281" s="43" t="str">
        <f>_xlfn.XLOOKUP($A281,Map!$A:$A,Map!C:C)</f>
        <v>IS</v>
      </c>
      <c r="H281" s="43" t="str">
        <f>_xlfn.XLOOKUP($A281,Map!$A:$A,Map!D:D)</f>
        <v>General and Admin</v>
      </c>
      <c r="I281" s="43" t="str">
        <f>_xlfn.XLOOKUP($A281,Map!$A:$A,Map!E:E)</f>
        <v>Govt license and fees (including modon)</v>
      </c>
      <c r="J281" s="43" t="str">
        <f>_xlfn.XLOOKUP($A281,Map!$A:$A,Map!F:F)</f>
        <v>Government fees</v>
      </c>
    </row>
    <row r="282" spans="1:10" x14ac:dyDescent="0.25">
      <c r="A282">
        <v>600004</v>
      </c>
      <c r="B282" t="s">
        <v>1380</v>
      </c>
      <c r="D282" s="116">
        <v>209710.383</v>
      </c>
      <c r="E282" s="116">
        <v>0</v>
      </c>
      <c r="F282" s="116">
        <f t="shared" si="0"/>
        <v>209710.383</v>
      </c>
      <c r="G282" s="43" t="str">
        <f>_xlfn.XLOOKUP($A282,Map!$A:$A,Map!C:C)</f>
        <v>IS</v>
      </c>
      <c r="H282" s="43" t="str">
        <f>_xlfn.XLOOKUP($A282,Map!$A:$A,Map!D:D)</f>
        <v>Cost of sales</v>
      </c>
      <c r="I282" s="43" t="str">
        <f>_xlfn.XLOOKUP($A282,Map!$A:$A,Map!E:E)</f>
        <v>Overhead - Labor Cost</v>
      </c>
      <c r="J282" s="43" t="str">
        <f>_xlfn.XLOOKUP($A282,Map!$A:$A,Map!F:F)</f>
        <v>Medical insurance</v>
      </c>
    </row>
    <row r="283" spans="1:10" x14ac:dyDescent="0.25">
      <c r="A283">
        <v>600003</v>
      </c>
      <c r="B283" t="s">
        <v>1381</v>
      </c>
      <c r="D283" s="116">
        <v>835991.2</v>
      </c>
      <c r="E283" s="116">
        <v>0</v>
      </c>
      <c r="F283" s="116">
        <f t="shared" si="0"/>
        <v>835991.2</v>
      </c>
      <c r="G283" s="43" t="str">
        <f>_xlfn.XLOOKUP($A283,Map!$A:$A,Map!C:C)</f>
        <v>IS</v>
      </c>
      <c r="H283" s="43" t="str">
        <f>_xlfn.XLOOKUP($A283,Map!$A:$A,Map!D:D)</f>
        <v>Cost of sales</v>
      </c>
      <c r="I283" s="43" t="str">
        <f>_xlfn.XLOOKUP($A283,Map!$A:$A,Map!E:E)</f>
        <v>Overhead - Labor Cost</v>
      </c>
      <c r="J283" s="43" t="str">
        <f>_xlfn.XLOOKUP($A283,Map!$A:$A,Map!F:F)</f>
        <v xml:space="preserve">Food &amp; Housing </v>
      </c>
    </row>
    <row r="284" spans="1:10" x14ac:dyDescent="0.25">
      <c r="A284">
        <v>600003</v>
      </c>
      <c r="B284" t="s">
        <v>981</v>
      </c>
      <c r="D284" s="116">
        <v>48356</v>
      </c>
      <c r="E284" s="116">
        <v>0</v>
      </c>
      <c r="F284" s="116">
        <f t="shared" si="0"/>
        <v>48356</v>
      </c>
      <c r="G284" s="43" t="str">
        <f>_xlfn.XLOOKUP($A284,Map!$A:$A,Map!C:C)</f>
        <v>IS</v>
      </c>
      <c r="H284" s="43" t="str">
        <f>_xlfn.XLOOKUP($A284,Map!$A:$A,Map!D:D)</f>
        <v>Cost of sales</v>
      </c>
      <c r="I284" s="43" t="str">
        <f>_xlfn.XLOOKUP($A284,Map!$A:$A,Map!E:E)</f>
        <v>Overhead - Labor Cost</v>
      </c>
      <c r="J284" s="43" t="str">
        <f>_xlfn.XLOOKUP($A284,Map!$A:$A,Map!F:F)</f>
        <v xml:space="preserve">Food &amp; Housing </v>
      </c>
    </row>
    <row r="285" spans="1:10" x14ac:dyDescent="0.25">
      <c r="A285">
        <v>600002</v>
      </c>
      <c r="B285" t="s">
        <v>1382</v>
      </c>
      <c r="D285" s="116">
        <v>74</v>
      </c>
      <c r="E285" s="116">
        <v>0</v>
      </c>
      <c r="F285" s="116">
        <f t="shared" si="0"/>
        <v>74</v>
      </c>
      <c r="G285" s="43" t="str">
        <f>_xlfn.XLOOKUP($A285,Map!$A:$A,Map!C:C)</f>
        <v>IS</v>
      </c>
      <c r="H285" s="43" t="str">
        <f>_xlfn.XLOOKUP($A285,Map!$A:$A,Map!D:D)</f>
        <v>Cost of sales</v>
      </c>
      <c r="I285" s="43" t="str">
        <f>_xlfn.XLOOKUP($A285,Map!$A:$A,Map!E:E)</f>
        <v>Overhead - Labor Cost</v>
      </c>
      <c r="J285" s="43" t="str">
        <f>_xlfn.XLOOKUP($A285,Map!$A:$A,Map!F:F)</f>
        <v>Overtime pay</v>
      </c>
    </row>
    <row r="286" spans="1:10" x14ac:dyDescent="0.25">
      <c r="A286">
        <v>600001</v>
      </c>
      <c r="B286" t="s">
        <v>1462</v>
      </c>
      <c r="D286" s="116">
        <v>7545.5</v>
      </c>
      <c r="E286" s="116">
        <v>0</v>
      </c>
      <c r="F286" s="116">
        <f t="shared" ref="F286:F317" si="1">D286-E286</f>
        <v>7545.5</v>
      </c>
      <c r="G286" s="43" t="str">
        <f>_xlfn.XLOOKUP($A286,Map!$A:$A,Map!C:C)</f>
        <v>IS</v>
      </c>
      <c r="H286" s="43" t="str">
        <f>_xlfn.XLOOKUP($A286,Map!$A:$A,Map!D:D)</f>
        <v>Cost of sales</v>
      </c>
      <c r="I286" s="43" t="str">
        <f>_xlfn.XLOOKUP($A286,Map!$A:$A,Map!E:E)</f>
        <v>Overhead - Labor Cost</v>
      </c>
      <c r="J286" s="43" t="str">
        <f>_xlfn.XLOOKUP($A286,Map!$A:$A,Map!F:F)</f>
        <v>Indirect Salaries — factory supervisory / indirect floor labour (COGS)</v>
      </c>
    </row>
    <row r="287" spans="1:10" x14ac:dyDescent="0.25">
      <c r="A287">
        <v>600001</v>
      </c>
      <c r="B287" t="s">
        <v>1383</v>
      </c>
      <c r="D287" s="116">
        <v>2251770.04</v>
      </c>
      <c r="E287" s="116">
        <v>0</v>
      </c>
      <c r="F287" s="116">
        <f t="shared" si="1"/>
        <v>2251770.04</v>
      </c>
      <c r="G287" s="43" t="str">
        <f>_xlfn.XLOOKUP($A287,Map!$A:$A,Map!C:C)</f>
        <v>IS</v>
      </c>
      <c r="H287" s="43" t="str">
        <f>_xlfn.XLOOKUP($A287,Map!$A:$A,Map!D:D)</f>
        <v>Cost of sales</v>
      </c>
      <c r="I287" s="43" t="str">
        <f>_xlfn.XLOOKUP($A287,Map!$A:$A,Map!E:E)</f>
        <v>Overhead - Labor Cost</v>
      </c>
      <c r="J287" s="43" t="str">
        <f>_xlfn.XLOOKUP($A287,Map!$A:$A,Map!F:F)</f>
        <v>Indirect Salaries — factory supervisory / indirect floor labour (COGS)</v>
      </c>
    </row>
    <row r="288" spans="1:10" x14ac:dyDescent="0.25">
      <c r="A288">
        <v>520042</v>
      </c>
      <c r="B288" t="s">
        <v>1354</v>
      </c>
      <c r="D288" s="116">
        <v>0</v>
      </c>
      <c r="E288" s="116">
        <v>585646.31799999997</v>
      </c>
      <c r="F288" s="116">
        <f t="shared" si="1"/>
        <v>-585646.31799999997</v>
      </c>
      <c r="G288" s="43" t="str">
        <f>_xlfn.XLOOKUP($A288,Map!$A:$A,Map!C:C)</f>
        <v>IS</v>
      </c>
      <c r="H288" s="43" t="str">
        <f>_xlfn.XLOOKUP($A288,Map!$A:$A,Map!D:D)</f>
        <v>Cost of sales</v>
      </c>
      <c r="I288" s="43" t="str">
        <f>_xlfn.XLOOKUP($A288,Map!$A:$A,Map!E:E)</f>
        <v>Raw materials</v>
      </c>
      <c r="J288" s="43" t="str">
        <f>_xlfn.XLOOKUP($A288,Map!$A:$A,Map!F:F)</f>
        <v>Inventory Adjustment</v>
      </c>
    </row>
    <row r="289" spans="1:10" x14ac:dyDescent="0.25">
      <c r="A289">
        <v>520041</v>
      </c>
      <c r="B289" t="s">
        <v>970</v>
      </c>
      <c r="D289" s="116">
        <v>0</v>
      </c>
      <c r="E289" s="116">
        <v>7931145.6780000003</v>
      </c>
      <c r="F289" s="116">
        <f t="shared" si="1"/>
        <v>-7931145.6780000003</v>
      </c>
      <c r="G289" s="43" t="str">
        <f>_xlfn.XLOOKUP($A289,Map!$A:$A,Map!C:C)</f>
        <v>IS</v>
      </c>
      <c r="H289" s="43" t="str">
        <f>_xlfn.XLOOKUP($A289,Map!$A:$A,Map!D:D)</f>
        <v>Cost of sales</v>
      </c>
      <c r="I289" s="43" t="str">
        <f>_xlfn.XLOOKUP($A289,Map!$A:$A,Map!E:E)</f>
        <v>Raw materials</v>
      </c>
      <c r="J289" s="43" t="str">
        <f>_xlfn.XLOOKUP($A289,Map!$A:$A,Map!F:F)</f>
        <v>Other expenses</v>
      </c>
    </row>
    <row r="290" spans="1:10" x14ac:dyDescent="0.25">
      <c r="A290">
        <v>520037</v>
      </c>
      <c r="B290" t="s">
        <v>1384</v>
      </c>
      <c r="D290" s="116">
        <v>0</v>
      </c>
      <c r="E290" s="116">
        <v>25.948</v>
      </c>
      <c r="F290" s="116">
        <f t="shared" si="1"/>
        <v>-25.948</v>
      </c>
      <c r="G290" s="43" t="str">
        <f>_xlfn.XLOOKUP($A290,Map!$A:$A,Map!C:C)</f>
        <v>IS</v>
      </c>
      <c r="H290" s="43" t="str">
        <f>_xlfn.XLOOKUP($A290,Map!$A:$A,Map!D:D)</f>
        <v>Cost of sales</v>
      </c>
      <c r="I290" s="43" t="str">
        <f>_xlfn.XLOOKUP($A290,Map!$A:$A,Map!E:E)</f>
        <v>Raw materials</v>
      </c>
      <c r="J290" s="43" t="str">
        <f>_xlfn.XLOOKUP($A290,Map!$A:$A,Map!F:F)</f>
        <v>Raw materials</v>
      </c>
    </row>
    <row r="291" spans="1:10" x14ac:dyDescent="0.25">
      <c r="A291">
        <v>520037</v>
      </c>
      <c r="B291" t="s">
        <v>1463</v>
      </c>
      <c r="D291" s="116">
        <v>0</v>
      </c>
      <c r="E291" s="116">
        <v>1.53</v>
      </c>
      <c r="F291" s="116">
        <f t="shared" si="1"/>
        <v>-1.53</v>
      </c>
      <c r="G291" s="43" t="str">
        <f>_xlfn.XLOOKUP($A291,Map!$A:$A,Map!C:C)</f>
        <v>IS</v>
      </c>
      <c r="H291" s="43" t="str">
        <f>_xlfn.XLOOKUP($A291,Map!$A:$A,Map!D:D)</f>
        <v>Cost of sales</v>
      </c>
      <c r="I291" s="43" t="str">
        <f>_xlfn.XLOOKUP($A291,Map!$A:$A,Map!E:E)</f>
        <v>Raw materials</v>
      </c>
      <c r="J291" s="43" t="str">
        <f>_xlfn.XLOOKUP($A291,Map!$A:$A,Map!F:F)</f>
        <v>Raw materials</v>
      </c>
    </row>
    <row r="292" spans="1:10" x14ac:dyDescent="0.25">
      <c r="A292">
        <v>520037</v>
      </c>
      <c r="B292" t="s">
        <v>967</v>
      </c>
      <c r="D292" s="116">
        <v>232.964</v>
      </c>
      <c r="E292" s="116">
        <v>0</v>
      </c>
      <c r="F292" s="116">
        <f t="shared" si="1"/>
        <v>232.964</v>
      </c>
      <c r="G292" s="43" t="str">
        <f>_xlfn.XLOOKUP($A292,Map!$A:$A,Map!C:C)</f>
        <v>IS</v>
      </c>
      <c r="H292" s="43" t="str">
        <f>_xlfn.XLOOKUP($A292,Map!$A:$A,Map!D:D)</f>
        <v>Cost of sales</v>
      </c>
      <c r="I292" s="43" t="str">
        <f>_xlfn.XLOOKUP($A292,Map!$A:$A,Map!E:E)</f>
        <v>Raw materials</v>
      </c>
      <c r="J292" s="43" t="str">
        <f>_xlfn.XLOOKUP($A292,Map!$A:$A,Map!F:F)</f>
        <v>Raw materials</v>
      </c>
    </row>
    <row r="293" spans="1:10" x14ac:dyDescent="0.25">
      <c r="A293">
        <v>520037</v>
      </c>
      <c r="B293" t="s">
        <v>1464</v>
      </c>
      <c r="D293" s="116">
        <v>0</v>
      </c>
      <c r="E293" s="116">
        <v>0.20200000000000001</v>
      </c>
      <c r="F293" s="116">
        <f t="shared" si="1"/>
        <v>-0.20200000000000001</v>
      </c>
      <c r="G293" s="43" t="str">
        <f>_xlfn.XLOOKUP($A293,Map!$A:$A,Map!C:C)</f>
        <v>IS</v>
      </c>
      <c r="H293" s="43" t="str">
        <f>_xlfn.XLOOKUP($A293,Map!$A:$A,Map!D:D)</f>
        <v>Cost of sales</v>
      </c>
      <c r="I293" s="43" t="str">
        <f>_xlfn.XLOOKUP($A293,Map!$A:$A,Map!E:E)</f>
        <v>Raw materials</v>
      </c>
      <c r="J293" s="43" t="str">
        <f>_xlfn.XLOOKUP($A293,Map!$A:$A,Map!F:F)</f>
        <v>Raw materials</v>
      </c>
    </row>
    <row r="294" spans="1:10" x14ac:dyDescent="0.25">
      <c r="A294">
        <v>520037</v>
      </c>
      <c r="B294" t="s">
        <v>1465</v>
      </c>
      <c r="D294" s="116">
        <v>737.85900000000004</v>
      </c>
      <c r="E294" s="116">
        <v>0</v>
      </c>
      <c r="F294" s="116">
        <f t="shared" si="1"/>
        <v>737.85900000000004</v>
      </c>
      <c r="G294" s="43" t="str">
        <f>_xlfn.XLOOKUP($A294,Map!$A:$A,Map!C:C)</f>
        <v>IS</v>
      </c>
      <c r="H294" s="43" t="str">
        <f>_xlfn.XLOOKUP($A294,Map!$A:$A,Map!D:D)</f>
        <v>Cost of sales</v>
      </c>
      <c r="I294" s="43" t="str">
        <f>_xlfn.XLOOKUP($A294,Map!$A:$A,Map!E:E)</f>
        <v>Raw materials</v>
      </c>
      <c r="J294" s="43" t="str">
        <f>_xlfn.XLOOKUP($A294,Map!$A:$A,Map!F:F)</f>
        <v>Raw materials</v>
      </c>
    </row>
    <row r="295" spans="1:10" x14ac:dyDescent="0.25">
      <c r="A295">
        <v>520037</v>
      </c>
      <c r="B295" t="s">
        <v>967</v>
      </c>
      <c r="D295" s="116">
        <v>98059.807000000001</v>
      </c>
      <c r="E295" s="116">
        <v>0</v>
      </c>
      <c r="F295" s="116">
        <f t="shared" si="1"/>
        <v>98059.807000000001</v>
      </c>
      <c r="G295" s="43" t="str">
        <f>_xlfn.XLOOKUP($A295,Map!$A:$A,Map!C:C)</f>
        <v>IS</v>
      </c>
      <c r="H295" s="43" t="str">
        <f>_xlfn.XLOOKUP($A295,Map!$A:$A,Map!D:D)</f>
        <v>Cost of sales</v>
      </c>
      <c r="I295" s="43" t="str">
        <f>_xlfn.XLOOKUP($A295,Map!$A:$A,Map!E:E)</f>
        <v>Raw materials</v>
      </c>
      <c r="J295" s="43" t="str">
        <f>_xlfn.XLOOKUP($A295,Map!$A:$A,Map!F:F)</f>
        <v>Raw materials</v>
      </c>
    </row>
    <row r="296" spans="1:10" x14ac:dyDescent="0.25">
      <c r="A296">
        <v>520036</v>
      </c>
      <c r="B296" t="s">
        <v>966</v>
      </c>
      <c r="D296" s="116">
        <v>1.2E-2</v>
      </c>
      <c r="E296" s="116">
        <v>0</v>
      </c>
      <c r="F296" s="116">
        <f t="shared" si="1"/>
        <v>1.2E-2</v>
      </c>
      <c r="G296" s="43" t="str">
        <f>_xlfn.XLOOKUP($A296,Map!$A:$A,Map!C:C)</f>
        <v>IS</v>
      </c>
      <c r="H296" s="43" t="str">
        <f>_xlfn.XLOOKUP($A296,Map!$A:$A,Map!D:D)</f>
        <v>Cost of sales</v>
      </c>
      <c r="I296" s="43" t="str">
        <f>_xlfn.XLOOKUP($A296,Map!$A:$A,Map!E:E)</f>
        <v>Raw materials</v>
      </c>
      <c r="J296" s="43" t="str">
        <f>_xlfn.XLOOKUP($A296,Map!$A:$A,Map!F:F)</f>
        <v>Raw materials</v>
      </c>
    </row>
    <row r="297" spans="1:10" x14ac:dyDescent="0.25">
      <c r="A297">
        <v>520021</v>
      </c>
      <c r="B297" t="s">
        <v>1387</v>
      </c>
      <c r="D297" s="116">
        <v>300</v>
      </c>
      <c r="E297" s="116">
        <v>0</v>
      </c>
      <c r="F297" s="116">
        <f t="shared" si="1"/>
        <v>300</v>
      </c>
      <c r="G297" s="43" t="str">
        <f>_xlfn.XLOOKUP($A297,Map!$A:$A,Map!C:C)</f>
        <v>IS</v>
      </c>
      <c r="H297" s="43" t="str">
        <f>_xlfn.XLOOKUP($A297,Map!$A:$A,Map!D:D)</f>
        <v>Cost of sales</v>
      </c>
      <c r="I297" s="43" t="str">
        <f>_xlfn.XLOOKUP($A297,Map!$A:$A,Map!E:E)</f>
        <v>Direct Labor</v>
      </c>
      <c r="J297" s="43" t="str">
        <f>_xlfn.XLOOKUP($A297,Map!$A:$A,Map!F:F)</f>
        <v>Medical insurance</v>
      </c>
    </row>
    <row r="298" spans="1:10" x14ac:dyDescent="0.25">
      <c r="A298">
        <v>520015</v>
      </c>
      <c r="B298" t="s">
        <v>1466</v>
      </c>
      <c r="D298" s="116">
        <v>164142.76999999999</v>
      </c>
      <c r="E298" s="116">
        <v>0</v>
      </c>
      <c r="F298" s="116">
        <f t="shared" si="1"/>
        <v>164142.76999999999</v>
      </c>
      <c r="G298" s="43" t="str">
        <f>_xlfn.XLOOKUP($A298,Map!$A:$A,Map!C:C)</f>
        <v>IS</v>
      </c>
      <c r="H298" s="43" t="str">
        <f>_xlfn.XLOOKUP($A298,Map!$A:$A,Map!D:D)</f>
        <v>Cost of sales</v>
      </c>
      <c r="I298" s="43" t="str">
        <f>_xlfn.XLOOKUP($A298,Map!$A:$A,Map!E:E)</f>
        <v>Direct Labor</v>
      </c>
      <c r="J298" s="43" t="str">
        <f>_xlfn.XLOOKUP($A298,Map!$A:$A,Map!F:F)</f>
        <v>Food and housing</v>
      </c>
    </row>
    <row r="299" spans="1:10" x14ac:dyDescent="0.25">
      <c r="A299">
        <v>520015</v>
      </c>
      <c r="B299" t="s">
        <v>1467</v>
      </c>
      <c r="D299" s="116">
        <v>38464.61</v>
      </c>
      <c r="E299" s="116">
        <v>0</v>
      </c>
      <c r="F299" s="116">
        <f t="shared" si="1"/>
        <v>38464.61</v>
      </c>
      <c r="G299" s="43" t="str">
        <f>_xlfn.XLOOKUP($A299,Map!$A:$A,Map!C:C)</f>
        <v>IS</v>
      </c>
      <c r="H299" s="43" t="str">
        <f>_xlfn.XLOOKUP($A299,Map!$A:$A,Map!D:D)</f>
        <v>Cost of sales</v>
      </c>
      <c r="I299" s="43" t="str">
        <f>_xlfn.XLOOKUP($A299,Map!$A:$A,Map!E:E)</f>
        <v>Direct Labor</v>
      </c>
      <c r="J299" s="43" t="str">
        <f>_xlfn.XLOOKUP($A299,Map!$A:$A,Map!F:F)</f>
        <v>Food and housing</v>
      </c>
    </row>
    <row r="300" spans="1:10" x14ac:dyDescent="0.25">
      <c r="A300">
        <v>520015</v>
      </c>
      <c r="B300" t="s">
        <v>1468</v>
      </c>
      <c r="D300" s="116">
        <v>48003.040000000001</v>
      </c>
      <c r="E300" s="116">
        <v>0</v>
      </c>
      <c r="F300" s="116">
        <f t="shared" si="1"/>
        <v>48003.040000000001</v>
      </c>
      <c r="G300" s="43" t="str">
        <f>_xlfn.XLOOKUP($A300,Map!$A:$A,Map!C:C)</f>
        <v>IS</v>
      </c>
      <c r="H300" s="43" t="str">
        <f>_xlfn.XLOOKUP($A300,Map!$A:$A,Map!D:D)</f>
        <v>Cost of sales</v>
      </c>
      <c r="I300" s="43" t="str">
        <f>_xlfn.XLOOKUP($A300,Map!$A:$A,Map!E:E)</f>
        <v>Direct Labor</v>
      </c>
      <c r="J300" s="43" t="str">
        <f>_xlfn.XLOOKUP($A300,Map!$A:$A,Map!F:F)</f>
        <v>Food and housing</v>
      </c>
    </row>
    <row r="301" spans="1:10" x14ac:dyDescent="0.25">
      <c r="A301">
        <v>520015</v>
      </c>
      <c r="B301" t="s">
        <v>1469</v>
      </c>
      <c r="D301" s="116">
        <v>41900.959999999999</v>
      </c>
      <c r="E301" s="116">
        <v>0</v>
      </c>
      <c r="F301" s="116">
        <f t="shared" si="1"/>
        <v>41900.959999999999</v>
      </c>
      <c r="G301" s="43" t="str">
        <f>_xlfn.XLOOKUP($A301,Map!$A:$A,Map!C:C)</f>
        <v>IS</v>
      </c>
      <c r="H301" s="43" t="str">
        <f>_xlfn.XLOOKUP($A301,Map!$A:$A,Map!D:D)</f>
        <v>Cost of sales</v>
      </c>
      <c r="I301" s="43" t="str">
        <f>_xlfn.XLOOKUP($A301,Map!$A:$A,Map!E:E)</f>
        <v>Direct Labor</v>
      </c>
      <c r="J301" s="43" t="str">
        <f>_xlfn.XLOOKUP($A301,Map!$A:$A,Map!F:F)</f>
        <v>Food and housing</v>
      </c>
    </row>
    <row r="302" spans="1:10" x14ac:dyDescent="0.25">
      <c r="A302">
        <v>520006</v>
      </c>
      <c r="B302" t="s">
        <v>1393</v>
      </c>
      <c r="D302" s="116">
        <v>101637.591</v>
      </c>
      <c r="E302" s="116">
        <v>0</v>
      </c>
      <c r="F302" s="116">
        <f t="shared" si="1"/>
        <v>101637.591</v>
      </c>
      <c r="G302" s="43" t="str">
        <f>_xlfn.XLOOKUP($A302,Map!$A:$A,Map!C:C)</f>
        <v>IS</v>
      </c>
      <c r="H302" s="43" t="str">
        <f>_xlfn.XLOOKUP($A302,Map!$A:$A,Map!D:D)</f>
        <v>Cost of sales</v>
      </c>
      <c r="I302" s="43" t="str">
        <f>_xlfn.XLOOKUP($A302,Map!$A:$A,Map!E:E)</f>
        <v>Direct Labor</v>
      </c>
      <c r="J302" s="43" t="str">
        <f>_xlfn.XLOOKUP($A302,Map!$A:$A,Map!F:F)</f>
        <v>Medical insurance</v>
      </c>
    </row>
    <row r="303" spans="1:10" x14ac:dyDescent="0.25">
      <c r="A303">
        <v>520006</v>
      </c>
      <c r="B303" t="s">
        <v>1394</v>
      </c>
      <c r="D303" s="116">
        <v>54768.767999999996</v>
      </c>
      <c r="E303" s="116">
        <v>0</v>
      </c>
      <c r="F303" s="116">
        <f t="shared" si="1"/>
        <v>54768.767999999996</v>
      </c>
      <c r="G303" s="43" t="str">
        <f>_xlfn.XLOOKUP($A303,Map!$A:$A,Map!C:C)</f>
        <v>IS</v>
      </c>
      <c r="H303" s="43" t="str">
        <f>_xlfn.XLOOKUP($A303,Map!$A:$A,Map!D:D)</f>
        <v>Cost of sales</v>
      </c>
      <c r="I303" s="43" t="str">
        <f>_xlfn.XLOOKUP($A303,Map!$A:$A,Map!E:E)</f>
        <v>Direct Labor</v>
      </c>
      <c r="J303" s="43" t="str">
        <f>_xlfn.XLOOKUP($A303,Map!$A:$A,Map!F:F)</f>
        <v>Medical insurance</v>
      </c>
    </row>
    <row r="304" spans="1:10" x14ac:dyDescent="0.25">
      <c r="A304">
        <v>520006</v>
      </c>
      <c r="B304" t="s">
        <v>1395</v>
      </c>
      <c r="D304" s="116">
        <v>35237.472000000002</v>
      </c>
      <c r="E304" s="116">
        <v>0</v>
      </c>
      <c r="F304" s="116">
        <f t="shared" si="1"/>
        <v>35237.472000000002</v>
      </c>
      <c r="G304" s="43" t="str">
        <f>_xlfn.XLOOKUP($A304,Map!$A:$A,Map!C:C)</f>
        <v>IS</v>
      </c>
      <c r="H304" s="43" t="str">
        <f>_xlfn.XLOOKUP($A304,Map!$A:$A,Map!D:D)</f>
        <v>Cost of sales</v>
      </c>
      <c r="I304" s="43" t="str">
        <f>_xlfn.XLOOKUP($A304,Map!$A:$A,Map!E:E)</f>
        <v>Direct Labor</v>
      </c>
      <c r="J304" s="43" t="str">
        <f>_xlfn.XLOOKUP($A304,Map!$A:$A,Map!F:F)</f>
        <v>Medical insurance</v>
      </c>
    </row>
    <row r="305" spans="1:10" x14ac:dyDescent="0.25">
      <c r="A305">
        <v>520006</v>
      </c>
      <c r="B305" t="s">
        <v>1396</v>
      </c>
      <c r="D305" s="116">
        <v>31599.756000000001</v>
      </c>
      <c r="E305" s="116">
        <v>0</v>
      </c>
      <c r="F305" s="116">
        <f t="shared" si="1"/>
        <v>31599.756000000001</v>
      </c>
      <c r="G305" s="43" t="str">
        <f>_xlfn.XLOOKUP($A305,Map!$A:$A,Map!C:C)</f>
        <v>IS</v>
      </c>
      <c r="H305" s="43" t="str">
        <f>_xlfn.XLOOKUP($A305,Map!$A:$A,Map!D:D)</f>
        <v>Cost of sales</v>
      </c>
      <c r="I305" s="43" t="str">
        <f>_xlfn.XLOOKUP($A305,Map!$A:$A,Map!E:E)</f>
        <v>Direct Labor</v>
      </c>
      <c r="J305" s="43" t="str">
        <f>_xlfn.XLOOKUP($A305,Map!$A:$A,Map!F:F)</f>
        <v>Medical insurance</v>
      </c>
    </row>
    <row r="306" spans="1:10" x14ac:dyDescent="0.25">
      <c r="A306">
        <v>520006</v>
      </c>
      <c r="B306" t="s">
        <v>1397</v>
      </c>
      <c r="D306" s="116">
        <v>38843.982000000004</v>
      </c>
      <c r="E306" s="116">
        <v>0</v>
      </c>
      <c r="F306" s="116">
        <f t="shared" si="1"/>
        <v>38843.982000000004</v>
      </c>
      <c r="G306" s="43" t="str">
        <f>_xlfn.XLOOKUP($A306,Map!$A:$A,Map!C:C)</f>
        <v>IS</v>
      </c>
      <c r="H306" s="43" t="str">
        <f>_xlfn.XLOOKUP($A306,Map!$A:$A,Map!D:D)</f>
        <v>Cost of sales</v>
      </c>
      <c r="I306" s="43" t="str">
        <f>_xlfn.XLOOKUP($A306,Map!$A:$A,Map!E:E)</f>
        <v>Direct Labor</v>
      </c>
      <c r="J306" s="43" t="str">
        <f>_xlfn.XLOOKUP($A306,Map!$A:$A,Map!F:F)</f>
        <v>Medical insurance</v>
      </c>
    </row>
    <row r="307" spans="1:10" x14ac:dyDescent="0.25">
      <c r="A307">
        <v>520006</v>
      </c>
      <c r="B307" t="s">
        <v>1398</v>
      </c>
      <c r="D307" s="116">
        <v>27478.044000000002</v>
      </c>
      <c r="E307" s="116">
        <v>0</v>
      </c>
      <c r="F307" s="116">
        <f t="shared" si="1"/>
        <v>27478.044000000002</v>
      </c>
      <c r="G307" s="43" t="str">
        <f>_xlfn.XLOOKUP($A307,Map!$A:$A,Map!C:C)</f>
        <v>IS</v>
      </c>
      <c r="H307" s="43" t="str">
        <f>_xlfn.XLOOKUP($A307,Map!$A:$A,Map!D:D)</f>
        <v>Cost of sales</v>
      </c>
      <c r="I307" s="43" t="str">
        <f>_xlfn.XLOOKUP($A307,Map!$A:$A,Map!E:E)</f>
        <v>Direct Labor</v>
      </c>
      <c r="J307" s="43" t="str">
        <f>_xlfn.XLOOKUP($A307,Map!$A:$A,Map!F:F)</f>
        <v>Medical insurance</v>
      </c>
    </row>
    <row r="308" spans="1:10" x14ac:dyDescent="0.25">
      <c r="A308">
        <v>520005</v>
      </c>
      <c r="B308" t="s">
        <v>1399</v>
      </c>
      <c r="D308" s="116">
        <v>67640.509999999995</v>
      </c>
      <c r="E308" s="116">
        <v>0</v>
      </c>
      <c r="F308" s="116">
        <f t="shared" si="1"/>
        <v>67640.509999999995</v>
      </c>
      <c r="G308" s="43" t="str">
        <f>_xlfn.XLOOKUP($A308,Map!$A:$A,Map!C:C)</f>
        <v>IS</v>
      </c>
      <c r="H308" s="43" t="str">
        <f>_xlfn.XLOOKUP($A308,Map!$A:$A,Map!D:D)</f>
        <v>Cost of sales</v>
      </c>
      <c r="I308" s="43" t="str">
        <f>_xlfn.XLOOKUP($A308,Map!$A:$A,Map!E:E)</f>
        <v>Direct Labor</v>
      </c>
      <c r="J308" s="43" t="str">
        <f>_xlfn.XLOOKUP($A308,Map!$A:$A,Map!F:F)</f>
        <v>Leave pay</v>
      </c>
    </row>
    <row r="309" spans="1:10" x14ac:dyDescent="0.25">
      <c r="A309">
        <v>520005</v>
      </c>
      <c r="B309" t="s">
        <v>1470</v>
      </c>
      <c r="D309" s="116">
        <v>6228.43</v>
      </c>
      <c r="E309" s="116">
        <v>0</v>
      </c>
      <c r="F309" s="116">
        <f t="shared" si="1"/>
        <v>6228.43</v>
      </c>
      <c r="G309" s="43" t="str">
        <f>_xlfn.XLOOKUP($A309,Map!$A:$A,Map!C:C)</f>
        <v>IS</v>
      </c>
      <c r="H309" s="43" t="str">
        <f>_xlfn.XLOOKUP($A309,Map!$A:$A,Map!D:D)</f>
        <v>Cost of sales</v>
      </c>
      <c r="I309" s="43" t="str">
        <f>_xlfn.XLOOKUP($A309,Map!$A:$A,Map!E:E)</f>
        <v>Direct Labor</v>
      </c>
      <c r="J309" s="43" t="str">
        <f>_xlfn.XLOOKUP($A309,Map!$A:$A,Map!F:F)</f>
        <v>Leave pay</v>
      </c>
    </row>
    <row r="310" spans="1:10" x14ac:dyDescent="0.25">
      <c r="A310">
        <v>520005</v>
      </c>
      <c r="B310" t="s">
        <v>1400</v>
      </c>
      <c r="D310" s="116">
        <v>18094.939999999999</v>
      </c>
      <c r="E310" s="116">
        <v>0</v>
      </c>
      <c r="F310" s="116">
        <f t="shared" si="1"/>
        <v>18094.939999999999</v>
      </c>
      <c r="G310" s="43" t="str">
        <f>_xlfn.XLOOKUP($A310,Map!$A:$A,Map!C:C)</f>
        <v>IS</v>
      </c>
      <c r="H310" s="43" t="str">
        <f>_xlfn.XLOOKUP($A310,Map!$A:$A,Map!D:D)</f>
        <v>Cost of sales</v>
      </c>
      <c r="I310" s="43" t="str">
        <f>_xlfn.XLOOKUP($A310,Map!$A:$A,Map!E:E)</f>
        <v>Direct Labor</v>
      </c>
      <c r="J310" s="43" t="str">
        <f>_xlfn.XLOOKUP($A310,Map!$A:$A,Map!F:F)</f>
        <v>Leave pay</v>
      </c>
    </row>
    <row r="311" spans="1:10" x14ac:dyDescent="0.25">
      <c r="A311">
        <v>520005</v>
      </c>
      <c r="B311" t="s">
        <v>1401</v>
      </c>
      <c r="D311" s="116">
        <v>22350.63</v>
      </c>
      <c r="E311" s="116">
        <v>0</v>
      </c>
      <c r="F311" s="116">
        <f t="shared" si="1"/>
        <v>22350.63</v>
      </c>
      <c r="G311" s="43" t="str">
        <f>_xlfn.XLOOKUP($A311,Map!$A:$A,Map!C:C)</f>
        <v>IS</v>
      </c>
      <c r="H311" s="43" t="str">
        <f>_xlfn.XLOOKUP($A311,Map!$A:$A,Map!D:D)</f>
        <v>Cost of sales</v>
      </c>
      <c r="I311" s="43" t="str">
        <f>_xlfn.XLOOKUP($A311,Map!$A:$A,Map!E:E)</f>
        <v>Direct Labor</v>
      </c>
      <c r="J311" s="43" t="str">
        <f>_xlfn.XLOOKUP($A311,Map!$A:$A,Map!F:F)</f>
        <v>Leave pay</v>
      </c>
    </row>
    <row r="312" spans="1:10" x14ac:dyDescent="0.25">
      <c r="A312">
        <v>520003</v>
      </c>
      <c r="B312" t="s">
        <v>1402</v>
      </c>
      <c r="D312" s="116">
        <v>125075.53</v>
      </c>
      <c r="E312" s="116">
        <v>0</v>
      </c>
      <c r="F312" s="116">
        <f t="shared" si="1"/>
        <v>125075.53</v>
      </c>
      <c r="G312" s="43" t="str">
        <f>_xlfn.XLOOKUP($A312,Map!$A:$A,Map!C:C)</f>
        <v>IS</v>
      </c>
      <c r="H312" s="43" t="str">
        <f>_xlfn.XLOOKUP($A312,Map!$A:$A,Map!D:D)</f>
        <v>Cost of sales</v>
      </c>
      <c r="I312" s="43" t="str">
        <f>_xlfn.XLOOKUP($A312,Map!$A:$A,Map!E:E)</f>
        <v>Direct Labor</v>
      </c>
      <c r="J312" s="43" t="str">
        <f>_xlfn.XLOOKUP($A312,Map!$A:$A,Map!F:F)</f>
        <v>Transportation allowance</v>
      </c>
    </row>
    <row r="313" spans="1:10" x14ac:dyDescent="0.25">
      <c r="A313">
        <v>520003</v>
      </c>
      <c r="B313" t="s">
        <v>1471</v>
      </c>
      <c r="D313" s="116">
        <v>15300.2</v>
      </c>
      <c r="E313" s="116">
        <v>0</v>
      </c>
      <c r="F313" s="116">
        <f t="shared" si="1"/>
        <v>15300.2</v>
      </c>
      <c r="G313" s="43" t="str">
        <f>_xlfn.XLOOKUP($A313,Map!$A:$A,Map!C:C)</f>
        <v>IS</v>
      </c>
      <c r="H313" s="43" t="str">
        <f>_xlfn.XLOOKUP($A313,Map!$A:$A,Map!D:D)</f>
        <v>Cost of sales</v>
      </c>
      <c r="I313" s="43" t="str">
        <f>_xlfn.XLOOKUP($A313,Map!$A:$A,Map!E:E)</f>
        <v>Direct Labor</v>
      </c>
      <c r="J313" s="43" t="str">
        <f>_xlfn.XLOOKUP($A313,Map!$A:$A,Map!F:F)</f>
        <v>Transportation allowance</v>
      </c>
    </row>
    <row r="314" spans="1:10" x14ac:dyDescent="0.25">
      <c r="A314">
        <v>520003</v>
      </c>
      <c r="B314" t="s">
        <v>1403</v>
      </c>
      <c r="D314" s="116">
        <v>33256.03</v>
      </c>
      <c r="E314" s="116">
        <v>0</v>
      </c>
      <c r="F314" s="116">
        <f t="shared" si="1"/>
        <v>33256.03</v>
      </c>
      <c r="G314" s="43" t="str">
        <f>_xlfn.XLOOKUP($A314,Map!$A:$A,Map!C:C)</f>
        <v>IS</v>
      </c>
      <c r="H314" s="43" t="str">
        <f>_xlfn.XLOOKUP($A314,Map!$A:$A,Map!D:D)</f>
        <v>Cost of sales</v>
      </c>
      <c r="I314" s="43" t="str">
        <f>_xlfn.XLOOKUP($A314,Map!$A:$A,Map!E:E)</f>
        <v>Direct Labor</v>
      </c>
      <c r="J314" s="43" t="str">
        <f>_xlfn.XLOOKUP($A314,Map!$A:$A,Map!F:F)</f>
        <v>Transportation allowance</v>
      </c>
    </row>
    <row r="315" spans="1:10" x14ac:dyDescent="0.25">
      <c r="A315">
        <v>520003</v>
      </c>
      <c r="B315" t="s">
        <v>1404</v>
      </c>
      <c r="D315" s="116">
        <v>24150.68</v>
      </c>
      <c r="E315" s="116">
        <v>0</v>
      </c>
      <c r="F315" s="116">
        <f t="shared" si="1"/>
        <v>24150.68</v>
      </c>
      <c r="G315" s="43" t="str">
        <f>_xlfn.XLOOKUP($A315,Map!$A:$A,Map!C:C)</f>
        <v>IS</v>
      </c>
      <c r="H315" s="43" t="str">
        <f>_xlfn.XLOOKUP($A315,Map!$A:$A,Map!D:D)</f>
        <v>Cost of sales</v>
      </c>
      <c r="I315" s="43" t="str">
        <f>_xlfn.XLOOKUP($A315,Map!$A:$A,Map!E:E)</f>
        <v>Direct Labor</v>
      </c>
      <c r="J315" s="43" t="str">
        <f>_xlfn.XLOOKUP($A315,Map!$A:$A,Map!F:F)</f>
        <v>Transportation allowance</v>
      </c>
    </row>
    <row r="316" spans="1:10" x14ac:dyDescent="0.25">
      <c r="A316">
        <v>520003</v>
      </c>
      <c r="B316" t="s">
        <v>1405</v>
      </c>
      <c r="D316" s="116">
        <v>131523.57999999999</v>
      </c>
      <c r="E316" s="116">
        <v>0</v>
      </c>
      <c r="F316" s="116">
        <f t="shared" si="1"/>
        <v>131523.57999999999</v>
      </c>
      <c r="G316" s="43" t="str">
        <f>_xlfn.XLOOKUP($A316,Map!$A:$A,Map!C:C)</f>
        <v>IS</v>
      </c>
      <c r="H316" s="43" t="str">
        <f>_xlfn.XLOOKUP($A316,Map!$A:$A,Map!D:D)</f>
        <v>Cost of sales</v>
      </c>
      <c r="I316" s="43" t="str">
        <f>_xlfn.XLOOKUP($A316,Map!$A:$A,Map!E:E)</f>
        <v>Direct Labor</v>
      </c>
      <c r="J316" s="43" t="str">
        <f>_xlfn.XLOOKUP($A316,Map!$A:$A,Map!F:F)</f>
        <v>Transportation allowance</v>
      </c>
    </row>
    <row r="317" spans="1:10" x14ac:dyDescent="0.25">
      <c r="A317">
        <v>520001</v>
      </c>
      <c r="B317" t="s">
        <v>1406</v>
      </c>
      <c r="D317" s="116">
        <v>2054641.28</v>
      </c>
      <c r="E317" s="116">
        <v>0</v>
      </c>
      <c r="F317" s="116">
        <f t="shared" si="1"/>
        <v>2054641.28</v>
      </c>
      <c r="G317" s="43" t="str">
        <f>_xlfn.XLOOKUP($A317,Map!$A:$A,Map!C:C)</f>
        <v>IS</v>
      </c>
      <c r="H317" s="43" t="str">
        <f>_xlfn.XLOOKUP($A317,Map!$A:$A,Map!D:D)</f>
        <v>Cost of sales</v>
      </c>
      <c r="I317" s="43" t="str">
        <f>_xlfn.XLOOKUP($A317,Map!$A:$A,Map!E:E)</f>
        <v>Direct Labor</v>
      </c>
      <c r="J317" s="43" t="str">
        <f>_xlfn.XLOOKUP($A317,Map!$A:$A,Map!F:F)</f>
        <v>Salaries and wages</v>
      </c>
    </row>
    <row r="318" spans="1:10" x14ac:dyDescent="0.25">
      <c r="A318">
        <v>520001</v>
      </c>
      <c r="B318" t="s">
        <v>1407</v>
      </c>
      <c r="D318" s="116">
        <v>282687.09999999998</v>
      </c>
      <c r="E318" s="116">
        <v>0</v>
      </c>
      <c r="F318" s="116">
        <f t="shared" ref="F318:F349" si="2">D318-E318</f>
        <v>282687.09999999998</v>
      </c>
      <c r="G318" s="43" t="str">
        <f>_xlfn.XLOOKUP($A318,Map!$A:$A,Map!C:C)</f>
        <v>IS</v>
      </c>
      <c r="H318" s="43" t="str">
        <f>_xlfn.XLOOKUP($A318,Map!$A:$A,Map!D:D)</f>
        <v>Cost of sales</v>
      </c>
      <c r="I318" s="43" t="str">
        <f>_xlfn.XLOOKUP($A318,Map!$A:$A,Map!E:E)</f>
        <v>Direct Labor</v>
      </c>
      <c r="J318" s="43" t="str">
        <f>_xlfn.XLOOKUP($A318,Map!$A:$A,Map!F:F)</f>
        <v>Salaries and wages</v>
      </c>
    </row>
    <row r="319" spans="1:10" x14ac:dyDescent="0.25">
      <c r="A319">
        <v>520001</v>
      </c>
      <c r="B319" t="s">
        <v>1408</v>
      </c>
      <c r="D319" s="116">
        <v>771552.26</v>
      </c>
      <c r="E319" s="116">
        <v>0</v>
      </c>
      <c r="F319" s="116">
        <f t="shared" si="2"/>
        <v>771552.26</v>
      </c>
      <c r="G319" s="43" t="str">
        <f>_xlfn.XLOOKUP($A319,Map!$A:$A,Map!C:C)</f>
        <v>IS</v>
      </c>
      <c r="H319" s="43" t="str">
        <f>_xlfn.XLOOKUP($A319,Map!$A:$A,Map!D:D)</f>
        <v>Cost of sales</v>
      </c>
      <c r="I319" s="43" t="str">
        <f>_xlfn.XLOOKUP($A319,Map!$A:$A,Map!E:E)</f>
        <v>Direct Labor</v>
      </c>
      <c r="J319" s="43" t="str">
        <f>_xlfn.XLOOKUP($A319,Map!$A:$A,Map!F:F)</f>
        <v>Salaries and wages</v>
      </c>
    </row>
    <row r="320" spans="1:10" x14ac:dyDescent="0.25">
      <c r="A320">
        <v>520001</v>
      </c>
      <c r="B320" t="s">
        <v>1409</v>
      </c>
      <c r="D320" s="116">
        <v>402973.73</v>
      </c>
      <c r="E320" s="116">
        <v>0</v>
      </c>
      <c r="F320" s="116">
        <f t="shared" si="2"/>
        <v>402973.73</v>
      </c>
      <c r="G320" s="43" t="str">
        <f>_xlfn.XLOOKUP($A320,Map!$A:$A,Map!C:C)</f>
        <v>IS</v>
      </c>
      <c r="H320" s="43" t="str">
        <f>_xlfn.XLOOKUP($A320,Map!$A:$A,Map!D:D)</f>
        <v>Cost of sales</v>
      </c>
      <c r="I320" s="43" t="str">
        <f>_xlfn.XLOOKUP($A320,Map!$A:$A,Map!E:E)</f>
        <v>Direct Labor</v>
      </c>
      <c r="J320" s="43" t="str">
        <f>_xlfn.XLOOKUP($A320,Map!$A:$A,Map!F:F)</f>
        <v>Salaries and wages</v>
      </c>
    </row>
    <row r="321" spans="1:10" x14ac:dyDescent="0.25">
      <c r="A321">
        <v>510005</v>
      </c>
      <c r="B321" t="s">
        <v>949</v>
      </c>
      <c r="D321" s="116">
        <v>0</v>
      </c>
      <c r="E321" s="116">
        <v>83096.134000000005</v>
      </c>
      <c r="F321" s="116">
        <f t="shared" si="2"/>
        <v>-83096.134000000005</v>
      </c>
      <c r="G321" s="43" t="str">
        <f>_xlfn.XLOOKUP($A321,Map!$A:$A,Map!C:C)</f>
        <v>IS</v>
      </c>
      <c r="H321" s="43" t="str">
        <f>_xlfn.XLOOKUP($A321,Map!$A:$A,Map!D:D)</f>
        <v>Cost of sales</v>
      </c>
      <c r="I321" s="43" t="str">
        <f>_xlfn.XLOOKUP($A321,Map!$A:$A,Map!E:E)</f>
        <v>Raw materials</v>
      </c>
      <c r="J321" s="43" t="str">
        <f>_xlfn.XLOOKUP($A321,Map!$A:$A,Map!F:F)</f>
        <v>Other expenses</v>
      </c>
    </row>
    <row r="322" spans="1:10" x14ac:dyDescent="0.25">
      <c r="A322">
        <v>510004</v>
      </c>
      <c r="B322" t="s">
        <v>1412</v>
      </c>
      <c r="D322" s="116">
        <v>1974149.003</v>
      </c>
      <c r="E322" s="116">
        <v>0</v>
      </c>
      <c r="F322" s="116">
        <f t="shared" si="2"/>
        <v>1974149.003</v>
      </c>
      <c r="G322" s="43" t="str">
        <f>_xlfn.XLOOKUP($A322,Map!$A:$A,Map!C:C)</f>
        <v>IS</v>
      </c>
      <c r="H322" s="43" t="str">
        <f>_xlfn.XLOOKUP($A322,Map!$A:$A,Map!D:D)</f>
        <v>Cost of sales</v>
      </c>
      <c r="I322" s="43" t="str">
        <f>_xlfn.XLOOKUP($A322,Map!$A:$A,Map!E:E)</f>
        <v>Raw materials</v>
      </c>
      <c r="J322" s="43" t="str">
        <f>_xlfn.XLOOKUP($A322,Map!$A:$A,Map!F:F)</f>
        <v>Other expenses</v>
      </c>
    </row>
    <row r="323" spans="1:10" x14ac:dyDescent="0.25">
      <c r="A323">
        <v>510004</v>
      </c>
      <c r="B323" t="s">
        <v>1413</v>
      </c>
      <c r="D323" s="116">
        <v>132740.872</v>
      </c>
      <c r="E323" s="116">
        <v>0</v>
      </c>
      <c r="F323" s="116">
        <f t="shared" si="2"/>
        <v>132740.872</v>
      </c>
      <c r="G323" s="43" t="str">
        <f>_xlfn.XLOOKUP($A323,Map!$A:$A,Map!C:C)</f>
        <v>IS</v>
      </c>
      <c r="H323" s="43" t="str">
        <f>_xlfn.XLOOKUP($A323,Map!$A:$A,Map!D:D)</f>
        <v>Cost of sales</v>
      </c>
      <c r="I323" s="43" t="str">
        <f>_xlfn.XLOOKUP($A323,Map!$A:$A,Map!E:E)</f>
        <v>Raw materials</v>
      </c>
      <c r="J323" s="43" t="str">
        <f>_xlfn.XLOOKUP($A323,Map!$A:$A,Map!F:F)</f>
        <v>Other expenses</v>
      </c>
    </row>
    <row r="324" spans="1:10" x14ac:dyDescent="0.25">
      <c r="A324">
        <v>510004</v>
      </c>
      <c r="B324" t="s">
        <v>1415</v>
      </c>
      <c r="D324" s="116">
        <v>13501.911</v>
      </c>
      <c r="E324" s="116">
        <v>0</v>
      </c>
      <c r="F324" s="116">
        <f t="shared" si="2"/>
        <v>13501.911</v>
      </c>
      <c r="G324" s="43" t="str">
        <f>_xlfn.XLOOKUP($A324,Map!$A:$A,Map!C:C)</f>
        <v>IS</v>
      </c>
      <c r="H324" s="43" t="str">
        <f>_xlfn.XLOOKUP($A324,Map!$A:$A,Map!D:D)</f>
        <v>Cost of sales</v>
      </c>
      <c r="I324" s="43" t="str">
        <f>_xlfn.XLOOKUP($A324,Map!$A:$A,Map!E:E)</f>
        <v>Raw materials</v>
      </c>
      <c r="J324" s="43" t="str">
        <f>_xlfn.XLOOKUP($A324,Map!$A:$A,Map!F:F)</f>
        <v>Other expenses</v>
      </c>
    </row>
    <row r="325" spans="1:10" x14ac:dyDescent="0.25">
      <c r="A325">
        <v>510004</v>
      </c>
      <c r="B325" t="s">
        <v>1472</v>
      </c>
      <c r="D325" s="116">
        <v>14416.583000000001</v>
      </c>
      <c r="E325" s="116">
        <v>0</v>
      </c>
      <c r="F325" s="116">
        <f t="shared" si="2"/>
        <v>14416.583000000001</v>
      </c>
      <c r="G325" s="43" t="str">
        <f>_xlfn.XLOOKUP($A325,Map!$A:$A,Map!C:C)</f>
        <v>IS</v>
      </c>
      <c r="H325" s="43" t="str">
        <f>_xlfn.XLOOKUP($A325,Map!$A:$A,Map!D:D)</f>
        <v>Cost of sales</v>
      </c>
      <c r="I325" s="43" t="str">
        <f>_xlfn.XLOOKUP($A325,Map!$A:$A,Map!E:E)</f>
        <v>Raw materials</v>
      </c>
      <c r="J325" s="43" t="str">
        <f>_xlfn.XLOOKUP($A325,Map!$A:$A,Map!F:F)</f>
        <v>Other expenses</v>
      </c>
    </row>
    <row r="326" spans="1:10" x14ac:dyDescent="0.25">
      <c r="A326">
        <v>510004</v>
      </c>
      <c r="B326" t="s">
        <v>1417</v>
      </c>
      <c r="D326" s="116">
        <v>517082.20299999998</v>
      </c>
      <c r="E326" s="116">
        <v>0</v>
      </c>
      <c r="F326" s="116">
        <f t="shared" si="2"/>
        <v>517082.20299999998</v>
      </c>
      <c r="G326" s="43" t="str">
        <f>_xlfn.XLOOKUP($A326,Map!$A:$A,Map!C:C)</f>
        <v>IS</v>
      </c>
      <c r="H326" s="43" t="str">
        <f>_xlfn.XLOOKUP($A326,Map!$A:$A,Map!D:D)</f>
        <v>Cost of sales</v>
      </c>
      <c r="I326" s="43" t="str">
        <f>_xlfn.XLOOKUP($A326,Map!$A:$A,Map!E:E)</f>
        <v>Raw materials</v>
      </c>
      <c r="J326" s="43" t="str">
        <f>_xlfn.XLOOKUP($A326,Map!$A:$A,Map!F:F)</f>
        <v>Other expenses</v>
      </c>
    </row>
    <row r="327" spans="1:10" x14ac:dyDescent="0.25">
      <c r="A327">
        <v>510004</v>
      </c>
      <c r="B327" t="s">
        <v>1418</v>
      </c>
      <c r="D327" s="116">
        <v>7951.43</v>
      </c>
      <c r="E327" s="116">
        <v>0</v>
      </c>
      <c r="F327" s="116">
        <f t="shared" si="2"/>
        <v>7951.43</v>
      </c>
      <c r="G327" s="43" t="str">
        <f>_xlfn.XLOOKUP($A327,Map!$A:$A,Map!C:C)</f>
        <v>IS</v>
      </c>
      <c r="H327" s="43" t="str">
        <f>_xlfn.XLOOKUP($A327,Map!$A:$A,Map!D:D)</f>
        <v>Cost of sales</v>
      </c>
      <c r="I327" s="43" t="str">
        <f>_xlfn.XLOOKUP($A327,Map!$A:$A,Map!E:E)</f>
        <v>Raw materials</v>
      </c>
      <c r="J327" s="43" t="str">
        <f>_xlfn.XLOOKUP($A327,Map!$A:$A,Map!F:F)</f>
        <v>Other expenses</v>
      </c>
    </row>
    <row r="328" spans="1:10" x14ac:dyDescent="0.25">
      <c r="A328">
        <v>510004</v>
      </c>
      <c r="B328" t="s">
        <v>1419</v>
      </c>
      <c r="D328" s="116">
        <v>46772.36</v>
      </c>
      <c r="E328" s="116">
        <v>0</v>
      </c>
      <c r="F328" s="116">
        <f t="shared" si="2"/>
        <v>46772.36</v>
      </c>
      <c r="G328" s="43" t="str">
        <f>_xlfn.XLOOKUP($A328,Map!$A:$A,Map!C:C)</f>
        <v>IS</v>
      </c>
      <c r="H328" s="43" t="str">
        <f>_xlfn.XLOOKUP($A328,Map!$A:$A,Map!D:D)</f>
        <v>Cost of sales</v>
      </c>
      <c r="I328" s="43" t="str">
        <f>_xlfn.XLOOKUP($A328,Map!$A:$A,Map!E:E)</f>
        <v>Raw materials</v>
      </c>
      <c r="J328" s="43" t="str">
        <f>_xlfn.XLOOKUP($A328,Map!$A:$A,Map!F:F)</f>
        <v>Other expenses</v>
      </c>
    </row>
    <row r="329" spans="1:10" x14ac:dyDescent="0.25">
      <c r="A329">
        <v>510004</v>
      </c>
      <c r="B329" t="s">
        <v>1420</v>
      </c>
      <c r="D329" s="116">
        <v>382188.46399999998</v>
      </c>
      <c r="E329" s="116">
        <v>0</v>
      </c>
      <c r="F329" s="116">
        <f t="shared" si="2"/>
        <v>382188.46399999998</v>
      </c>
      <c r="G329" s="43" t="str">
        <f>_xlfn.XLOOKUP($A329,Map!$A:$A,Map!C:C)</f>
        <v>IS</v>
      </c>
      <c r="H329" s="43" t="str">
        <f>_xlfn.XLOOKUP($A329,Map!$A:$A,Map!D:D)</f>
        <v>Cost of sales</v>
      </c>
      <c r="I329" s="43" t="str">
        <f>_xlfn.XLOOKUP($A329,Map!$A:$A,Map!E:E)</f>
        <v>Raw materials</v>
      </c>
      <c r="J329" s="43" t="str">
        <f>_xlfn.XLOOKUP($A329,Map!$A:$A,Map!F:F)</f>
        <v>Other expenses</v>
      </c>
    </row>
    <row r="330" spans="1:10" x14ac:dyDescent="0.25">
      <c r="A330">
        <v>510004</v>
      </c>
      <c r="B330" t="s">
        <v>1421</v>
      </c>
      <c r="D330" s="116">
        <v>33059.231</v>
      </c>
      <c r="E330" s="116">
        <v>0</v>
      </c>
      <c r="F330" s="116">
        <f t="shared" si="2"/>
        <v>33059.231</v>
      </c>
      <c r="G330" s="43" t="str">
        <f>_xlfn.XLOOKUP($A330,Map!$A:$A,Map!C:C)</f>
        <v>IS</v>
      </c>
      <c r="H330" s="43" t="str">
        <f>_xlfn.XLOOKUP($A330,Map!$A:$A,Map!D:D)</f>
        <v>Cost of sales</v>
      </c>
      <c r="I330" s="43" t="str">
        <f>_xlfn.XLOOKUP($A330,Map!$A:$A,Map!E:E)</f>
        <v>Raw materials</v>
      </c>
      <c r="J330" s="43" t="str">
        <f>_xlfn.XLOOKUP($A330,Map!$A:$A,Map!F:F)</f>
        <v>Other expenses</v>
      </c>
    </row>
    <row r="331" spans="1:10" x14ac:dyDescent="0.25">
      <c r="A331">
        <v>510004</v>
      </c>
      <c r="B331" t="s">
        <v>1422</v>
      </c>
      <c r="D331" s="116">
        <v>124784.183</v>
      </c>
      <c r="E331" s="116">
        <v>0</v>
      </c>
      <c r="F331" s="116">
        <f t="shared" si="2"/>
        <v>124784.183</v>
      </c>
      <c r="G331" s="43" t="str">
        <f>_xlfn.XLOOKUP($A331,Map!$A:$A,Map!C:C)</f>
        <v>IS</v>
      </c>
      <c r="H331" s="43" t="str">
        <f>_xlfn.XLOOKUP($A331,Map!$A:$A,Map!D:D)</f>
        <v>Cost of sales</v>
      </c>
      <c r="I331" s="43" t="str">
        <f>_xlfn.XLOOKUP($A331,Map!$A:$A,Map!E:E)</f>
        <v>Raw materials</v>
      </c>
      <c r="J331" s="43" t="str">
        <f>_xlfn.XLOOKUP($A331,Map!$A:$A,Map!F:F)</f>
        <v>Other expenses</v>
      </c>
    </row>
    <row r="332" spans="1:10" x14ac:dyDescent="0.25">
      <c r="A332">
        <v>510004</v>
      </c>
      <c r="B332" t="s">
        <v>948</v>
      </c>
      <c r="D332" s="116">
        <v>0.217</v>
      </c>
      <c r="E332" s="116">
        <v>0</v>
      </c>
      <c r="F332" s="116">
        <f t="shared" si="2"/>
        <v>0.217</v>
      </c>
      <c r="G332" s="43" t="str">
        <f>_xlfn.XLOOKUP($A332,Map!$A:$A,Map!C:C)</f>
        <v>IS</v>
      </c>
      <c r="H332" s="43" t="str">
        <f>_xlfn.XLOOKUP($A332,Map!$A:$A,Map!D:D)</f>
        <v>Cost of sales</v>
      </c>
      <c r="I332" s="43" t="str">
        <f>_xlfn.XLOOKUP($A332,Map!$A:$A,Map!E:E)</f>
        <v>Raw materials</v>
      </c>
      <c r="J332" s="43" t="str">
        <f>_xlfn.XLOOKUP($A332,Map!$A:$A,Map!F:F)</f>
        <v>Other expenses</v>
      </c>
    </row>
    <row r="333" spans="1:10" x14ac:dyDescent="0.25">
      <c r="A333">
        <v>510004</v>
      </c>
      <c r="B333" t="s">
        <v>948</v>
      </c>
      <c r="D333" s="116">
        <v>0</v>
      </c>
      <c r="E333" s="116">
        <v>9707908.2640000004</v>
      </c>
      <c r="F333" s="116">
        <f t="shared" si="2"/>
        <v>-9707908.2640000004</v>
      </c>
      <c r="G333" s="43" t="str">
        <f>_xlfn.XLOOKUP($A333,Map!$A:$A,Map!C:C)</f>
        <v>IS</v>
      </c>
      <c r="H333" s="43" t="str">
        <f>_xlfn.XLOOKUP($A333,Map!$A:$A,Map!D:D)</f>
        <v>Cost of sales</v>
      </c>
      <c r="I333" s="43" t="str">
        <f>_xlfn.XLOOKUP($A333,Map!$A:$A,Map!E:E)</f>
        <v>Raw materials</v>
      </c>
      <c r="J333" s="43" t="str">
        <f>_xlfn.XLOOKUP($A333,Map!$A:$A,Map!F:F)</f>
        <v>Other expenses</v>
      </c>
    </row>
    <row r="334" spans="1:10" x14ac:dyDescent="0.25">
      <c r="A334">
        <v>510003</v>
      </c>
      <c r="B334" t="s">
        <v>1473</v>
      </c>
      <c r="D334" s="116">
        <v>511236.28100000002</v>
      </c>
      <c r="E334" s="116">
        <v>0</v>
      </c>
      <c r="F334" s="116">
        <f t="shared" si="2"/>
        <v>511236.28100000002</v>
      </c>
      <c r="G334" s="43" t="str">
        <f>_xlfn.XLOOKUP($A334,Map!$A:$A,Map!C:C)</f>
        <v>IS</v>
      </c>
      <c r="H334" s="43" t="str">
        <f>_xlfn.XLOOKUP($A334,Map!$A:$A,Map!D:D)</f>
        <v>Cost of sales</v>
      </c>
      <c r="I334" s="43" t="str">
        <f>_xlfn.XLOOKUP($A334,Map!$A:$A,Map!E:E)</f>
        <v>Raw materials</v>
      </c>
      <c r="J334" s="43" t="str">
        <f>_xlfn.XLOOKUP($A334,Map!$A:$A,Map!F:F)</f>
        <v>Raw materials</v>
      </c>
    </row>
    <row r="335" spans="1:10" x14ac:dyDescent="0.25">
      <c r="A335">
        <v>510003</v>
      </c>
      <c r="B335" t="s">
        <v>1423</v>
      </c>
      <c r="D335" s="116">
        <v>810736.57299999997</v>
      </c>
      <c r="E335" s="116">
        <v>0</v>
      </c>
      <c r="F335" s="116">
        <f t="shared" si="2"/>
        <v>810736.57299999997</v>
      </c>
      <c r="G335" s="43" t="str">
        <f>_xlfn.XLOOKUP($A335,Map!$A:$A,Map!C:C)</f>
        <v>IS</v>
      </c>
      <c r="H335" s="43" t="str">
        <f>_xlfn.XLOOKUP($A335,Map!$A:$A,Map!D:D)</f>
        <v>Cost of sales</v>
      </c>
      <c r="I335" s="43" t="str">
        <f>_xlfn.XLOOKUP($A335,Map!$A:$A,Map!E:E)</f>
        <v>Raw materials</v>
      </c>
      <c r="J335" s="43" t="str">
        <f>_xlfn.XLOOKUP($A335,Map!$A:$A,Map!F:F)</f>
        <v>Raw materials</v>
      </c>
    </row>
    <row r="336" spans="1:10" x14ac:dyDescent="0.25">
      <c r="A336">
        <v>510003</v>
      </c>
      <c r="B336" t="s">
        <v>1424</v>
      </c>
      <c r="D336" s="116">
        <v>26237.216</v>
      </c>
      <c r="E336" s="116">
        <v>0</v>
      </c>
      <c r="F336" s="116">
        <f t="shared" si="2"/>
        <v>26237.216</v>
      </c>
      <c r="G336" s="43" t="str">
        <f>_xlfn.XLOOKUP($A336,Map!$A:$A,Map!C:C)</f>
        <v>IS</v>
      </c>
      <c r="H336" s="43" t="str">
        <f>_xlfn.XLOOKUP($A336,Map!$A:$A,Map!D:D)</f>
        <v>Cost of sales</v>
      </c>
      <c r="I336" s="43" t="str">
        <f>_xlfn.XLOOKUP($A336,Map!$A:$A,Map!E:E)</f>
        <v>Raw materials</v>
      </c>
      <c r="J336" s="43" t="str">
        <f>_xlfn.XLOOKUP($A336,Map!$A:$A,Map!F:F)</f>
        <v>Raw materials</v>
      </c>
    </row>
    <row r="337" spans="1:10" x14ac:dyDescent="0.25">
      <c r="A337">
        <v>510003</v>
      </c>
      <c r="B337" t="s">
        <v>1474</v>
      </c>
      <c r="D337" s="116">
        <v>88172.528999999995</v>
      </c>
      <c r="E337" s="116">
        <v>0</v>
      </c>
      <c r="F337" s="116">
        <f t="shared" si="2"/>
        <v>88172.528999999995</v>
      </c>
      <c r="G337" s="43" t="str">
        <f>_xlfn.XLOOKUP($A337,Map!$A:$A,Map!C:C)</f>
        <v>IS</v>
      </c>
      <c r="H337" s="43" t="str">
        <f>_xlfn.XLOOKUP($A337,Map!$A:$A,Map!D:D)</f>
        <v>Cost of sales</v>
      </c>
      <c r="I337" s="43" t="str">
        <f>_xlfn.XLOOKUP($A337,Map!$A:$A,Map!E:E)</f>
        <v>Raw materials</v>
      </c>
      <c r="J337" s="43" t="str">
        <f>_xlfn.XLOOKUP($A337,Map!$A:$A,Map!F:F)</f>
        <v>Raw materials</v>
      </c>
    </row>
    <row r="338" spans="1:10" x14ac:dyDescent="0.25">
      <c r="A338">
        <v>510003</v>
      </c>
      <c r="B338" t="s">
        <v>1475</v>
      </c>
      <c r="D338" s="116">
        <v>5.0000000000000001E-3</v>
      </c>
      <c r="E338" s="116">
        <v>0</v>
      </c>
      <c r="F338" s="116">
        <f t="shared" si="2"/>
        <v>5.0000000000000001E-3</v>
      </c>
      <c r="G338" s="43" t="str">
        <f>_xlfn.XLOOKUP($A338,Map!$A:$A,Map!C:C)</f>
        <v>IS</v>
      </c>
      <c r="H338" s="43" t="str">
        <f>_xlfn.XLOOKUP($A338,Map!$A:$A,Map!D:D)</f>
        <v>Cost of sales</v>
      </c>
      <c r="I338" s="43" t="str">
        <f>_xlfn.XLOOKUP($A338,Map!$A:$A,Map!E:E)</f>
        <v>Raw materials</v>
      </c>
      <c r="J338" s="43" t="str">
        <f>_xlfn.XLOOKUP($A338,Map!$A:$A,Map!F:F)</f>
        <v>Raw materials</v>
      </c>
    </row>
    <row r="339" spans="1:10" x14ac:dyDescent="0.25">
      <c r="A339">
        <v>510003</v>
      </c>
      <c r="B339" t="s">
        <v>947</v>
      </c>
      <c r="D339" s="116">
        <v>2759.306</v>
      </c>
      <c r="E339" s="116">
        <v>0</v>
      </c>
      <c r="F339" s="116">
        <f t="shared" si="2"/>
        <v>2759.306</v>
      </c>
      <c r="G339" s="43" t="str">
        <f>_xlfn.XLOOKUP($A339,Map!$A:$A,Map!C:C)</f>
        <v>IS</v>
      </c>
      <c r="H339" s="43" t="str">
        <f>_xlfn.XLOOKUP($A339,Map!$A:$A,Map!D:D)</f>
        <v>Cost of sales</v>
      </c>
      <c r="I339" s="43" t="str">
        <f>_xlfn.XLOOKUP($A339,Map!$A:$A,Map!E:E)</f>
        <v>Raw materials</v>
      </c>
      <c r="J339" s="43" t="str">
        <f>_xlfn.XLOOKUP($A339,Map!$A:$A,Map!F:F)</f>
        <v>Raw materials</v>
      </c>
    </row>
    <row r="340" spans="1:10" x14ac:dyDescent="0.25">
      <c r="A340">
        <v>510003</v>
      </c>
      <c r="B340" t="s">
        <v>1426</v>
      </c>
      <c r="D340" s="116">
        <v>226085.712</v>
      </c>
      <c r="E340" s="116">
        <v>0</v>
      </c>
      <c r="F340" s="116">
        <f t="shared" si="2"/>
        <v>226085.712</v>
      </c>
      <c r="G340" s="43" t="str">
        <f>_xlfn.XLOOKUP($A340,Map!$A:$A,Map!C:C)</f>
        <v>IS</v>
      </c>
      <c r="H340" s="43" t="str">
        <f>_xlfn.XLOOKUP($A340,Map!$A:$A,Map!D:D)</f>
        <v>Cost of sales</v>
      </c>
      <c r="I340" s="43" t="str">
        <f>_xlfn.XLOOKUP($A340,Map!$A:$A,Map!E:E)</f>
        <v>Raw materials</v>
      </c>
      <c r="J340" s="43" t="str">
        <f>_xlfn.XLOOKUP($A340,Map!$A:$A,Map!F:F)</f>
        <v>Raw materials</v>
      </c>
    </row>
    <row r="341" spans="1:10" x14ac:dyDescent="0.25">
      <c r="A341">
        <v>510003</v>
      </c>
      <c r="B341" t="s">
        <v>1427</v>
      </c>
      <c r="D341" s="116">
        <v>1762.0170000000001</v>
      </c>
      <c r="E341" s="116">
        <v>0</v>
      </c>
      <c r="F341" s="116">
        <f t="shared" si="2"/>
        <v>1762.0170000000001</v>
      </c>
      <c r="G341" s="43" t="str">
        <f>_xlfn.XLOOKUP($A341,Map!$A:$A,Map!C:C)</f>
        <v>IS</v>
      </c>
      <c r="H341" s="43" t="str">
        <f>_xlfn.XLOOKUP($A341,Map!$A:$A,Map!D:D)</f>
        <v>Cost of sales</v>
      </c>
      <c r="I341" s="43" t="str">
        <f>_xlfn.XLOOKUP($A341,Map!$A:$A,Map!E:E)</f>
        <v>Raw materials</v>
      </c>
      <c r="J341" s="43" t="str">
        <f>_xlfn.XLOOKUP($A341,Map!$A:$A,Map!F:F)</f>
        <v>Raw materials</v>
      </c>
    </row>
    <row r="342" spans="1:10" x14ac:dyDescent="0.25">
      <c r="A342">
        <v>510003</v>
      </c>
      <c r="B342" t="s">
        <v>1428</v>
      </c>
      <c r="D342" s="116">
        <v>334164.44300000003</v>
      </c>
      <c r="E342" s="116">
        <v>0</v>
      </c>
      <c r="F342" s="116">
        <f t="shared" si="2"/>
        <v>334164.44300000003</v>
      </c>
      <c r="G342" s="43" t="str">
        <f>_xlfn.XLOOKUP($A342,Map!$A:$A,Map!C:C)</f>
        <v>IS</v>
      </c>
      <c r="H342" s="43" t="str">
        <f>_xlfn.XLOOKUP($A342,Map!$A:$A,Map!D:D)</f>
        <v>Cost of sales</v>
      </c>
      <c r="I342" s="43" t="str">
        <f>_xlfn.XLOOKUP($A342,Map!$A:$A,Map!E:E)</f>
        <v>Raw materials</v>
      </c>
      <c r="J342" s="43" t="str">
        <f>_xlfn.XLOOKUP($A342,Map!$A:$A,Map!F:F)</f>
        <v>Raw materials</v>
      </c>
    </row>
    <row r="343" spans="1:10" x14ac:dyDescent="0.25">
      <c r="A343">
        <v>510003</v>
      </c>
      <c r="B343" t="s">
        <v>1429</v>
      </c>
      <c r="D343" s="116">
        <v>161153.43100000001</v>
      </c>
      <c r="E343" s="116">
        <v>0</v>
      </c>
      <c r="F343" s="116">
        <f t="shared" si="2"/>
        <v>161153.43100000001</v>
      </c>
      <c r="G343" s="43" t="str">
        <f>_xlfn.XLOOKUP($A343,Map!$A:$A,Map!C:C)</f>
        <v>IS</v>
      </c>
      <c r="H343" s="43" t="str">
        <f>_xlfn.XLOOKUP($A343,Map!$A:$A,Map!D:D)</f>
        <v>Cost of sales</v>
      </c>
      <c r="I343" s="43" t="str">
        <f>_xlfn.XLOOKUP($A343,Map!$A:$A,Map!E:E)</f>
        <v>Raw materials</v>
      </c>
      <c r="J343" s="43" t="str">
        <f>_xlfn.XLOOKUP($A343,Map!$A:$A,Map!F:F)</f>
        <v>Raw materials</v>
      </c>
    </row>
    <row r="344" spans="1:10" x14ac:dyDescent="0.25">
      <c r="A344">
        <v>510003</v>
      </c>
      <c r="B344" t="s">
        <v>1430</v>
      </c>
      <c r="D344" s="116">
        <v>35775.631000000001</v>
      </c>
      <c r="E344" s="116">
        <v>0</v>
      </c>
      <c r="F344" s="116">
        <f t="shared" si="2"/>
        <v>35775.631000000001</v>
      </c>
      <c r="G344" s="43" t="str">
        <f>_xlfn.XLOOKUP($A344,Map!$A:$A,Map!C:C)</f>
        <v>IS</v>
      </c>
      <c r="H344" s="43" t="str">
        <f>_xlfn.XLOOKUP($A344,Map!$A:$A,Map!D:D)</f>
        <v>Cost of sales</v>
      </c>
      <c r="I344" s="43" t="str">
        <f>_xlfn.XLOOKUP($A344,Map!$A:$A,Map!E:E)</f>
        <v>Raw materials</v>
      </c>
      <c r="J344" s="43" t="str">
        <f>_xlfn.XLOOKUP($A344,Map!$A:$A,Map!F:F)</f>
        <v>Raw materials</v>
      </c>
    </row>
    <row r="345" spans="1:10" x14ac:dyDescent="0.25">
      <c r="A345">
        <v>510003</v>
      </c>
      <c r="B345" t="s">
        <v>1431</v>
      </c>
      <c r="D345" s="116">
        <v>164695.90900000001</v>
      </c>
      <c r="E345" s="116">
        <v>0</v>
      </c>
      <c r="F345" s="116">
        <f t="shared" si="2"/>
        <v>164695.90900000001</v>
      </c>
      <c r="G345" s="43" t="str">
        <f>_xlfn.XLOOKUP($A345,Map!$A:$A,Map!C:C)</f>
        <v>IS</v>
      </c>
      <c r="H345" s="43" t="str">
        <f>_xlfn.XLOOKUP($A345,Map!$A:$A,Map!D:D)</f>
        <v>Cost of sales</v>
      </c>
      <c r="I345" s="43" t="str">
        <f>_xlfn.XLOOKUP($A345,Map!$A:$A,Map!E:E)</f>
        <v>Raw materials</v>
      </c>
      <c r="J345" s="43" t="str">
        <f>_xlfn.XLOOKUP($A345,Map!$A:$A,Map!F:F)</f>
        <v>Raw materials</v>
      </c>
    </row>
    <row r="346" spans="1:10" x14ac:dyDescent="0.25">
      <c r="A346">
        <v>510003</v>
      </c>
      <c r="B346" t="s">
        <v>1432</v>
      </c>
      <c r="D346" s="116">
        <v>525.00699999999995</v>
      </c>
      <c r="E346" s="116">
        <v>0</v>
      </c>
      <c r="F346" s="116">
        <f t="shared" si="2"/>
        <v>525.00699999999995</v>
      </c>
      <c r="G346" s="43" t="str">
        <f>_xlfn.XLOOKUP($A346,Map!$A:$A,Map!C:C)</f>
        <v>IS</v>
      </c>
      <c r="H346" s="43" t="str">
        <f>_xlfn.XLOOKUP($A346,Map!$A:$A,Map!D:D)</f>
        <v>Cost of sales</v>
      </c>
      <c r="I346" s="43" t="str">
        <f>_xlfn.XLOOKUP($A346,Map!$A:$A,Map!E:E)</f>
        <v>Raw materials</v>
      </c>
      <c r="J346" s="43" t="str">
        <f>_xlfn.XLOOKUP($A346,Map!$A:$A,Map!F:F)</f>
        <v>Raw materials</v>
      </c>
    </row>
    <row r="347" spans="1:10" x14ac:dyDescent="0.25">
      <c r="A347">
        <v>510003</v>
      </c>
      <c r="B347" t="s">
        <v>1433</v>
      </c>
      <c r="D347" s="116">
        <v>128802.091</v>
      </c>
      <c r="E347" s="116">
        <v>0</v>
      </c>
      <c r="F347" s="116">
        <f t="shared" si="2"/>
        <v>128802.091</v>
      </c>
      <c r="G347" s="43" t="str">
        <f>_xlfn.XLOOKUP($A347,Map!$A:$A,Map!C:C)</f>
        <v>IS</v>
      </c>
      <c r="H347" s="43" t="str">
        <f>_xlfn.XLOOKUP($A347,Map!$A:$A,Map!D:D)</f>
        <v>Cost of sales</v>
      </c>
      <c r="I347" s="43" t="str">
        <f>_xlfn.XLOOKUP($A347,Map!$A:$A,Map!E:E)</f>
        <v>Raw materials</v>
      </c>
      <c r="J347" s="43" t="str">
        <f>_xlfn.XLOOKUP($A347,Map!$A:$A,Map!F:F)</f>
        <v>Raw materials</v>
      </c>
    </row>
    <row r="348" spans="1:10" x14ac:dyDescent="0.25">
      <c r="A348">
        <v>510003</v>
      </c>
      <c r="B348" t="s">
        <v>1434</v>
      </c>
      <c r="D348" s="116">
        <v>2186.125</v>
      </c>
      <c r="E348" s="116">
        <v>0</v>
      </c>
      <c r="F348" s="116">
        <f t="shared" si="2"/>
        <v>2186.125</v>
      </c>
      <c r="G348" s="43" t="str">
        <f>_xlfn.XLOOKUP($A348,Map!$A:$A,Map!C:C)</f>
        <v>IS</v>
      </c>
      <c r="H348" s="43" t="str">
        <f>_xlfn.XLOOKUP($A348,Map!$A:$A,Map!D:D)</f>
        <v>Cost of sales</v>
      </c>
      <c r="I348" s="43" t="str">
        <f>_xlfn.XLOOKUP($A348,Map!$A:$A,Map!E:E)</f>
        <v>Raw materials</v>
      </c>
      <c r="J348" s="43" t="str">
        <f>_xlfn.XLOOKUP($A348,Map!$A:$A,Map!F:F)</f>
        <v>Raw materials</v>
      </c>
    </row>
    <row r="349" spans="1:10" x14ac:dyDescent="0.25">
      <c r="A349">
        <v>510003</v>
      </c>
      <c r="B349" t="s">
        <v>1435</v>
      </c>
      <c r="D349" s="116">
        <v>17409.864000000001</v>
      </c>
      <c r="E349" s="116">
        <v>0</v>
      </c>
      <c r="F349" s="116">
        <f t="shared" si="2"/>
        <v>17409.864000000001</v>
      </c>
      <c r="G349" s="43" t="str">
        <f>_xlfn.XLOOKUP($A349,Map!$A:$A,Map!C:C)</f>
        <v>IS</v>
      </c>
      <c r="H349" s="43" t="str">
        <f>_xlfn.XLOOKUP($A349,Map!$A:$A,Map!D:D)</f>
        <v>Cost of sales</v>
      </c>
      <c r="I349" s="43" t="str">
        <f>_xlfn.XLOOKUP($A349,Map!$A:$A,Map!E:E)</f>
        <v>Raw materials</v>
      </c>
      <c r="J349" s="43" t="str">
        <f>_xlfn.XLOOKUP($A349,Map!$A:$A,Map!F:F)</f>
        <v>Raw materials</v>
      </c>
    </row>
    <row r="350" spans="1:10" x14ac:dyDescent="0.25">
      <c r="A350">
        <v>510003</v>
      </c>
      <c r="B350" t="s">
        <v>947</v>
      </c>
      <c r="D350" s="116">
        <v>0</v>
      </c>
      <c r="E350" s="116">
        <v>0</v>
      </c>
      <c r="F350" s="116">
        <f t="shared" ref="F350:F381" si="3">D350-E350</f>
        <v>0</v>
      </c>
      <c r="G350" s="43" t="str">
        <f>_xlfn.XLOOKUP($A350,Map!$A:$A,Map!C:C)</f>
        <v>IS</v>
      </c>
      <c r="H350" s="43" t="str">
        <f>_xlfn.XLOOKUP($A350,Map!$A:$A,Map!D:D)</f>
        <v>Cost of sales</v>
      </c>
      <c r="I350" s="43" t="str">
        <f>_xlfn.XLOOKUP($A350,Map!$A:$A,Map!E:E)</f>
        <v>Raw materials</v>
      </c>
      <c r="J350" s="43" t="str">
        <f>_xlfn.XLOOKUP($A350,Map!$A:$A,Map!F:F)</f>
        <v>Raw materials</v>
      </c>
    </row>
    <row r="351" spans="1:10" x14ac:dyDescent="0.25">
      <c r="A351">
        <v>510003</v>
      </c>
      <c r="B351" t="s">
        <v>947</v>
      </c>
      <c r="D351" s="116">
        <v>0</v>
      </c>
      <c r="E351" s="116">
        <v>2610705.102</v>
      </c>
      <c r="F351" s="116">
        <f t="shared" si="3"/>
        <v>-2610705.102</v>
      </c>
      <c r="G351" s="43" t="str">
        <f>_xlfn.XLOOKUP($A351,Map!$A:$A,Map!C:C)</f>
        <v>IS</v>
      </c>
      <c r="H351" s="43" t="str">
        <f>_xlfn.XLOOKUP($A351,Map!$A:$A,Map!D:D)</f>
        <v>Cost of sales</v>
      </c>
      <c r="I351" s="43" t="str">
        <f>_xlfn.XLOOKUP($A351,Map!$A:$A,Map!E:E)</f>
        <v>Raw materials</v>
      </c>
      <c r="J351" s="43" t="str">
        <f>_xlfn.XLOOKUP($A351,Map!$A:$A,Map!F:F)</f>
        <v>Raw materials</v>
      </c>
    </row>
    <row r="352" spans="1:10" x14ac:dyDescent="0.25">
      <c r="A352">
        <v>510002</v>
      </c>
      <c r="B352" t="s">
        <v>1436</v>
      </c>
      <c r="D352" s="116">
        <v>5.0209999999999999</v>
      </c>
      <c r="E352" s="116">
        <v>0</v>
      </c>
      <c r="F352" s="116">
        <f t="shared" si="3"/>
        <v>5.0209999999999999</v>
      </c>
      <c r="G352" s="43" t="str">
        <f>_xlfn.XLOOKUP($A352,Map!$A:$A,Map!C:C)</f>
        <v>IS</v>
      </c>
      <c r="H352" s="43" t="str">
        <f>_xlfn.XLOOKUP($A352,Map!$A:$A,Map!D:D)</f>
        <v>Cost of sales</v>
      </c>
      <c r="I352" s="43" t="str">
        <f>_xlfn.XLOOKUP($A352,Map!$A:$A,Map!E:E)</f>
        <v>Direct Labor</v>
      </c>
      <c r="J352" s="43" t="str">
        <f>_xlfn.XLOOKUP($A352,Map!$A:$A,Map!F:F)</f>
        <v>Direct Labor</v>
      </c>
    </row>
    <row r="353" spans="1:10" x14ac:dyDescent="0.25">
      <c r="A353">
        <v>510002</v>
      </c>
      <c r="B353" t="s">
        <v>1439</v>
      </c>
      <c r="D353" s="116">
        <v>29.547000000000001</v>
      </c>
      <c r="E353" s="116">
        <v>0</v>
      </c>
      <c r="F353" s="116">
        <f t="shared" si="3"/>
        <v>29.547000000000001</v>
      </c>
      <c r="G353" s="43" t="str">
        <f>_xlfn.XLOOKUP($A353,Map!$A:$A,Map!C:C)</f>
        <v>IS</v>
      </c>
      <c r="H353" s="43" t="str">
        <f>_xlfn.XLOOKUP($A353,Map!$A:$A,Map!D:D)</f>
        <v>Cost of sales</v>
      </c>
      <c r="I353" s="43" t="str">
        <f>_xlfn.XLOOKUP($A353,Map!$A:$A,Map!E:E)</f>
        <v>Direct Labor</v>
      </c>
      <c r="J353" s="43" t="str">
        <f>_xlfn.XLOOKUP($A353,Map!$A:$A,Map!F:F)</f>
        <v>Direct Labor</v>
      </c>
    </row>
    <row r="354" spans="1:10" x14ac:dyDescent="0.25">
      <c r="A354">
        <v>510002</v>
      </c>
      <c r="B354" t="s">
        <v>1440</v>
      </c>
      <c r="D354" s="116">
        <v>0.28000000000000003</v>
      </c>
      <c r="E354" s="116">
        <v>0</v>
      </c>
      <c r="F354" s="116">
        <f t="shared" si="3"/>
        <v>0.28000000000000003</v>
      </c>
      <c r="G354" s="43" t="str">
        <f>_xlfn.XLOOKUP($A354,Map!$A:$A,Map!C:C)</f>
        <v>IS</v>
      </c>
      <c r="H354" s="43" t="str">
        <f>_xlfn.XLOOKUP($A354,Map!$A:$A,Map!D:D)</f>
        <v>Cost of sales</v>
      </c>
      <c r="I354" s="43" t="str">
        <f>_xlfn.XLOOKUP($A354,Map!$A:$A,Map!E:E)</f>
        <v>Direct Labor</v>
      </c>
      <c r="J354" s="43" t="str">
        <f>_xlfn.XLOOKUP($A354,Map!$A:$A,Map!F:F)</f>
        <v>Direct Labor</v>
      </c>
    </row>
    <row r="355" spans="1:10" x14ac:dyDescent="0.25">
      <c r="A355">
        <v>510002</v>
      </c>
      <c r="B355" t="s">
        <v>1476</v>
      </c>
      <c r="D355" s="116">
        <v>11.762</v>
      </c>
      <c r="E355" s="116">
        <v>0</v>
      </c>
      <c r="F355" s="116">
        <f t="shared" si="3"/>
        <v>11.762</v>
      </c>
      <c r="G355" s="43" t="str">
        <f>_xlfn.XLOOKUP($A355,Map!$A:$A,Map!C:C)</f>
        <v>IS</v>
      </c>
      <c r="H355" s="43" t="str">
        <f>_xlfn.XLOOKUP($A355,Map!$A:$A,Map!D:D)</f>
        <v>Cost of sales</v>
      </c>
      <c r="I355" s="43" t="str">
        <f>_xlfn.XLOOKUP($A355,Map!$A:$A,Map!E:E)</f>
        <v>Direct Labor</v>
      </c>
      <c r="J355" s="43" t="str">
        <f>_xlfn.XLOOKUP($A355,Map!$A:$A,Map!F:F)</f>
        <v>Direct Labor</v>
      </c>
    </row>
    <row r="356" spans="1:10" x14ac:dyDescent="0.25">
      <c r="A356">
        <v>510002</v>
      </c>
      <c r="B356" t="s">
        <v>946</v>
      </c>
      <c r="D356" s="116">
        <v>0</v>
      </c>
      <c r="E356" s="116">
        <v>7290689.6789999995</v>
      </c>
      <c r="F356" s="116">
        <f t="shared" si="3"/>
        <v>-7290689.6789999995</v>
      </c>
      <c r="G356" s="43" t="str">
        <f>_xlfn.XLOOKUP($A356,Map!$A:$A,Map!C:C)</f>
        <v>IS</v>
      </c>
      <c r="H356" s="43" t="str">
        <f>_xlfn.XLOOKUP($A356,Map!$A:$A,Map!D:D)</f>
        <v>Cost of sales</v>
      </c>
      <c r="I356" s="43" t="str">
        <f>_xlfn.XLOOKUP($A356,Map!$A:$A,Map!E:E)</f>
        <v>Direct Labor</v>
      </c>
      <c r="J356" s="43" t="str">
        <f>_xlfn.XLOOKUP($A356,Map!$A:$A,Map!F:F)</f>
        <v>Direct Labor</v>
      </c>
    </row>
    <row r="357" spans="1:10" x14ac:dyDescent="0.25">
      <c r="A357">
        <v>510001</v>
      </c>
      <c r="B357" t="s">
        <v>1441</v>
      </c>
      <c r="D357" s="116">
        <v>178310.43400000001</v>
      </c>
      <c r="E357" s="116">
        <v>0</v>
      </c>
      <c r="F357" s="116">
        <f t="shared" si="3"/>
        <v>178310.43400000001</v>
      </c>
      <c r="G357" s="43" t="str">
        <f>_xlfn.XLOOKUP($A357,Map!$A:$A,Map!C:C)</f>
        <v>IS</v>
      </c>
      <c r="H357" s="43" t="str">
        <f>_xlfn.XLOOKUP($A357,Map!$A:$A,Map!D:D)</f>
        <v>Cost of sales</v>
      </c>
      <c r="I357" s="43" t="str">
        <f>_xlfn.XLOOKUP($A357,Map!$A:$A,Map!E:E)</f>
        <v>Raw materials</v>
      </c>
      <c r="J357" s="43" t="str">
        <f>_xlfn.XLOOKUP($A357,Map!$A:$A,Map!F:F)</f>
        <v>Raw materials</v>
      </c>
    </row>
    <row r="358" spans="1:10" x14ac:dyDescent="0.25">
      <c r="A358">
        <v>510001</v>
      </c>
      <c r="B358" t="s">
        <v>1443</v>
      </c>
      <c r="D358" s="116">
        <v>35156141.572999999</v>
      </c>
      <c r="E358" s="116">
        <v>0</v>
      </c>
      <c r="F358" s="116">
        <f t="shared" si="3"/>
        <v>35156141.572999999</v>
      </c>
      <c r="G358" s="43" t="str">
        <f>_xlfn.XLOOKUP($A358,Map!$A:$A,Map!C:C)</f>
        <v>IS</v>
      </c>
      <c r="H358" s="43" t="str">
        <f>_xlfn.XLOOKUP($A358,Map!$A:$A,Map!D:D)</f>
        <v>Cost of sales</v>
      </c>
      <c r="I358" s="43" t="str">
        <f>_xlfn.XLOOKUP($A358,Map!$A:$A,Map!E:E)</f>
        <v>Raw materials</v>
      </c>
      <c r="J358" s="43" t="str">
        <f>_xlfn.XLOOKUP($A358,Map!$A:$A,Map!F:F)</f>
        <v>Raw materials</v>
      </c>
    </row>
    <row r="359" spans="1:10" x14ac:dyDescent="0.25">
      <c r="A359">
        <v>510001</v>
      </c>
      <c r="B359" t="s">
        <v>1444</v>
      </c>
      <c r="D359" s="116">
        <v>1234713.689</v>
      </c>
      <c r="E359" s="116">
        <v>0</v>
      </c>
      <c r="F359" s="116">
        <f t="shared" si="3"/>
        <v>1234713.689</v>
      </c>
      <c r="G359" s="43" t="str">
        <f>_xlfn.XLOOKUP($A359,Map!$A:$A,Map!C:C)</f>
        <v>IS</v>
      </c>
      <c r="H359" s="43" t="str">
        <f>_xlfn.XLOOKUP($A359,Map!$A:$A,Map!D:D)</f>
        <v>Cost of sales</v>
      </c>
      <c r="I359" s="43" t="str">
        <f>_xlfn.XLOOKUP($A359,Map!$A:$A,Map!E:E)</f>
        <v>Raw materials</v>
      </c>
      <c r="J359" s="43" t="str">
        <f>_xlfn.XLOOKUP($A359,Map!$A:$A,Map!F:F)</f>
        <v>Raw materials</v>
      </c>
    </row>
    <row r="360" spans="1:10" x14ac:dyDescent="0.25">
      <c r="A360">
        <v>510001</v>
      </c>
      <c r="B360" t="s">
        <v>1477</v>
      </c>
      <c r="D360" s="116">
        <v>789969.74600000004</v>
      </c>
      <c r="E360" s="116">
        <v>0</v>
      </c>
      <c r="F360" s="116">
        <f t="shared" si="3"/>
        <v>789969.74600000004</v>
      </c>
      <c r="G360" s="43" t="str">
        <f>_xlfn.XLOOKUP($A360,Map!$A:$A,Map!C:C)</f>
        <v>IS</v>
      </c>
      <c r="H360" s="43" t="str">
        <f>_xlfn.XLOOKUP($A360,Map!$A:$A,Map!D:D)</f>
        <v>Cost of sales</v>
      </c>
      <c r="I360" s="43" t="str">
        <f>_xlfn.XLOOKUP($A360,Map!$A:$A,Map!E:E)</f>
        <v>Raw materials</v>
      </c>
      <c r="J360" s="43" t="str">
        <f>_xlfn.XLOOKUP($A360,Map!$A:$A,Map!F:F)</f>
        <v>Raw materials</v>
      </c>
    </row>
    <row r="361" spans="1:10" x14ac:dyDescent="0.25">
      <c r="A361">
        <v>510001</v>
      </c>
      <c r="B361" t="s">
        <v>1478</v>
      </c>
      <c r="D361" s="116">
        <v>1685.3119999999999</v>
      </c>
      <c r="E361" s="116">
        <v>0</v>
      </c>
      <c r="F361" s="116">
        <f t="shared" si="3"/>
        <v>1685.3119999999999</v>
      </c>
      <c r="G361" s="43" t="str">
        <f>_xlfn.XLOOKUP($A361,Map!$A:$A,Map!C:C)</f>
        <v>IS</v>
      </c>
      <c r="H361" s="43" t="str">
        <f>_xlfn.XLOOKUP($A361,Map!$A:$A,Map!D:D)</f>
        <v>Cost of sales</v>
      </c>
      <c r="I361" s="43" t="str">
        <f>_xlfn.XLOOKUP($A361,Map!$A:$A,Map!E:E)</f>
        <v>Raw materials</v>
      </c>
      <c r="J361" s="43" t="str">
        <f>_xlfn.XLOOKUP($A361,Map!$A:$A,Map!F:F)</f>
        <v>Raw materials</v>
      </c>
    </row>
    <row r="362" spans="1:10" x14ac:dyDescent="0.25">
      <c r="A362">
        <v>510001</v>
      </c>
      <c r="B362" t="s">
        <v>945</v>
      </c>
      <c r="D362" s="116">
        <v>11551.396000000001</v>
      </c>
      <c r="E362" s="116">
        <v>0</v>
      </c>
      <c r="F362" s="116">
        <f t="shared" si="3"/>
        <v>11551.396000000001</v>
      </c>
      <c r="G362" s="43" t="str">
        <f>_xlfn.XLOOKUP($A362,Map!$A:$A,Map!C:C)</f>
        <v>IS</v>
      </c>
      <c r="H362" s="43" t="str">
        <f>_xlfn.XLOOKUP($A362,Map!$A:$A,Map!D:D)</f>
        <v>Cost of sales</v>
      </c>
      <c r="I362" s="43" t="str">
        <f>_xlfn.XLOOKUP($A362,Map!$A:$A,Map!E:E)</f>
        <v>Raw materials</v>
      </c>
      <c r="J362" s="43" t="str">
        <f>_xlfn.XLOOKUP($A362,Map!$A:$A,Map!F:F)</f>
        <v>Raw materials</v>
      </c>
    </row>
    <row r="363" spans="1:10" x14ac:dyDescent="0.25">
      <c r="A363">
        <v>510001</v>
      </c>
      <c r="B363" t="s">
        <v>1445</v>
      </c>
      <c r="D363" s="116">
        <v>0</v>
      </c>
      <c r="E363" s="116">
        <v>0</v>
      </c>
      <c r="F363" s="116">
        <f t="shared" si="3"/>
        <v>0</v>
      </c>
      <c r="G363" s="43" t="str">
        <f>_xlfn.XLOOKUP($A363,Map!$A:$A,Map!C:C)</f>
        <v>IS</v>
      </c>
      <c r="H363" s="43" t="str">
        <f>_xlfn.XLOOKUP($A363,Map!$A:$A,Map!D:D)</f>
        <v>Cost of sales</v>
      </c>
      <c r="I363" s="43" t="str">
        <f>_xlfn.XLOOKUP($A363,Map!$A:$A,Map!E:E)</f>
        <v>Raw materials</v>
      </c>
      <c r="J363" s="43" t="str">
        <f>_xlfn.XLOOKUP($A363,Map!$A:$A,Map!F:F)</f>
        <v>Raw materials</v>
      </c>
    </row>
    <row r="364" spans="1:10" x14ac:dyDescent="0.25">
      <c r="A364">
        <v>510001</v>
      </c>
      <c r="B364" t="s">
        <v>1446</v>
      </c>
      <c r="D364" s="116">
        <v>2438576.9649999999</v>
      </c>
      <c r="E364" s="116">
        <v>0</v>
      </c>
      <c r="F364" s="116">
        <f t="shared" si="3"/>
        <v>2438576.9649999999</v>
      </c>
      <c r="G364" s="43" t="str">
        <f>_xlfn.XLOOKUP($A364,Map!$A:$A,Map!C:C)</f>
        <v>IS</v>
      </c>
      <c r="H364" s="43" t="str">
        <f>_xlfn.XLOOKUP($A364,Map!$A:$A,Map!D:D)</f>
        <v>Cost of sales</v>
      </c>
      <c r="I364" s="43" t="str">
        <f>_xlfn.XLOOKUP($A364,Map!$A:$A,Map!E:E)</f>
        <v>Raw materials</v>
      </c>
      <c r="J364" s="43" t="str">
        <f>_xlfn.XLOOKUP($A364,Map!$A:$A,Map!F:F)</f>
        <v>Raw materials</v>
      </c>
    </row>
    <row r="365" spans="1:10" x14ac:dyDescent="0.25">
      <c r="A365">
        <v>510001</v>
      </c>
      <c r="B365" t="s">
        <v>1447</v>
      </c>
      <c r="D365" s="116">
        <v>48138.3</v>
      </c>
      <c r="E365" s="116">
        <v>0</v>
      </c>
      <c r="F365" s="116">
        <f t="shared" si="3"/>
        <v>48138.3</v>
      </c>
      <c r="G365" s="43" t="str">
        <f>_xlfn.XLOOKUP($A365,Map!$A:$A,Map!C:C)</f>
        <v>IS</v>
      </c>
      <c r="H365" s="43" t="str">
        <f>_xlfn.XLOOKUP($A365,Map!$A:$A,Map!D:D)</f>
        <v>Cost of sales</v>
      </c>
      <c r="I365" s="43" t="str">
        <f>_xlfn.XLOOKUP($A365,Map!$A:$A,Map!E:E)</f>
        <v>Raw materials</v>
      </c>
      <c r="J365" s="43" t="str">
        <f>_xlfn.XLOOKUP($A365,Map!$A:$A,Map!F:F)</f>
        <v>Raw materials</v>
      </c>
    </row>
    <row r="366" spans="1:10" x14ac:dyDescent="0.25">
      <c r="A366">
        <v>510001</v>
      </c>
      <c r="B366" t="s">
        <v>1448</v>
      </c>
      <c r="D366" s="116">
        <v>10448.289000000001</v>
      </c>
      <c r="E366" s="116">
        <v>0</v>
      </c>
      <c r="F366" s="116">
        <f t="shared" si="3"/>
        <v>10448.289000000001</v>
      </c>
      <c r="G366" s="43" t="str">
        <f>_xlfn.XLOOKUP($A366,Map!$A:$A,Map!C:C)</f>
        <v>IS</v>
      </c>
      <c r="H366" s="43" t="str">
        <f>_xlfn.XLOOKUP($A366,Map!$A:$A,Map!D:D)</f>
        <v>Cost of sales</v>
      </c>
      <c r="I366" s="43" t="str">
        <f>_xlfn.XLOOKUP($A366,Map!$A:$A,Map!E:E)</f>
        <v>Raw materials</v>
      </c>
      <c r="J366" s="43" t="str">
        <f>_xlfn.XLOOKUP($A366,Map!$A:$A,Map!F:F)</f>
        <v>Raw materials</v>
      </c>
    </row>
    <row r="367" spans="1:10" x14ac:dyDescent="0.25">
      <c r="A367">
        <v>510001</v>
      </c>
      <c r="B367" t="s">
        <v>1449</v>
      </c>
      <c r="D367" s="116">
        <v>18530016.193</v>
      </c>
      <c r="E367" s="116">
        <v>0</v>
      </c>
      <c r="F367" s="116">
        <f t="shared" si="3"/>
        <v>18530016.193</v>
      </c>
      <c r="G367" s="43" t="str">
        <f>_xlfn.XLOOKUP($A367,Map!$A:$A,Map!C:C)</f>
        <v>IS</v>
      </c>
      <c r="H367" s="43" t="str">
        <f>_xlfn.XLOOKUP($A367,Map!$A:$A,Map!D:D)</f>
        <v>Cost of sales</v>
      </c>
      <c r="I367" s="43" t="str">
        <f>_xlfn.XLOOKUP($A367,Map!$A:$A,Map!E:E)</f>
        <v>Raw materials</v>
      </c>
      <c r="J367" s="43" t="str">
        <f>_xlfn.XLOOKUP($A367,Map!$A:$A,Map!F:F)</f>
        <v>Raw materials</v>
      </c>
    </row>
    <row r="368" spans="1:10" x14ac:dyDescent="0.25">
      <c r="A368">
        <v>510001</v>
      </c>
      <c r="B368" t="s">
        <v>1450</v>
      </c>
      <c r="D368" s="116">
        <v>8091647.2390000001</v>
      </c>
      <c r="E368" s="116">
        <v>0</v>
      </c>
      <c r="F368" s="116">
        <f t="shared" si="3"/>
        <v>8091647.2390000001</v>
      </c>
      <c r="G368" s="43" t="str">
        <f>_xlfn.XLOOKUP($A368,Map!$A:$A,Map!C:C)</f>
        <v>IS</v>
      </c>
      <c r="H368" s="43" t="str">
        <f>_xlfn.XLOOKUP($A368,Map!$A:$A,Map!D:D)</f>
        <v>Cost of sales</v>
      </c>
      <c r="I368" s="43" t="str">
        <f>_xlfn.XLOOKUP($A368,Map!$A:$A,Map!E:E)</f>
        <v>Raw materials</v>
      </c>
      <c r="J368" s="43" t="str">
        <f>_xlfn.XLOOKUP($A368,Map!$A:$A,Map!F:F)</f>
        <v>Raw materials</v>
      </c>
    </row>
    <row r="369" spans="1:10" x14ac:dyDescent="0.25">
      <c r="A369">
        <v>510001</v>
      </c>
      <c r="B369" t="s">
        <v>1451</v>
      </c>
      <c r="D369" s="116">
        <v>7832764.3870000001</v>
      </c>
      <c r="E369" s="116">
        <v>0</v>
      </c>
      <c r="F369" s="116">
        <f t="shared" si="3"/>
        <v>7832764.3870000001</v>
      </c>
      <c r="G369" s="43" t="str">
        <f>_xlfn.XLOOKUP($A369,Map!$A:$A,Map!C:C)</f>
        <v>IS</v>
      </c>
      <c r="H369" s="43" t="str">
        <f>_xlfn.XLOOKUP($A369,Map!$A:$A,Map!D:D)</f>
        <v>Cost of sales</v>
      </c>
      <c r="I369" s="43" t="str">
        <f>_xlfn.XLOOKUP($A369,Map!$A:$A,Map!E:E)</f>
        <v>Raw materials</v>
      </c>
      <c r="J369" s="43" t="str">
        <f>_xlfn.XLOOKUP($A369,Map!$A:$A,Map!F:F)</f>
        <v>Raw materials</v>
      </c>
    </row>
    <row r="370" spans="1:10" x14ac:dyDescent="0.25">
      <c r="A370">
        <v>510001</v>
      </c>
      <c r="B370" t="s">
        <v>1452</v>
      </c>
      <c r="D370" s="116">
        <v>0</v>
      </c>
      <c r="E370" s="116">
        <v>8.9999999999999993E-3</v>
      </c>
      <c r="F370" s="116">
        <f t="shared" si="3"/>
        <v>-8.9999999999999993E-3</v>
      </c>
      <c r="G370" s="43" t="str">
        <f>_xlfn.XLOOKUP($A370,Map!$A:$A,Map!C:C)</f>
        <v>IS</v>
      </c>
      <c r="H370" s="43" t="str">
        <f>_xlfn.XLOOKUP($A370,Map!$A:$A,Map!D:D)</f>
        <v>Cost of sales</v>
      </c>
      <c r="I370" s="43" t="str">
        <f>_xlfn.XLOOKUP($A370,Map!$A:$A,Map!E:E)</f>
        <v>Raw materials</v>
      </c>
      <c r="J370" s="43" t="str">
        <f>_xlfn.XLOOKUP($A370,Map!$A:$A,Map!F:F)</f>
        <v>Raw materials</v>
      </c>
    </row>
    <row r="371" spans="1:10" x14ac:dyDescent="0.25">
      <c r="A371">
        <v>510001</v>
      </c>
      <c r="B371" t="s">
        <v>1453</v>
      </c>
      <c r="D371" s="116">
        <v>2356886.6290000002</v>
      </c>
      <c r="E371" s="116">
        <v>0</v>
      </c>
      <c r="F371" s="116">
        <f t="shared" si="3"/>
        <v>2356886.6290000002</v>
      </c>
      <c r="G371" s="43" t="str">
        <f>_xlfn.XLOOKUP($A371,Map!$A:$A,Map!C:C)</f>
        <v>IS</v>
      </c>
      <c r="H371" s="43" t="str">
        <f>_xlfn.XLOOKUP($A371,Map!$A:$A,Map!D:D)</f>
        <v>Cost of sales</v>
      </c>
      <c r="I371" s="43" t="str">
        <f>_xlfn.XLOOKUP($A371,Map!$A:$A,Map!E:E)</f>
        <v>Raw materials</v>
      </c>
      <c r="J371" s="43" t="str">
        <f>_xlfn.XLOOKUP($A371,Map!$A:$A,Map!F:F)</f>
        <v>Raw materials</v>
      </c>
    </row>
    <row r="372" spans="1:10" x14ac:dyDescent="0.25">
      <c r="A372">
        <v>510001</v>
      </c>
      <c r="B372" t="s">
        <v>1454</v>
      </c>
      <c r="D372" s="116">
        <v>10991691.280999999</v>
      </c>
      <c r="E372" s="116">
        <v>0</v>
      </c>
      <c r="F372" s="116">
        <f t="shared" si="3"/>
        <v>10991691.280999999</v>
      </c>
      <c r="G372" s="43" t="str">
        <f>_xlfn.XLOOKUP($A372,Map!$A:$A,Map!C:C)</f>
        <v>IS</v>
      </c>
      <c r="H372" s="43" t="str">
        <f>_xlfn.XLOOKUP($A372,Map!$A:$A,Map!D:D)</f>
        <v>Cost of sales</v>
      </c>
      <c r="I372" s="43" t="str">
        <f>_xlfn.XLOOKUP($A372,Map!$A:$A,Map!E:E)</f>
        <v>Raw materials</v>
      </c>
      <c r="J372" s="43" t="str">
        <f>_xlfn.XLOOKUP($A372,Map!$A:$A,Map!F:F)</f>
        <v>Raw materials</v>
      </c>
    </row>
    <row r="373" spans="1:10" x14ac:dyDescent="0.25">
      <c r="A373">
        <v>510001</v>
      </c>
      <c r="B373" t="s">
        <v>1455</v>
      </c>
      <c r="D373" s="116">
        <v>4103361.8650000002</v>
      </c>
      <c r="E373" s="116">
        <v>0</v>
      </c>
      <c r="F373" s="116">
        <f t="shared" si="3"/>
        <v>4103361.8650000002</v>
      </c>
      <c r="G373" s="43" t="str">
        <f>_xlfn.XLOOKUP($A373,Map!$A:$A,Map!C:C)</f>
        <v>IS</v>
      </c>
      <c r="H373" s="43" t="str">
        <f>_xlfn.XLOOKUP($A373,Map!$A:$A,Map!D:D)</f>
        <v>Cost of sales</v>
      </c>
      <c r="I373" s="43" t="str">
        <f>_xlfn.XLOOKUP($A373,Map!$A:$A,Map!E:E)</f>
        <v>Raw materials</v>
      </c>
      <c r="J373" s="43" t="str">
        <f>_xlfn.XLOOKUP($A373,Map!$A:$A,Map!F:F)</f>
        <v>Raw materials</v>
      </c>
    </row>
    <row r="374" spans="1:10" x14ac:dyDescent="0.25">
      <c r="A374">
        <v>510001</v>
      </c>
      <c r="B374" t="s">
        <v>1456</v>
      </c>
      <c r="D374" s="116">
        <v>781838.90300000005</v>
      </c>
      <c r="E374" s="116">
        <v>0</v>
      </c>
      <c r="F374" s="116">
        <f t="shared" si="3"/>
        <v>781838.90300000005</v>
      </c>
      <c r="G374" s="43" t="str">
        <f>_xlfn.XLOOKUP($A374,Map!$A:$A,Map!C:C)</f>
        <v>IS</v>
      </c>
      <c r="H374" s="43" t="str">
        <f>_xlfn.XLOOKUP($A374,Map!$A:$A,Map!D:D)</f>
        <v>Cost of sales</v>
      </c>
      <c r="I374" s="43" t="str">
        <f>_xlfn.XLOOKUP($A374,Map!$A:$A,Map!E:E)</f>
        <v>Raw materials</v>
      </c>
      <c r="J374" s="43" t="str">
        <f>_xlfn.XLOOKUP($A374,Map!$A:$A,Map!F:F)</f>
        <v>Raw materials</v>
      </c>
    </row>
    <row r="375" spans="1:10" x14ac:dyDescent="0.25">
      <c r="A375">
        <v>510001</v>
      </c>
      <c r="B375" t="s">
        <v>945</v>
      </c>
      <c r="D375" s="116">
        <v>0</v>
      </c>
      <c r="E375" s="116">
        <v>91888999.739999995</v>
      </c>
      <c r="F375" s="116">
        <f t="shared" si="3"/>
        <v>-91888999.739999995</v>
      </c>
      <c r="G375" s="43" t="str">
        <f>_xlfn.XLOOKUP($A375,Map!$A:$A,Map!C:C)</f>
        <v>IS</v>
      </c>
      <c r="H375" s="43" t="str">
        <f>_xlfn.XLOOKUP($A375,Map!$A:$A,Map!D:D)</f>
        <v>Cost of sales</v>
      </c>
      <c r="I375" s="43" t="str">
        <f>_xlfn.XLOOKUP($A375,Map!$A:$A,Map!E:E)</f>
        <v>Raw materials</v>
      </c>
      <c r="J375" s="43" t="str">
        <f>_xlfn.XLOOKUP($A375,Map!$A:$A,Map!F:F)</f>
        <v>Raw materials</v>
      </c>
    </row>
    <row r="378" spans="1:10" x14ac:dyDescent="0.25">
      <c r="A378">
        <v>170021</v>
      </c>
      <c r="B378" t="s">
        <v>883</v>
      </c>
      <c r="D378" s="154">
        <v>4054218.42</v>
      </c>
      <c r="F378" s="147">
        <f>D378-E378</f>
        <v>4054218.42</v>
      </c>
      <c r="G378" s="43" t="str">
        <f>_xlfn.XLOOKUP($A378,Map!$A:$A,Map!C:C)</f>
        <v>BS</v>
      </c>
      <c r="H378" s="43" t="str">
        <f>_xlfn.XLOOKUP($A378,Map!$A:$A,Map!D:D)</f>
        <v>Current Assets</v>
      </c>
      <c r="I378" s="43" t="str">
        <f>_xlfn.XLOOKUP($A378,Map!$A:$A,Map!E:E)</f>
        <v>Prepaid expenses</v>
      </c>
      <c r="J378" s="43" t="str">
        <f>_xlfn.XLOOKUP($A378,Map!$A:$A,Map!F:F)</f>
        <v>Prepaid expense</v>
      </c>
    </row>
    <row r="379" spans="1:10" x14ac:dyDescent="0.25">
      <c r="A379">
        <v>210001</v>
      </c>
      <c r="B379" t="s">
        <v>902</v>
      </c>
      <c r="E379" s="154">
        <f>D378</f>
        <v>4054218.42</v>
      </c>
      <c r="F379" s="147">
        <f>D379-E379</f>
        <v>-4054218.42</v>
      </c>
      <c r="G379" s="43" t="str">
        <f>_xlfn.XLOOKUP($A379,Map!$A:$A,Map!C:C)</f>
        <v>BS</v>
      </c>
      <c r="H379" s="43" t="str">
        <f>_xlfn.XLOOKUP($A379,Map!$A:$A,Map!D:D)</f>
        <v>Current Liabilities</v>
      </c>
      <c r="I379" s="43" t="str">
        <f>_xlfn.XLOOKUP($A379,Map!$A:$A,Map!E:E)</f>
        <v>Tade payables and Accuals &amp; other credit balances</v>
      </c>
      <c r="J379" s="43" t="str">
        <f>_xlfn.XLOOKUP($A379,Map!$A:$A,Map!F:F)</f>
        <v>Trade payables - Foreign</v>
      </c>
    </row>
    <row r="382" spans="1:10" x14ac:dyDescent="0.25">
      <c r="A382">
        <v>410001</v>
      </c>
      <c r="B382" t="s">
        <v>1344</v>
      </c>
      <c r="D382" s="88">
        <v>4245267.38717</v>
      </c>
      <c r="E382" s="88"/>
      <c r="F382" s="147">
        <f>D382-E382</f>
        <v>4245267.38717</v>
      </c>
      <c r="G382" s="43" t="str">
        <f>_xlfn.XLOOKUP($A382,Map!$A:$A,Map!C:C)</f>
        <v>IS</v>
      </c>
      <c r="H382" s="43" t="str">
        <f>_xlfn.XLOOKUP($A382,Map!$A:$A,Map!D:D)</f>
        <v>Sales</v>
      </c>
      <c r="I382" s="43" t="str">
        <f>_xlfn.XLOOKUP($A382,Map!$A:$A,Map!E:E)</f>
        <v>Sales</v>
      </c>
      <c r="J382" s="43" t="str">
        <f>_xlfn.XLOOKUP($A382,Map!$A:$A,Map!F:F)</f>
        <v>Trading revenue</v>
      </c>
    </row>
    <row r="383" spans="1:10" x14ac:dyDescent="0.25">
      <c r="A383">
        <v>510001</v>
      </c>
      <c r="B383" t="s">
        <v>1345</v>
      </c>
      <c r="D383" s="88"/>
      <c r="E383" s="88">
        <v>4169216.7075269991</v>
      </c>
      <c r="F383" s="147">
        <f>D383-E383</f>
        <v>-4169216.7075269991</v>
      </c>
      <c r="G383" s="43" t="str">
        <f>_xlfn.XLOOKUP($A383,Map!$A:$A,Map!C:C)</f>
        <v>IS</v>
      </c>
      <c r="H383" s="43" t="str">
        <f>_xlfn.XLOOKUP($A383,Map!$A:$A,Map!D:D)</f>
        <v>Cost of sales</v>
      </c>
      <c r="I383" s="43" t="str">
        <f>_xlfn.XLOOKUP($A383,Map!$A:$A,Map!E:E)</f>
        <v>Raw materials</v>
      </c>
      <c r="J383" s="43" t="str">
        <f>_xlfn.XLOOKUP($A383,Map!$A:$A,Map!F:F)</f>
        <v>Raw materials</v>
      </c>
    </row>
  </sheetData>
  <autoFilter ref="A4:J375" xr:uid="{00000000-0009-0000-0000-000022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270"/>
  <sheetViews>
    <sheetView zoomScale="90" workbookViewId="0">
      <pane ySplit="247" topLeftCell="A248" activePane="bottomLeft" state="frozen"/>
      <selection pane="bottomLeft"/>
    </sheetView>
  </sheetViews>
  <sheetFormatPr defaultRowHeight="15" x14ac:dyDescent="0.25"/>
  <cols>
    <col min="1" max="1" width="13.42578125" customWidth="1"/>
    <col min="2" max="2" width="35.85546875" customWidth="1"/>
    <col min="3" max="3" width="17.28515625" customWidth="1"/>
    <col min="4" max="4" width="17.85546875" customWidth="1"/>
    <col min="6" max="6" width="17" customWidth="1"/>
    <col min="7" max="7" width="8.85546875" customWidth="1"/>
    <col min="8" max="8" width="26.7109375" customWidth="1"/>
    <col min="9" max="9" width="30.7109375" customWidth="1"/>
    <col min="10" max="10" width="20.5703125" customWidth="1"/>
    <col min="11" max="11" width="8.85546875" customWidth="1"/>
  </cols>
  <sheetData>
    <row r="1" spans="1:10" x14ac:dyDescent="0.25">
      <c r="A1" s="85" t="s">
        <v>1251</v>
      </c>
    </row>
    <row r="2" spans="1:10" x14ac:dyDescent="0.25">
      <c r="A2" s="85" t="s">
        <v>1200</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110001</v>
      </c>
      <c r="B5" t="s">
        <v>818</v>
      </c>
      <c r="C5" s="116">
        <v>0</v>
      </c>
      <c r="D5" s="116">
        <v>0</v>
      </c>
      <c r="E5" s="116">
        <v>0</v>
      </c>
      <c r="F5" s="116">
        <v>0</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110002</v>
      </c>
      <c r="B6" t="s">
        <v>819</v>
      </c>
      <c r="C6" s="116">
        <v>106504996.56999999</v>
      </c>
      <c r="D6" s="116">
        <v>791200</v>
      </c>
      <c r="E6" s="116">
        <v>0</v>
      </c>
      <c r="F6" s="116">
        <v>107296196.56999999</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110003</v>
      </c>
      <c r="B7" t="s">
        <v>820</v>
      </c>
      <c r="C7" s="116">
        <v>1765393.75</v>
      </c>
      <c r="D7" s="116">
        <v>0</v>
      </c>
      <c r="E7" s="116">
        <v>0</v>
      </c>
      <c r="F7" s="116">
        <v>1765393.75</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110004</v>
      </c>
      <c r="B8" t="s">
        <v>821</v>
      </c>
      <c r="C8" s="116">
        <v>72478281.030000001</v>
      </c>
      <c r="D8" s="116">
        <v>11115258.540999999</v>
      </c>
      <c r="E8" s="116">
        <v>1781223.8230000001</v>
      </c>
      <c r="F8" s="116">
        <v>81812315.747999996</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110006</v>
      </c>
      <c r="B9" t="s">
        <v>822</v>
      </c>
      <c r="C9" s="116">
        <v>3090755.699</v>
      </c>
      <c r="D9" s="116">
        <v>355746.28</v>
      </c>
      <c r="E9" s="116">
        <v>119246.28</v>
      </c>
      <c r="F9" s="116">
        <v>3327255.699</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110007</v>
      </c>
      <c r="B10" t="s">
        <v>823</v>
      </c>
      <c r="C10" s="116">
        <v>2100287.898</v>
      </c>
      <c r="D10" s="116">
        <v>179130.48</v>
      </c>
      <c r="E10" s="116">
        <v>9500</v>
      </c>
      <c r="F10" s="116">
        <v>2269918.378</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110008</v>
      </c>
      <c r="B11" t="s">
        <v>824</v>
      </c>
      <c r="C11" s="116">
        <v>1101801</v>
      </c>
      <c r="D11" s="116">
        <v>33427.902000000002</v>
      </c>
      <c r="E11" s="116">
        <v>988.78099999999995</v>
      </c>
      <c r="F11" s="116">
        <v>1134240.121</v>
      </c>
      <c r="G11" s="43" t="str">
        <f>_xlfn.XLOOKUP($A11,Map!$A:$A,Map!C:C)</f>
        <v>BS</v>
      </c>
      <c r="H11" s="43" t="str">
        <f>_xlfn.XLOOKUP($A11,Map!$A:$A,Map!D:D)</f>
        <v>Non-Current Assets</v>
      </c>
      <c r="I11" s="43" t="str">
        <f>_xlfn.XLOOKUP($A11,Map!$A:$A,Map!E:E)</f>
        <v>Property, plant and equipment</v>
      </c>
      <c r="J11" s="43" t="str">
        <f>_xlfn.XLOOKUP($A11,Map!$A:$A,Map!F:F)</f>
        <v>Property, plant and equipment</v>
      </c>
    </row>
    <row r="12" spans="1:10" x14ac:dyDescent="0.25">
      <c r="A12">
        <v>111009</v>
      </c>
      <c r="B12" t="s">
        <v>825</v>
      </c>
      <c r="C12" s="116">
        <v>2020135</v>
      </c>
      <c r="D12" s="116">
        <v>0</v>
      </c>
      <c r="E12" s="116">
        <v>0</v>
      </c>
      <c r="F12" s="116">
        <v>2020135</v>
      </c>
      <c r="G12" s="43" t="str">
        <f>_xlfn.XLOOKUP($A12,Map!$A:$A,Map!C:C)</f>
        <v>BS</v>
      </c>
      <c r="H12" s="43" t="str">
        <f>_xlfn.XLOOKUP($A12,Map!$A:$A,Map!D:D)</f>
        <v>Non-Current Assets</v>
      </c>
      <c r="I12" s="43" t="str">
        <f>_xlfn.XLOOKUP($A12,Map!$A:$A,Map!E:E)</f>
        <v>Right of use</v>
      </c>
      <c r="J12" s="43" t="str">
        <f>_xlfn.XLOOKUP($A12,Map!$A:$A,Map!F:F)</f>
        <v>Leases - right of use assets</v>
      </c>
    </row>
    <row r="13" spans="1:10" x14ac:dyDescent="0.25">
      <c r="A13">
        <v>111010</v>
      </c>
      <c r="B13" t="s">
        <v>826</v>
      </c>
      <c r="C13" s="116">
        <v>0</v>
      </c>
      <c r="D13" s="116">
        <v>5670447.4179999996</v>
      </c>
      <c r="E13" s="116">
        <v>5670447.4179999996</v>
      </c>
      <c r="F13" s="116">
        <v>0</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111013</v>
      </c>
      <c r="B14" t="s">
        <v>827</v>
      </c>
      <c r="C14" s="116">
        <v>569470.01699999999</v>
      </c>
      <c r="D14" s="116">
        <v>11180877.766000001</v>
      </c>
      <c r="E14" s="116">
        <v>8088425.0130000003</v>
      </c>
      <c r="F14" s="116">
        <v>3661922.77</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111099</v>
      </c>
      <c r="B15" t="s">
        <v>828</v>
      </c>
      <c r="C15" s="116">
        <v>0</v>
      </c>
      <c r="D15" s="116">
        <v>220102.927</v>
      </c>
      <c r="E15" s="116">
        <v>0</v>
      </c>
      <c r="F15" s="116">
        <v>220102.927</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120001</v>
      </c>
      <c r="B16" t="s">
        <v>829</v>
      </c>
      <c r="C16" s="116">
        <v>-8453823.0800000001</v>
      </c>
      <c r="D16" s="116">
        <v>0</v>
      </c>
      <c r="E16" s="116">
        <v>1583327.5020000001</v>
      </c>
      <c r="F16" s="116">
        <v>-10037150.582</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120002</v>
      </c>
      <c r="B17" t="s">
        <v>830</v>
      </c>
      <c r="C17" s="116">
        <v>-1765393.774</v>
      </c>
      <c r="D17" s="116">
        <v>0</v>
      </c>
      <c r="E17" s="116">
        <v>0</v>
      </c>
      <c r="F17" s="116">
        <v>-1765393.774</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120003</v>
      </c>
      <c r="B18" t="s">
        <v>831</v>
      </c>
      <c r="C18" s="116">
        <v>-41530054.737999998</v>
      </c>
      <c r="D18" s="116">
        <v>1862.8910000000001</v>
      </c>
      <c r="E18" s="116">
        <v>4524757.5029999996</v>
      </c>
      <c r="F18" s="116">
        <v>-46052949.350000001</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120005</v>
      </c>
      <c r="B19" t="s">
        <v>832</v>
      </c>
      <c r="C19" s="116">
        <v>-2378006.81</v>
      </c>
      <c r="D19" s="116">
        <v>101000</v>
      </c>
      <c r="E19" s="116">
        <v>164512.57</v>
      </c>
      <c r="F19" s="116">
        <v>-2441519.38</v>
      </c>
      <c r="G19" s="43" t="str">
        <f>_xlfn.XLOOKUP($A19,Map!$A:$A,Map!C:C)</f>
        <v>BS</v>
      </c>
      <c r="H19" s="43" t="str">
        <f>_xlfn.XLOOKUP($A19,Map!$A:$A,Map!D:D)</f>
        <v>Non-Current Assets</v>
      </c>
      <c r="I19" s="43" t="str">
        <f>_xlfn.XLOOKUP($A19,Map!$A:$A,Map!E:E)</f>
        <v>Property, plant and equipment</v>
      </c>
      <c r="J19" s="43" t="str">
        <f>_xlfn.XLOOKUP($A19,Map!$A:$A,Map!F:F)</f>
        <v>Property, plant and equipment - Accumulated depreciation</v>
      </c>
    </row>
    <row r="20" spans="1:10" x14ac:dyDescent="0.25">
      <c r="A20">
        <v>120006</v>
      </c>
      <c r="B20" t="s">
        <v>833</v>
      </c>
      <c r="C20" s="116">
        <v>-1629306.473</v>
      </c>
      <c r="D20" s="116">
        <v>1604.1859999999999</v>
      </c>
      <c r="E20" s="116">
        <v>265483.67099999997</v>
      </c>
      <c r="F20" s="116">
        <v>-1893185.9580000001</v>
      </c>
      <c r="G20" s="43" t="str">
        <f>_xlfn.XLOOKUP($A20,Map!$A:$A,Map!C:C)</f>
        <v>BS</v>
      </c>
      <c r="H20" s="43" t="str">
        <f>_xlfn.XLOOKUP($A20,Map!$A:$A,Map!D:D)</f>
        <v>Non-Current Assets</v>
      </c>
      <c r="I20" s="43" t="str">
        <f>_xlfn.XLOOKUP($A20,Map!$A:$A,Map!E:E)</f>
        <v>Property, plant and equipment</v>
      </c>
      <c r="J20" s="43" t="str">
        <f>_xlfn.XLOOKUP($A20,Map!$A:$A,Map!F:F)</f>
        <v>Property, plant and equipment - Accumulated depreciation</v>
      </c>
    </row>
    <row r="21" spans="1:10" x14ac:dyDescent="0.25">
      <c r="A21">
        <v>120007</v>
      </c>
      <c r="B21" t="s">
        <v>834</v>
      </c>
      <c r="C21" s="116">
        <v>-567470.49600000004</v>
      </c>
      <c r="D21" s="116">
        <v>0</v>
      </c>
      <c r="E21" s="116">
        <v>89058.758000000002</v>
      </c>
      <c r="F21" s="116">
        <v>-656529.25399999996</v>
      </c>
      <c r="G21" s="43" t="str">
        <f>_xlfn.XLOOKUP($A21,Map!$A:$A,Map!C:C)</f>
        <v>BS</v>
      </c>
      <c r="H21" s="43" t="str">
        <f>_xlfn.XLOOKUP($A21,Map!$A:$A,Map!D:D)</f>
        <v>Non-Current Assets</v>
      </c>
      <c r="I21" s="43" t="str">
        <f>_xlfn.XLOOKUP($A21,Map!$A:$A,Map!E:E)</f>
        <v>Property, plant and equipment</v>
      </c>
      <c r="J21" s="43" t="str">
        <f>_xlfn.XLOOKUP($A21,Map!$A:$A,Map!F:F)</f>
        <v>Property, plant and equipment - Accumulated depreciation</v>
      </c>
    </row>
    <row r="22" spans="1:10" x14ac:dyDescent="0.25">
      <c r="A22">
        <v>120008</v>
      </c>
      <c r="B22" t="s">
        <v>835</v>
      </c>
      <c r="C22" s="116">
        <v>-645860.91700000002</v>
      </c>
      <c r="D22" s="116">
        <v>0</v>
      </c>
      <c r="E22" s="116">
        <v>148721.60399999999</v>
      </c>
      <c r="F22" s="116">
        <v>-794582.52099999995</v>
      </c>
      <c r="G22" s="43" t="str">
        <f>_xlfn.XLOOKUP($A22,Map!$A:$A,Map!C:C)</f>
        <v>BS</v>
      </c>
      <c r="H22" s="43" t="str">
        <f>_xlfn.XLOOKUP($A22,Map!$A:$A,Map!D:D)</f>
        <v>Non-Current Assets</v>
      </c>
      <c r="I22" s="43" t="str">
        <f>_xlfn.XLOOKUP($A22,Map!$A:$A,Map!E:E)</f>
        <v>Right of use</v>
      </c>
      <c r="J22" s="43" t="str">
        <f>_xlfn.XLOOKUP($A22,Map!$A:$A,Map!F:F)</f>
        <v>Depreciation/amortization of rights of use assets</v>
      </c>
    </row>
    <row r="23" spans="1:10" x14ac:dyDescent="0.25">
      <c r="A23">
        <v>121001</v>
      </c>
      <c r="B23" t="s">
        <v>836</v>
      </c>
      <c r="C23" s="116">
        <v>13762616.130000001</v>
      </c>
      <c r="D23" s="116">
        <v>0</v>
      </c>
      <c r="E23" s="116">
        <v>0</v>
      </c>
      <c r="F23" s="116">
        <v>13762616.130000001</v>
      </c>
      <c r="G23" s="43" t="str">
        <f>_xlfn.XLOOKUP($A23,Map!$A:$A,Map!C:C)</f>
        <v>BS</v>
      </c>
      <c r="H23" s="43" t="str">
        <f>_xlfn.XLOOKUP($A23,Map!$A:$A,Map!D:D)</f>
        <v>Current Assets</v>
      </c>
      <c r="I23" s="43" t="str">
        <f>_xlfn.XLOOKUP($A23,Map!$A:$A,Map!E:E)</f>
        <v>Prepaid expenses</v>
      </c>
      <c r="J23" s="43" t="str">
        <f>_xlfn.XLOOKUP($A23,Map!$A:$A,Map!F:F)</f>
        <v>Pre Operating Exps</v>
      </c>
    </row>
    <row r="24" spans="1:10" x14ac:dyDescent="0.25">
      <c r="A24">
        <v>121002</v>
      </c>
      <c r="B24" t="s">
        <v>837</v>
      </c>
      <c r="C24" s="116">
        <v>-13762616.130000001</v>
      </c>
      <c r="D24" s="116">
        <v>0</v>
      </c>
      <c r="E24" s="116">
        <v>0</v>
      </c>
      <c r="F24" s="116">
        <v>-13762616.130000001</v>
      </c>
      <c r="G24" s="43" t="str">
        <f>_xlfn.XLOOKUP($A24,Map!$A:$A,Map!C:C)</f>
        <v>BS</v>
      </c>
      <c r="H24" s="43" t="str">
        <f>_xlfn.XLOOKUP($A24,Map!$A:$A,Map!D:D)</f>
        <v>Current Assets</v>
      </c>
      <c r="I24" s="43" t="str">
        <f>_xlfn.XLOOKUP($A24,Map!$A:$A,Map!E:E)</f>
        <v>Prepaid expenses</v>
      </c>
      <c r="J24" s="43" t="str">
        <f>_xlfn.XLOOKUP($A24,Map!$A:$A,Map!F:F)</f>
        <v>Amortization Of Pre Operating Exps</v>
      </c>
    </row>
    <row r="25" spans="1:10" x14ac:dyDescent="0.25">
      <c r="A25">
        <v>130001</v>
      </c>
      <c r="B25" t="s">
        <v>838</v>
      </c>
      <c r="C25" s="116">
        <v>0</v>
      </c>
      <c r="D25" s="116">
        <v>65206.73</v>
      </c>
      <c r="E25" s="116">
        <v>0</v>
      </c>
      <c r="F25" s="116">
        <v>65206.73</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130002</v>
      </c>
      <c r="B26" t="s">
        <v>1205</v>
      </c>
      <c r="C26" s="116">
        <v>0</v>
      </c>
      <c r="D26" s="116">
        <v>0</v>
      </c>
      <c r="E26" s="116">
        <v>0</v>
      </c>
      <c r="F26" s="116">
        <v>0</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130003</v>
      </c>
      <c r="B27" t="s">
        <v>840</v>
      </c>
      <c r="C27" s="116">
        <v>0</v>
      </c>
      <c r="D27" s="116">
        <v>0</v>
      </c>
      <c r="E27" s="116">
        <v>0</v>
      </c>
      <c r="F27" s="116">
        <v>0</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130004</v>
      </c>
      <c r="B28" t="s">
        <v>841</v>
      </c>
      <c r="C28" s="116">
        <v>0</v>
      </c>
      <c r="D28" s="116">
        <v>0</v>
      </c>
      <c r="E28" s="116">
        <v>0</v>
      </c>
      <c r="F28" s="116">
        <v>0</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130005</v>
      </c>
      <c r="B29" t="s">
        <v>842</v>
      </c>
      <c r="C29" s="116">
        <v>0</v>
      </c>
      <c r="D29" s="116">
        <v>0</v>
      </c>
      <c r="E29" s="116">
        <v>0</v>
      </c>
      <c r="F29" s="116">
        <v>0</v>
      </c>
      <c r="G29" s="43" t="str">
        <f>_xlfn.XLOOKUP($A29,Map!$A:$A,Map!C:C)</f>
        <v>BS</v>
      </c>
      <c r="H29" s="43" t="str">
        <f>_xlfn.XLOOKUP($A29,Map!$A:$A,Map!D:D)</f>
        <v>Current Assets</v>
      </c>
      <c r="I29" s="43" t="str">
        <f>_xlfn.XLOOKUP($A29,Map!$A:$A,Map!E:E)</f>
        <v>Cash and cash equivalents</v>
      </c>
      <c r="J29" s="43" t="str">
        <f>_xlfn.XLOOKUP($A29,Map!$A:$A,Map!F:F)</f>
        <v>Bank balances</v>
      </c>
    </row>
    <row r="30" spans="1:10" x14ac:dyDescent="0.25">
      <c r="A30">
        <v>130006</v>
      </c>
      <c r="B30" t="s">
        <v>843</v>
      </c>
      <c r="C30" s="116">
        <v>0</v>
      </c>
      <c r="D30" s="116">
        <v>0</v>
      </c>
      <c r="E30" s="116">
        <v>0</v>
      </c>
      <c r="F30" s="116">
        <v>0</v>
      </c>
      <c r="G30" s="43" t="str">
        <f>_xlfn.XLOOKUP($A30,Map!$A:$A,Map!C:C)</f>
        <v>BS</v>
      </c>
      <c r="H30" s="43" t="str">
        <f>_xlfn.XLOOKUP($A30,Map!$A:$A,Map!D:D)</f>
        <v>Current Assets</v>
      </c>
      <c r="I30" s="43" t="str">
        <f>_xlfn.XLOOKUP($A30,Map!$A:$A,Map!E:E)</f>
        <v>Cash and cash equivalents</v>
      </c>
      <c r="J30" s="43" t="str">
        <f>_xlfn.XLOOKUP($A30,Map!$A:$A,Map!F:F)</f>
        <v>Bank balances</v>
      </c>
    </row>
    <row r="31" spans="1:10" x14ac:dyDescent="0.25">
      <c r="A31">
        <v>130007</v>
      </c>
      <c r="B31" t="s">
        <v>844</v>
      </c>
      <c r="C31" s="116">
        <v>0</v>
      </c>
      <c r="D31" s="116">
        <v>0</v>
      </c>
      <c r="E31" s="116">
        <v>0</v>
      </c>
      <c r="F31" s="116">
        <v>0</v>
      </c>
      <c r="G31" s="43" t="str">
        <f>_xlfn.XLOOKUP($A31,Map!$A:$A,Map!C:C)</f>
        <v>BS</v>
      </c>
      <c r="H31" s="43" t="str">
        <f>_xlfn.XLOOKUP($A31,Map!$A:$A,Map!D:D)</f>
        <v>Current Assets</v>
      </c>
      <c r="I31" s="43" t="str">
        <f>_xlfn.XLOOKUP($A31,Map!$A:$A,Map!E:E)</f>
        <v>Cash and cash equivalents</v>
      </c>
      <c r="J31" s="43" t="str">
        <f>_xlfn.XLOOKUP($A31,Map!$A:$A,Map!F:F)</f>
        <v>Bank balances</v>
      </c>
    </row>
    <row r="32" spans="1:10" x14ac:dyDescent="0.25">
      <c r="A32">
        <v>130008</v>
      </c>
      <c r="B32" t="s">
        <v>845</v>
      </c>
      <c r="C32" s="116">
        <v>252733.8</v>
      </c>
      <c r="D32" s="116">
        <v>39127781.880000003</v>
      </c>
      <c r="E32" s="116">
        <v>39186149.469999999</v>
      </c>
      <c r="F32" s="116">
        <v>194366.21</v>
      </c>
      <c r="G32" s="43" t="str">
        <f>_xlfn.XLOOKUP($A32,Map!$A:$A,Map!C:C)</f>
        <v>BS</v>
      </c>
      <c r="H32" s="43" t="str">
        <f>_xlfn.XLOOKUP($A32,Map!$A:$A,Map!D:D)</f>
        <v>Current Assets</v>
      </c>
      <c r="I32" s="43" t="str">
        <f>_xlfn.XLOOKUP($A32,Map!$A:$A,Map!E:E)</f>
        <v>Cash and cash equivalents</v>
      </c>
      <c r="J32" s="43" t="str">
        <f>_xlfn.XLOOKUP($A32,Map!$A:$A,Map!F:F)</f>
        <v>Bank balances</v>
      </c>
    </row>
    <row r="33" spans="1:10" x14ac:dyDescent="0.25">
      <c r="A33">
        <v>130009</v>
      </c>
      <c r="B33" t="s">
        <v>846</v>
      </c>
      <c r="C33" s="116">
        <v>575464.68000000005</v>
      </c>
      <c r="D33" s="116">
        <v>84071491.240999997</v>
      </c>
      <c r="E33" s="116">
        <v>84608794.990999997</v>
      </c>
      <c r="F33" s="116">
        <v>38160.93</v>
      </c>
      <c r="G33" s="43" t="str">
        <f>_xlfn.XLOOKUP($A33,Map!$A:$A,Map!C:C)</f>
        <v>BS</v>
      </c>
      <c r="H33" s="43" t="str">
        <f>_xlfn.XLOOKUP($A33,Map!$A:$A,Map!D:D)</f>
        <v>Current Assets</v>
      </c>
      <c r="I33" s="43" t="str">
        <f>_xlfn.XLOOKUP($A33,Map!$A:$A,Map!E:E)</f>
        <v>Cash and cash equivalents</v>
      </c>
      <c r="J33" s="43" t="str">
        <f>_xlfn.XLOOKUP($A33,Map!$A:$A,Map!F:F)</f>
        <v>Bank balances</v>
      </c>
    </row>
    <row r="34" spans="1:10" x14ac:dyDescent="0.25">
      <c r="A34">
        <v>130010</v>
      </c>
      <c r="B34" t="s">
        <v>847</v>
      </c>
      <c r="C34" s="116">
        <v>912741.95</v>
      </c>
      <c r="D34" s="116">
        <v>175161785.236</v>
      </c>
      <c r="E34" s="116">
        <v>175719472.037</v>
      </c>
      <c r="F34" s="116">
        <v>355055.14899999998</v>
      </c>
      <c r="G34" s="43" t="str">
        <f>_xlfn.XLOOKUP($A34,Map!$A:$A,Map!C:C)</f>
        <v>BS</v>
      </c>
      <c r="H34" s="43" t="str">
        <f>_xlfn.XLOOKUP($A34,Map!$A:$A,Map!D:D)</f>
        <v>Current Assets</v>
      </c>
      <c r="I34" s="43" t="str">
        <f>_xlfn.XLOOKUP($A34,Map!$A:$A,Map!E:E)</f>
        <v>Cash and cash equivalents</v>
      </c>
      <c r="J34" s="43" t="str">
        <f>_xlfn.XLOOKUP($A34,Map!$A:$A,Map!F:F)</f>
        <v>Bank balances</v>
      </c>
    </row>
    <row r="35" spans="1:10" x14ac:dyDescent="0.25">
      <c r="A35">
        <v>130011</v>
      </c>
      <c r="B35" t="s">
        <v>848</v>
      </c>
      <c r="C35" s="116">
        <v>371638.27</v>
      </c>
      <c r="D35" s="116">
        <v>60141639.581</v>
      </c>
      <c r="E35" s="116">
        <v>60377115.840999998</v>
      </c>
      <c r="F35" s="116">
        <v>136162.01</v>
      </c>
      <c r="G35" s="43" t="str">
        <f>_xlfn.XLOOKUP($A35,Map!$A:$A,Map!C:C)</f>
        <v>BS</v>
      </c>
      <c r="H35" s="43" t="str">
        <f>_xlfn.XLOOKUP($A35,Map!$A:$A,Map!D:D)</f>
        <v>Current Assets</v>
      </c>
      <c r="I35" s="43" t="str">
        <f>_xlfn.XLOOKUP($A35,Map!$A:$A,Map!E:E)</f>
        <v>Cash and cash equivalents</v>
      </c>
      <c r="J35" s="43" t="str">
        <f>_xlfn.XLOOKUP($A35,Map!$A:$A,Map!F:F)</f>
        <v>Bank balances</v>
      </c>
    </row>
    <row r="36" spans="1:10" x14ac:dyDescent="0.25">
      <c r="A36">
        <v>130012</v>
      </c>
      <c r="B36" t="s">
        <v>849</v>
      </c>
      <c r="C36" s="116">
        <v>925749.64</v>
      </c>
      <c r="D36" s="116">
        <v>29943639.32</v>
      </c>
      <c r="E36" s="116">
        <v>30703183.09</v>
      </c>
      <c r="F36" s="116">
        <v>166205.87</v>
      </c>
      <c r="G36" s="43" t="str">
        <f>_xlfn.XLOOKUP($A36,Map!$A:$A,Map!C:C)</f>
        <v>BS</v>
      </c>
      <c r="H36" s="43" t="str">
        <f>_xlfn.XLOOKUP($A36,Map!$A:$A,Map!D:D)</f>
        <v>Current Assets</v>
      </c>
      <c r="I36" s="43" t="str">
        <f>_xlfn.XLOOKUP($A36,Map!$A:$A,Map!E:E)</f>
        <v>Cash and cash equivalents</v>
      </c>
      <c r="J36" s="43" t="str">
        <f>_xlfn.XLOOKUP($A36,Map!$A:$A,Map!F:F)</f>
        <v>Bank balances</v>
      </c>
    </row>
    <row r="37" spans="1:10" x14ac:dyDescent="0.25">
      <c r="A37">
        <v>130013</v>
      </c>
      <c r="B37" t="s">
        <v>1206</v>
      </c>
      <c r="C37" s="116">
        <v>237620.27900000001</v>
      </c>
      <c r="D37" s="116">
        <v>32073132.989999998</v>
      </c>
      <c r="E37" s="116">
        <v>32308992.831</v>
      </c>
      <c r="F37" s="116">
        <v>1760.4380000000001</v>
      </c>
      <c r="G37" s="43" t="str">
        <f>_xlfn.XLOOKUP($A37,Map!$A:$A,Map!C:C)</f>
        <v>BS</v>
      </c>
      <c r="H37" s="43" t="str">
        <f>_xlfn.XLOOKUP($A37,Map!$A:$A,Map!D:D)</f>
        <v>Current Assets</v>
      </c>
      <c r="I37" s="43" t="str">
        <f>_xlfn.XLOOKUP($A37,Map!$A:$A,Map!E:E)</f>
        <v>Cash and cash equivalents</v>
      </c>
      <c r="J37" s="43" t="str">
        <f>_xlfn.XLOOKUP($A37,Map!$A:$A,Map!F:F)</f>
        <v>Bank balances</v>
      </c>
    </row>
    <row r="38" spans="1:10" x14ac:dyDescent="0.25">
      <c r="A38">
        <v>130014</v>
      </c>
      <c r="B38" t="s">
        <v>851</v>
      </c>
      <c r="C38" s="116">
        <v>375236.25</v>
      </c>
      <c r="D38" s="116">
        <v>442525</v>
      </c>
      <c r="E38" s="116">
        <v>815000</v>
      </c>
      <c r="F38" s="116">
        <v>2761.25</v>
      </c>
      <c r="G38" s="43" t="str">
        <f>_xlfn.XLOOKUP($A38,Map!$A:$A,Map!C:C)</f>
        <v>BS</v>
      </c>
      <c r="H38" s="43" t="str">
        <f>_xlfn.XLOOKUP($A38,Map!$A:$A,Map!D:D)</f>
        <v>Current Assets</v>
      </c>
      <c r="I38" s="43" t="str">
        <f>_xlfn.XLOOKUP($A38,Map!$A:$A,Map!E:E)</f>
        <v>Cash and cash equivalents</v>
      </c>
      <c r="J38" s="43" t="str">
        <f>_xlfn.XLOOKUP($A38,Map!$A:$A,Map!F:F)</f>
        <v>Bank balances</v>
      </c>
    </row>
    <row r="39" spans="1:10" x14ac:dyDescent="0.25">
      <c r="A39">
        <v>130015</v>
      </c>
      <c r="B39" t="s">
        <v>852</v>
      </c>
      <c r="C39" s="116">
        <v>32033.58</v>
      </c>
      <c r="D39" s="116">
        <v>16835000</v>
      </c>
      <c r="E39" s="116">
        <v>16856977.219999999</v>
      </c>
      <c r="F39" s="116">
        <v>10056.36</v>
      </c>
      <c r="G39" s="43" t="str">
        <f>_xlfn.XLOOKUP($A39,Map!$A:$A,Map!C:C)</f>
        <v>BS</v>
      </c>
      <c r="H39" s="43" t="str">
        <f>_xlfn.XLOOKUP($A39,Map!$A:$A,Map!D:D)</f>
        <v>Current Assets</v>
      </c>
      <c r="I39" s="43" t="str">
        <f>_xlfn.XLOOKUP($A39,Map!$A:$A,Map!E:E)</f>
        <v>Cash and cash equivalents</v>
      </c>
      <c r="J39" s="43" t="str">
        <f>_xlfn.XLOOKUP($A39,Map!$A:$A,Map!F:F)</f>
        <v>Bank balances</v>
      </c>
    </row>
    <row r="40" spans="1:10" x14ac:dyDescent="0.25">
      <c r="A40">
        <v>130016</v>
      </c>
      <c r="B40" t="s">
        <v>853</v>
      </c>
      <c r="C40" s="116">
        <v>367494.75</v>
      </c>
      <c r="D40" s="116">
        <v>22828128</v>
      </c>
      <c r="E40" s="116">
        <v>23097236.25</v>
      </c>
      <c r="F40" s="116">
        <v>98386.5</v>
      </c>
      <c r="G40" s="43" t="str">
        <f>_xlfn.XLOOKUP($A40,Map!$A:$A,Map!C:C)</f>
        <v>BS</v>
      </c>
      <c r="H40" s="43" t="str">
        <f>_xlfn.XLOOKUP($A40,Map!$A:$A,Map!D:D)</f>
        <v>Current Assets</v>
      </c>
      <c r="I40" s="43" t="str">
        <f>_xlfn.XLOOKUP($A40,Map!$A:$A,Map!E:E)</f>
        <v>Cash and cash equivalents</v>
      </c>
      <c r="J40" s="43" t="str">
        <f>_xlfn.XLOOKUP($A40,Map!$A:$A,Map!F:F)</f>
        <v>Bank balances</v>
      </c>
    </row>
    <row r="41" spans="1:10" x14ac:dyDescent="0.25">
      <c r="A41">
        <v>130099</v>
      </c>
      <c r="B41" t="s">
        <v>856</v>
      </c>
      <c r="C41" s="116">
        <v>0</v>
      </c>
      <c r="D41" s="116">
        <v>181509093</v>
      </c>
      <c r="E41" s="116">
        <v>181509093</v>
      </c>
      <c r="F41" s="116">
        <v>0</v>
      </c>
      <c r="G41" s="43" t="str">
        <f>_xlfn.XLOOKUP($A41,Map!$A:$A,Map!C:C)</f>
        <v>BS</v>
      </c>
      <c r="H41" s="43" t="str">
        <f>_xlfn.XLOOKUP($A41,Map!$A:$A,Map!D:D)</f>
        <v>Current Assets</v>
      </c>
      <c r="I41" s="43" t="str">
        <f>_xlfn.XLOOKUP($A41,Map!$A:$A,Map!E:E)</f>
        <v>Cash and cash equivalents</v>
      </c>
      <c r="J41" s="43" t="str">
        <f>_xlfn.XLOOKUP($A41,Map!$A:$A,Map!F:F)</f>
        <v>Bank balances</v>
      </c>
    </row>
    <row r="42" spans="1:10" x14ac:dyDescent="0.25">
      <c r="A42">
        <v>140001</v>
      </c>
      <c r="B42" t="s">
        <v>857</v>
      </c>
      <c r="C42" s="116">
        <v>45463353.802000001</v>
      </c>
      <c r="D42" s="116">
        <v>163210301.99900001</v>
      </c>
      <c r="E42" s="116">
        <v>156096084.662</v>
      </c>
      <c r="F42" s="116">
        <v>52577571.138999999</v>
      </c>
      <c r="G42" s="43" t="str">
        <f>_xlfn.XLOOKUP($A42,Map!$A:$A,Map!C:C)</f>
        <v>BS</v>
      </c>
      <c r="H42" s="43" t="str">
        <f>_xlfn.XLOOKUP($A42,Map!$A:$A,Map!D:D)</f>
        <v>Current Assets</v>
      </c>
      <c r="I42" s="43" t="str">
        <f>_xlfn.XLOOKUP($A42,Map!$A:$A,Map!E:E)</f>
        <v>Trade receivables</v>
      </c>
      <c r="J42" s="43" t="str">
        <f>_xlfn.XLOOKUP($A42,Map!$A:$A,Map!F:F)</f>
        <v>Trade receivables - current</v>
      </c>
    </row>
    <row r="43" spans="1:10" x14ac:dyDescent="0.25">
      <c r="A43">
        <v>140010</v>
      </c>
      <c r="B43" t="s">
        <v>858</v>
      </c>
      <c r="C43" s="116">
        <v>0</v>
      </c>
      <c r="D43" s="116">
        <v>0</v>
      </c>
      <c r="E43" s="116">
        <v>0</v>
      </c>
      <c r="F43" s="116">
        <v>0</v>
      </c>
      <c r="G43" s="43" t="str">
        <f>_xlfn.XLOOKUP($A43,Map!$A:$A,Map!C:C)</f>
        <v>BS</v>
      </c>
      <c r="H43" s="43" t="str">
        <f>_xlfn.XLOOKUP($A43,Map!$A:$A,Map!D:D)</f>
        <v>Current Assets</v>
      </c>
      <c r="I43" s="43" t="str">
        <f>_xlfn.XLOOKUP($A43,Map!$A:$A,Map!E:E)</f>
        <v>Trade receivables</v>
      </c>
      <c r="J43" s="43" t="str">
        <f>_xlfn.XLOOKUP($A43,Map!$A:$A,Map!F:F)</f>
        <v>Trade receivables - current</v>
      </c>
    </row>
    <row r="44" spans="1:10" x14ac:dyDescent="0.25">
      <c r="A44">
        <v>150001</v>
      </c>
      <c r="B44" t="s">
        <v>859</v>
      </c>
      <c r="C44" s="116">
        <v>131188.177</v>
      </c>
      <c r="D44" s="116">
        <v>2836856.034</v>
      </c>
      <c r="E44" s="116">
        <v>1630629.371</v>
      </c>
      <c r="F44" s="116">
        <v>1337414.8400000001</v>
      </c>
      <c r="G44" s="43" t="str">
        <f>_xlfn.XLOOKUP($A44,Map!$A:$A,Map!C:C)</f>
        <v>BS</v>
      </c>
      <c r="H44" s="43" t="str">
        <f>_xlfn.XLOOKUP($A44,Map!$A:$A,Map!D:D)</f>
        <v>Current Assets</v>
      </c>
      <c r="I44" s="43" t="str">
        <f>_xlfn.XLOOKUP($A44,Map!$A:$A,Map!E:E)</f>
        <v>Prepaid expenses</v>
      </c>
      <c r="J44" s="43" t="str">
        <f>_xlfn.XLOOKUP($A44,Map!$A:$A,Map!F:F)</f>
        <v>Advances - current</v>
      </c>
    </row>
    <row r="45" spans="1:10" x14ac:dyDescent="0.25">
      <c r="A45">
        <v>150002</v>
      </c>
      <c r="B45" t="s">
        <v>860</v>
      </c>
      <c r="C45" s="116">
        <v>2371988</v>
      </c>
      <c r="D45" s="116">
        <v>1011670</v>
      </c>
      <c r="E45" s="116">
        <v>3383658</v>
      </c>
      <c r="F45" s="116">
        <v>0</v>
      </c>
      <c r="G45" s="43" t="str">
        <f>_xlfn.XLOOKUP($A45,Map!$A:$A,Map!C:C)</f>
        <v>BS</v>
      </c>
      <c r="H45" s="43" t="str">
        <f>_xlfn.XLOOKUP($A45,Map!$A:$A,Map!D:D)</f>
        <v>Non-Current Liabilities</v>
      </c>
      <c r="I45" s="43" t="str">
        <f>_xlfn.XLOOKUP($A45,Map!$A:$A,Map!E:E)</f>
        <v xml:space="preserve">End-of-service indemnities </v>
      </c>
      <c r="J45" s="43" t="str">
        <f>_xlfn.XLOOKUP($A45,Map!$A:$A,Map!F:F)</f>
        <v xml:space="preserve">End-of-service indemnities </v>
      </c>
    </row>
    <row r="46" spans="1:10" x14ac:dyDescent="0.25">
      <c r="A46">
        <v>160001</v>
      </c>
      <c r="B46" t="s">
        <v>861</v>
      </c>
      <c r="C46" s="116">
        <v>12811.2</v>
      </c>
      <c r="D46" s="116">
        <v>353381.51</v>
      </c>
      <c r="E46" s="116">
        <v>330610.28999999998</v>
      </c>
      <c r="F46" s="116">
        <v>35582.42</v>
      </c>
      <c r="G46" s="43" t="str">
        <f>_xlfn.XLOOKUP($A46,Map!$A:$A,Map!C:C)</f>
        <v>BS</v>
      </c>
      <c r="H46" s="43" t="str">
        <f>_xlfn.XLOOKUP($A46,Map!$A:$A,Map!D:D)</f>
        <v>Current Assets</v>
      </c>
      <c r="I46" s="43" t="str">
        <f>_xlfn.XLOOKUP($A46,Map!$A:$A,Map!E:E)</f>
        <v>Cash and cash equivalents</v>
      </c>
      <c r="J46" s="43" t="str">
        <f>_xlfn.XLOOKUP($A46,Map!$A:$A,Map!F:F)</f>
        <v>Petty cash</v>
      </c>
    </row>
    <row r="47" spans="1:10" x14ac:dyDescent="0.25">
      <c r="A47">
        <v>170000</v>
      </c>
      <c r="B47" t="s">
        <v>862</v>
      </c>
      <c r="C47" s="116">
        <v>828992.36600000004</v>
      </c>
      <c r="D47" s="116">
        <v>152562.69</v>
      </c>
      <c r="E47" s="116">
        <v>981554.83100000001</v>
      </c>
      <c r="F47" s="116">
        <v>0.22500000000000001</v>
      </c>
      <c r="G47" s="43" t="str">
        <f>_xlfn.XLOOKUP($A47,Map!$A:$A,Map!C:C)</f>
        <v>BS</v>
      </c>
      <c r="H47" s="43" t="str">
        <f>_xlfn.XLOOKUP($A47,Map!$A:$A,Map!D:D)</f>
        <v>Current Liabilities</v>
      </c>
      <c r="I47" s="43" t="str">
        <f>_xlfn.XLOOKUP($A47,Map!$A:$A,Map!E:E)</f>
        <v>Short-term Murabaha loans</v>
      </c>
      <c r="J47" s="43" t="str">
        <f>_xlfn.XLOOKUP($A47,Map!$A:$A,Map!F:F)</f>
        <v>Prepayments - current</v>
      </c>
    </row>
    <row r="48" spans="1:10" x14ac:dyDescent="0.25">
      <c r="A48">
        <v>170001</v>
      </c>
      <c r="B48" t="s">
        <v>863</v>
      </c>
      <c r="C48" s="116">
        <v>845009.73199999996</v>
      </c>
      <c r="D48" s="116">
        <v>1635204.4680000001</v>
      </c>
      <c r="E48" s="116">
        <v>1278461.9779999999</v>
      </c>
      <c r="F48" s="116">
        <v>1201752.2220000001</v>
      </c>
      <c r="G48" s="43" t="str">
        <f>_xlfn.XLOOKUP($A48,Map!$A:$A,Map!C:C)</f>
        <v>BS</v>
      </c>
      <c r="H48" s="43" t="str">
        <f>_xlfn.XLOOKUP($A48,Map!$A:$A,Map!D:D)</f>
        <v>Current Liabilities</v>
      </c>
      <c r="I48" s="43" t="str">
        <f>_xlfn.XLOOKUP($A48,Map!$A:$A,Map!E:E)</f>
        <v>Short-term Murabaha loans</v>
      </c>
      <c r="J48" s="43" t="str">
        <f>_xlfn.XLOOKUP($A48,Map!$A:$A,Map!F:F)</f>
        <v>Prepayments - current</v>
      </c>
    </row>
    <row r="49" spans="1:10" x14ac:dyDescent="0.25">
      <c r="A49">
        <v>170002</v>
      </c>
      <c r="B49" t="s">
        <v>864</v>
      </c>
      <c r="C49" s="116">
        <v>692621.20400000003</v>
      </c>
      <c r="D49" s="116">
        <v>4961412.034</v>
      </c>
      <c r="E49" s="116">
        <v>4477085.3839999996</v>
      </c>
      <c r="F49" s="116">
        <v>1176947.8540000001</v>
      </c>
      <c r="G49" s="43" t="str">
        <f>_xlfn.XLOOKUP($A49,Map!$A:$A,Map!C:C)</f>
        <v>BS</v>
      </c>
      <c r="H49" s="43" t="str">
        <f>_xlfn.XLOOKUP($A49,Map!$A:$A,Map!D:D)</f>
        <v>Current Liabilities</v>
      </c>
      <c r="I49" s="43" t="str">
        <f>_xlfn.XLOOKUP($A49,Map!$A:$A,Map!E:E)</f>
        <v>Short-term Murabaha loans</v>
      </c>
      <c r="J49" s="43" t="str">
        <f>_xlfn.XLOOKUP($A49,Map!$A:$A,Map!F:F)</f>
        <v>Prepayments - current</v>
      </c>
    </row>
    <row r="50" spans="1:10" x14ac:dyDescent="0.25">
      <c r="A50">
        <v>170003</v>
      </c>
      <c r="B50" t="s">
        <v>865</v>
      </c>
      <c r="C50" s="116">
        <v>0</v>
      </c>
      <c r="D50" s="116">
        <v>0</v>
      </c>
      <c r="E50" s="116">
        <v>0</v>
      </c>
      <c r="F50" s="116">
        <v>0</v>
      </c>
      <c r="G50" s="43" t="str">
        <f>_xlfn.XLOOKUP($A50,Map!$A:$A,Map!C:C)</f>
        <v>BS</v>
      </c>
      <c r="H50" s="43" t="str">
        <f>_xlfn.XLOOKUP($A50,Map!$A:$A,Map!D:D)</f>
        <v>Current Liabilities</v>
      </c>
      <c r="I50" s="43" t="str">
        <f>_xlfn.XLOOKUP($A50,Map!$A:$A,Map!E:E)</f>
        <v>Short-term Murabaha loans</v>
      </c>
      <c r="J50" s="43" t="str">
        <f>_xlfn.XLOOKUP($A50,Map!$A:$A,Map!F:F)</f>
        <v>Prepayments - current</v>
      </c>
    </row>
    <row r="51" spans="1:10" x14ac:dyDescent="0.25">
      <c r="A51">
        <v>170004</v>
      </c>
      <c r="B51" t="s">
        <v>866</v>
      </c>
      <c r="C51" s="116">
        <v>0</v>
      </c>
      <c r="D51" s="116">
        <v>836141.40599999996</v>
      </c>
      <c r="E51" s="116">
        <v>836141.40500000003</v>
      </c>
      <c r="F51" s="116">
        <v>1E-3</v>
      </c>
      <c r="G51" s="43" t="str">
        <f>_xlfn.XLOOKUP($A51,Map!$A:$A,Map!C:C)</f>
        <v>BS</v>
      </c>
      <c r="H51" s="43" t="str">
        <f>_xlfn.XLOOKUP($A51,Map!$A:$A,Map!D:D)</f>
        <v>Current Liabilities</v>
      </c>
      <c r="I51" s="43" t="str">
        <f>_xlfn.XLOOKUP($A51,Map!$A:$A,Map!E:E)</f>
        <v>Short-term Murabaha loans</v>
      </c>
      <c r="J51" s="43" t="str">
        <f>_xlfn.XLOOKUP($A51,Map!$A:$A,Map!F:F)</f>
        <v>Prepayments - current</v>
      </c>
    </row>
    <row r="52" spans="1:10" x14ac:dyDescent="0.25">
      <c r="A52">
        <v>170005</v>
      </c>
      <c r="B52" t="s">
        <v>867</v>
      </c>
      <c r="C52" s="116">
        <v>0</v>
      </c>
      <c r="D52" s="116">
        <v>0</v>
      </c>
      <c r="E52" s="116">
        <v>0</v>
      </c>
      <c r="F52" s="116">
        <v>0</v>
      </c>
      <c r="G52" s="43" t="str">
        <f>_xlfn.XLOOKUP($A52,Map!$A:$A,Map!C:C)</f>
        <v>BS</v>
      </c>
      <c r="H52" s="43" t="str">
        <f>_xlfn.XLOOKUP($A52,Map!$A:$A,Map!D:D)</f>
        <v>Current Assets</v>
      </c>
      <c r="I52" s="43" t="str">
        <f>_xlfn.XLOOKUP($A52,Map!$A:$A,Map!E:E)</f>
        <v>Prepaid expenses</v>
      </c>
      <c r="J52" s="43" t="str">
        <f>_xlfn.XLOOKUP($A52,Map!$A:$A,Map!F:F)</f>
        <v>Deposits - current</v>
      </c>
    </row>
    <row r="53" spans="1:10" x14ac:dyDescent="0.25">
      <c r="A53">
        <v>170006</v>
      </c>
      <c r="B53" t="s">
        <v>868</v>
      </c>
      <c r="C53" s="116">
        <v>0</v>
      </c>
      <c r="D53" s="116">
        <v>0</v>
      </c>
      <c r="E53" s="116">
        <v>0</v>
      </c>
      <c r="F53" s="116">
        <v>0</v>
      </c>
      <c r="G53" s="43" t="str">
        <f>_xlfn.XLOOKUP($A53,Map!$A:$A,Map!C:C)</f>
        <v>BS</v>
      </c>
      <c r="H53" s="43" t="str">
        <f>_xlfn.XLOOKUP($A53,Map!$A:$A,Map!D:D)</f>
        <v>Current Assets</v>
      </c>
      <c r="I53" s="43" t="str">
        <f>_xlfn.XLOOKUP($A53,Map!$A:$A,Map!E:E)</f>
        <v>Prepaid expenses</v>
      </c>
      <c r="J53" s="43" t="str">
        <f>_xlfn.XLOOKUP($A53,Map!$A:$A,Map!F:F)</f>
        <v>Deposits - current</v>
      </c>
    </row>
    <row r="54" spans="1:10" x14ac:dyDescent="0.25">
      <c r="A54">
        <v>170007</v>
      </c>
      <c r="B54" t="s">
        <v>869</v>
      </c>
      <c r="C54" s="116">
        <v>0</v>
      </c>
      <c r="D54" s="116">
        <v>0</v>
      </c>
      <c r="E54" s="116">
        <v>0</v>
      </c>
      <c r="F54" s="116">
        <v>0</v>
      </c>
      <c r="G54" s="43" t="str">
        <f>_xlfn.XLOOKUP($A54,Map!$A:$A,Map!C:C)</f>
        <v>BS</v>
      </c>
      <c r="H54" s="43" t="str">
        <f>_xlfn.XLOOKUP($A54,Map!$A:$A,Map!D:D)</f>
        <v>Current Assets</v>
      </c>
      <c r="I54" s="43" t="str">
        <f>_xlfn.XLOOKUP($A54,Map!$A:$A,Map!E:E)</f>
        <v>Prepaid expenses</v>
      </c>
      <c r="J54" s="43" t="str">
        <f>_xlfn.XLOOKUP($A54,Map!$A:$A,Map!F:F)</f>
        <v>Deposits - current</v>
      </c>
    </row>
    <row r="55" spans="1:10" x14ac:dyDescent="0.25">
      <c r="A55">
        <v>170008</v>
      </c>
      <c r="B55" t="s">
        <v>870</v>
      </c>
      <c r="C55" s="116">
        <v>0</v>
      </c>
      <c r="D55" s="116">
        <v>462610.13299999997</v>
      </c>
      <c r="E55" s="116">
        <v>396681.79300000001</v>
      </c>
      <c r="F55" s="116">
        <v>65928.34</v>
      </c>
      <c r="G55" s="43" t="str">
        <f>_xlfn.XLOOKUP($A55,Map!$A:$A,Map!C:C)</f>
        <v>BS</v>
      </c>
      <c r="H55" s="43" t="str">
        <f>_xlfn.XLOOKUP($A55,Map!$A:$A,Map!D:D)</f>
        <v>Current Assets</v>
      </c>
      <c r="I55" s="43" t="str">
        <f>_xlfn.XLOOKUP($A55,Map!$A:$A,Map!E:E)</f>
        <v>Prepaid expenses</v>
      </c>
      <c r="J55" s="43" t="str">
        <f>_xlfn.XLOOKUP($A55,Map!$A:$A,Map!F:F)</f>
        <v>Deposits - current</v>
      </c>
    </row>
    <row r="56" spans="1:10" x14ac:dyDescent="0.25">
      <c r="A56">
        <v>170009</v>
      </c>
      <c r="B56" t="s">
        <v>871</v>
      </c>
      <c r="C56" s="116">
        <v>60962</v>
      </c>
      <c r="D56" s="116">
        <v>398899.68</v>
      </c>
      <c r="E56" s="116">
        <v>378171.57900000003</v>
      </c>
      <c r="F56" s="116">
        <v>81690.100999999995</v>
      </c>
      <c r="G56" s="43" t="str">
        <f>_xlfn.XLOOKUP($A56,Map!$A:$A,Map!C:C)</f>
        <v>BS</v>
      </c>
      <c r="H56" s="43" t="str">
        <f>_xlfn.XLOOKUP($A56,Map!$A:$A,Map!D:D)</f>
        <v>Current Assets</v>
      </c>
      <c r="I56" s="43" t="str">
        <f>_xlfn.XLOOKUP($A56,Map!$A:$A,Map!E:E)</f>
        <v>Prepaid expenses</v>
      </c>
      <c r="J56" s="43" t="str">
        <f>_xlfn.XLOOKUP($A56,Map!$A:$A,Map!F:F)</f>
        <v>Rent</v>
      </c>
    </row>
    <row r="57" spans="1:10" x14ac:dyDescent="0.25">
      <c r="A57">
        <v>170010</v>
      </c>
      <c r="B57" t="s">
        <v>872</v>
      </c>
      <c r="C57" s="116">
        <v>0</v>
      </c>
      <c r="D57" s="116">
        <v>0</v>
      </c>
      <c r="E57" s="116">
        <v>0</v>
      </c>
      <c r="F57" s="116">
        <v>0</v>
      </c>
      <c r="G57" s="43" t="str">
        <f>_xlfn.XLOOKUP($A57,Map!$A:$A,Map!C:C)</f>
        <v>BS</v>
      </c>
      <c r="H57" s="43" t="str">
        <f>_xlfn.XLOOKUP($A57,Map!$A:$A,Map!D:D)</f>
        <v>Current Assets</v>
      </c>
      <c r="I57" s="43" t="str">
        <f>_xlfn.XLOOKUP($A57,Map!$A:$A,Map!E:E)</f>
        <v>Prepaid expenses</v>
      </c>
      <c r="J57" s="43" t="str">
        <f>_xlfn.XLOOKUP($A57,Map!$A:$A,Map!F:F)</f>
        <v>Housing allowance</v>
      </c>
    </row>
    <row r="58" spans="1:10" x14ac:dyDescent="0.25">
      <c r="A58">
        <v>170011</v>
      </c>
      <c r="B58" t="s">
        <v>873</v>
      </c>
      <c r="C58" s="116">
        <v>0</v>
      </c>
      <c r="D58" s="116">
        <v>0</v>
      </c>
      <c r="E58" s="116">
        <v>0</v>
      </c>
      <c r="F58" s="116">
        <v>0</v>
      </c>
      <c r="G58" s="43" t="str">
        <f>_xlfn.XLOOKUP($A58,Map!$A:$A,Map!C:C)</f>
        <v>BS</v>
      </c>
      <c r="H58" s="43" t="str">
        <f>_xlfn.XLOOKUP($A58,Map!$A:$A,Map!D:D)</f>
        <v>Current Assets</v>
      </c>
      <c r="I58" s="43" t="str">
        <f>_xlfn.XLOOKUP($A58,Map!$A:$A,Map!E:E)</f>
        <v>Prepaid expenses</v>
      </c>
      <c r="J58" s="43" t="str">
        <f>_xlfn.XLOOKUP($A58,Map!$A:$A,Map!F:F)</f>
        <v>Air tickets</v>
      </c>
    </row>
    <row r="59" spans="1:10" x14ac:dyDescent="0.25">
      <c r="A59">
        <v>170012</v>
      </c>
      <c r="B59" t="s">
        <v>874</v>
      </c>
      <c r="C59" s="116">
        <v>0</v>
      </c>
      <c r="D59" s="116">
        <v>0</v>
      </c>
      <c r="E59" s="116">
        <v>0</v>
      </c>
      <c r="F59" s="116">
        <v>0</v>
      </c>
      <c r="G59" s="43" t="str">
        <f>_xlfn.XLOOKUP($A59,Map!$A:$A,Map!C:C)</f>
        <v>BS</v>
      </c>
      <c r="H59" s="43" t="str">
        <f>_xlfn.XLOOKUP($A59,Map!$A:$A,Map!D:D)</f>
        <v>Current Assets</v>
      </c>
      <c r="I59" s="43" t="str">
        <f>_xlfn.XLOOKUP($A59,Map!$A:$A,Map!E:E)</f>
        <v>Prepaid expenses</v>
      </c>
      <c r="J59" s="43" t="str">
        <f>_xlfn.XLOOKUP($A59,Map!$A:$A,Map!F:F)</f>
        <v>Furniture allowance</v>
      </c>
    </row>
    <row r="60" spans="1:10" x14ac:dyDescent="0.25">
      <c r="A60">
        <v>170013</v>
      </c>
      <c r="B60" t="s">
        <v>875</v>
      </c>
      <c r="C60" s="116">
        <v>0</v>
      </c>
      <c r="D60" s="116">
        <v>0</v>
      </c>
      <c r="E60" s="116">
        <v>0</v>
      </c>
      <c r="F60" s="116">
        <v>0</v>
      </c>
      <c r="G60" s="43" t="str">
        <f>_xlfn.XLOOKUP($A60,Map!$A:$A,Map!C:C)</f>
        <v>BS</v>
      </c>
      <c r="H60" s="43" t="str">
        <f>_xlfn.XLOOKUP($A60,Map!$A:$A,Map!D:D)</f>
        <v>Current Assets</v>
      </c>
      <c r="I60" s="43" t="str">
        <f>_xlfn.XLOOKUP($A60,Map!$A:$A,Map!E:E)</f>
        <v>Prepaid expenses</v>
      </c>
      <c r="J60" s="43" t="str">
        <f>_xlfn.XLOOKUP($A60,Map!$A:$A,Map!F:F)</f>
        <v>Insurance</v>
      </c>
    </row>
    <row r="61" spans="1:10" x14ac:dyDescent="0.25">
      <c r="A61">
        <v>170014</v>
      </c>
      <c r="B61" t="s">
        <v>876</v>
      </c>
      <c r="C61" s="116">
        <v>337938</v>
      </c>
      <c r="D61" s="116">
        <v>738015.95600000001</v>
      </c>
      <c r="E61" s="116">
        <v>691868.12199999997</v>
      </c>
      <c r="F61" s="116">
        <v>384085.83399999997</v>
      </c>
      <c r="G61" s="43" t="str">
        <f>_xlfn.XLOOKUP($A61,Map!$A:$A,Map!C:C)</f>
        <v>BS</v>
      </c>
      <c r="H61" s="43" t="str">
        <f>_xlfn.XLOOKUP($A61,Map!$A:$A,Map!D:D)</f>
        <v>Current Assets</v>
      </c>
      <c r="I61" s="43" t="str">
        <f>_xlfn.XLOOKUP($A61,Map!$A:$A,Map!E:E)</f>
        <v>Prepaid expenses</v>
      </c>
      <c r="J61" s="43" t="str">
        <f>_xlfn.XLOOKUP($A61,Map!$A:$A,Map!F:F)</f>
        <v>Insurance</v>
      </c>
    </row>
    <row r="62" spans="1:10" x14ac:dyDescent="0.25">
      <c r="A62">
        <v>170015</v>
      </c>
      <c r="B62" t="s">
        <v>877</v>
      </c>
      <c r="C62" s="116">
        <v>0</v>
      </c>
      <c r="D62" s="116">
        <v>0</v>
      </c>
      <c r="E62" s="116">
        <v>0</v>
      </c>
      <c r="F62" s="116">
        <v>0</v>
      </c>
      <c r="G62" s="43" t="str">
        <f>_xlfn.XLOOKUP($A62,Map!$A:$A,Map!C:C)</f>
        <v>BS</v>
      </c>
      <c r="H62" s="43" t="str">
        <f>_xlfn.XLOOKUP($A62,Map!$A:$A,Map!D:D)</f>
        <v>Current Assets</v>
      </c>
      <c r="I62" s="43" t="str">
        <f>_xlfn.XLOOKUP($A62,Map!$A:$A,Map!E:E)</f>
        <v>Prepaid expenses</v>
      </c>
      <c r="J62" s="43" t="str">
        <f>_xlfn.XLOOKUP($A62,Map!$A:$A,Map!F:F)</f>
        <v>Salaries and wages</v>
      </c>
    </row>
    <row r="63" spans="1:10" x14ac:dyDescent="0.25">
      <c r="A63">
        <v>170016</v>
      </c>
      <c r="B63" t="s">
        <v>878</v>
      </c>
      <c r="C63" s="116">
        <v>0</v>
      </c>
      <c r="D63" s="116">
        <v>669324</v>
      </c>
      <c r="E63" s="116">
        <v>500000</v>
      </c>
      <c r="F63" s="116">
        <v>169324</v>
      </c>
      <c r="G63" s="43" t="str">
        <f>_xlfn.XLOOKUP($A63,Map!$A:$A,Map!C:C)</f>
        <v>BS</v>
      </c>
      <c r="H63" s="43" t="str">
        <f>_xlfn.XLOOKUP($A63,Map!$A:$A,Map!D:D)</f>
        <v>Current Assets</v>
      </c>
      <c r="I63" s="43" t="str">
        <f>_xlfn.XLOOKUP($A63,Map!$A:$A,Map!E:E)</f>
        <v>Prepaid expenses</v>
      </c>
      <c r="J63" s="43" t="str">
        <f>_xlfn.XLOOKUP($A63,Map!$A:$A,Map!F:F)</f>
        <v>Other receivables - current</v>
      </c>
    </row>
    <row r="64" spans="1:10" x14ac:dyDescent="0.25">
      <c r="A64">
        <v>170017</v>
      </c>
      <c r="B64" t="s">
        <v>879</v>
      </c>
      <c r="C64" s="116">
        <v>0</v>
      </c>
      <c r="D64" s="116">
        <v>0</v>
      </c>
      <c r="E64" s="116">
        <v>0</v>
      </c>
      <c r="F64" s="116">
        <v>0</v>
      </c>
      <c r="G64" s="43" t="str">
        <f>_xlfn.XLOOKUP($A64,Map!$A:$A,Map!C:C)</f>
        <v>BS</v>
      </c>
      <c r="H64" s="43" t="str">
        <f>_xlfn.XLOOKUP($A64,Map!$A:$A,Map!D:D)</f>
        <v>Current Assets</v>
      </c>
      <c r="I64" s="43" t="str">
        <f>_xlfn.XLOOKUP($A64,Map!$A:$A,Map!E:E)</f>
        <v>Prepaid expenses</v>
      </c>
      <c r="J64" s="43" t="str">
        <f>_xlfn.XLOOKUP($A64,Map!$A:$A,Map!F:F)</f>
        <v>Family allowance</v>
      </c>
    </row>
    <row r="65" spans="1:10" x14ac:dyDescent="0.25">
      <c r="A65">
        <v>170018</v>
      </c>
      <c r="B65" t="s">
        <v>880</v>
      </c>
      <c r="C65" s="116">
        <v>0</v>
      </c>
      <c r="D65" s="116">
        <v>0</v>
      </c>
      <c r="E65" s="116">
        <v>0</v>
      </c>
      <c r="F65" s="116">
        <v>0</v>
      </c>
      <c r="G65" s="43" t="str">
        <f>_xlfn.XLOOKUP($A65,Map!$A:$A,Map!C:C)</f>
        <v>BS</v>
      </c>
      <c r="H65" s="43" t="str">
        <f>_xlfn.XLOOKUP($A65,Map!$A:$A,Map!D:D)</f>
        <v>Current Assets</v>
      </c>
      <c r="I65" s="43" t="str">
        <f>_xlfn.XLOOKUP($A65,Map!$A:$A,Map!E:E)</f>
        <v>Prepaid expenses</v>
      </c>
      <c r="J65" s="43" t="str">
        <f>_xlfn.XLOOKUP($A65,Map!$A:$A,Map!F:F)</f>
        <v>Other receivables - current</v>
      </c>
    </row>
    <row r="66" spans="1:10" x14ac:dyDescent="0.25">
      <c r="A66">
        <v>170019</v>
      </c>
      <c r="B66" t="s">
        <v>881</v>
      </c>
      <c r="C66" s="116">
        <v>0</v>
      </c>
      <c r="D66" s="116">
        <v>0</v>
      </c>
      <c r="E66" s="116">
        <v>0</v>
      </c>
      <c r="F66" s="116">
        <v>0</v>
      </c>
      <c r="G66" s="43" t="str">
        <f>_xlfn.XLOOKUP($A66,Map!$A:$A,Map!C:C)</f>
        <v>BS</v>
      </c>
      <c r="H66" s="43" t="str">
        <f>_xlfn.XLOOKUP($A66,Map!$A:$A,Map!D:D)</f>
        <v>Current Assets</v>
      </c>
      <c r="I66" s="43" t="str">
        <f>_xlfn.XLOOKUP($A66,Map!$A:$A,Map!E:E)</f>
        <v>Prepaid expenses</v>
      </c>
      <c r="J66" s="43" t="str">
        <f>_xlfn.XLOOKUP($A66,Map!$A:$A,Map!F:F)</f>
        <v>Other receivables - current</v>
      </c>
    </row>
    <row r="67" spans="1:10" x14ac:dyDescent="0.25">
      <c r="A67">
        <v>170020</v>
      </c>
      <c r="B67" t="s">
        <v>882</v>
      </c>
      <c r="C67" s="116">
        <v>187932.64</v>
      </c>
      <c r="D67" s="116">
        <v>0</v>
      </c>
      <c r="E67" s="116">
        <v>0</v>
      </c>
      <c r="F67" s="116">
        <v>187932.64</v>
      </c>
      <c r="G67" s="43" t="str">
        <f>_xlfn.XLOOKUP($A67,Map!$A:$A,Map!C:C)</f>
        <v>BS</v>
      </c>
      <c r="H67" s="43" t="str">
        <f>_xlfn.XLOOKUP($A67,Map!$A:$A,Map!D:D)</f>
        <v>Current Assets</v>
      </c>
      <c r="I67" s="43" t="str">
        <f>_xlfn.XLOOKUP($A67,Map!$A:$A,Map!E:E)</f>
        <v>Prepaid expenses</v>
      </c>
      <c r="J67" s="43" t="str">
        <f>_xlfn.XLOOKUP($A67,Map!$A:$A,Map!F:F)</f>
        <v>Insurance</v>
      </c>
    </row>
    <row r="68" spans="1:10" x14ac:dyDescent="0.25">
      <c r="A68">
        <v>180001</v>
      </c>
      <c r="B68" t="s">
        <v>884</v>
      </c>
      <c r="C68" s="116">
        <v>393596.77299999999</v>
      </c>
      <c r="D68" s="116">
        <v>4795026.6509999996</v>
      </c>
      <c r="E68" s="116">
        <v>3380499.4309999999</v>
      </c>
      <c r="F68" s="116">
        <v>1808123.993</v>
      </c>
      <c r="G68" s="43" t="str">
        <f>_xlfn.XLOOKUP($A68,Map!$A:$A,Map!C:C)</f>
        <v>BS</v>
      </c>
      <c r="H68" s="43" t="str">
        <f>_xlfn.XLOOKUP($A68,Map!$A:$A,Map!D:D)</f>
        <v>Current Assets</v>
      </c>
      <c r="I68" s="43" t="str">
        <f>_xlfn.XLOOKUP($A68,Map!$A:$A,Map!E:E)</f>
        <v>Inventories</v>
      </c>
      <c r="J68" s="43" t="str">
        <f>_xlfn.XLOOKUP($A68,Map!$A:$A,Map!F:F)</f>
        <v>Raw materials - Inventory</v>
      </c>
    </row>
    <row r="69" spans="1:10" x14ac:dyDescent="0.25">
      <c r="A69">
        <v>180002</v>
      </c>
      <c r="B69" t="s">
        <v>885</v>
      </c>
      <c r="C69" s="116">
        <v>0</v>
      </c>
      <c r="D69" s="116">
        <v>123301.22</v>
      </c>
      <c r="E69" s="116">
        <v>123301.22</v>
      </c>
      <c r="F69" s="116">
        <v>0</v>
      </c>
      <c r="G69" s="43" t="str">
        <f>_xlfn.XLOOKUP($A69,Map!$A:$A,Map!C:C)</f>
        <v>BS</v>
      </c>
      <c r="H69" s="43" t="str">
        <f>_xlfn.XLOOKUP($A69,Map!$A:$A,Map!D:D)</f>
        <v>Current Assets</v>
      </c>
      <c r="I69" s="43" t="str">
        <f>_xlfn.XLOOKUP($A69,Map!$A:$A,Map!E:E)</f>
        <v>Inventories</v>
      </c>
      <c r="J69" s="43" t="str">
        <f>_xlfn.XLOOKUP($A69,Map!$A:$A,Map!F:F)</f>
        <v>Raw materials - Inventory</v>
      </c>
    </row>
    <row r="70" spans="1:10" x14ac:dyDescent="0.25">
      <c r="A70">
        <v>180003</v>
      </c>
      <c r="B70" t="s">
        <v>886</v>
      </c>
      <c r="C70" s="116">
        <v>7034865.0970000001</v>
      </c>
      <c r="D70" s="116">
        <v>14841131.821</v>
      </c>
      <c r="E70" s="116">
        <v>12454851.994000001</v>
      </c>
      <c r="F70" s="116">
        <v>9421144.9240000006</v>
      </c>
      <c r="G70" s="43" t="str">
        <f>_xlfn.XLOOKUP($A70,Map!$A:$A,Map!C:C)</f>
        <v>BS</v>
      </c>
      <c r="H70" s="43" t="str">
        <f>_xlfn.XLOOKUP($A70,Map!$A:$A,Map!D:D)</f>
        <v>Current Assets</v>
      </c>
      <c r="I70" s="43" t="str">
        <f>_xlfn.XLOOKUP($A70,Map!$A:$A,Map!E:E)</f>
        <v>Inventories</v>
      </c>
      <c r="J70" s="43" t="str">
        <f>_xlfn.XLOOKUP($A70,Map!$A:$A,Map!F:F)</f>
        <v>Spare parts - Inventory</v>
      </c>
    </row>
    <row r="71" spans="1:10" x14ac:dyDescent="0.25">
      <c r="A71">
        <v>180004</v>
      </c>
      <c r="B71" t="s">
        <v>887</v>
      </c>
      <c r="C71" s="116">
        <v>12721521.119999999</v>
      </c>
      <c r="D71" s="116">
        <v>151683503.93399999</v>
      </c>
      <c r="E71" s="116">
        <v>158470838.38699999</v>
      </c>
      <c r="F71" s="116">
        <v>5934186.6670000004</v>
      </c>
      <c r="G71" s="43" t="str">
        <f>_xlfn.XLOOKUP($A71,Map!$A:$A,Map!C:C)</f>
        <v>BS</v>
      </c>
      <c r="H71" s="43" t="str">
        <f>_xlfn.XLOOKUP($A71,Map!$A:$A,Map!D:D)</f>
        <v>Current Assets</v>
      </c>
      <c r="I71" s="43" t="str">
        <f>_xlfn.XLOOKUP($A71,Map!$A:$A,Map!E:E)</f>
        <v>Inventories</v>
      </c>
      <c r="J71" s="43" t="str">
        <f>_xlfn.XLOOKUP($A71,Map!$A:$A,Map!F:F)</f>
        <v>Raw materials - Inventory</v>
      </c>
    </row>
    <row r="72" spans="1:10" x14ac:dyDescent="0.25">
      <c r="A72">
        <v>180005</v>
      </c>
      <c r="B72" t="s">
        <v>888</v>
      </c>
      <c r="C72" s="116">
        <v>6421066.4900000002</v>
      </c>
      <c r="D72" s="116">
        <v>43440401.332999997</v>
      </c>
      <c r="E72" s="116">
        <v>42082534.527000003</v>
      </c>
      <c r="F72" s="116">
        <v>7778933.2960000001</v>
      </c>
      <c r="G72" s="43" t="str">
        <f>_xlfn.XLOOKUP($A72,Map!$A:$A,Map!C:C)</f>
        <v>BS</v>
      </c>
      <c r="H72" s="43" t="str">
        <f>_xlfn.XLOOKUP($A72,Map!$A:$A,Map!D:D)</f>
        <v>Current Assets</v>
      </c>
      <c r="I72" s="43" t="str">
        <f>_xlfn.XLOOKUP($A72,Map!$A:$A,Map!E:E)</f>
        <v>Inventories</v>
      </c>
      <c r="J72" s="43" t="str">
        <f>_xlfn.XLOOKUP($A72,Map!$A:$A,Map!F:F)</f>
        <v>Raw materials - Inventory</v>
      </c>
    </row>
    <row r="73" spans="1:10" x14ac:dyDescent="0.25">
      <c r="A73">
        <v>180006</v>
      </c>
      <c r="B73" t="s">
        <v>889</v>
      </c>
      <c r="C73" s="116">
        <v>485139.35100000002</v>
      </c>
      <c r="D73" s="116">
        <v>5801020.2319999998</v>
      </c>
      <c r="E73" s="116">
        <v>6101515.4699999997</v>
      </c>
      <c r="F73" s="116">
        <v>184644.11300000001</v>
      </c>
      <c r="G73" s="43" t="str">
        <f>_xlfn.XLOOKUP($A73,Map!$A:$A,Map!C:C)</f>
        <v>BS</v>
      </c>
      <c r="H73" s="43" t="str">
        <f>_xlfn.XLOOKUP($A73,Map!$A:$A,Map!D:D)</f>
        <v>Current Assets</v>
      </c>
      <c r="I73" s="43" t="str">
        <f>_xlfn.XLOOKUP($A73,Map!$A:$A,Map!E:E)</f>
        <v>Inventories</v>
      </c>
      <c r="J73" s="43" t="str">
        <f>_xlfn.XLOOKUP($A73,Map!$A:$A,Map!F:F)</f>
        <v>Raw materials - Inventory</v>
      </c>
    </row>
    <row r="74" spans="1:10" x14ac:dyDescent="0.25">
      <c r="A74">
        <v>180007</v>
      </c>
      <c r="B74" t="s">
        <v>890</v>
      </c>
      <c r="C74" s="116">
        <v>144366.50099999999</v>
      </c>
      <c r="D74" s="116">
        <v>133828.25</v>
      </c>
      <c r="E74" s="116">
        <v>144366.49900000001</v>
      </c>
      <c r="F74" s="116">
        <v>133828.25200000001</v>
      </c>
      <c r="G74" s="43" t="str">
        <f>_xlfn.XLOOKUP($A74,Map!$A:$A,Map!C:C)</f>
        <v>BS</v>
      </c>
      <c r="H74" s="43" t="str">
        <f>_xlfn.XLOOKUP($A74,Map!$A:$A,Map!D:D)</f>
        <v>Current Assets</v>
      </c>
      <c r="I74" s="43" t="str">
        <f>_xlfn.XLOOKUP($A74,Map!$A:$A,Map!E:E)</f>
        <v>Inventories</v>
      </c>
      <c r="J74" s="43" t="str">
        <f>_xlfn.XLOOKUP($A74,Map!$A:$A,Map!F:F)</f>
        <v>Raw materials - Inventory</v>
      </c>
    </row>
    <row r="75" spans="1:10" x14ac:dyDescent="0.25">
      <c r="A75">
        <v>180008</v>
      </c>
      <c r="B75" t="s">
        <v>891</v>
      </c>
      <c r="C75" s="116">
        <v>0</v>
      </c>
      <c r="D75" s="116">
        <v>0</v>
      </c>
      <c r="E75" s="116">
        <v>0</v>
      </c>
      <c r="F75" s="116">
        <v>0</v>
      </c>
      <c r="G75" s="43" t="str">
        <f>_xlfn.XLOOKUP($A75,Map!$A:$A,Map!C:C)</f>
        <v>BS</v>
      </c>
      <c r="H75" s="43" t="str">
        <f>_xlfn.XLOOKUP($A75,Map!$A:$A,Map!D:D)</f>
        <v>Current Assets</v>
      </c>
      <c r="I75" s="43" t="str">
        <f>_xlfn.XLOOKUP($A75,Map!$A:$A,Map!E:E)</f>
        <v>Inventories</v>
      </c>
      <c r="J75" s="43" t="str">
        <f>_xlfn.XLOOKUP($A75,Map!$A:$A,Map!F:F)</f>
        <v>Raw materials - Inventory</v>
      </c>
    </row>
    <row r="76" spans="1:10" x14ac:dyDescent="0.25">
      <c r="A76">
        <v>180009</v>
      </c>
      <c r="B76" t="s">
        <v>892</v>
      </c>
      <c r="C76" s="116">
        <v>0</v>
      </c>
      <c r="D76" s="116">
        <v>4366308</v>
      </c>
      <c r="E76" s="116">
        <v>4366308</v>
      </c>
      <c r="F76" s="116">
        <v>0</v>
      </c>
      <c r="G76" s="43" t="str">
        <f>_xlfn.XLOOKUP($A76,Map!$A:$A,Map!C:C)</f>
        <v>BS</v>
      </c>
      <c r="H76" s="43" t="str">
        <f>_xlfn.XLOOKUP($A76,Map!$A:$A,Map!D:D)</f>
        <v>Current Assets</v>
      </c>
      <c r="I76" s="43" t="str">
        <f>_xlfn.XLOOKUP($A76,Map!$A:$A,Map!E:E)</f>
        <v>Inventories</v>
      </c>
      <c r="J76" s="43" t="str">
        <f>_xlfn.XLOOKUP($A76,Map!$A:$A,Map!F:F)</f>
        <v>Raw materials - Inventory</v>
      </c>
    </row>
    <row r="77" spans="1:10" x14ac:dyDescent="0.25">
      <c r="A77">
        <v>180010</v>
      </c>
      <c r="B77" t="s">
        <v>893</v>
      </c>
      <c r="C77" s="116">
        <v>2205127.1439999999</v>
      </c>
      <c r="D77" s="116">
        <v>13932308.767999999</v>
      </c>
      <c r="E77" s="116">
        <v>12561091.141000001</v>
      </c>
      <c r="F77" s="116">
        <v>3576344.7710000002</v>
      </c>
      <c r="G77" s="43" t="str">
        <f>_xlfn.XLOOKUP($A77,Map!$A:$A,Map!C:C)</f>
        <v>BS</v>
      </c>
      <c r="H77" s="43" t="str">
        <f>_xlfn.XLOOKUP($A77,Map!$A:$A,Map!D:D)</f>
        <v>Current Assets</v>
      </c>
      <c r="I77" s="43" t="str">
        <f>_xlfn.XLOOKUP($A77,Map!$A:$A,Map!E:E)</f>
        <v>Inventories</v>
      </c>
      <c r="J77" s="43" t="str">
        <f>_xlfn.XLOOKUP($A77,Map!$A:$A,Map!F:F)</f>
        <v>Packaging materials - Inventory</v>
      </c>
    </row>
    <row r="78" spans="1:10" x14ac:dyDescent="0.25">
      <c r="A78">
        <v>180011</v>
      </c>
      <c r="B78" t="s">
        <v>894</v>
      </c>
      <c r="C78" s="116">
        <v>9655616.7899999991</v>
      </c>
      <c r="D78" s="116">
        <v>117019406.237</v>
      </c>
      <c r="E78" s="116">
        <v>117190478.344</v>
      </c>
      <c r="F78" s="116">
        <v>9484544.6830000002</v>
      </c>
      <c r="G78" s="43" t="str">
        <f>_xlfn.XLOOKUP($A78,Map!$A:$A,Map!C:C)</f>
        <v>BS</v>
      </c>
      <c r="H78" s="43" t="str">
        <f>_xlfn.XLOOKUP($A78,Map!$A:$A,Map!D:D)</f>
        <v>Current Assets</v>
      </c>
      <c r="I78" s="43" t="str">
        <f>_xlfn.XLOOKUP($A78,Map!$A:$A,Map!E:E)</f>
        <v>Inventories</v>
      </c>
      <c r="J78" s="43" t="str">
        <f>_xlfn.XLOOKUP($A78,Map!$A:$A,Map!F:F)</f>
        <v>Finished goods - Inventory</v>
      </c>
    </row>
    <row r="79" spans="1:10" x14ac:dyDescent="0.25">
      <c r="A79">
        <v>180012</v>
      </c>
      <c r="B79" t="s">
        <v>895</v>
      </c>
      <c r="C79" s="116">
        <v>1499189.071</v>
      </c>
      <c r="D79" s="116">
        <v>152313706.01899999</v>
      </c>
      <c r="E79" s="116">
        <v>149723705.49200001</v>
      </c>
      <c r="F79" s="116">
        <v>4089189.5980000002</v>
      </c>
      <c r="G79" s="43" t="str">
        <f>_xlfn.XLOOKUP($A79,Map!$A:$A,Map!C:C)</f>
        <v>BS</v>
      </c>
      <c r="H79" s="43" t="str">
        <f>_xlfn.XLOOKUP($A79,Map!$A:$A,Map!D:D)</f>
        <v>Current Assets</v>
      </c>
      <c r="I79" s="43" t="str">
        <f>_xlfn.XLOOKUP($A79,Map!$A:$A,Map!E:E)</f>
        <v>Inventories</v>
      </c>
      <c r="J79" s="43" t="str">
        <f>_xlfn.XLOOKUP($A79,Map!$A:$A,Map!F:F)</f>
        <v>Work in progress - Inventory</v>
      </c>
    </row>
    <row r="80" spans="1:10" x14ac:dyDescent="0.25">
      <c r="A80">
        <v>180013</v>
      </c>
      <c r="B80" t="s">
        <v>896</v>
      </c>
      <c r="C80" s="116">
        <v>4851116.2259999998</v>
      </c>
      <c r="D80" s="116">
        <v>212233248.31</v>
      </c>
      <c r="E80" s="116">
        <v>215305350.789</v>
      </c>
      <c r="F80" s="116">
        <v>1779013.747</v>
      </c>
      <c r="G80" s="43" t="str">
        <f>_xlfn.XLOOKUP($A80,Map!$A:$A,Map!C:C)</f>
        <v>BS</v>
      </c>
      <c r="H80" s="43" t="str">
        <f>_xlfn.XLOOKUP($A80,Map!$A:$A,Map!D:D)</f>
        <v>Current Assets</v>
      </c>
      <c r="I80" s="43" t="str">
        <f>_xlfn.XLOOKUP($A80,Map!$A:$A,Map!E:E)</f>
        <v>Inventories</v>
      </c>
      <c r="J80" s="43" t="str">
        <f>_xlfn.XLOOKUP($A80,Map!$A:$A,Map!F:F)</f>
        <v>Finished goods - Inventory</v>
      </c>
    </row>
    <row r="81" spans="1:10" x14ac:dyDescent="0.25">
      <c r="A81">
        <v>180014</v>
      </c>
      <c r="B81" t="s">
        <v>897</v>
      </c>
      <c r="C81" s="116">
        <v>0</v>
      </c>
      <c r="D81" s="116">
        <v>247258177.66999999</v>
      </c>
      <c r="E81" s="116">
        <v>246787416.73699999</v>
      </c>
      <c r="F81" s="116">
        <v>470760.93300000002</v>
      </c>
      <c r="G81" s="43" t="str">
        <f>_xlfn.XLOOKUP($A81,Map!$A:$A,Map!C:C)</f>
        <v>BS</v>
      </c>
      <c r="H81" s="43" t="str">
        <f>_xlfn.XLOOKUP($A81,Map!$A:$A,Map!D:D)</f>
        <v>Current Assets</v>
      </c>
      <c r="I81" s="43" t="str">
        <f>_xlfn.XLOOKUP($A81,Map!$A:$A,Map!E:E)</f>
        <v>Inventories</v>
      </c>
      <c r="J81" s="43" t="str">
        <f>_xlfn.XLOOKUP($A81,Map!$A:$A,Map!F:F)</f>
        <v>Work in progress - Inventory</v>
      </c>
    </row>
    <row r="82" spans="1:10" x14ac:dyDescent="0.25">
      <c r="A82">
        <v>180096</v>
      </c>
      <c r="B82" t="s">
        <v>898</v>
      </c>
      <c r="C82" s="116">
        <v>0</v>
      </c>
      <c r="D82" s="116">
        <v>114105982.545</v>
      </c>
      <c r="E82" s="116">
        <v>114105982.545</v>
      </c>
      <c r="F82" s="116">
        <v>0</v>
      </c>
      <c r="G82" s="43" t="str">
        <f>_xlfn.XLOOKUP($A82,Map!$A:$A,Map!C:C)</f>
        <v>BS</v>
      </c>
      <c r="H82" s="43" t="str">
        <f>_xlfn.XLOOKUP($A82,Map!$A:$A,Map!D:D)</f>
        <v>Current Assets</v>
      </c>
      <c r="I82" s="43" t="str">
        <f>_xlfn.XLOOKUP($A82,Map!$A:$A,Map!E:E)</f>
        <v>Inventories</v>
      </c>
      <c r="J82" s="43" t="str">
        <f>_xlfn.XLOOKUP($A82,Map!$A:$A,Map!F:F)</f>
        <v>Work in progress - Inventory</v>
      </c>
    </row>
    <row r="83" spans="1:10" x14ac:dyDescent="0.25">
      <c r="A83">
        <v>180097</v>
      </c>
      <c r="B83" t="s">
        <v>899</v>
      </c>
      <c r="C83" s="116">
        <v>0</v>
      </c>
      <c r="D83" s="116">
        <v>32150.924999999999</v>
      </c>
      <c r="E83" s="116">
        <v>26100</v>
      </c>
      <c r="F83" s="116">
        <v>6050.9250000000002</v>
      </c>
      <c r="G83" s="43" t="str">
        <f>_xlfn.XLOOKUP($A83,Map!$A:$A,Map!C:C)</f>
        <v>BS</v>
      </c>
      <c r="H83" s="43" t="str">
        <f>_xlfn.XLOOKUP($A83,Map!$A:$A,Map!D:D)</f>
        <v>Current Assets</v>
      </c>
      <c r="I83" s="43" t="str">
        <f>_xlfn.XLOOKUP($A83,Map!$A:$A,Map!E:E)</f>
        <v>Inventories</v>
      </c>
      <c r="J83" s="43" t="str">
        <f>_xlfn.XLOOKUP($A83,Map!$A:$A,Map!F:F)</f>
        <v>Work in progress - Inventory</v>
      </c>
    </row>
    <row r="84" spans="1:10" x14ac:dyDescent="0.25">
      <c r="A84">
        <v>180098</v>
      </c>
      <c r="B84" t="s">
        <v>900</v>
      </c>
      <c r="C84" s="116">
        <v>1E-3</v>
      </c>
      <c r="D84" s="116">
        <v>2954389.4870000002</v>
      </c>
      <c r="E84" s="116">
        <v>2954390.3960000002</v>
      </c>
      <c r="F84" s="116">
        <v>-0.90800000000000003</v>
      </c>
      <c r="G84" s="43" t="str">
        <f>_xlfn.XLOOKUP($A84,Map!$A:$A,Map!C:C)</f>
        <v>BS</v>
      </c>
      <c r="H84" s="43" t="str">
        <f>_xlfn.XLOOKUP($A84,Map!$A:$A,Map!D:D)</f>
        <v>Current Assets</v>
      </c>
      <c r="I84" s="43" t="str">
        <f>_xlfn.XLOOKUP($A84,Map!$A:$A,Map!E:E)</f>
        <v>Inventories</v>
      </c>
      <c r="J84" s="43" t="str">
        <f>_xlfn.XLOOKUP($A84,Map!$A:$A,Map!F:F)</f>
        <v>Work in progress - Inventory</v>
      </c>
    </row>
    <row r="85" spans="1:10" x14ac:dyDescent="0.25">
      <c r="A85">
        <v>180099</v>
      </c>
      <c r="B85" t="s">
        <v>901</v>
      </c>
      <c r="C85" s="116">
        <v>0</v>
      </c>
      <c r="D85" s="116">
        <v>16338748.596999999</v>
      </c>
      <c r="E85" s="116">
        <v>1072828.8119999999</v>
      </c>
      <c r="F85" s="116">
        <v>15265919.785</v>
      </c>
      <c r="G85" s="43" t="str">
        <f>_xlfn.XLOOKUP($A85,Map!$A:$A,Map!C:C)</f>
        <v>BS</v>
      </c>
      <c r="H85" s="43" t="str">
        <f>_xlfn.XLOOKUP($A85,Map!$A:$A,Map!D:D)</f>
        <v>Current Assets</v>
      </c>
      <c r="I85" s="43" t="str">
        <f>_xlfn.XLOOKUP($A85,Map!$A:$A,Map!E:E)</f>
        <v>Inventories</v>
      </c>
      <c r="J85" s="43" t="str">
        <f>_xlfn.XLOOKUP($A85,Map!$A:$A,Map!F:F)</f>
        <v>Goods in transit - Inventory</v>
      </c>
    </row>
    <row r="86" spans="1:10" x14ac:dyDescent="0.25">
      <c r="A86">
        <v>210001</v>
      </c>
      <c r="B86" t="s">
        <v>902</v>
      </c>
      <c r="C86" s="116">
        <v>712562.22699999996</v>
      </c>
      <c r="D86" s="116">
        <v>145951948.81600001</v>
      </c>
      <c r="E86" s="116">
        <v>139646643.502</v>
      </c>
      <c r="F86" s="116">
        <v>7017867.5410000002</v>
      </c>
      <c r="G86" s="43" t="str">
        <f>_xlfn.XLOOKUP($A86,Map!$A:$A,Map!C:C)</f>
        <v>BS</v>
      </c>
      <c r="H86" s="43" t="str">
        <f>_xlfn.XLOOKUP($A86,Map!$A:$A,Map!D:D)</f>
        <v>Current Liabilities</v>
      </c>
      <c r="I86" s="43" t="str">
        <f>_xlfn.XLOOKUP($A86,Map!$A:$A,Map!E:E)</f>
        <v>Tade payables and Accuals &amp; other credit balances</v>
      </c>
      <c r="J86" s="43" t="str">
        <f>_xlfn.XLOOKUP($A86,Map!$A:$A,Map!F:F)</f>
        <v>Trade payables - Foreign</v>
      </c>
    </row>
    <row r="87" spans="1:10" x14ac:dyDescent="0.25">
      <c r="A87">
        <v>210002</v>
      </c>
      <c r="B87" t="s">
        <v>903</v>
      </c>
      <c r="C87" s="116">
        <v>-2233341.199</v>
      </c>
      <c r="D87" s="116">
        <v>141671712.991</v>
      </c>
      <c r="E87" s="116">
        <v>145387996.669</v>
      </c>
      <c r="F87" s="116">
        <v>-5949624.8770000003</v>
      </c>
      <c r="G87" s="43" t="str">
        <f>_xlfn.XLOOKUP($A87,Map!$A:$A,Map!C:C)</f>
        <v>BS</v>
      </c>
      <c r="H87" s="43" t="str">
        <f>_xlfn.XLOOKUP($A87,Map!$A:$A,Map!D:D)</f>
        <v>Current Liabilities</v>
      </c>
      <c r="I87" s="43" t="str">
        <f>_xlfn.XLOOKUP($A87,Map!$A:$A,Map!E:E)</f>
        <v>Tade payables and Accuals &amp; other credit balances</v>
      </c>
      <c r="J87" s="43" t="str">
        <f>_xlfn.XLOOKUP($A87,Map!$A:$A,Map!F:F)</f>
        <v>Trade payables - Local</v>
      </c>
    </row>
    <row r="88" spans="1:10" x14ac:dyDescent="0.25">
      <c r="A88">
        <v>220001</v>
      </c>
      <c r="B88" t="s">
        <v>904</v>
      </c>
      <c r="C88" s="116">
        <v>0</v>
      </c>
      <c r="D88" s="116">
        <v>0</v>
      </c>
      <c r="E88" s="116">
        <v>0</v>
      </c>
      <c r="F88" s="116">
        <v>0</v>
      </c>
      <c r="G88" s="43" t="str">
        <f>_xlfn.XLOOKUP($A88,Map!$A:$A,Map!C:C)</f>
        <v>BS</v>
      </c>
      <c r="H88" s="43" t="str">
        <f>_xlfn.XLOOKUP($A88,Map!$A:$A,Map!D:D)</f>
        <v>Current Liabilities</v>
      </c>
      <c r="I88" s="43" t="str">
        <f>_xlfn.XLOOKUP($A88,Map!$A:$A,Map!E:E)</f>
        <v>Short-term Murabaha loans</v>
      </c>
      <c r="J88" s="43" t="str">
        <f>_xlfn.XLOOKUP($A88,Map!$A:$A,Map!F:F)</f>
        <v>Other loans - current</v>
      </c>
    </row>
    <row r="89" spans="1:10" x14ac:dyDescent="0.25">
      <c r="A89">
        <v>220002</v>
      </c>
      <c r="B89" t="s">
        <v>905</v>
      </c>
      <c r="C89" s="116">
        <v>0</v>
      </c>
      <c r="D89" s="116">
        <v>0</v>
      </c>
      <c r="E89" s="116">
        <v>0</v>
      </c>
      <c r="F89" s="116">
        <v>0</v>
      </c>
      <c r="G89" s="43" t="str">
        <f>_xlfn.XLOOKUP($A89,Map!$A:$A,Map!C:C)</f>
        <v>BS</v>
      </c>
      <c r="H89" s="43" t="str">
        <f>_xlfn.XLOOKUP($A89,Map!$A:$A,Map!D:D)</f>
        <v>Current Liabilities</v>
      </c>
      <c r="I89" s="43" t="str">
        <f>_xlfn.XLOOKUP($A89,Map!$A:$A,Map!E:E)</f>
        <v>Short-term Murabaha loans</v>
      </c>
      <c r="J89" s="43" t="str">
        <f>_xlfn.XLOOKUP($A89,Map!$A:$A,Map!F:F)</f>
        <v>Other loans - current</v>
      </c>
    </row>
    <row r="90" spans="1:10" x14ac:dyDescent="0.25">
      <c r="A90">
        <v>220003</v>
      </c>
      <c r="B90" t="s">
        <v>906</v>
      </c>
      <c r="C90" s="116">
        <v>0</v>
      </c>
      <c r="D90" s="116">
        <v>0</v>
      </c>
      <c r="E90" s="116">
        <v>0</v>
      </c>
      <c r="F90" s="116">
        <v>0</v>
      </c>
      <c r="G90" s="43" t="str">
        <f>_xlfn.XLOOKUP($A90,Map!$A:$A,Map!C:C)</f>
        <v>BS</v>
      </c>
      <c r="H90" s="43" t="str">
        <f>_xlfn.XLOOKUP($A90,Map!$A:$A,Map!D:D)</f>
        <v>Current Liabilities</v>
      </c>
      <c r="I90" s="43" t="str">
        <f>_xlfn.XLOOKUP($A90,Map!$A:$A,Map!E:E)</f>
        <v>Short-term Murabaha loans</v>
      </c>
      <c r="J90" s="43" t="str">
        <f>_xlfn.XLOOKUP($A90,Map!$A:$A,Map!F:F)</f>
        <v>Other loans - current</v>
      </c>
    </row>
    <row r="91" spans="1:10" x14ac:dyDescent="0.25">
      <c r="A91">
        <v>220004</v>
      </c>
      <c r="B91" t="s">
        <v>907</v>
      </c>
      <c r="C91" s="116">
        <v>-25134408.640000001</v>
      </c>
      <c r="D91" s="116">
        <v>29286971.329999998</v>
      </c>
      <c r="E91" s="116">
        <v>4152562.69</v>
      </c>
      <c r="F91" s="116">
        <v>0</v>
      </c>
      <c r="G91" s="43" t="str">
        <f>_xlfn.XLOOKUP($A91,Map!$A:$A,Map!C:C)</f>
        <v>BS</v>
      </c>
      <c r="H91" s="43" t="str">
        <f>_xlfn.XLOOKUP($A91,Map!$A:$A,Map!D:D)</f>
        <v>Current Liabilities</v>
      </c>
      <c r="I91" s="43" t="str">
        <f>_xlfn.XLOOKUP($A91,Map!$A:$A,Map!E:E)</f>
        <v>Short-term Murabaha loans</v>
      </c>
      <c r="J91" s="43" t="str">
        <f>_xlfn.XLOOKUP($A91,Map!$A:$A,Map!F:F)</f>
        <v>Other loans - current</v>
      </c>
    </row>
    <row r="92" spans="1:10" x14ac:dyDescent="0.25">
      <c r="A92">
        <v>220005</v>
      </c>
      <c r="B92" t="s">
        <v>908</v>
      </c>
      <c r="C92" s="116">
        <v>-5385922.5</v>
      </c>
      <c r="D92" s="116">
        <v>14112339.75</v>
      </c>
      <c r="E92" s="116">
        <v>83001078.187000006</v>
      </c>
      <c r="F92" s="116">
        <v>-74274660.937000006</v>
      </c>
      <c r="G92" s="43" t="str">
        <f>_xlfn.XLOOKUP($A92,Map!$A:$A,Map!C:C)</f>
        <v>BS</v>
      </c>
      <c r="H92" s="43" t="str">
        <f>_xlfn.XLOOKUP($A92,Map!$A:$A,Map!D:D)</f>
        <v>Current Liabilities</v>
      </c>
      <c r="I92" s="43" t="str">
        <f>_xlfn.XLOOKUP($A92,Map!$A:$A,Map!E:E)</f>
        <v>Short-term Murabaha loans</v>
      </c>
      <c r="J92" s="43" t="str">
        <f>_xlfn.XLOOKUP($A92,Map!$A:$A,Map!F:F)</f>
        <v>Other loans - current</v>
      </c>
    </row>
    <row r="93" spans="1:10" x14ac:dyDescent="0.25">
      <c r="A93">
        <v>220006</v>
      </c>
      <c r="B93" t="s">
        <v>909</v>
      </c>
      <c r="C93" s="116">
        <v>-55545535.424000002</v>
      </c>
      <c r="D93" s="116">
        <v>55545535.417000003</v>
      </c>
      <c r="E93" s="116">
        <v>39496505.277999997</v>
      </c>
      <c r="F93" s="116">
        <v>-39496505.284999996</v>
      </c>
      <c r="G93" s="43" t="str">
        <f>_xlfn.XLOOKUP($A93,Map!$A:$A,Map!C:C)</f>
        <v>BS</v>
      </c>
      <c r="H93" s="43" t="str">
        <f>_xlfn.XLOOKUP($A93,Map!$A:$A,Map!D:D)</f>
        <v>Current Liabilities</v>
      </c>
      <c r="I93" s="43" t="str">
        <f>_xlfn.XLOOKUP($A93,Map!$A:$A,Map!E:E)</f>
        <v>Short-term Murabaha loans</v>
      </c>
      <c r="J93" s="43" t="str">
        <f>_xlfn.XLOOKUP($A93,Map!$A:$A,Map!F:F)</f>
        <v>Other loans - current</v>
      </c>
    </row>
    <row r="94" spans="1:10" x14ac:dyDescent="0.25">
      <c r="A94">
        <v>220007</v>
      </c>
      <c r="B94" t="s">
        <v>910</v>
      </c>
      <c r="C94" s="116">
        <v>0</v>
      </c>
      <c r="D94" s="116">
        <v>16020991.939999999</v>
      </c>
      <c r="E94" s="116">
        <v>16020991.938999999</v>
      </c>
      <c r="F94" s="116">
        <v>1E-3</v>
      </c>
      <c r="G94" s="43" t="str">
        <f>_xlfn.XLOOKUP($A94,Map!$A:$A,Map!C:C)</f>
        <v>BS</v>
      </c>
      <c r="H94" s="43" t="str">
        <f>_xlfn.XLOOKUP($A94,Map!$A:$A,Map!D:D)</f>
        <v>Current Liabilities</v>
      </c>
      <c r="I94" s="43" t="str">
        <f>_xlfn.XLOOKUP($A94,Map!$A:$A,Map!E:E)</f>
        <v>Short-term Murabaha loans</v>
      </c>
      <c r="J94" s="43" t="str">
        <f>_xlfn.XLOOKUP($A94,Map!$A:$A,Map!F:F)</f>
        <v>Other loans - current</v>
      </c>
    </row>
    <row r="95" spans="1:10" x14ac:dyDescent="0.25">
      <c r="A95">
        <v>230001</v>
      </c>
      <c r="B95" t="s">
        <v>911</v>
      </c>
      <c r="C95" s="116">
        <v>0</v>
      </c>
      <c r="D95" s="116">
        <v>126164995.493</v>
      </c>
      <c r="E95" s="116">
        <v>126164995.493</v>
      </c>
      <c r="F95" s="116">
        <v>0</v>
      </c>
      <c r="G95" s="43" t="str">
        <f>_xlfn.XLOOKUP($A95,Map!$A:$A,Map!C:C)</f>
        <v>BS</v>
      </c>
      <c r="H95" s="43" t="str">
        <f>_xlfn.XLOOKUP($A95,Map!$A:$A,Map!D:D)</f>
        <v>Current Liabilities</v>
      </c>
      <c r="I95" s="43" t="str">
        <f>_xlfn.XLOOKUP($A95,Map!$A:$A,Map!E:E)</f>
        <v>Tade payables and Accuals &amp; other credit balances</v>
      </c>
      <c r="J95" s="43" t="str">
        <f>_xlfn.XLOOKUP($A95,Map!$A:$A,Map!F:F)</f>
        <v>Clearing account</v>
      </c>
    </row>
    <row r="96" spans="1:10" x14ac:dyDescent="0.25">
      <c r="A96">
        <v>240001</v>
      </c>
      <c r="B96" t="s">
        <v>912</v>
      </c>
      <c r="C96" s="116">
        <v>67499.61</v>
      </c>
      <c r="D96" s="116">
        <v>6242750.6869999999</v>
      </c>
      <c r="E96" s="116">
        <v>6206681.7719999999</v>
      </c>
      <c r="F96" s="116">
        <v>103568.52499999999</v>
      </c>
      <c r="G96" s="43" t="str">
        <f>_xlfn.XLOOKUP($A96,Map!$A:$A,Map!C:C)</f>
        <v>BS</v>
      </c>
      <c r="H96" s="43" t="str">
        <f>_xlfn.XLOOKUP($A96,Map!$A:$A,Map!D:D)</f>
        <v>Current Liabilities</v>
      </c>
      <c r="I96" s="43" t="str">
        <f>_xlfn.XLOOKUP($A96,Map!$A:$A,Map!E:E)</f>
        <v>Tade payables and Accuals &amp; other credit balances</v>
      </c>
      <c r="J96" s="43" t="str">
        <f>_xlfn.XLOOKUP($A96,Map!$A:$A,Map!F:F)</f>
        <v>Overhead</v>
      </c>
    </row>
    <row r="97" spans="1:10" x14ac:dyDescent="0.25">
      <c r="A97">
        <v>240002</v>
      </c>
      <c r="B97" t="s">
        <v>913</v>
      </c>
      <c r="C97" s="116">
        <v>0</v>
      </c>
      <c r="D97" s="116">
        <v>443</v>
      </c>
      <c r="E97" s="116">
        <v>0</v>
      </c>
      <c r="F97" s="116">
        <v>443</v>
      </c>
      <c r="G97" s="43" t="str">
        <f>_xlfn.XLOOKUP($A97,Map!$A:$A,Map!C:C)</f>
        <v>BS</v>
      </c>
      <c r="H97" s="43" t="str">
        <f>_xlfn.XLOOKUP($A97,Map!$A:$A,Map!D:D)</f>
        <v>Current Liabilities</v>
      </c>
      <c r="I97" s="43" t="str">
        <f>_xlfn.XLOOKUP($A97,Map!$A:$A,Map!E:E)</f>
        <v>Tade payables and Accuals &amp; other credit balances</v>
      </c>
      <c r="J97" s="43" t="str">
        <f>_xlfn.XLOOKUP($A97,Map!$A:$A,Map!F:F)</f>
        <v>Landed Cost - Customs</v>
      </c>
    </row>
    <row r="98" spans="1:10" x14ac:dyDescent="0.25">
      <c r="A98">
        <v>240003</v>
      </c>
      <c r="B98" t="s">
        <v>914</v>
      </c>
      <c r="C98" s="116">
        <v>-1505845.0689999999</v>
      </c>
      <c r="D98" s="116">
        <v>150714</v>
      </c>
      <c r="E98" s="116">
        <v>44700</v>
      </c>
      <c r="F98" s="116">
        <v>-1399831.0689999999</v>
      </c>
      <c r="G98" s="43" t="str">
        <f>_xlfn.XLOOKUP($A98,Map!$A:$A,Map!C:C)</f>
        <v>BS</v>
      </c>
      <c r="H98" s="43" t="str">
        <f>_xlfn.XLOOKUP($A98,Map!$A:$A,Map!D:D)</f>
        <v>Non-Current Liabilities</v>
      </c>
      <c r="I98" s="43" t="str">
        <f>_xlfn.XLOOKUP($A98,Map!$A:$A,Map!E:E)</f>
        <v xml:space="preserve">Lease liabilities non-current </v>
      </c>
      <c r="J98" s="43" t="str">
        <f>_xlfn.XLOOKUP($A98,Map!$A:$A,Map!F:F)</f>
        <v xml:space="preserve"> Lease Obligation</v>
      </c>
    </row>
    <row r="99" spans="1:10" x14ac:dyDescent="0.25">
      <c r="A99">
        <v>250001</v>
      </c>
      <c r="B99" t="s">
        <v>915</v>
      </c>
      <c r="C99" s="116">
        <v>0</v>
      </c>
      <c r="D99" s="116">
        <v>16066147</v>
      </c>
      <c r="E99" s="116">
        <v>16117824</v>
      </c>
      <c r="F99" s="116">
        <v>-51677</v>
      </c>
      <c r="G99" s="43" t="str">
        <f>_xlfn.XLOOKUP($A99,Map!$A:$A,Map!C:C)</f>
        <v>BS</v>
      </c>
      <c r="H99" s="43" t="str">
        <f>_xlfn.XLOOKUP($A99,Map!$A:$A,Map!D:D)</f>
        <v>Current Liabilities</v>
      </c>
      <c r="I99" s="43" t="str">
        <f>_xlfn.XLOOKUP($A99,Map!$A:$A,Map!E:E)</f>
        <v>Tade payables and Accuals &amp; other credit balances</v>
      </c>
      <c r="J99" s="43" t="str">
        <f>_xlfn.XLOOKUP($A99,Map!$A:$A,Map!F:F)</f>
        <v>Accrued salaries and wages</v>
      </c>
    </row>
    <row r="100" spans="1:10" x14ac:dyDescent="0.25">
      <c r="A100">
        <v>250002</v>
      </c>
      <c r="B100" t="s">
        <v>916</v>
      </c>
      <c r="C100" s="116">
        <v>0</v>
      </c>
      <c r="D100" s="116">
        <v>0</v>
      </c>
      <c r="E100" s="116">
        <v>0</v>
      </c>
      <c r="F100" s="116">
        <v>0</v>
      </c>
      <c r="G100" s="43" t="str">
        <f>_xlfn.XLOOKUP($A100,Map!$A:$A,Map!C:C)</f>
        <v>BS</v>
      </c>
      <c r="H100" s="43" t="str">
        <f>_xlfn.XLOOKUP($A100,Map!$A:$A,Map!D:D)</f>
        <v>Current Liabilities</v>
      </c>
      <c r="I100" s="43" t="str">
        <f>_xlfn.XLOOKUP($A100,Map!$A:$A,Map!E:E)</f>
        <v>Tade payables and Accuals &amp; other credit balances</v>
      </c>
      <c r="J100" s="43" t="str">
        <f>_xlfn.XLOOKUP($A100,Map!$A:$A,Map!F:F)</f>
        <v>Accrued utilities</v>
      </c>
    </row>
    <row r="101" spans="1:10" x14ac:dyDescent="0.25">
      <c r="A101">
        <v>250003</v>
      </c>
      <c r="B101" t="s">
        <v>917</v>
      </c>
      <c r="C101" s="116">
        <v>-968047.97</v>
      </c>
      <c r="D101" s="116">
        <v>977609.01</v>
      </c>
      <c r="E101" s="116">
        <v>9561.0400000000009</v>
      </c>
      <c r="F101" s="116">
        <v>0</v>
      </c>
      <c r="G101" s="43" t="str">
        <f>_xlfn.XLOOKUP($A101,Map!$A:$A,Map!C:C)</f>
        <v>BS</v>
      </c>
      <c r="H101" s="43" t="str">
        <f>_xlfn.XLOOKUP($A101,Map!$A:$A,Map!D:D)</f>
        <v>Current Liabilities</v>
      </c>
      <c r="I101" s="43" t="str">
        <f>_xlfn.XLOOKUP($A101,Map!$A:$A,Map!E:E)</f>
        <v>Zakat provision</v>
      </c>
      <c r="J101" s="43" t="str">
        <f>_xlfn.XLOOKUP($A101,Map!$A:$A,Map!F:F)</f>
        <v>Zakat provision</v>
      </c>
    </row>
    <row r="102" spans="1:10" x14ac:dyDescent="0.25">
      <c r="A102">
        <v>250004</v>
      </c>
      <c r="B102" t="s">
        <v>918</v>
      </c>
      <c r="C102" s="116">
        <v>0</v>
      </c>
      <c r="D102" s="116">
        <v>184800</v>
      </c>
      <c r="E102" s="116">
        <v>184800</v>
      </c>
      <c r="F102" s="116">
        <v>0</v>
      </c>
      <c r="G102" s="43" t="str">
        <f>_xlfn.XLOOKUP($A102,Map!$A:$A,Map!C:C)</f>
        <v>BS</v>
      </c>
      <c r="H102" s="43" t="str">
        <f>_xlfn.XLOOKUP($A102,Map!$A:$A,Map!D:D)</f>
        <v>Current Liabilities</v>
      </c>
      <c r="I102" s="43" t="str">
        <f>_xlfn.XLOOKUP($A102,Map!$A:$A,Map!E:E)</f>
        <v>Tade payables and Accuals &amp; other credit balances</v>
      </c>
      <c r="J102" s="43" t="str">
        <f>_xlfn.XLOOKUP($A102,Map!$A:$A,Map!F:F)</f>
        <v>Accrued bonus</v>
      </c>
    </row>
    <row r="103" spans="1:10" x14ac:dyDescent="0.25">
      <c r="A103">
        <v>250005</v>
      </c>
      <c r="B103" t="s">
        <v>919</v>
      </c>
      <c r="C103" s="116">
        <v>0</v>
      </c>
      <c r="D103" s="116">
        <v>542571.647</v>
      </c>
      <c r="E103" s="116">
        <v>972958.59100000001</v>
      </c>
      <c r="F103" s="116">
        <v>-430386.94400000002</v>
      </c>
      <c r="G103" s="43" t="str">
        <f>_xlfn.XLOOKUP($A103,Map!$A:$A,Map!C:C)</f>
        <v>BS</v>
      </c>
      <c r="H103" s="43" t="str">
        <f>_xlfn.XLOOKUP($A103,Map!$A:$A,Map!D:D)</f>
        <v>Current Liabilities</v>
      </c>
      <c r="I103" s="43" t="str">
        <f>_xlfn.XLOOKUP($A103,Map!$A:$A,Map!E:E)</f>
        <v>Tade payables and Accuals &amp; other credit balances</v>
      </c>
      <c r="J103" s="43" t="str">
        <f>_xlfn.XLOOKUP($A103,Map!$A:$A,Map!F:F)</f>
        <v>Accrued expenses</v>
      </c>
    </row>
    <row r="104" spans="1:10" x14ac:dyDescent="0.25">
      <c r="A104">
        <v>250006</v>
      </c>
      <c r="B104" t="s">
        <v>920</v>
      </c>
      <c r="C104" s="116">
        <v>0</v>
      </c>
      <c r="D104" s="116">
        <v>0</v>
      </c>
      <c r="E104" s="116">
        <v>0</v>
      </c>
      <c r="F104" s="116">
        <v>0</v>
      </c>
      <c r="G104" s="43" t="str">
        <f>_xlfn.XLOOKUP($A104,Map!$A:$A,Map!C:C)</f>
        <v>BS</v>
      </c>
      <c r="H104" s="43" t="str">
        <f>_xlfn.XLOOKUP($A104,Map!$A:$A,Map!D:D)</f>
        <v>Current Liabilities</v>
      </c>
      <c r="I104" s="43" t="str">
        <f>_xlfn.XLOOKUP($A104,Map!$A:$A,Map!E:E)</f>
        <v>Tade payables and Accuals &amp; other credit balances</v>
      </c>
      <c r="J104" s="43" t="str">
        <f>_xlfn.XLOOKUP($A104,Map!$A:$A,Map!F:F)</f>
        <v>Accrued leave</v>
      </c>
    </row>
    <row r="105" spans="1:10" x14ac:dyDescent="0.25">
      <c r="A105">
        <v>260001</v>
      </c>
      <c r="B105" t="s">
        <v>922</v>
      </c>
      <c r="C105" s="116">
        <v>-7846137</v>
      </c>
      <c r="D105" s="116">
        <v>0</v>
      </c>
      <c r="E105" s="116">
        <v>0</v>
      </c>
      <c r="F105" s="116">
        <v>-7846137</v>
      </c>
      <c r="G105" s="43" t="str">
        <f>_xlfn.XLOOKUP($A105,Map!$A:$A,Map!C:C)</f>
        <v>BS</v>
      </c>
      <c r="H105" s="43" t="str">
        <f>_xlfn.XLOOKUP($A105,Map!$A:$A,Map!D:D)</f>
        <v>Stockholder's equity</v>
      </c>
      <c r="I105" s="43" t="str">
        <f>_xlfn.XLOOKUP($A105,Map!$A:$A,Map!E:E)</f>
        <v>Statutory reserve</v>
      </c>
      <c r="J105" s="43" t="str">
        <f>_xlfn.XLOOKUP($A105,Map!$A:$A,Map!F:F)</f>
        <v>Statutory reserve</v>
      </c>
    </row>
    <row r="106" spans="1:10" x14ac:dyDescent="0.25">
      <c r="A106">
        <v>260002</v>
      </c>
      <c r="B106" t="s">
        <v>923</v>
      </c>
      <c r="C106" s="116">
        <v>-8171258.3200000003</v>
      </c>
      <c r="D106" s="116">
        <v>6344276.4000000004</v>
      </c>
      <c r="E106" s="116">
        <v>1582969</v>
      </c>
      <c r="F106" s="116">
        <v>-3409950.92</v>
      </c>
      <c r="G106" s="43" t="str">
        <f>_xlfn.XLOOKUP($A106,Map!$A:$A,Map!C:C)</f>
        <v>BS</v>
      </c>
      <c r="H106" s="43" t="str">
        <f>_xlfn.XLOOKUP($A106,Map!$A:$A,Map!D:D)</f>
        <v>Non-Current Liabilities</v>
      </c>
      <c r="I106" s="43" t="str">
        <f>_xlfn.XLOOKUP($A106,Map!$A:$A,Map!E:E)</f>
        <v xml:space="preserve">End-of-service indemnities </v>
      </c>
      <c r="J106" s="43" t="str">
        <f>_xlfn.XLOOKUP($A106,Map!$A:$A,Map!F:F)</f>
        <v xml:space="preserve">End-of-service indemnities </v>
      </c>
    </row>
    <row r="107" spans="1:10" x14ac:dyDescent="0.25">
      <c r="A107">
        <v>260003</v>
      </c>
      <c r="B107" t="s">
        <v>924</v>
      </c>
      <c r="C107" s="116">
        <v>-12488537.438999999</v>
      </c>
      <c r="D107" s="116">
        <v>5839898.5800000001</v>
      </c>
      <c r="E107" s="116">
        <v>720000</v>
      </c>
      <c r="F107" s="116">
        <v>-7368638.8590000002</v>
      </c>
      <c r="G107" s="43" t="str">
        <f>_xlfn.XLOOKUP($A107,Map!$A:$A,Map!C:C)</f>
        <v>BS</v>
      </c>
      <c r="H107" s="43" t="str">
        <f>_xlfn.XLOOKUP($A107,Map!$A:$A,Map!D:D)</f>
        <v>Current Assets</v>
      </c>
      <c r="I107" s="43" t="str">
        <f>_xlfn.XLOOKUP($A107,Map!$A:$A,Map!E:E)</f>
        <v>Trade receivables</v>
      </c>
      <c r="J107" s="43" t="str">
        <f>_xlfn.XLOOKUP($A107,Map!$A:$A,Map!F:F)</f>
        <v>Provisions</v>
      </c>
    </row>
    <row r="108" spans="1:10" x14ac:dyDescent="0.25">
      <c r="A108">
        <v>260004</v>
      </c>
      <c r="B108" t="s">
        <v>925</v>
      </c>
      <c r="C108" s="116">
        <v>0</v>
      </c>
      <c r="D108" s="116">
        <v>33334</v>
      </c>
      <c r="E108" s="116">
        <v>33334</v>
      </c>
      <c r="F108" s="116">
        <v>0</v>
      </c>
      <c r="G108" s="43" t="str">
        <f>_xlfn.XLOOKUP($A108,Map!$A:$A,Map!C:C)</f>
        <v>BS</v>
      </c>
      <c r="H108" s="43" t="str">
        <f>_xlfn.XLOOKUP($A108,Map!$A:$A,Map!D:D)</f>
        <v>Current Assets</v>
      </c>
      <c r="I108" s="43" t="str">
        <f>_xlfn.XLOOKUP($A108,Map!$A:$A,Map!E:E)</f>
        <v>Inventories</v>
      </c>
      <c r="J108" s="43" t="str">
        <f>_xlfn.XLOOKUP($A108,Map!$A:$A,Map!F:F)</f>
        <v>Allowance for slow moving/obsolete inventories - Inventory</v>
      </c>
    </row>
    <row r="109" spans="1:10" x14ac:dyDescent="0.25">
      <c r="A109">
        <v>260005</v>
      </c>
      <c r="B109" t="s">
        <v>926</v>
      </c>
      <c r="C109" s="116">
        <v>-4698371.7089999998</v>
      </c>
      <c r="D109" s="116">
        <v>0</v>
      </c>
      <c r="E109" s="116">
        <v>109284.12</v>
      </c>
      <c r="F109" s="116">
        <v>-4807655.8289999999</v>
      </c>
      <c r="G109" s="43" t="str">
        <f>_xlfn.XLOOKUP($A109,Map!$A:$A,Map!C:C)</f>
        <v>BS</v>
      </c>
      <c r="H109" s="43" t="str">
        <f>_xlfn.XLOOKUP($A109,Map!$A:$A,Map!D:D)</f>
        <v>Non-Current Liabilities</v>
      </c>
      <c r="I109" s="43" t="str">
        <f>_xlfn.XLOOKUP($A109,Map!$A:$A,Map!E:E)</f>
        <v>Provision for evacuation</v>
      </c>
      <c r="J109" s="43" t="str">
        <f>_xlfn.XLOOKUP($A109,Map!$A:$A,Map!F:F)</f>
        <v>Provision for evacuation</v>
      </c>
    </row>
    <row r="110" spans="1:10" x14ac:dyDescent="0.25">
      <c r="A110">
        <v>260006</v>
      </c>
      <c r="B110" t="s">
        <v>927</v>
      </c>
      <c r="C110" s="116">
        <v>0</v>
      </c>
      <c r="D110" s="116">
        <v>245767.62700000001</v>
      </c>
      <c r="E110" s="116">
        <v>785401.68599999999</v>
      </c>
      <c r="F110" s="116">
        <v>-539634.05900000001</v>
      </c>
      <c r="G110" s="43" t="str">
        <f>_xlfn.XLOOKUP($A110,Map!$A:$A,Map!C:C)</f>
        <v>BS</v>
      </c>
      <c r="H110" s="43" t="str">
        <f>_xlfn.XLOOKUP($A110,Map!$A:$A,Map!D:D)</f>
        <v>Current Liabilities</v>
      </c>
      <c r="I110" s="43" t="str">
        <f>_xlfn.XLOOKUP($A110,Map!$A:$A,Map!E:E)</f>
        <v>Tade payables and Accuals &amp; other credit balances</v>
      </c>
      <c r="J110" s="43" t="str">
        <f>_xlfn.XLOOKUP($A110,Map!$A:$A,Map!F:F)</f>
        <v>Accrued leave</v>
      </c>
    </row>
    <row r="111" spans="1:10" x14ac:dyDescent="0.25">
      <c r="A111">
        <v>270001</v>
      </c>
      <c r="B111" t="s">
        <v>929</v>
      </c>
      <c r="C111" s="116">
        <v>-3776163</v>
      </c>
      <c r="D111" s="116">
        <v>4598127.72</v>
      </c>
      <c r="E111" s="116">
        <v>8231729.5099999998</v>
      </c>
      <c r="F111" s="116">
        <v>-7409764.79</v>
      </c>
      <c r="G111" s="43" t="str">
        <f>_xlfn.XLOOKUP($A111,Map!$A:$A,Map!C:C)</f>
        <v>BS</v>
      </c>
      <c r="H111" s="43" t="str">
        <f>_xlfn.XLOOKUP($A111,Map!$A:$A,Map!D:D)</f>
        <v>Non-Current Liabilities</v>
      </c>
      <c r="I111" s="43" t="str">
        <f>_xlfn.XLOOKUP($A111,Map!$A:$A,Map!E:E)</f>
        <v xml:space="preserve">Due to related parties </v>
      </c>
      <c r="J111" s="43" t="str">
        <f>_xlfn.XLOOKUP($A111,Map!$A:$A,Map!F:F)</f>
        <v>Aims Holding  Current Acc</v>
      </c>
    </row>
    <row r="112" spans="1:10" x14ac:dyDescent="0.25">
      <c r="A112">
        <v>270002</v>
      </c>
      <c r="B112" t="s">
        <v>930</v>
      </c>
      <c r="C112" s="116">
        <v>0</v>
      </c>
      <c r="D112" s="116">
        <v>13266829.759</v>
      </c>
      <c r="E112" s="116">
        <v>13266829.761</v>
      </c>
      <c r="F112" s="116">
        <v>-2E-3</v>
      </c>
      <c r="G112" s="43" t="str">
        <f>_xlfn.XLOOKUP($A112,Map!$A:$A,Map!C:C)</f>
        <v>BS</v>
      </c>
      <c r="H112" s="43" t="str">
        <f>_xlfn.XLOOKUP($A112,Map!$A:$A,Map!D:D)</f>
        <v>Current Liabilities</v>
      </c>
      <c r="I112" s="43" t="str">
        <f>_xlfn.XLOOKUP($A112,Map!$A:$A,Map!E:E)</f>
        <v>Tade payables and Accuals &amp; other credit balances</v>
      </c>
      <c r="J112" s="43" t="str">
        <f>_xlfn.XLOOKUP($A112,Map!$A:$A,Map!F:F)</f>
        <v>VAT payables</v>
      </c>
    </row>
    <row r="113" spans="1:10" x14ac:dyDescent="0.25">
      <c r="A113">
        <v>270003</v>
      </c>
      <c r="B113" t="s">
        <v>931</v>
      </c>
      <c r="C113" s="116">
        <v>0</v>
      </c>
      <c r="D113" s="116">
        <v>6372622.9270000001</v>
      </c>
      <c r="E113" s="116">
        <v>6372622.9270000001</v>
      </c>
      <c r="F113" s="116">
        <v>0</v>
      </c>
      <c r="G113" s="43" t="str">
        <f>_xlfn.XLOOKUP($A113,Map!$A:$A,Map!C:C)</f>
        <v>BS</v>
      </c>
      <c r="H113" s="43" t="str">
        <f>_xlfn.XLOOKUP($A113,Map!$A:$A,Map!D:D)</f>
        <v>Current Liabilities</v>
      </c>
      <c r="I113" s="43" t="str">
        <f>_xlfn.XLOOKUP($A113,Map!$A:$A,Map!E:E)</f>
        <v>Tade payables and Accuals &amp; other credit balances</v>
      </c>
      <c r="J113" s="43" t="str">
        <f>_xlfn.XLOOKUP($A113,Map!$A:$A,Map!F:F)</f>
        <v>VAT payables</v>
      </c>
    </row>
    <row r="114" spans="1:10" x14ac:dyDescent="0.25">
      <c r="A114">
        <v>270004</v>
      </c>
      <c r="B114" t="s">
        <v>932</v>
      </c>
      <c r="C114" s="116">
        <v>-1065153.22</v>
      </c>
      <c r="D114" s="116">
        <v>11142523.32</v>
      </c>
      <c r="E114" s="116">
        <v>11126371.249</v>
      </c>
      <c r="F114" s="116">
        <v>-1049001.149</v>
      </c>
      <c r="G114" s="43" t="str">
        <f>_xlfn.XLOOKUP($A114,Map!$A:$A,Map!C:C)</f>
        <v>BS</v>
      </c>
      <c r="H114" s="43" t="str">
        <f>_xlfn.XLOOKUP($A114,Map!$A:$A,Map!D:D)</f>
        <v>Current Liabilities</v>
      </c>
      <c r="I114" s="43" t="str">
        <f>_xlfn.XLOOKUP($A114,Map!$A:$A,Map!E:E)</f>
        <v>Tade payables and Accuals &amp; other credit balances</v>
      </c>
      <c r="J114" s="43" t="str">
        <f>_xlfn.XLOOKUP($A114,Map!$A:$A,Map!F:F)</f>
        <v>VAT payables</v>
      </c>
    </row>
    <row r="115" spans="1:10" x14ac:dyDescent="0.25">
      <c r="A115">
        <v>270005</v>
      </c>
      <c r="B115" t="s">
        <v>933</v>
      </c>
      <c r="C115" s="116">
        <v>20699522.736000001</v>
      </c>
      <c r="D115" s="116">
        <v>39193215.579999998</v>
      </c>
      <c r="E115" s="116">
        <v>68586906.856999993</v>
      </c>
      <c r="F115" s="116">
        <v>-8694168.5409999993</v>
      </c>
      <c r="G115" s="43" t="str">
        <f>_xlfn.XLOOKUP($A115,Map!$A:$A,Map!C:C)</f>
        <v>BS</v>
      </c>
      <c r="H115" s="43" t="str">
        <f>_xlfn.XLOOKUP($A115,Map!$A:$A,Map!D:D)</f>
        <v>Non-Current Liabilities</v>
      </c>
      <c r="I115" s="43" t="str">
        <f>_xlfn.XLOOKUP($A115,Map!$A:$A,Map!E:E)</f>
        <v xml:space="preserve">Due to related parties </v>
      </c>
      <c r="J115" s="43" t="str">
        <f>_xlfn.XLOOKUP($A115,Map!$A:$A,Map!F:F)</f>
        <v>Vision Horzon Indestrial Company</v>
      </c>
    </row>
    <row r="116" spans="1:10" x14ac:dyDescent="0.25">
      <c r="A116">
        <v>310001</v>
      </c>
      <c r="B116" t="s">
        <v>934</v>
      </c>
      <c r="C116" s="116">
        <v>11873132.367000001</v>
      </c>
      <c r="D116" s="116">
        <v>0</v>
      </c>
      <c r="E116" s="116">
        <v>0</v>
      </c>
      <c r="F116" s="116">
        <v>11873132.367000001</v>
      </c>
      <c r="G116" s="43" t="str">
        <f>_xlfn.XLOOKUP($A116,Map!$A:$A,Map!C:C)</f>
        <v>BS</v>
      </c>
      <c r="H116" s="43" t="str">
        <f>_xlfn.XLOOKUP($A116,Map!$A:$A,Map!D:D)</f>
        <v>Stockholder's equity</v>
      </c>
      <c r="I116" s="43" t="str">
        <f>_xlfn.XLOOKUP($A116,Map!$A:$A,Map!E:E)</f>
        <v>Retained earnings</v>
      </c>
      <c r="J116" s="43" t="str">
        <f>_xlfn.XLOOKUP($A116,Map!$A:$A,Map!F:F)</f>
        <v>Retained earnings</v>
      </c>
    </row>
    <row r="117" spans="1:10" x14ac:dyDescent="0.25">
      <c r="A117">
        <v>330001</v>
      </c>
      <c r="B117" t="s">
        <v>935</v>
      </c>
      <c r="C117" s="116">
        <v>0</v>
      </c>
      <c r="D117" s="116">
        <v>0</v>
      </c>
      <c r="E117" s="116">
        <v>0</v>
      </c>
      <c r="F117" s="116">
        <v>0</v>
      </c>
      <c r="G117" s="43" t="str">
        <f>_xlfn.XLOOKUP($A117,Map!$A:$A,Map!C:C)</f>
        <v>BS</v>
      </c>
      <c r="H117" s="43" t="str">
        <f>_xlfn.XLOOKUP($A117,Map!$A:$A,Map!D:D)</f>
        <v>Stockholder's equity</v>
      </c>
      <c r="I117" s="43" t="str">
        <f>_xlfn.XLOOKUP($A117,Map!$A:$A,Map!E:E)</f>
        <v>Retained earnings</v>
      </c>
      <c r="J117" s="43" t="str">
        <f>_xlfn.XLOOKUP($A117,Map!$A:$A,Map!F:F)</f>
        <v>Retained earnings</v>
      </c>
    </row>
    <row r="118" spans="1:10" x14ac:dyDescent="0.25">
      <c r="A118">
        <v>330002</v>
      </c>
      <c r="B118" t="s">
        <v>936</v>
      </c>
      <c r="C118" s="116">
        <v>-35335000</v>
      </c>
      <c r="D118" s="116">
        <v>0</v>
      </c>
      <c r="E118" s="116">
        <v>0</v>
      </c>
      <c r="F118" s="116">
        <v>-35335000</v>
      </c>
      <c r="G118" s="43" t="str">
        <f>_xlfn.XLOOKUP($A118,Map!$A:$A,Map!C:C)</f>
        <v>BS</v>
      </c>
      <c r="H118" s="43" t="str">
        <f>_xlfn.XLOOKUP($A118,Map!$A:$A,Map!D:D)</f>
        <v>Stockholder's equity</v>
      </c>
      <c r="I118" s="43" t="str">
        <f>_xlfn.XLOOKUP($A118,Map!$A:$A,Map!E:E)</f>
        <v>Share capital</v>
      </c>
      <c r="J118" s="43" t="str">
        <f>_xlfn.XLOOKUP($A118,Map!$A:$A,Map!F:F)</f>
        <v>Share capital</v>
      </c>
    </row>
    <row r="119" spans="1:10" x14ac:dyDescent="0.25">
      <c r="A119">
        <v>330003</v>
      </c>
      <c r="B119" t="s">
        <v>937</v>
      </c>
      <c r="C119" s="116">
        <v>-102255315.01000001</v>
      </c>
      <c r="D119" s="116">
        <v>0</v>
      </c>
      <c r="E119" s="116">
        <v>0</v>
      </c>
      <c r="F119" s="116">
        <v>-102255315.01000001</v>
      </c>
      <c r="G119" s="43" t="str">
        <f>_xlfn.XLOOKUP($A119,Map!$A:$A,Map!C:C)</f>
        <v>BS</v>
      </c>
      <c r="H119" s="43" t="str">
        <f>_xlfn.XLOOKUP($A119,Map!$A:$A,Map!D:D)</f>
        <v>Stockholder's equity</v>
      </c>
      <c r="I119" s="43" t="str">
        <f>_xlfn.XLOOKUP($A119,Map!$A:$A,Map!E:E)</f>
        <v>Additional contribution from shareholders</v>
      </c>
      <c r="J119" s="43" t="str">
        <f>_xlfn.XLOOKUP($A119,Map!$A:$A,Map!F:F)</f>
        <v>Additional contribution from shareholders</v>
      </c>
    </row>
    <row r="120" spans="1:10" x14ac:dyDescent="0.25">
      <c r="A120">
        <v>410001</v>
      </c>
      <c r="B120" t="s">
        <v>938</v>
      </c>
      <c r="C120" s="116">
        <v>0</v>
      </c>
      <c r="D120" s="116">
        <v>1895843.9339999999</v>
      </c>
      <c r="E120" s="116">
        <v>136627554.634</v>
      </c>
      <c r="F120" s="116">
        <v>-134731710.69999999</v>
      </c>
      <c r="G120" s="43" t="str">
        <f>_xlfn.XLOOKUP($A120,Map!$A:$A,Map!C:C)</f>
        <v>IS</v>
      </c>
      <c r="H120" s="43" t="str">
        <f>_xlfn.XLOOKUP($A120,Map!$A:$A,Map!D:D)</f>
        <v>Sales</v>
      </c>
      <c r="I120" s="43" t="str">
        <f>_xlfn.XLOOKUP($A120,Map!$A:$A,Map!E:E)</f>
        <v>Sales</v>
      </c>
      <c r="J120" s="43" t="str">
        <f>_xlfn.XLOOKUP($A120,Map!$A:$A,Map!F:F)</f>
        <v>Trading revenue</v>
      </c>
    </row>
    <row r="121" spans="1:10" x14ac:dyDescent="0.25">
      <c r="A121">
        <v>410002</v>
      </c>
      <c r="B121" t="s">
        <v>939</v>
      </c>
      <c r="C121" s="116">
        <v>0</v>
      </c>
      <c r="D121" s="116">
        <v>1022606.873</v>
      </c>
      <c r="E121" s="116">
        <v>38730.713000000003</v>
      </c>
      <c r="F121" s="116">
        <v>983876.16</v>
      </c>
      <c r="G121" s="43" t="str">
        <f>_xlfn.XLOOKUP($A121,Map!$A:$A,Map!C:C)</f>
        <v>IS</v>
      </c>
      <c r="H121" s="43" t="str">
        <f>_xlfn.XLOOKUP($A121,Map!$A:$A,Map!D:D)</f>
        <v>Sales</v>
      </c>
      <c r="I121" s="43" t="str">
        <f>_xlfn.XLOOKUP($A121,Map!$A:$A,Map!E:E)</f>
        <v>Sales</v>
      </c>
      <c r="J121" s="43" t="str">
        <f>_xlfn.XLOOKUP($A121,Map!$A:$A,Map!F:F)</f>
        <v>Trading revenue</v>
      </c>
    </row>
    <row r="122" spans="1:10" x14ac:dyDescent="0.25">
      <c r="A122">
        <v>410003</v>
      </c>
      <c r="B122" t="s">
        <v>940</v>
      </c>
      <c r="C122" s="116">
        <v>0</v>
      </c>
      <c r="D122" s="116">
        <v>110476.394</v>
      </c>
      <c r="E122" s="116">
        <v>0</v>
      </c>
      <c r="F122" s="116">
        <v>110476.394</v>
      </c>
      <c r="G122" s="43" t="str">
        <f>_xlfn.XLOOKUP($A122,Map!$A:$A,Map!C:C)</f>
        <v>IS</v>
      </c>
      <c r="H122" s="43" t="str">
        <f>_xlfn.XLOOKUP($A122,Map!$A:$A,Map!D:D)</f>
        <v>Sales</v>
      </c>
      <c r="I122" s="43" t="str">
        <f>_xlfn.XLOOKUP($A122,Map!$A:$A,Map!E:E)</f>
        <v>Sales</v>
      </c>
      <c r="J122" s="43" t="str">
        <f>_xlfn.XLOOKUP($A122,Map!$A:$A,Map!F:F)</f>
        <v>Trading revenue</v>
      </c>
    </row>
    <row r="123" spans="1:10" x14ac:dyDescent="0.25">
      <c r="A123">
        <v>410004</v>
      </c>
      <c r="B123" t="s">
        <v>941</v>
      </c>
      <c r="C123" s="116">
        <v>0</v>
      </c>
      <c r="D123" s="116">
        <v>8684.4560000000001</v>
      </c>
      <c r="E123" s="116">
        <v>2020244.925</v>
      </c>
      <c r="F123" s="116">
        <v>-2011560.469</v>
      </c>
      <c r="G123" s="43" t="str">
        <f>_xlfn.XLOOKUP($A123,Map!$A:$A,Map!C:C)</f>
        <v>IS</v>
      </c>
      <c r="H123" s="43" t="str">
        <f>_xlfn.XLOOKUP($A123,Map!$A:$A,Map!D:D)</f>
        <v>Sales</v>
      </c>
      <c r="I123" s="43" t="str">
        <f>_xlfn.XLOOKUP($A123,Map!$A:$A,Map!E:E)</f>
        <v>Sales</v>
      </c>
      <c r="J123" s="43" t="str">
        <f>_xlfn.XLOOKUP($A123,Map!$A:$A,Map!F:F)</f>
        <v>Scrap sales</v>
      </c>
    </row>
    <row r="124" spans="1:10" x14ac:dyDescent="0.25">
      <c r="A124">
        <v>420001</v>
      </c>
      <c r="B124" t="s">
        <v>942</v>
      </c>
      <c r="C124" s="116">
        <v>0</v>
      </c>
      <c r="D124" s="116">
        <v>0</v>
      </c>
      <c r="E124" s="116">
        <v>0</v>
      </c>
      <c r="F124" s="116">
        <v>0</v>
      </c>
      <c r="G124" s="43" t="str">
        <f>_xlfn.XLOOKUP($A124,Map!$A:$A,Map!C:C)</f>
        <v>IS</v>
      </c>
      <c r="H124" s="43" t="str">
        <f>_xlfn.XLOOKUP($A124,Map!$A:$A,Map!D:D)</f>
        <v>Sales</v>
      </c>
      <c r="I124" s="43" t="str">
        <f>_xlfn.XLOOKUP($A124,Map!$A:$A,Map!E:E)</f>
        <v>Sales</v>
      </c>
      <c r="J124" s="43" t="str">
        <f>_xlfn.XLOOKUP($A124,Map!$A:$A,Map!F:F)</f>
        <v>Other income</v>
      </c>
    </row>
    <row r="125" spans="1:10" x14ac:dyDescent="0.25">
      <c r="A125">
        <v>420002</v>
      </c>
      <c r="B125" t="s">
        <v>943</v>
      </c>
      <c r="C125" s="116">
        <v>0</v>
      </c>
      <c r="D125" s="116">
        <v>0</v>
      </c>
      <c r="E125" s="116">
        <v>30434.782999999999</v>
      </c>
      <c r="F125" s="116">
        <v>-30434.782999999999</v>
      </c>
      <c r="G125" s="43" t="str">
        <f>_xlfn.XLOOKUP($A125,Map!$A:$A,Map!C:C)</f>
        <v>IS</v>
      </c>
      <c r="H125" s="43" t="str">
        <f>_xlfn.XLOOKUP($A125,Map!$A:$A,Map!D:D)</f>
        <v>Other Income</v>
      </c>
      <c r="I125" s="43" t="str">
        <f>_xlfn.XLOOKUP($A125,Map!$A:$A,Map!E:E)</f>
        <v>Other Income</v>
      </c>
      <c r="J125" s="43" t="str">
        <f>_xlfn.XLOOKUP($A125,Map!$A:$A,Map!F:F)</f>
        <v>Gain/Loss on Sale of FA — other income</v>
      </c>
    </row>
    <row r="126" spans="1:10" x14ac:dyDescent="0.25">
      <c r="A126">
        <v>420003</v>
      </c>
      <c r="B126" t="s">
        <v>944</v>
      </c>
      <c r="C126" s="116">
        <v>0</v>
      </c>
      <c r="D126" s="116">
        <v>4.0000000000000001E-3</v>
      </c>
      <c r="E126" s="116">
        <v>8.0000000000000002E-3</v>
      </c>
      <c r="F126" s="116">
        <v>-4.0000000000000001E-3</v>
      </c>
      <c r="G126" s="43" t="str">
        <f>_xlfn.XLOOKUP($A126,Map!$A:$A,Map!C:C)</f>
        <v>IS</v>
      </c>
      <c r="H126" s="43" t="str">
        <f>_xlfn.XLOOKUP($A126,Map!$A:$A,Map!D:D)</f>
        <v>Sales</v>
      </c>
      <c r="I126" s="43" t="str">
        <f>_xlfn.XLOOKUP($A126,Map!$A:$A,Map!E:E)</f>
        <v>Sales</v>
      </c>
      <c r="J126" s="43" t="str">
        <f>_xlfn.XLOOKUP($A126,Map!$A:$A,Map!F:F)</f>
        <v>Scrap sales</v>
      </c>
    </row>
    <row r="127" spans="1:10" x14ac:dyDescent="0.25">
      <c r="A127">
        <v>510001</v>
      </c>
      <c r="B127" t="s">
        <v>945</v>
      </c>
      <c r="C127" s="116">
        <v>0</v>
      </c>
      <c r="D127" s="116">
        <v>118908897.002</v>
      </c>
      <c r="E127" s="116">
        <v>5398634.0980000002</v>
      </c>
      <c r="F127" s="116">
        <v>113510262.904</v>
      </c>
      <c r="G127" s="43" t="str">
        <f>_xlfn.XLOOKUP($A127,Map!$A:$A,Map!C:C)</f>
        <v>IS</v>
      </c>
      <c r="H127" s="43" t="str">
        <f>_xlfn.XLOOKUP($A127,Map!$A:$A,Map!D:D)</f>
        <v>Cost of sales</v>
      </c>
      <c r="I127" s="43" t="str">
        <f>_xlfn.XLOOKUP($A127,Map!$A:$A,Map!E:E)</f>
        <v>Raw materials</v>
      </c>
      <c r="J127" s="43" t="str">
        <f>_xlfn.XLOOKUP($A127,Map!$A:$A,Map!F:F)</f>
        <v>Raw materials</v>
      </c>
    </row>
    <row r="128" spans="1:10" x14ac:dyDescent="0.25">
      <c r="A128">
        <v>510002</v>
      </c>
      <c r="B128" t="s">
        <v>946</v>
      </c>
      <c r="C128" s="116">
        <v>0</v>
      </c>
      <c r="D128" s="116">
        <v>347.95</v>
      </c>
      <c r="E128" s="116">
        <v>0</v>
      </c>
      <c r="F128" s="116">
        <v>347.95</v>
      </c>
      <c r="G128" s="43" t="str">
        <f>_xlfn.XLOOKUP($A128,Map!$A:$A,Map!C:C)</f>
        <v>IS</v>
      </c>
      <c r="H128" s="43" t="str">
        <f>_xlfn.XLOOKUP($A128,Map!$A:$A,Map!D:D)</f>
        <v>Cost of sales</v>
      </c>
      <c r="I128" s="43" t="str">
        <f>_xlfn.XLOOKUP($A128,Map!$A:$A,Map!E:E)</f>
        <v>Direct Labor</v>
      </c>
      <c r="J128" s="43" t="str">
        <f>_xlfn.XLOOKUP($A128,Map!$A:$A,Map!F:F)</f>
        <v>Direct Labor</v>
      </c>
    </row>
    <row r="129" spans="1:10" x14ac:dyDescent="0.25">
      <c r="A129">
        <v>510003</v>
      </c>
      <c r="B129" t="s">
        <v>947</v>
      </c>
      <c r="C129" s="116">
        <v>0</v>
      </c>
      <c r="D129" s="116">
        <v>4044260.557</v>
      </c>
      <c r="E129" s="116">
        <v>248425.55</v>
      </c>
      <c r="F129" s="116">
        <v>3795835.0070000002</v>
      </c>
      <c r="G129" s="43" t="str">
        <f>_xlfn.XLOOKUP($A129,Map!$A:$A,Map!C:C)</f>
        <v>IS</v>
      </c>
      <c r="H129" s="43" t="str">
        <f>_xlfn.XLOOKUP($A129,Map!$A:$A,Map!D:D)</f>
        <v>Cost of sales</v>
      </c>
      <c r="I129" s="43" t="str">
        <f>_xlfn.XLOOKUP($A129,Map!$A:$A,Map!E:E)</f>
        <v>Raw materials</v>
      </c>
      <c r="J129" s="43" t="str">
        <f>_xlfn.XLOOKUP($A129,Map!$A:$A,Map!F:F)</f>
        <v>Raw materials</v>
      </c>
    </row>
    <row r="130" spans="1:10" x14ac:dyDescent="0.25">
      <c r="A130">
        <v>510004</v>
      </c>
      <c r="B130" t="s">
        <v>948</v>
      </c>
      <c r="C130" s="116">
        <v>0</v>
      </c>
      <c r="D130" s="116">
        <v>6655666.9929999998</v>
      </c>
      <c r="E130" s="116">
        <v>6655666.9950000001</v>
      </c>
      <c r="F130" s="116">
        <v>-2E-3</v>
      </c>
      <c r="G130" s="43" t="str">
        <f>_xlfn.XLOOKUP($A130,Map!$A:$A,Map!C:C)</f>
        <v>IS</v>
      </c>
      <c r="H130" s="43" t="str">
        <f>_xlfn.XLOOKUP($A130,Map!$A:$A,Map!D:D)</f>
        <v>Cost of sales</v>
      </c>
      <c r="I130" s="43" t="str">
        <f>_xlfn.XLOOKUP($A130,Map!$A:$A,Map!E:E)</f>
        <v>Raw materials</v>
      </c>
      <c r="J130" s="43" t="str">
        <f>_xlfn.XLOOKUP($A130,Map!$A:$A,Map!F:F)</f>
        <v>Other expenses</v>
      </c>
    </row>
    <row r="131" spans="1:10" x14ac:dyDescent="0.25">
      <c r="A131">
        <v>510005</v>
      </c>
      <c r="B131" t="s">
        <v>949</v>
      </c>
      <c r="C131" s="116">
        <v>0</v>
      </c>
      <c r="D131" s="116">
        <v>0</v>
      </c>
      <c r="E131" s="116">
        <v>0</v>
      </c>
      <c r="F131" s="116">
        <v>0</v>
      </c>
      <c r="G131" s="43" t="str">
        <f>_xlfn.XLOOKUP($A131,Map!$A:$A,Map!C:C)</f>
        <v>IS</v>
      </c>
      <c r="H131" s="43" t="str">
        <f>_xlfn.XLOOKUP($A131,Map!$A:$A,Map!D:D)</f>
        <v>Cost of sales</v>
      </c>
      <c r="I131" s="43" t="str">
        <f>_xlfn.XLOOKUP($A131,Map!$A:$A,Map!E:E)</f>
        <v>Raw materials</v>
      </c>
      <c r="J131" s="43" t="str">
        <f>_xlfn.XLOOKUP($A131,Map!$A:$A,Map!F:F)</f>
        <v>Other expenses</v>
      </c>
    </row>
    <row r="132" spans="1:10" x14ac:dyDescent="0.25">
      <c r="A132">
        <v>520001</v>
      </c>
      <c r="B132" t="s">
        <v>950</v>
      </c>
      <c r="C132" s="116">
        <v>0</v>
      </c>
      <c r="D132" s="116">
        <v>4870407.82</v>
      </c>
      <c r="E132" s="116">
        <v>0</v>
      </c>
      <c r="F132" s="116">
        <v>4870407.82</v>
      </c>
      <c r="G132" s="43" t="str">
        <f>_xlfn.XLOOKUP($A132,Map!$A:$A,Map!C:C)</f>
        <v>IS</v>
      </c>
      <c r="H132" s="43" t="str">
        <f>_xlfn.XLOOKUP($A132,Map!$A:$A,Map!D:D)</f>
        <v>Cost of sales</v>
      </c>
      <c r="I132" s="43" t="str">
        <f>_xlfn.XLOOKUP($A132,Map!$A:$A,Map!E:E)</f>
        <v>Direct Labor</v>
      </c>
      <c r="J132" s="43" t="str">
        <f>_xlfn.XLOOKUP($A132,Map!$A:$A,Map!F:F)</f>
        <v>Salaries and wages</v>
      </c>
    </row>
    <row r="133" spans="1:10" x14ac:dyDescent="0.25">
      <c r="A133">
        <v>520002</v>
      </c>
      <c r="B133" t="s">
        <v>951</v>
      </c>
      <c r="C133" s="116">
        <v>0</v>
      </c>
      <c r="D133" s="116">
        <v>0</v>
      </c>
      <c r="E133" s="116">
        <v>0</v>
      </c>
      <c r="F133" s="116">
        <v>0</v>
      </c>
      <c r="G133" s="43" t="str">
        <f>_xlfn.XLOOKUP($A133,Map!$A:$A,Map!C:C)</f>
        <v>IS</v>
      </c>
      <c r="H133" s="43" t="str">
        <f>_xlfn.XLOOKUP($A133,Map!$A:$A,Map!D:D)</f>
        <v>Cost of sales</v>
      </c>
      <c r="I133" s="43" t="str">
        <f>_xlfn.XLOOKUP($A133,Map!$A:$A,Map!E:E)</f>
        <v>Direct Labor</v>
      </c>
      <c r="J133" s="43" t="str">
        <f>_xlfn.XLOOKUP($A133,Map!$A:$A,Map!F:F)</f>
        <v>Overtime pay</v>
      </c>
    </row>
    <row r="134" spans="1:10" x14ac:dyDescent="0.25">
      <c r="A134">
        <v>520003</v>
      </c>
      <c r="B134" t="s">
        <v>952</v>
      </c>
      <c r="C134" s="116">
        <v>0</v>
      </c>
      <c r="D134" s="116">
        <v>199348.16899999999</v>
      </c>
      <c r="E134" s="116">
        <v>89067.168999999994</v>
      </c>
      <c r="F134" s="116">
        <v>110281</v>
      </c>
      <c r="G134" s="43" t="str">
        <f>_xlfn.XLOOKUP($A134,Map!$A:$A,Map!C:C)</f>
        <v>IS</v>
      </c>
      <c r="H134" s="43" t="str">
        <f>_xlfn.XLOOKUP($A134,Map!$A:$A,Map!D:D)</f>
        <v>Cost of sales</v>
      </c>
      <c r="I134" s="43" t="str">
        <f>_xlfn.XLOOKUP($A134,Map!$A:$A,Map!E:E)</f>
        <v>Direct Labor</v>
      </c>
      <c r="J134" s="43" t="str">
        <f>_xlfn.XLOOKUP($A134,Map!$A:$A,Map!F:F)</f>
        <v>Transportation allowance</v>
      </c>
    </row>
    <row r="135" spans="1:10" x14ac:dyDescent="0.25">
      <c r="A135">
        <v>520004</v>
      </c>
      <c r="B135" t="s">
        <v>957</v>
      </c>
      <c r="C135" s="116">
        <v>0</v>
      </c>
      <c r="D135" s="116">
        <v>0</v>
      </c>
      <c r="E135" s="116">
        <v>0</v>
      </c>
      <c r="F135" s="116">
        <v>0</v>
      </c>
      <c r="G135" s="43" t="str">
        <f>_xlfn.XLOOKUP($A135,Map!$A:$A,Map!C:C)</f>
        <v>IS</v>
      </c>
      <c r="H135" s="43" t="str">
        <f>_xlfn.XLOOKUP($A135,Map!$A:$A,Map!D:D)</f>
        <v>Cost of sales</v>
      </c>
      <c r="I135" s="43" t="str">
        <f>_xlfn.XLOOKUP($A135,Map!$A:$A,Map!E:E)</f>
        <v>Direct Labor</v>
      </c>
      <c r="J135" s="43" t="str">
        <f>_xlfn.XLOOKUP($A135,Map!$A:$A,Map!F:F)</f>
        <v>Food and housing</v>
      </c>
    </row>
    <row r="136" spans="1:10" x14ac:dyDescent="0.25">
      <c r="A136">
        <v>520005</v>
      </c>
      <c r="B136" t="s">
        <v>954</v>
      </c>
      <c r="C136" s="116">
        <v>0</v>
      </c>
      <c r="D136" s="116">
        <v>0</v>
      </c>
      <c r="E136" s="116">
        <v>0</v>
      </c>
      <c r="F136" s="116">
        <v>0</v>
      </c>
      <c r="G136" s="43" t="str">
        <f>_xlfn.XLOOKUP($A136,Map!$A:$A,Map!C:C)</f>
        <v>IS</v>
      </c>
      <c r="H136" s="43" t="str">
        <f>_xlfn.XLOOKUP($A136,Map!$A:$A,Map!D:D)</f>
        <v>Cost of sales</v>
      </c>
      <c r="I136" s="43" t="str">
        <f>_xlfn.XLOOKUP($A136,Map!$A:$A,Map!E:E)</f>
        <v>Direct Labor</v>
      </c>
      <c r="J136" s="43" t="str">
        <f>_xlfn.XLOOKUP($A136,Map!$A:$A,Map!F:F)</f>
        <v>Leave pay</v>
      </c>
    </row>
    <row r="137" spans="1:10" x14ac:dyDescent="0.25">
      <c r="A137">
        <v>520006</v>
      </c>
      <c r="B137" t="s">
        <v>955</v>
      </c>
      <c r="C137" s="116">
        <v>0</v>
      </c>
      <c r="D137" s="116">
        <v>174982.03400000001</v>
      </c>
      <c r="E137" s="116">
        <v>0</v>
      </c>
      <c r="F137" s="116">
        <v>174982.03400000001</v>
      </c>
      <c r="G137" s="43" t="str">
        <f>_xlfn.XLOOKUP($A137,Map!$A:$A,Map!C:C)</f>
        <v>IS</v>
      </c>
      <c r="H137" s="43" t="str">
        <f>_xlfn.XLOOKUP($A137,Map!$A:$A,Map!D:D)</f>
        <v>Cost of sales</v>
      </c>
      <c r="I137" s="43" t="str">
        <f>_xlfn.XLOOKUP($A137,Map!$A:$A,Map!E:E)</f>
        <v>Direct Labor</v>
      </c>
      <c r="J137" s="43" t="str">
        <f>_xlfn.XLOOKUP($A137,Map!$A:$A,Map!F:F)</f>
        <v>Medical insurance</v>
      </c>
    </row>
    <row r="138" spans="1:10" x14ac:dyDescent="0.25">
      <c r="A138">
        <v>520010</v>
      </c>
      <c r="B138" t="s">
        <v>956</v>
      </c>
      <c r="C138" s="116">
        <v>0</v>
      </c>
      <c r="D138" s="116">
        <v>0</v>
      </c>
      <c r="E138" s="116">
        <v>0</v>
      </c>
      <c r="F138" s="116">
        <v>0</v>
      </c>
      <c r="G138" s="43" t="str">
        <f>_xlfn.XLOOKUP($A138,Map!$A:$A,Map!C:C)</f>
        <v>IS</v>
      </c>
      <c r="H138" s="43" t="str">
        <f>_xlfn.XLOOKUP($A138,Map!$A:$A,Map!D:D)</f>
        <v>Cost of sales</v>
      </c>
      <c r="I138" s="43" t="str">
        <f>_xlfn.XLOOKUP($A138,Map!$A:$A,Map!E:E)</f>
        <v>Direct Labor</v>
      </c>
      <c r="J138" s="43" t="str">
        <f>_xlfn.XLOOKUP($A138,Map!$A:$A,Map!F:F)</f>
        <v>Salaries and wages</v>
      </c>
    </row>
    <row r="139" spans="1:10" x14ac:dyDescent="0.25">
      <c r="A139">
        <v>520011</v>
      </c>
      <c r="B139" t="s">
        <v>951</v>
      </c>
      <c r="C139" s="116">
        <v>0</v>
      </c>
      <c r="D139" s="116">
        <v>0</v>
      </c>
      <c r="E139" s="116">
        <v>0</v>
      </c>
      <c r="F139" s="116">
        <v>0</v>
      </c>
      <c r="G139" s="43" t="str">
        <f>_xlfn.XLOOKUP($A139,Map!$A:$A,Map!C:C)</f>
        <v>IS</v>
      </c>
      <c r="H139" s="43" t="str">
        <f>_xlfn.XLOOKUP($A139,Map!$A:$A,Map!D:D)</f>
        <v>Cost of sales</v>
      </c>
      <c r="I139" s="43" t="str">
        <f>_xlfn.XLOOKUP($A139,Map!$A:$A,Map!E:E)</f>
        <v>Direct Labor</v>
      </c>
      <c r="J139" s="43" t="str">
        <f>_xlfn.XLOOKUP($A139,Map!$A:$A,Map!F:F)</f>
        <v>Overtime pay</v>
      </c>
    </row>
    <row r="140" spans="1:10" x14ac:dyDescent="0.25">
      <c r="A140">
        <v>520013</v>
      </c>
      <c r="B140" t="s">
        <v>957</v>
      </c>
      <c r="C140" s="116">
        <v>0</v>
      </c>
      <c r="D140" s="116">
        <v>0</v>
      </c>
      <c r="E140" s="116">
        <v>0</v>
      </c>
      <c r="F140" s="116">
        <v>0</v>
      </c>
      <c r="G140" s="43" t="str">
        <f>_xlfn.XLOOKUP($A140,Map!$A:$A,Map!C:C)</f>
        <v>IS</v>
      </c>
      <c r="H140" s="43" t="str">
        <f>_xlfn.XLOOKUP($A140,Map!$A:$A,Map!D:D)</f>
        <v>Cost of sales</v>
      </c>
      <c r="I140" s="43" t="str">
        <f>_xlfn.XLOOKUP($A140,Map!$A:$A,Map!E:E)</f>
        <v>Direct Labor</v>
      </c>
      <c r="J140" s="43" t="str">
        <f>_xlfn.XLOOKUP($A140,Map!$A:$A,Map!F:F)</f>
        <v>Food and housing</v>
      </c>
    </row>
    <row r="141" spans="1:10" x14ac:dyDescent="0.25">
      <c r="A141">
        <v>520014</v>
      </c>
      <c r="B141" t="s">
        <v>954</v>
      </c>
      <c r="C141" s="116">
        <v>0</v>
      </c>
      <c r="D141" s="116">
        <v>0</v>
      </c>
      <c r="E141" s="116">
        <v>0</v>
      </c>
      <c r="F141" s="116">
        <v>0</v>
      </c>
      <c r="G141" s="43" t="str">
        <f>_xlfn.XLOOKUP($A141,Map!$A:$A,Map!C:C)</f>
        <v>IS</v>
      </c>
      <c r="H141" s="43" t="str">
        <f>_xlfn.XLOOKUP($A141,Map!$A:$A,Map!D:D)</f>
        <v>Cost of sales</v>
      </c>
      <c r="I141" s="43" t="str">
        <f>_xlfn.XLOOKUP($A141,Map!$A:$A,Map!E:E)</f>
        <v>Direct Labor</v>
      </c>
      <c r="J141" s="43" t="str">
        <f>_xlfn.XLOOKUP($A141,Map!$A:$A,Map!F:F)</f>
        <v>Leave pay</v>
      </c>
    </row>
    <row r="142" spans="1:10" x14ac:dyDescent="0.25">
      <c r="A142">
        <v>520015</v>
      </c>
      <c r="B142" t="s">
        <v>958</v>
      </c>
      <c r="C142" s="116">
        <v>0</v>
      </c>
      <c r="D142" s="116">
        <v>186576</v>
      </c>
      <c r="E142" s="116">
        <v>0</v>
      </c>
      <c r="F142" s="116">
        <v>186576</v>
      </c>
      <c r="G142" s="43" t="str">
        <f>_xlfn.XLOOKUP($A142,Map!$A:$A,Map!C:C)</f>
        <v>IS</v>
      </c>
      <c r="H142" s="43" t="str">
        <f>_xlfn.XLOOKUP($A142,Map!$A:$A,Map!D:D)</f>
        <v>Cost of sales</v>
      </c>
      <c r="I142" s="43" t="str">
        <f>_xlfn.XLOOKUP($A142,Map!$A:$A,Map!E:E)</f>
        <v>Direct Labor</v>
      </c>
      <c r="J142" s="43" t="str">
        <f>_xlfn.XLOOKUP($A142,Map!$A:$A,Map!F:F)</f>
        <v>Food and housing</v>
      </c>
    </row>
    <row r="143" spans="1:10" x14ac:dyDescent="0.25">
      <c r="A143">
        <v>520021</v>
      </c>
      <c r="B143" t="s">
        <v>962</v>
      </c>
      <c r="C143" s="116">
        <v>0</v>
      </c>
      <c r="D143" s="116">
        <v>0</v>
      </c>
      <c r="E143" s="116">
        <v>0</v>
      </c>
      <c r="F143" s="116">
        <v>0</v>
      </c>
      <c r="G143" s="43" t="str">
        <f>_xlfn.XLOOKUP($A143,Map!$A:$A,Map!C:C)</f>
        <v>IS</v>
      </c>
      <c r="H143" s="43" t="str">
        <f>_xlfn.XLOOKUP($A143,Map!$A:$A,Map!D:D)</f>
        <v>Cost of sales</v>
      </c>
      <c r="I143" s="43" t="str">
        <f>_xlfn.XLOOKUP($A143,Map!$A:$A,Map!E:E)</f>
        <v>Direct Labor</v>
      </c>
      <c r="J143" s="43" t="str">
        <f>_xlfn.XLOOKUP($A143,Map!$A:$A,Map!F:F)</f>
        <v>Medical insurance</v>
      </c>
    </row>
    <row r="144" spans="1:10" x14ac:dyDescent="0.25">
      <c r="A144">
        <v>520022</v>
      </c>
      <c r="B144" t="s">
        <v>963</v>
      </c>
      <c r="C144" s="116">
        <v>0</v>
      </c>
      <c r="D144" s="116">
        <v>0</v>
      </c>
      <c r="E144" s="116">
        <v>0</v>
      </c>
      <c r="F144" s="116">
        <v>0</v>
      </c>
      <c r="G144" s="43" t="str">
        <f>_xlfn.XLOOKUP($A144,Map!$A:$A,Map!C:C)</f>
        <v>IS</v>
      </c>
      <c r="H144" s="43" t="str">
        <f>_xlfn.XLOOKUP($A144,Map!$A:$A,Map!D:D)</f>
        <v>Cost of sales</v>
      </c>
      <c r="I144" s="43" t="str">
        <f>_xlfn.XLOOKUP($A144,Map!$A:$A,Map!E:E)</f>
        <v>Direct Labor</v>
      </c>
      <c r="J144" s="43" t="str">
        <f>_xlfn.XLOOKUP($A144,Map!$A:$A,Map!F:F)</f>
        <v>Iqama renewal</v>
      </c>
    </row>
    <row r="145" spans="1:10" x14ac:dyDescent="0.25">
      <c r="A145">
        <v>520023</v>
      </c>
      <c r="B145" t="s">
        <v>964</v>
      </c>
      <c r="C145" s="116">
        <v>0</v>
      </c>
      <c r="D145" s="116">
        <v>0</v>
      </c>
      <c r="E145" s="116">
        <v>0</v>
      </c>
      <c r="F145" s="116">
        <v>0</v>
      </c>
      <c r="G145" s="43" t="str">
        <f>_xlfn.XLOOKUP($A145,Map!$A:$A,Map!C:C)</f>
        <v>IS</v>
      </c>
      <c r="H145" s="43" t="str">
        <f>_xlfn.XLOOKUP($A145,Map!$A:$A,Map!D:D)</f>
        <v>Cost of sales</v>
      </c>
      <c r="I145" s="43" t="str">
        <f>_xlfn.XLOOKUP($A145,Map!$A:$A,Map!E:E)</f>
        <v>Direct Labor</v>
      </c>
      <c r="J145" s="43" t="str">
        <f>_xlfn.XLOOKUP($A145,Map!$A:$A,Map!F:F)</f>
        <v>Medical insurance</v>
      </c>
    </row>
    <row r="146" spans="1:10" x14ac:dyDescent="0.25">
      <c r="A146">
        <v>520032</v>
      </c>
      <c r="B146" t="s">
        <v>965</v>
      </c>
      <c r="C146" s="116">
        <v>0</v>
      </c>
      <c r="D146" s="116">
        <v>0</v>
      </c>
      <c r="E146" s="116">
        <v>0</v>
      </c>
      <c r="F146" s="116">
        <v>0</v>
      </c>
      <c r="G146" s="43" t="str">
        <f>_xlfn.XLOOKUP($A146,Map!$A:$A,Map!C:C)</f>
        <v>IS</v>
      </c>
      <c r="H146" s="43" t="str">
        <f>_xlfn.XLOOKUP($A146,Map!$A:$A,Map!D:D)</f>
        <v>Cost of sales</v>
      </c>
      <c r="I146" s="43" t="str">
        <f>_xlfn.XLOOKUP($A146,Map!$A:$A,Map!E:E)</f>
        <v>Raw materials</v>
      </c>
      <c r="J146" s="43" t="str">
        <f>_xlfn.XLOOKUP($A146,Map!$A:$A,Map!F:F)</f>
        <v>Consumables</v>
      </c>
    </row>
    <row r="147" spans="1:10" x14ac:dyDescent="0.25">
      <c r="A147">
        <v>520036</v>
      </c>
      <c r="B147" t="s">
        <v>966</v>
      </c>
      <c r="C147" s="116">
        <v>0</v>
      </c>
      <c r="D147" s="116">
        <v>5.7000000000000002E-2</v>
      </c>
      <c r="E147" s="116">
        <v>9.4E-2</v>
      </c>
      <c r="F147" s="116">
        <v>-3.6999999999999998E-2</v>
      </c>
      <c r="G147" s="43" t="str">
        <f>_xlfn.XLOOKUP($A147,Map!$A:$A,Map!C:C)</f>
        <v>IS</v>
      </c>
      <c r="H147" s="43" t="str">
        <f>_xlfn.XLOOKUP($A147,Map!$A:$A,Map!D:D)</f>
        <v>Cost of sales</v>
      </c>
      <c r="I147" s="43" t="str">
        <f>_xlfn.XLOOKUP($A147,Map!$A:$A,Map!E:E)</f>
        <v>Raw materials</v>
      </c>
      <c r="J147" s="43" t="str">
        <f>_xlfn.XLOOKUP($A147,Map!$A:$A,Map!F:F)</f>
        <v>Raw materials</v>
      </c>
    </row>
    <row r="148" spans="1:10" x14ac:dyDescent="0.25">
      <c r="A148">
        <v>520037</v>
      </c>
      <c r="B148" t="s">
        <v>967</v>
      </c>
      <c r="C148" s="116">
        <v>0</v>
      </c>
      <c r="D148" s="116">
        <v>6373521.2599999998</v>
      </c>
      <c r="E148" s="116">
        <v>5882047.9670000002</v>
      </c>
      <c r="F148" s="116">
        <v>491473.29300000001</v>
      </c>
      <c r="G148" s="43" t="str">
        <f>_xlfn.XLOOKUP($A148,Map!$A:$A,Map!C:C)</f>
        <v>IS</v>
      </c>
      <c r="H148" s="43" t="str">
        <f>_xlfn.XLOOKUP($A148,Map!$A:$A,Map!D:D)</f>
        <v>Cost of sales</v>
      </c>
      <c r="I148" s="43" t="str">
        <f>_xlfn.XLOOKUP($A148,Map!$A:$A,Map!E:E)</f>
        <v>Raw materials</v>
      </c>
      <c r="J148" s="43" t="str">
        <f>_xlfn.XLOOKUP($A148,Map!$A:$A,Map!F:F)</f>
        <v>Raw materials</v>
      </c>
    </row>
    <row r="149" spans="1:10" x14ac:dyDescent="0.25">
      <c r="A149">
        <v>520040</v>
      </c>
      <c r="B149" t="s">
        <v>969</v>
      </c>
      <c r="C149" s="116">
        <v>0</v>
      </c>
      <c r="D149" s="116">
        <v>260.18599999999998</v>
      </c>
      <c r="E149" s="116">
        <v>78364.104000000007</v>
      </c>
      <c r="F149" s="116">
        <v>-78103.918000000005</v>
      </c>
      <c r="G149" s="43" t="str">
        <f>_xlfn.XLOOKUP($A149,Map!$A:$A,Map!C:C)</f>
        <v>IS</v>
      </c>
      <c r="H149" s="43" t="str">
        <f>_xlfn.XLOOKUP($A149,Map!$A:$A,Map!D:D)</f>
        <v>Cost of sales</v>
      </c>
      <c r="I149" s="43" t="str">
        <f>_xlfn.XLOOKUP($A149,Map!$A:$A,Map!E:E)</f>
        <v>Raw materials</v>
      </c>
      <c r="J149" s="43" t="str">
        <f>_xlfn.XLOOKUP($A149,Map!$A:$A,Map!F:F)</f>
        <v>Other expenses</v>
      </c>
    </row>
    <row r="150" spans="1:10" x14ac:dyDescent="0.25">
      <c r="A150">
        <v>520041</v>
      </c>
      <c r="B150" t="s">
        <v>970</v>
      </c>
      <c r="C150" s="116">
        <v>0</v>
      </c>
      <c r="D150" s="116">
        <v>6963714.2079999996</v>
      </c>
      <c r="E150" s="116">
        <v>16573055.698000001</v>
      </c>
      <c r="F150" s="116">
        <v>-9609341.4900000002</v>
      </c>
      <c r="G150" s="43" t="str">
        <f>_xlfn.XLOOKUP($A150,Map!$A:$A,Map!C:C)</f>
        <v>IS</v>
      </c>
      <c r="H150" s="43" t="str">
        <f>_xlfn.XLOOKUP($A150,Map!$A:$A,Map!D:D)</f>
        <v>Cost of sales</v>
      </c>
      <c r="I150" s="43" t="str">
        <f>_xlfn.XLOOKUP($A150,Map!$A:$A,Map!E:E)</f>
        <v>Raw materials</v>
      </c>
      <c r="J150" s="43" t="str">
        <f>_xlfn.XLOOKUP($A150,Map!$A:$A,Map!F:F)</f>
        <v>Other expenses</v>
      </c>
    </row>
    <row r="151" spans="1:10" x14ac:dyDescent="0.25">
      <c r="A151">
        <v>520042</v>
      </c>
      <c r="B151" t="s">
        <v>971</v>
      </c>
      <c r="C151" s="116">
        <v>0</v>
      </c>
      <c r="D151" s="116">
        <v>231887502.36000001</v>
      </c>
      <c r="E151" s="116">
        <v>233060311.42199999</v>
      </c>
      <c r="F151" s="116">
        <v>-1172809.0619999999</v>
      </c>
      <c r="G151" s="43" t="str">
        <f>_xlfn.XLOOKUP($A151,Map!$A:$A,Map!C:C)</f>
        <v>IS</v>
      </c>
      <c r="H151" s="43" t="str">
        <f>_xlfn.XLOOKUP($A151,Map!$A:$A,Map!D:D)</f>
        <v>Cost of sales</v>
      </c>
      <c r="I151" s="43" t="str">
        <f>_xlfn.XLOOKUP($A151,Map!$A:$A,Map!E:E)</f>
        <v>Raw materials</v>
      </c>
      <c r="J151" s="43" t="str">
        <f>_xlfn.XLOOKUP($A151,Map!$A:$A,Map!F:F)</f>
        <v>Inventory Adjustment</v>
      </c>
    </row>
    <row r="152" spans="1:10" x14ac:dyDescent="0.25">
      <c r="A152">
        <v>600001</v>
      </c>
      <c r="B152" t="s">
        <v>979</v>
      </c>
      <c r="C152" s="116">
        <v>0</v>
      </c>
      <c r="D152" s="116">
        <v>3228313.39</v>
      </c>
      <c r="E152" s="116">
        <v>1138482.83</v>
      </c>
      <c r="F152" s="116">
        <v>2089830.56</v>
      </c>
      <c r="G152" s="43" t="str">
        <f>_xlfn.XLOOKUP($A152,Map!$A:$A,Map!C:C)</f>
        <v>IS</v>
      </c>
      <c r="H152" s="43" t="str">
        <f>_xlfn.XLOOKUP($A152,Map!$A:$A,Map!D:D)</f>
        <v>Cost of sales</v>
      </c>
      <c r="I152" s="43" t="str">
        <f>_xlfn.XLOOKUP($A152,Map!$A:$A,Map!E:E)</f>
        <v>Overhead - Labor Cost</v>
      </c>
      <c r="J152" s="43" t="str">
        <f>_xlfn.XLOOKUP($A152,Map!$A:$A,Map!F:F)</f>
        <v>Indirect Salaries — factory supervisory / indirect floor labour (COGS)</v>
      </c>
    </row>
    <row r="153" spans="1:10" x14ac:dyDescent="0.25">
      <c r="A153">
        <v>600002</v>
      </c>
      <c r="B153" t="s">
        <v>980</v>
      </c>
      <c r="C153" s="116">
        <v>0</v>
      </c>
      <c r="D153" s="116">
        <v>1029</v>
      </c>
      <c r="E153" s="116">
        <v>0</v>
      </c>
      <c r="F153" s="116">
        <v>1029</v>
      </c>
      <c r="G153" s="43" t="str">
        <f>_xlfn.XLOOKUP($A153,Map!$A:$A,Map!C:C)</f>
        <v>IS</v>
      </c>
      <c r="H153" s="43" t="str">
        <f>_xlfn.XLOOKUP($A153,Map!$A:$A,Map!D:D)</f>
        <v>Cost of sales</v>
      </c>
      <c r="I153" s="43" t="str">
        <f>_xlfn.XLOOKUP($A153,Map!$A:$A,Map!E:E)</f>
        <v>Overhead - Labor Cost</v>
      </c>
      <c r="J153" s="43" t="str">
        <f>_xlfn.XLOOKUP($A153,Map!$A:$A,Map!F:F)</f>
        <v>Overtime pay</v>
      </c>
    </row>
    <row r="154" spans="1:10" x14ac:dyDescent="0.25">
      <c r="A154">
        <v>600003</v>
      </c>
      <c r="B154" t="s">
        <v>981</v>
      </c>
      <c r="C154" s="116">
        <v>0</v>
      </c>
      <c r="D154" s="116">
        <v>901369.53</v>
      </c>
      <c r="E154" s="116">
        <v>15520.001</v>
      </c>
      <c r="F154" s="116">
        <v>885849.52899999998</v>
      </c>
      <c r="G154" s="43" t="str">
        <f>_xlfn.XLOOKUP($A154,Map!$A:$A,Map!C:C)</f>
        <v>IS</v>
      </c>
      <c r="H154" s="43" t="str">
        <f>_xlfn.XLOOKUP($A154,Map!$A:$A,Map!D:D)</f>
        <v>Cost of sales</v>
      </c>
      <c r="I154" s="43" t="str">
        <f>_xlfn.XLOOKUP($A154,Map!$A:$A,Map!E:E)</f>
        <v>Overhead - Labor Cost</v>
      </c>
      <c r="J154" s="43" t="str">
        <f>_xlfn.XLOOKUP($A154,Map!$A:$A,Map!F:F)</f>
        <v xml:space="preserve">Food &amp; Housing </v>
      </c>
    </row>
    <row r="155" spans="1:10" x14ac:dyDescent="0.25">
      <c r="A155">
        <v>600004</v>
      </c>
      <c r="B155" t="s">
        <v>982</v>
      </c>
      <c r="C155" s="116">
        <v>0</v>
      </c>
      <c r="D155" s="116">
        <v>169179.22399999999</v>
      </c>
      <c r="E155" s="116">
        <v>16956</v>
      </c>
      <c r="F155" s="116">
        <v>152223.22399999999</v>
      </c>
      <c r="G155" s="43" t="str">
        <f>_xlfn.XLOOKUP($A155,Map!$A:$A,Map!C:C)</f>
        <v>IS</v>
      </c>
      <c r="H155" s="43" t="str">
        <f>_xlfn.XLOOKUP($A155,Map!$A:$A,Map!D:D)</f>
        <v>Cost of sales</v>
      </c>
      <c r="I155" s="43" t="str">
        <f>_xlfn.XLOOKUP($A155,Map!$A:$A,Map!E:E)</f>
        <v>Overhead - Labor Cost</v>
      </c>
      <c r="J155" s="43" t="str">
        <f>_xlfn.XLOOKUP($A155,Map!$A:$A,Map!F:F)</f>
        <v>Medical insurance</v>
      </c>
    </row>
    <row r="156" spans="1:10" x14ac:dyDescent="0.25">
      <c r="A156">
        <v>600005</v>
      </c>
      <c r="B156" t="s">
        <v>983</v>
      </c>
      <c r="C156" s="116">
        <v>0</v>
      </c>
      <c r="D156" s="116">
        <v>247286</v>
      </c>
      <c r="E156" s="116">
        <v>17875</v>
      </c>
      <c r="F156" s="116">
        <v>229411</v>
      </c>
      <c r="G156" s="43" t="str">
        <f>_xlfn.XLOOKUP($A156,Map!$A:$A,Map!C:C)</f>
        <v>IS</v>
      </c>
      <c r="H156" s="43" t="str">
        <f>_xlfn.XLOOKUP($A156,Map!$A:$A,Map!D:D)</f>
        <v>General and Admin</v>
      </c>
      <c r="I156" s="43" t="str">
        <f>_xlfn.XLOOKUP($A156,Map!$A:$A,Map!E:E)</f>
        <v>Govt license and fees (including modon)</v>
      </c>
      <c r="J156" s="43" t="str">
        <f>_xlfn.XLOOKUP($A156,Map!$A:$A,Map!F:F)</f>
        <v>Government fees</v>
      </c>
    </row>
    <row r="157" spans="1:10" x14ac:dyDescent="0.25">
      <c r="A157">
        <v>600006</v>
      </c>
      <c r="B157" t="s">
        <v>984</v>
      </c>
      <c r="C157" s="116">
        <v>0</v>
      </c>
      <c r="D157" s="116">
        <v>1248348.629</v>
      </c>
      <c r="E157" s="116">
        <v>99106.22</v>
      </c>
      <c r="F157" s="116">
        <v>1149242.409</v>
      </c>
      <c r="G157" s="43" t="str">
        <f>_xlfn.XLOOKUP($A157,Map!$A:$A,Map!C:C)</f>
        <v>IS</v>
      </c>
      <c r="H157" s="43" t="str">
        <f>_xlfn.XLOOKUP($A157,Map!$A:$A,Map!D:D)</f>
        <v>Cost of sales</v>
      </c>
      <c r="I157" s="43" t="str">
        <f>_xlfn.XLOOKUP($A157,Map!$A:$A,Map!E:E)</f>
        <v>Overhead - Labor Cost</v>
      </c>
      <c r="J157" s="43" t="str">
        <f>_xlfn.XLOOKUP($A157,Map!$A:$A,Map!F:F)</f>
        <v xml:space="preserve">Food &amp; Housing </v>
      </c>
    </row>
    <row r="158" spans="1:10" x14ac:dyDescent="0.25">
      <c r="A158">
        <v>600007</v>
      </c>
      <c r="B158" t="s">
        <v>985</v>
      </c>
      <c r="C158" s="116">
        <v>0</v>
      </c>
      <c r="D158" s="116">
        <v>110166</v>
      </c>
      <c r="E158" s="116">
        <v>0</v>
      </c>
      <c r="F158" s="116">
        <v>110166</v>
      </c>
      <c r="G158" s="43" t="str">
        <f>_xlfn.XLOOKUP($A158,Map!$A:$A,Map!C:C)</f>
        <v>IS</v>
      </c>
      <c r="H158" s="43" t="str">
        <f>_xlfn.XLOOKUP($A158,Map!$A:$A,Map!D:D)</f>
        <v>Cost of sales</v>
      </c>
      <c r="I158" s="43" t="str">
        <f>_xlfn.XLOOKUP($A158,Map!$A:$A,Map!E:E)</f>
        <v>Overhead - Labor Cost</v>
      </c>
      <c r="J158" s="43" t="str">
        <f>_xlfn.XLOOKUP($A158,Map!$A:$A,Map!F:F)</f>
        <v>Transportation allowance</v>
      </c>
    </row>
    <row r="159" spans="1:10" x14ac:dyDescent="0.25">
      <c r="A159">
        <v>600008</v>
      </c>
      <c r="B159" t="s">
        <v>986</v>
      </c>
      <c r="C159" s="116">
        <v>0</v>
      </c>
      <c r="D159" s="116">
        <v>354901.44400000002</v>
      </c>
      <c r="E159" s="116">
        <v>99037.231</v>
      </c>
      <c r="F159" s="116">
        <v>255864.21299999999</v>
      </c>
      <c r="G159" s="43" t="str">
        <f>_xlfn.XLOOKUP($A159,Map!$A:$A,Map!C:C)</f>
        <v>IS</v>
      </c>
      <c r="H159" s="43" t="str">
        <f>_xlfn.XLOOKUP($A159,Map!$A:$A,Map!D:D)</f>
        <v>Cost of sales</v>
      </c>
      <c r="I159" s="43" t="str">
        <f>_xlfn.XLOOKUP($A159,Map!$A:$A,Map!E:E)</f>
        <v>Overhead - Labor Cost</v>
      </c>
      <c r="J159" s="43" t="str">
        <f>_xlfn.XLOOKUP($A159,Map!$A:$A,Map!F:F)</f>
        <v>Air tickets</v>
      </c>
    </row>
    <row r="160" spans="1:10" x14ac:dyDescent="0.25">
      <c r="A160">
        <v>600009</v>
      </c>
      <c r="B160" t="s">
        <v>987</v>
      </c>
      <c r="C160" s="116">
        <v>0</v>
      </c>
      <c r="D160" s="116">
        <v>529215.68900000001</v>
      </c>
      <c r="E160" s="116">
        <v>194978.777</v>
      </c>
      <c r="F160" s="116">
        <v>334236.91200000001</v>
      </c>
      <c r="G160" s="43" t="str">
        <f>_xlfn.XLOOKUP($A160,Map!$A:$A,Map!C:C)</f>
        <v>IS</v>
      </c>
      <c r="H160" s="43" t="str">
        <f>_xlfn.XLOOKUP($A160,Map!$A:$A,Map!D:D)</f>
        <v>Cost of sales</v>
      </c>
      <c r="I160" s="43" t="str">
        <f>_xlfn.XLOOKUP($A160,Map!$A:$A,Map!E:E)</f>
        <v>Overhead - Labor Cost</v>
      </c>
      <c r="J160" s="43" t="str">
        <f>_xlfn.XLOOKUP($A160,Map!$A:$A,Map!F:F)</f>
        <v>Vacation pay</v>
      </c>
    </row>
    <row r="161" spans="1:10" x14ac:dyDescent="0.25">
      <c r="A161">
        <v>600010</v>
      </c>
      <c r="B161" t="s">
        <v>988</v>
      </c>
      <c r="C161" s="116">
        <v>0</v>
      </c>
      <c r="D161" s="116">
        <v>0</v>
      </c>
      <c r="E161" s="116">
        <v>0</v>
      </c>
      <c r="F161" s="116">
        <v>0</v>
      </c>
      <c r="G161" s="43" t="str">
        <f>_xlfn.XLOOKUP($A161,Map!$A:$A,Map!C:C)</f>
        <v>IS</v>
      </c>
      <c r="H161" s="43" t="str">
        <f>_xlfn.XLOOKUP($A161,Map!$A:$A,Map!D:D)</f>
        <v>Cost of sales</v>
      </c>
      <c r="I161" s="43" t="str">
        <f>_xlfn.XLOOKUP($A161,Map!$A:$A,Map!E:E)</f>
        <v>Overhead - Labor Cost</v>
      </c>
      <c r="J161" s="43" t="str">
        <f>_xlfn.XLOOKUP($A161,Map!$A:$A,Map!F:F)</f>
        <v>EOS expenses</v>
      </c>
    </row>
    <row r="162" spans="1:10" x14ac:dyDescent="0.25">
      <c r="A162">
        <v>600011</v>
      </c>
      <c r="B162" t="s">
        <v>989</v>
      </c>
      <c r="C162" s="116">
        <v>0</v>
      </c>
      <c r="D162" s="116">
        <v>20965</v>
      </c>
      <c r="E162" s="116">
        <v>8444.16</v>
      </c>
      <c r="F162" s="116">
        <v>12520.84</v>
      </c>
      <c r="G162" s="43" t="str">
        <f>_xlfn.XLOOKUP($A162,Map!$A:$A,Map!C:C)</f>
        <v>IS</v>
      </c>
      <c r="H162" s="43" t="str">
        <f>_xlfn.XLOOKUP($A162,Map!$A:$A,Map!D:D)</f>
        <v>Cost of sales</v>
      </c>
      <c r="I162" s="43" t="str">
        <f>_xlfn.XLOOKUP($A162,Map!$A:$A,Map!E:E)</f>
        <v>Overhead - Labor Cost</v>
      </c>
      <c r="J162" s="43" t="str">
        <f>_xlfn.XLOOKUP($A162,Map!$A:$A,Map!F:F)</f>
        <v>Air tickets</v>
      </c>
    </row>
    <row r="163" spans="1:10" x14ac:dyDescent="0.25">
      <c r="A163">
        <v>600012</v>
      </c>
      <c r="B163" t="s">
        <v>990</v>
      </c>
      <c r="C163" s="116">
        <v>0</v>
      </c>
      <c r="D163" s="116">
        <v>5176</v>
      </c>
      <c r="E163" s="116">
        <v>5176</v>
      </c>
      <c r="F163" s="116">
        <v>0</v>
      </c>
      <c r="G163" s="43" t="str">
        <f>_xlfn.XLOOKUP($A163,Map!$A:$A,Map!C:C)</f>
        <v>IS</v>
      </c>
      <c r="H163" s="43" t="str">
        <f>_xlfn.XLOOKUP($A163,Map!$A:$A,Map!D:D)</f>
        <v>Cost of sales</v>
      </c>
      <c r="I163" s="43" t="str">
        <f>_xlfn.XLOOKUP($A163,Map!$A:$A,Map!E:E)</f>
        <v>Overhead - Labor Cost</v>
      </c>
      <c r="J163" s="43" t="str">
        <f>_xlfn.XLOOKUP($A163,Map!$A:$A,Map!F:F)</f>
        <v xml:space="preserve">Education &amp; Furniture Allowances </v>
      </c>
    </row>
    <row r="164" spans="1:10" x14ac:dyDescent="0.25">
      <c r="A164">
        <v>600013</v>
      </c>
      <c r="B164" t="s">
        <v>991</v>
      </c>
      <c r="C164" s="116">
        <v>0</v>
      </c>
      <c r="D164" s="116">
        <v>515.66999999999996</v>
      </c>
      <c r="E164" s="116">
        <v>515.66999999999996</v>
      </c>
      <c r="F164" s="116">
        <v>0</v>
      </c>
      <c r="G164" s="43" t="str">
        <f>_xlfn.XLOOKUP($A164,Map!$A:$A,Map!C:C)</f>
        <v>IS</v>
      </c>
      <c r="H164" s="43" t="str">
        <f>_xlfn.XLOOKUP($A164,Map!$A:$A,Map!D:D)</f>
        <v>Cost of sales</v>
      </c>
      <c r="I164" s="43" t="str">
        <f>_xlfn.XLOOKUP($A164,Map!$A:$A,Map!E:E)</f>
        <v>Overhead - Labor Cost</v>
      </c>
      <c r="J164" s="43" t="str">
        <f>_xlfn.XLOOKUP($A164,Map!$A:$A,Map!F:F)</f>
        <v>Telephone allowance</v>
      </c>
    </row>
    <row r="165" spans="1:10" x14ac:dyDescent="0.25">
      <c r="A165">
        <v>600014</v>
      </c>
      <c r="B165" t="s">
        <v>884</v>
      </c>
      <c r="C165" s="116">
        <v>0</v>
      </c>
      <c r="D165" s="116">
        <v>2028805.51</v>
      </c>
      <c r="E165" s="116">
        <v>70521.414000000004</v>
      </c>
      <c r="F165" s="116">
        <v>1958284.0959999999</v>
      </c>
      <c r="G165" s="43" t="str">
        <f>_xlfn.XLOOKUP($A165,Map!$A:$A,Map!C:C)</f>
        <v>IS</v>
      </c>
      <c r="H165" s="43" t="str">
        <f>_xlfn.XLOOKUP($A165,Map!$A:$A,Map!D:D)</f>
        <v>Cost of sales</v>
      </c>
      <c r="I165" s="43" t="str">
        <f>_xlfn.XLOOKUP($A165,Map!$A:$A,Map!E:E)</f>
        <v>Overhead - Consumables &amp; SP</v>
      </c>
      <c r="J165" s="43" t="str">
        <f>_xlfn.XLOOKUP($A165,Map!$A:$A,Map!F:F)</f>
        <v>Consumables</v>
      </c>
    </row>
    <row r="166" spans="1:10" x14ac:dyDescent="0.25">
      <c r="A166">
        <v>600015</v>
      </c>
      <c r="B166" t="s">
        <v>992</v>
      </c>
      <c r="C166" s="116">
        <v>0</v>
      </c>
      <c r="D166" s="116">
        <v>0</v>
      </c>
      <c r="E166" s="116">
        <v>0</v>
      </c>
      <c r="F166" s="116">
        <v>0</v>
      </c>
      <c r="G166" s="43" t="str">
        <f>_xlfn.XLOOKUP($A166,Map!$A:$A,Map!C:C)</f>
        <v>IS</v>
      </c>
      <c r="H166" s="43" t="str">
        <f>_xlfn.XLOOKUP($A166,Map!$A:$A,Map!D:D)</f>
        <v>Cost of sales</v>
      </c>
      <c r="I166" s="43" t="str">
        <f>_xlfn.XLOOKUP($A166,Map!$A:$A,Map!E:E)</f>
        <v>Overhead - Consumables &amp; SP</v>
      </c>
      <c r="J166" s="43" t="str">
        <f>_xlfn.XLOOKUP($A166,Map!$A:$A,Map!F:F)</f>
        <v>Consumables</v>
      </c>
    </row>
    <row r="167" spans="1:10" x14ac:dyDescent="0.25">
      <c r="A167">
        <v>600016</v>
      </c>
      <c r="B167" t="s">
        <v>993</v>
      </c>
      <c r="C167" s="116">
        <v>0</v>
      </c>
      <c r="D167" s="116">
        <v>1851355.595</v>
      </c>
      <c r="E167" s="116">
        <v>1280311.3689999999</v>
      </c>
      <c r="F167" s="116">
        <v>571044.22600000002</v>
      </c>
      <c r="G167" s="43" t="str">
        <f>_xlfn.XLOOKUP($A167,Map!$A:$A,Map!C:C)</f>
        <v>IS</v>
      </c>
      <c r="H167" s="43" t="str">
        <f>_xlfn.XLOOKUP($A167,Map!$A:$A,Map!D:D)</f>
        <v>Cost of sales</v>
      </c>
      <c r="I167" s="43" t="str">
        <f>_xlfn.XLOOKUP($A167,Map!$A:$A,Map!E:E)</f>
        <v>Overhead - Consumables &amp; SP</v>
      </c>
      <c r="J167" s="43" t="str">
        <f>_xlfn.XLOOKUP($A167,Map!$A:$A,Map!F:F)</f>
        <v>Tools</v>
      </c>
    </row>
    <row r="168" spans="1:10" x14ac:dyDescent="0.25">
      <c r="A168">
        <v>600017</v>
      </c>
      <c r="B168" t="s">
        <v>994</v>
      </c>
      <c r="C168" s="116">
        <v>0</v>
      </c>
      <c r="D168" s="116">
        <v>1820942.55</v>
      </c>
      <c r="E168" s="116">
        <v>65252.387999999999</v>
      </c>
      <c r="F168" s="116">
        <v>1755690.162</v>
      </c>
      <c r="G168" s="43" t="str">
        <f>_xlfn.XLOOKUP($A168,Map!$A:$A,Map!C:C)</f>
        <v>IS</v>
      </c>
      <c r="H168" s="43" t="str">
        <f>_xlfn.XLOOKUP($A168,Map!$A:$A,Map!D:D)</f>
        <v>Cost of sales</v>
      </c>
      <c r="I168" s="43" t="str">
        <f>_xlfn.XLOOKUP($A168,Map!$A:$A,Map!E:E)</f>
        <v>Overhead - Utility</v>
      </c>
      <c r="J168" s="43" t="str">
        <f>_xlfn.XLOOKUP($A168,Map!$A:$A,Map!F:F)</f>
        <v>Electricity expenses</v>
      </c>
    </row>
    <row r="169" spans="1:10" x14ac:dyDescent="0.25">
      <c r="A169">
        <v>600018</v>
      </c>
      <c r="B169" t="s">
        <v>995</v>
      </c>
      <c r="C169" s="116">
        <v>0</v>
      </c>
      <c r="D169" s="116">
        <v>217715.35</v>
      </c>
      <c r="E169" s="116">
        <v>9694.5</v>
      </c>
      <c r="F169" s="116">
        <v>208020.85</v>
      </c>
      <c r="G169" s="43" t="str">
        <f>_xlfn.XLOOKUP($A169,Map!$A:$A,Map!C:C)</f>
        <v>IS</v>
      </c>
      <c r="H169" s="43" t="str">
        <f>_xlfn.XLOOKUP($A169,Map!$A:$A,Map!D:D)</f>
        <v>Cost of sales</v>
      </c>
      <c r="I169" s="43" t="str">
        <f>_xlfn.XLOOKUP($A169,Map!$A:$A,Map!E:E)</f>
        <v>Overhead - Utility</v>
      </c>
      <c r="J169" s="43" t="str">
        <f>_xlfn.XLOOKUP($A169,Map!$A:$A,Map!F:F)</f>
        <v>Water expenses</v>
      </c>
    </row>
    <row r="170" spans="1:10" x14ac:dyDescent="0.25">
      <c r="A170">
        <v>600019</v>
      </c>
      <c r="B170" t="s">
        <v>996</v>
      </c>
      <c r="C170" s="116">
        <v>0</v>
      </c>
      <c r="D170" s="116">
        <v>106458</v>
      </c>
      <c r="E170" s="116">
        <v>0</v>
      </c>
      <c r="F170" s="116">
        <v>106458</v>
      </c>
      <c r="G170" s="43" t="str">
        <f>_xlfn.XLOOKUP($A170,Map!$A:$A,Map!C:C)</f>
        <v>IS</v>
      </c>
      <c r="H170" s="43" t="str">
        <f>_xlfn.XLOOKUP($A170,Map!$A:$A,Map!D:D)</f>
        <v>Cost of sales</v>
      </c>
      <c r="I170" s="43" t="str">
        <f>_xlfn.XLOOKUP($A170,Map!$A:$A,Map!E:E)</f>
        <v>Overhead - Utility</v>
      </c>
      <c r="J170" s="43" t="str">
        <f>_xlfn.XLOOKUP($A170,Map!$A:$A,Map!F:F)</f>
        <v>Fuel and oil</v>
      </c>
    </row>
    <row r="171" spans="1:10" x14ac:dyDescent="0.25">
      <c r="A171">
        <v>600020</v>
      </c>
      <c r="B171" t="s">
        <v>997</v>
      </c>
      <c r="C171" s="116">
        <v>0</v>
      </c>
      <c r="D171" s="116">
        <v>5162015.4989999998</v>
      </c>
      <c r="E171" s="116">
        <v>3892910.83</v>
      </c>
      <c r="F171" s="116">
        <v>1269104.669</v>
      </c>
      <c r="G171" s="43" t="str">
        <f>_xlfn.XLOOKUP($A171,Map!$A:$A,Map!C:C)</f>
        <v>IS</v>
      </c>
      <c r="H171" s="43" t="str">
        <f>_xlfn.XLOOKUP($A171,Map!$A:$A,Map!D:D)</f>
        <v>Cost of sales</v>
      </c>
      <c r="I171" s="43" t="str">
        <f>_xlfn.XLOOKUP($A171,Map!$A:$A,Map!E:E)</f>
        <v>Overhead - R&amp;M</v>
      </c>
      <c r="J171" s="43" t="str">
        <f>_xlfn.XLOOKUP($A171,Map!$A:$A,Map!F:F)</f>
        <v>Machine and equipment</v>
      </c>
    </row>
    <row r="172" spans="1:10" x14ac:dyDescent="0.25">
      <c r="A172">
        <v>600021</v>
      </c>
      <c r="B172" t="s">
        <v>998</v>
      </c>
      <c r="C172" s="116">
        <v>0</v>
      </c>
      <c r="D172" s="116">
        <v>14695.3</v>
      </c>
      <c r="E172" s="116">
        <v>3021.14</v>
      </c>
      <c r="F172" s="116">
        <v>11674.16</v>
      </c>
      <c r="G172" s="43" t="str">
        <f>_xlfn.XLOOKUP($A172,Map!$A:$A,Map!C:C)</f>
        <v>IS</v>
      </c>
      <c r="H172" s="43" t="str">
        <f>_xlfn.XLOOKUP($A172,Map!$A:$A,Map!D:D)</f>
        <v>Cost of sales</v>
      </c>
      <c r="I172" s="43" t="str">
        <f>_xlfn.XLOOKUP($A172,Map!$A:$A,Map!E:E)</f>
        <v>Overhead - R&amp;M</v>
      </c>
      <c r="J172" s="43" t="str">
        <f>_xlfn.XLOOKUP($A172,Map!$A:$A,Map!F:F)</f>
        <v>Vehicle maintenance</v>
      </c>
    </row>
    <row r="173" spans="1:10" x14ac:dyDescent="0.25">
      <c r="A173">
        <v>600022</v>
      </c>
      <c r="B173" t="s">
        <v>999</v>
      </c>
      <c r="C173" s="116">
        <v>0</v>
      </c>
      <c r="D173" s="116">
        <v>7623.9120000000003</v>
      </c>
      <c r="E173" s="116">
        <v>2500</v>
      </c>
      <c r="F173" s="116">
        <v>5123.9120000000003</v>
      </c>
      <c r="G173" s="43" t="str">
        <f>_xlfn.XLOOKUP($A173,Map!$A:$A,Map!C:C)</f>
        <v>IS</v>
      </c>
      <c r="H173" s="43" t="str">
        <f>_xlfn.XLOOKUP($A173,Map!$A:$A,Map!D:D)</f>
        <v>Cost of sales</v>
      </c>
      <c r="I173" s="43" t="str">
        <f>_xlfn.XLOOKUP($A173,Map!$A:$A,Map!E:E)</f>
        <v>Overhead - R&amp;M</v>
      </c>
      <c r="J173" s="43" t="str">
        <f>_xlfn.XLOOKUP($A173,Map!$A:$A,Map!F:F)</f>
        <v>Building maintenance</v>
      </c>
    </row>
    <row r="174" spans="1:10" x14ac:dyDescent="0.25">
      <c r="A174">
        <v>600023</v>
      </c>
      <c r="B174" t="s">
        <v>1000</v>
      </c>
      <c r="C174" s="116">
        <v>0</v>
      </c>
      <c r="D174" s="116">
        <v>0</v>
      </c>
      <c r="E174" s="116">
        <v>0</v>
      </c>
      <c r="F174" s="116">
        <v>0</v>
      </c>
      <c r="G174" s="43" t="str">
        <f>_xlfn.XLOOKUP($A174,Map!$A:$A,Map!C:C)</f>
        <v>IS</v>
      </c>
      <c r="H174" s="43" t="str">
        <f>_xlfn.XLOOKUP($A174,Map!$A:$A,Map!D:D)</f>
        <v>Cost of sales</v>
      </c>
      <c r="I174" s="43" t="str">
        <f>_xlfn.XLOOKUP($A174,Map!$A:$A,Map!E:E)</f>
        <v>Overhead - R&amp;M</v>
      </c>
      <c r="J174" s="43" t="str">
        <f>_xlfn.XLOOKUP($A174,Map!$A:$A,Map!F:F)</f>
        <v>Office equipment maintenance</v>
      </c>
    </row>
    <row r="175" spans="1:10" x14ac:dyDescent="0.25">
      <c r="A175">
        <v>600024</v>
      </c>
      <c r="B175" t="s">
        <v>1001</v>
      </c>
      <c r="C175" s="116">
        <v>0</v>
      </c>
      <c r="D175" s="116">
        <v>0</v>
      </c>
      <c r="E175" s="116">
        <v>0</v>
      </c>
      <c r="F175" s="116">
        <v>0</v>
      </c>
      <c r="G175" s="43" t="str">
        <f>_xlfn.XLOOKUP($A175,Map!$A:$A,Map!C:C)</f>
        <v>IS</v>
      </c>
      <c r="H175" s="43" t="str">
        <f>_xlfn.XLOOKUP($A175,Map!$A:$A,Map!D:D)</f>
        <v>Cost of sales</v>
      </c>
      <c r="I175" s="43" t="str">
        <f>_xlfn.XLOOKUP($A175,Map!$A:$A,Map!E:E)</f>
        <v>Overhead - Rent</v>
      </c>
      <c r="J175" s="43" t="str">
        <f>_xlfn.XLOOKUP($A175,Map!$A:$A,Map!F:F)</f>
        <v>Pump rental expenses</v>
      </c>
    </row>
    <row r="176" spans="1:10" x14ac:dyDescent="0.25">
      <c r="A176">
        <v>600025</v>
      </c>
      <c r="B176" t="s">
        <v>1002</v>
      </c>
      <c r="C176" s="116">
        <v>0</v>
      </c>
      <c r="D176" s="116">
        <v>0</v>
      </c>
      <c r="E176" s="116">
        <v>0</v>
      </c>
      <c r="F176" s="116">
        <v>0</v>
      </c>
      <c r="G176" s="43" t="str">
        <f>_xlfn.XLOOKUP($A176,Map!$A:$A,Map!C:C)</f>
        <v>IS</v>
      </c>
      <c r="H176" s="43" t="str">
        <f>_xlfn.XLOOKUP($A176,Map!$A:$A,Map!D:D)</f>
        <v>Cost of sales</v>
      </c>
      <c r="I176" s="43" t="str">
        <f>_xlfn.XLOOKUP($A176,Map!$A:$A,Map!E:E)</f>
        <v>Overhead - Insurance</v>
      </c>
      <c r="J176" s="43" t="str">
        <f>_xlfn.XLOOKUP($A176,Map!$A:$A,Map!F:F)</f>
        <v>Building insurance</v>
      </c>
    </row>
    <row r="177" spans="1:10" x14ac:dyDescent="0.25">
      <c r="A177">
        <v>600026</v>
      </c>
      <c r="B177" t="s">
        <v>1003</v>
      </c>
      <c r="C177" s="116">
        <v>0</v>
      </c>
      <c r="D177" s="116">
        <v>0</v>
      </c>
      <c r="E177" s="116">
        <v>0</v>
      </c>
      <c r="F177" s="116">
        <v>0</v>
      </c>
      <c r="G177" s="43" t="str">
        <f>_xlfn.XLOOKUP($A177,Map!$A:$A,Map!C:C)</f>
        <v>IS</v>
      </c>
      <c r="H177" s="43" t="str">
        <f>_xlfn.XLOOKUP($A177,Map!$A:$A,Map!D:D)</f>
        <v>Cost of sales</v>
      </c>
      <c r="I177" s="43" t="str">
        <f>_xlfn.XLOOKUP($A177,Map!$A:$A,Map!E:E)</f>
        <v>Overhead - Insurance</v>
      </c>
      <c r="J177" s="43" t="str">
        <f>_xlfn.XLOOKUP($A177,Map!$A:$A,Map!F:F)</f>
        <v>Machine and equipment insurance</v>
      </c>
    </row>
    <row r="178" spans="1:10" x14ac:dyDescent="0.25">
      <c r="A178">
        <v>600027</v>
      </c>
      <c r="B178" t="s">
        <v>1004</v>
      </c>
      <c r="C178" s="116">
        <v>0</v>
      </c>
      <c r="D178" s="116">
        <v>0</v>
      </c>
      <c r="E178" s="116">
        <v>0</v>
      </c>
      <c r="F178" s="116">
        <v>0</v>
      </c>
      <c r="G178" s="43" t="str">
        <f>_xlfn.XLOOKUP($A178,Map!$A:$A,Map!C:C)</f>
        <v>IS</v>
      </c>
      <c r="H178" s="43" t="str">
        <f>_xlfn.XLOOKUP($A178,Map!$A:$A,Map!D:D)</f>
        <v>Cost of sales</v>
      </c>
      <c r="I178" s="43" t="str">
        <f>_xlfn.XLOOKUP($A178,Map!$A:$A,Map!E:E)</f>
        <v>Overhead - Rent</v>
      </c>
      <c r="J178" s="43" t="str">
        <f>_xlfn.XLOOKUP($A178,Map!$A:$A,Map!F:F)</f>
        <v>Production hall rental</v>
      </c>
    </row>
    <row r="179" spans="1:10" x14ac:dyDescent="0.25">
      <c r="A179">
        <v>600028</v>
      </c>
      <c r="B179" t="s">
        <v>1005</v>
      </c>
      <c r="C179" s="116">
        <v>0</v>
      </c>
      <c r="D179" s="116">
        <v>0</v>
      </c>
      <c r="E179" s="116">
        <v>0</v>
      </c>
      <c r="F179" s="116">
        <v>0</v>
      </c>
      <c r="G179" s="43" t="str">
        <f>_xlfn.XLOOKUP($A179,Map!$A:$A,Map!C:C)</f>
        <v>IS</v>
      </c>
      <c r="H179" s="43" t="str">
        <f>_xlfn.XLOOKUP($A179,Map!$A:$A,Map!D:D)</f>
        <v>Cost of sales</v>
      </c>
      <c r="I179" s="43" t="str">
        <f>_xlfn.XLOOKUP($A179,Map!$A:$A,Map!E:E)</f>
        <v>Overhead - Consumables &amp; SP</v>
      </c>
      <c r="J179" s="43" t="str">
        <f>_xlfn.XLOOKUP($A179,Map!$A:$A,Map!F:F)</f>
        <v xml:space="preserve">Education &amp; Furniture Allowances </v>
      </c>
    </row>
    <row r="180" spans="1:10" x14ac:dyDescent="0.25">
      <c r="A180">
        <v>600029</v>
      </c>
      <c r="B180" t="s">
        <v>1006</v>
      </c>
      <c r="C180" s="116">
        <v>0</v>
      </c>
      <c r="D180" s="116">
        <v>4526620.3940000003</v>
      </c>
      <c r="E180" s="116">
        <v>3725.7820000000002</v>
      </c>
      <c r="F180" s="116">
        <v>4522894.6119999997</v>
      </c>
      <c r="G180" s="43" t="str">
        <f>_xlfn.XLOOKUP($A180,Map!$A:$A,Map!C:C)</f>
        <v>IS</v>
      </c>
      <c r="H180" s="43" t="str">
        <f>_xlfn.XLOOKUP($A180,Map!$A:$A,Map!D:D)</f>
        <v>Cost of sales</v>
      </c>
      <c r="I180" s="43" t="str">
        <f>_xlfn.XLOOKUP($A180,Map!$A:$A,Map!E:E)</f>
        <v>Depreciation - Machines</v>
      </c>
      <c r="J180" s="43" t="str">
        <f>_xlfn.XLOOKUP($A180,Map!$A:$A,Map!F:F)</f>
        <v>Depreciation of property, plant and equipment</v>
      </c>
    </row>
    <row r="181" spans="1:10" x14ac:dyDescent="0.25">
      <c r="A181">
        <v>600030</v>
      </c>
      <c r="B181" t="s">
        <v>1007</v>
      </c>
      <c r="C181" s="116">
        <v>0</v>
      </c>
      <c r="D181" s="116">
        <v>89058.758000000002</v>
      </c>
      <c r="E181" s="116">
        <v>0</v>
      </c>
      <c r="F181" s="116">
        <v>89058.758000000002</v>
      </c>
      <c r="G181" s="43" t="str">
        <f>_xlfn.XLOOKUP($A181,Map!$A:$A,Map!C:C)</f>
        <v>IS</v>
      </c>
      <c r="H181" s="43" t="str">
        <f>_xlfn.XLOOKUP($A181,Map!$A:$A,Map!D:D)</f>
        <v>Depreciation expenses</v>
      </c>
      <c r="I181" s="43" t="str">
        <f>_xlfn.XLOOKUP($A181,Map!$A:$A,Map!E:E)</f>
        <v>Depreciation expenses</v>
      </c>
      <c r="J181" s="43" t="str">
        <f>_xlfn.XLOOKUP($A181,Map!$A:$A,Map!F:F)</f>
        <v>Depreciation of property, plant and equipment</v>
      </c>
    </row>
    <row r="182" spans="1:10" x14ac:dyDescent="0.25">
      <c r="A182">
        <v>600031</v>
      </c>
      <c r="B182" t="s">
        <v>1008</v>
      </c>
      <c r="C182" s="116">
        <v>0</v>
      </c>
      <c r="D182" s="116">
        <v>0</v>
      </c>
      <c r="E182" s="116">
        <v>0</v>
      </c>
      <c r="F182" s="116">
        <v>0</v>
      </c>
      <c r="G182" s="43" t="str">
        <f>_xlfn.XLOOKUP($A182,Map!$A:$A,Map!C:C)</f>
        <v>IS</v>
      </c>
      <c r="H182" s="43" t="str">
        <f>_xlfn.XLOOKUP($A182,Map!$A:$A,Map!D:D)</f>
        <v>Depreciation expenses</v>
      </c>
      <c r="I182" s="43" t="str">
        <f>_xlfn.XLOOKUP($A182,Map!$A:$A,Map!E:E)</f>
        <v>Depreciation expenses</v>
      </c>
      <c r="J182" s="43" t="str">
        <f>_xlfn.XLOOKUP($A182,Map!$A:$A,Map!F:F)</f>
        <v>Depreciation of property, plant and equipment</v>
      </c>
    </row>
    <row r="183" spans="1:10" x14ac:dyDescent="0.25">
      <c r="A183">
        <v>600032</v>
      </c>
      <c r="B183" t="s">
        <v>1009</v>
      </c>
      <c r="C183" s="116">
        <v>0</v>
      </c>
      <c r="D183" s="116">
        <v>1583327.5020000001</v>
      </c>
      <c r="E183" s="116">
        <v>0</v>
      </c>
      <c r="F183" s="116">
        <v>1583327.5020000001</v>
      </c>
      <c r="G183" s="43" t="str">
        <f>_xlfn.XLOOKUP($A183,Map!$A:$A,Map!C:C)</f>
        <v>IS</v>
      </c>
      <c r="H183" s="43" t="str">
        <f>_xlfn.XLOOKUP($A183,Map!$A:$A,Map!D:D)</f>
        <v>Depreciation expenses</v>
      </c>
      <c r="I183" s="43" t="str">
        <f>_xlfn.XLOOKUP($A183,Map!$A:$A,Map!E:E)</f>
        <v>Depreciation expenses</v>
      </c>
      <c r="J183" s="43" t="str">
        <f>_xlfn.XLOOKUP($A183,Map!$A:$A,Map!F:F)</f>
        <v>Depreciation of property, plant and equipment</v>
      </c>
    </row>
    <row r="184" spans="1:10" x14ac:dyDescent="0.25">
      <c r="A184">
        <v>600033</v>
      </c>
      <c r="B184" t="s">
        <v>1010</v>
      </c>
      <c r="C184" s="116">
        <v>0</v>
      </c>
      <c r="D184" s="116">
        <v>148721.60399999999</v>
      </c>
      <c r="E184" s="116">
        <v>0</v>
      </c>
      <c r="F184" s="116">
        <v>148721.60399999999</v>
      </c>
      <c r="G184" s="43" t="str">
        <f>_xlfn.XLOOKUP($A184,Map!$A:$A,Map!C:C)</f>
        <v>IS</v>
      </c>
      <c r="H184" s="43" t="str">
        <f>_xlfn.XLOOKUP($A184,Map!$A:$A,Map!D:D)</f>
        <v>Depreciation expenses</v>
      </c>
      <c r="I184" s="43" t="str">
        <f>_xlfn.XLOOKUP($A184,Map!$A:$A,Map!E:E)</f>
        <v>Depreciation expenses</v>
      </c>
      <c r="J184" s="43" t="str">
        <f>_xlfn.XLOOKUP($A184,Map!$A:$A,Map!F:F)</f>
        <v>Depreciation of property, plant and equipment</v>
      </c>
    </row>
    <row r="185" spans="1:10" x14ac:dyDescent="0.25">
      <c r="A185">
        <v>600034</v>
      </c>
      <c r="B185" t="s">
        <v>1011</v>
      </c>
      <c r="C185" s="116">
        <v>0</v>
      </c>
      <c r="D185" s="116">
        <v>0</v>
      </c>
      <c r="E185" s="116">
        <v>0</v>
      </c>
      <c r="F185" s="116">
        <v>0</v>
      </c>
      <c r="G185" s="43" t="str">
        <f>_xlfn.XLOOKUP($A185,Map!$A:$A,Map!C:C)</f>
        <v>IS</v>
      </c>
      <c r="H185" s="43" t="str">
        <f>_xlfn.XLOOKUP($A185,Map!$A:$A,Map!D:D)</f>
        <v>Cost of sales</v>
      </c>
      <c r="I185" s="43" t="str">
        <f>_xlfn.XLOOKUP($A185,Map!$A:$A,Map!E:E)</f>
        <v>Overhead - Rent Labor</v>
      </c>
      <c r="J185" s="43" t="str">
        <f>_xlfn.XLOOKUP($A185,Map!$A:$A,Map!F:F)</f>
        <v>Rental labor</v>
      </c>
    </row>
    <row r="186" spans="1:10" x14ac:dyDescent="0.25">
      <c r="A186">
        <v>600035</v>
      </c>
      <c r="B186" t="s">
        <v>1012</v>
      </c>
      <c r="C186" s="116">
        <v>0</v>
      </c>
      <c r="D186" s="116">
        <v>2924648.827</v>
      </c>
      <c r="E186" s="116">
        <v>0</v>
      </c>
      <c r="F186" s="116">
        <v>2924648.827</v>
      </c>
      <c r="G186" s="43" t="str">
        <f>_xlfn.XLOOKUP($A186,Map!$A:$A,Map!C:C)</f>
        <v>IS</v>
      </c>
      <c r="H186" s="43" t="str">
        <f>_xlfn.XLOOKUP($A186,Map!$A:$A,Map!D:D)</f>
        <v>Cost of sales</v>
      </c>
      <c r="I186" s="43" t="str">
        <f>_xlfn.XLOOKUP($A186,Map!$A:$A,Map!E:E)</f>
        <v>Overhead - Labor Cost</v>
      </c>
      <c r="J186" s="43" t="str">
        <f>_xlfn.XLOOKUP($A186,Map!$A:$A,Map!F:F)</f>
        <v>Indirect Salaries — factory supervisory / indirect floor labour (COGS)</v>
      </c>
    </row>
    <row r="187" spans="1:10" x14ac:dyDescent="0.25">
      <c r="A187">
        <v>600036</v>
      </c>
      <c r="B187" t="s">
        <v>1013</v>
      </c>
      <c r="C187" s="116">
        <v>0</v>
      </c>
      <c r="D187" s="116">
        <v>186266.13500000001</v>
      </c>
      <c r="E187" s="116">
        <v>27290.34</v>
      </c>
      <c r="F187" s="116">
        <v>158975.79500000001</v>
      </c>
      <c r="G187" s="43" t="str">
        <f>_xlfn.XLOOKUP($A187,Map!$A:$A,Map!C:C)</f>
        <v>IS</v>
      </c>
      <c r="H187" s="43" t="str">
        <f>_xlfn.XLOOKUP($A187,Map!$A:$A,Map!D:D)</f>
        <v>Cost of sales</v>
      </c>
      <c r="I187" s="43" t="str">
        <f>_xlfn.XLOOKUP($A187,Map!$A:$A,Map!E:E)</f>
        <v>Overhead - Consumables &amp; SP</v>
      </c>
      <c r="J187" s="43" t="str">
        <f>_xlfn.XLOOKUP($A187,Map!$A:$A,Map!F:F)</f>
        <v>Inspection expenses</v>
      </c>
    </row>
    <row r="188" spans="1:10" x14ac:dyDescent="0.25">
      <c r="A188">
        <v>600060</v>
      </c>
      <c r="B188" t="s">
        <v>1022</v>
      </c>
      <c r="C188" s="116">
        <v>0</v>
      </c>
      <c r="D188" s="116">
        <v>0</v>
      </c>
      <c r="E188" s="116">
        <v>157172</v>
      </c>
      <c r="F188" s="116">
        <v>-157172</v>
      </c>
      <c r="G188" s="43" t="str">
        <f>_xlfn.XLOOKUP($A188,Map!$A:$A,Map!C:C)</f>
        <v>IS</v>
      </c>
      <c r="H188" s="43" t="str">
        <f>_xlfn.XLOOKUP($A188,Map!$A:$A,Map!D:D)</f>
        <v>Other Income</v>
      </c>
      <c r="I188" s="43" t="str">
        <f>_xlfn.XLOOKUP($A188,Map!$A:$A,Map!E:E)</f>
        <v>Other Income</v>
      </c>
      <c r="J188" s="43" t="str">
        <f>_xlfn.XLOOKUP($A188,Map!$A:$A,Map!F:F)</f>
        <v>Hadaf program</v>
      </c>
    </row>
    <row r="189" spans="1:10" x14ac:dyDescent="0.25">
      <c r="A189">
        <v>700001</v>
      </c>
      <c r="B189" t="s">
        <v>1023</v>
      </c>
      <c r="C189" s="116">
        <v>0</v>
      </c>
      <c r="D189" s="116">
        <v>5770246.0710000005</v>
      </c>
      <c r="E189" s="116">
        <v>293251.53000000003</v>
      </c>
      <c r="F189" s="116">
        <v>5476994.5410000002</v>
      </c>
      <c r="G189" s="43" t="str">
        <f>_xlfn.XLOOKUP($A189,Map!$A:$A,Map!C:C)</f>
        <v>IS</v>
      </c>
      <c r="H189" s="43" t="str">
        <f>_xlfn.XLOOKUP($A189,Map!$A:$A,Map!D:D)</f>
        <v>General and Admin</v>
      </c>
      <c r="I189" s="43" t="str">
        <f>_xlfn.XLOOKUP($A189,Map!$A:$A,Map!E:E)</f>
        <v>Salaries and wages</v>
      </c>
      <c r="J189" s="43" t="str">
        <f>_xlfn.XLOOKUP($A189,Map!$A:$A,Map!F:F)</f>
        <v>Salaries and wages</v>
      </c>
    </row>
    <row r="190" spans="1:10" x14ac:dyDescent="0.25">
      <c r="A190">
        <v>700002</v>
      </c>
      <c r="B190" t="s">
        <v>1024</v>
      </c>
      <c r="C190" s="116">
        <v>0</v>
      </c>
      <c r="D190" s="116">
        <v>0</v>
      </c>
      <c r="E190" s="116">
        <v>0</v>
      </c>
      <c r="F190" s="116">
        <v>0</v>
      </c>
      <c r="G190" s="43" t="str">
        <f>_xlfn.XLOOKUP($A190,Map!$A:$A,Map!C:C)</f>
        <v>IS</v>
      </c>
      <c r="H190" s="43" t="str">
        <f>_xlfn.XLOOKUP($A190,Map!$A:$A,Map!D:D)</f>
        <v>General and Admin</v>
      </c>
      <c r="I190" s="43" t="str">
        <f>_xlfn.XLOOKUP($A190,Map!$A:$A,Map!E:E)</f>
        <v>Salaries and wages</v>
      </c>
      <c r="J190" s="43" t="str">
        <f>_xlfn.XLOOKUP($A190,Map!$A:$A,Map!F:F)</f>
        <v>Overtime pay</v>
      </c>
    </row>
    <row r="191" spans="1:10" x14ac:dyDescent="0.25">
      <c r="A191">
        <v>700003</v>
      </c>
      <c r="B191" t="s">
        <v>1152</v>
      </c>
      <c r="C191" s="116">
        <v>0</v>
      </c>
      <c r="D191" s="116">
        <v>1753</v>
      </c>
      <c r="E191" s="116">
        <v>1600</v>
      </c>
      <c r="F191" s="116">
        <v>153</v>
      </c>
      <c r="G191" s="43" t="str">
        <f>_xlfn.XLOOKUP($A191,Map!$A:$A,Map!C:C)</f>
        <v>IS</v>
      </c>
      <c r="H191" s="43" t="str">
        <f>_xlfn.XLOOKUP($A191,Map!$A:$A,Map!D:D)</f>
        <v>General and Admin</v>
      </c>
      <c r="I191" s="43" t="str">
        <f>_xlfn.XLOOKUP($A191,Map!$A:$A,Map!E:E)</f>
        <v>Salaries and wages</v>
      </c>
      <c r="J191" s="43" t="str">
        <f>_xlfn.XLOOKUP($A191,Map!$A:$A,Map!F:F)</f>
        <v xml:space="preserve">Food &amp; Housing </v>
      </c>
    </row>
    <row r="192" spans="1:10" x14ac:dyDescent="0.25">
      <c r="A192">
        <v>700004</v>
      </c>
      <c r="B192" t="s">
        <v>1026</v>
      </c>
      <c r="C192" s="116">
        <v>0</v>
      </c>
      <c r="D192" s="116">
        <v>397505.77399999998</v>
      </c>
      <c r="E192" s="116">
        <v>91309.160999999993</v>
      </c>
      <c r="F192" s="116">
        <v>306196.61300000001</v>
      </c>
      <c r="G192" s="43" t="str">
        <f>_xlfn.XLOOKUP($A192,Map!$A:$A,Map!C:C)</f>
        <v>IS</v>
      </c>
      <c r="H192" s="43" t="str">
        <f>_xlfn.XLOOKUP($A192,Map!$A:$A,Map!D:D)</f>
        <v>General and Admin</v>
      </c>
      <c r="I192" s="43" t="str">
        <f>_xlfn.XLOOKUP($A192,Map!$A:$A,Map!E:E)</f>
        <v>Salaries and wages</v>
      </c>
      <c r="J192" s="43" t="str">
        <f>_xlfn.XLOOKUP($A192,Map!$A:$A,Map!F:F)</f>
        <v>Medical insurance</v>
      </c>
    </row>
    <row r="193" spans="1:10" x14ac:dyDescent="0.25">
      <c r="A193">
        <v>700005</v>
      </c>
      <c r="B193" t="s">
        <v>1027</v>
      </c>
      <c r="C193" s="116">
        <v>0</v>
      </c>
      <c r="D193" s="116">
        <v>210570.04</v>
      </c>
      <c r="E193" s="116">
        <v>10666.9</v>
      </c>
      <c r="F193" s="116">
        <v>199903.14</v>
      </c>
      <c r="G193" s="43" t="str">
        <f>_xlfn.XLOOKUP($A193,Map!$A:$A,Map!C:C)</f>
        <v>IS</v>
      </c>
      <c r="H193" s="43" t="str">
        <f>_xlfn.XLOOKUP($A193,Map!$A:$A,Map!D:D)</f>
        <v>General and Admin</v>
      </c>
      <c r="I193" s="43" t="str">
        <f>_xlfn.XLOOKUP($A193,Map!$A:$A,Map!E:E)</f>
        <v>Govt license and fees (including modon)</v>
      </c>
      <c r="J193" s="43" t="str">
        <f>_xlfn.XLOOKUP($A193,Map!$A:$A,Map!F:F)</f>
        <v>Government fees</v>
      </c>
    </row>
    <row r="194" spans="1:10" x14ac:dyDescent="0.25">
      <c r="A194">
        <v>700006</v>
      </c>
      <c r="B194" t="s">
        <v>1028</v>
      </c>
      <c r="C194" s="116">
        <v>0</v>
      </c>
      <c r="D194" s="116">
        <v>1116632.3019999999</v>
      </c>
      <c r="E194" s="116">
        <v>8092</v>
      </c>
      <c r="F194" s="116">
        <v>1108540.3019999999</v>
      </c>
      <c r="G194" s="43" t="str">
        <f>_xlfn.XLOOKUP($A194,Map!$A:$A,Map!C:C)</f>
        <v>IS</v>
      </c>
      <c r="H194" s="43" t="str">
        <f>_xlfn.XLOOKUP($A194,Map!$A:$A,Map!D:D)</f>
        <v>General and Admin</v>
      </c>
      <c r="I194" s="43" t="str">
        <f>_xlfn.XLOOKUP($A194,Map!$A:$A,Map!E:E)</f>
        <v>Salaries and wages</v>
      </c>
      <c r="J194" s="43" t="str">
        <f>_xlfn.XLOOKUP($A194,Map!$A:$A,Map!F:F)</f>
        <v xml:space="preserve">Food &amp; Housing </v>
      </c>
    </row>
    <row r="195" spans="1:10" x14ac:dyDescent="0.25">
      <c r="A195">
        <v>700007</v>
      </c>
      <c r="B195" t="s">
        <v>1029</v>
      </c>
      <c r="C195" s="116">
        <v>0</v>
      </c>
      <c r="D195" s="116">
        <v>442482.08100000001</v>
      </c>
      <c r="E195" s="116">
        <v>56157.080999999998</v>
      </c>
      <c r="F195" s="116">
        <v>386325</v>
      </c>
      <c r="G195" s="43" t="str">
        <f>_xlfn.XLOOKUP($A195,Map!$A:$A,Map!C:C)</f>
        <v>IS</v>
      </c>
      <c r="H195" s="43" t="str">
        <f>_xlfn.XLOOKUP($A195,Map!$A:$A,Map!D:D)</f>
        <v>General and Admin</v>
      </c>
      <c r="I195" s="43" t="str">
        <f>_xlfn.XLOOKUP($A195,Map!$A:$A,Map!E:E)</f>
        <v>Salaries and wages</v>
      </c>
      <c r="J195" s="43" t="str">
        <f>_xlfn.XLOOKUP($A195,Map!$A:$A,Map!F:F)</f>
        <v>Transportation allowance</v>
      </c>
    </row>
    <row r="196" spans="1:10" x14ac:dyDescent="0.25">
      <c r="A196">
        <v>700008</v>
      </c>
      <c r="B196" t="s">
        <v>1030</v>
      </c>
      <c r="C196" s="116">
        <v>0</v>
      </c>
      <c r="D196" s="116">
        <v>89654.432000000001</v>
      </c>
      <c r="E196" s="116">
        <v>2700.19</v>
      </c>
      <c r="F196" s="116">
        <v>86954.241999999998</v>
      </c>
      <c r="G196" s="43" t="str">
        <f>_xlfn.XLOOKUP($A196,Map!$A:$A,Map!C:C)</f>
        <v>IS</v>
      </c>
      <c r="H196" s="43" t="str">
        <f>_xlfn.XLOOKUP($A196,Map!$A:$A,Map!D:D)</f>
        <v>General and Admin</v>
      </c>
      <c r="I196" s="43" t="str">
        <f>_xlfn.XLOOKUP($A196,Map!$A:$A,Map!E:E)</f>
        <v>Salaries and wages</v>
      </c>
      <c r="J196" s="43" t="str">
        <f>_xlfn.XLOOKUP($A196,Map!$A:$A,Map!F:F)</f>
        <v>Air tickets</v>
      </c>
    </row>
    <row r="197" spans="1:10" x14ac:dyDescent="0.25">
      <c r="A197">
        <v>700009</v>
      </c>
      <c r="B197" t="s">
        <v>1031</v>
      </c>
      <c r="C197" s="116">
        <v>0</v>
      </c>
      <c r="D197" s="116">
        <v>299205.59700000001</v>
      </c>
      <c r="E197" s="116">
        <v>65343.85</v>
      </c>
      <c r="F197" s="116">
        <v>233861.747</v>
      </c>
      <c r="G197" s="43" t="str">
        <f>_xlfn.XLOOKUP($A197,Map!$A:$A,Map!C:C)</f>
        <v>IS</v>
      </c>
      <c r="H197" s="43" t="str">
        <f>_xlfn.XLOOKUP($A197,Map!$A:$A,Map!D:D)</f>
        <v>General and Admin</v>
      </c>
      <c r="I197" s="43" t="str">
        <f>_xlfn.XLOOKUP($A197,Map!$A:$A,Map!E:E)</f>
        <v>Salaries and wages</v>
      </c>
      <c r="J197" s="43" t="str">
        <f>_xlfn.XLOOKUP($A197,Map!$A:$A,Map!F:F)</f>
        <v>Leave pay</v>
      </c>
    </row>
    <row r="198" spans="1:10" x14ac:dyDescent="0.25">
      <c r="A198">
        <v>700010</v>
      </c>
      <c r="B198" t="s">
        <v>1032</v>
      </c>
      <c r="C198" s="116">
        <v>0</v>
      </c>
      <c r="D198" s="116">
        <v>1261456</v>
      </c>
      <c r="E198" s="116">
        <v>484527</v>
      </c>
      <c r="F198" s="116">
        <v>776929</v>
      </c>
      <c r="G198" s="43" t="str">
        <f>_xlfn.XLOOKUP($A198,Map!$A:$A,Map!C:C)</f>
        <v>IS</v>
      </c>
      <c r="H198" s="43" t="str">
        <f>_xlfn.XLOOKUP($A198,Map!$A:$A,Map!D:D)</f>
        <v>General and Admin</v>
      </c>
      <c r="I198" s="43" t="str">
        <f>_xlfn.XLOOKUP($A198,Map!$A:$A,Map!E:E)</f>
        <v>Salaries and wages</v>
      </c>
      <c r="J198" s="43" t="str">
        <f>_xlfn.XLOOKUP($A198,Map!$A:$A,Map!F:F)</f>
        <v>Indemnities</v>
      </c>
    </row>
    <row r="199" spans="1:10" x14ac:dyDescent="0.25">
      <c r="A199">
        <v>700011</v>
      </c>
      <c r="B199" t="s">
        <v>1033</v>
      </c>
      <c r="C199" s="116">
        <v>0</v>
      </c>
      <c r="D199" s="116">
        <v>18469.031999999999</v>
      </c>
      <c r="E199" s="116">
        <v>260</v>
      </c>
      <c r="F199" s="116">
        <v>18209.031999999999</v>
      </c>
      <c r="G199" s="43" t="str">
        <f>_xlfn.XLOOKUP($A199,Map!$A:$A,Map!C:C)</f>
        <v>IS</v>
      </c>
      <c r="H199" s="43" t="str">
        <f>_xlfn.XLOOKUP($A199,Map!$A:$A,Map!D:D)</f>
        <v>General and Admin</v>
      </c>
      <c r="I199" s="43" t="str">
        <f>_xlfn.XLOOKUP($A199,Map!$A:$A,Map!E:E)</f>
        <v>Salaries and wages</v>
      </c>
      <c r="J199" s="43" t="str">
        <f>_xlfn.XLOOKUP($A199,Map!$A:$A,Map!F:F)</f>
        <v>Air tickets</v>
      </c>
    </row>
    <row r="200" spans="1:10" x14ac:dyDescent="0.25">
      <c r="A200">
        <v>700012</v>
      </c>
      <c r="B200" t="s">
        <v>1034</v>
      </c>
      <c r="C200" s="116">
        <v>0</v>
      </c>
      <c r="D200" s="116">
        <v>274421.78399999999</v>
      </c>
      <c r="E200" s="116">
        <v>266359.78399999999</v>
      </c>
      <c r="F200" s="116">
        <v>8062</v>
      </c>
      <c r="G200" s="43" t="str">
        <f>_xlfn.XLOOKUP($A200,Map!$A:$A,Map!C:C)</f>
        <v>IS</v>
      </c>
      <c r="H200" s="43" t="str">
        <f>_xlfn.XLOOKUP($A200,Map!$A:$A,Map!D:D)</f>
        <v>General and Admin</v>
      </c>
      <c r="I200" s="43" t="str">
        <f>_xlfn.XLOOKUP($A200,Map!$A:$A,Map!E:E)</f>
        <v>Salaries and wages</v>
      </c>
      <c r="J200" s="43" t="str">
        <f>_xlfn.XLOOKUP($A200,Map!$A:$A,Map!F:F)</f>
        <v xml:space="preserve">Education &amp; Furniture Allowances </v>
      </c>
    </row>
    <row r="201" spans="1:10" x14ac:dyDescent="0.25">
      <c r="A201">
        <v>700013</v>
      </c>
      <c r="B201" t="s">
        <v>1035</v>
      </c>
      <c r="C201" s="116">
        <v>0</v>
      </c>
      <c r="D201" s="116">
        <v>19283.560000000001</v>
      </c>
      <c r="E201" s="116">
        <v>19233.560000000001</v>
      </c>
      <c r="F201" s="116">
        <v>50</v>
      </c>
      <c r="G201" s="43" t="str">
        <f>_xlfn.XLOOKUP($A201,Map!$A:$A,Map!C:C)</f>
        <v>IS</v>
      </c>
      <c r="H201" s="43" t="str">
        <f>_xlfn.XLOOKUP($A201,Map!$A:$A,Map!D:D)</f>
        <v>General and Admin</v>
      </c>
      <c r="I201" s="43" t="str">
        <f>_xlfn.XLOOKUP($A201,Map!$A:$A,Map!E:E)</f>
        <v>Utilities</v>
      </c>
      <c r="J201" s="43" t="str">
        <f>_xlfn.XLOOKUP($A201,Map!$A:$A,Map!F:F)</f>
        <v>Other general and administrative expenses</v>
      </c>
    </row>
    <row r="202" spans="1:10" x14ac:dyDescent="0.25">
      <c r="A202">
        <v>700014</v>
      </c>
      <c r="B202" t="s">
        <v>1036</v>
      </c>
      <c r="C202" s="116">
        <v>0</v>
      </c>
      <c r="D202" s="116">
        <v>955</v>
      </c>
      <c r="E202" s="116">
        <v>0</v>
      </c>
      <c r="F202" s="116">
        <v>955</v>
      </c>
      <c r="G202" s="43" t="str">
        <f>_xlfn.XLOOKUP($A202,Map!$A:$A,Map!C:C)</f>
        <v>IS</v>
      </c>
      <c r="H202" s="43" t="str">
        <f>_xlfn.XLOOKUP($A202,Map!$A:$A,Map!D:D)</f>
        <v>General and Admin</v>
      </c>
      <c r="I202" s="43" t="str">
        <f>_xlfn.XLOOKUP($A202,Map!$A:$A,Map!E:E)</f>
        <v>Salaries and wages</v>
      </c>
      <c r="J202" s="43" t="str">
        <f>_xlfn.XLOOKUP($A202,Map!$A:$A,Map!F:F)</f>
        <v xml:space="preserve">Education &amp; Furniture Allowances </v>
      </c>
    </row>
    <row r="203" spans="1:10" x14ac:dyDescent="0.25">
      <c r="A203">
        <v>700015</v>
      </c>
      <c r="B203" t="s">
        <v>1037</v>
      </c>
      <c r="C203" s="116">
        <v>0</v>
      </c>
      <c r="D203" s="116">
        <v>31366.517</v>
      </c>
      <c r="E203" s="116">
        <v>783</v>
      </c>
      <c r="F203" s="116">
        <v>30583.517</v>
      </c>
      <c r="G203" s="43" t="str">
        <f>_xlfn.XLOOKUP($A203,Map!$A:$A,Map!C:C)</f>
        <v>IS</v>
      </c>
      <c r="H203" s="43" t="str">
        <f>_xlfn.XLOOKUP($A203,Map!$A:$A,Map!D:D)</f>
        <v>General and Admin</v>
      </c>
      <c r="I203" s="43" t="str">
        <f>_xlfn.XLOOKUP($A203,Map!$A:$A,Map!E:E)</f>
        <v>Business travel</v>
      </c>
      <c r="J203" s="43" t="str">
        <f>_xlfn.XLOOKUP($A203,Map!$A:$A,Map!F:F)</f>
        <v>Transportation expenses</v>
      </c>
    </row>
    <row r="204" spans="1:10" x14ac:dyDescent="0.25">
      <c r="A204">
        <v>700016</v>
      </c>
      <c r="B204" t="s">
        <v>1038</v>
      </c>
      <c r="C204" s="116">
        <v>0</v>
      </c>
      <c r="D204" s="116">
        <v>101034.38400000001</v>
      </c>
      <c r="E204" s="116">
        <v>424</v>
      </c>
      <c r="F204" s="116">
        <v>100610.38400000001</v>
      </c>
      <c r="G204" s="43" t="str">
        <f>_xlfn.XLOOKUP($A204,Map!$A:$A,Map!C:C)</f>
        <v>IS</v>
      </c>
      <c r="H204" s="43" t="str">
        <f>_xlfn.XLOOKUP($A204,Map!$A:$A,Map!D:D)</f>
        <v>Selling and Marketing</v>
      </c>
      <c r="I204" s="43" t="str">
        <f>_xlfn.XLOOKUP($A204,Map!$A:$A,Map!E:E)</f>
        <v>Buffet expenses</v>
      </c>
      <c r="J204" s="43" t="str">
        <f>_xlfn.XLOOKUP($A204,Map!$A:$A,Map!F:F)</f>
        <v>Food expenses</v>
      </c>
    </row>
    <row r="205" spans="1:10" x14ac:dyDescent="0.25">
      <c r="A205">
        <v>700017</v>
      </c>
      <c r="B205" t="s">
        <v>1039</v>
      </c>
      <c r="C205" s="116">
        <v>0</v>
      </c>
      <c r="D205" s="116">
        <v>0</v>
      </c>
      <c r="E205" s="116">
        <v>0</v>
      </c>
      <c r="F205" s="116">
        <v>0</v>
      </c>
      <c r="G205" s="43" t="str">
        <f>_xlfn.XLOOKUP($A205,Map!$A:$A,Map!C:C)</f>
        <v>IS</v>
      </c>
      <c r="H205" s="43" t="str">
        <f>_xlfn.XLOOKUP($A205,Map!$A:$A,Map!D:D)</f>
        <v>General and Admin</v>
      </c>
      <c r="I205" s="43" t="str">
        <f>_xlfn.XLOOKUP($A205,Map!$A:$A,Map!E:E)</f>
        <v>Salaries and wages</v>
      </c>
      <c r="J205" s="43" t="str">
        <f>_xlfn.XLOOKUP($A205,Map!$A:$A,Map!F:F)</f>
        <v>Accommodation expenses</v>
      </c>
    </row>
    <row r="206" spans="1:10" x14ac:dyDescent="0.25">
      <c r="A206">
        <v>700018</v>
      </c>
      <c r="B206" t="s">
        <v>1040</v>
      </c>
      <c r="C206" s="116">
        <v>0</v>
      </c>
      <c r="D206" s="116">
        <v>138880.07999999999</v>
      </c>
      <c r="E206" s="116">
        <v>0</v>
      </c>
      <c r="F206" s="116">
        <v>138880.07999999999</v>
      </c>
      <c r="G206" s="43" t="str">
        <f>_xlfn.XLOOKUP($A206,Map!$A:$A,Map!C:C)</f>
        <v>IS</v>
      </c>
      <c r="H206" s="43" t="str">
        <f>_xlfn.XLOOKUP($A206,Map!$A:$A,Map!D:D)</f>
        <v>General and Admin</v>
      </c>
      <c r="I206" s="43" t="str">
        <f>_xlfn.XLOOKUP($A206,Map!$A:$A,Map!E:E)</f>
        <v>Salaries and wages</v>
      </c>
      <c r="J206" s="43" t="str">
        <f>_xlfn.XLOOKUP($A206,Map!$A:$A,Map!F:F)</f>
        <v xml:space="preserve">Employee Medical Emergency Expenses </v>
      </c>
    </row>
    <row r="207" spans="1:10" x14ac:dyDescent="0.25">
      <c r="A207">
        <v>700019</v>
      </c>
      <c r="B207" t="s">
        <v>1041</v>
      </c>
      <c r="C207" s="116">
        <v>0</v>
      </c>
      <c r="D207" s="116">
        <v>441515</v>
      </c>
      <c r="E207" s="116">
        <v>204567</v>
      </c>
      <c r="F207" s="116">
        <v>236948</v>
      </c>
      <c r="G207" s="43" t="str">
        <f>_xlfn.XLOOKUP($A207,Map!$A:$A,Map!C:C)</f>
        <v>IS</v>
      </c>
      <c r="H207" s="43" t="str">
        <f>_xlfn.XLOOKUP($A207,Map!$A:$A,Map!D:D)</f>
        <v>General and Admin</v>
      </c>
      <c r="I207" s="43" t="str">
        <f>_xlfn.XLOOKUP($A207,Map!$A:$A,Map!E:E)</f>
        <v>Salaries and wages</v>
      </c>
      <c r="J207" s="43" t="str">
        <f>_xlfn.XLOOKUP($A207,Map!$A:$A,Map!F:F)</f>
        <v xml:space="preserve">Incentives </v>
      </c>
    </row>
    <row r="208" spans="1:10" x14ac:dyDescent="0.25">
      <c r="A208">
        <v>700020</v>
      </c>
      <c r="B208" t="s">
        <v>1042</v>
      </c>
      <c r="C208" s="116">
        <v>0</v>
      </c>
      <c r="D208" s="116">
        <v>514135.84899999999</v>
      </c>
      <c r="E208" s="116">
        <v>0</v>
      </c>
      <c r="F208" s="116">
        <v>514135.84899999999</v>
      </c>
      <c r="G208" s="43" t="str">
        <f>_xlfn.XLOOKUP($A208,Map!$A:$A,Map!C:C)</f>
        <v>IS</v>
      </c>
      <c r="H208" s="43" t="str">
        <f>_xlfn.XLOOKUP($A208,Map!$A:$A,Map!D:D)</f>
        <v>General and Admin</v>
      </c>
      <c r="I208" s="43" t="str">
        <f>_xlfn.XLOOKUP($A208,Map!$A:$A,Map!E:E)</f>
        <v>Utilities</v>
      </c>
      <c r="J208" s="43" t="str">
        <f>_xlfn.XLOOKUP($A208,Map!$A:$A,Map!F:F)</f>
        <v>Electricity expenses</v>
      </c>
    </row>
    <row r="209" spans="1:10" x14ac:dyDescent="0.25">
      <c r="A209">
        <v>700021</v>
      </c>
      <c r="B209" t="s">
        <v>1043</v>
      </c>
      <c r="C209" s="116">
        <v>0</v>
      </c>
      <c r="D209" s="116">
        <v>12153</v>
      </c>
      <c r="E209" s="116">
        <v>4056</v>
      </c>
      <c r="F209" s="116">
        <v>8097</v>
      </c>
      <c r="G209" s="43" t="str">
        <f>_xlfn.XLOOKUP($A209,Map!$A:$A,Map!C:C)</f>
        <v>IS</v>
      </c>
      <c r="H209" s="43" t="str">
        <f>_xlfn.XLOOKUP($A209,Map!$A:$A,Map!D:D)</f>
        <v>General and Admin</v>
      </c>
      <c r="I209" s="43" t="str">
        <f>_xlfn.XLOOKUP($A209,Map!$A:$A,Map!E:E)</f>
        <v>Utilities</v>
      </c>
      <c r="J209" s="43" t="str">
        <f>_xlfn.XLOOKUP($A209,Map!$A:$A,Map!F:F)</f>
        <v>Other general and administrative expenses</v>
      </c>
    </row>
    <row r="210" spans="1:10" x14ac:dyDescent="0.25">
      <c r="A210">
        <v>700022</v>
      </c>
      <c r="B210" t="s">
        <v>1044</v>
      </c>
      <c r="C210" s="116">
        <v>0</v>
      </c>
      <c r="D210" s="116">
        <v>78374.3</v>
      </c>
      <c r="E210" s="116">
        <v>0</v>
      </c>
      <c r="F210" s="116">
        <v>78374.3</v>
      </c>
      <c r="G210" s="43" t="str">
        <f>_xlfn.XLOOKUP($A210,Map!$A:$A,Map!C:C)</f>
        <v>IS</v>
      </c>
      <c r="H210" s="43" t="str">
        <f>_xlfn.XLOOKUP($A210,Map!$A:$A,Map!D:D)</f>
        <v>General and Admin</v>
      </c>
      <c r="I210" s="43" t="str">
        <f>_xlfn.XLOOKUP($A210,Map!$A:$A,Map!E:E)</f>
        <v>Utilities</v>
      </c>
      <c r="J210" s="43" t="str">
        <f>_xlfn.XLOOKUP($A210,Map!$A:$A,Map!F:F)</f>
        <v>Other general and administrative expenses</v>
      </c>
    </row>
    <row r="211" spans="1:10" x14ac:dyDescent="0.25">
      <c r="A211">
        <v>700023</v>
      </c>
      <c r="B211" t="s">
        <v>1045</v>
      </c>
      <c r="C211" s="116">
        <v>0</v>
      </c>
      <c r="D211" s="116">
        <v>12996.704</v>
      </c>
      <c r="E211" s="116">
        <v>0</v>
      </c>
      <c r="F211" s="116">
        <v>12996.704</v>
      </c>
      <c r="G211" s="43" t="str">
        <f>_xlfn.XLOOKUP($A211,Map!$A:$A,Map!C:C)</f>
        <v>IS</v>
      </c>
      <c r="H211" s="43" t="str">
        <f>_xlfn.XLOOKUP($A211,Map!$A:$A,Map!D:D)</f>
        <v>General and Admin</v>
      </c>
      <c r="I211" s="43" t="str">
        <f>_xlfn.XLOOKUP($A211,Map!$A:$A,Map!E:E)</f>
        <v>Utilities</v>
      </c>
      <c r="J211" s="43" t="str">
        <f>_xlfn.XLOOKUP($A211,Map!$A:$A,Map!F:F)</f>
        <v xml:space="preserve">Postage &amp; Printing </v>
      </c>
    </row>
    <row r="212" spans="1:10" x14ac:dyDescent="0.25">
      <c r="A212">
        <v>700024</v>
      </c>
      <c r="B212" t="s">
        <v>1046</v>
      </c>
      <c r="C212" s="116">
        <v>0</v>
      </c>
      <c r="D212" s="116">
        <v>716833.78399999999</v>
      </c>
      <c r="E212" s="116">
        <v>26516.317999999999</v>
      </c>
      <c r="F212" s="116">
        <v>690317.46600000001</v>
      </c>
      <c r="G212" s="43" t="str">
        <f>_xlfn.XLOOKUP($A212,Map!$A:$A,Map!C:C)</f>
        <v>IS</v>
      </c>
      <c r="H212" s="43" t="str">
        <f>_xlfn.XLOOKUP($A212,Map!$A:$A,Map!D:D)</f>
        <v>General and Admin</v>
      </c>
      <c r="I212" s="43" t="str">
        <f>_xlfn.XLOOKUP($A212,Map!$A:$A,Map!E:E)</f>
        <v>IT expenses</v>
      </c>
      <c r="J212" s="43" t="str">
        <f>_xlfn.XLOOKUP($A212,Map!$A:$A,Map!F:F)</f>
        <v>Other general and administrative expenses</v>
      </c>
    </row>
    <row r="213" spans="1:10" x14ac:dyDescent="0.25">
      <c r="A213">
        <v>700025</v>
      </c>
      <c r="B213" t="s">
        <v>1047</v>
      </c>
      <c r="C213" s="116">
        <v>0</v>
      </c>
      <c r="D213" s="116">
        <v>883148.51</v>
      </c>
      <c r="E213" s="116">
        <v>105973.2</v>
      </c>
      <c r="F213" s="116">
        <v>777175.31</v>
      </c>
      <c r="G213" s="43" t="str">
        <f>_xlfn.XLOOKUP($A213,Map!$A:$A,Map!C:C)</f>
        <v>IS</v>
      </c>
      <c r="H213" s="43" t="str">
        <f>_xlfn.XLOOKUP($A213,Map!$A:$A,Map!D:D)</f>
        <v>General and Admin</v>
      </c>
      <c r="I213" s="43" t="str">
        <f>_xlfn.XLOOKUP($A213,Map!$A:$A,Map!E:E)</f>
        <v>Salaries and wages</v>
      </c>
      <c r="J213" s="43" t="str">
        <f>_xlfn.XLOOKUP($A213,Map!$A:$A,Map!F:F)</f>
        <v>Salaries and wages</v>
      </c>
    </row>
    <row r="214" spans="1:10" x14ac:dyDescent="0.25">
      <c r="A214">
        <v>700026</v>
      </c>
      <c r="B214" t="s">
        <v>1048</v>
      </c>
      <c r="C214" s="116">
        <v>0</v>
      </c>
      <c r="D214" s="116">
        <v>0</v>
      </c>
      <c r="E214" s="116">
        <v>0</v>
      </c>
      <c r="F214" s="116">
        <v>0</v>
      </c>
      <c r="G214" s="43" t="str">
        <f>_xlfn.XLOOKUP($A214,Map!$A:$A,Map!C:C)</f>
        <v>IS</v>
      </c>
      <c r="H214" s="43" t="str">
        <f>_xlfn.XLOOKUP($A214,Map!$A:$A,Map!D:D)</f>
        <v>General and Admin</v>
      </c>
      <c r="I214" s="43" t="str">
        <f>_xlfn.XLOOKUP($A214,Map!$A:$A,Map!E:E)</f>
        <v>Utilities</v>
      </c>
      <c r="J214" s="43" t="str">
        <f>_xlfn.XLOOKUP($A214,Map!$A:$A,Map!F:F)</f>
        <v>Magazines &amp; News Papers Exp.</v>
      </c>
    </row>
    <row r="215" spans="1:10" x14ac:dyDescent="0.25">
      <c r="A215">
        <v>700027</v>
      </c>
      <c r="B215" t="s">
        <v>1049</v>
      </c>
      <c r="C215" s="116">
        <v>0</v>
      </c>
      <c r="D215" s="116">
        <v>441573.53</v>
      </c>
      <c r="E215" s="116">
        <v>0</v>
      </c>
      <c r="F215" s="116">
        <v>441573.53</v>
      </c>
      <c r="G215" s="43" t="str">
        <f>_xlfn.XLOOKUP($A215,Map!$A:$A,Map!C:C)</f>
        <v>IS</v>
      </c>
      <c r="H215" s="43" t="str">
        <f>_xlfn.XLOOKUP($A215,Map!$A:$A,Map!D:D)</f>
        <v>General and Admin</v>
      </c>
      <c r="I215" s="43" t="str">
        <f>_xlfn.XLOOKUP($A215,Map!$A:$A,Map!E:E)</f>
        <v>Training</v>
      </c>
      <c r="J215" s="43" t="str">
        <f>_xlfn.XLOOKUP($A215,Map!$A:$A,Map!F:F)</f>
        <v>Training</v>
      </c>
    </row>
    <row r="216" spans="1:10" x14ac:dyDescent="0.25">
      <c r="A216">
        <v>700028</v>
      </c>
      <c r="B216" t="s">
        <v>1050</v>
      </c>
      <c r="C216" s="116">
        <v>0</v>
      </c>
      <c r="D216" s="116">
        <v>2586.23</v>
      </c>
      <c r="E216" s="116">
        <v>123</v>
      </c>
      <c r="F216" s="116">
        <v>2463.23</v>
      </c>
      <c r="G216" s="43" t="str">
        <f>_xlfn.XLOOKUP($A216,Map!$A:$A,Map!C:C)</f>
        <v>IS</v>
      </c>
      <c r="H216" s="43" t="str">
        <f>_xlfn.XLOOKUP($A216,Map!$A:$A,Map!D:D)</f>
        <v>General and Admin</v>
      </c>
      <c r="I216" s="43" t="str">
        <f>_xlfn.XLOOKUP($A216,Map!$A:$A,Map!E:E)</f>
        <v xml:space="preserve">Back office Support </v>
      </c>
      <c r="J216" s="43" t="str">
        <f>_xlfn.XLOOKUP($A216,Map!$A:$A,Map!F:F)</f>
        <v>Stationery expenses</v>
      </c>
    </row>
    <row r="217" spans="1:10" x14ac:dyDescent="0.25">
      <c r="A217">
        <v>700029</v>
      </c>
      <c r="B217" t="s">
        <v>1051</v>
      </c>
      <c r="C217" s="116">
        <v>0</v>
      </c>
      <c r="D217" s="116">
        <v>5568.5</v>
      </c>
      <c r="E217" s="116">
        <v>0</v>
      </c>
      <c r="F217" s="116">
        <v>5568.5</v>
      </c>
      <c r="G217" s="43" t="str">
        <f>_xlfn.XLOOKUP($A217,Map!$A:$A,Map!C:C)</f>
        <v>IS</v>
      </c>
      <c r="H217" s="43" t="str">
        <f>_xlfn.XLOOKUP($A217,Map!$A:$A,Map!D:D)</f>
        <v>General and Admin</v>
      </c>
      <c r="I217" s="43" t="str">
        <f>_xlfn.XLOOKUP($A217,Map!$A:$A,Map!E:E)</f>
        <v>Utilities</v>
      </c>
      <c r="J217" s="43" t="str">
        <f>_xlfn.XLOOKUP($A217,Map!$A:$A,Map!F:F)</f>
        <v xml:space="preserve">Postage &amp; Printing </v>
      </c>
    </row>
    <row r="218" spans="1:10" x14ac:dyDescent="0.25">
      <c r="A218">
        <v>700030</v>
      </c>
      <c r="B218" t="s">
        <v>1052</v>
      </c>
      <c r="C218" s="116">
        <v>0</v>
      </c>
      <c r="D218" s="116">
        <v>11204</v>
      </c>
      <c r="E218" s="116">
        <v>875</v>
      </c>
      <c r="F218" s="116">
        <v>10329</v>
      </c>
      <c r="G218" s="43" t="str">
        <f>_xlfn.XLOOKUP($A218,Map!$A:$A,Map!C:C)</f>
        <v>IS</v>
      </c>
      <c r="H218" s="43" t="str">
        <f>_xlfn.XLOOKUP($A218,Map!$A:$A,Map!D:D)</f>
        <v>General and Admin</v>
      </c>
      <c r="I218" s="43" t="str">
        <f>_xlfn.XLOOKUP($A218,Map!$A:$A,Map!E:E)</f>
        <v>Utilities</v>
      </c>
      <c r="J218" s="43" t="str">
        <f>_xlfn.XLOOKUP($A218,Map!$A:$A,Map!F:F)</f>
        <v>Building maintenance</v>
      </c>
    </row>
    <row r="219" spans="1:10" x14ac:dyDescent="0.25">
      <c r="A219">
        <v>700031</v>
      </c>
      <c r="B219" t="s">
        <v>1053</v>
      </c>
      <c r="C219" s="116">
        <v>0</v>
      </c>
      <c r="D219" s="116">
        <v>7586</v>
      </c>
      <c r="E219" s="116">
        <v>0</v>
      </c>
      <c r="F219" s="116">
        <v>7586</v>
      </c>
      <c r="G219" s="43" t="str">
        <f>_xlfn.XLOOKUP($A219,Map!$A:$A,Map!C:C)</f>
        <v>IS</v>
      </c>
      <c r="H219" s="43" t="str">
        <f>_xlfn.XLOOKUP($A219,Map!$A:$A,Map!D:D)</f>
        <v>General and Admin</v>
      </c>
      <c r="I219" s="43" t="str">
        <f>_xlfn.XLOOKUP($A219,Map!$A:$A,Map!E:E)</f>
        <v>Utilities</v>
      </c>
      <c r="J219" s="43" t="str">
        <f>_xlfn.XLOOKUP($A219,Map!$A:$A,Map!F:F)</f>
        <v>Office equipment maintenance</v>
      </c>
    </row>
    <row r="220" spans="1:10" x14ac:dyDescent="0.25">
      <c r="A220">
        <v>700032</v>
      </c>
      <c r="B220" t="s">
        <v>1054</v>
      </c>
      <c r="C220" s="116">
        <v>0</v>
      </c>
      <c r="D220" s="116">
        <v>87230.213000000003</v>
      </c>
      <c r="E220" s="116">
        <v>11334.2</v>
      </c>
      <c r="F220" s="116">
        <v>75896.013000000006</v>
      </c>
      <c r="G220" s="43" t="str">
        <f>_xlfn.XLOOKUP($A220,Map!$A:$A,Map!C:C)</f>
        <v>IS</v>
      </c>
      <c r="H220" s="43" t="str">
        <f>_xlfn.XLOOKUP($A220,Map!$A:$A,Map!D:D)</f>
        <v>General and Admin</v>
      </c>
      <c r="I220" s="43" t="str">
        <f>_xlfn.XLOOKUP($A220,Map!$A:$A,Map!E:E)</f>
        <v>Utilities</v>
      </c>
      <c r="J220" s="43" t="str">
        <f>_xlfn.XLOOKUP($A220,Map!$A:$A,Map!F:F)</f>
        <v>Vehicle maintenance</v>
      </c>
    </row>
    <row r="221" spans="1:10" x14ac:dyDescent="0.25">
      <c r="A221">
        <v>700033</v>
      </c>
      <c r="B221" t="s">
        <v>1055</v>
      </c>
      <c r="C221" s="116">
        <v>0</v>
      </c>
      <c r="D221" s="116">
        <v>57659.377999999997</v>
      </c>
      <c r="E221" s="116">
        <v>0</v>
      </c>
      <c r="F221" s="116">
        <v>57659.377999999997</v>
      </c>
      <c r="G221" s="43" t="str">
        <f>_xlfn.XLOOKUP($A221,Map!$A:$A,Map!C:C)</f>
        <v>IS</v>
      </c>
      <c r="H221" s="43" t="str">
        <f>_xlfn.XLOOKUP($A221,Map!$A:$A,Map!D:D)</f>
        <v>General and Admin</v>
      </c>
      <c r="I221" s="43" t="str">
        <f>_xlfn.XLOOKUP($A221,Map!$A:$A,Map!E:E)</f>
        <v>Utilities</v>
      </c>
      <c r="J221" s="43" t="str">
        <f>_xlfn.XLOOKUP($A221,Map!$A:$A,Map!F:F)</f>
        <v>Fuel and oil</v>
      </c>
    </row>
    <row r="222" spans="1:10" x14ac:dyDescent="0.25">
      <c r="A222">
        <v>700034</v>
      </c>
      <c r="B222" t="s">
        <v>1056</v>
      </c>
      <c r="C222" s="116">
        <v>0</v>
      </c>
      <c r="D222" s="116">
        <v>43643.508000000002</v>
      </c>
      <c r="E222" s="116">
        <v>4243.45</v>
      </c>
      <c r="F222" s="116">
        <v>39400.057999999997</v>
      </c>
      <c r="G222" s="43" t="str">
        <f>_xlfn.XLOOKUP($A222,Map!$A:$A,Map!C:C)</f>
        <v>IS</v>
      </c>
      <c r="H222" s="43" t="str">
        <f>_xlfn.XLOOKUP($A222,Map!$A:$A,Map!D:D)</f>
        <v>General and Admin</v>
      </c>
      <c r="I222" s="43" t="str">
        <f>_xlfn.XLOOKUP($A222,Map!$A:$A,Map!E:E)</f>
        <v xml:space="preserve">Back office Support </v>
      </c>
      <c r="J222" s="43" t="str">
        <f>_xlfn.XLOOKUP($A222,Map!$A:$A,Map!F:F)</f>
        <v>Consumables</v>
      </c>
    </row>
    <row r="223" spans="1:10" x14ac:dyDescent="0.25">
      <c r="A223">
        <v>700035</v>
      </c>
      <c r="B223" t="s">
        <v>1057</v>
      </c>
      <c r="C223" s="116">
        <v>0</v>
      </c>
      <c r="D223" s="116">
        <v>0</v>
      </c>
      <c r="E223" s="116">
        <v>1573353</v>
      </c>
      <c r="F223" s="116">
        <v>-1573353</v>
      </c>
      <c r="G223" s="43" t="str">
        <f>_xlfn.XLOOKUP($A223,Map!$A:$A,Map!C:C)</f>
        <v>IS</v>
      </c>
      <c r="H223" s="43" t="str">
        <f>_xlfn.XLOOKUP($A223,Map!$A:$A,Map!D:D)</f>
        <v>General and Admin</v>
      </c>
      <c r="I223" s="43" t="str">
        <f>_xlfn.XLOOKUP($A223,Map!$A:$A,Map!E:E)</f>
        <v>Actuarial gains and losses</v>
      </c>
      <c r="J223" s="43" t="str">
        <f>_xlfn.XLOOKUP($A223,Map!$A:$A,Map!F:F)</f>
        <v>Other general and administrative expenses</v>
      </c>
    </row>
    <row r="224" spans="1:10" x14ac:dyDescent="0.25">
      <c r="A224">
        <v>700036</v>
      </c>
      <c r="B224" t="s">
        <v>1058</v>
      </c>
      <c r="C224" s="116">
        <v>0</v>
      </c>
      <c r="D224" s="116">
        <v>55533.06</v>
      </c>
      <c r="E224" s="116">
        <v>0</v>
      </c>
      <c r="F224" s="116">
        <v>55533.06</v>
      </c>
      <c r="G224" s="43" t="str">
        <f>_xlfn.XLOOKUP($A224,Map!$A:$A,Map!C:C)</f>
        <v>IS</v>
      </c>
      <c r="H224" s="43" t="str">
        <f>_xlfn.XLOOKUP($A224,Map!$A:$A,Map!D:D)</f>
        <v>General and Admin</v>
      </c>
      <c r="I224" s="43" t="str">
        <f>_xlfn.XLOOKUP($A224,Map!$A:$A,Map!E:E)</f>
        <v>Utilities</v>
      </c>
      <c r="J224" s="43" t="str">
        <f>_xlfn.XLOOKUP($A224,Map!$A:$A,Map!F:F)</f>
        <v>Vehicle insurance</v>
      </c>
    </row>
    <row r="225" spans="1:10" x14ac:dyDescent="0.25">
      <c r="A225">
        <v>700037</v>
      </c>
      <c r="B225" t="s">
        <v>1059</v>
      </c>
      <c r="C225" s="116">
        <v>0</v>
      </c>
      <c r="D225" s="116">
        <v>0</v>
      </c>
      <c r="E225" s="116">
        <v>0</v>
      </c>
      <c r="F225" s="116">
        <v>0</v>
      </c>
      <c r="G225" s="43" t="str">
        <f>_xlfn.XLOOKUP($A225,Map!$A:$A,Map!C:C)</f>
        <v>IS</v>
      </c>
      <c r="H225" s="43" t="str">
        <f>_xlfn.XLOOKUP($A225,Map!$A:$A,Map!D:D)</f>
        <v>Finance cost</v>
      </c>
      <c r="I225" s="43" t="str">
        <f>_xlfn.XLOOKUP($A225,Map!$A:$A,Map!E:E)</f>
        <v>Finance cost</v>
      </c>
      <c r="J225" s="43" t="str">
        <f>_xlfn.XLOOKUP($A225,Map!$A:$A,Map!F:F)</f>
        <v>Lease interest</v>
      </c>
    </row>
    <row r="226" spans="1:10" x14ac:dyDescent="0.25">
      <c r="A226">
        <v>700038</v>
      </c>
      <c r="B226" t="s">
        <v>1060</v>
      </c>
      <c r="C226" s="116">
        <v>0</v>
      </c>
      <c r="D226" s="116">
        <v>1269267.5160000001</v>
      </c>
      <c r="E226" s="116">
        <v>123075.56</v>
      </c>
      <c r="F226" s="116">
        <v>1146191.956</v>
      </c>
      <c r="G226" s="43" t="str">
        <f>_xlfn.XLOOKUP($A226,Map!$A:$A,Map!C:C)</f>
        <v>IS</v>
      </c>
      <c r="H226" s="43" t="str">
        <f>_xlfn.XLOOKUP($A226,Map!$A:$A,Map!D:D)</f>
        <v>General and Admin</v>
      </c>
      <c r="I226" s="43" t="str">
        <f>_xlfn.XLOOKUP($A226,Map!$A:$A,Map!E:E)</f>
        <v>Business travel</v>
      </c>
      <c r="J226" s="43" t="str">
        <f>_xlfn.XLOOKUP($A226,Map!$A:$A,Map!F:F)</f>
        <v>Bussiness trip expenses</v>
      </c>
    </row>
    <row r="227" spans="1:10" x14ac:dyDescent="0.25">
      <c r="A227">
        <v>700039</v>
      </c>
      <c r="B227" t="s">
        <v>1061</v>
      </c>
      <c r="C227" s="116">
        <v>0</v>
      </c>
      <c r="D227" s="116">
        <v>11842.34</v>
      </c>
      <c r="E227" s="116">
        <v>80</v>
      </c>
      <c r="F227" s="116">
        <v>11762.34</v>
      </c>
      <c r="G227" s="43" t="str">
        <f>_xlfn.XLOOKUP($A227,Map!$A:$A,Map!C:C)</f>
        <v>IS</v>
      </c>
      <c r="H227" s="43" t="str">
        <f>_xlfn.XLOOKUP($A227,Map!$A:$A,Map!D:D)</f>
        <v>Selling and Marketing</v>
      </c>
      <c r="I227" s="43" t="str">
        <f>_xlfn.XLOOKUP($A227,Map!$A:$A,Map!E:E)</f>
        <v>Buffet expenses</v>
      </c>
      <c r="J227" s="43" t="str">
        <f>_xlfn.XLOOKUP($A227,Map!$A:$A,Map!F:F)</f>
        <v>Buffet expenses</v>
      </c>
    </row>
    <row r="228" spans="1:10" x14ac:dyDescent="0.25">
      <c r="A228">
        <v>700040</v>
      </c>
      <c r="B228" t="s">
        <v>1062</v>
      </c>
      <c r="C228" s="116">
        <v>0</v>
      </c>
      <c r="D228" s="116">
        <v>187744.17</v>
      </c>
      <c r="E228" s="116">
        <v>0</v>
      </c>
      <c r="F228" s="116">
        <v>187744.17</v>
      </c>
      <c r="G228" s="43" t="str">
        <f>_xlfn.XLOOKUP($A228,Map!$A:$A,Map!C:C)</f>
        <v>IS</v>
      </c>
      <c r="H228" s="43" t="str">
        <f>_xlfn.XLOOKUP($A228,Map!$A:$A,Map!D:D)</f>
        <v>General and Admin</v>
      </c>
      <c r="I228" s="43" t="str">
        <f>_xlfn.XLOOKUP($A228,Map!$A:$A,Map!E:E)</f>
        <v>Utilities</v>
      </c>
      <c r="J228" s="43" t="str">
        <f>_xlfn.XLOOKUP($A228,Map!$A:$A,Map!F:F)</f>
        <v xml:space="preserve">Cleaning Expenses </v>
      </c>
    </row>
    <row r="229" spans="1:10" x14ac:dyDescent="0.25">
      <c r="A229">
        <v>700041</v>
      </c>
      <c r="B229" t="s">
        <v>1063</v>
      </c>
      <c r="C229" s="116">
        <v>0</v>
      </c>
      <c r="D229" s="116">
        <v>278873.55099999998</v>
      </c>
      <c r="E229" s="116">
        <v>231024</v>
      </c>
      <c r="F229" s="116">
        <v>47849.550999999999</v>
      </c>
      <c r="G229" s="43" t="str">
        <f>_xlfn.XLOOKUP($A229,Map!$A:$A,Map!C:C)</f>
        <v>IS</v>
      </c>
      <c r="H229" s="43" t="str">
        <f>_xlfn.XLOOKUP($A229,Map!$A:$A,Map!D:D)</f>
        <v>General and Admin</v>
      </c>
      <c r="I229" s="43" t="str">
        <f>_xlfn.XLOOKUP($A229,Map!$A:$A,Map!E:E)</f>
        <v>Salaries and wages</v>
      </c>
      <c r="J229" s="43" t="str">
        <f>_xlfn.XLOOKUP($A229,Map!$A:$A,Map!F:F)</f>
        <v>Recruitment</v>
      </c>
    </row>
    <row r="230" spans="1:10" x14ac:dyDescent="0.25">
      <c r="A230">
        <v>700042</v>
      </c>
      <c r="B230" t="s">
        <v>1064</v>
      </c>
      <c r="C230" s="116">
        <v>0</v>
      </c>
      <c r="D230" s="116">
        <v>33334</v>
      </c>
      <c r="E230" s="116">
        <v>33334</v>
      </c>
      <c r="F230" s="116">
        <v>0</v>
      </c>
      <c r="G230" s="43" t="str">
        <f>_xlfn.XLOOKUP($A230,Map!$A:$A,Map!C:C)</f>
        <v>IS</v>
      </c>
      <c r="H230" s="43" t="str">
        <f>_xlfn.XLOOKUP($A230,Map!$A:$A,Map!D:D)</f>
        <v>General and Admin</v>
      </c>
      <c r="I230" s="43" t="str">
        <f>_xlfn.XLOOKUP($A230,Map!$A:$A,Map!E:E)</f>
        <v xml:space="preserve">Back office Support </v>
      </c>
      <c r="J230" s="43" t="str">
        <f>_xlfn.XLOOKUP($A230,Map!$A:$A,Map!F:F)</f>
        <v>Other expenses</v>
      </c>
    </row>
    <row r="231" spans="1:10" x14ac:dyDescent="0.25">
      <c r="A231">
        <v>700043</v>
      </c>
      <c r="B231" t="s">
        <v>1065</v>
      </c>
      <c r="C231" s="116">
        <v>0</v>
      </c>
      <c r="D231" s="116">
        <v>111808.7</v>
      </c>
      <c r="E231" s="116">
        <v>0</v>
      </c>
      <c r="F231" s="116">
        <v>111808.7</v>
      </c>
      <c r="G231" s="43" t="str">
        <f>_xlfn.XLOOKUP($A231,Map!$A:$A,Map!C:C)</f>
        <v>IS</v>
      </c>
      <c r="H231" s="43" t="str">
        <f>_xlfn.XLOOKUP($A231,Map!$A:$A,Map!D:D)</f>
        <v>General and Admin</v>
      </c>
      <c r="I231" s="43" t="str">
        <f>_xlfn.XLOOKUP($A231,Map!$A:$A,Map!E:E)</f>
        <v>Govt license and fees (including modon)</v>
      </c>
      <c r="J231" s="43" t="str">
        <f>_xlfn.XLOOKUP($A231,Map!$A:$A,Map!F:F)</f>
        <v>Licenses and fees</v>
      </c>
    </row>
    <row r="232" spans="1:10" x14ac:dyDescent="0.25">
      <c r="A232">
        <v>700044</v>
      </c>
      <c r="B232" t="s">
        <v>1066</v>
      </c>
      <c r="C232" s="116">
        <v>0</v>
      </c>
      <c r="D232" s="116">
        <v>38868</v>
      </c>
      <c r="E232" s="116">
        <v>210</v>
      </c>
      <c r="F232" s="116">
        <v>38658</v>
      </c>
      <c r="G232" s="43" t="str">
        <f>_xlfn.XLOOKUP($A232,Map!$A:$A,Map!C:C)</f>
        <v>IS</v>
      </c>
      <c r="H232" s="43" t="str">
        <f>_xlfn.XLOOKUP($A232,Map!$A:$A,Map!D:D)</f>
        <v>General and Admin</v>
      </c>
      <c r="I232" s="43" t="str">
        <f>_xlfn.XLOOKUP($A232,Map!$A:$A,Map!E:E)</f>
        <v>Govt license and fees (including modon)</v>
      </c>
      <c r="J232" s="43" t="str">
        <f>_xlfn.XLOOKUP($A232,Map!$A:$A,Map!F:F)</f>
        <v>Government fees</v>
      </c>
    </row>
    <row r="233" spans="1:10" x14ac:dyDescent="0.25">
      <c r="A233">
        <v>700045</v>
      </c>
      <c r="B233" t="s">
        <v>1067</v>
      </c>
      <c r="C233" s="116">
        <v>0</v>
      </c>
      <c r="D233" s="116">
        <v>9569876.6449999996</v>
      </c>
      <c r="E233" s="116">
        <v>1897669.503</v>
      </c>
      <c r="F233" s="116">
        <v>7672207.142</v>
      </c>
      <c r="G233" s="43" t="str">
        <f>_xlfn.XLOOKUP($A233,Map!$A:$A,Map!C:C)</f>
        <v>IS</v>
      </c>
      <c r="H233" s="43" t="str">
        <f>_xlfn.XLOOKUP($A233,Map!$A:$A,Map!D:D)</f>
        <v>Finance cost</v>
      </c>
      <c r="I233" s="43" t="str">
        <f>_xlfn.XLOOKUP($A233,Map!$A:$A,Map!E:E)</f>
        <v>Finance cost</v>
      </c>
      <c r="J233" s="43" t="str">
        <f>_xlfn.XLOOKUP($A233,Map!$A:$A,Map!F:F)</f>
        <v>Bank charges</v>
      </c>
    </row>
    <row r="234" spans="1:10" x14ac:dyDescent="0.25">
      <c r="A234">
        <v>700048</v>
      </c>
      <c r="B234" t="s">
        <v>1069</v>
      </c>
      <c r="C234" s="116">
        <v>0</v>
      </c>
      <c r="D234" s="116">
        <v>10171.629999999999</v>
      </c>
      <c r="E234" s="116">
        <v>610.59</v>
      </c>
      <c r="F234" s="116">
        <v>9561.0400000000009</v>
      </c>
      <c r="G234" s="43" t="str">
        <f>_xlfn.XLOOKUP($A234,Map!$A:$A,Map!C:C)</f>
        <v>IS</v>
      </c>
      <c r="H234" s="43" t="str">
        <f>_xlfn.XLOOKUP($A234,Map!$A:$A,Map!D:D)</f>
        <v>Zakat</v>
      </c>
      <c r="I234" s="43" t="str">
        <f>_xlfn.XLOOKUP($A234,Map!$A:$A,Map!E:E)</f>
        <v>Zakat expenses</v>
      </c>
      <c r="J234" s="43" t="str">
        <f>_xlfn.XLOOKUP($A234,Map!$A:$A,Map!F:F)</f>
        <v>Zakat expenses</v>
      </c>
    </row>
    <row r="235" spans="1:10" x14ac:dyDescent="0.25">
      <c r="A235">
        <v>700049</v>
      </c>
      <c r="B235" t="s">
        <v>1070</v>
      </c>
      <c r="C235" s="116">
        <v>0</v>
      </c>
      <c r="D235" s="116">
        <v>0</v>
      </c>
      <c r="E235" s="116">
        <v>0</v>
      </c>
      <c r="F235" s="116">
        <v>0</v>
      </c>
      <c r="G235" s="43" t="str">
        <f>_xlfn.XLOOKUP($A235,Map!$A:$A,Map!C:C)</f>
        <v>IS</v>
      </c>
      <c r="H235" s="43" t="str">
        <f>_xlfn.XLOOKUP($A235,Map!$A:$A,Map!D:D)</f>
        <v>General and Admin</v>
      </c>
      <c r="I235" s="43" t="str">
        <f>_xlfn.XLOOKUP($A235,Map!$A:$A,Map!E:E)</f>
        <v>Salaries and wages</v>
      </c>
      <c r="J235" s="43" t="str">
        <f>_xlfn.XLOOKUP($A235,Map!$A:$A,Map!F:F)</f>
        <v>Sadagat expense</v>
      </c>
    </row>
    <row r="236" spans="1:10" x14ac:dyDescent="0.25">
      <c r="A236">
        <v>700050</v>
      </c>
      <c r="B236" t="s">
        <v>1071</v>
      </c>
      <c r="C236" s="116">
        <v>0</v>
      </c>
      <c r="D236" s="116">
        <v>0</v>
      </c>
      <c r="E236" s="116">
        <v>0</v>
      </c>
      <c r="F236" s="116">
        <v>0</v>
      </c>
      <c r="G236" s="43" t="str">
        <f>_xlfn.XLOOKUP($A236,Map!$A:$A,Map!C:C)</f>
        <v>IS</v>
      </c>
      <c r="H236" s="43" t="str">
        <f>_xlfn.XLOOKUP($A236,Map!$A:$A,Map!D:D)</f>
        <v>Depreciation expenses</v>
      </c>
      <c r="I236" s="43" t="str">
        <f>_xlfn.XLOOKUP($A236,Map!$A:$A,Map!E:E)</f>
        <v>Depreciation expenses</v>
      </c>
      <c r="J236" s="43" t="str">
        <f>_xlfn.XLOOKUP($A236,Map!$A:$A,Map!F:F)</f>
        <v>Depreciation of property, plant and equipment</v>
      </c>
    </row>
    <row r="237" spans="1:10" x14ac:dyDescent="0.25">
      <c r="A237">
        <v>700052</v>
      </c>
      <c r="B237" t="s">
        <v>1073</v>
      </c>
      <c r="C237" s="116">
        <v>0</v>
      </c>
      <c r="D237" s="116">
        <v>0</v>
      </c>
      <c r="E237" s="116">
        <v>0</v>
      </c>
      <c r="F237" s="116">
        <v>0</v>
      </c>
      <c r="G237" s="43" t="str">
        <f>_xlfn.XLOOKUP($A237,Map!$A:$A,Map!C:C)</f>
        <v>IS</v>
      </c>
      <c r="H237" s="43" t="str">
        <f>_xlfn.XLOOKUP($A237,Map!$A:$A,Map!D:D)</f>
        <v>Depreciation expenses</v>
      </c>
      <c r="I237" s="43" t="str">
        <f>_xlfn.XLOOKUP($A237,Map!$A:$A,Map!E:E)</f>
        <v>Depreciation expenses</v>
      </c>
      <c r="J237" s="43" t="str">
        <f>_xlfn.XLOOKUP($A237,Map!$A:$A,Map!F:F)</f>
        <v>Depreciation of property, plant and equipment</v>
      </c>
    </row>
    <row r="238" spans="1:10" x14ac:dyDescent="0.25">
      <c r="A238">
        <v>700053</v>
      </c>
      <c r="B238" t="s">
        <v>1074</v>
      </c>
      <c r="C238" s="116">
        <v>0</v>
      </c>
      <c r="D238" s="116">
        <v>0</v>
      </c>
      <c r="E238" s="116">
        <v>0</v>
      </c>
      <c r="F238" s="116">
        <v>0</v>
      </c>
      <c r="G238" s="43" t="str">
        <f>_xlfn.XLOOKUP($A238,Map!$A:$A,Map!C:C)</f>
        <v>IS</v>
      </c>
      <c r="H238" s="43" t="str">
        <f>_xlfn.XLOOKUP($A238,Map!$A:$A,Map!D:D)</f>
        <v>Depreciation expenses</v>
      </c>
      <c r="I238" s="43" t="str">
        <f>_xlfn.XLOOKUP($A238,Map!$A:$A,Map!E:E)</f>
        <v>Depreciation expenses</v>
      </c>
      <c r="J238" s="43" t="str">
        <f>_xlfn.XLOOKUP($A238,Map!$A:$A,Map!F:F)</f>
        <v>Depreciation of property, plant and equipment</v>
      </c>
    </row>
    <row r="239" spans="1:10" x14ac:dyDescent="0.25">
      <c r="A239">
        <v>700054</v>
      </c>
      <c r="B239" t="s">
        <v>1075</v>
      </c>
      <c r="C239" s="116">
        <v>0</v>
      </c>
      <c r="D239" s="116">
        <v>164512.57</v>
      </c>
      <c r="E239" s="116">
        <v>0</v>
      </c>
      <c r="F239" s="116">
        <v>164512.57</v>
      </c>
      <c r="G239" s="43" t="str">
        <f>_xlfn.XLOOKUP($A239,Map!$A:$A,Map!C:C)</f>
        <v>IS</v>
      </c>
      <c r="H239" s="43" t="str">
        <f>_xlfn.XLOOKUP($A239,Map!$A:$A,Map!D:D)</f>
        <v>Depreciation expenses</v>
      </c>
      <c r="I239" s="43" t="str">
        <f>_xlfn.XLOOKUP($A239,Map!$A:$A,Map!E:E)</f>
        <v>Depreciation expenses</v>
      </c>
      <c r="J239" s="43" t="str">
        <f>_xlfn.XLOOKUP($A239,Map!$A:$A,Map!F:F)</f>
        <v>Depreciation of property, plant and equipment</v>
      </c>
    </row>
    <row r="240" spans="1:10" x14ac:dyDescent="0.25">
      <c r="A240">
        <v>700055</v>
      </c>
      <c r="B240" t="s">
        <v>1076</v>
      </c>
      <c r="C240" s="116">
        <v>0</v>
      </c>
      <c r="D240" s="116">
        <v>265483.67099999997</v>
      </c>
      <c r="E240" s="116">
        <v>1604.1859999999999</v>
      </c>
      <c r="F240" s="116">
        <v>263879.48499999999</v>
      </c>
      <c r="G240" s="43" t="str">
        <f>_xlfn.XLOOKUP($A240,Map!$A:$A,Map!C:C)</f>
        <v>IS</v>
      </c>
      <c r="H240" s="43" t="str">
        <f>_xlfn.XLOOKUP($A240,Map!$A:$A,Map!D:D)</f>
        <v>Depreciation expenses</v>
      </c>
      <c r="I240" s="43" t="str">
        <f>_xlfn.XLOOKUP($A240,Map!$A:$A,Map!E:E)</f>
        <v>Depreciation expenses</v>
      </c>
      <c r="J240" s="43" t="str">
        <f>_xlfn.XLOOKUP($A240,Map!$A:$A,Map!F:F)</f>
        <v>Depreciation of property, plant and equipment</v>
      </c>
    </row>
    <row r="241" spans="1:10" x14ac:dyDescent="0.25">
      <c r="A241">
        <v>700056</v>
      </c>
      <c r="B241" t="s">
        <v>1077</v>
      </c>
      <c r="C241" s="116">
        <v>0</v>
      </c>
      <c r="D241" s="116">
        <v>0</v>
      </c>
      <c r="E241" s="116">
        <v>0</v>
      </c>
      <c r="F241" s="116">
        <v>0</v>
      </c>
      <c r="G241" s="43" t="str">
        <f>_xlfn.XLOOKUP($A241,Map!$A:$A,Map!C:C)</f>
        <v>IS</v>
      </c>
      <c r="H241" s="43" t="str">
        <f>_xlfn.XLOOKUP($A241,Map!$A:$A,Map!D:D)</f>
        <v>Depreciation expenses</v>
      </c>
      <c r="I241" s="43" t="str">
        <f>_xlfn.XLOOKUP($A241,Map!$A:$A,Map!E:E)</f>
        <v>Depreciation expenses</v>
      </c>
      <c r="J241" s="43" t="str">
        <f>_xlfn.XLOOKUP($A241,Map!$A:$A,Map!F:F)</f>
        <v>Depreciation of property, plant and equipment</v>
      </c>
    </row>
    <row r="242" spans="1:10" x14ac:dyDescent="0.25">
      <c r="A242">
        <v>700057</v>
      </c>
      <c r="B242" t="s">
        <v>1078</v>
      </c>
      <c r="C242" s="116">
        <v>0</v>
      </c>
      <c r="D242" s="116">
        <v>1058132.077</v>
      </c>
      <c r="E242" s="116">
        <v>813290.473</v>
      </c>
      <c r="F242" s="116">
        <v>244841.60399999999</v>
      </c>
      <c r="G242" s="43" t="str">
        <f>_xlfn.XLOOKUP($A242,Map!$A:$A,Map!C:C)</f>
        <v>IS</v>
      </c>
      <c r="H242" s="43" t="str">
        <f>_xlfn.XLOOKUP($A242,Map!$A:$A,Map!D:D)</f>
        <v>Cost of sales</v>
      </c>
      <c r="I242" s="43" t="str">
        <f>_xlfn.XLOOKUP($A242,Map!$A:$A,Map!E:E)</f>
        <v>Overhead - Rent</v>
      </c>
      <c r="J242" s="43" t="str">
        <f>_xlfn.XLOOKUP($A242,Map!$A:$A,Map!F:F)</f>
        <v>Warehouse Rent ( Khamis, Rioyadh, Dammam)</v>
      </c>
    </row>
    <row r="243" spans="1:10" x14ac:dyDescent="0.25">
      <c r="A243">
        <v>700058</v>
      </c>
      <c r="B243" t="s">
        <v>1079</v>
      </c>
      <c r="C243" s="116">
        <v>0</v>
      </c>
      <c r="D243" s="116">
        <v>173026.78700000001</v>
      </c>
      <c r="E243" s="116">
        <v>0</v>
      </c>
      <c r="F243" s="116">
        <v>173026.78700000001</v>
      </c>
      <c r="G243" s="43" t="str">
        <f>_xlfn.XLOOKUP($A243,Map!$A:$A,Map!C:C)</f>
        <v>IS</v>
      </c>
      <c r="H243" s="43" t="str">
        <f>_xlfn.XLOOKUP($A243,Map!$A:$A,Map!D:D)</f>
        <v>Selling and Marketing</v>
      </c>
      <c r="I243" s="43" t="str">
        <f>_xlfn.XLOOKUP($A243,Map!$A:$A,Map!E:E)</f>
        <v>Advertising and promotion expenses</v>
      </c>
      <c r="J243" s="43" t="str">
        <f>_xlfn.XLOOKUP($A243,Map!$A:$A,Map!F:F)</f>
        <v>Advertising and promotion expenses</v>
      </c>
    </row>
    <row r="244" spans="1:10" x14ac:dyDescent="0.25">
      <c r="A244">
        <v>700059</v>
      </c>
      <c r="B244" t="s">
        <v>1080</v>
      </c>
      <c r="C244" s="116">
        <v>0</v>
      </c>
      <c r="D244" s="116">
        <v>689954.65700000001</v>
      </c>
      <c r="E244" s="116">
        <v>33700.552000000003</v>
      </c>
      <c r="F244" s="116">
        <v>656254.10499999998</v>
      </c>
      <c r="G244" s="43" t="str">
        <f>_xlfn.XLOOKUP($A244,Map!$A:$A,Map!C:C)</f>
        <v>IS</v>
      </c>
      <c r="H244" s="43" t="str">
        <f>_xlfn.XLOOKUP($A244,Map!$A:$A,Map!D:D)</f>
        <v>Selling and Marketing</v>
      </c>
      <c r="I244" s="43" t="str">
        <f>_xlfn.XLOOKUP($A244,Map!$A:$A,Map!E:E)</f>
        <v>Exhibitions</v>
      </c>
      <c r="J244" s="43" t="str">
        <f>_xlfn.XLOOKUP($A244,Map!$A:$A,Map!F:F)</f>
        <v>Exhibitions</v>
      </c>
    </row>
    <row r="245" spans="1:10" x14ac:dyDescent="0.25">
      <c r="A245">
        <v>700060</v>
      </c>
      <c r="B245" t="s">
        <v>1081</v>
      </c>
      <c r="C245" s="116">
        <v>0</v>
      </c>
      <c r="D245" s="116">
        <v>2006803.5549999999</v>
      </c>
      <c r="E245" s="116">
        <v>3760</v>
      </c>
      <c r="F245" s="116">
        <v>2003043.5549999999</v>
      </c>
      <c r="G245" s="43" t="str">
        <f>_xlfn.XLOOKUP($A245,Map!$A:$A,Map!C:C)</f>
        <v>IS</v>
      </c>
      <c r="H245" s="43" t="str">
        <f>_xlfn.XLOOKUP($A245,Map!$A:$A,Map!D:D)</f>
        <v>Selling and Marketing</v>
      </c>
      <c r="I245" s="43" t="str">
        <f>_xlfn.XLOOKUP($A245,Map!$A:$A,Map!E:E)</f>
        <v>Freight and shipping expenses (S&amp;D)</v>
      </c>
      <c r="J245" s="43" t="str">
        <f>_xlfn.XLOOKUP($A245,Map!$A:$A,Map!F:F)</f>
        <v>Outbound freight / shipping — reclassified below gross profit under IFRS</v>
      </c>
    </row>
    <row r="246" spans="1:10" x14ac:dyDescent="0.25">
      <c r="A246">
        <v>700061</v>
      </c>
      <c r="B246" t="s">
        <v>1082</v>
      </c>
      <c r="C246" s="116">
        <v>0</v>
      </c>
      <c r="D246" s="116">
        <v>38359.550000000003</v>
      </c>
      <c r="E246" s="116">
        <v>0</v>
      </c>
      <c r="F246" s="116">
        <v>38359.550000000003</v>
      </c>
      <c r="G246" s="43" t="str">
        <f>_xlfn.XLOOKUP($A246,Map!$A:$A,Map!C:C)</f>
        <v>IS</v>
      </c>
      <c r="H246" s="43" t="str">
        <f>_xlfn.XLOOKUP($A246,Map!$A:$A,Map!D:D)</f>
        <v>Selling and Marketing</v>
      </c>
      <c r="I246" s="43" t="str">
        <f>_xlfn.XLOOKUP($A246,Map!$A:$A,Map!E:E)</f>
        <v>Commission expenses</v>
      </c>
      <c r="J246" s="43" t="str">
        <f>_xlfn.XLOOKUP($A246,Map!$A:$A,Map!F:F)</f>
        <v>Commission expenses</v>
      </c>
    </row>
    <row r="247" spans="1:10" x14ac:dyDescent="0.25">
      <c r="A247">
        <v>700062</v>
      </c>
      <c r="B247" t="s">
        <v>1083</v>
      </c>
      <c r="C247" s="116">
        <v>0</v>
      </c>
      <c r="D247" s="116">
        <v>720000</v>
      </c>
      <c r="E247" s="116">
        <v>5839898.5800000001</v>
      </c>
      <c r="F247" s="116">
        <v>-5119898.58</v>
      </c>
      <c r="G247" s="43" t="str">
        <f>_xlfn.XLOOKUP($A247,Map!$A:$A,Map!C:C)</f>
        <v>IS</v>
      </c>
      <c r="H247" s="43" t="str">
        <f>_xlfn.XLOOKUP($A247,Map!$A:$A,Map!D:D)</f>
        <v>Revised provision on Bad Debts</v>
      </c>
      <c r="I247" s="43" t="str">
        <f>_xlfn.XLOOKUP($A247,Map!$A:$A,Map!E:E)</f>
        <v>Bad debts expense</v>
      </c>
      <c r="J247" s="43" t="str">
        <f>_xlfn.XLOOKUP($A247,Map!$A:$A,Map!F:F)</f>
        <v>Bad debts expense</v>
      </c>
    </row>
    <row r="248" spans="1:10" x14ac:dyDescent="0.25">
      <c r="A248">
        <v>700063</v>
      </c>
      <c r="B248" t="s">
        <v>1084</v>
      </c>
      <c r="C248" s="116">
        <v>0</v>
      </c>
      <c r="D248" s="116">
        <v>955345.76</v>
      </c>
      <c r="E248" s="116">
        <v>375358.18</v>
      </c>
      <c r="F248" s="116">
        <v>579987.57999999996</v>
      </c>
      <c r="G248" s="43" t="str">
        <f>_xlfn.XLOOKUP($A248,Map!$A:$A,Map!C:C)</f>
        <v>IS</v>
      </c>
      <c r="H248" s="43" t="str">
        <f>_xlfn.XLOOKUP($A248,Map!$A:$A,Map!D:D)</f>
        <v>General and Admin</v>
      </c>
      <c r="I248" s="43" t="str">
        <f>_xlfn.XLOOKUP($A248,Map!$A:$A,Map!E:E)</f>
        <v>Salaries and wages</v>
      </c>
      <c r="J248" s="43" t="str">
        <f>_xlfn.XLOOKUP($A248,Map!$A:$A,Map!F:F)</f>
        <v>GOSI</v>
      </c>
    </row>
    <row r="249" spans="1:10" x14ac:dyDescent="0.25">
      <c r="A249">
        <v>700064</v>
      </c>
      <c r="B249" t="s">
        <v>1085</v>
      </c>
      <c r="C249" s="116">
        <v>0</v>
      </c>
      <c r="D249" s="116">
        <v>0</v>
      </c>
      <c r="E249" s="116">
        <v>0</v>
      </c>
      <c r="F249" s="116">
        <v>0</v>
      </c>
      <c r="G249" s="43" t="str">
        <f>_xlfn.XLOOKUP($A249,Map!$A:$A,Map!C:C)</f>
        <v>IS</v>
      </c>
      <c r="H249" s="43" t="str">
        <f>_xlfn.XLOOKUP($A249,Map!$A:$A,Map!D:D)</f>
        <v>Pre-operating expenses</v>
      </c>
      <c r="I249" s="43" t="str">
        <f>_xlfn.XLOOKUP($A249,Map!$A:$A,Map!E:E)</f>
        <v>Pre-operating expenses</v>
      </c>
      <c r="J249" s="43" t="str">
        <f>_xlfn.XLOOKUP($A249,Map!$A:$A,Map!F:F)</f>
        <v>Amortization</v>
      </c>
    </row>
    <row r="250" spans="1:10" x14ac:dyDescent="0.25">
      <c r="A250">
        <v>700065</v>
      </c>
      <c r="B250" t="s">
        <v>1086</v>
      </c>
      <c r="C250" s="116">
        <v>0</v>
      </c>
      <c r="D250" s="116">
        <v>44700</v>
      </c>
      <c r="E250" s="116">
        <v>0</v>
      </c>
      <c r="F250" s="116">
        <v>44700</v>
      </c>
      <c r="G250" s="43" t="str">
        <f>_xlfn.XLOOKUP($A250,Map!$A:$A,Map!C:C)</f>
        <v>IS</v>
      </c>
      <c r="H250" s="43" t="str">
        <f>_xlfn.XLOOKUP($A250,Map!$A:$A,Map!D:D)</f>
        <v>Finance cost</v>
      </c>
      <c r="I250" s="43" t="str">
        <f>_xlfn.XLOOKUP($A250,Map!$A:$A,Map!E:E)</f>
        <v>Finance cost</v>
      </c>
      <c r="J250" s="43" t="str">
        <f>_xlfn.XLOOKUP($A250,Map!$A:$A,Map!F:F)</f>
        <v>Lease interest</v>
      </c>
    </row>
    <row r="251" spans="1:10" x14ac:dyDescent="0.25">
      <c r="A251">
        <v>700066</v>
      </c>
      <c r="B251" t="s">
        <v>1087</v>
      </c>
      <c r="C251" s="116">
        <v>0</v>
      </c>
      <c r="D251" s="116">
        <v>109284.12</v>
      </c>
      <c r="E251" s="116">
        <v>0</v>
      </c>
      <c r="F251" s="116">
        <v>109284.12</v>
      </c>
      <c r="G251" s="43" t="str">
        <f>_xlfn.XLOOKUP($A251,Map!$A:$A,Map!C:C)</f>
        <v>IS</v>
      </c>
      <c r="H251" s="43" t="str">
        <f>_xlfn.XLOOKUP($A251,Map!$A:$A,Map!D:D)</f>
        <v>General and Admin</v>
      </c>
      <c r="I251" s="43" t="str">
        <f>_xlfn.XLOOKUP($A251,Map!$A:$A,Map!E:E)</f>
        <v>Govt license and fees (including modon)</v>
      </c>
      <c r="J251" s="43" t="str">
        <f>_xlfn.XLOOKUP($A251,Map!$A:$A,Map!F:F)</f>
        <v>3rd Industrial Area Lease Provision</v>
      </c>
    </row>
    <row r="252" spans="1:10" x14ac:dyDescent="0.25">
      <c r="A252">
        <v>700067</v>
      </c>
      <c r="B252" t="s">
        <v>1088</v>
      </c>
      <c r="C252" s="116">
        <v>0</v>
      </c>
      <c r="D252" s="116">
        <v>6021044.3820000002</v>
      </c>
      <c r="E252" s="116">
        <v>1715494.0870000001</v>
      </c>
      <c r="F252" s="116">
        <v>4305550.2949999999</v>
      </c>
      <c r="G252" s="43" t="str">
        <f>_xlfn.XLOOKUP($A252,Map!$A:$A,Map!C:C)</f>
        <v>IS</v>
      </c>
      <c r="H252" s="43" t="str">
        <f>_xlfn.XLOOKUP($A252,Map!$A:$A,Map!D:D)</f>
        <v>Selling and Marketing</v>
      </c>
      <c r="I252" s="43" t="str">
        <f>_xlfn.XLOOKUP($A252,Map!$A:$A,Map!E:E)</f>
        <v>Freight and shipping expenses (S&amp;D)</v>
      </c>
      <c r="J252" s="43" t="str">
        <f>_xlfn.XLOOKUP($A252,Map!$A:$A,Map!F:F)</f>
        <v>Outbound freight / shipping — reclassified below gross profit under IFRS</v>
      </c>
    </row>
    <row r="253" spans="1:10" x14ac:dyDescent="0.25">
      <c r="A253">
        <v>700068</v>
      </c>
      <c r="B253" t="s">
        <v>1089</v>
      </c>
      <c r="C253" s="116">
        <v>0</v>
      </c>
      <c r="D253" s="116">
        <v>84960.13</v>
      </c>
      <c r="E253" s="116">
        <v>0</v>
      </c>
      <c r="F253" s="116">
        <v>84960.13</v>
      </c>
      <c r="G253" s="43" t="str">
        <f>_xlfn.XLOOKUP($A253,Map!$A:$A,Map!C:C)</f>
        <v>IS</v>
      </c>
      <c r="H253" s="43" t="str">
        <f>_xlfn.XLOOKUP($A253,Map!$A:$A,Map!D:D)</f>
        <v>Cost of sales</v>
      </c>
      <c r="I253" s="43" t="str">
        <f>_xlfn.XLOOKUP($A253,Map!$A:$A,Map!E:E)</f>
        <v>Freight expenses</v>
      </c>
      <c r="J253" s="43" t="str">
        <f>_xlfn.XLOOKUP($A253,Map!$A:$A,Map!F:F)</f>
        <v>Freight expenses</v>
      </c>
    </row>
    <row r="254" spans="1:10" x14ac:dyDescent="0.25">
      <c r="A254">
        <v>700069</v>
      </c>
      <c r="B254" t="s">
        <v>1090</v>
      </c>
      <c r="C254" s="116">
        <v>0</v>
      </c>
      <c r="D254" s="116">
        <v>24243.5</v>
      </c>
      <c r="E254" s="116">
        <v>0</v>
      </c>
      <c r="F254" s="116">
        <v>24243.5</v>
      </c>
      <c r="G254" s="43" t="str">
        <f>_xlfn.XLOOKUP($A254,Map!$A:$A,Map!C:C)</f>
        <v>IS</v>
      </c>
      <c r="H254" s="43" t="str">
        <f>_xlfn.XLOOKUP($A254,Map!$A:$A,Map!D:D)</f>
        <v>General and Admin</v>
      </c>
      <c r="I254" s="43" t="str">
        <f>_xlfn.XLOOKUP($A254,Map!$A:$A,Map!E:E)</f>
        <v>Rent</v>
      </c>
      <c r="J254" s="43" t="str">
        <f>_xlfn.XLOOKUP($A254,Map!$A:$A,Map!F:F)</f>
        <v xml:space="preserve">Sales Office Rent (Dammam) </v>
      </c>
    </row>
    <row r="255" spans="1:10" x14ac:dyDescent="0.25">
      <c r="A255">
        <v>700074</v>
      </c>
      <c r="B255" t="s">
        <v>702</v>
      </c>
      <c r="C255" s="116">
        <v>0</v>
      </c>
      <c r="D255" s="116">
        <v>3614272.574</v>
      </c>
      <c r="E255" s="116">
        <v>465760.27600000001</v>
      </c>
      <c r="F255" s="116">
        <v>3148512.298</v>
      </c>
      <c r="G255" s="43" t="str">
        <f>_xlfn.XLOOKUP($A255,Map!$A:$A,Map!C:C)</f>
        <v>IS</v>
      </c>
      <c r="H255" s="43" t="str">
        <f>_xlfn.XLOOKUP($A255,Map!$A:$A,Map!D:D)</f>
        <v>General and Admin</v>
      </c>
      <c r="I255" s="43" t="str">
        <f>_xlfn.XLOOKUP($A255,Map!$A:$A,Map!E:E)</f>
        <v>Inventory Adjustment Expense</v>
      </c>
      <c r="J255" s="43" t="str">
        <f>_xlfn.XLOOKUP($A255,Map!$A:$A,Map!F:F)</f>
        <v>Inventory Adjustment Expense</v>
      </c>
    </row>
    <row r="256" spans="1:10" x14ac:dyDescent="0.25">
      <c r="A256">
        <v>800001</v>
      </c>
      <c r="B256" t="s">
        <v>1099</v>
      </c>
      <c r="C256" s="116">
        <v>0</v>
      </c>
      <c r="D256" s="116">
        <v>0</v>
      </c>
      <c r="E256" s="116">
        <v>0</v>
      </c>
      <c r="F256" s="116">
        <v>0</v>
      </c>
      <c r="G256" s="43" t="str">
        <f>_xlfn.XLOOKUP($A256,Map!$A:$A,Map!C:C)</f>
        <v>IS</v>
      </c>
      <c r="H256" s="43" t="str">
        <f>_xlfn.XLOOKUP($A256,Map!$A:$A,Map!D:D)</f>
        <v>General and Admin</v>
      </c>
      <c r="I256" s="43" t="str">
        <f>_xlfn.XLOOKUP($A256,Map!$A:$A,Map!E:E)</f>
        <v>Salaries and wages</v>
      </c>
      <c r="J256" s="43" t="str">
        <f>_xlfn.XLOOKUP($A256,Map!$A:$A,Map!F:F)</f>
        <v>Aims Holding current account expense — per Sep-26 IFRS report</v>
      </c>
    </row>
    <row r="257" spans="1:10" x14ac:dyDescent="0.25">
      <c r="A257">
        <v>800002</v>
      </c>
      <c r="B257" t="s">
        <v>1100</v>
      </c>
      <c r="C257" s="116">
        <v>0</v>
      </c>
      <c r="D257" s="116">
        <v>0</v>
      </c>
      <c r="E257" s="116">
        <v>0</v>
      </c>
      <c r="F257" s="116">
        <v>0</v>
      </c>
      <c r="G257" s="43" t="str">
        <f>_xlfn.XLOOKUP($A257,Map!$A:$A,Map!C:C)</f>
        <v>IS</v>
      </c>
      <c r="H257" s="43" t="str">
        <f>_xlfn.XLOOKUP($A257,Map!$A:$A,Map!D:D)</f>
        <v>General and Admin</v>
      </c>
      <c r="I257" s="43" t="str">
        <f>_xlfn.XLOOKUP($A257,Map!$A:$A,Map!E:E)</f>
        <v>AIMS expenses</v>
      </c>
      <c r="J257" s="43" t="str">
        <f>_xlfn.XLOOKUP($A257,Map!$A:$A,Map!F:F)</f>
        <v>Aims Holding  Current Acc</v>
      </c>
    </row>
    <row r="258" spans="1:10" x14ac:dyDescent="0.25">
      <c r="G258" s="43"/>
      <c r="H258" s="43"/>
      <c r="I258" s="43"/>
      <c r="J258" s="43"/>
    </row>
    <row r="259" spans="1:10" x14ac:dyDescent="0.25">
      <c r="C259" s="153">
        <f>SUBTOTAL(9,C5:C258)</f>
        <v>-1.4901161193847656E-8</v>
      </c>
      <c r="D259" s="153">
        <f>SUBTOTAL(9,D5:D258)</f>
        <v>3042260612.1460023</v>
      </c>
      <c r="E259" s="153">
        <f>SUBTOTAL(9,E5:E258)</f>
        <v>3042260612.145998</v>
      </c>
      <c r="F259" s="153">
        <f>SUBTOTAL(9,F5:F258)</f>
        <v>-5.7276338338851929E-8</v>
      </c>
    </row>
    <row r="260" spans="1:10" x14ac:dyDescent="0.25">
      <c r="C260" s="153"/>
      <c r="D260" s="153"/>
      <c r="E260" s="153"/>
      <c r="F260" s="153"/>
    </row>
    <row r="261" spans="1:10" x14ac:dyDescent="0.25">
      <c r="A261" s="85" t="s">
        <v>1341</v>
      </c>
    </row>
    <row r="262" spans="1:10" x14ac:dyDescent="0.25">
      <c r="A262">
        <v>170021</v>
      </c>
      <c r="B262" t="s">
        <v>883</v>
      </c>
      <c r="D262" s="154">
        <v>12531828.029999999</v>
      </c>
      <c r="F262" s="147">
        <f>D262-E262</f>
        <v>12531828.029999999</v>
      </c>
      <c r="G262" s="43" t="str">
        <f>_xlfn.XLOOKUP($A262,Map!$A:$A,Map!C:C)</f>
        <v>BS</v>
      </c>
      <c r="H262" s="43" t="str">
        <f>_xlfn.XLOOKUP($A262,Map!$A:$A,Map!D:D)</f>
        <v>Current Assets</v>
      </c>
      <c r="I262" s="43" t="str">
        <f>_xlfn.XLOOKUP($A262,Map!$A:$A,Map!E:E)</f>
        <v>Prepaid expenses</v>
      </c>
      <c r="J262" s="43" t="str">
        <f>_xlfn.XLOOKUP($A262,Map!$A:$A,Map!F:F)</f>
        <v>Prepaid expense</v>
      </c>
    </row>
    <row r="263" spans="1:10" x14ac:dyDescent="0.25">
      <c r="A263">
        <v>210001</v>
      </c>
      <c r="B263" t="s">
        <v>902</v>
      </c>
      <c r="E263" s="154">
        <f>D262</f>
        <v>12531828.029999999</v>
      </c>
      <c r="F263" s="147">
        <f>D263-E263</f>
        <v>-12531828.029999999</v>
      </c>
      <c r="G263" s="43" t="str">
        <f>_xlfn.XLOOKUP($A263,Map!$A:$A,Map!C:C)</f>
        <v>BS</v>
      </c>
      <c r="H263" s="43" t="str">
        <f>_xlfn.XLOOKUP($A263,Map!$A:$A,Map!D:D)</f>
        <v>Current Liabilities</v>
      </c>
      <c r="I263" s="43" t="str">
        <f>_xlfn.XLOOKUP($A263,Map!$A:$A,Map!E:E)</f>
        <v>Tade payables and Accuals &amp; other credit balances</v>
      </c>
      <c r="J263" s="43" t="str">
        <f>_xlfn.XLOOKUP($A263,Map!$A:$A,Map!F:F)</f>
        <v>Trade payables - Foreign</v>
      </c>
    </row>
    <row r="266" spans="1:10" x14ac:dyDescent="0.25">
      <c r="A266">
        <v>410001</v>
      </c>
      <c r="B266" t="s">
        <v>1344</v>
      </c>
      <c r="D266" s="88">
        <v>468484.03869999998</v>
      </c>
      <c r="E266" s="88"/>
      <c r="F266" s="147">
        <f>D266-E266</f>
        <v>468484.03869999998</v>
      </c>
      <c r="G266" s="43" t="str">
        <f>_xlfn.XLOOKUP($A266,Map!$A:$A,Map!C:C)</f>
        <v>IS</v>
      </c>
      <c r="H266" s="43" t="str">
        <f>_xlfn.XLOOKUP($A266,Map!$A:$A,Map!D:D)</f>
        <v>Sales</v>
      </c>
      <c r="I266" s="43" t="str">
        <f>_xlfn.XLOOKUP($A266,Map!$A:$A,Map!E:E)</f>
        <v>Sales</v>
      </c>
      <c r="J266" s="43" t="str">
        <f>_xlfn.XLOOKUP($A266,Map!$A:$A,Map!F:F)</f>
        <v>Trading revenue</v>
      </c>
    </row>
    <row r="267" spans="1:10" x14ac:dyDescent="0.25">
      <c r="A267">
        <v>510001</v>
      </c>
      <c r="B267" t="s">
        <v>1345</v>
      </c>
      <c r="D267" s="88"/>
      <c r="E267" s="88">
        <v>471602.52686895989</v>
      </c>
      <c r="F267" s="147">
        <f>D267-E267</f>
        <v>-471602.52686895989</v>
      </c>
      <c r="G267" s="43" t="str">
        <f>_xlfn.XLOOKUP($A267,Map!$A:$A,Map!C:C)</f>
        <v>IS</v>
      </c>
      <c r="H267" s="43" t="str">
        <f>_xlfn.XLOOKUP($A267,Map!$A:$A,Map!D:D)</f>
        <v>Cost of sales</v>
      </c>
      <c r="I267" s="43" t="str">
        <f>_xlfn.XLOOKUP($A267,Map!$A:$A,Map!E:E)</f>
        <v>Raw materials</v>
      </c>
      <c r="J267" s="43" t="str">
        <f>_xlfn.XLOOKUP($A267,Map!$A:$A,Map!F:F)</f>
        <v>Raw materials</v>
      </c>
    </row>
    <row r="269" spans="1:10" x14ac:dyDescent="0.25">
      <c r="A269">
        <v>700067</v>
      </c>
      <c r="B269" t="s">
        <v>1088</v>
      </c>
      <c r="E269" s="116">
        <f>SUMIF($A$4:$A$259,A269,$F$4:$F$259)</f>
        <v>4305550.2949999999</v>
      </c>
      <c r="F269" s="147">
        <f>D269-E269</f>
        <v>-4305550.2949999999</v>
      </c>
      <c r="G269" s="43" t="str">
        <f>_xlfn.XLOOKUP($A269,Map!$A:$A,Map!C:C)</f>
        <v>IS</v>
      </c>
      <c r="H269" s="43" t="str">
        <f>_xlfn.XLOOKUP($A269,Map!$A:$A,Map!D:D)</f>
        <v>Selling and Marketing</v>
      </c>
      <c r="I269" s="43" t="str">
        <f>_xlfn.XLOOKUP($A269,Map!$A:$A,Map!E:E)</f>
        <v>Freight and shipping expenses (S&amp;D)</v>
      </c>
      <c r="J269" s="43" t="str">
        <f>_xlfn.XLOOKUP($A269,Map!$A:$A,Map!F:F)</f>
        <v>Outbound freight / shipping — reclassified below gross profit under IFRS</v>
      </c>
    </row>
    <row r="270" spans="1:10" x14ac:dyDescent="0.25">
      <c r="A270">
        <v>700068</v>
      </c>
      <c r="B270" t="s">
        <v>1089</v>
      </c>
      <c r="E270" s="116">
        <f>SUMIF($A$4:$A$259,A270,$F$4:$F$259)</f>
        <v>84960.13</v>
      </c>
      <c r="F270" s="147">
        <f>D270-E270</f>
        <v>-84960.13</v>
      </c>
      <c r="G270" s="43" t="str">
        <f>_xlfn.XLOOKUP($A270,Map!$A:$A,Map!C:C)</f>
        <v>IS</v>
      </c>
      <c r="H270" s="43" t="str">
        <f>_xlfn.XLOOKUP($A270,Map!$A:$A,Map!D:D)</f>
        <v>Cost of sales</v>
      </c>
      <c r="I270" s="43" t="str">
        <f>_xlfn.XLOOKUP($A270,Map!$A:$A,Map!E:E)</f>
        <v>Freight expenses</v>
      </c>
      <c r="J270" s="43" t="str">
        <f>_xlfn.XLOOKUP($A270,Map!$A:$A,Map!F:F)</f>
        <v>Freight expenses</v>
      </c>
    </row>
  </sheetData>
  <autoFilter ref="A4:J263" xr:uid="{00000000-0009-0000-0000-000023000000}"/>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283"/>
  <sheetViews>
    <sheetView zoomScale="90" workbookViewId="0">
      <pane ySplit="251" topLeftCell="A252" activePane="bottomLeft" state="frozen"/>
      <selection pane="bottomLeft"/>
    </sheetView>
  </sheetViews>
  <sheetFormatPr defaultRowHeight="15" x14ac:dyDescent="0.25"/>
  <cols>
    <col min="1" max="1" width="13.42578125" customWidth="1"/>
    <col min="2" max="2" width="35.85546875" customWidth="1"/>
    <col min="3" max="3" width="17.28515625" customWidth="1"/>
    <col min="4" max="4" width="17.85546875" customWidth="1"/>
    <col min="6" max="6" width="17" customWidth="1"/>
    <col min="7" max="7" width="8.85546875" customWidth="1"/>
    <col min="8" max="8" width="26.7109375" customWidth="1"/>
    <col min="9" max="9" width="30.7109375" customWidth="1"/>
    <col min="10" max="10" width="20.5703125" customWidth="1"/>
    <col min="11" max="11" width="8.85546875" customWidth="1"/>
  </cols>
  <sheetData>
    <row r="1" spans="1:10" x14ac:dyDescent="0.25">
      <c r="A1" s="85" t="s">
        <v>1251</v>
      </c>
    </row>
    <row r="2" spans="1:10" x14ac:dyDescent="0.25">
      <c r="A2" s="85" t="s">
        <v>1201</v>
      </c>
    </row>
    <row r="4" spans="1:10" x14ac:dyDescent="0.25">
      <c r="A4" t="s">
        <v>808</v>
      </c>
      <c r="B4" t="s">
        <v>809</v>
      </c>
      <c r="C4" s="116" t="s">
        <v>810</v>
      </c>
      <c r="D4" s="116" t="s">
        <v>811</v>
      </c>
      <c r="E4" s="116" t="s">
        <v>812</v>
      </c>
      <c r="F4" s="116" t="s">
        <v>813</v>
      </c>
      <c r="G4" s="85" t="s">
        <v>814</v>
      </c>
      <c r="H4" s="85" t="s">
        <v>815</v>
      </c>
      <c r="I4" s="120" t="s">
        <v>722</v>
      </c>
      <c r="J4" s="120" t="s">
        <v>816</v>
      </c>
    </row>
    <row r="5" spans="1:10" x14ac:dyDescent="0.25">
      <c r="A5">
        <v>110001</v>
      </c>
      <c r="B5" t="s">
        <v>818</v>
      </c>
      <c r="C5" s="116">
        <v>0</v>
      </c>
      <c r="D5" s="116">
        <v>0</v>
      </c>
      <c r="E5" s="116">
        <v>0</v>
      </c>
      <c r="F5" s="116">
        <v>0</v>
      </c>
      <c r="G5" s="43" t="str">
        <f>_xlfn.XLOOKUP($A5,Map!$A:$A,Map!C:C)</f>
        <v>BS</v>
      </c>
      <c r="H5" s="43" t="str">
        <f>_xlfn.XLOOKUP($A5,Map!$A:$A,Map!D:D)</f>
        <v>Non-Current Assets</v>
      </c>
      <c r="I5" s="43" t="str">
        <f>_xlfn.XLOOKUP($A5,Map!$A:$A,Map!E:E)</f>
        <v>Property, plant and equipment</v>
      </c>
      <c r="J5" s="43" t="str">
        <f>_xlfn.XLOOKUP($A5,Map!$A:$A,Map!F:F)</f>
        <v>Property, plant and equipment</v>
      </c>
    </row>
    <row r="6" spans="1:10" x14ac:dyDescent="0.25">
      <c r="A6">
        <v>110002</v>
      </c>
      <c r="B6" t="s">
        <v>819</v>
      </c>
      <c r="C6" s="116">
        <v>107296196.56999999</v>
      </c>
      <c r="D6" s="116">
        <v>0</v>
      </c>
      <c r="E6" s="116">
        <v>0</v>
      </c>
      <c r="F6" s="116">
        <v>107296196.56999999</v>
      </c>
      <c r="G6" s="43" t="str">
        <f>_xlfn.XLOOKUP($A6,Map!$A:$A,Map!C:C)</f>
        <v>BS</v>
      </c>
      <c r="H6" s="43" t="str">
        <f>_xlfn.XLOOKUP($A6,Map!$A:$A,Map!D:D)</f>
        <v>Non-Current Assets</v>
      </c>
      <c r="I6" s="43" t="str">
        <f>_xlfn.XLOOKUP($A6,Map!$A:$A,Map!E:E)</f>
        <v>Property, plant and equipment</v>
      </c>
      <c r="J6" s="43" t="str">
        <f>_xlfn.XLOOKUP($A6,Map!$A:$A,Map!F:F)</f>
        <v>Property, plant and equipment</v>
      </c>
    </row>
    <row r="7" spans="1:10" x14ac:dyDescent="0.25">
      <c r="A7">
        <v>110003</v>
      </c>
      <c r="B7" t="s">
        <v>820</v>
      </c>
      <c r="C7" s="116">
        <v>1765393.75</v>
      </c>
      <c r="D7" s="116">
        <v>531344.22</v>
      </c>
      <c r="E7" s="116">
        <v>0</v>
      </c>
      <c r="F7" s="116">
        <v>2296737.9700000002</v>
      </c>
      <c r="G7" s="43" t="str">
        <f>_xlfn.XLOOKUP($A7,Map!$A:$A,Map!C:C)</f>
        <v>BS</v>
      </c>
      <c r="H7" s="43" t="str">
        <f>_xlfn.XLOOKUP($A7,Map!$A:$A,Map!D:D)</f>
        <v>Non-Current Assets</v>
      </c>
      <c r="I7" s="43" t="str">
        <f>_xlfn.XLOOKUP($A7,Map!$A:$A,Map!E:E)</f>
        <v>Property, plant and equipment</v>
      </c>
      <c r="J7" s="43" t="str">
        <f>_xlfn.XLOOKUP($A7,Map!$A:$A,Map!F:F)</f>
        <v>Property, plant and equipment</v>
      </c>
    </row>
    <row r="8" spans="1:10" x14ac:dyDescent="0.25">
      <c r="A8">
        <v>110004</v>
      </c>
      <c r="B8" t="s">
        <v>821</v>
      </c>
      <c r="C8" s="116">
        <v>81812315.747999996</v>
      </c>
      <c r="D8" s="116">
        <v>21473782.747000001</v>
      </c>
      <c r="E8" s="116">
        <v>9511507.1370000001</v>
      </c>
      <c r="F8" s="116">
        <v>93774591.357999995</v>
      </c>
      <c r="G8" s="43" t="str">
        <f>_xlfn.XLOOKUP($A8,Map!$A:$A,Map!C:C)</f>
        <v>BS</v>
      </c>
      <c r="H8" s="43" t="str">
        <f>_xlfn.XLOOKUP($A8,Map!$A:$A,Map!D:D)</f>
        <v>Non-Current Assets</v>
      </c>
      <c r="I8" s="43" t="str">
        <f>_xlfn.XLOOKUP($A8,Map!$A:$A,Map!E:E)</f>
        <v>Property, plant and equipment</v>
      </c>
      <c r="J8" s="43" t="str">
        <f>_xlfn.XLOOKUP($A8,Map!$A:$A,Map!F:F)</f>
        <v>Property, plant and equipment</v>
      </c>
    </row>
    <row r="9" spans="1:10" x14ac:dyDescent="0.25">
      <c r="A9">
        <v>110006</v>
      </c>
      <c r="B9" t="s">
        <v>822</v>
      </c>
      <c r="C9" s="116">
        <v>3327255.699</v>
      </c>
      <c r="D9" s="116">
        <v>618043.52</v>
      </c>
      <c r="E9" s="116">
        <v>295044</v>
      </c>
      <c r="F9" s="116">
        <v>3650255.219</v>
      </c>
      <c r="G9" s="43" t="str">
        <f>_xlfn.XLOOKUP($A9,Map!$A:$A,Map!C:C)</f>
        <v>BS</v>
      </c>
      <c r="H9" s="43" t="str">
        <f>_xlfn.XLOOKUP($A9,Map!$A:$A,Map!D:D)</f>
        <v>Non-Current Assets</v>
      </c>
      <c r="I9" s="43" t="str">
        <f>_xlfn.XLOOKUP($A9,Map!$A:$A,Map!E:E)</f>
        <v>Property, plant and equipment</v>
      </c>
      <c r="J9" s="43" t="str">
        <f>_xlfn.XLOOKUP($A9,Map!$A:$A,Map!F:F)</f>
        <v>Property, plant and equipment</v>
      </c>
    </row>
    <row r="10" spans="1:10" x14ac:dyDescent="0.25">
      <c r="A10">
        <v>110007</v>
      </c>
      <c r="B10" t="s">
        <v>823</v>
      </c>
      <c r="C10" s="116">
        <v>2269918.378</v>
      </c>
      <c r="D10" s="116">
        <v>422402.92700000003</v>
      </c>
      <c r="E10" s="116">
        <v>15125</v>
      </c>
      <c r="F10" s="116">
        <v>2677196.3050000002</v>
      </c>
      <c r="G10" s="43" t="str">
        <f>_xlfn.XLOOKUP($A10,Map!$A:$A,Map!C:C)</f>
        <v>BS</v>
      </c>
      <c r="H10" s="43" t="str">
        <f>_xlfn.XLOOKUP($A10,Map!$A:$A,Map!D:D)</f>
        <v>Non-Current Assets</v>
      </c>
      <c r="I10" s="43" t="str">
        <f>_xlfn.XLOOKUP($A10,Map!$A:$A,Map!E:E)</f>
        <v>Property, plant and equipment</v>
      </c>
      <c r="J10" s="43" t="str">
        <f>_xlfn.XLOOKUP($A10,Map!$A:$A,Map!F:F)</f>
        <v>Property, plant and equipment</v>
      </c>
    </row>
    <row r="11" spans="1:10" x14ac:dyDescent="0.25">
      <c r="A11">
        <v>110008</v>
      </c>
      <c r="B11" t="s">
        <v>824</v>
      </c>
      <c r="C11" s="116">
        <v>1134240.121</v>
      </c>
      <c r="D11" s="116">
        <v>27057.119999999999</v>
      </c>
      <c r="E11" s="116">
        <v>6105</v>
      </c>
      <c r="F11" s="116">
        <v>1155192.2409999999</v>
      </c>
      <c r="G11" s="43" t="str">
        <f>_xlfn.XLOOKUP($A11,Map!$A:$A,Map!C:C)</f>
        <v>BS</v>
      </c>
      <c r="H11" s="43" t="str">
        <f>_xlfn.XLOOKUP($A11,Map!$A:$A,Map!D:D)</f>
        <v>Non-Current Assets</v>
      </c>
      <c r="I11" s="43" t="str">
        <f>_xlfn.XLOOKUP($A11,Map!$A:$A,Map!E:E)</f>
        <v>Property, plant and equipment</v>
      </c>
      <c r="J11" s="43" t="str">
        <f>_xlfn.XLOOKUP($A11,Map!$A:$A,Map!F:F)</f>
        <v>Property, plant and equipment</v>
      </c>
    </row>
    <row r="12" spans="1:10" x14ac:dyDescent="0.25">
      <c r="A12">
        <v>111009</v>
      </c>
      <c r="B12" t="s">
        <v>825</v>
      </c>
      <c r="C12" s="116">
        <v>2020135</v>
      </c>
      <c r="D12" s="116">
        <v>1654335.773</v>
      </c>
      <c r="E12" s="116">
        <v>0</v>
      </c>
      <c r="F12" s="116">
        <v>3674470.773</v>
      </c>
      <c r="G12" s="43" t="str">
        <f>_xlfn.XLOOKUP($A12,Map!$A:$A,Map!C:C)</f>
        <v>BS</v>
      </c>
      <c r="H12" s="43" t="str">
        <f>_xlfn.XLOOKUP($A12,Map!$A:$A,Map!D:D)</f>
        <v>Non-Current Assets</v>
      </c>
      <c r="I12" s="43" t="str">
        <f>_xlfn.XLOOKUP($A12,Map!$A:$A,Map!E:E)</f>
        <v>Right of use</v>
      </c>
      <c r="J12" s="43" t="str">
        <f>_xlfn.XLOOKUP($A12,Map!$A:$A,Map!F:F)</f>
        <v>Leases - right of use assets</v>
      </c>
    </row>
    <row r="13" spans="1:10" x14ac:dyDescent="0.25">
      <c r="A13">
        <v>111010</v>
      </c>
      <c r="B13" t="s">
        <v>826</v>
      </c>
      <c r="C13" s="116">
        <v>0</v>
      </c>
      <c r="D13" s="116">
        <v>23262827.842</v>
      </c>
      <c r="E13" s="116">
        <v>6132326.8930000002</v>
      </c>
      <c r="F13" s="116">
        <v>17130500.949000001</v>
      </c>
      <c r="G13" s="43" t="str">
        <f>_xlfn.XLOOKUP($A13,Map!$A:$A,Map!C:C)</f>
        <v>BS</v>
      </c>
      <c r="H13" s="43" t="str">
        <f>_xlfn.XLOOKUP($A13,Map!$A:$A,Map!D:D)</f>
        <v>Non-Current Assets</v>
      </c>
      <c r="I13" s="43" t="str">
        <f>_xlfn.XLOOKUP($A13,Map!$A:$A,Map!E:E)</f>
        <v>Property, plant and equipment</v>
      </c>
      <c r="J13" s="43" t="str">
        <f>_xlfn.XLOOKUP($A13,Map!$A:$A,Map!F:F)</f>
        <v>Property, plant and equipment - Accumulated depreciation</v>
      </c>
    </row>
    <row r="14" spans="1:10" x14ac:dyDescent="0.25">
      <c r="A14">
        <v>111013</v>
      </c>
      <c r="B14" t="s">
        <v>827</v>
      </c>
      <c r="C14" s="116">
        <v>3661922.77</v>
      </c>
      <c r="D14" s="116">
        <v>7442262.2170000002</v>
      </c>
      <c r="E14" s="116">
        <v>11647361.409</v>
      </c>
      <c r="F14" s="116">
        <v>-543176.42200000002</v>
      </c>
      <c r="G14" s="43" t="str">
        <f>_xlfn.XLOOKUP($A14,Map!$A:$A,Map!C:C)</f>
        <v>BS</v>
      </c>
      <c r="H14" s="43" t="str">
        <f>_xlfn.XLOOKUP($A14,Map!$A:$A,Map!D:D)</f>
        <v>Non-Current Assets</v>
      </c>
      <c r="I14" s="43" t="str">
        <f>_xlfn.XLOOKUP($A14,Map!$A:$A,Map!E:E)</f>
        <v>Property, plant and equipment</v>
      </c>
      <c r="J14" s="43" t="str">
        <f>_xlfn.XLOOKUP($A14,Map!$A:$A,Map!F:F)</f>
        <v>Property, plant and equipment - Accumulated depreciation</v>
      </c>
    </row>
    <row r="15" spans="1:10" x14ac:dyDescent="0.25">
      <c r="A15">
        <v>111099</v>
      </c>
      <c r="B15" t="s">
        <v>828</v>
      </c>
      <c r="C15" s="116">
        <v>220102.927</v>
      </c>
      <c r="D15" s="116">
        <v>9417578.8259999994</v>
      </c>
      <c r="E15" s="116">
        <v>9501928.6109999996</v>
      </c>
      <c r="F15" s="116">
        <v>135753.14199999999</v>
      </c>
      <c r="G15" s="43" t="str">
        <f>_xlfn.XLOOKUP($A15,Map!$A:$A,Map!C:C)</f>
        <v>BS</v>
      </c>
      <c r="H15" s="43" t="str">
        <f>_xlfn.XLOOKUP($A15,Map!$A:$A,Map!D:D)</f>
        <v>Non-Current Assets</v>
      </c>
      <c r="I15" s="43" t="str">
        <f>_xlfn.XLOOKUP($A15,Map!$A:$A,Map!E:E)</f>
        <v>Property, plant and equipment</v>
      </c>
      <c r="J15" s="43" t="str">
        <f>_xlfn.XLOOKUP($A15,Map!$A:$A,Map!F:F)</f>
        <v>Property, plant and equipment - Accumulated depreciation</v>
      </c>
    </row>
    <row r="16" spans="1:10" x14ac:dyDescent="0.25">
      <c r="A16">
        <v>120001</v>
      </c>
      <c r="B16" t="s">
        <v>829</v>
      </c>
      <c r="C16" s="116">
        <v>-10037150.582</v>
      </c>
      <c r="D16" s="116">
        <v>0</v>
      </c>
      <c r="E16" s="116">
        <v>1592884.561</v>
      </c>
      <c r="F16" s="116">
        <v>-11630035.142999999</v>
      </c>
      <c r="G16" s="43" t="str">
        <f>_xlfn.XLOOKUP($A16,Map!$A:$A,Map!C:C)</f>
        <v>BS</v>
      </c>
      <c r="H16" s="43" t="str">
        <f>_xlfn.XLOOKUP($A16,Map!$A:$A,Map!D:D)</f>
        <v>Non-Current Assets</v>
      </c>
      <c r="I16" s="43" t="str">
        <f>_xlfn.XLOOKUP($A16,Map!$A:$A,Map!E:E)</f>
        <v>Property, plant and equipment</v>
      </c>
      <c r="J16" s="43" t="str">
        <f>_xlfn.XLOOKUP($A16,Map!$A:$A,Map!F:F)</f>
        <v>Property, plant and equipment - Accumulated depreciation</v>
      </c>
    </row>
    <row r="17" spans="1:10" x14ac:dyDescent="0.25">
      <c r="A17">
        <v>120002</v>
      </c>
      <c r="B17" t="s">
        <v>830</v>
      </c>
      <c r="C17" s="116">
        <v>-1765393.774</v>
      </c>
      <c r="D17" s="116">
        <v>0</v>
      </c>
      <c r="E17" s="116">
        <v>17680.077000000001</v>
      </c>
      <c r="F17" s="116">
        <v>-1783073.851</v>
      </c>
      <c r="G17" s="43" t="str">
        <f>_xlfn.XLOOKUP($A17,Map!$A:$A,Map!C:C)</f>
        <v>BS</v>
      </c>
      <c r="H17" s="43" t="str">
        <f>_xlfn.XLOOKUP($A17,Map!$A:$A,Map!D:D)</f>
        <v>Non-Current Assets</v>
      </c>
      <c r="I17" s="43" t="str">
        <f>_xlfn.XLOOKUP($A17,Map!$A:$A,Map!E:E)</f>
        <v>Property, plant and equipment</v>
      </c>
      <c r="J17" s="43" t="str">
        <f>_xlfn.XLOOKUP($A17,Map!$A:$A,Map!F:F)</f>
        <v>Property, plant and equipment - Accumulated depreciation</v>
      </c>
    </row>
    <row r="18" spans="1:10" x14ac:dyDescent="0.25">
      <c r="A18">
        <v>120003</v>
      </c>
      <c r="B18" t="s">
        <v>831</v>
      </c>
      <c r="C18" s="116">
        <v>-46052949.350000001</v>
      </c>
      <c r="D18" s="116">
        <v>3094842.7059999998</v>
      </c>
      <c r="E18" s="116">
        <v>7390106.4220000003</v>
      </c>
      <c r="F18" s="116">
        <v>-50348213.066</v>
      </c>
      <c r="G18" s="43" t="str">
        <f>_xlfn.XLOOKUP($A18,Map!$A:$A,Map!C:C)</f>
        <v>BS</v>
      </c>
      <c r="H18" s="43" t="str">
        <f>_xlfn.XLOOKUP($A18,Map!$A:$A,Map!D:D)</f>
        <v>Non-Current Assets</v>
      </c>
      <c r="I18" s="43" t="str">
        <f>_xlfn.XLOOKUP($A18,Map!$A:$A,Map!E:E)</f>
        <v>Property, plant and equipment</v>
      </c>
      <c r="J18" s="43" t="str">
        <f>_xlfn.XLOOKUP($A18,Map!$A:$A,Map!F:F)</f>
        <v>Property, plant and equipment - Accumulated depreciation</v>
      </c>
    </row>
    <row r="19" spans="1:10" x14ac:dyDescent="0.25">
      <c r="A19">
        <v>120005</v>
      </c>
      <c r="B19" t="s">
        <v>832</v>
      </c>
      <c r="C19" s="116">
        <v>-2441519.38</v>
      </c>
      <c r="D19" s="116">
        <v>0</v>
      </c>
      <c r="E19" s="116">
        <v>261925.77100000001</v>
      </c>
      <c r="F19" s="116">
        <v>-2703445.1510000001</v>
      </c>
      <c r="G19" s="43" t="str">
        <f>_xlfn.XLOOKUP($A19,Map!$A:$A,Map!C:C)</f>
        <v>BS</v>
      </c>
      <c r="H19" s="43" t="str">
        <f>_xlfn.XLOOKUP($A19,Map!$A:$A,Map!D:D)</f>
        <v>Non-Current Assets</v>
      </c>
      <c r="I19" s="43" t="str">
        <f>_xlfn.XLOOKUP($A19,Map!$A:$A,Map!E:E)</f>
        <v>Property, plant and equipment</v>
      </c>
      <c r="J19" s="43" t="str">
        <f>_xlfn.XLOOKUP($A19,Map!$A:$A,Map!F:F)</f>
        <v>Property, plant and equipment - Accumulated depreciation</v>
      </c>
    </row>
    <row r="20" spans="1:10" x14ac:dyDescent="0.25">
      <c r="A20">
        <v>120006</v>
      </c>
      <c r="B20" t="s">
        <v>833</v>
      </c>
      <c r="C20" s="116">
        <v>-1893185.9580000001</v>
      </c>
      <c r="D20" s="116">
        <v>0</v>
      </c>
      <c r="E20" s="116">
        <v>327256.08500000002</v>
      </c>
      <c r="F20" s="116">
        <v>-2220442.0430000001</v>
      </c>
      <c r="G20" s="43" t="str">
        <f>_xlfn.XLOOKUP($A20,Map!$A:$A,Map!C:C)</f>
        <v>BS</v>
      </c>
      <c r="H20" s="43" t="str">
        <f>_xlfn.XLOOKUP($A20,Map!$A:$A,Map!D:D)</f>
        <v>Non-Current Assets</v>
      </c>
      <c r="I20" s="43" t="str">
        <f>_xlfn.XLOOKUP($A20,Map!$A:$A,Map!E:E)</f>
        <v>Property, plant and equipment</v>
      </c>
      <c r="J20" s="43" t="str">
        <f>_xlfn.XLOOKUP($A20,Map!$A:$A,Map!F:F)</f>
        <v>Property, plant and equipment - Accumulated depreciation</v>
      </c>
    </row>
    <row r="21" spans="1:10" x14ac:dyDescent="0.25">
      <c r="A21">
        <v>120007</v>
      </c>
      <c r="B21" t="s">
        <v>834</v>
      </c>
      <c r="C21" s="116">
        <v>-656529.25399999996</v>
      </c>
      <c r="D21" s="116">
        <v>0</v>
      </c>
      <c r="E21" s="116">
        <v>91762.504000000001</v>
      </c>
      <c r="F21" s="116">
        <v>-748291.75800000003</v>
      </c>
      <c r="G21" s="43" t="str">
        <f>_xlfn.XLOOKUP($A21,Map!$A:$A,Map!C:C)</f>
        <v>BS</v>
      </c>
      <c r="H21" s="43" t="str">
        <f>_xlfn.XLOOKUP($A21,Map!$A:$A,Map!D:D)</f>
        <v>Non-Current Assets</v>
      </c>
      <c r="I21" s="43" t="str">
        <f>_xlfn.XLOOKUP($A21,Map!$A:$A,Map!E:E)</f>
        <v>Property, plant and equipment</v>
      </c>
      <c r="J21" s="43" t="str">
        <f>_xlfn.XLOOKUP($A21,Map!$A:$A,Map!F:F)</f>
        <v>Property, plant and equipment - Accumulated depreciation</v>
      </c>
    </row>
    <row r="22" spans="1:10" x14ac:dyDescent="0.25">
      <c r="A22">
        <v>120008</v>
      </c>
      <c r="B22" t="s">
        <v>835</v>
      </c>
      <c r="C22" s="116">
        <v>-794582.52099999995</v>
      </c>
      <c r="D22" s="116">
        <v>0</v>
      </c>
      <c r="E22" s="116">
        <v>334243.90000000002</v>
      </c>
      <c r="F22" s="116">
        <v>-1128826.4210000001</v>
      </c>
      <c r="G22" s="43" t="str">
        <f>_xlfn.XLOOKUP($A22,Map!$A:$A,Map!C:C)</f>
        <v>BS</v>
      </c>
      <c r="H22" s="43" t="str">
        <f>_xlfn.XLOOKUP($A22,Map!$A:$A,Map!D:D)</f>
        <v>Non-Current Assets</v>
      </c>
      <c r="I22" s="43" t="str">
        <f>_xlfn.XLOOKUP($A22,Map!$A:$A,Map!E:E)</f>
        <v>Right of use</v>
      </c>
      <c r="J22" s="43" t="str">
        <f>_xlfn.XLOOKUP($A22,Map!$A:$A,Map!F:F)</f>
        <v>Depreciation/amortization of rights of use assets</v>
      </c>
    </row>
    <row r="23" spans="1:10" x14ac:dyDescent="0.25">
      <c r="A23">
        <v>121001</v>
      </c>
      <c r="B23" t="s">
        <v>836</v>
      </c>
      <c r="C23" s="116">
        <v>13762616.130000001</v>
      </c>
      <c r="D23" s="116">
        <v>0</v>
      </c>
      <c r="E23" s="116">
        <v>0</v>
      </c>
      <c r="F23" s="116">
        <v>13762616.130000001</v>
      </c>
      <c r="G23" s="43" t="str">
        <f>_xlfn.XLOOKUP($A23,Map!$A:$A,Map!C:C)</f>
        <v>BS</v>
      </c>
      <c r="H23" s="43" t="str">
        <f>_xlfn.XLOOKUP($A23,Map!$A:$A,Map!D:D)</f>
        <v>Current Assets</v>
      </c>
      <c r="I23" s="43" t="str">
        <f>_xlfn.XLOOKUP($A23,Map!$A:$A,Map!E:E)</f>
        <v>Prepaid expenses</v>
      </c>
      <c r="J23" s="43" t="str">
        <f>_xlfn.XLOOKUP($A23,Map!$A:$A,Map!F:F)</f>
        <v>Pre Operating Exps</v>
      </c>
    </row>
    <row r="24" spans="1:10" x14ac:dyDescent="0.25">
      <c r="A24">
        <v>121002</v>
      </c>
      <c r="B24" t="s">
        <v>837</v>
      </c>
      <c r="C24" s="116">
        <v>-13762616.130000001</v>
      </c>
      <c r="D24" s="116">
        <v>0</v>
      </c>
      <c r="E24" s="116">
        <v>0</v>
      </c>
      <c r="F24" s="116">
        <v>-13762616.130000001</v>
      </c>
      <c r="G24" s="43" t="str">
        <f>_xlfn.XLOOKUP($A24,Map!$A:$A,Map!C:C)</f>
        <v>BS</v>
      </c>
      <c r="H24" s="43" t="str">
        <f>_xlfn.XLOOKUP($A24,Map!$A:$A,Map!D:D)</f>
        <v>Current Assets</v>
      </c>
      <c r="I24" s="43" t="str">
        <f>_xlfn.XLOOKUP($A24,Map!$A:$A,Map!E:E)</f>
        <v>Prepaid expenses</v>
      </c>
      <c r="J24" s="43" t="str">
        <f>_xlfn.XLOOKUP($A24,Map!$A:$A,Map!F:F)</f>
        <v>Amortization Of Pre Operating Exps</v>
      </c>
    </row>
    <row r="25" spans="1:10" x14ac:dyDescent="0.25">
      <c r="A25">
        <v>130001</v>
      </c>
      <c r="B25" t="s">
        <v>838</v>
      </c>
      <c r="C25" s="116">
        <v>65206.73</v>
      </c>
      <c r="D25" s="116">
        <v>785972.11</v>
      </c>
      <c r="E25" s="116">
        <v>851178.84</v>
      </c>
      <c r="F25" s="116">
        <v>0</v>
      </c>
      <c r="G25" s="43" t="str">
        <f>_xlfn.XLOOKUP($A25,Map!$A:$A,Map!C:C)</f>
        <v>BS</v>
      </c>
      <c r="H25" s="43" t="str">
        <f>_xlfn.XLOOKUP($A25,Map!$A:$A,Map!D:D)</f>
        <v>Current Assets</v>
      </c>
      <c r="I25" s="43" t="str">
        <f>_xlfn.XLOOKUP($A25,Map!$A:$A,Map!E:E)</f>
        <v>Cash and cash equivalents</v>
      </c>
      <c r="J25" s="43" t="str">
        <f>_xlfn.XLOOKUP($A25,Map!$A:$A,Map!F:F)</f>
        <v>Bank balances</v>
      </c>
    </row>
    <row r="26" spans="1:10" x14ac:dyDescent="0.25">
      <c r="A26">
        <v>130002</v>
      </c>
      <c r="B26" t="s">
        <v>1205</v>
      </c>
      <c r="C26" s="116">
        <v>0</v>
      </c>
      <c r="D26" s="116">
        <v>0</v>
      </c>
      <c r="E26" s="116">
        <v>0</v>
      </c>
      <c r="F26" s="116">
        <v>0</v>
      </c>
      <c r="G26" s="43" t="str">
        <f>_xlfn.XLOOKUP($A26,Map!$A:$A,Map!C:C)</f>
        <v>BS</v>
      </c>
      <c r="H26" s="43" t="str">
        <f>_xlfn.XLOOKUP($A26,Map!$A:$A,Map!D:D)</f>
        <v>Current Assets</v>
      </c>
      <c r="I26" s="43" t="str">
        <f>_xlfn.XLOOKUP($A26,Map!$A:$A,Map!E:E)</f>
        <v>Cash and cash equivalents</v>
      </c>
      <c r="J26" s="43" t="str">
        <f>_xlfn.XLOOKUP($A26,Map!$A:$A,Map!F:F)</f>
        <v>Bank balances</v>
      </c>
    </row>
    <row r="27" spans="1:10" x14ac:dyDescent="0.25">
      <c r="A27">
        <v>130003</v>
      </c>
      <c r="B27" t="s">
        <v>840</v>
      </c>
      <c r="C27" s="116">
        <v>0</v>
      </c>
      <c r="D27" s="116">
        <v>0</v>
      </c>
      <c r="E27" s="116">
        <v>0</v>
      </c>
      <c r="F27" s="116">
        <v>0</v>
      </c>
      <c r="G27" s="43" t="str">
        <f>_xlfn.XLOOKUP($A27,Map!$A:$A,Map!C:C)</f>
        <v>BS</v>
      </c>
      <c r="H27" s="43" t="str">
        <f>_xlfn.XLOOKUP($A27,Map!$A:$A,Map!D:D)</f>
        <v>Current Assets</v>
      </c>
      <c r="I27" s="43" t="str">
        <f>_xlfn.XLOOKUP($A27,Map!$A:$A,Map!E:E)</f>
        <v>Cash and cash equivalents</v>
      </c>
      <c r="J27" s="43" t="str">
        <f>_xlfn.XLOOKUP($A27,Map!$A:$A,Map!F:F)</f>
        <v>Bank balances</v>
      </c>
    </row>
    <row r="28" spans="1:10" x14ac:dyDescent="0.25">
      <c r="A28">
        <v>130004</v>
      </c>
      <c r="B28" t="s">
        <v>841</v>
      </c>
      <c r="C28" s="116">
        <v>0</v>
      </c>
      <c r="D28" s="116">
        <v>0</v>
      </c>
      <c r="E28" s="116">
        <v>0</v>
      </c>
      <c r="F28" s="116">
        <v>0</v>
      </c>
      <c r="G28" s="43" t="str">
        <f>_xlfn.XLOOKUP($A28,Map!$A:$A,Map!C:C)</f>
        <v>BS</v>
      </c>
      <c r="H28" s="43" t="str">
        <f>_xlfn.XLOOKUP($A28,Map!$A:$A,Map!D:D)</f>
        <v>Current Assets</v>
      </c>
      <c r="I28" s="43" t="str">
        <f>_xlfn.XLOOKUP($A28,Map!$A:$A,Map!E:E)</f>
        <v>Cash and cash equivalents</v>
      </c>
      <c r="J28" s="43" t="str">
        <f>_xlfn.XLOOKUP($A28,Map!$A:$A,Map!F:F)</f>
        <v>Bank balances</v>
      </c>
    </row>
    <row r="29" spans="1:10" x14ac:dyDescent="0.25">
      <c r="A29">
        <v>130005</v>
      </c>
      <c r="B29" t="s">
        <v>842</v>
      </c>
      <c r="C29" s="116">
        <v>0</v>
      </c>
      <c r="D29" s="116">
        <v>0</v>
      </c>
      <c r="E29" s="116">
        <v>0</v>
      </c>
      <c r="F29" s="116">
        <v>0</v>
      </c>
      <c r="G29" s="43" t="str">
        <f>_xlfn.XLOOKUP($A29,Map!$A:$A,Map!C:C)</f>
        <v>BS</v>
      </c>
      <c r="H29" s="43" t="str">
        <f>_xlfn.XLOOKUP($A29,Map!$A:$A,Map!D:D)</f>
        <v>Current Assets</v>
      </c>
      <c r="I29" s="43" t="str">
        <f>_xlfn.XLOOKUP($A29,Map!$A:$A,Map!E:E)</f>
        <v>Cash and cash equivalents</v>
      </c>
      <c r="J29" s="43" t="str">
        <f>_xlfn.XLOOKUP($A29,Map!$A:$A,Map!F:F)</f>
        <v>Bank balances</v>
      </c>
    </row>
    <row r="30" spans="1:10" x14ac:dyDescent="0.25">
      <c r="A30">
        <v>130006</v>
      </c>
      <c r="B30" t="s">
        <v>843</v>
      </c>
      <c r="C30" s="116">
        <v>0</v>
      </c>
      <c r="D30" s="116">
        <v>0</v>
      </c>
      <c r="E30" s="116">
        <v>0</v>
      </c>
      <c r="F30" s="116">
        <v>0</v>
      </c>
      <c r="G30" s="43" t="str">
        <f>_xlfn.XLOOKUP($A30,Map!$A:$A,Map!C:C)</f>
        <v>BS</v>
      </c>
      <c r="H30" s="43" t="str">
        <f>_xlfn.XLOOKUP($A30,Map!$A:$A,Map!D:D)</f>
        <v>Current Assets</v>
      </c>
      <c r="I30" s="43" t="str">
        <f>_xlfn.XLOOKUP($A30,Map!$A:$A,Map!E:E)</f>
        <v>Cash and cash equivalents</v>
      </c>
      <c r="J30" s="43" t="str">
        <f>_xlfn.XLOOKUP($A30,Map!$A:$A,Map!F:F)</f>
        <v>Bank balances</v>
      </c>
    </row>
    <row r="31" spans="1:10" x14ac:dyDescent="0.25">
      <c r="A31">
        <v>130007</v>
      </c>
      <c r="B31" t="s">
        <v>844</v>
      </c>
      <c r="C31" s="116">
        <v>0</v>
      </c>
      <c r="D31" s="116">
        <v>0</v>
      </c>
      <c r="E31" s="116">
        <v>0</v>
      </c>
      <c r="F31" s="116">
        <v>0</v>
      </c>
      <c r="G31" s="43" t="str">
        <f>_xlfn.XLOOKUP($A31,Map!$A:$A,Map!C:C)</f>
        <v>BS</v>
      </c>
      <c r="H31" s="43" t="str">
        <f>_xlfn.XLOOKUP($A31,Map!$A:$A,Map!D:D)</f>
        <v>Current Assets</v>
      </c>
      <c r="I31" s="43" t="str">
        <f>_xlfn.XLOOKUP($A31,Map!$A:$A,Map!E:E)</f>
        <v>Cash and cash equivalents</v>
      </c>
      <c r="J31" s="43" t="str">
        <f>_xlfn.XLOOKUP($A31,Map!$A:$A,Map!F:F)</f>
        <v>Bank balances</v>
      </c>
    </row>
    <row r="32" spans="1:10" x14ac:dyDescent="0.25">
      <c r="A32">
        <v>130008</v>
      </c>
      <c r="B32" t="s">
        <v>845</v>
      </c>
      <c r="C32" s="116">
        <v>194366.21</v>
      </c>
      <c r="D32" s="116">
        <v>78364147.299999997</v>
      </c>
      <c r="E32" s="116">
        <v>78095236.280000001</v>
      </c>
      <c r="F32" s="116">
        <v>463277.23</v>
      </c>
      <c r="G32" s="43" t="str">
        <f>_xlfn.XLOOKUP($A32,Map!$A:$A,Map!C:C)</f>
        <v>BS</v>
      </c>
      <c r="H32" s="43" t="str">
        <f>_xlfn.XLOOKUP($A32,Map!$A:$A,Map!D:D)</f>
        <v>Current Assets</v>
      </c>
      <c r="I32" s="43" t="str">
        <f>_xlfn.XLOOKUP($A32,Map!$A:$A,Map!E:E)</f>
        <v>Cash and cash equivalents</v>
      </c>
      <c r="J32" s="43" t="str">
        <f>_xlfn.XLOOKUP($A32,Map!$A:$A,Map!F:F)</f>
        <v>Bank balances</v>
      </c>
    </row>
    <row r="33" spans="1:10" x14ac:dyDescent="0.25">
      <c r="A33">
        <v>130009</v>
      </c>
      <c r="B33" t="s">
        <v>846</v>
      </c>
      <c r="C33" s="116">
        <v>38160.93</v>
      </c>
      <c r="D33" s="116">
        <v>100464074.41</v>
      </c>
      <c r="E33" s="116">
        <v>100322598.265</v>
      </c>
      <c r="F33" s="116">
        <v>179637.07500000001</v>
      </c>
      <c r="G33" s="43" t="str">
        <f>_xlfn.XLOOKUP($A33,Map!$A:$A,Map!C:C)</f>
        <v>BS</v>
      </c>
      <c r="H33" s="43" t="str">
        <f>_xlfn.XLOOKUP($A33,Map!$A:$A,Map!D:D)</f>
        <v>Current Assets</v>
      </c>
      <c r="I33" s="43" t="str">
        <f>_xlfn.XLOOKUP($A33,Map!$A:$A,Map!E:E)</f>
        <v>Cash and cash equivalents</v>
      </c>
      <c r="J33" s="43" t="str">
        <f>_xlfn.XLOOKUP($A33,Map!$A:$A,Map!F:F)</f>
        <v>Bank balances</v>
      </c>
    </row>
    <row r="34" spans="1:10" x14ac:dyDescent="0.25">
      <c r="A34">
        <v>130010</v>
      </c>
      <c r="B34" t="s">
        <v>847</v>
      </c>
      <c r="C34" s="116">
        <v>355055.14899999998</v>
      </c>
      <c r="D34" s="116">
        <v>232458703.20699999</v>
      </c>
      <c r="E34" s="116">
        <v>232813758.35600001</v>
      </c>
      <c r="F34" s="116">
        <v>0</v>
      </c>
      <c r="G34" s="43" t="str">
        <f>_xlfn.XLOOKUP($A34,Map!$A:$A,Map!C:C)</f>
        <v>BS</v>
      </c>
      <c r="H34" s="43" t="str">
        <f>_xlfn.XLOOKUP($A34,Map!$A:$A,Map!D:D)</f>
        <v>Current Assets</v>
      </c>
      <c r="I34" s="43" t="str">
        <f>_xlfn.XLOOKUP($A34,Map!$A:$A,Map!E:E)</f>
        <v>Cash and cash equivalents</v>
      </c>
      <c r="J34" s="43" t="str">
        <f>_xlfn.XLOOKUP($A34,Map!$A:$A,Map!F:F)</f>
        <v>Bank balances</v>
      </c>
    </row>
    <row r="35" spans="1:10" x14ac:dyDescent="0.25">
      <c r="A35">
        <v>130011</v>
      </c>
      <c r="B35" t="s">
        <v>848</v>
      </c>
      <c r="C35" s="116">
        <v>136162.01</v>
      </c>
      <c r="D35" s="116">
        <v>46775529.148000002</v>
      </c>
      <c r="E35" s="116">
        <v>46824915.038000003</v>
      </c>
      <c r="F35" s="116">
        <v>86776.12</v>
      </c>
      <c r="G35" s="43" t="str">
        <f>_xlfn.XLOOKUP($A35,Map!$A:$A,Map!C:C)</f>
        <v>BS</v>
      </c>
      <c r="H35" s="43" t="str">
        <f>_xlfn.XLOOKUP($A35,Map!$A:$A,Map!D:D)</f>
        <v>Current Assets</v>
      </c>
      <c r="I35" s="43" t="str">
        <f>_xlfn.XLOOKUP($A35,Map!$A:$A,Map!E:E)</f>
        <v>Cash and cash equivalents</v>
      </c>
      <c r="J35" s="43" t="str">
        <f>_xlfn.XLOOKUP($A35,Map!$A:$A,Map!F:F)</f>
        <v>Bank balances</v>
      </c>
    </row>
    <row r="36" spans="1:10" x14ac:dyDescent="0.25">
      <c r="A36">
        <v>130012</v>
      </c>
      <c r="B36" t="s">
        <v>849</v>
      </c>
      <c r="C36" s="116">
        <v>166205.87</v>
      </c>
      <c r="D36" s="116">
        <v>111735678.27599999</v>
      </c>
      <c r="E36" s="116">
        <v>111843053.16599999</v>
      </c>
      <c r="F36" s="116">
        <v>58830.98</v>
      </c>
      <c r="G36" s="43" t="str">
        <f>_xlfn.XLOOKUP($A36,Map!$A:$A,Map!C:C)</f>
        <v>BS</v>
      </c>
      <c r="H36" s="43" t="str">
        <f>_xlfn.XLOOKUP($A36,Map!$A:$A,Map!D:D)</f>
        <v>Current Assets</v>
      </c>
      <c r="I36" s="43" t="str">
        <f>_xlfn.XLOOKUP($A36,Map!$A:$A,Map!E:E)</f>
        <v>Cash and cash equivalents</v>
      </c>
      <c r="J36" s="43" t="str">
        <f>_xlfn.XLOOKUP($A36,Map!$A:$A,Map!F:F)</f>
        <v>Bank balances</v>
      </c>
    </row>
    <row r="37" spans="1:10" x14ac:dyDescent="0.25">
      <c r="A37">
        <v>130013</v>
      </c>
      <c r="B37" t="s">
        <v>1206</v>
      </c>
      <c r="C37" s="116">
        <v>1760.4380000000001</v>
      </c>
      <c r="D37" s="116">
        <v>126841333.55599999</v>
      </c>
      <c r="E37" s="116">
        <v>126456303.065</v>
      </c>
      <c r="F37" s="116">
        <v>386790.929</v>
      </c>
      <c r="G37" s="43" t="str">
        <f>_xlfn.XLOOKUP($A37,Map!$A:$A,Map!C:C)</f>
        <v>BS</v>
      </c>
      <c r="H37" s="43" t="str">
        <f>_xlfn.XLOOKUP($A37,Map!$A:$A,Map!D:D)</f>
        <v>Current Assets</v>
      </c>
      <c r="I37" s="43" t="str">
        <f>_xlfn.XLOOKUP($A37,Map!$A:$A,Map!E:E)</f>
        <v>Cash and cash equivalents</v>
      </c>
      <c r="J37" s="43" t="str">
        <f>_xlfn.XLOOKUP($A37,Map!$A:$A,Map!F:F)</f>
        <v>Bank balances</v>
      </c>
    </row>
    <row r="38" spans="1:10" x14ac:dyDescent="0.25">
      <c r="A38">
        <v>130014</v>
      </c>
      <c r="B38" t="s">
        <v>851</v>
      </c>
      <c r="C38" s="116">
        <v>2761.25</v>
      </c>
      <c r="D38" s="116">
        <v>0</v>
      </c>
      <c r="E38" s="116">
        <v>2761.25</v>
      </c>
      <c r="F38" s="116">
        <v>0</v>
      </c>
      <c r="G38" s="43" t="str">
        <f>_xlfn.XLOOKUP($A38,Map!$A:$A,Map!C:C)</f>
        <v>BS</v>
      </c>
      <c r="H38" s="43" t="str">
        <f>_xlfn.XLOOKUP($A38,Map!$A:$A,Map!D:D)</f>
        <v>Current Assets</v>
      </c>
      <c r="I38" s="43" t="str">
        <f>_xlfn.XLOOKUP($A38,Map!$A:$A,Map!E:E)</f>
        <v>Cash and cash equivalents</v>
      </c>
      <c r="J38" s="43" t="str">
        <f>_xlfn.XLOOKUP($A38,Map!$A:$A,Map!F:F)</f>
        <v>Bank balances</v>
      </c>
    </row>
    <row r="39" spans="1:10" x14ac:dyDescent="0.25">
      <c r="A39">
        <v>130015</v>
      </c>
      <c r="B39" t="s">
        <v>852</v>
      </c>
      <c r="C39" s="116">
        <v>10056.36</v>
      </c>
      <c r="D39" s="116">
        <v>10226500</v>
      </c>
      <c r="E39" s="116">
        <v>10230928.189999999</v>
      </c>
      <c r="F39" s="116">
        <v>5628.17</v>
      </c>
      <c r="G39" s="43" t="str">
        <f>_xlfn.XLOOKUP($A39,Map!$A:$A,Map!C:C)</f>
        <v>BS</v>
      </c>
      <c r="H39" s="43" t="str">
        <f>_xlfn.XLOOKUP($A39,Map!$A:$A,Map!D:D)</f>
        <v>Current Assets</v>
      </c>
      <c r="I39" s="43" t="str">
        <f>_xlfn.XLOOKUP($A39,Map!$A:$A,Map!E:E)</f>
        <v>Cash and cash equivalents</v>
      </c>
      <c r="J39" s="43" t="str">
        <f>_xlfn.XLOOKUP($A39,Map!$A:$A,Map!F:F)</f>
        <v>Bank balances</v>
      </c>
    </row>
    <row r="40" spans="1:10" x14ac:dyDescent="0.25">
      <c r="A40">
        <v>130016</v>
      </c>
      <c r="B40" t="s">
        <v>853</v>
      </c>
      <c r="C40" s="116">
        <v>98386.5</v>
      </c>
      <c r="D40" s="116">
        <v>17773911</v>
      </c>
      <c r="E40" s="116">
        <v>17848965.199999999</v>
      </c>
      <c r="F40" s="116">
        <v>23332.3</v>
      </c>
      <c r="G40" s="43" t="str">
        <f>_xlfn.XLOOKUP($A40,Map!$A:$A,Map!C:C)</f>
        <v>BS</v>
      </c>
      <c r="H40" s="43" t="str">
        <f>_xlfn.XLOOKUP($A40,Map!$A:$A,Map!D:D)</f>
        <v>Current Assets</v>
      </c>
      <c r="I40" s="43" t="str">
        <f>_xlfn.XLOOKUP($A40,Map!$A:$A,Map!E:E)</f>
        <v>Cash and cash equivalents</v>
      </c>
      <c r="J40" s="43" t="str">
        <f>_xlfn.XLOOKUP($A40,Map!$A:$A,Map!F:F)</f>
        <v>Bank balances</v>
      </c>
    </row>
    <row r="41" spans="1:10" x14ac:dyDescent="0.25">
      <c r="A41">
        <v>130017</v>
      </c>
      <c r="B41" t="s">
        <v>854</v>
      </c>
      <c r="C41" s="116">
        <v>0</v>
      </c>
      <c r="D41" s="116">
        <v>10804665.828</v>
      </c>
      <c r="E41" s="116">
        <v>10804373.419</v>
      </c>
      <c r="F41" s="116">
        <v>292.40899999999999</v>
      </c>
      <c r="G41" s="43" t="str">
        <f>_xlfn.XLOOKUP($A41,Map!$A:$A,Map!C:C)</f>
        <v>BS</v>
      </c>
      <c r="H41" s="43" t="str">
        <f>_xlfn.XLOOKUP($A41,Map!$A:$A,Map!D:D)</f>
        <v>Current Assets</v>
      </c>
      <c r="I41" s="43" t="str">
        <f>_xlfn.XLOOKUP($A41,Map!$A:$A,Map!E:E)</f>
        <v>Cash and cash equivalents</v>
      </c>
      <c r="J41" s="43" t="str">
        <f>_xlfn.XLOOKUP($A41,Map!$A:$A,Map!F:F)</f>
        <v>Bank balances</v>
      </c>
    </row>
    <row r="42" spans="1:10" x14ac:dyDescent="0.25">
      <c r="A42">
        <v>130099</v>
      </c>
      <c r="B42" t="s">
        <v>856</v>
      </c>
      <c r="C42" s="116">
        <v>0</v>
      </c>
      <c r="D42" s="116">
        <v>312042737.417</v>
      </c>
      <c r="E42" s="116">
        <v>312042737.417</v>
      </c>
      <c r="F42" s="116">
        <v>0</v>
      </c>
      <c r="G42" s="43" t="str">
        <f>_xlfn.XLOOKUP($A42,Map!$A:$A,Map!C:C)</f>
        <v>BS</v>
      </c>
      <c r="H42" s="43" t="str">
        <f>_xlfn.XLOOKUP($A42,Map!$A:$A,Map!D:D)</f>
        <v>Current Assets</v>
      </c>
      <c r="I42" s="43" t="str">
        <f>_xlfn.XLOOKUP($A42,Map!$A:$A,Map!E:E)</f>
        <v>Cash and cash equivalents</v>
      </c>
      <c r="J42" s="43" t="str">
        <f>_xlfn.XLOOKUP($A42,Map!$A:$A,Map!F:F)</f>
        <v>Bank balances</v>
      </c>
    </row>
    <row r="43" spans="1:10" x14ac:dyDescent="0.25">
      <c r="A43">
        <v>140001</v>
      </c>
      <c r="B43" t="s">
        <v>857</v>
      </c>
      <c r="C43" s="116">
        <v>52577571.138999999</v>
      </c>
      <c r="D43" s="116">
        <v>260965359.96900001</v>
      </c>
      <c r="E43" s="116">
        <v>274495863.37900001</v>
      </c>
      <c r="F43" s="116">
        <v>39047067.729000002</v>
      </c>
      <c r="G43" s="43" t="str">
        <f>_xlfn.XLOOKUP($A43,Map!$A:$A,Map!C:C)</f>
        <v>BS</v>
      </c>
      <c r="H43" s="43" t="str">
        <f>_xlfn.XLOOKUP($A43,Map!$A:$A,Map!D:D)</f>
        <v>Current Assets</v>
      </c>
      <c r="I43" s="43" t="str">
        <f>_xlfn.XLOOKUP($A43,Map!$A:$A,Map!E:E)</f>
        <v>Trade receivables</v>
      </c>
      <c r="J43" s="43" t="str">
        <f>_xlfn.XLOOKUP($A43,Map!$A:$A,Map!F:F)</f>
        <v>Trade receivables - current</v>
      </c>
    </row>
    <row r="44" spans="1:10" x14ac:dyDescent="0.25">
      <c r="A44">
        <v>140010</v>
      </c>
      <c r="B44" t="s">
        <v>858</v>
      </c>
      <c r="C44" s="116">
        <v>0</v>
      </c>
      <c r="D44" s="116">
        <v>2705601.2080000001</v>
      </c>
      <c r="E44" s="116">
        <v>2577487.4700000002</v>
      </c>
      <c r="F44" s="116">
        <v>128113.738</v>
      </c>
      <c r="G44" s="43" t="str">
        <f>_xlfn.XLOOKUP($A44,Map!$A:$A,Map!C:C)</f>
        <v>BS</v>
      </c>
      <c r="H44" s="43" t="str">
        <f>_xlfn.XLOOKUP($A44,Map!$A:$A,Map!D:D)</f>
        <v>Current Assets</v>
      </c>
      <c r="I44" s="43" t="str">
        <f>_xlfn.XLOOKUP($A44,Map!$A:$A,Map!E:E)</f>
        <v>Trade receivables</v>
      </c>
      <c r="J44" s="43" t="str">
        <f>_xlfn.XLOOKUP($A44,Map!$A:$A,Map!F:F)</f>
        <v>Trade receivables - current</v>
      </c>
    </row>
    <row r="45" spans="1:10" x14ac:dyDescent="0.25">
      <c r="A45">
        <v>150001</v>
      </c>
      <c r="B45" t="s">
        <v>859</v>
      </c>
      <c r="C45" s="116">
        <v>1337414.8400000001</v>
      </c>
      <c r="D45" s="116">
        <v>1886175.58</v>
      </c>
      <c r="E45" s="116">
        <v>1617688.9</v>
      </c>
      <c r="F45" s="116">
        <v>1605901.52</v>
      </c>
      <c r="G45" s="43" t="str">
        <f>_xlfn.XLOOKUP($A45,Map!$A:$A,Map!C:C)</f>
        <v>BS</v>
      </c>
      <c r="H45" s="43" t="str">
        <f>_xlfn.XLOOKUP($A45,Map!$A:$A,Map!D:D)</f>
        <v>Current Assets</v>
      </c>
      <c r="I45" s="43" t="str">
        <f>_xlfn.XLOOKUP($A45,Map!$A:$A,Map!E:E)</f>
        <v>Prepaid expenses</v>
      </c>
      <c r="J45" s="43" t="str">
        <f>_xlfn.XLOOKUP($A45,Map!$A:$A,Map!F:F)</f>
        <v>Advances - current</v>
      </c>
    </row>
    <row r="46" spans="1:10" x14ac:dyDescent="0.25">
      <c r="A46">
        <v>150002</v>
      </c>
      <c r="B46" t="s">
        <v>860</v>
      </c>
      <c r="C46" s="116">
        <v>0</v>
      </c>
      <c r="D46" s="116">
        <v>0</v>
      </c>
      <c r="E46" s="116">
        <v>0</v>
      </c>
      <c r="F46" s="116">
        <v>0</v>
      </c>
      <c r="G46" s="43" t="str">
        <f>_xlfn.XLOOKUP($A46,Map!$A:$A,Map!C:C)</f>
        <v>BS</v>
      </c>
      <c r="H46" s="43" t="str">
        <f>_xlfn.XLOOKUP($A46,Map!$A:$A,Map!D:D)</f>
        <v>Non-Current Liabilities</v>
      </c>
      <c r="I46" s="43" t="str">
        <f>_xlfn.XLOOKUP($A46,Map!$A:$A,Map!E:E)</f>
        <v xml:space="preserve">End-of-service indemnities </v>
      </c>
      <c r="J46" s="43" t="str">
        <f>_xlfn.XLOOKUP($A46,Map!$A:$A,Map!F:F)</f>
        <v xml:space="preserve">End-of-service indemnities </v>
      </c>
    </row>
    <row r="47" spans="1:10" x14ac:dyDescent="0.25">
      <c r="A47">
        <v>160001</v>
      </c>
      <c r="B47" t="s">
        <v>861</v>
      </c>
      <c r="C47" s="116">
        <v>35582.42</v>
      </c>
      <c r="D47" s="116">
        <v>1242408.399</v>
      </c>
      <c r="E47" s="116">
        <v>971851.054</v>
      </c>
      <c r="F47" s="116">
        <v>306139.76500000001</v>
      </c>
      <c r="G47" s="43" t="str">
        <f>_xlfn.XLOOKUP($A47,Map!$A:$A,Map!C:C)</f>
        <v>BS</v>
      </c>
      <c r="H47" s="43" t="str">
        <f>_xlfn.XLOOKUP($A47,Map!$A:$A,Map!D:D)</f>
        <v>Current Assets</v>
      </c>
      <c r="I47" s="43" t="str">
        <f>_xlfn.XLOOKUP($A47,Map!$A:$A,Map!E:E)</f>
        <v>Cash and cash equivalents</v>
      </c>
      <c r="J47" s="43" t="str">
        <f>_xlfn.XLOOKUP($A47,Map!$A:$A,Map!F:F)</f>
        <v>Petty cash</v>
      </c>
    </row>
    <row r="48" spans="1:10" x14ac:dyDescent="0.25">
      <c r="A48">
        <v>170000</v>
      </c>
      <c r="B48" t="s">
        <v>862</v>
      </c>
      <c r="C48" s="116">
        <v>0.22500000000000001</v>
      </c>
      <c r="D48" s="116">
        <v>2677671.15</v>
      </c>
      <c r="E48" s="116">
        <v>1990950.1839999999</v>
      </c>
      <c r="F48" s="116">
        <v>686721.19099999999</v>
      </c>
      <c r="G48" s="43" t="str">
        <f>_xlfn.XLOOKUP($A48,Map!$A:$A,Map!C:C)</f>
        <v>BS</v>
      </c>
      <c r="H48" s="43" t="str">
        <f>_xlfn.XLOOKUP($A48,Map!$A:$A,Map!D:D)</f>
        <v>Current Liabilities</v>
      </c>
      <c r="I48" s="43" t="str">
        <f>_xlfn.XLOOKUP($A48,Map!$A:$A,Map!E:E)</f>
        <v>Short-term Murabaha loans</v>
      </c>
      <c r="J48" s="43" t="str">
        <f>_xlfn.XLOOKUP($A48,Map!$A:$A,Map!F:F)</f>
        <v>Prepayments - current</v>
      </c>
    </row>
    <row r="49" spans="1:10" x14ac:dyDescent="0.25">
      <c r="A49">
        <v>170001</v>
      </c>
      <c r="B49" t="s">
        <v>863</v>
      </c>
      <c r="C49" s="116">
        <v>1201752.2220000001</v>
      </c>
      <c r="D49" s="116">
        <v>4993651.318</v>
      </c>
      <c r="E49" s="116">
        <v>4781487.6469999999</v>
      </c>
      <c r="F49" s="116">
        <v>1413915.8929999999</v>
      </c>
      <c r="G49" s="43" t="str">
        <f>_xlfn.XLOOKUP($A49,Map!$A:$A,Map!C:C)</f>
        <v>BS</v>
      </c>
      <c r="H49" s="43" t="str">
        <f>_xlfn.XLOOKUP($A49,Map!$A:$A,Map!D:D)</f>
        <v>Current Liabilities</v>
      </c>
      <c r="I49" s="43" t="str">
        <f>_xlfn.XLOOKUP($A49,Map!$A:$A,Map!E:E)</f>
        <v>Short-term Murabaha loans</v>
      </c>
      <c r="J49" s="43" t="str">
        <f>_xlfn.XLOOKUP($A49,Map!$A:$A,Map!F:F)</f>
        <v>Prepayments - current</v>
      </c>
    </row>
    <row r="50" spans="1:10" x14ac:dyDescent="0.25">
      <c r="A50">
        <v>170002</v>
      </c>
      <c r="B50" t="s">
        <v>864</v>
      </c>
      <c r="C50" s="116">
        <v>1176947.8540000001</v>
      </c>
      <c r="D50" s="116">
        <v>6107394.3969999999</v>
      </c>
      <c r="E50" s="116">
        <v>3677138.2620000001</v>
      </c>
      <c r="F50" s="116">
        <v>3607203.9890000001</v>
      </c>
      <c r="G50" s="43" t="str">
        <f>_xlfn.XLOOKUP($A50,Map!$A:$A,Map!C:C)</f>
        <v>BS</v>
      </c>
      <c r="H50" s="43" t="str">
        <f>_xlfn.XLOOKUP($A50,Map!$A:$A,Map!D:D)</f>
        <v>Current Liabilities</v>
      </c>
      <c r="I50" s="43" t="str">
        <f>_xlfn.XLOOKUP($A50,Map!$A:$A,Map!E:E)</f>
        <v>Short-term Murabaha loans</v>
      </c>
      <c r="J50" s="43" t="str">
        <f>_xlfn.XLOOKUP($A50,Map!$A:$A,Map!F:F)</f>
        <v>Prepayments - current</v>
      </c>
    </row>
    <row r="51" spans="1:10" x14ac:dyDescent="0.25">
      <c r="A51">
        <v>170003</v>
      </c>
      <c r="B51" t="s">
        <v>865</v>
      </c>
      <c r="C51" s="116">
        <v>0</v>
      </c>
      <c r="D51" s="116">
        <v>0</v>
      </c>
      <c r="E51" s="116">
        <v>0</v>
      </c>
      <c r="F51" s="116">
        <v>0</v>
      </c>
      <c r="G51" s="43" t="str">
        <f>_xlfn.XLOOKUP($A51,Map!$A:$A,Map!C:C)</f>
        <v>BS</v>
      </c>
      <c r="H51" s="43" t="str">
        <f>_xlfn.XLOOKUP($A51,Map!$A:$A,Map!D:D)</f>
        <v>Current Liabilities</v>
      </c>
      <c r="I51" s="43" t="str">
        <f>_xlfn.XLOOKUP($A51,Map!$A:$A,Map!E:E)</f>
        <v>Short-term Murabaha loans</v>
      </c>
      <c r="J51" s="43" t="str">
        <f>_xlfn.XLOOKUP($A51,Map!$A:$A,Map!F:F)</f>
        <v>Prepayments - current</v>
      </c>
    </row>
    <row r="52" spans="1:10" x14ac:dyDescent="0.25">
      <c r="A52">
        <v>170004</v>
      </c>
      <c r="B52" t="s">
        <v>866</v>
      </c>
      <c r="C52" s="116">
        <v>1E-3</v>
      </c>
      <c r="D52" s="116">
        <v>0</v>
      </c>
      <c r="E52" s="116">
        <v>0</v>
      </c>
      <c r="F52" s="116">
        <v>1E-3</v>
      </c>
      <c r="G52" s="43" t="str">
        <f>_xlfn.XLOOKUP($A52,Map!$A:$A,Map!C:C)</f>
        <v>BS</v>
      </c>
      <c r="H52" s="43" t="str">
        <f>_xlfn.XLOOKUP($A52,Map!$A:$A,Map!D:D)</f>
        <v>Current Liabilities</v>
      </c>
      <c r="I52" s="43" t="str">
        <f>_xlfn.XLOOKUP($A52,Map!$A:$A,Map!E:E)</f>
        <v>Short-term Murabaha loans</v>
      </c>
      <c r="J52" s="43" t="str">
        <f>_xlfn.XLOOKUP($A52,Map!$A:$A,Map!F:F)</f>
        <v>Prepayments - current</v>
      </c>
    </row>
    <row r="53" spans="1:10" x14ac:dyDescent="0.25">
      <c r="A53">
        <v>170005</v>
      </c>
      <c r="B53" t="s">
        <v>867</v>
      </c>
      <c r="C53" s="116">
        <v>0</v>
      </c>
      <c r="D53" s="116">
        <v>0</v>
      </c>
      <c r="E53" s="116">
        <v>0</v>
      </c>
      <c r="F53" s="116">
        <v>0</v>
      </c>
      <c r="G53" s="43" t="str">
        <f>_xlfn.XLOOKUP($A53,Map!$A:$A,Map!C:C)</f>
        <v>BS</v>
      </c>
      <c r="H53" s="43" t="str">
        <f>_xlfn.XLOOKUP($A53,Map!$A:$A,Map!D:D)</f>
        <v>Current Assets</v>
      </c>
      <c r="I53" s="43" t="str">
        <f>_xlfn.XLOOKUP($A53,Map!$A:$A,Map!E:E)</f>
        <v>Prepaid expenses</v>
      </c>
      <c r="J53" s="43" t="str">
        <f>_xlfn.XLOOKUP($A53,Map!$A:$A,Map!F:F)</f>
        <v>Deposits - current</v>
      </c>
    </row>
    <row r="54" spans="1:10" x14ac:dyDescent="0.25">
      <c r="A54">
        <v>170006</v>
      </c>
      <c r="B54" t="s">
        <v>868</v>
      </c>
      <c r="C54" s="116">
        <v>0</v>
      </c>
      <c r="D54" s="116">
        <v>0</v>
      </c>
      <c r="E54" s="116">
        <v>0</v>
      </c>
      <c r="F54" s="116">
        <v>0</v>
      </c>
      <c r="G54" s="43" t="str">
        <f>_xlfn.XLOOKUP($A54,Map!$A:$A,Map!C:C)</f>
        <v>BS</v>
      </c>
      <c r="H54" s="43" t="str">
        <f>_xlfn.XLOOKUP($A54,Map!$A:$A,Map!D:D)</f>
        <v>Current Assets</v>
      </c>
      <c r="I54" s="43" t="str">
        <f>_xlfn.XLOOKUP($A54,Map!$A:$A,Map!E:E)</f>
        <v>Prepaid expenses</v>
      </c>
      <c r="J54" s="43" t="str">
        <f>_xlfn.XLOOKUP($A54,Map!$A:$A,Map!F:F)</f>
        <v>Deposits - current</v>
      </c>
    </row>
    <row r="55" spans="1:10" x14ac:dyDescent="0.25">
      <c r="A55">
        <v>170007</v>
      </c>
      <c r="B55" t="s">
        <v>869</v>
      </c>
      <c r="C55" s="116">
        <v>0</v>
      </c>
      <c r="D55" s="116">
        <v>0</v>
      </c>
      <c r="E55" s="116">
        <v>0</v>
      </c>
      <c r="F55" s="116">
        <v>0</v>
      </c>
      <c r="G55" s="43" t="str">
        <f>_xlfn.XLOOKUP($A55,Map!$A:$A,Map!C:C)</f>
        <v>BS</v>
      </c>
      <c r="H55" s="43" t="str">
        <f>_xlfn.XLOOKUP($A55,Map!$A:$A,Map!D:D)</f>
        <v>Current Assets</v>
      </c>
      <c r="I55" s="43" t="str">
        <f>_xlfn.XLOOKUP($A55,Map!$A:$A,Map!E:E)</f>
        <v>Prepaid expenses</v>
      </c>
      <c r="J55" s="43" t="str">
        <f>_xlfn.XLOOKUP($A55,Map!$A:$A,Map!F:F)</f>
        <v>Deposits - current</v>
      </c>
    </row>
    <row r="56" spans="1:10" x14ac:dyDescent="0.25">
      <c r="A56">
        <v>170008</v>
      </c>
      <c r="B56" t="s">
        <v>870</v>
      </c>
      <c r="C56" s="116">
        <v>65928.34</v>
      </c>
      <c r="D56" s="116">
        <v>376741.19</v>
      </c>
      <c r="E56" s="116">
        <v>539907.62600000005</v>
      </c>
      <c r="F56" s="116">
        <v>-97238.096000000005</v>
      </c>
      <c r="G56" s="43" t="str">
        <f>_xlfn.XLOOKUP($A56,Map!$A:$A,Map!C:C)</f>
        <v>BS</v>
      </c>
      <c r="H56" s="43" t="str">
        <f>_xlfn.XLOOKUP($A56,Map!$A:$A,Map!D:D)</f>
        <v>Current Assets</v>
      </c>
      <c r="I56" s="43" t="str">
        <f>_xlfn.XLOOKUP($A56,Map!$A:$A,Map!E:E)</f>
        <v>Prepaid expenses</v>
      </c>
      <c r="J56" s="43" t="str">
        <f>_xlfn.XLOOKUP($A56,Map!$A:$A,Map!F:F)</f>
        <v>Deposits - current</v>
      </c>
    </row>
    <row r="57" spans="1:10" x14ac:dyDescent="0.25">
      <c r="A57">
        <v>170009</v>
      </c>
      <c r="B57" t="s">
        <v>871</v>
      </c>
      <c r="C57" s="116">
        <v>81690.100999999995</v>
      </c>
      <c r="D57" s="116">
        <v>965114.6</v>
      </c>
      <c r="E57" s="116">
        <v>855775.07400000002</v>
      </c>
      <c r="F57" s="116">
        <v>191029.62700000001</v>
      </c>
      <c r="G57" s="43" t="str">
        <f>_xlfn.XLOOKUP($A57,Map!$A:$A,Map!C:C)</f>
        <v>BS</v>
      </c>
      <c r="H57" s="43" t="str">
        <f>_xlfn.XLOOKUP($A57,Map!$A:$A,Map!D:D)</f>
        <v>Current Assets</v>
      </c>
      <c r="I57" s="43" t="str">
        <f>_xlfn.XLOOKUP($A57,Map!$A:$A,Map!E:E)</f>
        <v>Prepaid expenses</v>
      </c>
      <c r="J57" s="43" t="str">
        <f>_xlfn.XLOOKUP($A57,Map!$A:$A,Map!F:F)</f>
        <v>Rent</v>
      </c>
    </row>
    <row r="58" spans="1:10" x14ac:dyDescent="0.25">
      <c r="A58">
        <v>170010</v>
      </c>
      <c r="B58" t="s">
        <v>872</v>
      </c>
      <c r="C58" s="116">
        <v>0</v>
      </c>
      <c r="D58" s="116">
        <v>0</v>
      </c>
      <c r="E58" s="116">
        <v>0</v>
      </c>
      <c r="F58" s="116">
        <v>0</v>
      </c>
      <c r="G58" s="43" t="str">
        <f>_xlfn.XLOOKUP($A58,Map!$A:$A,Map!C:C)</f>
        <v>BS</v>
      </c>
      <c r="H58" s="43" t="str">
        <f>_xlfn.XLOOKUP($A58,Map!$A:$A,Map!D:D)</f>
        <v>Current Assets</v>
      </c>
      <c r="I58" s="43" t="str">
        <f>_xlfn.XLOOKUP($A58,Map!$A:$A,Map!E:E)</f>
        <v>Prepaid expenses</v>
      </c>
      <c r="J58" s="43" t="str">
        <f>_xlfn.XLOOKUP($A58,Map!$A:$A,Map!F:F)</f>
        <v>Housing allowance</v>
      </c>
    </row>
    <row r="59" spans="1:10" x14ac:dyDescent="0.25">
      <c r="A59">
        <v>170011</v>
      </c>
      <c r="B59" t="s">
        <v>873</v>
      </c>
      <c r="C59" s="116">
        <v>0</v>
      </c>
      <c r="D59" s="116">
        <v>75000</v>
      </c>
      <c r="E59" s="116">
        <v>25000</v>
      </c>
      <c r="F59" s="116">
        <v>50000</v>
      </c>
      <c r="G59" s="43" t="str">
        <f>_xlfn.XLOOKUP($A59,Map!$A:$A,Map!C:C)</f>
        <v>BS</v>
      </c>
      <c r="H59" s="43" t="str">
        <f>_xlfn.XLOOKUP($A59,Map!$A:$A,Map!D:D)</f>
        <v>Current Assets</v>
      </c>
      <c r="I59" s="43" t="str">
        <f>_xlfn.XLOOKUP($A59,Map!$A:$A,Map!E:E)</f>
        <v>Prepaid expenses</v>
      </c>
      <c r="J59" s="43" t="str">
        <f>_xlfn.XLOOKUP($A59,Map!$A:$A,Map!F:F)</f>
        <v>Air tickets</v>
      </c>
    </row>
    <row r="60" spans="1:10" x14ac:dyDescent="0.25">
      <c r="A60">
        <v>170012</v>
      </c>
      <c r="B60" t="s">
        <v>874</v>
      </c>
      <c r="C60" s="116">
        <v>0</v>
      </c>
      <c r="D60" s="116">
        <v>0</v>
      </c>
      <c r="E60" s="116">
        <v>0</v>
      </c>
      <c r="F60" s="116">
        <v>0</v>
      </c>
      <c r="G60" s="43" t="str">
        <f>_xlfn.XLOOKUP($A60,Map!$A:$A,Map!C:C)</f>
        <v>BS</v>
      </c>
      <c r="H60" s="43" t="str">
        <f>_xlfn.XLOOKUP($A60,Map!$A:$A,Map!D:D)</f>
        <v>Current Assets</v>
      </c>
      <c r="I60" s="43" t="str">
        <f>_xlfn.XLOOKUP($A60,Map!$A:$A,Map!E:E)</f>
        <v>Prepaid expenses</v>
      </c>
      <c r="J60" s="43" t="str">
        <f>_xlfn.XLOOKUP($A60,Map!$A:$A,Map!F:F)</f>
        <v>Furniture allowance</v>
      </c>
    </row>
    <row r="61" spans="1:10" x14ac:dyDescent="0.25">
      <c r="A61">
        <v>170013</v>
      </c>
      <c r="B61" t="s">
        <v>875</v>
      </c>
      <c r="C61" s="116">
        <v>0</v>
      </c>
      <c r="D61" s="116">
        <v>0</v>
      </c>
      <c r="E61" s="116">
        <v>0</v>
      </c>
      <c r="F61" s="116">
        <v>0</v>
      </c>
      <c r="G61" s="43" t="str">
        <f>_xlfn.XLOOKUP($A61,Map!$A:$A,Map!C:C)</f>
        <v>BS</v>
      </c>
      <c r="H61" s="43" t="str">
        <f>_xlfn.XLOOKUP($A61,Map!$A:$A,Map!D:D)</f>
        <v>Current Assets</v>
      </c>
      <c r="I61" s="43" t="str">
        <f>_xlfn.XLOOKUP($A61,Map!$A:$A,Map!E:E)</f>
        <v>Prepaid expenses</v>
      </c>
      <c r="J61" s="43" t="str">
        <f>_xlfn.XLOOKUP($A61,Map!$A:$A,Map!F:F)</f>
        <v>Insurance</v>
      </c>
    </row>
    <row r="62" spans="1:10" x14ac:dyDescent="0.25">
      <c r="A62">
        <v>170014</v>
      </c>
      <c r="B62" t="s">
        <v>876</v>
      </c>
      <c r="C62" s="116">
        <v>384085.83399999997</v>
      </c>
      <c r="D62" s="116">
        <v>1201110.6950000001</v>
      </c>
      <c r="E62" s="116">
        <v>1044644.318</v>
      </c>
      <c r="F62" s="116">
        <v>540552.21100000001</v>
      </c>
      <c r="G62" s="43" t="str">
        <f>_xlfn.XLOOKUP($A62,Map!$A:$A,Map!C:C)</f>
        <v>BS</v>
      </c>
      <c r="H62" s="43" t="str">
        <f>_xlfn.XLOOKUP($A62,Map!$A:$A,Map!D:D)</f>
        <v>Current Assets</v>
      </c>
      <c r="I62" s="43" t="str">
        <f>_xlfn.XLOOKUP($A62,Map!$A:$A,Map!E:E)</f>
        <v>Prepaid expenses</v>
      </c>
      <c r="J62" s="43" t="str">
        <f>_xlfn.XLOOKUP($A62,Map!$A:$A,Map!F:F)</f>
        <v>Insurance</v>
      </c>
    </row>
    <row r="63" spans="1:10" x14ac:dyDescent="0.25">
      <c r="A63">
        <v>170015</v>
      </c>
      <c r="B63" t="s">
        <v>877</v>
      </c>
      <c r="C63" s="116">
        <v>0</v>
      </c>
      <c r="D63" s="116">
        <v>300000</v>
      </c>
      <c r="E63" s="116">
        <v>300000</v>
      </c>
      <c r="F63" s="116">
        <v>0</v>
      </c>
      <c r="G63" s="43" t="str">
        <f>_xlfn.XLOOKUP($A63,Map!$A:$A,Map!C:C)</f>
        <v>BS</v>
      </c>
      <c r="H63" s="43" t="str">
        <f>_xlfn.XLOOKUP($A63,Map!$A:$A,Map!D:D)</f>
        <v>Current Assets</v>
      </c>
      <c r="I63" s="43" t="str">
        <f>_xlfn.XLOOKUP($A63,Map!$A:$A,Map!E:E)</f>
        <v>Prepaid expenses</v>
      </c>
      <c r="J63" s="43" t="str">
        <f>_xlfn.XLOOKUP($A63,Map!$A:$A,Map!F:F)</f>
        <v>Salaries and wages</v>
      </c>
    </row>
    <row r="64" spans="1:10" x14ac:dyDescent="0.25">
      <c r="A64">
        <v>170016</v>
      </c>
      <c r="B64" t="s">
        <v>878</v>
      </c>
      <c r="C64" s="116">
        <v>169324</v>
      </c>
      <c r="D64" s="116">
        <v>0</v>
      </c>
      <c r="E64" s="116">
        <v>0</v>
      </c>
      <c r="F64" s="116">
        <v>169324</v>
      </c>
      <c r="G64" s="43" t="str">
        <f>_xlfn.XLOOKUP($A64,Map!$A:$A,Map!C:C)</f>
        <v>BS</v>
      </c>
      <c r="H64" s="43" t="str">
        <f>_xlfn.XLOOKUP($A64,Map!$A:$A,Map!D:D)</f>
        <v>Current Assets</v>
      </c>
      <c r="I64" s="43" t="str">
        <f>_xlfn.XLOOKUP($A64,Map!$A:$A,Map!E:E)</f>
        <v>Prepaid expenses</v>
      </c>
      <c r="J64" s="43" t="str">
        <f>_xlfn.XLOOKUP($A64,Map!$A:$A,Map!F:F)</f>
        <v>Other receivables - current</v>
      </c>
    </row>
    <row r="65" spans="1:10" x14ac:dyDescent="0.25">
      <c r="A65">
        <v>170017</v>
      </c>
      <c r="B65" t="s">
        <v>879</v>
      </c>
      <c r="C65" s="116">
        <v>0</v>
      </c>
      <c r="D65" s="116">
        <v>0</v>
      </c>
      <c r="E65" s="116">
        <v>0</v>
      </c>
      <c r="F65" s="116">
        <v>0</v>
      </c>
      <c r="G65" s="43" t="str">
        <f>_xlfn.XLOOKUP($A65,Map!$A:$A,Map!C:C)</f>
        <v>BS</v>
      </c>
      <c r="H65" s="43" t="str">
        <f>_xlfn.XLOOKUP($A65,Map!$A:$A,Map!D:D)</f>
        <v>Current Assets</v>
      </c>
      <c r="I65" s="43" t="str">
        <f>_xlfn.XLOOKUP($A65,Map!$A:$A,Map!E:E)</f>
        <v>Prepaid expenses</v>
      </c>
      <c r="J65" s="43" t="str">
        <f>_xlfn.XLOOKUP($A65,Map!$A:$A,Map!F:F)</f>
        <v>Family allowance</v>
      </c>
    </row>
    <row r="66" spans="1:10" x14ac:dyDescent="0.25">
      <c r="A66">
        <v>170018</v>
      </c>
      <c r="B66" t="s">
        <v>880</v>
      </c>
      <c r="C66" s="116">
        <v>0</v>
      </c>
      <c r="D66" s="116">
        <v>6600</v>
      </c>
      <c r="E66" s="116">
        <v>0</v>
      </c>
      <c r="F66" s="116">
        <v>6600</v>
      </c>
      <c r="G66" s="43" t="str">
        <f>_xlfn.XLOOKUP($A66,Map!$A:$A,Map!C:C)</f>
        <v>BS</v>
      </c>
      <c r="H66" s="43" t="str">
        <f>_xlfn.XLOOKUP($A66,Map!$A:$A,Map!D:D)</f>
        <v>Current Assets</v>
      </c>
      <c r="I66" s="43" t="str">
        <f>_xlfn.XLOOKUP($A66,Map!$A:$A,Map!E:E)</f>
        <v>Prepaid expenses</v>
      </c>
      <c r="J66" s="43" t="str">
        <f>_xlfn.XLOOKUP($A66,Map!$A:$A,Map!F:F)</f>
        <v>Other receivables - current</v>
      </c>
    </row>
    <row r="67" spans="1:10" x14ac:dyDescent="0.25">
      <c r="A67">
        <v>170019</v>
      </c>
      <c r="B67" t="s">
        <v>881</v>
      </c>
      <c r="C67" s="116">
        <v>0</v>
      </c>
      <c r="D67" s="116">
        <v>85958.225999999995</v>
      </c>
      <c r="E67" s="116">
        <v>85958.225999999995</v>
      </c>
      <c r="F67" s="116">
        <v>0</v>
      </c>
      <c r="G67" s="43" t="str">
        <f>_xlfn.XLOOKUP($A67,Map!$A:$A,Map!C:C)</f>
        <v>BS</v>
      </c>
      <c r="H67" s="43" t="str">
        <f>_xlfn.XLOOKUP($A67,Map!$A:$A,Map!D:D)</f>
        <v>Current Assets</v>
      </c>
      <c r="I67" s="43" t="str">
        <f>_xlfn.XLOOKUP($A67,Map!$A:$A,Map!E:E)</f>
        <v>Prepaid expenses</v>
      </c>
      <c r="J67" s="43" t="str">
        <f>_xlfn.XLOOKUP($A67,Map!$A:$A,Map!F:F)</f>
        <v>Other receivables - current</v>
      </c>
    </row>
    <row r="68" spans="1:10" x14ac:dyDescent="0.25">
      <c r="A68">
        <v>170020</v>
      </c>
      <c r="B68" t="s">
        <v>882</v>
      </c>
      <c r="C68" s="116">
        <v>187932.64</v>
      </c>
      <c r="D68" s="116">
        <v>2642661.023</v>
      </c>
      <c r="E68" s="116">
        <v>0</v>
      </c>
      <c r="F68" s="116">
        <v>2830593.6630000002</v>
      </c>
      <c r="G68" s="43" t="str">
        <f>_xlfn.XLOOKUP($A68,Map!$A:$A,Map!C:C)</f>
        <v>BS</v>
      </c>
      <c r="H68" s="43" t="str">
        <f>_xlfn.XLOOKUP($A68,Map!$A:$A,Map!D:D)</f>
        <v>Current Assets</v>
      </c>
      <c r="I68" s="43" t="str">
        <f>_xlfn.XLOOKUP($A68,Map!$A:$A,Map!E:E)</f>
        <v>Prepaid expenses</v>
      </c>
      <c r="J68" s="43" t="str">
        <f>_xlfn.XLOOKUP($A68,Map!$A:$A,Map!F:F)</f>
        <v>Insurance</v>
      </c>
    </row>
    <row r="69" spans="1:10" x14ac:dyDescent="0.25">
      <c r="A69">
        <v>170021</v>
      </c>
      <c r="B69" t="s">
        <v>883</v>
      </c>
      <c r="C69" s="116">
        <v>0</v>
      </c>
      <c r="D69" s="116">
        <v>1529531.855</v>
      </c>
      <c r="E69" s="116">
        <v>1248842.392</v>
      </c>
      <c r="F69" s="116">
        <v>280689.46299999999</v>
      </c>
      <c r="G69" s="43" t="str">
        <f>_xlfn.XLOOKUP($A69,Map!$A:$A,Map!C:C)</f>
        <v>BS</v>
      </c>
      <c r="H69" s="43" t="str">
        <f>_xlfn.XLOOKUP($A69,Map!$A:$A,Map!D:D)</f>
        <v>Current Assets</v>
      </c>
      <c r="I69" s="43" t="str">
        <f>_xlfn.XLOOKUP($A69,Map!$A:$A,Map!E:E)</f>
        <v>Prepaid expenses</v>
      </c>
      <c r="J69" s="43" t="str">
        <f>_xlfn.XLOOKUP($A69,Map!$A:$A,Map!F:F)</f>
        <v>Prepaid expense</v>
      </c>
    </row>
    <row r="70" spans="1:10" x14ac:dyDescent="0.25">
      <c r="A70">
        <v>180001</v>
      </c>
      <c r="B70" t="s">
        <v>884</v>
      </c>
      <c r="C70" s="116">
        <v>1808123.993</v>
      </c>
      <c r="D70" s="116">
        <v>8230305.0860000001</v>
      </c>
      <c r="E70" s="116">
        <v>6401876.6349999998</v>
      </c>
      <c r="F70" s="116">
        <v>3636552.4440000001</v>
      </c>
      <c r="G70" s="43" t="str">
        <f>_xlfn.XLOOKUP($A70,Map!$A:$A,Map!C:C)</f>
        <v>BS</v>
      </c>
      <c r="H70" s="43" t="str">
        <f>_xlfn.XLOOKUP($A70,Map!$A:$A,Map!D:D)</f>
        <v>Current Assets</v>
      </c>
      <c r="I70" s="43" t="str">
        <f>_xlfn.XLOOKUP($A70,Map!$A:$A,Map!E:E)</f>
        <v>Inventories</v>
      </c>
      <c r="J70" s="43" t="str">
        <f>_xlfn.XLOOKUP($A70,Map!$A:$A,Map!F:F)</f>
        <v>Raw materials - Inventory</v>
      </c>
    </row>
    <row r="71" spans="1:10" x14ac:dyDescent="0.25">
      <c r="A71">
        <v>180002</v>
      </c>
      <c r="B71" t="s">
        <v>885</v>
      </c>
      <c r="C71" s="116">
        <v>0</v>
      </c>
      <c r="D71" s="116">
        <v>0</v>
      </c>
      <c r="E71" s="116">
        <v>0</v>
      </c>
      <c r="F71" s="116">
        <v>0</v>
      </c>
      <c r="G71" s="43" t="str">
        <f>_xlfn.XLOOKUP($A71,Map!$A:$A,Map!C:C)</f>
        <v>BS</v>
      </c>
      <c r="H71" s="43" t="str">
        <f>_xlfn.XLOOKUP($A71,Map!$A:$A,Map!D:D)</f>
        <v>Current Assets</v>
      </c>
      <c r="I71" s="43" t="str">
        <f>_xlfn.XLOOKUP($A71,Map!$A:$A,Map!E:E)</f>
        <v>Inventories</v>
      </c>
      <c r="J71" s="43" t="str">
        <f>_xlfn.XLOOKUP($A71,Map!$A:$A,Map!F:F)</f>
        <v>Raw materials - Inventory</v>
      </c>
    </row>
    <row r="72" spans="1:10" x14ac:dyDescent="0.25">
      <c r="A72">
        <v>180003</v>
      </c>
      <c r="B72" t="s">
        <v>886</v>
      </c>
      <c r="C72" s="116">
        <v>9421144.9240000006</v>
      </c>
      <c r="D72" s="116">
        <v>14159769.505999999</v>
      </c>
      <c r="E72" s="116">
        <v>10913469.530999999</v>
      </c>
      <c r="F72" s="116">
        <v>12667444.899</v>
      </c>
      <c r="G72" s="43" t="str">
        <f>_xlfn.XLOOKUP($A72,Map!$A:$A,Map!C:C)</f>
        <v>BS</v>
      </c>
      <c r="H72" s="43" t="str">
        <f>_xlfn.XLOOKUP($A72,Map!$A:$A,Map!D:D)</f>
        <v>Current Assets</v>
      </c>
      <c r="I72" s="43" t="str">
        <f>_xlfn.XLOOKUP($A72,Map!$A:$A,Map!E:E)</f>
        <v>Inventories</v>
      </c>
      <c r="J72" s="43" t="str">
        <f>_xlfn.XLOOKUP($A72,Map!$A:$A,Map!F:F)</f>
        <v>Spare parts - Inventory</v>
      </c>
    </row>
    <row r="73" spans="1:10" x14ac:dyDescent="0.25">
      <c r="A73">
        <v>180004</v>
      </c>
      <c r="B73" t="s">
        <v>887</v>
      </c>
      <c r="C73" s="116">
        <v>5934186.6670000004</v>
      </c>
      <c r="D73" s="116">
        <v>221971008.039</v>
      </c>
      <c r="E73" s="116">
        <v>189038689.794</v>
      </c>
      <c r="F73" s="116">
        <v>38866504.912</v>
      </c>
      <c r="G73" s="43" t="str">
        <f>_xlfn.XLOOKUP($A73,Map!$A:$A,Map!C:C)</f>
        <v>BS</v>
      </c>
      <c r="H73" s="43" t="str">
        <f>_xlfn.XLOOKUP($A73,Map!$A:$A,Map!D:D)</f>
        <v>Current Assets</v>
      </c>
      <c r="I73" s="43" t="str">
        <f>_xlfn.XLOOKUP($A73,Map!$A:$A,Map!E:E)</f>
        <v>Inventories</v>
      </c>
      <c r="J73" s="43" t="str">
        <f>_xlfn.XLOOKUP($A73,Map!$A:$A,Map!F:F)</f>
        <v>Raw materials - Inventory</v>
      </c>
    </row>
    <row r="74" spans="1:10" x14ac:dyDescent="0.25">
      <c r="A74">
        <v>180005</v>
      </c>
      <c r="B74" t="s">
        <v>888</v>
      </c>
      <c r="C74" s="116">
        <v>7778933.2960000001</v>
      </c>
      <c r="D74" s="116">
        <v>22482966.136999998</v>
      </c>
      <c r="E74" s="116">
        <v>27208040.782000002</v>
      </c>
      <c r="F74" s="116">
        <v>3053858.6510000001</v>
      </c>
      <c r="G74" s="43" t="str">
        <f>_xlfn.XLOOKUP($A74,Map!$A:$A,Map!C:C)</f>
        <v>BS</v>
      </c>
      <c r="H74" s="43" t="str">
        <f>_xlfn.XLOOKUP($A74,Map!$A:$A,Map!D:D)</f>
        <v>Current Assets</v>
      </c>
      <c r="I74" s="43" t="str">
        <f>_xlfn.XLOOKUP($A74,Map!$A:$A,Map!E:E)</f>
        <v>Inventories</v>
      </c>
      <c r="J74" s="43" t="str">
        <f>_xlfn.XLOOKUP($A74,Map!$A:$A,Map!F:F)</f>
        <v>Raw materials - Inventory</v>
      </c>
    </row>
    <row r="75" spans="1:10" x14ac:dyDescent="0.25">
      <c r="A75">
        <v>180006</v>
      </c>
      <c r="B75" t="s">
        <v>889</v>
      </c>
      <c r="C75" s="116">
        <v>184644.11300000001</v>
      </c>
      <c r="D75" s="116">
        <v>3935936.5060000001</v>
      </c>
      <c r="E75" s="116">
        <v>4064303.7089999998</v>
      </c>
      <c r="F75" s="116">
        <v>56276.91</v>
      </c>
      <c r="G75" s="43" t="str">
        <f>_xlfn.XLOOKUP($A75,Map!$A:$A,Map!C:C)</f>
        <v>BS</v>
      </c>
      <c r="H75" s="43" t="str">
        <f>_xlfn.XLOOKUP($A75,Map!$A:$A,Map!D:D)</f>
        <v>Current Assets</v>
      </c>
      <c r="I75" s="43" t="str">
        <f>_xlfn.XLOOKUP($A75,Map!$A:$A,Map!E:E)</f>
        <v>Inventories</v>
      </c>
      <c r="J75" s="43" t="str">
        <f>_xlfn.XLOOKUP($A75,Map!$A:$A,Map!F:F)</f>
        <v>Raw materials - Inventory</v>
      </c>
    </row>
    <row r="76" spans="1:10" x14ac:dyDescent="0.25">
      <c r="A76">
        <v>180007</v>
      </c>
      <c r="B76" t="s">
        <v>890</v>
      </c>
      <c r="C76" s="116">
        <v>133828.25200000001</v>
      </c>
      <c r="D76" s="116">
        <v>0</v>
      </c>
      <c r="E76" s="116">
        <v>0</v>
      </c>
      <c r="F76" s="116">
        <v>133828.25200000001</v>
      </c>
      <c r="G76" s="43" t="str">
        <f>_xlfn.XLOOKUP($A76,Map!$A:$A,Map!C:C)</f>
        <v>BS</v>
      </c>
      <c r="H76" s="43" t="str">
        <f>_xlfn.XLOOKUP($A76,Map!$A:$A,Map!D:D)</f>
        <v>Current Assets</v>
      </c>
      <c r="I76" s="43" t="str">
        <f>_xlfn.XLOOKUP($A76,Map!$A:$A,Map!E:E)</f>
        <v>Inventories</v>
      </c>
      <c r="J76" s="43" t="str">
        <f>_xlfn.XLOOKUP($A76,Map!$A:$A,Map!F:F)</f>
        <v>Raw materials - Inventory</v>
      </c>
    </row>
    <row r="77" spans="1:10" x14ac:dyDescent="0.25">
      <c r="A77">
        <v>180008</v>
      </c>
      <c r="B77" t="s">
        <v>891</v>
      </c>
      <c r="C77" s="116">
        <v>0</v>
      </c>
      <c r="D77" s="116">
        <v>0</v>
      </c>
      <c r="E77" s="116">
        <v>0</v>
      </c>
      <c r="F77" s="116">
        <v>0</v>
      </c>
      <c r="G77" s="43" t="str">
        <f>_xlfn.XLOOKUP($A77,Map!$A:$A,Map!C:C)</f>
        <v>BS</v>
      </c>
      <c r="H77" s="43" t="str">
        <f>_xlfn.XLOOKUP($A77,Map!$A:$A,Map!D:D)</f>
        <v>Current Assets</v>
      </c>
      <c r="I77" s="43" t="str">
        <f>_xlfn.XLOOKUP($A77,Map!$A:$A,Map!E:E)</f>
        <v>Inventories</v>
      </c>
      <c r="J77" s="43" t="str">
        <f>_xlfn.XLOOKUP($A77,Map!$A:$A,Map!F:F)</f>
        <v>Raw materials - Inventory</v>
      </c>
    </row>
    <row r="78" spans="1:10" x14ac:dyDescent="0.25">
      <c r="A78">
        <v>180009</v>
      </c>
      <c r="B78" t="s">
        <v>892</v>
      </c>
      <c r="C78" s="116">
        <v>0</v>
      </c>
      <c r="D78" s="116">
        <v>0</v>
      </c>
      <c r="E78" s="116">
        <v>0</v>
      </c>
      <c r="F78" s="116">
        <v>0</v>
      </c>
      <c r="G78" s="43" t="str">
        <f>_xlfn.XLOOKUP($A78,Map!$A:$A,Map!C:C)</f>
        <v>BS</v>
      </c>
      <c r="H78" s="43" t="str">
        <f>_xlfn.XLOOKUP($A78,Map!$A:$A,Map!D:D)</f>
        <v>Current Assets</v>
      </c>
      <c r="I78" s="43" t="str">
        <f>_xlfn.XLOOKUP($A78,Map!$A:$A,Map!E:E)</f>
        <v>Inventories</v>
      </c>
      <c r="J78" s="43" t="str">
        <f>_xlfn.XLOOKUP($A78,Map!$A:$A,Map!F:F)</f>
        <v>Raw materials - Inventory</v>
      </c>
    </row>
    <row r="79" spans="1:10" x14ac:dyDescent="0.25">
      <c r="A79">
        <v>180010</v>
      </c>
      <c r="B79" t="s">
        <v>893</v>
      </c>
      <c r="C79" s="116">
        <v>3576344.7710000002</v>
      </c>
      <c r="D79" s="116">
        <v>19723312.442000002</v>
      </c>
      <c r="E79" s="116">
        <v>17581924.096000001</v>
      </c>
      <c r="F79" s="116">
        <v>5717733.1169999996</v>
      </c>
      <c r="G79" s="43" t="str">
        <f>_xlfn.XLOOKUP($A79,Map!$A:$A,Map!C:C)</f>
        <v>BS</v>
      </c>
      <c r="H79" s="43" t="str">
        <f>_xlfn.XLOOKUP($A79,Map!$A:$A,Map!D:D)</f>
        <v>Current Assets</v>
      </c>
      <c r="I79" s="43" t="str">
        <f>_xlfn.XLOOKUP($A79,Map!$A:$A,Map!E:E)</f>
        <v>Inventories</v>
      </c>
      <c r="J79" s="43" t="str">
        <f>_xlfn.XLOOKUP($A79,Map!$A:$A,Map!F:F)</f>
        <v>Packaging materials - Inventory</v>
      </c>
    </row>
    <row r="80" spans="1:10" x14ac:dyDescent="0.25">
      <c r="A80">
        <v>180011</v>
      </c>
      <c r="B80" t="s">
        <v>894</v>
      </c>
      <c r="C80" s="116">
        <v>9484544.6830000002</v>
      </c>
      <c r="D80" s="116">
        <v>147474718.84400001</v>
      </c>
      <c r="E80" s="116">
        <v>145113287.324</v>
      </c>
      <c r="F80" s="116">
        <v>11845976.203</v>
      </c>
      <c r="G80" s="43" t="str">
        <f>_xlfn.XLOOKUP($A80,Map!$A:$A,Map!C:C)</f>
        <v>BS</v>
      </c>
      <c r="H80" s="43" t="str">
        <f>_xlfn.XLOOKUP($A80,Map!$A:$A,Map!D:D)</f>
        <v>Current Assets</v>
      </c>
      <c r="I80" s="43" t="str">
        <f>_xlfn.XLOOKUP($A80,Map!$A:$A,Map!E:E)</f>
        <v>Inventories</v>
      </c>
      <c r="J80" s="43" t="str">
        <f>_xlfn.XLOOKUP($A80,Map!$A:$A,Map!F:F)</f>
        <v>Finished goods - Inventory</v>
      </c>
    </row>
    <row r="81" spans="1:10" x14ac:dyDescent="0.25">
      <c r="A81">
        <v>180012</v>
      </c>
      <c r="B81" t="s">
        <v>895</v>
      </c>
      <c r="C81" s="116">
        <v>4089189.5980000002</v>
      </c>
      <c r="D81" s="116">
        <v>202662952.25400001</v>
      </c>
      <c r="E81" s="116">
        <v>202815073.84599999</v>
      </c>
      <c r="F81" s="116">
        <v>3937068.0060000001</v>
      </c>
      <c r="G81" s="43" t="str">
        <f>_xlfn.XLOOKUP($A81,Map!$A:$A,Map!C:C)</f>
        <v>BS</v>
      </c>
      <c r="H81" s="43" t="str">
        <f>_xlfn.XLOOKUP($A81,Map!$A:$A,Map!D:D)</f>
        <v>Current Assets</v>
      </c>
      <c r="I81" s="43" t="str">
        <f>_xlfn.XLOOKUP($A81,Map!$A:$A,Map!E:E)</f>
        <v>Inventories</v>
      </c>
      <c r="J81" s="43" t="str">
        <f>_xlfn.XLOOKUP($A81,Map!$A:$A,Map!F:F)</f>
        <v>Work in progress - Inventory</v>
      </c>
    </row>
    <row r="82" spans="1:10" x14ac:dyDescent="0.25">
      <c r="A82">
        <v>180013</v>
      </c>
      <c r="B82" t="s">
        <v>896</v>
      </c>
      <c r="C82" s="116">
        <v>1779013.747</v>
      </c>
      <c r="D82" s="116">
        <v>5323676.2240000004</v>
      </c>
      <c r="E82" s="116">
        <v>4723856.0269999998</v>
      </c>
      <c r="F82" s="116">
        <v>2378833.9440000001</v>
      </c>
      <c r="G82" s="43" t="str">
        <f>_xlfn.XLOOKUP($A82,Map!$A:$A,Map!C:C)</f>
        <v>BS</v>
      </c>
      <c r="H82" s="43" t="str">
        <f>_xlfn.XLOOKUP($A82,Map!$A:$A,Map!D:D)</f>
        <v>Current Assets</v>
      </c>
      <c r="I82" s="43" t="str">
        <f>_xlfn.XLOOKUP($A82,Map!$A:$A,Map!E:E)</f>
        <v>Inventories</v>
      </c>
      <c r="J82" s="43" t="str">
        <f>_xlfn.XLOOKUP($A82,Map!$A:$A,Map!F:F)</f>
        <v>Finished goods - Inventory</v>
      </c>
    </row>
    <row r="83" spans="1:10" x14ac:dyDescent="0.25">
      <c r="A83">
        <v>180014</v>
      </c>
      <c r="B83" t="s">
        <v>897</v>
      </c>
      <c r="C83" s="116">
        <v>470760.93300000002</v>
      </c>
      <c r="D83" s="116">
        <v>336401555.35900003</v>
      </c>
      <c r="E83" s="116">
        <v>335636238.19099998</v>
      </c>
      <c r="F83" s="116">
        <v>1236078.101</v>
      </c>
      <c r="G83" s="43" t="str">
        <f>_xlfn.XLOOKUP($A83,Map!$A:$A,Map!C:C)</f>
        <v>BS</v>
      </c>
      <c r="H83" s="43" t="str">
        <f>_xlfn.XLOOKUP($A83,Map!$A:$A,Map!D:D)</f>
        <v>Current Assets</v>
      </c>
      <c r="I83" s="43" t="str">
        <f>_xlfn.XLOOKUP($A83,Map!$A:$A,Map!E:E)</f>
        <v>Inventories</v>
      </c>
      <c r="J83" s="43" t="str">
        <f>_xlfn.XLOOKUP($A83,Map!$A:$A,Map!F:F)</f>
        <v>Work in progress - Inventory</v>
      </c>
    </row>
    <row r="84" spans="1:10" x14ac:dyDescent="0.25">
      <c r="A84">
        <v>180096</v>
      </c>
      <c r="B84" t="s">
        <v>898</v>
      </c>
      <c r="C84" s="116">
        <v>0</v>
      </c>
      <c r="D84" s="116">
        <v>136965245.90000001</v>
      </c>
      <c r="E84" s="116">
        <v>136945451.956</v>
      </c>
      <c r="F84" s="116">
        <v>19793.944</v>
      </c>
      <c r="G84" s="43" t="str">
        <f>_xlfn.XLOOKUP($A84,Map!$A:$A,Map!C:C)</f>
        <v>BS</v>
      </c>
      <c r="H84" s="43" t="str">
        <f>_xlfn.XLOOKUP($A84,Map!$A:$A,Map!D:D)</f>
        <v>Current Assets</v>
      </c>
      <c r="I84" s="43" t="str">
        <f>_xlfn.XLOOKUP($A84,Map!$A:$A,Map!E:E)</f>
        <v>Inventories</v>
      </c>
      <c r="J84" s="43" t="str">
        <f>_xlfn.XLOOKUP($A84,Map!$A:$A,Map!F:F)</f>
        <v>Work in progress - Inventory</v>
      </c>
    </row>
    <row r="85" spans="1:10" x14ac:dyDescent="0.25">
      <c r="A85">
        <v>180097</v>
      </c>
      <c r="B85" t="s">
        <v>899</v>
      </c>
      <c r="C85" s="116">
        <v>6050.9250000000002</v>
      </c>
      <c r="D85" s="116">
        <v>79360.682000000001</v>
      </c>
      <c r="E85" s="116">
        <v>79360.682000000001</v>
      </c>
      <c r="F85" s="116">
        <v>6050.9250000000002</v>
      </c>
      <c r="G85" s="43" t="str">
        <f>_xlfn.XLOOKUP($A85,Map!$A:$A,Map!C:C)</f>
        <v>BS</v>
      </c>
      <c r="H85" s="43" t="str">
        <f>_xlfn.XLOOKUP($A85,Map!$A:$A,Map!D:D)</f>
        <v>Current Assets</v>
      </c>
      <c r="I85" s="43" t="str">
        <f>_xlfn.XLOOKUP($A85,Map!$A:$A,Map!E:E)</f>
        <v>Inventories</v>
      </c>
      <c r="J85" s="43" t="str">
        <f>_xlfn.XLOOKUP($A85,Map!$A:$A,Map!F:F)</f>
        <v>Work in progress - Inventory</v>
      </c>
    </row>
    <row r="86" spans="1:10" x14ac:dyDescent="0.25">
      <c r="A86">
        <v>180098</v>
      </c>
      <c r="B86" t="s">
        <v>900</v>
      </c>
      <c r="C86" s="116">
        <v>-0.90800000000000003</v>
      </c>
      <c r="D86" s="116">
        <v>20173239.412999999</v>
      </c>
      <c r="E86" s="116">
        <v>19978309.853</v>
      </c>
      <c r="F86" s="116">
        <v>194928.652</v>
      </c>
      <c r="G86" s="43" t="str">
        <f>_xlfn.XLOOKUP($A86,Map!$A:$A,Map!C:C)</f>
        <v>BS</v>
      </c>
      <c r="H86" s="43" t="str">
        <f>_xlfn.XLOOKUP($A86,Map!$A:$A,Map!D:D)</f>
        <v>Current Assets</v>
      </c>
      <c r="I86" s="43" t="str">
        <f>_xlfn.XLOOKUP($A86,Map!$A:$A,Map!E:E)</f>
        <v>Inventories</v>
      </c>
      <c r="J86" s="43" t="str">
        <f>_xlfn.XLOOKUP($A86,Map!$A:$A,Map!F:F)</f>
        <v>Work in progress - Inventory</v>
      </c>
    </row>
    <row r="87" spans="1:10" x14ac:dyDescent="0.25">
      <c r="A87">
        <v>180099</v>
      </c>
      <c r="B87" t="s">
        <v>901</v>
      </c>
      <c r="C87" s="116">
        <v>15265919.785</v>
      </c>
      <c r="D87" s="116">
        <v>119440890.969</v>
      </c>
      <c r="E87" s="116">
        <v>100427991.00399999</v>
      </c>
      <c r="F87" s="116">
        <v>34278819.75</v>
      </c>
      <c r="G87" s="43" t="str">
        <f>_xlfn.XLOOKUP($A87,Map!$A:$A,Map!C:C)</f>
        <v>BS</v>
      </c>
      <c r="H87" s="43" t="str">
        <f>_xlfn.XLOOKUP($A87,Map!$A:$A,Map!D:D)</f>
        <v>Current Assets</v>
      </c>
      <c r="I87" s="43" t="str">
        <f>_xlfn.XLOOKUP($A87,Map!$A:$A,Map!E:E)</f>
        <v>Inventories</v>
      </c>
      <c r="J87" s="43" t="str">
        <f>_xlfn.XLOOKUP($A87,Map!$A:$A,Map!F:F)</f>
        <v>Goods in transit - Inventory</v>
      </c>
    </row>
    <row r="88" spans="1:10" x14ac:dyDescent="0.25">
      <c r="A88">
        <v>210001</v>
      </c>
      <c r="B88" t="s">
        <v>902</v>
      </c>
      <c r="C88" s="116">
        <v>7017867.5410000002</v>
      </c>
      <c r="D88" s="116">
        <v>577322958.47399998</v>
      </c>
      <c r="E88" s="116">
        <v>586605074.13499999</v>
      </c>
      <c r="F88" s="116">
        <v>-2264248.12</v>
      </c>
      <c r="G88" s="43" t="str">
        <f>_xlfn.XLOOKUP($A88,Map!$A:$A,Map!C:C)</f>
        <v>BS</v>
      </c>
      <c r="H88" s="43" t="str">
        <f>_xlfn.XLOOKUP($A88,Map!$A:$A,Map!D:D)</f>
        <v>Current Liabilities</v>
      </c>
      <c r="I88" s="43" t="str">
        <f>_xlfn.XLOOKUP($A88,Map!$A:$A,Map!E:E)</f>
        <v>Tade payables and Accuals &amp; other credit balances</v>
      </c>
      <c r="J88" s="43" t="str">
        <f>_xlfn.XLOOKUP($A88,Map!$A:$A,Map!F:F)</f>
        <v>Trade payables - Foreign</v>
      </c>
    </row>
    <row r="89" spans="1:10" x14ac:dyDescent="0.25">
      <c r="A89">
        <v>210002</v>
      </c>
      <c r="B89" t="s">
        <v>903</v>
      </c>
      <c r="C89" s="116">
        <v>-5949624.8770000003</v>
      </c>
      <c r="D89" s="116">
        <v>228846410.88699999</v>
      </c>
      <c r="E89" s="116">
        <v>233527109.94800001</v>
      </c>
      <c r="F89" s="116">
        <v>-10630323.937999999</v>
      </c>
      <c r="G89" s="43" t="str">
        <f>_xlfn.XLOOKUP($A89,Map!$A:$A,Map!C:C)</f>
        <v>BS</v>
      </c>
      <c r="H89" s="43" t="str">
        <f>_xlfn.XLOOKUP($A89,Map!$A:$A,Map!D:D)</f>
        <v>Current Liabilities</v>
      </c>
      <c r="I89" s="43" t="str">
        <f>_xlfn.XLOOKUP($A89,Map!$A:$A,Map!E:E)</f>
        <v>Tade payables and Accuals &amp; other credit balances</v>
      </c>
      <c r="J89" s="43" t="str">
        <f>_xlfn.XLOOKUP($A89,Map!$A:$A,Map!F:F)</f>
        <v>Trade payables - Local</v>
      </c>
    </row>
    <row r="90" spans="1:10" x14ac:dyDescent="0.25">
      <c r="A90">
        <v>220001</v>
      </c>
      <c r="B90" t="s">
        <v>904</v>
      </c>
      <c r="C90" s="116">
        <v>0</v>
      </c>
      <c r="D90" s="116">
        <v>0</v>
      </c>
      <c r="E90" s="116">
        <v>0</v>
      </c>
      <c r="F90" s="116">
        <v>0</v>
      </c>
      <c r="G90" s="43" t="str">
        <f>_xlfn.XLOOKUP($A90,Map!$A:$A,Map!C:C)</f>
        <v>BS</v>
      </c>
      <c r="H90" s="43" t="str">
        <f>_xlfn.XLOOKUP($A90,Map!$A:$A,Map!D:D)</f>
        <v>Current Liabilities</v>
      </c>
      <c r="I90" s="43" t="str">
        <f>_xlfn.XLOOKUP($A90,Map!$A:$A,Map!E:E)</f>
        <v>Short-term Murabaha loans</v>
      </c>
      <c r="J90" s="43" t="str">
        <f>_xlfn.XLOOKUP($A90,Map!$A:$A,Map!F:F)</f>
        <v>Other loans - current</v>
      </c>
    </row>
    <row r="91" spans="1:10" x14ac:dyDescent="0.25">
      <c r="A91">
        <v>220002</v>
      </c>
      <c r="B91" t="s">
        <v>905</v>
      </c>
      <c r="C91" s="116">
        <v>0</v>
      </c>
      <c r="D91" s="116">
        <v>0</v>
      </c>
      <c r="E91" s="116">
        <v>0</v>
      </c>
      <c r="F91" s="116">
        <v>0</v>
      </c>
      <c r="G91" s="43" t="str">
        <f>_xlfn.XLOOKUP($A91,Map!$A:$A,Map!C:C)</f>
        <v>BS</v>
      </c>
      <c r="H91" s="43" t="str">
        <f>_xlfn.XLOOKUP($A91,Map!$A:$A,Map!D:D)</f>
        <v>Current Liabilities</v>
      </c>
      <c r="I91" s="43" t="str">
        <f>_xlfn.XLOOKUP($A91,Map!$A:$A,Map!E:E)</f>
        <v>Short-term Murabaha loans</v>
      </c>
      <c r="J91" s="43" t="str">
        <f>_xlfn.XLOOKUP($A91,Map!$A:$A,Map!F:F)</f>
        <v>Other loans - current</v>
      </c>
    </row>
    <row r="92" spans="1:10" x14ac:dyDescent="0.25">
      <c r="A92">
        <v>220003</v>
      </c>
      <c r="B92" t="s">
        <v>906</v>
      </c>
      <c r="C92" s="116">
        <v>0</v>
      </c>
      <c r="D92" s="116">
        <v>0</v>
      </c>
      <c r="E92" s="116">
        <v>0</v>
      </c>
      <c r="F92" s="116">
        <v>0</v>
      </c>
      <c r="G92" s="43" t="str">
        <f>_xlfn.XLOOKUP($A92,Map!$A:$A,Map!C:C)</f>
        <v>BS</v>
      </c>
      <c r="H92" s="43" t="str">
        <f>_xlfn.XLOOKUP($A92,Map!$A:$A,Map!D:D)</f>
        <v>Current Liabilities</v>
      </c>
      <c r="I92" s="43" t="str">
        <f>_xlfn.XLOOKUP($A92,Map!$A:$A,Map!E:E)</f>
        <v>Short-term Murabaha loans</v>
      </c>
      <c r="J92" s="43" t="str">
        <f>_xlfn.XLOOKUP($A92,Map!$A:$A,Map!F:F)</f>
        <v>Other loans - current</v>
      </c>
    </row>
    <row r="93" spans="1:10" x14ac:dyDescent="0.25">
      <c r="A93">
        <v>220004</v>
      </c>
      <c r="B93" t="s">
        <v>907</v>
      </c>
      <c r="C93" s="116">
        <v>0</v>
      </c>
      <c r="D93" s="116">
        <v>15631763.4</v>
      </c>
      <c r="E93" s="116">
        <v>57677671.149999999</v>
      </c>
      <c r="F93" s="116">
        <v>-42045907.75</v>
      </c>
      <c r="G93" s="43" t="str">
        <f>_xlfn.XLOOKUP($A93,Map!$A:$A,Map!C:C)</f>
        <v>BS</v>
      </c>
      <c r="H93" s="43" t="str">
        <f>_xlfn.XLOOKUP($A93,Map!$A:$A,Map!D:D)</f>
        <v>Current Liabilities</v>
      </c>
      <c r="I93" s="43" t="str">
        <f>_xlfn.XLOOKUP($A93,Map!$A:$A,Map!E:E)</f>
        <v>Short-term Murabaha loans</v>
      </c>
      <c r="J93" s="43" t="str">
        <f>_xlfn.XLOOKUP($A93,Map!$A:$A,Map!F:F)</f>
        <v>Other loans - current</v>
      </c>
    </row>
    <row r="94" spans="1:10" x14ac:dyDescent="0.25">
      <c r="A94">
        <v>220005</v>
      </c>
      <c r="B94" t="s">
        <v>908</v>
      </c>
      <c r="C94" s="116">
        <v>-74274660.937000006</v>
      </c>
      <c r="D94" s="116">
        <v>79759425.930000007</v>
      </c>
      <c r="E94" s="116">
        <v>96901135.717999995</v>
      </c>
      <c r="F94" s="116">
        <v>-91416370.724999994</v>
      </c>
      <c r="G94" s="43" t="str">
        <f>_xlfn.XLOOKUP($A94,Map!$A:$A,Map!C:C)</f>
        <v>BS</v>
      </c>
      <c r="H94" s="43" t="str">
        <f>_xlfn.XLOOKUP($A94,Map!$A:$A,Map!D:D)</f>
        <v>Current Liabilities</v>
      </c>
      <c r="I94" s="43" t="str">
        <f>_xlfn.XLOOKUP($A94,Map!$A:$A,Map!E:E)</f>
        <v>Short-term Murabaha loans</v>
      </c>
      <c r="J94" s="43" t="str">
        <f>_xlfn.XLOOKUP($A94,Map!$A:$A,Map!F:F)</f>
        <v>Other loans - current</v>
      </c>
    </row>
    <row r="95" spans="1:10" x14ac:dyDescent="0.25">
      <c r="A95">
        <v>220006</v>
      </c>
      <c r="B95" t="s">
        <v>909</v>
      </c>
      <c r="C95" s="116">
        <v>-39496505.284999996</v>
      </c>
      <c r="D95" s="116">
        <v>90381268.120000005</v>
      </c>
      <c r="E95" s="116">
        <v>116527144.11399999</v>
      </c>
      <c r="F95" s="116">
        <v>-65642381.278999999</v>
      </c>
      <c r="G95" s="43" t="str">
        <f>_xlfn.XLOOKUP($A95,Map!$A:$A,Map!C:C)</f>
        <v>BS</v>
      </c>
      <c r="H95" s="43" t="str">
        <f>_xlfn.XLOOKUP($A95,Map!$A:$A,Map!D:D)</f>
        <v>Current Liabilities</v>
      </c>
      <c r="I95" s="43" t="str">
        <f>_xlfn.XLOOKUP($A95,Map!$A:$A,Map!E:E)</f>
        <v>Short-term Murabaha loans</v>
      </c>
      <c r="J95" s="43" t="str">
        <f>_xlfn.XLOOKUP($A95,Map!$A:$A,Map!F:F)</f>
        <v>Other loans - current</v>
      </c>
    </row>
    <row r="96" spans="1:10" x14ac:dyDescent="0.25">
      <c r="A96">
        <v>220007</v>
      </c>
      <c r="B96" t="s">
        <v>910</v>
      </c>
      <c r="C96" s="116">
        <v>1E-3</v>
      </c>
      <c r="D96" s="116">
        <v>0</v>
      </c>
      <c r="E96" s="116">
        <v>0</v>
      </c>
      <c r="F96" s="116">
        <v>1E-3</v>
      </c>
      <c r="G96" s="43" t="str">
        <f>_xlfn.XLOOKUP($A96,Map!$A:$A,Map!C:C)</f>
        <v>BS</v>
      </c>
      <c r="H96" s="43" t="str">
        <f>_xlfn.XLOOKUP($A96,Map!$A:$A,Map!D:D)</f>
        <v>Current Liabilities</v>
      </c>
      <c r="I96" s="43" t="str">
        <f>_xlfn.XLOOKUP($A96,Map!$A:$A,Map!E:E)</f>
        <v>Short-term Murabaha loans</v>
      </c>
      <c r="J96" s="43" t="str">
        <f>_xlfn.XLOOKUP($A96,Map!$A:$A,Map!F:F)</f>
        <v>Other loans - current</v>
      </c>
    </row>
    <row r="97" spans="1:10" x14ac:dyDescent="0.25">
      <c r="A97">
        <v>230001</v>
      </c>
      <c r="B97" t="s">
        <v>911</v>
      </c>
      <c r="C97" s="116">
        <v>0</v>
      </c>
      <c r="D97" s="116">
        <v>225973447.71000001</v>
      </c>
      <c r="E97" s="116">
        <v>228326845.961</v>
      </c>
      <c r="F97" s="116">
        <v>-2353398.2510000002</v>
      </c>
      <c r="G97" s="43" t="str">
        <f>_xlfn.XLOOKUP($A97,Map!$A:$A,Map!C:C)</f>
        <v>BS</v>
      </c>
      <c r="H97" s="43" t="str">
        <f>_xlfn.XLOOKUP($A97,Map!$A:$A,Map!D:D)</f>
        <v>Current Liabilities</v>
      </c>
      <c r="I97" s="43" t="str">
        <f>_xlfn.XLOOKUP($A97,Map!$A:$A,Map!E:E)</f>
        <v>Tade payables and Accuals &amp; other credit balances</v>
      </c>
      <c r="J97" s="43" t="str">
        <f>_xlfn.XLOOKUP($A97,Map!$A:$A,Map!F:F)</f>
        <v>Clearing account</v>
      </c>
    </row>
    <row r="98" spans="1:10" x14ac:dyDescent="0.25">
      <c r="A98">
        <v>240001</v>
      </c>
      <c r="B98" t="s">
        <v>912</v>
      </c>
      <c r="C98" s="116">
        <v>103568.52499999999</v>
      </c>
      <c r="D98" s="116">
        <v>6642028.6600000001</v>
      </c>
      <c r="E98" s="116">
        <v>6481009.6069999998</v>
      </c>
      <c r="F98" s="116">
        <v>264587.57799999998</v>
      </c>
      <c r="G98" s="43" t="str">
        <f>_xlfn.XLOOKUP($A98,Map!$A:$A,Map!C:C)</f>
        <v>BS</v>
      </c>
      <c r="H98" s="43" t="str">
        <f>_xlfn.XLOOKUP($A98,Map!$A:$A,Map!D:D)</f>
        <v>Current Liabilities</v>
      </c>
      <c r="I98" s="43" t="str">
        <f>_xlfn.XLOOKUP($A98,Map!$A:$A,Map!E:E)</f>
        <v>Tade payables and Accuals &amp; other credit balances</v>
      </c>
      <c r="J98" s="43" t="str">
        <f>_xlfn.XLOOKUP($A98,Map!$A:$A,Map!F:F)</f>
        <v>Overhead</v>
      </c>
    </row>
    <row r="99" spans="1:10" x14ac:dyDescent="0.25">
      <c r="A99">
        <v>240002</v>
      </c>
      <c r="B99" t="s">
        <v>913</v>
      </c>
      <c r="C99" s="116">
        <v>443</v>
      </c>
      <c r="D99" s="116">
        <v>0</v>
      </c>
      <c r="E99" s="116">
        <v>0</v>
      </c>
      <c r="F99" s="116">
        <v>443</v>
      </c>
      <c r="G99" s="43" t="str">
        <f>_xlfn.XLOOKUP($A99,Map!$A:$A,Map!C:C)</f>
        <v>BS</v>
      </c>
      <c r="H99" s="43" t="str">
        <f>_xlfn.XLOOKUP($A99,Map!$A:$A,Map!D:D)</f>
        <v>Current Liabilities</v>
      </c>
      <c r="I99" s="43" t="str">
        <f>_xlfn.XLOOKUP($A99,Map!$A:$A,Map!E:E)</f>
        <v>Tade payables and Accuals &amp; other credit balances</v>
      </c>
      <c r="J99" s="43" t="str">
        <f>_xlfn.XLOOKUP($A99,Map!$A:$A,Map!F:F)</f>
        <v>Landed Cost - Customs</v>
      </c>
    </row>
    <row r="100" spans="1:10" x14ac:dyDescent="0.25">
      <c r="A100">
        <v>240003</v>
      </c>
      <c r="B100" t="s">
        <v>914</v>
      </c>
      <c r="C100" s="116">
        <v>-1399831.0689999999</v>
      </c>
      <c r="D100" s="116">
        <v>520104.6</v>
      </c>
      <c r="E100" s="116">
        <v>1706095.58</v>
      </c>
      <c r="F100" s="116">
        <v>-2585822.0490000001</v>
      </c>
      <c r="G100" s="43" t="str">
        <f>_xlfn.XLOOKUP($A100,Map!$A:$A,Map!C:C)</f>
        <v>BS</v>
      </c>
      <c r="H100" s="43" t="str">
        <f>_xlfn.XLOOKUP($A100,Map!$A:$A,Map!D:D)</f>
        <v>Non-Current Liabilities</v>
      </c>
      <c r="I100" s="43" t="str">
        <f>_xlfn.XLOOKUP($A100,Map!$A:$A,Map!E:E)</f>
        <v xml:space="preserve">Lease liabilities non-current </v>
      </c>
      <c r="J100" s="43" t="str">
        <f>_xlfn.XLOOKUP($A100,Map!$A:$A,Map!F:F)</f>
        <v xml:space="preserve"> Lease Obligation</v>
      </c>
    </row>
    <row r="101" spans="1:10" x14ac:dyDescent="0.25">
      <c r="A101">
        <v>250001</v>
      </c>
      <c r="B101" t="s">
        <v>915</v>
      </c>
      <c r="C101" s="116">
        <v>-51677</v>
      </c>
      <c r="D101" s="116">
        <v>17856113.82</v>
      </c>
      <c r="E101" s="116">
        <v>17856550.010000002</v>
      </c>
      <c r="F101" s="116">
        <v>-52113.19</v>
      </c>
      <c r="G101" s="43" t="str">
        <f>_xlfn.XLOOKUP($A101,Map!$A:$A,Map!C:C)</f>
        <v>BS</v>
      </c>
      <c r="H101" s="43" t="str">
        <f>_xlfn.XLOOKUP($A101,Map!$A:$A,Map!D:D)</f>
        <v>Current Liabilities</v>
      </c>
      <c r="I101" s="43" t="str">
        <f>_xlfn.XLOOKUP($A101,Map!$A:$A,Map!E:E)</f>
        <v>Tade payables and Accuals &amp; other credit balances</v>
      </c>
      <c r="J101" s="43" t="str">
        <f>_xlfn.XLOOKUP($A101,Map!$A:$A,Map!F:F)</f>
        <v>Accrued salaries and wages</v>
      </c>
    </row>
    <row r="102" spans="1:10" x14ac:dyDescent="0.25">
      <c r="A102">
        <v>250002</v>
      </c>
      <c r="B102" t="s">
        <v>916</v>
      </c>
      <c r="C102" s="116">
        <v>0</v>
      </c>
      <c r="D102" s="116">
        <v>0</v>
      </c>
      <c r="E102" s="116">
        <v>0</v>
      </c>
      <c r="F102" s="116">
        <v>0</v>
      </c>
      <c r="G102" s="43" t="str">
        <f>_xlfn.XLOOKUP($A102,Map!$A:$A,Map!C:C)</f>
        <v>BS</v>
      </c>
      <c r="H102" s="43" t="str">
        <f>_xlfn.XLOOKUP($A102,Map!$A:$A,Map!D:D)</f>
        <v>Current Liabilities</v>
      </c>
      <c r="I102" s="43" t="str">
        <f>_xlfn.XLOOKUP($A102,Map!$A:$A,Map!E:E)</f>
        <v>Tade payables and Accuals &amp; other credit balances</v>
      </c>
      <c r="J102" s="43" t="str">
        <f>_xlfn.XLOOKUP($A102,Map!$A:$A,Map!F:F)</f>
        <v>Accrued utilities</v>
      </c>
    </row>
    <row r="103" spans="1:10" x14ac:dyDescent="0.25">
      <c r="A103">
        <v>250003</v>
      </c>
      <c r="B103" t="s">
        <v>917</v>
      </c>
      <c r="C103" s="116">
        <v>0</v>
      </c>
      <c r="D103" s="116">
        <v>0</v>
      </c>
      <c r="E103" s="116">
        <v>0</v>
      </c>
      <c r="F103" s="116">
        <v>0</v>
      </c>
      <c r="G103" s="43" t="str">
        <f>_xlfn.XLOOKUP($A103,Map!$A:$A,Map!C:C)</f>
        <v>BS</v>
      </c>
      <c r="H103" s="43" t="str">
        <f>_xlfn.XLOOKUP($A103,Map!$A:$A,Map!D:D)</f>
        <v>Current Liabilities</v>
      </c>
      <c r="I103" s="43" t="str">
        <f>_xlfn.XLOOKUP($A103,Map!$A:$A,Map!E:E)</f>
        <v>Zakat provision</v>
      </c>
      <c r="J103" s="43" t="str">
        <f>_xlfn.XLOOKUP($A103,Map!$A:$A,Map!F:F)</f>
        <v>Zakat provision</v>
      </c>
    </row>
    <row r="104" spans="1:10" x14ac:dyDescent="0.25">
      <c r="A104">
        <v>250004</v>
      </c>
      <c r="B104" t="s">
        <v>918</v>
      </c>
      <c r="C104" s="116">
        <v>0</v>
      </c>
      <c r="D104" s="116">
        <v>0</v>
      </c>
      <c r="E104" s="116">
        <v>0</v>
      </c>
      <c r="F104" s="116">
        <v>0</v>
      </c>
      <c r="G104" s="43" t="str">
        <f>_xlfn.XLOOKUP($A104,Map!$A:$A,Map!C:C)</f>
        <v>BS</v>
      </c>
      <c r="H104" s="43" t="str">
        <f>_xlfn.XLOOKUP($A104,Map!$A:$A,Map!D:D)</f>
        <v>Current Liabilities</v>
      </c>
      <c r="I104" s="43" t="str">
        <f>_xlfn.XLOOKUP($A104,Map!$A:$A,Map!E:E)</f>
        <v>Tade payables and Accuals &amp; other credit balances</v>
      </c>
      <c r="J104" s="43" t="str">
        <f>_xlfn.XLOOKUP($A104,Map!$A:$A,Map!F:F)</f>
        <v>Accrued bonus</v>
      </c>
    </row>
    <row r="105" spans="1:10" x14ac:dyDescent="0.25">
      <c r="A105">
        <v>250005</v>
      </c>
      <c r="B105" t="s">
        <v>919</v>
      </c>
      <c r="C105" s="116">
        <v>-430386.94400000002</v>
      </c>
      <c r="D105" s="116">
        <v>3261835.61</v>
      </c>
      <c r="E105" s="116">
        <v>3263525.3859999999</v>
      </c>
      <c r="F105" s="116">
        <v>-432076.72</v>
      </c>
      <c r="G105" s="43" t="str">
        <f>_xlfn.XLOOKUP($A105,Map!$A:$A,Map!C:C)</f>
        <v>BS</v>
      </c>
      <c r="H105" s="43" t="str">
        <f>_xlfn.XLOOKUP($A105,Map!$A:$A,Map!D:D)</f>
        <v>Current Liabilities</v>
      </c>
      <c r="I105" s="43" t="str">
        <f>_xlfn.XLOOKUP($A105,Map!$A:$A,Map!E:E)</f>
        <v>Tade payables and Accuals &amp; other credit balances</v>
      </c>
      <c r="J105" s="43" t="str">
        <f>_xlfn.XLOOKUP($A105,Map!$A:$A,Map!F:F)</f>
        <v>Accrued expenses</v>
      </c>
    </row>
    <row r="106" spans="1:10" x14ac:dyDescent="0.25">
      <c r="A106">
        <v>250006</v>
      </c>
      <c r="B106" t="s">
        <v>920</v>
      </c>
      <c r="C106" s="116">
        <v>0</v>
      </c>
      <c r="D106" s="116">
        <v>0</v>
      </c>
      <c r="E106" s="116">
        <v>0</v>
      </c>
      <c r="F106" s="116">
        <v>0</v>
      </c>
      <c r="G106" s="43" t="str">
        <f>_xlfn.XLOOKUP($A106,Map!$A:$A,Map!C:C)</f>
        <v>BS</v>
      </c>
      <c r="H106" s="43" t="str">
        <f>_xlfn.XLOOKUP($A106,Map!$A:$A,Map!D:D)</f>
        <v>Current Liabilities</v>
      </c>
      <c r="I106" s="43" t="str">
        <f>_xlfn.XLOOKUP($A106,Map!$A:$A,Map!E:E)</f>
        <v>Tade payables and Accuals &amp; other credit balances</v>
      </c>
      <c r="J106" s="43" t="str">
        <f>_xlfn.XLOOKUP($A106,Map!$A:$A,Map!F:F)</f>
        <v>Accrued leave</v>
      </c>
    </row>
    <row r="107" spans="1:10" x14ac:dyDescent="0.25">
      <c r="A107">
        <v>260001</v>
      </c>
      <c r="B107" t="s">
        <v>922</v>
      </c>
      <c r="C107" s="116">
        <v>-7846137</v>
      </c>
      <c r="D107" s="116">
        <v>0</v>
      </c>
      <c r="E107" s="116">
        <v>0</v>
      </c>
      <c r="F107" s="116">
        <v>-7846137</v>
      </c>
      <c r="G107" s="43" t="str">
        <f>_xlfn.XLOOKUP($A107,Map!$A:$A,Map!C:C)</f>
        <v>BS</v>
      </c>
      <c r="H107" s="43" t="str">
        <f>_xlfn.XLOOKUP($A107,Map!$A:$A,Map!D:D)</f>
        <v>Stockholder's equity</v>
      </c>
      <c r="I107" s="43" t="str">
        <f>_xlfn.XLOOKUP($A107,Map!$A:$A,Map!E:E)</f>
        <v>Statutory reserve</v>
      </c>
      <c r="J107" s="43" t="str">
        <f>_xlfn.XLOOKUP($A107,Map!$A:$A,Map!F:F)</f>
        <v>Statutory reserve</v>
      </c>
    </row>
    <row r="108" spans="1:10" x14ac:dyDescent="0.25">
      <c r="A108">
        <v>260002</v>
      </c>
      <c r="B108" t="s">
        <v>923</v>
      </c>
      <c r="C108" s="116">
        <v>-3409950.92</v>
      </c>
      <c r="D108" s="116">
        <v>551427</v>
      </c>
      <c r="E108" s="116">
        <v>1573461</v>
      </c>
      <c r="F108" s="116">
        <v>-4431984.92</v>
      </c>
      <c r="G108" s="43" t="str">
        <f>_xlfn.XLOOKUP($A108,Map!$A:$A,Map!C:C)</f>
        <v>BS</v>
      </c>
      <c r="H108" s="43" t="str">
        <f>_xlfn.XLOOKUP($A108,Map!$A:$A,Map!D:D)</f>
        <v>Non-Current Liabilities</v>
      </c>
      <c r="I108" s="43" t="str">
        <f>_xlfn.XLOOKUP($A108,Map!$A:$A,Map!E:E)</f>
        <v xml:space="preserve">End-of-service indemnities </v>
      </c>
      <c r="J108" s="43" t="str">
        <f>_xlfn.XLOOKUP($A108,Map!$A:$A,Map!F:F)</f>
        <v xml:space="preserve">End-of-service indemnities </v>
      </c>
    </row>
    <row r="109" spans="1:10" x14ac:dyDescent="0.25">
      <c r="A109">
        <v>260003</v>
      </c>
      <c r="B109" t="s">
        <v>924</v>
      </c>
      <c r="C109" s="116">
        <v>-7368638.8590000002</v>
      </c>
      <c r="D109" s="116">
        <v>2808284.8930000002</v>
      </c>
      <c r="E109" s="116">
        <v>0</v>
      </c>
      <c r="F109" s="116">
        <v>-4560353.966</v>
      </c>
      <c r="G109" s="43" t="str">
        <f>_xlfn.XLOOKUP($A109,Map!$A:$A,Map!C:C)</f>
        <v>BS</v>
      </c>
      <c r="H109" s="43" t="str">
        <f>_xlfn.XLOOKUP($A109,Map!$A:$A,Map!D:D)</f>
        <v>Current Assets</v>
      </c>
      <c r="I109" s="43" t="str">
        <f>_xlfn.XLOOKUP($A109,Map!$A:$A,Map!E:E)</f>
        <v>Trade receivables</v>
      </c>
      <c r="J109" s="43" t="str">
        <f>_xlfn.XLOOKUP($A109,Map!$A:$A,Map!F:F)</f>
        <v>Provisions</v>
      </c>
    </row>
    <row r="110" spans="1:10" x14ac:dyDescent="0.25">
      <c r="A110">
        <v>260004</v>
      </c>
      <c r="B110" t="s">
        <v>925</v>
      </c>
      <c r="C110" s="116">
        <v>0</v>
      </c>
      <c r="D110" s="116">
        <v>0</v>
      </c>
      <c r="E110" s="116">
        <v>0</v>
      </c>
      <c r="F110" s="116">
        <v>0</v>
      </c>
      <c r="G110" s="43" t="str">
        <f>_xlfn.XLOOKUP($A110,Map!$A:$A,Map!C:C)</f>
        <v>BS</v>
      </c>
      <c r="H110" s="43" t="str">
        <f>_xlfn.XLOOKUP($A110,Map!$A:$A,Map!D:D)</f>
        <v>Current Assets</v>
      </c>
      <c r="I110" s="43" t="str">
        <f>_xlfn.XLOOKUP($A110,Map!$A:$A,Map!E:E)</f>
        <v>Inventories</v>
      </c>
      <c r="J110" s="43" t="str">
        <f>_xlfn.XLOOKUP($A110,Map!$A:$A,Map!F:F)</f>
        <v>Allowance for slow moving/obsolete inventories - Inventory</v>
      </c>
    </row>
    <row r="111" spans="1:10" x14ac:dyDescent="0.25">
      <c r="A111">
        <v>260005</v>
      </c>
      <c r="B111" t="s">
        <v>926</v>
      </c>
      <c r="C111" s="116">
        <v>-4807655.8289999999</v>
      </c>
      <c r="D111" s="116">
        <v>54904</v>
      </c>
      <c r="E111" s="116">
        <v>109421.12</v>
      </c>
      <c r="F111" s="116">
        <v>-4862172.949</v>
      </c>
      <c r="G111" s="43" t="str">
        <f>_xlfn.XLOOKUP($A111,Map!$A:$A,Map!C:C)</f>
        <v>BS</v>
      </c>
      <c r="H111" s="43" t="str">
        <f>_xlfn.XLOOKUP($A111,Map!$A:$A,Map!D:D)</f>
        <v>Non-Current Liabilities</v>
      </c>
      <c r="I111" s="43" t="str">
        <f>_xlfn.XLOOKUP($A111,Map!$A:$A,Map!E:E)</f>
        <v>Provision for evacuation</v>
      </c>
      <c r="J111" s="43" t="str">
        <f>_xlfn.XLOOKUP($A111,Map!$A:$A,Map!F:F)</f>
        <v>Provision for evacuation</v>
      </c>
    </row>
    <row r="112" spans="1:10" x14ac:dyDescent="0.25">
      <c r="A112">
        <v>260006</v>
      </c>
      <c r="B112" t="s">
        <v>927</v>
      </c>
      <c r="C112" s="116">
        <v>-539634.05900000001</v>
      </c>
      <c r="D112" s="116">
        <v>7299.79</v>
      </c>
      <c r="E112" s="116">
        <v>561763.36899999995</v>
      </c>
      <c r="F112" s="116">
        <v>-1094097.638</v>
      </c>
      <c r="G112" s="43" t="str">
        <f>_xlfn.XLOOKUP($A112,Map!$A:$A,Map!C:C)</f>
        <v>BS</v>
      </c>
      <c r="H112" s="43" t="str">
        <f>_xlfn.XLOOKUP($A112,Map!$A:$A,Map!D:D)</f>
        <v>Current Liabilities</v>
      </c>
      <c r="I112" s="43" t="str">
        <f>_xlfn.XLOOKUP($A112,Map!$A:$A,Map!E:E)</f>
        <v>Tade payables and Accuals &amp; other credit balances</v>
      </c>
      <c r="J112" s="43" t="str">
        <f>_xlfn.XLOOKUP($A112,Map!$A:$A,Map!F:F)</f>
        <v>Accrued leave</v>
      </c>
    </row>
    <row r="113" spans="1:10" x14ac:dyDescent="0.25">
      <c r="A113">
        <v>270001</v>
      </c>
      <c r="B113" t="s">
        <v>929</v>
      </c>
      <c r="C113" s="116">
        <v>-7409764.79</v>
      </c>
      <c r="D113" s="116">
        <v>524125</v>
      </c>
      <c r="E113" s="116">
        <v>22270537.68</v>
      </c>
      <c r="F113" s="116">
        <v>-29156177.469999999</v>
      </c>
      <c r="G113" s="43" t="str">
        <f>_xlfn.XLOOKUP($A113,Map!$A:$A,Map!C:C)</f>
        <v>BS</v>
      </c>
      <c r="H113" s="43" t="str">
        <f>_xlfn.XLOOKUP($A113,Map!$A:$A,Map!D:D)</f>
        <v>Non-Current Liabilities</v>
      </c>
      <c r="I113" s="43" t="str">
        <f>_xlfn.XLOOKUP($A113,Map!$A:$A,Map!E:E)</f>
        <v xml:space="preserve">Due to related parties </v>
      </c>
      <c r="J113" s="43" t="str">
        <f>_xlfn.XLOOKUP($A113,Map!$A:$A,Map!F:F)</f>
        <v>Aims Holding  Current Acc</v>
      </c>
    </row>
    <row r="114" spans="1:10" x14ac:dyDescent="0.25">
      <c r="A114">
        <v>270002</v>
      </c>
      <c r="B114" t="s">
        <v>930</v>
      </c>
      <c r="C114" s="116">
        <v>-2E-3</v>
      </c>
      <c r="D114" s="116">
        <v>182237.625</v>
      </c>
      <c r="E114" s="116">
        <v>8761726.5419999994</v>
      </c>
      <c r="F114" s="116">
        <v>-8579488.9189999998</v>
      </c>
      <c r="G114" s="43" t="str">
        <f>_xlfn.XLOOKUP($A114,Map!$A:$A,Map!C:C)</f>
        <v>BS</v>
      </c>
      <c r="H114" s="43" t="str">
        <f>_xlfn.XLOOKUP($A114,Map!$A:$A,Map!D:D)</f>
        <v>Current Liabilities</v>
      </c>
      <c r="I114" s="43" t="str">
        <f>_xlfn.XLOOKUP($A114,Map!$A:$A,Map!E:E)</f>
        <v>Tade payables and Accuals &amp; other credit balances</v>
      </c>
      <c r="J114" s="43" t="str">
        <f>_xlfn.XLOOKUP($A114,Map!$A:$A,Map!F:F)</f>
        <v>VAT payables</v>
      </c>
    </row>
    <row r="115" spans="1:10" x14ac:dyDescent="0.25">
      <c r="A115">
        <v>270003</v>
      </c>
      <c r="B115" t="s">
        <v>931</v>
      </c>
      <c r="C115" s="116">
        <v>0</v>
      </c>
      <c r="D115" s="116">
        <v>6629633.8300000001</v>
      </c>
      <c r="E115" s="116">
        <v>39841.444000000003</v>
      </c>
      <c r="F115" s="116">
        <v>6589792.3859999999</v>
      </c>
      <c r="G115" s="43" t="str">
        <f>_xlfn.XLOOKUP($A115,Map!$A:$A,Map!C:C)</f>
        <v>BS</v>
      </c>
      <c r="H115" s="43" t="str">
        <f>_xlfn.XLOOKUP($A115,Map!$A:$A,Map!D:D)</f>
        <v>Current Liabilities</v>
      </c>
      <c r="I115" s="43" t="str">
        <f>_xlfn.XLOOKUP($A115,Map!$A:$A,Map!E:E)</f>
        <v>Tade payables and Accuals &amp; other credit balances</v>
      </c>
      <c r="J115" s="43" t="str">
        <f>_xlfn.XLOOKUP($A115,Map!$A:$A,Map!F:F)</f>
        <v>VAT payables</v>
      </c>
    </row>
    <row r="116" spans="1:10" x14ac:dyDescent="0.25">
      <c r="A116">
        <v>270004</v>
      </c>
      <c r="B116" t="s">
        <v>932</v>
      </c>
      <c r="C116" s="116">
        <v>-1049001.149</v>
      </c>
      <c r="D116" s="116">
        <v>83030.751999999993</v>
      </c>
      <c r="E116" s="116">
        <v>83030.754000000001</v>
      </c>
      <c r="F116" s="116">
        <v>-1049001.1510000001</v>
      </c>
      <c r="G116" s="43" t="str">
        <f>_xlfn.XLOOKUP($A116,Map!$A:$A,Map!C:C)</f>
        <v>BS</v>
      </c>
      <c r="H116" s="43" t="str">
        <f>_xlfn.XLOOKUP($A116,Map!$A:$A,Map!D:D)</f>
        <v>Current Liabilities</v>
      </c>
      <c r="I116" s="43" t="str">
        <f>_xlfn.XLOOKUP($A116,Map!$A:$A,Map!E:E)</f>
        <v>Tade payables and Accuals &amp; other credit balances</v>
      </c>
      <c r="J116" s="43" t="str">
        <f>_xlfn.XLOOKUP($A116,Map!$A:$A,Map!F:F)</f>
        <v>VAT payables</v>
      </c>
    </row>
    <row r="117" spans="1:10" x14ac:dyDescent="0.25">
      <c r="A117">
        <v>270005</v>
      </c>
      <c r="B117" t="s">
        <v>933</v>
      </c>
      <c r="C117" s="116">
        <v>-8694168.5409999993</v>
      </c>
      <c r="D117" s="116">
        <v>38435410.203000002</v>
      </c>
      <c r="E117" s="116">
        <v>31185681.563999999</v>
      </c>
      <c r="F117" s="116">
        <v>-1444439.902</v>
      </c>
      <c r="G117" s="43" t="str">
        <f>_xlfn.XLOOKUP($A117,Map!$A:$A,Map!C:C)</f>
        <v>BS</v>
      </c>
      <c r="H117" s="43" t="str">
        <f>_xlfn.XLOOKUP($A117,Map!$A:$A,Map!D:D)</f>
        <v>Non-Current Liabilities</v>
      </c>
      <c r="I117" s="43" t="str">
        <f>_xlfn.XLOOKUP($A117,Map!$A:$A,Map!E:E)</f>
        <v xml:space="preserve">Due to related parties </v>
      </c>
      <c r="J117" s="43" t="str">
        <f>_xlfn.XLOOKUP($A117,Map!$A:$A,Map!F:F)</f>
        <v>Vision Horzon Indestrial Company</v>
      </c>
    </row>
    <row r="118" spans="1:10" x14ac:dyDescent="0.25">
      <c r="A118">
        <v>310001</v>
      </c>
      <c r="B118" t="s">
        <v>934</v>
      </c>
      <c r="C118" s="116">
        <v>35110867.218000002</v>
      </c>
      <c r="D118" s="116">
        <v>0</v>
      </c>
      <c r="E118" s="116">
        <v>0</v>
      </c>
      <c r="F118" s="116">
        <v>35110867.218000002</v>
      </c>
      <c r="G118" s="43" t="str">
        <f>_xlfn.XLOOKUP($A118,Map!$A:$A,Map!C:C)</f>
        <v>BS</v>
      </c>
      <c r="H118" s="43" t="str">
        <f>_xlfn.XLOOKUP($A118,Map!$A:$A,Map!D:D)</f>
        <v>Stockholder's equity</v>
      </c>
      <c r="I118" s="43" t="str">
        <f>_xlfn.XLOOKUP($A118,Map!$A:$A,Map!E:E)</f>
        <v>Retained earnings</v>
      </c>
      <c r="J118" s="43" t="str">
        <f>_xlfn.XLOOKUP($A118,Map!$A:$A,Map!F:F)</f>
        <v>Retained earnings</v>
      </c>
    </row>
    <row r="119" spans="1:10" x14ac:dyDescent="0.25">
      <c r="A119">
        <v>330001</v>
      </c>
      <c r="B119" t="s">
        <v>935</v>
      </c>
      <c r="C119" s="116">
        <v>0</v>
      </c>
      <c r="D119" s="116">
        <v>0</v>
      </c>
      <c r="E119" s="116">
        <v>0</v>
      </c>
      <c r="F119" s="116">
        <v>0</v>
      </c>
      <c r="G119" s="43" t="str">
        <f>_xlfn.XLOOKUP($A119,Map!$A:$A,Map!C:C)</f>
        <v>BS</v>
      </c>
      <c r="H119" s="43" t="str">
        <f>_xlfn.XLOOKUP($A119,Map!$A:$A,Map!D:D)</f>
        <v>Stockholder's equity</v>
      </c>
      <c r="I119" s="43" t="str">
        <f>_xlfn.XLOOKUP($A119,Map!$A:$A,Map!E:E)</f>
        <v>Retained earnings</v>
      </c>
      <c r="J119" s="43" t="str">
        <f>_xlfn.XLOOKUP($A119,Map!$A:$A,Map!F:F)</f>
        <v>Retained earnings</v>
      </c>
    </row>
    <row r="120" spans="1:10" x14ac:dyDescent="0.25">
      <c r="A120">
        <v>330002</v>
      </c>
      <c r="B120" t="s">
        <v>936</v>
      </c>
      <c r="C120" s="116">
        <v>-35335000</v>
      </c>
      <c r="D120" s="116">
        <v>0</v>
      </c>
      <c r="E120" s="116">
        <v>0</v>
      </c>
      <c r="F120" s="116">
        <v>-35335000</v>
      </c>
      <c r="G120" s="43" t="str">
        <f>_xlfn.XLOOKUP($A120,Map!$A:$A,Map!C:C)</f>
        <v>BS</v>
      </c>
      <c r="H120" s="43" t="str">
        <f>_xlfn.XLOOKUP($A120,Map!$A:$A,Map!D:D)</f>
        <v>Stockholder's equity</v>
      </c>
      <c r="I120" s="43" t="str">
        <f>_xlfn.XLOOKUP($A120,Map!$A:$A,Map!E:E)</f>
        <v>Share capital</v>
      </c>
      <c r="J120" s="43" t="str">
        <f>_xlfn.XLOOKUP($A120,Map!$A:$A,Map!F:F)</f>
        <v>Share capital</v>
      </c>
    </row>
    <row r="121" spans="1:10" x14ac:dyDescent="0.25">
      <c r="A121">
        <v>330003</v>
      </c>
      <c r="B121" t="s">
        <v>937</v>
      </c>
      <c r="C121" s="116">
        <v>-102255315.01000001</v>
      </c>
      <c r="D121" s="116">
        <v>0</v>
      </c>
      <c r="E121" s="116">
        <v>0</v>
      </c>
      <c r="F121" s="116">
        <v>-102255315.01000001</v>
      </c>
      <c r="G121" s="43" t="str">
        <f>_xlfn.XLOOKUP($A121,Map!$A:$A,Map!C:C)</f>
        <v>BS</v>
      </c>
      <c r="H121" s="43" t="str">
        <f>_xlfn.XLOOKUP($A121,Map!$A:$A,Map!D:D)</f>
        <v>Stockholder's equity</v>
      </c>
      <c r="I121" s="43" t="str">
        <f>_xlfn.XLOOKUP($A121,Map!$A:$A,Map!E:E)</f>
        <v>Additional contribution from shareholders</v>
      </c>
      <c r="J121" s="43" t="str">
        <f>_xlfn.XLOOKUP($A121,Map!$A:$A,Map!F:F)</f>
        <v>Additional contribution from shareholders</v>
      </c>
    </row>
    <row r="122" spans="1:10" x14ac:dyDescent="0.25">
      <c r="A122">
        <v>410001</v>
      </c>
      <c r="B122" t="s">
        <v>938</v>
      </c>
      <c r="C122" s="116">
        <v>0</v>
      </c>
      <c r="D122" s="116">
        <v>3047977.58</v>
      </c>
      <c r="E122" s="116">
        <v>203516688.123</v>
      </c>
      <c r="F122" s="116">
        <v>-200468710.54300001</v>
      </c>
      <c r="G122" s="43" t="str">
        <f>_xlfn.XLOOKUP($A122,Map!$A:$A,Map!C:C)</f>
        <v>IS</v>
      </c>
      <c r="H122" s="43" t="str">
        <f>_xlfn.XLOOKUP($A122,Map!$A:$A,Map!D:D)</f>
        <v>Sales</v>
      </c>
      <c r="I122" s="43" t="str">
        <f>_xlfn.XLOOKUP($A122,Map!$A:$A,Map!E:E)</f>
        <v>Sales</v>
      </c>
      <c r="J122" s="43" t="str">
        <f>_xlfn.XLOOKUP($A122,Map!$A:$A,Map!F:F)</f>
        <v>Trading revenue</v>
      </c>
    </row>
    <row r="123" spans="1:10" x14ac:dyDescent="0.25">
      <c r="A123">
        <v>410002</v>
      </c>
      <c r="B123" t="s">
        <v>939</v>
      </c>
      <c r="C123" s="116">
        <v>0</v>
      </c>
      <c r="D123" s="116">
        <v>7483878.3380000005</v>
      </c>
      <c r="E123" s="116">
        <v>84293.63</v>
      </c>
      <c r="F123" s="116">
        <v>7399584.7079999996</v>
      </c>
      <c r="G123" s="43" t="str">
        <f>_xlfn.XLOOKUP($A123,Map!$A:$A,Map!C:C)</f>
        <v>IS</v>
      </c>
      <c r="H123" s="43" t="str">
        <f>_xlfn.XLOOKUP($A123,Map!$A:$A,Map!D:D)</f>
        <v>Sales</v>
      </c>
      <c r="I123" s="43" t="str">
        <f>_xlfn.XLOOKUP($A123,Map!$A:$A,Map!E:E)</f>
        <v>Sales</v>
      </c>
      <c r="J123" s="43" t="str">
        <f>_xlfn.XLOOKUP($A123,Map!$A:$A,Map!F:F)</f>
        <v>Trading revenue</v>
      </c>
    </row>
    <row r="124" spans="1:10" x14ac:dyDescent="0.25">
      <c r="A124">
        <v>410003</v>
      </c>
      <c r="B124" t="s">
        <v>940</v>
      </c>
      <c r="C124" s="116">
        <v>0</v>
      </c>
      <c r="D124" s="116">
        <v>512875.73700000002</v>
      </c>
      <c r="E124" s="116">
        <v>1095.723</v>
      </c>
      <c r="F124" s="116">
        <v>511780.01400000002</v>
      </c>
      <c r="G124" s="43" t="str">
        <f>_xlfn.XLOOKUP($A124,Map!$A:$A,Map!C:C)</f>
        <v>IS</v>
      </c>
      <c r="H124" s="43" t="str">
        <f>_xlfn.XLOOKUP($A124,Map!$A:$A,Map!D:D)</f>
        <v>Sales</v>
      </c>
      <c r="I124" s="43" t="str">
        <f>_xlfn.XLOOKUP($A124,Map!$A:$A,Map!E:E)</f>
        <v>Sales</v>
      </c>
      <c r="J124" s="43" t="str">
        <f>_xlfn.XLOOKUP($A124,Map!$A:$A,Map!F:F)</f>
        <v>Trading revenue</v>
      </c>
    </row>
    <row r="125" spans="1:10" x14ac:dyDescent="0.25">
      <c r="A125">
        <v>410004</v>
      </c>
      <c r="B125" t="s">
        <v>941</v>
      </c>
      <c r="C125" s="116">
        <v>0</v>
      </c>
      <c r="D125" s="116">
        <v>0</v>
      </c>
      <c r="E125" s="116">
        <v>2174324.4040000001</v>
      </c>
      <c r="F125" s="116">
        <v>-2174324.4040000001</v>
      </c>
      <c r="G125" s="43" t="str">
        <f>_xlfn.XLOOKUP($A125,Map!$A:$A,Map!C:C)</f>
        <v>IS</v>
      </c>
      <c r="H125" s="43" t="str">
        <f>_xlfn.XLOOKUP($A125,Map!$A:$A,Map!D:D)</f>
        <v>Sales</v>
      </c>
      <c r="I125" s="43" t="str">
        <f>_xlfn.XLOOKUP($A125,Map!$A:$A,Map!E:E)</f>
        <v>Sales</v>
      </c>
      <c r="J125" s="43" t="str">
        <f>_xlfn.XLOOKUP($A125,Map!$A:$A,Map!F:F)</f>
        <v>Scrap sales</v>
      </c>
    </row>
    <row r="126" spans="1:10" x14ac:dyDescent="0.25">
      <c r="A126">
        <v>420001</v>
      </c>
      <c r="B126" t="s">
        <v>942</v>
      </c>
      <c r="C126" s="116">
        <v>0</v>
      </c>
      <c r="D126" s="116">
        <v>0</v>
      </c>
      <c r="E126" s="116">
        <v>0</v>
      </c>
      <c r="F126" s="116">
        <v>0</v>
      </c>
      <c r="G126" s="43" t="str">
        <f>_xlfn.XLOOKUP($A126,Map!$A:$A,Map!C:C)</f>
        <v>IS</v>
      </c>
      <c r="H126" s="43" t="str">
        <f>_xlfn.XLOOKUP($A126,Map!$A:$A,Map!D:D)</f>
        <v>Sales</v>
      </c>
      <c r="I126" s="43" t="str">
        <f>_xlfn.XLOOKUP($A126,Map!$A:$A,Map!E:E)</f>
        <v>Sales</v>
      </c>
      <c r="J126" s="43" t="str">
        <f>_xlfn.XLOOKUP($A126,Map!$A:$A,Map!F:F)</f>
        <v>Other income</v>
      </c>
    </row>
    <row r="127" spans="1:10" x14ac:dyDescent="0.25">
      <c r="A127">
        <v>420002</v>
      </c>
      <c r="B127" t="s">
        <v>943</v>
      </c>
      <c r="C127" s="116">
        <v>0</v>
      </c>
      <c r="D127" s="116">
        <v>1312213.6189999999</v>
      </c>
      <c r="E127" s="116">
        <v>267588.57699999999</v>
      </c>
      <c r="F127" s="116">
        <v>1044625.042</v>
      </c>
      <c r="G127" s="43" t="str">
        <f>_xlfn.XLOOKUP($A127,Map!$A:$A,Map!C:C)</f>
        <v>IS</v>
      </c>
      <c r="H127" s="43" t="str">
        <f>_xlfn.XLOOKUP($A127,Map!$A:$A,Map!D:D)</f>
        <v>Other Income</v>
      </c>
      <c r="I127" s="43" t="str">
        <f>_xlfn.XLOOKUP($A127,Map!$A:$A,Map!E:E)</f>
        <v>Other Income</v>
      </c>
      <c r="J127" s="43" t="str">
        <f>_xlfn.XLOOKUP($A127,Map!$A:$A,Map!F:F)</f>
        <v>Gain/Loss on Sale of FA — other income</v>
      </c>
    </row>
    <row r="128" spans="1:10" x14ac:dyDescent="0.25">
      <c r="A128">
        <v>420003</v>
      </c>
      <c r="B128" t="s">
        <v>944</v>
      </c>
      <c r="C128" s="116">
        <v>0</v>
      </c>
      <c r="D128" s="116">
        <v>702398.43599999999</v>
      </c>
      <c r="E128" s="116">
        <v>837078.98100000003</v>
      </c>
      <c r="F128" s="116">
        <v>-134680.54500000001</v>
      </c>
      <c r="G128" s="43" t="str">
        <f>_xlfn.XLOOKUP($A128,Map!$A:$A,Map!C:C)</f>
        <v>IS</v>
      </c>
      <c r="H128" s="43" t="str">
        <f>_xlfn.XLOOKUP($A128,Map!$A:$A,Map!D:D)</f>
        <v>Sales</v>
      </c>
      <c r="I128" s="43" t="str">
        <f>_xlfn.XLOOKUP($A128,Map!$A:$A,Map!E:E)</f>
        <v>Sales</v>
      </c>
      <c r="J128" s="43" t="str">
        <f>_xlfn.XLOOKUP($A128,Map!$A:$A,Map!F:F)</f>
        <v>Scrap sales</v>
      </c>
    </row>
    <row r="129" spans="1:10" x14ac:dyDescent="0.25">
      <c r="A129">
        <v>510001</v>
      </c>
      <c r="B129" t="s">
        <v>945</v>
      </c>
      <c r="C129" s="116">
        <v>0</v>
      </c>
      <c r="D129" s="116">
        <v>133356320.48800001</v>
      </c>
      <c r="E129" s="116">
        <v>6145400.6739999996</v>
      </c>
      <c r="F129" s="116">
        <v>127210919.814</v>
      </c>
      <c r="G129" s="43" t="str">
        <f>_xlfn.XLOOKUP($A129,Map!$A:$A,Map!C:C)</f>
        <v>IS</v>
      </c>
      <c r="H129" s="43" t="str">
        <f>_xlfn.XLOOKUP($A129,Map!$A:$A,Map!D:D)</f>
        <v>Cost of sales</v>
      </c>
      <c r="I129" s="43" t="str">
        <f>_xlfn.XLOOKUP($A129,Map!$A:$A,Map!E:E)</f>
        <v>Raw materials</v>
      </c>
      <c r="J129" s="43" t="str">
        <f>_xlfn.XLOOKUP($A129,Map!$A:$A,Map!F:F)</f>
        <v>Raw materials</v>
      </c>
    </row>
    <row r="130" spans="1:10" x14ac:dyDescent="0.25">
      <c r="A130">
        <v>510002</v>
      </c>
      <c r="B130" t="s">
        <v>946</v>
      </c>
      <c r="C130" s="116">
        <v>0</v>
      </c>
      <c r="D130" s="116">
        <v>40743.796999999999</v>
      </c>
      <c r="E130" s="116">
        <v>0</v>
      </c>
      <c r="F130" s="116">
        <v>40743.796999999999</v>
      </c>
      <c r="G130" s="43" t="str">
        <f>_xlfn.XLOOKUP($A130,Map!$A:$A,Map!C:C)</f>
        <v>IS</v>
      </c>
      <c r="H130" s="43" t="str">
        <f>_xlfn.XLOOKUP($A130,Map!$A:$A,Map!D:D)</f>
        <v>Cost of sales</v>
      </c>
      <c r="I130" s="43" t="str">
        <f>_xlfn.XLOOKUP($A130,Map!$A:$A,Map!E:E)</f>
        <v>Direct Labor</v>
      </c>
      <c r="J130" s="43" t="str">
        <f>_xlfn.XLOOKUP($A130,Map!$A:$A,Map!F:F)</f>
        <v>Direct Labor</v>
      </c>
    </row>
    <row r="131" spans="1:10" x14ac:dyDescent="0.25">
      <c r="A131">
        <v>510003</v>
      </c>
      <c r="B131" t="s">
        <v>947</v>
      </c>
      <c r="C131" s="116">
        <v>0</v>
      </c>
      <c r="D131" s="116">
        <v>2720663.6839999999</v>
      </c>
      <c r="E131" s="116">
        <v>0</v>
      </c>
      <c r="F131" s="116">
        <v>2720663.6839999999</v>
      </c>
      <c r="G131" s="43" t="str">
        <f>_xlfn.XLOOKUP($A131,Map!$A:$A,Map!C:C)</f>
        <v>IS</v>
      </c>
      <c r="H131" s="43" t="str">
        <f>_xlfn.XLOOKUP($A131,Map!$A:$A,Map!D:D)</f>
        <v>Cost of sales</v>
      </c>
      <c r="I131" s="43" t="str">
        <f>_xlfn.XLOOKUP($A131,Map!$A:$A,Map!E:E)</f>
        <v>Raw materials</v>
      </c>
      <c r="J131" s="43" t="str">
        <f>_xlfn.XLOOKUP($A131,Map!$A:$A,Map!F:F)</f>
        <v>Raw materials</v>
      </c>
    </row>
    <row r="132" spans="1:10" x14ac:dyDescent="0.25">
      <c r="A132">
        <v>510004</v>
      </c>
      <c r="B132" t="s">
        <v>948</v>
      </c>
      <c r="C132" s="116">
        <v>0</v>
      </c>
      <c r="D132" s="116">
        <v>5782256.3310000002</v>
      </c>
      <c r="E132" s="116">
        <v>0</v>
      </c>
      <c r="F132" s="116">
        <v>5782256.3310000002</v>
      </c>
      <c r="G132" s="43" t="str">
        <f>_xlfn.XLOOKUP($A132,Map!$A:$A,Map!C:C)</f>
        <v>IS</v>
      </c>
      <c r="H132" s="43" t="str">
        <f>_xlfn.XLOOKUP($A132,Map!$A:$A,Map!D:D)</f>
        <v>Cost of sales</v>
      </c>
      <c r="I132" s="43" t="str">
        <f>_xlfn.XLOOKUP($A132,Map!$A:$A,Map!E:E)</f>
        <v>Raw materials</v>
      </c>
      <c r="J132" s="43" t="str">
        <f>_xlfn.XLOOKUP($A132,Map!$A:$A,Map!F:F)</f>
        <v>Other expenses</v>
      </c>
    </row>
    <row r="133" spans="1:10" x14ac:dyDescent="0.25">
      <c r="A133">
        <v>510005</v>
      </c>
      <c r="B133" t="s">
        <v>949</v>
      </c>
      <c r="C133" s="116">
        <v>0</v>
      </c>
      <c r="D133" s="116">
        <v>0</v>
      </c>
      <c r="E133" s="116">
        <v>0</v>
      </c>
      <c r="F133" s="116">
        <v>0</v>
      </c>
      <c r="G133" s="43" t="str">
        <f>_xlfn.XLOOKUP($A133,Map!$A:$A,Map!C:C)</f>
        <v>IS</v>
      </c>
      <c r="H133" s="43" t="str">
        <f>_xlfn.XLOOKUP($A133,Map!$A:$A,Map!D:D)</f>
        <v>Cost of sales</v>
      </c>
      <c r="I133" s="43" t="str">
        <f>_xlfn.XLOOKUP($A133,Map!$A:$A,Map!E:E)</f>
        <v>Raw materials</v>
      </c>
      <c r="J133" s="43" t="str">
        <f>_xlfn.XLOOKUP($A133,Map!$A:$A,Map!F:F)</f>
        <v>Other expenses</v>
      </c>
    </row>
    <row r="134" spans="1:10" x14ac:dyDescent="0.25">
      <c r="A134">
        <v>520001</v>
      </c>
      <c r="B134" t="s">
        <v>950</v>
      </c>
      <c r="C134" s="116">
        <v>0</v>
      </c>
      <c r="D134" s="116">
        <v>4062430.04</v>
      </c>
      <c r="E134" s="116">
        <v>121449.98</v>
      </c>
      <c r="F134" s="116">
        <v>3940980.06</v>
      </c>
      <c r="G134" s="43" t="str">
        <f>_xlfn.XLOOKUP($A134,Map!$A:$A,Map!C:C)</f>
        <v>IS</v>
      </c>
      <c r="H134" s="43" t="str">
        <f>_xlfn.XLOOKUP($A134,Map!$A:$A,Map!D:D)</f>
        <v>Cost of sales</v>
      </c>
      <c r="I134" s="43" t="str">
        <f>_xlfn.XLOOKUP($A134,Map!$A:$A,Map!E:E)</f>
        <v>Direct Labor</v>
      </c>
      <c r="J134" s="43" t="str">
        <f>_xlfn.XLOOKUP($A134,Map!$A:$A,Map!F:F)</f>
        <v>Salaries and wages</v>
      </c>
    </row>
    <row r="135" spans="1:10" x14ac:dyDescent="0.25">
      <c r="A135">
        <v>520002</v>
      </c>
      <c r="B135" t="s">
        <v>951</v>
      </c>
      <c r="C135" s="116">
        <v>0</v>
      </c>
      <c r="D135" s="116">
        <v>2234213.0499999998</v>
      </c>
      <c r="E135" s="116">
        <v>188474</v>
      </c>
      <c r="F135" s="116">
        <v>2045739.05</v>
      </c>
      <c r="G135" s="43" t="str">
        <f>_xlfn.XLOOKUP($A135,Map!$A:$A,Map!C:C)</f>
        <v>IS</v>
      </c>
      <c r="H135" s="43" t="str">
        <f>_xlfn.XLOOKUP($A135,Map!$A:$A,Map!D:D)</f>
        <v>Cost of sales</v>
      </c>
      <c r="I135" s="43" t="str">
        <f>_xlfn.XLOOKUP($A135,Map!$A:$A,Map!E:E)</f>
        <v>Direct Labor</v>
      </c>
      <c r="J135" s="43" t="str">
        <f>_xlfn.XLOOKUP($A135,Map!$A:$A,Map!F:F)</f>
        <v>Overtime pay</v>
      </c>
    </row>
    <row r="136" spans="1:10" x14ac:dyDescent="0.25">
      <c r="A136">
        <v>520003</v>
      </c>
      <c r="B136" t="s">
        <v>952</v>
      </c>
      <c r="C136" s="116">
        <v>0</v>
      </c>
      <c r="D136" s="116">
        <v>223538.4</v>
      </c>
      <c r="E136" s="116">
        <v>0</v>
      </c>
      <c r="F136" s="116">
        <v>223538.4</v>
      </c>
      <c r="G136" s="43" t="str">
        <f>_xlfn.XLOOKUP($A136,Map!$A:$A,Map!C:C)</f>
        <v>IS</v>
      </c>
      <c r="H136" s="43" t="str">
        <f>_xlfn.XLOOKUP($A136,Map!$A:$A,Map!D:D)</f>
        <v>Cost of sales</v>
      </c>
      <c r="I136" s="43" t="str">
        <f>_xlfn.XLOOKUP($A136,Map!$A:$A,Map!E:E)</f>
        <v>Direct Labor</v>
      </c>
      <c r="J136" s="43" t="str">
        <f>_xlfn.XLOOKUP($A136,Map!$A:$A,Map!F:F)</f>
        <v>Transportation allowance</v>
      </c>
    </row>
    <row r="137" spans="1:10" x14ac:dyDescent="0.25">
      <c r="A137">
        <v>520004</v>
      </c>
      <c r="B137" t="s">
        <v>957</v>
      </c>
      <c r="C137" s="116">
        <v>0</v>
      </c>
      <c r="D137" s="116">
        <v>248902</v>
      </c>
      <c r="E137" s="116">
        <v>0</v>
      </c>
      <c r="F137" s="116">
        <v>248902</v>
      </c>
      <c r="G137" s="43" t="str">
        <f>_xlfn.XLOOKUP($A137,Map!$A:$A,Map!C:C)</f>
        <v>IS</v>
      </c>
      <c r="H137" s="43" t="str">
        <f>_xlfn.XLOOKUP($A137,Map!$A:$A,Map!D:D)</f>
        <v>Cost of sales</v>
      </c>
      <c r="I137" s="43" t="str">
        <f>_xlfn.XLOOKUP($A137,Map!$A:$A,Map!E:E)</f>
        <v>Direct Labor</v>
      </c>
      <c r="J137" s="43" t="str">
        <f>_xlfn.XLOOKUP($A137,Map!$A:$A,Map!F:F)</f>
        <v>Food and housing</v>
      </c>
    </row>
    <row r="138" spans="1:10" x14ac:dyDescent="0.25">
      <c r="A138">
        <v>520005</v>
      </c>
      <c r="B138" t="s">
        <v>954</v>
      </c>
      <c r="C138" s="116">
        <v>0</v>
      </c>
      <c r="D138" s="116">
        <v>67941.464000000007</v>
      </c>
      <c r="E138" s="116">
        <v>58678.07</v>
      </c>
      <c r="F138" s="116">
        <v>9263.3940000000002</v>
      </c>
      <c r="G138" s="43" t="str">
        <f>_xlfn.XLOOKUP($A138,Map!$A:$A,Map!C:C)</f>
        <v>IS</v>
      </c>
      <c r="H138" s="43" t="str">
        <f>_xlfn.XLOOKUP($A138,Map!$A:$A,Map!D:D)</f>
        <v>Cost of sales</v>
      </c>
      <c r="I138" s="43" t="str">
        <f>_xlfn.XLOOKUP($A138,Map!$A:$A,Map!E:E)</f>
        <v>Direct Labor</v>
      </c>
      <c r="J138" s="43" t="str">
        <f>_xlfn.XLOOKUP($A138,Map!$A:$A,Map!F:F)</f>
        <v>Leave pay</v>
      </c>
    </row>
    <row r="139" spans="1:10" x14ac:dyDescent="0.25">
      <c r="A139">
        <v>520006</v>
      </c>
      <c r="B139" t="s">
        <v>955</v>
      </c>
      <c r="C139" s="116">
        <v>0</v>
      </c>
      <c r="D139" s="116">
        <v>217296.93700000001</v>
      </c>
      <c r="E139" s="116">
        <v>0</v>
      </c>
      <c r="F139" s="116">
        <v>217296.93700000001</v>
      </c>
      <c r="G139" s="43" t="str">
        <f>_xlfn.XLOOKUP($A139,Map!$A:$A,Map!C:C)</f>
        <v>IS</v>
      </c>
      <c r="H139" s="43" t="str">
        <f>_xlfn.XLOOKUP($A139,Map!$A:$A,Map!D:D)</f>
        <v>Cost of sales</v>
      </c>
      <c r="I139" s="43" t="str">
        <f>_xlfn.XLOOKUP($A139,Map!$A:$A,Map!E:E)</f>
        <v>Direct Labor</v>
      </c>
      <c r="J139" s="43" t="str">
        <f>_xlfn.XLOOKUP($A139,Map!$A:$A,Map!F:F)</f>
        <v>Medical insurance</v>
      </c>
    </row>
    <row r="140" spans="1:10" x14ac:dyDescent="0.25">
      <c r="A140">
        <v>520010</v>
      </c>
      <c r="B140" t="s">
        <v>956</v>
      </c>
      <c r="C140" s="116">
        <v>0</v>
      </c>
      <c r="D140" s="116">
        <v>0</v>
      </c>
      <c r="E140" s="116">
        <v>0</v>
      </c>
      <c r="F140" s="116">
        <v>0</v>
      </c>
      <c r="G140" s="43" t="str">
        <f>_xlfn.XLOOKUP($A140,Map!$A:$A,Map!C:C)</f>
        <v>IS</v>
      </c>
      <c r="H140" s="43" t="str">
        <f>_xlfn.XLOOKUP($A140,Map!$A:$A,Map!D:D)</f>
        <v>Cost of sales</v>
      </c>
      <c r="I140" s="43" t="str">
        <f>_xlfn.XLOOKUP($A140,Map!$A:$A,Map!E:E)</f>
        <v>Direct Labor</v>
      </c>
      <c r="J140" s="43" t="str">
        <f>_xlfn.XLOOKUP($A140,Map!$A:$A,Map!F:F)</f>
        <v>Salaries and wages</v>
      </c>
    </row>
    <row r="141" spans="1:10" x14ac:dyDescent="0.25">
      <c r="A141">
        <v>520011</v>
      </c>
      <c r="B141" t="s">
        <v>951</v>
      </c>
      <c r="C141" s="116">
        <v>0</v>
      </c>
      <c r="D141" s="116">
        <v>0</v>
      </c>
      <c r="E141" s="116">
        <v>0</v>
      </c>
      <c r="F141" s="116">
        <v>0</v>
      </c>
      <c r="G141" s="43" t="str">
        <f>_xlfn.XLOOKUP($A141,Map!$A:$A,Map!C:C)</f>
        <v>IS</v>
      </c>
      <c r="H141" s="43" t="str">
        <f>_xlfn.XLOOKUP($A141,Map!$A:$A,Map!D:D)</f>
        <v>Cost of sales</v>
      </c>
      <c r="I141" s="43" t="str">
        <f>_xlfn.XLOOKUP($A141,Map!$A:$A,Map!E:E)</f>
        <v>Direct Labor</v>
      </c>
      <c r="J141" s="43" t="str">
        <f>_xlfn.XLOOKUP($A141,Map!$A:$A,Map!F:F)</f>
        <v>Overtime pay</v>
      </c>
    </row>
    <row r="142" spans="1:10" x14ac:dyDescent="0.25">
      <c r="A142">
        <v>520013</v>
      </c>
      <c r="B142" t="s">
        <v>957</v>
      </c>
      <c r="C142" s="116">
        <v>0</v>
      </c>
      <c r="D142" s="116">
        <v>0</v>
      </c>
      <c r="E142" s="116">
        <v>0</v>
      </c>
      <c r="F142" s="116">
        <v>0</v>
      </c>
      <c r="G142" s="43" t="str">
        <f>_xlfn.XLOOKUP($A142,Map!$A:$A,Map!C:C)</f>
        <v>IS</v>
      </c>
      <c r="H142" s="43" t="str">
        <f>_xlfn.XLOOKUP($A142,Map!$A:$A,Map!D:D)</f>
        <v>Cost of sales</v>
      </c>
      <c r="I142" s="43" t="str">
        <f>_xlfn.XLOOKUP($A142,Map!$A:$A,Map!E:E)</f>
        <v>Direct Labor</v>
      </c>
      <c r="J142" s="43" t="str">
        <f>_xlfn.XLOOKUP($A142,Map!$A:$A,Map!F:F)</f>
        <v>Food and housing</v>
      </c>
    </row>
    <row r="143" spans="1:10" x14ac:dyDescent="0.25">
      <c r="A143">
        <v>520014</v>
      </c>
      <c r="B143" t="s">
        <v>954</v>
      </c>
      <c r="C143" s="116">
        <v>0</v>
      </c>
      <c r="D143" s="116">
        <v>2811</v>
      </c>
      <c r="E143" s="116">
        <v>0</v>
      </c>
      <c r="F143" s="116">
        <v>2811</v>
      </c>
      <c r="G143" s="43" t="str">
        <f>_xlfn.XLOOKUP($A143,Map!$A:$A,Map!C:C)</f>
        <v>IS</v>
      </c>
      <c r="H143" s="43" t="str">
        <f>_xlfn.XLOOKUP($A143,Map!$A:$A,Map!D:D)</f>
        <v>Cost of sales</v>
      </c>
      <c r="I143" s="43" t="str">
        <f>_xlfn.XLOOKUP($A143,Map!$A:$A,Map!E:E)</f>
        <v>Direct Labor</v>
      </c>
      <c r="J143" s="43" t="str">
        <f>_xlfn.XLOOKUP($A143,Map!$A:$A,Map!F:F)</f>
        <v>Leave pay</v>
      </c>
    </row>
    <row r="144" spans="1:10" x14ac:dyDescent="0.25">
      <c r="A144">
        <v>520015</v>
      </c>
      <c r="B144" t="s">
        <v>958</v>
      </c>
      <c r="C144" s="116">
        <v>0</v>
      </c>
      <c r="D144" s="116">
        <v>1213682.551</v>
      </c>
      <c r="E144" s="116">
        <v>490.64400000000001</v>
      </c>
      <c r="F144" s="116">
        <v>1213191.9069999999</v>
      </c>
      <c r="G144" s="43" t="str">
        <f>_xlfn.XLOOKUP($A144,Map!$A:$A,Map!C:C)</f>
        <v>IS</v>
      </c>
      <c r="H144" s="43" t="str">
        <f>_xlfn.XLOOKUP($A144,Map!$A:$A,Map!D:D)</f>
        <v>Cost of sales</v>
      </c>
      <c r="I144" s="43" t="str">
        <f>_xlfn.XLOOKUP($A144,Map!$A:$A,Map!E:E)</f>
        <v>Direct Labor</v>
      </c>
      <c r="J144" s="43" t="str">
        <f>_xlfn.XLOOKUP($A144,Map!$A:$A,Map!F:F)</f>
        <v>Food and housing</v>
      </c>
    </row>
    <row r="145" spans="1:10" x14ac:dyDescent="0.25">
      <c r="A145">
        <v>520019</v>
      </c>
      <c r="B145" t="s">
        <v>960</v>
      </c>
      <c r="C145" s="116">
        <v>0</v>
      </c>
      <c r="D145" s="116">
        <v>1114554.5209999999</v>
      </c>
      <c r="E145" s="116">
        <v>1190</v>
      </c>
      <c r="F145" s="116">
        <v>1113364.5209999999</v>
      </c>
      <c r="G145" s="43" t="str">
        <f>_xlfn.XLOOKUP($A145,Map!$A:$A,Map!C:C)</f>
        <v>IS</v>
      </c>
      <c r="H145" s="43" t="str">
        <f>_xlfn.XLOOKUP($A145,Map!$A:$A,Map!D:D)</f>
        <v>Cost of sales</v>
      </c>
      <c r="I145" s="43" t="str">
        <f>_xlfn.XLOOKUP($A145,Map!$A:$A,Map!E:E)</f>
        <v>Direct Labor</v>
      </c>
      <c r="J145" s="43" t="str">
        <f>_xlfn.XLOOKUP($A145,Map!$A:$A,Map!F:F)</f>
        <v>Food and housing</v>
      </c>
    </row>
    <row r="146" spans="1:10" x14ac:dyDescent="0.25">
      <c r="A146">
        <v>520021</v>
      </c>
      <c r="B146" t="s">
        <v>962</v>
      </c>
      <c r="C146" s="116">
        <v>0</v>
      </c>
      <c r="D146" s="116">
        <v>0</v>
      </c>
      <c r="E146" s="116">
        <v>0</v>
      </c>
      <c r="F146" s="116">
        <v>0</v>
      </c>
      <c r="G146" s="43" t="str">
        <f>_xlfn.XLOOKUP($A146,Map!$A:$A,Map!C:C)</f>
        <v>IS</v>
      </c>
      <c r="H146" s="43" t="str">
        <f>_xlfn.XLOOKUP($A146,Map!$A:$A,Map!D:D)</f>
        <v>Cost of sales</v>
      </c>
      <c r="I146" s="43" t="str">
        <f>_xlfn.XLOOKUP($A146,Map!$A:$A,Map!E:E)</f>
        <v>Direct Labor</v>
      </c>
      <c r="J146" s="43" t="str">
        <f>_xlfn.XLOOKUP($A146,Map!$A:$A,Map!F:F)</f>
        <v>Medical insurance</v>
      </c>
    </row>
    <row r="147" spans="1:10" x14ac:dyDescent="0.25">
      <c r="A147">
        <v>520022</v>
      </c>
      <c r="B147" t="s">
        <v>963</v>
      </c>
      <c r="C147" s="116">
        <v>0</v>
      </c>
      <c r="D147" s="116">
        <v>0</v>
      </c>
      <c r="E147" s="116">
        <v>0</v>
      </c>
      <c r="F147" s="116">
        <v>0</v>
      </c>
      <c r="G147" s="43" t="str">
        <f>_xlfn.XLOOKUP($A147,Map!$A:$A,Map!C:C)</f>
        <v>IS</v>
      </c>
      <c r="H147" s="43" t="str">
        <f>_xlfn.XLOOKUP($A147,Map!$A:$A,Map!D:D)</f>
        <v>Cost of sales</v>
      </c>
      <c r="I147" s="43" t="str">
        <f>_xlfn.XLOOKUP($A147,Map!$A:$A,Map!E:E)</f>
        <v>Direct Labor</v>
      </c>
      <c r="J147" s="43" t="str">
        <f>_xlfn.XLOOKUP($A147,Map!$A:$A,Map!F:F)</f>
        <v>Iqama renewal</v>
      </c>
    </row>
    <row r="148" spans="1:10" x14ac:dyDescent="0.25">
      <c r="A148">
        <v>520023</v>
      </c>
      <c r="B148" t="s">
        <v>964</v>
      </c>
      <c r="C148" s="116">
        <v>0</v>
      </c>
      <c r="D148" s="116">
        <v>0</v>
      </c>
      <c r="E148" s="116">
        <v>0</v>
      </c>
      <c r="F148" s="116">
        <v>0</v>
      </c>
      <c r="G148" s="43" t="str">
        <f>_xlfn.XLOOKUP($A148,Map!$A:$A,Map!C:C)</f>
        <v>IS</v>
      </c>
      <c r="H148" s="43" t="str">
        <f>_xlfn.XLOOKUP($A148,Map!$A:$A,Map!D:D)</f>
        <v>Cost of sales</v>
      </c>
      <c r="I148" s="43" t="str">
        <f>_xlfn.XLOOKUP($A148,Map!$A:$A,Map!E:E)</f>
        <v>Direct Labor</v>
      </c>
      <c r="J148" s="43" t="str">
        <f>_xlfn.XLOOKUP($A148,Map!$A:$A,Map!F:F)</f>
        <v>Medical insurance</v>
      </c>
    </row>
    <row r="149" spans="1:10" x14ac:dyDescent="0.25">
      <c r="A149">
        <v>520032</v>
      </c>
      <c r="B149" t="s">
        <v>965</v>
      </c>
      <c r="C149" s="116">
        <v>0</v>
      </c>
      <c r="D149" s="116">
        <v>0</v>
      </c>
      <c r="E149" s="116">
        <v>0</v>
      </c>
      <c r="F149" s="116">
        <v>0</v>
      </c>
      <c r="G149" s="43" t="str">
        <f>_xlfn.XLOOKUP($A149,Map!$A:$A,Map!C:C)</f>
        <v>IS</v>
      </c>
      <c r="H149" s="43" t="str">
        <f>_xlfn.XLOOKUP($A149,Map!$A:$A,Map!D:D)</f>
        <v>Cost of sales</v>
      </c>
      <c r="I149" s="43" t="str">
        <f>_xlfn.XLOOKUP($A149,Map!$A:$A,Map!E:E)</f>
        <v>Raw materials</v>
      </c>
      <c r="J149" s="43" t="str">
        <f>_xlfn.XLOOKUP($A149,Map!$A:$A,Map!F:F)</f>
        <v>Consumables</v>
      </c>
    </row>
    <row r="150" spans="1:10" x14ac:dyDescent="0.25">
      <c r="A150">
        <v>520036</v>
      </c>
      <c r="B150" t="s">
        <v>966</v>
      </c>
      <c r="C150" s="116">
        <v>0</v>
      </c>
      <c r="D150" s="116">
        <v>0.32300000000000001</v>
      </c>
      <c r="E150" s="116">
        <v>1.008</v>
      </c>
      <c r="F150" s="116">
        <v>-0.68500000000000005</v>
      </c>
      <c r="G150" s="43" t="str">
        <f>_xlfn.XLOOKUP($A150,Map!$A:$A,Map!C:C)</f>
        <v>IS</v>
      </c>
      <c r="H150" s="43" t="str">
        <f>_xlfn.XLOOKUP($A150,Map!$A:$A,Map!D:D)</f>
        <v>Cost of sales</v>
      </c>
      <c r="I150" s="43" t="str">
        <f>_xlfn.XLOOKUP($A150,Map!$A:$A,Map!E:E)</f>
        <v>Raw materials</v>
      </c>
      <c r="J150" s="43" t="str">
        <f>_xlfn.XLOOKUP($A150,Map!$A:$A,Map!F:F)</f>
        <v>Raw materials</v>
      </c>
    </row>
    <row r="151" spans="1:10" x14ac:dyDescent="0.25">
      <c r="A151">
        <v>520037</v>
      </c>
      <c r="B151" t="s">
        <v>967</v>
      </c>
      <c r="C151" s="116">
        <v>0</v>
      </c>
      <c r="D151" s="116">
        <v>6145354.7999999998</v>
      </c>
      <c r="E151" s="116">
        <v>4577958.767</v>
      </c>
      <c r="F151" s="116">
        <v>1567396.0330000001</v>
      </c>
      <c r="G151" s="43" t="str">
        <f>_xlfn.XLOOKUP($A151,Map!$A:$A,Map!C:C)</f>
        <v>IS</v>
      </c>
      <c r="H151" s="43" t="str">
        <f>_xlfn.XLOOKUP($A151,Map!$A:$A,Map!D:D)</f>
        <v>Cost of sales</v>
      </c>
      <c r="I151" s="43" t="str">
        <f>_xlfn.XLOOKUP($A151,Map!$A:$A,Map!E:E)</f>
        <v>Raw materials</v>
      </c>
      <c r="J151" s="43" t="str">
        <f>_xlfn.XLOOKUP($A151,Map!$A:$A,Map!F:F)</f>
        <v>Raw materials</v>
      </c>
    </row>
    <row r="152" spans="1:10" x14ac:dyDescent="0.25">
      <c r="A152">
        <v>520039</v>
      </c>
      <c r="B152" t="s">
        <v>968</v>
      </c>
      <c r="C152" s="116">
        <v>0</v>
      </c>
      <c r="D152" s="116">
        <v>0</v>
      </c>
      <c r="E152" s="116">
        <v>44270.525999999998</v>
      </c>
      <c r="F152" s="116">
        <v>-44270.525999999998</v>
      </c>
      <c r="G152" s="43" t="str">
        <f>_xlfn.XLOOKUP($A152,Map!$A:$A,Map!C:C)</f>
        <v>IS</v>
      </c>
      <c r="H152" s="43" t="str">
        <f>_xlfn.XLOOKUP($A152,Map!$A:$A,Map!D:D)</f>
        <v>Cost of sales</v>
      </c>
      <c r="I152" s="43" t="str">
        <f>_xlfn.XLOOKUP($A152,Map!$A:$A,Map!E:E)</f>
        <v>Direct Labor</v>
      </c>
      <c r="J152" s="43" t="str">
        <f>_xlfn.XLOOKUP($A152,Map!$A:$A,Map!F:F)</f>
        <v>Salaries and wages</v>
      </c>
    </row>
    <row r="153" spans="1:10" x14ac:dyDescent="0.25">
      <c r="A153">
        <v>520040</v>
      </c>
      <c r="B153" t="s">
        <v>969</v>
      </c>
      <c r="C153" s="116">
        <v>0</v>
      </c>
      <c r="D153" s="116">
        <v>310.98599999999999</v>
      </c>
      <c r="E153" s="116">
        <v>643.77499999999998</v>
      </c>
      <c r="F153" s="116">
        <v>-332.78899999999999</v>
      </c>
      <c r="G153" s="43" t="str">
        <f>_xlfn.XLOOKUP($A153,Map!$A:$A,Map!C:C)</f>
        <v>IS</v>
      </c>
      <c r="H153" s="43" t="str">
        <f>_xlfn.XLOOKUP($A153,Map!$A:$A,Map!D:D)</f>
        <v>Cost of sales</v>
      </c>
      <c r="I153" s="43" t="str">
        <f>_xlfn.XLOOKUP($A153,Map!$A:$A,Map!E:E)</f>
        <v>Raw materials</v>
      </c>
      <c r="J153" s="43" t="str">
        <f>_xlfn.XLOOKUP($A153,Map!$A:$A,Map!F:F)</f>
        <v>Other expenses</v>
      </c>
    </row>
    <row r="154" spans="1:10" x14ac:dyDescent="0.25">
      <c r="A154">
        <v>520041</v>
      </c>
      <c r="B154" t="s">
        <v>970</v>
      </c>
      <c r="C154" s="116">
        <v>0</v>
      </c>
      <c r="D154" s="116">
        <v>265207.28399999999</v>
      </c>
      <c r="E154" s="116">
        <v>20266290.864</v>
      </c>
      <c r="F154" s="116">
        <v>-20001083.579999998</v>
      </c>
      <c r="G154" s="43" t="str">
        <f>_xlfn.XLOOKUP($A154,Map!$A:$A,Map!C:C)</f>
        <v>IS</v>
      </c>
      <c r="H154" s="43" t="str">
        <f>_xlfn.XLOOKUP($A154,Map!$A:$A,Map!D:D)</f>
        <v>Cost of sales</v>
      </c>
      <c r="I154" s="43" t="str">
        <f>_xlfn.XLOOKUP($A154,Map!$A:$A,Map!E:E)</f>
        <v>Raw materials</v>
      </c>
      <c r="J154" s="43" t="str">
        <f>_xlfn.XLOOKUP($A154,Map!$A:$A,Map!F:F)</f>
        <v>Other expenses</v>
      </c>
    </row>
    <row r="155" spans="1:10" x14ac:dyDescent="0.25">
      <c r="A155">
        <v>520042</v>
      </c>
      <c r="B155" t="s">
        <v>971</v>
      </c>
      <c r="C155" s="116">
        <v>0</v>
      </c>
      <c r="D155" s="116">
        <v>7122845.2060000002</v>
      </c>
      <c r="E155" s="116">
        <v>10140207.126</v>
      </c>
      <c r="F155" s="116">
        <v>-3017361.92</v>
      </c>
      <c r="G155" s="43" t="str">
        <f>_xlfn.XLOOKUP($A155,Map!$A:$A,Map!C:C)</f>
        <v>IS</v>
      </c>
      <c r="H155" s="43" t="str">
        <f>_xlfn.XLOOKUP($A155,Map!$A:$A,Map!D:D)</f>
        <v>Cost of sales</v>
      </c>
      <c r="I155" s="43" t="str">
        <f>_xlfn.XLOOKUP($A155,Map!$A:$A,Map!E:E)</f>
        <v>Raw materials</v>
      </c>
      <c r="J155" s="43" t="str">
        <f>_xlfn.XLOOKUP($A155,Map!$A:$A,Map!F:F)</f>
        <v>Inventory Adjustment</v>
      </c>
    </row>
    <row r="156" spans="1:10" x14ac:dyDescent="0.25">
      <c r="A156">
        <v>520043</v>
      </c>
      <c r="B156" t="s">
        <v>972</v>
      </c>
      <c r="C156" s="116">
        <v>0</v>
      </c>
      <c r="D156" s="116">
        <v>17700</v>
      </c>
      <c r="E156" s="116">
        <v>0</v>
      </c>
      <c r="F156" s="116">
        <v>17700</v>
      </c>
      <c r="G156" s="43" t="str">
        <f>_xlfn.XLOOKUP($A156,Map!$A:$A,Map!C:C)</f>
        <v>IS</v>
      </c>
      <c r="H156" s="43" t="str">
        <f>_xlfn.XLOOKUP($A156,Map!$A:$A,Map!D:D)</f>
        <v>Cost of sales</v>
      </c>
      <c r="I156" s="43" t="str">
        <f>_xlfn.XLOOKUP($A156,Map!$A:$A,Map!E:E)</f>
        <v>Direct Labor</v>
      </c>
      <c r="J156" s="43" t="str">
        <f>_xlfn.XLOOKUP($A156,Map!$A:$A,Map!F:F)</f>
        <v>Salaries and wages</v>
      </c>
    </row>
    <row r="157" spans="1:10" x14ac:dyDescent="0.25">
      <c r="A157">
        <v>520044</v>
      </c>
      <c r="B157" t="s">
        <v>973</v>
      </c>
      <c r="C157" s="116">
        <v>0</v>
      </c>
      <c r="D157" s="116">
        <v>5927147.3119999999</v>
      </c>
      <c r="E157" s="116">
        <v>294135.05099999998</v>
      </c>
      <c r="F157" s="116">
        <v>5633012.2609999999</v>
      </c>
      <c r="G157" s="43" t="str">
        <f>_xlfn.XLOOKUP($A157,Map!$A:$A,Map!C:C)</f>
        <v>IS</v>
      </c>
      <c r="H157" s="43" t="str">
        <f>_xlfn.XLOOKUP($A157,Map!$A:$A,Map!D:D)</f>
        <v>Cost of sales</v>
      </c>
      <c r="I157" s="43" t="str">
        <f>_xlfn.XLOOKUP($A157,Map!$A:$A,Map!E:E)</f>
        <v>Direct Labor</v>
      </c>
      <c r="J157" s="43" t="str">
        <f>_xlfn.XLOOKUP($A157,Map!$A:$A,Map!F:F)</f>
        <v>Salaries and wages</v>
      </c>
    </row>
    <row r="158" spans="1:10" x14ac:dyDescent="0.25">
      <c r="A158">
        <v>600001</v>
      </c>
      <c r="B158" t="s">
        <v>979</v>
      </c>
      <c r="C158" s="116">
        <v>0</v>
      </c>
      <c r="D158" s="116">
        <v>927299.97</v>
      </c>
      <c r="E158" s="116">
        <v>161005.9</v>
      </c>
      <c r="F158" s="116">
        <v>766294.07</v>
      </c>
      <c r="G158" s="43" t="str">
        <f>_xlfn.XLOOKUP($A158,Map!$A:$A,Map!C:C)</f>
        <v>IS</v>
      </c>
      <c r="H158" s="43" t="str">
        <f>_xlfn.XLOOKUP($A158,Map!$A:$A,Map!D:D)</f>
        <v>Cost of sales</v>
      </c>
      <c r="I158" s="43" t="str">
        <f>_xlfn.XLOOKUP($A158,Map!$A:$A,Map!E:E)</f>
        <v>Overhead - Labor Cost</v>
      </c>
      <c r="J158" s="43" t="str">
        <f>_xlfn.XLOOKUP($A158,Map!$A:$A,Map!F:F)</f>
        <v>Indirect Salaries — factory supervisory / indirect floor labour (COGS)</v>
      </c>
    </row>
    <row r="159" spans="1:10" x14ac:dyDescent="0.25">
      <c r="A159">
        <v>600002</v>
      </c>
      <c r="B159" t="s">
        <v>980</v>
      </c>
      <c r="C159" s="116">
        <v>0</v>
      </c>
      <c r="D159" s="116">
        <v>516747.24</v>
      </c>
      <c r="E159" s="116">
        <v>0</v>
      </c>
      <c r="F159" s="116">
        <v>516747.24</v>
      </c>
      <c r="G159" s="43" t="str">
        <f>_xlfn.XLOOKUP($A159,Map!$A:$A,Map!C:C)</f>
        <v>IS</v>
      </c>
      <c r="H159" s="43" t="str">
        <f>_xlfn.XLOOKUP($A159,Map!$A:$A,Map!D:D)</f>
        <v>Cost of sales</v>
      </c>
      <c r="I159" s="43" t="str">
        <f>_xlfn.XLOOKUP($A159,Map!$A:$A,Map!E:E)</f>
        <v>Overhead - Labor Cost</v>
      </c>
      <c r="J159" s="43" t="str">
        <f>_xlfn.XLOOKUP($A159,Map!$A:$A,Map!F:F)</f>
        <v>Overtime pay</v>
      </c>
    </row>
    <row r="160" spans="1:10" x14ac:dyDescent="0.25">
      <c r="A160">
        <v>600003</v>
      </c>
      <c r="B160" t="s">
        <v>981</v>
      </c>
      <c r="C160" s="116">
        <v>0</v>
      </c>
      <c r="D160" s="116">
        <v>247031</v>
      </c>
      <c r="E160" s="116">
        <v>98239.001999999993</v>
      </c>
      <c r="F160" s="116">
        <v>148791.99799999999</v>
      </c>
      <c r="G160" s="43" t="str">
        <f>_xlfn.XLOOKUP($A160,Map!$A:$A,Map!C:C)</f>
        <v>IS</v>
      </c>
      <c r="H160" s="43" t="str">
        <f>_xlfn.XLOOKUP($A160,Map!$A:$A,Map!D:D)</f>
        <v>Cost of sales</v>
      </c>
      <c r="I160" s="43" t="str">
        <f>_xlfn.XLOOKUP($A160,Map!$A:$A,Map!E:E)</f>
        <v>Overhead - Labor Cost</v>
      </c>
      <c r="J160" s="43" t="str">
        <f>_xlfn.XLOOKUP($A160,Map!$A:$A,Map!F:F)</f>
        <v xml:space="preserve">Food &amp; Housing </v>
      </c>
    </row>
    <row r="161" spans="1:10" x14ac:dyDescent="0.25">
      <c r="A161">
        <v>600004</v>
      </c>
      <c r="B161" t="s">
        <v>982</v>
      </c>
      <c r="C161" s="116">
        <v>0</v>
      </c>
      <c r="D161" s="116">
        <v>156870.42800000001</v>
      </c>
      <c r="E161" s="116">
        <v>25088.33</v>
      </c>
      <c r="F161" s="116">
        <v>131782.098</v>
      </c>
      <c r="G161" s="43" t="str">
        <f>_xlfn.XLOOKUP($A161,Map!$A:$A,Map!C:C)</f>
        <v>IS</v>
      </c>
      <c r="H161" s="43" t="str">
        <f>_xlfn.XLOOKUP($A161,Map!$A:$A,Map!D:D)</f>
        <v>Cost of sales</v>
      </c>
      <c r="I161" s="43" t="str">
        <f>_xlfn.XLOOKUP($A161,Map!$A:$A,Map!E:E)</f>
        <v>Overhead - Labor Cost</v>
      </c>
      <c r="J161" s="43" t="str">
        <f>_xlfn.XLOOKUP($A161,Map!$A:$A,Map!F:F)</f>
        <v>Medical insurance</v>
      </c>
    </row>
    <row r="162" spans="1:10" x14ac:dyDescent="0.25">
      <c r="A162">
        <v>600005</v>
      </c>
      <c r="B162" t="s">
        <v>983</v>
      </c>
      <c r="C162" s="116">
        <v>0</v>
      </c>
      <c r="D162" s="116">
        <v>103739.48</v>
      </c>
      <c r="E162" s="116">
        <v>2000</v>
      </c>
      <c r="F162" s="116">
        <v>101739.48</v>
      </c>
      <c r="G162" s="43" t="str">
        <f>_xlfn.XLOOKUP($A162,Map!$A:$A,Map!C:C)</f>
        <v>IS</v>
      </c>
      <c r="H162" s="43" t="str">
        <f>_xlfn.XLOOKUP($A162,Map!$A:$A,Map!D:D)</f>
        <v>General and Admin</v>
      </c>
      <c r="I162" s="43" t="str">
        <f>_xlfn.XLOOKUP($A162,Map!$A:$A,Map!E:E)</f>
        <v>Govt license and fees (including modon)</v>
      </c>
      <c r="J162" s="43" t="str">
        <f>_xlfn.XLOOKUP($A162,Map!$A:$A,Map!F:F)</f>
        <v>Government fees</v>
      </c>
    </row>
    <row r="163" spans="1:10" x14ac:dyDescent="0.25">
      <c r="A163">
        <v>600006</v>
      </c>
      <c r="B163" t="s">
        <v>984</v>
      </c>
      <c r="C163" s="116">
        <v>0</v>
      </c>
      <c r="D163" s="116">
        <v>429924.09700000001</v>
      </c>
      <c r="E163" s="116">
        <v>62154</v>
      </c>
      <c r="F163" s="116">
        <v>367770.09700000001</v>
      </c>
      <c r="G163" s="43" t="str">
        <f>_xlfn.XLOOKUP($A163,Map!$A:$A,Map!C:C)</f>
        <v>IS</v>
      </c>
      <c r="H163" s="43" t="str">
        <f>_xlfn.XLOOKUP($A163,Map!$A:$A,Map!D:D)</f>
        <v>Cost of sales</v>
      </c>
      <c r="I163" s="43" t="str">
        <f>_xlfn.XLOOKUP($A163,Map!$A:$A,Map!E:E)</f>
        <v>Overhead - Labor Cost</v>
      </c>
      <c r="J163" s="43" t="str">
        <f>_xlfn.XLOOKUP($A163,Map!$A:$A,Map!F:F)</f>
        <v xml:space="preserve">Food &amp; Housing </v>
      </c>
    </row>
    <row r="164" spans="1:10" x14ac:dyDescent="0.25">
      <c r="A164">
        <v>600007</v>
      </c>
      <c r="B164" t="s">
        <v>985</v>
      </c>
      <c r="C164" s="116">
        <v>0</v>
      </c>
      <c r="D164" s="116">
        <v>48184.9</v>
      </c>
      <c r="E164" s="116">
        <v>4800</v>
      </c>
      <c r="F164" s="116">
        <v>43384.9</v>
      </c>
      <c r="G164" s="43" t="str">
        <f>_xlfn.XLOOKUP($A164,Map!$A:$A,Map!C:C)</f>
        <v>IS</v>
      </c>
      <c r="H164" s="43" t="str">
        <f>_xlfn.XLOOKUP($A164,Map!$A:$A,Map!D:D)</f>
        <v>Cost of sales</v>
      </c>
      <c r="I164" s="43" t="str">
        <f>_xlfn.XLOOKUP($A164,Map!$A:$A,Map!E:E)</f>
        <v>Overhead - Labor Cost</v>
      </c>
      <c r="J164" s="43" t="str">
        <f>_xlfn.XLOOKUP($A164,Map!$A:$A,Map!F:F)</f>
        <v>Transportation allowance</v>
      </c>
    </row>
    <row r="165" spans="1:10" x14ac:dyDescent="0.25">
      <c r="A165">
        <v>600008</v>
      </c>
      <c r="B165" t="s">
        <v>986</v>
      </c>
      <c r="C165" s="116">
        <v>0</v>
      </c>
      <c r="D165" s="116">
        <v>406099.755</v>
      </c>
      <c r="E165" s="116">
        <v>22695.5</v>
      </c>
      <c r="F165" s="116">
        <v>383404.255</v>
      </c>
      <c r="G165" s="43" t="str">
        <f>_xlfn.XLOOKUP($A165,Map!$A:$A,Map!C:C)</f>
        <v>IS</v>
      </c>
      <c r="H165" s="43" t="str">
        <f>_xlfn.XLOOKUP($A165,Map!$A:$A,Map!D:D)</f>
        <v>Cost of sales</v>
      </c>
      <c r="I165" s="43" t="str">
        <f>_xlfn.XLOOKUP($A165,Map!$A:$A,Map!E:E)</f>
        <v>Overhead - Labor Cost</v>
      </c>
      <c r="J165" s="43" t="str">
        <f>_xlfn.XLOOKUP($A165,Map!$A:$A,Map!F:F)</f>
        <v>Air tickets</v>
      </c>
    </row>
    <row r="166" spans="1:10" x14ac:dyDescent="0.25">
      <c r="A166">
        <v>600009</v>
      </c>
      <c r="B166" t="s">
        <v>987</v>
      </c>
      <c r="C166" s="116">
        <v>0</v>
      </c>
      <c r="D166" s="116">
        <v>170682.304</v>
      </c>
      <c r="E166" s="116">
        <v>51395.49</v>
      </c>
      <c r="F166" s="116">
        <v>119286.814</v>
      </c>
      <c r="G166" s="43" t="str">
        <f>_xlfn.XLOOKUP($A166,Map!$A:$A,Map!C:C)</f>
        <v>IS</v>
      </c>
      <c r="H166" s="43" t="str">
        <f>_xlfn.XLOOKUP($A166,Map!$A:$A,Map!D:D)</f>
        <v>Cost of sales</v>
      </c>
      <c r="I166" s="43" t="str">
        <f>_xlfn.XLOOKUP($A166,Map!$A:$A,Map!E:E)</f>
        <v>Overhead - Labor Cost</v>
      </c>
      <c r="J166" s="43" t="str">
        <f>_xlfn.XLOOKUP($A166,Map!$A:$A,Map!F:F)</f>
        <v>Vacation pay</v>
      </c>
    </row>
    <row r="167" spans="1:10" x14ac:dyDescent="0.25">
      <c r="A167">
        <v>600010</v>
      </c>
      <c r="B167" t="s">
        <v>988</v>
      </c>
      <c r="C167" s="116">
        <v>0</v>
      </c>
      <c r="D167" s="116">
        <v>39416</v>
      </c>
      <c r="E167" s="116">
        <v>0</v>
      </c>
      <c r="F167" s="116">
        <v>39416</v>
      </c>
      <c r="G167" s="43" t="str">
        <f>_xlfn.XLOOKUP($A167,Map!$A:$A,Map!C:C)</f>
        <v>IS</v>
      </c>
      <c r="H167" s="43" t="str">
        <f>_xlfn.XLOOKUP($A167,Map!$A:$A,Map!D:D)</f>
        <v>Cost of sales</v>
      </c>
      <c r="I167" s="43" t="str">
        <f>_xlfn.XLOOKUP($A167,Map!$A:$A,Map!E:E)</f>
        <v>Overhead - Labor Cost</v>
      </c>
      <c r="J167" s="43" t="str">
        <f>_xlfn.XLOOKUP($A167,Map!$A:$A,Map!F:F)</f>
        <v>EOS expenses</v>
      </c>
    </row>
    <row r="168" spans="1:10" x14ac:dyDescent="0.25">
      <c r="A168">
        <v>600011</v>
      </c>
      <c r="B168" t="s">
        <v>989</v>
      </c>
      <c r="C168" s="116">
        <v>0</v>
      </c>
      <c r="D168" s="116">
        <v>1570.8330000000001</v>
      </c>
      <c r="E168" s="116">
        <v>0</v>
      </c>
      <c r="F168" s="116">
        <v>1570.8330000000001</v>
      </c>
      <c r="G168" s="43" t="str">
        <f>_xlfn.XLOOKUP($A168,Map!$A:$A,Map!C:C)</f>
        <v>IS</v>
      </c>
      <c r="H168" s="43" t="str">
        <f>_xlfn.XLOOKUP($A168,Map!$A:$A,Map!D:D)</f>
        <v>Cost of sales</v>
      </c>
      <c r="I168" s="43" t="str">
        <f>_xlfn.XLOOKUP($A168,Map!$A:$A,Map!E:E)</f>
        <v>Overhead - Labor Cost</v>
      </c>
      <c r="J168" s="43" t="str">
        <f>_xlfn.XLOOKUP($A168,Map!$A:$A,Map!F:F)</f>
        <v>Air tickets</v>
      </c>
    </row>
    <row r="169" spans="1:10" x14ac:dyDescent="0.25">
      <c r="A169">
        <v>600012</v>
      </c>
      <c r="B169" t="s">
        <v>990</v>
      </c>
      <c r="C169" s="116">
        <v>0</v>
      </c>
      <c r="D169" s="116">
        <v>24620</v>
      </c>
      <c r="E169" s="116">
        <v>2084</v>
      </c>
      <c r="F169" s="116">
        <v>22536</v>
      </c>
      <c r="G169" s="43" t="str">
        <f>_xlfn.XLOOKUP($A169,Map!$A:$A,Map!C:C)</f>
        <v>IS</v>
      </c>
      <c r="H169" s="43" t="str">
        <f>_xlfn.XLOOKUP($A169,Map!$A:$A,Map!D:D)</f>
        <v>Cost of sales</v>
      </c>
      <c r="I169" s="43" t="str">
        <f>_xlfn.XLOOKUP($A169,Map!$A:$A,Map!E:E)</f>
        <v>Overhead - Labor Cost</v>
      </c>
      <c r="J169" s="43" t="str">
        <f>_xlfn.XLOOKUP($A169,Map!$A:$A,Map!F:F)</f>
        <v xml:space="preserve">Education &amp; Furniture Allowances </v>
      </c>
    </row>
    <row r="170" spans="1:10" x14ac:dyDescent="0.25">
      <c r="A170">
        <v>600013</v>
      </c>
      <c r="B170" t="s">
        <v>991</v>
      </c>
      <c r="C170" s="116">
        <v>0</v>
      </c>
      <c r="D170" s="116">
        <v>10500</v>
      </c>
      <c r="E170" s="116">
        <v>0</v>
      </c>
      <c r="F170" s="116">
        <v>10500</v>
      </c>
      <c r="G170" s="43" t="str">
        <f>_xlfn.XLOOKUP($A170,Map!$A:$A,Map!C:C)</f>
        <v>IS</v>
      </c>
      <c r="H170" s="43" t="str">
        <f>_xlfn.XLOOKUP($A170,Map!$A:$A,Map!D:D)</f>
        <v>Cost of sales</v>
      </c>
      <c r="I170" s="43" t="str">
        <f>_xlfn.XLOOKUP($A170,Map!$A:$A,Map!E:E)</f>
        <v>Overhead - Labor Cost</v>
      </c>
      <c r="J170" s="43" t="str">
        <f>_xlfn.XLOOKUP($A170,Map!$A:$A,Map!F:F)</f>
        <v>Telephone allowance</v>
      </c>
    </row>
    <row r="171" spans="1:10" x14ac:dyDescent="0.25">
      <c r="A171">
        <v>600014</v>
      </c>
      <c r="B171" t="s">
        <v>884</v>
      </c>
      <c r="C171" s="116">
        <v>0</v>
      </c>
      <c r="D171" s="116">
        <v>1875195.3759999999</v>
      </c>
      <c r="E171" s="116">
        <v>87541.774999999994</v>
      </c>
      <c r="F171" s="116">
        <v>1787653.601</v>
      </c>
      <c r="G171" s="43" t="str">
        <f>_xlfn.XLOOKUP($A171,Map!$A:$A,Map!C:C)</f>
        <v>IS</v>
      </c>
      <c r="H171" s="43" t="str">
        <f>_xlfn.XLOOKUP($A171,Map!$A:$A,Map!D:D)</f>
        <v>Cost of sales</v>
      </c>
      <c r="I171" s="43" t="str">
        <f>_xlfn.XLOOKUP($A171,Map!$A:$A,Map!E:E)</f>
        <v>Overhead - Consumables &amp; SP</v>
      </c>
      <c r="J171" s="43" t="str">
        <f>_xlfn.XLOOKUP($A171,Map!$A:$A,Map!F:F)</f>
        <v>Consumables</v>
      </c>
    </row>
    <row r="172" spans="1:10" x14ac:dyDescent="0.25">
      <c r="A172">
        <v>600015</v>
      </c>
      <c r="B172" t="s">
        <v>992</v>
      </c>
      <c r="C172" s="116">
        <v>0</v>
      </c>
      <c r="D172" s="116">
        <v>0</v>
      </c>
      <c r="E172" s="116">
        <v>0</v>
      </c>
      <c r="F172" s="116">
        <v>0</v>
      </c>
      <c r="G172" s="43" t="str">
        <f>_xlfn.XLOOKUP($A172,Map!$A:$A,Map!C:C)</f>
        <v>IS</v>
      </c>
      <c r="H172" s="43" t="str">
        <f>_xlfn.XLOOKUP($A172,Map!$A:$A,Map!D:D)</f>
        <v>Cost of sales</v>
      </c>
      <c r="I172" s="43" t="str">
        <f>_xlfn.XLOOKUP($A172,Map!$A:$A,Map!E:E)</f>
        <v>Overhead - Consumables &amp; SP</v>
      </c>
      <c r="J172" s="43" t="str">
        <f>_xlfn.XLOOKUP($A172,Map!$A:$A,Map!F:F)</f>
        <v>Consumables</v>
      </c>
    </row>
    <row r="173" spans="1:10" x14ac:dyDescent="0.25">
      <c r="A173">
        <v>600016</v>
      </c>
      <c r="B173" t="s">
        <v>993</v>
      </c>
      <c r="C173" s="116">
        <v>0</v>
      </c>
      <c r="D173" s="116">
        <v>102208.636</v>
      </c>
      <c r="E173" s="116">
        <v>16431.106</v>
      </c>
      <c r="F173" s="116">
        <v>85777.53</v>
      </c>
      <c r="G173" s="43" t="str">
        <f>_xlfn.XLOOKUP($A173,Map!$A:$A,Map!C:C)</f>
        <v>IS</v>
      </c>
      <c r="H173" s="43" t="str">
        <f>_xlfn.XLOOKUP($A173,Map!$A:$A,Map!D:D)</f>
        <v>Cost of sales</v>
      </c>
      <c r="I173" s="43" t="str">
        <f>_xlfn.XLOOKUP($A173,Map!$A:$A,Map!E:E)</f>
        <v>Overhead - Consumables &amp; SP</v>
      </c>
      <c r="J173" s="43" t="str">
        <f>_xlfn.XLOOKUP($A173,Map!$A:$A,Map!F:F)</f>
        <v>Tools</v>
      </c>
    </row>
    <row r="174" spans="1:10" x14ac:dyDescent="0.25">
      <c r="A174">
        <v>600017</v>
      </c>
      <c r="B174" t="s">
        <v>994</v>
      </c>
      <c r="C174" s="116">
        <v>0</v>
      </c>
      <c r="D174" s="116">
        <v>2698879.15</v>
      </c>
      <c r="E174" s="116">
        <v>138402</v>
      </c>
      <c r="F174" s="116">
        <v>2560477.15</v>
      </c>
      <c r="G174" s="43" t="str">
        <f>_xlfn.XLOOKUP($A174,Map!$A:$A,Map!C:C)</f>
        <v>IS</v>
      </c>
      <c r="H174" s="43" t="str">
        <f>_xlfn.XLOOKUP($A174,Map!$A:$A,Map!D:D)</f>
        <v>Cost of sales</v>
      </c>
      <c r="I174" s="43" t="str">
        <f>_xlfn.XLOOKUP($A174,Map!$A:$A,Map!E:E)</f>
        <v>Overhead - Utility</v>
      </c>
      <c r="J174" s="43" t="str">
        <f>_xlfn.XLOOKUP($A174,Map!$A:$A,Map!F:F)</f>
        <v>Electricity expenses</v>
      </c>
    </row>
    <row r="175" spans="1:10" x14ac:dyDescent="0.25">
      <c r="A175">
        <v>600018</v>
      </c>
      <c r="B175" t="s">
        <v>995</v>
      </c>
      <c r="C175" s="116">
        <v>0</v>
      </c>
      <c r="D175" s="116">
        <v>276003.04399999999</v>
      </c>
      <c r="E175" s="116">
        <v>31820</v>
      </c>
      <c r="F175" s="116">
        <v>244183.04399999999</v>
      </c>
      <c r="G175" s="43" t="str">
        <f>_xlfn.XLOOKUP($A175,Map!$A:$A,Map!C:C)</f>
        <v>IS</v>
      </c>
      <c r="H175" s="43" t="str">
        <f>_xlfn.XLOOKUP($A175,Map!$A:$A,Map!D:D)</f>
        <v>Cost of sales</v>
      </c>
      <c r="I175" s="43" t="str">
        <f>_xlfn.XLOOKUP($A175,Map!$A:$A,Map!E:E)</f>
        <v>Overhead - Utility</v>
      </c>
      <c r="J175" s="43" t="str">
        <f>_xlfn.XLOOKUP($A175,Map!$A:$A,Map!F:F)</f>
        <v>Water expenses</v>
      </c>
    </row>
    <row r="176" spans="1:10" x14ac:dyDescent="0.25">
      <c r="A176">
        <v>600019</v>
      </c>
      <c r="B176" t="s">
        <v>996</v>
      </c>
      <c r="C176" s="116">
        <v>0</v>
      </c>
      <c r="D176" s="116">
        <v>76656.383000000002</v>
      </c>
      <c r="E176" s="116">
        <v>6.0000000000000001E-3</v>
      </c>
      <c r="F176" s="116">
        <v>76656.376999999993</v>
      </c>
      <c r="G176" s="43" t="str">
        <f>_xlfn.XLOOKUP($A176,Map!$A:$A,Map!C:C)</f>
        <v>IS</v>
      </c>
      <c r="H176" s="43" t="str">
        <f>_xlfn.XLOOKUP($A176,Map!$A:$A,Map!D:D)</f>
        <v>Cost of sales</v>
      </c>
      <c r="I176" s="43" t="str">
        <f>_xlfn.XLOOKUP($A176,Map!$A:$A,Map!E:E)</f>
        <v>Overhead - Utility</v>
      </c>
      <c r="J176" s="43" t="str">
        <f>_xlfn.XLOOKUP($A176,Map!$A:$A,Map!F:F)</f>
        <v>Fuel and oil</v>
      </c>
    </row>
    <row r="177" spans="1:10" x14ac:dyDescent="0.25">
      <c r="A177">
        <v>600020</v>
      </c>
      <c r="B177" t="s">
        <v>997</v>
      </c>
      <c r="C177" s="116">
        <v>0</v>
      </c>
      <c r="D177" s="116">
        <v>7249814.5789999999</v>
      </c>
      <c r="E177" s="116">
        <v>23403.323</v>
      </c>
      <c r="F177" s="116">
        <v>7226411.2560000001</v>
      </c>
      <c r="G177" s="43" t="str">
        <f>_xlfn.XLOOKUP($A177,Map!$A:$A,Map!C:C)</f>
        <v>IS</v>
      </c>
      <c r="H177" s="43" t="str">
        <f>_xlfn.XLOOKUP($A177,Map!$A:$A,Map!D:D)</f>
        <v>Cost of sales</v>
      </c>
      <c r="I177" s="43" t="str">
        <f>_xlfn.XLOOKUP($A177,Map!$A:$A,Map!E:E)</f>
        <v>Overhead - R&amp;M</v>
      </c>
      <c r="J177" s="43" t="str">
        <f>_xlfn.XLOOKUP($A177,Map!$A:$A,Map!F:F)</f>
        <v>Machine and equipment</v>
      </c>
    </row>
    <row r="178" spans="1:10" x14ac:dyDescent="0.25">
      <c r="A178">
        <v>600021</v>
      </c>
      <c r="B178" t="s">
        <v>998</v>
      </c>
      <c r="C178" s="116">
        <v>0</v>
      </c>
      <c r="D178" s="116">
        <v>35160.987000000001</v>
      </c>
      <c r="E178" s="116">
        <v>0</v>
      </c>
      <c r="F178" s="116">
        <v>35160.987000000001</v>
      </c>
      <c r="G178" s="43" t="str">
        <f>_xlfn.XLOOKUP($A178,Map!$A:$A,Map!C:C)</f>
        <v>IS</v>
      </c>
      <c r="H178" s="43" t="str">
        <f>_xlfn.XLOOKUP($A178,Map!$A:$A,Map!D:D)</f>
        <v>Cost of sales</v>
      </c>
      <c r="I178" s="43" t="str">
        <f>_xlfn.XLOOKUP($A178,Map!$A:$A,Map!E:E)</f>
        <v>Overhead - R&amp;M</v>
      </c>
      <c r="J178" s="43" t="str">
        <f>_xlfn.XLOOKUP($A178,Map!$A:$A,Map!F:F)</f>
        <v>Vehicle maintenance</v>
      </c>
    </row>
    <row r="179" spans="1:10" x14ac:dyDescent="0.25">
      <c r="A179">
        <v>600022</v>
      </c>
      <c r="B179" t="s">
        <v>999</v>
      </c>
      <c r="C179" s="116">
        <v>0</v>
      </c>
      <c r="D179" s="116">
        <v>2680</v>
      </c>
      <c r="E179" s="116">
        <v>0</v>
      </c>
      <c r="F179" s="116">
        <v>2680</v>
      </c>
      <c r="G179" s="43" t="str">
        <f>_xlfn.XLOOKUP($A179,Map!$A:$A,Map!C:C)</f>
        <v>IS</v>
      </c>
      <c r="H179" s="43" t="str">
        <f>_xlfn.XLOOKUP($A179,Map!$A:$A,Map!D:D)</f>
        <v>Cost of sales</v>
      </c>
      <c r="I179" s="43" t="str">
        <f>_xlfn.XLOOKUP($A179,Map!$A:$A,Map!E:E)</f>
        <v>Overhead - R&amp;M</v>
      </c>
      <c r="J179" s="43" t="str">
        <f>_xlfn.XLOOKUP($A179,Map!$A:$A,Map!F:F)</f>
        <v>Building maintenance</v>
      </c>
    </row>
    <row r="180" spans="1:10" x14ac:dyDescent="0.25">
      <c r="A180">
        <v>600023</v>
      </c>
      <c r="B180" t="s">
        <v>1000</v>
      </c>
      <c r="C180" s="116">
        <v>0</v>
      </c>
      <c r="D180" s="116">
        <v>0</v>
      </c>
      <c r="E180" s="116">
        <v>0</v>
      </c>
      <c r="F180" s="116">
        <v>0</v>
      </c>
      <c r="G180" s="43" t="str">
        <f>_xlfn.XLOOKUP($A180,Map!$A:$A,Map!C:C)</f>
        <v>IS</v>
      </c>
      <c r="H180" s="43" t="str">
        <f>_xlfn.XLOOKUP($A180,Map!$A:$A,Map!D:D)</f>
        <v>Cost of sales</v>
      </c>
      <c r="I180" s="43" t="str">
        <f>_xlfn.XLOOKUP($A180,Map!$A:$A,Map!E:E)</f>
        <v>Overhead - R&amp;M</v>
      </c>
      <c r="J180" s="43" t="str">
        <f>_xlfn.XLOOKUP($A180,Map!$A:$A,Map!F:F)</f>
        <v>Office equipment maintenance</v>
      </c>
    </row>
    <row r="181" spans="1:10" x14ac:dyDescent="0.25">
      <c r="A181">
        <v>600024</v>
      </c>
      <c r="B181" t="s">
        <v>1001</v>
      </c>
      <c r="C181" s="116">
        <v>0</v>
      </c>
      <c r="D181" s="116">
        <v>0</v>
      </c>
      <c r="E181" s="116">
        <v>0</v>
      </c>
      <c r="F181" s="116">
        <v>0</v>
      </c>
      <c r="G181" s="43" t="str">
        <f>_xlfn.XLOOKUP($A181,Map!$A:$A,Map!C:C)</f>
        <v>IS</v>
      </c>
      <c r="H181" s="43" t="str">
        <f>_xlfn.XLOOKUP($A181,Map!$A:$A,Map!D:D)</f>
        <v>Cost of sales</v>
      </c>
      <c r="I181" s="43" t="str">
        <f>_xlfn.XLOOKUP($A181,Map!$A:$A,Map!E:E)</f>
        <v>Overhead - Rent</v>
      </c>
      <c r="J181" s="43" t="str">
        <f>_xlfn.XLOOKUP($A181,Map!$A:$A,Map!F:F)</f>
        <v>Pump rental expenses</v>
      </c>
    </row>
    <row r="182" spans="1:10" x14ac:dyDescent="0.25">
      <c r="A182">
        <v>600025</v>
      </c>
      <c r="B182" t="s">
        <v>1002</v>
      </c>
      <c r="C182" s="116">
        <v>0</v>
      </c>
      <c r="D182" s="116">
        <v>0</v>
      </c>
      <c r="E182" s="116">
        <v>0</v>
      </c>
      <c r="F182" s="116">
        <v>0</v>
      </c>
      <c r="G182" s="43" t="str">
        <f>_xlfn.XLOOKUP($A182,Map!$A:$A,Map!C:C)</f>
        <v>IS</v>
      </c>
      <c r="H182" s="43" t="str">
        <f>_xlfn.XLOOKUP($A182,Map!$A:$A,Map!D:D)</f>
        <v>Cost of sales</v>
      </c>
      <c r="I182" s="43" t="str">
        <f>_xlfn.XLOOKUP($A182,Map!$A:$A,Map!E:E)</f>
        <v>Overhead - Insurance</v>
      </c>
      <c r="J182" s="43" t="str">
        <f>_xlfn.XLOOKUP($A182,Map!$A:$A,Map!F:F)</f>
        <v>Building insurance</v>
      </c>
    </row>
    <row r="183" spans="1:10" x14ac:dyDescent="0.25">
      <c r="A183">
        <v>600026</v>
      </c>
      <c r="B183" t="s">
        <v>1003</v>
      </c>
      <c r="C183" s="116">
        <v>0</v>
      </c>
      <c r="D183" s="116">
        <v>0</v>
      </c>
      <c r="E183" s="116">
        <v>0</v>
      </c>
      <c r="F183" s="116">
        <v>0</v>
      </c>
      <c r="G183" s="43" t="str">
        <f>_xlfn.XLOOKUP($A183,Map!$A:$A,Map!C:C)</f>
        <v>IS</v>
      </c>
      <c r="H183" s="43" t="str">
        <f>_xlfn.XLOOKUP($A183,Map!$A:$A,Map!D:D)</f>
        <v>Cost of sales</v>
      </c>
      <c r="I183" s="43" t="str">
        <f>_xlfn.XLOOKUP($A183,Map!$A:$A,Map!E:E)</f>
        <v>Overhead - Insurance</v>
      </c>
      <c r="J183" s="43" t="str">
        <f>_xlfn.XLOOKUP($A183,Map!$A:$A,Map!F:F)</f>
        <v>Machine and equipment insurance</v>
      </c>
    </row>
    <row r="184" spans="1:10" x14ac:dyDescent="0.25">
      <c r="A184">
        <v>600027</v>
      </c>
      <c r="B184" t="s">
        <v>1004</v>
      </c>
      <c r="C184" s="116">
        <v>0</v>
      </c>
      <c r="D184" s="116">
        <v>0</v>
      </c>
      <c r="E184" s="116">
        <v>0</v>
      </c>
      <c r="F184" s="116">
        <v>0</v>
      </c>
      <c r="G184" s="43" t="str">
        <f>_xlfn.XLOOKUP($A184,Map!$A:$A,Map!C:C)</f>
        <v>IS</v>
      </c>
      <c r="H184" s="43" t="str">
        <f>_xlfn.XLOOKUP($A184,Map!$A:$A,Map!D:D)</f>
        <v>Cost of sales</v>
      </c>
      <c r="I184" s="43" t="str">
        <f>_xlfn.XLOOKUP($A184,Map!$A:$A,Map!E:E)</f>
        <v>Overhead - Rent</v>
      </c>
      <c r="J184" s="43" t="str">
        <f>_xlfn.XLOOKUP($A184,Map!$A:$A,Map!F:F)</f>
        <v>Production hall rental</v>
      </c>
    </row>
    <row r="185" spans="1:10" x14ac:dyDescent="0.25">
      <c r="A185">
        <v>600028</v>
      </c>
      <c r="B185" t="s">
        <v>1005</v>
      </c>
      <c r="C185" s="116">
        <v>0</v>
      </c>
      <c r="D185" s="116">
        <v>0</v>
      </c>
      <c r="E185" s="116">
        <v>0</v>
      </c>
      <c r="F185" s="116">
        <v>0</v>
      </c>
      <c r="G185" s="43" t="str">
        <f>_xlfn.XLOOKUP($A185,Map!$A:$A,Map!C:C)</f>
        <v>IS</v>
      </c>
      <c r="H185" s="43" t="str">
        <f>_xlfn.XLOOKUP($A185,Map!$A:$A,Map!D:D)</f>
        <v>Cost of sales</v>
      </c>
      <c r="I185" s="43" t="str">
        <f>_xlfn.XLOOKUP($A185,Map!$A:$A,Map!E:E)</f>
        <v>Overhead - Consumables &amp; SP</v>
      </c>
      <c r="J185" s="43" t="str">
        <f>_xlfn.XLOOKUP($A185,Map!$A:$A,Map!F:F)</f>
        <v xml:space="preserve">Education &amp; Furniture Allowances </v>
      </c>
    </row>
    <row r="186" spans="1:10" x14ac:dyDescent="0.25">
      <c r="A186">
        <v>600029</v>
      </c>
      <c r="B186" t="s">
        <v>1006</v>
      </c>
      <c r="C186" s="116">
        <v>0</v>
      </c>
      <c r="D186" s="116">
        <v>7355690.534</v>
      </c>
      <c r="E186" s="116">
        <v>0</v>
      </c>
      <c r="F186" s="116">
        <v>7355690.534</v>
      </c>
      <c r="G186" s="43" t="str">
        <f>_xlfn.XLOOKUP($A186,Map!$A:$A,Map!C:C)</f>
        <v>IS</v>
      </c>
      <c r="H186" s="43" t="str">
        <f>_xlfn.XLOOKUP($A186,Map!$A:$A,Map!D:D)</f>
        <v>Cost of sales</v>
      </c>
      <c r="I186" s="43" t="str">
        <f>_xlfn.XLOOKUP($A186,Map!$A:$A,Map!E:E)</f>
        <v>Depreciation - Machines</v>
      </c>
      <c r="J186" s="43" t="str">
        <f>_xlfn.XLOOKUP($A186,Map!$A:$A,Map!F:F)</f>
        <v>Depreciation of property, plant and equipment</v>
      </c>
    </row>
    <row r="187" spans="1:10" x14ac:dyDescent="0.25">
      <c r="A187">
        <v>600030</v>
      </c>
      <c r="B187" t="s">
        <v>1007</v>
      </c>
      <c r="C187" s="116">
        <v>0</v>
      </c>
      <c r="D187" s="116">
        <v>0</v>
      </c>
      <c r="E187" s="116">
        <v>0</v>
      </c>
      <c r="F187" s="116">
        <v>0</v>
      </c>
      <c r="G187" s="43" t="str">
        <f>_xlfn.XLOOKUP($A187,Map!$A:$A,Map!C:C)</f>
        <v>IS</v>
      </c>
      <c r="H187" s="43" t="str">
        <f>_xlfn.XLOOKUP($A187,Map!$A:$A,Map!D:D)</f>
        <v>Depreciation expenses</v>
      </c>
      <c r="I187" s="43" t="str">
        <f>_xlfn.XLOOKUP($A187,Map!$A:$A,Map!E:E)</f>
        <v>Depreciation expenses</v>
      </c>
      <c r="J187" s="43" t="str">
        <f>_xlfn.XLOOKUP($A187,Map!$A:$A,Map!F:F)</f>
        <v>Depreciation of property, plant and equipment</v>
      </c>
    </row>
    <row r="188" spans="1:10" x14ac:dyDescent="0.25">
      <c r="A188">
        <v>600031</v>
      </c>
      <c r="B188" t="s">
        <v>1008</v>
      </c>
      <c r="C188" s="116">
        <v>0</v>
      </c>
      <c r="D188" s="116">
        <v>0</v>
      </c>
      <c r="E188" s="116">
        <v>0</v>
      </c>
      <c r="F188" s="116">
        <v>0</v>
      </c>
      <c r="G188" s="43" t="str">
        <f>_xlfn.XLOOKUP($A188,Map!$A:$A,Map!C:C)</f>
        <v>IS</v>
      </c>
      <c r="H188" s="43" t="str">
        <f>_xlfn.XLOOKUP($A188,Map!$A:$A,Map!D:D)</f>
        <v>Depreciation expenses</v>
      </c>
      <c r="I188" s="43" t="str">
        <f>_xlfn.XLOOKUP($A188,Map!$A:$A,Map!E:E)</f>
        <v>Depreciation expenses</v>
      </c>
      <c r="J188" s="43" t="str">
        <f>_xlfn.XLOOKUP($A188,Map!$A:$A,Map!F:F)</f>
        <v>Depreciation of property, plant and equipment</v>
      </c>
    </row>
    <row r="189" spans="1:10" x14ac:dyDescent="0.25">
      <c r="A189">
        <v>600032</v>
      </c>
      <c r="B189" t="s">
        <v>1009</v>
      </c>
      <c r="C189" s="116">
        <v>0</v>
      </c>
      <c r="D189" s="116">
        <v>1592884.561</v>
      </c>
      <c r="E189" s="116">
        <v>0</v>
      </c>
      <c r="F189" s="116">
        <v>1592884.561</v>
      </c>
      <c r="G189" s="43" t="str">
        <f>_xlfn.XLOOKUP($A189,Map!$A:$A,Map!C:C)</f>
        <v>IS</v>
      </c>
      <c r="H189" s="43" t="str">
        <f>_xlfn.XLOOKUP($A189,Map!$A:$A,Map!D:D)</f>
        <v>Depreciation expenses</v>
      </c>
      <c r="I189" s="43" t="str">
        <f>_xlfn.XLOOKUP($A189,Map!$A:$A,Map!E:E)</f>
        <v>Depreciation expenses</v>
      </c>
      <c r="J189" s="43" t="str">
        <f>_xlfn.XLOOKUP($A189,Map!$A:$A,Map!F:F)</f>
        <v>Depreciation of property, plant and equipment</v>
      </c>
    </row>
    <row r="190" spans="1:10" x14ac:dyDescent="0.25">
      <c r="A190">
        <v>600033</v>
      </c>
      <c r="B190" t="s">
        <v>1010</v>
      </c>
      <c r="C190" s="116">
        <v>0</v>
      </c>
      <c r="D190" s="116">
        <v>309351.69799999997</v>
      </c>
      <c r="E190" s="116">
        <v>0</v>
      </c>
      <c r="F190" s="116">
        <v>309351.69799999997</v>
      </c>
      <c r="G190" s="43" t="str">
        <f>_xlfn.XLOOKUP($A190,Map!$A:$A,Map!C:C)</f>
        <v>IS</v>
      </c>
      <c r="H190" s="43" t="str">
        <f>_xlfn.XLOOKUP($A190,Map!$A:$A,Map!D:D)</f>
        <v>Depreciation expenses</v>
      </c>
      <c r="I190" s="43" t="str">
        <f>_xlfn.XLOOKUP($A190,Map!$A:$A,Map!E:E)</f>
        <v>Depreciation expenses</v>
      </c>
      <c r="J190" s="43" t="str">
        <f>_xlfn.XLOOKUP($A190,Map!$A:$A,Map!F:F)</f>
        <v>Depreciation of property, plant and equipment</v>
      </c>
    </row>
    <row r="191" spans="1:10" x14ac:dyDescent="0.25">
      <c r="A191">
        <v>600034</v>
      </c>
      <c r="B191" t="s">
        <v>1011</v>
      </c>
      <c r="C191" s="116">
        <v>0</v>
      </c>
      <c r="D191" s="116">
        <v>0</v>
      </c>
      <c r="E191" s="116">
        <v>0</v>
      </c>
      <c r="F191" s="116">
        <v>0</v>
      </c>
      <c r="G191" s="43" t="str">
        <f>_xlfn.XLOOKUP($A191,Map!$A:$A,Map!C:C)</f>
        <v>IS</v>
      </c>
      <c r="H191" s="43" t="str">
        <f>_xlfn.XLOOKUP($A191,Map!$A:$A,Map!D:D)</f>
        <v>Cost of sales</v>
      </c>
      <c r="I191" s="43" t="str">
        <f>_xlfn.XLOOKUP($A191,Map!$A:$A,Map!E:E)</f>
        <v>Overhead - Rent Labor</v>
      </c>
      <c r="J191" s="43" t="str">
        <f>_xlfn.XLOOKUP($A191,Map!$A:$A,Map!F:F)</f>
        <v>Rental labor</v>
      </c>
    </row>
    <row r="192" spans="1:10" x14ac:dyDescent="0.25">
      <c r="A192">
        <v>600035</v>
      </c>
      <c r="B192" t="s">
        <v>1012</v>
      </c>
      <c r="C192" s="116">
        <v>0</v>
      </c>
      <c r="D192" s="116">
        <v>3437341.3879999998</v>
      </c>
      <c r="E192" s="116">
        <v>107987.76300000001</v>
      </c>
      <c r="F192" s="116">
        <v>3329353.625</v>
      </c>
      <c r="G192" s="43" t="str">
        <f>_xlfn.XLOOKUP($A192,Map!$A:$A,Map!C:C)</f>
        <v>IS</v>
      </c>
      <c r="H192" s="43" t="str">
        <f>_xlfn.XLOOKUP($A192,Map!$A:$A,Map!D:D)</f>
        <v>Cost of sales</v>
      </c>
      <c r="I192" s="43" t="str">
        <f>_xlfn.XLOOKUP($A192,Map!$A:$A,Map!E:E)</f>
        <v>Overhead - Labor Cost</v>
      </c>
      <c r="J192" s="43" t="str">
        <f>_xlfn.XLOOKUP($A192,Map!$A:$A,Map!F:F)</f>
        <v>Indirect Salaries — factory supervisory / indirect floor labour (COGS)</v>
      </c>
    </row>
    <row r="193" spans="1:10" x14ac:dyDescent="0.25">
      <c r="A193">
        <v>600036</v>
      </c>
      <c r="B193" t="s">
        <v>1013</v>
      </c>
      <c r="C193" s="116">
        <v>0</v>
      </c>
      <c r="D193" s="116">
        <v>1641.952</v>
      </c>
      <c r="E193" s="116">
        <v>0</v>
      </c>
      <c r="F193" s="116">
        <v>1641.952</v>
      </c>
      <c r="G193" s="43" t="str">
        <f>_xlfn.XLOOKUP($A193,Map!$A:$A,Map!C:C)</f>
        <v>IS</v>
      </c>
      <c r="H193" s="43" t="str">
        <f>_xlfn.XLOOKUP($A193,Map!$A:$A,Map!D:D)</f>
        <v>Cost of sales</v>
      </c>
      <c r="I193" s="43" t="str">
        <f>_xlfn.XLOOKUP($A193,Map!$A:$A,Map!E:E)</f>
        <v>Overhead - Consumables &amp; SP</v>
      </c>
      <c r="J193" s="43" t="str">
        <f>_xlfn.XLOOKUP($A193,Map!$A:$A,Map!F:F)</f>
        <v>Inspection expenses</v>
      </c>
    </row>
    <row r="194" spans="1:10" x14ac:dyDescent="0.25">
      <c r="A194">
        <v>600060</v>
      </c>
      <c r="B194" t="s">
        <v>1022</v>
      </c>
      <c r="C194" s="116">
        <v>0</v>
      </c>
      <c r="D194" s="116">
        <v>1562.5</v>
      </c>
      <c r="E194" s="116">
        <v>194600</v>
      </c>
      <c r="F194" s="116">
        <v>-193037.5</v>
      </c>
      <c r="G194" s="43" t="str">
        <f>_xlfn.XLOOKUP($A194,Map!$A:$A,Map!C:C)</f>
        <v>IS</v>
      </c>
      <c r="H194" s="43" t="str">
        <f>_xlfn.XLOOKUP($A194,Map!$A:$A,Map!D:D)</f>
        <v>Other Income</v>
      </c>
      <c r="I194" s="43" t="str">
        <f>_xlfn.XLOOKUP($A194,Map!$A:$A,Map!E:E)</f>
        <v>Other Income</v>
      </c>
      <c r="J194" s="43" t="str">
        <f>_xlfn.XLOOKUP($A194,Map!$A:$A,Map!F:F)</f>
        <v>Hadaf program</v>
      </c>
    </row>
    <row r="195" spans="1:10" x14ac:dyDescent="0.25">
      <c r="A195">
        <v>700001</v>
      </c>
      <c r="B195" t="s">
        <v>1023</v>
      </c>
      <c r="C195" s="116">
        <v>0</v>
      </c>
      <c r="D195" s="116">
        <v>6662751.4800000004</v>
      </c>
      <c r="E195" s="116">
        <v>140194.72</v>
      </c>
      <c r="F195" s="116">
        <v>6522556.7599999998</v>
      </c>
      <c r="G195" s="43" t="str">
        <f>_xlfn.XLOOKUP($A195,Map!$A:$A,Map!C:C)</f>
        <v>IS</v>
      </c>
      <c r="H195" s="43" t="str">
        <f>_xlfn.XLOOKUP($A195,Map!$A:$A,Map!D:D)</f>
        <v>General and Admin</v>
      </c>
      <c r="I195" s="43" t="str">
        <f>_xlfn.XLOOKUP($A195,Map!$A:$A,Map!E:E)</f>
        <v>Salaries and wages</v>
      </c>
      <c r="J195" s="43" t="str">
        <f>_xlfn.XLOOKUP($A195,Map!$A:$A,Map!F:F)</f>
        <v>Salaries and wages</v>
      </c>
    </row>
    <row r="196" spans="1:10" x14ac:dyDescent="0.25">
      <c r="A196">
        <v>700002</v>
      </c>
      <c r="B196" t="s">
        <v>1024</v>
      </c>
      <c r="C196" s="116">
        <v>0</v>
      </c>
      <c r="D196" s="116">
        <v>736569.19</v>
      </c>
      <c r="E196" s="116">
        <v>62754</v>
      </c>
      <c r="F196" s="116">
        <v>673815.19</v>
      </c>
      <c r="G196" s="43" t="str">
        <f>_xlfn.XLOOKUP($A196,Map!$A:$A,Map!C:C)</f>
        <v>IS</v>
      </c>
      <c r="H196" s="43" t="str">
        <f>_xlfn.XLOOKUP($A196,Map!$A:$A,Map!D:D)</f>
        <v>General and Admin</v>
      </c>
      <c r="I196" s="43" t="str">
        <f>_xlfn.XLOOKUP($A196,Map!$A:$A,Map!E:E)</f>
        <v>Salaries and wages</v>
      </c>
      <c r="J196" s="43" t="str">
        <f>_xlfn.XLOOKUP($A196,Map!$A:$A,Map!F:F)</f>
        <v>Overtime pay</v>
      </c>
    </row>
    <row r="197" spans="1:10" x14ac:dyDescent="0.25">
      <c r="A197">
        <v>700003</v>
      </c>
      <c r="B197" t="s">
        <v>1152</v>
      </c>
      <c r="C197" s="116">
        <v>0</v>
      </c>
      <c r="D197" s="116">
        <v>236259.44099999999</v>
      </c>
      <c r="E197" s="116">
        <v>5000</v>
      </c>
      <c r="F197" s="116">
        <v>231259.44099999999</v>
      </c>
      <c r="G197" s="43" t="str">
        <f>_xlfn.XLOOKUP($A197,Map!$A:$A,Map!C:C)</f>
        <v>IS</v>
      </c>
      <c r="H197" s="43" t="str">
        <f>_xlfn.XLOOKUP($A197,Map!$A:$A,Map!D:D)</f>
        <v>General and Admin</v>
      </c>
      <c r="I197" s="43" t="str">
        <f>_xlfn.XLOOKUP($A197,Map!$A:$A,Map!E:E)</f>
        <v>Salaries and wages</v>
      </c>
      <c r="J197" s="43" t="str">
        <f>_xlfn.XLOOKUP($A197,Map!$A:$A,Map!F:F)</f>
        <v xml:space="preserve">Food &amp; Housing </v>
      </c>
    </row>
    <row r="198" spans="1:10" x14ac:dyDescent="0.25">
      <c r="A198">
        <v>700004</v>
      </c>
      <c r="B198" t="s">
        <v>1026</v>
      </c>
      <c r="C198" s="116">
        <v>0</v>
      </c>
      <c r="D198" s="116">
        <v>500702.49300000002</v>
      </c>
      <c r="E198" s="116">
        <v>13334.043</v>
      </c>
      <c r="F198" s="116">
        <v>487368.45</v>
      </c>
      <c r="G198" s="43" t="str">
        <f>_xlfn.XLOOKUP($A198,Map!$A:$A,Map!C:C)</f>
        <v>IS</v>
      </c>
      <c r="H198" s="43" t="str">
        <f>_xlfn.XLOOKUP($A198,Map!$A:$A,Map!D:D)</f>
        <v>General and Admin</v>
      </c>
      <c r="I198" s="43" t="str">
        <f>_xlfn.XLOOKUP($A198,Map!$A:$A,Map!E:E)</f>
        <v>Salaries and wages</v>
      </c>
      <c r="J198" s="43" t="str">
        <f>_xlfn.XLOOKUP($A198,Map!$A:$A,Map!F:F)</f>
        <v>Medical insurance</v>
      </c>
    </row>
    <row r="199" spans="1:10" x14ac:dyDescent="0.25">
      <c r="A199">
        <v>700005</v>
      </c>
      <c r="B199" t="s">
        <v>1027</v>
      </c>
      <c r="C199" s="116">
        <v>0</v>
      </c>
      <c r="D199" s="116">
        <v>763967.57</v>
      </c>
      <c r="E199" s="116">
        <v>55811.684999999998</v>
      </c>
      <c r="F199" s="116">
        <v>708155.88500000001</v>
      </c>
      <c r="G199" s="43" t="str">
        <f>_xlfn.XLOOKUP($A199,Map!$A:$A,Map!C:C)</f>
        <v>IS</v>
      </c>
      <c r="H199" s="43" t="str">
        <f>_xlfn.XLOOKUP($A199,Map!$A:$A,Map!D:D)</f>
        <v>General and Admin</v>
      </c>
      <c r="I199" s="43" t="str">
        <f>_xlfn.XLOOKUP($A199,Map!$A:$A,Map!E:E)</f>
        <v>Govt license and fees (including modon)</v>
      </c>
      <c r="J199" s="43" t="str">
        <f>_xlfn.XLOOKUP($A199,Map!$A:$A,Map!F:F)</f>
        <v>Government fees</v>
      </c>
    </row>
    <row r="200" spans="1:10" x14ac:dyDescent="0.25">
      <c r="A200">
        <v>700006</v>
      </c>
      <c r="B200" t="s">
        <v>1028</v>
      </c>
      <c r="C200" s="116">
        <v>0</v>
      </c>
      <c r="D200" s="116">
        <v>1584537.7620000001</v>
      </c>
      <c r="E200" s="116">
        <v>10786.841</v>
      </c>
      <c r="F200" s="116">
        <v>1573750.9210000001</v>
      </c>
      <c r="G200" s="43" t="str">
        <f>_xlfn.XLOOKUP($A200,Map!$A:$A,Map!C:C)</f>
        <v>IS</v>
      </c>
      <c r="H200" s="43" t="str">
        <f>_xlfn.XLOOKUP($A200,Map!$A:$A,Map!D:D)</f>
        <v>General and Admin</v>
      </c>
      <c r="I200" s="43" t="str">
        <f>_xlfn.XLOOKUP($A200,Map!$A:$A,Map!E:E)</f>
        <v>Salaries and wages</v>
      </c>
      <c r="J200" s="43" t="str">
        <f>_xlfn.XLOOKUP($A200,Map!$A:$A,Map!F:F)</f>
        <v xml:space="preserve">Food &amp; Housing </v>
      </c>
    </row>
    <row r="201" spans="1:10" x14ac:dyDescent="0.25">
      <c r="A201">
        <v>700007</v>
      </c>
      <c r="B201" t="s">
        <v>1029</v>
      </c>
      <c r="C201" s="116">
        <v>0</v>
      </c>
      <c r="D201" s="116">
        <v>625520.65</v>
      </c>
      <c r="E201" s="116">
        <v>1976</v>
      </c>
      <c r="F201" s="116">
        <v>623544.65</v>
      </c>
      <c r="G201" s="43" t="str">
        <f>_xlfn.XLOOKUP($A201,Map!$A:$A,Map!C:C)</f>
        <v>IS</v>
      </c>
      <c r="H201" s="43" t="str">
        <f>_xlfn.XLOOKUP($A201,Map!$A:$A,Map!D:D)</f>
        <v>General and Admin</v>
      </c>
      <c r="I201" s="43" t="str">
        <f>_xlfn.XLOOKUP($A201,Map!$A:$A,Map!E:E)</f>
        <v>Salaries and wages</v>
      </c>
      <c r="J201" s="43" t="str">
        <f>_xlfn.XLOOKUP($A201,Map!$A:$A,Map!F:F)</f>
        <v>Transportation allowance</v>
      </c>
    </row>
    <row r="202" spans="1:10" x14ac:dyDescent="0.25">
      <c r="A202">
        <v>700008</v>
      </c>
      <c r="B202" t="s">
        <v>1030</v>
      </c>
      <c r="C202" s="116">
        <v>0</v>
      </c>
      <c r="D202" s="116">
        <v>591129.68999999994</v>
      </c>
      <c r="E202" s="116">
        <v>85455.225000000006</v>
      </c>
      <c r="F202" s="116">
        <v>505674.46500000003</v>
      </c>
      <c r="G202" s="43" t="str">
        <f>_xlfn.XLOOKUP($A202,Map!$A:$A,Map!C:C)</f>
        <v>IS</v>
      </c>
      <c r="H202" s="43" t="str">
        <f>_xlfn.XLOOKUP($A202,Map!$A:$A,Map!D:D)</f>
        <v>General and Admin</v>
      </c>
      <c r="I202" s="43" t="str">
        <f>_xlfn.XLOOKUP($A202,Map!$A:$A,Map!E:E)</f>
        <v>Salaries and wages</v>
      </c>
      <c r="J202" s="43" t="str">
        <f>_xlfn.XLOOKUP($A202,Map!$A:$A,Map!F:F)</f>
        <v>Air tickets</v>
      </c>
    </row>
    <row r="203" spans="1:10" x14ac:dyDescent="0.25">
      <c r="A203">
        <v>700009</v>
      </c>
      <c r="B203" t="s">
        <v>1031</v>
      </c>
      <c r="C203" s="116">
        <v>0</v>
      </c>
      <c r="D203" s="116">
        <v>514049.821</v>
      </c>
      <c r="E203" s="116">
        <v>30175.45</v>
      </c>
      <c r="F203" s="116">
        <v>483874.37099999998</v>
      </c>
      <c r="G203" s="43" t="str">
        <f>_xlfn.XLOOKUP($A203,Map!$A:$A,Map!C:C)</f>
        <v>IS</v>
      </c>
      <c r="H203" s="43" t="str">
        <f>_xlfn.XLOOKUP($A203,Map!$A:$A,Map!D:D)</f>
        <v>General and Admin</v>
      </c>
      <c r="I203" s="43" t="str">
        <f>_xlfn.XLOOKUP($A203,Map!$A:$A,Map!E:E)</f>
        <v>Salaries and wages</v>
      </c>
      <c r="J203" s="43" t="str">
        <f>_xlfn.XLOOKUP($A203,Map!$A:$A,Map!F:F)</f>
        <v>Leave pay</v>
      </c>
    </row>
    <row r="204" spans="1:10" x14ac:dyDescent="0.25">
      <c r="A204">
        <v>700010</v>
      </c>
      <c r="B204" t="s">
        <v>1032</v>
      </c>
      <c r="C204" s="116">
        <v>0</v>
      </c>
      <c r="D204" s="116">
        <v>1308000</v>
      </c>
      <c r="E204" s="116">
        <v>0</v>
      </c>
      <c r="F204" s="116">
        <v>1308000</v>
      </c>
      <c r="G204" s="43" t="str">
        <f>_xlfn.XLOOKUP($A204,Map!$A:$A,Map!C:C)</f>
        <v>IS</v>
      </c>
      <c r="H204" s="43" t="str">
        <f>_xlfn.XLOOKUP($A204,Map!$A:$A,Map!D:D)</f>
        <v>General and Admin</v>
      </c>
      <c r="I204" s="43" t="str">
        <f>_xlfn.XLOOKUP($A204,Map!$A:$A,Map!E:E)</f>
        <v>Salaries and wages</v>
      </c>
      <c r="J204" s="43" t="str">
        <f>_xlfn.XLOOKUP($A204,Map!$A:$A,Map!F:F)</f>
        <v>Indemnities</v>
      </c>
    </row>
    <row r="205" spans="1:10" x14ac:dyDescent="0.25">
      <c r="A205">
        <v>700011</v>
      </c>
      <c r="B205" t="s">
        <v>1033</v>
      </c>
      <c r="C205" s="116">
        <v>0</v>
      </c>
      <c r="D205" s="116">
        <v>25367.69</v>
      </c>
      <c r="E205" s="116">
        <v>355</v>
      </c>
      <c r="F205" s="116">
        <v>25012.69</v>
      </c>
      <c r="G205" s="43" t="str">
        <f>_xlfn.XLOOKUP($A205,Map!$A:$A,Map!C:C)</f>
        <v>IS</v>
      </c>
      <c r="H205" s="43" t="str">
        <f>_xlfn.XLOOKUP($A205,Map!$A:$A,Map!D:D)</f>
        <v>General and Admin</v>
      </c>
      <c r="I205" s="43" t="str">
        <f>_xlfn.XLOOKUP($A205,Map!$A:$A,Map!E:E)</f>
        <v>Salaries and wages</v>
      </c>
      <c r="J205" s="43" t="str">
        <f>_xlfn.XLOOKUP($A205,Map!$A:$A,Map!F:F)</f>
        <v>Air tickets</v>
      </c>
    </row>
    <row r="206" spans="1:10" x14ac:dyDescent="0.25">
      <c r="A206">
        <v>700012</v>
      </c>
      <c r="B206" t="s">
        <v>1034</v>
      </c>
      <c r="C206" s="116">
        <v>0</v>
      </c>
      <c r="D206" s="116">
        <v>184835.24</v>
      </c>
      <c r="E206" s="116">
        <v>917</v>
      </c>
      <c r="F206" s="116">
        <v>183918.24</v>
      </c>
      <c r="G206" s="43" t="str">
        <f>_xlfn.XLOOKUP($A206,Map!$A:$A,Map!C:C)</f>
        <v>IS</v>
      </c>
      <c r="H206" s="43" t="str">
        <f>_xlfn.XLOOKUP($A206,Map!$A:$A,Map!D:D)</f>
        <v>General and Admin</v>
      </c>
      <c r="I206" s="43" t="str">
        <f>_xlfn.XLOOKUP($A206,Map!$A:$A,Map!E:E)</f>
        <v>Salaries and wages</v>
      </c>
      <c r="J206" s="43" t="str">
        <f>_xlfn.XLOOKUP($A206,Map!$A:$A,Map!F:F)</f>
        <v xml:space="preserve">Education &amp; Furniture Allowances </v>
      </c>
    </row>
    <row r="207" spans="1:10" x14ac:dyDescent="0.25">
      <c r="A207">
        <v>700013</v>
      </c>
      <c r="B207" t="s">
        <v>1035</v>
      </c>
      <c r="C207" s="116">
        <v>0</v>
      </c>
      <c r="D207" s="116">
        <v>110400</v>
      </c>
      <c r="E207" s="116">
        <v>0</v>
      </c>
      <c r="F207" s="116">
        <v>110400</v>
      </c>
      <c r="G207" s="43" t="str">
        <f>_xlfn.XLOOKUP($A207,Map!$A:$A,Map!C:C)</f>
        <v>IS</v>
      </c>
      <c r="H207" s="43" t="str">
        <f>_xlfn.XLOOKUP($A207,Map!$A:$A,Map!D:D)</f>
        <v>General and Admin</v>
      </c>
      <c r="I207" s="43" t="str">
        <f>_xlfn.XLOOKUP($A207,Map!$A:$A,Map!E:E)</f>
        <v>Utilities</v>
      </c>
      <c r="J207" s="43" t="str">
        <f>_xlfn.XLOOKUP($A207,Map!$A:$A,Map!F:F)</f>
        <v>Other general and administrative expenses</v>
      </c>
    </row>
    <row r="208" spans="1:10" x14ac:dyDescent="0.25">
      <c r="A208">
        <v>700014</v>
      </c>
      <c r="B208" t="s">
        <v>1036</v>
      </c>
      <c r="C208" s="116">
        <v>0</v>
      </c>
      <c r="D208" s="116">
        <v>0</v>
      </c>
      <c r="E208" s="116">
        <v>0</v>
      </c>
      <c r="F208" s="116">
        <v>0</v>
      </c>
      <c r="G208" s="43" t="str">
        <f>_xlfn.XLOOKUP($A208,Map!$A:$A,Map!C:C)</f>
        <v>IS</v>
      </c>
      <c r="H208" s="43" t="str">
        <f>_xlfn.XLOOKUP($A208,Map!$A:$A,Map!D:D)</f>
        <v>General and Admin</v>
      </c>
      <c r="I208" s="43" t="str">
        <f>_xlfn.XLOOKUP($A208,Map!$A:$A,Map!E:E)</f>
        <v>Salaries and wages</v>
      </c>
      <c r="J208" s="43" t="str">
        <f>_xlfn.XLOOKUP($A208,Map!$A:$A,Map!F:F)</f>
        <v xml:space="preserve">Education &amp; Furniture Allowances </v>
      </c>
    </row>
    <row r="209" spans="1:10" x14ac:dyDescent="0.25">
      <c r="A209">
        <v>700015</v>
      </c>
      <c r="B209" t="s">
        <v>1037</v>
      </c>
      <c r="C209" s="116">
        <v>0</v>
      </c>
      <c r="D209" s="116">
        <v>41145.879999999997</v>
      </c>
      <c r="E209" s="116">
        <v>2600.002</v>
      </c>
      <c r="F209" s="116">
        <v>38545.877999999997</v>
      </c>
      <c r="G209" s="43" t="str">
        <f>_xlfn.XLOOKUP($A209,Map!$A:$A,Map!C:C)</f>
        <v>IS</v>
      </c>
      <c r="H209" s="43" t="str">
        <f>_xlfn.XLOOKUP($A209,Map!$A:$A,Map!D:D)</f>
        <v>General and Admin</v>
      </c>
      <c r="I209" s="43" t="str">
        <f>_xlfn.XLOOKUP($A209,Map!$A:$A,Map!E:E)</f>
        <v>Business travel</v>
      </c>
      <c r="J209" s="43" t="str">
        <f>_xlfn.XLOOKUP($A209,Map!$A:$A,Map!F:F)</f>
        <v>Transportation expenses</v>
      </c>
    </row>
    <row r="210" spans="1:10" x14ac:dyDescent="0.25">
      <c r="A210">
        <v>700016</v>
      </c>
      <c r="B210" t="s">
        <v>1038</v>
      </c>
      <c r="C210" s="116">
        <v>0</v>
      </c>
      <c r="D210" s="116">
        <v>259608.01</v>
      </c>
      <c r="E210" s="116">
        <v>379.6</v>
      </c>
      <c r="F210" s="116">
        <v>259228.41</v>
      </c>
      <c r="G210" s="43" t="str">
        <f>_xlfn.XLOOKUP($A210,Map!$A:$A,Map!C:C)</f>
        <v>IS</v>
      </c>
      <c r="H210" s="43" t="str">
        <f>_xlfn.XLOOKUP($A210,Map!$A:$A,Map!D:D)</f>
        <v>Selling and Marketing</v>
      </c>
      <c r="I210" s="43" t="str">
        <f>_xlfn.XLOOKUP($A210,Map!$A:$A,Map!E:E)</f>
        <v>Buffet expenses</v>
      </c>
      <c r="J210" s="43" t="str">
        <f>_xlfn.XLOOKUP($A210,Map!$A:$A,Map!F:F)</f>
        <v>Food expenses</v>
      </c>
    </row>
    <row r="211" spans="1:10" x14ac:dyDescent="0.25">
      <c r="A211">
        <v>700017</v>
      </c>
      <c r="B211" t="s">
        <v>1039</v>
      </c>
      <c r="C211" s="116">
        <v>0</v>
      </c>
      <c r="D211" s="116">
        <v>0</v>
      </c>
      <c r="E211" s="116">
        <v>0</v>
      </c>
      <c r="F211" s="116">
        <v>0</v>
      </c>
      <c r="G211" s="43" t="str">
        <f>_xlfn.XLOOKUP($A211,Map!$A:$A,Map!C:C)</f>
        <v>IS</v>
      </c>
      <c r="H211" s="43" t="str">
        <f>_xlfn.XLOOKUP($A211,Map!$A:$A,Map!D:D)</f>
        <v>General and Admin</v>
      </c>
      <c r="I211" s="43" t="str">
        <f>_xlfn.XLOOKUP($A211,Map!$A:$A,Map!E:E)</f>
        <v>Salaries and wages</v>
      </c>
      <c r="J211" s="43" t="str">
        <f>_xlfn.XLOOKUP($A211,Map!$A:$A,Map!F:F)</f>
        <v>Accommodation expenses</v>
      </c>
    </row>
    <row r="212" spans="1:10" x14ac:dyDescent="0.25">
      <c r="A212">
        <v>700018</v>
      </c>
      <c r="B212" t="s">
        <v>1040</v>
      </c>
      <c r="C212" s="116">
        <v>0</v>
      </c>
      <c r="D212" s="116">
        <v>1255.05</v>
      </c>
      <c r="E212" s="116">
        <v>0</v>
      </c>
      <c r="F212" s="116">
        <v>1255.05</v>
      </c>
      <c r="G212" s="43" t="str">
        <f>_xlfn.XLOOKUP($A212,Map!$A:$A,Map!C:C)</f>
        <v>IS</v>
      </c>
      <c r="H212" s="43" t="str">
        <f>_xlfn.XLOOKUP($A212,Map!$A:$A,Map!D:D)</f>
        <v>General and Admin</v>
      </c>
      <c r="I212" s="43" t="str">
        <f>_xlfn.XLOOKUP($A212,Map!$A:$A,Map!E:E)</f>
        <v>Salaries and wages</v>
      </c>
      <c r="J212" s="43" t="str">
        <f>_xlfn.XLOOKUP($A212,Map!$A:$A,Map!F:F)</f>
        <v xml:space="preserve">Employee Medical Emergency Expenses </v>
      </c>
    </row>
    <row r="213" spans="1:10" x14ac:dyDescent="0.25">
      <c r="A213">
        <v>700019</v>
      </c>
      <c r="B213" t="s">
        <v>1041</v>
      </c>
      <c r="C213" s="116">
        <v>0</v>
      </c>
      <c r="D213" s="116">
        <v>874451.5</v>
      </c>
      <c r="E213" s="116">
        <v>6000</v>
      </c>
      <c r="F213" s="116">
        <v>868451.5</v>
      </c>
      <c r="G213" s="43" t="str">
        <f>_xlfn.XLOOKUP($A213,Map!$A:$A,Map!C:C)</f>
        <v>IS</v>
      </c>
      <c r="H213" s="43" t="str">
        <f>_xlfn.XLOOKUP($A213,Map!$A:$A,Map!D:D)</f>
        <v>General and Admin</v>
      </c>
      <c r="I213" s="43" t="str">
        <f>_xlfn.XLOOKUP($A213,Map!$A:$A,Map!E:E)</f>
        <v>Salaries and wages</v>
      </c>
      <c r="J213" s="43" t="str">
        <f>_xlfn.XLOOKUP($A213,Map!$A:$A,Map!F:F)</f>
        <v xml:space="preserve">Incentives </v>
      </c>
    </row>
    <row r="214" spans="1:10" x14ac:dyDescent="0.25">
      <c r="A214">
        <v>700020</v>
      </c>
      <c r="B214" t="s">
        <v>1042</v>
      </c>
      <c r="C214" s="116">
        <v>0</v>
      </c>
      <c r="D214" s="116">
        <v>20349.579000000002</v>
      </c>
      <c r="E214" s="116">
        <v>1915.8030000000001</v>
      </c>
      <c r="F214" s="116">
        <v>18433.776000000002</v>
      </c>
      <c r="G214" s="43" t="str">
        <f>_xlfn.XLOOKUP($A214,Map!$A:$A,Map!C:C)</f>
        <v>IS</v>
      </c>
      <c r="H214" s="43" t="str">
        <f>_xlfn.XLOOKUP($A214,Map!$A:$A,Map!D:D)</f>
        <v>General and Admin</v>
      </c>
      <c r="I214" s="43" t="str">
        <f>_xlfn.XLOOKUP($A214,Map!$A:$A,Map!E:E)</f>
        <v>Utilities</v>
      </c>
      <c r="J214" s="43" t="str">
        <f>_xlfn.XLOOKUP($A214,Map!$A:$A,Map!F:F)</f>
        <v>Electricity expenses</v>
      </c>
    </row>
    <row r="215" spans="1:10" x14ac:dyDescent="0.25">
      <c r="A215">
        <v>700021</v>
      </c>
      <c r="B215" t="s">
        <v>1043</v>
      </c>
      <c r="C215" s="116">
        <v>0</v>
      </c>
      <c r="D215" s="116">
        <v>35861.01</v>
      </c>
      <c r="E215" s="116">
        <v>0</v>
      </c>
      <c r="F215" s="116">
        <v>35861.01</v>
      </c>
      <c r="G215" s="43" t="str">
        <f>_xlfn.XLOOKUP($A215,Map!$A:$A,Map!C:C)</f>
        <v>IS</v>
      </c>
      <c r="H215" s="43" t="str">
        <f>_xlfn.XLOOKUP($A215,Map!$A:$A,Map!D:D)</f>
        <v>General and Admin</v>
      </c>
      <c r="I215" s="43" t="str">
        <f>_xlfn.XLOOKUP($A215,Map!$A:$A,Map!E:E)</f>
        <v>Utilities</v>
      </c>
      <c r="J215" s="43" t="str">
        <f>_xlfn.XLOOKUP($A215,Map!$A:$A,Map!F:F)</f>
        <v>Other general and administrative expenses</v>
      </c>
    </row>
    <row r="216" spans="1:10" x14ac:dyDescent="0.25">
      <c r="A216">
        <v>700022</v>
      </c>
      <c r="B216" t="s">
        <v>1044</v>
      </c>
      <c r="C216" s="116">
        <v>0</v>
      </c>
      <c r="D216" s="116">
        <v>92245.43</v>
      </c>
      <c r="E216" s="116">
        <v>6781.17</v>
      </c>
      <c r="F216" s="116">
        <v>85464.26</v>
      </c>
      <c r="G216" s="43" t="str">
        <f>_xlfn.XLOOKUP($A216,Map!$A:$A,Map!C:C)</f>
        <v>IS</v>
      </c>
      <c r="H216" s="43" t="str">
        <f>_xlfn.XLOOKUP($A216,Map!$A:$A,Map!D:D)</f>
        <v>General and Admin</v>
      </c>
      <c r="I216" s="43" t="str">
        <f>_xlfn.XLOOKUP($A216,Map!$A:$A,Map!E:E)</f>
        <v>Utilities</v>
      </c>
      <c r="J216" s="43" t="str">
        <f>_xlfn.XLOOKUP($A216,Map!$A:$A,Map!F:F)</f>
        <v>Other general and administrative expenses</v>
      </c>
    </row>
    <row r="217" spans="1:10" x14ac:dyDescent="0.25">
      <c r="A217">
        <v>700023</v>
      </c>
      <c r="B217" t="s">
        <v>1045</v>
      </c>
      <c r="C217" s="116">
        <v>0</v>
      </c>
      <c r="D217" s="116">
        <v>44256.08</v>
      </c>
      <c r="E217" s="116">
        <v>5.0000000000000001E-3</v>
      </c>
      <c r="F217" s="116">
        <v>44256.074999999997</v>
      </c>
      <c r="G217" s="43" t="str">
        <f>_xlfn.XLOOKUP($A217,Map!$A:$A,Map!C:C)</f>
        <v>IS</v>
      </c>
      <c r="H217" s="43" t="str">
        <f>_xlfn.XLOOKUP($A217,Map!$A:$A,Map!D:D)</f>
        <v>General and Admin</v>
      </c>
      <c r="I217" s="43" t="str">
        <f>_xlfn.XLOOKUP($A217,Map!$A:$A,Map!E:E)</f>
        <v>Utilities</v>
      </c>
      <c r="J217" s="43" t="str">
        <f>_xlfn.XLOOKUP($A217,Map!$A:$A,Map!F:F)</f>
        <v xml:space="preserve">Postage &amp; Printing </v>
      </c>
    </row>
    <row r="218" spans="1:10" x14ac:dyDescent="0.25">
      <c r="A218">
        <v>700024</v>
      </c>
      <c r="B218" t="s">
        <v>1046</v>
      </c>
      <c r="C218" s="116">
        <v>0</v>
      </c>
      <c r="D218" s="116">
        <v>784283.98</v>
      </c>
      <c r="E218" s="116">
        <v>77741.69</v>
      </c>
      <c r="F218" s="116">
        <v>706542.29</v>
      </c>
      <c r="G218" s="43" t="str">
        <f>_xlfn.XLOOKUP($A218,Map!$A:$A,Map!C:C)</f>
        <v>IS</v>
      </c>
      <c r="H218" s="43" t="str">
        <f>_xlfn.XLOOKUP($A218,Map!$A:$A,Map!D:D)</f>
        <v>General and Admin</v>
      </c>
      <c r="I218" s="43" t="str">
        <f>_xlfn.XLOOKUP($A218,Map!$A:$A,Map!E:E)</f>
        <v>IT expenses</v>
      </c>
      <c r="J218" s="43" t="str">
        <f>_xlfn.XLOOKUP($A218,Map!$A:$A,Map!F:F)</f>
        <v>Other general and administrative expenses</v>
      </c>
    </row>
    <row r="219" spans="1:10" x14ac:dyDescent="0.25">
      <c r="A219">
        <v>700025</v>
      </c>
      <c r="B219" t="s">
        <v>1047</v>
      </c>
      <c r="C219" s="116">
        <v>0</v>
      </c>
      <c r="D219" s="116">
        <v>4560559.1310000001</v>
      </c>
      <c r="E219" s="116">
        <v>18341.777999999998</v>
      </c>
      <c r="F219" s="116">
        <v>4542217.3530000001</v>
      </c>
      <c r="G219" s="43" t="str">
        <f>_xlfn.XLOOKUP($A219,Map!$A:$A,Map!C:C)</f>
        <v>IS</v>
      </c>
      <c r="H219" s="43" t="str">
        <f>_xlfn.XLOOKUP($A219,Map!$A:$A,Map!D:D)</f>
        <v>General and Admin</v>
      </c>
      <c r="I219" s="43" t="str">
        <f>_xlfn.XLOOKUP($A219,Map!$A:$A,Map!E:E)</f>
        <v>Salaries and wages</v>
      </c>
      <c r="J219" s="43" t="str">
        <f>_xlfn.XLOOKUP($A219,Map!$A:$A,Map!F:F)</f>
        <v>Salaries and wages</v>
      </c>
    </row>
    <row r="220" spans="1:10" x14ac:dyDescent="0.25">
      <c r="A220">
        <v>700026</v>
      </c>
      <c r="B220" t="s">
        <v>1048</v>
      </c>
      <c r="C220" s="116">
        <v>0</v>
      </c>
      <c r="D220" s="116">
        <v>8809.4599999999991</v>
      </c>
      <c r="E220" s="116">
        <v>0</v>
      </c>
      <c r="F220" s="116">
        <v>8809.4599999999991</v>
      </c>
      <c r="G220" s="43" t="str">
        <f>_xlfn.XLOOKUP($A220,Map!$A:$A,Map!C:C)</f>
        <v>IS</v>
      </c>
      <c r="H220" s="43" t="str">
        <f>_xlfn.XLOOKUP($A220,Map!$A:$A,Map!D:D)</f>
        <v>General and Admin</v>
      </c>
      <c r="I220" s="43" t="str">
        <f>_xlfn.XLOOKUP($A220,Map!$A:$A,Map!E:E)</f>
        <v>Utilities</v>
      </c>
      <c r="J220" s="43" t="str">
        <f>_xlfn.XLOOKUP($A220,Map!$A:$A,Map!F:F)</f>
        <v>Magazines &amp; News Papers Exp.</v>
      </c>
    </row>
    <row r="221" spans="1:10" x14ac:dyDescent="0.25">
      <c r="A221">
        <v>700027</v>
      </c>
      <c r="B221" t="s">
        <v>1049</v>
      </c>
      <c r="C221" s="116">
        <v>0</v>
      </c>
      <c r="D221" s="116">
        <v>98316.072</v>
      </c>
      <c r="E221" s="116">
        <v>2610</v>
      </c>
      <c r="F221" s="116">
        <v>95706.072</v>
      </c>
      <c r="G221" s="43" t="str">
        <f>_xlfn.XLOOKUP($A221,Map!$A:$A,Map!C:C)</f>
        <v>IS</v>
      </c>
      <c r="H221" s="43" t="str">
        <f>_xlfn.XLOOKUP($A221,Map!$A:$A,Map!D:D)</f>
        <v>General and Admin</v>
      </c>
      <c r="I221" s="43" t="str">
        <f>_xlfn.XLOOKUP($A221,Map!$A:$A,Map!E:E)</f>
        <v>Training</v>
      </c>
      <c r="J221" s="43" t="str">
        <f>_xlfn.XLOOKUP($A221,Map!$A:$A,Map!F:F)</f>
        <v>Training</v>
      </c>
    </row>
    <row r="222" spans="1:10" x14ac:dyDescent="0.25">
      <c r="A222">
        <v>700028</v>
      </c>
      <c r="B222" t="s">
        <v>1050</v>
      </c>
      <c r="C222" s="116">
        <v>0</v>
      </c>
      <c r="D222" s="116">
        <v>9284.85</v>
      </c>
      <c r="E222" s="116">
        <v>0</v>
      </c>
      <c r="F222" s="116">
        <v>9284.85</v>
      </c>
      <c r="G222" s="43" t="str">
        <f>_xlfn.XLOOKUP($A222,Map!$A:$A,Map!C:C)</f>
        <v>IS</v>
      </c>
      <c r="H222" s="43" t="str">
        <f>_xlfn.XLOOKUP($A222,Map!$A:$A,Map!D:D)</f>
        <v>General and Admin</v>
      </c>
      <c r="I222" s="43" t="str">
        <f>_xlfn.XLOOKUP($A222,Map!$A:$A,Map!E:E)</f>
        <v xml:space="preserve">Back office Support </v>
      </c>
      <c r="J222" s="43" t="str">
        <f>_xlfn.XLOOKUP($A222,Map!$A:$A,Map!F:F)</f>
        <v>Stationery expenses</v>
      </c>
    </row>
    <row r="223" spans="1:10" x14ac:dyDescent="0.25">
      <c r="A223">
        <v>700029</v>
      </c>
      <c r="B223" t="s">
        <v>1051</v>
      </c>
      <c r="C223" s="116">
        <v>0</v>
      </c>
      <c r="D223" s="116">
        <v>3067.37</v>
      </c>
      <c r="E223" s="116">
        <v>0</v>
      </c>
      <c r="F223" s="116">
        <v>3067.37</v>
      </c>
      <c r="G223" s="43" t="str">
        <f>_xlfn.XLOOKUP($A223,Map!$A:$A,Map!C:C)</f>
        <v>IS</v>
      </c>
      <c r="H223" s="43" t="str">
        <f>_xlfn.XLOOKUP($A223,Map!$A:$A,Map!D:D)</f>
        <v>General and Admin</v>
      </c>
      <c r="I223" s="43" t="str">
        <f>_xlfn.XLOOKUP($A223,Map!$A:$A,Map!E:E)</f>
        <v>Utilities</v>
      </c>
      <c r="J223" s="43" t="str">
        <f>_xlfn.XLOOKUP($A223,Map!$A:$A,Map!F:F)</f>
        <v xml:space="preserve">Postage &amp; Printing </v>
      </c>
    </row>
    <row r="224" spans="1:10" x14ac:dyDescent="0.25">
      <c r="A224">
        <v>700030</v>
      </c>
      <c r="B224" t="s">
        <v>1052</v>
      </c>
      <c r="C224" s="116">
        <v>0</v>
      </c>
      <c r="D224" s="116">
        <v>4958.8999999999996</v>
      </c>
      <c r="E224" s="116">
        <v>0</v>
      </c>
      <c r="F224" s="116">
        <v>4958.8999999999996</v>
      </c>
      <c r="G224" s="43" t="str">
        <f>_xlfn.XLOOKUP($A224,Map!$A:$A,Map!C:C)</f>
        <v>IS</v>
      </c>
      <c r="H224" s="43" t="str">
        <f>_xlfn.XLOOKUP($A224,Map!$A:$A,Map!D:D)</f>
        <v>General and Admin</v>
      </c>
      <c r="I224" s="43" t="str">
        <f>_xlfn.XLOOKUP($A224,Map!$A:$A,Map!E:E)</f>
        <v>Utilities</v>
      </c>
      <c r="J224" s="43" t="str">
        <f>_xlfn.XLOOKUP($A224,Map!$A:$A,Map!F:F)</f>
        <v>Building maintenance</v>
      </c>
    </row>
    <row r="225" spans="1:10" x14ac:dyDescent="0.25">
      <c r="A225">
        <v>700031</v>
      </c>
      <c r="B225" t="s">
        <v>1053</v>
      </c>
      <c r="C225" s="116">
        <v>0</v>
      </c>
      <c r="D225" s="116">
        <v>10375.5</v>
      </c>
      <c r="E225" s="116">
        <v>0</v>
      </c>
      <c r="F225" s="116">
        <v>10375.5</v>
      </c>
      <c r="G225" s="43" t="str">
        <f>_xlfn.XLOOKUP($A225,Map!$A:$A,Map!C:C)</f>
        <v>IS</v>
      </c>
      <c r="H225" s="43" t="str">
        <f>_xlfn.XLOOKUP($A225,Map!$A:$A,Map!D:D)</f>
        <v>General and Admin</v>
      </c>
      <c r="I225" s="43" t="str">
        <f>_xlfn.XLOOKUP($A225,Map!$A:$A,Map!E:E)</f>
        <v>Utilities</v>
      </c>
      <c r="J225" s="43" t="str">
        <f>_xlfn.XLOOKUP($A225,Map!$A:$A,Map!F:F)</f>
        <v>Office equipment maintenance</v>
      </c>
    </row>
    <row r="226" spans="1:10" x14ac:dyDescent="0.25">
      <c r="A226">
        <v>700032</v>
      </c>
      <c r="B226" t="s">
        <v>1054</v>
      </c>
      <c r="C226" s="116">
        <v>0</v>
      </c>
      <c r="D226" s="116">
        <v>103139.04399999999</v>
      </c>
      <c r="E226" s="116">
        <v>7000.0169999999998</v>
      </c>
      <c r="F226" s="116">
        <v>96139.027000000002</v>
      </c>
      <c r="G226" s="43" t="str">
        <f>_xlfn.XLOOKUP($A226,Map!$A:$A,Map!C:C)</f>
        <v>IS</v>
      </c>
      <c r="H226" s="43" t="str">
        <f>_xlfn.XLOOKUP($A226,Map!$A:$A,Map!D:D)</f>
        <v>General and Admin</v>
      </c>
      <c r="I226" s="43" t="str">
        <f>_xlfn.XLOOKUP($A226,Map!$A:$A,Map!E:E)</f>
        <v>Utilities</v>
      </c>
      <c r="J226" s="43" t="str">
        <f>_xlfn.XLOOKUP($A226,Map!$A:$A,Map!F:F)</f>
        <v>Vehicle maintenance</v>
      </c>
    </row>
    <row r="227" spans="1:10" x14ac:dyDescent="0.25">
      <c r="A227">
        <v>700033</v>
      </c>
      <c r="B227" t="s">
        <v>1055</v>
      </c>
      <c r="C227" s="116">
        <v>0</v>
      </c>
      <c r="D227" s="116">
        <v>130676.234</v>
      </c>
      <c r="E227" s="116">
        <v>16348.278</v>
      </c>
      <c r="F227" s="116">
        <v>114327.95600000001</v>
      </c>
      <c r="G227" s="43" t="str">
        <f>_xlfn.XLOOKUP($A227,Map!$A:$A,Map!C:C)</f>
        <v>IS</v>
      </c>
      <c r="H227" s="43" t="str">
        <f>_xlfn.XLOOKUP($A227,Map!$A:$A,Map!D:D)</f>
        <v>General and Admin</v>
      </c>
      <c r="I227" s="43" t="str">
        <f>_xlfn.XLOOKUP($A227,Map!$A:$A,Map!E:E)</f>
        <v>Utilities</v>
      </c>
      <c r="J227" s="43" t="str">
        <f>_xlfn.XLOOKUP($A227,Map!$A:$A,Map!F:F)</f>
        <v>Fuel and oil</v>
      </c>
    </row>
    <row r="228" spans="1:10" x14ac:dyDescent="0.25">
      <c r="A228">
        <v>700034</v>
      </c>
      <c r="B228" t="s">
        <v>1056</v>
      </c>
      <c r="C228" s="116">
        <v>0</v>
      </c>
      <c r="D228" s="116">
        <v>49492.656000000003</v>
      </c>
      <c r="E228" s="116">
        <v>0.85899999999999999</v>
      </c>
      <c r="F228" s="116">
        <v>49491.796999999999</v>
      </c>
      <c r="G228" s="43" t="str">
        <f>_xlfn.XLOOKUP($A228,Map!$A:$A,Map!C:C)</f>
        <v>IS</v>
      </c>
      <c r="H228" s="43" t="str">
        <f>_xlfn.XLOOKUP($A228,Map!$A:$A,Map!D:D)</f>
        <v>General and Admin</v>
      </c>
      <c r="I228" s="43" t="str">
        <f>_xlfn.XLOOKUP($A228,Map!$A:$A,Map!E:E)</f>
        <v xml:space="preserve">Back office Support </v>
      </c>
      <c r="J228" s="43" t="str">
        <f>_xlfn.XLOOKUP($A228,Map!$A:$A,Map!F:F)</f>
        <v>Consumables</v>
      </c>
    </row>
    <row r="229" spans="1:10" x14ac:dyDescent="0.25">
      <c r="A229">
        <v>700035</v>
      </c>
      <c r="B229" t="s">
        <v>1057</v>
      </c>
      <c r="C229" s="116">
        <v>0</v>
      </c>
      <c r="D229" s="116">
        <v>27285.62</v>
      </c>
      <c r="E229" s="116">
        <v>27285.62</v>
      </c>
      <c r="F229" s="116">
        <v>0</v>
      </c>
      <c r="G229" s="43" t="str">
        <f>_xlfn.XLOOKUP($A229,Map!$A:$A,Map!C:C)</f>
        <v>IS</v>
      </c>
      <c r="H229" s="43" t="str">
        <f>_xlfn.XLOOKUP($A229,Map!$A:$A,Map!D:D)</f>
        <v>General and Admin</v>
      </c>
      <c r="I229" s="43" t="str">
        <f>_xlfn.XLOOKUP($A229,Map!$A:$A,Map!E:E)</f>
        <v>Actuarial gains and losses</v>
      </c>
      <c r="J229" s="43" t="str">
        <f>_xlfn.XLOOKUP($A229,Map!$A:$A,Map!F:F)</f>
        <v>Other general and administrative expenses</v>
      </c>
    </row>
    <row r="230" spans="1:10" x14ac:dyDescent="0.25">
      <c r="A230">
        <v>700036</v>
      </c>
      <c r="B230" t="s">
        <v>1058</v>
      </c>
      <c r="C230" s="116">
        <v>0</v>
      </c>
      <c r="D230" s="116">
        <v>15692.823</v>
      </c>
      <c r="E230" s="116">
        <v>4.0000000000000001E-3</v>
      </c>
      <c r="F230" s="116">
        <v>15692.819</v>
      </c>
      <c r="G230" s="43" t="str">
        <f>_xlfn.XLOOKUP($A230,Map!$A:$A,Map!C:C)</f>
        <v>IS</v>
      </c>
      <c r="H230" s="43" t="str">
        <f>_xlfn.XLOOKUP($A230,Map!$A:$A,Map!D:D)</f>
        <v>General and Admin</v>
      </c>
      <c r="I230" s="43" t="str">
        <f>_xlfn.XLOOKUP($A230,Map!$A:$A,Map!E:E)</f>
        <v>Utilities</v>
      </c>
      <c r="J230" s="43" t="str">
        <f>_xlfn.XLOOKUP($A230,Map!$A:$A,Map!F:F)</f>
        <v>Vehicle insurance</v>
      </c>
    </row>
    <row r="231" spans="1:10" x14ac:dyDescent="0.25">
      <c r="A231">
        <v>700037</v>
      </c>
      <c r="B231" t="s">
        <v>1059</v>
      </c>
      <c r="C231" s="116">
        <v>0</v>
      </c>
      <c r="D231" s="116">
        <v>0</v>
      </c>
      <c r="E231" s="116">
        <v>0</v>
      </c>
      <c r="F231" s="116">
        <v>0</v>
      </c>
      <c r="G231" s="43" t="str">
        <f>_xlfn.XLOOKUP($A231,Map!$A:$A,Map!C:C)</f>
        <v>IS</v>
      </c>
      <c r="H231" s="43" t="str">
        <f>_xlfn.XLOOKUP($A231,Map!$A:$A,Map!D:D)</f>
        <v>Finance cost</v>
      </c>
      <c r="I231" s="43" t="str">
        <f>_xlfn.XLOOKUP($A231,Map!$A:$A,Map!E:E)</f>
        <v>Finance cost</v>
      </c>
      <c r="J231" s="43" t="str">
        <f>_xlfn.XLOOKUP($A231,Map!$A:$A,Map!F:F)</f>
        <v>Lease interest</v>
      </c>
    </row>
    <row r="232" spans="1:10" x14ac:dyDescent="0.25">
      <c r="A232">
        <v>700038</v>
      </c>
      <c r="B232" t="s">
        <v>1060</v>
      </c>
      <c r="C232" s="116">
        <v>0</v>
      </c>
      <c r="D232" s="116">
        <v>761327.777</v>
      </c>
      <c r="E232" s="116">
        <v>63147.25</v>
      </c>
      <c r="F232" s="116">
        <v>698180.527</v>
      </c>
      <c r="G232" s="43" t="str">
        <f>_xlfn.XLOOKUP($A232,Map!$A:$A,Map!C:C)</f>
        <v>IS</v>
      </c>
      <c r="H232" s="43" t="str">
        <f>_xlfn.XLOOKUP($A232,Map!$A:$A,Map!D:D)</f>
        <v>General and Admin</v>
      </c>
      <c r="I232" s="43" t="str">
        <f>_xlfn.XLOOKUP($A232,Map!$A:$A,Map!E:E)</f>
        <v>Business travel</v>
      </c>
      <c r="J232" s="43" t="str">
        <f>_xlfn.XLOOKUP($A232,Map!$A:$A,Map!F:F)</f>
        <v>Bussiness trip expenses</v>
      </c>
    </row>
    <row r="233" spans="1:10" x14ac:dyDescent="0.25">
      <c r="A233">
        <v>700039</v>
      </c>
      <c r="B233" t="s">
        <v>1061</v>
      </c>
      <c r="C233" s="116">
        <v>0</v>
      </c>
      <c r="D233" s="116">
        <v>20259.638999999999</v>
      </c>
      <c r="E233" s="116">
        <v>0</v>
      </c>
      <c r="F233" s="116">
        <v>20259.638999999999</v>
      </c>
      <c r="G233" s="43" t="str">
        <f>_xlfn.XLOOKUP($A233,Map!$A:$A,Map!C:C)</f>
        <v>IS</v>
      </c>
      <c r="H233" s="43" t="str">
        <f>_xlfn.XLOOKUP($A233,Map!$A:$A,Map!D:D)</f>
        <v>Selling and Marketing</v>
      </c>
      <c r="I233" s="43" t="str">
        <f>_xlfn.XLOOKUP($A233,Map!$A:$A,Map!E:E)</f>
        <v>Buffet expenses</v>
      </c>
      <c r="J233" s="43" t="str">
        <f>_xlfn.XLOOKUP($A233,Map!$A:$A,Map!F:F)</f>
        <v>Buffet expenses</v>
      </c>
    </row>
    <row r="234" spans="1:10" x14ac:dyDescent="0.25">
      <c r="A234">
        <v>700040</v>
      </c>
      <c r="B234" t="s">
        <v>1062</v>
      </c>
      <c r="C234" s="116">
        <v>0</v>
      </c>
      <c r="D234" s="116">
        <v>150953.11499999999</v>
      </c>
      <c r="E234" s="116">
        <v>1.4999999999999999E-2</v>
      </c>
      <c r="F234" s="116">
        <v>150953.1</v>
      </c>
      <c r="G234" s="43" t="str">
        <f>_xlfn.XLOOKUP($A234,Map!$A:$A,Map!C:C)</f>
        <v>IS</v>
      </c>
      <c r="H234" s="43" t="str">
        <f>_xlfn.XLOOKUP($A234,Map!$A:$A,Map!D:D)</f>
        <v>General and Admin</v>
      </c>
      <c r="I234" s="43" t="str">
        <f>_xlfn.XLOOKUP($A234,Map!$A:$A,Map!E:E)</f>
        <v>Utilities</v>
      </c>
      <c r="J234" s="43" t="str">
        <f>_xlfn.XLOOKUP($A234,Map!$A:$A,Map!F:F)</f>
        <v xml:space="preserve">Cleaning Expenses </v>
      </c>
    </row>
    <row r="235" spans="1:10" x14ac:dyDescent="0.25">
      <c r="A235">
        <v>700041</v>
      </c>
      <c r="B235" t="s">
        <v>1063</v>
      </c>
      <c r="C235" s="116">
        <v>0</v>
      </c>
      <c r="D235" s="116">
        <v>73911.391000000003</v>
      </c>
      <c r="E235" s="116">
        <v>1221.1880000000001</v>
      </c>
      <c r="F235" s="116">
        <v>72690.202999999994</v>
      </c>
      <c r="G235" s="43" t="str">
        <f>_xlfn.XLOOKUP($A235,Map!$A:$A,Map!C:C)</f>
        <v>IS</v>
      </c>
      <c r="H235" s="43" t="str">
        <f>_xlfn.XLOOKUP($A235,Map!$A:$A,Map!D:D)</f>
        <v>General and Admin</v>
      </c>
      <c r="I235" s="43" t="str">
        <f>_xlfn.XLOOKUP($A235,Map!$A:$A,Map!E:E)</f>
        <v>Salaries and wages</v>
      </c>
      <c r="J235" s="43" t="str">
        <f>_xlfn.XLOOKUP($A235,Map!$A:$A,Map!F:F)</f>
        <v>Recruitment</v>
      </c>
    </row>
    <row r="236" spans="1:10" x14ac:dyDescent="0.25">
      <c r="A236">
        <v>700042</v>
      </c>
      <c r="B236" t="s">
        <v>1064</v>
      </c>
      <c r="C236" s="116">
        <v>0</v>
      </c>
      <c r="D236" s="116">
        <v>0</v>
      </c>
      <c r="E236" s="116">
        <v>0</v>
      </c>
      <c r="F236" s="116">
        <v>0</v>
      </c>
      <c r="G236" s="43" t="str">
        <f>_xlfn.XLOOKUP($A236,Map!$A:$A,Map!C:C)</f>
        <v>IS</v>
      </c>
      <c r="H236" s="43" t="str">
        <f>_xlfn.XLOOKUP($A236,Map!$A:$A,Map!D:D)</f>
        <v>General and Admin</v>
      </c>
      <c r="I236" s="43" t="str">
        <f>_xlfn.XLOOKUP($A236,Map!$A:$A,Map!E:E)</f>
        <v xml:space="preserve">Back office Support </v>
      </c>
      <c r="J236" s="43" t="str">
        <f>_xlfn.XLOOKUP($A236,Map!$A:$A,Map!F:F)</f>
        <v>Other expenses</v>
      </c>
    </row>
    <row r="237" spans="1:10" x14ac:dyDescent="0.25">
      <c r="A237">
        <v>700043</v>
      </c>
      <c r="B237" t="s">
        <v>1065</v>
      </c>
      <c r="C237" s="116">
        <v>0</v>
      </c>
      <c r="D237" s="116">
        <v>0</v>
      </c>
      <c r="E237" s="116">
        <v>0</v>
      </c>
      <c r="F237" s="116">
        <v>0</v>
      </c>
      <c r="G237" s="43" t="str">
        <f>_xlfn.XLOOKUP($A237,Map!$A:$A,Map!C:C)</f>
        <v>IS</v>
      </c>
      <c r="H237" s="43" t="str">
        <f>_xlfn.XLOOKUP($A237,Map!$A:$A,Map!D:D)</f>
        <v>General and Admin</v>
      </c>
      <c r="I237" s="43" t="str">
        <f>_xlfn.XLOOKUP($A237,Map!$A:$A,Map!E:E)</f>
        <v>Govt license and fees (including modon)</v>
      </c>
      <c r="J237" s="43" t="str">
        <f>_xlfn.XLOOKUP($A237,Map!$A:$A,Map!F:F)</f>
        <v>Licenses and fees</v>
      </c>
    </row>
    <row r="238" spans="1:10" x14ac:dyDescent="0.25">
      <c r="A238">
        <v>700044</v>
      </c>
      <c r="B238" t="s">
        <v>1066</v>
      </c>
      <c r="C238" s="116">
        <v>0</v>
      </c>
      <c r="D238" s="116">
        <v>116259.2</v>
      </c>
      <c r="E238" s="116">
        <v>0</v>
      </c>
      <c r="F238" s="116">
        <v>116259.2</v>
      </c>
      <c r="G238" s="43" t="str">
        <f>_xlfn.XLOOKUP($A238,Map!$A:$A,Map!C:C)</f>
        <v>IS</v>
      </c>
      <c r="H238" s="43" t="str">
        <f>_xlfn.XLOOKUP($A238,Map!$A:$A,Map!D:D)</f>
        <v>General and Admin</v>
      </c>
      <c r="I238" s="43" t="str">
        <f>_xlfn.XLOOKUP($A238,Map!$A:$A,Map!E:E)</f>
        <v>Govt license and fees (including modon)</v>
      </c>
      <c r="J238" s="43" t="str">
        <f>_xlfn.XLOOKUP($A238,Map!$A:$A,Map!F:F)</f>
        <v>Government fees</v>
      </c>
    </row>
    <row r="239" spans="1:10" x14ac:dyDescent="0.25">
      <c r="A239">
        <v>700045</v>
      </c>
      <c r="B239" t="s">
        <v>1067</v>
      </c>
      <c r="C239" s="116">
        <v>0</v>
      </c>
      <c r="D239" s="116">
        <v>11897065.833000001</v>
      </c>
      <c r="E239" s="116">
        <v>354784.49800000002</v>
      </c>
      <c r="F239" s="116">
        <v>11542281.335000001</v>
      </c>
      <c r="G239" s="43" t="str">
        <f>_xlfn.XLOOKUP($A239,Map!$A:$A,Map!C:C)</f>
        <v>IS</v>
      </c>
      <c r="H239" s="43" t="str">
        <f>_xlfn.XLOOKUP($A239,Map!$A:$A,Map!D:D)</f>
        <v>Finance cost</v>
      </c>
      <c r="I239" s="43" t="str">
        <f>_xlfn.XLOOKUP($A239,Map!$A:$A,Map!E:E)</f>
        <v>Finance cost</v>
      </c>
      <c r="J239" s="43" t="str">
        <f>_xlfn.XLOOKUP($A239,Map!$A:$A,Map!F:F)</f>
        <v>Bank charges</v>
      </c>
    </row>
    <row r="240" spans="1:10" x14ac:dyDescent="0.25">
      <c r="A240">
        <v>700048</v>
      </c>
      <c r="B240" t="s">
        <v>1069</v>
      </c>
      <c r="C240" s="116">
        <v>0</v>
      </c>
      <c r="D240" s="116">
        <v>0</v>
      </c>
      <c r="E240" s="116">
        <v>0</v>
      </c>
      <c r="F240" s="116">
        <v>0</v>
      </c>
      <c r="G240" s="43" t="str">
        <f>_xlfn.XLOOKUP($A240,Map!$A:$A,Map!C:C)</f>
        <v>IS</v>
      </c>
      <c r="H240" s="43" t="str">
        <f>_xlfn.XLOOKUP($A240,Map!$A:$A,Map!D:D)</f>
        <v>Zakat</v>
      </c>
      <c r="I240" s="43" t="str">
        <f>_xlfn.XLOOKUP($A240,Map!$A:$A,Map!E:E)</f>
        <v>Zakat expenses</v>
      </c>
      <c r="J240" s="43" t="str">
        <f>_xlfn.XLOOKUP($A240,Map!$A:$A,Map!F:F)</f>
        <v>Zakat expenses</v>
      </c>
    </row>
    <row r="241" spans="1:10" x14ac:dyDescent="0.25">
      <c r="A241">
        <v>700049</v>
      </c>
      <c r="B241" t="s">
        <v>1070</v>
      </c>
      <c r="C241" s="116">
        <v>0</v>
      </c>
      <c r="D241" s="116">
        <v>117654</v>
      </c>
      <c r="E241" s="116">
        <v>0</v>
      </c>
      <c r="F241" s="116">
        <v>117654</v>
      </c>
      <c r="G241" s="43" t="str">
        <f>_xlfn.XLOOKUP($A241,Map!$A:$A,Map!C:C)</f>
        <v>IS</v>
      </c>
      <c r="H241" s="43" t="str">
        <f>_xlfn.XLOOKUP($A241,Map!$A:$A,Map!D:D)</f>
        <v>General and Admin</v>
      </c>
      <c r="I241" s="43" t="str">
        <f>_xlfn.XLOOKUP($A241,Map!$A:$A,Map!E:E)</f>
        <v>Salaries and wages</v>
      </c>
      <c r="J241" s="43" t="str">
        <f>_xlfn.XLOOKUP($A241,Map!$A:$A,Map!F:F)</f>
        <v>Sadagat expense</v>
      </c>
    </row>
    <row r="242" spans="1:10" x14ac:dyDescent="0.25">
      <c r="A242">
        <v>700050</v>
      </c>
      <c r="B242" t="s">
        <v>1071</v>
      </c>
      <c r="C242" s="116">
        <v>0</v>
      </c>
      <c r="D242" s="116">
        <v>0</v>
      </c>
      <c r="E242" s="116">
        <v>0</v>
      </c>
      <c r="F242" s="116">
        <v>0</v>
      </c>
      <c r="G242" s="43" t="str">
        <f>_xlfn.XLOOKUP($A242,Map!$A:$A,Map!C:C)</f>
        <v>IS</v>
      </c>
      <c r="H242" s="43" t="str">
        <f>_xlfn.XLOOKUP($A242,Map!$A:$A,Map!D:D)</f>
        <v>Depreciation expenses</v>
      </c>
      <c r="I242" s="43" t="str">
        <f>_xlfn.XLOOKUP($A242,Map!$A:$A,Map!E:E)</f>
        <v>Depreciation expenses</v>
      </c>
      <c r="J242" s="43" t="str">
        <f>_xlfn.XLOOKUP($A242,Map!$A:$A,Map!F:F)</f>
        <v>Depreciation of property, plant and equipment</v>
      </c>
    </row>
    <row r="243" spans="1:10" x14ac:dyDescent="0.25">
      <c r="A243">
        <v>700051</v>
      </c>
      <c r="B243" t="s">
        <v>1072</v>
      </c>
      <c r="C243" s="116">
        <v>0</v>
      </c>
      <c r="D243" s="116">
        <v>17680.077000000001</v>
      </c>
      <c r="E243" s="116">
        <v>0</v>
      </c>
      <c r="F243" s="116">
        <v>17680.077000000001</v>
      </c>
      <c r="G243" s="43" t="str">
        <f>_xlfn.XLOOKUP($A243,Map!$A:$A,Map!C:C)</f>
        <v>IS</v>
      </c>
      <c r="H243" s="43" t="str">
        <f>_xlfn.XLOOKUP($A243,Map!$A:$A,Map!D:D)</f>
        <v>Depreciation expenses</v>
      </c>
      <c r="I243" s="43" t="str">
        <f>_xlfn.XLOOKUP($A243,Map!$A:$A,Map!E:E)</f>
        <v>Depreciation expenses</v>
      </c>
      <c r="J243" s="43" t="str">
        <f>_xlfn.XLOOKUP($A243,Map!$A:$A,Map!F:F)</f>
        <v>Depreciation of property, plant and equipment</v>
      </c>
    </row>
    <row r="244" spans="1:10" x14ac:dyDescent="0.25">
      <c r="A244">
        <v>700052</v>
      </c>
      <c r="B244" t="s">
        <v>1073</v>
      </c>
      <c r="C244" s="116">
        <v>0</v>
      </c>
      <c r="D244" s="116">
        <v>0</v>
      </c>
      <c r="E244" s="116">
        <v>0</v>
      </c>
      <c r="F244" s="116">
        <v>0</v>
      </c>
      <c r="G244" s="43" t="str">
        <f>_xlfn.XLOOKUP($A244,Map!$A:$A,Map!C:C)</f>
        <v>IS</v>
      </c>
      <c r="H244" s="43" t="str">
        <f>_xlfn.XLOOKUP($A244,Map!$A:$A,Map!D:D)</f>
        <v>Depreciation expenses</v>
      </c>
      <c r="I244" s="43" t="str">
        <f>_xlfn.XLOOKUP($A244,Map!$A:$A,Map!E:E)</f>
        <v>Depreciation expenses</v>
      </c>
      <c r="J244" s="43" t="str">
        <f>_xlfn.XLOOKUP($A244,Map!$A:$A,Map!F:F)</f>
        <v>Depreciation of property, plant and equipment</v>
      </c>
    </row>
    <row r="245" spans="1:10" x14ac:dyDescent="0.25">
      <c r="A245">
        <v>700053</v>
      </c>
      <c r="B245" t="s">
        <v>1074</v>
      </c>
      <c r="C245" s="116">
        <v>0</v>
      </c>
      <c r="D245" s="116">
        <v>2964.86</v>
      </c>
      <c r="E245" s="116">
        <v>0</v>
      </c>
      <c r="F245" s="116">
        <v>2964.86</v>
      </c>
      <c r="G245" s="43" t="str">
        <f>_xlfn.XLOOKUP($A245,Map!$A:$A,Map!C:C)</f>
        <v>IS</v>
      </c>
      <c r="H245" s="43" t="str">
        <f>_xlfn.XLOOKUP($A245,Map!$A:$A,Map!D:D)</f>
        <v>Depreciation expenses</v>
      </c>
      <c r="I245" s="43" t="str">
        <f>_xlfn.XLOOKUP($A245,Map!$A:$A,Map!E:E)</f>
        <v>Depreciation expenses</v>
      </c>
      <c r="J245" s="43" t="str">
        <f>_xlfn.XLOOKUP($A245,Map!$A:$A,Map!F:F)</f>
        <v>Depreciation of property, plant and equipment</v>
      </c>
    </row>
    <row r="246" spans="1:10" x14ac:dyDescent="0.25">
      <c r="A246">
        <v>700054</v>
      </c>
      <c r="B246" t="s">
        <v>1075</v>
      </c>
      <c r="C246" s="116">
        <v>0</v>
      </c>
      <c r="D246" s="116">
        <v>261925.77100000001</v>
      </c>
      <c r="E246" s="116">
        <v>0</v>
      </c>
      <c r="F246" s="116">
        <v>261925.77100000001</v>
      </c>
      <c r="G246" s="43" t="str">
        <f>_xlfn.XLOOKUP($A246,Map!$A:$A,Map!C:C)</f>
        <v>IS</v>
      </c>
      <c r="H246" s="43" t="str">
        <f>_xlfn.XLOOKUP($A246,Map!$A:$A,Map!D:D)</f>
        <v>Depreciation expenses</v>
      </c>
      <c r="I246" s="43" t="str">
        <f>_xlfn.XLOOKUP($A246,Map!$A:$A,Map!E:E)</f>
        <v>Depreciation expenses</v>
      </c>
      <c r="J246" s="43" t="str">
        <f>_xlfn.XLOOKUP($A246,Map!$A:$A,Map!F:F)</f>
        <v>Depreciation of property, plant and equipment</v>
      </c>
    </row>
    <row r="247" spans="1:10" x14ac:dyDescent="0.25">
      <c r="A247">
        <v>700055</v>
      </c>
      <c r="B247" t="s">
        <v>1076</v>
      </c>
      <c r="C247" s="116">
        <v>0</v>
      </c>
      <c r="D247" s="116">
        <v>327256.08500000002</v>
      </c>
      <c r="E247" s="116">
        <v>0</v>
      </c>
      <c r="F247" s="116">
        <v>327256.08500000002</v>
      </c>
      <c r="G247" s="43" t="str">
        <f>_xlfn.XLOOKUP($A247,Map!$A:$A,Map!C:C)</f>
        <v>IS</v>
      </c>
      <c r="H247" s="43" t="str">
        <f>_xlfn.XLOOKUP($A247,Map!$A:$A,Map!D:D)</f>
        <v>Depreciation expenses</v>
      </c>
      <c r="I247" s="43" t="str">
        <f>_xlfn.XLOOKUP($A247,Map!$A:$A,Map!E:E)</f>
        <v>Depreciation expenses</v>
      </c>
      <c r="J247" s="43" t="str">
        <f>_xlfn.XLOOKUP($A247,Map!$A:$A,Map!F:F)</f>
        <v>Depreciation of property, plant and equipment</v>
      </c>
    </row>
    <row r="248" spans="1:10" x14ac:dyDescent="0.25">
      <c r="A248">
        <v>700056</v>
      </c>
      <c r="B248" t="s">
        <v>1077</v>
      </c>
      <c r="C248" s="116">
        <v>0</v>
      </c>
      <c r="D248" s="116">
        <v>91762.504000000001</v>
      </c>
      <c r="E248" s="116">
        <v>0</v>
      </c>
      <c r="F248" s="116">
        <v>91762.504000000001</v>
      </c>
      <c r="G248" s="43" t="str">
        <f>_xlfn.XLOOKUP($A248,Map!$A:$A,Map!C:C)</f>
        <v>IS</v>
      </c>
      <c r="H248" s="43" t="str">
        <f>_xlfn.XLOOKUP($A248,Map!$A:$A,Map!D:D)</f>
        <v>Depreciation expenses</v>
      </c>
      <c r="I248" s="43" t="str">
        <f>_xlfn.XLOOKUP($A248,Map!$A:$A,Map!E:E)</f>
        <v>Depreciation expenses</v>
      </c>
      <c r="J248" s="43" t="str">
        <f>_xlfn.XLOOKUP($A248,Map!$A:$A,Map!F:F)</f>
        <v>Depreciation of property, plant and equipment</v>
      </c>
    </row>
    <row r="249" spans="1:10" x14ac:dyDescent="0.25">
      <c r="A249">
        <v>700057</v>
      </c>
      <c r="B249" t="s">
        <v>1078</v>
      </c>
      <c r="C249" s="116">
        <v>0</v>
      </c>
      <c r="D249" s="116">
        <v>414354.01400000002</v>
      </c>
      <c r="E249" s="116">
        <v>700</v>
      </c>
      <c r="F249" s="116">
        <v>413654.01400000002</v>
      </c>
      <c r="G249" s="43" t="str">
        <f>_xlfn.XLOOKUP($A249,Map!$A:$A,Map!C:C)</f>
        <v>IS</v>
      </c>
      <c r="H249" s="43" t="str">
        <f>_xlfn.XLOOKUP($A249,Map!$A:$A,Map!D:D)</f>
        <v>Cost of sales</v>
      </c>
      <c r="I249" s="43" t="str">
        <f>_xlfn.XLOOKUP($A249,Map!$A:$A,Map!E:E)</f>
        <v>Overhead - Rent</v>
      </c>
      <c r="J249" s="43" t="str">
        <f>_xlfn.XLOOKUP($A249,Map!$A:$A,Map!F:F)</f>
        <v>Warehouse Rent ( Khamis, Rioyadh, Dammam)</v>
      </c>
    </row>
    <row r="250" spans="1:10" x14ac:dyDescent="0.25">
      <c r="A250">
        <v>700058</v>
      </c>
      <c r="B250" t="s">
        <v>1079</v>
      </c>
      <c r="C250" s="116">
        <v>0</v>
      </c>
      <c r="D250" s="116">
        <v>52325.74</v>
      </c>
      <c r="E250" s="116">
        <v>0</v>
      </c>
      <c r="F250" s="116">
        <v>52325.74</v>
      </c>
      <c r="G250" s="43" t="str">
        <f>_xlfn.XLOOKUP($A250,Map!$A:$A,Map!C:C)</f>
        <v>IS</v>
      </c>
      <c r="H250" s="43" t="str">
        <f>_xlfn.XLOOKUP($A250,Map!$A:$A,Map!D:D)</f>
        <v>Selling and Marketing</v>
      </c>
      <c r="I250" s="43" t="str">
        <f>_xlfn.XLOOKUP($A250,Map!$A:$A,Map!E:E)</f>
        <v>Advertising and promotion expenses</v>
      </c>
      <c r="J250" s="43" t="str">
        <f>_xlfn.XLOOKUP($A250,Map!$A:$A,Map!F:F)</f>
        <v>Advertising and promotion expenses</v>
      </c>
    </row>
    <row r="251" spans="1:10" x14ac:dyDescent="0.25">
      <c r="A251">
        <v>700059</v>
      </c>
      <c r="B251" t="s">
        <v>1080</v>
      </c>
      <c r="C251" s="116">
        <v>0</v>
      </c>
      <c r="D251" s="116">
        <v>1629846.0989999999</v>
      </c>
      <c r="E251" s="116">
        <v>352992.56900000002</v>
      </c>
      <c r="F251" s="116">
        <v>1276853.53</v>
      </c>
      <c r="G251" s="43" t="str">
        <f>_xlfn.XLOOKUP($A251,Map!$A:$A,Map!C:C)</f>
        <v>IS</v>
      </c>
      <c r="H251" s="43" t="str">
        <f>_xlfn.XLOOKUP($A251,Map!$A:$A,Map!D:D)</f>
        <v>Selling and Marketing</v>
      </c>
      <c r="I251" s="43" t="str">
        <f>_xlfn.XLOOKUP($A251,Map!$A:$A,Map!E:E)</f>
        <v>Exhibitions</v>
      </c>
      <c r="J251" s="43" t="str">
        <f>_xlfn.XLOOKUP($A251,Map!$A:$A,Map!F:F)</f>
        <v>Exhibitions</v>
      </c>
    </row>
    <row r="252" spans="1:10" x14ac:dyDescent="0.25">
      <c r="A252">
        <v>700060</v>
      </c>
      <c r="B252" t="s">
        <v>1081</v>
      </c>
      <c r="C252" s="116">
        <v>0</v>
      </c>
      <c r="D252" s="116">
        <v>1764321.929</v>
      </c>
      <c r="E252" s="116">
        <v>78568.600999999995</v>
      </c>
      <c r="F252" s="116">
        <v>1685753.328</v>
      </c>
      <c r="G252" s="43" t="str">
        <f>_xlfn.XLOOKUP($A252,Map!$A:$A,Map!C:C)</f>
        <v>IS</v>
      </c>
      <c r="H252" s="43" t="str">
        <f>_xlfn.XLOOKUP($A252,Map!$A:$A,Map!D:D)</f>
        <v>Selling and Marketing</v>
      </c>
      <c r="I252" s="43" t="str">
        <f>_xlfn.XLOOKUP($A252,Map!$A:$A,Map!E:E)</f>
        <v>Freight and shipping expenses (S&amp;D)</v>
      </c>
      <c r="J252" s="43" t="str">
        <f>_xlfn.XLOOKUP($A252,Map!$A:$A,Map!F:F)</f>
        <v>Outbound freight / shipping — reclassified below gross profit under IFRS</v>
      </c>
    </row>
    <row r="253" spans="1:10" x14ac:dyDescent="0.25">
      <c r="A253">
        <v>700061</v>
      </c>
      <c r="B253" t="s">
        <v>1082</v>
      </c>
      <c r="C253" s="116">
        <v>0</v>
      </c>
      <c r="D253" s="116">
        <v>25751.26</v>
      </c>
      <c r="E253" s="116">
        <v>20715.259999999998</v>
      </c>
      <c r="F253" s="116">
        <v>5036</v>
      </c>
      <c r="G253" s="43" t="str">
        <f>_xlfn.XLOOKUP($A253,Map!$A:$A,Map!C:C)</f>
        <v>IS</v>
      </c>
      <c r="H253" s="43" t="str">
        <f>_xlfn.XLOOKUP($A253,Map!$A:$A,Map!D:D)</f>
        <v>Selling and Marketing</v>
      </c>
      <c r="I253" s="43" t="str">
        <f>_xlfn.XLOOKUP($A253,Map!$A:$A,Map!E:E)</f>
        <v>Commission expenses</v>
      </c>
      <c r="J253" s="43" t="str">
        <f>_xlfn.XLOOKUP($A253,Map!$A:$A,Map!F:F)</f>
        <v>Commission expenses</v>
      </c>
    </row>
    <row r="254" spans="1:10" x14ac:dyDescent="0.25">
      <c r="A254">
        <v>700062</v>
      </c>
      <c r="B254" t="s">
        <v>1083</v>
      </c>
      <c r="C254" s="116">
        <v>0</v>
      </c>
      <c r="D254" s="116">
        <v>41288.07</v>
      </c>
      <c r="E254" s="116">
        <v>719809.23</v>
      </c>
      <c r="F254" s="116">
        <v>-678521.16</v>
      </c>
      <c r="G254" s="43" t="str">
        <f>_xlfn.XLOOKUP($A254,Map!$A:$A,Map!C:C)</f>
        <v>IS</v>
      </c>
      <c r="H254" s="43" t="str">
        <f>_xlfn.XLOOKUP($A254,Map!$A:$A,Map!D:D)</f>
        <v>Revised provision on Bad Debts</v>
      </c>
      <c r="I254" s="43" t="str">
        <f>_xlfn.XLOOKUP($A254,Map!$A:$A,Map!E:E)</f>
        <v>Bad debts expense</v>
      </c>
      <c r="J254" s="43" t="str">
        <f>_xlfn.XLOOKUP($A254,Map!$A:$A,Map!F:F)</f>
        <v>Bad debts expense</v>
      </c>
    </row>
    <row r="255" spans="1:10" x14ac:dyDescent="0.25">
      <c r="A255">
        <v>700063</v>
      </c>
      <c r="B255" t="s">
        <v>1084</v>
      </c>
      <c r="C255" s="116">
        <v>0</v>
      </c>
      <c r="D255" s="116">
        <v>1650267.45</v>
      </c>
      <c r="E255" s="116">
        <v>475760.55</v>
      </c>
      <c r="F255" s="116">
        <v>1174506.8999999999</v>
      </c>
      <c r="G255" s="43" t="str">
        <f>_xlfn.XLOOKUP($A255,Map!$A:$A,Map!C:C)</f>
        <v>IS</v>
      </c>
      <c r="H255" s="43" t="str">
        <f>_xlfn.XLOOKUP($A255,Map!$A:$A,Map!D:D)</f>
        <v>General and Admin</v>
      </c>
      <c r="I255" s="43" t="str">
        <f>_xlfn.XLOOKUP($A255,Map!$A:$A,Map!E:E)</f>
        <v>Salaries and wages</v>
      </c>
      <c r="J255" s="43" t="str">
        <f>_xlfn.XLOOKUP($A255,Map!$A:$A,Map!F:F)</f>
        <v>GOSI</v>
      </c>
    </row>
    <row r="256" spans="1:10" x14ac:dyDescent="0.25">
      <c r="A256">
        <v>700064</v>
      </c>
      <c r="B256" t="s">
        <v>1085</v>
      </c>
      <c r="C256" s="116">
        <v>0</v>
      </c>
      <c r="D256" s="116">
        <v>0</v>
      </c>
      <c r="E256" s="116">
        <v>0</v>
      </c>
      <c r="F256" s="116">
        <v>0</v>
      </c>
      <c r="G256" s="43" t="str">
        <f>_xlfn.XLOOKUP($A256,Map!$A:$A,Map!C:C)</f>
        <v>IS</v>
      </c>
      <c r="H256" s="43" t="str">
        <f>_xlfn.XLOOKUP($A256,Map!$A:$A,Map!D:D)</f>
        <v>Pre-operating expenses</v>
      </c>
      <c r="I256" s="43" t="str">
        <f>_xlfn.XLOOKUP($A256,Map!$A:$A,Map!E:E)</f>
        <v>Pre-operating expenses</v>
      </c>
      <c r="J256" s="43" t="str">
        <f>_xlfn.XLOOKUP($A256,Map!$A:$A,Map!F:F)</f>
        <v>Amortization</v>
      </c>
    </row>
    <row r="257" spans="1:10" x14ac:dyDescent="0.25">
      <c r="A257">
        <v>700065</v>
      </c>
      <c r="B257" t="s">
        <v>1086</v>
      </c>
      <c r="C257" s="116">
        <v>0</v>
      </c>
      <c r="D257" s="116">
        <v>76652.009000000005</v>
      </c>
      <c r="E257" s="116">
        <v>0</v>
      </c>
      <c r="F257" s="116">
        <v>76652.009000000005</v>
      </c>
      <c r="G257" s="43" t="str">
        <f>_xlfn.XLOOKUP($A257,Map!$A:$A,Map!C:C)</f>
        <v>IS</v>
      </c>
      <c r="H257" s="43" t="str">
        <f>_xlfn.XLOOKUP($A257,Map!$A:$A,Map!D:D)</f>
        <v>Finance cost</v>
      </c>
      <c r="I257" s="43" t="str">
        <f>_xlfn.XLOOKUP($A257,Map!$A:$A,Map!E:E)</f>
        <v>Finance cost</v>
      </c>
      <c r="J257" s="43" t="str">
        <f>_xlfn.XLOOKUP($A257,Map!$A:$A,Map!F:F)</f>
        <v>Lease interest</v>
      </c>
    </row>
    <row r="258" spans="1:10" x14ac:dyDescent="0.25">
      <c r="A258">
        <v>700066</v>
      </c>
      <c r="B258" t="s">
        <v>1087</v>
      </c>
      <c r="C258" s="116">
        <v>0</v>
      </c>
      <c r="D258" s="116">
        <v>109284.12</v>
      </c>
      <c r="E258" s="116">
        <v>0</v>
      </c>
      <c r="F258" s="116">
        <v>109284.12</v>
      </c>
      <c r="G258" s="43" t="str">
        <f>_xlfn.XLOOKUP($A258,Map!$A:$A,Map!C:C)</f>
        <v>IS</v>
      </c>
      <c r="H258" s="43" t="str">
        <f>_xlfn.XLOOKUP($A258,Map!$A:$A,Map!D:D)</f>
        <v>General and Admin</v>
      </c>
      <c r="I258" s="43" t="str">
        <f>_xlfn.XLOOKUP($A258,Map!$A:$A,Map!E:E)</f>
        <v>Govt license and fees (including modon)</v>
      </c>
      <c r="J258" s="43" t="str">
        <f>_xlfn.XLOOKUP($A258,Map!$A:$A,Map!F:F)</f>
        <v>3rd Industrial Area Lease Provision</v>
      </c>
    </row>
    <row r="259" spans="1:10" x14ac:dyDescent="0.25">
      <c r="A259">
        <v>700067</v>
      </c>
      <c r="B259" t="s">
        <v>1088</v>
      </c>
      <c r="C259" s="116">
        <v>0</v>
      </c>
      <c r="D259" s="116">
        <v>17712528.649999999</v>
      </c>
      <c r="E259" s="116">
        <v>6636597.0889999997</v>
      </c>
      <c r="F259" s="116">
        <v>11075931.561000001</v>
      </c>
      <c r="G259" s="43" t="str">
        <f>_xlfn.XLOOKUP($A259,Map!$A:$A,Map!C:C)</f>
        <v>IS</v>
      </c>
      <c r="H259" s="43" t="str">
        <f>_xlfn.XLOOKUP($A259,Map!$A:$A,Map!D:D)</f>
        <v>Selling and Marketing</v>
      </c>
      <c r="I259" s="43" t="str">
        <f>_xlfn.XLOOKUP($A259,Map!$A:$A,Map!E:E)</f>
        <v>Freight and shipping expenses (S&amp;D)</v>
      </c>
      <c r="J259" s="43" t="str">
        <f>_xlfn.XLOOKUP($A259,Map!$A:$A,Map!F:F)</f>
        <v>Outbound freight / shipping — reclassified below gross profit under IFRS</v>
      </c>
    </row>
    <row r="260" spans="1:10" x14ac:dyDescent="0.25">
      <c r="A260">
        <v>700068</v>
      </c>
      <c r="B260" t="s">
        <v>1089</v>
      </c>
      <c r="C260" s="116">
        <v>0</v>
      </c>
      <c r="D260" s="116">
        <v>87004.12</v>
      </c>
      <c r="E260" s="116">
        <v>0</v>
      </c>
      <c r="F260" s="116">
        <v>87004.12</v>
      </c>
      <c r="G260" s="43" t="str">
        <f>_xlfn.XLOOKUP($A260,Map!$A:$A,Map!C:C)</f>
        <v>IS</v>
      </c>
      <c r="H260" s="43" t="str">
        <f>_xlfn.XLOOKUP($A260,Map!$A:$A,Map!D:D)</f>
        <v>Cost of sales</v>
      </c>
      <c r="I260" s="43" t="str">
        <f>_xlfn.XLOOKUP($A260,Map!$A:$A,Map!E:E)</f>
        <v>Freight expenses</v>
      </c>
      <c r="J260" s="43" t="str">
        <f>_xlfn.XLOOKUP($A260,Map!$A:$A,Map!F:F)</f>
        <v>Freight expenses</v>
      </c>
    </row>
    <row r="261" spans="1:10" x14ac:dyDescent="0.25">
      <c r="A261">
        <v>700069</v>
      </c>
      <c r="B261" t="s">
        <v>1090</v>
      </c>
      <c r="C261" s="116">
        <v>0</v>
      </c>
      <c r="D261" s="116">
        <v>149586.15700000001</v>
      </c>
      <c r="E261" s="116">
        <v>2247</v>
      </c>
      <c r="F261" s="116">
        <v>147339.15700000001</v>
      </c>
      <c r="G261" s="43" t="str">
        <f>_xlfn.XLOOKUP($A261,Map!$A:$A,Map!C:C)</f>
        <v>IS</v>
      </c>
      <c r="H261" s="43" t="str">
        <f>_xlfn.XLOOKUP($A261,Map!$A:$A,Map!D:D)</f>
        <v>General and Admin</v>
      </c>
      <c r="I261" s="43" t="str">
        <f>_xlfn.XLOOKUP($A261,Map!$A:$A,Map!E:E)</f>
        <v>Rent</v>
      </c>
      <c r="J261" s="43" t="str">
        <f>_xlfn.XLOOKUP($A261,Map!$A:$A,Map!F:F)</f>
        <v xml:space="preserve">Sales Office Rent (Dammam) </v>
      </c>
    </row>
    <row r="262" spans="1:10" x14ac:dyDescent="0.25">
      <c r="A262">
        <v>700070</v>
      </c>
      <c r="B262" t="s">
        <v>1091</v>
      </c>
      <c r="C262" s="116">
        <v>0</v>
      </c>
      <c r="D262" s="116">
        <v>49336788.022</v>
      </c>
      <c r="E262" s="116">
        <v>22186227.585999999</v>
      </c>
      <c r="F262" s="116">
        <v>27150560.436000001</v>
      </c>
      <c r="G262" s="43" t="str">
        <f>_xlfn.XLOOKUP($A262,Map!$A:$A,Map!C:C)</f>
        <v>IS</v>
      </c>
      <c r="H262" s="43" t="str">
        <f>_xlfn.XLOOKUP($A262,Map!$A:$A,Map!D:D)</f>
        <v>Cost of sales</v>
      </c>
      <c r="I262" s="43" t="str">
        <f>_xlfn.XLOOKUP($A262,Map!$A:$A,Map!E:E)</f>
        <v>Customs duties and clearances</v>
      </c>
      <c r="J262" s="43" t="str">
        <f>_xlfn.XLOOKUP($A262,Map!$A:$A,Map!F:F)</f>
        <v>Customs duties</v>
      </c>
    </row>
    <row r="263" spans="1:10" x14ac:dyDescent="0.25">
      <c r="A263">
        <v>700071</v>
      </c>
      <c r="B263" t="s">
        <v>1092</v>
      </c>
      <c r="C263" s="116">
        <v>0</v>
      </c>
      <c r="D263" s="116">
        <v>3516752.5950000002</v>
      </c>
      <c r="E263" s="116">
        <v>1335345.4909999999</v>
      </c>
      <c r="F263" s="116">
        <v>2181407.1039999998</v>
      </c>
      <c r="G263" s="43" t="str">
        <f>_xlfn.XLOOKUP($A263,Map!$A:$A,Map!C:C)</f>
        <v>IS</v>
      </c>
      <c r="H263" s="43" t="str">
        <f>_xlfn.XLOOKUP($A263,Map!$A:$A,Map!D:D)</f>
        <v>Cost of sales</v>
      </c>
      <c r="I263" s="43" t="str">
        <f>_xlfn.XLOOKUP($A263,Map!$A:$A,Map!E:E)</f>
        <v>Customs duties and clearances</v>
      </c>
      <c r="J263" s="43" t="str">
        <f>_xlfn.XLOOKUP($A263,Map!$A:$A,Map!F:F)</f>
        <v>Customs clearance</v>
      </c>
    </row>
    <row r="264" spans="1:10" x14ac:dyDescent="0.25">
      <c r="A264">
        <v>700072</v>
      </c>
      <c r="B264" t="s">
        <v>1093</v>
      </c>
      <c r="C264" s="116">
        <v>0</v>
      </c>
      <c r="D264" s="116">
        <v>4038137.5090000001</v>
      </c>
      <c r="E264" s="116">
        <v>49725.353999999999</v>
      </c>
      <c r="F264" s="116">
        <v>3988412.1549999998</v>
      </c>
      <c r="G264" s="43" t="str">
        <f>_xlfn.XLOOKUP($A264,Map!$A:$A,Map!C:C)</f>
        <v>IS</v>
      </c>
      <c r="H264" s="43" t="str">
        <f>_xlfn.XLOOKUP($A264,Map!$A:$A,Map!D:D)</f>
        <v>General and Admin</v>
      </c>
      <c r="I264" s="43" t="str">
        <f>_xlfn.XLOOKUP($A264,Map!$A:$A,Map!E:E)</f>
        <v>Salaries and wages</v>
      </c>
      <c r="J264" s="43" t="str">
        <f>_xlfn.XLOOKUP($A264,Map!$A:$A,Map!F:F)</f>
        <v>Rental labor</v>
      </c>
    </row>
    <row r="265" spans="1:10" x14ac:dyDescent="0.25">
      <c r="A265">
        <v>700074</v>
      </c>
      <c r="B265" t="s">
        <v>702</v>
      </c>
      <c r="C265" s="116">
        <v>0</v>
      </c>
      <c r="D265" s="116">
        <v>0</v>
      </c>
      <c r="E265" s="116">
        <v>0</v>
      </c>
      <c r="F265" s="116">
        <v>0</v>
      </c>
      <c r="G265" s="43" t="str">
        <f>_xlfn.XLOOKUP($A265,Map!$A:$A,Map!C:C)</f>
        <v>IS</v>
      </c>
      <c r="H265" s="43" t="str">
        <f>_xlfn.XLOOKUP($A265,Map!$A:$A,Map!D:D)</f>
        <v>General and Admin</v>
      </c>
      <c r="I265" s="43" t="str">
        <f>_xlfn.XLOOKUP($A265,Map!$A:$A,Map!E:E)</f>
        <v>Inventory Adjustment Expense</v>
      </c>
      <c r="J265" s="43" t="str">
        <f>_xlfn.XLOOKUP($A265,Map!$A:$A,Map!F:F)</f>
        <v>Inventory Adjustment Expense</v>
      </c>
    </row>
    <row r="266" spans="1:10" x14ac:dyDescent="0.25">
      <c r="A266">
        <v>700075</v>
      </c>
      <c r="B266" t="s">
        <v>1094</v>
      </c>
      <c r="C266" s="116">
        <v>0</v>
      </c>
      <c r="D266" s="116">
        <v>48402.084000000003</v>
      </c>
      <c r="E266" s="116">
        <v>0</v>
      </c>
      <c r="F266" s="116">
        <v>48402.084000000003</v>
      </c>
      <c r="G266" s="43" t="str">
        <f>_xlfn.XLOOKUP($A266,Map!$A:$A,Map!C:C)</f>
        <v>IS</v>
      </c>
      <c r="H266" s="43" t="str">
        <f>_xlfn.XLOOKUP($A266,Map!$A:$A,Map!D:D)</f>
        <v>General and Admin</v>
      </c>
      <c r="I266" s="43" t="str">
        <f>_xlfn.XLOOKUP($A266,Map!$A:$A,Map!E:E)</f>
        <v>Utilities</v>
      </c>
      <c r="J266" s="43" t="str">
        <f>_xlfn.XLOOKUP($A266,Map!$A:$A,Map!F:F)</f>
        <v>Subscriptions &amp; Membership Fees</v>
      </c>
    </row>
    <row r="267" spans="1:10" x14ac:dyDescent="0.25">
      <c r="A267">
        <v>700076</v>
      </c>
      <c r="B267" t="s">
        <v>1095</v>
      </c>
      <c r="C267" s="116">
        <v>0</v>
      </c>
      <c r="D267" s="116">
        <v>5955.22</v>
      </c>
      <c r="E267" s="116">
        <v>0</v>
      </c>
      <c r="F267" s="116">
        <v>5955.22</v>
      </c>
      <c r="G267" s="43" t="str">
        <f>_xlfn.XLOOKUP($A267,Map!$A:$A,Map!C:C)</f>
        <v>IS</v>
      </c>
      <c r="H267" s="43" t="str">
        <f>_xlfn.XLOOKUP($A267,Map!$A:$A,Map!D:D)</f>
        <v>General and Admin</v>
      </c>
      <c r="I267" s="43" t="str">
        <f>_xlfn.XLOOKUP($A267,Map!$A:$A,Map!E:E)</f>
        <v>Utilities</v>
      </c>
      <c r="J267" s="43" t="str">
        <f>_xlfn.XLOOKUP($A267,Map!$A:$A,Map!F:F)</f>
        <v>Entertainment expense</v>
      </c>
    </row>
    <row r="268" spans="1:10" x14ac:dyDescent="0.25">
      <c r="A268">
        <v>700077</v>
      </c>
      <c r="B268" t="s">
        <v>1096</v>
      </c>
      <c r="C268" s="116">
        <v>0</v>
      </c>
      <c r="D268" s="116">
        <v>547824.87899999996</v>
      </c>
      <c r="E268" s="116">
        <v>0</v>
      </c>
      <c r="F268" s="116">
        <v>547824.87899999996</v>
      </c>
      <c r="G268" s="43" t="str">
        <f>_xlfn.XLOOKUP($A268,Map!$A:$A,Map!C:C)</f>
        <v>IS</v>
      </c>
      <c r="H268" s="43" t="str">
        <f>_xlfn.XLOOKUP($A268,Map!$A:$A,Map!D:D)</f>
        <v>Selling and Marketing</v>
      </c>
      <c r="I268" s="43" t="str">
        <f>_xlfn.XLOOKUP($A268,Map!$A:$A,Map!E:E)</f>
        <v>Freight and shipping expenses (S&amp;D)</v>
      </c>
      <c r="J268" s="43" t="str">
        <f>_xlfn.XLOOKUP($A268,Map!$A:$A,Map!F:F)</f>
        <v>Outbound freight / shipping — reclassified below gross profit under IFRS</v>
      </c>
    </row>
    <row r="269" spans="1:10" x14ac:dyDescent="0.25">
      <c r="A269">
        <v>800001</v>
      </c>
      <c r="B269" t="s">
        <v>1099</v>
      </c>
      <c r="C269" s="116">
        <v>0</v>
      </c>
      <c r="D269" s="116">
        <v>0</v>
      </c>
      <c r="E269" s="116">
        <v>0</v>
      </c>
      <c r="F269" s="116">
        <v>0</v>
      </c>
      <c r="G269" s="43" t="str">
        <f>_xlfn.XLOOKUP($A269,Map!$A:$A,Map!C:C)</f>
        <v>IS</v>
      </c>
      <c r="H269" s="43" t="str">
        <f>_xlfn.XLOOKUP($A269,Map!$A:$A,Map!D:D)</f>
        <v>General and Admin</v>
      </c>
      <c r="I269" s="43" t="str">
        <f>_xlfn.XLOOKUP($A269,Map!$A:$A,Map!E:E)</f>
        <v>Salaries and wages</v>
      </c>
      <c r="J269" s="43" t="str">
        <f>_xlfn.XLOOKUP($A269,Map!$A:$A,Map!F:F)</f>
        <v>Aims Holding current account expense — per Sep-26 IFRS report</v>
      </c>
    </row>
    <row r="270" spans="1:10" x14ac:dyDescent="0.25">
      <c r="A270">
        <v>800002</v>
      </c>
      <c r="B270" t="s">
        <v>1100</v>
      </c>
      <c r="C270" s="116">
        <v>0</v>
      </c>
      <c r="D270" s="116">
        <v>0</v>
      </c>
      <c r="E270" s="116">
        <v>0</v>
      </c>
      <c r="F270" s="116">
        <v>0</v>
      </c>
      <c r="G270" s="43" t="str">
        <f>_xlfn.XLOOKUP($A270,Map!$A:$A,Map!C:C)</f>
        <v>IS</v>
      </c>
      <c r="H270" s="43" t="str">
        <f>_xlfn.XLOOKUP($A270,Map!$A:$A,Map!D:D)</f>
        <v>General and Admin</v>
      </c>
      <c r="I270" s="43" t="str">
        <f>_xlfn.XLOOKUP($A270,Map!$A:$A,Map!E:E)</f>
        <v>AIMS expenses</v>
      </c>
      <c r="J270" s="43" t="str">
        <f>_xlfn.XLOOKUP($A270,Map!$A:$A,Map!F:F)</f>
        <v>Aims Holding  Current Acc</v>
      </c>
    </row>
    <row r="272" spans="1:10" x14ac:dyDescent="0.25">
      <c r="C272" s="153">
        <f>SUBTOTAL(9,C5:C271)</f>
        <v>-4.4703483581542969E-8</v>
      </c>
      <c r="D272" s="153">
        <f>SUBTOTAL(9,D5:D271)</f>
        <v>4286461673.4889998</v>
      </c>
      <c r="E272" s="153">
        <f>SUBTOTAL(9,E5:E271)</f>
        <v>4286461673.4890003</v>
      </c>
      <c r="F272" s="153">
        <f>SUBTOTAL(9,F5:F271)</f>
        <v>5.4249539971351624E-8</v>
      </c>
    </row>
    <row r="275" spans="1:10" x14ac:dyDescent="0.25">
      <c r="A275">
        <v>170021</v>
      </c>
      <c r="B275" t="s">
        <v>883</v>
      </c>
      <c r="D275" s="116">
        <v>4807450.6069999998</v>
      </c>
      <c r="F275" s="116">
        <f>D275-E275</f>
        <v>4807450.6069999998</v>
      </c>
      <c r="G275" s="43" t="str">
        <f>_xlfn.XLOOKUP($A275,Map!$A:$A,Map!C:C)</f>
        <v>BS</v>
      </c>
      <c r="H275" s="43" t="str">
        <f>_xlfn.XLOOKUP($A275,Map!$A:$A,Map!D:D)</f>
        <v>Current Assets</v>
      </c>
      <c r="I275" s="43" t="str">
        <f>_xlfn.XLOOKUP($A275,Map!$A:$A,Map!E:E)</f>
        <v>Prepaid expenses</v>
      </c>
      <c r="J275" s="43" t="str">
        <f>_xlfn.XLOOKUP($A275,Map!$A:$A,Map!F:F)</f>
        <v>Prepaid expense</v>
      </c>
    </row>
    <row r="276" spans="1:10" x14ac:dyDescent="0.25">
      <c r="A276">
        <v>210001</v>
      </c>
      <c r="B276" t="s">
        <v>902</v>
      </c>
      <c r="E276" s="116">
        <f>D275</f>
        <v>4807450.6069999998</v>
      </c>
      <c r="F276" s="116">
        <f>D276-E276</f>
        <v>-4807450.6069999998</v>
      </c>
      <c r="G276" s="43" t="str">
        <f>_xlfn.XLOOKUP($A276,Map!$A:$A,Map!C:C)</f>
        <v>BS</v>
      </c>
      <c r="H276" s="43" t="str">
        <f>_xlfn.XLOOKUP($A276,Map!$A:$A,Map!D:D)</f>
        <v>Current Liabilities</v>
      </c>
      <c r="I276" s="43" t="str">
        <f>_xlfn.XLOOKUP($A276,Map!$A:$A,Map!E:E)</f>
        <v>Tade payables and Accuals &amp; other credit balances</v>
      </c>
      <c r="J276" s="43" t="str">
        <f>_xlfn.XLOOKUP($A276,Map!$A:$A,Map!F:F)</f>
        <v>Trade payables - Foreign</v>
      </c>
    </row>
    <row r="278" spans="1:10" x14ac:dyDescent="0.25">
      <c r="A278">
        <v>410001</v>
      </c>
      <c r="B278" t="s">
        <v>1479</v>
      </c>
      <c r="D278" s="116">
        <v>38928568.840830579</v>
      </c>
      <c r="F278" s="116">
        <f t="shared" ref="F278:F283" si="0">D278-E278</f>
        <v>38928568.840830579</v>
      </c>
      <c r="G278" s="43" t="str">
        <f>_xlfn.XLOOKUP($A278,Map!$A:$A,Map!C:C)</f>
        <v>IS</v>
      </c>
      <c r="H278" s="43" t="str">
        <f>_xlfn.XLOOKUP($A278,Map!$A:$A,Map!D:D)</f>
        <v>Sales</v>
      </c>
      <c r="I278" s="43" t="str">
        <f>_xlfn.XLOOKUP($A278,Map!$A:$A,Map!E:E)</f>
        <v>Sales</v>
      </c>
      <c r="J278" s="43" t="str">
        <f>_xlfn.XLOOKUP($A278,Map!$A:$A,Map!F:F)</f>
        <v>Trading revenue</v>
      </c>
    </row>
    <row r="279" spans="1:10" x14ac:dyDescent="0.25">
      <c r="A279">
        <v>140001</v>
      </c>
      <c r="B279" t="s">
        <v>857</v>
      </c>
      <c r="F279" s="116">
        <f t="shared" si="0"/>
        <v>0</v>
      </c>
      <c r="G279" s="43" t="str">
        <f>_xlfn.XLOOKUP($A279,Map!$A:$A,Map!C:C)</f>
        <v>BS</v>
      </c>
      <c r="H279" s="43" t="str">
        <f>_xlfn.XLOOKUP($A279,Map!$A:$A,Map!D:D)</f>
        <v>Current Assets</v>
      </c>
      <c r="I279" s="43" t="str">
        <f>_xlfn.XLOOKUP($A279,Map!$A:$A,Map!E:E)</f>
        <v>Trade receivables</v>
      </c>
      <c r="J279" s="43" t="str">
        <f>_xlfn.XLOOKUP($A279,Map!$A:$A,Map!F:F)</f>
        <v>Trade receivables - current</v>
      </c>
    </row>
    <row r="280" spans="1:10" x14ac:dyDescent="0.25">
      <c r="A280">
        <v>700070</v>
      </c>
      <c r="B280" t="s">
        <v>1091</v>
      </c>
      <c r="E280" s="116">
        <f>SUMIF($A$4:$A$272,A280,$F$4:$F$272)</f>
        <v>27150560.436000001</v>
      </c>
      <c r="F280" s="116">
        <f t="shared" si="0"/>
        <v>-27150560.436000001</v>
      </c>
      <c r="G280" s="43" t="str">
        <f>_xlfn.XLOOKUP($A280,Map!$A:$A,Map!C:C)</f>
        <v>IS</v>
      </c>
      <c r="H280" s="43" t="str">
        <f>_xlfn.XLOOKUP($A280,Map!$A:$A,Map!D:D)</f>
        <v>Cost of sales</v>
      </c>
      <c r="I280" s="43" t="str">
        <f>_xlfn.XLOOKUP($A280,Map!$A:$A,Map!E:E)</f>
        <v>Customs duties and clearances</v>
      </c>
      <c r="J280" s="43" t="str">
        <f>_xlfn.XLOOKUP($A280,Map!$A:$A,Map!F:F)</f>
        <v>Customs duties</v>
      </c>
    </row>
    <row r="281" spans="1:10" x14ac:dyDescent="0.25">
      <c r="A281">
        <v>700071</v>
      </c>
      <c r="B281" t="s">
        <v>1092</v>
      </c>
      <c r="E281" s="116">
        <f>SUMIF($A$4:$A$272,A281,$F$4:$F$272)</f>
        <v>2181407.1039999998</v>
      </c>
      <c r="F281" s="116">
        <f t="shared" si="0"/>
        <v>-2181407.1039999998</v>
      </c>
      <c r="G281" s="43" t="str">
        <f>_xlfn.XLOOKUP($A281,Map!$A:$A,Map!C:C)</f>
        <v>IS</v>
      </c>
      <c r="H281" s="43" t="str">
        <f>_xlfn.XLOOKUP($A281,Map!$A:$A,Map!D:D)</f>
        <v>Cost of sales</v>
      </c>
      <c r="I281" s="43" t="str">
        <f>_xlfn.XLOOKUP($A281,Map!$A:$A,Map!E:E)</f>
        <v>Customs duties and clearances</v>
      </c>
      <c r="J281" s="43" t="str">
        <f>_xlfn.XLOOKUP($A281,Map!$A:$A,Map!F:F)</f>
        <v>Customs clearance</v>
      </c>
    </row>
    <row r="282" spans="1:10" x14ac:dyDescent="0.25">
      <c r="A282">
        <v>700067</v>
      </c>
      <c r="B282" t="s">
        <v>1088</v>
      </c>
      <c r="E282" s="116">
        <f>SUMIF($A$4:$A$272,A282,$F$4:$F$272)</f>
        <v>11075931.561000001</v>
      </c>
      <c r="F282" s="116">
        <f t="shared" si="0"/>
        <v>-11075931.561000001</v>
      </c>
      <c r="G282" s="43" t="str">
        <f>_xlfn.XLOOKUP($A282,Map!$A:$A,Map!C:C)</f>
        <v>IS</v>
      </c>
      <c r="H282" s="43" t="str">
        <f>_xlfn.XLOOKUP($A282,Map!$A:$A,Map!D:D)</f>
        <v>Selling and Marketing</v>
      </c>
      <c r="I282" s="43" t="str">
        <f>_xlfn.XLOOKUP($A282,Map!$A:$A,Map!E:E)</f>
        <v>Freight and shipping expenses (S&amp;D)</v>
      </c>
      <c r="J282" s="43" t="str">
        <f>_xlfn.XLOOKUP($A282,Map!$A:$A,Map!F:F)</f>
        <v>Outbound freight / shipping — reclassified below gross profit under IFRS</v>
      </c>
    </row>
    <row r="283" spans="1:10" x14ac:dyDescent="0.25">
      <c r="A283">
        <v>700068</v>
      </c>
      <c r="B283" t="s">
        <v>1089</v>
      </c>
      <c r="E283" s="116">
        <f>SUMIF($A$4:$A$272,A283,$F$4:$F$272)</f>
        <v>87004.12</v>
      </c>
      <c r="F283" s="116">
        <f t="shared" si="0"/>
        <v>-87004.12</v>
      </c>
      <c r="G283" s="43" t="str">
        <f>_xlfn.XLOOKUP($A283,Map!$A:$A,Map!C:C)</f>
        <v>IS</v>
      </c>
      <c r="H283" s="43" t="str">
        <f>_xlfn.XLOOKUP($A283,Map!$A:$A,Map!D:D)</f>
        <v>Cost of sales</v>
      </c>
      <c r="I283" s="43" t="str">
        <f>_xlfn.XLOOKUP($A283,Map!$A:$A,Map!E:E)</f>
        <v>Freight expenses</v>
      </c>
      <c r="J283" s="43" t="str">
        <f>_xlfn.XLOOKUP($A283,Map!$A:$A,Map!F:F)</f>
        <v>Freight expenses</v>
      </c>
    </row>
  </sheetData>
  <autoFilter ref="A4:J270" xr:uid="{00000000-0009-0000-0000-000024000000}"/>
  <pageMargins left="0.75" right="0.75" top="1" bottom="1" header="0.5" footer="0.5"/>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295"/>
  <sheetViews>
    <sheetView zoomScale="90" workbookViewId="0">
      <pane ySplit="1" topLeftCell="A2" activePane="bottomLeft" state="frozen"/>
      <selection pane="bottomLeft"/>
    </sheetView>
  </sheetViews>
  <sheetFormatPr defaultRowHeight="15" x14ac:dyDescent="0.25"/>
  <cols>
    <col min="1" max="1" width="8.85546875" customWidth="1"/>
    <col min="2" max="2" width="52.28515625" customWidth="1"/>
    <col min="3" max="3" width="10.7109375" customWidth="1"/>
    <col min="4" max="4" width="28.28515625" customWidth="1"/>
    <col min="5" max="5" width="42.5703125" customWidth="1"/>
    <col min="6" max="6" width="48.28515625" customWidth="1"/>
    <col min="7" max="7" width="8.85546875" customWidth="1"/>
    <col min="11" max="12" width="8.85546875" customWidth="1"/>
  </cols>
  <sheetData>
    <row r="1" spans="1:12" x14ac:dyDescent="0.25">
      <c r="A1" s="120" t="s">
        <v>1480</v>
      </c>
      <c r="B1" s="85" t="s">
        <v>1481</v>
      </c>
      <c r="C1" s="85" t="s">
        <v>814</v>
      </c>
      <c r="D1" s="85" t="s">
        <v>815</v>
      </c>
      <c r="E1" s="120" t="s">
        <v>722</v>
      </c>
      <c r="F1" s="120" t="s">
        <v>816</v>
      </c>
      <c r="G1" t="s">
        <v>1482</v>
      </c>
    </row>
    <row r="2" spans="1:12" x14ac:dyDescent="0.25">
      <c r="A2" s="146">
        <v>110001</v>
      </c>
      <c r="B2" t="s">
        <v>818</v>
      </c>
      <c r="C2" t="s">
        <v>1483</v>
      </c>
      <c r="D2" t="s">
        <v>1484</v>
      </c>
      <c r="E2" t="s">
        <v>734</v>
      </c>
      <c r="F2" t="s">
        <v>734</v>
      </c>
      <c r="K2" s="146">
        <v>1</v>
      </c>
      <c r="L2" t="s">
        <v>742</v>
      </c>
    </row>
    <row r="3" spans="1:12" x14ac:dyDescent="0.25">
      <c r="A3" s="146">
        <v>110002</v>
      </c>
      <c r="B3" t="s">
        <v>819</v>
      </c>
      <c r="C3" t="s">
        <v>1483</v>
      </c>
      <c r="D3" t="s">
        <v>1484</v>
      </c>
      <c r="E3" t="s">
        <v>734</v>
      </c>
      <c r="F3" t="s">
        <v>734</v>
      </c>
      <c r="K3" s="146">
        <v>3</v>
      </c>
    </row>
    <row r="4" spans="1:12" x14ac:dyDescent="0.25">
      <c r="A4" s="146">
        <v>110003</v>
      </c>
      <c r="B4" t="s">
        <v>820</v>
      </c>
      <c r="C4" t="s">
        <v>1483</v>
      </c>
      <c r="D4" t="s">
        <v>1484</v>
      </c>
      <c r="E4" t="s">
        <v>734</v>
      </c>
      <c r="F4" t="s">
        <v>734</v>
      </c>
      <c r="K4" s="146">
        <v>4</v>
      </c>
    </row>
    <row r="5" spans="1:12" x14ac:dyDescent="0.25">
      <c r="A5" s="146">
        <v>110004</v>
      </c>
      <c r="B5" t="s">
        <v>821</v>
      </c>
      <c r="C5" t="s">
        <v>1483</v>
      </c>
      <c r="D5" t="s">
        <v>1484</v>
      </c>
      <c r="E5" t="s">
        <v>734</v>
      </c>
      <c r="F5" t="s">
        <v>734</v>
      </c>
      <c r="K5" s="146">
        <v>5</v>
      </c>
    </row>
    <row r="6" spans="1:12" x14ac:dyDescent="0.25">
      <c r="A6" s="146">
        <v>110006</v>
      </c>
      <c r="B6" t="s">
        <v>822</v>
      </c>
      <c r="C6" t="s">
        <v>1483</v>
      </c>
      <c r="D6" t="s">
        <v>1484</v>
      </c>
      <c r="E6" t="s">
        <v>734</v>
      </c>
      <c r="F6" t="s">
        <v>734</v>
      </c>
      <c r="K6" s="146">
        <v>6</v>
      </c>
    </row>
    <row r="7" spans="1:12" x14ac:dyDescent="0.25">
      <c r="A7" s="146">
        <v>110007</v>
      </c>
      <c r="B7" t="s">
        <v>823</v>
      </c>
      <c r="C7" t="s">
        <v>1483</v>
      </c>
      <c r="D7" t="s">
        <v>1484</v>
      </c>
      <c r="E7" t="s">
        <v>734</v>
      </c>
      <c r="F7" t="s">
        <v>734</v>
      </c>
      <c r="K7" s="146">
        <v>7</v>
      </c>
    </row>
    <row r="8" spans="1:12" x14ac:dyDescent="0.25">
      <c r="A8" s="146">
        <v>110008</v>
      </c>
      <c r="B8" t="s">
        <v>824</v>
      </c>
      <c r="C8" t="s">
        <v>1483</v>
      </c>
      <c r="D8" t="s">
        <v>1484</v>
      </c>
      <c r="E8" t="s">
        <v>734</v>
      </c>
      <c r="F8" t="s">
        <v>734</v>
      </c>
      <c r="K8" s="146">
        <v>8</v>
      </c>
    </row>
    <row r="9" spans="1:12" x14ac:dyDescent="0.25">
      <c r="A9" s="146">
        <v>111009</v>
      </c>
      <c r="B9" t="s">
        <v>825</v>
      </c>
      <c r="C9" t="s">
        <v>1483</v>
      </c>
      <c r="D9" t="s">
        <v>1484</v>
      </c>
      <c r="E9" t="s">
        <v>735</v>
      </c>
      <c r="F9" t="s">
        <v>1485</v>
      </c>
      <c r="K9" s="146">
        <v>10</v>
      </c>
    </row>
    <row r="10" spans="1:12" x14ac:dyDescent="0.25">
      <c r="A10" s="146">
        <v>111010</v>
      </c>
      <c r="B10" t="s">
        <v>826</v>
      </c>
      <c r="C10" t="s">
        <v>1483</v>
      </c>
      <c r="D10" t="s">
        <v>1484</v>
      </c>
      <c r="E10" t="s">
        <v>734</v>
      </c>
      <c r="F10" t="s">
        <v>1486</v>
      </c>
      <c r="K10" s="146">
        <v>11</v>
      </c>
    </row>
    <row r="11" spans="1:12" x14ac:dyDescent="0.25">
      <c r="A11" s="146">
        <v>111013</v>
      </c>
      <c r="B11" t="s">
        <v>827</v>
      </c>
      <c r="C11" t="s">
        <v>1483</v>
      </c>
      <c r="D11" t="s">
        <v>1484</v>
      </c>
      <c r="E11" t="s">
        <v>734</v>
      </c>
      <c r="F11" t="s">
        <v>1486</v>
      </c>
      <c r="K11" s="146">
        <v>12</v>
      </c>
    </row>
    <row r="12" spans="1:12" x14ac:dyDescent="0.25">
      <c r="A12" s="146">
        <v>111099</v>
      </c>
      <c r="B12" t="s">
        <v>828</v>
      </c>
      <c r="C12" t="s">
        <v>1483</v>
      </c>
      <c r="D12" t="s">
        <v>1484</v>
      </c>
      <c r="E12" t="s">
        <v>734</v>
      </c>
      <c r="F12" t="s">
        <v>1486</v>
      </c>
      <c r="K12" s="146">
        <v>13</v>
      </c>
    </row>
    <row r="13" spans="1:12" x14ac:dyDescent="0.25">
      <c r="A13" s="146">
        <v>120001</v>
      </c>
      <c r="B13" t="s">
        <v>829</v>
      </c>
      <c r="C13" t="s">
        <v>1483</v>
      </c>
      <c r="D13" t="s">
        <v>1484</v>
      </c>
      <c r="E13" t="s">
        <v>734</v>
      </c>
      <c r="F13" t="s">
        <v>1486</v>
      </c>
      <c r="K13" s="146">
        <v>14</v>
      </c>
    </row>
    <row r="14" spans="1:12" x14ac:dyDescent="0.25">
      <c r="A14" s="146">
        <v>120002</v>
      </c>
      <c r="B14" t="s">
        <v>830</v>
      </c>
      <c r="C14" t="s">
        <v>1483</v>
      </c>
      <c r="D14" t="s">
        <v>1484</v>
      </c>
      <c r="E14" t="s">
        <v>734</v>
      </c>
      <c r="F14" t="s">
        <v>1486</v>
      </c>
      <c r="K14" s="146">
        <v>15</v>
      </c>
    </row>
    <row r="15" spans="1:12" x14ac:dyDescent="0.25">
      <c r="A15" s="146">
        <v>120003</v>
      </c>
      <c r="B15" t="s">
        <v>831</v>
      </c>
      <c r="C15" t="s">
        <v>1483</v>
      </c>
      <c r="D15" t="s">
        <v>1484</v>
      </c>
      <c r="E15" t="s">
        <v>734</v>
      </c>
      <c r="F15" t="s">
        <v>1486</v>
      </c>
      <c r="K15" s="146">
        <v>16</v>
      </c>
    </row>
    <row r="16" spans="1:12" x14ac:dyDescent="0.25">
      <c r="A16" s="146">
        <v>120005</v>
      </c>
      <c r="B16" t="s">
        <v>832</v>
      </c>
      <c r="C16" t="s">
        <v>1483</v>
      </c>
      <c r="D16" t="s">
        <v>1484</v>
      </c>
      <c r="E16" t="s">
        <v>734</v>
      </c>
      <c r="F16" t="s">
        <v>1486</v>
      </c>
      <c r="K16" s="146">
        <v>17</v>
      </c>
    </row>
    <row r="17" spans="1:11" x14ac:dyDescent="0.25">
      <c r="A17" s="146">
        <v>120006</v>
      </c>
      <c r="B17" t="s">
        <v>833</v>
      </c>
      <c r="C17" t="s">
        <v>1483</v>
      </c>
      <c r="D17" t="s">
        <v>1484</v>
      </c>
      <c r="E17" t="s">
        <v>734</v>
      </c>
      <c r="F17" t="s">
        <v>1486</v>
      </c>
      <c r="K17" s="146">
        <v>18</v>
      </c>
    </row>
    <row r="18" spans="1:11" x14ac:dyDescent="0.25">
      <c r="A18" s="146">
        <v>120007</v>
      </c>
      <c r="B18" t="s">
        <v>834</v>
      </c>
      <c r="C18" t="s">
        <v>1483</v>
      </c>
      <c r="D18" t="s">
        <v>1484</v>
      </c>
      <c r="E18" t="s">
        <v>734</v>
      </c>
      <c r="F18" t="s">
        <v>1486</v>
      </c>
      <c r="K18" s="146">
        <v>20</v>
      </c>
    </row>
    <row r="19" spans="1:11" x14ac:dyDescent="0.25">
      <c r="A19" s="146">
        <v>120008</v>
      </c>
      <c r="B19" t="s">
        <v>835</v>
      </c>
      <c r="C19" t="s">
        <v>1483</v>
      </c>
      <c r="D19" t="s">
        <v>1484</v>
      </c>
      <c r="E19" t="s">
        <v>735</v>
      </c>
      <c r="F19" t="s">
        <v>1487</v>
      </c>
      <c r="K19" s="146">
        <v>21</v>
      </c>
    </row>
    <row r="20" spans="1:11" x14ac:dyDescent="0.25">
      <c r="A20" s="146">
        <v>121001</v>
      </c>
      <c r="B20" t="s">
        <v>836</v>
      </c>
      <c r="C20" t="s">
        <v>1483</v>
      </c>
      <c r="D20" t="s">
        <v>1488</v>
      </c>
      <c r="E20" t="s">
        <v>741</v>
      </c>
      <c r="F20" t="s">
        <v>1489</v>
      </c>
      <c r="K20" s="146">
        <v>22</v>
      </c>
    </row>
    <row r="21" spans="1:11" x14ac:dyDescent="0.25">
      <c r="A21" s="146">
        <v>121002</v>
      </c>
      <c r="B21" t="s">
        <v>837</v>
      </c>
      <c r="C21" t="s">
        <v>1483</v>
      </c>
      <c r="D21" t="s">
        <v>1488</v>
      </c>
      <c r="E21" t="s">
        <v>741</v>
      </c>
      <c r="F21" t="s">
        <v>1490</v>
      </c>
      <c r="K21" s="146">
        <v>23</v>
      </c>
    </row>
    <row r="22" spans="1:11" x14ac:dyDescent="0.25">
      <c r="A22" s="146">
        <v>121003</v>
      </c>
      <c r="B22" t="s">
        <v>1104</v>
      </c>
      <c r="C22" t="s">
        <v>1483</v>
      </c>
      <c r="D22" t="s">
        <v>1488</v>
      </c>
      <c r="E22" t="s">
        <v>739</v>
      </c>
      <c r="F22" t="s">
        <v>1491</v>
      </c>
    </row>
    <row r="23" spans="1:11" x14ac:dyDescent="0.25">
      <c r="A23" s="146">
        <v>130001</v>
      </c>
      <c r="B23" t="s">
        <v>838</v>
      </c>
      <c r="C23" t="s">
        <v>1483</v>
      </c>
      <c r="D23" t="s">
        <v>1488</v>
      </c>
      <c r="E23" t="s">
        <v>742</v>
      </c>
      <c r="F23" t="s">
        <v>1492</v>
      </c>
      <c r="K23" s="146">
        <v>27</v>
      </c>
    </row>
    <row r="24" spans="1:11" x14ac:dyDescent="0.25">
      <c r="A24" s="146">
        <v>130002</v>
      </c>
      <c r="B24" t="s">
        <v>1205</v>
      </c>
      <c r="C24" t="s">
        <v>1483</v>
      </c>
      <c r="D24" t="s">
        <v>1488</v>
      </c>
      <c r="E24" t="s">
        <v>742</v>
      </c>
      <c r="F24" t="s">
        <v>1492</v>
      </c>
      <c r="K24" s="146">
        <v>28</v>
      </c>
    </row>
    <row r="25" spans="1:11" x14ac:dyDescent="0.25">
      <c r="A25" s="146">
        <v>130003</v>
      </c>
      <c r="B25" t="s">
        <v>840</v>
      </c>
      <c r="C25" t="s">
        <v>1483</v>
      </c>
      <c r="D25" t="s">
        <v>1488</v>
      </c>
      <c r="E25" t="s">
        <v>742</v>
      </c>
      <c r="F25" t="s">
        <v>1492</v>
      </c>
      <c r="K25" s="146">
        <v>29</v>
      </c>
    </row>
    <row r="26" spans="1:11" x14ac:dyDescent="0.25">
      <c r="A26" s="146">
        <v>130004</v>
      </c>
      <c r="B26" t="s">
        <v>841</v>
      </c>
      <c r="C26" t="s">
        <v>1483</v>
      </c>
      <c r="D26" t="s">
        <v>1488</v>
      </c>
      <c r="E26" t="s">
        <v>742</v>
      </c>
      <c r="F26" t="s">
        <v>1492</v>
      </c>
      <c r="K26" s="146">
        <v>30</v>
      </c>
    </row>
    <row r="27" spans="1:11" x14ac:dyDescent="0.25">
      <c r="A27" s="146">
        <v>130005</v>
      </c>
      <c r="B27" t="s">
        <v>842</v>
      </c>
      <c r="C27" t="s">
        <v>1483</v>
      </c>
      <c r="D27" t="s">
        <v>1488</v>
      </c>
      <c r="E27" t="s">
        <v>742</v>
      </c>
      <c r="F27" t="s">
        <v>1492</v>
      </c>
      <c r="K27" s="146">
        <v>31</v>
      </c>
    </row>
    <row r="28" spans="1:11" x14ac:dyDescent="0.25">
      <c r="A28" s="146">
        <v>130006</v>
      </c>
      <c r="B28" t="s">
        <v>843</v>
      </c>
      <c r="C28" t="s">
        <v>1483</v>
      </c>
      <c r="D28" t="s">
        <v>1488</v>
      </c>
      <c r="E28" t="s">
        <v>742</v>
      </c>
      <c r="F28" t="s">
        <v>1492</v>
      </c>
      <c r="K28" s="146" t="s">
        <v>1493</v>
      </c>
    </row>
    <row r="29" spans="1:11" x14ac:dyDescent="0.25">
      <c r="A29" s="146">
        <v>130007</v>
      </c>
      <c r="B29" t="s">
        <v>844</v>
      </c>
      <c r="C29" t="s">
        <v>1483</v>
      </c>
      <c r="D29" t="s">
        <v>1488</v>
      </c>
      <c r="E29" t="s">
        <v>742</v>
      </c>
      <c r="F29" t="s">
        <v>1492</v>
      </c>
    </row>
    <row r="30" spans="1:11" x14ac:dyDescent="0.25">
      <c r="A30" s="146">
        <v>130008</v>
      </c>
      <c r="B30" t="s">
        <v>845</v>
      </c>
      <c r="C30" t="s">
        <v>1483</v>
      </c>
      <c r="D30" t="s">
        <v>1488</v>
      </c>
      <c r="E30" t="s">
        <v>742</v>
      </c>
      <c r="F30" t="s">
        <v>1492</v>
      </c>
    </row>
    <row r="31" spans="1:11" x14ac:dyDescent="0.25">
      <c r="A31" s="146">
        <v>130009</v>
      </c>
      <c r="B31" t="s">
        <v>846</v>
      </c>
      <c r="C31" t="s">
        <v>1483</v>
      </c>
      <c r="D31" t="s">
        <v>1488</v>
      </c>
      <c r="E31" t="s">
        <v>742</v>
      </c>
      <c r="F31" t="s">
        <v>1492</v>
      </c>
    </row>
    <row r="32" spans="1:11" x14ac:dyDescent="0.25">
      <c r="A32" s="146">
        <v>130010</v>
      </c>
      <c r="B32" t="s">
        <v>847</v>
      </c>
      <c r="C32" t="s">
        <v>1483</v>
      </c>
      <c r="D32" t="s">
        <v>1488</v>
      </c>
      <c r="E32" t="s">
        <v>742</v>
      </c>
      <c r="F32" t="s">
        <v>1492</v>
      </c>
    </row>
    <row r="33" spans="1:6" x14ac:dyDescent="0.25">
      <c r="A33" s="146">
        <v>130011</v>
      </c>
      <c r="B33" t="s">
        <v>848</v>
      </c>
      <c r="C33" t="s">
        <v>1483</v>
      </c>
      <c r="D33" t="s">
        <v>1488</v>
      </c>
      <c r="E33" t="s">
        <v>742</v>
      </c>
      <c r="F33" t="s">
        <v>1492</v>
      </c>
    </row>
    <row r="34" spans="1:6" x14ac:dyDescent="0.25">
      <c r="A34" s="146">
        <v>130012</v>
      </c>
      <c r="B34" t="s">
        <v>849</v>
      </c>
      <c r="C34" t="s">
        <v>1483</v>
      </c>
      <c r="D34" t="s">
        <v>1488</v>
      </c>
      <c r="E34" t="s">
        <v>742</v>
      </c>
      <c r="F34" t="s">
        <v>1492</v>
      </c>
    </row>
    <row r="35" spans="1:6" x14ac:dyDescent="0.25">
      <c r="A35" s="146">
        <v>130013</v>
      </c>
      <c r="B35" t="s">
        <v>1206</v>
      </c>
      <c r="C35" t="s">
        <v>1483</v>
      </c>
      <c r="D35" t="s">
        <v>1488</v>
      </c>
      <c r="E35" t="s">
        <v>742</v>
      </c>
      <c r="F35" t="s">
        <v>1492</v>
      </c>
    </row>
    <row r="36" spans="1:6" x14ac:dyDescent="0.25">
      <c r="A36" s="146">
        <v>130014</v>
      </c>
      <c r="B36" t="s">
        <v>851</v>
      </c>
      <c r="C36" t="s">
        <v>1483</v>
      </c>
      <c r="D36" t="s">
        <v>1488</v>
      </c>
      <c r="E36" t="s">
        <v>742</v>
      </c>
      <c r="F36" t="s">
        <v>1492</v>
      </c>
    </row>
    <row r="37" spans="1:6" x14ac:dyDescent="0.25">
      <c r="A37" s="146">
        <v>130015</v>
      </c>
      <c r="B37" t="s">
        <v>852</v>
      </c>
      <c r="C37" t="s">
        <v>1483</v>
      </c>
      <c r="D37" t="s">
        <v>1488</v>
      </c>
      <c r="E37" t="s">
        <v>742</v>
      </c>
      <c r="F37" t="s">
        <v>1492</v>
      </c>
    </row>
    <row r="38" spans="1:6" x14ac:dyDescent="0.25">
      <c r="A38" s="146">
        <v>130016</v>
      </c>
      <c r="B38" t="s">
        <v>853</v>
      </c>
      <c r="C38" t="s">
        <v>1483</v>
      </c>
      <c r="D38" t="s">
        <v>1488</v>
      </c>
      <c r="E38" t="s">
        <v>742</v>
      </c>
      <c r="F38" t="s">
        <v>1492</v>
      </c>
    </row>
    <row r="39" spans="1:6" x14ac:dyDescent="0.25">
      <c r="A39" s="146">
        <v>130099</v>
      </c>
      <c r="B39" t="s">
        <v>856</v>
      </c>
      <c r="C39" t="s">
        <v>1483</v>
      </c>
      <c r="D39" t="s">
        <v>1488</v>
      </c>
      <c r="E39" t="s">
        <v>742</v>
      </c>
      <c r="F39" t="s">
        <v>1492</v>
      </c>
    </row>
    <row r="40" spans="1:6" x14ac:dyDescent="0.25">
      <c r="A40" s="146">
        <v>140001</v>
      </c>
      <c r="B40" t="s">
        <v>857</v>
      </c>
      <c r="C40" t="s">
        <v>1483</v>
      </c>
      <c r="D40" t="s">
        <v>1488</v>
      </c>
      <c r="E40" t="s">
        <v>739</v>
      </c>
      <c r="F40" t="s">
        <v>1494</v>
      </c>
    </row>
    <row r="41" spans="1:6" x14ac:dyDescent="0.25">
      <c r="A41" s="146">
        <v>140010</v>
      </c>
      <c r="B41" t="s">
        <v>858</v>
      </c>
      <c r="C41" t="s">
        <v>1483</v>
      </c>
      <c r="D41" t="s">
        <v>1488</v>
      </c>
      <c r="E41" t="s">
        <v>739</v>
      </c>
      <c r="F41" t="s">
        <v>1494</v>
      </c>
    </row>
    <row r="42" spans="1:6" x14ac:dyDescent="0.25">
      <c r="A42" s="146">
        <v>150001</v>
      </c>
      <c r="B42" t="s">
        <v>859</v>
      </c>
      <c r="C42" t="s">
        <v>1483</v>
      </c>
      <c r="D42" t="s">
        <v>1488</v>
      </c>
      <c r="E42" t="s">
        <v>741</v>
      </c>
      <c r="F42" t="s">
        <v>1495</v>
      </c>
    </row>
    <row r="43" spans="1:6" x14ac:dyDescent="0.25">
      <c r="A43" s="146">
        <v>150002</v>
      </c>
      <c r="B43" t="s">
        <v>860</v>
      </c>
      <c r="C43" t="s">
        <v>1483</v>
      </c>
      <c r="D43" t="s">
        <v>1496</v>
      </c>
      <c r="E43" t="s">
        <v>754</v>
      </c>
      <c r="F43" t="s">
        <v>754</v>
      </c>
    </row>
    <row r="44" spans="1:6" x14ac:dyDescent="0.25">
      <c r="A44" s="146">
        <v>160001</v>
      </c>
      <c r="B44" t="s">
        <v>861</v>
      </c>
      <c r="C44" t="s">
        <v>1483</v>
      </c>
      <c r="D44" t="s">
        <v>1488</v>
      </c>
      <c r="E44" t="s">
        <v>742</v>
      </c>
      <c r="F44" t="s">
        <v>1497</v>
      </c>
    </row>
    <row r="45" spans="1:6" x14ac:dyDescent="0.25">
      <c r="A45" s="146">
        <v>170000</v>
      </c>
      <c r="B45" t="s">
        <v>862</v>
      </c>
      <c r="C45" t="s">
        <v>1483</v>
      </c>
      <c r="D45" t="s">
        <v>1498</v>
      </c>
      <c r="E45" t="s">
        <v>759</v>
      </c>
      <c r="F45" t="s">
        <v>1499</v>
      </c>
    </row>
    <row r="46" spans="1:6" x14ac:dyDescent="0.25">
      <c r="A46" s="146">
        <v>170001</v>
      </c>
      <c r="B46" t="s">
        <v>863</v>
      </c>
      <c r="C46" t="s">
        <v>1483</v>
      </c>
      <c r="D46" t="s">
        <v>1498</v>
      </c>
      <c r="E46" t="s">
        <v>759</v>
      </c>
      <c r="F46" t="s">
        <v>1499</v>
      </c>
    </row>
    <row r="47" spans="1:6" x14ac:dyDescent="0.25">
      <c r="A47" s="146">
        <v>170002</v>
      </c>
      <c r="B47" t="s">
        <v>864</v>
      </c>
      <c r="C47" t="s">
        <v>1483</v>
      </c>
      <c r="D47" t="s">
        <v>1498</v>
      </c>
      <c r="E47" t="s">
        <v>759</v>
      </c>
      <c r="F47" t="s">
        <v>1499</v>
      </c>
    </row>
    <row r="48" spans="1:6" x14ac:dyDescent="0.25">
      <c r="A48" s="146">
        <v>170003</v>
      </c>
      <c r="B48" t="s">
        <v>865</v>
      </c>
      <c r="C48" t="s">
        <v>1483</v>
      </c>
      <c r="D48" t="s">
        <v>1498</v>
      </c>
      <c r="E48" t="s">
        <v>759</v>
      </c>
      <c r="F48" t="s">
        <v>1499</v>
      </c>
    </row>
    <row r="49" spans="1:6" x14ac:dyDescent="0.25">
      <c r="A49" s="146">
        <v>170004</v>
      </c>
      <c r="B49" t="s">
        <v>866</v>
      </c>
      <c r="C49" t="s">
        <v>1483</v>
      </c>
      <c r="D49" t="s">
        <v>1498</v>
      </c>
      <c r="E49" t="s">
        <v>759</v>
      </c>
      <c r="F49" t="s">
        <v>1499</v>
      </c>
    </row>
    <row r="50" spans="1:6" x14ac:dyDescent="0.25">
      <c r="A50" s="146">
        <v>170005</v>
      </c>
      <c r="B50" t="s">
        <v>867</v>
      </c>
      <c r="C50" t="s">
        <v>1483</v>
      </c>
      <c r="D50" t="s">
        <v>1488</v>
      </c>
      <c r="E50" t="s">
        <v>741</v>
      </c>
      <c r="F50" t="s">
        <v>1500</v>
      </c>
    </row>
    <row r="51" spans="1:6" x14ac:dyDescent="0.25">
      <c r="A51" s="146">
        <v>170006</v>
      </c>
      <c r="B51" t="s">
        <v>868</v>
      </c>
      <c r="C51" t="s">
        <v>1483</v>
      </c>
      <c r="D51" t="s">
        <v>1488</v>
      </c>
      <c r="E51" t="s">
        <v>741</v>
      </c>
      <c r="F51" t="s">
        <v>1500</v>
      </c>
    </row>
    <row r="52" spans="1:6" x14ac:dyDescent="0.25">
      <c r="A52" s="146">
        <v>170007</v>
      </c>
      <c r="B52" t="s">
        <v>869</v>
      </c>
      <c r="C52" t="s">
        <v>1483</v>
      </c>
      <c r="D52" t="s">
        <v>1488</v>
      </c>
      <c r="E52" t="s">
        <v>741</v>
      </c>
      <c r="F52" t="s">
        <v>1500</v>
      </c>
    </row>
    <row r="53" spans="1:6" x14ac:dyDescent="0.25">
      <c r="A53" s="146">
        <v>170008</v>
      </c>
      <c r="B53" t="s">
        <v>870</v>
      </c>
      <c r="C53" t="s">
        <v>1483</v>
      </c>
      <c r="D53" t="s">
        <v>1488</v>
      </c>
      <c r="E53" t="s">
        <v>741</v>
      </c>
      <c r="F53" t="s">
        <v>1500</v>
      </c>
    </row>
    <row r="54" spans="1:6" x14ac:dyDescent="0.25">
      <c r="A54" s="146">
        <v>170009</v>
      </c>
      <c r="B54" t="s">
        <v>871</v>
      </c>
      <c r="C54" t="s">
        <v>1483</v>
      </c>
      <c r="D54" t="s">
        <v>1488</v>
      </c>
      <c r="E54" t="s">
        <v>741</v>
      </c>
      <c r="F54" t="s">
        <v>693</v>
      </c>
    </row>
    <row r="55" spans="1:6" x14ac:dyDescent="0.25">
      <c r="A55" s="146">
        <v>170010</v>
      </c>
      <c r="B55" t="s">
        <v>872</v>
      </c>
      <c r="C55" t="s">
        <v>1483</v>
      </c>
      <c r="D55" t="s">
        <v>1488</v>
      </c>
      <c r="E55" t="s">
        <v>741</v>
      </c>
      <c r="F55" t="s">
        <v>1501</v>
      </c>
    </row>
    <row r="56" spans="1:6" x14ac:dyDescent="0.25">
      <c r="A56" s="146">
        <v>170011</v>
      </c>
      <c r="B56" t="s">
        <v>873</v>
      </c>
      <c r="C56" t="s">
        <v>1483</v>
      </c>
      <c r="D56" t="s">
        <v>1488</v>
      </c>
      <c r="E56" t="s">
        <v>741</v>
      </c>
      <c r="F56" t="s">
        <v>1502</v>
      </c>
    </row>
    <row r="57" spans="1:6" x14ac:dyDescent="0.25">
      <c r="A57" s="146">
        <v>170012</v>
      </c>
      <c r="B57" t="s">
        <v>874</v>
      </c>
      <c r="C57" t="s">
        <v>1483</v>
      </c>
      <c r="D57" t="s">
        <v>1488</v>
      </c>
      <c r="E57" t="s">
        <v>741</v>
      </c>
      <c r="F57" t="s">
        <v>1503</v>
      </c>
    </row>
    <row r="58" spans="1:6" x14ac:dyDescent="0.25">
      <c r="A58" s="146">
        <v>170013</v>
      </c>
      <c r="B58" t="s">
        <v>875</v>
      </c>
      <c r="C58" t="s">
        <v>1483</v>
      </c>
      <c r="D58" t="s">
        <v>1488</v>
      </c>
      <c r="E58" t="s">
        <v>741</v>
      </c>
      <c r="F58" t="s">
        <v>1504</v>
      </c>
    </row>
    <row r="59" spans="1:6" x14ac:dyDescent="0.25">
      <c r="A59" s="146">
        <v>170014</v>
      </c>
      <c r="B59" t="s">
        <v>876</v>
      </c>
      <c r="C59" t="s">
        <v>1483</v>
      </c>
      <c r="D59" t="s">
        <v>1488</v>
      </c>
      <c r="E59" t="s">
        <v>741</v>
      </c>
      <c r="F59" t="s">
        <v>1504</v>
      </c>
    </row>
    <row r="60" spans="1:6" x14ac:dyDescent="0.25">
      <c r="A60" s="146">
        <v>170015</v>
      </c>
      <c r="B60" t="s">
        <v>877</v>
      </c>
      <c r="C60" t="s">
        <v>1483</v>
      </c>
      <c r="D60" t="s">
        <v>1488</v>
      </c>
      <c r="E60" t="s">
        <v>741</v>
      </c>
      <c r="F60" t="s">
        <v>681</v>
      </c>
    </row>
    <row r="61" spans="1:6" x14ac:dyDescent="0.25">
      <c r="A61" s="146">
        <v>170016</v>
      </c>
      <c r="B61" t="s">
        <v>878</v>
      </c>
      <c r="C61" t="s">
        <v>1483</v>
      </c>
      <c r="D61" t="s">
        <v>1488</v>
      </c>
      <c r="E61" t="s">
        <v>741</v>
      </c>
      <c r="F61" t="s">
        <v>1505</v>
      </c>
    </row>
    <row r="62" spans="1:6" x14ac:dyDescent="0.25">
      <c r="A62" s="146">
        <v>170017</v>
      </c>
      <c r="B62" t="s">
        <v>879</v>
      </c>
      <c r="C62" t="s">
        <v>1483</v>
      </c>
      <c r="D62" t="s">
        <v>1488</v>
      </c>
      <c r="E62" t="s">
        <v>741</v>
      </c>
      <c r="F62" t="s">
        <v>1506</v>
      </c>
    </row>
    <row r="63" spans="1:6" x14ac:dyDescent="0.25">
      <c r="A63" s="146">
        <v>170018</v>
      </c>
      <c r="B63" t="s">
        <v>880</v>
      </c>
      <c r="C63" t="s">
        <v>1483</v>
      </c>
      <c r="D63" t="s">
        <v>1488</v>
      </c>
      <c r="E63" t="s">
        <v>741</v>
      </c>
      <c r="F63" t="s">
        <v>1505</v>
      </c>
    </row>
    <row r="64" spans="1:6" x14ac:dyDescent="0.25">
      <c r="A64" s="146">
        <v>170019</v>
      </c>
      <c r="B64" t="s">
        <v>881</v>
      </c>
      <c r="C64" t="s">
        <v>1483</v>
      </c>
      <c r="D64" t="s">
        <v>1488</v>
      </c>
      <c r="E64" t="s">
        <v>741</v>
      </c>
      <c r="F64" t="s">
        <v>1505</v>
      </c>
    </row>
    <row r="65" spans="1:6" x14ac:dyDescent="0.25">
      <c r="A65" s="146">
        <v>170020</v>
      </c>
      <c r="B65" t="s">
        <v>882</v>
      </c>
      <c r="C65" t="s">
        <v>1483</v>
      </c>
      <c r="D65" t="s">
        <v>1488</v>
      </c>
      <c r="E65" t="s">
        <v>741</v>
      </c>
      <c r="F65" t="s">
        <v>1504</v>
      </c>
    </row>
    <row r="66" spans="1:6" x14ac:dyDescent="0.25">
      <c r="A66" s="146">
        <v>170021</v>
      </c>
      <c r="B66" t="s">
        <v>883</v>
      </c>
      <c r="C66" t="s">
        <v>1483</v>
      </c>
      <c r="D66" t="s">
        <v>1488</v>
      </c>
      <c r="E66" t="s">
        <v>741</v>
      </c>
      <c r="F66" t="s">
        <v>1507</v>
      </c>
    </row>
    <row r="67" spans="1:6" x14ac:dyDescent="0.25">
      <c r="A67" s="146">
        <v>180001</v>
      </c>
      <c r="B67" t="s">
        <v>884</v>
      </c>
      <c r="C67" t="s">
        <v>1483</v>
      </c>
      <c r="D67" t="s">
        <v>1488</v>
      </c>
      <c r="E67" t="s">
        <v>738</v>
      </c>
      <c r="F67" t="s">
        <v>1508</v>
      </c>
    </row>
    <row r="68" spans="1:6" x14ac:dyDescent="0.25">
      <c r="A68" s="146">
        <v>180002</v>
      </c>
      <c r="B68" t="s">
        <v>885</v>
      </c>
      <c r="C68" t="s">
        <v>1483</v>
      </c>
      <c r="D68" t="s">
        <v>1488</v>
      </c>
      <c r="E68" t="s">
        <v>738</v>
      </c>
      <c r="F68" t="s">
        <v>1508</v>
      </c>
    </row>
    <row r="69" spans="1:6" x14ac:dyDescent="0.25">
      <c r="A69" s="146">
        <v>180003</v>
      </c>
      <c r="B69" t="s">
        <v>886</v>
      </c>
      <c r="C69" t="s">
        <v>1483</v>
      </c>
      <c r="D69" t="s">
        <v>1488</v>
      </c>
      <c r="E69" t="s">
        <v>738</v>
      </c>
      <c r="F69" t="s">
        <v>1509</v>
      </c>
    </row>
    <row r="70" spans="1:6" x14ac:dyDescent="0.25">
      <c r="A70" s="146">
        <v>180004</v>
      </c>
      <c r="B70" t="s">
        <v>887</v>
      </c>
      <c r="C70" t="s">
        <v>1483</v>
      </c>
      <c r="D70" t="s">
        <v>1488</v>
      </c>
      <c r="E70" t="s">
        <v>738</v>
      </c>
      <c r="F70" t="s">
        <v>1508</v>
      </c>
    </row>
    <row r="71" spans="1:6" x14ac:dyDescent="0.25">
      <c r="A71" s="146">
        <v>180005</v>
      </c>
      <c r="B71" t="s">
        <v>888</v>
      </c>
      <c r="C71" t="s">
        <v>1483</v>
      </c>
      <c r="D71" t="s">
        <v>1488</v>
      </c>
      <c r="E71" t="s">
        <v>738</v>
      </c>
      <c r="F71" t="s">
        <v>1508</v>
      </c>
    </row>
    <row r="72" spans="1:6" x14ac:dyDescent="0.25">
      <c r="A72" s="146">
        <v>180006</v>
      </c>
      <c r="B72" t="s">
        <v>889</v>
      </c>
      <c r="C72" t="s">
        <v>1483</v>
      </c>
      <c r="D72" t="s">
        <v>1488</v>
      </c>
      <c r="E72" t="s">
        <v>738</v>
      </c>
      <c r="F72" t="s">
        <v>1508</v>
      </c>
    </row>
    <row r="73" spans="1:6" x14ac:dyDescent="0.25">
      <c r="A73" s="146">
        <v>180007</v>
      </c>
      <c r="B73" t="s">
        <v>890</v>
      </c>
      <c r="C73" t="s">
        <v>1483</v>
      </c>
      <c r="D73" t="s">
        <v>1488</v>
      </c>
      <c r="E73" t="s">
        <v>738</v>
      </c>
      <c r="F73" t="s">
        <v>1508</v>
      </c>
    </row>
    <row r="74" spans="1:6" x14ac:dyDescent="0.25">
      <c r="A74" s="146">
        <v>180008</v>
      </c>
      <c r="B74" t="s">
        <v>891</v>
      </c>
      <c r="C74" t="s">
        <v>1483</v>
      </c>
      <c r="D74" t="s">
        <v>1488</v>
      </c>
      <c r="E74" t="s">
        <v>738</v>
      </c>
      <c r="F74" t="s">
        <v>1508</v>
      </c>
    </row>
    <row r="75" spans="1:6" x14ac:dyDescent="0.25">
      <c r="A75" s="146">
        <v>180009</v>
      </c>
      <c r="B75" t="s">
        <v>892</v>
      </c>
      <c r="C75" t="s">
        <v>1483</v>
      </c>
      <c r="D75" t="s">
        <v>1488</v>
      </c>
      <c r="E75" t="s">
        <v>738</v>
      </c>
      <c r="F75" t="s">
        <v>1508</v>
      </c>
    </row>
    <row r="76" spans="1:6" x14ac:dyDescent="0.25">
      <c r="A76" s="146">
        <v>180010</v>
      </c>
      <c r="B76" t="s">
        <v>893</v>
      </c>
      <c r="C76" t="s">
        <v>1483</v>
      </c>
      <c r="D76" t="s">
        <v>1488</v>
      </c>
      <c r="E76" t="s">
        <v>738</v>
      </c>
      <c r="F76" t="s">
        <v>1510</v>
      </c>
    </row>
    <row r="77" spans="1:6" x14ac:dyDescent="0.25">
      <c r="A77" s="146">
        <v>180011</v>
      </c>
      <c r="B77" t="s">
        <v>894</v>
      </c>
      <c r="C77" t="s">
        <v>1483</v>
      </c>
      <c r="D77" t="s">
        <v>1488</v>
      </c>
      <c r="E77" t="s">
        <v>738</v>
      </c>
      <c r="F77" t="s">
        <v>1511</v>
      </c>
    </row>
    <row r="78" spans="1:6" x14ac:dyDescent="0.25">
      <c r="A78" s="146">
        <v>180012</v>
      </c>
      <c r="B78" t="s">
        <v>895</v>
      </c>
      <c r="C78" t="s">
        <v>1483</v>
      </c>
      <c r="D78" t="s">
        <v>1488</v>
      </c>
      <c r="E78" t="s">
        <v>738</v>
      </c>
      <c r="F78" t="s">
        <v>1512</v>
      </c>
    </row>
    <row r="79" spans="1:6" x14ac:dyDescent="0.25">
      <c r="A79" s="146">
        <v>180013</v>
      </c>
      <c r="B79" t="s">
        <v>896</v>
      </c>
      <c r="C79" t="s">
        <v>1483</v>
      </c>
      <c r="D79" t="s">
        <v>1488</v>
      </c>
      <c r="E79" t="s">
        <v>738</v>
      </c>
      <c r="F79" t="s">
        <v>1511</v>
      </c>
    </row>
    <row r="80" spans="1:6" x14ac:dyDescent="0.25">
      <c r="A80" s="146">
        <v>180014</v>
      </c>
      <c r="B80" t="s">
        <v>897</v>
      </c>
      <c r="C80" t="s">
        <v>1483</v>
      </c>
      <c r="D80" t="s">
        <v>1488</v>
      </c>
      <c r="E80" t="s">
        <v>738</v>
      </c>
      <c r="F80" t="s">
        <v>1512</v>
      </c>
    </row>
    <row r="81" spans="1:6" x14ac:dyDescent="0.25">
      <c r="A81" s="146">
        <v>180096</v>
      </c>
      <c r="B81" t="s">
        <v>898</v>
      </c>
      <c r="C81" t="s">
        <v>1483</v>
      </c>
      <c r="D81" t="s">
        <v>1488</v>
      </c>
      <c r="E81" t="s">
        <v>738</v>
      </c>
      <c r="F81" t="s">
        <v>1512</v>
      </c>
    </row>
    <row r="82" spans="1:6" x14ac:dyDescent="0.25">
      <c r="A82" s="146">
        <v>180097</v>
      </c>
      <c r="B82" t="s">
        <v>899</v>
      </c>
      <c r="C82" t="s">
        <v>1483</v>
      </c>
      <c r="D82" t="s">
        <v>1488</v>
      </c>
      <c r="E82" t="s">
        <v>738</v>
      </c>
      <c r="F82" t="s">
        <v>1512</v>
      </c>
    </row>
    <row r="83" spans="1:6" x14ac:dyDescent="0.25">
      <c r="A83" s="146">
        <v>180098</v>
      </c>
      <c r="B83" t="s">
        <v>900</v>
      </c>
      <c r="C83" t="s">
        <v>1483</v>
      </c>
      <c r="D83" t="s">
        <v>1488</v>
      </c>
      <c r="E83" t="s">
        <v>738</v>
      </c>
      <c r="F83" t="s">
        <v>1512</v>
      </c>
    </row>
    <row r="84" spans="1:6" x14ac:dyDescent="0.25">
      <c r="A84" s="146">
        <v>180099</v>
      </c>
      <c r="B84" t="s">
        <v>901</v>
      </c>
      <c r="C84" t="s">
        <v>1483</v>
      </c>
      <c r="D84" t="s">
        <v>1488</v>
      </c>
      <c r="E84" t="s">
        <v>738</v>
      </c>
      <c r="F84" t="s">
        <v>1513</v>
      </c>
    </row>
    <row r="85" spans="1:6" x14ac:dyDescent="0.25">
      <c r="A85" s="146">
        <v>210001</v>
      </c>
      <c r="B85" t="s">
        <v>902</v>
      </c>
      <c r="C85" t="s">
        <v>1483</v>
      </c>
      <c r="D85" t="s">
        <v>1498</v>
      </c>
      <c r="E85" t="s">
        <v>760</v>
      </c>
      <c r="F85" t="s">
        <v>1514</v>
      </c>
    </row>
    <row r="86" spans="1:6" x14ac:dyDescent="0.25">
      <c r="A86" s="146">
        <v>210002</v>
      </c>
      <c r="B86" t="s">
        <v>903</v>
      </c>
      <c r="C86" t="s">
        <v>1483</v>
      </c>
      <c r="D86" t="s">
        <v>1498</v>
      </c>
      <c r="E86" t="s">
        <v>760</v>
      </c>
      <c r="F86" t="s">
        <v>1515</v>
      </c>
    </row>
    <row r="87" spans="1:6" x14ac:dyDescent="0.25">
      <c r="A87" s="146">
        <v>220001</v>
      </c>
      <c r="B87" t="s">
        <v>904</v>
      </c>
      <c r="C87" t="s">
        <v>1483</v>
      </c>
      <c r="D87" t="s">
        <v>1498</v>
      </c>
      <c r="E87" t="s">
        <v>759</v>
      </c>
      <c r="F87" t="s">
        <v>1516</v>
      </c>
    </row>
    <row r="88" spans="1:6" x14ac:dyDescent="0.25">
      <c r="A88" s="146">
        <v>220002</v>
      </c>
      <c r="B88" t="s">
        <v>905</v>
      </c>
      <c r="C88" t="s">
        <v>1483</v>
      </c>
      <c r="D88" t="s">
        <v>1498</v>
      </c>
      <c r="E88" t="s">
        <v>759</v>
      </c>
      <c r="F88" t="s">
        <v>1516</v>
      </c>
    </row>
    <row r="89" spans="1:6" x14ac:dyDescent="0.25">
      <c r="A89" s="146">
        <v>220003</v>
      </c>
      <c r="B89" t="s">
        <v>906</v>
      </c>
      <c r="C89" t="s">
        <v>1483</v>
      </c>
      <c r="D89" t="s">
        <v>1498</v>
      </c>
      <c r="E89" t="s">
        <v>759</v>
      </c>
      <c r="F89" t="s">
        <v>1516</v>
      </c>
    </row>
    <row r="90" spans="1:6" x14ac:dyDescent="0.25">
      <c r="A90" s="146">
        <v>220004</v>
      </c>
      <c r="B90" t="s">
        <v>907</v>
      </c>
      <c r="C90" t="s">
        <v>1483</v>
      </c>
      <c r="D90" t="s">
        <v>1498</v>
      </c>
      <c r="E90" t="s">
        <v>759</v>
      </c>
      <c r="F90" t="s">
        <v>1516</v>
      </c>
    </row>
    <row r="91" spans="1:6" x14ac:dyDescent="0.25">
      <c r="A91" s="146">
        <v>220005</v>
      </c>
      <c r="B91" t="s">
        <v>908</v>
      </c>
      <c r="C91" t="s">
        <v>1483</v>
      </c>
      <c r="D91" t="s">
        <v>1498</v>
      </c>
      <c r="E91" t="s">
        <v>759</v>
      </c>
      <c r="F91" t="s">
        <v>1516</v>
      </c>
    </row>
    <row r="92" spans="1:6" x14ac:dyDescent="0.25">
      <c r="A92" s="146">
        <v>220006</v>
      </c>
      <c r="B92" t="s">
        <v>909</v>
      </c>
      <c r="C92" t="s">
        <v>1483</v>
      </c>
      <c r="D92" t="s">
        <v>1498</v>
      </c>
      <c r="E92" t="s">
        <v>759</v>
      </c>
      <c r="F92" t="s">
        <v>1516</v>
      </c>
    </row>
    <row r="93" spans="1:6" x14ac:dyDescent="0.25">
      <c r="A93" s="146">
        <v>220007</v>
      </c>
      <c r="B93" t="s">
        <v>910</v>
      </c>
      <c r="C93" t="s">
        <v>1483</v>
      </c>
      <c r="D93" t="s">
        <v>1498</v>
      </c>
      <c r="E93" t="s">
        <v>759</v>
      </c>
      <c r="F93" t="s">
        <v>1516</v>
      </c>
    </row>
    <row r="94" spans="1:6" x14ac:dyDescent="0.25">
      <c r="A94" s="146">
        <v>230001</v>
      </c>
      <c r="B94" t="s">
        <v>911</v>
      </c>
      <c r="C94" t="s">
        <v>1483</v>
      </c>
      <c r="D94" t="s">
        <v>1498</v>
      </c>
      <c r="E94" t="s">
        <v>760</v>
      </c>
      <c r="F94" t="s">
        <v>1491</v>
      </c>
    </row>
    <row r="95" spans="1:6" x14ac:dyDescent="0.25">
      <c r="A95" s="146">
        <v>240001</v>
      </c>
      <c r="B95" t="s">
        <v>912</v>
      </c>
      <c r="C95" t="s">
        <v>1483</v>
      </c>
      <c r="D95" t="s">
        <v>1498</v>
      </c>
      <c r="E95" t="s">
        <v>760</v>
      </c>
      <c r="F95" t="s">
        <v>1261</v>
      </c>
    </row>
    <row r="96" spans="1:6" x14ac:dyDescent="0.25">
      <c r="A96" s="146">
        <v>240002</v>
      </c>
      <c r="B96" t="s">
        <v>913</v>
      </c>
      <c r="C96" t="s">
        <v>1483</v>
      </c>
      <c r="D96" t="s">
        <v>1498</v>
      </c>
      <c r="E96" t="s">
        <v>760</v>
      </c>
      <c r="F96" t="s">
        <v>1517</v>
      </c>
    </row>
    <row r="97" spans="1:6" x14ac:dyDescent="0.25">
      <c r="A97" s="146">
        <v>240003</v>
      </c>
      <c r="B97" t="s">
        <v>914</v>
      </c>
      <c r="C97" t="s">
        <v>1483</v>
      </c>
      <c r="D97" t="s">
        <v>1496</v>
      </c>
      <c r="E97" t="s">
        <v>756</v>
      </c>
      <c r="F97" t="s">
        <v>1518</v>
      </c>
    </row>
    <row r="98" spans="1:6" x14ac:dyDescent="0.25">
      <c r="A98" s="146">
        <v>250001</v>
      </c>
      <c r="B98" t="s">
        <v>915</v>
      </c>
      <c r="C98" t="s">
        <v>1483</v>
      </c>
      <c r="D98" t="s">
        <v>1498</v>
      </c>
      <c r="E98" t="s">
        <v>760</v>
      </c>
      <c r="F98" t="s">
        <v>1519</v>
      </c>
    </row>
    <row r="99" spans="1:6" x14ac:dyDescent="0.25">
      <c r="A99" s="146">
        <v>250002</v>
      </c>
      <c r="B99" t="s">
        <v>916</v>
      </c>
      <c r="C99" t="s">
        <v>1483</v>
      </c>
      <c r="D99" t="s">
        <v>1498</v>
      </c>
      <c r="E99" t="s">
        <v>760</v>
      </c>
      <c r="F99" t="s">
        <v>1520</v>
      </c>
    </row>
    <row r="100" spans="1:6" x14ac:dyDescent="0.25">
      <c r="A100" s="146">
        <v>250003</v>
      </c>
      <c r="B100" t="s">
        <v>917</v>
      </c>
      <c r="C100" t="s">
        <v>1483</v>
      </c>
      <c r="D100" t="s">
        <v>1498</v>
      </c>
      <c r="E100" t="s">
        <v>761</v>
      </c>
      <c r="F100" t="s">
        <v>761</v>
      </c>
    </row>
    <row r="101" spans="1:6" x14ac:dyDescent="0.25">
      <c r="A101" s="146">
        <v>250004</v>
      </c>
      <c r="B101" t="s">
        <v>918</v>
      </c>
      <c r="C101" t="s">
        <v>1483</v>
      </c>
      <c r="D101" t="s">
        <v>1498</v>
      </c>
      <c r="E101" t="s">
        <v>760</v>
      </c>
      <c r="F101" t="s">
        <v>1521</v>
      </c>
    </row>
    <row r="102" spans="1:6" x14ac:dyDescent="0.25">
      <c r="A102" s="146">
        <v>250005</v>
      </c>
      <c r="B102" t="s">
        <v>919</v>
      </c>
      <c r="C102" t="s">
        <v>1483</v>
      </c>
      <c r="D102" t="s">
        <v>1498</v>
      </c>
      <c r="E102" t="s">
        <v>760</v>
      </c>
      <c r="F102" t="s">
        <v>1522</v>
      </c>
    </row>
    <row r="103" spans="1:6" x14ac:dyDescent="0.25">
      <c r="A103" s="146">
        <v>250006</v>
      </c>
      <c r="B103" t="s">
        <v>920</v>
      </c>
      <c r="C103" t="s">
        <v>1483</v>
      </c>
      <c r="D103" t="s">
        <v>1498</v>
      </c>
      <c r="E103" t="s">
        <v>760</v>
      </c>
      <c r="F103" t="s">
        <v>1523</v>
      </c>
    </row>
    <row r="104" spans="1:6" x14ac:dyDescent="0.25">
      <c r="A104" s="146">
        <v>250007</v>
      </c>
      <c r="B104" t="s">
        <v>1130</v>
      </c>
      <c r="C104" t="s">
        <v>1483</v>
      </c>
      <c r="D104" t="s">
        <v>1498</v>
      </c>
      <c r="E104" t="s">
        <v>760</v>
      </c>
      <c r="F104" t="s">
        <v>1130</v>
      </c>
    </row>
    <row r="105" spans="1:6" x14ac:dyDescent="0.25">
      <c r="A105" s="146">
        <v>260001</v>
      </c>
      <c r="B105" t="s">
        <v>922</v>
      </c>
      <c r="C105" t="s">
        <v>1483</v>
      </c>
      <c r="D105" t="s">
        <v>1524</v>
      </c>
      <c r="E105" t="s">
        <v>747</v>
      </c>
      <c r="F105" t="s">
        <v>747</v>
      </c>
    </row>
    <row r="106" spans="1:6" x14ac:dyDescent="0.25">
      <c r="A106" s="146">
        <v>260002</v>
      </c>
      <c r="B106" t="s">
        <v>923</v>
      </c>
      <c r="C106" t="s">
        <v>1483</v>
      </c>
      <c r="D106" t="s">
        <v>1496</v>
      </c>
      <c r="E106" t="s">
        <v>754</v>
      </c>
      <c r="F106" t="s">
        <v>754</v>
      </c>
    </row>
    <row r="107" spans="1:6" x14ac:dyDescent="0.25">
      <c r="A107" s="146">
        <v>260003</v>
      </c>
      <c r="B107" t="s">
        <v>924</v>
      </c>
      <c r="C107" t="s">
        <v>1483</v>
      </c>
      <c r="D107" t="s">
        <v>1488</v>
      </c>
      <c r="E107" t="s">
        <v>739</v>
      </c>
      <c r="F107" t="s">
        <v>1525</v>
      </c>
    </row>
    <row r="108" spans="1:6" x14ac:dyDescent="0.25">
      <c r="A108" s="146">
        <v>260004</v>
      </c>
      <c r="B108" t="s">
        <v>925</v>
      </c>
      <c r="C108" t="s">
        <v>1483</v>
      </c>
      <c r="D108" t="s">
        <v>1488</v>
      </c>
      <c r="E108" t="s">
        <v>738</v>
      </c>
      <c r="F108" t="s">
        <v>1526</v>
      </c>
    </row>
    <row r="109" spans="1:6" x14ac:dyDescent="0.25">
      <c r="A109" s="146">
        <v>260005</v>
      </c>
      <c r="B109" t="s">
        <v>926</v>
      </c>
      <c r="C109" t="s">
        <v>1483</v>
      </c>
      <c r="D109" t="s">
        <v>1496</v>
      </c>
      <c r="E109" t="s">
        <v>757</v>
      </c>
      <c r="F109" t="s">
        <v>757</v>
      </c>
    </row>
    <row r="110" spans="1:6" x14ac:dyDescent="0.25">
      <c r="A110" s="146">
        <v>260006</v>
      </c>
      <c r="B110" t="s">
        <v>927</v>
      </c>
      <c r="C110" t="s">
        <v>1483</v>
      </c>
      <c r="D110" t="s">
        <v>1498</v>
      </c>
      <c r="E110" t="s">
        <v>760</v>
      </c>
      <c r="F110" t="s">
        <v>1523</v>
      </c>
    </row>
    <row r="111" spans="1:6" x14ac:dyDescent="0.25">
      <c r="A111" s="146">
        <v>270001</v>
      </c>
      <c r="B111" t="s">
        <v>929</v>
      </c>
      <c r="C111" t="s">
        <v>1483</v>
      </c>
      <c r="D111" t="s">
        <v>1496</v>
      </c>
      <c r="E111" t="s">
        <v>753</v>
      </c>
      <c r="F111" t="s">
        <v>1527</v>
      </c>
    </row>
    <row r="112" spans="1:6" x14ac:dyDescent="0.25">
      <c r="A112" s="146">
        <v>270002</v>
      </c>
      <c r="B112" t="s">
        <v>930</v>
      </c>
      <c r="C112" t="s">
        <v>1483</v>
      </c>
      <c r="D112" t="s">
        <v>1498</v>
      </c>
      <c r="E112" t="s">
        <v>760</v>
      </c>
      <c r="F112" t="s">
        <v>1528</v>
      </c>
    </row>
    <row r="113" spans="1:6" x14ac:dyDescent="0.25">
      <c r="A113" s="146">
        <v>270003</v>
      </c>
      <c r="B113" t="s">
        <v>931</v>
      </c>
      <c r="C113" t="s">
        <v>1483</v>
      </c>
      <c r="D113" t="s">
        <v>1498</v>
      </c>
      <c r="E113" t="s">
        <v>760</v>
      </c>
      <c r="F113" t="s">
        <v>1528</v>
      </c>
    </row>
    <row r="114" spans="1:6" x14ac:dyDescent="0.25">
      <c r="A114" s="146">
        <v>270004</v>
      </c>
      <c r="B114" t="s">
        <v>932</v>
      </c>
      <c r="C114" t="s">
        <v>1483</v>
      </c>
      <c r="D114" t="s">
        <v>1498</v>
      </c>
      <c r="E114" t="s">
        <v>760</v>
      </c>
      <c r="F114" t="s">
        <v>1528</v>
      </c>
    </row>
    <row r="115" spans="1:6" x14ac:dyDescent="0.25">
      <c r="A115" s="146">
        <v>270005</v>
      </c>
      <c r="B115" t="s">
        <v>933</v>
      </c>
      <c r="C115" t="s">
        <v>1483</v>
      </c>
      <c r="D115" t="s">
        <v>1496</v>
      </c>
      <c r="E115" t="s">
        <v>753</v>
      </c>
      <c r="F115" t="s">
        <v>1529</v>
      </c>
    </row>
    <row r="116" spans="1:6" x14ac:dyDescent="0.25">
      <c r="A116" s="146">
        <v>270006</v>
      </c>
      <c r="B116" t="s">
        <v>1135</v>
      </c>
      <c r="C116" t="s">
        <v>1483</v>
      </c>
      <c r="D116" t="s">
        <v>1484</v>
      </c>
      <c r="E116" t="s">
        <v>736</v>
      </c>
      <c r="F116" t="s">
        <v>1530</v>
      </c>
    </row>
    <row r="117" spans="1:6" x14ac:dyDescent="0.25">
      <c r="A117" s="146">
        <v>310001</v>
      </c>
      <c r="B117" t="s">
        <v>934</v>
      </c>
      <c r="C117" t="s">
        <v>1483</v>
      </c>
      <c r="D117" t="s">
        <v>1524</v>
      </c>
      <c r="E117" t="s">
        <v>749</v>
      </c>
      <c r="F117" t="s">
        <v>749</v>
      </c>
    </row>
    <row r="118" spans="1:6" x14ac:dyDescent="0.25">
      <c r="A118" s="146">
        <v>330001</v>
      </c>
      <c r="B118" t="s">
        <v>935</v>
      </c>
      <c r="C118" t="s">
        <v>1483</v>
      </c>
      <c r="D118" t="s">
        <v>1524</v>
      </c>
      <c r="E118" t="s">
        <v>749</v>
      </c>
      <c r="F118" t="s">
        <v>749</v>
      </c>
    </row>
    <row r="119" spans="1:6" x14ac:dyDescent="0.25">
      <c r="A119" s="146">
        <v>330002</v>
      </c>
      <c r="B119" t="s">
        <v>936</v>
      </c>
      <c r="C119" t="s">
        <v>1483</v>
      </c>
      <c r="D119" t="s">
        <v>1524</v>
      </c>
      <c r="E119" t="s">
        <v>745</v>
      </c>
      <c r="F119" t="s">
        <v>745</v>
      </c>
    </row>
    <row r="120" spans="1:6" x14ac:dyDescent="0.25">
      <c r="A120" s="146">
        <v>330003</v>
      </c>
      <c r="B120" t="s">
        <v>937</v>
      </c>
      <c r="C120" t="s">
        <v>1483</v>
      </c>
      <c r="D120" t="s">
        <v>1524</v>
      </c>
      <c r="E120" t="s">
        <v>746</v>
      </c>
      <c r="F120" t="s">
        <v>746</v>
      </c>
    </row>
    <row r="121" spans="1:6" x14ac:dyDescent="0.25">
      <c r="A121" s="146">
        <v>330004</v>
      </c>
      <c r="B121" t="s">
        <v>1137</v>
      </c>
      <c r="C121" t="s">
        <v>1483</v>
      </c>
      <c r="D121" t="s">
        <v>1496</v>
      </c>
      <c r="E121" t="s">
        <v>753</v>
      </c>
      <c r="F121" t="s">
        <v>1531</v>
      </c>
    </row>
    <row r="122" spans="1:6" x14ac:dyDescent="0.25">
      <c r="A122" s="146">
        <v>410001</v>
      </c>
      <c r="B122" t="s">
        <v>938</v>
      </c>
      <c r="C122" t="s">
        <v>1532</v>
      </c>
      <c r="D122" t="s">
        <v>641</v>
      </c>
      <c r="E122" t="s">
        <v>641</v>
      </c>
      <c r="F122" t="s">
        <v>1533</v>
      </c>
    </row>
    <row r="123" spans="1:6" x14ac:dyDescent="0.25">
      <c r="A123" s="146">
        <v>410002</v>
      </c>
      <c r="B123" t="s">
        <v>939</v>
      </c>
      <c r="C123" t="s">
        <v>1532</v>
      </c>
      <c r="D123" t="s">
        <v>641</v>
      </c>
      <c r="E123" t="s">
        <v>641</v>
      </c>
      <c r="F123" t="s">
        <v>1533</v>
      </c>
    </row>
    <row r="124" spans="1:6" x14ac:dyDescent="0.25">
      <c r="A124" s="146">
        <v>410003</v>
      </c>
      <c r="B124" t="s">
        <v>940</v>
      </c>
      <c r="C124" t="s">
        <v>1532</v>
      </c>
      <c r="D124" t="s">
        <v>641</v>
      </c>
      <c r="E124" t="s">
        <v>641</v>
      </c>
      <c r="F124" t="s">
        <v>1533</v>
      </c>
    </row>
    <row r="125" spans="1:6" x14ac:dyDescent="0.25">
      <c r="A125" s="146">
        <v>410004</v>
      </c>
      <c r="B125" t="s">
        <v>941</v>
      </c>
      <c r="C125" t="s">
        <v>1532</v>
      </c>
      <c r="D125" t="s">
        <v>641</v>
      </c>
      <c r="E125" t="s">
        <v>641</v>
      </c>
      <c r="F125" t="s">
        <v>1534</v>
      </c>
    </row>
    <row r="126" spans="1:6" x14ac:dyDescent="0.25">
      <c r="A126" s="146">
        <v>420001</v>
      </c>
      <c r="B126" t="s">
        <v>942</v>
      </c>
      <c r="C126" t="s">
        <v>1532</v>
      </c>
      <c r="D126" t="s">
        <v>641</v>
      </c>
      <c r="E126" t="s">
        <v>641</v>
      </c>
      <c r="F126" t="s">
        <v>710</v>
      </c>
    </row>
    <row r="127" spans="1:6" x14ac:dyDescent="0.25">
      <c r="A127" s="146">
        <v>420002</v>
      </c>
      <c r="B127" t="s">
        <v>943</v>
      </c>
      <c r="C127" t="s">
        <v>1532</v>
      </c>
      <c r="D127" t="s">
        <v>711</v>
      </c>
      <c r="E127" t="s">
        <v>711</v>
      </c>
      <c r="F127" t="s">
        <v>1535</v>
      </c>
    </row>
    <row r="128" spans="1:6" x14ac:dyDescent="0.25">
      <c r="A128" s="146">
        <v>420003</v>
      </c>
      <c r="B128" t="s">
        <v>944</v>
      </c>
      <c r="C128" t="s">
        <v>1532</v>
      </c>
      <c r="D128" t="s">
        <v>641</v>
      </c>
      <c r="E128" t="s">
        <v>641</v>
      </c>
      <c r="F128" t="s">
        <v>1534</v>
      </c>
    </row>
    <row r="129" spans="1:6" x14ac:dyDescent="0.25">
      <c r="A129" s="146">
        <v>510001</v>
      </c>
      <c r="B129" t="s">
        <v>945</v>
      </c>
      <c r="C129" t="s">
        <v>1532</v>
      </c>
      <c r="D129" t="s">
        <v>642</v>
      </c>
      <c r="E129" t="s">
        <v>643</v>
      </c>
      <c r="F129" t="s">
        <v>643</v>
      </c>
    </row>
    <row r="130" spans="1:6" x14ac:dyDescent="0.25">
      <c r="A130" s="146">
        <v>510002</v>
      </c>
      <c r="B130" t="s">
        <v>946</v>
      </c>
      <c r="C130" t="s">
        <v>1532</v>
      </c>
      <c r="D130" t="s">
        <v>642</v>
      </c>
      <c r="E130" t="s">
        <v>645</v>
      </c>
      <c r="F130" t="s">
        <v>645</v>
      </c>
    </row>
    <row r="131" spans="1:6" x14ac:dyDescent="0.25">
      <c r="A131" s="146">
        <v>510003</v>
      </c>
      <c r="B131" t="s">
        <v>947</v>
      </c>
      <c r="C131" t="s">
        <v>1532</v>
      </c>
      <c r="D131" t="s">
        <v>642</v>
      </c>
      <c r="E131" t="s">
        <v>643</v>
      </c>
      <c r="F131" t="s">
        <v>643</v>
      </c>
    </row>
    <row r="132" spans="1:6" x14ac:dyDescent="0.25">
      <c r="A132" s="146">
        <v>510004</v>
      </c>
      <c r="B132" t="s">
        <v>948</v>
      </c>
      <c r="C132" t="s">
        <v>1532</v>
      </c>
      <c r="D132" t="s">
        <v>642</v>
      </c>
      <c r="E132" t="s">
        <v>643</v>
      </c>
      <c r="F132" t="s">
        <v>1536</v>
      </c>
    </row>
    <row r="133" spans="1:6" x14ac:dyDescent="0.25">
      <c r="A133" s="146">
        <v>510005</v>
      </c>
      <c r="B133" t="s">
        <v>949</v>
      </c>
      <c r="C133" t="s">
        <v>1532</v>
      </c>
      <c r="D133" t="s">
        <v>642</v>
      </c>
      <c r="E133" t="s">
        <v>643</v>
      </c>
      <c r="F133" t="s">
        <v>1536</v>
      </c>
    </row>
    <row r="134" spans="1:6" x14ac:dyDescent="0.25">
      <c r="A134" s="146">
        <v>520001</v>
      </c>
      <c r="B134" t="s">
        <v>950</v>
      </c>
      <c r="C134" t="s">
        <v>1532</v>
      </c>
      <c r="D134" t="s">
        <v>642</v>
      </c>
      <c r="E134" t="s">
        <v>645</v>
      </c>
      <c r="F134" t="s">
        <v>681</v>
      </c>
    </row>
    <row r="135" spans="1:6" x14ac:dyDescent="0.25">
      <c r="A135" s="146">
        <v>520002</v>
      </c>
      <c r="B135" t="s">
        <v>951</v>
      </c>
      <c r="C135" t="s">
        <v>1532</v>
      </c>
      <c r="D135" t="s">
        <v>642</v>
      </c>
      <c r="E135" t="s">
        <v>645</v>
      </c>
      <c r="F135" t="s">
        <v>1537</v>
      </c>
    </row>
    <row r="136" spans="1:6" x14ac:dyDescent="0.25">
      <c r="A136" s="146">
        <v>520003</v>
      </c>
      <c r="B136" t="s">
        <v>952</v>
      </c>
      <c r="C136" t="s">
        <v>1532</v>
      </c>
      <c r="D136" t="s">
        <v>642</v>
      </c>
      <c r="E136" t="s">
        <v>645</v>
      </c>
      <c r="F136" t="s">
        <v>1538</v>
      </c>
    </row>
    <row r="137" spans="1:6" x14ac:dyDescent="0.25">
      <c r="A137" s="146">
        <v>520004</v>
      </c>
      <c r="B137" t="s">
        <v>957</v>
      </c>
      <c r="C137" t="s">
        <v>1532</v>
      </c>
      <c r="D137" t="s">
        <v>642</v>
      </c>
      <c r="E137" t="s">
        <v>645</v>
      </c>
      <c r="F137" t="s">
        <v>1539</v>
      </c>
    </row>
    <row r="138" spans="1:6" x14ac:dyDescent="0.25">
      <c r="A138" s="146">
        <v>520005</v>
      </c>
      <c r="B138" t="s">
        <v>954</v>
      </c>
      <c r="C138" t="s">
        <v>1532</v>
      </c>
      <c r="D138" t="s">
        <v>642</v>
      </c>
      <c r="E138" t="s">
        <v>645</v>
      </c>
      <c r="F138" t="s">
        <v>1540</v>
      </c>
    </row>
    <row r="139" spans="1:6" x14ac:dyDescent="0.25">
      <c r="A139" s="146">
        <v>520006</v>
      </c>
      <c r="B139" t="s">
        <v>955</v>
      </c>
      <c r="C139" t="s">
        <v>1532</v>
      </c>
      <c r="D139" t="s">
        <v>642</v>
      </c>
      <c r="E139" t="s">
        <v>645</v>
      </c>
      <c r="F139" t="s">
        <v>1541</v>
      </c>
    </row>
    <row r="140" spans="1:6" x14ac:dyDescent="0.25">
      <c r="A140" s="146">
        <v>520010</v>
      </c>
      <c r="B140" t="s">
        <v>956</v>
      </c>
      <c r="C140" t="s">
        <v>1532</v>
      </c>
      <c r="D140" t="s">
        <v>642</v>
      </c>
      <c r="E140" t="s">
        <v>645</v>
      </c>
      <c r="F140" t="s">
        <v>681</v>
      </c>
    </row>
    <row r="141" spans="1:6" x14ac:dyDescent="0.25">
      <c r="A141" s="146">
        <v>520011</v>
      </c>
      <c r="B141" t="s">
        <v>951</v>
      </c>
      <c r="C141" t="s">
        <v>1532</v>
      </c>
      <c r="D141" t="s">
        <v>642</v>
      </c>
      <c r="E141" t="s">
        <v>645</v>
      </c>
      <c r="F141" t="s">
        <v>1537</v>
      </c>
    </row>
    <row r="142" spans="1:6" x14ac:dyDescent="0.25">
      <c r="A142" s="146">
        <v>520013</v>
      </c>
      <c r="B142" t="s">
        <v>957</v>
      </c>
      <c r="C142" t="s">
        <v>1532</v>
      </c>
      <c r="D142" t="s">
        <v>642</v>
      </c>
      <c r="E142" t="s">
        <v>645</v>
      </c>
      <c r="F142" t="s">
        <v>1539</v>
      </c>
    </row>
    <row r="143" spans="1:6" x14ac:dyDescent="0.25">
      <c r="A143" s="146">
        <v>520014</v>
      </c>
      <c r="B143" t="s">
        <v>954</v>
      </c>
      <c r="C143" t="s">
        <v>1532</v>
      </c>
      <c r="D143" t="s">
        <v>642</v>
      </c>
      <c r="E143" t="s">
        <v>645</v>
      </c>
      <c r="F143" t="s">
        <v>1540</v>
      </c>
    </row>
    <row r="144" spans="1:6" x14ac:dyDescent="0.25">
      <c r="A144" s="146">
        <v>520015</v>
      </c>
      <c r="B144" t="s">
        <v>958</v>
      </c>
      <c r="C144" t="s">
        <v>1532</v>
      </c>
      <c r="D144" t="s">
        <v>642</v>
      </c>
      <c r="E144" t="s">
        <v>645</v>
      </c>
      <c r="F144" t="s">
        <v>1539</v>
      </c>
    </row>
    <row r="145" spans="1:6" x14ac:dyDescent="0.25">
      <c r="A145" s="146">
        <v>520017</v>
      </c>
      <c r="B145" t="s">
        <v>959</v>
      </c>
      <c r="C145" t="s">
        <v>1532</v>
      </c>
      <c r="D145" t="s">
        <v>642</v>
      </c>
      <c r="E145" t="s">
        <v>645</v>
      </c>
      <c r="F145" t="s">
        <v>1502</v>
      </c>
    </row>
    <row r="146" spans="1:6" x14ac:dyDescent="0.25">
      <c r="A146" s="146">
        <v>520019</v>
      </c>
      <c r="B146" t="s">
        <v>960</v>
      </c>
      <c r="C146" t="s">
        <v>1532</v>
      </c>
      <c r="D146" t="s">
        <v>642</v>
      </c>
      <c r="E146" t="s">
        <v>645</v>
      </c>
      <c r="F146" t="s">
        <v>1539</v>
      </c>
    </row>
    <row r="147" spans="1:6" x14ac:dyDescent="0.25">
      <c r="A147" s="146">
        <v>520020</v>
      </c>
      <c r="B147" t="s">
        <v>961</v>
      </c>
      <c r="C147" t="s">
        <v>1532</v>
      </c>
      <c r="D147" t="s">
        <v>642</v>
      </c>
      <c r="E147" t="s">
        <v>645</v>
      </c>
      <c r="F147" t="s">
        <v>1539</v>
      </c>
    </row>
    <row r="148" spans="1:6" x14ac:dyDescent="0.25">
      <c r="A148" s="146">
        <v>520021</v>
      </c>
      <c r="B148" t="s">
        <v>962</v>
      </c>
      <c r="C148" t="s">
        <v>1532</v>
      </c>
      <c r="D148" t="s">
        <v>642</v>
      </c>
      <c r="E148" t="s">
        <v>645</v>
      </c>
      <c r="F148" t="s">
        <v>1541</v>
      </c>
    </row>
    <row r="149" spans="1:6" x14ac:dyDescent="0.25">
      <c r="A149" s="146">
        <v>520022</v>
      </c>
      <c r="B149" t="s">
        <v>963</v>
      </c>
      <c r="C149" t="s">
        <v>1532</v>
      </c>
      <c r="D149" t="s">
        <v>642</v>
      </c>
      <c r="E149" t="s">
        <v>645</v>
      </c>
      <c r="F149" t="s">
        <v>1542</v>
      </c>
    </row>
    <row r="150" spans="1:6" x14ac:dyDescent="0.25">
      <c r="A150" s="146">
        <v>520023</v>
      </c>
      <c r="B150" t="s">
        <v>964</v>
      </c>
      <c r="C150" t="s">
        <v>1532</v>
      </c>
      <c r="D150" t="s">
        <v>642</v>
      </c>
      <c r="E150" t="s">
        <v>645</v>
      </c>
      <c r="F150" t="s">
        <v>1541</v>
      </c>
    </row>
    <row r="151" spans="1:6" x14ac:dyDescent="0.25">
      <c r="A151" s="146">
        <v>520032</v>
      </c>
      <c r="B151" t="s">
        <v>965</v>
      </c>
      <c r="C151" t="s">
        <v>1532</v>
      </c>
      <c r="D151" t="s">
        <v>642</v>
      </c>
      <c r="E151" t="s">
        <v>643</v>
      </c>
      <c r="F151" t="s">
        <v>1543</v>
      </c>
    </row>
    <row r="152" spans="1:6" x14ac:dyDescent="0.25">
      <c r="A152" s="146">
        <v>520036</v>
      </c>
      <c r="B152" t="s">
        <v>966</v>
      </c>
      <c r="C152" t="s">
        <v>1532</v>
      </c>
      <c r="D152" t="s">
        <v>642</v>
      </c>
      <c r="E152" t="s">
        <v>643</v>
      </c>
      <c r="F152" t="s">
        <v>643</v>
      </c>
    </row>
    <row r="153" spans="1:6" x14ac:dyDescent="0.25">
      <c r="A153" s="146">
        <v>520037</v>
      </c>
      <c r="B153" t="s">
        <v>967</v>
      </c>
      <c r="C153" t="s">
        <v>1532</v>
      </c>
      <c r="D153" t="s">
        <v>642</v>
      </c>
      <c r="E153" t="s">
        <v>643</v>
      </c>
      <c r="F153" t="s">
        <v>643</v>
      </c>
    </row>
    <row r="154" spans="1:6" x14ac:dyDescent="0.25">
      <c r="A154" s="157">
        <v>520040</v>
      </c>
      <c r="B154" s="149" t="s">
        <v>969</v>
      </c>
      <c r="C154" s="149" t="s">
        <v>1532</v>
      </c>
      <c r="D154" s="149" t="s">
        <v>642</v>
      </c>
      <c r="E154" s="149" t="s">
        <v>643</v>
      </c>
      <c r="F154" s="149" t="s">
        <v>1536</v>
      </c>
    </row>
    <row r="155" spans="1:6" x14ac:dyDescent="0.25">
      <c r="A155" s="157">
        <v>520041</v>
      </c>
      <c r="B155" s="149" t="s">
        <v>970</v>
      </c>
      <c r="C155" s="149" t="s">
        <v>1532</v>
      </c>
      <c r="D155" s="149" t="s">
        <v>642</v>
      </c>
      <c r="E155" s="149" t="s">
        <v>643</v>
      </c>
      <c r="F155" s="149" t="s">
        <v>1536</v>
      </c>
    </row>
    <row r="156" spans="1:6" x14ac:dyDescent="0.25">
      <c r="A156" s="146">
        <v>520042</v>
      </c>
      <c r="B156" t="s">
        <v>971</v>
      </c>
      <c r="C156" t="s">
        <v>1532</v>
      </c>
      <c r="D156" t="s">
        <v>642</v>
      </c>
      <c r="E156" t="s">
        <v>643</v>
      </c>
      <c r="F156" t="s">
        <v>971</v>
      </c>
    </row>
    <row r="157" spans="1:6" x14ac:dyDescent="0.25">
      <c r="A157" s="146">
        <v>600001</v>
      </c>
      <c r="B157" t="s">
        <v>979</v>
      </c>
      <c r="C157" s="209" t="s">
        <v>1532</v>
      </c>
      <c r="D157" s="209" t="s">
        <v>642</v>
      </c>
      <c r="E157" s="209" t="s">
        <v>656</v>
      </c>
      <c r="F157" s="209" t="s">
        <v>1544</v>
      </c>
    </row>
    <row r="158" spans="1:6" x14ac:dyDescent="0.25">
      <c r="A158" s="146">
        <v>600002</v>
      </c>
      <c r="B158" t="s">
        <v>980</v>
      </c>
      <c r="C158" t="s">
        <v>1532</v>
      </c>
      <c r="D158" t="s">
        <v>642</v>
      </c>
      <c r="E158" t="s">
        <v>656</v>
      </c>
      <c r="F158" t="s">
        <v>1537</v>
      </c>
    </row>
    <row r="159" spans="1:6" x14ac:dyDescent="0.25">
      <c r="A159" s="146">
        <v>600003</v>
      </c>
      <c r="B159" t="s">
        <v>981</v>
      </c>
      <c r="C159" t="s">
        <v>1532</v>
      </c>
      <c r="D159" t="s">
        <v>642</v>
      </c>
      <c r="E159" t="s">
        <v>656</v>
      </c>
      <c r="F159" t="s">
        <v>1545</v>
      </c>
    </row>
    <row r="160" spans="1:6" x14ac:dyDescent="0.25">
      <c r="A160" s="146">
        <v>600004</v>
      </c>
      <c r="B160" t="s">
        <v>982</v>
      </c>
      <c r="C160" t="s">
        <v>1532</v>
      </c>
      <c r="D160" t="s">
        <v>642</v>
      </c>
      <c r="E160" t="s">
        <v>656</v>
      </c>
      <c r="F160" t="s">
        <v>1541</v>
      </c>
    </row>
    <row r="161" spans="1:6" x14ac:dyDescent="0.25">
      <c r="A161" s="146">
        <v>600005</v>
      </c>
      <c r="B161" t="s">
        <v>983</v>
      </c>
      <c r="C161" t="s">
        <v>1532</v>
      </c>
      <c r="D161" t="s">
        <v>1234</v>
      </c>
      <c r="E161" t="s">
        <v>691</v>
      </c>
      <c r="F161" t="s">
        <v>1546</v>
      </c>
    </row>
    <row r="162" spans="1:6" x14ac:dyDescent="0.25">
      <c r="A162" s="146">
        <v>600006</v>
      </c>
      <c r="B162" t="s">
        <v>984</v>
      </c>
      <c r="C162" t="s">
        <v>1532</v>
      </c>
      <c r="D162" t="s">
        <v>642</v>
      </c>
      <c r="E162" t="s">
        <v>656</v>
      </c>
      <c r="F162" t="s">
        <v>1545</v>
      </c>
    </row>
    <row r="163" spans="1:6" x14ac:dyDescent="0.25">
      <c r="A163" s="146">
        <v>600007</v>
      </c>
      <c r="B163" t="s">
        <v>985</v>
      </c>
      <c r="C163" t="s">
        <v>1532</v>
      </c>
      <c r="D163" t="s">
        <v>642</v>
      </c>
      <c r="E163" t="s">
        <v>656</v>
      </c>
      <c r="F163" t="s">
        <v>1538</v>
      </c>
    </row>
    <row r="164" spans="1:6" x14ac:dyDescent="0.25">
      <c r="A164" s="146">
        <v>600008</v>
      </c>
      <c r="B164" t="s">
        <v>986</v>
      </c>
      <c r="C164" t="s">
        <v>1532</v>
      </c>
      <c r="D164" t="s">
        <v>642</v>
      </c>
      <c r="E164" t="s">
        <v>656</v>
      </c>
      <c r="F164" t="s">
        <v>1502</v>
      </c>
    </row>
    <row r="165" spans="1:6" x14ac:dyDescent="0.25">
      <c r="A165" s="146">
        <v>600009</v>
      </c>
      <c r="B165" t="s">
        <v>987</v>
      </c>
      <c r="C165" t="s">
        <v>1532</v>
      </c>
      <c r="D165" t="s">
        <v>642</v>
      </c>
      <c r="E165" t="s">
        <v>656</v>
      </c>
      <c r="F165" t="s">
        <v>1547</v>
      </c>
    </row>
    <row r="166" spans="1:6" x14ac:dyDescent="0.25">
      <c r="A166" s="146">
        <v>600010</v>
      </c>
      <c r="B166" t="s">
        <v>988</v>
      </c>
      <c r="C166" t="s">
        <v>1532</v>
      </c>
      <c r="D166" t="s">
        <v>642</v>
      </c>
      <c r="E166" t="s">
        <v>656</v>
      </c>
      <c r="F166" t="s">
        <v>1548</v>
      </c>
    </row>
    <row r="167" spans="1:6" x14ac:dyDescent="0.25">
      <c r="A167" s="146">
        <v>600011</v>
      </c>
      <c r="B167" t="s">
        <v>989</v>
      </c>
      <c r="C167" t="s">
        <v>1532</v>
      </c>
      <c r="D167" t="s">
        <v>642</v>
      </c>
      <c r="E167" t="s">
        <v>656</v>
      </c>
      <c r="F167" t="s">
        <v>1502</v>
      </c>
    </row>
    <row r="168" spans="1:6" x14ac:dyDescent="0.25">
      <c r="A168" s="146">
        <v>600012</v>
      </c>
      <c r="B168" t="s">
        <v>990</v>
      </c>
      <c r="C168" t="s">
        <v>1532</v>
      </c>
      <c r="D168" t="s">
        <v>642</v>
      </c>
      <c r="E168" t="s">
        <v>656</v>
      </c>
      <c r="F168" t="s">
        <v>1549</v>
      </c>
    </row>
    <row r="169" spans="1:6" x14ac:dyDescent="0.25">
      <c r="A169" s="146">
        <v>600013</v>
      </c>
      <c r="B169" t="s">
        <v>991</v>
      </c>
      <c r="C169" t="s">
        <v>1532</v>
      </c>
      <c r="D169" t="s">
        <v>642</v>
      </c>
      <c r="E169" t="s">
        <v>656</v>
      </c>
      <c r="F169" t="s">
        <v>1550</v>
      </c>
    </row>
    <row r="170" spans="1:6" x14ac:dyDescent="0.25">
      <c r="A170" s="146">
        <v>600014</v>
      </c>
      <c r="B170" t="s">
        <v>884</v>
      </c>
      <c r="C170" t="s">
        <v>1532</v>
      </c>
      <c r="D170" t="s">
        <v>642</v>
      </c>
      <c r="E170" t="s">
        <v>652</v>
      </c>
      <c r="F170" t="s">
        <v>1543</v>
      </c>
    </row>
    <row r="171" spans="1:6" x14ac:dyDescent="0.25">
      <c r="A171" s="146">
        <v>600015</v>
      </c>
      <c r="B171" t="s">
        <v>992</v>
      </c>
      <c r="C171" t="s">
        <v>1532</v>
      </c>
      <c r="D171" t="s">
        <v>642</v>
      </c>
      <c r="E171" t="s">
        <v>652</v>
      </c>
      <c r="F171" t="s">
        <v>1543</v>
      </c>
    </row>
    <row r="172" spans="1:6" x14ac:dyDescent="0.25">
      <c r="A172" s="146">
        <v>600016</v>
      </c>
      <c r="B172" t="s">
        <v>993</v>
      </c>
      <c r="C172" t="s">
        <v>1532</v>
      </c>
      <c r="D172" t="s">
        <v>642</v>
      </c>
      <c r="E172" t="s">
        <v>652</v>
      </c>
      <c r="F172" t="s">
        <v>1551</v>
      </c>
    </row>
    <row r="173" spans="1:6" x14ac:dyDescent="0.25">
      <c r="A173" s="146">
        <v>600017</v>
      </c>
      <c r="B173" t="s">
        <v>994</v>
      </c>
      <c r="C173" t="s">
        <v>1532</v>
      </c>
      <c r="D173" t="s">
        <v>642</v>
      </c>
      <c r="E173" t="s">
        <v>664</v>
      </c>
      <c r="F173" t="s">
        <v>1552</v>
      </c>
    </row>
    <row r="174" spans="1:6" x14ac:dyDescent="0.25">
      <c r="A174" s="146">
        <v>600018</v>
      </c>
      <c r="B174" t="s">
        <v>995</v>
      </c>
      <c r="C174" t="s">
        <v>1532</v>
      </c>
      <c r="D174" t="s">
        <v>642</v>
      </c>
      <c r="E174" t="s">
        <v>664</v>
      </c>
      <c r="F174" t="s">
        <v>1553</v>
      </c>
    </row>
    <row r="175" spans="1:6" x14ac:dyDescent="0.25">
      <c r="A175" s="146">
        <v>600019</v>
      </c>
      <c r="B175" t="s">
        <v>996</v>
      </c>
      <c r="C175" t="s">
        <v>1532</v>
      </c>
      <c r="D175" t="s">
        <v>642</v>
      </c>
      <c r="E175" t="s">
        <v>664</v>
      </c>
      <c r="F175" t="s">
        <v>1554</v>
      </c>
    </row>
    <row r="176" spans="1:6" x14ac:dyDescent="0.25">
      <c r="A176" s="146">
        <v>600020</v>
      </c>
      <c r="B176" t="s">
        <v>997</v>
      </c>
      <c r="C176" t="s">
        <v>1532</v>
      </c>
      <c r="D176" t="s">
        <v>642</v>
      </c>
      <c r="E176" t="s">
        <v>658</v>
      </c>
      <c r="F176" t="s">
        <v>1555</v>
      </c>
    </row>
    <row r="177" spans="1:6" x14ac:dyDescent="0.25">
      <c r="A177" s="146">
        <v>600021</v>
      </c>
      <c r="B177" t="s">
        <v>998</v>
      </c>
      <c r="C177" t="s">
        <v>1532</v>
      </c>
      <c r="D177" t="s">
        <v>642</v>
      </c>
      <c r="E177" t="s">
        <v>658</v>
      </c>
      <c r="F177" t="s">
        <v>1556</v>
      </c>
    </row>
    <row r="178" spans="1:6" x14ac:dyDescent="0.25">
      <c r="A178" s="146">
        <v>600022</v>
      </c>
      <c r="B178" t="s">
        <v>999</v>
      </c>
      <c r="C178" t="s">
        <v>1532</v>
      </c>
      <c r="D178" t="s">
        <v>642</v>
      </c>
      <c r="E178" t="s">
        <v>658</v>
      </c>
      <c r="F178" t="s">
        <v>1557</v>
      </c>
    </row>
    <row r="179" spans="1:6" x14ac:dyDescent="0.25">
      <c r="A179" s="146">
        <v>600023</v>
      </c>
      <c r="B179" t="s">
        <v>1000</v>
      </c>
      <c r="C179" t="s">
        <v>1532</v>
      </c>
      <c r="D179" t="s">
        <v>642</v>
      </c>
      <c r="E179" t="s">
        <v>658</v>
      </c>
      <c r="F179" t="s">
        <v>1558</v>
      </c>
    </row>
    <row r="180" spans="1:6" x14ac:dyDescent="0.25">
      <c r="A180" s="146">
        <v>600024</v>
      </c>
      <c r="B180" t="s">
        <v>1001</v>
      </c>
      <c r="C180" t="s">
        <v>1532</v>
      </c>
      <c r="D180" t="s">
        <v>642</v>
      </c>
      <c r="E180" t="s">
        <v>660</v>
      </c>
      <c r="F180" t="s">
        <v>1559</v>
      </c>
    </row>
    <row r="181" spans="1:6" x14ac:dyDescent="0.25">
      <c r="A181" s="146">
        <v>600025</v>
      </c>
      <c r="B181" t="s">
        <v>1002</v>
      </c>
      <c r="C181" t="s">
        <v>1532</v>
      </c>
      <c r="D181" t="s">
        <v>642</v>
      </c>
      <c r="E181" t="s">
        <v>654</v>
      </c>
      <c r="F181" t="s">
        <v>1560</v>
      </c>
    </row>
    <row r="182" spans="1:6" x14ac:dyDescent="0.25">
      <c r="A182" s="146">
        <v>600026</v>
      </c>
      <c r="B182" t="s">
        <v>1003</v>
      </c>
      <c r="C182" t="s">
        <v>1532</v>
      </c>
      <c r="D182" t="s">
        <v>642</v>
      </c>
      <c r="E182" t="s">
        <v>654</v>
      </c>
      <c r="F182" t="s">
        <v>1561</v>
      </c>
    </row>
    <row r="183" spans="1:6" x14ac:dyDescent="0.25">
      <c r="A183" s="146">
        <v>600027</v>
      </c>
      <c r="B183" t="s">
        <v>1004</v>
      </c>
      <c r="C183" t="s">
        <v>1532</v>
      </c>
      <c r="D183" t="s">
        <v>642</v>
      </c>
      <c r="E183" t="s">
        <v>660</v>
      </c>
      <c r="F183" t="s">
        <v>1562</v>
      </c>
    </row>
    <row r="184" spans="1:6" x14ac:dyDescent="0.25">
      <c r="A184" s="146">
        <v>600028</v>
      </c>
      <c r="B184" t="s">
        <v>1005</v>
      </c>
      <c r="C184" t="s">
        <v>1532</v>
      </c>
      <c r="D184" t="s">
        <v>642</v>
      </c>
      <c r="E184" t="s">
        <v>652</v>
      </c>
      <c r="F184" t="s">
        <v>1549</v>
      </c>
    </row>
    <row r="185" spans="1:6" x14ac:dyDescent="0.25">
      <c r="A185" s="146">
        <v>600029</v>
      </c>
      <c r="B185" t="s">
        <v>1006</v>
      </c>
      <c r="C185" t="s">
        <v>1532</v>
      </c>
      <c r="D185" t="s">
        <v>642</v>
      </c>
      <c r="E185" t="s">
        <v>650</v>
      </c>
      <c r="F185" t="s">
        <v>1563</v>
      </c>
    </row>
    <row r="186" spans="1:6" x14ac:dyDescent="0.25">
      <c r="A186" s="146">
        <v>600030</v>
      </c>
      <c r="B186" t="s">
        <v>1007</v>
      </c>
      <c r="C186" t="s">
        <v>1532</v>
      </c>
      <c r="D186" t="s">
        <v>705</v>
      </c>
      <c r="E186" t="s">
        <v>705</v>
      </c>
      <c r="F186" t="s">
        <v>1563</v>
      </c>
    </row>
    <row r="187" spans="1:6" x14ac:dyDescent="0.25">
      <c r="A187" s="146">
        <v>600031</v>
      </c>
      <c r="B187" t="s">
        <v>1008</v>
      </c>
      <c r="C187" t="s">
        <v>1532</v>
      </c>
      <c r="D187" t="s">
        <v>705</v>
      </c>
      <c r="E187" t="s">
        <v>705</v>
      </c>
      <c r="F187" t="s">
        <v>1563</v>
      </c>
    </row>
    <row r="188" spans="1:6" x14ac:dyDescent="0.25">
      <c r="A188" s="146">
        <v>600032</v>
      </c>
      <c r="B188" t="s">
        <v>1009</v>
      </c>
      <c r="C188" t="s">
        <v>1532</v>
      </c>
      <c r="D188" t="s">
        <v>705</v>
      </c>
      <c r="E188" t="s">
        <v>705</v>
      </c>
      <c r="F188" t="s">
        <v>1563</v>
      </c>
    </row>
    <row r="189" spans="1:6" x14ac:dyDescent="0.25">
      <c r="A189" s="146">
        <v>600033</v>
      </c>
      <c r="B189" t="s">
        <v>1010</v>
      </c>
      <c r="C189" t="s">
        <v>1532</v>
      </c>
      <c r="D189" t="s">
        <v>705</v>
      </c>
      <c r="E189" t="s">
        <v>705</v>
      </c>
      <c r="F189" t="s">
        <v>1563</v>
      </c>
    </row>
    <row r="190" spans="1:6" x14ac:dyDescent="0.25">
      <c r="A190" s="146">
        <v>600034</v>
      </c>
      <c r="B190" t="s">
        <v>1011</v>
      </c>
      <c r="C190" t="s">
        <v>1532</v>
      </c>
      <c r="D190" t="s">
        <v>642</v>
      </c>
      <c r="E190" t="s">
        <v>662</v>
      </c>
      <c r="F190" t="s">
        <v>1564</v>
      </c>
    </row>
    <row r="191" spans="1:6" x14ac:dyDescent="0.25">
      <c r="A191" s="146">
        <v>600035</v>
      </c>
      <c r="B191" t="s">
        <v>1012</v>
      </c>
      <c r="C191" s="209" t="s">
        <v>1532</v>
      </c>
      <c r="D191" s="209" t="s">
        <v>642</v>
      </c>
      <c r="E191" s="209" t="s">
        <v>656</v>
      </c>
      <c r="F191" s="209" t="s">
        <v>1544</v>
      </c>
    </row>
    <row r="192" spans="1:6" x14ac:dyDescent="0.25">
      <c r="A192" s="146">
        <v>600036</v>
      </c>
      <c r="B192" t="s">
        <v>1013</v>
      </c>
      <c r="C192" t="s">
        <v>1532</v>
      </c>
      <c r="D192" t="s">
        <v>642</v>
      </c>
      <c r="E192" t="s">
        <v>652</v>
      </c>
      <c r="F192" t="s">
        <v>1565</v>
      </c>
    </row>
    <row r="193" spans="1:6" x14ac:dyDescent="0.25">
      <c r="A193" s="146">
        <v>600060</v>
      </c>
      <c r="B193" t="s">
        <v>1022</v>
      </c>
      <c r="C193" t="s">
        <v>1532</v>
      </c>
      <c r="D193" t="s">
        <v>711</v>
      </c>
      <c r="E193" t="s">
        <v>711</v>
      </c>
      <c r="F193" t="s">
        <v>1566</v>
      </c>
    </row>
    <row r="194" spans="1:6" x14ac:dyDescent="0.25">
      <c r="A194" s="146">
        <v>700001</v>
      </c>
      <c r="B194" t="s">
        <v>1023</v>
      </c>
      <c r="C194" t="s">
        <v>1532</v>
      </c>
      <c r="D194" t="s">
        <v>1234</v>
      </c>
      <c r="E194" t="s">
        <v>681</v>
      </c>
      <c r="F194" t="s">
        <v>681</v>
      </c>
    </row>
    <row r="195" spans="1:6" x14ac:dyDescent="0.25">
      <c r="A195" s="146">
        <v>700002</v>
      </c>
      <c r="B195" t="s">
        <v>1024</v>
      </c>
      <c r="C195" t="s">
        <v>1532</v>
      </c>
      <c r="D195" t="s">
        <v>1234</v>
      </c>
      <c r="E195" t="s">
        <v>681</v>
      </c>
      <c r="F195" t="s">
        <v>1537</v>
      </c>
    </row>
    <row r="196" spans="1:6" x14ac:dyDescent="0.25">
      <c r="A196" s="146">
        <v>700003</v>
      </c>
      <c r="B196" t="s">
        <v>1152</v>
      </c>
      <c r="C196" t="s">
        <v>1532</v>
      </c>
      <c r="D196" t="s">
        <v>1234</v>
      </c>
      <c r="E196" t="s">
        <v>681</v>
      </c>
      <c r="F196" t="s">
        <v>1545</v>
      </c>
    </row>
    <row r="197" spans="1:6" x14ac:dyDescent="0.25">
      <c r="A197" s="146">
        <v>700004</v>
      </c>
      <c r="B197" t="s">
        <v>1026</v>
      </c>
      <c r="C197" t="s">
        <v>1532</v>
      </c>
      <c r="D197" t="s">
        <v>1234</v>
      </c>
      <c r="E197" t="s">
        <v>681</v>
      </c>
      <c r="F197" t="s">
        <v>1541</v>
      </c>
    </row>
    <row r="198" spans="1:6" x14ac:dyDescent="0.25">
      <c r="A198" s="146">
        <v>700005</v>
      </c>
      <c r="B198" t="s">
        <v>1027</v>
      </c>
      <c r="C198" t="s">
        <v>1532</v>
      </c>
      <c r="D198" t="s">
        <v>1234</v>
      </c>
      <c r="E198" t="s">
        <v>691</v>
      </c>
      <c r="F198" t="s">
        <v>1546</v>
      </c>
    </row>
    <row r="199" spans="1:6" x14ac:dyDescent="0.25">
      <c r="A199" s="146">
        <v>700006</v>
      </c>
      <c r="B199" t="s">
        <v>1028</v>
      </c>
      <c r="C199" t="s">
        <v>1532</v>
      </c>
      <c r="D199" t="s">
        <v>1234</v>
      </c>
      <c r="E199" t="s">
        <v>681</v>
      </c>
      <c r="F199" t="s">
        <v>1545</v>
      </c>
    </row>
    <row r="200" spans="1:6" x14ac:dyDescent="0.25">
      <c r="A200" s="146">
        <v>700007</v>
      </c>
      <c r="B200" t="s">
        <v>1029</v>
      </c>
      <c r="C200" t="s">
        <v>1532</v>
      </c>
      <c r="D200" t="s">
        <v>1234</v>
      </c>
      <c r="E200" t="s">
        <v>681</v>
      </c>
      <c r="F200" t="s">
        <v>1538</v>
      </c>
    </row>
    <row r="201" spans="1:6" x14ac:dyDescent="0.25">
      <c r="A201" s="146">
        <v>700008</v>
      </c>
      <c r="B201" t="s">
        <v>1030</v>
      </c>
      <c r="C201" t="s">
        <v>1532</v>
      </c>
      <c r="D201" t="s">
        <v>1234</v>
      </c>
      <c r="E201" t="s">
        <v>681</v>
      </c>
      <c r="F201" t="s">
        <v>1502</v>
      </c>
    </row>
    <row r="202" spans="1:6" x14ac:dyDescent="0.25">
      <c r="A202" s="146">
        <v>700009</v>
      </c>
      <c r="B202" t="s">
        <v>1031</v>
      </c>
      <c r="C202" t="s">
        <v>1532</v>
      </c>
      <c r="D202" t="s">
        <v>1234</v>
      </c>
      <c r="E202" t="s">
        <v>681</v>
      </c>
      <c r="F202" t="s">
        <v>1540</v>
      </c>
    </row>
    <row r="203" spans="1:6" x14ac:dyDescent="0.25">
      <c r="A203" s="146">
        <v>700010</v>
      </c>
      <c r="B203" t="s">
        <v>1032</v>
      </c>
      <c r="C203" t="s">
        <v>1532</v>
      </c>
      <c r="D203" t="s">
        <v>1234</v>
      </c>
      <c r="E203" t="s">
        <v>681</v>
      </c>
      <c r="F203" t="s">
        <v>1567</v>
      </c>
    </row>
    <row r="204" spans="1:6" x14ac:dyDescent="0.25">
      <c r="A204" s="146">
        <v>700011</v>
      </c>
      <c r="B204" t="s">
        <v>1033</v>
      </c>
      <c r="C204" t="s">
        <v>1532</v>
      </c>
      <c r="D204" t="s">
        <v>1234</v>
      </c>
      <c r="E204" t="s">
        <v>681</v>
      </c>
      <c r="F204" t="s">
        <v>1502</v>
      </c>
    </row>
    <row r="205" spans="1:6" x14ac:dyDescent="0.25">
      <c r="A205" s="146">
        <v>700012</v>
      </c>
      <c r="B205" t="s">
        <v>1034</v>
      </c>
      <c r="C205" t="s">
        <v>1532</v>
      </c>
      <c r="D205" t="s">
        <v>1234</v>
      </c>
      <c r="E205" t="s">
        <v>681</v>
      </c>
      <c r="F205" t="s">
        <v>1549</v>
      </c>
    </row>
    <row r="206" spans="1:6" x14ac:dyDescent="0.25">
      <c r="A206" s="146">
        <v>700013</v>
      </c>
      <c r="B206" t="s">
        <v>1035</v>
      </c>
      <c r="C206" t="s">
        <v>1532</v>
      </c>
      <c r="D206" t="s">
        <v>1234</v>
      </c>
      <c r="E206" t="s">
        <v>683</v>
      </c>
      <c r="F206" t="s">
        <v>1568</v>
      </c>
    </row>
    <row r="207" spans="1:6" x14ac:dyDescent="0.25">
      <c r="A207" s="146">
        <v>700014</v>
      </c>
      <c r="B207" t="s">
        <v>1036</v>
      </c>
      <c r="C207" t="s">
        <v>1532</v>
      </c>
      <c r="D207" t="s">
        <v>1234</v>
      </c>
      <c r="E207" t="s">
        <v>681</v>
      </c>
      <c r="F207" t="s">
        <v>1549</v>
      </c>
    </row>
    <row r="208" spans="1:6" x14ac:dyDescent="0.25">
      <c r="A208" s="146">
        <v>700015</v>
      </c>
      <c r="B208" t="s">
        <v>1037</v>
      </c>
      <c r="C208" t="s">
        <v>1532</v>
      </c>
      <c r="D208" t="s">
        <v>1234</v>
      </c>
      <c r="E208" t="s">
        <v>685</v>
      </c>
      <c r="F208" t="s">
        <v>1569</v>
      </c>
    </row>
    <row r="209" spans="1:6" x14ac:dyDescent="0.25">
      <c r="A209" s="146">
        <v>700016</v>
      </c>
      <c r="B209" t="s">
        <v>1038</v>
      </c>
      <c r="C209" t="s">
        <v>1532</v>
      </c>
      <c r="D209" t="s">
        <v>1570</v>
      </c>
      <c r="E209" t="s">
        <v>671</v>
      </c>
      <c r="F209" t="s">
        <v>1571</v>
      </c>
    </row>
    <row r="210" spans="1:6" x14ac:dyDescent="0.25">
      <c r="A210" s="146">
        <v>700017</v>
      </c>
      <c r="B210" t="s">
        <v>1039</v>
      </c>
      <c r="C210" t="s">
        <v>1532</v>
      </c>
      <c r="D210" t="s">
        <v>1234</v>
      </c>
      <c r="E210" t="s">
        <v>681</v>
      </c>
      <c r="F210" t="s">
        <v>1572</v>
      </c>
    </row>
    <row r="211" spans="1:6" x14ac:dyDescent="0.25">
      <c r="A211" s="146">
        <v>700018</v>
      </c>
      <c r="B211" t="s">
        <v>1040</v>
      </c>
      <c r="C211" t="s">
        <v>1532</v>
      </c>
      <c r="D211" t="s">
        <v>1234</v>
      </c>
      <c r="E211" t="s">
        <v>681</v>
      </c>
      <c r="F211" t="s">
        <v>1573</v>
      </c>
    </row>
    <row r="212" spans="1:6" x14ac:dyDescent="0.25">
      <c r="A212" s="146">
        <v>700019</v>
      </c>
      <c r="B212" t="s">
        <v>1041</v>
      </c>
      <c r="C212" t="s">
        <v>1532</v>
      </c>
      <c r="D212" t="s">
        <v>1234</v>
      </c>
      <c r="E212" t="s">
        <v>681</v>
      </c>
      <c r="F212" t="s">
        <v>1574</v>
      </c>
    </row>
    <row r="213" spans="1:6" x14ac:dyDescent="0.25">
      <c r="A213" s="146">
        <v>700020</v>
      </c>
      <c r="B213" t="s">
        <v>1042</v>
      </c>
      <c r="C213" t="s">
        <v>1532</v>
      </c>
      <c r="D213" t="s">
        <v>1234</v>
      </c>
      <c r="E213" t="s">
        <v>683</v>
      </c>
      <c r="F213" t="s">
        <v>1552</v>
      </c>
    </row>
    <row r="214" spans="1:6" x14ac:dyDescent="0.25">
      <c r="A214" s="146">
        <v>700021</v>
      </c>
      <c r="B214" t="s">
        <v>1043</v>
      </c>
      <c r="C214" t="s">
        <v>1532</v>
      </c>
      <c r="D214" t="s">
        <v>1234</v>
      </c>
      <c r="E214" t="s">
        <v>683</v>
      </c>
      <c r="F214" t="s">
        <v>1568</v>
      </c>
    </row>
    <row r="215" spans="1:6" x14ac:dyDescent="0.25">
      <c r="A215" s="146">
        <v>700022</v>
      </c>
      <c r="B215" t="s">
        <v>1044</v>
      </c>
      <c r="C215" t="s">
        <v>1532</v>
      </c>
      <c r="D215" t="s">
        <v>1234</v>
      </c>
      <c r="E215" t="s">
        <v>683</v>
      </c>
      <c r="F215" t="s">
        <v>1568</v>
      </c>
    </row>
    <row r="216" spans="1:6" x14ac:dyDescent="0.25">
      <c r="A216" s="146">
        <v>700023</v>
      </c>
      <c r="B216" t="s">
        <v>1045</v>
      </c>
      <c r="C216" t="s">
        <v>1532</v>
      </c>
      <c r="D216" t="s">
        <v>1234</v>
      </c>
      <c r="E216" t="s">
        <v>683</v>
      </c>
      <c r="F216" t="s">
        <v>1575</v>
      </c>
    </row>
    <row r="217" spans="1:6" x14ac:dyDescent="0.25">
      <c r="A217" s="146">
        <v>700024</v>
      </c>
      <c r="B217" t="s">
        <v>1046</v>
      </c>
      <c r="C217" t="s">
        <v>1532</v>
      </c>
      <c r="D217" t="s">
        <v>1234</v>
      </c>
      <c r="E217" t="s">
        <v>689</v>
      </c>
      <c r="F217" t="s">
        <v>1568</v>
      </c>
    </row>
    <row r="218" spans="1:6" x14ac:dyDescent="0.25">
      <c r="A218" s="146">
        <v>700025</v>
      </c>
      <c r="B218" t="s">
        <v>1047</v>
      </c>
      <c r="C218" t="s">
        <v>1532</v>
      </c>
      <c r="D218" t="s">
        <v>1234</v>
      </c>
      <c r="E218" t="s">
        <v>681</v>
      </c>
      <c r="F218" t="s">
        <v>681</v>
      </c>
    </row>
    <row r="219" spans="1:6" x14ac:dyDescent="0.25">
      <c r="A219" s="146">
        <v>700026</v>
      </c>
      <c r="B219" t="s">
        <v>1048</v>
      </c>
      <c r="C219" t="s">
        <v>1532</v>
      </c>
      <c r="D219" t="s">
        <v>1234</v>
      </c>
      <c r="E219" t="s">
        <v>683</v>
      </c>
      <c r="F219" t="s">
        <v>1576</v>
      </c>
    </row>
    <row r="220" spans="1:6" x14ac:dyDescent="0.25">
      <c r="A220" s="146">
        <v>700027</v>
      </c>
      <c r="B220" t="s">
        <v>1049</v>
      </c>
      <c r="C220" t="s">
        <v>1532</v>
      </c>
      <c r="D220" t="s">
        <v>1234</v>
      </c>
      <c r="E220" t="s">
        <v>687</v>
      </c>
      <c r="F220" t="s">
        <v>687</v>
      </c>
    </row>
    <row r="221" spans="1:6" x14ac:dyDescent="0.25">
      <c r="A221" s="146">
        <v>700028</v>
      </c>
      <c r="B221" t="s">
        <v>1050</v>
      </c>
      <c r="C221" t="s">
        <v>1532</v>
      </c>
      <c r="D221" t="s">
        <v>1234</v>
      </c>
      <c r="E221" t="s">
        <v>695</v>
      </c>
      <c r="F221" t="s">
        <v>1577</v>
      </c>
    </row>
    <row r="222" spans="1:6" x14ac:dyDescent="0.25">
      <c r="A222" s="146">
        <v>700029</v>
      </c>
      <c r="B222" t="s">
        <v>1051</v>
      </c>
      <c r="C222" t="s">
        <v>1532</v>
      </c>
      <c r="D222" t="s">
        <v>1234</v>
      </c>
      <c r="E222" t="s">
        <v>683</v>
      </c>
      <c r="F222" t="s">
        <v>1575</v>
      </c>
    </row>
    <row r="223" spans="1:6" x14ac:dyDescent="0.25">
      <c r="A223" s="146">
        <v>700030</v>
      </c>
      <c r="B223" t="s">
        <v>1052</v>
      </c>
      <c r="C223" t="s">
        <v>1532</v>
      </c>
      <c r="D223" t="s">
        <v>1234</v>
      </c>
      <c r="E223" t="s">
        <v>683</v>
      </c>
      <c r="F223" t="s">
        <v>1557</v>
      </c>
    </row>
    <row r="224" spans="1:6" x14ac:dyDescent="0.25">
      <c r="A224" s="146">
        <v>700031</v>
      </c>
      <c r="B224" t="s">
        <v>1053</v>
      </c>
      <c r="C224" t="s">
        <v>1532</v>
      </c>
      <c r="D224" t="s">
        <v>1234</v>
      </c>
      <c r="E224" t="s">
        <v>683</v>
      </c>
      <c r="F224" t="s">
        <v>1558</v>
      </c>
    </row>
    <row r="225" spans="1:6" x14ac:dyDescent="0.25">
      <c r="A225" s="146">
        <v>700032</v>
      </c>
      <c r="B225" t="s">
        <v>1054</v>
      </c>
      <c r="C225" t="s">
        <v>1532</v>
      </c>
      <c r="D225" t="s">
        <v>1234</v>
      </c>
      <c r="E225" t="s">
        <v>683</v>
      </c>
      <c r="F225" t="s">
        <v>1556</v>
      </c>
    </row>
    <row r="226" spans="1:6" x14ac:dyDescent="0.25">
      <c r="A226" s="146">
        <v>700033</v>
      </c>
      <c r="B226" t="s">
        <v>1055</v>
      </c>
      <c r="C226" t="s">
        <v>1532</v>
      </c>
      <c r="D226" t="s">
        <v>1234</v>
      </c>
      <c r="E226" t="s">
        <v>683</v>
      </c>
      <c r="F226" t="s">
        <v>1554</v>
      </c>
    </row>
    <row r="227" spans="1:6" x14ac:dyDescent="0.25">
      <c r="A227" s="146">
        <v>700034</v>
      </c>
      <c r="B227" t="s">
        <v>1056</v>
      </c>
      <c r="C227" t="s">
        <v>1532</v>
      </c>
      <c r="D227" t="s">
        <v>1234</v>
      </c>
      <c r="E227" t="s">
        <v>695</v>
      </c>
      <c r="F227" t="s">
        <v>1543</v>
      </c>
    </row>
    <row r="228" spans="1:6" x14ac:dyDescent="0.25">
      <c r="A228" s="146">
        <v>700035</v>
      </c>
      <c r="B228" t="s">
        <v>1057</v>
      </c>
      <c r="C228" t="s">
        <v>1532</v>
      </c>
      <c r="D228" t="s">
        <v>1234</v>
      </c>
      <c r="E228" t="s">
        <v>719</v>
      </c>
      <c r="F228" t="s">
        <v>1568</v>
      </c>
    </row>
    <row r="229" spans="1:6" x14ac:dyDescent="0.25">
      <c r="A229" s="146">
        <v>700036</v>
      </c>
      <c r="B229" t="s">
        <v>1058</v>
      </c>
      <c r="C229" t="s">
        <v>1532</v>
      </c>
      <c r="D229" t="s">
        <v>1234</v>
      </c>
      <c r="E229" t="s">
        <v>683</v>
      </c>
      <c r="F229" t="s">
        <v>1578</v>
      </c>
    </row>
    <row r="230" spans="1:6" x14ac:dyDescent="0.25">
      <c r="A230" s="146">
        <v>700037</v>
      </c>
      <c r="B230" t="s">
        <v>1059</v>
      </c>
      <c r="C230" t="s">
        <v>1532</v>
      </c>
      <c r="D230" t="s">
        <v>709</v>
      </c>
      <c r="E230" t="s">
        <v>709</v>
      </c>
      <c r="F230" t="s">
        <v>1579</v>
      </c>
    </row>
    <row r="231" spans="1:6" x14ac:dyDescent="0.25">
      <c r="A231" s="146">
        <v>700038</v>
      </c>
      <c r="B231" t="s">
        <v>1060</v>
      </c>
      <c r="C231" t="s">
        <v>1532</v>
      </c>
      <c r="D231" t="s">
        <v>1234</v>
      </c>
      <c r="E231" t="s">
        <v>685</v>
      </c>
      <c r="F231" t="s">
        <v>1580</v>
      </c>
    </row>
    <row r="232" spans="1:6" x14ac:dyDescent="0.25">
      <c r="A232" s="146">
        <v>700039</v>
      </c>
      <c r="B232" t="s">
        <v>1061</v>
      </c>
      <c r="C232" t="s">
        <v>1532</v>
      </c>
      <c r="D232" t="s">
        <v>1570</v>
      </c>
      <c r="E232" t="s">
        <v>671</v>
      </c>
      <c r="F232" t="s">
        <v>671</v>
      </c>
    </row>
    <row r="233" spans="1:6" x14ac:dyDescent="0.25">
      <c r="A233" s="146">
        <v>700040</v>
      </c>
      <c r="B233" t="s">
        <v>1062</v>
      </c>
      <c r="C233" t="s">
        <v>1532</v>
      </c>
      <c r="D233" t="s">
        <v>1234</v>
      </c>
      <c r="E233" t="s">
        <v>683</v>
      </c>
      <c r="F233" t="s">
        <v>1581</v>
      </c>
    </row>
    <row r="234" spans="1:6" x14ac:dyDescent="0.25">
      <c r="A234" s="146">
        <v>700041</v>
      </c>
      <c r="B234" t="s">
        <v>1063</v>
      </c>
      <c r="C234" t="s">
        <v>1532</v>
      </c>
      <c r="D234" t="s">
        <v>1234</v>
      </c>
      <c r="E234" t="s">
        <v>681</v>
      </c>
      <c r="F234" t="s">
        <v>1582</v>
      </c>
    </row>
    <row r="235" spans="1:6" x14ac:dyDescent="0.25">
      <c r="A235" s="146">
        <v>700042</v>
      </c>
      <c r="B235" t="s">
        <v>1064</v>
      </c>
      <c r="C235" t="s">
        <v>1532</v>
      </c>
      <c r="D235" t="s">
        <v>1234</v>
      </c>
      <c r="E235" t="s">
        <v>695</v>
      </c>
      <c r="F235" t="s">
        <v>1536</v>
      </c>
    </row>
    <row r="236" spans="1:6" x14ac:dyDescent="0.25">
      <c r="A236" s="146">
        <v>700043</v>
      </c>
      <c r="B236" t="s">
        <v>1065</v>
      </c>
      <c r="C236" t="s">
        <v>1532</v>
      </c>
      <c r="D236" t="s">
        <v>1234</v>
      </c>
      <c r="E236" t="s">
        <v>691</v>
      </c>
      <c r="F236" t="s">
        <v>1583</v>
      </c>
    </row>
    <row r="237" spans="1:6" x14ac:dyDescent="0.25">
      <c r="A237" s="146">
        <v>700044</v>
      </c>
      <c r="B237" t="s">
        <v>1066</v>
      </c>
      <c r="C237" t="s">
        <v>1532</v>
      </c>
      <c r="D237" t="s">
        <v>1234</v>
      </c>
      <c r="E237" t="s">
        <v>691</v>
      </c>
      <c r="F237" t="s">
        <v>1546</v>
      </c>
    </row>
    <row r="238" spans="1:6" x14ac:dyDescent="0.25">
      <c r="A238" s="146">
        <v>700045</v>
      </c>
      <c r="B238" t="s">
        <v>1067</v>
      </c>
      <c r="C238" t="s">
        <v>1532</v>
      </c>
      <c r="D238" t="s">
        <v>709</v>
      </c>
      <c r="E238" t="s">
        <v>709</v>
      </c>
      <c r="F238" t="s">
        <v>1584</v>
      </c>
    </row>
    <row r="239" spans="1:6" x14ac:dyDescent="0.25">
      <c r="A239" s="146">
        <v>700048</v>
      </c>
      <c r="B239" t="s">
        <v>1069</v>
      </c>
      <c r="C239" t="s">
        <v>1532</v>
      </c>
      <c r="D239" t="s">
        <v>1585</v>
      </c>
      <c r="E239" t="s">
        <v>714</v>
      </c>
      <c r="F239" t="s">
        <v>714</v>
      </c>
    </row>
    <row r="240" spans="1:6" x14ac:dyDescent="0.25">
      <c r="A240" s="146">
        <v>700049</v>
      </c>
      <c r="B240" t="s">
        <v>1070</v>
      </c>
      <c r="C240" t="s">
        <v>1532</v>
      </c>
      <c r="D240" t="s">
        <v>1234</v>
      </c>
      <c r="E240" t="s">
        <v>681</v>
      </c>
      <c r="F240" t="s">
        <v>1586</v>
      </c>
    </row>
    <row r="241" spans="1:6" x14ac:dyDescent="0.25">
      <c r="A241" s="146">
        <v>700050</v>
      </c>
      <c r="B241" t="s">
        <v>1071</v>
      </c>
      <c r="C241" t="s">
        <v>1532</v>
      </c>
      <c r="D241" t="s">
        <v>705</v>
      </c>
      <c r="E241" t="s">
        <v>705</v>
      </c>
      <c r="F241" t="s">
        <v>1563</v>
      </c>
    </row>
    <row r="242" spans="1:6" x14ac:dyDescent="0.25">
      <c r="A242" s="146">
        <v>700051</v>
      </c>
      <c r="B242" t="s">
        <v>1072</v>
      </c>
      <c r="C242" t="s">
        <v>1532</v>
      </c>
      <c r="D242" t="s">
        <v>705</v>
      </c>
      <c r="E242" t="s">
        <v>705</v>
      </c>
      <c r="F242" t="s">
        <v>1563</v>
      </c>
    </row>
    <row r="243" spans="1:6" x14ac:dyDescent="0.25">
      <c r="A243" s="146">
        <v>700052</v>
      </c>
      <c r="B243" t="s">
        <v>1073</v>
      </c>
      <c r="C243" t="s">
        <v>1532</v>
      </c>
      <c r="D243" t="s">
        <v>705</v>
      </c>
      <c r="E243" t="s">
        <v>705</v>
      </c>
      <c r="F243" t="s">
        <v>1563</v>
      </c>
    </row>
    <row r="244" spans="1:6" x14ac:dyDescent="0.25">
      <c r="A244" s="146">
        <v>700053</v>
      </c>
      <c r="B244" t="s">
        <v>1074</v>
      </c>
      <c r="C244" t="s">
        <v>1532</v>
      </c>
      <c r="D244" t="s">
        <v>705</v>
      </c>
      <c r="E244" t="s">
        <v>705</v>
      </c>
      <c r="F244" t="s">
        <v>1563</v>
      </c>
    </row>
    <row r="245" spans="1:6" x14ac:dyDescent="0.25">
      <c r="A245" s="146">
        <v>700054</v>
      </c>
      <c r="B245" t="s">
        <v>1075</v>
      </c>
      <c r="C245" t="s">
        <v>1532</v>
      </c>
      <c r="D245" t="s">
        <v>705</v>
      </c>
      <c r="E245" t="s">
        <v>705</v>
      </c>
      <c r="F245" t="s">
        <v>1563</v>
      </c>
    </row>
    <row r="246" spans="1:6" x14ac:dyDescent="0.25">
      <c r="A246" s="146">
        <v>700055</v>
      </c>
      <c r="B246" t="s">
        <v>1076</v>
      </c>
      <c r="C246" t="s">
        <v>1532</v>
      </c>
      <c r="D246" t="s">
        <v>705</v>
      </c>
      <c r="E246" t="s">
        <v>705</v>
      </c>
      <c r="F246" t="s">
        <v>1563</v>
      </c>
    </row>
    <row r="247" spans="1:6" x14ac:dyDescent="0.25">
      <c r="A247" s="146">
        <v>700056</v>
      </c>
      <c r="B247" t="s">
        <v>1077</v>
      </c>
      <c r="C247" t="s">
        <v>1532</v>
      </c>
      <c r="D247" t="s">
        <v>705</v>
      </c>
      <c r="E247" t="s">
        <v>705</v>
      </c>
      <c r="F247" t="s">
        <v>1563</v>
      </c>
    </row>
    <row r="248" spans="1:6" x14ac:dyDescent="0.25">
      <c r="A248" s="146">
        <v>700057</v>
      </c>
      <c r="B248" t="s">
        <v>1078</v>
      </c>
      <c r="C248" t="s">
        <v>1532</v>
      </c>
      <c r="D248" t="s">
        <v>642</v>
      </c>
      <c r="E248" t="s">
        <v>660</v>
      </c>
      <c r="F248" t="s">
        <v>1587</v>
      </c>
    </row>
    <row r="249" spans="1:6" x14ac:dyDescent="0.25">
      <c r="A249" s="146">
        <v>700058</v>
      </c>
      <c r="B249" t="s">
        <v>1079</v>
      </c>
      <c r="C249" t="s">
        <v>1532</v>
      </c>
      <c r="D249" t="s">
        <v>1570</v>
      </c>
      <c r="E249" t="s">
        <v>669</v>
      </c>
      <c r="F249" t="s">
        <v>669</v>
      </c>
    </row>
    <row r="250" spans="1:6" x14ac:dyDescent="0.25">
      <c r="A250" s="146">
        <v>700059</v>
      </c>
      <c r="B250" t="s">
        <v>1080</v>
      </c>
      <c r="C250" t="s">
        <v>1532</v>
      </c>
      <c r="D250" t="s">
        <v>1570</v>
      </c>
      <c r="E250" t="s">
        <v>675</v>
      </c>
      <c r="F250" t="s">
        <v>675</v>
      </c>
    </row>
    <row r="251" spans="1:6" x14ac:dyDescent="0.25">
      <c r="A251" s="146">
        <v>700060</v>
      </c>
      <c r="B251" t="s">
        <v>1081</v>
      </c>
      <c r="C251" t="s">
        <v>1532</v>
      </c>
      <c r="D251" t="s">
        <v>1570</v>
      </c>
      <c r="E251" t="s">
        <v>677</v>
      </c>
      <c r="F251" t="s">
        <v>1588</v>
      </c>
    </row>
    <row r="252" spans="1:6" x14ac:dyDescent="0.25">
      <c r="A252" s="146">
        <v>700061</v>
      </c>
      <c r="B252" t="s">
        <v>1082</v>
      </c>
      <c r="C252" t="s">
        <v>1532</v>
      </c>
      <c r="D252" t="s">
        <v>1570</v>
      </c>
      <c r="E252" t="s">
        <v>673</v>
      </c>
      <c r="F252" t="s">
        <v>673</v>
      </c>
    </row>
    <row r="253" spans="1:6" x14ac:dyDescent="0.25">
      <c r="A253" s="146">
        <v>700062</v>
      </c>
      <c r="B253" t="s">
        <v>1083</v>
      </c>
      <c r="C253" t="s">
        <v>1532</v>
      </c>
      <c r="D253" t="s">
        <v>1262</v>
      </c>
      <c r="E253" t="s">
        <v>700</v>
      </c>
      <c r="F253" t="s">
        <v>700</v>
      </c>
    </row>
    <row r="254" spans="1:6" x14ac:dyDescent="0.25">
      <c r="A254" s="146">
        <v>700063</v>
      </c>
      <c r="B254" t="s">
        <v>1084</v>
      </c>
      <c r="C254" t="s">
        <v>1532</v>
      </c>
      <c r="D254" t="s">
        <v>1234</v>
      </c>
      <c r="E254" t="s">
        <v>681</v>
      </c>
      <c r="F254" t="s">
        <v>1589</v>
      </c>
    </row>
    <row r="255" spans="1:6" x14ac:dyDescent="0.25">
      <c r="A255" s="146">
        <v>700064</v>
      </c>
      <c r="B255" t="s">
        <v>1085</v>
      </c>
      <c r="C255" t="s">
        <v>1532</v>
      </c>
      <c r="D255" t="s">
        <v>707</v>
      </c>
      <c r="E255" t="s">
        <v>707</v>
      </c>
      <c r="F255" t="s">
        <v>1590</v>
      </c>
    </row>
    <row r="256" spans="1:6" x14ac:dyDescent="0.25">
      <c r="A256" s="146">
        <v>700065</v>
      </c>
      <c r="B256" t="s">
        <v>1086</v>
      </c>
      <c r="C256" t="s">
        <v>1532</v>
      </c>
      <c r="D256" t="s">
        <v>709</v>
      </c>
      <c r="E256" t="s">
        <v>709</v>
      </c>
      <c r="F256" t="s">
        <v>1579</v>
      </c>
    </row>
    <row r="257" spans="1:6" x14ac:dyDescent="0.25">
      <c r="A257" s="146">
        <v>700066</v>
      </c>
      <c r="B257" t="s">
        <v>1087</v>
      </c>
      <c r="C257" t="s">
        <v>1532</v>
      </c>
      <c r="D257" t="s">
        <v>1234</v>
      </c>
      <c r="E257" t="s">
        <v>691</v>
      </c>
      <c r="F257" t="s">
        <v>1591</v>
      </c>
    </row>
    <row r="258" spans="1:6" x14ac:dyDescent="0.25">
      <c r="A258" s="146">
        <v>700067</v>
      </c>
      <c r="B258" t="s">
        <v>1088</v>
      </c>
      <c r="C258" t="s">
        <v>1532</v>
      </c>
      <c r="D258" t="s">
        <v>1570</v>
      </c>
      <c r="E258" t="s">
        <v>677</v>
      </c>
      <c r="F258" t="s">
        <v>1588</v>
      </c>
    </row>
    <row r="259" spans="1:6" x14ac:dyDescent="0.25">
      <c r="A259" s="146">
        <v>700068</v>
      </c>
      <c r="B259" t="s">
        <v>1089</v>
      </c>
      <c r="C259" t="s">
        <v>1532</v>
      </c>
      <c r="D259" t="s">
        <v>642</v>
      </c>
      <c r="E259" t="s">
        <v>647</v>
      </c>
      <c r="F259" t="s">
        <v>647</v>
      </c>
    </row>
    <row r="260" spans="1:6" x14ac:dyDescent="0.25">
      <c r="A260" s="146">
        <v>700069</v>
      </c>
      <c r="B260" t="s">
        <v>1090</v>
      </c>
      <c r="C260" t="s">
        <v>1532</v>
      </c>
      <c r="D260" t="s">
        <v>1234</v>
      </c>
      <c r="E260" t="s">
        <v>693</v>
      </c>
      <c r="F260" t="s">
        <v>1592</v>
      </c>
    </row>
    <row r="261" spans="1:6" x14ac:dyDescent="0.25">
      <c r="A261" s="146">
        <v>800001</v>
      </c>
      <c r="B261" t="s">
        <v>1099</v>
      </c>
      <c r="C261" t="s">
        <v>1532</v>
      </c>
      <c r="D261" t="s">
        <v>1234</v>
      </c>
      <c r="E261" t="s">
        <v>681</v>
      </c>
      <c r="F261" t="s">
        <v>1593</v>
      </c>
    </row>
    <row r="262" spans="1:6" x14ac:dyDescent="0.25">
      <c r="A262" s="146">
        <v>800002</v>
      </c>
      <c r="B262" t="s">
        <v>1100</v>
      </c>
      <c r="C262" t="s">
        <v>1532</v>
      </c>
      <c r="D262" t="s">
        <v>1234</v>
      </c>
      <c r="E262" t="s">
        <v>697</v>
      </c>
      <c r="F262" t="s">
        <v>1527</v>
      </c>
    </row>
    <row r="263" spans="1:6" x14ac:dyDescent="0.25">
      <c r="A263" s="146">
        <v>700070</v>
      </c>
      <c r="B263" t="s">
        <v>1091</v>
      </c>
      <c r="C263" t="s">
        <v>1532</v>
      </c>
      <c r="D263" t="s">
        <v>642</v>
      </c>
      <c r="E263" t="s">
        <v>648</v>
      </c>
      <c r="F263" t="s">
        <v>1594</v>
      </c>
    </row>
    <row r="264" spans="1:6" x14ac:dyDescent="0.25">
      <c r="A264" s="146">
        <v>700071</v>
      </c>
      <c r="B264" t="s">
        <v>1092</v>
      </c>
      <c r="C264" t="s">
        <v>1532</v>
      </c>
      <c r="D264" t="s">
        <v>642</v>
      </c>
      <c r="E264" t="s">
        <v>648</v>
      </c>
      <c r="F264" t="s">
        <v>1595</v>
      </c>
    </row>
    <row r="265" spans="1:6" x14ac:dyDescent="0.25">
      <c r="A265" s="146">
        <v>700072</v>
      </c>
      <c r="B265" t="s">
        <v>1093</v>
      </c>
      <c r="C265" t="s">
        <v>1532</v>
      </c>
      <c r="D265" t="s">
        <v>1234</v>
      </c>
      <c r="E265" t="s">
        <v>681</v>
      </c>
      <c r="F265" t="s">
        <v>1564</v>
      </c>
    </row>
    <row r="266" spans="1:6" x14ac:dyDescent="0.25">
      <c r="A266" s="146">
        <v>700074</v>
      </c>
      <c r="B266" t="s">
        <v>702</v>
      </c>
      <c r="C266" t="s">
        <v>1532</v>
      </c>
      <c r="D266" t="s">
        <v>1234</v>
      </c>
      <c r="E266" t="s">
        <v>702</v>
      </c>
      <c r="F266" t="s">
        <v>702</v>
      </c>
    </row>
    <row r="267" spans="1:6" x14ac:dyDescent="0.25">
      <c r="A267" s="146">
        <v>520043</v>
      </c>
      <c r="B267" t="s">
        <v>972</v>
      </c>
      <c r="C267" t="s">
        <v>1532</v>
      </c>
      <c r="D267" t="s">
        <v>642</v>
      </c>
      <c r="E267" t="s">
        <v>645</v>
      </c>
      <c r="F267" t="s">
        <v>681</v>
      </c>
    </row>
    <row r="268" spans="1:6" x14ac:dyDescent="0.25">
      <c r="A268" s="146">
        <v>520039</v>
      </c>
      <c r="B268" t="s">
        <v>968</v>
      </c>
      <c r="C268" t="s">
        <v>1532</v>
      </c>
      <c r="D268" t="s">
        <v>642</v>
      </c>
      <c r="E268" t="s">
        <v>645</v>
      </c>
      <c r="F268" t="s">
        <v>681</v>
      </c>
    </row>
    <row r="269" spans="1:6" x14ac:dyDescent="0.25">
      <c r="A269" s="146">
        <v>520044</v>
      </c>
      <c r="B269" t="s">
        <v>973</v>
      </c>
      <c r="C269" t="s">
        <v>1532</v>
      </c>
      <c r="D269" t="s">
        <v>642</v>
      </c>
      <c r="E269" t="s">
        <v>645</v>
      </c>
      <c r="F269" t="s">
        <v>681</v>
      </c>
    </row>
    <row r="270" spans="1:6" x14ac:dyDescent="0.25">
      <c r="A270" s="146">
        <v>520024</v>
      </c>
      <c r="B270" t="s">
        <v>1149</v>
      </c>
      <c r="C270" t="s">
        <v>1532</v>
      </c>
      <c r="D270" t="s">
        <v>642</v>
      </c>
      <c r="E270" t="s">
        <v>664</v>
      </c>
      <c r="F270" t="s">
        <v>1552</v>
      </c>
    </row>
    <row r="271" spans="1:6" x14ac:dyDescent="0.25">
      <c r="A271" s="146">
        <v>700075</v>
      </c>
      <c r="B271" t="s">
        <v>1094</v>
      </c>
      <c r="C271" t="s">
        <v>1532</v>
      </c>
      <c r="D271" t="s">
        <v>1234</v>
      </c>
      <c r="E271" t="s">
        <v>683</v>
      </c>
      <c r="F271" t="s">
        <v>1094</v>
      </c>
    </row>
    <row r="272" spans="1:6" x14ac:dyDescent="0.25">
      <c r="A272" s="146">
        <v>700076</v>
      </c>
      <c r="B272" t="s">
        <v>1095</v>
      </c>
      <c r="C272" t="s">
        <v>1532</v>
      </c>
      <c r="D272" t="s">
        <v>1234</v>
      </c>
      <c r="E272" t="s">
        <v>683</v>
      </c>
      <c r="F272" t="s">
        <v>1095</v>
      </c>
    </row>
    <row r="273" spans="1:6" x14ac:dyDescent="0.25">
      <c r="A273" s="146">
        <v>130017</v>
      </c>
      <c r="B273" t="s">
        <v>854</v>
      </c>
      <c r="C273" t="s">
        <v>1483</v>
      </c>
      <c r="D273" t="s">
        <v>1488</v>
      </c>
      <c r="E273" t="s">
        <v>742</v>
      </c>
      <c r="F273" t="s">
        <v>1492</v>
      </c>
    </row>
    <row r="274" spans="1:6" x14ac:dyDescent="0.25">
      <c r="A274" s="146">
        <v>700077</v>
      </c>
      <c r="B274" t="s">
        <v>1096</v>
      </c>
      <c r="C274" t="s">
        <v>1532</v>
      </c>
      <c r="D274" t="s">
        <v>1570</v>
      </c>
      <c r="E274" t="s">
        <v>677</v>
      </c>
      <c r="F274" t="s">
        <v>1588</v>
      </c>
    </row>
    <row r="275" spans="1:6" x14ac:dyDescent="0.25">
      <c r="A275" s="38">
        <v>130018</v>
      </c>
      <c r="B275" t="s">
        <v>855</v>
      </c>
      <c r="C275" t="s">
        <v>1483</v>
      </c>
      <c r="D275" t="s">
        <v>1488</v>
      </c>
      <c r="E275" t="s">
        <v>742</v>
      </c>
      <c r="F275" t="s">
        <v>1492</v>
      </c>
    </row>
    <row r="276" spans="1:6" x14ac:dyDescent="0.25">
      <c r="A276" s="38">
        <v>250008</v>
      </c>
      <c r="B276" t="s">
        <v>921</v>
      </c>
      <c r="C276" t="s">
        <v>1483</v>
      </c>
      <c r="D276" t="s">
        <v>1498</v>
      </c>
      <c r="E276" t="s">
        <v>760</v>
      </c>
      <c r="F276" t="s">
        <v>1596</v>
      </c>
    </row>
    <row r="277" spans="1:6" x14ac:dyDescent="0.25">
      <c r="A277" s="38">
        <v>260007</v>
      </c>
      <c r="B277" t="s">
        <v>928</v>
      </c>
      <c r="C277" t="s">
        <v>1483</v>
      </c>
      <c r="D277" t="s">
        <v>1498</v>
      </c>
      <c r="E277" t="s">
        <v>760</v>
      </c>
      <c r="F277" t="s">
        <v>1597</v>
      </c>
    </row>
    <row r="278" spans="1:6" x14ac:dyDescent="0.25">
      <c r="A278" s="38">
        <v>520045</v>
      </c>
      <c r="B278" t="s">
        <v>974</v>
      </c>
      <c r="C278" t="s">
        <v>1532</v>
      </c>
      <c r="D278" t="s">
        <v>642</v>
      </c>
      <c r="E278" t="s">
        <v>645</v>
      </c>
      <c r="F278" t="s">
        <v>645</v>
      </c>
    </row>
    <row r="279" spans="1:6" x14ac:dyDescent="0.25">
      <c r="A279" s="38">
        <v>520046</v>
      </c>
      <c r="B279" t="s">
        <v>975</v>
      </c>
      <c r="C279" t="s">
        <v>1532</v>
      </c>
      <c r="D279" t="s">
        <v>642</v>
      </c>
      <c r="E279" t="s">
        <v>645</v>
      </c>
      <c r="F279" t="s">
        <v>645</v>
      </c>
    </row>
    <row r="280" spans="1:6" x14ac:dyDescent="0.25">
      <c r="A280" s="38">
        <v>520047</v>
      </c>
      <c r="B280" t="s">
        <v>976</v>
      </c>
      <c r="C280" t="s">
        <v>1532</v>
      </c>
      <c r="D280" t="s">
        <v>642</v>
      </c>
      <c r="E280" t="s">
        <v>645</v>
      </c>
      <c r="F280" t="s">
        <v>645</v>
      </c>
    </row>
    <row r="281" spans="1:6" x14ac:dyDescent="0.25">
      <c r="A281" s="38">
        <v>600037</v>
      </c>
      <c r="B281" t="s">
        <v>1014</v>
      </c>
      <c r="C281" t="s">
        <v>1532</v>
      </c>
      <c r="D281" t="s">
        <v>642</v>
      </c>
      <c r="E281" t="s">
        <v>652</v>
      </c>
      <c r="F281" t="s">
        <v>652</v>
      </c>
    </row>
    <row r="282" spans="1:6" x14ac:dyDescent="0.25">
      <c r="A282" s="38">
        <v>600038</v>
      </c>
      <c r="B282" t="s">
        <v>1015</v>
      </c>
      <c r="C282" t="s">
        <v>1532</v>
      </c>
      <c r="D282" t="s">
        <v>642</v>
      </c>
      <c r="E282" t="s">
        <v>656</v>
      </c>
      <c r="F282" t="s">
        <v>656</v>
      </c>
    </row>
    <row r="283" spans="1:6" x14ac:dyDescent="0.25">
      <c r="A283" s="38">
        <v>600039</v>
      </c>
      <c r="B283" t="s">
        <v>1016</v>
      </c>
      <c r="C283" t="s">
        <v>1532</v>
      </c>
      <c r="D283" t="s">
        <v>642</v>
      </c>
      <c r="E283" t="s">
        <v>652</v>
      </c>
      <c r="F283" t="s">
        <v>652</v>
      </c>
    </row>
    <row r="284" spans="1:6" x14ac:dyDescent="0.25">
      <c r="A284" s="38">
        <v>600041</v>
      </c>
      <c r="B284" t="s">
        <v>1017</v>
      </c>
      <c r="C284" s="209" t="s">
        <v>1532</v>
      </c>
      <c r="D284" s="209" t="s">
        <v>642</v>
      </c>
      <c r="E284" s="209" t="s">
        <v>656</v>
      </c>
      <c r="F284" s="209" t="s">
        <v>1544</v>
      </c>
    </row>
    <row r="285" spans="1:6" x14ac:dyDescent="0.25">
      <c r="A285" s="38">
        <v>600042</v>
      </c>
      <c r="B285" t="s">
        <v>1018</v>
      </c>
      <c r="C285" t="s">
        <v>1532</v>
      </c>
      <c r="D285" t="s">
        <v>642</v>
      </c>
      <c r="E285" t="s">
        <v>660</v>
      </c>
      <c r="F285" t="s">
        <v>660</v>
      </c>
    </row>
    <row r="286" spans="1:6" x14ac:dyDescent="0.25">
      <c r="A286" s="38">
        <v>600043</v>
      </c>
      <c r="B286" t="s">
        <v>1047</v>
      </c>
      <c r="C286" t="s">
        <v>1532</v>
      </c>
      <c r="D286" t="s">
        <v>642</v>
      </c>
      <c r="E286" t="s">
        <v>656</v>
      </c>
      <c r="F286" t="s">
        <v>656</v>
      </c>
    </row>
    <row r="287" spans="1:6" x14ac:dyDescent="0.25">
      <c r="A287" s="38">
        <v>600044</v>
      </c>
      <c r="B287" t="s">
        <v>1019</v>
      </c>
      <c r="C287" s="209" t="s">
        <v>1532</v>
      </c>
      <c r="D287" s="209" t="s">
        <v>642</v>
      </c>
      <c r="E287" s="209" t="s">
        <v>656</v>
      </c>
      <c r="F287" s="209" t="s">
        <v>1544</v>
      </c>
    </row>
    <row r="288" spans="1:6" x14ac:dyDescent="0.25">
      <c r="A288" s="38">
        <v>600045</v>
      </c>
      <c r="B288" t="s">
        <v>1020</v>
      </c>
      <c r="C288" t="s">
        <v>1532</v>
      </c>
      <c r="D288" t="s">
        <v>642</v>
      </c>
      <c r="E288" t="s">
        <v>656</v>
      </c>
      <c r="F288" t="s">
        <v>656</v>
      </c>
    </row>
    <row r="289" spans="1:6" x14ac:dyDescent="0.25">
      <c r="A289" s="38">
        <v>600055</v>
      </c>
      <c r="B289" t="s">
        <v>1021</v>
      </c>
      <c r="C289" t="s">
        <v>1532</v>
      </c>
      <c r="D289" t="s">
        <v>642</v>
      </c>
      <c r="E289" t="s">
        <v>654</v>
      </c>
      <c r="F289" t="s">
        <v>654</v>
      </c>
    </row>
    <row r="290" spans="1:6" x14ac:dyDescent="0.25">
      <c r="A290" s="38">
        <v>600056</v>
      </c>
      <c r="B290" t="s">
        <v>1172</v>
      </c>
      <c r="C290" t="s">
        <v>1532</v>
      </c>
      <c r="D290" t="s">
        <v>642</v>
      </c>
      <c r="E290" t="s">
        <v>664</v>
      </c>
      <c r="F290" t="s">
        <v>664</v>
      </c>
    </row>
    <row r="291" spans="1:6" x14ac:dyDescent="0.25">
      <c r="A291" s="38">
        <v>700047</v>
      </c>
      <c r="B291" t="s">
        <v>1068</v>
      </c>
      <c r="C291" t="s">
        <v>1532</v>
      </c>
      <c r="D291" t="s">
        <v>642</v>
      </c>
      <c r="E291" t="s">
        <v>647</v>
      </c>
      <c r="F291" t="s">
        <v>647</v>
      </c>
    </row>
    <row r="292" spans="1:6" x14ac:dyDescent="0.25">
      <c r="A292" s="38">
        <v>700078</v>
      </c>
      <c r="B292" t="s">
        <v>1097</v>
      </c>
      <c r="C292" t="s">
        <v>1532</v>
      </c>
      <c r="D292" t="s">
        <v>1234</v>
      </c>
      <c r="E292" t="s">
        <v>693</v>
      </c>
      <c r="F292" t="s">
        <v>693</v>
      </c>
    </row>
    <row r="293" spans="1:6" x14ac:dyDescent="0.25">
      <c r="A293" s="38">
        <v>520049</v>
      </c>
      <c r="B293" t="s">
        <v>977</v>
      </c>
      <c r="C293" t="s">
        <v>1532</v>
      </c>
      <c r="D293" t="s">
        <v>642</v>
      </c>
      <c r="E293" t="s">
        <v>645</v>
      </c>
      <c r="F293" t="s">
        <v>1598</v>
      </c>
    </row>
    <row r="294" spans="1:6" x14ac:dyDescent="0.25">
      <c r="A294" s="38">
        <v>520050</v>
      </c>
      <c r="B294" t="s">
        <v>978</v>
      </c>
      <c r="C294" t="s">
        <v>1532</v>
      </c>
      <c r="D294" t="s">
        <v>642</v>
      </c>
      <c r="E294" t="s">
        <v>656</v>
      </c>
      <c r="F294" t="s">
        <v>1599</v>
      </c>
    </row>
    <row r="295" spans="1:6" x14ac:dyDescent="0.25">
      <c r="A295" s="38">
        <v>700080</v>
      </c>
      <c r="B295" t="s">
        <v>1098</v>
      </c>
      <c r="C295" t="s">
        <v>1532</v>
      </c>
      <c r="D295" t="s">
        <v>1234</v>
      </c>
      <c r="E295" t="s">
        <v>695</v>
      </c>
      <c r="F295" t="s">
        <v>1600</v>
      </c>
    </row>
  </sheetData>
  <autoFilter ref="A1:G295" xr:uid="{00000000-0009-0000-0000-000025000000}"/>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1</vt:i4>
      </vt:variant>
    </vt:vector>
  </HeadingPairs>
  <TitlesOfParts>
    <vt:vector size="39" baseType="lpstr">
      <vt:lpstr>README</vt:lpstr>
      <vt:lpstr>Checks</vt:lpstr>
      <vt:lpstr>TB_Comparison_Justification</vt:lpstr>
      <vt:lpstr>FS_SideBySide_Comparison</vt:lpstr>
      <vt:lpstr>Problem_Areas_&amp;_Solutions</vt:lpstr>
      <vt:lpstr>IS_Consol</vt:lpstr>
      <vt:lpstr>BS_Consol</vt:lpstr>
      <vt:lpstr>CF_Consol</vt:lpstr>
      <vt:lpstr>IS_Alif</vt:lpstr>
      <vt:lpstr>BS_Alif</vt:lpstr>
      <vt:lpstr>CF_Alif</vt:lpstr>
      <vt:lpstr>IS_VH</vt:lpstr>
      <vt:lpstr>BS_VH</vt:lpstr>
      <vt:lpstr>CF_VH</vt:lpstr>
      <vt:lpstr>TB_Input_Alif</vt:lpstr>
      <vt:lpstr>TB_Input_VH</vt:lpstr>
      <vt:lpstr>Charts_YTD</vt:lpstr>
      <vt:lpstr>YearlyAlif</vt:lpstr>
      <vt:lpstr>BS</vt:lpstr>
      <vt:lpstr>Charts_BS</vt:lpstr>
      <vt:lpstr>Charts_P&amp;L</vt:lpstr>
      <vt:lpstr>P&amp;L_2014-2025</vt:lpstr>
      <vt:lpstr>P&amp;L</vt:lpstr>
      <vt:lpstr>CF</vt:lpstr>
      <vt:lpstr>Notes</vt:lpstr>
      <vt:lpstr>ALIF_Y2014</vt:lpstr>
      <vt:lpstr>ALIF_Y2015</vt:lpstr>
      <vt:lpstr>ALIF_Y2016</vt:lpstr>
      <vt:lpstr>ALIF_Y2017</vt:lpstr>
      <vt:lpstr>ALIF_Y2018</vt:lpstr>
      <vt:lpstr>ALIF_Y2019</vt:lpstr>
      <vt:lpstr>ALIF_Y2020</vt:lpstr>
      <vt:lpstr>ALIF_Y2021</vt:lpstr>
      <vt:lpstr>ALIF_Y2022</vt:lpstr>
      <vt:lpstr>ALIF_Y2023</vt:lpstr>
      <vt:lpstr>ALIF_Y2024</vt:lpstr>
      <vt:lpstr>ALIF_Y2025</vt:lpstr>
      <vt:lpstr>Map</vt:lpstr>
      <vt:lpstr>FS_SideBySide_Comparison!Print_Titles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Alif &amp; VH IFRS Master Sep 2026 — Rectified</dc:title>
  <dc:subject>Refreshed September 2026 trial balances, IFRS freight reclassification, checks and TB comparison</dc:subject>
  <dc:creator>openpyxl</dc:creator>
  <dc:description>Rectified using FS report 202609 IFRS.xlsx; formulas recalculate automatically from mapped raw trial balance rows.</dc:description>
  <cp:lastModifiedBy>LENOVO</cp:lastModifiedBy>
  <dcterms:created xsi:type="dcterms:W3CDTF">2026-10-14T11:31:03Z</dcterms:created>
  <dcterms:modified xsi:type="dcterms:W3CDTF">2026-10-17T11:41:02Z</dcterms:modified>
</cp:coreProperties>
</file>